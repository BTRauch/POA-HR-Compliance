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"/>
    </mc:Choice>
  </mc:AlternateContent>
  <xr:revisionPtr revIDLastSave="11" documentId="13_ncr:1_{8DE5D288-D7F0-4934-9A32-0ECEBB30E103}" xr6:coauthVersionLast="47" xr6:coauthVersionMax="47" xr10:uidLastSave="{68302608-4C2E-4240-8D8D-BEF170DC1686}"/>
  <bookViews>
    <workbookView xWindow="7566" yWindow="2040" windowWidth="23040" windowHeight="7440" tabRatio="895" activeTab="1" xr2:uid="{00000000-000D-0000-FFFF-FFFF00000000}"/>
  </bookViews>
  <sheets>
    <sheet name="Budget Summary Partners" sheetId="19" r:id="rId1"/>
    <sheet name="Budget Partners" sheetId="1" r:id="rId2"/>
    <sheet name="Budget Summary Parque Explora" sheetId="24" r:id="rId3"/>
    <sheet name="Budget Parque Explora" sheetId="23" r:id="rId4"/>
    <sheet name="Budget Summary ProAntioquia" sheetId="21" r:id="rId5"/>
    <sheet name="Budget ProAntioquia" sheetId="20" r:id="rId6"/>
    <sheet name="Budget Summary Fund. Carvajal" sheetId="26" r:id="rId7"/>
    <sheet name="Budget Fundacion Carvajal" sheetId="25" r:id="rId8"/>
    <sheet name="Supplies" sheetId="15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\a">'[1]CUADRO No 4'!#REF!</definedName>
    <definedName name="\c">#REF!</definedName>
    <definedName name="\i">#REF!</definedName>
    <definedName name="\P">#REF!</definedName>
    <definedName name="\r">#REF!</definedName>
    <definedName name="__pd1">[2]Rates!$J$24</definedName>
    <definedName name="__pd6">[2]Rates!$J$30</definedName>
    <definedName name="__tix1">[2]Rates!$J$40</definedName>
    <definedName name="__tix2">[2]Rates!$J$41</definedName>
    <definedName name="__tix6">[2]Rates!$J$47</definedName>
    <definedName name="_1">#REF!</definedName>
    <definedName name="_1998">#REF!</definedName>
    <definedName name="_1999">#REF!</definedName>
    <definedName name="_2">#REF!</definedName>
    <definedName name="_2000">#REF!</definedName>
    <definedName name="_2001">#REF!</definedName>
    <definedName name="_200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fmi1">[3]PAGOFMI!$A$1:$L$51</definedName>
    <definedName name="_fmi2">[3]PAGOFMI!$P$1:$AA$51</definedName>
    <definedName name="_fmi3">[3]PAGORES!$AC$1:$AN$43</definedName>
    <definedName name="_fmi4">[3]PAGORES!$AP$1:$BA$44</definedName>
    <definedName name="_Order1" hidden="1">255</definedName>
    <definedName name="_Order2" hidden="1">255</definedName>
    <definedName name="_PIB01">[4]SUPUESTOS!#REF!</definedName>
    <definedName name="_PIB02">[5]SUPUESTOS!#REF!</definedName>
    <definedName name="_PIB95">[4]SUPUESTOS!$J$47</definedName>
    <definedName name="_PIB96">[4]SUPUESTOS!$K$47</definedName>
    <definedName name="_PIB97">[6]SUPUESTOS!$L$47</definedName>
    <definedName name="_PIB98">[6]SUPUESTOS!$M$47</definedName>
    <definedName name="_PIB99">[6]SUPUESTOS!$N$47</definedName>
    <definedName name="_RES9397">#REF!</definedName>
    <definedName name="_rez2">'[3]PAGOS VIGENCIA t'!$A$57:$AH$108</definedName>
    <definedName name="_rez3">[3]PAGORES!$A$1:$M$37</definedName>
    <definedName name="_rez4">[3]PAGORES!$O$1:$AN$43</definedName>
    <definedName name="_Table1_Out" hidden="1">[7]CARBOCOL!#REF!</definedName>
    <definedName name="_Table2_In2" hidden="1">[8]ANUAL1!#REF!</definedName>
    <definedName name="_Table2_Out" hidden="1">[7]CARBOCOL!#REF!</definedName>
    <definedName name="a">#REF!</definedName>
    <definedName name="A_2002">#REF!</definedName>
    <definedName name="A_CAPITAL">[9]Hoja4!$B$3:$O$34</definedName>
    <definedName name="A_DEPTOS">[9]Hoja4!$B$76:$N$108</definedName>
    <definedName name="A_impresión_IM">#REF!</definedName>
    <definedName name="A_MUNPIOS">[9]Hoja4!$B$39:$N$71</definedName>
    <definedName name="AAA">[10]proyecINGRESOS99!$L$1:$T$97</definedName>
    <definedName name="AEFormar">[11]Variables!$C$5</definedName>
    <definedName name="Ajustado">#REF!</definedName>
    <definedName name="almuerzo">[11]Variables!$C$18</definedName>
    <definedName name="alquilertableta">[11]Variables!$C$21</definedName>
    <definedName name="ANEXO_No.">#REF!</definedName>
    <definedName name="ANEXO_No._5">#REF!</definedName>
    <definedName name="ANP" localSheetId="7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" localSheetId="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" localSheetId="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" localSheetId="6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" localSheetId="2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" localSheetId="4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DH">'[12]Salary &amp; PR Tax'!#REF!</definedName>
    <definedName name="aprnac">[13]GASTOS!#REF!</definedName>
    <definedName name="APROPIACIONES_PAC_Y_REZAGO_1999___2000">#REF!</definedName>
    <definedName name="aprprp">[13]GASTOS!#REF!</definedName>
    <definedName name="asigbas">#REF!</definedName>
    <definedName name="asigbasempu">#REF!</definedName>
    <definedName name="asigbasisten">#REF!</definedName>
    <definedName name="asigmen">#REF!</definedName>
    <definedName name="auxalm">#REF!</definedName>
    <definedName name="B">[14]LOTERIAS!$B$54:$P$54</definedName>
    <definedName name="BASE" hidden="1">'[15]BD Julio 2018'!$E$5:$DA$440</definedName>
    <definedName name="basnac">[13]GASTOS!#REF!</definedName>
    <definedName name="basprp">[13]GASTOS!#REF!</definedName>
    <definedName name="Board">'[16]Schedule E - Other'!$F$102</definedName>
    <definedName name="bonser">#REF!</definedName>
    <definedName name="cantidadtabletamatricula">[11]Variables!$C$8</definedName>
    <definedName name="CARBOCRECIM">#REF!</definedName>
    <definedName name="CARBOPESOS">#REF!</definedName>
    <definedName name="CARBOPIB">#REF!</definedName>
    <definedName name="castigocuadro2">'[17]CUA1-3'!$Y$1:$AD$93</definedName>
    <definedName name="CAT_00">'[18]94-03 Mil Corr '!#REF!</definedName>
    <definedName name="CAT_01">'[18]94-03 Mil Corr '!#REF!</definedName>
    <definedName name="CAT_02">'[18]94-03 Mil Corr '!#REF!</definedName>
    <definedName name="CAT_94">'[18]94-03 Mil Corr '!#REF!</definedName>
    <definedName name="CAT_95">'[18]94-03 Mil Corr '!#REF!</definedName>
    <definedName name="CAT_96">'[18]94-03 Mil Corr '!#REF!</definedName>
    <definedName name="CAT_97">'[18]94-03 Mil Corr '!#REF!</definedName>
    <definedName name="CAT_98">'[18]94-03 Mil Corr '!#REF!</definedName>
    <definedName name="CAT_99">'[18]94-03 Mil Corr '!#REF!</definedName>
    <definedName name="CEE_Consult" localSheetId="7">#REF!</definedName>
    <definedName name="CEE_Consult" localSheetId="6">#REF!</definedName>
    <definedName name="CEE_Consult">#REF!</definedName>
    <definedName name="CENIDH" localSheetId="7">#REF!</definedName>
    <definedName name="CENIDH" localSheetId="6">#REF!</definedName>
    <definedName name="CENIDH">#REF!</definedName>
    <definedName name="CENSO1964">#REF!</definedName>
    <definedName name="CENSO1973">#REF!</definedName>
    <definedName name="CENSO1985">#REF!</definedName>
    <definedName name="CENTROGESTOR">#REF!</definedName>
    <definedName name="CENTROGESTORDEPENDENCIA">#REF!</definedName>
    <definedName name="centrogestornuevo">#REF!</definedName>
    <definedName name="COD_DEP">#REF!</definedName>
    <definedName name="COD_DEPARTAMENTO">#REF!</definedName>
    <definedName name="COD_MUN">#REF!</definedName>
    <definedName name="CODIGO_DIVIPOLA">#REF!</definedName>
    <definedName name="COL_MENU">[19]RESUMEN!#REF!</definedName>
    <definedName name="COLUM00PESOS">#REF!</definedName>
    <definedName name="COLUM00PIB">#REF!</definedName>
    <definedName name="COLUM01PESOS">#REF!</definedName>
    <definedName name="COLUM01PIB">#REF!</definedName>
    <definedName name="COLUM02PESOS">#REF!</definedName>
    <definedName name="COLUM02PIB">#REF!</definedName>
    <definedName name="COLUM03PESOS">#REF!</definedName>
    <definedName name="COLUM03PIB">#REF!</definedName>
    <definedName name="COLUM04PESOS">#REF!</definedName>
    <definedName name="COLUM04PIB">#REF!</definedName>
    <definedName name="COLUM05PESOS">#REF!</definedName>
    <definedName name="COLUM05PIB">#REF!</definedName>
    <definedName name="COLUM06PESOS">#REF!</definedName>
    <definedName name="COLUM06PIB">#REF!</definedName>
    <definedName name="COLUM07PESOS">#REF!</definedName>
    <definedName name="COLUM07PIB">#REF!</definedName>
    <definedName name="COLUM98PESOS">#REF!</definedName>
    <definedName name="COLUM98PIB">#REF!</definedName>
    <definedName name="COLUM99PESOS">#REF!</definedName>
    <definedName name="COLUM99PIB">#REF!</definedName>
    <definedName name="COMPOSICION_DEL_PRESUPUESTO_DE_RENTAS_DE_LA_NACION">'[10]proyecINGRESOS99 (det)'!$V$98:$AH$145</definedName>
    <definedName name="Confis">#REF!</definedName>
    <definedName name="Consultants" localSheetId="7">#REF!</definedName>
    <definedName name="Consultants" localSheetId="6">#REF!</definedName>
    <definedName name="Consultants">#REF!</definedName>
    <definedName name="CPDH" localSheetId="7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CPDH" localSheetId="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CPDH" localSheetId="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CPDH" localSheetId="6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CPDH" localSheetId="2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CPDH" localSheetId="4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CPDH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CRBLO00_">#REF!</definedName>
    <definedName name="CRBLO93_">#REF!</definedName>
    <definedName name="CRBLO94_">#REF!</definedName>
    <definedName name="CRBLO95_">#REF!</definedName>
    <definedName name="CRBLO96_">#REF!</definedName>
    <definedName name="CRBLO97_">#REF!</definedName>
    <definedName name="CRBLO98_">#REF!</definedName>
    <definedName name="CRBLO99_">#REF!</definedName>
    <definedName name="CRCOMB00_">#REF!</definedName>
    <definedName name="CRCOMB93_">#REF!</definedName>
    <definedName name="CRCOMB94_">#REF!</definedName>
    <definedName name="CRCOMB95_">#REF!</definedName>
    <definedName name="CRCOMB96_">#REF!</definedName>
    <definedName name="CRCOMB97_">#REF!</definedName>
    <definedName name="CRCOMB98_">#REF!</definedName>
    <definedName name="CRCOMB99_">#REF!</definedName>
    <definedName name="CRDEM00_">#REF!</definedName>
    <definedName name="CRDEM93_">#REF!</definedName>
    <definedName name="CRDEM94_">#REF!</definedName>
    <definedName name="CRDEM95_">#REF!</definedName>
    <definedName name="CRDEM96_">#REF!</definedName>
    <definedName name="CRDEM97_">#REF!</definedName>
    <definedName name="CRDEM98_">#REF!</definedName>
    <definedName name="CRDEM99_">#REF!</definedName>
    <definedName name="CREUF00_">#REF!</definedName>
    <definedName name="CREUF93_">#REF!</definedName>
    <definedName name="CREUF94_">#REF!</definedName>
    <definedName name="CREUF95_">#REF!</definedName>
    <definedName name="CREUF96_">#REF!</definedName>
    <definedName name="CREUF97_">#REF!</definedName>
    <definedName name="CREUF98_">#REF!</definedName>
    <definedName name="CREUF99_">#REF!</definedName>
    <definedName name="cruce">#REF!</definedName>
    <definedName name="CRUCE2">#REF!</definedName>
    <definedName name="CRUCE3">#REF!</definedName>
    <definedName name="Cuadro_2b1">[20]RESUOPE!$AE$150:$BB$224</definedName>
    <definedName name="CUADRO_No._1">#REF!</definedName>
    <definedName name="CUADRO_No._10">#REF!</definedName>
    <definedName name="CUADRO_No._12">#REF!</definedName>
    <definedName name="CUADRO_No._13">#REF!</definedName>
    <definedName name="Cuadro_No._1a">[21]Hoja1!$B$3:$E$38</definedName>
    <definedName name="Cuadro_No._1b">[21]Hoja2!$L$3:$O$23</definedName>
    <definedName name="Cuadro_No._1C">[21]Hoja1!$B$50:$E$88</definedName>
    <definedName name="CUADRO_No._2">#REF!</definedName>
    <definedName name="CUADRO_No._3">#REF!</definedName>
    <definedName name="CUADRO_No._4">#REF!</definedName>
    <definedName name="CUADRO_No._5">#REF!</definedName>
    <definedName name="CUADRO_No._6">#REF!</definedName>
    <definedName name="CUADRO_No._6A">#REF!</definedName>
    <definedName name="CUADRO_No._7">#REF!</definedName>
    <definedName name="CUADRO_No._8">#REF!</definedName>
    <definedName name="CUADRO_No._9">#REF!</definedName>
    <definedName name="Cuadro2b">[20]RESUOPE!$B$9:$AB$83</definedName>
    <definedName name="CUAINGRE">#REF!</definedName>
    <definedName name="Cwvu.ComparEneMar9697." hidden="1">'[22]Seguimiento CSF'!#REF!,'[22]Seguimiento CSF'!$A$30:$IV$34,'[22]Seguimiento CSF'!$A$104:$IV$104,'[22]Seguimiento CSF'!#REF!,'[22]Seguimiento CSF'!#REF!,'[22]Seguimiento CSF'!$A$124:$IV$125</definedName>
    <definedName name="Cwvu.EneFeb." hidden="1">'[22]Seguimiento CSF'!#REF!,'[22]Seguimiento CSF'!#REF!</definedName>
    <definedName name="Cwvu.EneMar." hidden="1">'[22]Seguimiento CSF'!#REF!,'[22]Seguimiento CSF'!$A$67:$IV$67,'[22]Seguimiento CSF'!#REF!,'[22]Seguimiento CSF'!#REF!</definedName>
    <definedName name="Cwvu.Formato._.Corto." hidden="1">'[22]Seguimiento CSF'!$A$11:$IV$12,'[22]Seguimiento CSF'!#REF!,'[22]Seguimiento CSF'!$A$45:$IV$46,'[22]Seguimiento CSF'!$A$48:$IV$57,'[22]Seguimiento CSF'!$A$61:$IV$63,'[22]Seguimiento CSF'!$A$65:$IV$66,'[22]Seguimiento CSF'!$A$72:$IV$82,'[22]Seguimiento CSF'!$A$89:$IV$92,'[22]Seguimiento CSF'!$A$114:$IV$116,'[22]Seguimiento CSF'!$A$118:$IV$122,'[22]Seguimiento CSF'!$A$129:$IV$132,'[22]Seguimiento CSF'!$A$134:$IV$135</definedName>
    <definedName name="Cwvu.Formato._.Total." hidden="1">'[22]Seguimiento CSF'!#REF!,'[22]Seguimiento CSF'!#REF!,'[22]Seguimiento CSF'!#REF!</definedName>
    <definedName name="d">'[23]Dolares ingresos'!$C$2:$U$48</definedName>
    <definedName name="dasdasd">'[1]CUADRO No 4'!#REF!</definedName>
    <definedName name="_xlnm.Database">#REF!</definedName>
    <definedName name="DBALANCEFMI2">#REF!</definedName>
    <definedName name="DboREGISTRO_LEY_617">#REF!</definedName>
    <definedName name="DDD" localSheetId="6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DD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ebajo98">#REF!</definedName>
    <definedName name="DEPAR_CA">[9]Hoja4!$B$3:$B$34</definedName>
    <definedName name="DEPAR_DEP">[9]Hoja4!$B$76:$B$108</definedName>
    <definedName name="DEPAR_MUN">[9]Hoja4!$B$39:$B$71</definedName>
    <definedName name="DEPENDENCIA">#REF!</definedName>
    <definedName name="DEPTO">#REF!</definedName>
    <definedName name="DEPTO_2002">#REF!</definedName>
    <definedName name="DETALLE_DE_LA_COMPOSICION_DEL_PRESUPUESTO_DE_RENTAS_DE_LA_NACION">[10]proyecINGRESOS99!$A$1:$I$97</definedName>
    <definedName name="DETALLE1996">#REF!</definedName>
    <definedName name="DETALLE1997">#REF!</definedName>
    <definedName name="deuda">#REF!</definedName>
    <definedName name="DEUDA_FLOTANTE_1990_1998">#REF!</definedName>
    <definedName name="diames">[11]Variables!$C$30</definedName>
    <definedName name="DIFERCOLUM00">#REF!</definedName>
    <definedName name="DIFERCOLUM01">#REF!</definedName>
    <definedName name="DIFERCOLUM02">#REF!</definedName>
    <definedName name="DIFERCOLUM99">#REF!</definedName>
    <definedName name="digitador">[11]Variables!$E$33</definedName>
    <definedName name="dos">#REF!</definedName>
    <definedName name="DPTOS">#REF!</definedName>
    <definedName name="ECOPETROLCRECIM">#REF!</definedName>
    <definedName name="ECOPETROLPESOS">#REF!</definedName>
    <definedName name="ECOPETROLPIB">#REF!</definedName>
    <definedName name="EDUCA_00">#REF!</definedName>
    <definedName name="EDUCA_01">#REF!</definedName>
    <definedName name="EDUCA_94">#REF!</definedName>
    <definedName name="EDUCA_95">#REF!</definedName>
    <definedName name="EDUCA_96">#REF!</definedName>
    <definedName name="EDUCA_97">#REF!</definedName>
    <definedName name="EDUCA_98">#REF!</definedName>
    <definedName name="EDUCA_99">#REF!</definedName>
    <definedName name="EGRAFICOS1">#REF!</definedName>
    <definedName name="EGRAFICOS2">#REF!</definedName>
    <definedName name="EGRAFICOS3">#REF!</definedName>
    <definedName name="ejcprp">[13]GASTOS!#REF!</definedName>
    <definedName name="eje">[13]GASTOS!#REF!</definedName>
    <definedName name="ELASTICIDAD_RECAUDO_IVA">#REF!</definedName>
    <definedName name="ELECTRICOCRECIM">#REF!</definedName>
    <definedName name="ELECTRICOPESOS">#REF!</definedName>
    <definedName name="ELECTRICOPIB">#REF!</definedName>
    <definedName name="emppln">#REF!</definedName>
    <definedName name="encima98">#REF!</definedName>
    <definedName name="ENEROP">#REF!</definedName>
    <definedName name="ENERORN">#REF!</definedName>
    <definedName name="ENERORP">#REF!</definedName>
    <definedName name="Equipment">'[24]Schedule D - Equipment'!$E$26</definedName>
    <definedName name="ESCENARIO__0">#REF!</definedName>
    <definedName name="ESCENARIO__1">#REF!</definedName>
    <definedName name="ESCENARIO_1__Ajustado">#REF!</definedName>
    <definedName name="ESCENARIO_2">#REF!</definedName>
    <definedName name="ESCENARIO_3">#REF!</definedName>
    <definedName name="ESCENARIO_NUEVO">#REF!</definedName>
    <definedName name="estimaciones">#REF!</definedName>
    <definedName name="FEBRERON">[25]VIGN!#REF!</definedName>
    <definedName name="FEBREROP">#REF!</definedName>
    <definedName name="FEBRERORN">#REF!</definedName>
    <definedName name="FEBRERORP">#REF!</definedName>
    <definedName name="ffff" localSheetId="6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ff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PPT">#REF!</definedName>
    <definedName name="fg" localSheetId="7">#REF!</definedName>
    <definedName name="fg" localSheetId="6">#REF!</definedName>
    <definedName name="fg">#REF!</definedName>
    <definedName name="FNCCRECIM">#REF!</definedName>
    <definedName name="FNCPESOS">#REF!</definedName>
    <definedName name="FNCPIB">#REF!</definedName>
    <definedName name="FONDO">#REF!</definedName>
    <definedName name="FONDOS">[26]MYLIST!$C$2:$C$126</definedName>
    <definedName name="FONPET2000">#REF!</definedName>
    <definedName name="FONPET2001">#REF!</definedName>
    <definedName name="FONPET2002">#REF!</definedName>
    <definedName name="FONPET2003">#REF!</definedName>
    <definedName name="FONPET2004">#REF!</definedName>
    <definedName name="FONPET2005">#REF!</definedName>
    <definedName name="FONPETOTAL" localSheetId="6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NPETOTAL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PEA" localSheetId="7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OPEA" localSheetId="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OPEA" localSheetId="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OPEA" localSheetId="6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OPEA" localSheetId="2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OPEA" localSheetId="4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OPEA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ORZ_00">'[18]94-03 Mil Corr '!#REF!</definedName>
    <definedName name="FORZ_01_RESERVA">'[18]94-03 Mil Corr '!#REF!</definedName>
    <definedName name="FORZ_94">'[18]94-03 Mil Corr '!#REF!</definedName>
    <definedName name="FORZ_95">'[18]94-03 Mil Corr '!#REF!</definedName>
    <definedName name="FORZ_96">'[18]94-03 Mil Corr '!#REF!</definedName>
    <definedName name="FORZ_97">'[18]94-03 Mil Corr '!#REF!</definedName>
    <definedName name="FORZ_98">'[18]94-03 Mil Corr '!#REF!</definedName>
    <definedName name="FORZ_99">'[18]94-03 Mil Corr '!#REF!</definedName>
    <definedName name="FORZ_PG_02">'[18]94-03 Mil Corr '!#REF!</definedName>
    <definedName name="fsfsf">[25]VIGN!#REF!</definedName>
    <definedName name="fun">[13]GASTOS!#REF!</definedName>
    <definedName name="Fundamedios" localSheetId="7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localSheetId="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localSheetId="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localSheetId="6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localSheetId="2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localSheetId="4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T">#REF!</definedName>
    <definedName name="futnac">[13]GASTOS!#REF!</definedName>
    <definedName name="futprp">[13]GASTOS!#REF!</definedName>
    <definedName name="GASOLINA_REGULAR">'[27]MODELO DE GASOLINA'!$A$8:$P$25</definedName>
    <definedName name="gasrep">#REF!</definedName>
    <definedName name="Gastos_generales">#REF!</definedName>
    <definedName name="GOBIERNOCRECIM">#REF!</definedName>
    <definedName name="GOBIERNOPESOS">#REF!</definedName>
    <definedName name="GOBIERNOPIB">#REF!</definedName>
    <definedName name="GREFORMASRESUM1">#REF!</definedName>
    <definedName name="GREFORMASRESUM2">#REF!</definedName>
    <definedName name="GREFORMASRESUM3">#REF!</definedName>
    <definedName name="horaasistente">[11]Variables!$C$32</definedName>
    <definedName name="horext">#REF!</definedName>
    <definedName name="Housing" localSheetId="7">'[12]Salary &amp; PR Tax'!#REF!</definedName>
    <definedName name="Housing" localSheetId="6">'[12]Salary &amp; PR Tax'!#REF!</definedName>
    <definedName name="Housing">'[12]Salary &amp; PR Tax'!#REF!</definedName>
    <definedName name="i">#REF!</definedName>
    <definedName name="IN00_">#REF!</definedName>
    <definedName name="IN93_">#REF!</definedName>
    <definedName name="IN94_">#REF!</definedName>
    <definedName name="IN95_">#REF!</definedName>
    <definedName name="IN96_">#REF!</definedName>
    <definedName name="IN97_">#REF!</definedName>
    <definedName name="IN98_">#REF!</definedName>
    <definedName name="IN99_">#REF!</definedName>
    <definedName name="INCGG00_">#REF!</definedName>
    <definedName name="INCGG93_">#REF!</definedName>
    <definedName name="INCGG94_">#REF!</definedName>
    <definedName name="INCGG95_">#REF!</definedName>
    <definedName name="INCGG96_">#REF!</definedName>
    <definedName name="INCGG97_">#REF!</definedName>
    <definedName name="INCGG98_">#REF!</definedName>
    <definedName name="INCGG99_">#REF!</definedName>
    <definedName name="INCSP00_">#REF!</definedName>
    <definedName name="INCSP93_">#REF!</definedName>
    <definedName name="INCSP94_">#REF!</definedName>
    <definedName name="INCSP95_">#REF!</definedName>
    <definedName name="INCSP96_">#REF!</definedName>
    <definedName name="INCSP97_">#REF!</definedName>
    <definedName name="INCSP98_">#REF!</definedName>
    <definedName name="INCSP99_">#REF!</definedName>
    <definedName name="INCTRAN00_">#REF!</definedName>
    <definedName name="INCTRAN93_">#REF!</definedName>
    <definedName name="INCTRAN94_">#REF!</definedName>
    <definedName name="INCTRAN95_">#REF!</definedName>
    <definedName name="INCTRAN96_">#REF!</definedName>
    <definedName name="INCTRAN97_">#REF!</definedName>
    <definedName name="INCTRAN98_">#REF!</definedName>
    <definedName name="INCTRAN99_">#REF!</definedName>
    <definedName name="inf" localSheetId="7">[28]Assumptions!$C$75</definedName>
    <definedName name="inf" localSheetId="6">[28]Assumptions!$C$75</definedName>
    <definedName name="inf">[28]Assumptions!$C$75</definedName>
    <definedName name="Inflation">'[29]Detail-1'!$J$2</definedName>
    <definedName name="ingapr">#REF!</definedName>
    <definedName name="ingbas">#REF!</definedName>
    <definedName name="ingest">#REF!</definedName>
    <definedName name="ingprg">#REF!</definedName>
    <definedName name="ingresos">#REF!</definedName>
    <definedName name="INGRESOS_DE_LA_NACION__1996_REAL__1997_ESTIMACION_Y_1998_PROYECCION">#REF!</definedName>
    <definedName name="ingresos97">#REF!</definedName>
    <definedName name="ingsol">#REF!</definedName>
    <definedName name="Interns" localSheetId="7">#REF!</definedName>
    <definedName name="Interns" localSheetId="6">#REF!</definedName>
    <definedName name="Interns">#REF!</definedName>
    <definedName name="INTYCOM00_">[14]SUPUESTOS!$O$70</definedName>
    <definedName name="INTYCOM94_">[14]SUPUESTOS!$I$70</definedName>
    <definedName name="INTYCOM95_">[14]SUPUESTOS!$J$70</definedName>
    <definedName name="INTYCOM96_">[14]SUPUESTOS!$K$70</definedName>
    <definedName name="INTYCOM97_">[14]SUPUESTOS!$L$70</definedName>
    <definedName name="INTYCOM98_">[14]SUPUESTOS!$M$70</definedName>
    <definedName name="INTYCOM99_">[14]SUPUESTOS!$N$70</definedName>
    <definedName name="ipys" localSheetId="7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ipys" localSheetId="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ipys" localSheetId="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ipys" localSheetId="6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ipys" localSheetId="2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ipys" localSheetId="4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ipy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IVAN">#REF!</definedName>
    <definedName name="jenn" localSheetId="7">#REF!</definedName>
    <definedName name="jenn" localSheetId="6">#REF!</definedName>
    <definedName name="jenn">#REF!</definedName>
    <definedName name="KBALANCEVSFMI">#REF!</definedName>
    <definedName name="kkkk">'[30]CUADRO No 4'!#REF!</definedName>
    <definedName name="LIBRE_00">#REF!</definedName>
    <definedName name="LIBRE_01_RESERVA">#REF!</definedName>
    <definedName name="LIBRE_02">#REF!</definedName>
    <definedName name="LIBRE_94">#REF!</definedName>
    <definedName name="LIBRE_95">#REF!</definedName>
    <definedName name="LIBRE_96">#REF!</definedName>
    <definedName name="LIBRE_97">#REF!</definedName>
    <definedName name="LIBRE_98">#REF!</definedName>
    <definedName name="LIBRE_99">#REF!</definedName>
    <definedName name="LIFER">'[31]Causación LFSB'!$D$2:$E$1343</definedName>
    <definedName name="LIN">[32]Hoja2!$A$1:$L$1501</definedName>
    <definedName name="liqui">#REF!</definedName>
    <definedName name="liquidacion97">'[33]LIQUI-TRANSF'!#REF!</definedName>
    <definedName name="llamadasdiarias">[11]Variables!$C$10</definedName>
    <definedName name="Local_Hire" localSheetId="7">#REF!</definedName>
    <definedName name="Local_Hire" localSheetId="6">#REF!</definedName>
    <definedName name="Local_Hire">#REF!</definedName>
    <definedName name="Local_Hires" localSheetId="7">#REF!</definedName>
    <definedName name="Local_Hires" localSheetId="6">#REF!</definedName>
    <definedName name="Local_Hires">#REF!</definedName>
    <definedName name="LPORTADASECTOR">#REF!</definedName>
    <definedName name="M">[34]Datos!$F$34</definedName>
    <definedName name="MACRO">#REF!</definedName>
    <definedName name="MARZON">[25]VIGN!#REF!</definedName>
    <definedName name="MARZOP">#REF!</definedName>
    <definedName name="MARZORN">#REF!</definedName>
    <definedName name="MARZORP">#REF!</definedName>
    <definedName name="Merit">'[29]Detail-1'!$J$1</definedName>
    <definedName name="METAAFPDCC">#REF!</definedName>
    <definedName name="METAPDCC">#REF!</definedName>
    <definedName name="METASAFPDCC">#REF!</definedName>
    <definedName name="METASAFPDM">#REF!</definedName>
    <definedName name="METASPDCC">#REF!</definedName>
    <definedName name="METASPDM">'[35]LISTA MPD'!$A$2:$A$616</definedName>
    <definedName name="METROCRECIM">#REF!</definedName>
    <definedName name="METROPESOS">#REF!</definedName>
    <definedName name="METROPIB">#REF!</definedName>
    <definedName name="mincelular">[11]Variables!$C$20</definedName>
    <definedName name="MINISTRO">'[36]CUA1-3'!#REF!</definedName>
    <definedName name="MUNICIPIO">#REF!</definedName>
    <definedName name="NACION">#REF!</definedName>
    <definedName name="nivel">#REF!</definedName>
    <definedName name="NOINCLUIDCRECIM">#REF!</definedName>
    <definedName name="NOINCLUIPESOS">#REF!</definedName>
    <definedName name="nomniv">#REF!</definedName>
    <definedName name="NOVDEUDAFLOTANTE">#REF!</definedName>
    <definedName name="NOVEVOLREZAGO">#REF!</definedName>
    <definedName name="OE97B">#REF!</definedName>
    <definedName name="OEPROY97">#REF!</definedName>
    <definedName name="OPEN">'[37]OPENT 11-abr'!$E$2:$BQ$1737</definedName>
    <definedName name="opetesore00">#REF!</definedName>
    <definedName name="opetesore98">#REF!</definedName>
    <definedName name="opetesore99">#REF!</definedName>
    <definedName name="P">'[23]Pesos ingresos'!$C$2:$U$111</definedName>
    <definedName name="padf01">'[38]Level of Effort'!$C$14</definedName>
    <definedName name="padf02">'[38]Level of Effort'!$C$15</definedName>
    <definedName name="padf03">'[38]Level of Effort'!$C$16</definedName>
    <definedName name="padf04">'[38]Level of Effort'!$C$17</definedName>
    <definedName name="padf05">[38]Rates!$J$23</definedName>
    <definedName name="PAGOPROM00_">#REF!</definedName>
    <definedName name="PAGOPROM93_">#REF!</definedName>
    <definedName name="PAGOPROM94_">#REF!</definedName>
    <definedName name="PAGOPROM95_">#REF!</definedName>
    <definedName name="PAGOPROM96_">#REF!</definedName>
    <definedName name="PAGOPROM97_">#REF!</definedName>
    <definedName name="PAGOPROM98_">#REF!</definedName>
    <definedName name="PAGOPROM99_">#REF!</definedName>
    <definedName name="PARTICIPACIONES_1997___2000">'[36]CUA1-3'!#REF!</definedName>
    <definedName name="PARTMUN00_">[14]SUPUESTOS!$O$6</definedName>
    <definedName name="PARTMUN93_">[14]SUPUESTOS!$H$6</definedName>
    <definedName name="PARTMUN94_">[14]SUPUESTOS!$I$6</definedName>
    <definedName name="PARTMUN95_">[14]SUPUESTOS!$J$6</definedName>
    <definedName name="PARTMUN96_">[14]SUPUESTOS!$K$6</definedName>
    <definedName name="PARTMUN97_">[14]SUPUESTOS!$L$6</definedName>
    <definedName name="PARTMUN98_">[14]SUPUESTOS!$M$6</definedName>
    <definedName name="PARTMUN99_">[14]SUPUESTOS!$N$6</definedName>
    <definedName name="Pcpta_00">[39]Pob!#REF!</definedName>
    <definedName name="Pcpta_01">[39]Pob!#REF!</definedName>
    <definedName name="Pcpta_02">[39]Pob!#REF!</definedName>
    <definedName name="Pcpta_99">[39]Pob!#REF!</definedName>
    <definedName name="PERNOTEC00_">#REF!</definedName>
    <definedName name="PERNOTEC93_">#REF!</definedName>
    <definedName name="PERNOTEC94_">#REF!</definedName>
    <definedName name="PERNOTEC95_">#REF!</definedName>
    <definedName name="PERNOTEC96_">#REF!</definedName>
    <definedName name="PERNOTEC97_">#REF!</definedName>
    <definedName name="PERNOTEC98_">#REF!</definedName>
    <definedName name="PERNOTEC99_">#REF!</definedName>
    <definedName name="PEROTRA00_">#REF!</definedName>
    <definedName name="PEROTRA93_">#REF!</definedName>
    <definedName name="PEROTRA94_">#REF!</definedName>
    <definedName name="PEROTRA95_">#REF!</definedName>
    <definedName name="PEROTRA96_">#REF!</definedName>
    <definedName name="PEROTRA97_">#REF!</definedName>
    <definedName name="PEROTRA98_">#REF!</definedName>
    <definedName name="PEROTRA99_">#REF!</definedName>
    <definedName name="PERTRANS00_">#REF!</definedName>
    <definedName name="PERTRANS93_">#REF!</definedName>
    <definedName name="PERTRANS94_">#REF!</definedName>
    <definedName name="PERTRANS95_">#REF!</definedName>
    <definedName name="PERTRANS96_">#REF!</definedName>
    <definedName name="PERTRANS97_">#REF!</definedName>
    <definedName name="PERTRANS98_">#REF!</definedName>
    <definedName name="PERTRANS99_">#REF!</definedName>
    <definedName name="PIB">#REF!</definedName>
    <definedName name="PIB00">[5]SUPUESTOS!$O$47</definedName>
    <definedName name="PIB00_">[14]SUPUESTOS!$O$19</definedName>
    <definedName name="PIB93_">[14]SUPUESTOS!$H$19</definedName>
    <definedName name="PIB94_">[14]SUPUESTOS!$I$19</definedName>
    <definedName name="PIB95_">[14]SUPUESTOS!$J$19</definedName>
    <definedName name="PIB96_">[14]SUPUESTOS!$K$19</definedName>
    <definedName name="PIB97_">[14]SUPUESTOS!$L$19</definedName>
    <definedName name="PIB98_">[14]SUPUESTOS!$M$19</definedName>
    <definedName name="PIB99_">[14]SUPUESTOS!$N$19</definedName>
    <definedName name="PICN_00_REAF_98">#REF!</definedName>
    <definedName name="PICN_01_RESERVA">#REF!</definedName>
    <definedName name="PICN_94">#REF!</definedName>
    <definedName name="PICN_95">#REF!</definedName>
    <definedName name="PICN_96">#REF!</definedName>
    <definedName name="PICN_97">#REF!</definedName>
    <definedName name="PICN_98">#REF!</definedName>
    <definedName name="PICN_99_REF_97">#REF!</definedName>
    <definedName name="PLANNER">'[40]Planner 21-nov-19'!$B$5:$R$134</definedName>
    <definedName name="PORC_LIBRE_00">'[18]94-03 Mil Corr '!#REF!</definedName>
    <definedName name="PORC_LIBRE_01">'[18]94-03 Mil Corr '!#REF!</definedName>
    <definedName name="PORC_LIBRE_02">'[18]94-03 Mil Corr '!#REF!</definedName>
    <definedName name="PORC_LIBRE_94">'[18]94-03 Mil Corr '!#REF!</definedName>
    <definedName name="PORC_LIBRE_95">'[18]94-03 Mil Corr '!#REF!</definedName>
    <definedName name="PORC_LIBRE_96">'[18]94-03 Mil Corr '!#REF!</definedName>
    <definedName name="PORC_LIBRE_97">'[18]94-03 Mil Corr '!#REF!</definedName>
    <definedName name="PORC_LIBRE_98">'[18]94-03 Mil Corr '!#REF!</definedName>
    <definedName name="PORC_LIBRE_99">'[18]94-03 Mil Corr '!#REF!</definedName>
    <definedName name="POSPRE">#REF!</definedName>
    <definedName name="post.difo3" localSheetId="7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.difo3" localSheetId="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.difo3" localSheetId="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.difo3" localSheetId="6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.difo3" localSheetId="2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.difo3" localSheetId="4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.difo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localSheetId="7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localSheetId="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localSheetId="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localSheetId="6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localSheetId="2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localSheetId="4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dif01">[38]Rates!$J$34</definedName>
    <definedName name="postdif02">[38]Rates!$J$65</definedName>
    <definedName name="PPTO97">#REF!</definedName>
    <definedName name="PRESUPUESTO__1998">#REF!</definedName>
    <definedName name="prgnac">[13]GASTOS!#REF!</definedName>
    <definedName name="prgprp">[13]GASTOS!#REF!</definedName>
    <definedName name="primant">#REF!</definedName>
    <definedName name="primnav">#REF!</definedName>
    <definedName name="primser">#REF!</definedName>
    <definedName name="primtec">#REF!</definedName>
    <definedName name="primvac">#REF!</definedName>
    <definedName name="_xlnm.Print_Area" localSheetId="7">'Budget Fundacion Carvajal'!$G$8:$AO$175</definedName>
    <definedName name="_xlnm.Print_Area" localSheetId="3">'Budget Parque Explora'!$G$8:$AO$207</definedName>
    <definedName name="_xlnm.Print_Area" localSheetId="1">'Budget Partners'!$F$9:$AN$224</definedName>
    <definedName name="_xlnm.Print_Area" localSheetId="5">'Budget ProAntioquia'!$G$8:$AO$164</definedName>
    <definedName name="_xlnm.Print_Area" localSheetId="6">'Budget Summary Fund. Carvajal'!$A$1:$S$23</definedName>
    <definedName name="_xlnm.Print_Area" localSheetId="2">'Budget Summary Parque Explora'!$A$1:$S$23</definedName>
    <definedName name="_xlnm.Print_Area" localSheetId="0">'Budget Summary Partners'!$A$1:$S$23</definedName>
    <definedName name="_xlnm.Print_Area" localSheetId="4">'Budget Summary ProAntioquia'!$A$1:$S$23</definedName>
    <definedName name="_xlnm.Print_Area" localSheetId="8">Supplies!$A$1:$E$59</definedName>
    <definedName name="Print_Titles_MI" localSheetId="7">#REF!</definedName>
    <definedName name="Print_Titles_MI" localSheetId="3">#REF!</definedName>
    <definedName name="Print_Titles_MI" localSheetId="5">#REF!</definedName>
    <definedName name="Print_Titles_MI" localSheetId="6">#REF!</definedName>
    <definedName name="Print_Titles_MI" localSheetId="2">#REF!</definedName>
    <definedName name="Print_Titles_MI" localSheetId="4">#REF!</definedName>
    <definedName name="Print_Titles_MI">#REF!</definedName>
    <definedName name="PRIO">#REF!</definedName>
    <definedName name="PROPIOS">#REF!</definedName>
    <definedName name="prynac">[13]GASTOS!#REF!</definedName>
    <definedName name="pryprp">[13]GASTOS!#REF!</definedName>
    <definedName name="pyd">'[23]P+D ingresos'!$C$1:$U$111</definedName>
    <definedName name="rango1">#REF!</definedName>
    <definedName name="RDPTO">#REF!</definedName>
    <definedName name="re">#REF!</definedName>
    <definedName name="RECALCULO">[19]RESUMEN!#REF!</definedName>
    <definedName name="RECAPRO00_">#REF!</definedName>
    <definedName name="RECAPRO93_">#REF!</definedName>
    <definedName name="RECAPRO94_">#REF!</definedName>
    <definedName name="RECAPRO95_">#REF!</definedName>
    <definedName name="RECAPRO96_">#REF!</definedName>
    <definedName name="RECAPRO97_">#REF!</definedName>
    <definedName name="RECAPRO98_">#REF!</definedName>
    <definedName name="RECAPRO99_">#REF!</definedName>
    <definedName name="recing">#REF!</definedName>
    <definedName name="recnac">[13]GASTOS!#REF!</definedName>
    <definedName name="recprp">[13]GASTOS!#REF!</definedName>
    <definedName name="refrigerio">[11]Variables!$C$17</definedName>
    <definedName name="reg">[13]GASTOS!#REF!</definedName>
    <definedName name="REGALIAS00_">[14]SUPUESTOS!$O$74</definedName>
    <definedName name="REGALIAS93_">[14]SUPUESTOS!$H$74</definedName>
    <definedName name="REGALIAS94_">[14]SUPUESTOS!$I$74</definedName>
    <definedName name="REGALIAS95_">[14]SUPUESTOS!$J$74</definedName>
    <definedName name="REGALIAS96_">[14]SUPUESTOS!$K$74</definedName>
    <definedName name="REGALIAS97_">[14]SUPUESTOS!$L$74</definedName>
    <definedName name="REGALIAS98_">[14]SUPUESTOS!$M$74</definedName>
    <definedName name="REGALIAS99_">[14]SUPUESTOS!$N$74</definedName>
    <definedName name="REGIONALCRECIM">#REF!</definedName>
    <definedName name="REGIONALPESOS">#REF!</definedName>
    <definedName name="REGIONALPIB">#REF!</definedName>
    <definedName name="Rep_ing_02">[39]Pob!#REF!</definedName>
    <definedName name="REQUERIDOS">'[33]LIQUI-TRANSF'!#REF!</definedName>
    <definedName name="reservasalon">[11]Variables!$C$19</definedName>
    <definedName name="RESTO">#REF!</definedName>
    <definedName name="RESTOCRECIM">#REF!</definedName>
    <definedName name="RESTOPESOS">#REF!</definedName>
    <definedName name="RESTOPIB">#REF!</definedName>
    <definedName name="RESUMIDO">#REF!</definedName>
    <definedName name="rezago">#REF!</definedName>
    <definedName name="Rwvu.ComparEneMar9697." hidden="1">'[22]Seguimiento CSF'!$L$1:$N$65536,'[22]Seguimiento CSF'!$R$1:$BU$65536</definedName>
    <definedName name="Rwvu.EneFeb." hidden="1">'[22]Seguimiento CSF'!$L$1:$N$65536,'[22]Seguimiento CSF'!$Q$1:$AD$65536</definedName>
    <definedName name="Rwvu.Formato._.Corto." hidden="1">'[22]Seguimiento CSF'!$L$1:$N$65536,'[22]Seguimiento CSF'!$R$1:$AD$65536,'[22]Seguimiento CSF'!$AH$1:$AY$65536,'[22]Seguimiento CSF'!$BA$1:$BH$65536,'[22]Seguimiento CSF'!$BJ$1:$BQ$65536,'[22]Seguimiento CSF'!$BS$1:$CF$65536</definedName>
    <definedName name="Rwvu.OPEF._.96." hidden="1">'[22]Resumen OPEF'!$E$1:$J$65536,'[22]Resumen OPEF'!$M$1:$Q$65536</definedName>
    <definedName name="Rwvu.OPEF._.97." hidden="1">'[22]Resumen OPEF'!$C$1:$C$65536,'[22]Resumen OPEF'!#REF!,'[22]Resumen OPEF'!$K$1:$Q$65536</definedName>
    <definedName name="SALIR">[19]RESUMEN!#REF!</definedName>
    <definedName name="sdf" localSheetId="7">#REF!</definedName>
    <definedName name="sdf" localSheetId="3">#REF!</definedName>
    <definedName name="sdf" localSheetId="5">#REF!</definedName>
    <definedName name="sdf" localSheetId="6">#REF!</definedName>
    <definedName name="sdf" localSheetId="2">#REF!</definedName>
    <definedName name="sdf" localSheetId="4">#REF!</definedName>
    <definedName name="sdf">#REF!</definedName>
    <definedName name="secing">#REF!</definedName>
    <definedName name="SEGSOCIALCRECIM">#REF!</definedName>
    <definedName name="SEGSOCIALPESOS">#REF!</definedName>
    <definedName name="SEGSOCIALPIB">#REF!</definedName>
    <definedName name="SENDEMANDA00_">#REF!</definedName>
    <definedName name="SENDEMANDA93_">#REF!</definedName>
    <definedName name="SENDEMANDA94_">#REF!</definedName>
    <definedName name="SENDEMANDA95_">#REF!</definedName>
    <definedName name="SENDEMANDA96_">#REF!</definedName>
    <definedName name="SENDEMANDA97_">#REF!</definedName>
    <definedName name="SENDEMANDA98_">#REF!</definedName>
    <definedName name="SENDEMANDA99_">#REF!</definedName>
    <definedName name="SENPERDIDAS00_">#REF!</definedName>
    <definedName name="SENPERDIDAS93_">#REF!</definedName>
    <definedName name="SENPERDIDAS94_">#REF!</definedName>
    <definedName name="SENPERDIDAS95_">#REF!</definedName>
    <definedName name="SENPERDIDAS96_">#REF!</definedName>
    <definedName name="SENPERDIDAS97_">#REF!</definedName>
    <definedName name="SENPERDIDAS98_">#REF!</definedName>
    <definedName name="SENPERDIDAS99_">#REF!</definedName>
    <definedName name="SENRECAUDO00_">#REF!</definedName>
    <definedName name="SENRECAUDO93_">#REF!</definedName>
    <definedName name="SENRECAUDO94_">#REF!</definedName>
    <definedName name="SENRECAUDO95_">#REF!</definedName>
    <definedName name="SENRECAUDO96_">#REF!</definedName>
    <definedName name="SENRECAUDO97_">#REF!</definedName>
    <definedName name="SENRECAUDO98_">#REF!</definedName>
    <definedName name="SENRECAUDO99_">#REF!</definedName>
    <definedName name="SENSUPERAVIT00_">#REF!</definedName>
    <definedName name="SENSUPERAVIT93_">#REF!</definedName>
    <definedName name="SENSUPERAVIT94_">#REF!</definedName>
    <definedName name="SENSUPERAVIT95_">#REF!</definedName>
    <definedName name="SENSUPERAVIT96_">#REF!</definedName>
    <definedName name="SENSUPERAVIT97_">#REF!</definedName>
    <definedName name="SENSUPERAVIT98_">#REF!</definedName>
    <definedName name="SENSUPERAVIT99_">#REF!</definedName>
    <definedName name="SENTARIFA00_">#REF!</definedName>
    <definedName name="SENTARIFA93_">#REF!</definedName>
    <definedName name="SENTARIFA94_">#REF!</definedName>
    <definedName name="SENTARIFA95_">#REF!</definedName>
    <definedName name="SENTARIFA96_">#REF!</definedName>
    <definedName name="SENTARIFA97_">#REF!</definedName>
    <definedName name="SENTARIFA98_">#REF!</definedName>
    <definedName name="SENTARIFA99_">#REF!</definedName>
    <definedName name="SENVARDEM00_">#REF!</definedName>
    <definedName name="SENVARDEM93_">#REF!</definedName>
    <definedName name="SENVARDEM94_">#REF!</definedName>
    <definedName name="SENVARDEM95_">#REF!</definedName>
    <definedName name="SENVARDEM96_">#REF!</definedName>
    <definedName name="SENVARDEM97_">#REF!</definedName>
    <definedName name="SENVARDEM98_">#REF!</definedName>
    <definedName name="SENVARDEM99_">#REF!</definedName>
    <definedName name="SENVENTAS00_">#REF!</definedName>
    <definedName name="SENVENTAS93_">#REF!</definedName>
    <definedName name="SENVENTAS94_">#REF!</definedName>
    <definedName name="SENVENTAS95_">#REF!</definedName>
    <definedName name="SENVENTAS96_">#REF!</definedName>
    <definedName name="SENVENTAS97_">#REF!</definedName>
    <definedName name="SENVENTAS98_">#REF!</definedName>
    <definedName name="SENVENTAS99_">#REF!</definedName>
    <definedName name="SERVICIODEUDANACION">'[41]DETALLE-DEUDA'!#REF!</definedName>
    <definedName name="Servicios_personales">#REF!</definedName>
    <definedName name="SGP_PG_02">#REF!</definedName>
    <definedName name="SITFID95_">[14]SUPUESTOS!$J$7</definedName>
    <definedName name="SITFIS00_">[14]SUPUESTOS!$O$7</definedName>
    <definedName name="SITFIS93_">[14]SUPUESTOS!$H$7</definedName>
    <definedName name="SITFIS94_">[14]SUPUESTOS!$I$7</definedName>
    <definedName name="SITFIS95_">[14]SUPUESTOS!$J$7</definedName>
    <definedName name="SITFIS96_">[14]SUPUESTOS!$K$7</definedName>
    <definedName name="SITFIS97_">[14]SUPUESTOS!$L$7</definedName>
    <definedName name="SITFIS98_">[14]SUPUESTOS!$M$7</definedName>
    <definedName name="SITFIS99_">[14]SUPUESTOS!$N$7</definedName>
    <definedName name="solnac">[13]GASTOS!#REF!</definedName>
    <definedName name="solprp">[13]GASTOS!#REF!</definedName>
    <definedName name="SORTEADO">#REF!</definedName>
    <definedName name="subtrn">#REF!</definedName>
    <definedName name="talleristas">[11]Variables!$C$7</definedName>
    <definedName name="TCP00_">#REF!</definedName>
    <definedName name="TCP93_">#REF!</definedName>
    <definedName name="TCP94_">#REF!</definedName>
    <definedName name="TCP95_">#REF!</definedName>
    <definedName name="TCP96_">#REF!</definedName>
    <definedName name="TCP97_">#REF!</definedName>
    <definedName name="TCP98_">#REF!</definedName>
    <definedName name="TCP99_">#REF!</definedName>
    <definedName name="TELECOMCRECIM">#REF!</definedName>
    <definedName name="TELECOMPESOS">#REF!</definedName>
    <definedName name="TELECOMPIB">#REF!</definedName>
    <definedName name="Títulos_a_imprimir_IM">#REF!</definedName>
    <definedName name="TODO">#REF!</definedName>
    <definedName name="TOTAL">#REF!</definedName>
    <definedName name="tothorext">#REF!</definedName>
    <definedName name="totindemvac">#REF!</definedName>
    <definedName name="tranferencias">#REF!</definedName>
    <definedName name="transporte1">[11]Variables!$C$15</definedName>
    <definedName name="TRANSTOT00_">[14]SUPUESTOS!$O$5</definedName>
    <definedName name="TRANSTOT93_">[14]SUPUESTOS!$H$5</definedName>
    <definedName name="TRANSTOT94_">[14]SUPUESTOS!$I$5</definedName>
    <definedName name="TRANSTOT95_">[14]SUPUESTOS!$J$5</definedName>
    <definedName name="TRANSTOT96_">[14]SUPUESTOS!$K$5</definedName>
    <definedName name="TRANSTOT97_">[14]SUPUESTOS!$L$5</definedName>
    <definedName name="TRANSTOT98_">[14]SUPUESTOS!$M$5</definedName>
    <definedName name="TRANSTOT99_">[14]SUPUESTOS!$N$5</definedName>
    <definedName name="Travel_Regional" localSheetId="7">#REF!</definedName>
    <definedName name="Travel_Regional" localSheetId="3">#REF!</definedName>
    <definedName name="Travel_Regional" localSheetId="5">#REF!</definedName>
    <definedName name="Travel_Regional" localSheetId="6">#REF!</definedName>
    <definedName name="Travel_Regional" localSheetId="2">#REF!</definedName>
    <definedName name="Travel_Regional" localSheetId="4">#REF!</definedName>
    <definedName name="Travel_Regional">#REF!</definedName>
    <definedName name="Travel_WDC" localSheetId="7">#REF!</definedName>
    <definedName name="Travel_WDC" localSheetId="6">#REF!</definedName>
    <definedName name="Travel_WDC">#REF!</definedName>
    <definedName name="uno">#REF!</definedName>
    <definedName name="v" localSheetId="6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alor">#REF!</definedName>
    <definedName name="valorimpreso">[11]Variables!$C$16</definedName>
    <definedName name="valorpuntoIng">#REF!</definedName>
    <definedName name="VARIACIONES">#REF!</definedName>
    <definedName name="VARPIB00_">[14]SUPUESTOS!$O$20</definedName>
    <definedName name="VARPIB93_">[14]SUPUESTOS!$H$20</definedName>
    <definedName name="VARPIB94_">[14]SUPUESTOS!$I$20</definedName>
    <definedName name="VARPIB95_">[14]SUPUESTOS!$J$20</definedName>
    <definedName name="VARPIB96_">[14]SUPUESTOS!$K$20</definedName>
    <definedName name="VARPIB97_">[14]SUPUESTOS!$L$20</definedName>
    <definedName name="VARPIB98_">[14]SUPUESTOS!$M$20</definedName>
    <definedName name="VARPIB99_">[14]SUPUESTOS!$N$20</definedName>
    <definedName name="VIGENCIA">'[3]PAGOS VIGENCIA t'!$A$2:$AS$55</definedName>
    <definedName name="Vigencia_1999">#REF!</definedName>
    <definedName name="Vigencia_2000">#REF!</definedName>
    <definedName name="Vigencia_2001">#REF!</definedName>
    <definedName name="Vigencia_2002">#REF!</definedName>
    <definedName name="warm.mali" localSheetId="7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arm.mali" localSheetId="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arm.mali" localSheetId="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arm.mali" localSheetId="6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arm.mali" localSheetId="2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arm.mali" localSheetId="4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arm.mali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localSheetId="7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localSheetId="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localSheetId="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localSheetId="6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localSheetId="2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localSheetId="4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vu.ComparEneMar9697." localSheetId="6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localSheetId="6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localSheetId="6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localSheetId="6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localSheetId="6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localSheetId="6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xxx" localSheetId="6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xxx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Z">'[42]CUA1-3'!#REF!</definedName>
    <definedName name="Z_91E95AE5_DCC2_11D0_8DF1_00805F2A002D_.wvu.Cols" hidden="1">'[22]Seguimiento CSF'!$L$1:$N$65536,'[22]Seguimiento CSF'!$R$1:$BU$65536</definedName>
    <definedName name="Z_91E95AE6_DCC2_11D0_8DF1_00805F2A002D_.wvu.Cols" hidden="1">'[22]Seguimiento CSF'!$L$1:$N$65536,'[22]Seguimiento CSF'!$Q$1:$AD$65536</definedName>
    <definedName name="Z_91E95AE6_DCC2_11D0_8DF1_00805F2A002D_.wvu.Rows" hidden="1">'[22]Seguimiento CSF'!#REF!,'[22]Seguimiento CSF'!#REF!</definedName>
    <definedName name="Z_91E95AE7_DCC2_11D0_8DF1_00805F2A002D_.wvu.Cols" hidden="1">'[22]Resumen MES OPEF'!$C$1:$C$65536,'[22]Resumen MES OPEF'!$N$1:$N$65536,'[22]Resumen MES OPEF'!$Y$1:$Y$65536,'[22]Resumen MES OPEF'!$AL$1:$AL$65536,'[22]Resumen MES OPEF'!$AV$1:$AV$65536,'[22]Resumen MES OPEF'!$BG$1:$BG$65536,'[22]Resumen MES OPEF'!$BR$1:$BR$65536,'[22]Resumen MES OPEF'!$CC$1:$CC$65536</definedName>
    <definedName name="Z_91E95AE8_DCC2_11D0_8DF1_00805F2A002D_.wvu.Cols" hidden="1">'[22]Seguimiento CSF'!$L$1:$N$65536,'[22]Seguimiento CSF'!$R$1:$AD$65536,'[22]Seguimiento CSF'!$AY$1:$AY$65536,'[22]Seguimiento CSF'!$BH$1:$BH$65536,'[22]Seguimiento CSF'!$BQ$1:$BQ$65536</definedName>
    <definedName name="Z_91E95AE9_DCC2_11D0_8DF1_00805F2A002D_.wvu.Cols" hidden="1">'[22]Seguimiento CSF'!$L$1:$N$65536,'[22]Seguimiento CSF'!$R$1:$AD$65536,'[22]Seguimiento CSF'!$AH$1:$AY$65536,'[22]Seguimiento CSF'!$BA$1:$BH$65536,'[22]Seguimiento CSF'!$BJ$1:$BQ$65536,'[22]Seguimiento CSF'!$BS$1:$CF$65536</definedName>
    <definedName name="Z_91E95AEB_DCC2_11D0_8DF1_00805F2A002D_.wvu.Cols" hidden="1">'[22]Resumen OPEF'!$E$1:$J$65536,'[22]Resumen OPEF'!$M$1:$Q$65536</definedName>
    <definedName name="Z_91E95AEC_DCC2_11D0_8DF1_00805F2A002D_.wvu.Cols" hidden="1">'[22]Resumen OPEF'!$C$1:$C$65536,'[22]Resumen OPEF'!$E$1:$E$65536,'[22]Resumen OPEF'!$H$1:$I$65536,'[22]Resumen OPEF'!$K$1:$L$65536,'[22]Resumen OPEF'!$O$1:$O$65536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06" i="23" l="1"/>
  <c r="K47" i="1"/>
  <c r="AM43" i="25"/>
  <c r="AK206" i="23"/>
  <c r="G64" i="1" l="1"/>
  <c r="K43" i="1"/>
  <c r="U191" i="23"/>
  <c r="AA155" i="25"/>
  <c r="AA154" i="25"/>
  <c r="U155" i="25"/>
  <c r="U154" i="25"/>
  <c r="AA115" i="23"/>
  <c r="AA116" i="23"/>
  <c r="AA117" i="23"/>
  <c r="AA118" i="23"/>
  <c r="U118" i="23"/>
  <c r="U117" i="23"/>
  <c r="U116" i="23"/>
  <c r="U115" i="23"/>
  <c r="AA191" i="23"/>
  <c r="I27" i="23"/>
  <c r="AG52" i="1"/>
  <c r="AG51" i="1"/>
  <c r="AA52" i="1"/>
  <c r="AA51" i="1"/>
  <c r="U52" i="1"/>
  <c r="U51" i="1"/>
  <c r="O52" i="1"/>
  <c r="O51" i="1"/>
  <c r="AN34" i="25"/>
  <c r="I34" i="25"/>
  <c r="V34" i="25" s="1"/>
  <c r="X34" i="25" s="1"/>
  <c r="Z34" i="25" s="1"/>
  <c r="AB34" i="25"/>
  <c r="AD34" i="25" s="1"/>
  <c r="AF34" i="25" s="1"/>
  <c r="AN26" i="23"/>
  <c r="I26" i="23"/>
  <c r="V26" i="23" s="1"/>
  <c r="X26" i="23" s="1"/>
  <c r="Z26" i="23" s="1"/>
  <c r="AB26" i="23"/>
  <c r="AD26" i="23" s="1"/>
  <c r="AF26" i="23" s="1"/>
  <c r="L26" i="23"/>
  <c r="N26" i="23" s="1"/>
  <c r="AH26" i="23"/>
  <c r="AJ26" i="23" s="1"/>
  <c r="AL26" i="23" s="1"/>
  <c r="P160" i="25"/>
  <c r="R160" i="25" s="1"/>
  <c r="T160" i="25" s="1"/>
  <c r="V160" i="25"/>
  <c r="X160" i="25" s="1"/>
  <c r="Z160" i="25" s="1"/>
  <c r="AB160" i="25"/>
  <c r="AD160" i="25" s="1"/>
  <c r="AF160" i="25" s="1"/>
  <c r="AL160" i="25"/>
  <c r="AF78" i="1"/>
  <c r="Z78" i="1"/>
  <c r="T78" i="1"/>
  <c r="N78" i="1"/>
  <c r="G78" i="1"/>
  <c r="R119" i="25"/>
  <c r="T119" i="25" s="1"/>
  <c r="T120" i="25" s="1"/>
  <c r="I40" i="25"/>
  <c r="P40" i="25" s="1"/>
  <c r="O72" i="1"/>
  <c r="O63" i="1"/>
  <c r="O50" i="1"/>
  <c r="Q50" i="1" s="1"/>
  <c r="O175" i="1"/>
  <c r="Q175" i="1" s="1"/>
  <c r="S175" i="1" s="1"/>
  <c r="H181" i="1"/>
  <c r="I30" i="25"/>
  <c r="P30" i="25" s="1"/>
  <c r="I28" i="25"/>
  <c r="P28" i="25" s="1"/>
  <c r="I29" i="25"/>
  <c r="P29" i="25" s="1"/>
  <c r="AH160" i="25"/>
  <c r="W160" i="25"/>
  <c r="L160" i="25"/>
  <c r="N160" i="25"/>
  <c r="AN159" i="25"/>
  <c r="AH159" i="25"/>
  <c r="AJ159" i="25" s="1"/>
  <c r="AL159" i="25" s="1"/>
  <c r="AB159" i="25"/>
  <c r="V159" i="25"/>
  <c r="Q159" i="25"/>
  <c r="W159" i="25"/>
  <c r="AC159" i="25" s="1"/>
  <c r="P159" i="25"/>
  <c r="L159" i="25"/>
  <c r="AN158" i="25"/>
  <c r="AH158" i="25"/>
  <c r="AJ158" i="25" s="1"/>
  <c r="AL158" i="25" s="1"/>
  <c r="AB158" i="25"/>
  <c r="V158" i="25"/>
  <c r="Q158" i="25"/>
  <c r="W158" i="25"/>
  <c r="P158" i="25"/>
  <c r="L158" i="25"/>
  <c r="N158" i="25" s="1"/>
  <c r="L30" i="25"/>
  <c r="N30" i="25" s="1"/>
  <c r="AN30" i="25"/>
  <c r="AN29" i="25"/>
  <c r="AN28" i="25"/>
  <c r="I37" i="25"/>
  <c r="V37" i="25" s="1"/>
  <c r="M37" i="25"/>
  <c r="I36" i="25"/>
  <c r="V36" i="25" s="1"/>
  <c r="I35" i="25"/>
  <c r="P35" i="25" s="1"/>
  <c r="AC158" i="25"/>
  <c r="N159" i="25"/>
  <c r="L36" i="25"/>
  <c r="AH144" i="25"/>
  <c r="AJ144" i="25" s="1"/>
  <c r="AH143" i="25"/>
  <c r="AJ143" i="25" s="1"/>
  <c r="AB144" i="25"/>
  <c r="AE144" i="25" s="1"/>
  <c r="AB143" i="25"/>
  <c r="AE143" i="25" s="1"/>
  <c r="V144" i="25"/>
  <c r="X144" i="25" s="1"/>
  <c r="S144" i="25"/>
  <c r="P141" i="25"/>
  <c r="P142" i="25"/>
  <c r="S142" i="25" s="1"/>
  <c r="P143" i="25"/>
  <c r="S143" i="25" s="1"/>
  <c r="V141" i="25"/>
  <c r="V142" i="25"/>
  <c r="Y142" i="25" s="1"/>
  <c r="V143" i="25"/>
  <c r="X143" i="25" s="1"/>
  <c r="AB140" i="25"/>
  <c r="AD140" i="25" s="1"/>
  <c r="AF140" i="25" s="1"/>
  <c r="AB141" i="25"/>
  <c r="AB142" i="25"/>
  <c r="AE142" i="25" s="1"/>
  <c r="AH140" i="25"/>
  <c r="AH141" i="25"/>
  <c r="AH142" i="25"/>
  <c r="V140" i="25"/>
  <c r="X140" i="25" s="1"/>
  <c r="Z140" i="25" s="1"/>
  <c r="M144" i="25"/>
  <c r="L143" i="25"/>
  <c r="J141" i="25"/>
  <c r="M141" i="25" s="1"/>
  <c r="AG37" i="20"/>
  <c r="AG36" i="20"/>
  <c r="AA37" i="20"/>
  <c r="AA36" i="20"/>
  <c r="U37" i="20"/>
  <c r="U36" i="20"/>
  <c r="O37" i="20"/>
  <c r="O36" i="20"/>
  <c r="AG47" i="25"/>
  <c r="AG46" i="25"/>
  <c r="AA47" i="25"/>
  <c r="AA46" i="25"/>
  <c r="U47" i="25"/>
  <c r="U46" i="25"/>
  <c r="O47" i="25"/>
  <c r="O46" i="25"/>
  <c r="I32" i="25"/>
  <c r="P32" i="25" s="1"/>
  <c r="S32" i="25" s="1"/>
  <c r="AM32" i="25"/>
  <c r="R159" i="25"/>
  <c r="T159" i="25" s="1"/>
  <c r="L144" i="25"/>
  <c r="N144" i="25" s="1"/>
  <c r="M142" i="25"/>
  <c r="M143" i="25"/>
  <c r="L142" i="25"/>
  <c r="R144" i="25"/>
  <c r="AK142" i="25"/>
  <c r="AJ142" i="25"/>
  <c r="AG55" i="23"/>
  <c r="AG54" i="23"/>
  <c r="AA55" i="23"/>
  <c r="AA54" i="23"/>
  <c r="U54" i="23"/>
  <c r="U55" i="23"/>
  <c r="O55" i="23"/>
  <c r="O54" i="23"/>
  <c r="I47" i="23"/>
  <c r="I22" i="23"/>
  <c r="L22" i="23" s="1"/>
  <c r="I23" i="23"/>
  <c r="L23" i="23" s="1"/>
  <c r="AN23" i="23"/>
  <c r="AN22" i="23"/>
  <c r="AB22" i="23"/>
  <c r="AD22" i="23" s="1"/>
  <c r="AF22" i="23" s="1"/>
  <c r="P22" i="23"/>
  <c r="R22" i="23" s="1"/>
  <c r="T22" i="23" s="1"/>
  <c r="I21" i="23"/>
  <c r="AB21" i="23" s="1"/>
  <c r="AD21" i="23" s="1"/>
  <c r="AF21" i="23" s="1"/>
  <c r="AN21" i="23"/>
  <c r="AN187" i="23"/>
  <c r="AH187" i="23"/>
  <c r="AJ187" i="23" s="1"/>
  <c r="AL187" i="23" s="1"/>
  <c r="AB187" i="23"/>
  <c r="AD187" i="23" s="1"/>
  <c r="AF187" i="23" s="1"/>
  <c r="V187" i="23"/>
  <c r="X187" i="23" s="1"/>
  <c r="Z187" i="23" s="1"/>
  <c r="P187" i="23"/>
  <c r="R187" i="23" s="1"/>
  <c r="T187" i="23" s="1"/>
  <c r="L187" i="23"/>
  <c r="AN186" i="23"/>
  <c r="AH186" i="23"/>
  <c r="AJ186" i="23" s="1"/>
  <c r="AL186" i="23" s="1"/>
  <c r="AB186" i="23"/>
  <c r="AD186" i="23" s="1"/>
  <c r="AF186" i="23" s="1"/>
  <c r="V186" i="23"/>
  <c r="X186" i="23" s="1"/>
  <c r="Z186" i="23" s="1"/>
  <c r="P186" i="23"/>
  <c r="R186" i="23" s="1"/>
  <c r="T186" i="23" s="1"/>
  <c r="L186" i="23"/>
  <c r="N186" i="23" s="1"/>
  <c r="AN185" i="23"/>
  <c r="AH185" i="23"/>
  <c r="AJ185" i="23" s="1"/>
  <c r="AL185" i="23" s="1"/>
  <c r="AB185" i="23"/>
  <c r="AD185" i="23" s="1"/>
  <c r="AF185" i="23" s="1"/>
  <c r="V185" i="23"/>
  <c r="X185" i="23" s="1"/>
  <c r="Z185" i="23" s="1"/>
  <c r="P185" i="23"/>
  <c r="R185" i="23" s="1"/>
  <c r="L185" i="23"/>
  <c r="N185" i="23" s="1"/>
  <c r="AN184" i="23"/>
  <c r="AH184" i="23"/>
  <c r="AJ184" i="23" s="1"/>
  <c r="AL184" i="23" s="1"/>
  <c r="AB184" i="23"/>
  <c r="AD184" i="23" s="1"/>
  <c r="AF184" i="23" s="1"/>
  <c r="V184" i="23"/>
  <c r="X184" i="23" s="1"/>
  <c r="P184" i="23"/>
  <c r="R184" i="23" s="1"/>
  <c r="T184" i="23" s="1"/>
  <c r="L184" i="23"/>
  <c r="N184" i="23" s="1"/>
  <c r="AN183" i="23"/>
  <c r="AH183" i="23"/>
  <c r="AJ183" i="23" s="1"/>
  <c r="AL183" i="23" s="1"/>
  <c r="AB183" i="23"/>
  <c r="AA183" i="23"/>
  <c r="V183" i="23"/>
  <c r="U183" i="23"/>
  <c r="P183" i="23"/>
  <c r="O183" i="23"/>
  <c r="H183" i="23"/>
  <c r="L183" i="23" s="1"/>
  <c r="N183" i="23" s="1"/>
  <c r="AN182" i="23"/>
  <c r="AH182" i="23"/>
  <c r="AJ182" i="23" s="1"/>
  <c r="AB182" i="23"/>
  <c r="AA182" i="23"/>
  <c r="V182" i="23"/>
  <c r="U182" i="23"/>
  <c r="P182" i="23"/>
  <c r="O182" i="23"/>
  <c r="H182" i="23"/>
  <c r="L182" i="23" s="1"/>
  <c r="AN180" i="23"/>
  <c r="AH180" i="23"/>
  <c r="AJ180" i="23" s="1"/>
  <c r="AL180" i="23" s="1"/>
  <c r="AB180" i="23"/>
  <c r="AD180" i="23" s="1"/>
  <c r="AF180" i="23" s="1"/>
  <c r="V180" i="23"/>
  <c r="X180" i="23" s="1"/>
  <c r="Z180" i="23" s="1"/>
  <c r="P180" i="23"/>
  <c r="R180" i="23" s="1"/>
  <c r="T180" i="23" s="1"/>
  <c r="L180" i="23"/>
  <c r="AN179" i="23"/>
  <c r="AH179" i="23"/>
  <c r="AJ179" i="23" s="1"/>
  <c r="AL179" i="23" s="1"/>
  <c r="AB179" i="23"/>
  <c r="AD179" i="23" s="1"/>
  <c r="AF179" i="23" s="1"/>
  <c r="V179" i="23"/>
  <c r="X179" i="23" s="1"/>
  <c r="Z179" i="23" s="1"/>
  <c r="P179" i="23"/>
  <c r="R179" i="23" s="1"/>
  <c r="T179" i="23" s="1"/>
  <c r="L179" i="23"/>
  <c r="AN178" i="23"/>
  <c r="AH178" i="23"/>
  <c r="AJ178" i="23" s="1"/>
  <c r="AL178" i="23" s="1"/>
  <c r="AB178" i="23"/>
  <c r="AD178" i="23" s="1"/>
  <c r="AF178" i="23" s="1"/>
  <c r="V178" i="23"/>
  <c r="X178" i="23" s="1"/>
  <c r="Z178" i="23" s="1"/>
  <c r="P178" i="23"/>
  <c r="R178" i="23" s="1"/>
  <c r="T178" i="23" s="1"/>
  <c r="L178" i="23"/>
  <c r="AN177" i="23"/>
  <c r="AH177" i="23"/>
  <c r="AJ177" i="23" s="1"/>
  <c r="AL177" i="23" s="1"/>
  <c r="AB177" i="23"/>
  <c r="AD177" i="23" s="1"/>
  <c r="AF177" i="23" s="1"/>
  <c r="V177" i="23"/>
  <c r="X177" i="23" s="1"/>
  <c r="P177" i="23"/>
  <c r="R177" i="23" s="1"/>
  <c r="L177" i="23"/>
  <c r="N177" i="23" s="1"/>
  <c r="AN194" i="23"/>
  <c r="AH194" i="23"/>
  <c r="AJ194" i="23" s="1"/>
  <c r="AL194" i="23" s="1"/>
  <c r="AB194" i="23"/>
  <c r="AD194" i="23" s="1"/>
  <c r="AF194" i="23" s="1"/>
  <c r="V194" i="23"/>
  <c r="X194" i="23" s="1"/>
  <c r="Z194" i="23" s="1"/>
  <c r="P194" i="23"/>
  <c r="R194" i="23" s="1"/>
  <c r="L194" i="23"/>
  <c r="AN193" i="23"/>
  <c r="AH193" i="23"/>
  <c r="AJ193" i="23" s="1"/>
  <c r="AL193" i="23" s="1"/>
  <c r="AB193" i="23"/>
  <c r="AD193" i="23" s="1"/>
  <c r="AF193" i="23" s="1"/>
  <c r="V193" i="23"/>
  <c r="X193" i="23" s="1"/>
  <c r="Z193" i="23" s="1"/>
  <c r="P193" i="23"/>
  <c r="R193" i="23" s="1"/>
  <c r="T193" i="23" s="1"/>
  <c r="L193" i="23"/>
  <c r="N193" i="23" s="1"/>
  <c r="AN191" i="23"/>
  <c r="AH191" i="23"/>
  <c r="AJ191" i="23" s="1"/>
  <c r="AL191" i="23" s="1"/>
  <c r="AB191" i="23"/>
  <c r="V191" i="23"/>
  <c r="X191" i="23" s="1"/>
  <c r="Z191" i="23" s="1"/>
  <c r="P191" i="23"/>
  <c r="R191" i="23" s="1"/>
  <c r="T191" i="23" s="1"/>
  <c r="L191" i="23"/>
  <c r="N191" i="23" s="1"/>
  <c r="AM43" i="23"/>
  <c r="I43" i="23"/>
  <c r="P43" i="23" s="1"/>
  <c r="S43" i="23" s="1"/>
  <c r="T43" i="23" s="1"/>
  <c r="AM42" i="23"/>
  <c r="I42" i="23"/>
  <c r="P42" i="23" s="1"/>
  <c r="S42" i="23" s="1"/>
  <c r="T42" i="23" s="1"/>
  <c r="AM41" i="23"/>
  <c r="AH41" i="23"/>
  <c r="AK41" i="23" s="1"/>
  <c r="AL41" i="23" s="1"/>
  <c r="AB41" i="23"/>
  <c r="AE41" i="23" s="1"/>
  <c r="AF41" i="23" s="1"/>
  <c r="V41" i="23"/>
  <c r="Y41" i="23" s="1"/>
  <c r="Z41" i="23" s="1"/>
  <c r="P41" i="23"/>
  <c r="S41" i="23" s="1"/>
  <c r="M41" i="23"/>
  <c r="N41" i="23" s="1"/>
  <c r="AM40" i="23"/>
  <c r="AH40" i="23"/>
  <c r="AK40" i="23" s="1"/>
  <c r="AL40" i="23" s="1"/>
  <c r="AB40" i="23"/>
  <c r="AE40" i="23" s="1"/>
  <c r="AF40" i="23" s="1"/>
  <c r="V40" i="23"/>
  <c r="Y40" i="23" s="1"/>
  <c r="Z40" i="23" s="1"/>
  <c r="P40" i="23"/>
  <c r="S40" i="23" s="1"/>
  <c r="T40" i="23" s="1"/>
  <c r="M40" i="23"/>
  <c r="AM39" i="23"/>
  <c r="AH39" i="23"/>
  <c r="AK39" i="23" s="1"/>
  <c r="AL39" i="23" s="1"/>
  <c r="AB39" i="23"/>
  <c r="AE39" i="23" s="1"/>
  <c r="AF39" i="23" s="1"/>
  <c r="V39" i="23"/>
  <c r="Y39" i="23" s="1"/>
  <c r="Z39" i="23" s="1"/>
  <c r="P39" i="23"/>
  <c r="S39" i="23"/>
  <c r="T39" i="23" s="1"/>
  <c r="M39" i="23"/>
  <c r="N39" i="23" s="1"/>
  <c r="AM38" i="23"/>
  <c r="AH38" i="23"/>
  <c r="AK38" i="23" s="1"/>
  <c r="AL38" i="23" s="1"/>
  <c r="AB38" i="23"/>
  <c r="AE38" i="23" s="1"/>
  <c r="AF38" i="23" s="1"/>
  <c r="V38" i="23"/>
  <c r="Y38" i="23" s="1"/>
  <c r="Z38" i="23" s="1"/>
  <c r="P38" i="23"/>
  <c r="S38" i="23" s="1"/>
  <c r="M38" i="23"/>
  <c r="N38" i="23" s="1"/>
  <c r="AM37" i="23"/>
  <c r="AH37" i="23"/>
  <c r="AK37" i="23" s="1"/>
  <c r="AL37" i="23" s="1"/>
  <c r="AB37" i="23"/>
  <c r="AE37" i="23" s="1"/>
  <c r="AF37" i="23" s="1"/>
  <c r="V37" i="23"/>
  <c r="Y37" i="23" s="1"/>
  <c r="Z37" i="23" s="1"/>
  <c r="P37" i="23"/>
  <c r="S37" i="23" s="1"/>
  <c r="M37" i="23"/>
  <c r="N37" i="23" s="1"/>
  <c r="AM36" i="23"/>
  <c r="AH36" i="23"/>
  <c r="AK36" i="23" s="1"/>
  <c r="AL36" i="23" s="1"/>
  <c r="AB36" i="23"/>
  <c r="AE36" i="23" s="1"/>
  <c r="AF36" i="23" s="1"/>
  <c r="V36" i="23"/>
  <c r="Y36" i="23" s="1"/>
  <c r="Z36" i="23" s="1"/>
  <c r="P36" i="23"/>
  <c r="S36" i="23" s="1"/>
  <c r="T36" i="23" s="1"/>
  <c r="M36" i="23"/>
  <c r="AM35" i="23"/>
  <c r="I35" i="23"/>
  <c r="P35" i="23" s="1"/>
  <c r="S35" i="23" s="1"/>
  <c r="AM34" i="23"/>
  <c r="AH34" i="23"/>
  <c r="AK34" i="23" s="1"/>
  <c r="AL34" i="23" s="1"/>
  <c r="AB34" i="23"/>
  <c r="AE34" i="23" s="1"/>
  <c r="V34" i="23"/>
  <c r="Y34" i="23" s="1"/>
  <c r="Z34" i="23" s="1"/>
  <c r="P34" i="23"/>
  <c r="S34" i="23" s="1"/>
  <c r="T34" i="23" s="1"/>
  <c r="M34" i="23"/>
  <c r="N34" i="23" s="1"/>
  <c r="AM33" i="23"/>
  <c r="I33" i="23"/>
  <c r="P33" i="23" s="1"/>
  <c r="S33" i="23" s="1"/>
  <c r="AM32" i="23"/>
  <c r="I32" i="23"/>
  <c r="AH32" i="23" s="1"/>
  <c r="AK32" i="23" s="1"/>
  <c r="AL32" i="23" s="1"/>
  <c r="AM31" i="23"/>
  <c r="AH31" i="23"/>
  <c r="AK31" i="23" s="1"/>
  <c r="AB31" i="23"/>
  <c r="AE31" i="23" s="1"/>
  <c r="V31" i="23"/>
  <c r="Y31" i="23" s="1"/>
  <c r="Z31" i="23" s="1"/>
  <c r="P31" i="23"/>
  <c r="S31" i="23" s="1"/>
  <c r="M31" i="23"/>
  <c r="N31" i="23" s="1"/>
  <c r="AM30" i="23"/>
  <c r="I30" i="23"/>
  <c r="M30" i="23" s="1"/>
  <c r="AM29" i="23"/>
  <c r="I29" i="23"/>
  <c r="AH29" i="23" s="1"/>
  <c r="AK29" i="23" s="1"/>
  <c r="AL29" i="23" s="1"/>
  <c r="AM28" i="23"/>
  <c r="I28" i="23"/>
  <c r="L21" i="23"/>
  <c r="N194" i="23"/>
  <c r="V35" i="23"/>
  <c r="Y35" i="23" s="1"/>
  <c r="Z35" i="23" s="1"/>
  <c r="AB35" i="23"/>
  <c r="AE35" i="23" s="1"/>
  <c r="AF35" i="23" s="1"/>
  <c r="M35" i="23"/>
  <c r="N35" i="23" s="1"/>
  <c r="AB29" i="23"/>
  <c r="AE29" i="23" s="1"/>
  <c r="AF29" i="23" s="1"/>
  <c r="I29" i="20"/>
  <c r="L29" i="20" s="1"/>
  <c r="M30" i="20"/>
  <c r="N30" i="20" s="1"/>
  <c r="AM30" i="20"/>
  <c r="AH30" i="20"/>
  <c r="AK30" i="20" s="1"/>
  <c r="AL30" i="20" s="1"/>
  <c r="AB30" i="20"/>
  <c r="AE30" i="20" s="1"/>
  <c r="AF30" i="20" s="1"/>
  <c r="V30" i="20"/>
  <c r="Y30" i="20" s="1"/>
  <c r="Z30" i="20" s="1"/>
  <c r="P30" i="20"/>
  <c r="S30" i="20" s="1"/>
  <c r="T30" i="20" s="1"/>
  <c r="I24" i="20"/>
  <c r="P24" i="20" s="1"/>
  <c r="R24" i="20" s="1"/>
  <c r="I24" i="25"/>
  <c r="P24" i="25" s="1"/>
  <c r="I38" i="25"/>
  <c r="P38" i="25" s="1"/>
  <c r="S38" i="25" s="1"/>
  <c r="I33" i="25"/>
  <c r="P33" i="25" s="1"/>
  <c r="R33" i="25" s="1"/>
  <c r="T33" i="25" s="1"/>
  <c r="I31" i="25"/>
  <c r="AB31" i="25" s="1"/>
  <c r="AD31" i="25" s="1"/>
  <c r="AF31" i="25" s="1"/>
  <c r="I22" i="25"/>
  <c r="I21" i="25"/>
  <c r="L21" i="25" s="1"/>
  <c r="N21" i="25" s="1"/>
  <c r="I20" i="25"/>
  <c r="AB20" i="25" s="1"/>
  <c r="I19" i="25"/>
  <c r="AB19" i="25" s="1"/>
  <c r="I18" i="25"/>
  <c r="AB18" i="25" s="1"/>
  <c r="I17" i="25"/>
  <c r="I23" i="20"/>
  <c r="I17" i="20"/>
  <c r="I16" i="20"/>
  <c r="I20" i="23"/>
  <c r="L20" i="23" s="1"/>
  <c r="I19" i="23"/>
  <c r="V19" i="23" s="1"/>
  <c r="X19" i="23" s="1"/>
  <c r="Z19" i="23" s="1"/>
  <c r="I24" i="23"/>
  <c r="V24" i="23" s="1"/>
  <c r="X24" i="23" s="1"/>
  <c r="Z24" i="23" s="1"/>
  <c r="I17" i="23"/>
  <c r="AB17" i="23" s="1"/>
  <c r="AD17" i="23" s="1"/>
  <c r="AF17" i="23" s="1"/>
  <c r="I16" i="23"/>
  <c r="L16" i="23" s="1"/>
  <c r="H27" i="1"/>
  <c r="H31" i="1"/>
  <c r="H36" i="1"/>
  <c r="H35" i="1"/>
  <c r="H34" i="1"/>
  <c r="H28" i="1"/>
  <c r="H33" i="1"/>
  <c r="H29" i="1"/>
  <c r="H32" i="1"/>
  <c r="H26" i="1"/>
  <c r="H30" i="1"/>
  <c r="H25" i="1"/>
  <c r="K25" i="1"/>
  <c r="P72" i="23"/>
  <c r="H23" i="1"/>
  <c r="AF72" i="1"/>
  <c r="Z72" i="1"/>
  <c r="T72" i="1"/>
  <c r="N72" i="1"/>
  <c r="G72" i="1"/>
  <c r="I39" i="25"/>
  <c r="AB39" i="25" s="1"/>
  <c r="AD39" i="25" s="1"/>
  <c r="AF39" i="25" s="1"/>
  <c r="AH112" i="25"/>
  <c r="AJ112" i="25" s="1"/>
  <c r="AL112" i="25" s="1"/>
  <c r="AB112" i="25"/>
  <c r="AD112" i="25" s="1"/>
  <c r="AF124" i="25"/>
  <c r="AH102" i="20"/>
  <c r="AB102" i="20"/>
  <c r="AH139" i="23"/>
  <c r="AJ139" i="23" s="1"/>
  <c r="AL139" i="23" s="1"/>
  <c r="AB139" i="23"/>
  <c r="AD139" i="23" s="1"/>
  <c r="AF139" i="23" s="1"/>
  <c r="AK129" i="25"/>
  <c r="AE129" i="25"/>
  <c r="Y129" i="25"/>
  <c r="S129" i="25"/>
  <c r="M129" i="25"/>
  <c r="AN128" i="25"/>
  <c r="AN129" i="25" s="1"/>
  <c r="AH128" i="25"/>
  <c r="AJ128" i="25"/>
  <c r="AL128" i="25" s="1"/>
  <c r="AL129" i="25" s="1"/>
  <c r="AB128" i="25"/>
  <c r="AD128" i="25" s="1"/>
  <c r="V128" i="25"/>
  <c r="X128" i="25" s="1"/>
  <c r="P128" i="25"/>
  <c r="R128" i="25" s="1"/>
  <c r="L128" i="25"/>
  <c r="L129" i="25" s="1"/>
  <c r="AK120" i="25"/>
  <c r="AE120" i="25"/>
  <c r="Y120" i="25"/>
  <c r="S120" i="25"/>
  <c r="M120" i="25"/>
  <c r="AK125" i="25"/>
  <c r="AJ125" i="25"/>
  <c r="AE125" i="25"/>
  <c r="AD125" i="25"/>
  <c r="Y125" i="25"/>
  <c r="S125" i="25"/>
  <c r="M125" i="25"/>
  <c r="M131" i="25" s="1"/>
  <c r="C17" i="26" s="1"/>
  <c r="AK117" i="20"/>
  <c r="AE117" i="20"/>
  <c r="Y117" i="20"/>
  <c r="S117" i="20"/>
  <c r="M117" i="20"/>
  <c r="AN116" i="20"/>
  <c r="AN117" i="20" s="1"/>
  <c r="AH116" i="20"/>
  <c r="AJ116" i="20" s="1"/>
  <c r="AL116" i="20" s="1"/>
  <c r="AL117" i="20" s="1"/>
  <c r="AB116" i="20"/>
  <c r="AD116" i="20" s="1"/>
  <c r="AD117" i="20" s="1"/>
  <c r="V116" i="20"/>
  <c r="X116" i="20" s="1"/>
  <c r="P116" i="20"/>
  <c r="R116" i="20" s="1"/>
  <c r="L116" i="20"/>
  <c r="L117" i="20" s="1"/>
  <c r="AK113" i="20"/>
  <c r="AE113" i="20"/>
  <c r="Y113" i="20"/>
  <c r="S113" i="20"/>
  <c r="S119" i="20" s="1"/>
  <c r="F17" i="21" s="1"/>
  <c r="M113" i="20"/>
  <c r="M119" i="20" s="1"/>
  <c r="C17" i="21" s="1"/>
  <c r="AK152" i="23"/>
  <c r="AE152" i="23"/>
  <c r="Y152" i="23"/>
  <c r="S152" i="23"/>
  <c r="M152" i="23"/>
  <c r="AN151" i="23"/>
  <c r="AN152" i="23" s="1"/>
  <c r="AH151" i="23"/>
  <c r="AJ151" i="23" s="1"/>
  <c r="AL151" i="23" s="1"/>
  <c r="AL152" i="23" s="1"/>
  <c r="AB151" i="23"/>
  <c r="AD151" i="23" s="1"/>
  <c r="AF151" i="23" s="1"/>
  <c r="AF152" i="23" s="1"/>
  <c r="V151" i="23"/>
  <c r="X151" i="23" s="1"/>
  <c r="P151" i="23"/>
  <c r="R151" i="23" s="1"/>
  <c r="T151" i="23" s="1"/>
  <c r="T152" i="23" s="1"/>
  <c r="L151" i="23"/>
  <c r="L152" i="23" s="1"/>
  <c r="AJ152" i="23"/>
  <c r="AD152" i="23"/>
  <c r="O65" i="25"/>
  <c r="O64" i="25"/>
  <c r="O63" i="25"/>
  <c r="O62" i="25"/>
  <c r="AA65" i="25"/>
  <c r="AA64" i="25"/>
  <c r="AA63" i="25"/>
  <c r="AA62" i="25"/>
  <c r="U65" i="25"/>
  <c r="U64" i="25"/>
  <c r="U63" i="25"/>
  <c r="U62" i="25"/>
  <c r="AG65" i="25"/>
  <c r="AG64" i="25"/>
  <c r="AJ64" i="25" s="1"/>
  <c r="AL64" i="25" s="1"/>
  <c r="AG63" i="25"/>
  <c r="AG62" i="25"/>
  <c r="H65" i="25"/>
  <c r="L65" i="25" s="1"/>
  <c r="N65" i="25" s="1"/>
  <c r="H64" i="25"/>
  <c r="L64" i="25" s="1"/>
  <c r="H63" i="25"/>
  <c r="H62" i="25"/>
  <c r="L62" i="25" s="1"/>
  <c r="AN65" i="25"/>
  <c r="AH65" i="25"/>
  <c r="AJ65" i="25" s="1"/>
  <c r="AL65" i="25" s="1"/>
  <c r="AB65" i="25"/>
  <c r="V65" i="25"/>
  <c r="P65" i="25"/>
  <c r="AN64" i="25"/>
  <c r="AH64" i="25"/>
  <c r="AB64" i="25"/>
  <c r="V64" i="25"/>
  <c r="P64" i="25"/>
  <c r="AN63" i="25"/>
  <c r="AH63" i="25"/>
  <c r="AJ63" i="25" s="1"/>
  <c r="AL63" i="25" s="1"/>
  <c r="AB63" i="25"/>
  <c r="V63" i="25"/>
  <c r="P63" i="25"/>
  <c r="AN62" i="25"/>
  <c r="AH62" i="25"/>
  <c r="AB62" i="25"/>
  <c r="V62" i="25"/>
  <c r="X62" i="25" s="1"/>
  <c r="Z62" i="25" s="1"/>
  <c r="P62" i="25"/>
  <c r="AN31" i="25"/>
  <c r="L63" i="25"/>
  <c r="N63" i="25" s="1"/>
  <c r="L31" i="25"/>
  <c r="N31" i="25" s="1"/>
  <c r="R62" i="25"/>
  <c r="T62" i="25" s="1"/>
  <c r="AD64" i="25"/>
  <c r="AF64" i="25" s="1"/>
  <c r="X64" i="25"/>
  <c r="Z64" i="25" s="1"/>
  <c r="AA64" i="23"/>
  <c r="AA63" i="23"/>
  <c r="AA62" i="23"/>
  <c r="AA61" i="23"/>
  <c r="AJ154" i="1"/>
  <c r="AD154" i="1"/>
  <c r="X154" i="1"/>
  <c r="R154" i="1"/>
  <c r="L154" i="1"/>
  <c r="AM153" i="1"/>
  <c r="AG153" i="1"/>
  <c r="AI153" i="1"/>
  <c r="AK153" i="1"/>
  <c r="AA153" i="1"/>
  <c r="AC153" i="1"/>
  <c r="AE153" i="1"/>
  <c r="U153" i="1"/>
  <c r="W153" i="1"/>
  <c r="Y153" i="1"/>
  <c r="O153" i="1"/>
  <c r="Q153" i="1"/>
  <c r="S153" i="1"/>
  <c r="K153" i="1"/>
  <c r="M153" i="1"/>
  <c r="AM152" i="1"/>
  <c r="AG152" i="1"/>
  <c r="AI152" i="1"/>
  <c r="AA152" i="1"/>
  <c r="AC152" i="1"/>
  <c r="U152" i="1"/>
  <c r="W152" i="1"/>
  <c r="O152" i="1"/>
  <c r="Q152" i="1"/>
  <c r="K152" i="1"/>
  <c r="AG134" i="1"/>
  <c r="AA134" i="1"/>
  <c r="AC134" i="1" s="1"/>
  <c r="AE134" i="1" s="1"/>
  <c r="AG64" i="23"/>
  <c r="AG63" i="23"/>
  <c r="AG62" i="23"/>
  <c r="AG61" i="23"/>
  <c r="U64" i="23"/>
  <c r="U63" i="23"/>
  <c r="U62" i="23"/>
  <c r="U61" i="23"/>
  <c r="O64" i="23"/>
  <c r="O63" i="23"/>
  <c r="O62" i="23"/>
  <c r="O61" i="23"/>
  <c r="H64" i="23"/>
  <c r="L64" i="23" s="1"/>
  <c r="N64" i="23" s="1"/>
  <c r="H63" i="23"/>
  <c r="L63" i="23" s="1"/>
  <c r="N63" i="23" s="1"/>
  <c r="H62" i="23"/>
  <c r="H61" i="23"/>
  <c r="AG72" i="23"/>
  <c r="AG71" i="23"/>
  <c r="AG70" i="23"/>
  <c r="AG69" i="23"/>
  <c r="AA72" i="23"/>
  <c r="AA71" i="23"/>
  <c r="AA70" i="23"/>
  <c r="AA69" i="23"/>
  <c r="U72" i="23"/>
  <c r="U71" i="23"/>
  <c r="U70" i="23"/>
  <c r="U69" i="23"/>
  <c r="O72" i="23"/>
  <c r="O71" i="23"/>
  <c r="O70" i="23"/>
  <c r="O69" i="23"/>
  <c r="H72" i="23"/>
  <c r="L72" i="23" s="1"/>
  <c r="H71" i="23"/>
  <c r="L71" i="23" s="1"/>
  <c r="N71" i="23" s="1"/>
  <c r="H70" i="23"/>
  <c r="L70" i="23" s="1"/>
  <c r="N70" i="23" s="1"/>
  <c r="H69" i="23"/>
  <c r="L69" i="23" s="1"/>
  <c r="AA78" i="23"/>
  <c r="AA77" i="23"/>
  <c r="AA76" i="23"/>
  <c r="AA75" i="23"/>
  <c r="U78" i="23"/>
  <c r="U77" i="23"/>
  <c r="U76" i="23"/>
  <c r="U75" i="23"/>
  <c r="AM154" i="1"/>
  <c r="AL152" i="1"/>
  <c r="K154" i="1"/>
  <c r="AE152" i="1"/>
  <c r="AE154" i="1"/>
  <c r="AC154" i="1"/>
  <c r="AN152" i="1"/>
  <c r="W154" i="1"/>
  <c r="Y152" i="1"/>
  <c r="Y154" i="1"/>
  <c r="AI154" i="1"/>
  <c r="AK152" i="1"/>
  <c r="AK154" i="1"/>
  <c r="AL153" i="1"/>
  <c r="AN153" i="1"/>
  <c r="S152" i="1"/>
  <c r="S154" i="1"/>
  <c r="Q154" i="1"/>
  <c r="M152" i="1"/>
  <c r="M154" i="1"/>
  <c r="AN172" i="23"/>
  <c r="AH172" i="23"/>
  <c r="AJ172" i="23" s="1"/>
  <c r="AL172" i="23" s="1"/>
  <c r="AB172" i="23"/>
  <c r="AD172" i="23" s="1"/>
  <c r="AF172" i="23" s="1"/>
  <c r="V172" i="23"/>
  <c r="X172" i="23" s="1"/>
  <c r="Z172" i="23" s="1"/>
  <c r="P172" i="23"/>
  <c r="R172" i="23" s="1"/>
  <c r="L172" i="23"/>
  <c r="N172" i="23" s="1"/>
  <c r="L173" i="23"/>
  <c r="N173" i="23" s="1"/>
  <c r="P173" i="23"/>
  <c r="R173" i="23" s="1"/>
  <c r="V173" i="23"/>
  <c r="X173" i="23" s="1"/>
  <c r="Z173" i="23" s="1"/>
  <c r="AB173" i="23"/>
  <c r="AD173" i="23" s="1"/>
  <c r="AF173" i="23" s="1"/>
  <c r="AH173" i="23"/>
  <c r="AJ173" i="23" s="1"/>
  <c r="AL173" i="23" s="1"/>
  <c r="AN173" i="23"/>
  <c r="AN132" i="20"/>
  <c r="AH132" i="20"/>
  <c r="AJ132" i="20" s="1"/>
  <c r="AL132" i="20" s="1"/>
  <c r="AB132" i="20"/>
  <c r="AD132" i="20" s="1"/>
  <c r="AF132" i="20" s="1"/>
  <c r="V132" i="20"/>
  <c r="X132" i="20" s="1"/>
  <c r="Z132" i="20" s="1"/>
  <c r="P132" i="20"/>
  <c r="R132" i="20" s="1"/>
  <c r="L132" i="20"/>
  <c r="N132" i="20" s="1"/>
  <c r="AN139" i="25"/>
  <c r="AH139" i="25"/>
  <c r="AJ139" i="25" s="1"/>
  <c r="AL139" i="25" s="1"/>
  <c r="AB139" i="25"/>
  <c r="AD139" i="25" s="1"/>
  <c r="AF139" i="25" s="1"/>
  <c r="V139" i="25"/>
  <c r="X139" i="25"/>
  <c r="Z139" i="25" s="1"/>
  <c r="P139" i="25"/>
  <c r="R139" i="25" s="1"/>
  <c r="T139" i="25" s="1"/>
  <c r="L139" i="25"/>
  <c r="AN138" i="25"/>
  <c r="AH138" i="25"/>
  <c r="AJ138" i="25" s="1"/>
  <c r="AL138" i="25" s="1"/>
  <c r="AB138" i="25"/>
  <c r="AD138" i="25" s="1"/>
  <c r="AF138" i="25" s="1"/>
  <c r="V138" i="25"/>
  <c r="X138" i="25" s="1"/>
  <c r="Z138" i="25" s="1"/>
  <c r="P138" i="25"/>
  <c r="R138" i="25" s="1"/>
  <c r="T138" i="25" s="1"/>
  <c r="L138" i="25"/>
  <c r="N138" i="25" s="1"/>
  <c r="AN170" i="23"/>
  <c r="AH170" i="23"/>
  <c r="AJ170" i="23" s="1"/>
  <c r="AL170" i="23" s="1"/>
  <c r="AB170" i="23"/>
  <c r="AD170" i="23" s="1"/>
  <c r="AF170" i="23" s="1"/>
  <c r="V170" i="23"/>
  <c r="X170" i="23" s="1"/>
  <c r="Z170" i="23" s="1"/>
  <c r="P170" i="23"/>
  <c r="R170" i="23" s="1"/>
  <c r="L170" i="23"/>
  <c r="N170" i="23" s="1"/>
  <c r="AN130" i="20"/>
  <c r="AH130" i="20"/>
  <c r="AJ130" i="20" s="1"/>
  <c r="AB130" i="20"/>
  <c r="AD130" i="20" s="1"/>
  <c r="AF130" i="20" s="1"/>
  <c r="V130" i="20"/>
  <c r="X130" i="20" s="1"/>
  <c r="Z130" i="20" s="1"/>
  <c r="P130" i="20"/>
  <c r="R130" i="20" s="1"/>
  <c r="L130" i="20"/>
  <c r="N130" i="20" s="1"/>
  <c r="AN131" i="20"/>
  <c r="AH131" i="20"/>
  <c r="AJ131" i="20" s="1"/>
  <c r="AL131" i="20" s="1"/>
  <c r="AB131" i="20"/>
  <c r="AD131" i="20" s="1"/>
  <c r="AF131" i="20" s="1"/>
  <c r="V131" i="20"/>
  <c r="X131" i="20" s="1"/>
  <c r="Z131" i="20" s="1"/>
  <c r="P131" i="20"/>
  <c r="R131" i="20" s="1"/>
  <c r="L131" i="20"/>
  <c r="N131" i="20" s="1"/>
  <c r="AL154" i="1"/>
  <c r="AN154" i="1"/>
  <c r="I28" i="20"/>
  <c r="L28" i="20" s="1"/>
  <c r="AN137" i="25"/>
  <c r="AH137" i="25"/>
  <c r="AJ137" i="25" s="1"/>
  <c r="AL137" i="25" s="1"/>
  <c r="AB137" i="25"/>
  <c r="AD137" i="25" s="1"/>
  <c r="AF137" i="25" s="1"/>
  <c r="V137" i="25"/>
  <c r="X137" i="25" s="1"/>
  <c r="Z137" i="25" s="1"/>
  <c r="P137" i="25"/>
  <c r="R137" i="25" s="1"/>
  <c r="T137" i="25" s="1"/>
  <c r="L137" i="25"/>
  <c r="AK166" i="23"/>
  <c r="AE166" i="23"/>
  <c r="Y166" i="23"/>
  <c r="S166" i="23"/>
  <c r="M166" i="23"/>
  <c r="M203" i="23" s="1"/>
  <c r="C19" i="24" s="1"/>
  <c r="I111" i="25"/>
  <c r="P111" i="25" s="1"/>
  <c r="I101" i="20"/>
  <c r="L101" i="20" s="1"/>
  <c r="I96" i="20"/>
  <c r="V96" i="20" s="1"/>
  <c r="I133" i="23"/>
  <c r="AH133" i="23" s="1"/>
  <c r="I137" i="23"/>
  <c r="AH137" i="23" s="1"/>
  <c r="I132" i="23"/>
  <c r="V132" i="23" s="1"/>
  <c r="AK114" i="25"/>
  <c r="AE114" i="25"/>
  <c r="L15" i="26" s="1"/>
  <c r="Y114" i="25"/>
  <c r="S114" i="25"/>
  <c r="F15" i="26" s="1"/>
  <c r="M114" i="25"/>
  <c r="V112" i="25"/>
  <c r="X112" i="25" s="1"/>
  <c r="Z112" i="25" s="1"/>
  <c r="P112" i="25"/>
  <c r="R112" i="25" s="1"/>
  <c r="AN112" i="25"/>
  <c r="AF112" i="25"/>
  <c r="L112" i="25"/>
  <c r="N112" i="25" s="1"/>
  <c r="AJ102" i="20"/>
  <c r="AL102" i="20"/>
  <c r="V102" i="20"/>
  <c r="X102" i="20" s="1"/>
  <c r="P102" i="20"/>
  <c r="R102" i="20" s="1"/>
  <c r="T102" i="20" s="1"/>
  <c r="AH97" i="20"/>
  <c r="AK97" i="20" s="1"/>
  <c r="AL97" i="20" s="1"/>
  <c r="AB97" i="20"/>
  <c r="AE97" i="20" s="1"/>
  <c r="V97" i="20"/>
  <c r="Y97" i="20" s="1"/>
  <c r="P97" i="20"/>
  <c r="S97" i="20" s="1"/>
  <c r="S98" i="20" s="1"/>
  <c r="AG131" i="1"/>
  <c r="AG132" i="1"/>
  <c r="AI132" i="1" s="1"/>
  <c r="AK132" i="1" s="1"/>
  <c r="AG133" i="1"/>
  <c r="AA131" i="1"/>
  <c r="AA132" i="1"/>
  <c r="AC132" i="1" s="1"/>
  <c r="AE132" i="1" s="1"/>
  <c r="AA133" i="1"/>
  <c r="U131" i="1"/>
  <c r="U132" i="1"/>
  <c r="W132" i="1" s="1"/>
  <c r="U133" i="1"/>
  <c r="W133" i="1" s="1"/>
  <c r="Y133" i="1" s="1"/>
  <c r="U134" i="1"/>
  <c r="W134" i="1" s="1"/>
  <c r="Y134" i="1" s="1"/>
  <c r="O131" i="1"/>
  <c r="O132" i="1"/>
  <c r="Q132" i="1" s="1"/>
  <c r="S132" i="1" s="1"/>
  <c r="O133" i="1"/>
  <c r="Q133" i="1" s="1"/>
  <c r="O134" i="1"/>
  <c r="AG121" i="1"/>
  <c r="AA121" i="1"/>
  <c r="AC121" i="1" s="1"/>
  <c r="AE121" i="1" s="1"/>
  <c r="U121" i="1"/>
  <c r="O121" i="1"/>
  <c r="Q121" i="1" s="1"/>
  <c r="S121" i="1" s="1"/>
  <c r="P138" i="23"/>
  <c r="V138" i="23" s="1"/>
  <c r="X138" i="23" s="1"/>
  <c r="P139" i="23"/>
  <c r="AK103" i="20"/>
  <c r="AE103" i="20"/>
  <c r="Y103" i="20"/>
  <c r="S103" i="20"/>
  <c r="S105" i="20" s="1"/>
  <c r="F15" i="21" s="1"/>
  <c r="M103" i="20"/>
  <c r="M140" i="23"/>
  <c r="AK134" i="23"/>
  <c r="AE134" i="23"/>
  <c r="Y134" i="23"/>
  <c r="S134" i="23"/>
  <c r="M134" i="23"/>
  <c r="AN102" i="20"/>
  <c r="AD102" i="20"/>
  <c r="AF102" i="20" s="1"/>
  <c r="L102" i="20"/>
  <c r="N102" i="20" s="1"/>
  <c r="AN138" i="23"/>
  <c r="AH138" i="23"/>
  <c r="AJ138" i="23" s="1"/>
  <c r="AL138" i="23" s="1"/>
  <c r="AB138" i="23"/>
  <c r="AD138" i="23" s="1"/>
  <c r="AF138" i="23" s="1"/>
  <c r="L138" i="23"/>
  <c r="N138" i="23" s="1"/>
  <c r="AN139" i="23"/>
  <c r="L139" i="23"/>
  <c r="N139" i="23" s="1"/>
  <c r="P133" i="23"/>
  <c r="V133" i="23"/>
  <c r="AH132" i="23"/>
  <c r="AM133" i="1"/>
  <c r="AI133" i="1"/>
  <c r="AK133" i="1" s="1"/>
  <c r="AC133" i="1"/>
  <c r="AE133" i="1" s="1"/>
  <c r="K133" i="1"/>
  <c r="M133" i="1"/>
  <c r="P64" i="23"/>
  <c r="V64" i="23"/>
  <c r="AB64" i="23"/>
  <c r="AH64" i="23"/>
  <c r="AN64" i="23"/>
  <c r="AF123" i="25"/>
  <c r="AF125" i="25" s="1"/>
  <c r="AL123" i="25"/>
  <c r="AL125" i="25" s="1"/>
  <c r="AL124" i="25"/>
  <c r="AN119" i="25"/>
  <c r="AN120" i="25" s="1"/>
  <c r="L120" i="25"/>
  <c r="V147" i="23"/>
  <c r="X147" i="23" s="1"/>
  <c r="Z147" i="23" s="1"/>
  <c r="Z148" i="23" s="1"/>
  <c r="AB147" i="23"/>
  <c r="AD147" i="23" s="1"/>
  <c r="AH147" i="23"/>
  <c r="AJ147" i="23" s="1"/>
  <c r="AL147" i="23" s="1"/>
  <c r="AL148" i="23" s="1"/>
  <c r="AL154" i="23" s="1"/>
  <c r="P17" i="24" s="1"/>
  <c r="AN147" i="23"/>
  <c r="AN148" i="23" s="1"/>
  <c r="P147" i="23"/>
  <c r="R147" i="23" s="1"/>
  <c r="L147" i="23"/>
  <c r="N147" i="23" s="1"/>
  <c r="N148" i="23" s="1"/>
  <c r="AN33" i="25"/>
  <c r="AN21" i="25"/>
  <c r="O21" i="25"/>
  <c r="U21" i="25"/>
  <c r="AN20" i="25"/>
  <c r="O20" i="25"/>
  <c r="U20" i="25" s="1"/>
  <c r="AN19" i="25"/>
  <c r="O19" i="25"/>
  <c r="U19" i="25"/>
  <c r="AA19" i="25" s="1"/>
  <c r="AN18" i="25"/>
  <c r="O18" i="25"/>
  <c r="AH17" i="20"/>
  <c r="AN17" i="20"/>
  <c r="U17" i="20"/>
  <c r="AA17" i="20" s="1"/>
  <c r="O17" i="20"/>
  <c r="AN29" i="20"/>
  <c r="O29" i="20"/>
  <c r="U29" i="20" s="1"/>
  <c r="AN28" i="20"/>
  <c r="V23" i="20"/>
  <c r="AN23" i="20"/>
  <c r="O23" i="20"/>
  <c r="AN24" i="20"/>
  <c r="I25" i="23"/>
  <c r="L25" i="23" s="1"/>
  <c r="N25" i="23" s="1"/>
  <c r="AM35" i="1"/>
  <c r="U35" i="1"/>
  <c r="W35" i="1" s="1"/>
  <c r="Y35" i="1" s="1"/>
  <c r="AA33" i="1"/>
  <c r="AC33" i="1" s="1"/>
  <c r="AE33" i="1" s="1"/>
  <c r="AM33" i="1"/>
  <c r="O31" i="1"/>
  <c r="Q31" i="1"/>
  <c r="S31" i="1" s="1"/>
  <c r="AM31" i="1"/>
  <c r="AH119" i="25"/>
  <c r="AJ119" i="25" s="1"/>
  <c r="AB119" i="25"/>
  <c r="AD119" i="25" s="1"/>
  <c r="V119" i="25"/>
  <c r="X119" i="25" s="1"/>
  <c r="K35" i="1"/>
  <c r="M35" i="1"/>
  <c r="AA35" i="1"/>
  <c r="AC35" i="1" s="1"/>
  <c r="AE35" i="1" s="1"/>
  <c r="N119" i="25"/>
  <c r="N120" i="25" s="1"/>
  <c r="T147" i="23"/>
  <c r="AH20" i="25"/>
  <c r="P20" i="25"/>
  <c r="R20" i="25" s="1"/>
  <c r="T20" i="25" s="1"/>
  <c r="L17" i="20"/>
  <c r="N17" i="20" s="1"/>
  <c r="V17" i="20"/>
  <c r="P17" i="20"/>
  <c r="AB17" i="20"/>
  <c r="L23" i="20"/>
  <c r="N23" i="20" s="1"/>
  <c r="P23" i="20"/>
  <c r="AB23" i="20"/>
  <c r="AH23" i="20"/>
  <c r="O35" i="1"/>
  <c r="Q35" i="1" s="1"/>
  <c r="AG35" i="1"/>
  <c r="AI35" i="1" s="1"/>
  <c r="AK35" i="1" s="1"/>
  <c r="O33" i="1"/>
  <c r="Q33" i="1" s="1"/>
  <c r="AG33" i="1"/>
  <c r="AI33" i="1" s="1"/>
  <c r="AK33" i="1" s="1"/>
  <c r="U33" i="1"/>
  <c r="W33" i="1" s="1"/>
  <c r="Y33" i="1" s="1"/>
  <c r="K33" i="1"/>
  <c r="U31" i="1"/>
  <c r="W31" i="1" s="1"/>
  <c r="AG31" i="1"/>
  <c r="AI31" i="1" s="1"/>
  <c r="AK31" i="1" s="1"/>
  <c r="K31" i="1"/>
  <c r="AA31" i="1"/>
  <c r="AC31" i="1" s="1"/>
  <c r="AE31" i="1" s="1"/>
  <c r="O27" i="1"/>
  <c r="Q27" i="1" s="1"/>
  <c r="AM29" i="1"/>
  <c r="U29" i="1"/>
  <c r="W29" i="1" s="1"/>
  <c r="AM28" i="1"/>
  <c r="AG28" i="1"/>
  <c r="AI28" i="1" s="1"/>
  <c r="AA28" i="1"/>
  <c r="AC28" i="1" s="1"/>
  <c r="U28" i="1"/>
  <c r="W28" i="1" s="1"/>
  <c r="Y28" i="1" s="1"/>
  <c r="AG26" i="1"/>
  <c r="AI26" i="1"/>
  <c r="AK26" i="1" s="1"/>
  <c r="AM26" i="1"/>
  <c r="AM27" i="1"/>
  <c r="AG23" i="1"/>
  <c r="AI23" i="1" s="1"/>
  <c r="K52" i="1"/>
  <c r="M52" i="1"/>
  <c r="AM52" i="1"/>
  <c r="AI52" i="1"/>
  <c r="AK52" i="1"/>
  <c r="AC52" i="1"/>
  <c r="AE52" i="1"/>
  <c r="W52" i="1"/>
  <c r="Y52" i="1"/>
  <c r="Q52" i="1"/>
  <c r="S52" i="1"/>
  <c r="AA20" i="25"/>
  <c r="AD20" i="25" s="1"/>
  <c r="AF20" i="25" s="1"/>
  <c r="O29" i="1"/>
  <c r="Q29" i="1" s="1"/>
  <c r="M33" i="1"/>
  <c r="K29" i="1"/>
  <c r="M31" i="1"/>
  <c r="K28" i="1"/>
  <c r="AA29" i="1"/>
  <c r="AC29" i="1" s="1"/>
  <c r="AE29" i="1" s="1"/>
  <c r="O28" i="1"/>
  <c r="Q28" i="1" s="1"/>
  <c r="AG29" i="1"/>
  <c r="AI29" i="1" s="1"/>
  <c r="AK29" i="1" s="1"/>
  <c r="U23" i="1"/>
  <c r="W23" i="1" s="1"/>
  <c r="K26" i="1"/>
  <c r="M26" i="1"/>
  <c r="U26" i="1"/>
  <c r="W26" i="1" s="1"/>
  <c r="AA26" i="1"/>
  <c r="AC26" i="1" s="1"/>
  <c r="AE26" i="1" s="1"/>
  <c r="O26" i="1"/>
  <c r="Q26" i="1" s="1"/>
  <c r="S26" i="1" s="1"/>
  <c r="AG27" i="1"/>
  <c r="AI27" i="1" s="1"/>
  <c r="AK27" i="1" s="1"/>
  <c r="U27" i="1"/>
  <c r="W27" i="1" s="1"/>
  <c r="Y27" i="1" s="1"/>
  <c r="K27" i="1"/>
  <c r="AA27" i="1"/>
  <c r="AC27" i="1" s="1"/>
  <c r="AA23" i="1"/>
  <c r="AC23" i="1" s="1"/>
  <c r="AL52" i="1"/>
  <c r="AN52" i="1"/>
  <c r="AI51" i="1"/>
  <c r="AK51" i="1"/>
  <c r="AG53" i="1"/>
  <c r="AI53" i="1" s="1"/>
  <c r="AK53" i="1" s="1"/>
  <c r="AC51" i="1"/>
  <c r="AE51" i="1"/>
  <c r="AA53" i="1"/>
  <c r="AC53" i="1" s="1"/>
  <c r="AE53" i="1" s="1"/>
  <c r="W51" i="1"/>
  <c r="Y51" i="1"/>
  <c r="U53" i="1"/>
  <c r="W53" i="1" s="1"/>
  <c r="Y53" i="1" s="1"/>
  <c r="Q51" i="1"/>
  <c r="AM43" i="1"/>
  <c r="AM44" i="1"/>
  <c r="AN123" i="25"/>
  <c r="AN124" i="25"/>
  <c r="AN58" i="20"/>
  <c r="AN148" i="20"/>
  <c r="AN149" i="20"/>
  <c r="AN137" i="20"/>
  <c r="AN88" i="23"/>
  <c r="AN82" i="23"/>
  <c r="AN83" i="23"/>
  <c r="AN84" i="23"/>
  <c r="P156" i="25"/>
  <c r="S156" i="25" s="1"/>
  <c r="AN156" i="25" s="1"/>
  <c r="S106" i="25"/>
  <c r="F13" i="26" s="1"/>
  <c r="S98" i="25"/>
  <c r="S58" i="25"/>
  <c r="O24" i="25"/>
  <c r="O15" i="26"/>
  <c r="AK106" i="25"/>
  <c r="O13" i="26" s="1"/>
  <c r="AK98" i="25"/>
  <c r="AK58" i="25"/>
  <c r="AK100" i="25" s="1"/>
  <c r="O11" i="26" s="1"/>
  <c r="U24" i="25"/>
  <c r="U38" i="25"/>
  <c r="AA38" i="25" s="1"/>
  <c r="AE106" i="25"/>
  <c r="L13" i="26" s="1"/>
  <c r="AE98" i="25"/>
  <c r="AE58" i="25"/>
  <c r="W38" i="25"/>
  <c r="I15" i="26"/>
  <c r="Y106" i="25"/>
  <c r="I13" i="26" s="1"/>
  <c r="Y98" i="25"/>
  <c r="Y58" i="25"/>
  <c r="M106" i="25"/>
  <c r="C13" i="26" s="1"/>
  <c r="M98" i="25"/>
  <c r="M58" i="25"/>
  <c r="P136" i="25"/>
  <c r="R136" i="25" s="1"/>
  <c r="T136" i="25" s="1"/>
  <c r="P140" i="25"/>
  <c r="R140" i="25" s="1"/>
  <c r="P147" i="25"/>
  <c r="R147" i="25" s="1"/>
  <c r="T147" i="25" s="1"/>
  <c r="Q147" i="25"/>
  <c r="W147" i="25" s="1"/>
  <c r="AC147" i="25" s="1"/>
  <c r="AI147" i="25" s="1"/>
  <c r="P148" i="25"/>
  <c r="Q148" i="25"/>
  <c r="W148" i="25" s="1"/>
  <c r="P149" i="25"/>
  <c r="R149" i="25" s="1"/>
  <c r="Q149" i="25"/>
  <c r="W149" i="25" s="1"/>
  <c r="P150" i="25"/>
  <c r="Q150" i="25"/>
  <c r="W150" i="25" s="1"/>
  <c r="AC150" i="25" s="1"/>
  <c r="AI150" i="25" s="1"/>
  <c r="P151" i="25"/>
  <c r="Q151" i="25"/>
  <c r="W151" i="25" s="1"/>
  <c r="P152" i="25"/>
  <c r="R152" i="25" s="1"/>
  <c r="T152" i="25" s="1"/>
  <c r="P153" i="25"/>
  <c r="R153" i="25"/>
  <c r="O154" i="25"/>
  <c r="P154" i="25"/>
  <c r="O155" i="25"/>
  <c r="P155" i="25"/>
  <c r="P162" i="25"/>
  <c r="R162" i="25" s="1"/>
  <c r="T162" i="25" s="1"/>
  <c r="P163" i="25"/>
  <c r="R163" i="25" s="1"/>
  <c r="T163" i="25" s="1"/>
  <c r="P164" i="25"/>
  <c r="R164" i="25" s="1"/>
  <c r="T164" i="25" s="1"/>
  <c r="P166" i="25"/>
  <c r="R166" i="25" s="1"/>
  <c r="T166" i="25" s="1"/>
  <c r="P167" i="25"/>
  <c r="R167" i="25" s="1"/>
  <c r="T167" i="25" s="1"/>
  <c r="P168" i="25"/>
  <c r="R168" i="25" s="1"/>
  <c r="T168" i="25" s="1"/>
  <c r="P169" i="25"/>
  <c r="R169" i="25" s="1"/>
  <c r="T169" i="25" s="1"/>
  <c r="P123" i="25"/>
  <c r="R123" i="25" s="1"/>
  <c r="P124" i="25"/>
  <c r="R124" i="25" s="1"/>
  <c r="P104" i="25"/>
  <c r="R104" i="25" s="1"/>
  <c r="L66" i="25"/>
  <c r="N66" i="25" s="1"/>
  <c r="P66" i="25"/>
  <c r="R66" i="25" s="1"/>
  <c r="P67" i="25"/>
  <c r="P68" i="25"/>
  <c r="R68" i="25" s="1"/>
  <c r="T68" i="25" s="1"/>
  <c r="P69" i="25"/>
  <c r="R69" i="25" s="1"/>
  <c r="O70" i="25"/>
  <c r="U70" i="25" s="1"/>
  <c r="AA70" i="25" s="1"/>
  <c r="P70" i="25"/>
  <c r="I73" i="25"/>
  <c r="O76" i="25"/>
  <c r="R76" i="25" s="1"/>
  <c r="T76" i="25" s="1"/>
  <c r="P76" i="25"/>
  <c r="O77" i="25"/>
  <c r="P77" i="25"/>
  <c r="R77" i="25" s="1"/>
  <c r="T77" i="25" s="1"/>
  <c r="O78" i="25"/>
  <c r="P78" i="25"/>
  <c r="O79" i="25"/>
  <c r="P79" i="25"/>
  <c r="P82" i="25"/>
  <c r="R82" i="25" s="1"/>
  <c r="T82" i="25" s="1"/>
  <c r="P83" i="25"/>
  <c r="R83" i="25"/>
  <c r="T83" i="25" s="1"/>
  <c r="P84" i="25"/>
  <c r="R84" i="25" s="1"/>
  <c r="P85" i="25"/>
  <c r="R85" i="25" s="1"/>
  <c r="P88" i="25"/>
  <c r="R88" i="25" s="1"/>
  <c r="T88" i="25" s="1"/>
  <c r="P89" i="25"/>
  <c r="R89" i="25" s="1"/>
  <c r="P90" i="25"/>
  <c r="R90" i="25" s="1"/>
  <c r="P91" i="25"/>
  <c r="R91" i="25" s="1"/>
  <c r="T91" i="25" s="1"/>
  <c r="P94" i="25"/>
  <c r="R94" i="25" s="1"/>
  <c r="P95" i="25"/>
  <c r="R95" i="25" s="1"/>
  <c r="T95" i="25" s="1"/>
  <c r="P96" i="25"/>
  <c r="R96" i="25" s="1"/>
  <c r="T96" i="25" s="1"/>
  <c r="P97" i="25"/>
  <c r="R97" i="25" s="1"/>
  <c r="T97" i="25" s="1"/>
  <c r="P54" i="25"/>
  <c r="R54" i="25" s="1"/>
  <c r="T54" i="25" s="1"/>
  <c r="P55" i="25"/>
  <c r="R55" i="25" s="1"/>
  <c r="T55" i="25" s="1"/>
  <c r="P56" i="25"/>
  <c r="R56" i="25" s="1"/>
  <c r="P57" i="25"/>
  <c r="R57" i="25" s="1"/>
  <c r="T57" i="25" s="1"/>
  <c r="O17" i="25"/>
  <c r="U17" i="25" s="1"/>
  <c r="P17" i="25"/>
  <c r="O22" i="25"/>
  <c r="U22" i="25" s="1"/>
  <c r="P22" i="25"/>
  <c r="AB136" i="25"/>
  <c r="AD136" i="25" s="1"/>
  <c r="AF136" i="25" s="1"/>
  <c r="AB147" i="25"/>
  <c r="U147" i="25"/>
  <c r="AA147" i="25" s="1"/>
  <c r="AB148" i="25"/>
  <c r="U148" i="25"/>
  <c r="AA148" i="25"/>
  <c r="AB149" i="25"/>
  <c r="U149" i="25"/>
  <c r="AA149" i="25" s="1"/>
  <c r="AB150" i="25"/>
  <c r="U150" i="25"/>
  <c r="AA150" i="25" s="1"/>
  <c r="AB151" i="25"/>
  <c r="AB152" i="25"/>
  <c r="AD152" i="25" s="1"/>
  <c r="AF152" i="25" s="1"/>
  <c r="AB153" i="25"/>
  <c r="AD153" i="25" s="1"/>
  <c r="AF153" i="25" s="1"/>
  <c r="AB154" i="25"/>
  <c r="AB155" i="25"/>
  <c r="AD155" i="25" s="1"/>
  <c r="AF155" i="25" s="1"/>
  <c r="AB156" i="25"/>
  <c r="AD156" i="25" s="1"/>
  <c r="AF156" i="25" s="1"/>
  <c r="AB162" i="25"/>
  <c r="AD162" i="25" s="1"/>
  <c r="AF162" i="25" s="1"/>
  <c r="AB163" i="25"/>
  <c r="AD163" i="25" s="1"/>
  <c r="AF163" i="25" s="1"/>
  <c r="AB164" i="25"/>
  <c r="AD164" i="25" s="1"/>
  <c r="AF164" i="25" s="1"/>
  <c r="AB166" i="25"/>
  <c r="AD166" i="25" s="1"/>
  <c r="AF166" i="25" s="1"/>
  <c r="AB167" i="25"/>
  <c r="AD167" i="25" s="1"/>
  <c r="AF167" i="25" s="1"/>
  <c r="AB168" i="25"/>
  <c r="AD168" i="25" s="1"/>
  <c r="AF168" i="25" s="1"/>
  <c r="AB169" i="25"/>
  <c r="AD169" i="25" s="1"/>
  <c r="AB111" i="25"/>
  <c r="AD111" i="25" s="1"/>
  <c r="AB104" i="25"/>
  <c r="AD104" i="25" s="1"/>
  <c r="AB66" i="25"/>
  <c r="AB67" i="25"/>
  <c r="AB68" i="25"/>
  <c r="AB69" i="25"/>
  <c r="AB70" i="25"/>
  <c r="AA76" i="25"/>
  <c r="AD76" i="25" s="1"/>
  <c r="AF76" i="25" s="1"/>
  <c r="AB76" i="25"/>
  <c r="AA77" i="25"/>
  <c r="AB77" i="25"/>
  <c r="AA78" i="25"/>
  <c r="AB78" i="25"/>
  <c r="AA79" i="25"/>
  <c r="AB79" i="25"/>
  <c r="AD79" i="25" s="1"/>
  <c r="AF79" i="25" s="1"/>
  <c r="AB82" i="25"/>
  <c r="AD82" i="25" s="1"/>
  <c r="AF82" i="25" s="1"/>
  <c r="AB83" i="25"/>
  <c r="AD83" i="25" s="1"/>
  <c r="AF83" i="25" s="1"/>
  <c r="AB84" i="25"/>
  <c r="AD84" i="25" s="1"/>
  <c r="AF84" i="25" s="1"/>
  <c r="AB85" i="25"/>
  <c r="AD85" i="25" s="1"/>
  <c r="AF85" i="25" s="1"/>
  <c r="AB88" i="25"/>
  <c r="AD88" i="25" s="1"/>
  <c r="AB89" i="25"/>
  <c r="AD89" i="25" s="1"/>
  <c r="AF89" i="25" s="1"/>
  <c r="AB90" i="25"/>
  <c r="AD90" i="25"/>
  <c r="AF90" i="25" s="1"/>
  <c r="AB91" i="25"/>
  <c r="AD91" i="25" s="1"/>
  <c r="AF91" i="25" s="1"/>
  <c r="AB94" i="25"/>
  <c r="AD94" i="25" s="1"/>
  <c r="AF94" i="25" s="1"/>
  <c r="AB95" i="25"/>
  <c r="AD95" i="25" s="1"/>
  <c r="AF95" i="25" s="1"/>
  <c r="AB96" i="25"/>
  <c r="AD96" i="25" s="1"/>
  <c r="AB97" i="25"/>
  <c r="AD97" i="25" s="1"/>
  <c r="AF97" i="25" s="1"/>
  <c r="AB54" i="25"/>
  <c r="W54" i="25"/>
  <c r="AC54" i="25" s="1"/>
  <c r="AI54" i="25" s="1"/>
  <c r="AB55" i="25"/>
  <c r="W55" i="25"/>
  <c r="AC55" i="25" s="1"/>
  <c r="AB56" i="25"/>
  <c r="W56" i="25"/>
  <c r="AC56" i="25" s="1"/>
  <c r="AI56" i="25" s="1"/>
  <c r="AB57" i="25"/>
  <c r="W57" i="25"/>
  <c r="AC57" i="25" s="1"/>
  <c r="AB17" i="25"/>
  <c r="AB22" i="25"/>
  <c r="V136" i="25"/>
  <c r="X136" i="25" s="1"/>
  <c r="V147" i="25"/>
  <c r="V148" i="25"/>
  <c r="V149" i="25"/>
  <c r="V150" i="25"/>
  <c r="X150" i="25" s="1"/>
  <c r="Z150" i="25" s="1"/>
  <c r="V151" i="25"/>
  <c r="V152" i="25"/>
  <c r="X152" i="25" s="1"/>
  <c r="Z152" i="25" s="1"/>
  <c r="V153" i="25"/>
  <c r="X153" i="25" s="1"/>
  <c r="Z153" i="25" s="1"/>
  <c r="V154" i="25"/>
  <c r="V155" i="25"/>
  <c r="X155" i="25"/>
  <c r="Z155" i="25" s="1"/>
  <c r="V156" i="25"/>
  <c r="X156" i="25" s="1"/>
  <c r="Z156" i="25" s="1"/>
  <c r="V162" i="25"/>
  <c r="X162" i="25" s="1"/>
  <c r="Z162" i="25" s="1"/>
  <c r="V163" i="25"/>
  <c r="X163" i="25" s="1"/>
  <c r="Z163" i="25" s="1"/>
  <c r="V164" i="25"/>
  <c r="X164" i="25" s="1"/>
  <c r="V166" i="25"/>
  <c r="X166" i="25" s="1"/>
  <c r="Z166" i="25" s="1"/>
  <c r="V167" i="25"/>
  <c r="X167" i="25" s="1"/>
  <c r="V168" i="25"/>
  <c r="X168" i="25" s="1"/>
  <c r="V169" i="25"/>
  <c r="X169" i="25" s="1"/>
  <c r="Z169" i="25" s="1"/>
  <c r="V123" i="25"/>
  <c r="X123" i="25" s="1"/>
  <c r="V124" i="25"/>
  <c r="X124" i="25"/>
  <c r="Z124" i="25" s="1"/>
  <c r="V111" i="25"/>
  <c r="X111" i="25" s="1"/>
  <c r="Z111" i="25" s="1"/>
  <c r="V104" i="25"/>
  <c r="X104" i="25"/>
  <c r="V66" i="25"/>
  <c r="X66" i="25" s="1"/>
  <c r="Z66" i="25" s="1"/>
  <c r="V67" i="25"/>
  <c r="X67" i="25" s="1"/>
  <c r="Z67" i="25" s="1"/>
  <c r="V68" i="25"/>
  <c r="X68" i="25" s="1"/>
  <c r="Z68" i="25" s="1"/>
  <c r="V69" i="25"/>
  <c r="V70" i="25"/>
  <c r="V76" i="25"/>
  <c r="X76" i="25" s="1"/>
  <c r="Z76" i="25" s="1"/>
  <c r="V77" i="25"/>
  <c r="X77" i="25"/>
  <c r="Z77" i="25" s="1"/>
  <c r="V78" i="25"/>
  <c r="X78" i="25" s="1"/>
  <c r="Z78" i="25" s="1"/>
  <c r="V79" i="25"/>
  <c r="X79" i="25" s="1"/>
  <c r="Z79" i="25" s="1"/>
  <c r="V82" i="25"/>
  <c r="X82" i="25" s="1"/>
  <c r="Z82" i="25" s="1"/>
  <c r="V83" i="25"/>
  <c r="X83" i="25" s="1"/>
  <c r="V84" i="25"/>
  <c r="X84" i="25" s="1"/>
  <c r="Z84" i="25" s="1"/>
  <c r="V85" i="25"/>
  <c r="X85" i="25" s="1"/>
  <c r="Z85" i="25" s="1"/>
  <c r="V88" i="25"/>
  <c r="X88" i="25" s="1"/>
  <c r="Z88" i="25" s="1"/>
  <c r="V89" i="25"/>
  <c r="X89" i="25" s="1"/>
  <c r="V90" i="25"/>
  <c r="X90" i="25" s="1"/>
  <c r="Z90" i="25" s="1"/>
  <c r="V91" i="25"/>
  <c r="X91" i="25" s="1"/>
  <c r="Z91" i="25" s="1"/>
  <c r="V94" i="25"/>
  <c r="X94" i="25" s="1"/>
  <c r="Z94" i="25" s="1"/>
  <c r="V95" i="25"/>
  <c r="X95" i="25" s="1"/>
  <c r="V96" i="25"/>
  <c r="X96" i="25" s="1"/>
  <c r="Z96" i="25" s="1"/>
  <c r="V97" i="25"/>
  <c r="X97" i="25" s="1"/>
  <c r="Z97" i="25" s="1"/>
  <c r="V54" i="25"/>
  <c r="V55" i="25"/>
  <c r="V56" i="25"/>
  <c r="X56" i="25" s="1"/>
  <c r="Z56" i="25" s="1"/>
  <c r="V57" i="25"/>
  <c r="V17" i="25"/>
  <c r="V22" i="25"/>
  <c r="L136" i="25"/>
  <c r="N136" i="25" s="1"/>
  <c r="L140" i="25"/>
  <c r="N140" i="25" s="1"/>
  <c r="L147" i="25"/>
  <c r="N147" i="25" s="1"/>
  <c r="L148" i="25"/>
  <c r="N148" i="25" s="1"/>
  <c r="L149" i="25"/>
  <c r="N149" i="25" s="1"/>
  <c r="L150" i="25"/>
  <c r="N150" i="25" s="1"/>
  <c r="L151" i="25"/>
  <c r="N151" i="25" s="1"/>
  <c r="L152" i="25"/>
  <c r="L153" i="25"/>
  <c r="N153" i="25" s="1"/>
  <c r="L154" i="25"/>
  <c r="N154" i="25" s="1"/>
  <c r="L155" i="25"/>
  <c r="N155" i="25" s="1"/>
  <c r="L156" i="25"/>
  <c r="N156" i="25" s="1"/>
  <c r="L162" i="25"/>
  <c r="N162" i="25" s="1"/>
  <c r="L163" i="25"/>
  <c r="L164" i="25"/>
  <c r="N164" i="25" s="1"/>
  <c r="L166" i="25"/>
  <c r="N166" i="25" s="1"/>
  <c r="L167" i="25"/>
  <c r="N167" i="25" s="1"/>
  <c r="L168" i="25"/>
  <c r="N168" i="25" s="1"/>
  <c r="L169" i="25"/>
  <c r="N169" i="25" s="1"/>
  <c r="L123" i="25"/>
  <c r="L124" i="25"/>
  <c r="N124" i="25"/>
  <c r="L111" i="25"/>
  <c r="N111" i="25" s="1"/>
  <c r="L104" i="25"/>
  <c r="L106" i="25" s="1"/>
  <c r="B13" i="26" s="1"/>
  <c r="H76" i="25"/>
  <c r="L76" i="25" s="1"/>
  <c r="H77" i="25"/>
  <c r="L77" i="25" s="1"/>
  <c r="H78" i="25"/>
  <c r="L78" i="25" s="1"/>
  <c r="N78" i="25" s="1"/>
  <c r="H79" i="25"/>
  <c r="L79" i="25" s="1"/>
  <c r="N79" i="25" s="1"/>
  <c r="L82" i="25"/>
  <c r="N82" i="25" s="1"/>
  <c r="L83" i="25"/>
  <c r="N83" i="25"/>
  <c r="L84" i="25"/>
  <c r="N84" i="25" s="1"/>
  <c r="L85" i="25"/>
  <c r="N85" i="25"/>
  <c r="L88" i="25"/>
  <c r="N88" i="25" s="1"/>
  <c r="L89" i="25"/>
  <c r="N89" i="25" s="1"/>
  <c r="L90" i="25"/>
  <c r="N90" i="25" s="1"/>
  <c r="L91" i="25"/>
  <c r="N91" i="25"/>
  <c r="L94" i="25"/>
  <c r="N94" i="25" s="1"/>
  <c r="L95" i="25"/>
  <c r="N95" i="25"/>
  <c r="L96" i="25"/>
  <c r="N96" i="25" s="1"/>
  <c r="L97" i="25"/>
  <c r="N97" i="25" s="1"/>
  <c r="L54" i="25"/>
  <c r="N54" i="25" s="1"/>
  <c r="L55" i="25"/>
  <c r="N55" i="25" s="1"/>
  <c r="L56" i="25"/>
  <c r="L57" i="25"/>
  <c r="N57" i="25" s="1"/>
  <c r="L17" i="25"/>
  <c r="N17" i="25" s="1"/>
  <c r="L22" i="25"/>
  <c r="N22" i="25" s="1"/>
  <c r="L38" i="25"/>
  <c r="AH136" i="25"/>
  <c r="AJ136" i="25" s="1"/>
  <c r="AJ140" i="25"/>
  <c r="AL140" i="25" s="1"/>
  <c r="AH147" i="25"/>
  <c r="AH148" i="25"/>
  <c r="AH149" i="25"/>
  <c r="AH150" i="25"/>
  <c r="AH151" i="25"/>
  <c r="AH152" i="25"/>
  <c r="AJ152" i="25" s="1"/>
  <c r="AL152" i="25" s="1"/>
  <c r="AH153" i="25"/>
  <c r="AJ153" i="25" s="1"/>
  <c r="AL153" i="25" s="1"/>
  <c r="AH154" i="25"/>
  <c r="AJ154" i="25" s="1"/>
  <c r="AL154" i="25" s="1"/>
  <c r="AH155" i="25"/>
  <c r="AJ155" i="25" s="1"/>
  <c r="AL155" i="25" s="1"/>
  <c r="AH156" i="25"/>
  <c r="AJ156" i="25" s="1"/>
  <c r="AL156" i="25" s="1"/>
  <c r="AH162" i="25"/>
  <c r="AJ162" i="25" s="1"/>
  <c r="AH163" i="25"/>
  <c r="AJ163" i="25" s="1"/>
  <c r="AL163" i="25" s="1"/>
  <c r="AH164" i="25"/>
  <c r="AJ164" i="25" s="1"/>
  <c r="AL164" i="25" s="1"/>
  <c r="AH166" i="25"/>
  <c r="AJ166" i="25" s="1"/>
  <c r="AH167" i="25"/>
  <c r="AJ167" i="25" s="1"/>
  <c r="AH168" i="25"/>
  <c r="AJ168" i="25" s="1"/>
  <c r="AL168" i="25" s="1"/>
  <c r="AH169" i="25"/>
  <c r="AJ169" i="25" s="1"/>
  <c r="AL169" i="25" s="1"/>
  <c r="AH111" i="25"/>
  <c r="AJ111" i="25" s="1"/>
  <c r="AH104" i="25"/>
  <c r="AJ104" i="25" s="1"/>
  <c r="AH66" i="25"/>
  <c r="AJ66" i="25" s="1"/>
  <c r="AH67" i="25"/>
  <c r="AJ67" i="25" s="1"/>
  <c r="AL67" i="25" s="1"/>
  <c r="AH68" i="25"/>
  <c r="AJ68" i="25" s="1"/>
  <c r="AL68" i="25" s="1"/>
  <c r="AH69" i="25"/>
  <c r="AJ69" i="25"/>
  <c r="AL69" i="25" s="1"/>
  <c r="AH70" i="25"/>
  <c r="AG76" i="25"/>
  <c r="AH76" i="25"/>
  <c r="AJ76" i="25" s="1"/>
  <c r="AL76" i="25" s="1"/>
  <c r="AG77" i="25"/>
  <c r="AH77" i="25"/>
  <c r="AJ77" i="25" s="1"/>
  <c r="AL77" i="25" s="1"/>
  <c r="AG78" i="25"/>
  <c r="AH78" i="25"/>
  <c r="AG79" i="25"/>
  <c r="AH79" i="25"/>
  <c r="AH82" i="25"/>
  <c r="AJ82" i="25" s="1"/>
  <c r="AH83" i="25"/>
  <c r="AJ83" i="25" s="1"/>
  <c r="AL83" i="25" s="1"/>
  <c r="AH84" i="25"/>
  <c r="AJ84" i="25" s="1"/>
  <c r="AL84" i="25" s="1"/>
  <c r="AH85" i="25"/>
  <c r="AJ85" i="25" s="1"/>
  <c r="AL85" i="25" s="1"/>
  <c r="AH88" i="25"/>
  <c r="AJ88" i="25" s="1"/>
  <c r="AL88" i="25" s="1"/>
  <c r="AH89" i="25"/>
  <c r="AJ89" i="25" s="1"/>
  <c r="AL89" i="25" s="1"/>
  <c r="AH90" i="25"/>
  <c r="AJ90" i="25" s="1"/>
  <c r="AL90" i="25" s="1"/>
  <c r="AH91" i="25"/>
  <c r="AJ91" i="25"/>
  <c r="AL91" i="25" s="1"/>
  <c r="AH94" i="25"/>
  <c r="AJ94" i="25" s="1"/>
  <c r="AL94" i="25" s="1"/>
  <c r="AH95" i="25"/>
  <c r="AJ95" i="25" s="1"/>
  <c r="AL95" i="25" s="1"/>
  <c r="AH96" i="25"/>
  <c r="AJ96" i="25" s="1"/>
  <c r="AL96" i="25" s="1"/>
  <c r="AH97" i="25"/>
  <c r="AJ97" i="25" s="1"/>
  <c r="AL97" i="25" s="1"/>
  <c r="AH54" i="25"/>
  <c r="AH55" i="25"/>
  <c r="AH56" i="25"/>
  <c r="AJ56" i="25" s="1"/>
  <c r="AL56" i="25" s="1"/>
  <c r="AH57" i="25"/>
  <c r="AH17" i="25"/>
  <c r="AH22" i="25"/>
  <c r="O177" i="1"/>
  <c r="Q177" i="1" s="1"/>
  <c r="L47" i="23"/>
  <c r="N47" i="23" s="1"/>
  <c r="P47" i="23"/>
  <c r="R47" i="23" s="1"/>
  <c r="U47" i="23"/>
  <c r="AA47" i="23" s="1"/>
  <c r="V47" i="23"/>
  <c r="AB47" i="23"/>
  <c r="AD47" i="23" s="1"/>
  <c r="AF47" i="23" s="1"/>
  <c r="AH47" i="23"/>
  <c r="AJ47" i="23" s="1"/>
  <c r="AN47" i="23"/>
  <c r="K53" i="1"/>
  <c r="M53" i="1"/>
  <c r="O53" i="1"/>
  <c r="Q53" i="1" s="1"/>
  <c r="S53" i="1" s="1"/>
  <c r="P53" i="1"/>
  <c r="AM53" i="1"/>
  <c r="K51" i="1"/>
  <c r="M51" i="1"/>
  <c r="AM51" i="1"/>
  <c r="K78" i="1"/>
  <c r="M78" i="1"/>
  <c r="G79" i="1"/>
  <c r="K79" i="1"/>
  <c r="M79" i="1"/>
  <c r="G80" i="1"/>
  <c r="K80" i="1"/>
  <c r="M80" i="1"/>
  <c r="G81" i="1"/>
  <c r="K81" i="1"/>
  <c r="M81" i="1"/>
  <c r="K84" i="1"/>
  <c r="K87" i="1"/>
  <c r="M87" i="1"/>
  <c r="G88" i="1"/>
  <c r="K88" i="1"/>
  <c r="M88" i="1"/>
  <c r="G89" i="1"/>
  <c r="K89" i="1"/>
  <c r="M89" i="1"/>
  <c r="G90" i="1"/>
  <c r="K90" i="1"/>
  <c r="M90" i="1"/>
  <c r="K93" i="1"/>
  <c r="M93" i="1"/>
  <c r="G94" i="1"/>
  <c r="K94" i="1"/>
  <c r="M94" i="1"/>
  <c r="G95" i="1"/>
  <c r="K95" i="1"/>
  <c r="M95" i="1"/>
  <c r="G96" i="1"/>
  <c r="K96" i="1"/>
  <c r="M96" i="1"/>
  <c r="K99" i="1"/>
  <c r="M99" i="1"/>
  <c r="K100" i="1"/>
  <c r="M100" i="1"/>
  <c r="K101" i="1"/>
  <c r="M101" i="1"/>
  <c r="K102" i="1"/>
  <c r="M102" i="1"/>
  <c r="K63" i="1"/>
  <c r="M63" i="1"/>
  <c r="K64" i="1"/>
  <c r="M64" i="1"/>
  <c r="G65" i="1"/>
  <c r="K65" i="1"/>
  <c r="M65" i="1"/>
  <c r="G66" i="1"/>
  <c r="K66" i="1"/>
  <c r="G67" i="1"/>
  <c r="K67" i="1"/>
  <c r="M67" i="1"/>
  <c r="O99" i="1"/>
  <c r="Q99" i="1" s="1"/>
  <c r="U99" i="1"/>
  <c r="W99" i="1" s="1"/>
  <c r="Y99" i="1" s="1"/>
  <c r="AA99" i="1"/>
  <c r="AC99" i="1"/>
  <c r="AE99" i="1" s="1"/>
  <c r="AG99" i="1"/>
  <c r="AI99" i="1" s="1"/>
  <c r="AK99" i="1" s="1"/>
  <c r="AM99" i="1"/>
  <c r="O100" i="1"/>
  <c r="Q100" i="1" s="1"/>
  <c r="U100" i="1"/>
  <c r="W100" i="1" s="1"/>
  <c r="Y100" i="1" s="1"/>
  <c r="AA100" i="1"/>
  <c r="AC100" i="1" s="1"/>
  <c r="AE100" i="1" s="1"/>
  <c r="AG100" i="1"/>
  <c r="AI100" i="1" s="1"/>
  <c r="AK100" i="1" s="1"/>
  <c r="AM100" i="1"/>
  <c r="O101" i="1"/>
  <c r="Q101" i="1" s="1"/>
  <c r="S101" i="1" s="1"/>
  <c r="U101" i="1"/>
  <c r="W101" i="1" s="1"/>
  <c r="Y101" i="1" s="1"/>
  <c r="AA101" i="1"/>
  <c r="AC101" i="1" s="1"/>
  <c r="AE101" i="1" s="1"/>
  <c r="AG101" i="1"/>
  <c r="AI101" i="1" s="1"/>
  <c r="AK101" i="1" s="1"/>
  <c r="AM101" i="1"/>
  <c r="O102" i="1"/>
  <c r="Q102" i="1" s="1"/>
  <c r="U102" i="1"/>
  <c r="W102" i="1" s="1"/>
  <c r="Y102" i="1" s="1"/>
  <c r="AA102" i="1"/>
  <c r="AC102" i="1" s="1"/>
  <c r="AE102" i="1" s="1"/>
  <c r="AG102" i="1"/>
  <c r="AI102" i="1" s="1"/>
  <c r="AK102" i="1" s="1"/>
  <c r="AM102" i="1"/>
  <c r="K181" i="1"/>
  <c r="M181" i="1"/>
  <c r="K182" i="1"/>
  <c r="K183" i="1"/>
  <c r="M183" i="1"/>
  <c r="K184" i="1"/>
  <c r="M184" i="1"/>
  <c r="K185" i="1"/>
  <c r="M185" i="1"/>
  <c r="K186" i="1"/>
  <c r="K187" i="1"/>
  <c r="M187" i="1"/>
  <c r="K188" i="1"/>
  <c r="M188" i="1"/>
  <c r="K189" i="1"/>
  <c r="M189" i="1"/>
  <c r="K190" i="1"/>
  <c r="K191" i="1"/>
  <c r="M191" i="1"/>
  <c r="K192" i="1"/>
  <c r="M192" i="1"/>
  <c r="K193" i="1"/>
  <c r="M193" i="1"/>
  <c r="K194" i="1"/>
  <c r="M194" i="1"/>
  <c r="K195" i="1"/>
  <c r="M195" i="1"/>
  <c r="K198" i="1"/>
  <c r="K199" i="1"/>
  <c r="K200" i="1"/>
  <c r="K202" i="1"/>
  <c r="M202" i="1"/>
  <c r="K203" i="1"/>
  <c r="K206" i="1"/>
  <c r="M206" i="1"/>
  <c r="K209" i="1"/>
  <c r="M209" i="1"/>
  <c r="K212" i="1"/>
  <c r="M212" i="1"/>
  <c r="K213" i="1"/>
  <c r="M213" i="1"/>
  <c r="K214" i="1"/>
  <c r="M214" i="1"/>
  <c r="K215" i="1"/>
  <c r="K216" i="1"/>
  <c r="K217" i="1"/>
  <c r="M217" i="1"/>
  <c r="K173" i="1"/>
  <c r="M173" i="1"/>
  <c r="K174" i="1"/>
  <c r="M174" i="1"/>
  <c r="K175" i="1"/>
  <c r="M175" i="1"/>
  <c r="K176" i="1"/>
  <c r="M176" i="1"/>
  <c r="K177" i="1"/>
  <c r="M177" i="1"/>
  <c r="K162" i="1"/>
  <c r="K163" i="1"/>
  <c r="K164" i="1"/>
  <c r="M164" i="1"/>
  <c r="K157" i="1"/>
  <c r="K158" i="1"/>
  <c r="M158" i="1"/>
  <c r="L16" i="20"/>
  <c r="L52" i="20"/>
  <c r="N52" i="20" s="1"/>
  <c r="L53" i="20"/>
  <c r="N53" i="20" s="1"/>
  <c r="L54" i="20"/>
  <c r="N54" i="20" s="1"/>
  <c r="L55" i="20"/>
  <c r="N55" i="20" s="1"/>
  <c r="I58" i="20"/>
  <c r="L58" i="20" s="1"/>
  <c r="N58" i="20" s="1"/>
  <c r="H61" i="20"/>
  <c r="L61" i="20" s="1"/>
  <c r="N61" i="20" s="1"/>
  <c r="H62" i="20"/>
  <c r="L62" i="20" s="1"/>
  <c r="N62" i="20" s="1"/>
  <c r="H63" i="20"/>
  <c r="L63" i="20" s="1"/>
  <c r="H64" i="20"/>
  <c r="L64" i="20" s="1"/>
  <c r="N64" i="20" s="1"/>
  <c r="L67" i="20"/>
  <c r="N67" i="20" s="1"/>
  <c r="L68" i="20"/>
  <c r="N68" i="20" s="1"/>
  <c r="L69" i="20"/>
  <c r="N69" i="20" s="1"/>
  <c r="L70" i="20"/>
  <c r="N70" i="20" s="1"/>
  <c r="L73" i="20"/>
  <c r="N73" i="20" s="1"/>
  <c r="L74" i="20"/>
  <c r="N74" i="20" s="1"/>
  <c r="L75" i="20"/>
  <c r="N75" i="20" s="1"/>
  <c r="L76" i="20"/>
  <c r="N76" i="20" s="1"/>
  <c r="L79" i="20"/>
  <c r="N79" i="20" s="1"/>
  <c r="L80" i="20"/>
  <c r="N80" i="20" s="1"/>
  <c r="L81" i="20"/>
  <c r="N81" i="20" s="1"/>
  <c r="L82" i="20"/>
  <c r="N82" i="20" s="1"/>
  <c r="L44" i="20"/>
  <c r="N44" i="20" s="1"/>
  <c r="L45" i="20"/>
  <c r="N45" i="20" s="1"/>
  <c r="L46" i="20"/>
  <c r="N46" i="20" s="1"/>
  <c r="L47" i="20"/>
  <c r="N47" i="20" s="1"/>
  <c r="L89" i="20"/>
  <c r="L91" i="20" s="1"/>
  <c r="B13" i="21" s="1"/>
  <c r="L110" i="20"/>
  <c r="L111" i="20"/>
  <c r="L112" i="20"/>
  <c r="N112" i="20" s="1"/>
  <c r="L133" i="20"/>
  <c r="N133" i="20" s="1"/>
  <c r="L136" i="20"/>
  <c r="L137" i="20"/>
  <c r="N137" i="20" s="1"/>
  <c r="L138" i="20"/>
  <c r="N138" i="20" s="1"/>
  <c r="L139" i="20"/>
  <c r="N139" i="20" s="1"/>
  <c r="L140" i="20"/>
  <c r="L141" i="20"/>
  <c r="N141" i="20" s="1"/>
  <c r="L142" i="20"/>
  <c r="N142" i="20" s="1"/>
  <c r="L143" i="20"/>
  <c r="N143" i="20" s="1"/>
  <c r="L144" i="20"/>
  <c r="N144" i="20" s="1"/>
  <c r="L145" i="20"/>
  <c r="N145" i="20" s="1"/>
  <c r="L148" i="20"/>
  <c r="N148" i="20" s="1"/>
  <c r="L149" i="20"/>
  <c r="N149" i="20" s="1"/>
  <c r="L151" i="20"/>
  <c r="L152" i="20"/>
  <c r="L154" i="20"/>
  <c r="N154" i="20" s="1"/>
  <c r="L155" i="20"/>
  <c r="N155" i="20" s="1"/>
  <c r="L156" i="20"/>
  <c r="N156" i="20" s="1"/>
  <c r="L157" i="20"/>
  <c r="N157" i="20" s="1"/>
  <c r="L124" i="20"/>
  <c r="N124" i="20" s="1"/>
  <c r="L125" i="20"/>
  <c r="L126" i="20"/>
  <c r="L27" i="23"/>
  <c r="N27" i="23" s="1"/>
  <c r="I48" i="23"/>
  <c r="L48" i="23" s="1"/>
  <c r="L198" i="23"/>
  <c r="N198" i="23" s="1"/>
  <c r="L169" i="23"/>
  <c r="L171" i="23"/>
  <c r="N171" i="23" s="1"/>
  <c r="L197" i="23"/>
  <c r="N197" i="23" s="1"/>
  <c r="L199" i="23"/>
  <c r="N199" i="23" s="1"/>
  <c r="L200" i="23"/>
  <c r="N200" i="23" s="1"/>
  <c r="L160" i="23"/>
  <c r="N160" i="23" s="1"/>
  <c r="L161" i="23"/>
  <c r="N161" i="23" s="1"/>
  <c r="L162" i="23"/>
  <c r="N162" i="23" s="1"/>
  <c r="L163" i="23"/>
  <c r="N163" i="23" s="1"/>
  <c r="L165" i="23"/>
  <c r="N165" i="23" s="1"/>
  <c r="N69" i="23"/>
  <c r="L75" i="23"/>
  <c r="N75" i="23" s="1"/>
  <c r="L76" i="23"/>
  <c r="N76" i="23" s="1"/>
  <c r="L77" i="23"/>
  <c r="N77" i="23" s="1"/>
  <c r="L78" i="23"/>
  <c r="N78" i="23" s="1"/>
  <c r="L79" i="23"/>
  <c r="N79" i="23" s="1"/>
  <c r="L82" i="23"/>
  <c r="N82" i="23" s="1"/>
  <c r="L83" i="23"/>
  <c r="N83" i="23" s="1"/>
  <c r="L84" i="23"/>
  <c r="N84" i="23" s="1"/>
  <c r="L85" i="23"/>
  <c r="N85" i="23" s="1"/>
  <c r="I88" i="23"/>
  <c r="P88" i="23" s="1"/>
  <c r="R88" i="23" s="1"/>
  <c r="T88" i="23" s="1"/>
  <c r="H91" i="23"/>
  <c r="L91" i="23" s="1"/>
  <c r="N91" i="23" s="1"/>
  <c r="H92" i="23"/>
  <c r="L92" i="23" s="1"/>
  <c r="N92" i="23" s="1"/>
  <c r="H93" i="23"/>
  <c r="L93" i="23" s="1"/>
  <c r="N93" i="23" s="1"/>
  <c r="H94" i="23"/>
  <c r="L94" i="23" s="1"/>
  <c r="N94" i="23" s="1"/>
  <c r="L97" i="23"/>
  <c r="N97" i="23" s="1"/>
  <c r="L98" i="23"/>
  <c r="L99" i="23"/>
  <c r="N99" i="23" s="1"/>
  <c r="L100" i="23"/>
  <c r="N100" i="23" s="1"/>
  <c r="L103" i="23"/>
  <c r="N103" i="23" s="1"/>
  <c r="L104" i="23"/>
  <c r="N104" i="23"/>
  <c r="L105" i="23"/>
  <c r="N105" i="23" s="1"/>
  <c r="L106" i="23"/>
  <c r="L109" i="23"/>
  <c r="N109" i="23" s="1"/>
  <c r="L110" i="23"/>
  <c r="N110" i="23" s="1"/>
  <c r="L111" i="23"/>
  <c r="N111" i="23" s="1"/>
  <c r="L112" i="23"/>
  <c r="N112" i="23" s="1"/>
  <c r="L115" i="23"/>
  <c r="N115" i="23" s="1"/>
  <c r="L116" i="23"/>
  <c r="N116" i="23" s="1"/>
  <c r="L117" i="23"/>
  <c r="N117" i="23" s="1"/>
  <c r="L118" i="23"/>
  <c r="N118" i="23" s="1"/>
  <c r="L61" i="23"/>
  <c r="N61" i="23" s="1"/>
  <c r="L62" i="23"/>
  <c r="L125" i="23"/>
  <c r="L127" i="23" s="1"/>
  <c r="B13" i="24" s="1"/>
  <c r="K148" i="1"/>
  <c r="H125" i="1"/>
  <c r="H126" i="1"/>
  <c r="G126" i="1"/>
  <c r="C14" i="15"/>
  <c r="D14" i="15"/>
  <c r="H127" i="1"/>
  <c r="G127" i="1"/>
  <c r="C15" i="15"/>
  <c r="D15" i="15"/>
  <c r="H128" i="1"/>
  <c r="G128" i="1"/>
  <c r="C16" i="15"/>
  <c r="D16" i="15"/>
  <c r="H129" i="1"/>
  <c r="G129" i="1"/>
  <c r="C17" i="15"/>
  <c r="D17" i="15"/>
  <c r="H130" i="1"/>
  <c r="K131" i="1"/>
  <c r="M131" i="1"/>
  <c r="K132" i="1"/>
  <c r="M132" i="1"/>
  <c r="K134" i="1"/>
  <c r="H117" i="1"/>
  <c r="H118" i="1"/>
  <c r="H119" i="1"/>
  <c r="H120" i="1"/>
  <c r="K121" i="1"/>
  <c r="M121" i="1"/>
  <c r="K110" i="1"/>
  <c r="H24" i="1"/>
  <c r="O24" i="1"/>
  <c r="Q24" i="1"/>
  <c r="O25" i="1"/>
  <c r="Q25" i="1" s="1"/>
  <c r="S25" i="1" s="1"/>
  <c r="O30" i="1"/>
  <c r="Q30" i="1" s="1"/>
  <c r="S30" i="1" s="1"/>
  <c r="K32" i="1"/>
  <c r="K34" i="1"/>
  <c r="M34" i="1"/>
  <c r="K36" i="1"/>
  <c r="M36" i="1"/>
  <c r="K23" i="1"/>
  <c r="K50" i="1"/>
  <c r="M50" i="1"/>
  <c r="K54" i="1"/>
  <c r="M54" i="1"/>
  <c r="H17" i="1"/>
  <c r="K17" i="1"/>
  <c r="M17" i="1"/>
  <c r="H18" i="1"/>
  <c r="K18" i="1"/>
  <c r="M18" i="1"/>
  <c r="H19" i="1"/>
  <c r="U19" i="1"/>
  <c r="O32" i="1"/>
  <c r="Q32" i="1" s="1"/>
  <c r="U32" i="1"/>
  <c r="W32" i="1" s="1"/>
  <c r="Y32" i="1" s="1"/>
  <c r="AA32" i="1"/>
  <c r="AC32" i="1" s="1"/>
  <c r="AE32" i="1" s="1"/>
  <c r="AG32" i="1"/>
  <c r="AI32" i="1" s="1"/>
  <c r="AK32" i="1" s="1"/>
  <c r="AM47" i="1"/>
  <c r="O36" i="1"/>
  <c r="Q36" i="1" s="1"/>
  <c r="U36" i="1"/>
  <c r="W36" i="1" s="1"/>
  <c r="Y36" i="1" s="1"/>
  <c r="AA34" i="1"/>
  <c r="AC34" i="1" s="1"/>
  <c r="AE34" i="1" s="1"/>
  <c r="AA36" i="1"/>
  <c r="AC36" i="1" s="1"/>
  <c r="AE36" i="1" s="1"/>
  <c r="AG36" i="1"/>
  <c r="AI36" i="1" s="1"/>
  <c r="AK36" i="1" s="1"/>
  <c r="AM48" i="1"/>
  <c r="O23" i="1"/>
  <c r="Q23" i="1" s="1"/>
  <c r="AM49" i="1"/>
  <c r="P50" i="1"/>
  <c r="U50" i="1"/>
  <c r="AA50" i="1"/>
  <c r="AC50" i="1" s="1"/>
  <c r="AE50" i="1" s="1"/>
  <c r="AG50" i="1"/>
  <c r="AI50" i="1" s="1"/>
  <c r="AK50" i="1" s="1"/>
  <c r="AM50" i="1"/>
  <c r="O54" i="1"/>
  <c r="Q54" i="1"/>
  <c r="U54" i="1"/>
  <c r="W54" i="1" s="1"/>
  <c r="Y54" i="1" s="1"/>
  <c r="AA54" i="1"/>
  <c r="AC54" i="1" s="1"/>
  <c r="AE54" i="1" s="1"/>
  <c r="AG54" i="1"/>
  <c r="AI54" i="1" s="1"/>
  <c r="AK54" i="1" s="1"/>
  <c r="AM54" i="1"/>
  <c r="N17" i="1"/>
  <c r="N18" i="1"/>
  <c r="N19" i="1"/>
  <c r="T17" i="1"/>
  <c r="Z17" i="1"/>
  <c r="AJ55" i="1"/>
  <c r="AJ44" i="1"/>
  <c r="AD55" i="1"/>
  <c r="AD44" i="1"/>
  <c r="X55" i="1"/>
  <c r="X44" i="1"/>
  <c r="R55" i="1"/>
  <c r="R44" i="1"/>
  <c r="L55" i="1"/>
  <c r="L44" i="1"/>
  <c r="AM162" i="1"/>
  <c r="AM163" i="1"/>
  <c r="AM164" i="1"/>
  <c r="AM157" i="1"/>
  <c r="AM158" i="1"/>
  <c r="C22" i="21"/>
  <c r="M25" i="20"/>
  <c r="M37" i="20" s="1"/>
  <c r="M26" i="20"/>
  <c r="N26" i="20" s="1"/>
  <c r="M27" i="20"/>
  <c r="M19" i="20"/>
  <c r="M83" i="20"/>
  <c r="M48" i="20"/>
  <c r="M91" i="20"/>
  <c r="C13" i="21" s="1"/>
  <c r="M97" i="20"/>
  <c r="M98" i="20" s="1"/>
  <c r="M158" i="20"/>
  <c r="M125" i="20"/>
  <c r="AN125" i="20" s="1"/>
  <c r="M126" i="20"/>
  <c r="AN126" i="20" s="1"/>
  <c r="F22" i="21"/>
  <c r="P25" i="20"/>
  <c r="S25" i="20" s="1"/>
  <c r="T25" i="20" s="1"/>
  <c r="P26" i="20"/>
  <c r="S26" i="20" s="1"/>
  <c r="P27" i="20"/>
  <c r="S27" i="20" s="1"/>
  <c r="T27" i="20" s="1"/>
  <c r="O19" i="20"/>
  <c r="P19" i="20"/>
  <c r="S83" i="20"/>
  <c r="S48" i="20"/>
  <c r="S91" i="20"/>
  <c r="F13" i="21" s="1"/>
  <c r="S158" i="20"/>
  <c r="S127" i="20"/>
  <c r="I22" i="21"/>
  <c r="V25" i="20"/>
  <c r="Y25" i="20" s="1"/>
  <c r="V26" i="20"/>
  <c r="Y26" i="20" s="1"/>
  <c r="Z26" i="20" s="1"/>
  <c r="V27" i="20"/>
  <c r="Y27" i="20" s="1"/>
  <c r="U19" i="20"/>
  <c r="AA19" i="20" s="1"/>
  <c r="AG19" i="20" s="1"/>
  <c r="V19" i="20"/>
  <c r="Y83" i="20"/>
  <c r="Y48" i="20"/>
  <c r="Y91" i="20"/>
  <c r="I13" i="21" s="1"/>
  <c r="Y158" i="20"/>
  <c r="Y127" i="20"/>
  <c r="L22" i="21"/>
  <c r="AB25" i="20"/>
  <c r="AE25" i="20" s="1"/>
  <c r="AF25" i="20" s="1"/>
  <c r="AB26" i="20"/>
  <c r="AE26" i="20" s="1"/>
  <c r="AF26" i="20" s="1"/>
  <c r="AB27" i="20"/>
  <c r="AE27" i="20"/>
  <c r="AF27" i="20" s="1"/>
  <c r="AB19" i="20"/>
  <c r="AE83" i="20"/>
  <c r="AE85" i="20" s="1"/>
  <c r="L11" i="21" s="1"/>
  <c r="AE48" i="20"/>
  <c r="AE91" i="20"/>
  <c r="L13" i="21" s="1"/>
  <c r="AE158" i="20"/>
  <c r="AE127" i="20"/>
  <c r="O22" i="21"/>
  <c r="AH25" i="20"/>
  <c r="AK25" i="20" s="1"/>
  <c r="AH26" i="20"/>
  <c r="AK26" i="20" s="1"/>
  <c r="AL26" i="20" s="1"/>
  <c r="AH27" i="20"/>
  <c r="AK27" i="20" s="1"/>
  <c r="AL27" i="20" s="1"/>
  <c r="AH19" i="20"/>
  <c r="AK83" i="20"/>
  <c r="AK48" i="20"/>
  <c r="AK91" i="20"/>
  <c r="O13" i="21" s="1"/>
  <c r="AK158" i="20"/>
  <c r="AK127" i="20"/>
  <c r="M201" i="23"/>
  <c r="M119" i="23"/>
  <c r="M121" i="23" s="1"/>
  <c r="C11" i="24" s="1"/>
  <c r="M65" i="23"/>
  <c r="M49" i="23"/>
  <c r="M127" i="23"/>
  <c r="C13" i="24" s="1"/>
  <c r="S201" i="23"/>
  <c r="S203" i="23" s="1"/>
  <c r="S140" i="23"/>
  <c r="S142" i="23" s="1"/>
  <c r="F15" i="24" s="1"/>
  <c r="S119" i="23"/>
  <c r="S121" i="23" s="1"/>
  <c r="F11" i="24" s="1"/>
  <c r="S65" i="23"/>
  <c r="S49" i="23"/>
  <c r="S127" i="23"/>
  <c r="F13" i="24" s="1"/>
  <c r="Y201" i="23"/>
  <c r="Y140" i="23"/>
  <c r="Y142" i="23" s="1"/>
  <c r="I15" i="24" s="1"/>
  <c r="Y119" i="23"/>
  <c r="Y65" i="23"/>
  <c r="Y49" i="23"/>
  <c r="Y127" i="23"/>
  <c r="I13" i="24" s="1"/>
  <c r="AE201" i="23"/>
  <c r="AE140" i="23"/>
  <c r="AE119" i="23"/>
  <c r="AE65" i="23"/>
  <c r="AE49" i="23"/>
  <c r="AE127" i="23"/>
  <c r="L13" i="24" s="1"/>
  <c r="AK201" i="23"/>
  <c r="AK140" i="23"/>
  <c r="AK119" i="23"/>
  <c r="AK65" i="23"/>
  <c r="AK49" i="23"/>
  <c r="AK127" i="23"/>
  <c r="O13" i="24" s="1"/>
  <c r="AM148" i="1"/>
  <c r="O162" i="1"/>
  <c r="Q162" i="1"/>
  <c r="U162" i="1"/>
  <c r="W162" i="1"/>
  <c r="AA162" i="1"/>
  <c r="AC162" i="1"/>
  <c r="AG162" i="1"/>
  <c r="AI162" i="1"/>
  <c r="O163" i="1"/>
  <c r="Q163" i="1"/>
  <c r="S163" i="1"/>
  <c r="U163" i="1"/>
  <c r="W163" i="1"/>
  <c r="Y163" i="1"/>
  <c r="AC163" i="1"/>
  <c r="AE163" i="1"/>
  <c r="AG163" i="1"/>
  <c r="AI163" i="1"/>
  <c r="AK163" i="1"/>
  <c r="O164" i="1"/>
  <c r="Q164" i="1"/>
  <c r="U164" i="1"/>
  <c r="W164" i="1"/>
  <c r="Y164" i="1"/>
  <c r="AC164" i="1"/>
  <c r="AG164" i="1"/>
  <c r="AI164" i="1"/>
  <c r="AK164" i="1"/>
  <c r="O157" i="1"/>
  <c r="Q157" i="1"/>
  <c r="S157" i="1"/>
  <c r="U157" i="1"/>
  <c r="W157" i="1"/>
  <c r="AA157" i="1"/>
  <c r="AC157" i="1"/>
  <c r="AG157" i="1"/>
  <c r="AI157" i="1"/>
  <c r="AK157" i="1"/>
  <c r="O158" i="1"/>
  <c r="Q158" i="1"/>
  <c r="S158" i="1"/>
  <c r="U158" i="1"/>
  <c r="W158" i="1"/>
  <c r="Y158" i="1"/>
  <c r="AA158" i="1"/>
  <c r="AC158" i="1"/>
  <c r="AE158" i="1"/>
  <c r="AG158" i="1"/>
  <c r="AI158" i="1"/>
  <c r="AK158" i="1"/>
  <c r="P133" i="20"/>
  <c r="R133" i="20" s="1"/>
  <c r="P136" i="20"/>
  <c r="R136" i="20" s="1"/>
  <c r="T136" i="20" s="1"/>
  <c r="P137" i="20"/>
  <c r="R137" i="20" s="1"/>
  <c r="T137" i="20" s="1"/>
  <c r="P138" i="20"/>
  <c r="R138" i="20" s="1"/>
  <c r="P139" i="20"/>
  <c r="R139" i="20" s="1"/>
  <c r="T139" i="20" s="1"/>
  <c r="P140" i="20"/>
  <c r="R140" i="20" s="1"/>
  <c r="T140" i="20" s="1"/>
  <c r="P141" i="20"/>
  <c r="R141" i="20" s="1"/>
  <c r="T141" i="20" s="1"/>
  <c r="P142" i="20"/>
  <c r="R142" i="20" s="1"/>
  <c r="T142" i="20" s="1"/>
  <c r="P143" i="20"/>
  <c r="R143" i="20" s="1"/>
  <c r="P144" i="20"/>
  <c r="R144" i="20" s="1"/>
  <c r="P145" i="20"/>
  <c r="R145" i="20" s="1"/>
  <c r="P148" i="20"/>
  <c r="R148" i="20" s="1"/>
  <c r="T148" i="20" s="1"/>
  <c r="P149" i="20"/>
  <c r="R149" i="20" s="1"/>
  <c r="P151" i="20"/>
  <c r="R151" i="20" s="1"/>
  <c r="P152" i="20"/>
  <c r="R152" i="20" s="1"/>
  <c r="T152" i="20" s="1"/>
  <c r="P154" i="20"/>
  <c r="R154" i="20" s="1"/>
  <c r="T154" i="20" s="1"/>
  <c r="P155" i="20"/>
  <c r="R155" i="20" s="1"/>
  <c r="T155" i="20" s="1"/>
  <c r="P156" i="20"/>
  <c r="R156" i="20" s="1"/>
  <c r="T156" i="20" s="1"/>
  <c r="P157" i="20"/>
  <c r="R157" i="20" s="1"/>
  <c r="T157" i="20" s="1"/>
  <c r="P124" i="20"/>
  <c r="R124" i="20" s="1"/>
  <c r="T124" i="20" s="1"/>
  <c r="P125" i="20"/>
  <c r="R125" i="20" s="1"/>
  <c r="T125" i="20" s="1"/>
  <c r="P126" i="20"/>
  <c r="R126" i="20" s="1"/>
  <c r="P110" i="20"/>
  <c r="R110" i="20" s="1"/>
  <c r="T110" i="20" s="1"/>
  <c r="P111" i="20"/>
  <c r="R111" i="20" s="1"/>
  <c r="T111" i="20" s="1"/>
  <c r="R112" i="20"/>
  <c r="T112" i="20" s="1"/>
  <c r="P89" i="20"/>
  <c r="R89" i="20" s="1"/>
  <c r="P52" i="20"/>
  <c r="R52" i="20" s="1"/>
  <c r="P53" i="20"/>
  <c r="R53" i="20" s="1"/>
  <c r="T53" i="20" s="1"/>
  <c r="P54" i="20"/>
  <c r="R54" i="20" s="1"/>
  <c r="T54" i="20" s="1"/>
  <c r="P55" i="20"/>
  <c r="R55" i="20" s="1"/>
  <c r="T55" i="20" s="1"/>
  <c r="P61" i="20"/>
  <c r="R61" i="20" s="1"/>
  <c r="P62" i="20"/>
  <c r="R62" i="20" s="1"/>
  <c r="T62" i="20" s="1"/>
  <c r="P63" i="20"/>
  <c r="R63" i="20" s="1"/>
  <c r="T63" i="20" s="1"/>
  <c r="P64" i="20"/>
  <c r="R64" i="20" s="1"/>
  <c r="T64" i="20" s="1"/>
  <c r="P67" i="20"/>
  <c r="R67" i="20" s="1"/>
  <c r="P68" i="20"/>
  <c r="R68" i="20" s="1"/>
  <c r="T68" i="20" s="1"/>
  <c r="P69" i="20"/>
  <c r="R69" i="20" s="1"/>
  <c r="P70" i="20"/>
  <c r="R70" i="20" s="1"/>
  <c r="P73" i="20"/>
  <c r="R73" i="20" s="1"/>
  <c r="T73" i="20" s="1"/>
  <c r="P74" i="20"/>
  <c r="R74" i="20" s="1"/>
  <c r="T74" i="20" s="1"/>
  <c r="P75" i="20"/>
  <c r="R75" i="20" s="1"/>
  <c r="T75" i="20" s="1"/>
  <c r="P76" i="20"/>
  <c r="R76" i="20" s="1"/>
  <c r="P79" i="20"/>
  <c r="R79" i="20" s="1"/>
  <c r="P80" i="20"/>
  <c r="R80" i="20" s="1"/>
  <c r="P81" i="20"/>
  <c r="R81" i="20" s="1"/>
  <c r="T81" i="20" s="1"/>
  <c r="P82" i="20"/>
  <c r="R82" i="20" s="1"/>
  <c r="T82" i="20" s="1"/>
  <c r="P44" i="20"/>
  <c r="R44" i="20" s="1"/>
  <c r="T44" i="20" s="1"/>
  <c r="P45" i="20"/>
  <c r="R45" i="20" s="1"/>
  <c r="T45" i="20" s="1"/>
  <c r="P46" i="20"/>
  <c r="R46" i="20" s="1"/>
  <c r="P47" i="20"/>
  <c r="R47" i="20" s="1"/>
  <c r="O16" i="20"/>
  <c r="P16" i="20"/>
  <c r="V133" i="20"/>
  <c r="X133" i="20" s="1"/>
  <c r="Z133" i="20" s="1"/>
  <c r="V136" i="20"/>
  <c r="X136" i="20" s="1"/>
  <c r="Z136" i="20" s="1"/>
  <c r="V137" i="20"/>
  <c r="X137" i="20" s="1"/>
  <c r="Z137" i="20" s="1"/>
  <c r="V138" i="20"/>
  <c r="X138" i="20" s="1"/>
  <c r="Z138" i="20" s="1"/>
  <c r="V139" i="20"/>
  <c r="X139" i="20" s="1"/>
  <c r="Z139" i="20" s="1"/>
  <c r="V140" i="20"/>
  <c r="X140" i="20" s="1"/>
  <c r="V141" i="20"/>
  <c r="X141" i="20" s="1"/>
  <c r="Z141" i="20" s="1"/>
  <c r="V142" i="20"/>
  <c r="X142" i="20" s="1"/>
  <c r="Z142" i="20" s="1"/>
  <c r="V143" i="20"/>
  <c r="X143" i="20" s="1"/>
  <c r="Z143" i="20" s="1"/>
  <c r="V144" i="20"/>
  <c r="X144" i="20" s="1"/>
  <c r="Z144" i="20" s="1"/>
  <c r="V145" i="20"/>
  <c r="X145" i="20" s="1"/>
  <c r="Z145" i="20" s="1"/>
  <c r="V148" i="20"/>
  <c r="X148" i="20" s="1"/>
  <c r="V149" i="20"/>
  <c r="X149" i="20" s="1"/>
  <c r="Z149" i="20" s="1"/>
  <c r="V151" i="20"/>
  <c r="X151" i="20" s="1"/>
  <c r="Z151" i="20" s="1"/>
  <c r="V152" i="20"/>
  <c r="X152" i="20" s="1"/>
  <c r="Z152" i="20" s="1"/>
  <c r="V154" i="20"/>
  <c r="X154" i="20" s="1"/>
  <c r="Z154" i="20" s="1"/>
  <c r="V155" i="20"/>
  <c r="X155" i="20" s="1"/>
  <c r="Z155" i="20" s="1"/>
  <c r="V156" i="20"/>
  <c r="X156" i="20" s="1"/>
  <c r="Z156" i="20" s="1"/>
  <c r="V157" i="20"/>
  <c r="X157" i="20" s="1"/>
  <c r="Z157" i="20" s="1"/>
  <c r="V124" i="20"/>
  <c r="X124" i="20" s="1"/>
  <c r="V125" i="20"/>
  <c r="X125" i="20" s="1"/>
  <c r="Z125" i="20" s="1"/>
  <c r="V126" i="20"/>
  <c r="X126" i="20" s="1"/>
  <c r="Z126" i="20" s="1"/>
  <c r="V110" i="20"/>
  <c r="X110" i="20" s="1"/>
  <c r="V111" i="20"/>
  <c r="X111" i="20" s="1"/>
  <c r="Z111" i="20" s="1"/>
  <c r="X112" i="20"/>
  <c r="Z112" i="20" s="1"/>
  <c r="V89" i="20"/>
  <c r="X89" i="20" s="1"/>
  <c r="V52" i="20"/>
  <c r="X52" i="20" s="1"/>
  <c r="V53" i="20"/>
  <c r="X53" i="20" s="1"/>
  <c r="V54" i="20"/>
  <c r="X54" i="20" s="1"/>
  <c r="Z54" i="20" s="1"/>
  <c r="V55" i="20"/>
  <c r="X55" i="20" s="1"/>
  <c r="Z55" i="20" s="1"/>
  <c r="U61" i="20"/>
  <c r="V61" i="20"/>
  <c r="U62" i="20"/>
  <c r="V62" i="20"/>
  <c r="U63" i="20"/>
  <c r="V63" i="20"/>
  <c r="U64" i="20"/>
  <c r="V64" i="20"/>
  <c r="V67" i="20"/>
  <c r="X67" i="20" s="1"/>
  <c r="Z67" i="20" s="1"/>
  <c r="V68" i="20"/>
  <c r="X68" i="20" s="1"/>
  <c r="Z68" i="20" s="1"/>
  <c r="V69" i="20"/>
  <c r="X69" i="20" s="1"/>
  <c r="Z69" i="20" s="1"/>
  <c r="V70" i="20"/>
  <c r="X70" i="20" s="1"/>
  <c r="Z70" i="20" s="1"/>
  <c r="V73" i="20"/>
  <c r="X73" i="20" s="1"/>
  <c r="Z73" i="20" s="1"/>
  <c r="V74" i="20"/>
  <c r="X74" i="20" s="1"/>
  <c r="Z74" i="20" s="1"/>
  <c r="V75" i="20"/>
  <c r="X75" i="20" s="1"/>
  <c r="Z75" i="20" s="1"/>
  <c r="V76" i="20"/>
  <c r="X76" i="20" s="1"/>
  <c r="Z76" i="20" s="1"/>
  <c r="V79" i="20"/>
  <c r="X79" i="20" s="1"/>
  <c r="Z79" i="20" s="1"/>
  <c r="V80" i="20"/>
  <c r="X80" i="20" s="1"/>
  <c r="Z80" i="20" s="1"/>
  <c r="V81" i="20"/>
  <c r="X81" i="20" s="1"/>
  <c r="Z81" i="20" s="1"/>
  <c r="V82" i="20"/>
  <c r="X82" i="20" s="1"/>
  <c r="Z82" i="20" s="1"/>
  <c r="V44" i="20"/>
  <c r="X44" i="20" s="1"/>
  <c r="V45" i="20"/>
  <c r="X45" i="20" s="1"/>
  <c r="Z45" i="20" s="1"/>
  <c r="V46" i="20"/>
  <c r="X46" i="20" s="1"/>
  <c r="Z46" i="20" s="1"/>
  <c r="V47" i="20"/>
  <c r="X47" i="20" s="1"/>
  <c r="Z47" i="20" s="1"/>
  <c r="U16" i="20"/>
  <c r="V16" i="20"/>
  <c r="AB133" i="20"/>
  <c r="AD133" i="20" s="1"/>
  <c r="AF133" i="20" s="1"/>
  <c r="AB136" i="20"/>
  <c r="AD136" i="20" s="1"/>
  <c r="AF136" i="20" s="1"/>
  <c r="AB137" i="20"/>
  <c r="AD137" i="20" s="1"/>
  <c r="AF137" i="20" s="1"/>
  <c r="AB138" i="20"/>
  <c r="AD138" i="20" s="1"/>
  <c r="AF138" i="20" s="1"/>
  <c r="AB139" i="20"/>
  <c r="AD139" i="20" s="1"/>
  <c r="AF139" i="20" s="1"/>
  <c r="AB140" i="20"/>
  <c r="AD140" i="20" s="1"/>
  <c r="AF140" i="20" s="1"/>
  <c r="AB141" i="20"/>
  <c r="AD141" i="20" s="1"/>
  <c r="AB142" i="20"/>
  <c r="AD142" i="20" s="1"/>
  <c r="AB143" i="20"/>
  <c r="AD143" i="20" s="1"/>
  <c r="AF143" i="20" s="1"/>
  <c r="AB144" i="20"/>
  <c r="AD144" i="20" s="1"/>
  <c r="AF144" i="20" s="1"/>
  <c r="AB145" i="20"/>
  <c r="AD145" i="20" s="1"/>
  <c r="AF145" i="20" s="1"/>
  <c r="AB148" i="20"/>
  <c r="AD148" i="20" s="1"/>
  <c r="AF148" i="20" s="1"/>
  <c r="AB149" i="20"/>
  <c r="AD149" i="20" s="1"/>
  <c r="AF149" i="20" s="1"/>
  <c r="AB151" i="20"/>
  <c r="AD151" i="20" s="1"/>
  <c r="AF151" i="20" s="1"/>
  <c r="AB152" i="20"/>
  <c r="AD152" i="20" s="1"/>
  <c r="AF152" i="20" s="1"/>
  <c r="AB154" i="20"/>
  <c r="AD154" i="20" s="1"/>
  <c r="AB155" i="20"/>
  <c r="AD155" i="20" s="1"/>
  <c r="AF155" i="20" s="1"/>
  <c r="AB156" i="20"/>
  <c r="AD156" i="20" s="1"/>
  <c r="AF156" i="20" s="1"/>
  <c r="AB157" i="20"/>
  <c r="AD157" i="20" s="1"/>
  <c r="AF157" i="20" s="1"/>
  <c r="AB124" i="20"/>
  <c r="AD124" i="20" s="1"/>
  <c r="AF124" i="20" s="1"/>
  <c r="AB125" i="20"/>
  <c r="AD125" i="20" s="1"/>
  <c r="AF125" i="20" s="1"/>
  <c r="AB126" i="20"/>
  <c r="AD126" i="20" s="1"/>
  <c r="AF126" i="20" s="1"/>
  <c r="AB110" i="20"/>
  <c r="AD110" i="20" s="1"/>
  <c r="AF110" i="20" s="1"/>
  <c r="AB111" i="20"/>
  <c r="AD111" i="20" s="1"/>
  <c r="AF111" i="20" s="1"/>
  <c r="AD112" i="20"/>
  <c r="AF112" i="20" s="1"/>
  <c r="AB89" i="20"/>
  <c r="AD89" i="20" s="1"/>
  <c r="AB52" i="20"/>
  <c r="AD52" i="20" s="1"/>
  <c r="AF52" i="20" s="1"/>
  <c r="AB53" i="20"/>
  <c r="AD53" i="20" s="1"/>
  <c r="AF53" i="20" s="1"/>
  <c r="AB54" i="20"/>
  <c r="AD54" i="20" s="1"/>
  <c r="AF54" i="20" s="1"/>
  <c r="AB55" i="20"/>
  <c r="AD55" i="20" s="1"/>
  <c r="AF55" i="20" s="1"/>
  <c r="AA61" i="20"/>
  <c r="AB61" i="20"/>
  <c r="AA62" i="20"/>
  <c r="AB62" i="20"/>
  <c r="AA63" i="20"/>
  <c r="AB63" i="20"/>
  <c r="AA64" i="20"/>
  <c r="AB64" i="20"/>
  <c r="AB67" i="20"/>
  <c r="AD67" i="20" s="1"/>
  <c r="AB68" i="20"/>
  <c r="AD68" i="20" s="1"/>
  <c r="AF68" i="20" s="1"/>
  <c r="AB69" i="20"/>
  <c r="AD69" i="20" s="1"/>
  <c r="AF69" i="20" s="1"/>
  <c r="AB70" i="20"/>
  <c r="AD70" i="20" s="1"/>
  <c r="AF70" i="20" s="1"/>
  <c r="AB73" i="20"/>
  <c r="AD73" i="20" s="1"/>
  <c r="AB74" i="20"/>
  <c r="AD74" i="20" s="1"/>
  <c r="AF74" i="20" s="1"/>
  <c r="AB75" i="20"/>
  <c r="AD75" i="20" s="1"/>
  <c r="AF75" i="20" s="1"/>
  <c r="AB76" i="20"/>
  <c r="AD76" i="20" s="1"/>
  <c r="AF76" i="20" s="1"/>
  <c r="AB79" i="20"/>
  <c r="AD79" i="20" s="1"/>
  <c r="AB80" i="20"/>
  <c r="AD80" i="20" s="1"/>
  <c r="AF80" i="20" s="1"/>
  <c r="AB81" i="20"/>
  <c r="AD81" i="20" s="1"/>
  <c r="AF81" i="20" s="1"/>
  <c r="AB82" i="20"/>
  <c r="AD82" i="20" s="1"/>
  <c r="AF82" i="20" s="1"/>
  <c r="AB44" i="20"/>
  <c r="AD44" i="20" s="1"/>
  <c r="AF44" i="20" s="1"/>
  <c r="AB45" i="20"/>
  <c r="AD45" i="20" s="1"/>
  <c r="AB46" i="20"/>
  <c r="AD46" i="20" s="1"/>
  <c r="AF46" i="20" s="1"/>
  <c r="AB47" i="20"/>
  <c r="AD47" i="20" s="1"/>
  <c r="AF47" i="20" s="1"/>
  <c r="AB16" i="20"/>
  <c r="AH133" i="20"/>
  <c r="AJ133" i="20" s="1"/>
  <c r="AL133" i="20" s="1"/>
  <c r="AH136" i="20"/>
  <c r="AJ136" i="20" s="1"/>
  <c r="AH137" i="20"/>
  <c r="AJ137" i="20" s="1"/>
  <c r="AL137" i="20" s="1"/>
  <c r="AH138" i="20"/>
  <c r="AJ138" i="20" s="1"/>
  <c r="AL138" i="20" s="1"/>
  <c r="AH139" i="20"/>
  <c r="AJ139" i="20" s="1"/>
  <c r="AH140" i="20"/>
  <c r="AJ140" i="20" s="1"/>
  <c r="AL140" i="20" s="1"/>
  <c r="AH141" i="20"/>
  <c r="AJ141" i="20" s="1"/>
  <c r="AL141" i="20" s="1"/>
  <c r="AH142" i="20"/>
  <c r="AJ142" i="20" s="1"/>
  <c r="AL142" i="20" s="1"/>
  <c r="AH143" i="20"/>
  <c r="AJ143" i="20" s="1"/>
  <c r="AL143" i="20" s="1"/>
  <c r="AH144" i="20"/>
  <c r="AJ144" i="20" s="1"/>
  <c r="AL144" i="20" s="1"/>
  <c r="AH145" i="20"/>
  <c r="AJ145" i="20" s="1"/>
  <c r="AL145" i="20" s="1"/>
  <c r="AH148" i="20"/>
  <c r="AJ148" i="20" s="1"/>
  <c r="AL148" i="20" s="1"/>
  <c r="AH149" i="20"/>
  <c r="AJ149" i="20" s="1"/>
  <c r="AL149" i="20" s="1"/>
  <c r="AH151" i="20"/>
  <c r="AJ151" i="20" s="1"/>
  <c r="AL151" i="20" s="1"/>
  <c r="AH152" i="20"/>
  <c r="AJ152" i="20" s="1"/>
  <c r="AL152" i="20" s="1"/>
  <c r="AH154" i="20"/>
  <c r="AJ154" i="20" s="1"/>
  <c r="AL154" i="20" s="1"/>
  <c r="AH155" i="20"/>
  <c r="AJ155" i="20" s="1"/>
  <c r="AL155" i="20" s="1"/>
  <c r="AH156" i="20"/>
  <c r="AJ156" i="20" s="1"/>
  <c r="AL156" i="20" s="1"/>
  <c r="AH157" i="20"/>
  <c r="AJ157" i="20" s="1"/>
  <c r="AL157" i="20" s="1"/>
  <c r="AH124" i="20"/>
  <c r="AJ124" i="20" s="1"/>
  <c r="AL124" i="20" s="1"/>
  <c r="AH125" i="20"/>
  <c r="AJ125" i="20" s="1"/>
  <c r="AL125" i="20" s="1"/>
  <c r="AH126" i="20"/>
  <c r="AJ126" i="20" s="1"/>
  <c r="AH110" i="20"/>
  <c r="AJ110" i="20" s="1"/>
  <c r="AL110" i="20" s="1"/>
  <c r="AH111" i="20"/>
  <c r="AJ111" i="20" s="1"/>
  <c r="AL111" i="20" s="1"/>
  <c r="AJ112" i="20"/>
  <c r="AH89" i="20"/>
  <c r="AJ89" i="20" s="1"/>
  <c r="AH52" i="20"/>
  <c r="AJ52" i="20" s="1"/>
  <c r="AL52" i="20" s="1"/>
  <c r="AH53" i="20"/>
  <c r="AJ53" i="20" s="1"/>
  <c r="AL53" i="20" s="1"/>
  <c r="AH54" i="20"/>
  <c r="AJ54" i="20" s="1"/>
  <c r="AH55" i="20"/>
  <c r="AJ55" i="20" s="1"/>
  <c r="AL55" i="20" s="1"/>
  <c r="AG61" i="20"/>
  <c r="AH61" i="20"/>
  <c r="AG62" i="20"/>
  <c r="AH62" i="20"/>
  <c r="AG63" i="20"/>
  <c r="AH63" i="20"/>
  <c r="AG64" i="20"/>
  <c r="AH64" i="20"/>
  <c r="AH67" i="20"/>
  <c r="AJ67" i="20" s="1"/>
  <c r="AL67" i="20" s="1"/>
  <c r="AH68" i="20"/>
  <c r="AJ68" i="20" s="1"/>
  <c r="AH69" i="20"/>
  <c r="AJ69" i="20" s="1"/>
  <c r="AL69" i="20" s="1"/>
  <c r="AH70" i="20"/>
  <c r="AJ70" i="20" s="1"/>
  <c r="AL70" i="20" s="1"/>
  <c r="AH73" i="20"/>
  <c r="AJ73" i="20" s="1"/>
  <c r="AL73" i="20" s="1"/>
  <c r="AH74" i="20"/>
  <c r="AJ74" i="20" s="1"/>
  <c r="AL74" i="20" s="1"/>
  <c r="AH75" i="20"/>
  <c r="AJ75" i="20" s="1"/>
  <c r="AL75" i="20" s="1"/>
  <c r="AH76" i="20"/>
  <c r="AJ76" i="20" s="1"/>
  <c r="AL76" i="20" s="1"/>
  <c r="AH79" i="20"/>
  <c r="AJ79" i="20" s="1"/>
  <c r="AL79" i="20" s="1"/>
  <c r="AH80" i="20"/>
  <c r="AJ80" i="20" s="1"/>
  <c r="AL80" i="20" s="1"/>
  <c r="AH81" i="20"/>
  <c r="AJ81" i="20" s="1"/>
  <c r="AL81" i="20" s="1"/>
  <c r="AH82" i="20"/>
  <c r="AJ82" i="20" s="1"/>
  <c r="AL82" i="20" s="1"/>
  <c r="AH44" i="20"/>
  <c r="AJ44" i="20" s="1"/>
  <c r="AH45" i="20"/>
  <c r="AJ45" i="20" s="1"/>
  <c r="AL45" i="20" s="1"/>
  <c r="AH46" i="20"/>
  <c r="AJ46" i="20" s="1"/>
  <c r="AL46" i="20" s="1"/>
  <c r="AH47" i="20"/>
  <c r="AJ47" i="20" s="1"/>
  <c r="AL47" i="20" s="1"/>
  <c r="AH16" i="20"/>
  <c r="P198" i="23"/>
  <c r="R198" i="23" s="1"/>
  <c r="T198" i="23" s="1"/>
  <c r="P169" i="23"/>
  <c r="R169" i="23" s="1"/>
  <c r="T169" i="23" s="1"/>
  <c r="P171" i="23"/>
  <c r="R171" i="23" s="1"/>
  <c r="P197" i="23"/>
  <c r="R197" i="23" s="1"/>
  <c r="P199" i="23"/>
  <c r="R199" i="23" s="1"/>
  <c r="T199" i="23" s="1"/>
  <c r="P200" i="23"/>
  <c r="R200" i="23" s="1"/>
  <c r="T200" i="23" s="1"/>
  <c r="P160" i="23"/>
  <c r="R160" i="23" s="1"/>
  <c r="P161" i="23"/>
  <c r="R161" i="23" s="1"/>
  <c r="T161" i="23" s="1"/>
  <c r="P162" i="23"/>
  <c r="R162" i="23" s="1"/>
  <c r="T162" i="23" s="1"/>
  <c r="P163" i="23"/>
  <c r="R163" i="23" s="1"/>
  <c r="T163" i="23" s="1"/>
  <c r="P165" i="23"/>
  <c r="R165" i="23" s="1"/>
  <c r="T165" i="23" s="1"/>
  <c r="R133" i="23"/>
  <c r="T133" i="23" s="1"/>
  <c r="P69" i="23"/>
  <c r="R69" i="23" s="1"/>
  <c r="T69" i="23" s="1"/>
  <c r="P70" i="23"/>
  <c r="R70" i="23" s="1"/>
  <c r="P71" i="23"/>
  <c r="P75" i="23"/>
  <c r="R75" i="23" s="1"/>
  <c r="P76" i="23"/>
  <c r="R76" i="23" s="1"/>
  <c r="T76" i="23" s="1"/>
  <c r="P77" i="23"/>
  <c r="R77" i="23" s="1"/>
  <c r="T77" i="23" s="1"/>
  <c r="P78" i="23"/>
  <c r="R78" i="23" s="1"/>
  <c r="P79" i="23"/>
  <c r="R79" i="23" s="1"/>
  <c r="T79" i="23" s="1"/>
  <c r="P82" i="23"/>
  <c r="R82" i="23" s="1"/>
  <c r="P83" i="23"/>
  <c r="R83" i="23" s="1"/>
  <c r="P84" i="23"/>
  <c r="R84" i="23" s="1"/>
  <c r="P85" i="23"/>
  <c r="R85" i="23" s="1"/>
  <c r="T85" i="23" s="1"/>
  <c r="O91" i="23"/>
  <c r="P91" i="23"/>
  <c r="R91" i="23" s="1"/>
  <c r="T91" i="23" s="1"/>
  <c r="O92" i="23"/>
  <c r="P92" i="23"/>
  <c r="O93" i="23"/>
  <c r="P93" i="23"/>
  <c r="O94" i="23"/>
  <c r="P94" i="23"/>
  <c r="P97" i="23"/>
  <c r="R97" i="23"/>
  <c r="T97" i="23" s="1"/>
  <c r="P98" i="23"/>
  <c r="R98" i="23" s="1"/>
  <c r="T98" i="23" s="1"/>
  <c r="P99" i="23"/>
  <c r="R99" i="23" s="1"/>
  <c r="P100" i="23"/>
  <c r="R100" i="23" s="1"/>
  <c r="P103" i="23"/>
  <c r="R103" i="23" s="1"/>
  <c r="T103" i="23" s="1"/>
  <c r="P104" i="23"/>
  <c r="R104" i="23" s="1"/>
  <c r="T104" i="23" s="1"/>
  <c r="P105" i="23"/>
  <c r="R105" i="23" s="1"/>
  <c r="T105" i="23" s="1"/>
  <c r="P106" i="23"/>
  <c r="R106" i="23" s="1"/>
  <c r="T106" i="23" s="1"/>
  <c r="P109" i="23"/>
  <c r="R109" i="23" s="1"/>
  <c r="P110" i="23"/>
  <c r="R110" i="23" s="1"/>
  <c r="T110" i="23" s="1"/>
  <c r="P111" i="23"/>
  <c r="R111" i="23" s="1"/>
  <c r="P112" i="23"/>
  <c r="R112" i="23" s="1"/>
  <c r="P115" i="23"/>
  <c r="R115" i="23" s="1"/>
  <c r="P116" i="23"/>
  <c r="R116" i="23" s="1"/>
  <c r="P117" i="23"/>
  <c r="R117" i="23" s="1"/>
  <c r="T117" i="23" s="1"/>
  <c r="P118" i="23"/>
  <c r="R118" i="23" s="1"/>
  <c r="T118" i="23" s="1"/>
  <c r="P61" i="23"/>
  <c r="R61" i="23" s="1"/>
  <c r="P62" i="23"/>
  <c r="P63" i="23"/>
  <c r="O16" i="23"/>
  <c r="P27" i="23"/>
  <c r="R27" i="23" s="1"/>
  <c r="O48" i="23"/>
  <c r="P125" i="23"/>
  <c r="R125" i="23" s="1"/>
  <c r="V198" i="23"/>
  <c r="X198" i="23" s="1"/>
  <c r="V169" i="23"/>
  <c r="X169" i="23" s="1"/>
  <c r="Z169" i="23" s="1"/>
  <c r="V171" i="23"/>
  <c r="X171" i="23" s="1"/>
  <c r="Z171" i="23" s="1"/>
  <c r="V197" i="23"/>
  <c r="X197" i="23" s="1"/>
  <c r="Z197" i="23" s="1"/>
  <c r="V199" i="23"/>
  <c r="X199" i="23" s="1"/>
  <c r="Z199" i="23" s="1"/>
  <c r="V200" i="23"/>
  <c r="X200" i="23" s="1"/>
  <c r="Z200" i="23" s="1"/>
  <c r="V160" i="23"/>
  <c r="X160" i="23" s="1"/>
  <c r="V161" i="23"/>
  <c r="X161" i="23" s="1"/>
  <c r="Z161" i="23" s="1"/>
  <c r="V162" i="23"/>
  <c r="X162" i="23" s="1"/>
  <c r="V163" i="23"/>
  <c r="X163" i="23" s="1"/>
  <c r="Z163" i="23" s="1"/>
  <c r="V165" i="23"/>
  <c r="X165" i="23" s="1"/>
  <c r="Z165" i="23" s="1"/>
  <c r="V69" i="23"/>
  <c r="X69" i="23" s="1"/>
  <c r="Z69" i="23" s="1"/>
  <c r="V70" i="23"/>
  <c r="V71" i="23"/>
  <c r="X71" i="23" s="1"/>
  <c r="Z71" i="23" s="1"/>
  <c r="V72" i="23"/>
  <c r="V75" i="23"/>
  <c r="X75" i="23" s="1"/>
  <c r="Z75" i="23" s="1"/>
  <c r="V76" i="23"/>
  <c r="V77" i="23"/>
  <c r="V78" i="23"/>
  <c r="U79" i="23"/>
  <c r="V79" i="23"/>
  <c r="V82" i="23"/>
  <c r="X82" i="23" s="1"/>
  <c r="Z82" i="23" s="1"/>
  <c r="V83" i="23"/>
  <c r="X83" i="23" s="1"/>
  <c r="Z83" i="23" s="1"/>
  <c r="V84" i="23"/>
  <c r="X84" i="23" s="1"/>
  <c r="Z84" i="23" s="1"/>
  <c r="V85" i="23"/>
  <c r="X85" i="23" s="1"/>
  <c r="Z85" i="23" s="1"/>
  <c r="U91" i="23"/>
  <c r="V91" i="23"/>
  <c r="U92" i="23"/>
  <c r="V92" i="23"/>
  <c r="X92" i="23" s="1"/>
  <c r="Z92" i="23" s="1"/>
  <c r="U93" i="23"/>
  <c r="V93" i="23"/>
  <c r="U94" i="23"/>
  <c r="V94" i="23"/>
  <c r="V97" i="23"/>
  <c r="X97" i="23" s="1"/>
  <c r="V98" i="23"/>
  <c r="X98" i="23" s="1"/>
  <c r="Z98" i="23" s="1"/>
  <c r="V99" i="23"/>
  <c r="X99" i="23" s="1"/>
  <c r="Z99" i="23" s="1"/>
  <c r="V100" i="23"/>
  <c r="X100" i="23" s="1"/>
  <c r="Z100" i="23" s="1"/>
  <c r="V103" i="23"/>
  <c r="X103" i="23" s="1"/>
  <c r="Z103" i="23" s="1"/>
  <c r="V104" i="23"/>
  <c r="X104" i="23" s="1"/>
  <c r="Z104" i="23" s="1"/>
  <c r="V105" i="23"/>
  <c r="X105" i="23" s="1"/>
  <c r="Z105" i="23" s="1"/>
  <c r="V106" i="23"/>
  <c r="X106" i="23" s="1"/>
  <c r="Z106" i="23" s="1"/>
  <c r="V109" i="23"/>
  <c r="X109" i="23" s="1"/>
  <c r="Z109" i="23" s="1"/>
  <c r="V110" i="23"/>
  <c r="X110" i="23" s="1"/>
  <c r="V111" i="23"/>
  <c r="X111" i="23" s="1"/>
  <c r="Z111" i="23" s="1"/>
  <c r="V112" i="23"/>
  <c r="X112" i="23" s="1"/>
  <c r="Z112" i="23" s="1"/>
  <c r="V115" i="23"/>
  <c r="V116" i="23"/>
  <c r="V117" i="23"/>
  <c r="V118" i="23"/>
  <c r="X118" i="23" s="1"/>
  <c r="Z118" i="23" s="1"/>
  <c r="V61" i="23"/>
  <c r="X61" i="23" s="1"/>
  <c r="V62" i="23"/>
  <c r="X62" i="23" s="1"/>
  <c r="Z62" i="23" s="1"/>
  <c r="V63" i="23"/>
  <c r="U16" i="23"/>
  <c r="AA16" i="23" s="1"/>
  <c r="AG16" i="23" s="1"/>
  <c r="V20" i="23"/>
  <c r="X20" i="23" s="1"/>
  <c r="Z20" i="23" s="1"/>
  <c r="V27" i="23"/>
  <c r="X27" i="23" s="1"/>
  <c r="Z27" i="23" s="1"/>
  <c r="U48" i="23"/>
  <c r="AA48" i="23" s="1"/>
  <c r="AG48" i="23" s="1"/>
  <c r="V125" i="23"/>
  <c r="X125" i="23" s="1"/>
  <c r="AB198" i="23"/>
  <c r="AD198" i="23" s="1"/>
  <c r="AF198" i="23" s="1"/>
  <c r="AB169" i="23"/>
  <c r="AD169" i="23" s="1"/>
  <c r="AF169" i="23" s="1"/>
  <c r="AB171" i="23"/>
  <c r="AD171" i="23" s="1"/>
  <c r="AF171" i="23" s="1"/>
  <c r="AB197" i="23"/>
  <c r="AD197" i="23" s="1"/>
  <c r="AF197" i="23" s="1"/>
  <c r="AB199" i="23"/>
  <c r="AD199" i="23" s="1"/>
  <c r="AF199" i="23" s="1"/>
  <c r="AB200" i="23"/>
  <c r="AD200" i="23" s="1"/>
  <c r="AF200" i="23" s="1"/>
  <c r="AB160" i="23"/>
  <c r="AD160" i="23" s="1"/>
  <c r="AF160" i="23" s="1"/>
  <c r="AB161" i="23"/>
  <c r="AD161" i="23" s="1"/>
  <c r="AB162" i="23"/>
  <c r="AD162" i="23" s="1"/>
  <c r="AF162" i="23" s="1"/>
  <c r="AB163" i="23"/>
  <c r="AD163" i="23" s="1"/>
  <c r="AF163" i="23" s="1"/>
  <c r="AB165" i="23"/>
  <c r="AD165" i="23" s="1"/>
  <c r="AB69" i="23"/>
  <c r="AD69" i="23" s="1"/>
  <c r="AF69" i="23" s="1"/>
  <c r="AB70" i="23"/>
  <c r="AD70" i="23" s="1"/>
  <c r="AF70" i="23" s="1"/>
  <c r="AB71" i="23"/>
  <c r="AB72" i="23"/>
  <c r="AB75" i="23"/>
  <c r="AD75" i="23" s="1"/>
  <c r="AF75" i="23" s="1"/>
  <c r="AB76" i="23"/>
  <c r="AD76" i="23" s="1"/>
  <c r="AF76" i="23" s="1"/>
  <c r="AB77" i="23"/>
  <c r="AB78" i="23"/>
  <c r="AA79" i="23"/>
  <c r="AB79" i="23"/>
  <c r="AD79" i="23" s="1"/>
  <c r="AF79" i="23" s="1"/>
  <c r="AB82" i="23"/>
  <c r="AD82" i="23" s="1"/>
  <c r="AF82" i="23" s="1"/>
  <c r="AB83" i="23"/>
  <c r="AD83" i="23" s="1"/>
  <c r="AF83" i="23" s="1"/>
  <c r="AB84" i="23"/>
  <c r="AD84" i="23" s="1"/>
  <c r="AF84" i="23" s="1"/>
  <c r="AB85" i="23"/>
  <c r="AD85" i="23" s="1"/>
  <c r="AA91" i="23"/>
  <c r="AB91" i="23"/>
  <c r="AA92" i="23"/>
  <c r="AB92" i="23"/>
  <c r="AA93" i="23"/>
  <c r="AB93" i="23"/>
  <c r="AA94" i="23"/>
  <c r="AB94" i="23"/>
  <c r="AB97" i="23"/>
  <c r="AD97" i="23" s="1"/>
  <c r="AF97" i="23" s="1"/>
  <c r="AB98" i="23"/>
  <c r="AD98" i="23" s="1"/>
  <c r="AF98" i="23" s="1"/>
  <c r="AB99" i="23"/>
  <c r="AD99" i="23" s="1"/>
  <c r="AF99" i="23" s="1"/>
  <c r="AB100" i="23"/>
  <c r="AD100" i="23" s="1"/>
  <c r="AF100" i="23" s="1"/>
  <c r="AB103" i="23"/>
  <c r="AD103" i="23" s="1"/>
  <c r="AB104" i="23"/>
  <c r="AD104" i="23" s="1"/>
  <c r="AF104" i="23" s="1"/>
  <c r="AB105" i="23"/>
  <c r="AD105" i="23" s="1"/>
  <c r="AF105" i="23" s="1"/>
  <c r="AB106" i="23"/>
  <c r="AD106" i="23" s="1"/>
  <c r="AF106" i="23" s="1"/>
  <c r="AB109" i="23"/>
  <c r="AD109" i="23" s="1"/>
  <c r="AF109" i="23" s="1"/>
  <c r="AB110" i="23"/>
  <c r="AD110" i="23" s="1"/>
  <c r="AF110" i="23" s="1"/>
  <c r="AB111" i="23"/>
  <c r="AD111" i="23" s="1"/>
  <c r="AF111" i="23" s="1"/>
  <c r="AB112" i="23"/>
  <c r="AD112" i="23" s="1"/>
  <c r="AF112" i="23" s="1"/>
  <c r="AB115" i="23"/>
  <c r="AB116" i="23"/>
  <c r="AD116" i="23" s="1"/>
  <c r="AF116" i="23" s="1"/>
  <c r="AB117" i="23"/>
  <c r="AD117" i="23" s="1"/>
  <c r="AB118" i="23"/>
  <c r="AD118" i="23" s="1"/>
  <c r="AF118" i="23" s="1"/>
  <c r="AB61" i="23"/>
  <c r="AD61" i="23" s="1"/>
  <c r="AB62" i="23"/>
  <c r="AD62" i="23" s="1"/>
  <c r="AF62" i="23" s="1"/>
  <c r="AB63" i="23"/>
  <c r="AB19" i="23"/>
  <c r="AD19" i="23" s="1"/>
  <c r="AB20" i="23"/>
  <c r="AD20" i="23" s="1"/>
  <c r="AF20" i="23" s="1"/>
  <c r="AB25" i="23"/>
  <c r="AD25" i="23" s="1"/>
  <c r="AF25" i="23" s="1"/>
  <c r="AB27" i="23"/>
  <c r="AD27" i="23" s="1"/>
  <c r="AF27" i="23" s="1"/>
  <c r="AB125" i="23"/>
  <c r="AD125" i="23" s="1"/>
  <c r="AH198" i="23"/>
  <c r="AJ198" i="23" s="1"/>
  <c r="AL198" i="23" s="1"/>
  <c r="AH169" i="23"/>
  <c r="AJ169" i="23" s="1"/>
  <c r="AL169" i="23" s="1"/>
  <c r="AH171" i="23"/>
  <c r="AJ171" i="23" s="1"/>
  <c r="AL171" i="23" s="1"/>
  <c r="AH197" i="23"/>
  <c r="AJ197" i="23" s="1"/>
  <c r="AL197" i="23" s="1"/>
  <c r="AH199" i="23"/>
  <c r="AJ199" i="23" s="1"/>
  <c r="AL199" i="23" s="1"/>
  <c r="AH200" i="23"/>
  <c r="AJ200" i="23" s="1"/>
  <c r="AL200" i="23" s="1"/>
  <c r="AH160" i="23"/>
  <c r="AJ160" i="23" s="1"/>
  <c r="AH161" i="23"/>
  <c r="AJ161" i="23" s="1"/>
  <c r="AL161" i="23" s="1"/>
  <c r="AH162" i="23"/>
  <c r="AJ162" i="23" s="1"/>
  <c r="AL162" i="23" s="1"/>
  <c r="AH163" i="23"/>
  <c r="AJ163" i="23" s="1"/>
  <c r="AL163" i="23" s="1"/>
  <c r="AH165" i="23"/>
  <c r="AJ165" i="23" s="1"/>
  <c r="AL165" i="23" s="1"/>
  <c r="AH69" i="23"/>
  <c r="AJ69" i="23" s="1"/>
  <c r="AL69" i="23" s="1"/>
  <c r="AH70" i="23"/>
  <c r="AH71" i="23"/>
  <c r="AH72" i="23"/>
  <c r="AH75" i="23"/>
  <c r="AJ75" i="23" s="1"/>
  <c r="AL75" i="23" s="1"/>
  <c r="AH76" i="23"/>
  <c r="AJ76" i="23" s="1"/>
  <c r="AL76" i="23" s="1"/>
  <c r="AH77" i="23"/>
  <c r="AJ77" i="23" s="1"/>
  <c r="AL77" i="23" s="1"/>
  <c r="AH78" i="23"/>
  <c r="AJ78" i="23" s="1"/>
  <c r="AL78" i="23" s="1"/>
  <c r="AH79" i="23"/>
  <c r="AJ79" i="23" s="1"/>
  <c r="AL79" i="23" s="1"/>
  <c r="AH82" i="23"/>
  <c r="AJ82" i="23" s="1"/>
  <c r="AL82" i="23" s="1"/>
  <c r="AH83" i="23"/>
  <c r="AJ83" i="23" s="1"/>
  <c r="AL83" i="23" s="1"/>
  <c r="AH84" i="23"/>
  <c r="AJ84" i="23" s="1"/>
  <c r="AL84" i="23" s="1"/>
  <c r="AH85" i="23"/>
  <c r="AJ85" i="23" s="1"/>
  <c r="AL85" i="23" s="1"/>
  <c r="AH91" i="23"/>
  <c r="AJ91" i="23" s="1"/>
  <c r="AL91" i="23" s="1"/>
  <c r="AH92" i="23"/>
  <c r="AJ92" i="23" s="1"/>
  <c r="AL92" i="23" s="1"/>
  <c r="AH93" i="23"/>
  <c r="AJ93" i="23" s="1"/>
  <c r="AL93" i="23" s="1"/>
  <c r="AH94" i="23"/>
  <c r="AJ94" i="23" s="1"/>
  <c r="AL94" i="23" s="1"/>
  <c r="AH97" i="23"/>
  <c r="AJ97" i="23" s="1"/>
  <c r="AL97" i="23" s="1"/>
  <c r="AH98" i="23"/>
  <c r="AJ98" i="23" s="1"/>
  <c r="AL98" i="23" s="1"/>
  <c r="AH99" i="23"/>
  <c r="AJ99" i="23" s="1"/>
  <c r="AL99" i="23" s="1"/>
  <c r="AH100" i="23"/>
  <c r="AJ100" i="23" s="1"/>
  <c r="AL100" i="23" s="1"/>
  <c r="AH103" i="23"/>
  <c r="AJ103" i="23" s="1"/>
  <c r="AL103" i="23" s="1"/>
  <c r="AH104" i="23"/>
  <c r="AJ104" i="23" s="1"/>
  <c r="AL104" i="23" s="1"/>
  <c r="AH105" i="23"/>
  <c r="AJ105" i="23" s="1"/>
  <c r="AL105" i="23" s="1"/>
  <c r="AH106" i="23"/>
  <c r="AJ106" i="23" s="1"/>
  <c r="AL106" i="23" s="1"/>
  <c r="AH109" i="23"/>
  <c r="AJ109" i="23" s="1"/>
  <c r="AL109" i="23" s="1"/>
  <c r="AH110" i="23"/>
  <c r="AJ110" i="23" s="1"/>
  <c r="AL110" i="23" s="1"/>
  <c r="AH111" i="23"/>
  <c r="AJ111" i="23" s="1"/>
  <c r="AL111" i="23" s="1"/>
  <c r="AH112" i="23"/>
  <c r="AJ112" i="23" s="1"/>
  <c r="AL112" i="23" s="1"/>
  <c r="AH115" i="23"/>
  <c r="AJ115" i="23" s="1"/>
  <c r="AL115" i="23" s="1"/>
  <c r="AH116" i="23"/>
  <c r="AJ116" i="23" s="1"/>
  <c r="AL116" i="23" s="1"/>
  <c r="AH117" i="23"/>
  <c r="AJ117" i="23" s="1"/>
  <c r="AL117" i="23" s="1"/>
  <c r="AH118" i="23"/>
  <c r="AJ118" i="23" s="1"/>
  <c r="AL118" i="23" s="1"/>
  <c r="AH61" i="23"/>
  <c r="AJ61" i="23" s="1"/>
  <c r="AH62" i="23"/>
  <c r="AH63" i="23"/>
  <c r="AH17" i="23"/>
  <c r="AJ17" i="23" s="1"/>
  <c r="AL17" i="23" s="1"/>
  <c r="AH20" i="23"/>
  <c r="AJ20" i="23" s="1"/>
  <c r="AL20" i="23" s="1"/>
  <c r="AH27" i="23"/>
  <c r="AJ27" i="23" s="1"/>
  <c r="AL27" i="23" s="1"/>
  <c r="AH125" i="23"/>
  <c r="AJ125" i="23" s="1"/>
  <c r="O148" i="1"/>
  <c r="Q148" i="1"/>
  <c r="U148" i="1"/>
  <c r="W148" i="1"/>
  <c r="AA148" i="1"/>
  <c r="AC148" i="1"/>
  <c r="AG148" i="1"/>
  <c r="AI148" i="1"/>
  <c r="AJ165" i="1"/>
  <c r="AJ159" i="1"/>
  <c r="AJ149" i="1"/>
  <c r="AD165" i="1"/>
  <c r="AD159" i="1"/>
  <c r="AD149" i="1"/>
  <c r="AE164" i="1"/>
  <c r="X165" i="1"/>
  <c r="X159" i="1"/>
  <c r="X149" i="1"/>
  <c r="R165" i="1"/>
  <c r="R159" i="1"/>
  <c r="R149" i="1"/>
  <c r="L165" i="1"/>
  <c r="L159" i="1"/>
  <c r="L149" i="1"/>
  <c r="M162" i="1"/>
  <c r="AN110" i="20"/>
  <c r="AN111" i="20"/>
  <c r="AN112" i="20"/>
  <c r="AL112" i="20"/>
  <c r="AN101" i="20"/>
  <c r="AM97" i="20"/>
  <c r="AN96" i="20"/>
  <c r="AN44" i="20"/>
  <c r="AN45" i="20"/>
  <c r="AN46" i="20"/>
  <c r="AN47" i="20"/>
  <c r="AN53" i="20"/>
  <c r="O203" i="1"/>
  <c r="Q203" i="1"/>
  <c r="S203" i="1"/>
  <c r="U203" i="1"/>
  <c r="W203" i="1"/>
  <c r="Y203" i="1"/>
  <c r="AA203" i="1"/>
  <c r="AC203" i="1"/>
  <c r="AE203" i="1"/>
  <c r="AG203" i="1"/>
  <c r="AI203" i="1"/>
  <c r="AK203" i="1"/>
  <c r="AM203" i="1"/>
  <c r="AN63" i="23"/>
  <c r="AN61" i="23"/>
  <c r="AN62" i="23"/>
  <c r="AN85" i="23"/>
  <c r="AN69" i="23"/>
  <c r="AN71" i="23"/>
  <c r="AN72" i="23"/>
  <c r="AN75" i="23"/>
  <c r="AN77" i="23"/>
  <c r="AN78" i="23"/>
  <c r="AN79" i="23"/>
  <c r="AN91" i="23"/>
  <c r="AN92" i="23"/>
  <c r="AN93" i="23"/>
  <c r="AN94" i="23"/>
  <c r="AN97" i="23"/>
  <c r="AN98" i="23"/>
  <c r="AN99" i="23"/>
  <c r="AN100" i="23"/>
  <c r="AN103" i="23"/>
  <c r="AN104" i="23"/>
  <c r="AN105" i="23"/>
  <c r="AN106" i="23"/>
  <c r="AN109" i="23"/>
  <c r="AN110" i="23"/>
  <c r="AN111" i="23"/>
  <c r="AN112" i="23"/>
  <c r="AN115" i="23"/>
  <c r="AN116" i="23"/>
  <c r="AN117" i="23"/>
  <c r="AN118" i="23"/>
  <c r="AN70" i="23"/>
  <c r="AN76" i="23"/>
  <c r="AN163" i="25"/>
  <c r="AN162" i="25"/>
  <c r="AN67" i="25"/>
  <c r="AN55" i="25"/>
  <c r="AN97" i="25"/>
  <c r="AN96" i="25"/>
  <c r="AN95" i="25"/>
  <c r="AN94" i="25"/>
  <c r="AN91" i="25"/>
  <c r="AN90" i="25"/>
  <c r="AN89" i="25"/>
  <c r="AN88" i="25"/>
  <c r="AN85" i="25"/>
  <c r="AN84" i="25"/>
  <c r="AN83" i="25"/>
  <c r="AN82" i="25"/>
  <c r="AN79" i="25"/>
  <c r="AN78" i="25"/>
  <c r="AN77" i="25"/>
  <c r="AN76" i="25"/>
  <c r="AN140" i="25"/>
  <c r="AN82" i="20"/>
  <c r="AN81" i="20"/>
  <c r="AN80" i="20"/>
  <c r="AN79" i="20"/>
  <c r="AN76" i="20"/>
  <c r="AN75" i="20"/>
  <c r="AN74" i="20"/>
  <c r="AN73" i="20"/>
  <c r="AN70" i="20"/>
  <c r="AN69" i="20"/>
  <c r="AN68" i="20"/>
  <c r="AN67" i="20"/>
  <c r="AN64" i="20"/>
  <c r="AN63" i="20"/>
  <c r="AN62" i="20"/>
  <c r="AN61" i="20"/>
  <c r="AN133" i="20"/>
  <c r="AN17" i="25"/>
  <c r="AN22" i="25"/>
  <c r="AG213" i="1"/>
  <c r="AI213" i="1" s="1"/>
  <c r="AK213" i="1" s="1"/>
  <c r="AG214" i="1"/>
  <c r="AI214" i="1" s="1"/>
  <c r="AK214" i="1" s="1"/>
  <c r="AG215" i="1"/>
  <c r="AI215" i="1" s="1"/>
  <c r="AK215" i="1" s="1"/>
  <c r="AG216" i="1"/>
  <c r="AI216" i="1" s="1"/>
  <c r="AK216" i="1" s="1"/>
  <c r="AG217" i="1"/>
  <c r="AI217" i="1" s="1"/>
  <c r="AK217" i="1" s="1"/>
  <c r="AA213" i="1"/>
  <c r="AC213" i="1" s="1"/>
  <c r="AE213" i="1" s="1"/>
  <c r="AA214" i="1"/>
  <c r="AC214" i="1" s="1"/>
  <c r="AA215" i="1"/>
  <c r="AC215" i="1" s="1"/>
  <c r="AE215" i="1" s="1"/>
  <c r="AA216" i="1"/>
  <c r="AC216" i="1" s="1"/>
  <c r="AE216" i="1" s="1"/>
  <c r="AA217" i="1"/>
  <c r="AC217" i="1" s="1"/>
  <c r="AE217" i="1" s="1"/>
  <c r="U213" i="1"/>
  <c r="W213" i="1" s="1"/>
  <c r="Y213" i="1" s="1"/>
  <c r="U214" i="1"/>
  <c r="W214" i="1" s="1"/>
  <c r="Y214" i="1" s="1"/>
  <c r="U215" i="1"/>
  <c r="W215" i="1" s="1"/>
  <c r="Y215" i="1" s="1"/>
  <c r="U216" i="1"/>
  <c r="W216" i="1"/>
  <c r="Y216" i="1" s="1"/>
  <c r="U217" i="1"/>
  <c r="W217" i="1" s="1"/>
  <c r="Y217" i="1" s="1"/>
  <c r="O213" i="1"/>
  <c r="Q213" i="1" s="1"/>
  <c r="O214" i="1"/>
  <c r="Q214" i="1" s="1"/>
  <c r="S214" i="1" s="1"/>
  <c r="O215" i="1"/>
  <c r="Q215" i="1"/>
  <c r="O216" i="1"/>
  <c r="Q216" i="1" s="1"/>
  <c r="O217" i="1"/>
  <c r="Q217" i="1"/>
  <c r="S217" i="1" s="1"/>
  <c r="AN169" i="23"/>
  <c r="AN171" i="23"/>
  <c r="AN197" i="23"/>
  <c r="AN198" i="23"/>
  <c r="AN199" i="23"/>
  <c r="AN200" i="23"/>
  <c r="N140" i="20"/>
  <c r="N151" i="20"/>
  <c r="AN136" i="20"/>
  <c r="AN138" i="20"/>
  <c r="AN139" i="20"/>
  <c r="AN140" i="20"/>
  <c r="AN141" i="20"/>
  <c r="AN142" i="20"/>
  <c r="AN143" i="20"/>
  <c r="AN144" i="20"/>
  <c r="AN145" i="20"/>
  <c r="AN151" i="20"/>
  <c r="AN152" i="20"/>
  <c r="AN154" i="20"/>
  <c r="AN155" i="20"/>
  <c r="AN156" i="20"/>
  <c r="AN157" i="20"/>
  <c r="AN136" i="25"/>
  <c r="AN147" i="25"/>
  <c r="AN148" i="25"/>
  <c r="AN149" i="25"/>
  <c r="AN150" i="25"/>
  <c r="AN151" i="25"/>
  <c r="AN152" i="25"/>
  <c r="AN153" i="25"/>
  <c r="AN154" i="25"/>
  <c r="AN155" i="25"/>
  <c r="AN164" i="25"/>
  <c r="AN166" i="25"/>
  <c r="AN167" i="25"/>
  <c r="AN168" i="25"/>
  <c r="AN169" i="25"/>
  <c r="AH123" i="25"/>
  <c r="AH124" i="25"/>
  <c r="AB123" i="25"/>
  <c r="AB124" i="25"/>
  <c r="AN111" i="25"/>
  <c r="C15" i="26"/>
  <c r="AN66" i="25"/>
  <c r="AN68" i="25"/>
  <c r="AN69" i="25"/>
  <c r="AN56" i="25"/>
  <c r="AN57" i="25"/>
  <c r="AN54" i="25"/>
  <c r="AN104" i="25"/>
  <c r="AN106" i="25" s="1"/>
  <c r="R13" i="26" s="1"/>
  <c r="AN70" i="25"/>
  <c r="AN40" i="25"/>
  <c r="AN39" i="25"/>
  <c r="O192" i="1"/>
  <c r="Q192" i="1" s="1"/>
  <c r="S192" i="1" s="1"/>
  <c r="U192" i="1"/>
  <c r="W192" i="1" s="1"/>
  <c r="AA192" i="1"/>
  <c r="AC192" i="1" s="1"/>
  <c r="AE192" i="1" s="1"/>
  <c r="AG192" i="1"/>
  <c r="AI192" i="1" s="1"/>
  <c r="AK192" i="1" s="1"/>
  <c r="AM192" i="1"/>
  <c r="O193" i="1"/>
  <c r="Q193" i="1" s="1"/>
  <c r="U193" i="1"/>
  <c r="W193" i="1" s="1"/>
  <c r="Y193" i="1" s="1"/>
  <c r="AA193" i="1"/>
  <c r="AC193" i="1" s="1"/>
  <c r="AE193" i="1" s="1"/>
  <c r="AG193" i="1"/>
  <c r="AI193" i="1" s="1"/>
  <c r="AK193" i="1" s="1"/>
  <c r="AM193" i="1"/>
  <c r="Z73" i="1"/>
  <c r="AA73" i="1"/>
  <c r="AA74" i="1"/>
  <c r="AA75" i="1"/>
  <c r="AA78" i="1"/>
  <c r="Z79" i="1"/>
  <c r="AA79" i="1"/>
  <c r="AC79" i="1" s="1"/>
  <c r="AE79" i="1" s="1"/>
  <c r="AA80" i="1"/>
  <c r="AC80" i="1" s="1"/>
  <c r="AE80" i="1" s="1"/>
  <c r="Z80" i="1"/>
  <c r="AA81" i="1"/>
  <c r="Z81" i="1"/>
  <c r="AA87" i="1"/>
  <c r="AC87" i="1" s="1"/>
  <c r="AE87" i="1" s="1"/>
  <c r="Z88" i="1"/>
  <c r="AA88" i="1"/>
  <c r="AC88" i="1" s="1"/>
  <c r="AE88" i="1" s="1"/>
  <c r="AA89" i="1"/>
  <c r="AC89" i="1" s="1"/>
  <c r="AE89" i="1" s="1"/>
  <c r="Z89" i="1"/>
  <c r="AA90" i="1"/>
  <c r="AC90" i="1" s="1"/>
  <c r="AE90" i="1" s="1"/>
  <c r="Z90" i="1"/>
  <c r="AA93" i="1"/>
  <c r="AC93" i="1" s="1"/>
  <c r="AE93" i="1" s="1"/>
  <c r="AA94" i="1"/>
  <c r="AC94" i="1" s="1"/>
  <c r="AE94" i="1" s="1"/>
  <c r="AA95" i="1"/>
  <c r="AC95" i="1" s="1"/>
  <c r="AE95" i="1" s="1"/>
  <c r="AA96" i="1"/>
  <c r="AC96" i="1"/>
  <c r="AE96" i="1" s="1"/>
  <c r="AA84" i="1"/>
  <c r="AC84" i="1" s="1"/>
  <c r="AE84" i="1" s="1"/>
  <c r="AA72" i="1"/>
  <c r="AC72" i="1" s="1"/>
  <c r="AE72" i="1" s="1"/>
  <c r="O96" i="1"/>
  <c r="Q96" i="1" s="1"/>
  <c r="T96" i="1"/>
  <c r="U96" i="1"/>
  <c r="AG96" i="1"/>
  <c r="AI96" i="1" s="1"/>
  <c r="AK96" i="1" s="1"/>
  <c r="AM96" i="1"/>
  <c r="O95" i="1"/>
  <c r="Q95" i="1" s="1"/>
  <c r="S95" i="1" s="1"/>
  <c r="T95" i="1"/>
  <c r="U95" i="1"/>
  <c r="W95" i="1" s="1"/>
  <c r="Y95" i="1" s="1"/>
  <c r="AG95" i="1"/>
  <c r="AI95" i="1" s="1"/>
  <c r="AK95" i="1" s="1"/>
  <c r="AM95" i="1"/>
  <c r="O94" i="1"/>
  <c r="Q94" i="1" s="1"/>
  <c r="T94" i="1"/>
  <c r="U94" i="1"/>
  <c r="W94" i="1" s="1"/>
  <c r="Y94" i="1" s="1"/>
  <c r="AG94" i="1"/>
  <c r="AI94" i="1" s="1"/>
  <c r="AK94" i="1" s="1"/>
  <c r="AM94" i="1"/>
  <c r="O93" i="1"/>
  <c r="Q93" i="1" s="1"/>
  <c r="U93" i="1"/>
  <c r="W93" i="1" s="1"/>
  <c r="Y93" i="1" s="1"/>
  <c r="AG93" i="1"/>
  <c r="AI93" i="1" s="1"/>
  <c r="AK93" i="1" s="1"/>
  <c r="AM93" i="1"/>
  <c r="AF201" i="1"/>
  <c r="Z201" i="1"/>
  <c r="T79" i="1"/>
  <c r="N80" i="1"/>
  <c r="AN160" i="23"/>
  <c r="AN161" i="23"/>
  <c r="AN162" i="23"/>
  <c r="AN163" i="23"/>
  <c r="AN165" i="23"/>
  <c r="AN124" i="20"/>
  <c r="AB20" i="20"/>
  <c r="AB22" i="20"/>
  <c r="AN48" i="23"/>
  <c r="AN16" i="23"/>
  <c r="AN17" i="23"/>
  <c r="AN19" i="23"/>
  <c r="AN20" i="23"/>
  <c r="AN24" i="23"/>
  <c r="AN25" i="23"/>
  <c r="AN27" i="23"/>
  <c r="AN125" i="23"/>
  <c r="AN127" i="23" s="1"/>
  <c r="R13" i="24" s="1"/>
  <c r="AN132" i="23"/>
  <c r="AN133" i="23"/>
  <c r="AN137" i="23"/>
  <c r="AM34" i="1"/>
  <c r="AM36" i="1"/>
  <c r="O200" i="1"/>
  <c r="Q200" i="1"/>
  <c r="U200" i="1"/>
  <c r="W200" i="1"/>
  <c r="Y200" i="1"/>
  <c r="AA200" i="1"/>
  <c r="AC200" i="1"/>
  <c r="AE200" i="1"/>
  <c r="AG200" i="1"/>
  <c r="AI200" i="1"/>
  <c r="AK200" i="1"/>
  <c r="AM200" i="1"/>
  <c r="M200" i="1"/>
  <c r="N88" i="1"/>
  <c r="N89" i="1"/>
  <c r="N90" i="1"/>
  <c r="O201" i="1"/>
  <c r="U201" i="1"/>
  <c r="AA201" i="1"/>
  <c r="AG201" i="1"/>
  <c r="AM201" i="1"/>
  <c r="O174" i="1"/>
  <c r="Q174" i="1" s="1"/>
  <c r="U174" i="1"/>
  <c r="W174" i="1" s="1"/>
  <c r="Y174" i="1" s="1"/>
  <c r="AA174" i="1"/>
  <c r="AC174" i="1" s="1"/>
  <c r="AE174" i="1" s="1"/>
  <c r="AG174" i="1"/>
  <c r="AI174" i="1" s="1"/>
  <c r="AK174" i="1" s="1"/>
  <c r="AM174" i="1"/>
  <c r="O173" i="1"/>
  <c r="Q173" i="1" s="1"/>
  <c r="U173" i="1"/>
  <c r="W173" i="1" s="1"/>
  <c r="AA173" i="1"/>
  <c r="AC173" i="1" s="1"/>
  <c r="AG173" i="1"/>
  <c r="AI173" i="1" s="1"/>
  <c r="AK173" i="1" s="1"/>
  <c r="AM173" i="1"/>
  <c r="AM175" i="1"/>
  <c r="U175" i="1"/>
  <c r="W175" i="1"/>
  <c r="Y175" i="1"/>
  <c r="AA175" i="1"/>
  <c r="AC175" i="1"/>
  <c r="AE175" i="1" s="1"/>
  <c r="AG175" i="1"/>
  <c r="AI175" i="1" s="1"/>
  <c r="AK175" i="1" s="1"/>
  <c r="AA176" i="1"/>
  <c r="AC176" i="1" s="1"/>
  <c r="AE176" i="1" s="1"/>
  <c r="AG176" i="1"/>
  <c r="AI176" i="1" s="1"/>
  <c r="AK176" i="1" s="1"/>
  <c r="U176" i="1"/>
  <c r="W176" i="1"/>
  <c r="Y176" i="1" s="1"/>
  <c r="O176" i="1"/>
  <c r="Q176" i="1" s="1"/>
  <c r="AM176" i="1"/>
  <c r="AA177" i="1"/>
  <c r="AC177" i="1" s="1"/>
  <c r="AE177" i="1" s="1"/>
  <c r="AG177" i="1"/>
  <c r="AI177" i="1" s="1"/>
  <c r="AK177" i="1" s="1"/>
  <c r="U177" i="1"/>
  <c r="W177" i="1" s="1"/>
  <c r="Y177" i="1" s="1"/>
  <c r="AM177" i="1"/>
  <c r="AJ178" i="1"/>
  <c r="AD178" i="1"/>
  <c r="X178" i="1"/>
  <c r="R178" i="1"/>
  <c r="L178" i="1"/>
  <c r="AG181" i="1"/>
  <c r="AI181" i="1" s="1"/>
  <c r="AK181" i="1" s="1"/>
  <c r="AG182" i="1"/>
  <c r="AI182" i="1" s="1"/>
  <c r="AK182" i="1" s="1"/>
  <c r="AG183" i="1"/>
  <c r="AI183" i="1" s="1"/>
  <c r="AK183" i="1" s="1"/>
  <c r="AG184" i="1"/>
  <c r="AI184" i="1" s="1"/>
  <c r="AK184" i="1" s="1"/>
  <c r="AG185" i="1"/>
  <c r="AI185" i="1" s="1"/>
  <c r="AK185" i="1" s="1"/>
  <c r="AG186" i="1"/>
  <c r="AI186" i="1" s="1"/>
  <c r="AK186" i="1" s="1"/>
  <c r="AG187" i="1"/>
  <c r="AI187" i="1" s="1"/>
  <c r="AK187" i="1" s="1"/>
  <c r="AG188" i="1"/>
  <c r="AI188" i="1" s="1"/>
  <c r="AK188" i="1" s="1"/>
  <c r="AG189" i="1"/>
  <c r="AI189" i="1" s="1"/>
  <c r="AK189" i="1" s="1"/>
  <c r="AG190" i="1"/>
  <c r="AI190" i="1" s="1"/>
  <c r="AK190" i="1" s="1"/>
  <c r="AG191" i="1"/>
  <c r="AI191" i="1" s="1"/>
  <c r="AK191" i="1" s="1"/>
  <c r="AG194" i="1"/>
  <c r="AI194" i="1" s="1"/>
  <c r="AG195" i="1"/>
  <c r="AI195" i="1" s="1"/>
  <c r="AK195" i="1" s="1"/>
  <c r="AG198" i="1"/>
  <c r="AI198" i="1"/>
  <c r="AK198" i="1"/>
  <c r="AG199" i="1"/>
  <c r="AI199" i="1"/>
  <c r="AK199" i="1"/>
  <c r="AG202" i="1"/>
  <c r="AI202" i="1"/>
  <c r="AK202" i="1"/>
  <c r="AG206" i="1"/>
  <c r="AI206" i="1"/>
  <c r="AK206" i="1"/>
  <c r="AG209" i="1"/>
  <c r="AI209" i="1"/>
  <c r="AK209" i="1"/>
  <c r="AG212" i="1"/>
  <c r="AI212" i="1" s="1"/>
  <c r="AK212" i="1" s="1"/>
  <c r="AM213" i="1"/>
  <c r="AM181" i="1"/>
  <c r="O181" i="1"/>
  <c r="Q181" i="1" s="1"/>
  <c r="U181" i="1"/>
  <c r="W181" i="1" s="1"/>
  <c r="Y181" i="1" s="1"/>
  <c r="AA181" i="1"/>
  <c r="AC181" i="1" s="1"/>
  <c r="AE181" i="1" s="1"/>
  <c r="AM182" i="1"/>
  <c r="O182" i="1"/>
  <c r="Q182" i="1" s="1"/>
  <c r="U182" i="1"/>
  <c r="W182" i="1" s="1"/>
  <c r="Y182" i="1" s="1"/>
  <c r="AA182" i="1"/>
  <c r="AC182" i="1" s="1"/>
  <c r="AE182" i="1" s="1"/>
  <c r="O183" i="1"/>
  <c r="Q183" i="1" s="1"/>
  <c r="U183" i="1"/>
  <c r="W183" i="1" s="1"/>
  <c r="Y183" i="1" s="1"/>
  <c r="AA183" i="1"/>
  <c r="AC183" i="1" s="1"/>
  <c r="AE183" i="1" s="1"/>
  <c r="AM183" i="1"/>
  <c r="O184" i="1"/>
  <c r="Q184" i="1" s="1"/>
  <c r="S184" i="1" s="1"/>
  <c r="U184" i="1"/>
  <c r="W184" i="1" s="1"/>
  <c r="AA184" i="1"/>
  <c r="AC184" i="1" s="1"/>
  <c r="AE184" i="1" s="1"/>
  <c r="AM184" i="1"/>
  <c r="O185" i="1"/>
  <c r="Q185" i="1"/>
  <c r="S185" i="1" s="1"/>
  <c r="U185" i="1"/>
  <c r="W185" i="1" s="1"/>
  <c r="AL185" i="1" s="1"/>
  <c r="AN185" i="1" s="1"/>
  <c r="AA185" i="1"/>
  <c r="AC185" i="1" s="1"/>
  <c r="AE185" i="1" s="1"/>
  <c r="AM185" i="1"/>
  <c r="O186" i="1"/>
  <c r="Q186" i="1" s="1"/>
  <c r="U186" i="1"/>
  <c r="W186" i="1" s="1"/>
  <c r="Y186" i="1" s="1"/>
  <c r="AA186" i="1"/>
  <c r="AC186" i="1" s="1"/>
  <c r="AE186" i="1" s="1"/>
  <c r="AM186" i="1"/>
  <c r="O187" i="1"/>
  <c r="Q187" i="1" s="1"/>
  <c r="S187" i="1" s="1"/>
  <c r="U187" i="1"/>
  <c r="W187" i="1" s="1"/>
  <c r="AA187" i="1"/>
  <c r="AC187" i="1" s="1"/>
  <c r="AE187" i="1" s="1"/>
  <c r="AM187" i="1"/>
  <c r="O188" i="1"/>
  <c r="Q188" i="1" s="1"/>
  <c r="U188" i="1"/>
  <c r="W188" i="1" s="1"/>
  <c r="Y188" i="1" s="1"/>
  <c r="AA188" i="1"/>
  <c r="AC188" i="1" s="1"/>
  <c r="AE188" i="1" s="1"/>
  <c r="AM188" i="1"/>
  <c r="O189" i="1"/>
  <c r="Q189" i="1" s="1"/>
  <c r="S189" i="1" s="1"/>
  <c r="U189" i="1"/>
  <c r="W189" i="1" s="1"/>
  <c r="AA189" i="1"/>
  <c r="AC189" i="1" s="1"/>
  <c r="AE189" i="1" s="1"/>
  <c r="AM189" i="1"/>
  <c r="O190" i="1"/>
  <c r="Q190" i="1" s="1"/>
  <c r="U190" i="1"/>
  <c r="W190" i="1" s="1"/>
  <c r="Y190" i="1" s="1"/>
  <c r="AA190" i="1"/>
  <c r="AC190" i="1"/>
  <c r="AE190" i="1" s="1"/>
  <c r="AM190" i="1"/>
  <c r="O191" i="1"/>
  <c r="Q191" i="1" s="1"/>
  <c r="U191" i="1"/>
  <c r="W191" i="1" s="1"/>
  <c r="Y191" i="1" s="1"/>
  <c r="AA191" i="1"/>
  <c r="AC191" i="1" s="1"/>
  <c r="AE191" i="1" s="1"/>
  <c r="AM191" i="1"/>
  <c r="O194" i="1"/>
  <c r="Q194" i="1" s="1"/>
  <c r="S194" i="1" s="1"/>
  <c r="U194" i="1"/>
  <c r="W194" i="1" s="1"/>
  <c r="Y194" i="1" s="1"/>
  <c r="AA194" i="1"/>
  <c r="AC194" i="1"/>
  <c r="AE194" i="1" s="1"/>
  <c r="AM194" i="1"/>
  <c r="O195" i="1"/>
  <c r="Q195" i="1" s="1"/>
  <c r="U195" i="1"/>
  <c r="W195" i="1" s="1"/>
  <c r="Y195" i="1" s="1"/>
  <c r="AA195" i="1"/>
  <c r="AC195" i="1" s="1"/>
  <c r="AE195" i="1" s="1"/>
  <c r="AM195" i="1"/>
  <c r="O198" i="1"/>
  <c r="Q198" i="1"/>
  <c r="S198" i="1"/>
  <c r="U198" i="1"/>
  <c r="W198" i="1"/>
  <c r="Y198" i="1"/>
  <c r="AA198" i="1"/>
  <c r="AC198" i="1"/>
  <c r="AE198" i="1"/>
  <c r="AM198" i="1"/>
  <c r="O199" i="1"/>
  <c r="Q199" i="1"/>
  <c r="U199" i="1"/>
  <c r="W199" i="1"/>
  <c r="Y199" i="1"/>
  <c r="AA199" i="1"/>
  <c r="AC199" i="1"/>
  <c r="AE199" i="1"/>
  <c r="AM199" i="1"/>
  <c r="O202" i="1"/>
  <c r="Q202" i="1"/>
  <c r="U202" i="1"/>
  <c r="W202" i="1"/>
  <c r="Y202" i="1"/>
  <c r="AA202" i="1"/>
  <c r="AC202" i="1"/>
  <c r="AE202" i="1"/>
  <c r="AM202" i="1"/>
  <c r="O206" i="1"/>
  <c r="Q206" i="1"/>
  <c r="U206" i="1"/>
  <c r="W206" i="1"/>
  <c r="Y206" i="1"/>
  <c r="AA206" i="1"/>
  <c r="AC206" i="1"/>
  <c r="AE206" i="1"/>
  <c r="AM206" i="1"/>
  <c r="O209" i="1"/>
  <c r="Q209" i="1"/>
  <c r="S209" i="1"/>
  <c r="U209" i="1"/>
  <c r="W209" i="1"/>
  <c r="Y209" i="1"/>
  <c r="AA209" i="1"/>
  <c r="AC209" i="1"/>
  <c r="AE209" i="1"/>
  <c r="AM209" i="1"/>
  <c r="O212" i="1"/>
  <c r="Q212" i="1" s="1"/>
  <c r="S212" i="1" s="1"/>
  <c r="U212" i="1"/>
  <c r="W212" i="1" s="1"/>
  <c r="Y212" i="1" s="1"/>
  <c r="AA212" i="1"/>
  <c r="AC212" i="1" s="1"/>
  <c r="AE212" i="1" s="1"/>
  <c r="AM212" i="1"/>
  <c r="AM214" i="1"/>
  <c r="AM215" i="1"/>
  <c r="AM216" i="1"/>
  <c r="AM217" i="1"/>
  <c r="AJ218" i="1"/>
  <c r="AD218" i="1"/>
  <c r="X218" i="1"/>
  <c r="R218" i="1"/>
  <c r="L218" i="1"/>
  <c r="M182" i="1"/>
  <c r="M190" i="1"/>
  <c r="M199" i="1"/>
  <c r="M215" i="1"/>
  <c r="M216" i="1"/>
  <c r="Q63" i="1"/>
  <c r="S63" i="1" s="1"/>
  <c r="W121" i="1"/>
  <c r="Q131" i="1"/>
  <c r="S131" i="1" s="1"/>
  <c r="T131" i="1" s="1"/>
  <c r="C18" i="15"/>
  <c r="D18" i="15"/>
  <c r="AM130" i="1"/>
  <c r="C13" i="15"/>
  <c r="D13" i="15"/>
  <c r="C5" i="15"/>
  <c r="D5" i="15"/>
  <c r="C6" i="15"/>
  <c r="D6" i="15"/>
  <c r="C7" i="15"/>
  <c r="D7" i="15"/>
  <c r="C8" i="15"/>
  <c r="D8" i="15"/>
  <c r="B18" i="15"/>
  <c r="B74" i="15"/>
  <c r="L104" i="1"/>
  <c r="L68" i="1"/>
  <c r="M84" i="1"/>
  <c r="U72" i="1"/>
  <c r="AG72" i="1"/>
  <c r="AM72" i="1"/>
  <c r="O73" i="1"/>
  <c r="Q73" i="1" s="1"/>
  <c r="S73" i="1" s="1"/>
  <c r="T73" i="1"/>
  <c r="U73" i="1"/>
  <c r="AG73" i="1"/>
  <c r="AI73" i="1" s="1"/>
  <c r="AK73" i="1" s="1"/>
  <c r="AM73" i="1"/>
  <c r="N74" i="1"/>
  <c r="O74" i="1"/>
  <c r="T74" i="1"/>
  <c r="U74" i="1"/>
  <c r="AG74" i="1"/>
  <c r="AI74" i="1" s="1"/>
  <c r="AK74" i="1" s="1"/>
  <c r="AM74" i="1"/>
  <c r="O75" i="1"/>
  <c r="Q75" i="1" s="1"/>
  <c r="T75" i="1"/>
  <c r="U75" i="1"/>
  <c r="AG75" i="1"/>
  <c r="AM75" i="1"/>
  <c r="O78" i="1"/>
  <c r="U78" i="1"/>
  <c r="W78" i="1" s="1"/>
  <c r="Y78" i="1" s="1"/>
  <c r="AG78" i="1"/>
  <c r="AI78" i="1" s="1"/>
  <c r="AM78" i="1"/>
  <c r="O79" i="1"/>
  <c r="Q79" i="1" s="1"/>
  <c r="S79" i="1" s="1"/>
  <c r="U79" i="1"/>
  <c r="AF79" i="1"/>
  <c r="AG79" i="1"/>
  <c r="AM79" i="1"/>
  <c r="O80" i="1"/>
  <c r="Q80" i="1" s="1"/>
  <c r="S80" i="1" s="1"/>
  <c r="T80" i="1"/>
  <c r="U80" i="1"/>
  <c r="W80" i="1" s="1"/>
  <c r="AF80" i="1"/>
  <c r="AG80" i="1"/>
  <c r="AM80" i="1"/>
  <c r="O81" i="1"/>
  <c r="T81" i="1"/>
  <c r="U81" i="1"/>
  <c r="W81" i="1" s="1"/>
  <c r="Y81" i="1" s="1"/>
  <c r="AF81" i="1"/>
  <c r="AG81" i="1"/>
  <c r="AI81" i="1" s="1"/>
  <c r="AK81" i="1" s="1"/>
  <c r="AM81" i="1"/>
  <c r="O84" i="1"/>
  <c r="Q84" i="1" s="1"/>
  <c r="S84" i="1" s="1"/>
  <c r="U84" i="1"/>
  <c r="W84" i="1" s="1"/>
  <c r="AG84" i="1"/>
  <c r="AI84" i="1" s="1"/>
  <c r="AK84" i="1" s="1"/>
  <c r="AM84" i="1"/>
  <c r="O87" i="1"/>
  <c r="Q87" i="1" s="1"/>
  <c r="U87" i="1"/>
  <c r="W87" i="1"/>
  <c r="Y87" i="1" s="1"/>
  <c r="AG87" i="1"/>
  <c r="AI87" i="1" s="1"/>
  <c r="AK87" i="1" s="1"/>
  <c r="AM87" i="1"/>
  <c r="O88" i="1"/>
  <c r="Q88" i="1" s="1"/>
  <c r="T88" i="1"/>
  <c r="U88" i="1"/>
  <c r="W88" i="1" s="1"/>
  <c r="Y88" i="1" s="1"/>
  <c r="AF88" i="1"/>
  <c r="AG88" i="1"/>
  <c r="AI88" i="1" s="1"/>
  <c r="AK88" i="1" s="1"/>
  <c r="AM88" i="1"/>
  <c r="O89" i="1"/>
  <c r="T89" i="1"/>
  <c r="U89" i="1"/>
  <c r="AF89" i="1"/>
  <c r="AG89" i="1"/>
  <c r="AI89" i="1" s="1"/>
  <c r="AK89" i="1" s="1"/>
  <c r="AM89" i="1"/>
  <c r="O90" i="1"/>
  <c r="Q90" i="1" s="1"/>
  <c r="T90" i="1"/>
  <c r="U90" i="1"/>
  <c r="AF90" i="1"/>
  <c r="AG90" i="1"/>
  <c r="AI90" i="1" s="1"/>
  <c r="AK90" i="1" s="1"/>
  <c r="AM90" i="1"/>
  <c r="AJ104" i="1"/>
  <c r="AD104" i="1"/>
  <c r="X104" i="1"/>
  <c r="R104" i="1"/>
  <c r="AF67" i="1"/>
  <c r="AF66" i="1"/>
  <c r="AF65" i="1"/>
  <c r="AF64" i="1"/>
  <c r="Z67" i="1"/>
  <c r="Z66" i="1"/>
  <c r="Z65" i="1"/>
  <c r="Z64" i="1"/>
  <c r="T67" i="1"/>
  <c r="T66" i="1"/>
  <c r="T65" i="1"/>
  <c r="T64" i="1"/>
  <c r="N67" i="1"/>
  <c r="N66" i="1"/>
  <c r="N65" i="1"/>
  <c r="N64" i="1"/>
  <c r="AM19" i="20"/>
  <c r="AN163" i="20"/>
  <c r="R22" i="21" s="1"/>
  <c r="AN16" i="20"/>
  <c r="AN52" i="20"/>
  <c r="AN54" i="20"/>
  <c r="AN55" i="20"/>
  <c r="AN89" i="20"/>
  <c r="AN91" i="20" s="1"/>
  <c r="R13" i="21" s="1"/>
  <c r="N16" i="20"/>
  <c r="AM27" i="20"/>
  <c r="AM26" i="20"/>
  <c r="AM25" i="20"/>
  <c r="AG64" i="1"/>
  <c r="AG65" i="1"/>
  <c r="AG66" i="1"/>
  <c r="AI66" i="1" s="1"/>
  <c r="AK66" i="1" s="1"/>
  <c r="AG67" i="1"/>
  <c r="AI67" i="1" s="1"/>
  <c r="AK67" i="1" s="1"/>
  <c r="AG63" i="1"/>
  <c r="AI63" i="1" s="1"/>
  <c r="AK63" i="1" s="1"/>
  <c r="AA64" i="1"/>
  <c r="AA65" i="1"/>
  <c r="AC65" i="1" s="1"/>
  <c r="AA66" i="1"/>
  <c r="AA67" i="1"/>
  <c r="AC67" i="1" s="1"/>
  <c r="AE67" i="1" s="1"/>
  <c r="AA63" i="1"/>
  <c r="AC63" i="1" s="1"/>
  <c r="AE63" i="1" s="1"/>
  <c r="U64" i="1"/>
  <c r="W64" i="1" s="1"/>
  <c r="Y64" i="1" s="1"/>
  <c r="U65" i="1"/>
  <c r="W65" i="1" s="1"/>
  <c r="Y65" i="1" s="1"/>
  <c r="U66" i="1"/>
  <c r="U67" i="1"/>
  <c r="U63" i="1"/>
  <c r="W63" i="1" s="1"/>
  <c r="O64" i="1"/>
  <c r="O65" i="1"/>
  <c r="Q65" i="1" s="1"/>
  <c r="S65" i="1" s="1"/>
  <c r="O66" i="1"/>
  <c r="Q66" i="1" s="1"/>
  <c r="O67" i="1"/>
  <c r="Q67" i="1" s="1"/>
  <c r="S67" i="1" s="1"/>
  <c r="B31" i="15"/>
  <c r="B51" i="15"/>
  <c r="B39" i="15"/>
  <c r="B59" i="15"/>
  <c r="B45" i="15"/>
  <c r="B17" i="15"/>
  <c r="B69" i="15"/>
  <c r="AM32" i="1"/>
  <c r="AM30" i="1"/>
  <c r="AJ68" i="1"/>
  <c r="AD68" i="1"/>
  <c r="X68" i="1"/>
  <c r="R68" i="1"/>
  <c r="R37" i="1"/>
  <c r="B8" i="15"/>
  <c r="AG110" i="1"/>
  <c r="AI110" i="1"/>
  <c r="AK110" i="1"/>
  <c r="AK112" i="1"/>
  <c r="P13" i="19"/>
  <c r="AI121" i="1"/>
  <c r="AK121" i="1"/>
  <c r="AI134" i="1"/>
  <c r="AK134" i="1" s="1"/>
  <c r="Q134" i="1"/>
  <c r="S134" i="1" s="1"/>
  <c r="AM120" i="1"/>
  <c r="X37" i="1"/>
  <c r="X20" i="1"/>
  <c r="X135" i="1"/>
  <c r="X122" i="1"/>
  <c r="X112" i="1"/>
  <c r="I13" i="19"/>
  <c r="AM134" i="1"/>
  <c r="AM25" i="1"/>
  <c r="L37" i="1"/>
  <c r="AD37" i="1"/>
  <c r="AJ37" i="1"/>
  <c r="AM17" i="1"/>
  <c r="AM18" i="1"/>
  <c r="AM19" i="1"/>
  <c r="AM65" i="1"/>
  <c r="AM64" i="1"/>
  <c r="AM132" i="1"/>
  <c r="AM131" i="1"/>
  <c r="AJ112" i="1"/>
  <c r="O13" i="19"/>
  <c r="AD112" i="1"/>
  <c r="L13" i="19"/>
  <c r="R112" i="1"/>
  <c r="F13" i="19"/>
  <c r="L112" i="1"/>
  <c r="C13" i="19"/>
  <c r="AA110" i="1"/>
  <c r="AC110" i="1"/>
  <c r="U110" i="1"/>
  <c r="W110" i="1"/>
  <c r="Y110" i="1"/>
  <c r="Y112" i="1"/>
  <c r="J13" i="19"/>
  <c r="O110" i="1"/>
  <c r="Q110" i="1"/>
  <c r="S110" i="1"/>
  <c r="S112" i="1"/>
  <c r="G13" i="19"/>
  <c r="AJ135" i="1"/>
  <c r="AD135" i="1"/>
  <c r="R135" i="1"/>
  <c r="L135" i="1"/>
  <c r="AJ122" i="1"/>
  <c r="AD122" i="1"/>
  <c r="R122" i="1"/>
  <c r="L122" i="1"/>
  <c r="AM121" i="1"/>
  <c r="AM117" i="1"/>
  <c r="AM118" i="1"/>
  <c r="AM119" i="1"/>
  <c r="AM125" i="1"/>
  <c r="AM126" i="1"/>
  <c r="AM127" i="1"/>
  <c r="AM128" i="1"/>
  <c r="AM129" i="1"/>
  <c r="AJ20" i="1"/>
  <c r="AD20" i="1"/>
  <c r="R20" i="1"/>
  <c r="L20" i="1"/>
  <c r="B7" i="15"/>
  <c r="B5" i="15"/>
  <c r="B13" i="15"/>
  <c r="B14" i="15"/>
  <c r="AM23" i="1"/>
  <c r="AM67" i="1"/>
  <c r="AM66" i="1"/>
  <c r="AM63" i="1"/>
  <c r="AM223" i="1"/>
  <c r="R22" i="19"/>
  <c r="O22" i="19"/>
  <c r="L22" i="19"/>
  <c r="I22" i="19"/>
  <c r="F22" i="19"/>
  <c r="C22" i="19"/>
  <c r="AM110" i="1"/>
  <c r="AM112" i="1"/>
  <c r="R13" i="19"/>
  <c r="AM24" i="1"/>
  <c r="B6" i="15"/>
  <c r="B15" i="15"/>
  <c r="B16" i="15"/>
  <c r="M23" i="1"/>
  <c r="K49" i="1"/>
  <c r="N27" i="20"/>
  <c r="M31" i="20"/>
  <c r="M29" i="1"/>
  <c r="K48" i="1"/>
  <c r="Y19" i="20"/>
  <c r="Y36" i="20" s="1"/>
  <c r="L125" i="25"/>
  <c r="L220" i="1"/>
  <c r="C19" i="19"/>
  <c r="N123" i="25"/>
  <c r="AD220" i="1"/>
  <c r="L19" i="19"/>
  <c r="W50" i="1"/>
  <c r="Y50" i="1" s="1"/>
  <c r="K130" i="1"/>
  <c r="O130" i="1"/>
  <c r="Q130" i="1" s="1"/>
  <c r="S130" i="1" s="1"/>
  <c r="AA130" i="1"/>
  <c r="AG130" i="1"/>
  <c r="U130" i="1"/>
  <c r="K119" i="1"/>
  <c r="M119" i="1"/>
  <c r="U119" i="1"/>
  <c r="O119" i="1"/>
  <c r="Q119" i="1" s="1"/>
  <c r="S119" i="1" s="1"/>
  <c r="AA119" i="1"/>
  <c r="AG119" i="1"/>
  <c r="O129" i="1"/>
  <c r="Q129" i="1" s="1"/>
  <c r="S129" i="1" s="1"/>
  <c r="U129" i="1"/>
  <c r="AG129" i="1"/>
  <c r="AA129" i="1"/>
  <c r="K118" i="1"/>
  <c r="M118" i="1"/>
  <c r="U118" i="1"/>
  <c r="O118" i="1"/>
  <c r="Q118" i="1" s="1"/>
  <c r="AA118" i="1"/>
  <c r="AG118" i="1"/>
  <c r="K120" i="1"/>
  <c r="AG120" i="1"/>
  <c r="O120" i="1"/>
  <c r="Q120" i="1" s="1"/>
  <c r="AA120" i="1"/>
  <c r="U120" i="1"/>
  <c r="K125" i="1"/>
  <c r="AG125" i="1"/>
  <c r="AA125" i="1"/>
  <c r="U125" i="1"/>
  <c r="O125" i="1"/>
  <c r="Q125" i="1" s="1"/>
  <c r="K117" i="1"/>
  <c r="M117" i="1"/>
  <c r="O117" i="1"/>
  <c r="Q117" i="1" s="1"/>
  <c r="AG117" i="1"/>
  <c r="AA117" i="1"/>
  <c r="U117" i="1"/>
  <c r="O128" i="1"/>
  <c r="Q128" i="1" s="1"/>
  <c r="AG128" i="1"/>
  <c r="AA128" i="1"/>
  <c r="U128" i="1"/>
  <c r="AG127" i="1"/>
  <c r="O127" i="1"/>
  <c r="Q127" i="1" s="1"/>
  <c r="AA127" i="1"/>
  <c r="U127" i="1"/>
  <c r="AG126" i="1"/>
  <c r="AA126" i="1"/>
  <c r="U126" i="1"/>
  <c r="O126" i="1"/>
  <c r="Q126" i="1" s="1"/>
  <c r="S126" i="1" s="1"/>
  <c r="X93" i="23"/>
  <c r="Z93" i="23" s="1"/>
  <c r="X47" i="23"/>
  <c r="Z47" i="23" s="1"/>
  <c r="AH48" i="23"/>
  <c r="AB48" i="23"/>
  <c r="AL89" i="20"/>
  <c r="AL91" i="20" s="1"/>
  <c r="P13" i="21" s="1"/>
  <c r="AJ91" i="20"/>
  <c r="N13" i="21" s="1"/>
  <c r="AK85" i="20"/>
  <c r="O11" i="21" s="1"/>
  <c r="S85" i="20"/>
  <c r="F11" i="21" s="1"/>
  <c r="N136" i="20"/>
  <c r="N89" i="20"/>
  <c r="N91" i="20" s="1"/>
  <c r="D13" i="21" s="1"/>
  <c r="AJ62" i="20"/>
  <c r="AL62" i="20" s="1"/>
  <c r="AE19" i="20"/>
  <c r="AE36" i="20" s="1"/>
  <c r="AK19" i="20"/>
  <c r="AK36" i="20" s="1"/>
  <c r="M134" i="1"/>
  <c r="AD106" i="1"/>
  <c r="L11" i="19"/>
  <c r="R137" i="1"/>
  <c r="F15" i="19"/>
  <c r="U18" i="1"/>
  <c r="W18" i="1" s="1"/>
  <c r="R106" i="1"/>
  <c r="F11" i="19"/>
  <c r="AK148" i="23"/>
  <c r="AK154" i="23" s="1"/>
  <c r="O17" i="24" s="1"/>
  <c r="AE142" i="23"/>
  <c r="L15" i="24" s="1"/>
  <c r="AE148" i="23"/>
  <c r="M142" i="23"/>
  <c r="C15" i="24" s="1"/>
  <c r="Q64" i="1"/>
  <c r="S64" i="1" s="1"/>
  <c r="X220" i="1"/>
  <c r="I19" i="19"/>
  <c r="AI65" i="1"/>
  <c r="AK65" i="1" s="1"/>
  <c r="W66" i="1"/>
  <c r="Y66" i="1" s="1"/>
  <c r="O18" i="1"/>
  <c r="Q18" i="1" s="1"/>
  <c r="X137" i="1"/>
  <c r="I15" i="19"/>
  <c r="AG18" i="1"/>
  <c r="L137" i="1"/>
  <c r="C15" i="19"/>
  <c r="AM20" i="1"/>
  <c r="Q112" i="1"/>
  <c r="E13" i="19"/>
  <c r="AD137" i="1"/>
  <c r="L15" i="19"/>
  <c r="AA18" i="1"/>
  <c r="M28" i="1"/>
  <c r="AI64" i="1"/>
  <c r="AK64" i="1" s="1"/>
  <c r="AC64" i="1"/>
  <c r="AE64" i="1" s="1"/>
  <c r="L68" i="25"/>
  <c r="N68" i="25" s="1"/>
  <c r="V73" i="25"/>
  <c r="X73" i="25" s="1"/>
  <c r="Z73" i="25" s="1"/>
  <c r="R79" i="25"/>
  <c r="T79" i="25" s="1"/>
  <c r="Y100" i="25"/>
  <c r="I11" i="26" s="1"/>
  <c r="L67" i="25"/>
  <c r="N67" i="25" s="1"/>
  <c r="L70" i="25"/>
  <c r="N70" i="25" s="1"/>
  <c r="AD78" i="25"/>
  <c r="AF78" i="25" s="1"/>
  <c r="R111" i="25"/>
  <c r="T111" i="25" s="1"/>
  <c r="M38" i="25"/>
  <c r="R67" i="25"/>
  <c r="T67" i="25" s="1"/>
  <c r="R106" i="25"/>
  <c r="E13" i="26" s="1"/>
  <c r="T104" i="25"/>
  <c r="T106" i="25" s="1"/>
  <c r="G13" i="26" s="1"/>
  <c r="R70" i="25"/>
  <c r="T70" i="25" s="1"/>
  <c r="AJ70" i="25"/>
  <c r="AL70" i="25" s="1"/>
  <c r="X69" i="25"/>
  <c r="Z69" i="25" s="1"/>
  <c r="AD69" i="25"/>
  <c r="AF69" i="25" s="1"/>
  <c r="T124" i="25"/>
  <c r="X106" i="25"/>
  <c r="H13" i="26" s="1"/>
  <c r="Z104" i="25"/>
  <c r="Z106" i="25" s="1"/>
  <c r="J13" i="26" s="1"/>
  <c r="L69" i="25"/>
  <c r="N69" i="25" s="1"/>
  <c r="AD67" i="25"/>
  <c r="R40" i="25"/>
  <c r="T40" i="25" s="1"/>
  <c r="AA24" i="25"/>
  <c r="AD56" i="25"/>
  <c r="AF56" i="25" s="1"/>
  <c r="AD68" i="25"/>
  <c r="AF68" i="25" s="1"/>
  <c r="X54" i="25"/>
  <c r="Z54" i="25" s="1"/>
  <c r="R38" i="25"/>
  <c r="T38" i="25" s="1"/>
  <c r="N62" i="23"/>
  <c r="M148" i="23"/>
  <c r="Y148" i="23"/>
  <c r="S148" i="23"/>
  <c r="AI72" i="1"/>
  <c r="AK72" i="1" s="1"/>
  <c r="AL157" i="1"/>
  <c r="AN157" i="1"/>
  <c r="R220" i="1"/>
  <c r="F19" i="19"/>
  <c r="AG17" i="1"/>
  <c r="AI17" i="1" s="1"/>
  <c r="AK17" i="1" s="1"/>
  <c r="Q89" i="1"/>
  <c r="S89" i="1" s="1"/>
  <c r="O17" i="1"/>
  <c r="Q17" i="1" s="1"/>
  <c r="S17" i="1" s="1"/>
  <c r="AA17" i="1"/>
  <c r="AC17" i="1" s="1"/>
  <c r="AE17" i="1" s="1"/>
  <c r="X106" i="1"/>
  <c r="I11" i="19"/>
  <c r="U17" i="1"/>
  <c r="W17" i="1" s="1"/>
  <c r="Y17" i="1" s="1"/>
  <c r="W90" i="1"/>
  <c r="Y90" i="1" s="1"/>
  <c r="AM104" i="1"/>
  <c r="AF73" i="1"/>
  <c r="AI79" i="1"/>
  <c r="AK79" i="1" s="1"/>
  <c r="AF74" i="1"/>
  <c r="AJ220" i="1"/>
  <c r="O19" i="19"/>
  <c r="AM178" i="1"/>
  <c r="W96" i="1"/>
  <c r="Y96" i="1" s="1"/>
  <c r="Q159" i="1"/>
  <c r="AG34" i="1"/>
  <c r="AI34" i="1" s="1"/>
  <c r="AK34" i="1" s="1"/>
  <c r="U34" i="1"/>
  <c r="W34" i="1" s="1"/>
  <c r="Y34" i="1" s="1"/>
  <c r="W75" i="1"/>
  <c r="Y75" i="1" s="1"/>
  <c r="Z75" i="1"/>
  <c r="AC75" i="1"/>
  <c r="AE75" i="1" s="1"/>
  <c r="AM68" i="1"/>
  <c r="AF75" i="1"/>
  <c r="AI75" i="1"/>
  <c r="AK75" i="1" s="1"/>
  <c r="O34" i="1"/>
  <c r="Q34" i="1" s="1"/>
  <c r="S34" i="1" s="1"/>
  <c r="K129" i="1"/>
  <c r="M129" i="1"/>
  <c r="K165" i="1"/>
  <c r="Z74" i="1"/>
  <c r="AC74" i="1"/>
  <c r="AE74" i="1" s="1"/>
  <c r="AM165" i="1"/>
  <c r="R39" i="1"/>
  <c r="F7" i="19"/>
  <c r="N201" i="1"/>
  <c r="Q201" i="1"/>
  <c r="S201" i="1"/>
  <c r="N79" i="1"/>
  <c r="AC66" i="1"/>
  <c r="AE66" i="1"/>
  <c r="N81" i="1"/>
  <c r="Q81" i="1"/>
  <c r="S81" i="1" s="1"/>
  <c r="AJ39" i="1"/>
  <c r="O7" i="19"/>
  <c r="AC78" i="1"/>
  <c r="AE78" i="1" s="1"/>
  <c r="X57" i="1"/>
  <c r="I9" i="19"/>
  <c r="Q78" i="1"/>
  <c r="S78" i="1" s="1"/>
  <c r="AM122" i="1"/>
  <c r="L39" i="1"/>
  <c r="C7" i="19"/>
  <c r="AJ106" i="1"/>
  <c r="O11" i="19"/>
  <c r="AA19" i="1"/>
  <c r="AC19" i="1" s="1"/>
  <c r="K19" i="1"/>
  <c r="M19" i="1"/>
  <c r="M20" i="1"/>
  <c r="AF17" i="1"/>
  <c r="L106" i="1"/>
  <c r="C11" i="19"/>
  <c r="AI159" i="1"/>
  <c r="AM159" i="1"/>
  <c r="AJ137" i="1"/>
  <c r="O15" i="19"/>
  <c r="AC201" i="1"/>
  <c r="AE201" i="1"/>
  <c r="AM55" i="1"/>
  <c r="AM57" i="1"/>
  <c r="R9" i="19"/>
  <c r="M178" i="1"/>
  <c r="AI201" i="1"/>
  <c r="AK201" i="1"/>
  <c r="R57" i="1"/>
  <c r="F9" i="19"/>
  <c r="L57" i="1"/>
  <c r="C9" i="19"/>
  <c r="AD57" i="1"/>
  <c r="L9" i="19"/>
  <c r="K159" i="1"/>
  <c r="AI80" i="1"/>
  <c r="AK80" i="1" s="1"/>
  <c r="W74" i="1"/>
  <c r="Y74" i="1" s="1"/>
  <c r="W73" i="1"/>
  <c r="Y73" i="1" s="1"/>
  <c r="Q72" i="1"/>
  <c r="S72" i="1" s="1"/>
  <c r="M157" i="1"/>
  <c r="M159" i="1"/>
  <c r="AM135" i="1"/>
  <c r="W67" i="1"/>
  <c r="Y67" i="1" s="1"/>
  <c r="AA24" i="1"/>
  <c r="AC24" i="1" s="1"/>
  <c r="AE24" i="1" s="1"/>
  <c r="N75" i="1"/>
  <c r="N73" i="1"/>
  <c r="AD39" i="1"/>
  <c r="L7" i="19"/>
  <c r="Q74" i="1"/>
  <c r="S74" i="1" s="1"/>
  <c r="X39" i="1"/>
  <c r="I7" i="19"/>
  <c r="AA25" i="1"/>
  <c r="AC25" i="1" s="1"/>
  <c r="AE25" i="1" s="1"/>
  <c r="K30" i="1"/>
  <c r="M30" i="1"/>
  <c r="AG25" i="1"/>
  <c r="AI25" i="1" s="1"/>
  <c r="AK25" i="1" s="1"/>
  <c r="U25" i="1"/>
  <c r="W25" i="1" s="1"/>
  <c r="Y25" i="1" s="1"/>
  <c r="AL206" i="1"/>
  <c r="AN206" i="1"/>
  <c r="S206" i="1"/>
  <c r="AE110" i="1"/>
  <c r="AE112" i="1"/>
  <c r="M13" i="19"/>
  <c r="AL110" i="1"/>
  <c r="AC112" i="1"/>
  <c r="K13" i="19"/>
  <c r="M186" i="1"/>
  <c r="AM37" i="1"/>
  <c r="AL158" i="1"/>
  <c r="AN158" i="1"/>
  <c r="M110" i="1"/>
  <c r="M112" i="1"/>
  <c r="D13" i="19"/>
  <c r="K112" i="1"/>
  <c r="B13" i="19"/>
  <c r="K68" i="1"/>
  <c r="M66" i="1"/>
  <c r="M68" i="1"/>
  <c r="W72" i="1"/>
  <c r="Y72" i="1" s="1"/>
  <c r="T201" i="1"/>
  <c r="W201" i="1"/>
  <c r="Y201" i="1"/>
  <c r="AK162" i="1"/>
  <c r="AK165" i="1"/>
  <c r="AI165" i="1"/>
  <c r="AM149" i="1"/>
  <c r="AL163" i="1"/>
  <c r="AN163" i="1"/>
  <c r="M203" i="1"/>
  <c r="AL203" i="1"/>
  <c r="AN203" i="1"/>
  <c r="W112" i="1"/>
  <c r="H13" i="19"/>
  <c r="W79" i="1"/>
  <c r="Y79" i="1" s="1"/>
  <c r="AL199" i="1"/>
  <c r="AN199" i="1"/>
  <c r="S199" i="1"/>
  <c r="AI149" i="1"/>
  <c r="AK148" i="1"/>
  <c r="AK149" i="1"/>
  <c r="AK159" i="1"/>
  <c r="AL164" i="1"/>
  <c r="AN164" i="1"/>
  <c r="S164" i="1"/>
  <c r="AC165" i="1"/>
  <c r="AE162" i="1"/>
  <c r="AE165" i="1"/>
  <c r="AL209" i="1"/>
  <c r="AN209" i="1"/>
  <c r="AC149" i="1"/>
  <c r="AE148" i="1"/>
  <c r="AE149" i="1"/>
  <c r="AC159" i="1"/>
  <c r="AE157" i="1"/>
  <c r="AE159" i="1"/>
  <c r="G74" i="1"/>
  <c r="K74" i="1"/>
  <c r="G201" i="1"/>
  <c r="K201" i="1"/>
  <c r="G75" i="1"/>
  <c r="K75" i="1"/>
  <c r="M75" i="1"/>
  <c r="K72" i="1"/>
  <c r="M72" i="1"/>
  <c r="G73" i="1"/>
  <c r="K73" i="1"/>
  <c r="M73" i="1"/>
  <c r="AL202" i="1"/>
  <c r="AN202" i="1"/>
  <c r="S202" i="1"/>
  <c r="Y148" i="1"/>
  <c r="Y149" i="1"/>
  <c r="W149" i="1"/>
  <c r="W159" i="1"/>
  <c r="Y157" i="1"/>
  <c r="Y159" i="1"/>
  <c r="Y162" i="1"/>
  <c r="Y165" i="1"/>
  <c r="W165" i="1"/>
  <c r="W89" i="1"/>
  <c r="AL200" i="1"/>
  <c r="AN200" i="1"/>
  <c r="S200" i="1"/>
  <c r="AC73" i="1"/>
  <c r="AE73" i="1" s="1"/>
  <c r="S159" i="1"/>
  <c r="K149" i="1"/>
  <c r="M148" i="1"/>
  <c r="AL148" i="1"/>
  <c r="AL198" i="1"/>
  <c r="AN198" i="1"/>
  <c r="AI112" i="1"/>
  <c r="N13" i="19"/>
  <c r="AM218" i="1"/>
  <c r="S148" i="1"/>
  <c r="Q149" i="1"/>
  <c r="S162" i="1"/>
  <c r="Q165" i="1"/>
  <c r="AJ57" i="1"/>
  <c r="O9" i="19"/>
  <c r="K128" i="1"/>
  <c r="M128" i="1"/>
  <c r="W131" i="1"/>
  <c r="Y131" i="1" s="1"/>
  <c r="Z131" i="1" s="1"/>
  <c r="AC131" i="1" s="1"/>
  <c r="AC81" i="1"/>
  <c r="AE81" i="1" s="1"/>
  <c r="AG24" i="1"/>
  <c r="AI24" i="1" s="1"/>
  <c r="U24" i="1"/>
  <c r="W24" i="1" s="1"/>
  <c r="Y24" i="1" s="1"/>
  <c r="K127" i="1"/>
  <c r="M127" i="1"/>
  <c r="K178" i="1"/>
  <c r="K24" i="1"/>
  <c r="M198" i="1"/>
  <c r="M163" i="1"/>
  <c r="M165" i="1"/>
  <c r="O19" i="1"/>
  <c r="Q19" i="1" s="1"/>
  <c r="S19" i="1" s="1"/>
  <c r="D9" i="15"/>
  <c r="AL162" i="1"/>
  <c r="AG19" i="1"/>
  <c r="K126" i="1"/>
  <c r="M126" i="1"/>
  <c r="M27" i="1"/>
  <c r="AG30" i="1"/>
  <c r="AI30" i="1" s="1"/>
  <c r="AK30" i="1" s="1"/>
  <c r="AA30" i="1"/>
  <c r="AC30" i="1" s="1"/>
  <c r="AE30" i="1" s="1"/>
  <c r="U30" i="1"/>
  <c r="W30" i="1" s="1"/>
  <c r="Y30" i="1" s="1"/>
  <c r="M32" i="1"/>
  <c r="M130" i="1"/>
  <c r="M125" i="1"/>
  <c r="D19" i="15"/>
  <c r="T19" i="1"/>
  <c r="T18" i="1"/>
  <c r="T89" i="25"/>
  <c r="T140" i="25"/>
  <c r="AL136" i="25"/>
  <c r="Z167" i="25"/>
  <c r="T79" i="20"/>
  <c r="T67" i="20"/>
  <c r="T52" i="20"/>
  <c r="T115" i="23"/>
  <c r="AF61" i="23"/>
  <c r="AL51" i="1"/>
  <c r="AN51" i="1"/>
  <c r="S51" i="1"/>
  <c r="S186" i="1"/>
  <c r="S183" i="1"/>
  <c r="M47" i="1"/>
  <c r="M25" i="1"/>
  <c r="K122" i="1"/>
  <c r="K137" i="1"/>
  <c r="B15" i="19"/>
  <c r="AM39" i="1"/>
  <c r="R7" i="19"/>
  <c r="M120" i="1"/>
  <c r="K135" i="1"/>
  <c r="AK20" i="20"/>
  <c r="M74" i="1"/>
  <c r="M104" i="1"/>
  <c r="M106" i="1"/>
  <c r="D11" i="19"/>
  <c r="K104" i="1"/>
  <c r="K106" i="1"/>
  <c r="B11" i="19"/>
  <c r="AM106" i="1"/>
  <c r="R11" i="19"/>
  <c r="R148" i="23"/>
  <c r="T148" i="23"/>
  <c r="S50" i="1"/>
  <c r="K20" i="1"/>
  <c r="AM137" i="1"/>
  <c r="R15" i="19"/>
  <c r="AD66" i="25"/>
  <c r="AF66" i="25" s="1"/>
  <c r="M24" i="1"/>
  <c r="M37" i="1"/>
  <c r="M39" i="1"/>
  <c r="AM220" i="1"/>
  <c r="R19" i="19"/>
  <c r="S149" i="1"/>
  <c r="S165" i="1"/>
  <c r="D21" i="15"/>
  <c r="AN162" i="1"/>
  <c r="AN165" i="1"/>
  <c r="AL165" i="1"/>
  <c r="AL149" i="1"/>
  <c r="AN148" i="1"/>
  <c r="AN149" i="1"/>
  <c r="M201" i="1"/>
  <c r="M218" i="1"/>
  <c r="M220" i="1"/>
  <c r="D19" i="19"/>
  <c r="AL201" i="1"/>
  <c r="AN201" i="1"/>
  <c r="AN110" i="1"/>
  <c r="AL112" i="1"/>
  <c r="M149" i="1"/>
  <c r="K218" i="1"/>
  <c r="K220" i="1"/>
  <c r="B19" i="19"/>
  <c r="AL159" i="1"/>
  <c r="AN159" i="1"/>
  <c r="M48" i="1"/>
  <c r="K37" i="1"/>
  <c r="M135" i="1"/>
  <c r="S125" i="1"/>
  <c r="T125" i="1" s="1"/>
  <c r="M122" i="1"/>
  <c r="M49" i="1"/>
  <c r="Z18" i="1"/>
  <c r="Z19" i="1"/>
  <c r="W19" i="1"/>
  <c r="Y19" i="1" s="1"/>
  <c r="M43" i="1"/>
  <c r="M44" i="1"/>
  <c r="K39" i="1"/>
  <c r="B7" i="19"/>
  <c r="D7" i="19"/>
  <c r="K44" i="1"/>
  <c r="K55" i="1"/>
  <c r="M137" i="1"/>
  <c r="D15" i="19"/>
  <c r="Q13" i="19"/>
  <c r="AN112" i="1"/>
  <c r="S13" i="19"/>
  <c r="M55" i="1"/>
  <c r="AF19" i="1"/>
  <c r="AI19" i="1"/>
  <c r="AK19" i="1" s="1"/>
  <c r="AF18" i="1"/>
  <c r="AI18" i="1"/>
  <c r="AK18" i="1" s="1"/>
  <c r="AC18" i="1"/>
  <c r="M57" i="1"/>
  <c r="D9" i="19"/>
  <c r="K57" i="1"/>
  <c r="B9" i="19"/>
  <c r="AE18" i="1"/>
  <c r="W125" i="1" l="1"/>
  <c r="S88" i="1"/>
  <c r="AL88" i="1"/>
  <c r="AN88" i="1" s="1"/>
  <c r="S118" i="1"/>
  <c r="T118" i="1" s="1"/>
  <c r="W118" i="1" s="1"/>
  <c r="Q20" i="1"/>
  <c r="Q43" i="1" s="1"/>
  <c r="S43" i="1" s="1"/>
  <c r="S44" i="1" s="1"/>
  <c r="S18" i="1"/>
  <c r="S20" i="1" s="1"/>
  <c r="S66" i="1"/>
  <c r="S68" i="1" s="1"/>
  <c r="AL66" i="1"/>
  <c r="AN66" i="1" s="1"/>
  <c r="S90" i="1"/>
  <c r="AL90" i="1"/>
  <c r="AN90" i="1" s="1"/>
  <c r="AL89" i="1"/>
  <c r="AN89" i="1" s="1"/>
  <c r="AL175" i="1"/>
  <c r="AN175" i="1" s="1"/>
  <c r="AL72" i="1"/>
  <c r="AD63" i="20"/>
  <c r="AF63" i="20" s="1"/>
  <c r="T113" i="20"/>
  <c r="AK160" i="20"/>
  <c r="O19" i="21" s="1"/>
  <c r="X62" i="20"/>
  <c r="Z62" i="20" s="1"/>
  <c r="V58" i="20"/>
  <c r="X58" i="20" s="1"/>
  <c r="Z58" i="20" s="1"/>
  <c r="N97" i="20"/>
  <c r="AD64" i="20"/>
  <c r="AF64" i="20" s="1"/>
  <c r="S19" i="20"/>
  <c r="T19" i="20" s="1"/>
  <c r="AF113" i="20"/>
  <c r="AB28" i="20"/>
  <c r="AD28" i="20" s="1"/>
  <c r="AF28" i="20" s="1"/>
  <c r="AH28" i="20"/>
  <c r="AJ28" i="20" s="1"/>
  <c r="AL28" i="20" s="1"/>
  <c r="AN48" i="20"/>
  <c r="AD62" i="20"/>
  <c r="AF62" i="20" s="1"/>
  <c r="P58" i="20"/>
  <c r="R58" i="20" s="1"/>
  <c r="AM58" i="20" s="1"/>
  <c r="AO58" i="20" s="1"/>
  <c r="X61" i="20"/>
  <c r="Z61" i="20" s="1"/>
  <c r="AE160" i="20"/>
  <c r="L19" i="21" s="1"/>
  <c r="AK119" i="20"/>
  <c r="AJ64" i="20"/>
  <c r="AL64" i="20" s="1"/>
  <c r="AM112" i="20"/>
  <c r="AO112" i="20" s="1"/>
  <c r="AH58" i="20"/>
  <c r="AJ58" i="20" s="1"/>
  <c r="AL58" i="20" s="1"/>
  <c r="L24" i="20"/>
  <c r="N24" i="20" s="1"/>
  <c r="Y160" i="20"/>
  <c r="I19" i="21" s="1"/>
  <c r="V24" i="20"/>
  <c r="X24" i="20" s="1"/>
  <c r="Z24" i="20" s="1"/>
  <c r="AB24" i="20"/>
  <c r="AD24" i="20" s="1"/>
  <c r="AF24" i="20" s="1"/>
  <c r="AB58" i="20"/>
  <c r="AD58" i="20" s="1"/>
  <c r="AF58" i="20" s="1"/>
  <c r="AD61" i="20"/>
  <c r="AF61" i="20" s="1"/>
  <c r="AH24" i="20"/>
  <c r="AJ24" i="20" s="1"/>
  <c r="AL24" i="20" s="1"/>
  <c r="Y98" i="20"/>
  <c r="Y105" i="20" s="1"/>
  <c r="I15" i="21" s="1"/>
  <c r="Z97" i="20"/>
  <c r="AM82" i="20"/>
  <c r="AO82" i="20" s="1"/>
  <c r="R16" i="20"/>
  <c r="T16" i="20" s="1"/>
  <c r="AD113" i="20"/>
  <c r="AD119" i="20" s="1"/>
  <c r="K17" i="21" s="1"/>
  <c r="AN127" i="20"/>
  <c r="L113" i="20"/>
  <c r="L119" i="20" s="1"/>
  <c r="B17" i="21" s="1"/>
  <c r="T97" i="20"/>
  <c r="N116" i="20"/>
  <c r="N117" i="20" s="1"/>
  <c r="AE119" i="20"/>
  <c r="L17" i="21" s="1"/>
  <c r="AN103" i="20"/>
  <c r="AK98" i="20"/>
  <c r="AK105" i="20" s="1"/>
  <c r="O15" i="21" s="1"/>
  <c r="X48" i="20"/>
  <c r="Z44" i="20"/>
  <c r="Z48" i="20" s="1"/>
  <c r="AF79" i="20"/>
  <c r="AM79" i="20"/>
  <c r="AO79" i="20" s="1"/>
  <c r="AF97" i="20"/>
  <c r="AE98" i="20"/>
  <c r="AE105" i="20" s="1"/>
  <c r="L15" i="21" s="1"/>
  <c r="T47" i="20"/>
  <c r="AM47" i="20"/>
  <c r="AO47" i="20" s="1"/>
  <c r="AF141" i="20"/>
  <c r="AM141" i="20"/>
  <c r="AO141" i="20" s="1"/>
  <c r="T89" i="20"/>
  <c r="T91" i="20" s="1"/>
  <c r="G13" i="21" s="1"/>
  <c r="R91" i="20"/>
  <c r="E13" i="21" s="1"/>
  <c r="Z89" i="20"/>
  <c r="Z91" i="20" s="1"/>
  <c r="J13" i="21" s="1"/>
  <c r="X91" i="20"/>
  <c r="H13" i="21" s="1"/>
  <c r="S36" i="20"/>
  <c r="S20" i="20"/>
  <c r="AN158" i="20"/>
  <c r="AN160" i="20" s="1"/>
  <c r="R19" i="21" s="1"/>
  <c r="X64" i="20"/>
  <c r="Z64" i="20" s="1"/>
  <c r="X63" i="20"/>
  <c r="Z63" i="20" s="1"/>
  <c r="N48" i="20"/>
  <c r="AL113" i="20"/>
  <c r="AL119" i="20" s="1"/>
  <c r="P17" i="21" s="1"/>
  <c r="AN26" i="20"/>
  <c r="AO26" i="20" s="1"/>
  <c r="AJ61" i="20"/>
  <c r="AL61" i="20" s="1"/>
  <c r="AM76" i="20"/>
  <c r="AO76" i="20" s="1"/>
  <c r="Y85" i="20"/>
  <c r="I11" i="21" s="1"/>
  <c r="AM75" i="20"/>
  <c r="AO75" i="20" s="1"/>
  <c r="AF19" i="20"/>
  <c r="AE20" i="20"/>
  <c r="AN83" i="20"/>
  <c r="AN85" i="20" s="1"/>
  <c r="R11" i="21" s="1"/>
  <c r="L127" i="20"/>
  <c r="T138" i="20"/>
  <c r="AM138" i="20"/>
  <c r="AO138" i="20" s="1"/>
  <c r="AM80" i="20"/>
  <c r="AO80" i="20" s="1"/>
  <c r="T80" i="20"/>
  <c r="T144" i="20"/>
  <c r="AM144" i="20"/>
  <c r="AO144" i="20" s="1"/>
  <c r="AM74" i="20"/>
  <c r="AO74" i="20" s="1"/>
  <c r="T58" i="20"/>
  <c r="Z52" i="20"/>
  <c r="AM52" i="20"/>
  <c r="AO52" i="20" s="1"/>
  <c r="AM69" i="20"/>
  <c r="AO69" i="20" s="1"/>
  <c r="T69" i="20"/>
  <c r="T143" i="20"/>
  <c r="AM143" i="20"/>
  <c r="AO143" i="20" s="1"/>
  <c r="M105" i="20"/>
  <c r="C15" i="21" s="1"/>
  <c r="AD91" i="20"/>
  <c r="K13" i="21" s="1"/>
  <c r="AF89" i="20"/>
  <c r="AF91" i="20" s="1"/>
  <c r="M13" i="21" s="1"/>
  <c r="AM89" i="20"/>
  <c r="Z124" i="20"/>
  <c r="Z127" i="20" s="1"/>
  <c r="X127" i="20"/>
  <c r="AM124" i="20"/>
  <c r="AO124" i="20" s="1"/>
  <c r="T46" i="20"/>
  <c r="AM46" i="20"/>
  <c r="AO46" i="20" s="1"/>
  <c r="AM111" i="20"/>
  <c r="AO111" i="20" s="1"/>
  <c r="AD17" i="20"/>
  <c r="AF17" i="20" s="1"/>
  <c r="AG17" i="20"/>
  <c r="AJ17" i="20" s="1"/>
  <c r="AL17" i="20" s="1"/>
  <c r="T151" i="20"/>
  <c r="AM151" i="20"/>
  <c r="AO151" i="20" s="1"/>
  <c r="T131" i="20"/>
  <c r="R158" i="20"/>
  <c r="AF154" i="20"/>
  <c r="AM154" i="20"/>
  <c r="AO154" i="20" s="1"/>
  <c r="Z148" i="20"/>
  <c r="AM148" i="20"/>
  <c r="AO148" i="20" s="1"/>
  <c r="AM149" i="20"/>
  <c r="AO149" i="20" s="1"/>
  <c r="AF67" i="20"/>
  <c r="AM67" i="20"/>
  <c r="AO67" i="20" s="1"/>
  <c r="Z116" i="20"/>
  <c r="Z117" i="20" s="1"/>
  <c r="X117" i="20"/>
  <c r="L48" i="20"/>
  <c r="AM137" i="20"/>
  <c r="AO137" i="20" s="1"/>
  <c r="T26" i="20"/>
  <c r="T61" i="20"/>
  <c r="M127" i="20"/>
  <c r="M160" i="20" s="1"/>
  <c r="C19" i="21" s="1"/>
  <c r="AK31" i="20"/>
  <c r="AK33" i="20" s="1"/>
  <c r="O7" i="21" s="1"/>
  <c r="P29" i="20"/>
  <c r="R29" i="20" s="1"/>
  <c r="T29" i="20" s="1"/>
  <c r="AN19" i="20"/>
  <c r="AO19" i="20" s="1"/>
  <c r="S160" i="20"/>
  <c r="F19" i="21" s="1"/>
  <c r="R48" i="20"/>
  <c r="AM54" i="20"/>
  <c r="AO54" i="20" s="1"/>
  <c r="N126" i="20"/>
  <c r="AN97" i="20"/>
  <c r="AO97" i="20" s="1"/>
  <c r="N111" i="20"/>
  <c r="V29" i="20"/>
  <c r="X29" i="20" s="1"/>
  <c r="Z29" i="20" s="1"/>
  <c r="AM116" i="20"/>
  <c r="AO116" i="20" s="1"/>
  <c r="AO117" i="20" s="1"/>
  <c r="T76" i="20"/>
  <c r="L83" i="20"/>
  <c r="N110" i="20"/>
  <c r="AN113" i="20"/>
  <c r="AN119" i="20" s="1"/>
  <c r="R17" i="21" s="1"/>
  <c r="AM53" i="20"/>
  <c r="AO53" i="20" s="1"/>
  <c r="AB29" i="20"/>
  <c r="Z19" i="20"/>
  <c r="T149" i="20"/>
  <c r="AM55" i="20"/>
  <c r="AO55" i="20" s="1"/>
  <c r="AJ63" i="20"/>
  <c r="AL63" i="20" s="1"/>
  <c r="AD127" i="20"/>
  <c r="R113" i="20"/>
  <c r="X17" i="20"/>
  <c r="Z17" i="20" s="1"/>
  <c r="P101" i="20"/>
  <c r="R101" i="20" s="1"/>
  <c r="Y119" i="20"/>
  <c r="I17" i="21" s="1"/>
  <c r="AM62" i="20"/>
  <c r="AO62" i="20" s="1"/>
  <c r="N125" i="20"/>
  <c r="N127" i="20" s="1"/>
  <c r="AJ113" i="20"/>
  <c r="M85" i="20"/>
  <c r="C11" i="21" s="1"/>
  <c r="AM157" i="20"/>
  <c r="AO157" i="20" s="1"/>
  <c r="AL19" i="20"/>
  <c r="Y20" i="20"/>
  <c r="AF127" i="20"/>
  <c r="AB101" i="20"/>
  <c r="AJ117" i="20"/>
  <c r="X113" i="20"/>
  <c r="Z110" i="20"/>
  <c r="Z113" i="20" s="1"/>
  <c r="AM110" i="20"/>
  <c r="AL139" i="20"/>
  <c r="AM139" i="20"/>
  <c r="AO139" i="20" s="1"/>
  <c r="N63" i="20"/>
  <c r="N83" i="20" s="1"/>
  <c r="AM156" i="20"/>
  <c r="AO156" i="20" s="1"/>
  <c r="AL54" i="20"/>
  <c r="AL126" i="20"/>
  <c r="AL127" i="20" s="1"/>
  <c r="AJ127" i="20"/>
  <c r="X16" i="20"/>
  <c r="AA16" i="20"/>
  <c r="AK37" i="20"/>
  <c r="AN25" i="20"/>
  <c r="AL25" i="20"/>
  <c r="Z27" i="20"/>
  <c r="Y31" i="20"/>
  <c r="AN27" i="20"/>
  <c r="AO27" i="20" s="1"/>
  <c r="N152" i="20"/>
  <c r="N158" i="20" s="1"/>
  <c r="AM152" i="20"/>
  <c r="AO152" i="20" s="1"/>
  <c r="L158" i="20"/>
  <c r="AF142" i="20"/>
  <c r="AM142" i="20"/>
  <c r="AO142" i="20" s="1"/>
  <c r="T126" i="20"/>
  <c r="T127" i="20" s="1"/>
  <c r="R127" i="20"/>
  <c r="R160" i="20" s="1"/>
  <c r="AM126" i="20"/>
  <c r="AO126" i="20" s="1"/>
  <c r="AM155" i="20"/>
  <c r="AO155" i="20" s="1"/>
  <c r="T145" i="20"/>
  <c r="AM145" i="20"/>
  <c r="AO145" i="20" s="1"/>
  <c r="T133" i="20"/>
  <c r="AM133" i="20"/>
  <c r="AO133" i="20" s="1"/>
  <c r="T24" i="20"/>
  <c r="AL136" i="20"/>
  <c r="AM136" i="20"/>
  <c r="AO136" i="20" s="1"/>
  <c r="N29" i="20"/>
  <c r="AD158" i="20"/>
  <c r="AJ48" i="20"/>
  <c r="AM44" i="20"/>
  <c r="AL44" i="20"/>
  <c r="AL48" i="20" s="1"/>
  <c r="AL68" i="20"/>
  <c r="AM68" i="20"/>
  <c r="AO68" i="20" s="1"/>
  <c r="L103" i="20"/>
  <c r="N101" i="20"/>
  <c r="N103" i="20" s="1"/>
  <c r="O17" i="21"/>
  <c r="Z140" i="20"/>
  <c r="Z158" i="20" s="1"/>
  <c r="AM140" i="20"/>
  <c r="AO140" i="20" s="1"/>
  <c r="X158" i="20"/>
  <c r="T70" i="20"/>
  <c r="AM70" i="20"/>
  <c r="AO70" i="20" s="1"/>
  <c r="Z53" i="20"/>
  <c r="AF73" i="20"/>
  <c r="AM73" i="20"/>
  <c r="AO73" i="20" s="1"/>
  <c r="AF45" i="20"/>
  <c r="AF48" i="20" s="1"/>
  <c r="AD48" i="20"/>
  <c r="AM45" i="20"/>
  <c r="AO45" i="20" s="1"/>
  <c r="AM125" i="20"/>
  <c r="AM131" i="20"/>
  <c r="AO131" i="20" s="1"/>
  <c r="Y37" i="20"/>
  <c r="Z25" i="20"/>
  <c r="L20" i="20"/>
  <c r="L36" i="20"/>
  <c r="U23" i="20"/>
  <c r="R23" i="20"/>
  <c r="AA29" i="20"/>
  <c r="AM130" i="20"/>
  <c r="T130" i="20"/>
  <c r="R117" i="20"/>
  <c r="T116" i="20"/>
  <c r="T117" i="20" s="1"/>
  <c r="T119" i="20" s="1"/>
  <c r="G17" i="21" s="1"/>
  <c r="AM81" i="20"/>
  <c r="AO81" i="20" s="1"/>
  <c r="Y39" i="20"/>
  <c r="N28" i="20"/>
  <c r="AM132" i="20"/>
  <c r="AO132" i="20" s="1"/>
  <c r="T132" i="20"/>
  <c r="AE31" i="20"/>
  <c r="AE33" i="20" s="1"/>
  <c r="L7" i="21" s="1"/>
  <c r="AE37" i="20"/>
  <c r="AE39" i="20" s="1"/>
  <c r="S31" i="20"/>
  <c r="S37" i="20"/>
  <c r="N19" i="20"/>
  <c r="N20" i="20" s="1"/>
  <c r="M36" i="20"/>
  <c r="M20" i="20"/>
  <c r="M33" i="20" s="1"/>
  <c r="C7" i="21" s="1"/>
  <c r="R17" i="20"/>
  <c r="Z102" i="20"/>
  <c r="AM102" i="20"/>
  <c r="AO102" i="20" s="1"/>
  <c r="AJ158" i="20"/>
  <c r="AL130" i="20"/>
  <c r="AN30" i="20"/>
  <c r="AO30" i="20" s="1"/>
  <c r="P28" i="20"/>
  <c r="R28" i="20" s="1"/>
  <c r="T28" i="20" s="1"/>
  <c r="AH29" i="20"/>
  <c r="AH101" i="20"/>
  <c r="V101" i="20"/>
  <c r="AF116" i="20"/>
  <c r="AF117" i="20" s="1"/>
  <c r="AF119" i="20" s="1"/>
  <c r="M17" i="21" s="1"/>
  <c r="V28" i="20"/>
  <c r="X28" i="20" s="1"/>
  <c r="Z28" i="20" s="1"/>
  <c r="AH96" i="20"/>
  <c r="L96" i="20"/>
  <c r="N25" i="20"/>
  <c r="AB96" i="20"/>
  <c r="P96" i="20"/>
  <c r="R96" i="20" s="1"/>
  <c r="AJ120" i="25"/>
  <c r="AL119" i="25"/>
  <c r="AL120" i="25" s="1"/>
  <c r="AF142" i="25"/>
  <c r="AJ62" i="25"/>
  <c r="AL62" i="25" s="1"/>
  <c r="AD62" i="25"/>
  <c r="AF62" i="25" s="1"/>
  <c r="L141" i="25"/>
  <c r="N141" i="25" s="1"/>
  <c r="AN114" i="25"/>
  <c r="R15" i="26" s="1"/>
  <c r="R22" i="25"/>
  <c r="T22" i="25" s="1"/>
  <c r="M100" i="25"/>
  <c r="C11" i="26" s="1"/>
  <c r="AD142" i="25"/>
  <c r="Q141" i="25"/>
  <c r="W141" i="25" s="1"/>
  <c r="T156" i="25"/>
  <c r="R155" i="25"/>
  <c r="T155" i="25" s="1"/>
  <c r="R148" i="25"/>
  <c r="T148" i="25" s="1"/>
  <c r="AN58" i="25"/>
  <c r="AN100" i="25" s="1"/>
  <c r="R11" i="26" s="1"/>
  <c r="AH21" i="25"/>
  <c r="X70" i="25"/>
  <c r="V21" i="25"/>
  <c r="AE131" i="25"/>
  <c r="L17" i="26" s="1"/>
  <c r="X158" i="25"/>
  <c r="Z158" i="25" s="1"/>
  <c r="AJ78" i="25"/>
  <c r="AL78" i="25" s="1"/>
  <c r="AK131" i="25"/>
  <c r="O17" i="26" s="1"/>
  <c r="M32" i="25"/>
  <c r="N32" i="25" s="1"/>
  <c r="T69" i="25"/>
  <c r="AM69" i="25"/>
  <c r="AO69" i="25" s="1"/>
  <c r="N114" i="25"/>
  <c r="D15" i="26" s="1"/>
  <c r="X17" i="25"/>
  <c r="Z17" i="25" s="1"/>
  <c r="AA17" i="25"/>
  <c r="AG17" i="25" s="1"/>
  <c r="AJ17" i="25" s="1"/>
  <c r="AJ150" i="25"/>
  <c r="AL150" i="25" s="1"/>
  <c r="S100" i="25"/>
  <c r="F11" i="26" s="1"/>
  <c r="AB37" i="25"/>
  <c r="AD37" i="25" s="1"/>
  <c r="L24" i="25"/>
  <c r="AN125" i="25"/>
  <c r="AN131" i="25" s="1"/>
  <c r="R17" i="26" s="1"/>
  <c r="AM97" i="25"/>
  <c r="AO97" i="25" s="1"/>
  <c r="AG20" i="25"/>
  <c r="AJ20" i="25" s="1"/>
  <c r="AL20" i="25" s="1"/>
  <c r="L39" i="25"/>
  <c r="R154" i="25"/>
  <c r="T154" i="25" s="1"/>
  <c r="L20" i="25"/>
  <c r="N20" i="25" s="1"/>
  <c r="AB36" i="25"/>
  <c r="AN98" i="25"/>
  <c r="R151" i="25"/>
  <c r="T151" i="25" s="1"/>
  <c r="L40" i="25"/>
  <c r="N40" i="25" s="1"/>
  <c r="X57" i="25"/>
  <c r="Z57" i="25" s="1"/>
  <c r="X154" i="25"/>
  <c r="Z154" i="25" s="1"/>
  <c r="V19" i="25"/>
  <c r="AK144" i="25"/>
  <c r="AD158" i="25"/>
  <c r="AF158" i="25" s="1"/>
  <c r="AH37" i="25"/>
  <c r="AJ37" i="25" s="1"/>
  <c r="P34" i="25"/>
  <c r="R34" i="25" s="1"/>
  <c r="T34" i="25" s="1"/>
  <c r="X55" i="25"/>
  <c r="X58" i="25" s="1"/>
  <c r="X149" i="25"/>
  <c r="Z149" i="25" s="1"/>
  <c r="AM140" i="25"/>
  <c r="AO140" i="25" s="1"/>
  <c r="V20" i="25"/>
  <c r="X20" i="25" s="1"/>
  <c r="Z20" i="25" s="1"/>
  <c r="L131" i="25"/>
  <c r="B17" i="26" s="1"/>
  <c r="Y144" i="25"/>
  <c r="AN144" i="25" s="1"/>
  <c r="P39" i="25"/>
  <c r="R39" i="25" s="1"/>
  <c r="T39" i="25" s="1"/>
  <c r="AD159" i="25"/>
  <c r="AF159" i="25" s="1"/>
  <c r="L114" i="25"/>
  <c r="B15" i="26" s="1"/>
  <c r="N38" i="25"/>
  <c r="AJ54" i="25"/>
  <c r="R63" i="25"/>
  <c r="L37" i="25"/>
  <c r="N37" i="25" s="1"/>
  <c r="M36" i="25"/>
  <c r="N36" i="25" s="1"/>
  <c r="P37" i="25"/>
  <c r="R37" i="25" s="1"/>
  <c r="R17" i="25"/>
  <c r="T17" i="25" s="1"/>
  <c r="AJ79" i="25"/>
  <c r="AE100" i="25"/>
  <c r="L11" i="26" s="1"/>
  <c r="AD63" i="25"/>
  <c r="AF63" i="25" s="1"/>
  <c r="R65" i="25"/>
  <c r="T65" i="25" s="1"/>
  <c r="R64" i="25"/>
  <c r="T64" i="25" s="1"/>
  <c r="M171" i="25"/>
  <c r="C19" i="26" s="1"/>
  <c r="AM119" i="25"/>
  <c r="X120" i="25"/>
  <c r="R114" i="25"/>
  <c r="E15" i="26" s="1"/>
  <c r="T112" i="25"/>
  <c r="T114" i="25" s="1"/>
  <c r="G15" i="26" s="1"/>
  <c r="X37" i="25"/>
  <c r="Y37" i="25"/>
  <c r="V28" i="25"/>
  <c r="X28" i="25" s="1"/>
  <c r="Z28" i="25" s="1"/>
  <c r="R28" i="25"/>
  <c r="T28" i="25" s="1"/>
  <c r="Z168" i="25"/>
  <c r="AM168" i="25"/>
  <c r="AO168" i="25" s="1"/>
  <c r="R30" i="25"/>
  <c r="T30" i="25" s="1"/>
  <c r="V30" i="25"/>
  <c r="AB30" i="25" s="1"/>
  <c r="AD30" i="25" s="1"/>
  <c r="AF30" i="25" s="1"/>
  <c r="AF96" i="25"/>
  <c r="AM96" i="25"/>
  <c r="AO96" i="25" s="1"/>
  <c r="T66" i="25"/>
  <c r="AM66" i="25"/>
  <c r="AO66" i="25" s="1"/>
  <c r="AC151" i="25"/>
  <c r="AI151" i="25" s="1"/>
  <c r="AJ151" i="25" s="1"/>
  <c r="AL151" i="25" s="1"/>
  <c r="X151" i="25"/>
  <c r="Z151" i="25" s="1"/>
  <c r="N76" i="25"/>
  <c r="AM76" i="25"/>
  <c r="AO76" i="25" s="1"/>
  <c r="Z136" i="25"/>
  <c r="AM136" i="25"/>
  <c r="AO136" i="25" s="1"/>
  <c r="AL111" i="25"/>
  <c r="AL114" i="25" s="1"/>
  <c r="P15" i="26" s="1"/>
  <c r="AJ114" i="25"/>
  <c r="N15" i="26" s="1"/>
  <c r="AI57" i="25"/>
  <c r="AJ57" i="25" s="1"/>
  <c r="AD57" i="25"/>
  <c r="AF57" i="25" s="1"/>
  <c r="AD114" i="25"/>
  <c r="K15" i="26" s="1"/>
  <c r="AM111" i="25"/>
  <c r="AF111" i="25"/>
  <c r="AF114" i="25" s="1"/>
  <c r="M15" i="26" s="1"/>
  <c r="AF128" i="25"/>
  <c r="AF129" i="25" s="1"/>
  <c r="AD129" i="25"/>
  <c r="Z89" i="25"/>
  <c r="AM89" i="25"/>
  <c r="AO89" i="25" s="1"/>
  <c r="Z123" i="25"/>
  <c r="Z125" i="25" s="1"/>
  <c r="X125" i="25"/>
  <c r="AF104" i="25"/>
  <c r="AF106" i="25" s="1"/>
  <c r="M13" i="26" s="1"/>
  <c r="AD106" i="25"/>
  <c r="K13" i="26" s="1"/>
  <c r="R125" i="25"/>
  <c r="T123" i="25"/>
  <c r="T125" i="25" s="1"/>
  <c r="AM123" i="25"/>
  <c r="X36" i="25"/>
  <c r="Y36" i="25"/>
  <c r="AM94" i="25"/>
  <c r="AO94" i="25" s="1"/>
  <c r="AH24" i="25"/>
  <c r="R120" i="25"/>
  <c r="AM139" i="25"/>
  <c r="AO139" i="25" s="1"/>
  <c r="L28" i="25"/>
  <c r="N28" i="25" s="1"/>
  <c r="AM68" i="25"/>
  <c r="AO68" i="25" s="1"/>
  <c r="AB24" i="25"/>
  <c r="AD24" i="25" s="1"/>
  <c r="P19" i="25"/>
  <c r="R19" i="25" s="1"/>
  <c r="T19" i="25" s="1"/>
  <c r="P18" i="25"/>
  <c r="R18" i="25" s="1"/>
  <c r="N139" i="25"/>
  <c r="X65" i="25"/>
  <c r="Z65" i="25" s="1"/>
  <c r="AD143" i="25"/>
  <c r="AF143" i="25" s="1"/>
  <c r="AD144" i="25"/>
  <c r="AF144" i="25" s="1"/>
  <c r="AK143" i="25"/>
  <c r="AN143" i="25" s="1"/>
  <c r="AH39" i="25"/>
  <c r="AJ39" i="25" s="1"/>
  <c r="AL39" i="25" s="1"/>
  <c r="P36" i="25"/>
  <c r="L34" i="25"/>
  <c r="N34" i="25" s="1"/>
  <c r="V24" i="25"/>
  <c r="Y24" i="25" s="1"/>
  <c r="AD147" i="25"/>
  <c r="AF147" i="25" s="1"/>
  <c r="X19" i="25"/>
  <c r="Z19" i="25" s="1"/>
  <c r="AJ129" i="25"/>
  <c r="AJ131" i="25" s="1"/>
  <c r="N17" i="26" s="1"/>
  <c r="X142" i="25"/>
  <c r="Z142" i="25" s="1"/>
  <c r="AH36" i="25"/>
  <c r="AJ36" i="25" s="1"/>
  <c r="AM160" i="25"/>
  <c r="AO160" i="25" s="1"/>
  <c r="AM137" i="25"/>
  <c r="AO137" i="25" s="1"/>
  <c r="AD150" i="25"/>
  <c r="AF150" i="25" s="1"/>
  <c r="AM124" i="25"/>
  <c r="AO124" i="25" s="1"/>
  <c r="AD77" i="25"/>
  <c r="AF77" i="25" s="1"/>
  <c r="L19" i="25"/>
  <c r="N19" i="25" s="1"/>
  <c r="AB21" i="25"/>
  <c r="Y143" i="25"/>
  <c r="Z143" i="25" s="1"/>
  <c r="R143" i="25"/>
  <c r="T143" i="25" s="1"/>
  <c r="R141" i="25"/>
  <c r="AL144" i="25"/>
  <c r="V39" i="25"/>
  <c r="X39" i="25" s="1"/>
  <c r="Z39" i="25" s="1"/>
  <c r="R158" i="25"/>
  <c r="T158" i="25" s="1"/>
  <c r="AM156" i="25"/>
  <c r="AO156" i="25" s="1"/>
  <c r="Z114" i="25"/>
  <c r="J15" i="26" s="1"/>
  <c r="X114" i="25"/>
  <c r="H15" i="26" s="1"/>
  <c r="AD54" i="25"/>
  <c r="AF54" i="25" s="1"/>
  <c r="AC149" i="25"/>
  <c r="AI149" i="25" s="1"/>
  <c r="AJ149" i="25" s="1"/>
  <c r="AL149" i="25" s="1"/>
  <c r="R150" i="25"/>
  <c r="T150" i="25" s="1"/>
  <c r="N104" i="25"/>
  <c r="N106" i="25" s="1"/>
  <c r="D13" i="26" s="1"/>
  <c r="AD154" i="25"/>
  <c r="AF154" i="25" s="1"/>
  <c r="V18" i="25"/>
  <c r="AH19" i="25"/>
  <c r="P21" i="25"/>
  <c r="R21" i="25" s="1"/>
  <c r="T21" i="25" s="1"/>
  <c r="AD65" i="25"/>
  <c r="AF65" i="25" s="1"/>
  <c r="S131" i="25"/>
  <c r="F17" i="26" s="1"/>
  <c r="T144" i="25"/>
  <c r="L35" i="25"/>
  <c r="X63" i="25"/>
  <c r="Z63" i="25" s="1"/>
  <c r="AG24" i="25"/>
  <c r="AM155" i="25"/>
  <c r="AO155" i="25" s="1"/>
  <c r="X147" i="25"/>
  <c r="Z147" i="25" s="1"/>
  <c r="N125" i="25"/>
  <c r="R78" i="25"/>
  <c r="T78" i="25" s="1"/>
  <c r="AD70" i="25"/>
  <c r="AF70" i="25" s="1"/>
  <c r="Y131" i="25"/>
  <c r="I17" i="26" s="1"/>
  <c r="AL142" i="25"/>
  <c r="N143" i="25"/>
  <c r="AM166" i="25"/>
  <c r="AO166" i="25" s="1"/>
  <c r="AL166" i="25"/>
  <c r="AL54" i="25"/>
  <c r="AF169" i="25"/>
  <c r="AM169" i="25"/>
  <c r="AO169" i="25" s="1"/>
  <c r="T153" i="25"/>
  <c r="AM153" i="25"/>
  <c r="AO153" i="25" s="1"/>
  <c r="AC38" i="25"/>
  <c r="N64" i="25"/>
  <c r="T63" i="25"/>
  <c r="S24" i="25"/>
  <c r="R24" i="25"/>
  <c r="AL57" i="25"/>
  <c r="AA22" i="25"/>
  <c r="X22" i="25"/>
  <c r="Z22" i="25" s="1"/>
  <c r="U18" i="25"/>
  <c r="AM91" i="25"/>
  <c r="AO91" i="25" s="1"/>
  <c r="AF67" i="25"/>
  <c r="AM67" i="25"/>
  <c r="AO67" i="25" s="1"/>
  <c r="N152" i="25"/>
  <c r="AM152" i="25"/>
  <c r="AO152" i="25" s="1"/>
  <c r="L171" i="25"/>
  <c r="Z164" i="25"/>
  <c r="AM164" i="25"/>
  <c r="AO164" i="25" s="1"/>
  <c r="T90" i="25"/>
  <c r="AM90" i="25"/>
  <c r="AO90" i="25" s="1"/>
  <c r="X24" i="25"/>
  <c r="AO111" i="25"/>
  <c r="N77" i="25"/>
  <c r="N163" i="25"/>
  <c r="AM163" i="25"/>
  <c r="AO163" i="25" s="1"/>
  <c r="N56" i="25"/>
  <c r="N58" i="25" s="1"/>
  <c r="L58" i="25"/>
  <c r="AM56" i="25"/>
  <c r="AO56" i="25" s="1"/>
  <c r="P73" i="25"/>
  <c r="R73" i="25" s="1"/>
  <c r="T73" i="25" s="1"/>
  <c r="L73" i="25"/>
  <c r="AH73" i="25"/>
  <c r="AJ73" i="25" s="1"/>
  <c r="AL73" i="25" s="1"/>
  <c r="AB73" i="25"/>
  <c r="AD73" i="25" s="1"/>
  <c r="AF73" i="25" s="1"/>
  <c r="AL17" i="25"/>
  <c r="AM54" i="25"/>
  <c r="AO54" i="25" s="1"/>
  <c r="Z70" i="25"/>
  <c r="AM82" i="25"/>
  <c r="AO82" i="25" s="1"/>
  <c r="AL82" i="25"/>
  <c r="AL162" i="25"/>
  <c r="AM162" i="25"/>
  <c r="AO162" i="25" s="1"/>
  <c r="Z83" i="25"/>
  <c r="AM83" i="25"/>
  <c r="AO83" i="25" s="1"/>
  <c r="T85" i="25"/>
  <c r="AM85" i="25"/>
  <c r="AO85" i="25" s="1"/>
  <c r="AC148" i="25"/>
  <c r="X148" i="25"/>
  <c r="T149" i="25"/>
  <c r="AL66" i="25"/>
  <c r="AD55" i="25"/>
  <c r="AI55" i="25"/>
  <c r="AJ55" i="25" s="1"/>
  <c r="AL55" i="25" s="1"/>
  <c r="AF88" i="25"/>
  <c r="AM88" i="25"/>
  <c r="AO88" i="25" s="1"/>
  <c r="AM84" i="25"/>
  <c r="AO84" i="25" s="1"/>
  <c r="T84" i="25"/>
  <c r="AD17" i="25"/>
  <c r="T94" i="25"/>
  <c r="AM79" i="25"/>
  <c r="AO79" i="25" s="1"/>
  <c r="AL79" i="25"/>
  <c r="AJ106" i="25"/>
  <c r="N13" i="26" s="1"/>
  <c r="AM104" i="25"/>
  <c r="AL104" i="25"/>
  <c r="AL106" i="25" s="1"/>
  <c r="P13" i="26" s="1"/>
  <c r="AL167" i="25"/>
  <c r="AM167" i="25"/>
  <c r="AO167" i="25" s="1"/>
  <c r="Z95" i="25"/>
  <c r="AM95" i="25"/>
  <c r="AO95" i="25" s="1"/>
  <c r="R58" i="25"/>
  <c r="T56" i="25"/>
  <c r="T58" i="25" s="1"/>
  <c r="AJ147" i="25"/>
  <c r="AG38" i="25"/>
  <c r="N39" i="25"/>
  <c r="AG19" i="25"/>
  <c r="AJ19" i="25" s="1"/>
  <c r="AL19" i="25" s="1"/>
  <c r="AD19" i="25"/>
  <c r="AM138" i="25"/>
  <c r="AO138" i="25" s="1"/>
  <c r="S35" i="25"/>
  <c r="R35" i="25"/>
  <c r="R129" i="25"/>
  <c r="T128" i="25"/>
  <c r="T129" i="25" s="1"/>
  <c r="Y141" i="25"/>
  <c r="X141" i="25"/>
  <c r="AC141" i="25"/>
  <c r="AI141" i="25" s="1"/>
  <c r="T32" i="25"/>
  <c r="AN142" i="25"/>
  <c r="AL131" i="25"/>
  <c r="P17" i="26" s="1"/>
  <c r="X129" i="25"/>
  <c r="Z128" i="25"/>
  <c r="Z129" i="25" s="1"/>
  <c r="AF119" i="25"/>
  <c r="AF120" i="25" s="1"/>
  <c r="AF131" i="25" s="1"/>
  <c r="M17" i="26" s="1"/>
  <c r="AD120" i="25"/>
  <c r="AD131" i="25" s="1"/>
  <c r="K17" i="26" s="1"/>
  <c r="AM112" i="25"/>
  <c r="AO112" i="25" s="1"/>
  <c r="N62" i="25"/>
  <c r="AM62" i="25"/>
  <c r="AO62" i="25" s="1"/>
  <c r="AA21" i="25"/>
  <c r="X21" i="25"/>
  <c r="AM144" i="25"/>
  <c r="R29" i="25"/>
  <c r="V29" i="25"/>
  <c r="S141" i="25"/>
  <c r="S171" i="25" s="1"/>
  <c r="M35" i="25"/>
  <c r="AB38" i="25"/>
  <c r="AE38" i="25" s="1"/>
  <c r="AH38" i="25"/>
  <c r="V38" i="25"/>
  <c r="Y38" i="25" s="1"/>
  <c r="N128" i="25"/>
  <c r="N129" i="25" s="1"/>
  <c r="M24" i="25"/>
  <c r="N142" i="25"/>
  <c r="AH31" i="25"/>
  <c r="AJ31" i="25" s="1"/>
  <c r="AL31" i="25" s="1"/>
  <c r="L18" i="25"/>
  <c r="L46" i="25" s="1"/>
  <c r="Z119" i="25"/>
  <c r="Z120" i="25" s="1"/>
  <c r="N137" i="25"/>
  <c r="V31" i="25"/>
  <c r="X31" i="25" s="1"/>
  <c r="Z31" i="25" s="1"/>
  <c r="AM128" i="25"/>
  <c r="AK36" i="25"/>
  <c r="R142" i="25"/>
  <c r="AB35" i="25"/>
  <c r="AH35" i="25"/>
  <c r="V35" i="25"/>
  <c r="L29" i="25"/>
  <c r="L33" i="25"/>
  <c r="P31" i="25"/>
  <c r="R31" i="25" s="1"/>
  <c r="T31" i="25" s="1"/>
  <c r="X159" i="25"/>
  <c r="Z159" i="25" s="1"/>
  <c r="AB33" i="25"/>
  <c r="AD33" i="25" s="1"/>
  <c r="AF33" i="25" s="1"/>
  <c r="AH33" i="25"/>
  <c r="AJ33" i="25" s="1"/>
  <c r="AL33" i="25" s="1"/>
  <c r="V33" i="25"/>
  <c r="X33" i="25" s="1"/>
  <c r="Z33" i="25" s="1"/>
  <c r="AH34" i="25"/>
  <c r="AJ34" i="25" s="1"/>
  <c r="AL34" i="25" s="1"/>
  <c r="AH18" i="25"/>
  <c r="AK37" i="25"/>
  <c r="AL37" i="25" s="1"/>
  <c r="AB32" i="25"/>
  <c r="AE32" i="25" s="1"/>
  <c r="AH32" i="25"/>
  <c r="AK32" i="25" s="1"/>
  <c r="V32" i="25"/>
  <c r="Y32" i="25" s="1"/>
  <c r="AB40" i="25"/>
  <c r="AD40" i="25" s="1"/>
  <c r="AF40" i="25" s="1"/>
  <c r="AH40" i="25"/>
  <c r="AJ40" i="25" s="1"/>
  <c r="AL40" i="25" s="1"/>
  <c r="V40" i="25"/>
  <c r="X40" i="25" s="1"/>
  <c r="L88" i="23"/>
  <c r="N88" i="23" s="1"/>
  <c r="R92" i="23"/>
  <c r="T92" i="23" s="1"/>
  <c r="AD182" i="23"/>
  <c r="AF182" i="23" s="1"/>
  <c r="V22" i="23"/>
  <c r="X22" i="23" s="1"/>
  <c r="Z22" i="23" s="1"/>
  <c r="AH22" i="23"/>
  <c r="AJ22" i="23" s="1"/>
  <c r="AL22" i="23" s="1"/>
  <c r="X79" i="23"/>
  <c r="AM79" i="23" s="1"/>
  <c r="AO79" i="23" s="1"/>
  <c r="AB24" i="23"/>
  <c r="AD24" i="23" s="1"/>
  <c r="AF24" i="23" s="1"/>
  <c r="AD72" i="23"/>
  <c r="AF72" i="23" s="1"/>
  <c r="P137" i="23"/>
  <c r="R137" i="23" s="1"/>
  <c r="AD64" i="23"/>
  <c r="AF64" i="23" s="1"/>
  <c r="AD78" i="23"/>
  <c r="AF78" i="23" s="1"/>
  <c r="X64" i="23"/>
  <c r="Z64" i="23" s="1"/>
  <c r="AJ148" i="23"/>
  <c r="AJ154" i="23" s="1"/>
  <c r="N17" i="24" s="1"/>
  <c r="L137" i="23"/>
  <c r="N137" i="23" s="1"/>
  <c r="N140" i="23" s="1"/>
  <c r="AM194" i="23"/>
  <c r="X94" i="23"/>
  <c r="R71" i="23"/>
  <c r="T71" i="23" s="1"/>
  <c r="AD94" i="23"/>
  <c r="AF94" i="23" s="1"/>
  <c r="R94" i="23"/>
  <c r="T94" i="23" s="1"/>
  <c r="T154" i="23"/>
  <c r="G17" i="24" s="1"/>
  <c r="Y203" i="23"/>
  <c r="I19" i="24" s="1"/>
  <c r="X70" i="23"/>
  <c r="Z70" i="23" s="1"/>
  <c r="T125" i="23"/>
  <c r="T127" i="23" s="1"/>
  <c r="G13" i="24" s="1"/>
  <c r="R127" i="23"/>
  <c r="E13" i="24" s="1"/>
  <c r="L65" i="23"/>
  <c r="P48" i="23"/>
  <c r="R48" i="23" s="1"/>
  <c r="AD77" i="23"/>
  <c r="AF77" i="23" s="1"/>
  <c r="V16" i="23"/>
  <c r="X16" i="23" s="1"/>
  <c r="Z16" i="23" s="1"/>
  <c r="X117" i="23"/>
  <c r="Z117" i="23" s="1"/>
  <c r="P19" i="23"/>
  <c r="R19" i="23" s="1"/>
  <c r="T19" i="23" s="1"/>
  <c r="AK142" i="23"/>
  <c r="O15" i="24" s="1"/>
  <c r="S154" i="23"/>
  <c r="F17" i="24" s="1"/>
  <c r="AH30" i="23"/>
  <c r="AK30" i="23" s="1"/>
  <c r="AL30" i="23" s="1"/>
  <c r="X115" i="23"/>
  <c r="Z115" i="23" s="1"/>
  <c r="N166" i="23"/>
  <c r="M154" i="23"/>
  <c r="C17" i="24" s="1"/>
  <c r="V48" i="23"/>
  <c r="X48" i="23" s="1"/>
  <c r="Z48" i="23" s="1"/>
  <c r="Z49" i="23" s="1"/>
  <c r="P16" i="23"/>
  <c r="R16" i="23" s="1"/>
  <c r="Y154" i="23"/>
  <c r="I17" i="24" s="1"/>
  <c r="R72" i="23"/>
  <c r="T72" i="23" s="1"/>
  <c r="V30" i="23"/>
  <c r="Y30" i="23" s="1"/>
  <c r="Z30" i="23" s="1"/>
  <c r="X116" i="23"/>
  <c r="Z116" i="23" s="1"/>
  <c r="R138" i="23"/>
  <c r="T138" i="23" s="1"/>
  <c r="V88" i="23"/>
  <c r="X88" i="23" s="1"/>
  <c r="Z88" i="23" s="1"/>
  <c r="AB16" i="23"/>
  <c r="AD16" i="23" s="1"/>
  <c r="AF16" i="23" s="1"/>
  <c r="AD93" i="23"/>
  <c r="AF93" i="23" s="1"/>
  <c r="X63" i="23"/>
  <c r="Z63" i="23" s="1"/>
  <c r="R93" i="23"/>
  <c r="Y121" i="23"/>
  <c r="I11" i="24" s="1"/>
  <c r="X77" i="23"/>
  <c r="Z77" i="23" s="1"/>
  <c r="AJ63" i="23"/>
  <c r="AL63" i="23" s="1"/>
  <c r="P20" i="23"/>
  <c r="R20" i="23" s="1"/>
  <c r="T20" i="23" s="1"/>
  <c r="AH33" i="23"/>
  <c r="AK33" i="23" s="1"/>
  <c r="AL33" i="23" s="1"/>
  <c r="V29" i="23"/>
  <c r="Y29" i="23" s="1"/>
  <c r="Z29" i="23" s="1"/>
  <c r="X182" i="23"/>
  <c r="Z182" i="23" s="1"/>
  <c r="L166" i="23"/>
  <c r="AH19" i="23"/>
  <c r="AJ19" i="23" s="1"/>
  <c r="AL19" i="23" s="1"/>
  <c r="AD63" i="23"/>
  <c r="AF63" i="23" s="1"/>
  <c r="AF65" i="23" s="1"/>
  <c r="AE121" i="23"/>
  <c r="L11" i="24" s="1"/>
  <c r="AK203" i="23"/>
  <c r="O19" i="24" s="1"/>
  <c r="M43" i="23"/>
  <c r="N43" i="23" s="1"/>
  <c r="AB88" i="23"/>
  <c r="AD88" i="23" s="1"/>
  <c r="AF88" i="23" s="1"/>
  <c r="AE154" i="23"/>
  <c r="L17" i="24" s="1"/>
  <c r="L132" i="23"/>
  <c r="L19" i="23"/>
  <c r="N19" i="23" s="1"/>
  <c r="P132" i="23"/>
  <c r="R132" i="23" s="1"/>
  <c r="R134" i="23" s="1"/>
  <c r="M29" i="23"/>
  <c r="N29" i="23" s="1"/>
  <c r="AB30" i="23"/>
  <c r="AE30" i="23" s="1"/>
  <c r="AF30" i="23" s="1"/>
  <c r="AH88" i="23"/>
  <c r="AJ88" i="23" s="1"/>
  <c r="AL88" i="23" s="1"/>
  <c r="AH16" i="23"/>
  <c r="AJ16" i="23" s="1"/>
  <c r="AD92" i="23"/>
  <c r="AF92" i="23" s="1"/>
  <c r="AD71" i="23"/>
  <c r="AB132" i="23"/>
  <c r="M33" i="23"/>
  <c r="N33" i="23" s="1"/>
  <c r="P30" i="23"/>
  <c r="S30" i="23" s="1"/>
  <c r="T30" i="23" s="1"/>
  <c r="Z125" i="23"/>
  <c r="Z127" i="23" s="1"/>
  <c r="J13" i="24" s="1"/>
  <c r="X127" i="23"/>
  <c r="H13" i="24" s="1"/>
  <c r="AF147" i="23"/>
  <c r="AF148" i="23" s="1"/>
  <c r="AF154" i="23" s="1"/>
  <c r="M17" i="24" s="1"/>
  <c r="AD148" i="23"/>
  <c r="AD154" i="23" s="1"/>
  <c r="K17" i="24" s="1"/>
  <c r="AD127" i="23"/>
  <c r="K13" i="24" s="1"/>
  <c r="AF125" i="23"/>
  <c r="AF127" i="23" s="1"/>
  <c r="M13" i="24" s="1"/>
  <c r="X148" i="23"/>
  <c r="AM200" i="23"/>
  <c r="AO200" i="23" s="1"/>
  <c r="AD48" i="23"/>
  <c r="AD49" i="23" s="1"/>
  <c r="P17" i="23"/>
  <c r="R17" i="23" s="1"/>
  <c r="L17" i="23"/>
  <c r="N17" i="23" s="1"/>
  <c r="N151" i="23"/>
  <c r="N152" i="23" s="1"/>
  <c r="N154" i="23" s="1"/>
  <c r="D17" i="24" s="1"/>
  <c r="AD115" i="23"/>
  <c r="V17" i="23"/>
  <c r="X17" i="23" s="1"/>
  <c r="Z17" i="23" s="1"/>
  <c r="X91" i="23"/>
  <c r="Z91" i="23" s="1"/>
  <c r="P25" i="23"/>
  <c r="R25" i="23" s="1"/>
  <c r="R63" i="23"/>
  <c r="X78" i="23"/>
  <c r="Z78" i="23" s="1"/>
  <c r="X72" i="23"/>
  <c r="Z72" i="23" s="1"/>
  <c r="R64" i="23"/>
  <c r="T64" i="23" s="1"/>
  <c r="AJ64" i="23"/>
  <c r="AL64" i="23" s="1"/>
  <c r="AH25" i="23"/>
  <c r="AJ25" i="23" s="1"/>
  <c r="AL25" i="23" s="1"/>
  <c r="P24" i="23"/>
  <c r="R24" i="23" s="1"/>
  <c r="T24" i="23" s="1"/>
  <c r="R62" i="23"/>
  <c r="L24" i="23"/>
  <c r="N24" i="23" s="1"/>
  <c r="AN49" i="23"/>
  <c r="AO194" i="23"/>
  <c r="AH24" i="23"/>
  <c r="AJ24" i="23" s="1"/>
  <c r="AL24" i="23" s="1"/>
  <c r="AJ62" i="23"/>
  <c r="AL62" i="23" s="1"/>
  <c r="V25" i="23"/>
  <c r="X25" i="23" s="1"/>
  <c r="Z25" i="23" s="1"/>
  <c r="AE203" i="23"/>
  <c r="L19" i="24" s="1"/>
  <c r="AJ71" i="23"/>
  <c r="AL71" i="23" s="1"/>
  <c r="AD91" i="23"/>
  <c r="AF91" i="23" s="1"/>
  <c r="X76" i="23"/>
  <c r="Z76" i="23" s="1"/>
  <c r="R182" i="23"/>
  <c r="T182" i="23" s="1"/>
  <c r="AN166" i="23"/>
  <c r="AJ70" i="23"/>
  <c r="AL70" i="23" s="1"/>
  <c r="AN154" i="23"/>
  <c r="R17" i="24" s="1"/>
  <c r="N48" i="23"/>
  <c r="N49" i="23" s="1"/>
  <c r="L49" i="23"/>
  <c r="T171" i="23"/>
  <c r="AM171" i="23"/>
  <c r="AO171" i="23" s="1"/>
  <c r="AM103" i="23"/>
  <c r="AO103" i="23" s="1"/>
  <c r="AF103" i="23"/>
  <c r="T93" i="23"/>
  <c r="U133" i="23"/>
  <c r="X133" i="23" s="1"/>
  <c r="Z133" i="23" s="1"/>
  <c r="AA133" i="23" s="1"/>
  <c r="L119" i="23"/>
  <c r="L121" i="23" s="1"/>
  <c r="B11" i="24" s="1"/>
  <c r="N72" i="23"/>
  <c r="X152" i="23"/>
  <c r="Z151" i="23"/>
  <c r="Z152" i="23" s="1"/>
  <c r="Z154" i="23" s="1"/>
  <c r="J17" i="24" s="1"/>
  <c r="Z61" i="23"/>
  <c r="X65" i="23"/>
  <c r="AJ127" i="23"/>
  <c r="N13" i="24" s="1"/>
  <c r="AL125" i="23"/>
  <c r="AL127" i="23" s="1"/>
  <c r="P13" i="24" s="1"/>
  <c r="AF19" i="23"/>
  <c r="V42" i="23"/>
  <c r="Y42" i="23" s="1"/>
  <c r="Z42" i="23" s="1"/>
  <c r="V21" i="23"/>
  <c r="X21" i="23" s="1"/>
  <c r="Z21" i="23" s="1"/>
  <c r="AN39" i="23"/>
  <c r="AO39" i="23" s="1"/>
  <c r="P23" i="23"/>
  <c r="R23" i="23" s="1"/>
  <c r="T23" i="23" s="1"/>
  <c r="AM47" i="23"/>
  <c r="AO47" i="23" s="1"/>
  <c r="AN140" i="23"/>
  <c r="P21" i="23"/>
  <c r="R21" i="23" s="1"/>
  <c r="T21" i="23" s="1"/>
  <c r="AD191" i="23"/>
  <c r="AF191" i="23" s="1"/>
  <c r="AJ72" i="23"/>
  <c r="AH42" i="23"/>
  <c r="AK42" i="23" s="1"/>
  <c r="AL42" i="23" s="1"/>
  <c r="V33" i="23"/>
  <c r="Y33" i="23" s="1"/>
  <c r="Z33" i="23" s="1"/>
  <c r="AH23" i="23"/>
  <c r="AJ23" i="23" s="1"/>
  <c r="AL23" i="23" s="1"/>
  <c r="AM125" i="23"/>
  <c r="AN201" i="23"/>
  <c r="AN65" i="23"/>
  <c r="N16" i="23"/>
  <c r="AH21" i="23"/>
  <c r="AJ21" i="23" s="1"/>
  <c r="AL21" i="23" s="1"/>
  <c r="AM193" i="23"/>
  <c r="AO193" i="23" s="1"/>
  <c r="R183" i="23"/>
  <c r="P32" i="23"/>
  <c r="S32" i="23" s="1"/>
  <c r="T32" i="23" s="1"/>
  <c r="X183" i="23"/>
  <c r="Z183" i="23" s="1"/>
  <c r="N125" i="23"/>
  <c r="N127" i="23" s="1"/>
  <c r="D13" i="24" s="1"/>
  <c r="AJ48" i="23"/>
  <c r="N182" i="23"/>
  <c r="AM179" i="23"/>
  <c r="AO179" i="23" s="1"/>
  <c r="L148" i="23"/>
  <c r="L154" i="23" s="1"/>
  <c r="B17" i="24" s="1"/>
  <c r="N65" i="23"/>
  <c r="T194" i="23"/>
  <c r="AD183" i="23"/>
  <c r="AF183" i="23" s="1"/>
  <c r="F19" i="24"/>
  <c r="Z177" i="23"/>
  <c r="N180" i="23"/>
  <c r="AM180" i="23"/>
  <c r="AO180" i="23" s="1"/>
  <c r="L201" i="23"/>
  <c r="L203" i="23" s="1"/>
  <c r="AL182" i="23"/>
  <c r="AL201" i="23" s="1"/>
  <c r="AJ201" i="23"/>
  <c r="AF115" i="23"/>
  <c r="AF85" i="23"/>
  <c r="T70" i="23"/>
  <c r="T160" i="23"/>
  <c r="T166" i="23" s="1"/>
  <c r="AM160" i="23"/>
  <c r="R166" i="23"/>
  <c r="T27" i="23"/>
  <c r="AM27" i="23"/>
  <c r="AO27" i="23" s="1"/>
  <c r="Z94" i="23"/>
  <c r="AL72" i="23"/>
  <c r="T63" i="23"/>
  <c r="T116" i="23"/>
  <c r="AM116" i="23"/>
  <c r="AO116" i="23" s="1"/>
  <c r="T172" i="23"/>
  <c r="AM172" i="23"/>
  <c r="AO172" i="23" s="1"/>
  <c r="Z198" i="23"/>
  <c r="AM198" i="23"/>
  <c r="AO198" i="23" s="1"/>
  <c r="Z162" i="23"/>
  <c r="AM162" i="23"/>
  <c r="AO162" i="23" s="1"/>
  <c r="T112" i="23"/>
  <c r="AM112" i="23"/>
  <c r="AO112" i="23" s="1"/>
  <c r="Z110" i="23"/>
  <c r="AM110" i="23"/>
  <c r="AO110" i="23" s="1"/>
  <c r="Z97" i="23"/>
  <c r="AM97" i="23"/>
  <c r="AO97" i="23" s="1"/>
  <c r="T82" i="23"/>
  <c r="AM82" i="23"/>
  <c r="AO82" i="23" s="1"/>
  <c r="AM163" i="23"/>
  <c r="AO163" i="23" s="1"/>
  <c r="N36" i="23"/>
  <c r="AN36" i="23"/>
  <c r="AO36" i="23" s="1"/>
  <c r="T37" i="23"/>
  <c r="AN37" i="23"/>
  <c r="AO37" i="23" s="1"/>
  <c r="AM199" i="23"/>
  <c r="AO199" i="23" s="1"/>
  <c r="AM104" i="23"/>
  <c r="AO104" i="23" s="1"/>
  <c r="AM165" i="23"/>
  <c r="AO165" i="23" s="1"/>
  <c r="AF165" i="23"/>
  <c r="AM85" i="23"/>
  <c r="AO85" i="23" s="1"/>
  <c r="T62" i="23"/>
  <c r="T75" i="23"/>
  <c r="AM75" i="23"/>
  <c r="AO75" i="23" s="1"/>
  <c r="AM69" i="23"/>
  <c r="AO69" i="23" s="1"/>
  <c r="Z138" i="23"/>
  <c r="T61" i="23"/>
  <c r="AM61" i="23"/>
  <c r="T78" i="23"/>
  <c r="N98" i="23"/>
  <c r="AM98" i="23"/>
  <c r="AO98" i="23" s="1"/>
  <c r="T47" i="23"/>
  <c r="AL160" i="23"/>
  <c r="AL166" i="23" s="1"/>
  <c r="AJ166" i="23"/>
  <c r="AF117" i="23"/>
  <c r="Z160" i="23"/>
  <c r="X166" i="23"/>
  <c r="AM118" i="23"/>
  <c r="AO118" i="23" s="1"/>
  <c r="AM111" i="23"/>
  <c r="AO111" i="23" s="1"/>
  <c r="T111" i="23"/>
  <c r="N106" i="23"/>
  <c r="AM106" i="23"/>
  <c r="AO106" i="23" s="1"/>
  <c r="AN134" i="23"/>
  <c r="AF71" i="23"/>
  <c r="T17" i="23"/>
  <c r="N169" i="23"/>
  <c r="AM169" i="23"/>
  <c r="AF161" i="23"/>
  <c r="AM161" i="23"/>
  <c r="AO161" i="23" s="1"/>
  <c r="AM105" i="23"/>
  <c r="AO105" i="23" s="1"/>
  <c r="T109" i="23"/>
  <c r="AM109" i="23"/>
  <c r="AO109" i="23" s="1"/>
  <c r="AM100" i="23"/>
  <c r="AO100" i="23" s="1"/>
  <c r="T100" i="23"/>
  <c r="T84" i="23"/>
  <c r="AM84" i="23"/>
  <c r="AO84" i="23" s="1"/>
  <c r="T137" i="23"/>
  <c r="U137" i="23" s="1"/>
  <c r="T197" i="23"/>
  <c r="AM197" i="23"/>
  <c r="AO197" i="23" s="1"/>
  <c r="AN119" i="23"/>
  <c r="AN121" i="23" s="1"/>
  <c r="R11" i="24" s="1"/>
  <c r="AK121" i="23"/>
  <c r="N132" i="23"/>
  <c r="AM20" i="23"/>
  <c r="AO20" i="23" s="1"/>
  <c r="N20" i="23"/>
  <c r="AL61" i="23"/>
  <c r="AD166" i="23"/>
  <c r="T25" i="23"/>
  <c r="T99" i="23"/>
  <c r="AM99" i="23"/>
  <c r="AO99" i="23" s="1"/>
  <c r="T83" i="23"/>
  <c r="AM83" i="23"/>
  <c r="AO83" i="23" s="1"/>
  <c r="AL47" i="23"/>
  <c r="T41" i="23"/>
  <c r="AN41" i="23"/>
  <c r="AO41" i="23" s="1"/>
  <c r="Z184" i="23"/>
  <c r="AM184" i="23"/>
  <c r="AO184" i="23" s="1"/>
  <c r="AM170" i="23"/>
  <c r="AO170" i="23" s="1"/>
  <c r="T170" i="23"/>
  <c r="AN31" i="23"/>
  <c r="AO31" i="23" s="1"/>
  <c r="N40" i="23"/>
  <c r="AN40" i="23"/>
  <c r="AO40" i="23" s="1"/>
  <c r="AM173" i="23"/>
  <c r="AO173" i="23" s="1"/>
  <c r="T173" i="23"/>
  <c r="T33" i="23"/>
  <c r="AF34" i="23"/>
  <c r="AN34" i="23"/>
  <c r="AO34" i="23" s="1"/>
  <c r="R139" i="23"/>
  <c r="V139" i="23"/>
  <c r="X139" i="23" s="1"/>
  <c r="Z139" i="23" s="1"/>
  <c r="N30" i="23"/>
  <c r="AF31" i="23"/>
  <c r="N23" i="23"/>
  <c r="AL31" i="23"/>
  <c r="AM178" i="23"/>
  <c r="AO178" i="23" s="1"/>
  <c r="N22" i="23"/>
  <c r="N21" i="23"/>
  <c r="M28" i="23"/>
  <c r="AB28" i="23"/>
  <c r="AE28" i="23" s="1"/>
  <c r="AH28" i="23"/>
  <c r="AK28" i="23" s="1"/>
  <c r="P28" i="23"/>
  <c r="S28" i="23" s="1"/>
  <c r="V28" i="23"/>
  <c r="Y28" i="23" s="1"/>
  <c r="T35" i="23"/>
  <c r="T185" i="23"/>
  <c r="AM185" i="23"/>
  <c r="AO185" i="23" s="1"/>
  <c r="AM187" i="23"/>
  <c r="AO187" i="23" s="1"/>
  <c r="AM147" i="23"/>
  <c r="S55" i="23"/>
  <c r="T38" i="23"/>
  <c r="AN38" i="23"/>
  <c r="AO38" i="23" s="1"/>
  <c r="T177" i="23"/>
  <c r="AM177" i="23"/>
  <c r="AO177" i="23" s="1"/>
  <c r="AB137" i="23"/>
  <c r="AM151" i="23"/>
  <c r="AM191" i="23"/>
  <c r="AO191" i="23" s="1"/>
  <c r="P29" i="23"/>
  <c r="S29" i="23" s="1"/>
  <c r="AB42" i="23"/>
  <c r="AE42" i="23" s="1"/>
  <c r="AF42" i="23" s="1"/>
  <c r="AM186" i="23"/>
  <c r="AO186" i="23" s="1"/>
  <c r="N178" i="23"/>
  <c r="AB43" i="23"/>
  <c r="AE43" i="23" s="1"/>
  <c r="AF43" i="23" s="1"/>
  <c r="N187" i="23"/>
  <c r="P26" i="23"/>
  <c r="R26" i="23" s="1"/>
  <c r="N179" i="23"/>
  <c r="AB133" i="23"/>
  <c r="AB33" i="23"/>
  <c r="AE33" i="23" s="1"/>
  <c r="AF33" i="23" s="1"/>
  <c r="T31" i="23"/>
  <c r="M42" i="23"/>
  <c r="AH43" i="23"/>
  <c r="AK43" i="23" s="1"/>
  <c r="AL43" i="23" s="1"/>
  <c r="AH35" i="23"/>
  <c r="AK35" i="23" s="1"/>
  <c r="AL35" i="23" s="1"/>
  <c r="M32" i="23"/>
  <c r="AB23" i="23"/>
  <c r="AD23" i="23" s="1"/>
  <c r="AB32" i="23"/>
  <c r="AE32" i="23" s="1"/>
  <c r="AF32" i="23" s="1"/>
  <c r="V23" i="23"/>
  <c r="X23" i="23" s="1"/>
  <c r="R152" i="23"/>
  <c r="R154" i="23" s="1"/>
  <c r="E17" i="24" s="1"/>
  <c r="L133" i="23"/>
  <c r="V43" i="23"/>
  <c r="Y43" i="23" s="1"/>
  <c r="Z43" i="23" s="1"/>
  <c r="V32" i="23"/>
  <c r="Y32" i="23" s="1"/>
  <c r="Z32" i="23" s="1"/>
  <c r="S36" i="1"/>
  <c r="AL36" i="1"/>
  <c r="AN36" i="1" s="1"/>
  <c r="Y192" i="1"/>
  <c r="AL192" i="1"/>
  <c r="AN192" i="1" s="1"/>
  <c r="AE27" i="1"/>
  <c r="AC47" i="1"/>
  <c r="AE47" i="1" s="1"/>
  <c r="Q49" i="1"/>
  <c r="S49" i="1" s="1"/>
  <c r="S23" i="1"/>
  <c r="AL24" i="1"/>
  <c r="AN24" i="1" s="1"/>
  <c r="AE19" i="1"/>
  <c r="AE20" i="1" s="1"/>
  <c r="AL19" i="1"/>
  <c r="AN19" i="1" s="1"/>
  <c r="S94" i="1"/>
  <c r="AL94" i="1"/>
  <c r="AN94" i="1" s="1"/>
  <c r="W20" i="1"/>
  <c r="W43" i="1" s="1"/>
  <c r="W44" i="1" s="1"/>
  <c r="Y18" i="1"/>
  <c r="Y20" i="1" s="1"/>
  <c r="AL18" i="1"/>
  <c r="AN18" i="1" s="1"/>
  <c r="S127" i="1"/>
  <c r="T127" i="1" s="1"/>
  <c r="W127" i="1" s="1"/>
  <c r="Y127" i="1" s="1"/>
  <c r="Z127" i="1" s="1"/>
  <c r="AC127" i="1" s="1"/>
  <c r="Y80" i="1"/>
  <c r="AL80" i="1"/>
  <c r="AN80" i="1" s="1"/>
  <c r="Y63" i="1"/>
  <c r="Y68" i="1" s="1"/>
  <c r="W68" i="1"/>
  <c r="AE65" i="1"/>
  <c r="AE68" i="1" s="1"/>
  <c r="AC68" i="1"/>
  <c r="AL65" i="1"/>
  <c r="AN65" i="1" s="1"/>
  <c r="AK78" i="1"/>
  <c r="AK104" i="1" s="1"/>
  <c r="AI104" i="1"/>
  <c r="AI49" i="1"/>
  <c r="AK49" i="1" s="1"/>
  <c r="AK23" i="1"/>
  <c r="AL64" i="1"/>
  <c r="AN64" i="1" s="1"/>
  <c r="S24" i="1"/>
  <c r="AL134" i="1"/>
  <c r="AN134" i="1" s="1"/>
  <c r="AE104" i="1"/>
  <c r="AL84" i="1"/>
  <c r="AN84" i="1" s="1"/>
  <c r="Q68" i="1"/>
  <c r="Y185" i="1"/>
  <c r="AI20" i="1"/>
  <c r="AI43" i="1" s="1"/>
  <c r="AL17" i="1"/>
  <c r="AL73" i="1"/>
  <c r="AN73" i="1" s="1"/>
  <c r="Y89" i="1"/>
  <c r="T129" i="1"/>
  <c r="W129" i="1" s="1"/>
  <c r="Y129" i="1" s="1"/>
  <c r="Z129" i="1" s="1"/>
  <c r="AC129" i="1" s="1"/>
  <c r="Q122" i="1"/>
  <c r="AK68" i="1"/>
  <c r="AC20" i="1"/>
  <c r="AC43" i="1" s="1"/>
  <c r="AC44" i="1" s="1"/>
  <c r="AI47" i="1"/>
  <c r="AK47" i="1" s="1"/>
  <c r="AI68" i="1"/>
  <c r="AE131" i="1"/>
  <c r="AF131" i="1" s="1"/>
  <c r="AI131" i="1" s="1"/>
  <c r="AK131" i="1" s="1"/>
  <c r="AK20" i="1"/>
  <c r="Y125" i="1"/>
  <c r="Z125" i="1" s="1"/>
  <c r="AC125" i="1" s="1"/>
  <c r="AI44" i="1"/>
  <c r="AK43" i="1"/>
  <c r="AK44" i="1" s="1"/>
  <c r="S75" i="1"/>
  <c r="Q104" i="1"/>
  <c r="AL75" i="1"/>
  <c r="AN75" i="1" s="1"/>
  <c r="AN72" i="1"/>
  <c r="AL79" i="1"/>
  <c r="AN79" i="1" s="1"/>
  <c r="AL74" i="1"/>
  <c r="AN74" i="1" s="1"/>
  <c r="AL63" i="1"/>
  <c r="T126" i="1"/>
  <c r="W126" i="1" s="1"/>
  <c r="S191" i="1"/>
  <c r="AL191" i="1"/>
  <c r="AN191" i="1" s="1"/>
  <c r="AL181" i="1"/>
  <c r="S181" i="1"/>
  <c r="S102" i="1"/>
  <c r="AL102" i="1"/>
  <c r="AN102" i="1" s="1"/>
  <c r="S28" i="1"/>
  <c r="Q48" i="1"/>
  <c r="AL28" i="1"/>
  <c r="AN28" i="1" s="1"/>
  <c r="S33" i="1"/>
  <c r="AL33" i="1"/>
  <c r="AN33" i="1" s="1"/>
  <c r="S133" i="1"/>
  <c r="AL133" i="1"/>
  <c r="AN133" i="1" s="1"/>
  <c r="S117" i="1"/>
  <c r="T117" i="1" s="1"/>
  <c r="W117" i="1" s="1"/>
  <c r="S188" i="1"/>
  <c r="AL188" i="1"/>
  <c r="AN188" i="1" s="1"/>
  <c r="AL213" i="1"/>
  <c r="AN213" i="1" s="1"/>
  <c r="S213" i="1"/>
  <c r="Y29" i="1"/>
  <c r="W48" i="1"/>
  <c r="Y48" i="1" s="1"/>
  <c r="AL31" i="1"/>
  <c r="AN31" i="1" s="1"/>
  <c r="Y31" i="1"/>
  <c r="AK178" i="1"/>
  <c r="Q218" i="1"/>
  <c r="AL81" i="1"/>
  <c r="AN81" i="1" s="1"/>
  <c r="AI218" i="1"/>
  <c r="S120" i="1"/>
  <c r="T120" i="1" s="1"/>
  <c r="W120" i="1" s="1"/>
  <c r="Y84" i="1"/>
  <c r="AL189" i="1"/>
  <c r="AN189" i="1" s="1"/>
  <c r="Y189" i="1"/>
  <c r="S182" i="1"/>
  <c r="AL182" i="1"/>
  <c r="AN182" i="1" s="1"/>
  <c r="AI178" i="1"/>
  <c r="AL217" i="1"/>
  <c r="AN217" i="1" s="1"/>
  <c r="S27" i="1"/>
  <c r="AL27" i="1"/>
  <c r="AN27" i="1" s="1"/>
  <c r="Q37" i="1"/>
  <c r="S176" i="1"/>
  <c r="AL176" i="1"/>
  <c r="AN176" i="1" s="1"/>
  <c r="Y26" i="1"/>
  <c r="AL26" i="1"/>
  <c r="AN26" i="1" s="1"/>
  <c r="S35" i="1"/>
  <c r="AL35" i="1"/>
  <c r="AN35" i="1" s="1"/>
  <c r="T130" i="1"/>
  <c r="W130" i="1" s="1"/>
  <c r="AL30" i="1"/>
  <c r="AN30" i="1" s="1"/>
  <c r="W104" i="1"/>
  <c r="W106" i="1" s="1"/>
  <c r="H11" i="19" s="1"/>
  <c r="AL78" i="1"/>
  <c r="AN78" i="1" s="1"/>
  <c r="T119" i="1"/>
  <c r="W119" i="1" s="1"/>
  <c r="W47" i="1"/>
  <c r="AL53" i="1"/>
  <c r="AN53" i="1" s="1"/>
  <c r="S128" i="1"/>
  <c r="T128" i="1" s="1"/>
  <c r="W128" i="1" s="1"/>
  <c r="AL121" i="1"/>
  <c r="AN121" i="1" s="1"/>
  <c r="Y121" i="1"/>
  <c r="S195" i="1"/>
  <c r="AL195" i="1"/>
  <c r="AN195" i="1" s="1"/>
  <c r="AL186" i="1"/>
  <c r="AN186" i="1" s="1"/>
  <c r="AL194" i="1"/>
  <c r="AN194" i="1" s="1"/>
  <c r="AK194" i="1"/>
  <c r="AK218" i="1" s="1"/>
  <c r="AC178" i="1"/>
  <c r="AE173" i="1"/>
  <c r="AE178" i="1" s="1"/>
  <c r="AL174" i="1"/>
  <c r="AN174" i="1" s="1"/>
  <c r="S174" i="1"/>
  <c r="AL216" i="1"/>
  <c r="AN216" i="1" s="1"/>
  <c r="S216" i="1"/>
  <c r="S99" i="1"/>
  <c r="AL99" i="1"/>
  <c r="AN99" i="1" s="1"/>
  <c r="AL67" i="1"/>
  <c r="AN67" i="1" s="1"/>
  <c r="Y187" i="1"/>
  <c r="AL187" i="1"/>
  <c r="AN187" i="1" s="1"/>
  <c r="Y173" i="1"/>
  <c r="Y178" i="1" s="1"/>
  <c r="W178" i="1"/>
  <c r="AL96" i="1"/>
  <c r="AN96" i="1" s="1"/>
  <c r="S96" i="1"/>
  <c r="AL215" i="1"/>
  <c r="AN215" i="1" s="1"/>
  <c r="S215" i="1"/>
  <c r="S32" i="1"/>
  <c r="AL32" i="1"/>
  <c r="AN32" i="1" s="1"/>
  <c r="AL100" i="1"/>
  <c r="AN100" i="1" s="1"/>
  <c r="S100" i="1"/>
  <c r="Y23" i="1"/>
  <c r="W49" i="1"/>
  <c r="AL23" i="1"/>
  <c r="AN23" i="1" s="1"/>
  <c r="Q47" i="1"/>
  <c r="AC37" i="1"/>
  <c r="W218" i="1"/>
  <c r="W37" i="1"/>
  <c r="W39" i="1" s="1"/>
  <c r="H7" i="19" s="1"/>
  <c r="J7" i="19" s="1"/>
  <c r="AL25" i="1"/>
  <c r="AN25" i="1" s="1"/>
  <c r="AL34" i="1"/>
  <c r="AN34" i="1" s="1"/>
  <c r="AK24" i="1"/>
  <c r="AL95" i="1"/>
  <c r="AN95" i="1" s="1"/>
  <c r="AC218" i="1"/>
  <c r="S190" i="1"/>
  <c r="AL190" i="1"/>
  <c r="AN190" i="1" s="1"/>
  <c r="Y184" i="1"/>
  <c r="AL184" i="1"/>
  <c r="AN184" i="1" s="1"/>
  <c r="AL183" i="1"/>
  <c r="AN183" i="1" s="1"/>
  <c r="AL173" i="1"/>
  <c r="S173" i="1"/>
  <c r="Q178" i="1"/>
  <c r="AL54" i="1"/>
  <c r="AN54" i="1" s="1"/>
  <c r="S54" i="1"/>
  <c r="AE23" i="1"/>
  <c r="AC49" i="1"/>
  <c r="AE49" i="1" s="1"/>
  <c r="AE28" i="1"/>
  <c r="AC48" i="1"/>
  <c r="AL132" i="1"/>
  <c r="AN132" i="1" s="1"/>
  <c r="Y132" i="1"/>
  <c r="AL50" i="1"/>
  <c r="AN50" i="1" s="1"/>
  <c r="S93" i="1"/>
  <c r="AL93" i="1"/>
  <c r="AN93" i="1" s="1"/>
  <c r="Q135" i="1"/>
  <c r="AC104" i="1"/>
  <c r="AC106" i="1" s="1"/>
  <c r="K11" i="19" s="1"/>
  <c r="AI37" i="1"/>
  <c r="AI39" i="1" s="1"/>
  <c r="N7" i="19" s="1"/>
  <c r="P7" i="19" s="1"/>
  <c r="AL101" i="1"/>
  <c r="AN101" i="1" s="1"/>
  <c r="AL212" i="1"/>
  <c r="AN212" i="1" s="1"/>
  <c r="AL87" i="1"/>
  <c r="AN87" i="1" s="1"/>
  <c r="S87" i="1"/>
  <c r="S193" i="1"/>
  <c r="AL193" i="1"/>
  <c r="AN193" i="1" s="1"/>
  <c r="AE214" i="1"/>
  <c r="AE218" i="1" s="1"/>
  <c r="AL214" i="1"/>
  <c r="AN214" i="1" s="1"/>
  <c r="AL177" i="1"/>
  <c r="AN177" i="1" s="1"/>
  <c r="S177" i="1"/>
  <c r="S29" i="1"/>
  <c r="AL29" i="1"/>
  <c r="AN29" i="1" s="1"/>
  <c r="AI48" i="1"/>
  <c r="AK28" i="1"/>
  <c r="AE220" i="1" l="1"/>
  <c r="Y118" i="1"/>
  <c r="Z118" i="1" s="1"/>
  <c r="AC118" i="1" s="1"/>
  <c r="AK106" i="1"/>
  <c r="P11" i="19" s="1"/>
  <c r="Q137" i="1"/>
  <c r="E15" i="19" s="1"/>
  <c r="Y37" i="1"/>
  <c r="Y218" i="1"/>
  <c r="Y220" i="1" s="1"/>
  <c r="J19" i="19" s="1"/>
  <c r="W220" i="1"/>
  <c r="H19" i="19" s="1"/>
  <c r="Y104" i="1"/>
  <c r="Y106" i="1" s="1"/>
  <c r="J11" i="19" s="1"/>
  <c r="AE129" i="1"/>
  <c r="AF129" i="1" s="1"/>
  <c r="AI129" i="1" s="1"/>
  <c r="Q44" i="1"/>
  <c r="AM117" i="20"/>
  <c r="L85" i="20"/>
  <c r="B11" i="21" s="1"/>
  <c r="S33" i="20"/>
  <c r="F7" i="21" s="1"/>
  <c r="AN20" i="20"/>
  <c r="X83" i="20"/>
  <c r="X85" i="20" s="1"/>
  <c r="H11" i="21" s="1"/>
  <c r="Z83" i="20"/>
  <c r="Z85" i="20" s="1"/>
  <c r="J11" i="21" s="1"/>
  <c r="AD83" i="20"/>
  <c r="AD85" i="20" s="1"/>
  <c r="K11" i="21" s="1"/>
  <c r="AM64" i="20"/>
  <c r="AO64" i="20" s="1"/>
  <c r="R36" i="20"/>
  <c r="T36" i="20" s="1"/>
  <c r="R83" i="20"/>
  <c r="R85" i="20" s="1"/>
  <c r="E11" i="21" s="1"/>
  <c r="T48" i="20"/>
  <c r="L31" i="20"/>
  <c r="L37" i="20"/>
  <c r="N37" i="20" s="1"/>
  <c r="AM24" i="20"/>
  <c r="AO24" i="20" s="1"/>
  <c r="N160" i="20"/>
  <c r="D19" i="21" s="1"/>
  <c r="R119" i="20"/>
  <c r="E17" i="21" s="1"/>
  <c r="Z119" i="20"/>
  <c r="J17" i="21" s="1"/>
  <c r="N31" i="20"/>
  <c r="N33" i="20" s="1"/>
  <c r="AF158" i="20"/>
  <c r="AF160" i="20" s="1"/>
  <c r="M19" i="21" s="1"/>
  <c r="N85" i="20"/>
  <c r="D11" i="21" s="1"/>
  <c r="N113" i="20"/>
  <c r="N119" i="20" s="1"/>
  <c r="D17" i="21" s="1"/>
  <c r="X160" i="20"/>
  <c r="H19" i="21" s="1"/>
  <c r="AM61" i="20"/>
  <c r="AO61" i="20" s="1"/>
  <c r="AL158" i="20"/>
  <c r="AL160" i="20" s="1"/>
  <c r="P19" i="21" s="1"/>
  <c r="S39" i="20"/>
  <c r="F9" i="21" s="1"/>
  <c r="F21" i="21" s="1"/>
  <c r="F23" i="21" s="1"/>
  <c r="R143" i="1" s="1"/>
  <c r="AJ160" i="20"/>
  <c r="N19" i="21" s="1"/>
  <c r="AD160" i="20"/>
  <c r="K19" i="21" s="1"/>
  <c r="T83" i="20"/>
  <c r="T85" i="20" s="1"/>
  <c r="G11" i="21" s="1"/>
  <c r="AF83" i="20"/>
  <c r="AF85" i="20" s="1"/>
  <c r="M11" i="21" s="1"/>
  <c r="L160" i="20"/>
  <c r="B19" i="21" s="1"/>
  <c r="AM63" i="20"/>
  <c r="AO63" i="20" s="1"/>
  <c r="R103" i="20"/>
  <c r="T101" i="20"/>
  <c r="AO89" i="20"/>
  <c r="AO91" i="20" s="1"/>
  <c r="S13" i="21" s="1"/>
  <c r="AM91" i="20"/>
  <c r="Q13" i="21" s="1"/>
  <c r="Z160" i="20"/>
  <c r="J19" i="21" s="1"/>
  <c r="Y33" i="20"/>
  <c r="I7" i="21" s="1"/>
  <c r="AN98" i="20"/>
  <c r="AN105" i="20" s="1"/>
  <c r="R15" i="21" s="1"/>
  <c r="AN37" i="20"/>
  <c r="AJ83" i="20"/>
  <c r="AJ85" i="20" s="1"/>
  <c r="N11" i="21" s="1"/>
  <c r="X119" i="20"/>
  <c r="H17" i="21" s="1"/>
  <c r="AJ119" i="20"/>
  <c r="N17" i="21" s="1"/>
  <c r="L9" i="21"/>
  <c r="L21" i="21" s="1"/>
  <c r="L23" i="21" s="1"/>
  <c r="AD143" i="1" s="1"/>
  <c r="AE162" i="20"/>
  <c r="AE164" i="20" s="1"/>
  <c r="E19" i="21"/>
  <c r="I9" i="21"/>
  <c r="AG29" i="20"/>
  <c r="AJ29" i="20" s="1"/>
  <c r="AD29" i="20"/>
  <c r="AM127" i="20"/>
  <c r="AO125" i="20"/>
  <c r="AO127" i="20" s="1"/>
  <c r="AG16" i="20"/>
  <c r="AJ16" i="20" s="1"/>
  <c r="AD16" i="20"/>
  <c r="T96" i="20"/>
  <c r="T98" i="20" s="1"/>
  <c r="R98" i="20"/>
  <c r="R105" i="20" s="1"/>
  <c r="E15" i="21" s="1"/>
  <c r="AK39" i="20"/>
  <c r="X20" i="20"/>
  <c r="Z16" i="20"/>
  <c r="Z20" i="20" s="1"/>
  <c r="R37" i="20"/>
  <c r="T37" i="20" s="1"/>
  <c r="AM17" i="20"/>
  <c r="AO17" i="20" s="1"/>
  <c r="T17" i="20"/>
  <c r="T20" i="20" s="1"/>
  <c r="X37" i="20"/>
  <c r="Z37" i="20" s="1"/>
  <c r="N36" i="20"/>
  <c r="L33" i="20"/>
  <c r="B7" i="21" s="1"/>
  <c r="AM113" i="20"/>
  <c r="AM119" i="20" s="1"/>
  <c r="Q17" i="21" s="1"/>
  <c r="AO110" i="20"/>
  <c r="AO113" i="20" s="1"/>
  <c r="AO119" i="20" s="1"/>
  <c r="S17" i="21" s="1"/>
  <c r="L98" i="20"/>
  <c r="L105" i="20" s="1"/>
  <c r="N96" i="20"/>
  <c r="N98" i="20" s="1"/>
  <c r="N105" i="20" s="1"/>
  <c r="D15" i="21" s="1"/>
  <c r="M39" i="20"/>
  <c r="AN36" i="20"/>
  <c r="T158" i="20"/>
  <c r="T160" i="20" s="1"/>
  <c r="G19" i="21" s="1"/>
  <c r="R31" i="20"/>
  <c r="T23" i="20"/>
  <c r="T31" i="20" s="1"/>
  <c r="AM48" i="20"/>
  <c r="AO44" i="20"/>
  <c r="AO48" i="20" s="1"/>
  <c r="AL83" i="20"/>
  <c r="AL85" i="20" s="1"/>
  <c r="P11" i="21" s="1"/>
  <c r="AM28" i="20"/>
  <c r="AO28" i="20" s="1"/>
  <c r="AO130" i="20"/>
  <c r="AO158" i="20" s="1"/>
  <c r="AM158" i="20"/>
  <c r="AM160" i="20" s="1"/>
  <c r="Q19" i="21" s="1"/>
  <c r="AA23" i="20"/>
  <c r="X23" i="20"/>
  <c r="X36" i="20" s="1"/>
  <c r="R20" i="20"/>
  <c r="AN31" i="20"/>
  <c r="AN33" i="20" s="1"/>
  <c r="R7" i="21" s="1"/>
  <c r="AO25" i="20"/>
  <c r="X98" i="25"/>
  <c r="T141" i="25"/>
  <c r="Z144" i="25"/>
  <c r="AH30" i="25"/>
  <c r="AJ30" i="25" s="1"/>
  <c r="AL30" i="25" s="1"/>
  <c r="Z55" i="25"/>
  <c r="Z58" i="25" s="1"/>
  <c r="AM63" i="25"/>
  <c r="AO63" i="25" s="1"/>
  <c r="AF37" i="25"/>
  <c r="AM57" i="25"/>
  <c r="AO57" i="25" s="1"/>
  <c r="AM143" i="25"/>
  <c r="AD151" i="25"/>
  <c r="S37" i="25"/>
  <c r="T37" i="25" s="1"/>
  <c r="AE37" i="25"/>
  <c r="N131" i="25"/>
  <c r="D17" i="26" s="1"/>
  <c r="AD36" i="25"/>
  <c r="AE36" i="25"/>
  <c r="AO144" i="25"/>
  <c r="AM64" i="25"/>
  <c r="AO64" i="25" s="1"/>
  <c r="Z37" i="25"/>
  <c r="Y171" i="25"/>
  <c r="I19" i="26" s="1"/>
  <c r="AL98" i="25"/>
  <c r="AD149" i="25"/>
  <c r="AF149" i="25" s="1"/>
  <c r="AJ98" i="25"/>
  <c r="AM150" i="25"/>
  <c r="AO150" i="25" s="1"/>
  <c r="AM37" i="25"/>
  <c r="X131" i="25"/>
  <c r="H17" i="26" s="1"/>
  <c r="X100" i="25"/>
  <c r="H11" i="26" s="1"/>
  <c r="AM20" i="25"/>
  <c r="AO20" i="25" s="1"/>
  <c r="AB28" i="25"/>
  <c r="AM65" i="25"/>
  <c r="AO65" i="25" s="1"/>
  <c r="R36" i="25"/>
  <c r="S36" i="25"/>
  <c r="S41" i="25" s="1"/>
  <c r="S43" i="25" s="1"/>
  <c r="F7" i="26" s="1"/>
  <c r="AE24" i="25"/>
  <c r="X30" i="25"/>
  <c r="Z30" i="25" s="1"/>
  <c r="AE141" i="25"/>
  <c r="AE171" i="25" s="1"/>
  <c r="L19" i="26" s="1"/>
  <c r="AM78" i="25"/>
  <c r="AO78" i="25" s="1"/>
  <c r="AF98" i="25"/>
  <c r="N171" i="25"/>
  <c r="D19" i="26" s="1"/>
  <c r="T131" i="25"/>
  <c r="G17" i="26" s="1"/>
  <c r="AM149" i="25"/>
  <c r="AO149" i="25" s="1"/>
  <c r="AM154" i="25"/>
  <c r="AO154" i="25" s="1"/>
  <c r="Z98" i="25"/>
  <c r="AL143" i="25"/>
  <c r="AO143" i="25"/>
  <c r="AJ38" i="25"/>
  <c r="R131" i="25"/>
  <c r="E17" i="26" s="1"/>
  <c r="AM77" i="25"/>
  <c r="AO77" i="25" s="1"/>
  <c r="AJ24" i="25"/>
  <c r="AM24" i="25" s="1"/>
  <c r="AK24" i="25"/>
  <c r="AM70" i="25"/>
  <c r="AO70" i="25" s="1"/>
  <c r="AD141" i="25"/>
  <c r="AF141" i="25" s="1"/>
  <c r="AM39" i="25"/>
  <c r="AO39" i="25" s="1"/>
  <c r="Z36" i="25"/>
  <c r="AM158" i="25"/>
  <c r="AO158" i="25" s="1"/>
  <c r="AO123" i="25"/>
  <c r="AO125" i="25" s="1"/>
  <c r="AM125" i="25"/>
  <c r="AM120" i="25"/>
  <c r="AO119" i="25"/>
  <c r="AO120" i="25" s="1"/>
  <c r="Z40" i="25"/>
  <c r="AM40" i="25"/>
  <c r="AO40" i="25" s="1"/>
  <c r="T142" i="25"/>
  <c r="T171" i="25" s="1"/>
  <c r="G19" i="26" s="1"/>
  <c r="R171" i="25"/>
  <c r="Z141" i="25"/>
  <c r="X171" i="25"/>
  <c r="AM31" i="25"/>
  <c r="AO31" i="25" s="1"/>
  <c r="AM30" i="25"/>
  <c r="AO30" i="25" s="1"/>
  <c r="M47" i="25"/>
  <c r="M41" i="25"/>
  <c r="Z21" i="25"/>
  <c r="AN37" i="25"/>
  <c r="R46" i="25"/>
  <c r="AI148" i="25"/>
  <c r="AJ148" i="25" s="1"/>
  <c r="AL148" i="25" s="1"/>
  <c r="AD148" i="25"/>
  <c r="AF148" i="25" s="1"/>
  <c r="S46" i="25"/>
  <c r="S25" i="25"/>
  <c r="X38" i="25"/>
  <c r="Z148" i="25"/>
  <c r="N73" i="25"/>
  <c r="AM73" i="25"/>
  <c r="AO73" i="25" s="1"/>
  <c r="Y46" i="25"/>
  <c r="Y25" i="25"/>
  <c r="AG22" i="25"/>
  <c r="AJ22" i="25" s="1"/>
  <c r="AL22" i="25" s="1"/>
  <c r="AD22" i="25"/>
  <c r="T24" i="25"/>
  <c r="AM33" i="25"/>
  <c r="AO33" i="25" s="1"/>
  <c r="N33" i="25"/>
  <c r="AM129" i="25"/>
  <c r="AO128" i="25"/>
  <c r="AO129" i="25" s="1"/>
  <c r="F19" i="26"/>
  <c r="AD21" i="25"/>
  <c r="AF21" i="25" s="1"/>
  <c r="AG21" i="25"/>
  <c r="AJ21" i="25" s="1"/>
  <c r="AL21" i="25" s="1"/>
  <c r="AL36" i="25"/>
  <c r="T35" i="25"/>
  <c r="R98" i="25"/>
  <c r="R100" i="25" s="1"/>
  <c r="E11" i="26" s="1"/>
  <c r="AD38" i="25"/>
  <c r="AF38" i="25" s="1"/>
  <c r="Z32" i="25"/>
  <c r="AH28" i="25"/>
  <c r="AJ28" i="25" s="1"/>
  <c r="AD28" i="25"/>
  <c r="AB29" i="25"/>
  <c r="X29" i="25"/>
  <c r="N98" i="25"/>
  <c r="N100" i="25" s="1"/>
  <c r="D11" i="26" s="1"/>
  <c r="AN32" i="25"/>
  <c r="L98" i="25"/>
  <c r="M46" i="25"/>
  <c r="N24" i="25"/>
  <c r="M25" i="25"/>
  <c r="T98" i="25"/>
  <c r="T100" i="25" s="1"/>
  <c r="G11" i="26" s="1"/>
  <c r="AL32" i="25"/>
  <c r="Y35" i="25"/>
  <c r="X35" i="25"/>
  <c r="R47" i="25"/>
  <c r="T29" i="25"/>
  <c r="R41" i="25"/>
  <c r="AM142" i="25"/>
  <c r="AO142" i="25" s="1"/>
  <c r="AK38" i="25"/>
  <c r="AL38" i="25" s="1"/>
  <c r="AD98" i="25"/>
  <c r="AF151" i="25"/>
  <c r="AM151" i="25"/>
  <c r="AO151" i="25" s="1"/>
  <c r="AO114" i="25"/>
  <c r="S15" i="26" s="1"/>
  <c r="T18" i="25"/>
  <c r="T25" i="25" s="1"/>
  <c r="R25" i="25"/>
  <c r="N29" i="25"/>
  <c r="L47" i="25"/>
  <c r="L41" i="25"/>
  <c r="L43" i="25" s="1"/>
  <c r="B7" i="26" s="1"/>
  <c r="AF32" i="25"/>
  <c r="AJ35" i="25"/>
  <c r="AK35" i="25"/>
  <c r="AK47" i="25" s="1"/>
  <c r="N18" i="25"/>
  <c r="L25" i="25"/>
  <c r="N35" i="25"/>
  <c r="Z131" i="25"/>
  <c r="J17" i="26" s="1"/>
  <c r="AM34" i="25"/>
  <c r="AO34" i="25" s="1"/>
  <c r="AF19" i="25"/>
  <c r="AM19" i="25"/>
  <c r="AO19" i="25" s="1"/>
  <c r="AM147" i="25"/>
  <c r="AO147" i="25" s="1"/>
  <c r="AL147" i="25"/>
  <c r="AM106" i="25"/>
  <c r="Q13" i="26" s="1"/>
  <c r="AO104" i="25"/>
  <c r="AO106" i="25" s="1"/>
  <c r="S13" i="26" s="1"/>
  <c r="AF17" i="25"/>
  <c r="AM17" i="25"/>
  <c r="AM55" i="25"/>
  <c r="AO55" i="25" s="1"/>
  <c r="AF55" i="25"/>
  <c r="AF58" i="25" s="1"/>
  <c r="AF100" i="25" s="1"/>
  <c r="M11" i="26" s="1"/>
  <c r="AD58" i="25"/>
  <c r="AM114" i="25"/>
  <c r="Q15" i="26" s="1"/>
  <c r="B19" i="26"/>
  <c r="AA18" i="25"/>
  <c r="X18" i="25"/>
  <c r="AE35" i="25"/>
  <c r="AD35" i="25"/>
  <c r="AK141" i="25"/>
  <c r="AJ141" i="25"/>
  <c r="AM159" i="25"/>
  <c r="AO159" i="25" s="1"/>
  <c r="Z24" i="25"/>
  <c r="AJ58" i="25"/>
  <c r="AL58" i="25" s="1"/>
  <c r="AL100" i="25" s="1"/>
  <c r="P11" i="26" s="1"/>
  <c r="AD65" i="23"/>
  <c r="AM71" i="23"/>
  <c r="AO71" i="23" s="1"/>
  <c r="AM92" i="23"/>
  <c r="AO92" i="23" s="1"/>
  <c r="V137" i="23"/>
  <c r="AM22" i="23"/>
  <c r="AO22" i="23" s="1"/>
  <c r="Z79" i="23"/>
  <c r="Z119" i="23" s="1"/>
  <c r="Z121" i="23" s="1"/>
  <c r="J11" i="24" s="1"/>
  <c r="L55" i="23"/>
  <c r="L44" i="23"/>
  <c r="L51" i="23" s="1"/>
  <c r="B7" i="24" s="1"/>
  <c r="R65" i="23"/>
  <c r="T132" i="23"/>
  <c r="U132" i="23" s="1"/>
  <c r="X132" i="23" s="1"/>
  <c r="X134" i="23" s="1"/>
  <c r="R119" i="23"/>
  <c r="AM115" i="23"/>
  <c r="AO115" i="23" s="1"/>
  <c r="L140" i="23"/>
  <c r="AM94" i="23"/>
  <c r="AO94" i="23" s="1"/>
  <c r="R140" i="23"/>
  <c r="AM77" i="23"/>
  <c r="AO77" i="23" s="1"/>
  <c r="AM78" i="23"/>
  <c r="AO78" i="23" s="1"/>
  <c r="Z65" i="23"/>
  <c r="X49" i="23"/>
  <c r="AM62" i="23"/>
  <c r="AO62" i="23" s="1"/>
  <c r="AM117" i="23"/>
  <c r="AO117" i="23" s="1"/>
  <c r="AM63" i="23"/>
  <c r="AO63" i="23" s="1"/>
  <c r="AN203" i="23"/>
  <c r="R19" i="24" s="1"/>
  <c r="AD133" i="23"/>
  <c r="AM138" i="23"/>
  <c r="AO138" i="23" s="1"/>
  <c r="AN142" i="23"/>
  <c r="R15" i="24" s="1"/>
  <c r="L54" i="23"/>
  <c r="L56" i="23" s="1"/>
  <c r="B9" i="24" s="1"/>
  <c r="AJ119" i="23"/>
  <c r="AL119" i="23" s="1"/>
  <c r="AM70" i="23"/>
  <c r="AO70" i="23" s="1"/>
  <c r="X137" i="23"/>
  <c r="X140" i="23" s="1"/>
  <c r="Z166" i="23"/>
  <c r="AM91" i="23"/>
  <c r="AO91" i="23" s="1"/>
  <c r="AM64" i="23"/>
  <c r="AO64" i="23" s="1"/>
  <c r="T134" i="23"/>
  <c r="AM88" i="23"/>
  <c r="AO88" i="23" s="1"/>
  <c r="AM21" i="23"/>
  <c r="AO21" i="23" s="1"/>
  <c r="AM25" i="23"/>
  <c r="AO25" i="23" s="1"/>
  <c r="AJ55" i="23"/>
  <c r="AF48" i="23"/>
  <c r="AF49" i="23" s="1"/>
  <c r="T16" i="23"/>
  <c r="R54" i="23"/>
  <c r="AN30" i="23"/>
  <c r="AO30" i="23" s="1"/>
  <c r="AJ65" i="23"/>
  <c r="AD119" i="23"/>
  <c r="AM93" i="23"/>
  <c r="AO93" i="23" s="1"/>
  <c r="M55" i="23"/>
  <c r="N55" i="23" s="1"/>
  <c r="AL65" i="23"/>
  <c r="AM19" i="23"/>
  <c r="AO19" i="23" s="1"/>
  <c r="N119" i="23"/>
  <c r="AM76" i="23"/>
  <c r="AO76" i="23" s="1"/>
  <c r="X54" i="23"/>
  <c r="X154" i="23"/>
  <c r="H17" i="24" s="1"/>
  <c r="Z132" i="23"/>
  <c r="Z134" i="23" s="1"/>
  <c r="X119" i="23"/>
  <c r="R142" i="23"/>
  <c r="E15" i="24" s="1"/>
  <c r="AD54" i="23"/>
  <c r="AM72" i="23"/>
  <c r="AO72" i="23" s="1"/>
  <c r="AF201" i="23"/>
  <c r="AD201" i="23"/>
  <c r="AD203" i="23" s="1"/>
  <c r="AM23" i="23"/>
  <c r="AO23" i="23" s="1"/>
  <c r="AM17" i="23"/>
  <c r="AO17" i="23" s="1"/>
  <c r="AM24" i="23"/>
  <c r="AO24" i="23" s="1"/>
  <c r="R201" i="23"/>
  <c r="R203" i="23" s="1"/>
  <c r="E19" i="24" s="1"/>
  <c r="AM182" i="23"/>
  <c r="AO182" i="23" s="1"/>
  <c r="N121" i="23"/>
  <c r="D11" i="24" s="1"/>
  <c r="X201" i="23"/>
  <c r="X203" i="23" s="1"/>
  <c r="AM48" i="23"/>
  <c r="T48" i="23"/>
  <c r="T49" i="23" s="1"/>
  <c r="AE55" i="23"/>
  <c r="AN33" i="23"/>
  <c r="AO33" i="23" s="1"/>
  <c r="Y55" i="23"/>
  <c r="AJ49" i="23"/>
  <c r="AL48" i="23"/>
  <c r="AL49" i="23" s="1"/>
  <c r="T183" i="23"/>
  <c r="T201" i="23" s="1"/>
  <c r="T203" i="23" s="1"/>
  <c r="G19" i="24" s="1"/>
  <c r="AM183" i="23"/>
  <c r="AO183" i="23" s="1"/>
  <c r="AM127" i="23"/>
  <c r="AO125" i="23"/>
  <c r="Z201" i="23"/>
  <c r="Z203" i="23" s="1"/>
  <c r="J19" i="24" s="1"/>
  <c r="AF119" i="23"/>
  <c r="AF121" i="23" s="1"/>
  <c r="M11" i="24" s="1"/>
  <c r="R49" i="23"/>
  <c r="Z137" i="23"/>
  <c r="Z140" i="23" s="1"/>
  <c r="Z142" i="23" s="1"/>
  <c r="J15" i="24" s="1"/>
  <c r="AM26" i="23"/>
  <c r="AO26" i="23" s="1"/>
  <c r="T26" i="23"/>
  <c r="AO61" i="23"/>
  <c r="AM152" i="23"/>
  <c r="AO151" i="23"/>
  <c r="AO152" i="23" s="1"/>
  <c r="T65" i="23"/>
  <c r="AM166" i="23"/>
  <c r="AO160" i="23"/>
  <c r="AO166" i="23" s="1"/>
  <c r="N133" i="23"/>
  <c r="N134" i="23" s="1"/>
  <c r="N142" i="23" s="1"/>
  <c r="D15" i="24" s="1"/>
  <c r="AN42" i="23"/>
  <c r="AO42" i="23" s="1"/>
  <c r="N42" i="23"/>
  <c r="AO147" i="23"/>
  <c r="AO148" i="23" s="1"/>
  <c r="AM148" i="23"/>
  <c r="Z28" i="23"/>
  <c r="Y54" i="23"/>
  <c r="Y44" i="23"/>
  <c r="Y51" i="23" s="1"/>
  <c r="I7" i="24" s="1"/>
  <c r="AN43" i="23"/>
  <c r="AO43" i="23" s="1"/>
  <c r="L134" i="23"/>
  <c r="L142" i="23" s="1"/>
  <c r="B15" i="24" s="1"/>
  <c r="AJ54" i="23"/>
  <c r="AL16" i="23"/>
  <c r="AM16" i="23"/>
  <c r="AJ44" i="23"/>
  <c r="R44" i="23"/>
  <c r="S54" i="23"/>
  <c r="T28" i="23"/>
  <c r="S44" i="23"/>
  <c r="S51" i="23" s="1"/>
  <c r="F7" i="24" s="1"/>
  <c r="R121" i="23"/>
  <c r="E11" i="24" s="1"/>
  <c r="Z23" i="23"/>
  <c r="Z44" i="23" s="1"/>
  <c r="Z51" i="23" s="1"/>
  <c r="J7" i="24" s="1"/>
  <c r="X44" i="23"/>
  <c r="X51" i="23" s="1"/>
  <c r="H7" i="24" s="1"/>
  <c r="AK54" i="23"/>
  <c r="AL28" i="23"/>
  <c r="AK44" i="23"/>
  <c r="AK51" i="23" s="1"/>
  <c r="O7" i="24" s="1"/>
  <c r="O11" i="24"/>
  <c r="AF166" i="23"/>
  <c r="AJ203" i="23"/>
  <c r="AF133" i="23"/>
  <c r="AG133" i="23" s="1"/>
  <c r="AJ133" i="23" s="1"/>
  <c r="AL133" i="23" s="1"/>
  <c r="AE54" i="23"/>
  <c r="AF28" i="23"/>
  <c r="AE44" i="23"/>
  <c r="AE51" i="23" s="1"/>
  <c r="L7" i="24" s="1"/>
  <c r="AK55" i="23"/>
  <c r="AL55" i="23" s="1"/>
  <c r="T119" i="23"/>
  <c r="AL203" i="23"/>
  <c r="R55" i="23"/>
  <c r="R56" i="23" s="1"/>
  <c r="AF23" i="23"/>
  <c r="AD44" i="23"/>
  <c r="AD51" i="23" s="1"/>
  <c r="K7" i="24" s="1"/>
  <c r="AN29" i="23"/>
  <c r="AO29" i="23" s="1"/>
  <c r="T29" i="23"/>
  <c r="N28" i="23"/>
  <c r="AN28" i="23"/>
  <c r="M44" i="23"/>
  <c r="M51" i="23" s="1"/>
  <c r="C7" i="24" s="1"/>
  <c r="M54" i="23"/>
  <c r="AD55" i="23"/>
  <c r="AO169" i="23"/>
  <c r="B19" i="24"/>
  <c r="AN32" i="23"/>
  <c r="AO32" i="23" s="1"/>
  <c r="N32" i="23"/>
  <c r="AN35" i="23"/>
  <c r="AO35" i="23" s="1"/>
  <c r="X55" i="23"/>
  <c r="T139" i="23"/>
  <c r="T140" i="23" s="1"/>
  <c r="T142" i="23" s="1"/>
  <c r="AM139" i="23"/>
  <c r="AO139" i="23" s="1"/>
  <c r="N201" i="23"/>
  <c r="N203" i="23" s="1"/>
  <c r="Y39" i="1"/>
  <c r="AN17" i="1"/>
  <c r="AN20" i="1" s="1"/>
  <c r="AL20" i="1"/>
  <c r="AE43" i="1"/>
  <c r="AE44" i="1" s="1"/>
  <c r="AE37" i="1"/>
  <c r="AE39" i="1" s="1"/>
  <c r="AC220" i="1"/>
  <c r="K19" i="19" s="1"/>
  <c r="Q106" i="1"/>
  <c r="E11" i="19" s="1"/>
  <c r="Y43" i="1"/>
  <c r="Y44" i="1" s="1"/>
  <c r="AI106" i="1"/>
  <c r="N11" i="19" s="1"/>
  <c r="S37" i="1"/>
  <c r="S39" i="1" s="1"/>
  <c r="S104" i="1"/>
  <c r="S106" i="1" s="1"/>
  <c r="G11" i="19" s="1"/>
  <c r="AL43" i="1"/>
  <c r="AC39" i="1"/>
  <c r="K7" i="19" s="1"/>
  <c r="M7" i="19" s="1"/>
  <c r="AK220" i="1"/>
  <c r="P19" i="19" s="1"/>
  <c r="AE106" i="1"/>
  <c r="M11" i="19" s="1"/>
  <c r="AE127" i="1"/>
  <c r="AF127" i="1" s="1"/>
  <c r="AI127" i="1" s="1"/>
  <c r="Y128" i="1"/>
  <c r="Z128" i="1" s="1"/>
  <c r="AC128" i="1" s="1"/>
  <c r="AE125" i="1"/>
  <c r="M19" i="19"/>
  <c r="AK48" i="1"/>
  <c r="AK55" i="1" s="1"/>
  <c r="AK57" i="1" s="1"/>
  <c r="P9" i="19" s="1"/>
  <c r="AI55" i="1"/>
  <c r="AI57" i="1" s="1"/>
  <c r="N9" i="19" s="1"/>
  <c r="W55" i="1"/>
  <c r="W57" i="1" s="1"/>
  <c r="H9" i="19" s="1"/>
  <c r="Y47" i="1"/>
  <c r="AI220" i="1"/>
  <c r="S122" i="1"/>
  <c r="AL44" i="1"/>
  <c r="AN43" i="1"/>
  <c r="AN44" i="1" s="1"/>
  <c r="Y119" i="1"/>
  <c r="Z119" i="1"/>
  <c r="AC119" i="1" s="1"/>
  <c r="AL104" i="1"/>
  <c r="AL131" i="1"/>
  <c r="AN131" i="1" s="1"/>
  <c r="S48" i="1"/>
  <c r="AL48" i="1"/>
  <c r="AN48" i="1" s="1"/>
  <c r="AN63" i="1"/>
  <c r="AN68" i="1" s="1"/>
  <c r="AL68" i="1"/>
  <c r="Q220" i="1"/>
  <c r="S218" i="1"/>
  <c r="Y120" i="1"/>
  <c r="Z120" i="1" s="1"/>
  <c r="AC120" i="1" s="1"/>
  <c r="S178" i="1"/>
  <c r="AL47" i="1"/>
  <c r="S47" i="1"/>
  <c r="Q55" i="1"/>
  <c r="Q57" i="1" s="1"/>
  <c r="E9" i="19" s="1"/>
  <c r="AL218" i="1"/>
  <c r="AN181" i="1"/>
  <c r="AN218" i="1" s="1"/>
  <c r="AN104" i="1"/>
  <c r="S135" i="1"/>
  <c r="S137" i="1" s="1"/>
  <c r="G15" i="19" s="1"/>
  <c r="Y126" i="1"/>
  <c r="AE48" i="1"/>
  <c r="AE55" i="1" s="1"/>
  <c r="AE57" i="1" s="1"/>
  <c r="M9" i="19" s="1"/>
  <c r="AC55" i="1"/>
  <c r="AC57" i="1" s="1"/>
  <c r="K9" i="19" s="1"/>
  <c r="AL178" i="1"/>
  <c r="AN173" i="1"/>
  <c r="AN178" i="1" s="1"/>
  <c r="AK37" i="1"/>
  <c r="AK39" i="1" s="1"/>
  <c r="AL37" i="1"/>
  <c r="Q39" i="1"/>
  <c r="E7" i="19" s="1"/>
  <c r="G7" i="19" s="1"/>
  <c r="Y49" i="1"/>
  <c r="AL49" i="1"/>
  <c r="AN49" i="1" s="1"/>
  <c r="Y117" i="1"/>
  <c r="Z117" i="1"/>
  <c r="AC117" i="1" s="1"/>
  <c r="W122" i="1"/>
  <c r="Y130" i="1"/>
  <c r="Z130" i="1" s="1"/>
  <c r="AC130" i="1" s="1"/>
  <c r="W135" i="1"/>
  <c r="AE118" i="1" l="1"/>
  <c r="AF118" i="1" s="1"/>
  <c r="AI118" i="1" s="1"/>
  <c r="AN106" i="1"/>
  <c r="S11" i="19" s="1"/>
  <c r="AL129" i="1"/>
  <c r="AN129" i="1" s="1"/>
  <c r="AK129" i="1"/>
  <c r="Y135" i="1"/>
  <c r="W137" i="1"/>
  <c r="H15" i="19" s="1"/>
  <c r="N39" i="20"/>
  <c r="D9" i="21" s="1"/>
  <c r="L39" i="20"/>
  <c r="B9" i="21" s="1"/>
  <c r="S162" i="20"/>
  <c r="S164" i="20" s="1"/>
  <c r="AM29" i="20"/>
  <c r="AO29" i="20" s="1"/>
  <c r="AN39" i="20"/>
  <c r="R9" i="21" s="1"/>
  <c r="AM16" i="20"/>
  <c r="AM20" i="20" s="1"/>
  <c r="R21" i="21"/>
  <c r="R23" i="21" s="1"/>
  <c r="I21" i="21"/>
  <c r="I23" i="21" s="1"/>
  <c r="X143" i="1" s="1"/>
  <c r="AM83" i="20"/>
  <c r="AO83" i="20" s="1"/>
  <c r="AO85" i="20" s="1"/>
  <c r="S11" i="21" s="1"/>
  <c r="Y162" i="20"/>
  <c r="Y164" i="20" s="1"/>
  <c r="AM85" i="20"/>
  <c r="Q11" i="21" s="1"/>
  <c r="T33" i="20"/>
  <c r="T103" i="20"/>
  <c r="T105" i="20" s="1"/>
  <c r="G15" i="21" s="1"/>
  <c r="U101" i="20"/>
  <c r="X101" i="20" s="1"/>
  <c r="R33" i="20"/>
  <c r="E7" i="21" s="1"/>
  <c r="G7" i="21" s="1"/>
  <c r="U96" i="20"/>
  <c r="X96" i="20" s="1"/>
  <c r="Z96" i="20" s="1"/>
  <c r="Z98" i="20" s="1"/>
  <c r="X39" i="20"/>
  <c r="H9" i="21" s="1"/>
  <c r="Z36" i="20"/>
  <c r="Z39" i="20" s="1"/>
  <c r="J9" i="21" s="1"/>
  <c r="B15" i="21"/>
  <c r="B21" i="21" s="1"/>
  <c r="H143" i="1" s="1"/>
  <c r="K143" i="1" s="1"/>
  <c r="L162" i="20"/>
  <c r="D7" i="21"/>
  <c r="D21" i="21" s="1"/>
  <c r="AF29" i="20"/>
  <c r="AD37" i="20"/>
  <c r="AF37" i="20" s="1"/>
  <c r="X31" i="20"/>
  <c r="X33" i="20" s="1"/>
  <c r="H7" i="21" s="1"/>
  <c r="Z23" i="20"/>
  <c r="Z31" i="20" s="1"/>
  <c r="Z33" i="20" s="1"/>
  <c r="T39" i="20"/>
  <c r="G9" i="21" s="1"/>
  <c r="O9" i="21"/>
  <c r="O21" i="21" s="1"/>
  <c r="O23" i="21" s="1"/>
  <c r="AJ143" i="1" s="1"/>
  <c r="AK162" i="20"/>
  <c r="AL29" i="20"/>
  <c r="AJ37" i="20"/>
  <c r="AG23" i="20"/>
  <c r="AJ23" i="20" s="1"/>
  <c r="AD23" i="20"/>
  <c r="R39" i="20"/>
  <c r="E9" i="21" s="1"/>
  <c r="AD20" i="20"/>
  <c r="AF16" i="20"/>
  <c r="AF20" i="20" s="1"/>
  <c r="C9" i="21"/>
  <c r="C21" i="21" s="1"/>
  <c r="C23" i="21" s="1"/>
  <c r="L143" i="1" s="1"/>
  <c r="M162" i="20"/>
  <c r="M164" i="20" s="1"/>
  <c r="AL16" i="20"/>
  <c r="AL20" i="20" s="1"/>
  <c r="AJ20" i="20"/>
  <c r="AO16" i="20"/>
  <c r="AO20" i="20" s="1"/>
  <c r="AO160" i="20"/>
  <c r="S19" i="21" s="1"/>
  <c r="AM131" i="25"/>
  <c r="Q17" i="26" s="1"/>
  <c r="AO58" i="25"/>
  <c r="AO37" i="25"/>
  <c r="AF171" i="25"/>
  <c r="Z100" i="25"/>
  <c r="J11" i="26" s="1"/>
  <c r="AM58" i="25"/>
  <c r="AE41" i="25"/>
  <c r="AL35" i="25"/>
  <c r="Z35" i="25"/>
  <c r="S47" i="25"/>
  <c r="T47" i="25" s="1"/>
  <c r="AF36" i="25"/>
  <c r="AN38" i="25"/>
  <c r="AN36" i="25"/>
  <c r="AD171" i="25"/>
  <c r="AK46" i="25"/>
  <c r="AK49" i="25" s="1"/>
  <c r="O9" i="26" s="1"/>
  <c r="AK25" i="25"/>
  <c r="R43" i="25"/>
  <c r="E7" i="26" s="1"/>
  <c r="AM148" i="25"/>
  <c r="AO148" i="25" s="1"/>
  <c r="AL24" i="25"/>
  <c r="AE46" i="25"/>
  <c r="AE25" i="25"/>
  <c r="AM141" i="25"/>
  <c r="AM171" i="25" s="1"/>
  <c r="Q19" i="26" s="1"/>
  <c r="AK41" i="25"/>
  <c r="AN24" i="25"/>
  <c r="AN25" i="25" s="1"/>
  <c r="AM36" i="25"/>
  <c r="T36" i="25"/>
  <c r="T41" i="25" s="1"/>
  <c r="T43" i="25" s="1"/>
  <c r="G7" i="26" s="1"/>
  <c r="AE47" i="25"/>
  <c r="AN35" i="25"/>
  <c r="Y47" i="25"/>
  <c r="Y49" i="25" s="1"/>
  <c r="AO131" i="25"/>
  <c r="S17" i="26" s="1"/>
  <c r="AF24" i="25"/>
  <c r="AH29" i="25"/>
  <c r="AJ29" i="25" s="1"/>
  <c r="AL29" i="25" s="1"/>
  <c r="AD29" i="25"/>
  <c r="AF29" i="25" s="1"/>
  <c r="R49" i="25"/>
  <c r="E9" i="26" s="1"/>
  <c r="T46" i="25"/>
  <c r="N47" i="25"/>
  <c r="AF28" i="25"/>
  <c r="AM28" i="25"/>
  <c r="AM35" i="25"/>
  <c r="S49" i="25"/>
  <c r="H19" i="26"/>
  <c r="AK171" i="25"/>
  <c r="AN141" i="25"/>
  <c r="AN171" i="25" s="1"/>
  <c r="R19" i="26" s="1"/>
  <c r="AO17" i="25"/>
  <c r="AD18" i="25"/>
  <c r="AG18" i="25"/>
  <c r="AJ18" i="25" s="1"/>
  <c r="N25" i="25"/>
  <c r="AD100" i="25"/>
  <c r="K11" i="26" s="1"/>
  <c r="M49" i="25"/>
  <c r="AL28" i="25"/>
  <c r="AM21" i="25"/>
  <c r="AO21" i="25" s="1"/>
  <c r="Z171" i="25"/>
  <c r="Z18" i="25"/>
  <c r="Z25" i="25" s="1"/>
  <c r="X25" i="25"/>
  <c r="X46" i="25"/>
  <c r="AF35" i="25"/>
  <c r="N41" i="25"/>
  <c r="N43" i="25" s="1"/>
  <c r="D7" i="26" s="1"/>
  <c r="AM98" i="25"/>
  <c r="L100" i="25"/>
  <c r="Y41" i="25"/>
  <c r="Y43" i="25" s="1"/>
  <c r="I7" i="26" s="1"/>
  <c r="Z29" i="25"/>
  <c r="X41" i="25"/>
  <c r="X47" i="25"/>
  <c r="M43" i="25"/>
  <c r="C7" i="26" s="1"/>
  <c r="L49" i="25"/>
  <c r="B9" i="26" s="1"/>
  <c r="Z38" i="25"/>
  <c r="AM38" i="25"/>
  <c r="K19" i="26"/>
  <c r="AO32" i="25"/>
  <c r="N46" i="25"/>
  <c r="AL141" i="25"/>
  <c r="AL171" i="25" s="1"/>
  <c r="AJ171" i="25"/>
  <c r="M19" i="26"/>
  <c r="AF22" i="25"/>
  <c r="AM22" i="25"/>
  <c r="AO22" i="25" s="1"/>
  <c r="AJ100" i="25"/>
  <c r="N11" i="26" s="1"/>
  <c r="E19" i="26"/>
  <c r="AJ56" i="23"/>
  <c r="N9" i="24" s="1"/>
  <c r="AA132" i="23"/>
  <c r="AD132" i="23" s="1"/>
  <c r="AF132" i="23" s="1"/>
  <c r="AF134" i="23" s="1"/>
  <c r="AD121" i="23"/>
  <c r="K11" i="24" s="1"/>
  <c r="AJ51" i="23"/>
  <c r="N7" i="24" s="1"/>
  <c r="AJ121" i="23"/>
  <c r="N11" i="24" s="1"/>
  <c r="AO65" i="23"/>
  <c r="AM119" i="23"/>
  <c r="AO119" i="23" s="1"/>
  <c r="X56" i="23"/>
  <c r="H9" i="24" s="1"/>
  <c r="AM65" i="23"/>
  <c r="AF203" i="23"/>
  <c r="M19" i="24" s="1"/>
  <c r="AA137" i="23"/>
  <c r="AD137" i="23" s="1"/>
  <c r="AD140" i="23" s="1"/>
  <c r="AM54" i="23"/>
  <c r="AL121" i="23"/>
  <c r="P11" i="24" s="1"/>
  <c r="Z55" i="23"/>
  <c r="X121" i="23"/>
  <c r="H11" i="24" s="1"/>
  <c r="AF44" i="23"/>
  <c r="AF51" i="23" s="1"/>
  <c r="M7" i="24" s="1"/>
  <c r="AM55" i="23"/>
  <c r="AO154" i="23"/>
  <c r="S17" i="24" s="1"/>
  <c r="X142" i="23"/>
  <c r="H15" i="24" s="1"/>
  <c r="T121" i="23"/>
  <c r="G11" i="24" s="1"/>
  <c r="R51" i="23"/>
  <c r="E7" i="24" s="1"/>
  <c r="N44" i="23"/>
  <c r="N51" i="23" s="1"/>
  <c r="D7" i="24" s="1"/>
  <c r="AL44" i="23"/>
  <c r="AL51" i="23" s="1"/>
  <c r="P7" i="24" s="1"/>
  <c r="T44" i="23"/>
  <c r="T51" i="23" s="1"/>
  <c r="G7" i="24" s="1"/>
  <c r="AM49" i="23"/>
  <c r="AO48" i="23"/>
  <c r="AO49" i="23" s="1"/>
  <c r="B21" i="24"/>
  <c r="T55" i="23"/>
  <c r="AO201" i="23"/>
  <c r="AO203" i="23" s="1"/>
  <c r="S19" i="24" s="1"/>
  <c r="AM201" i="23"/>
  <c r="AM203" i="23" s="1"/>
  <c r="Q19" i="24" s="1"/>
  <c r="Q13" i="24"/>
  <c r="AO127" i="23"/>
  <c r="S13" i="24" s="1"/>
  <c r="AF55" i="23"/>
  <c r="G15" i="24"/>
  <c r="E9" i="24"/>
  <c r="N19" i="24"/>
  <c r="K19" i="24"/>
  <c r="AD134" i="23"/>
  <c r="T54" i="23"/>
  <c r="S56" i="23"/>
  <c r="AM154" i="23"/>
  <c r="Q17" i="24" s="1"/>
  <c r="AN55" i="23"/>
  <c r="P19" i="24"/>
  <c r="N54" i="23"/>
  <c r="N56" i="23" s="1"/>
  <c r="D9" i="24" s="1"/>
  <c r="AN54" i="23"/>
  <c r="M56" i="23"/>
  <c r="AF54" i="23"/>
  <c r="AE56" i="23"/>
  <c r="AO16" i="23"/>
  <c r="AM44" i="23"/>
  <c r="AM133" i="23"/>
  <c r="AO133" i="23" s="1"/>
  <c r="AD56" i="23"/>
  <c r="K9" i="24" s="1"/>
  <c r="AL54" i="23"/>
  <c r="AL56" i="23" s="1"/>
  <c r="P9" i="24" s="1"/>
  <c r="AK56" i="23"/>
  <c r="H19" i="24"/>
  <c r="Z54" i="23"/>
  <c r="Y56" i="23"/>
  <c r="D19" i="24"/>
  <c r="L205" i="23"/>
  <c r="AN44" i="23"/>
  <c r="AN51" i="23" s="1"/>
  <c r="R7" i="24" s="1"/>
  <c r="AO28" i="23"/>
  <c r="Y122" i="1"/>
  <c r="Y137" i="1" s="1"/>
  <c r="J15" i="19" s="1"/>
  <c r="S220" i="1"/>
  <c r="G19" i="19" s="1"/>
  <c r="AL106" i="1"/>
  <c r="Q11" i="19" s="1"/>
  <c r="S55" i="1"/>
  <c r="S57" i="1" s="1"/>
  <c r="G9" i="19" s="1"/>
  <c r="Z126" i="1"/>
  <c r="AC126" i="1" s="1"/>
  <c r="AC135" i="1" s="1"/>
  <c r="AE128" i="1"/>
  <c r="AF128" i="1" s="1"/>
  <c r="AI128" i="1" s="1"/>
  <c r="AE130" i="1"/>
  <c r="AF130" i="1" s="1"/>
  <c r="AI130" i="1" s="1"/>
  <c r="AK127" i="1"/>
  <c r="AL127" i="1"/>
  <c r="AN127" i="1" s="1"/>
  <c r="AE119" i="1"/>
  <c r="AF119" i="1" s="1"/>
  <c r="AI119" i="1" s="1"/>
  <c r="AE120" i="1"/>
  <c r="AF120" i="1" s="1"/>
  <c r="AI120" i="1" s="1"/>
  <c r="AK120" i="1" s="1"/>
  <c r="AN47" i="1"/>
  <c r="AN55" i="1" s="1"/>
  <c r="AN57" i="1" s="1"/>
  <c r="S9" i="19" s="1"/>
  <c r="AL55" i="1"/>
  <c r="AL57" i="1" s="1"/>
  <c r="Q9" i="19" s="1"/>
  <c r="AF125" i="1"/>
  <c r="AI125" i="1" s="1"/>
  <c r="AN37" i="1"/>
  <c r="AN39" i="1" s="1"/>
  <c r="S7" i="19" s="1"/>
  <c r="AL39" i="1"/>
  <c r="Q7" i="19" s="1"/>
  <c r="AN220" i="1"/>
  <c r="S19" i="19" s="1"/>
  <c r="Y55" i="1"/>
  <c r="Y57" i="1" s="1"/>
  <c r="J9" i="19" s="1"/>
  <c r="E19" i="19"/>
  <c r="AE117" i="1"/>
  <c r="AF117" i="1" s="1"/>
  <c r="AI117" i="1" s="1"/>
  <c r="AC122" i="1"/>
  <c r="AL220" i="1"/>
  <c r="Q19" i="19" s="1"/>
  <c r="N19" i="19"/>
  <c r="AK118" i="1" l="1"/>
  <c r="AL118" i="1"/>
  <c r="AN118" i="1" s="1"/>
  <c r="AE122" i="1"/>
  <c r="AM143" i="1"/>
  <c r="G21" i="21"/>
  <c r="E21" i="21"/>
  <c r="AA96" i="20"/>
  <c r="AD96" i="20" s="1"/>
  <c r="AF96" i="20" s="1"/>
  <c r="AF98" i="20" s="1"/>
  <c r="X98" i="20"/>
  <c r="Z101" i="20"/>
  <c r="Z103" i="20" s="1"/>
  <c r="Z105" i="20" s="1"/>
  <c r="J15" i="21" s="1"/>
  <c r="X103" i="20"/>
  <c r="AJ31" i="20"/>
  <c r="AJ33" i="20" s="1"/>
  <c r="N7" i="21" s="1"/>
  <c r="AL23" i="20"/>
  <c r="AL31" i="20" s="1"/>
  <c r="AL33" i="20" s="1"/>
  <c r="AF23" i="20"/>
  <c r="AF31" i="20" s="1"/>
  <c r="AF33" i="20" s="1"/>
  <c r="AD31" i="20"/>
  <c r="AD33" i="20" s="1"/>
  <c r="K7" i="21" s="1"/>
  <c r="AM23" i="20"/>
  <c r="AL37" i="20"/>
  <c r="AM37" i="20"/>
  <c r="AO37" i="20" s="1"/>
  <c r="J7" i="21"/>
  <c r="AK164" i="20"/>
  <c r="AN164" i="20" s="1"/>
  <c r="AN162" i="20"/>
  <c r="M143" i="1"/>
  <c r="L163" i="20"/>
  <c r="L164" i="20" s="1"/>
  <c r="N162" i="20"/>
  <c r="AD36" i="20"/>
  <c r="R162" i="20"/>
  <c r="AJ36" i="20"/>
  <c r="N49" i="25"/>
  <c r="D9" i="26" s="1"/>
  <c r="D21" i="26" s="1"/>
  <c r="AE43" i="25"/>
  <c r="E21" i="26"/>
  <c r="AN41" i="25"/>
  <c r="AN43" i="25" s="1"/>
  <c r="R7" i="26" s="1"/>
  <c r="AN46" i="25"/>
  <c r="Z47" i="25"/>
  <c r="R173" i="25"/>
  <c r="AO24" i="25"/>
  <c r="AE49" i="25"/>
  <c r="L9" i="26" s="1"/>
  <c r="AO35" i="25"/>
  <c r="AO36" i="25"/>
  <c r="AO38" i="25"/>
  <c r="L7" i="26"/>
  <c r="L21" i="26" s="1"/>
  <c r="AE173" i="25"/>
  <c r="AE174" i="25" s="1"/>
  <c r="AD41" i="25"/>
  <c r="AF41" i="25"/>
  <c r="AN47" i="25"/>
  <c r="AD47" i="25"/>
  <c r="AF47" i="25" s="1"/>
  <c r="AK43" i="25"/>
  <c r="O7" i="26" s="1"/>
  <c r="Z41" i="25"/>
  <c r="Z43" i="25" s="1"/>
  <c r="J7" i="26" s="1"/>
  <c r="C21" i="26"/>
  <c r="AM100" i="25"/>
  <c r="Q11" i="26" s="1"/>
  <c r="AO98" i="25"/>
  <c r="AO100" i="25" s="1"/>
  <c r="S11" i="26" s="1"/>
  <c r="O19" i="26"/>
  <c r="AK173" i="25"/>
  <c r="M173" i="25"/>
  <c r="C9" i="26"/>
  <c r="AL18" i="25"/>
  <c r="AL25" i="25" s="1"/>
  <c r="AJ46" i="25"/>
  <c r="AJ25" i="25"/>
  <c r="X43" i="25"/>
  <c r="H7" i="26" s="1"/>
  <c r="AJ41" i="25"/>
  <c r="AF18" i="25"/>
  <c r="AF25" i="25" s="1"/>
  <c r="AF43" i="25" s="1"/>
  <c r="M7" i="26" s="1"/>
  <c r="AD46" i="25"/>
  <c r="AD25" i="25"/>
  <c r="AM18" i="25"/>
  <c r="F9" i="26"/>
  <c r="F21" i="26" s="1"/>
  <c r="S173" i="25"/>
  <c r="T173" i="25" s="1"/>
  <c r="P19" i="26"/>
  <c r="J19" i="26"/>
  <c r="Z46" i="25"/>
  <c r="X49" i="25"/>
  <c r="AJ47" i="25"/>
  <c r="AL47" i="25" s="1"/>
  <c r="I9" i="26"/>
  <c r="I21" i="26" s="1"/>
  <c r="Y173" i="25"/>
  <c r="T49" i="25"/>
  <c r="G9" i="26" s="1"/>
  <c r="G21" i="26" s="1"/>
  <c r="B11" i="26"/>
  <c r="B21" i="26" s="1"/>
  <c r="L173" i="25"/>
  <c r="R174" i="25"/>
  <c r="R175" i="25"/>
  <c r="O142" i="1" s="1"/>
  <c r="Q142" i="1" s="1"/>
  <c r="AL41" i="25"/>
  <c r="AL43" i="25" s="1"/>
  <c r="P7" i="26" s="1"/>
  <c r="AO141" i="25"/>
  <c r="AO171" i="25" s="1"/>
  <c r="S19" i="26" s="1"/>
  <c r="N19" i="26"/>
  <c r="AO28" i="25"/>
  <c r="AM29" i="25"/>
  <c r="AO29" i="25" s="1"/>
  <c r="AM121" i="23"/>
  <c r="Q11" i="24" s="1"/>
  <c r="AO121" i="23"/>
  <c r="S11" i="24" s="1"/>
  <c r="AM51" i="23"/>
  <c r="Q7" i="24" s="1"/>
  <c r="AO55" i="23"/>
  <c r="Z56" i="23"/>
  <c r="J9" i="24" s="1"/>
  <c r="J21" i="24" s="1"/>
  <c r="AM56" i="23"/>
  <c r="Q9" i="24" s="1"/>
  <c r="T56" i="23"/>
  <c r="G9" i="24" s="1"/>
  <c r="N205" i="23"/>
  <c r="AF137" i="23"/>
  <c r="AF140" i="23" s="1"/>
  <c r="AF142" i="23" s="1"/>
  <c r="AF56" i="23"/>
  <c r="M9" i="24" s="1"/>
  <c r="E21" i="24"/>
  <c r="H21" i="24"/>
  <c r="X205" i="23"/>
  <c r="X206" i="23" s="1"/>
  <c r="X207" i="23" s="1"/>
  <c r="U144" i="1" s="1"/>
  <c r="W144" i="1" s="1"/>
  <c r="R205" i="23"/>
  <c r="R206" i="23" s="1"/>
  <c r="G21" i="24"/>
  <c r="Z205" i="23"/>
  <c r="AN56" i="23"/>
  <c r="AN205" i="23" s="1"/>
  <c r="D21" i="24"/>
  <c r="M205" i="23"/>
  <c r="C9" i="24"/>
  <c r="C21" i="24" s="1"/>
  <c r="AG137" i="23"/>
  <c r="AJ137" i="23" s="1"/>
  <c r="AG132" i="23"/>
  <c r="AJ132" i="23" s="1"/>
  <c r="AD142" i="23"/>
  <c r="AO44" i="23"/>
  <c r="AO51" i="23" s="1"/>
  <c r="S7" i="24" s="1"/>
  <c r="Y205" i="23"/>
  <c r="I9" i="24"/>
  <c r="I21" i="24" s="1"/>
  <c r="O9" i="24"/>
  <c r="O21" i="24" s="1"/>
  <c r="AK205" i="23"/>
  <c r="L9" i="24"/>
  <c r="L21" i="24" s="1"/>
  <c r="AE205" i="23"/>
  <c r="AO54" i="23"/>
  <c r="AO56" i="23" s="1"/>
  <c r="S9" i="24" s="1"/>
  <c r="T205" i="23"/>
  <c r="L207" i="23"/>
  <c r="H144" i="1" s="1"/>
  <c r="K144" i="1" s="1"/>
  <c r="F9" i="24"/>
  <c r="F21" i="24" s="1"/>
  <c r="S205" i="23"/>
  <c r="AK130" i="1"/>
  <c r="AL130" i="1"/>
  <c r="AN130" i="1" s="1"/>
  <c r="AE126" i="1"/>
  <c r="AK119" i="1"/>
  <c r="AL119" i="1"/>
  <c r="AN119" i="1" s="1"/>
  <c r="AK128" i="1"/>
  <c r="AL128" i="1"/>
  <c r="AN128" i="1" s="1"/>
  <c r="AL120" i="1"/>
  <c r="AN120" i="1" s="1"/>
  <c r="AI122" i="1"/>
  <c r="AL122" i="1" s="1"/>
  <c r="AN122" i="1" s="1"/>
  <c r="AK117" i="1"/>
  <c r="AL117" i="1"/>
  <c r="AN117" i="1" s="1"/>
  <c r="AK125" i="1"/>
  <c r="AL125" i="1"/>
  <c r="AC137" i="1"/>
  <c r="AA101" i="20" l="1"/>
  <c r="AD101" i="20" s="1"/>
  <c r="AF101" i="20" s="1"/>
  <c r="AF103" i="20" s="1"/>
  <c r="Z162" i="20"/>
  <c r="AD98" i="20"/>
  <c r="AF105" i="20"/>
  <c r="M15" i="21" s="1"/>
  <c r="AD103" i="20"/>
  <c r="AD105" i="20" s="1"/>
  <c r="K15" i="21" s="1"/>
  <c r="AG101" i="20"/>
  <c r="AJ101" i="20" s="1"/>
  <c r="AL101" i="20" s="1"/>
  <c r="AL103" i="20" s="1"/>
  <c r="AG96" i="20"/>
  <c r="AJ96" i="20" s="1"/>
  <c r="AM96" i="20" s="1"/>
  <c r="AM98" i="20" s="1"/>
  <c r="X105" i="20"/>
  <c r="J21" i="21"/>
  <c r="AL36" i="20"/>
  <c r="AL39" i="20" s="1"/>
  <c r="P9" i="21" s="1"/>
  <c r="AJ39" i="20"/>
  <c r="N9" i="21" s="1"/>
  <c r="AM36" i="20"/>
  <c r="R163" i="20"/>
  <c r="T162" i="20"/>
  <c r="B22" i="21"/>
  <c r="B23" i="21" s="1"/>
  <c r="N163" i="20"/>
  <c r="D22" i="21" s="1"/>
  <c r="D23" i="21" s="1"/>
  <c r="AD39" i="20"/>
  <c r="K9" i="21" s="1"/>
  <c r="AF36" i="20"/>
  <c r="AF39" i="20" s="1"/>
  <c r="M9" i="21" s="1"/>
  <c r="AO23" i="20"/>
  <c r="AO31" i="20" s="1"/>
  <c r="AO33" i="20" s="1"/>
  <c r="S7" i="21" s="1"/>
  <c r="AM31" i="20"/>
  <c r="AM33" i="20" s="1"/>
  <c r="Q7" i="21" s="1"/>
  <c r="P7" i="21"/>
  <c r="M7" i="21"/>
  <c r="AD43" i="25"/>
  <c r="K7" i="26" s="1"/>
  <c r="Z49" i="25"/>
  <c r="J9" i="26" s="1"/>
  <c r="J21" i="26" s="1"/>
  <c r="AN49" i="25"/>
  <c r="R9" i="26" s="1"/>
  <c r="R21" i="26" s="1"/>
  <c r="AM41" i="25"/>
  <c r="Q7" i="26" s="1"/>
  <c r="AM47" i="25"/>
  <c r="AO47" i="25" s="1"/>
  <c r="L22" i="26"/>
  <c r="L23" i="26" s="1"/>
  <c r="AE175" i="25"/>
  <c r="AD142" i="1" s="1"/>
  <c r="O21" i="26"/>
  <c r="AO41" i="25"/>
  <c r="AK174" i="25"/>
  <c r="AN173" i="25"/>
  <c r="L174" i="25"/>
  <c r="L175" i="25" s="1"/>
  <c r="H142" i="1" s="1"/>
  <c r="K142" i="1" s="1"/>
  <c r="N173" i="25"/>
  <c r="AO18" i="25"/>
  <c r="AO25" i="25" s="1"/>
  <c r="AM25" i="25"/>
  <c r="Z173" i="25"/>
  <c r="Y174" i="25"/>
  <c r="I22" i="26" s="1"/>
  <c r="I23" i="26" s="1"/>
  <c r="AF46" i="25"/>
  <c r="AF49" i="25" s="1"/>
  <c r="AD49" i="25"/>
  <c r="AJ43" i="25"/>
  <c r="N7" i="26" s="1"/>
  <c r="AJ49" i="25"/>
  <c r="AL46" i="25"/>
  <c r="AL49" i="25" s="1"/>
  <c r="AM46" i="25"/>
  <c r="M174" i="25"/>
  <c r="C22" i="26" s="1"/>
  <c r="C23" i="26" s="1"/>
  <c r="E22" i="26"/>
  <c r="E23" i="26" s="1"/>
  <c r="H9" i="26"/>
  <c r="H21" i="26" s="1"/>
  <c r="X173" i="25"/>
  <c r="S174" i="25"/>
  <c r="F22" i="26" s="1"/>
  <c r="F23" i="26" s="1"/>
  <c r="M15" i="24"/>
  <c r="M21" i="24" s="1"/>
  <c r="AF205" i="23"/>
  <c r="R207" i="23"/>
  <c r="O144" i="1" s="1"/>
  <c r="Q144" i="1" s="1"/>
  <c r="R9" i="24"/>
  <c r="R21" i="24" s="1"/>
  <c r="AJ134" i="23"/>
  <c r="AL132" i="23"/>
  <c r="AL134" i="23" s="1"/>
  <c r="AM132" i="23"/>
  <c r="E22" i="24"/>
  <c r="E23" i="24" s="1"/>
  <c r="K15" i="24"/>
  <c r="K21" i="24" s="1"/>
  <c r="AD205" i="23"/>
  <c r="AK207" i="23"/>
  <c r="S206" i="23"/>
  <c r="F22" i="24" s="1"/>
  <c r="F23" i="24" s="1"/>
  <c r="AL137" i="23"/>
  <c r="AL140" i="23" s="1"/>
  <c r="AL142" i="23" s="1"/>
  <c r="AJ140" i="23"/>
  <c r="AJ142" i="23" s="1"/>
  <c r="AM137" i="23"/>
  <c r="B22" i="24"/>
  <c r="B23" i="24" s="1"/>
  <c r="Y206" i="23"/>
  <c r="I22" i="24" s="1"/>
  <c r="I23" i="24" s="1"/>
  <c r="Z206" i="23"/>
  <c r="H22" i="24"/>
  <c r="H23" i="24" s="1"/>
  <c r="AE206" i="23"/>
  <c r="L22" i="24" s="1"/>
  <c r="L23" i="24" s="1"/>
  <c r="M206" i="23"/>
  <c r="C22" i="24" s="1"/>
  <c r="C23" i="24" s="1"/>
  <c r="AE135" i="1"/>
  <c r="AE137" i="1" s="1"/>
  <c r="AF126" i="1"/>
  <c r="AI126" i="1" s="1"/>
  <c r="AK122" i="1"/>
  <c r="AN125" i="1"/>
  <c r="K15" i="19"/>
  <c r="N164" i="20" l="1"/>
  <c r="AO96" i="20"/>
  <c r="AO98" i="20" s="1"/>
  <c r="AL96" i="20"/>
  <c r="AL98" i="20" s="1"/>
  <c r="AD162" i="20"/>
  <c r="AD163" i="20" s="1"/>
  <c r="AD164" i="20" s="1"/>
  <c r="K21" i="21"/>
  <c r="AJ103" i="20"/>
  <c r="H15" i="21"/>
  <c r="H21" i="21" s="1"/>
  <c r="X162" i="20"/>
  <c r="AM101" i="20"/>
  <c r="AO101" i="20" s="1"/>
  <c r="AO103" i="20" s="1"/>
  <c r="AF162" i="20"/>
  <c r="AJ98" i="20"/>
  <c r="AM39" i="20"/>
  <c r="AO36" i="20"/>
  <c r="AL105" i="20"/>
  <c r="T163" i="20"/>
  <c r="G22" i="21" s="1"/>
  <c r="G23" i="21" s="1"/>
  <c r="E22" i="21"/>
  <c r="E23" i="21" s="1"/>
  <c r="O143" i="1" s="1"/>
  <c r="Q143" i="1" s="1"/>
  <c r="Q145" i="1" s="1"/>
  <c r="Q168" i="1" s="1"/>
  <c r="R164" i="20"/>
  <c r="M21" i="21"/>
  <c r="AO43" i="25"/>
  <c r="S7" i="26" s="1"/>
  <c r="S175" i="25"/>
  <c r="R142" i="1" s="1"/>
  <c r="S142" i="1" s="1"/>
  <c r="K145" i="1"/>
  <c r="K168" i="1" s="1"/>
  <c r="B17" i="19" s="1"/>
  <c r="M175" i="25"/>
  <c r="L142" i="1" s="1"/>
  <c r="O22" i="26"/>
  <c r="O23" i="26" s="1"/>
  <c r="AN174" i="25"/>
  <c r="R22" i="26" s="1"/>
  <c r="R23" i="26" s="1"/>
  <c r="X174" i="25"/>
  <c r="K9" i="26"/>
  <c r="K21" i="26" s="1"/>
  <c r="AD173" i="25"/>
  <c r="AK175" i="25"/>
  <c r="M9" i="26"/>
  <c r="M21" i="26" s="1"/>
  <c r="AF173" i="25"/>
  <c r="P9" i="26"/>
  <c r="P21" i="26" s="1"/>
  <c r="AL173" i="25"/>
  <c r="T174" i="25"/>
  <c r="AM49" i="25"/>
  <c r="Q9" i="26" s="1"/>
  <c r="Q21" i="26" s="1"/>
  <c r="AO46" i="25"/>
  <c r="AO49" i="25" s="1"/>
  <c r="S9" i="26" s="1"/>
  <c r="S21" i="26" s="1"/>
  <c r="N9" i="26"/>
  <c r="N21" i="26" s="1"/>
  <c r="AJ173" i="25"/>
  <c r="Y175" i="25"/>
  <c r="X142" i="1" s="1"/>
  <c r="N174" i="25"/>
  <c r="D22" i="26" s="1"/>
  <c r="D23" i="26" s="1"/>
  <c r="B22" i="26"/>
  <c r="B23" i="26" s="1"/>
  <c r="T206" i="23"/>
  <c r="G22" i="24" s="1"/>
  <c r="G23" i="24" s="1"/>
  <c r="S207" i="23"/>
  <c r="R144" i="1" s="1"/>
  <c r="R145" i="1" s="1"/>
  <c r="R168" i="1" s="1"/>
  <c r="F17" i="19" s="1"/>
  <c r="AE207" i="23"/>
  <c r="AD144" i="1" s="1"/>
  <c r="AD145" i="1" s="1"/>
  <c r="AD168" i="1" s="1"/>
  <c r="AD222" i="1" s="1"/>
  <c r="M207" i="23"/>
  <c r="L144" i="1" s="1"/>
  <c r="M144" i="1" s="1"/>
  <c r="Y207" i="23"/>
  <c r="X144" i="1" s="1"/>
  <c r="AJ144" i="1"/>
  <c r="N15" i="24"/>
  <c r="N21" i="24" s="1"/>
  <c r="AM142" i="23"/>
  <c r="AJ205" i="23"/>
  <c r="N206" i="23"/>
  <c r="AM140" i="23"/>
  <c r="AO137" i="23"/>
  <c r="AO140" i="23" s="1"/>
  <c r="Y144" i="1"/>
  <c r="J22" i="24"/>
  <c r="J23" i="24" s="1"/>
  <c r="Z207" i="23"/>
  <c r="O22" i="24"/>
  <c r="O23" i="24" s="1"/>
  <c r="AN206" i="23"/>
  <c r="R22" i="24" s="1"/>
  <c r="R23" i="24" s="1"/>
  <c r="AO142" i="23"/>
  <c r="P15" i="24"/>
  <c r="P21" i="24" s="1"/>
  <c r="AL205" i="23"/>
  <c r="AO132" i="23"/>
  <c r="AO134" i="23" s="1"/>
  <c r="AM134" i="23"/>
  <c r="L145" i="1"/>
  <c r="L168" i="1" s="1"/>
  <c r="AD206" i="23"/>
  <c r="AD207" i="23" s="1"/>
  <c r="AA144" i="1" s="1"/>
  <c r="AC144" i="1" s="1"/>
  <c r="M15" i="19"/>
  <c r="AK126" i="1"/>
  <c r="AK135" i="1" s="1"/>
  <c r="AK137" i="1" s="1"/>
  <c r="P15" i="19" s="1"/>
  <c r="AI135" i="1"/>
  <c r="AI137" i="1" s="1"/>
  <c r="N15" i="19" s="1"/>
  <c r="AL126" i="1"/>
  <c r="AL137" i="1"/>
  <c r="Q15" i="19" s="1"/>
  <c r="AN137" i="1" l="1"/>
  <c r="S15" i="19" s="1"/>
  <c r="AO105" i="20"/>
  <c r="S15" i="21" s="1"/>
  <c r="AJ105" i="20"/>
  <c r="AJ162" i="20" s="1"/>
  <c r="T164" i="20"/>
  <c r="AM103" i="20"/>
  <c r="AM105" i="20" s="1"/>
  <c r="Q15" i="21" s="1"/>
  <c r="X163" i="20"/>
  <c r="X164" i="20" s="1"/>
  <c r="E17" i="19"/>
  <c r="Q222" i="1"/>
  <c r="Q223" i="1" s="1"/>
  <c r="N15" i="21"/>
  <c r="N21" i="21" s="1"/>
  <c r="S143" i="1"/>
  <c r="AF163" i="20"/>
  <c r="K22" i="21"/>
  <c r="K23" i="21" s="1"/>
  <c r="AA143" i="1" s="1"/>
  <c r="AC143" i="1" s="1"/>
  <c r="AE143" i="1" s="1"/>
  <c r="K222" i="1"/>
  <c r="Q9" i="21"/>
  <c r="Q21" i="21" s="1"/>
  <c r="AO39" i="20"/>
  <c r="S9" i="21" s="1"/>
  <c r="S21" i="21" s="1"/>
  <c r="P15" i="21"/>
  <c r="P21" i="21" s="1"/>
  <c r="AL162" i="20"/>
  <c r="X145" i="1"/>
  <c r="X168" i="1" s="1"/>
  <c r="I17" i="19" s="1"/>
  <c r="AJ174" i="25"/>
  <c r="AJ175" i="25" s="1"/>
  <c r="AM173" i="25"/>
  <c r="AO173" i="25" s="1"/>
  <c r="AN175" i="25"/>
  <c r="AJ142" i="1"/>
  <c r="AJ145" i="1" s="1"/>
  <c r="AJ168" i="1" s="1"/>
  <c r="AJ222" i="1" s="1"/>
  <c r="N175" i="25"/>
  <c r="AM142" i="1"/>
  <c r="R222" i="1"/>
  <c r="F21" i="19" s="1"/>
  <c r="G22" i="26"/>
  <c r="G23" i="26" s="1"/>
  <c r="T175" i="25"/>
  <c r="H22" i="26"/>
  <c r="H23" i="26" s="1"/>
  <c r="Z174" i="25"/>
  <c r="AD174" i="25"/>
  <c r="AD175" i="25" s="1"/>
  <c r="AA142" i="1" s="1"/>
  <c r="AC142" i="1" s="1"/>
  <c r="L17" i="19"/>
  <c r="X175" i="25"/>
  <c r="U142" i="1" s="1"/>
  <c r="W142" i="1" s="1"/>
  <c r="M142" i="1"/>
  <c r="M145" i="1" s="1"/>
  <c r="M168" i="1" s="1"/>
  <c r="D17" i="19" s="1"/>
  <c r="S144" i="1"/>
  <c r="S145" i="1" s="1"/>
  <c r="S168" i="1" s="1"/>
  <c r="G17" i="19" s="1"/>
  <c r="AN207" i="23"/>
  <c r="AM144" i="1"/>
  <c r="T207" i="23"/>
  <c r="AE144" i="1"/>
  <c r="AJ206" i="23"/>
  <c r="AJ207" i="23" s="1"/>
  <c r="D22" i="24"/>
  <c r="D23" i="24" s="1"/>
  <c r="N207" i="23"/>
  <c r="Q15" i="24"/>
  <c r="Q21" i="24" s="1"/>
  <c r="AM205" i="23"/>
  <c r="AD224" i="1"/>
  <c r="L23" i="19" s="1"/>
  <c r="L21" i="19"/>
  <c r="B21" i="19"/>
  <c r="K223" i="1"/>
  <c r="S15" i="24"/>
  <c r="S21" i="24" s="1"/>
  <c r="AO205" i="23"/>
  <c r="AF206" i="23"/>
  <c r="K22" i="24"/>
  <c r="K23" i="24" s="1"/>
  <c r="L222" i="1"/>
  <c r="C17" i="19"/>
  <c r="AN126" i="1"/>
  <c r="AN135" i="1" s="1"/>
  <c r="AL135" i="1"/>
  <c r="M222" i="1" l="1"/>
  <c r="E21" i="19"/>
  <c r="H22" i="21"/>
  <c r="H23" i="21" s="1"/>
  <c r="U143" i="1" s="1"/>
  <c r="W143" i="1" s="1"/>
  <c r="Y143" i="1" s="1"/>
  <c r="Z163" i="20"/>
  <c r="AM162" i="20"/>
  <c r="AO162" i="20" s="1"/>
  <c r="AJ163" i="20"/>
  <c r="AJ164" i="20" s="1"/>
  <c r="AM164" i="20" s="1"/>
  <c r="AO164" i="20" s="1"/>
  <c r="X222" i="1"/>
  <c r="I21" i="19" s="1"/>
  <c r="M22" i="21"/>
  <c r="M23" i="21" s="1"/>
  <c r="AF164" i="20"/>
  <c r="S222" i="1"/>
  <c r="G21" i="19" s="1"/>
  <c r="AM145" i="1"/>
  <c r="AM168" i="1" s="1"/>
  <c r="R17" i="19" s="1"/>
  <c r="AE142" i="1"/>
  <c r="AC145" i="1"/>
  <c r="AC168" i="1" s="1"/>
  <c r="AC222" i="1" s="1"/>
  <c r="AM175" i="25"/>
  <c r="AO175" i="25" s="1"/>
  <c r="AG142" i="1"/>
  <c r="AI142" i="1" s="1"/>
  <c r="AK142" i="1" s="1"/>
  <c r="O17" i="19"/>
  <c r="J22" i="26"/>
  <c r="J23" i="26" s="1"/>
  <c r="Z175" i="25"/>
  <c r="AL174" i="25"/>
  <c r="N22" i="26"/>
  <c r="N23" i="26" s="1"/>
  <c r="AM174" i="25"/>
  <c r="AF174" i="25"/>
  <c r="K22" i="26"/>
  <c r="K23" i="26" s="1"/>
  <c r="Y142" i="1"/>
  <c r="Y145" i="1" s="1"/>
  <c r="Y168" i="1" s="1"/>
  <c r="R224" i="1"/>
  <c r="F23" i="19" s="1"/>
  <c r="AE145" i="1"/>
  <c r="AE168" i="1" s="1"/>
  <c r="M17" i="19" s="1"/>
  <c r="D21" i="19"/>
  <c r="Q224" i="1"/>
  <c r="E23" i="19" s="1"/>
  <c r="E22" i="19"/>
  <c r="S223" i="1"/>
  <c r="G22" i="19" s="1"/>
  <c r="AM207" i="23"/>
  <c r="AO207" i="23" s="1"/>
  <c r="AG144" i="1"/>
  <c r="AI144" i="1" s="1"/>
  <c r="AJ224" i="1"/>
  <c r="O21" i="19"/>
  <c r="B22" i="19"/>
  <c r="M223" i="1"/>
  <c r="D22" i="19" s="1"/>
  <c r="N22" i="24"/>
  <c r="N23" i="24" s="1"/>
  <c r="AM206" i="23"/>
  <c r="AL206" i="23"/>
  <c r="M22" i="24"/>
  <c r="M23" i="24" s="1"/>
  <c r="AF207" i="23"/>
  <c r="K224" i="1"/>
  <c r="B23" i="19" s="1"/>
  <c r="C21" i="19"/>
  <c r="L224" i="1"/>
  <c r="C23" i="19" s="1"/>
  <c r="K17" i="19"/>
  <c r="W145" i="1" l="1"/>
  <c r="W168" i="1" s="1"/>
  <c r="AM222" i="1"/>
  <c r="R21" i="19" s="1"/>
  <c r="X224" i="1"/>
  <c r="I23" i="19" s="1"/>
  <c r="Z164" i="20"/>
  <c r="J22" i="21"/>
  <c r="J23" i="21" s="1"/>
  <c r="N22" i="21"/>
  <c r="N23" i="21" s="1"/>
  <c r="AG143" i="1" s="1"/>
  <c r="AI143" i="1" s="1"/>
  <c r="AI145" i="1" s="1"/>
  <c r="AI168" i="1" s="1"/>
  <c r="AL163" i="20"/>
  <c r="AM163" i="20"/>
  <c r="AE222" i="1"/>
  <c r="M21" i="19" s="1"/>
  <c r="AL142" i="1"/>
  <c r="AN142" i="1" s="1"/>
  <c r="P22" i="26"/>
  <c r="P23" i="26" s="1"/>
  <c r="AL175" i="25"/>
  <c r="J17" i="19"/>
  <c r="Y222" i="1"/>
  <c r="J21" i="19" s="1"/>
  <c r="H17" i="19"/>
  <c r="W222" i="1"/>
  <c r="AO174" i="25"/>
  <c r="S22" i="26" s="1"/>
  <c r="S23" i="26" s="1"/>
  <c r="Q22" i="26"/>
  <c r="Q23" i="26" s="1"/>
  <c r="E33" i="19" s="1"/>
  <c r="M22" i="26"/>
  <c r="M23" i="26" s="1"/>
  <c r="AF175" i="25"/>
  <c r="M224" i="1"/>
  <c r="D23" i="19" s="1"/>
  <c r="AC223" i="1"/>
  <c r="AC224" i="1" s="1"/>
  <c r="K23" i="19" s="1"/>
  <c r="K21" i="19"/>
  <c r="AO206" i="23"/>
  <c r="S22" i="24" s="1"/>
  <c r="S23" i="24" s="1"/>
  <c r="Q22" i="24"/>
  <c r="Q23" i="24" s="1"/>
  <c r="E31" i="19" s="1"/>
  <c r="AK144" i="1"/>
  <c r="AL144" i="1"/>
  <c r="P22" i="24"/>
  <c r="P23" i="24" s="1"/>
  <c r="AL207" i="23"/>
  <c r="S224" i="1"/>
  <c r="G23" i="19" s="1"/>
  <c r="AM224" i="1"/>
  <c r="R23" i="19" s="1"/>
  <c r="O23" i="19"/>
  <c r="AO163" i="20" l="1"/>
  <c r="S22" i="21" s="1"/>
  <c r="S23" i="21" s="1"/>
  <c r="Q22" i="21"/>
  <c r="Q23" i="21" s="1"/>
  <c r="E32" i="19" s="1"/>
  <c r="E34" i="19" s="1"/>
  <c r="P22" i="21"/>
  <c r="P23" i="21" s="1"/>
  <c r="AL164" i="20"/>
  <c r="AK143" i="1"/>
  <c r="AK145" i="1" s="1"/>
  <c r="AK168" i="1" s="1"/>
  <c r="AL143" i="1"/>
  <c r="AN143" i="1" s="1"/>
  <c r="W223" i="1"/>
  <c r="H21" i="19"/>
  <c r="N17" i="19"/>
  <c r="AI222" i="1"/>
  <c r="AN144" i="1"/>
  <c r="K22" i="19"/>
  <c r="AE223" i="1"/>
  <c r="AK222" i="1" l="1"/>
  <c r="P21" i="19" s="1"/>
  <c r="P17" i="19"/>
  <c r="AN145" i="1"/>
  <c r="AN168" i="1" s="1"/>
  <c r="S17" i="19" s="1"/>
  <c r="AL145" i="1"/>
  <c r="AL168" i="1" s="1"/>
  <c r="Q17" i="19" s="1"/>
  <c r="W224" i="1"/>
  <c r="H23" i="19" s="1"/>
  <c r="Y223" i="1"/>
  <c r="H22" i="19"/>
  <c r="AE224" i="1"/>
  <c r="M23" i="19" s="1"/>
  <c r="M22" i="19"/>
  <c r="AI223" i="1"/>
  <c r="N21" i="19"/>
  <c r="AL222" i="1"/>
  <c r="J22" i="19" l="1"/>
  <c r="Y224" i="1"/>
  <c r="J23" i="19" s="1"/>
  <c r="AN222" i="1"/>
  <c r="S21" i="19" s="1"/>
  <c r="Q21" i="19"/>
  <c r="AI224" i="1"/>
  <c r="N22" i="19"/>
  <c r="AK223" i="1"/>
  <c r="AL223" i="1"/>
  <c r="AN223" i="1" l="1"/>
  <c r="S22" i="19" s="1"/>
  <c r="Q22" i="19"/>
  <c r="AL224" i="1"/>
  <c r="N23" i="19"/>
  <c r="P22" i="19"/>
  <c r="AK224" i="1"/>
  <c r="P23" i="19" s="1"/>
  <c r="AN224" i="1" l="1"/>
  <c r="S23" i="19" s="1"/>
  <c r="Q23" i="19"/>
  <c r="E29" i="19" s="1"/>
  <c r="E30" i="19" s="1"/>
</calcChain>
</file>

<file path=xl/sharedStrings.xml><?xml version="1.0" encoding="utf-8"?>
<sst xmlns="http://schemas.openxmlformats.org/spreadsheetml/2006/main" count="3123" uniqueCount="759">
  <si>
    <t>Partners of the Americas Juntos Aprendemos Budget 2020</t>
  </si>
  <si>
    <t>USAID RFA No. 7200AA21RFA00001</t>
  </si>
  <si>
    <t>Line Items</t>
  </si>
  <si>
    <t>Year 1</t>
  </si>
  <si>
    <t>Year 2</t>
  </si>
  <si>
    <t>Year 3</t>
  </si>
  <si>
    <t>Year 4</t>
  </si>
  <si>
    <t>Year 5</t>
  </si>
  <si>
    <t>Total</t>
  </si>
  <si>
    <t xml:space="preserve">Total </t>
  </si>
  <si>
    <t xml:space="preserve">Grand </t>
  </si>
  <si>
    <t>USAID</t>
  </si>
  <si>
    <t>Leverage</t>
  </si>
  <si>
    <t>Personnel</t>
  </si>
  <si>
    <t>Fringe Benefits</t>
  </si>
  <si>
    <t>Travel</t>
  </si>
  <si>
    <t>Equipment</t>
  </si>
  <si>
    <t>Supplies</t>
  </si>
  <si>
    <t>Contractual</t>
  </si>
  <si>
    <t>Other Direct Costs</t>
  </si>
  <si>
    <t>Total Direct Costs</t>
  </si>
  <si>
    <t>Indirect Costs</t>
  </si>
  <si>
    <t>New Partnership Initiative Eligibility</t>
  </si>
  <si>
    <t>Sub-awards to new or underutilized partners via prime awardees that serve in a limited mentorship role</t>
  </si>
  <si>
    <t>Modality 3a: Local Entity Sub-Awardees That Move to Direct Awards: Prime awardees must pass a minimum of 50 percent of the total funding of their awards to local sub-awardees, with a goal of moving them to qualify for direct awards. In appropriate cases, USAID might pursue prime / mentor awards with a provision for transition awards to some local entities during the life of the award.</t>
  </si>
  <si>
    <t>Total Award:</t>
  </si>
  <si>
    <t>50% of Total Award:</t>
  </si>
  <si>
    <t>Subaward Parque Explora:</t>
  </si>
  <si>
    <t>Subaward ProAntioquia:</t>
  </si>
  <si>
    <t>Subaward Fundación Carvajal:</t>
  </si>
  <si>
    <t>Total Subawards:</t>
  </si>
  <si>
    <t>Duration: 5 Years</t>
  </si>
  <si>
    <t>Country: Colombia</t>
  </si>
  <si>
    <t>Entity:</t>
  </si>
  <si>
    <t>P</t>
  </si>
  <si>
    <t>Budget Assumptions</t>
  </si>
  <si>
    <t>Program-Dept.:</t>
  </si>
  <si>
    <t>Inflation - US Based Goods/Services - 1.5%</t>
  </si>
  <si>
    <t>Funder-Grant:</t>
  </si>
  <si>
    <t>USAID800</t>
  </si>
  <si>
    <t>Inflation - Locally Purchased Goods/Services - 3%**</t>
  </si>
  <si>
    <t>Merit Based Increases for HQ &amp; Field Staff - 4%</t>
  </si>
  <si>
    <t>**Based on Banco de la Republica Colombia Expected Inflation Rate</t>
  </si>
  <si>
    <t>*Key Personnel</t>
  </si>
  <si>
    <t>Sage Activity</t>
  </si>
  <si>
    <t>Sage Object Code/ Line Item</t>
  </si>
  <si>
    <t>Country Code (DC=0 or CO)</t>
  </si>
  <si>
    <t>Office Code (DC=0 or CO)</t>
  </si>
  <si>
    <t>Subcontract Code</t>
  </si>
  <si>
    <t>Unit</t>
  </si>
  <si>
    <t>Cost</t>
  </si>
  <si>
    <t>Duration</t>
  </si>
  <si>
    <t>Type</t>
  </si>
  <si>
    <t>Headquarters Personnel</t>
  </si>
  <si>
    <t>LOE</t>
  </si>
  <si>
    <t>PERSNL</t>
  </si>
  <si>
    <t>Timesheets</t>
  </si>
  <si>
    <t>USA</t>
  </si>
  <si>
    <t>Program Director</t>
  </si>
  <si>
    <t>/months</t>
  </si>
  <si>
    <t>Associate Director</t>
  </si>
  <si>
    <t>Senior Program Officer</t>
  </si>
  <si>
    <t>Subtotal HQ Personnel</t>
  </si>
  <si>
    <t>Field Personnel</t>
  </si>
  <si>
    <t>PERSNL-COP</t>
  </si>
  <si>
    <t>COL2</t>
  </si>
  <si>
    <t>Chief of Party*</t>
  </si>
  <si>
    <t>PERSNL-DCP</t>
  </si>
  <si>
    <t>Deputy Chief of Party*</t>
  </si>
  <si>
    <t>PERSNL-F&amp;A</t>
  </si>
  <si>
    <t>Finance &amp; Admin Director</t>
  </si>
  <si>
    <t>PERSNL-GD</t>
  </si>
  <si>
    <t>Grants Director</t>
  </si>
  <si>
    <t>PERSNL-HRM</t>
  </si>
  <si>
    <t>Human Resource Manager</t>
  </si>
  <si>
    <t>PERSNL-ACT</t>
  </si>
  <si>
    <t>Accountant</t>
  </si>
  <si>
    <t>PERSNL-ADM</t>
  </si>
  <si>
    <t>Administrative Assistant</t>
  </si>
  <si>
    <t>PERSNL-MED</t>
  </si>
  <si>
    <t>M&amp;E Director</t>
  </si>
  <si>
    <t>PERSNL-M&amp;E</t>
  </si>
  <si>
    <t>M&amp;E Manager</t>
  </si>
  <si>
    <t>PERSNL-CDD</t>
  </si>
  <si>
    <t>Capacity Development Director*</t>
  </si>
  <si>
    <t>PERSNL-CDM</t>
  </si>
  <si>
    <t>Capacity Development Manager</t>
  </si>
  <si>
    <t>PERSNL-RCN</t>
  </si>
  <si>
    <t>Regional Coordinator Northern Coast</t>
  </si>
  <si>
    <t>PERSNL-RCC</t>
  </si>
  <si>
    <t>Regional Coordinator Central Region</t>
  </si>
  <si>
    <t>PERSNL-RCW</t>
  </si>
  <si>
    <t>Regional Coordinator Northwestern Region</t>
  </si>
  <si>
    <t>Subtotal Field Personnel</t>
  </si>
  <si>
    <t>Personnel Total</t>
  </si>
  <si>
    <t>HQ Fringe Benefits</t>
  </si>
  <si>
    <t>FRINGE</t>
  </si>
  <si>
    <t>Fringe Benefits - Headquarters</t>
  </si>
  <si>
    <t>Subtotal HQ Fringe Benefits</t>
  </si>
  <si>
    <t>Field Fringe Benefits</t>
  </si>
  <si>
    <t>FRINGE-CO</t>
  </si>
  <si>
    <t>Fringe Benefits CCN - Colombia (above $2,600 monthly)</t>
  </si>
  <si>
    <t>Fringe Benefits CCN - Colombia (below $2,600 monthly)</t>
  </si>
  <si>
    <t>POST DIFF</t>
  </si>
  <si>
    <t>Post (Hardship) Differential for Expatriate Chief of Party</t>
  </si>
  <si>
    <t>HOUSE. ALL</t>
  </si>
  <si>
    <t>Housing Allowance for Expatriate Chief of Party</t>
  </si>
  <si>
    <t>/month</t>
  </si>
  <si>
    <t>REALLOC</t>
  </si>
  <si>
    <t>Reallocation Allowance for Expatriate Chief of Party</t>
  </si>
  <si>
    <t>/yearly</t>
  </si>
  <si>
    <t>DEMOBILE</t>
  </si>
  <si>
    <t>Demobilization Allowance for Expatriate Chief of Party</t>
  </si>
  <si>
    <t>EDUALLOW</t>
  </si>
  <si>
    <t>Educational Allowance for Expatriate Chief of Party's Dependents</t>
  </si>
  <si>
    <t>R&amp;RTRIP</t>
  </si>
  <si>
    <t>R&amp;R for Expatriate Chief of Party</t>
  </si>
  <si>
    <t>Subtotal Field Fringe Benefits</t>
  </si>
  <si>
    <t>Fringe Benefits Total</t>
  </si>
  <si>
    <t xml:space="preserve">Travel </t>
  </si>
  <si>
    <t>HQ Travel</t>
  </si>
  <si>
    <t>T.1 Project Management Travel to Field</t>
  </si>
  <si>
    <t>T1AIRFARE</t>
  </si>
  <si>
    <t xml:space="preserve">International Airfare to Colombia </t>
  </si>
  <si>
    <t>/trip</t>
  </si>
  <si>
    <t>T1M&amp;E</t>
  </si>
  <si>
    <t xml:space="preserve">Meals and Incidentals </t>
  </si>
  <si>
    <t>/day</t>
  </si>
  <si>
    <t>T1LODGING</t>
  </si>
  <si>
    <t xml:space="preserve">Lodging </t>
  </si>
  <si>
    <t>T1LOCALTRA</t>
  </si>
  <si>
    <t>Local Transportation</t>
  </si>
  <si>
    <t>T1OTHEREX</t>
  </si>
  <si>
    <t>Other Travel Related Expenses</t>
  </si>
  <si>
    <t>Subtotal HQ Travel</t>
  </si>
  <si>
    <t>Field Travel</t>
  </si>
  <si>
    <t>T.2 Colombia Staff Local Travel for M&amp;E, Training, Mentoring, and Capacity Building</t>
  </si>
  <si>
    <t>T2LOCALTRA</t>
  </si>
  <si>
    <t>86000 (Ground Transport)/ 86040 (Airfare)</t>
  </si>
  <si>
    <t>Local Transportation (Airfare, Taxis, &amp; Rental Car/Driver)</t>
  </si>
  <si>
    <t>T2M&amp;E</t>
  </si>
  <si>
    <t>Meals and Incidentals</t>
  </si>
  <si>
    <t>T2LODGING</t>
  </si>
  <si>
    <t>Lodging</t>
  </si>
  <si>
    <t>T2OTHEREX</t>
  </si>
  <si>
    <t xml:space="preserve">Other Travel Related Expenses </t>
  </si>
  <si>
    <t>T.3 Colombia Staff Local Travel for Compliance &amp; Finance Training</t>
  </si>
  <si>
    <t>T3LOCALTRA</t>
  </si>
  <si>
    <t>T3M&amp;E</t>
  </si>
  <si>
    <t>T3LODGING</t>
  </si>
  <si>
    <t>T3OTHEREX</t>
  </si>
  <si>
    <t>T.4 Local Travel in Bogota for Field Staff</t>
  </si>
  <si>
    <t>T4VEHICLE</t>
  </si>
  <si>
    <t>Vehicle Fuel Expense - 3 Vehicles</t>
  </si>
  <si>
    <t>T.5 Travel for Advisory Board Meetings - 2 Annually</t>
  </si>
  <si>
    <t>T5LOCALTRA</t>
  </si>
  <si>
    <t>Local Transportation for Field Staff</t>
  </si>
  <si>
    <t>T5M&amp;E</t>
  </si>
  <si>
    <t>Meals and Incidentals for Field Staff</t>
  </si>
  <si>
    <t>T5LODGING</t>
  </si>
  <si>
    <t>Lodging for Field Staff</t>
  </si>
  <si>
    <t>T5OTHEREX</t>
  </si>
  <si>
    <t>Other Travel Related Expenses for Field Staff</t>
  </si>
  <si>
    <t xml:space="preserve">T.6 Travel for Annual Forums for Education Observatories </t>
  </si>
  <si>
    <t>T6LOCALTRA</t>
  </si>
  <si>
    <t>T6M&amp;E</t>
  </si>
  <si>
    <t>T6LODGING</t>
  </si>
  <si>
    <t>T6OTHEREX</t>
  </si>
  <si>
    <t>T.7 Travel for Annual Community of Practice</t>
  </si>
  <si>
    <t>T7LOCALTRA</t>
  </si>
  <si>
    <t>T7M&amp;E</t>
  </si>
  <si>
    <t>T7LODGING</t>
  </si>
  <si>
    <t>T7OTHEREX</t>
  </si>
  <si>
    <t>Subtotal Field Travel</t>
  </si>
  <si>
    <t>Travel Total</t>
  </si>
  <si>
    <t xml:space="preserve">Equipment </t>
  </si>
  <si>
    <t>VEHICLE</t>
  </si>
  <si>
    <t xml:space="preserve"> Vehicle for Field Offices</t>
  </si>
  <si>
    <t>/vehicle</t>
  </si>
  <si>
    <t>Equipment Total</t>
  </si>
  <si>
    <t>HQ Office Supplies</t>
  </si>
  <si>
    <t>LAPTOP</t>
  </si>
  <si>
    <t>Laptop, Bag, Accessories</t>
  </si>
  <si>
    <t>/unit</t>
  </si>
  <si>
    <t>CAMERA</t>
  </si>
  <si>
    <t>Camera, Accessories, Memory Card, S&amp;H</t>
  </si>
  <si>
    <t>PROJECTOR</t>
  </si>
  <si>
    <t>LCD Projector</t>
  </si>
  <si>
    <t>FURNITURE</t>
  </si>
  <si>
    <t>Office Furniture (Includes Desk, Chairs, Table, Shelves, &amp; Filing Cabinet)</t>
  </si>
  <si>
    <t>SUPPLIES</t>
  </si>
  <si>
    <t>Program Specific Office Supplies and Stationary for HQ</t>
  </si>
  <si>
    <t>Subtotal HQ Office Supplies</t>
  </si>
  <si>
    <t>Field Office Supplies</t>
  </si>
  <si>
    <t xml:space="preserve">Laptop, Bag, Accessories </t>
  </si>
  <si>
    <t>PRINTER</t>
  </si>
  <si>
    <t>Printer</t>
  </si>
  <si>
    <t>Camera and Accessories</t>
  </si>
  <si>
    <t>Video Camera</t>
  </si>
  <si>
    <t>LCD projector</t>
  </si>
  <si>
    <t>SECSYSTEM</t>
  </si>
  <si>
    <t>Security System &amp; Camera for Office</t>
  </si>
  <si>
    <t>Office Furniture (Includes Desk, Chairs, Table, Shelves, &amp; Filing Cabinet) - Main Office &amp; 2 Satellite Offices</t>
  </si>
  <si>
    <t>A/C Unit for Office</t>
  </si>
  <si>
    <t xml:space="preserve">General Office Supplies and Stationary for Field Office </t>
  </si>
  <si>
    <t>PPE</t>
  </si>
  <si>
    <t>Personal Protective Equipment (Gloves, Masks, Hand Sanitizer, Antibacterial Wipes etc.) for Field Office</t>
  </si>
  <si>
    <t>Subtotal Field Office Supplies</t>
  </si>
  <si>
    <t>Supplies Total</t>
  </si>
  <si>
    <t>Subawards</t>
  </si>
  <si>
    <t>SUBFCARVA</t>
  </si>
  <si>
    <t>CARVAJAL</t>
  </si>
  <si>
    <t>Subaward to Fundación Carvajal</t>
  </si>
  <si>
    <t>SUBPROANT</t>
  </si>
  <si>
    <t>PROANT</t>
  </si>
  <si>
    <t>Subaward to ProAntioquia</t>
  </si>
  <si>
    <t>SUBEXPLORA</t>
  </si>
  <si>
    <t>EXPLORA</t>
  </si>
  <si>
    <t>Subaward to Parque Explora</t>
  </si>
  <si>
    <t>Subtotal Subawards</t>
  </si>
  <si>
    <t>Consultants</t>
  </si>
  <si>
    <t>CONSULT</t>
  </si>
  <si>
    <t>COL2/USA</t>
  </si>
  <si>
    <t xml:space="preserve">Technical Assistance for Education Programming </t>
  </si>
  <si>
    <t>Subtotal Consultants</t>
  </si>
  <si>
    <t>Security</t>
  </si>
  <si>
    <t>SECURPLAN</t>
  </si>
  <si>
    <t>Security Plan Analysis</t>
  </si>
  <si>
    <t>SECURITY</t>
  </si>
  <si>
    <t>Local Office Security Contractor (Local Hire)</t>
  </si>
  <si>
    <t>Subtotal Security</t>
  </si>
  <si>
    <t>M&amp;E Database</t>
  </si>
  <si>
    <t>M&amp;EDATA</t>
  </si>
  <si>
    <t>M&amp;E Database Buildout</t>
  </si>
  <si>
    <t>M&amp;ECONSULT</t>
  </si>
  <si>
    <t>M&amp;E Database Consultant (US Based)</t>
  </si>
  <si>
    <t>Subtotal M&amp;E Database</t>
  </si>
  <si>
    <t>Evaluations</t>
  </si>
  <si>
    <t>BASELINE</t>
  </si>
  <si>
    <t>Baseline Assessment</t>
  </si>
  <si>
    <t>MIDTERM</t>
  </si>
  <si>
    <t>Midterm Evaluation</t>
  </si>
  <si>
    <t>ENDLINE</t>
  </si>
  <si>
    <t>Endline Assessment</t>
  </si>
  <si>
    <t>Subtotal Evaluations</t>
  </si>
  <si>
    <t>Contractual Total</t>
  </si>
  <si>
    <t>HQ - Other Direct Costs</t>
  </si>
  <si>
    <t>GRANTSMGMT</t>
  </si>
  <si>
    <t>Strategic Grants Fund Management Platform</t>
  </si>
  <si>
    <t>/year</t>
  </si>
  <si>
    <t>ELEARNPLAT</t>
  </si>
  <si>
    <t xml:space="preserve">E-Learning Platform for On-Demand Courses </t>
  </si>
  <si>
    <t>SUBSCRIPT</t>
  </si>
  <si>
    <t>Dues, Licenses &amp; Subscriptions</t>
  </si>
  <si>
    <t>MEETING</t>
  </si>
  <si>
    <t>Meetings/Events - HQ</t>
  </si>
  <si>
    <t>RECRUIT</t>
  </si>
  <si>
    <t>Recruitment &amp; Publications - HQ</t>
  </si>
  <si>
    <t>Subtotal HQ Other Direct Costs</t>
  </si>
  <si>
    <t>Field Office (FO) - Other Direct Costs</t>
  </si>
  <si>
    <t>AUDIT</t>
  </si>
  <si>
    <t>Audit Costs - FO (Auditoria Fiscal &amp; Program Specific Audits)</t>
  </si>
  <si>
    <t xml:space="preserve">Dues, Licenses, &amp; Subscriptions - FO </t>
  </si>
  <si>
    <t>COURIER</t>
  </si>
  <si>
    <t>Courier Fees/ Postage Services - FO</t>
  </si>
  <si>
    <t>BANK FEES</t>
  </si>
  <si>
    <t>Banking &amp; Cash Handling Fees - FO</t>
  </si>
  <si>
    <t>Procurement/Advertising/Recruitment Fees - FO</t>
  </si>
  <si>
    <t>EQ.MNT REP</t>
  </si>
  <si>
    <t>Equipment Maintenance &amp; Repairs for Main Office &amp; Satellite Offices - FO</t>
  </si>
  <si>
    <t>VEHCL EXP</t>
  </si>
  <si>
    <t>85105 (Maintenance)/ 89500 (Insurance)</t>
  </si>
  <si>
    <t>Vehicle Insurance &amp; Maintenance - FO</t>
  </si>
  <si>
    <t>PROP&amp;LIAB</t>
  </si>
  <si>
    <t>Property &amp; Liability Insurance for Main Office &amp; Satellite Offices - FO</t>
  </si>
  <si>
    <t>Meetings and Events - FO</t>
  </si>
  <si>
    <t>COMM</t>
  </si>
  <si>
    <t>Office Communications (Ex. Phone, Internet, Email) for Main Office &amp; Satellite Offices - FO</t>
  </si>
  <si>
    <t>RENT &amp; UT</t>
  </si>
  <si>
    <t>Office Rent &amp; Office Maintenance &amp; Utilities - Main Office Bogota - FO</t>
  </si>
  <si>
    <t>Office Rent &amp; Office Maintenance &amp; Utilities - Satellite Office in Barranquilla - FO</t>
  </si>
  <si>
    <t>Office Rent &amp; Office Maintenance &amp; Utilities - Satellite Office in Cúcuta - FO</t>
  </si>
  <si>
    <t>PAYROLL</t>
  </si>
  <si>
    <t>81030 (Payroll Services)/ 82105 (Accounting)</t>
  </si>
  <si>
    <t>Payroll and Accounting Costs - FO</t>
  </si>
  <si>
    <t>LEGAL</t>
  </si>
  <si>
    <t>Legal Fees - FO</t>
  </si>
  <si>
    <t>Objective 1: Improved quality of education for children and youth in receptor communities</t>
  </si>
  <si>
    <t>EARLYWARN</t>
  </si>
  <si>
    <t xml:space="preserve">Development of an Early Warning System Platform </t>
  </si>
  <si>
    <t>FORUMEDUC</t>
  </si>
  <si>
    <t>Annual Forums for Education Observatories</t>
  </si>
  <si>
    <t>/forum</t>
  </si>
  <si>
    <t>FORUMMOE</t>
  </si>
  <si>
    <t>Annual Forum for the Ministry of Education and the Secretaries of Education</t>
  </si>
  <si>
    <t>BUILDCAPAC</t>
  </si>
  <si>
    <t>Meeting Expenses for Capacity Building and Mentoring Workshops and Trainings</t>
  </si>
  <si>
    <t>ADVISEMEET</t>
  </si>
  <si>
    <t>Advisory Board Meeting - 2 each year</t>
  </si>
  <si>
    <t>/meeting</t>
  </si>
  <si>
    <t>ANNUALCOP</t>
  </si>
  <si>
    <t>Annual Community of Practice Meeting</t>
  </si>
  <si>
    <t>Objective 2: Increased access to quality education for children and youth in receptor communities</t>
  </si>
  <si>
    <t>AWARENESS</t>
  </si>
  <si>
    <t xml:space="preserve">Awareness Campaign </t>
  </si>
  <si>
    <t>/campaign</t>
  </si>
  <si>
    <t>Objective 3: Strengthened community engagement in educational opportunities</t>
  </si>
  <si>
    <t>COPWORKSHP</t>
  </si>
  <si>
    <t>Annual Community of Practice Workshop with CSOs</t>
  </si>
  <si>
    <t>/workshop</t>
  </si>
  <si>
    <t>Monitoring, Evaluation, and Collection of Reliable Data</t>
  </si>
  <si>
    <t>HOSTMAINT</t>
  </si>
  <si>
    <t>Yearly Hosting &amp; Maintenance Fees for M&amp;E Database</t>
  </si>
  <si>
    <t>DATACOLLEC</t>
  </si>
  <si>
    <t>Data Collection Tools</t>
  </si>
  <si>
    <t>M&amp;EWORKSHP</t>
  </si>
  <si>
    <t>On-going M&amp;E Training Workshops</t>
  </si>
  <si>
    <t>M&amp;ETRAIN</t>
  </si>
  <si>
    <t>On-going Training Workshops for Data Collection Staff</t>
  </si>
  <si>
    <t>M&amp;EGUIDE</t>
  </si>
  <si>
    <t>81021 (Translation)/ 85300 (Printing)</t>
  </si>
  <si>
    <t>Monitoring Guidelines Creation, Translation &amp; Printing</t>
  </si>
  <si>
    <t>/document</t>
  </si>
  <si>
    <t>GUIDETRAIN</t>
  </si>
  <si>
    <t xml:space="preserve">Monitoring Guidelines Staff Training Workshop </t>
  </si>
  <si>
    <t>Subtotal Field Office Other Direct Costs</t>
  </si>
  <si>
    <t>Other Direct Costs Total</t>
  </si>
  <si>
    <t>IDC</t>
  </si>
  <si>
    <t>94050</t>
  </si>
  <si>
    <t xml:space="preserve"> </t>
  </si>
  <si>
    <t>Name of Subawardee: Parque Explora</t>
  </si>
  <si>
    <t>USAID Juntos Aprendemos</t>
  </si>
  <si>
    <t>Parque Explora</t>
  </si>
  <si>
    <t>Subaward Budget</t>
  </si>
  <si>
    <t>Inflation - Locally Purchased Goods/Services - 3%</t>
  </si>
  <si>
    <t>Open 1 Code</t>
  </si>
  <si>
    <t xml:space="preserve">Headquarters Personnel </t>
  </si>
  <si>
    <t>Project Office (Bogota)</t>
  </si>
  <si>
    <t>EXPPERSNL</t>
  </si>
  <si>
    <t>Community Engagement and Outreach Director*</t>
  </si>
  <si>
    <t>Community Engagement and Outreach Manager</t>
  </si>
  <si>
    <t>Parque Explora Office (Medellin)</t>
  </si>
  <si>
    <t>School Research Coordinator</t>
  </si>
  <si>
    <t>Pedagogical Coordinator</t>
  </si>
  <si>
    <t>Clubes Explora Coordinator</t>
  </si>
  <si>
    <t>Clubes Explora Content Professional</t>
  </si>
  <si>
    <t>School Research Professional</t>
  </si>
  <si>
    <t>Monitoring and Evaluation Specialist</t>
  </si>
  <si>
    <t>Communication and Graphic Design Professional</t>
  </si>
  <si>
    <t>Grants &amp; Compliance Coordinator</t>
  </si>
  <si>
    <t xml:space="preserve">Finance &amp; Admin Coordinator (2) </t>
  </si>
  <si>
    <t>EXPERSNLEV</t>
  </si>
  <si>
    <t>Executive Director</t>
  </si>
  <si>
    <t>Financial Director</t>
  </si>
  <si>
    <t>Content Director</t>
  </si>
  <si>
    <t>Head of Content</t>
  </si>
  <si>
    <t>Director of Communications</t>
  </si>
  <si>
    <t>Director of Education</t>
  </si>
  <si>
    <t>Head of Education</t>
  </si>
  <si>
    <t>Director of Design</t>
  </si>
  <si>
    <t xml:space="preserve">Head of Design </t>
  </si>
  <si>
    <t>Purchasing Coordinator</t>
  </si>
  <si>
    <t>Accounting Coordinator</t>
  </si>
  <si>
    <t>Accounting Analyst</t>
  </si>
  <si>
    <t>Finance Coordinator</t>
  </si>
  <si>
    <t>Finance Analyst</t>
  </si>
  <si>
    <t>Legal Director</t>
  </si>
  <si>
    <t>Legal Professional</t>
  </si>
  <si>
    <t>School Research Leaders (16 People)</t>
  </si>
  <si>
    <t>Training Professionals (3 People)</t>
  </si>
  <si>
    <t>EXPRFRINGE/ EXFRINGEL</t>
  </si>
  <si>
    <t>Fringe Benefits – Colombia HQ and Field Staff (above $2,600 monthly)</t>
  </si>
  <si>
    <t>Fringe Benefits - Colombia HQ and Field Staff (below $2,600 monthly)</t>
  </si>
  <si>
    <t>HQ Staff Travel for School Research</t>
  </si>
  <si>
    <t>EXPHQTRVL</t>
  </si>
  <si>
    <t>HQ Staff - Local Transportation (Airfare, Taxis, &amp; Rental Car/Driver) for Director</t>
  </si>
  <si>
    <t>HQ Staff - Meals and Incidentals for Director</t>
  </si>
  <si>
    <t>HQ Staff - Lodging for Director</t>
  </si>
  <si>
    <t>HQ Staff - Other Travel Related Expenses for Director</t>
  </si>
  <si>
    <t>Subtotal HQ Staff Travel</t>
  </si>
  <si>
    <t>T.1 Field Staff Travel for Site Visits and M&amp;E</t>
  </si>
  <si>
    <t>EXPT1TRVL</t>
  </si>
  <si>
    <t>Local Transportation (Airfare, Taxis, &amp; Rental Car/Driver) for Site Visits and M&amp;E</t>
  </si>
  <si>
    <t>Meals and Incidentals for Site Visits and M&amp;E</t>
  </si>
  <si>
    <t>Lodging for Site Visits and M&amp;E</t>
  </si>
  <si>
    <t>Other Travel Related Expenses for Site Visits and M&amp;E</t>
  </si>
  <si>
    <t>T.2 Travel for the Streamlining of School Research Processes in Educational Institutions</t>
  </si>
  <si>
    <t>EXPT2TRVL</t>
  </si>
  <si>
    <t>Local Transportation (Airfare, Taxis, &amp; Rental Car/Driver) for School Research Leaders &amp; Professionals, and Training Professionals</t>
  </si>
  <si>
    <t>Meals and Incidentals for School Research Leaders &amp; Professionals, and Training Professionals</t>
  </si>
  <si>
    <t>Lodging for School Research Leaders &amp; Professionals, and Training Professionals</t>
  </si>
  <si>
    <t>Other Travel Related Expenses for School Research Leaders &amp; Professionals, and Training Professionals</t>
  </si>
  <si>
    <t>Local Transportation Stipend for Workshop Leaders</t>
  </si>
  <si>
    <t>/person</t>
  </si>
  <si>
    <t>T.3 Travel for Teacher Training - Nexos</t>
  </si>
  <si>
    <t>EXPT3TRVL</t>
  </si>
  <si>
    <t>Local Transportation (Airfare, Taxis, &amp; Rental Car/Driver) for Teacher Training Nexos</t>
  </si>
  <si>
    <t>Meals and Incidentals for Teacher Training Nexos</t>
  </si>
  <si>
    <t>Lodging for Teacher Training Nexos</t>
  </si>
  <si>
    <t>Other Travel Related Expenses for Teacher Training Nexos</t>
  </si>
  <si>
    <t>T.4 Local Travel in Medellín for Field Staff</t>
  </si>
  <si>
    <t>EXT4FUELEX</t>
  </si>
  <si>
    <t>Vehicle Fuel Expense</t>
  </si>
  <si>
    <t>EXPT5TRVL</t>
  </si>
  <si>
    <t>Local Transportation for Advisory Board Meetings</t>
  </si>
  <si>
    <t>Meals and Incidentals for Advisory Board Meetings</t>
  </si>
  <si>
    <t>Lodging for Advisory Board Meetings</t>
  </si>
  <si>
    <t>Other Travel Related Expenses for Advisory Board Meetings</t>
  </si>
  <si>
    <t>T.6 Travel for Annual Forums for Education Observatories</t>
  </si>
  <si>
    <t>EXPT6TRVL</t>
  </si>
  <si>
    <t>Local Transportation for Annual Forums</t>
  </si>
  <si>
    <t>Meals and Incidentals for Annual Forums</t>
  </si>
  <si>
    <t>Lodging for Annual Forums</t>
  </si>
  <si>
    <t>Other Travel Related Expenses for Annual Forums</t>
  </si>
  <si>
    <t>T.7 Travel to SMT In-Person Meetings in Bogota</t>
  </si>
  <si>
    <t>EXPT7TRVL</t>
  </si>
  <si>
    <t>Local Transportation for SMT Meetings</t>
  </si>
  <si>
    <t>Meals and Incidentals for SMT Meetings</t>
  </si>
  <si>
    <t>Lodging for SMT Meetings</t>
  </si>
  <si>
    <t>Other Travel Related Expenses for SMT Meetings</t>
  </si>
  <si>
    <t>T.8 Travel to Annual In-Person Steering Committee Meeting in Bogota</t>
  </si>
  <si>
    <t>EXPT8TRVL</t>
  </si>
  <si>
    <t>Local Transportation for Steering Committee Meeting</t>
  </si>
  <si>
    <t>Meals and Incidentals for Steering Committee Meeting</t>
  </si>
  <si>
    <t>Lodging for Steering Committee Meeting</t>
  </si>
  <si>
    <t>Other Travel Related Expenses for Steering Committee Meeting</t>
  </si>
  <si>
    <t>T.9 Travel for Clubes Explora</t>
  </si>
  <si>
    <t>EXPT9TRVL</t>
  </si>
  <si>
    <t>Local Transportation (Airfare, Taxis, &amp; Rental Car/Driver) for Clubes Explora</t>
  </si>
  <si>
    <t>Meals and Incidentals for Clubes Explora</t>
  </si>
  <si>
    <t>Lodging for Clubes Explora</t>
  </si>
  <si>
    <t>Other Travel Related Expenses for Clubes Explora</t>
  </si>
  <si>
    <t>EXVEHICLE</t>
  </si>
  <si>
    <t xml:space="preserve"> Vehicle for Field Office</t>
  </si>
  <si>
    <t>Supplies - Under $5,000 USD</t>
  </si>
  <si>
    <t>EXHQLAPTOP</t>
  </si>
  <si>
    <t>Laptops and software</t>
  </si>
  <si>
    <t>EXHQDESKTP</t>
  </si>
  <si>
    <t>Desktop computers and software (Mac)</t>
  </si>
  <si>
    <t>EXFOLAPTOP</t>
  </si>
  <si>
    <t>EXPHONES</t>
  </si>
  <si>
    <t>Phones</t>
  </si>
  <si>
    <t>EXPPE</t>
  </si>
  <si>
    <t>Personal Protective Equipment (Gloves, Masks, Hand Sanitizer, Antibacterial Wipes etc.)</t>
  </si>
  <si>
    <t>EXSUBAWARD</t>
  </si>
  <si>
    <t>Subawards to Local Implementing Partners</t>
  </si>
  <si>
    <t>EXSECURITY</t>
  </si>
  <si>
    <t>Website</t>
  </si>
  <si>
    <t>EXWEBSITE</t>
  </si>
  <si>
    <t>Setup and design of the website</t>
  </si>
  <si>
    <t>EXWEBMAINT</t>
  </si>
  <si>
    <t>Security and Annual Maintenance for website</t>
  </si>
  <si>
    <t>EXDEVBLOG</t>
  </si>
  <si>
    <t>Development of digital blog contents for the website</t>
  </si>
  <si>
    <t>EXDEVVIDEO</t>
  </si>
  <si>
    <t>Development of educational videos for the website</t>
  </si>
  <si>
    <t>Communication Campaigns</t>
  </si>
  <si>
    <t>EXDEVCOMM</t>
  </si>
  <si>
    <t>Development of communication materials (cards, prerecorded videos, animated capsules and short videos)</t>
  </si>
  <si>
    <t>EXAUDIT</t>
  </si>
  <si>
    <t>Program Specific Audit costs</t>
  </si>
  <si>
    <t>EXTRANSL</t>
  </si>
  <si>
    <t>Translation costs</t>
  </si>
  <si>
    <t>EXPOSTAGE</t>
  </si>
  <si>
    <t>Courier fees/services/postage</t>
  </si>
  <si>
    <t>EXBANKFEE</t>
  </si>
  <si>
    <t xml:space="preserve">Banking and cash handling fees </t>
  </si>
  <si>
    <t>EXVEHMAIN</t>
  </si>
  <si>
    <t>Vehicle Insurance &amp; Maintenance</t>
  </si>
  <si>
    <t>Streamlining of School Research Processes in Educational Institutions</t>
  </si>
  <si>
    <t>EXEDMATL</t>
  </si>
  <si>
    <t>Educational materials for workshops</t>
  </si>
  <si>
    <t>EXDESMATL</t>
  </si>
  <si>
    <t>Design materials for workshops (cardboard, paper, scissors, post-its, photocopies)</t>
  </si>
  <si>
    <t>EXMATLPILT</t>
  </si>
  <si>
    <t>Materials for Pilot Sessions</t>
  </si>
  <si>
    <t>/session</t>
  </si>
  <si>
    <t>EXNATFAIR</t>
  </si>
  <si>
    <t>Design, production, and functioning of national fairs</t>
  </si>
  <si>
    <t>/fair</t>
  </si>
  <si>
    <t>Teacher Training Nexos</t>
  </si>
  <si>
    <t>EXSNACKS</t>
  </si>
  <si>
    <t>Snacks and refreshments for trainings</t>
  </si>
  <si>
    <t>/participant</t>
  </si>
  <si>
    <t>EXBOOKTEAC</t>
  </si>
  <si>
    <t>Books for teachers - Nexo Maestro</t>
  </si>
  <si>
    <t>EXMATLWORK</t>
  </si>
  <si>
    <t>Materials for workshops - Nexo Maestro</t>
  </si>
  <si>
    <t>EXMATLREPL</t>
  </si>
  <si>
    <t>Materials for replica workshops -  Nexo Maestro</t>
  </si>
  <si>
    <t>EXTOOLKIT</t>
  </si>
  <si>
    <t>Toolkit development</t>
  </si>
  <si>
    <t>/toolkit</t>
  </si>
  <si>
    <t>EXDESTOOL</t>
  </si>
  <si>
    <t>Graphic design for toolkit elements</t>
  </si>
  <si>
    <t>Clubes Explora (3 workshop/year in each of the 9 municipalities)</t>
  </si>
  <si>
    <t>EXCEWORKSH</t>
  </si>
  <si>
    <t>Materials for workshops - Clubes Explora</t>
  </si>
  <si>
    <t>Technical assistance to CSOs for the implementation of proposals</t>
  </si>
  <si>
    <t>EXMEETCSO</t>
  </si>
  <si>
    <t>Meeting expenses with CSOs</t>
  </si>
  <si>
    <t>EXMATLCSO</t>
  </si>
  <si>
    <t>Materials and printing for technical assistance to CSOs</t>
  </si>
  <si>
    <t>EXM&amp;EDATA</t>
  </si>
  <si>
    <t xml:space="preserve">M&amp;E Database Platform Access </t>
  </si>
  <si>
    <t>EXDATACOL</t>
  </si>
  <si>
    <t>EXM&amp;ETRAIN</t>
  </si>
  <si>
    <t>EXTRAINDCS</t>
  </si>
  <si>
    <t>CO</t>
  </si>
  <si>
    <t>EXIDCCOST/ EXIDCOSTL</t>
  </si>
  <si>
    <t>Total Indirect Costs (De Minimis) on MTDC</t>
  </si>
  <si>
    <t>Name of Subawardee: ProAntioquia</t>
  </si>
  <si>
    <t>ProAntioquia</t>
  </si>
  <si>
    <t>Line Item</t>
  </si>
  <si>
    <t>PAPERSNL</t>
  </si>
  <si>
    <t>Partnerships and Alliances Director*</t>
  </si>
  <si>
    <t>Partnerships and Alliances Coordinator</t>
  </si>
  <si>
    <t>ProAntioquia Office</t>
  </si>
  <si>
    <t>PAPERSNLEV</t>
  </si>
  <si>
    <t>Education Director (HQ-ProAntioquia)</t>
  </si>
  <si>
    <t>Teacher Training Specialist</t>
  </si>
  <si>
    <t>Teacher Training Professionals (3)</t>
  </si>
  <si>
    <t>Administrative Coordinator</t>
  </si>
  <si>
    <t>Professional Accountant</t>
  </si>
  <si>
    <t>Visual Documentation Professional</t>
  </si>
  <si>
    <t>Content Development Professional</t>
  </si>
  <si>
    <t>Finance &amp; Admin Coordinator</t>
  </si>
  <si>
    <t>Operational and Planning Professional</t>
  </si>
  <si>
    <t>PAFRINGE/ PAFRINGEL</t>
  </si>
  <si>
    <t>HQ Staff Travel</t>
  </si>
  <si>
    <t>PAHQTRVL</t>
  </si>
  <si>
    <t>Local Transportation (Airfare, Taxis, &amp; Rental Car/Driver) for Directors</t>
  </si>
  <si>
    <t>Meals and Incidentals for Directors</t>
  </si>
  <si>
    <t>Lodging for Directors</t>
  </si>
  <si>
    <t>Other Travel Related Expenses for Directors</t>
  </si>
  <si>
    <t>PAT1TRVL</t>
  </si>
  <si>
    <t>T.2 Local Travel in Antioquia for Field Staff</t>
  </si>
  <si>
    <t>PAT2FUELEX</t>
  </si>
  <si>
    <t>T.3 Travel for Advisory Board Meetings - 2 Annually</t>
  </si>
  <si>
    <t>PAT3TRVL</t>
  </si>
  <si>
    <t>T.4 Travel for Annual Forums for Education Observatories</t>
  </si>
  <si>
    <t>PAT4TRVL</t>
  </si>
  <si>
    <t>T.5 Travel to SMT In-Person Meetings in Bogota</t>
  </si>
  <si>
    <t>PAT5TRVL</t>
  </si>
  <si>
    <t>T.6 Travel to Annual In-Person Steering Committee Meeting in Bogota</t>
  </si>
  <si>
    <t>PAT6TRVL</t>
  </si>
  <si>
    <t>Equipment  - Over $5,000 USD</t>
  </si>
  <si>
    <t>PAVEHICLE</t>
  </si>
  <si>
    <t>PAHQLAPTOP</t>
  </si>
  <si>
    <t>PAHQWORK</t>
  </si>
  <si>
    <t>Workspaces (Space, furniture, internet access, telephone and meeting room)</t>
  </si>
  <si>
    <t>PAFODESKTP</t>
  </si>
  <si>
    <t>Desktop computers, laptops and software</t>
  </si>
  <si>
    <t>PAPPE</t>
  </si>
  <si>
    <t>PACONDATA</t>
  </si>
  <si>
    <t>Consultant for data analysis to build public policy guidelines</t>
  </si>
  <si>
    <t>PACONTECH</t>
  </si>
  <si>
    <t>Consultant for technical advice for advocacy on public policy</t>
  </si>
  <si>
    <t>PAENTRENA</t>
  </si>
  <si>
    <t>Entrena-QL methodology for development of educational materials</t>
  </si>
  <si>
    <t>PASECURITY</t>
  </si>
  <si>
    <t>PAPROTYPE</t>
  </si>
  <si>
    <t>Prototypes and pilots of educational materials</t>
  </si>
  <si>
    <t>PADAPTMATL</t>
  </si>
  <si>
    <t>Adaptation of existing content and methodologies for educational materials</t>
  </si>
  <si>
    <t>PACONTSCH</t>
  </si>
  <si>
    <t>Content for school campaigns</t>
  </si>
  <si>
    <t>PATRANSL</t>
  </si>
  <si>
    <t>PAPOSTAGE</t>
  </si>
  <si>
    <t>PABANKFEE</t>
  </si>
  <si>
    <t>PAVEHMAIN</t>
  </si>
  <si>
    <t>PADEVTEACH</t>
  </si>
  <si>
    <t>Development of teacher training books for Replica Workshops</t>
  </si>
  <si>
    <t>PADESCOURS</t>
  </si>
  <si>
    <t>Graphic and operational design of digital courses</t>
  </si>
  <si>
    <t>PADESTEACH</t>
  </si>
  <si>
    <t>Graphic design for teachers training materials</t>
  </si>
  <si>
    <t>PADIGNETWK</t>
  </si>
  <si>
    <t>Development of digital network strategy for Parche Maestro</t>
  </si>
  <si>
    <t>PATRANSREP</t>
  </si>
  <si>
    <t>Transport of books for teacher training Replica Workshops</t>
  </si>
  <si>
    <t>PATRANSBO</t>
  </si>
  <si>
    <t>Transport of books for children</t>
  </si>
  <si>
    <t>PACLASGUID</t>
  </si>
  <si>
    <t>Graphic design of classroom guides</t>
  </si>
  <si>
    <t>PAPROCESBO</t>
  </si>
  <si>
    <t>Process systematization book</t>
  </si>
  <si>
    <t>PAVIDEOSTT</t>
  </si>
  <si>
    <t>Videos for teacher training</t>
  </si>
  <si>
    <t>PABOOKCHIL</t>
  </si>
  <si>
    <t>Books for children (Collection of NEXO literary)</t>
  </si>
  <si>
    <t>Local government and community-based organizations support the enrollment of children and youth in schools</t>
  </si>
  <si>
    <t>PATABLELO</t>
  </si>
  <si>
    <t>Round tables with local organizations</t>
  </si>
  <si>
    <t>PAPRINTMAT</t>
  </si>
  <si>
    <t>Printing of informational materials</t>
  </si>
  <si>
    <t>PATABLELPS</t>
  </si>
  <si>
    <t>Round table with local private sector to build public policy guidelines</t>
  </si>
  <si>
    <t>PAREGWORK</t>
  </si>
  <si>
    <t>Regional workshops about strategic themes of public policy guidelines</t>
  </si>
  <si>
    <t>PAM&amp;EDATA</t>
  </si>
  <si>
    <t>PADATACOL</t>
  </si>
  <si>
    <t>PAM&amp;ETRAIN</t>
  </si>
  <si>
    <t>PATRAINDCS</t>
  </si>
  <si>
    <t xml:space="preserve">Total Indirect Costs (NICRA or De Minimis) </t>
  </si>
  <si>
    <t>Name of Subawardee: Fundación Carvajal</t>
  </si>
  <si>
    <t>Fundación Carvajal</t>
  </si>
  <si>
    <t>Headquarters Personnel (include Level of Effort)</t>
  </si>
  <si>
    <t>Project Office (Bogotá)</t>
  </si>
  <si>
    <t>FCPERSNL</t>
  </si>
  <si>
    <t>Education Director*</t>
  </si>
  <si>
    <t>Education Manager</t>
  </si>
  <si>
    <t>Pre-Primary Education Specialist</t>
  </si>
  <si>
    <t>Primary Education Specialist</t>
  </si>
  <si>
    <t>Secondary Education Specialist</t>
  </si>
  <si>
    <t>Alternative Education Specialist</t>
  </si>
  <si>
    <t>Fundación Carvajal Office (Cali)</t>
  </si>
  <si>
    <t>FCPERSNL/ FCPERSNLEV</t>
  </si>
  <si>
    <t>Field Personnel (include Level of Effort)</t>
  </si>
  <si>
    <t xml:space="preserve">5 Senior Pedagogical Advisors (1 Advisor for every 50 Teachers) </t>
  </si>
  <si>
    <t>months</t>
  </si>
  <si>
    <t xml:space="preserve">Senior Pedagogical Advisor for Tutors (1 Counselor for 50 Tutors) </t>
  </si>
  <si>
    <t xml:space="preserve">Information System Professional </t>
  </si>
  <si>
    <t>FCPERSNLEV</t>
  </si>
  <si>
    <t>Promotions Professional (Applies for Cali)</t>
  </si>
  <si>
    <t xml:space="preserve">Project Assistant </t>
  </si>
  <si>
    <t>Support Virtual School Fundación Carvajal</t>
  </si>
  <si>
    <t>Methodological Coordinator - Flexible Learning Models</t>
  </si>
  <si>
    <t>16 Senior Pedagogical Advisors - Flexible Learning Models</t>
  </si>
  <si>
    <t>2 Senior Pedagogical Advisors for Tutors - Flexible Learning Models</t>
  </si>
  <si>
    <t>FCFRINGE/ FCFRINGEL</t>
  </si>
  <si>
    <t>FCHQTRVL</t>
  </si>
  <si>
    <t xml:space="preserve">Local Transportation (Airfare, Taxis, &amp; Rental Car/Driver) for Education Director </t>
  </si>
  <si>
    <t>Meals and Incidentals for Education Director</t>
  </si>
  <si>
    <t xml:space="preserve">Lodging for Education Director </t>
  </si>
  <si>
    <t>Other Travel Related Expenses for Education Director</t>
  </si>
  <si>
    <t>FCT1TRVL</t>
  </si>
  <si>
    <t>Local Transportation (Airfare, Taxis, &amp; Rental Car/Driver) for M&amp;E Specialist</t>
  </si>
  <si>
    <t>Meals and Incidentals for M&amp;E Specialist</t>
  </si>
  <si>
    <t>Lodging for M&amp;E Specialist</t>
  </si>
  <si>
    <t>Other Travel Related Expenses for M&amp;E Specialist</t>
  </si>
  <si>
    <t>Local Transportation (Airfare, Taxis, &amp; Rental Car/Driver) for Senior Pedagogical Advisors</t>
  </si>
  <si>
    <t>Meals and Incidentals for Senior Pedagogical Advisors</t>
  </si>
  <si>
    <t>Lodging for Senior Pedagogical Advisors</t>
  </si>
  <si>
    <t>Other Travel Related Expenses for Senior Pedagogical Advisors</t>
  </si>
  <si>
    <t>Field Transport Support for 16 Senior Pedagogical Advisors</t>
  </si>
  <si>
    <t>T.2 Local Travel for Field Staff</t>
  </si>
  <si>
    <t>FCT2FUELEX</t>
  </si>
  <si>
    <t>FCT3TRVL</t>
  </si>
  <si>
    <t>FCT4TRVL</t>
  </si>
  <si>
    <t>FCT5TRVL</t>
  </si>
  <si>
    <t>FCT6TRVL</t>
  </si>
  <si>
    <t>FCVEHICLE</t>
  </si>
  <si>
    <t>FCLAPTOP</t>
  </si>
  <si>
    <t>Desktop computers, Laptops and Software</t>
  </si>
  <si>
    <t>FCPPE</t>
  </si>
  <si>
    <t>FCSUBAWARD</t>
  </si>
  <si>
    <t>FCONSULTCP</t>
  </si>
  <si>
    <t>13 Early Childhood Professionals</t>
  </si>
  <si>
    <t>FCONSULTPT</t>
  </si>
  <si>
    <t>12 Professionals to Conduct STEAM Training for Community Mothers</t>
  </si>
  <si>
    <t>FCSECURITY</t>
  </si>
  <si>
    <t>FCAUDIT</t>
  </si>
  <si>
    <t>FCTRANSL</t>
  </si>
  <si>
    <t>FCPOSTAGE</t>
  </si>
  <si>
    <t>FCBANKFEE</t>
  </si>
  <si>
    <t>FCVEHMAIN</t>
  </si>
  <si>
    <t>FCMEETSPCE</t>
  </si>
  <si>
    <t>Meeting spaces in Cali (20 hours month)</t>
  </si>
  <si>
    <t>Hour/year</t>
  </si>
  <si>
    <t>FCOFFICE</t>
  </si>
  <si>
    <t xml:space="preserve">Office in Cali </t>
  </si>
  <si>
    <t>Months</t>
  </si>
  <si>
    <t>FCVIRTCOUR</t>
  </si>
  <si>
    <t>Virtual course for test applicators of the Aula Global methodology</t>
  </si>
  <si>
    <t>FCANULEVAL</t>
  </si>
  <si>
    <t>Annual evaluation Aula Global</t>
  </si>
  <si>
    <t>Evaluation</t>
  </si>
  <si>
    <t>FCSNACKPT</t>
  </si>
  <si>
    <t>Snack and lunch - Pedagogical training workshop for tutors (Aula Global)</t>
  </si>
  <si>
    <t>FCEDMATLPT</t>
  </si>
  <si>
    <t>Educational materials - Pedagogical training workshop for tutors (Aula Global)</t>
  </si>
  <si>
    <t>FCMETHGUID</t>
  </si>
  <si>
    <t>Methodological guides (2 per educational site) (Aula Global)</t>
  </si>
  <si>
    <t>/guide</t>
  </si>
  <si>
    <t>FCEDMATLWS</t>
  </si>
  <si>
    <t>Educational materials for workshops with students (Aula Global)</t>
  </si>
  <si>
    <t>/classroom</t>
  </si>
  <si>
    <t>FCREFRESH</t>
  </si>
  <si>
    <t>Refreshments for workshop - specialized advice on educational quality for teachers (Aula Global)</t>
  </si>
  <si>
    <t>FCEDMATLEC</t>
  </si>
  <si>
    <t>Educational  materials - Early Childhood</t>
  </si>
  <si>
    <t>FCSMALLADV</t>
  </si>
  <si>
    <t>Small Adventurers for Community Homes  - Printing / Reproduction of materials (Early Childhood)</t>
  </si>
  <si>
    <t>FCTRANMATL</t>
  </si>
  <si>
    <t>Transportation of materials (Early Childhood: Saberes y STEAM)</t>
  </si>
  <si>
    <t>FCF2FMEET</t>
  </si>
  <si>
    <t>Logistics face-to-face meetings - Early Childhood (Saberes) 3 meetings per tutor</t>
  </si>
  <si>
    <t>FCVIRTPLAT/ FCVIRTPLAL</t>
  </si>
  <si>
    <t>Enrollment and user in the virtual platform Escuela Fundación Carvajal</t>
  </si>
  <si>
    <t>/user</t>
  </si>
  <si>
    <t>FCMATLCLAS</t>
  </si>
  <si>
    <t>Materials for classrooms (Flexible Methodologies)</t>
  </si>
  <si>
    <t>FCPEDMATL</t>
  </si>
  <si>
    <t>Pedagogical materials (guides for students) for classrooms (Flexible Methodologies)</t>
  </si>
  <si>
    <t>FCSNACKMT</t>
  </si>
  <si>
    <t>Snacks and lunch (100 people distributed in 9 cities for 2 meetings for 2 days)</t>
  </si>
  <si>
    <t>/event</t>
  </si>
  <si>
    <t>FCMEETCSO</t>
  </si>
  <si>
    <t>Meeting expenses with CSOs - Technical assistance to CSOs for the implementation of proposals</t>
  </si>
  <si>
    <t>FCMATLCSO</t>
  </si>
  <si>
    <t>FCWORKCSO</t>
  </si>
  <si>
    <t>Workshops with community organizations to support engagement with local education initiatives</t>
  </si>
  <si>
    <t>FCM&amp;EDATA</t>
  </si>
  <si>
    <t>FCDATACOL</t>
  </si>
  <si>
    <t>FCM&amp;ETRAIN</t>
  </si>
  <si>
    <t>FCTRAINDCS</t>
  </si>
  <si>
    <t>FCIDCCOST/ FCIDCCOSTL</t>
  </si>
  <si>
    <t>Rate</t>
  </si>
  <si>
    <t>Headquarters</t>
  </si>
  <si>
    <t>Laptop, Bag, Accessories, Shipping and Handling</t>
  </si>
  <si>
    <t>Total HQ</t>
  </si>
  <si>
    <t>Field Office</t>
  </si>
  <si>
    <t>Colombia</t>
  </si>
  <si>
    <t>Laptop</t>
  </si>
  <si>
    <t>Security System for Office</t>
  </si>
  <si>
    <t>Total Field</t>
  </si>
  <si>
    <t>Total:</t>
  </si>
  <si>
    <t>Detailed Quotes for Supplies</t>
  </si>
  <si>
    <t>Item Detail</t>
  </si>
  <si>
    <t>Price</t>
  </si>
  <si>
    <t xml:space="preserve">Laptop </t>
  </si>
  <si>
    <t xml:space="preserve">Dell XPS 15 </t>
  </si>
  <si>
    <t>Laptop Bag, Accessories</t>
  </si>
  <si>
    <t>Mouse</t>
  </si>
  <si>
    <t>Digital Camera</t>
  </si>
  <si>
    <t>Canon - PowerShot SX730 HS 20.3-Megapixel Digital Camera</t>
  </si>
  <si>
    <t>Camera Bag</t>
  </si>
  <si>
    <t xml:space="preserve">SanDisk 256GB Ultra microSDXC UHS-I Memory Card </t>
  </si>
  <si>
    <t>Dynex All in One Memory Card Reader</t>
  </si>
  <si>
    <t>Shipping and Handling</t>
  </si>
  <si>
    <t xml:space="preserve">LCD Projector </t>
  </si>
  <si>
    <t>BenQ MH535FHD 1080P Home Theater Projector with Ceiling Mount</t>
  </si>
  <si>
    <t>Extra Bulb, stand and accessories</t>
  </si>
  <si>
    <t xml:space="preserve">Color Laser Printer </t>
  </si>
  <si>
    <t>Lexmark MC3326ADWE Color Duplex Laser Printer - Multifunction</t>
  </si>
  <si>
    <t>Toners &amp; Accessories</t>
  </si>
  <si>
    <t xml:space="preserve">Video Camera </t>
  </si>
  <si>
    <t xml:space="preserve">Canon VIXIA HF R800 Camcorder with 3 year warranty </t>
  </si>
  <si>
    <t>Tripod</t>
  </si>
  <si>
    <t>Office Furniture</t>
  </si>
  <si>
    <t>Desk with Hutch for Storage</t>
  </si>
  <si>
    <t>Desk Chair</t>
  </si>
  <si>
    <t>Bookshelf for Storage</t>
  </si>
  <si>
    <t>Round Table for Meetings</t>
  </si>
  <si>
    <t>Chairs for Round Table (Set 2 Chairs)</t>
  </si>
  <si>
    <t>Filing Cabinets with Lock</t>
  </si>
  <si>
    <t>Misc. Office Supplies to Set up Desk</t>
  </si>
  <si>
    <t xml:space="preserve">Lorex 1080p HD Wire-Free Security System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</si>
</sst>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&quot;$&quot;#,##0.00"/>
    <numFmt numFmtId="167" formatCode="_(&quot;$&quot;* #,##0_);_(&quot;$&quot;* \(#,##0\);_(&quot;$&quot;* &quot;-&quot;??_);_(@_)"/>
    <numFmt numFmtId="168" formatCode="0.0000"/>
    <numFmt numFmtId="169" formatCode="_-* #,##0\ _B_s_-;\-* #,##0\ _B_s_-;_-* &quot;-&quot;??\ _B_s_-;_-@_-"/>
    <numFmt numFmtId="170" formatCode="#,##0.0"/>
    <numFmt numFmtId="171" formatCode="_-* #,##0.00_-;\-* #,##0.00_-;_-* &quot;-&quot;??_-;_-@_-"/>
    <numFmt numFmtId="172" formatCode="#,##0.0000"/>
    <numFmt numFmtId="173" formatCode="0.000%"/>
    <numFmt numFmtId="174" formatCode="0.0%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i/>
      <sz val="10"/>
      <name val="Times New Roman"/>
      <family val="1"/>
    </font>
    <font>
      <b/>
      <i/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indexed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0"/>
      <color rgb="FF0070C0"/>
      <name val="Times New Roman"/>
      <family val="1"/>
    </font>
    <font>
      <sz val="10"/>
      <color rgb="FF00B050"/>
      <name val="Times New Roman"/>
      <family val="1"/>
    </font>
    <font>
      <b/>
      <i/>
      <sz val="10"/>
      <color rgb="FF0070C0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2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7E5F5"/>
        <bgColor indexed="64"/>
      </patternFill>
    </fill>
    <fill>
      <patternFill patternType="solid">
        <fgColor theme="9" tint="0.59999389629810485"/>
        <bgColor indexed="24"/>
      </patternFill>
    </fill>
    <fill>
      <patternFill patternType="solid">
        <fgColor rgb="FFD7E5F5"/>
        <bgColor indexed="24"/>
      </patternFill>
    </fill>
    <fill>
      <patternFill patternType="solid">
        <fgColor rgb="FFE7F0F9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2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6" fillId="0" borderId="0"/>
    <xf numFmtId="0" fontId="7" fillId="0" borderId="0"/>
    <xf numFmtId="43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6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59">
    <xf numFmtId="0" fontId="0" fillId="0" borderId="0" xfId="0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9" fontId="9" fillId="0" borderId="1" xfId="2" applyFont="1" applyBorder="1" applyAlignment="1">
      <alignment horizontal="center" wrapText="1"/>
    </xf>
    <xf numFmtId="169" fontId="10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wrapText="1"/>
    </xf>
    <xf numFmtId="3" fontId="9" fillId="0" borderId="0" xfId="0" applyNumberFormat="1" applyFont="1" applyAlignment="1">
      <alignment wrapText="1"/>
    </xf>
    <xf numFmtId="3" fontId="9" fillId="0" borderId="0" xfId="0" applyNumberFormat="1" applyFont="1" applyAlignment="1">
      <alignment horizontal="center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170" fontId="9" fillId="0" borderId="0" xfId="0" applyNumberFormat="1" applyFont="1" applyAlignment="1">
      <alignment horizontal="center"/>
    </xf>
    <xf numFmtId="38" fontId="13" fillId="0" borderId="0" xfId="0" applyNumberFormat="1" applyFont="1" applyAlignment="1">
      <alignment horizontal="left"/>
    </xf>
    <xf numFmtId="38" fontId="9" fillId="0" borderId="0" xfId="0" applyNumberFormat="1" applyFont="1"/>
    <xf numFmtId="164" fontId="9" fillId="0" borderId="0" xfId="0" applyNumberFormat="1" applyFont="1"/>
    <xf numFmtId="167" fontId="9" fillId="0" borderId="0" xfId="1" applyNumberFormat="1" applyFont="1"/>
    <xf numFmtId="0" fontId="14" fillId="5" borderId="34" xfId="0" applyFont="1" applyFill="1" applyBorder="1"/>
    <xf numFmtId="0" fontId="14" fillId="5" borderId="35" xfId="0" applyFont="1" applyFill="1" applyBorder="1"/>
    <xf numFmtId="0" fontId="14" fillId="5" borderId="24" xfId="0" applyFont="1" applyFill="1" applyBorder="1" applyAlignment="1">
      <alignment horizontal="center"/>
    </xf>
    <xf numFmtId="0" fontId="14" fillId="0" borderId="26" xfId="0" applyFont="1" applyBorder="1" applyAlignment="1">
      <alignment horizontal="right"/>
    </xf>
    <xf numFmtId="0" fontId="14" fillId="0" borderId="19" xfId="0" applyFont="1" applyBorder="1" applyAlignment="1">
      <alignment horizontal="right"/>
    </xf>
    <xf numFmtId="0" fontId="14" fillId="0" borderId="13" xfId="0" applyFont="1" applyBorder="1" applyAlignment="1">
      <alignment horizontal="right"/>
    </xf>
    <xf numFmtId="0" fontId="14" fillId="0" borderId="15" xfId="0" applyFont="1" applyBorder="1" applyAlignment="1">
      <alignment horizontal="right"/>
    </xf>
    <xf numFmtId="44" fontId="11" fillId="6" borderId="25" xfId="0" applyNumberFormat="1" applyFont="1" applyFill="1" applyBorder="1"/>
    <xf numFmtId="0" fontId="9" fillId="6" borderId="2" xfId="0" applyFont="1" applyFill="1" applyBorder="1"/>
    <xf numFmtId="0" fontId="9" fillId="6" borderId="14" xfId="0" applyFont="1" applyFill="1" applyBorder="1"/>
    <xf numFmtId="0" fontId="9" fillId="6" borderId="18" xfId="0" applyFont="1" applyFill="1" applyBorder="1"/>
    <xf numFmtId="0" fontId="9" fillId="6" borderId="25" xfId="0" applyFont="1" applyFill="1" applyBorder="1"/>
    <xf numFmtId="43" fontId="11" fillId="0" borderId="26" xfId="0" applyNumberFormat="1" applyFont="1" applyBorder="1"/>
    <xf numFmtId="0" fontId="9" fillId="0" borderId="19" xfId="0" applyFont="1" applyBorder="1"/>
    <xf numFmtId="0" fontId="9" fillId="0" borderId="13" xfId="0" applyFont="1" applyBorder="1"/>
    <xf numFmtId="0" fontId="9" fillId="0" borderId="15" xfId="0" applyFont="1" applyBorder="1"/>
    <xf numFmtId="0" fontId="9" fillId="0" borderId="26" xfId="0" applyFont="1" applyBorder="1"/>
    <xf numFmtId="43" fontId="9" fillId="0" borderId="11" xfId="0" applyNumberFormat="1" applyFont="1" applyBorder="1" applyAlignment="1">
      <alignment horizontal="left" indent="1"/>
    </xf>
    <xf numFmtId="3" fontId="9" fillId="0" borderId="0" xfId="3" applyNumberFormat="1" applyFont="1"/>
    <xf numFmtId="0" fontId="9" fillId="0" borderId="0" xfId="3" applyFont="1"/>
    <xf numFmtId="3" fontId="9" fillId="0" borderId="6" xfId="0" applyNumberFormat="1" applyFont="1" applyBorder="1"/>
    <xf numFmtId="3" fontId="9" fillId="0" borderId="0" xfId="0" applyNumberFormat="1" applyFont="1"/>
    <xf numFmtId="3" fontId="9" fillId="0" borderId="16" xfId="0" applyNumberFormat="1" applyFont="1" applyBorder="1"/>
    <xf numFmtId="3" fontId="9" fillId="0" borderId="11" xfId="0" applyNumberFormat="1" applyFont="1" applyBorder="1"/>
    <xf numFmtId="43" fontId="10" fillId="0" borderId="11" xfId="0" applyNumberFormat="1" applyFont="1" applyBorder="1" applyAlignment="1">
      <alignment horizontal="right"/>
    </xf>
    <xf numFmtId="3" fontId="10" fillId="0" borderId="6" xfId="0" applyNumberFormat="1" applyFont="1" applyBorder="1"/>
    <xf numFmtId="3" fontId="10" fillId="0" borderId="0" xfId="0" applyNumberFormat="1" applyFont="1"/>
    <xf numFmtId="3" fontId="10" fillId="0" borderId="16" xfId="0" applyNumberFormat="1" applyFont="1" applyBorder="1"/>
    <xf numFmtId="3" fontId="10" fillId="0" borderId="11" xfId="0" applyNumberFormat="1" applyFont="1" applyBorder="1"/>
    <xf numFmtId="43" fontId="13" fillId="0" borderId="11" xfId="0" applyNumberFormat="1" applyFont="1" applyBorder="1" applyAlignment="1">
      <alignment horizontal="left"/>
    </xf>
    <xf numFmtId="43" fontId="11" fillId="0" borderId="11" xfId="0" applyNumberFormat="1" applyFont="1" applyBorder="1"/>
    <xf numFmtId="43" fontId="10" fillId="0" borderId="11" xfId="0" applyNumberFormat="1" applyFont="1" applyBorder="1" applyAlignment="1">
      <alignment horizontal="left"/>
    </xf>
    <xf numFmtId="43" fontId="11" fillId="9" borderId="25" xfId="0" applyNumberFormat="1" applyFont="1" applyFill="1" applyBorder="1" applyAlignment="1">
      <alignment horizontal="right"/>
    </xf>
    <xf numFmtId="3" fontId="11" fillId="9" borderId="2" xfId="0" applyNumberFormat="1" applyFont="1" applyFill="1" applyBorder="1"/>
    <xf numFmtId="43" fontId="11" fillId="0" borderId="25" xfId="0" applyNumberFormat="1" applyFont="1" applyBorder="1"/>
    <xf numFmtId="3" fontId="9" fillId="0" borderId="2" xfId="0" applyNumberFormat="1" applyFont="1" applyBorder="1"/>
    <xf numFmtId="3" fontId="9" fillId="0" borderId="14" xfId="0" applyNumberFormat="1" applyFont="1" applyBorder="1"/>
    <xf numFmtId="3" fontId="9" fillId="0" borderId="18" xfId="0" applyNumberFormat="1" applyFont="1" applyBorder="1"/>
    <xf numFmtId="3" fontId="9" fillId="0" borderId="25" xfId="0" applyNumberFormat="1" applyFont="1" applyBorder="1"/>
    <xf numFmtId="43" fontId="11" fillId="6" borderId="25" xfId="0" applyNumberFormat="1" applyFont="1" applyFill="1" applyBorder="1"/>
    <xf numFmtId="3" fontId="9" fillId="6" borderId="2" xfId="0" applyNumberFormat="1" applyFont="1" applyFill="1" applyBorder="1"/>
    <xf numFmtId="3" fontId="9" fillId="6" borderId="14" xfId="0" applyNumberFormat="1" applyFont="1" applyFill="1" applyBorder="1"/>
    <xf numFmtId="3" fontId="9" fillId="6" borderId="18" xfId="0" applyNumberFormat="1" applyFont="1" applyFill="1" applyBorder="1"/>
    <xf numFmtId="3" fontId="9" fillId="6" borderId="25" xfId="0" applyNumberFormat="1" applyFont="1" applyFill="1" applyBorder="1"/>
    <xf numFmtId="43" fontId="9" fillId="0" borderId="26" xfId="0" applyNumberFormat="1" applyFont="1" applyBorder="1"/>
    <xf numFmtId="3" fontId="9" fillId="0" borderId="19" xfId="0" applyNumberFormat="1" applyFont="1" applyBorder="1"/>
    <xf numFmtId="3" fontId="9" fillId="0" borderId="13" xfId="0" applyNumberFormat="1" applyFont="1" applyBorder="1"/>
    <xf numFmtId="3" fontId="9" fillId="0" borderId="26" xfId="0" applyNumberFormat="1" applyFont="1" applyBorder="1"/>
    <xf numFmtId="43" fontId="9" fillId="0" borderId="11" xfId="0" applyNumberFormat="1" applyFont="1" applyBorder="1"/>
    <xf numFmtId="0" fontId="9" fillId="0" borderId="10" xfId="0" applyFont="1" applyBorder="1"/>
    <xf numFmtId="0" fontId="9" fillId="0" borderId="27" xfId="0" applyFont="1" applyBorder="1"/>
    <xf numFmtId="0" fontId="9" fillId="0" borderId="9" xfId="0" applyFont="1" applyBorder="1"/>
    <xf numFmtId="0" fontId="9" fillId="0" borderId="20" xfId="0" applyFont="1" applyBorder="1"/>
    <xf numFmtId="0" fontId="9" fillId="0" borderId="23" xfId="0" applyFont="1" applyBorder="1"/>
    <xf numFmtId="3" fontId="11" fillId="9" borderId="25" xfId="0" applyNumberFormat="1" applyFont="1" applyFill="1" applyBorder="1"/>
    <xf numFmtId="3" fontId="9" fillId="0" borderId="15" xfId="0" applyNumberFormat="1" applyFont="1" applyBorder="1"/>
    <xf numFmtId="0" fontId="11" fillId="0" borderId="11" xfId="0" applyFont="1" applyBorder="1"/>
    <xf numFmtId="0" fontId="9" fillId="0" borderId="11" xfId="0" applyFont="1" applyBorder="1" applyAlignment="1">
      <alignment horizontal="left" indent="1"/>
    </xf>
    <xf numFmtId="0" fontId="10" fillId="0" borderId="11" xfId="0" applyFont="1" applyBorder="1" applyAlignment="1">
      <alignment horizontal="right"/>
    </xf>
    <xf numFmtId="0" fontId="13" fillId="0" borderId="11" xfId="0" applyFont="1" applyBorder="1" applyAlignment="1">
      <alignment horizontal="right"/>
    </xf>
    <xf numFmtId="3" fontId="13" fillId="0" borderId="6" xfId="0" applyNumberFormat="1" applyFont="1" applyBorder="1"/>
    <xf numFmtId="3" fontId="13" fillId="0" borderId="0" xfId="0" applyNumberFormat="1" applyFont="1"/>
    <xf numFmtId="3" fontId="13" fillId="0" borderId="16" xfId="0" applyNumberFormat="1" applyFont="1" applyBorder="1"/>
    <xf numFmtId="3" fontId="13" fillId="0" borderId="11" xfId="0" applyNumberFormat="1" applyFont="1" applyBorder="1"/>
    <xf numFmtId="0" fontId="13" fillId="0" borderId="0" xfId="0" applyFont="1"/>
    <xf numFmtId="0" fontId="9" fillId="0" borderId="11" xfId="0" applyFont="1" applyBorder="1"/>
    <xf numFmtId="43" fontId="9" fillId="0" borderId="25" xfId="0" applyNumberFormat="1" applyFont="1" applyBorder="1"/>
    <xf numFmtId="43" fontId="9" fillId="0" borderId="10" xfId="0" applyNumberFormat="1" applyFont="1" applyBorder="1"/>
    <xf numFmtId="3" fontId="9" fillId="0" borderId="20" xfId="0" applyNumberFormat="1" applyFont="1" applyBorder="1"/>
    <xf numFmtId="3" fontId="9" fillId="0" borderId="9" xfId="0" applyNumberFormat="1" applyFont="1" applyBorder="1"/>
    <xf numFmtId="3" fontId="9" fillId="0" borderId="23" xfId="0" applyNumberFormat="1" applyFont="1" applyBorder="1"/>
    <xf numFmtId="3" fontId="9" fillId="0" borderId="10" xfId="0" applyNumberFormat="1" applyFont="1" applyBorder="1"/>
    <xf numFmtId="43" fontId="10" fillId="0" borderId="25" xfId="0" applyNumberFormat="1" applyFont="1" applyBorder="1" applyAlignment="1">
      <alignment horizontal="right"/>
    </xf>
    <xf numFmtId="44" fontId="9" fillId="0" borderId="0" xfId="1" applyFont="1" applyFill="1"/>
    <xf numFmtId="9" fontId="9" fillId="0" borderId="0" xfId="2" applyFont="1" applyFill="1"/>
    <xf numFmtId="9" fontId="9" fillId="0" borderId="0" xfId="0" applyNumberFormat="1" applyFont="1"/>
    <xf numFmtId="0" fontId="11" fillId="9" borderId="25" xfId="0" applyFont="1" applyFill="1" applyBorder="1" applyAlignment="1">
      <alignment horizontal="right"/>
    </xf>
    <xf numFmtId="0" fontId="11" fillId="0" borderId="25" xfId="0" applyFont="1" applyBorder="1" applyAlignment="1">
      <alignment horizontal="right"/>
    </xf>
    <xf numFmtId="3" fontId="11" fillId="0" borderId="2" xfId="0" applyNumberFormat="1" applyFont="1" applyBorder="1"/>
    <xf numFmtId="3" fontId="11" fillId="0" borderId="14" xfId="0" applyNumberFormat="1" applyFont="1" applyBorder="1"/>
    <xf numFmtId="3" fontId="11" fillId="0" borderId="18" xfId="0" applyNumberFormat="1" applyFont="1" applyBorder="1"/>
    <xf numFmtId="3" fontId="11" fillId="0" borderId="25" xfId="0" applyNumberFormat="1" applyFont="1" applyBorder="1"/>
    <xf numFmtId="0" fontId="11" fillId="6" borderId="25" xfId="0" applyFont="1" applyFill="1" applyBorder="1"/>
    <xf numFmtId="167" fontId="9" fillId="0" borderId="0" xfId="1" applyNumberFormat="1" applyFont="1" applyFill="1" applyBorder="1"/>
    <xf numFmtId="0" fontId="11" fillId="3" borderId="25" xfId="0" applyFont="1" applyFill="1" applyBorder="1"/>
    <xf numFmtId="3" fontId="11" fillId="3" borderId="25" xfId="0" applyNumberFormat="1" applyFont="1" applyFill="1" applyBorder="1"/>
    <xf numFmtId="167" fontId="11" fillId="0" borderId="0" xfId="1" applyNumberFormat="1" applyFont="1"/>
    <xf numFmtId="3" fontId="9" fillId="3" borderId="2" xfId="0" applyNumberFormat="1" applyFont="1" applyFill="1" applyBorder="1"/>
    <xf numFmtId="3" fontId="9" fillId="3" borderId="14" xfId="0" applyNumberFormat="1" applyFont="1" applyFill="1" applyBorder="1"/>
    <xf numFmtId="3" fontId="9" fillId="3" borderId="18" xfId="0" applyNumberFormat="1" applyFont="1" applyFill="1" applyBorder="1"/>
    <xf numFmtId="3" fontId="9" fillId="3" borderId="25" xfId="0" applyNumberFormat="1" applyFont="1" applyFill="1" applyBorder="1"/>
    <xf numFmtId="10" fontId="11" fillId="0" borderId="0" xfId="2" applyNumberFormat="1" applyFont="1" applyFill="1" applyBorder="1"/>
    <xf numFmtId="3" fontId="11" fillId="3" borderId="3" xfId="0" applyNumberFormat="1" applyFont="1" applyFill="1" applyBorder="1"/>
    <xf numFmtId="168" fontId="9" fillId="0" borderId="0" xfId="2" applyNumberFormat="1" applyFont="1"/>
    <xf numFmtId="168" fontId="9" fillId="0" borderId="0" xfId="0" applyNumberFormat="1" applyFont="1"/>
    <xf numFmtId="0" fontId="9" fillId="0" borderId="0" xfId="0" applyFont="1" applyAlignment="1">
      <alignment horizontal="left"/>
    </xf>
    <xf numFmtId="0" fontId="14" fillId="5" borderId="33" xfId="0" applyFont="1" applyFill="1" applyBorder="1" applyAlignment="1">
      <alignment horizontal="right"/>
    </xf>
    <xf numFmtId="0" fontId="14" fillId="5" borderId="34" xfId="0" applyFont="1" applyFill="1" applyBorder="1" applyAlignment="1">
      <alignment horizontal="right"/>
    </xf>
    <xf numFmtId="0" fontId="14" fillId="5" borderId="26" xfId="0" applyFont="1" applyFill="1" applyBorder="1" applyAlignment="1">
      <alignment horizontal="right"/>
    </xf>
    <xf numFmtId="0" fontId="14" fillId="5" borderId="28" xfId="0" applyFont="1" applyFill="1" applyBorder="1" applyAlignment="1">
      <alignment horizontal="right"/>
    </xf>
    <xf numFmtId="0" fontId="14" fillId="5" borderId="13" xfId="0" applyFont="1" applyFill="1" applyBorder="1" applyAlignment="1">
      <alignment horizontal="right"/>
    </xf>
    <xf numFmtId="0" fontId="14" fillId="5" borderId="19" xfId="0" applyFont="1" applyFill="1" applyBorder="1" applyAlignment="1">
      <alignment horizontal="right"/>
    </xf>
    <xf numFmtId="0" fontId="14" fillId="5" borderId="15" xfId="0" applyFont="1" applyFill="1" applyBorder="1" applyAlignment="1">
      <alignment horizontal="right"/>
    </xf>
    <xf numFmtId="0" fontId="14" fillId="5" borderId="11" xfId="0" applyFont="1" applyFill="1" applyBorder="1" applyAlignment="1">
      <alignment horizontal="center"/>
    </xf>
    <xf numFmtId="0" fontId="14" fillId="0" borderId="28" xfId="0" applyFont="1" applyBorder="1" applyAlignment="1">
      <alignment horizontal="right"/>
    </xf>
    <xf numFmtId="44" fontId="11" fillId="6" borderId="17" xfId="0" applyNumberFormat="1" applyFont="1" applyFill="1" applyBorder="1"/>
    <xf numFmtId="44" fontId="11" fillId="6" borderId="14" xfId="0" applyNumberFormat="1" applyFont="1" applyFill="1" applyBorder="1"/>
    <xf numFmtId="43" fontId="11" fillId="0" borderId="22" xfId="0" applyNumberFormat="1" applyFont="1" applyBorder="1"/>
    <xf numFmtId="10" fontId="9" fillId="0" borderId="13" xfId="0" applyNumberFormat="1" applyFont="1" applyBorder="1"/>
    <xf numFmtId="10" fontId="9" fillId="0" borderId="28" xfId="0" applyNumberFormat="1" applyFont="1" applyBorder="1"/>
    <xf numFmtId="9" fontId="9" fillId="0" borderId="28" xfId="2" applyFont="1" applyFill="1" applyBorder="1" applyAlignment="1"/>
    <xf numFmtId="43" fontId="10" fillId="0" borderId="22" xfId="0" applyNumberFormat="1" applyFont="1" applyBorder="1"/>
    <xf numFmtId="43" fontId="10" fillId="0" borderId="0" xfId="0" applyNumberFormat="1" applyFont="1"/>
    <xf numFmtId="43" fontId="9" fillId="0" borderId="22" xfId="0" applyNumberFormat="1" applyFont="1" applyBorder="1"/>
    <xf numFmtId="43" fontId="9" fillId="0" borderId="0" xfId="0" applyNumberFormat="1" applyFont="1"/>
    <xf numFmtId="43" fontId="11" fillId="0" borderId="0" xfId="0" applyNumberFormat="1" applyFont="1"/>
    <xf numFmtId="43" fontId="11" fillId="9" borderId="17" xfId="0" applyNumberFormat="1" applyFont="1" applyFill="1" applyBorder="1"/>
    <xf numFmtId="43" fontId="11" fillId="9" borderId="14" xfId="0" applyNumberFormat="1" applyFont="1" applyFill="1" applyBorder="1"/>
    <xf numFmtId="43" fontId="11" fillId="0" borderId="17" xfId="0" applyNumberFormat="1" applyFont="1" applyBorder="1"/>
    <xf numFmtId="43" fontId="11" fillId="0" borderId="14" xfId="0" applyNumberFormat="1" applyFont="1" applyBorder="1"/>
    <xf numFmtId="43" fontId="11" fillId="6" borderId="17" xfId="0" applyNumberFormat="1" applyFont="1" applyFill="1" applyBorder="1"/>
    <xf numFmtId="43" fontId="11" fillId="6" borderId="14" xfId="0" applyNumberFormat="1" applyFont="1" applyFill="1" applyBorder="1"/>
    <xf numFmtId="10" fontId="9" fillId="0" borderId="22" xfId="0" applyNumberFormat="1" applyFont="1" applyBorder="1"/>
    <xf numFmtId="0" fontId="9" fillId="0" borderId="22" xfId="0" applyFont="1" applyBorder="1"/>
    <xf numFmtId="1" fontId="9" fillId="0" borderId="22" xfId="0" applyNumberFormat="1" applyFont="1" applyBorder="1"/>
    <xf numFmtId="43" fontId="9" fillId="0" borderId="28" xfId="0" applyNumberFormat="1" applyFont="1" applyBorder="1"/>
    <xf numFmtId="43" fontId="9" fillId="0" borderId="13" xfId="0" applyNumberFormat="1" applyFont="1" applyBorder="1"/>
    <xf numFmtId="164" fontId="10" fillId="0" borderId="22" xfId="0" applyNumberFormat="1" applyFont="1" applyBorder="1"/>
    <xf numFmtId="164" fontId="10" fillId="0" borderId="0" xfId="0" applyNumberFormat="1" applyFont="1"/>
    <xf numFmtId="164" fontId="13" fillId="0" borderId="22" xfId="0" applyNumberFormat="1" applyFont="1" applyBorder="1"/>
    <xf numFmtId="43" fontId="13" fillId="0" borderId="0" xfId="0" applyNumberFormat="1" applyFont="1"/>
    <xf numFmtId="164" fontId="13" fillId="0" borderId="0" xfId="0" applyNumberFormat="1" applyFont="1"/>
    <xf numFmtId="164" fontId="9" fillId="0" borderId="22" xfId="0" applyNumberFormat="1" applyFont="1" applyBorder="1"/>
    <xf numFmtId="43" fontId="9" fillId="0" borderId="17" xfId="0" applyNumberFormat="1" applyFont="1" applyBorder="1"/>
    <xf numFmtId="43" fontId="9" fillId="0" borderId="14" xfId="0" applyNumberFormat="1" applyFont="1" applyBorder="1"/>
    <xf numFmtId="43" fontId="11" fillId="0" borderId="13" xfId="0" applyNumberFormat="1" applyFont="1" applyBorder="1"/>
    <xf numFmtId="43" fontId="11" fillId="0" borderId="28" xfId="0" applyNumberFormat="1" applyFont="1" applyBorder="1"/>
    <xf numFmtId="43" fontId="11" fillId="0" borderId="27" xfId="0" applyNumberFormat="1" applyFont="1" applyBorder="1"/>
    <xf numFmtId="43" fontId="11" fillId="0" borderId="9" xfId="0" applyNumberFormat="1" applyFont="1" applyBorder="1"/>
    <xf numFmtId="0" fontId="11" fillId="9" borderId="17" xfId="0" applyFont="1" applyFill="1" applyBorder="1"/>
    <xf numFmtId="0" fontId="11" fillId="9" borderId="14" xfId="0" applyFont="1" applyFill="1" applyBorder="1"/>
    <xf numFmtId="0" fontId="11" fillId="0" borderId="17" xfId="0" applyFont="1" applyBorder="1"/>
    <xf numFmtId="0" fontId="11" fillId="0" borderId="14" xfId="0" applyFont="1" applyBorder="1"/>
    <xf numFmtId="0" fontId="11" fillId="6" borderId="17" xfId="0" applyFont="1" applyFill="1" applyBorder="1"/>
    <xf numFmtId="0" fontId="11" fillId="6" borderId="14" xfId="0" applyFont="1" applyFill="1" applyBorder="1"/>
    <xf numFmtId="43" fontId="11" fillId="3" borderId="17" xfId="0" applyNumberFormat="1" applyFont="1" applyFill="1" applyBorder="1"/>
    <xf numFmtId="43" fontId="11" fillId="3" borderId="14" xfId="0" applyNumberFormat="1" applyFont="1" applyFill="1" applyBorder="1"/>
    <xf numFmtId="43" fontId="11" fillId="3" borderId="4" xfId="0" applyNumberFormat="1" applyFont="1" applyFill="1" applyBorder="1"/>
    <xf numFmtId="10" fontId="9" fillId="3" borderId="17" xfId="0" applyNumberFormat="1" applyFont="1" applyFill="1" applyBorder="1"/>
    <xf numFmtId="10" fontId="9" fillId="3" borderId="14" xfId="0" applyNumberFormat="1" applyFont="1" applyFill="1" applyBorder="1"/>
    <xf numFmtId="10" fontId="9" fillId="3" borderId="4" xfId="0" applyNumberFormat="1" applyFont="1" applyFill="1" applyBorder="1"/>
    <xf numFmtId="0" fontId="9" fillId="3" borderId="31" xfId="0" applyFont="1" applyFill="1" applyBorder="1"/>
    <xf numFmtId="0" fontId="9" fillId="3" borderId="36" xfId="0" applyFont="1" applyFill="1" applyBorder="1"/>
    <xf numFmtId="0" fontId="9" fillId="3" borderId="37" xfId="0" applyFont="1" applyFill="1" applyBorder="1"/>
    <xf numFmtId="0" fontId="16" fillId="4" borderId="8" xfId="0" applyFont="1" applyFill="1" applyBorder="1" applyAlignment="1">
      <alignment horizontal="left"/>
    </xf>
    <xf numFmtId="0" fontId="9" fillId="0" borderId="1" xfId="0" applyFont="1" applyBorder="1"/>
    <xf numFmtId="165" fontId="9" fillId="0" borderId="1" xfId="0" applyNumberFormat="1" applyFont="1" applyBorder="1"/>
    <xf numFmtId="0" fontId="10" fillId="6" borderId="1" xfId="0" applyFont="1" applyFill="1" applyBorder="1"/>
    <xf numFmtId="165" fontId="9" fillId="6" borderId="1" xfId="0" applyNumberFormat="1" applyFont="1" applyFill="1" applyBorder="1"/>
    <xf numFmtId="0" fontId="9" fillId="6" borderId="1" xfId="0" applyFont="1" applyFill="1" applyBorder="1"/>
    <xf numFmtId="165" fontId="9" fillId="0" borderId="0" xfId="0" applyNumberFormat="1" applyFont="1"/>
    <xf numFmtId="0" fontId="11" fillId="0" borderId="1" xfId="0" applyFont="1" applyBorder="1" applyAlignment="1">
      <alignment horizontal="right"/>
    </xf>
    <xf numFmtId="165" fontId="11" fillId="0" borderId="1" xfId="0" applyNumberFormat="1" applyFont="1" applyBorder="1"/>
    <xf numFmtId="0" fontId="11" fillId="0" borderId="1" xfId="0" applyFont="1" applyBorder="1"/>
    <xf numFmtId="0" fontId="11" fillId="2" borderId="1" xfId="0" applyFont="1" applyFill="1" applyBorder="1" applyAlignment="1">
      <alignment horizontal="right"/>
    </xf>
    <xf numFmtId="165" fontId="9" fillId="2" borderId="1" xfId="0" applyNumberFormat="1" applyFont="1" applyFill="1" applyBorder="1"/>
    <xf numFmtId="0" fontId="9" fillId="2" borderId="1" xfId="0" applyFont="1" applyFill="1" applyBorder="1"/>
    <xf numFmtId="165" fontId="11" fillId="2" borderId="1" xfId="0" applyNumberFormat="1" applyFont="1" applyFill="1" applyBorder="1"/>
    <xf numFmtId="166" fontId="9" fillId="0" borderId="0" xfId="0" applyNumberFormat="1" applyFont="1"/>
    <xf numFmtId="165" fontId="11" fillId="0" borderId="0" xfId="0" applyNumberFormat="1" applyFont="1"/>
    <xf numFmtId="165" fontId="16" fillId="4" borderId="9" xfId="0" applyNumberFormat="1" applyFont="1" applyFill="1" applyBorder="1" applyAlignment="1">
      <alignment horizontal="right"/>
    </xf>
    <xf numFmtId="0" fontId="16" fillId="4" borderId="9" xfId="0" applyFont="1" applyFill="1" applyBorder="1" applyAlignment="1">
      <alignment horizontal="right"/>
    </xf>
    <xf numFmtId="0" fontId="11" fillId="8" borderId="2" xfId="0" applyFont="1" applyFill="1" applyBorder="1" applyAlignment="1">
      <alignment horizontal="left"/>
    </xf>
    <xf numFmtId="165" fontId="11" fillId="8" borderId="4" xfId="0" applyNumberFormat="1" applyFont="1" applyFill="1" applyBorder="1" applyAlignment="1">
      <alignment horizontal="right"/>
    </xf>
    <xf numFmtId="0" fontId="11" fillId="7" borderId="1" xfId="0" applyFont="1" applyFill="1" applyBorder="1" applyAlignment="1">
      <alignment horizontal="right"/>
    </xf>
    <xf numFmtId="165" fontId="11" fillId="7" borderId="1" xfId="0" applyNumberFormat="1" applyFont="1" applyFill="1" applyBorder="1" applyAlignment="1">
      <alignment horizontal="right"/>
    </xf>
    <xf numFmtId="0" fontId="16" fillId="0" borderId="1" xfId="0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0" fontId="17" fillId="0" borderId="0" xfId="0" applyFont="1"/>
    <xf numFmtId="0" fontId="18" fillId="0" borderId="0" xfId="0" applyFont="1"/>
    <xf numFmtId="0" fontId="19" fillId="5" borderId="1" xfId="0" applyFont="1" applyFill="1" applyBorder="1" applyAlignment="1">
      <alignment horizontal="right"/>
    </xf>
    <xf numFmtId="0" fontId="19" fillId="5" borderId="1" xfId="0" applyFont="1" applyFill="1" applyBorder="1" applyAlignment="1">
      <alignment horizontal="center"/>
    </xf>
    <xf numFmtId="0" fontId="19" fillId="5" borderId="29" xfId="0" applyFont="1" applyFill="1" applyBorder="1" applyAlignment="1">
      <alignment horizontal="center"/>
    </xf>
    <xf numFmtId="0" fontId="19" fillId="5" borderId="2" xfId="0" applyFont="1" applyFill="1" applyBorder="1" applyAlignment="1">
      <alignment horizontal="right"/>
    </xf>
    <xf numFmtId="0" fontId="19" fillId="5" borderId="14" xfId="0" applyFont="1" applyFill="1" applyBorder="1" applyAlignment="1">
      <alignment horizontal="right"/>
    </xf>
    <xf numFmtId="0" fontId="19" fillId="5" borderId="4" xfId="0" applyFont="1" applyFill="1" applyBorder="1" applyAlignment="1">
      <alignment horizontal="right"/>
    </xf>
    <xf numFmtId="0" fontId="19" fillId="5" borderId="39" xfId="0" applyFont="1" applyFill="1" applyBorder="1" applyAlignment="1">
      <alignment horizontal="center"/>
    </xf>
    <xf numFmtId="0" fontId="19" fillId="5" borderId="40" xfId="0" applyFont="1" applyFill="1" applyBorder="1" applyAlignment="1">
      <alignment horizontal="center"/>
    </xf>
    <xf numFmtId="0" fontId="19" fillId="0" borderId="29" xfId="0" applyFont="1" applyBorder="1" applyAlignment="1">
      <alignment horizontal="right"/>
    </xf>
    <xf numFmtId="0" fontId="19" fillId="0" borderId="6" xfId="0" applyFont="1" applyBorder="1" applyAlignment="1">
      <alignment horizontal="right"/>
    </xf>
    <xf numFmtId="0" fontId="19" fillId="0" borderId="0" xfId="0" applyFont="1" applyAlignment="1">
      <alignment horizontal="right"/>
    </xf>
    <xf numFmtId="0" fontId="19" fillId="0" borderId="12" xfId="0" applyFont="1" applyBorder="1" applyAlignment="1">
      <alignment horizontal="right"/>
    </xf>
    <xf numFmtId="0" fontId="19" fillId="0" borderId="19" xfId="0" applyFont="1" applyBorder="1" applyAlignment="1">
      <alignment horizontal="right"/>
    </xf>
    <xf numFmtId="0" fontId="19" fillId="0" borderId="13" xfId="0" applyFont="1" applyBorder="1" applyAlignment="1">
      <alignment horizontal="right"/>
    </xf>
    <xf numFmtId="0" fontId="19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44" fontId="17" fillId="6" borderId="1" xfId="0" applyNumberFormat="1" applyFont="1" applyFill="1" applyBorder="1"/>
    <xf numFmtId="3" fontId="18" fillId="6" borderId="2" xfId="0" applyNumberFormat="1" applyFont="1" applyFill="1" applyBorder="1"/>
    <xf numFmtId="3" fontId="18" fillId="6" borderId="14" xfId="0" applyNumberFormat="1" applyFont="1" applyFill="1" applyBorder="1"/>
    <xf numFmtId="3" fontId="18" fillId="6" borderId="4" xfId="0" applyNumberFormat="1" applyFont="1" applyFill="1" applyBorder="1"/>
    <xf numFmtId="3" fontId="18" fillId="6" borderId="1" xfId="0" applyNumberFormat="1" applyFont="1" applyFill="1" applyBorder="1"/>
    <xf numFmtId="43" fontId="17" fillId="0" borderId="7" xfId="0" applyNumberFormat="1" applyFont="1" applyBorder="1"/>
    <xf numFmtId="3" fontId="18" fillId="0" borderId="6" xfId="0" applyNumberFormat="1" applyFont="1" applyBorder="1"/>
    <xf numFmtId="3" fontId="18" fillId="0" borderId="0" xfId="0" applyNumberFormat="1" applyFont="1"/>
    <xf numFmtId="3" fontId="18" fillId="0" borderId="5" xfId="0" applyNumberFormat="1" applyFont="1" applyBorder="1"/>
    <xf numFmtId="3" fontId="18" fillId="0" borderId="7" xfId="0" applyNumberFormat="1" applyFont="1" applyBorder="1"/>
    <xf numFmtId="43" fontId="17" fillId="6" borderId="1" xfId="0" applyNumberFormat="1" applyFont="1" applyFill="1" applyBorder="1"/>
    <xf numFmtId="43" fontId="18" fillId="0" borderId="7" xfId="0" applyNumberFormat="1" applyFont="1" applyBorder="1"/>
    <xf numFmtId="43" fontId="12" fillId="0" borderId="7" xfId="0" applyNumberFormat="1" applyFont="1" applyBorder="1" applyAlignment="1">
      <alignment horizontal="right"/>
    </xf>
    <xf numFmtId="0" fontId="17" fillId="6" borderId="1" xfId="0" applyFont="1" applyFill="1" applyBorder="1"/>
    <xf numFmtId="0" fontId="18" fillId="0" borderId="30" xfId="0" applyFont="1" applyBorder="1"/>
    <xf numFmtId="3" fontId="18" fillId="0" borderId="20" xfId="0" applyNumberFormat="1" applyFont="1" applyBorder="1"/>
    <xf numFmtId="3" fontId="18" fillId="0" borderId="9" xfId="0" applyNumberFormat="1" applyFont="1" applyBorder="1"/>
    <xf numFmtId="3" fontId="18" fillId="0" borderId="21" xfId="0" applyNumberFormat="1" applyFont="1" applyBorder="1"/>
    <xf numFmtId="0" fontId="17" fillId="9" borderId="1" xfId="0" applyFont="1" applyFill="1" applyBorder="1"/>
    <xf numFmtId="41" fontId="17" fillId="9" borderId="1" xfId="0" applyNumberFormat="1" applyFont="1" applyFill="1" applyBorder="1"/>
    <xf numFmtId="0" fontId="17" fillId="0" borderId="1" xfId="0" applyFont="1" applyBorder="1"/>
    <xf numFmtId="3" fontId="17" fillId="0" borderId="1" xfId="0" applyNumberFormat="1" applyFont="1" applyBorder="1"/>
    <xf numFmtId="3" fontId="17" fillId="9" borderId="1" xfId="0" applyNumberFormat="1" applyFont="1" applyFill="1" applyBorder="1"/>
    <xf numFmtId="0" fontId="18" fillId="0" borderId="1" xfId="0" applyFont="1" applyBorder="1"/>
    <xf numFmtId="0" fontId="18" fillId="0" borderId="13" xfId="0" applyFont="1" applyBorder="1"/>
    <xf numFmtId="3" fontId="18" fillId="0" borderId="13" xfId="0" applyNumberFormat="1" applyFont="1" applyBorder="1"/>
    <xf numFmtId="38" fontId="18" fillId="0" borderId="0" xfId="0" applyNumberFormat="1" applyFont="1"/>
    <xf numFmtId="9" fontId="18" fillId="0" borderId="0" xfId="2" applyFont="1" applyBorder="1"/>
    <xf numFmtId="167" fontId="11" fillId="0" borderId="0" xfId="0" applyNumberFormat="1" applyFont="1"/>
    <xf numFmtId="0" fontId="14" fillId="5" borderId="22" xfId="0" applyFont="1" applyFill="1" applyBorder="1" applyAlignment="1">
      <alignment horizontal="center"/>
    </xf>
    <xf numFmtId="0" fontId="14" fillId="5" borderId="41" xfId="0" applyFont="1" applyFill="1" applyBorder="1" applyAlignment="1">
      <alignment horizontal="right"/>
    </xf>
    <xf numFmtId="0" fontId="14" fillId="5" borderId="41" xfId="0" applyFont="1" applyFill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9" fillId="6" borderId="17" xfId="0" applyFont="1" applyFill="1" applyBorder="1"/>
    <xf numFmtId="0" fontId="9" fillId="0" borderId="28" xfId="0" applyFont="1" applyBorder="1"/>
    <xf numFmtId="3" fontId="10" fillId="0" borderId="22" xfId="0" applyNumberFormat="1" applyFont="1" applyBorder="1"/>
    <xf numFmtId="3" fontId="9" fillId="0" borderId="17" xfId="0" applyNumberFormat="1" applyFont="1" applyBorder="1"/>
    <xf numFmtId="3" fontId="9" fillId="6" borderId="19" xfId="0" applyNumberFormat="1" applyFont="1" applyFill="1" applyBorder="1"/>
    <xf numFmtId="3" fontId="9" fillId="6" borderId="17" xfId="0" applyNumberFormat="1" applyFont="1" applyFill="1" applyBorder="1"/>
    <xf numFmtId="3" fontId="11" fillId="9" borderId="1" xfId="0" applyNumberFormat="1" applyFont="1" applyFill="1" applyBorder="1"/>
    <xf numFmtId="3" fontId="9" fillId="0" borderId="28" xfId="0" applyNumberFormat="1" applyFont="1" applyBorder="1"/>
    <xf numFmtId="0" fontId="9" fillId="0" borderId="11" xfId="0" applyFont="1" applyBorder="1" applyAlignment="1">
      <alignment horizontal="left" wrapText="1" indent="1"/>
    </xf>
    <xf numFmtId="3" fontId="13" fillId="0" borderId="22" xfId="0" applyNumberFormat="1" applyFont="1" applyBorder="1"/>
    <xf numFmtId="3" fontId="9" fillId="0" borderId="27" xfId="0" applyNumberFormat="1" applyFont="1" applyBorder="1"/>
    <xf numFmtId="3" fontId="11" fillId="9" borderId="17" xfId="0" applyNumberFormat="1" applyFont="1" applyFill="1" applyBorder="1"/>
    <xf numFmtId="0" fontId="9" fillId="0" borderId="11" xfId="0" applyFont="1" applyBorder="1" applyAlignment="1">
      <alignment wrapText="1"/>
    </xf>
    <xf numFmtId="43" fontId="9" fillId="0" borderId="11" xfId="0" applyNumberFormat="1" applyFont="1" applyBorder="1" applyAlignment="1">
      <alignment wrapText="1"/>
    </xf>
    <xf numFmtId="3" fontId="11" fillId="0" borderId="17" xfId="0" applyNumberFormat="1" applyFont="1" applyBorder="1"/>
    <xf numFmtId="43" fontId="11" fillId="10" borderId="11" xfId="0" applyNumberFormat="1" applyFont="1" applyFill="1" applyBorder="1" applyAlignment="1">
      <alignment wrapText="1"/>
    </xf>
    <xf numFmtId="1" fontId="9" fillId="10" borderId="22" xfId="0" applyNumberFormat="1" applyFont="1" applyFill="1" applyBorder="1"/>
    <xf numFmtId="3" fontId="9" fillId="10" borderId="6" xfId="0" applyNumberFormat="1" applyFont="1" applyFill="1" applyBorder="1"/>
    <xf numFmtId="3" fontId="9" fillId="10" borderId="16" xfId="0" applyNumberFormat="1" applyFont="1" applyFill="1" applyBorder="1"/>
    <xf numFmtId="3" fontId="9" fillId="10" borderId="22" xfId="0" applyNumberFormat="1" applyFont="1" applyFill="1" applyBorder="1"/>
    <xf numFmtId="3" fontId="9" fillId="10" borderId="11" xfId="0" applyNumberFormat="1" applyFont="1" applyFill="1" applyBorder="1"/>
    <xf numFmtId="3" fontId="9" fillId="3" borderId="17" xfId="0" applyNumberFormat="1" applyFont="1" applyFill="1" applyBorder="1"/>
    <xf numFmtId="172" fontId="18" fillId="0" borderId="0" xfId="0" applyNumberFormat="1" applyFont="1"/>
    <xf numFmtId="171" fontId="9" fillId="0" borderId="11" xfId="3" applyNumberFormat="1" applyFont="1" applyBorder="1" applyAlignment="1">
      <alignment horizontal="left" indent="1"/>
    </xf>
    <xf numFmtId="3" fontId="9" fillId="0" borderId="22" xfId="0" applyNumberFormat="1" applyFont="1" applyBorder="1"/>
    <xf numFmtId="1" fontId="9" fillId="0" borderId="1" xfId="0" applyNumberFormat="1" applyFont="1" applyBorder="1"/>
    <xf numFmtId="1" fontId="9" fillId="0" borderId="0" xfId="0" applyNumberFormat="1" applyFont="1"/>
    <xf numFmtId="1" fontId="9" fillId="10" borderId="0" xfId="0" applyNumberFormat="1" applyFont="1" applyFill="1"/>
    <xf numFmtId="3" fontId="9" fillId="0" borderId="5" xfId="0" applyNumberFormat="1" applyFont="1" applyBorder="1"/>
    <xf numFmtId="3" fontId="9" fillId="10" borderId="5" xfId="0" applyNumberFormat="1" applyFont="1" applyFill="1" applyBorder="1"/>
    <xf numFmtId="3" fontId="9" fillId="10" borderId="0" xfId="0" applyNumberFormat="1" applyFont="1" applyFill="1"/>
    <xf numFmtId="1" fontId="9" fillId="0" borderId="6" xfId="0" applyNumberFormat="1" applyFont="1" applyBorder="1"/>
    <xf numFmtId="164" fontId="9" fillId="0" borderId="5" xfId="0" applyNumberFormat="1" applyFont="1" applyBorder="1"/>
    <xf numFmtId="1" fontId="9" fillId="10" borderId="6" xfId="0" applyNumberFormat="1" applyFont="1" applyFill="1" applyBorder="1"/>
    <xf numFmtId="164" fontId="9" fillId="10" borderId="5" xfId="0" applyNumberFormat="1" applyFont="1" applyFill="1" applyBorder="1"/>
    <xf numFmtId="164" fontId="10" fillId="0" borderId="6" xfId="0" applyNumberFormat="1" applyFont="1" applyBorder="1"/>
    <xf numFmtId="43" fontId="10" fillId="0" borderId="5" xfId="0" applyNumberFormat="1" applyFont="1" applyBorder="1"/>
    <xf numFmtId="0" fontId="9" fillId="0" borderId="21" xfId="0" applyFont="1" applyBorder="1"/>
    <xf numFmtId="3" fontId="9" fillId="10" borderId="7" xfId="0" applyNumberFormat="1" applyFont="1" applyFill="1" applyBorder="1"/>
    <xf numFmtId="0" fontId="10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wrapText="1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38" fontId="9" fillId="0" borderId="0" xfId="0" applyNumberFormat="1" applyFont="1" applyAlignment="1">
      <alignment horizontal="right"/>
    </xf>
    <xf numFmtId="0" fontId="14" fillId="5" borderId="26" xfId="0" applyFont="1" applyFill="1" applyBorder="1" applyAlignment="1">
      <alignment horizontal="center"/>
    </xf>
    <xf numFmtId="0" fontId="14" fillId="5" borderId="28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4" fillId="5" borderId="19" xfId="0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44" fontId="11" fillId="6" borderId="14" xfId="0" applyNumberFormat="1" applyFont="1" applyFill="1" applyBorder="1" applyAlignment="1">
      <alignment horizontal="right"/>
    </xf>
    <xf numFmtId="43" fontId="11" fillId="9" borderId="14" xfId="0" applyNumberFormat="1" applyFont="1" applyFill="1" applyBorder="1" applyAlignment="1">
      <alignment horizontal="right"/>
    </xf>
    <xf numFmtId="43" fontId="11" fillId="0" borderId="14" xfId="0" applyNumberFormat="1" applyFont="1" applyBorder="1" applyAlignment="1">
      <alignment horizontal="right"/>
    </xf>
    <xf numFmtId="43" fontId="11" fillId="6" borderId="14" xfId="0" applyNumberFormat="1" applyFont="1" applyFill="1" applyBorder="1" applyAlignment="1">
      <alignment horizontal="right"/>
    </xf>
    <xf numFmtId="43" fontId="9" fillId="0" borderId="13" xfId="0" applyNumberFormat="1" applyFont="1" applyBorder="1" applyAlignment="1">
      <alignment horizontal="right"/>
    </xf>
    <xf numFmtId="43" fontId="9" fillId="0" borderId="14" xfId="0" applyNumberFormat="1" applyFont="1" applyBorder="1" applyAlignment="1">
      <alignment horizontal="right"/>
    </xf>
    <xf numFmtId="43" fontId="11" fillId="0" borderId="13" xfId="0" applyNumberFormat="1" applyFont="1" applyBorder="1" applyAlignment="1">
      <alignment horizontal="right"/>
    </xf>
    <xf numFmtId="43" fontId="11" fillId="0" borderId="9" xfId="0" applyNumberFormat="1" applyFont="1" applyBorder="1" applyAlignment="1">
      <alignment horizontal="right"/>
    </xf>
    <xf numFmtId="0" fontId="11" fillId="9" borderId="14" xfId="0" applyFont="1" applyFill="1" applyBorder="1" applyAlignment="1">
      <alignment horizontal="right"/>
    </xf>
    <xf numFmtId="0" fontId="11" fillId="0" borderId="14" xfId="0" applyFont="1" applyBorder="1" applyAlignment="1">
      <alignment horizontal="right"/>
    </xf>
    <xf numFmtId="0" fontId="11" fillId="6" borderId="14" xfId="0" applyFont="1" applyFill="1" applyBorder="1" applyAlignment="1">
      <alignment horizontal="right"/>
    </xf>
    <xf numFmtId="43" fontId="11" fillId="3" borderId="14" xfId="0" applyNumberFormat="1" applyFont="1" applyFill="1" applyBorder="1" applyAlignment="1">
      <alignment horizontal="right"/>
    </xf>
    <xf numFmtId="10" fontId="9" fillId="3" borderId="14" xfId="0" applyNumberFormat="1" applyFont="1" applyFill="1" applyBorder="1" applyAlignment="1">
      <alignment horizontal="right"/>
    </xf>
    <xf numFmtId="0" fontId="9" fillId="3" borderId="36" xfId="0" applyFont="1" applyFill="1" applyBorder="1" applyAlignment="1">
      <alignment horizontal="right"/>
    </xf>
    <xf numFmtId="0" fontId="17" fillId="0" borderId="0" xfId="3" applyFont="1"/>
    <xf numFmtId="0" fontId="18" fillId="0" borderId="0" xfId="3" applyFont="1"/>
    <xf numFmtId="0" fontId="19" fillId="5" borderId="1" xfId="3" applyFont="1" applyFill="1" applyBorder="1" applyAlignment="1">
      <alignment horizontal="left" wrapText="1"/>
    </xf>
    <xf numFmtId="0" fontId="19" fillId="5" borderId="1" xfId="3" applyFont="1" applyFill="1" applyBorder="1" applyAlignment="1">
      <alignment horizontal="center" wrapText="1"/>
    </xf>
    <xf numFmtId="0" fontId="19" fillId="5" borderId="29" xfId="3" applyFont="1" applyFill="1" applyBorder="1" applyAlignment="1">
      <alignment horizontal="center" wrapText="1"/>
    </xf>
    <xf numFmtId="0" fontId="18" fillId="0" borderId="0" xfId="3" applyFont="1" applyAlignment="1">
      <alignment wrapText="1"/>
    </xf>
    <xf numFmtId="0" fontId="19" fillId="5" borderId="1" xfId="3" applyFont="1" applyFill="1" applyBorder="1" applyAlignment="1">
      <alignment horizontal="right"/>
    </xf>
    <xf numFmtId="0" fontId="19" fillId="5" borderId="2" xfId="3" applyFont="1" applyFill="1" applyBorder="1" applyAlignment="1">
      <alignment horizontal="right"/>
    </xf>
    <xf numFmtId="0" fontId="19" fillId="5" borderId="14" xfId="3" applyFont="1" applyFill="1" applyBorder="1" applyAlignment="1">
      <alignment horizontal="right"/>
    </xf>
    <xf numFmtId="0" fontId="19" fillId="5" borderId="4" xfId="3" applyFont="1" applyFill="1" applyBorder="1" applyAlignment="1">
      <alignment horizontal="right"/>
    </xf>
    <xf numFmtId="0" fontId="19" fillId="5" borderId="39" xfId="3" applyFont="1" applyFill="1" applyBorder="1" applyAlignment="1">
      <alignment horizontal="center"/>
    </xf>
    <xf numFmtId="0" fontId="19" fillId="5" borderId="40" xfId="3" applyFont="1" applyFill="1" applyBorder="1" applyAlignment="1">
      <alignment horizontal="center"/>
    </xf>
    <xf numFmtId="0" fontId="19" fillId="0" borderId="29" xfId="3" applyFont="1" applyBorder="1" applyAlignment="1">
      <alignment horizontal="right"/>
    </xf>
    <xf numFmtId="0" fontId="19" fillId="0" borderId="6" xfId="3" applyFont="1" applyBorder="1" applyAlignment="1">
      <alignment horizontal="right"/>
    </xf>
    <xf numFmtId="0" fontId="19" fillId="0" borderId="0" xfId="3" applyFont="1" applyAlignment="1">
      <alignment horizontal="right"/>
    </xf>
    <xf numFmtId="0" fontId="19" fillId="0" borderId="12" xfId="3" applyFont="1" applyBorder="1" applyAlignment="1">
      <alignment horizontal="right"/>
    </xf>
    <xf numFmtId="0" fontId="19" fillId="0" borderId="19" xfId="3" applyFont="1" applyBorder="1" applyAlignment="1">
      <alignment horizontal="right"/>
    </xf>
    <xf numFmtId="0" fontId="19" fillId="0" borderId="13" xfId="3" applyFont="1" applyBorder="1" applyAlignment="1">
      <alignment horizontal="right"/>
    </xf>
    <xf numFmtId="0" fontId="19" fillId="0" borderId="7" xfId="3" applyFont="1" applyBorder="1" applyAlignment="1">
      <alignment horizontal="center"/>
    </xf>
    <xf numFmtId="0" fontId="20" fillId="0" borderId="7" xfId="3" applyFont="1" applyBorder="1" applyAlignment="1">
      <alignment horizontal="center"/>
    </xf>
    <xf numFmtId="44" fontId="17" fillId="6" borderId="1" xfId="3" applyNumberFormat="1" applyFont="1" applyFill="1" applyBorder="1"/>
    <xf numFmtId="3" fontId="18" fillId="6" borderId="2" xfId="3" applyNumberFormat="1" applyFont="1" applyFill="1" applyBorder="1"/>
    <xf numFmtId="43" fontId="17" fillId="0" borderId="7" xfId="3" applyNumberFormat="1" applyFont="1" applyBorder="1"/>
    <xf numFmtId="3" fontId="18" fillId="0" borderId="6" xfId="3" applyNumberFormat="1" applyFont="1" applyBorder="1"/>
    <xf numFmtId="3" fontId="18" fillId="0" borderId="0" xfId="3" applyNumberFormat="1" applyFont="1"/>
    <xf numFmtId="3" fontId="18" fillId="0" borderId="5" xfId="3" applyNumberFormat="1" applyFont="1" applyBorder="1"/>
    <xf numFmtId="3" fontId="18" fillId="0" borderId="7" xfId="3" applyNumberFormat="1" applyFont="1" applyBorder="1"/>
    <xf numFmtId="43" fontId="17" fillId="6" borderId="1" xfId="3" applyNumberFormat="1" applyFont="1" applyFill="1" applyBorder="1"/>
    <xf numFmtId="43" fontId="18" fillId="0" borderId="7" xfId="3" applyNumberFormat="1" applyFont="1" applyBorder="1"/>
    <xf numFmtId="43" fontId="12" fillId="0" borderId="7" xfId="3" applyNumberFormat="1" applyFont="1" applyBorder="1" applyAlignment="1">
      <alignment horizontal="right"/>
    </xf>
    <xf numFmtId="0" fontId="17" fillId="6" borderId="1" xfId="3" applyFont="1" applyFill="1" applyBorder="1"/>
    <xf numFmtId="0" fontId="18" fillId="0" borderId="30" xfId="3" applyFont="1" applyBorder="1"/>
    <xf numFmtId="3" fontId="18" fillId="0" borderId="20" xfId="3" applyNumberFormat="1" applyFont="1" applyBorder="1"/>
    <xf numFmtId="3" fontId="18" fillId="0" borderId="9" xfId="3" applyNumberFormat="1" applyFont="1" applyBorder="1"/>
    <xf numFmtId="3" fontId="18" fillId="0" borderId="21" xfId="3" applyNumberFormat="1" applyFont="1" applyBorder="1"/>
    <xf numFmtId="0" fontId="17" fillId="9" borderId="1" xfId="3" applyFont="1" applyFill="1" applyBorder="1"/>
    <xf numFmtId="0" fontId="17" fillId="0" borderId="1" xfId="3" applyFont="1" applyBorder="1"/>
    <xf numFmtId="0" fontId="18" fillId="0" borderId="1" xfId="3" applyFont="1" applyBorder="1"/>
    <xf numFmtId="0" fontId="18" fillId="0" borderId="13" xfId="3" applyFont="1" applyBorder="1"/>
    <xf numFmtId="3" fontId="18" fillId="0" borderId="13" xfId="3" applyNumberFormat="1" applyFont="1" applyBorder="1"/>
    <xf numFmtId="43" fontId="11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4" fillId="5" borderId="42" xfId="0" applyFont="1" applyFill="1" applyBorder="1" applyAlignment="1">
      <alignment horizontal="center"/>
    </xf>
    <xf numFmtId="0" fontId="15" fillId="0" borderId="22" xfId="0" applyFont="1" applyBorder="1" applyAlignment="1">
      <alignment horizontal="center"/>
    </xf>
    <xf numFmtId="43" fontId="11" fillId="0" borderId="11" xfId="0" applyNumberFormat="1" applyFont="1" applyBorder="1" applyAlignment="1">
      <alignment wrapText="1"/>
    </xf>
    <xf numFmtId="0" fontId="9" fillId="0" borderId="0" xfId="14" applyFont="1"/>
    <xf numFmtId="0" fontId="10" fillId="0" borderId="0" xfId="14" applyFont="1" applyAlignment="1">
      <alignment horizontal="center"/>
    </xf>
    <xf numFmtId="0" fontId="10" fillId="0" borderId="0" xfId="14" applyFont="1" applyAlignment="1">
      <alignment horizontal="center" vertical="center" wrapText="1"/>
    </xf>
    <xf numFmtId="0" fontId="9" fillId="0" borderId="1" xfId="14" applyFont="1" applyBorder="1" applyAlignment="1">
      <alignment wrapText="1"/>
    </xf>
    <xf numFmtId="0" fontId="9" fillId="0" borderId="0" xfId="14" applyFont="1" applyAlignment="1">
      <alignment wrapText="1"/>
    </xf>
    <xf numFmtId="3" fontId="9" fillId="0" borderId="0" xfId="14" applyNumberFormat="1" applyFont="1"/>
    <xf numFmtId="3" fontId="9" fillId="0" borderId="0" xfId="14" applyNumberFormat="1" applyFont="1" applyAlignment="1">
      <alignment horizontal="center"/>
    </xf>
    <xf numFmtId="0" fontId="11" fillId="0" borderId="0" xfId="14" applyFont="1"/>
    <xf numFmtId="38" fontId="13" fillId="0" borderId="0" xfId="14" applyNumberFormat="1" applyFont="1" applyAlignment="1">
      <alignment horizontal="left"/>
    </xf>
    <xf numFmtId="0" fontId="9" fillId="0" borderId="0" xfId="14" applyFont="1" applyAlignment="1">
      <alignment horizontal="left"/>
    </xf>
    <xf numFmtId="38" fontId="9" fillId="0" borderId="0" xfId="14" applyNumberFormat="1" applyFont="1"/>
    <xf numFmtId="164" fontId="9" fillId="0" borderId="0" xfId="14" applyNumberFormat="1" applyFont="1"/>
    <xf numFmtId="167" fontId="9" fillId="0" borderId="0" xfId="16" applyNumberFormat="1" applyFont="1"/>
    <xf numFmtId="0" fontId="14" fillId="5" borderId="33" xfId="14" applyFont="1" applyFill="1" applyBorder="1" applyAlignment="1">
      <alignment horizontal="right"/>
    </xf>
    <xf numFmtId="0" fontId="14" fillId="5" borderId="34" xfId="14" applyFont="1" applyFill="1" applyBorder="1" applyAlignment="1">
      <alignment horizontal="right"/>
    </xf>
    <xf numFmtId="0" fontId="14" fillId="5" borderId="34" xfId="14" applyFont="1" applyFill="1" applyBorder="1"/>
    <xf numFmtId="0" fontId="14" fillId="5" borderId="35" xfId="14" applyFont="1" applyFill="1" applyBorder="1"/>
    <xf numFmtId="0" fontId="14" fillId="5" borderId="24" xfId="14" applyFont="1" applyFill="1" applyBorder="1" applyAlignment="1">
      <alignment horizontal="center"/>
    </xf>
    <xf numFmtId="0" fontId="14" fillId="5" borderId="26" xfId="14" applyFont="1" applyFill="1" applyBorder="1" applyAlignment="1">
      <alignment horizontal="right"/>
    </xf>
    <xf numFmtId="0" fontId="14" fillId="5" borderId="28" xfId="14" applyFont="1" applyFill="1" applyBorder="1" applyAlignment="1">
      <alignment horizontal="right"/>
    </xf>
    <xf numFmtId="0" fontId="14" fillId="5" borderId="13" xfId="14" applyFont="1" applyFill="1" applyBorder="1" applyAlignment="1">
      <alignment horizontal="right"/>
    </xf>
    <xf numFmtId="0" fontId="14" fillId="5" borderId="19" xfId="14" applyFont="1" applyFill="1" applyBorder="1" applyAlignment="1">
      <alignment horizontal="right"/>
    </xf>
    <xf numFmtId="0" fontId="14" fillId="5" borderId="15" xfId="14" applyFont="1" applyFill="1" applyBorder="1" applyAlignment="1">
      <alignment horizontal="right"/>
    </xf>
    <xf numFmtId="0" fontId="14" fillId="5" borderId="11" xfId="14" applyFont="1" applyFill="1" applyBorder="1" applyAlignment="1">
      <alignment horizontal="center"/>
    </xf>
    <xf numFmtId="0" fontId="14" fillId="0" borderId="26" xfId="14" applyFont="1" applyBorder="1" applyAlignment="1">
      <alignment horizontal="right"/>
    </xf>
    <xf numFmtId="0" fontId="14" fillId="0" borderId="28" xfId="14" applyFont="1" applyBorder="1" applyAlignment="1">
      <alignment horizontal="right"/>
    </xf>
    <xf numFmtId="0" fontId="14" fillId="0" borderId="13" xfId="14" applyFont="1" applyBorder="1" applyAlignment="1">
      <alignment horizontal="right"/>
    </xf>
    <xf numFmtId="0" fontId="14" fillId="0" borderId="19" xfId="14" applyFont="1" applyBorder="1" applyAlignment="1">
      <alignment horizontal="right"/>
    </xf>
    <xf numFmtId="0" fontId="14" fillId="0" borderId="15" xfId="14" applyFont="1" applyBorder="1" applyAlignment="1">
      <alignment horizontal="right"/>
    </xf>
    <xf numFmtId="44" fontId="11" fillId="6" borderId="25" xfId="14" applyNumberFormat="1" applyFont="1" applyFill="1" applyBorder="1"/>
    <xf numFmtId="44" fontId="11" fillId="6" borderId="17" xfId="14" applyNumberFormat="1" applyFont="1" applyFill="1" applyBorder="1"/>
    <xf numFmtId="44" fontId="11" fillId="6" borderId="14" xfId="14" applyNumberFormat="1" applyFont="1" applyFill="1" applyBorder="1"/>
    <xf numFmtId="0" fontId="9" fillId="6" borderId="2" xfId="14" applyFont="1" applyFill="1" applyBorder="1"/>
    <xf numFmtId="0" fontId="9" fillId="6" borderId="14" xfId="14" applyFont="1" applyFill="1" applyBorder="1"/>
    <xf numFmtId="0" fontId="9" fillId="6" borderId="18" xfId="14" applyFont="1" applyFill="1" applyBorder="1"/>
    <xf numFmtId="0" fontId="9" fillId="6" borderId="25" xfId="14" applyFont="1" applyFill="1" applyBorder="1"/>
    <xf numFmtId="43" fontId="11" fillId="0" borderId="26" xfId="14" applyNumberFormat="1" applyFont="1" applyBorder="1"/>
    <xf numFmtId="43" fontId="11" fillId="0" borderId="22" xfId="14" applyNumberFormat="1" applyFont="1" applyBorder="1"/>
    <xf numFmtId="10" fontId="9" fillId="0" borderId="13" xfId="14" applyNumberFormat="1" applyFont="1" applyBorder="1"/>
    <xf numFmtId="0" fontId="9" fillId="0" borderId="19" xfId="14" applyFont="1" applyBorder="1"/>
    <xf numFmtId="0" fontId="9" fillId="0" borderId="13" xfId="14" applyFont="1" applyBorder="1"/>
    <xf numFmtId="0" fontId="9" fillId="0" borderId="15" xfId="14" applyFont="1" applyBorder="1"/>
    <xf numFmtId="10" fontId="9" fillId="0" borderId="28" xfId="14" applyNumberFormat="1" applyFont="1" applyBorder="1"/>
    <xf numFmtId="9" fontId="9" fillId="0" borderId="28" xfId="15" applyFont="1" applyFill="1" applyBorder="1" applyAlignment="1"/>
    <xf numFmtId="0" fontId="9" fillId="0" borderId="26" xfId="14" applyFont="1" applyBorder="1"/>
    <xf numFmtId="9" fontId="9" fillId="0" borderId="22" xfId="15" applyFont="1" applyFill="1" applyBorder="1" applyAlignment="1"/>
    <xf numFmtId="3" fontId="9" fillId="0" borderId="6" xfId="14" applyNumberFormat="1" applyFont="1" applyBorder="1"/>
    <xf numFmtId="3" fontId="9" fillId="0" borderId="16" xfId="14" applyNumberFormat="1" applyFont="1" applyBorder="1"/>
    <xf numFmtId="3" fontId="9" fillId="0" borderId="11" xfId="14" applyNumberFormat="1" applyFont="1" applyBorder="1"/>
    <xf numFmtId="43" fontId="10" fillId="0" borderId="11" xfId="14" applyNumberFormat="1" applyFont="1" applyBorder="1" applyAlignment="1">
      <alignment horizontal="right"/>
    </xf>
    <xf numFmtId="43" fontId="10" fillId="0" borderId="22" xfId="14" applyNumberFormat="1" applyFont="1" applyBorder="1"/>
    <xf numFmtId="3" fontId="10" fillId="0" borderId="6" xfId="14" applyNumberFormat="1" applyFont="1" applyBorder="1"/>
    <xf numFmtId="0" fontId="10" fillId="0" borderId="0" xfId="14" applyFont="1"/>
    <xf numFmtId="43" fontId="13" fillId="0" borderId="11" xfId="14" applyNumberFormat="1" applyFont="1" applyBorder="1" applyAlignment="1">
      <alignment horizontal="left"/>
    </xf>
    <xf numFmtId="43" fontId="9" fillId="0" borderId="22" xfId="14" applyNumberFormat="1" applyFont="1" applyBorder="1"/>
    <xf numFmtId="43" fontId="11" fillId="0" borderId="11" xfId="14" applyNumberFormat="1" applyFont="1" applyBorder="1"/>
    <xf numFmtId="43" fontId="10" fillId="0" borderId="11" xfId="14" applyNumberFormat="1" applyFont="1" applyBorder="1" applyAlignment="1">
      <alignment horizontal="left"/>
    </xf>
    <xf numFmtId="43" fontId="11" fillId="9" borderId="25" xfId="14" applyNumberFormat="1" applyFont="1" applyFill="1" applyBorder="1" applyAlignment="1">
      <alignment horizontal="right"/>
    </xf>
    <xf numFmtId="43" fontId="11" fillId="9" borderId="17" xfId="14" applyNumberFormat="1" applyFont="1" applyFill="1" applyBorder="1"/>
    <xf numFmtId="43" fontId="11" fillId="9" borderId="14" xfId="14" applyNumberFormat="1" applyFont="1" applyFill="1" applyBorder="1"/>
    <xf numFmtId="3" fontId="11" fillId="9" borderId="2" xfId="14" applyNumberFormat="1" applyFont="1" applyFill="1" applyBorder="1"/>
    <xf numFmtId="43" fontId="11" fillId="0" borderId="25" xfId="14" applyNumberFormat="1" applyFont="1" applyBorder="1"/>
    <xf numFmtId="43" fontId="11" fillId="0" borderId="17" xfId="14" applyNumberFormat="1" applyFont="1" applyBorder="1"/>
    <xf numFmtId="43" fontId="11" fillId="0" borderId="14" xfId="14" applyNumberFormat="1" applyFont="1" applyBorder="1"/>
    <xf numFmtId="3" fontId="9" fillId="0" borderId="2" xfId="14" applyNumberFormat="1" applyFont="1" applyBorder="1"/>
    <xf numFmtId="3" fontId="9" fillId="0" borderId="14" xfId="14" applyNumberFormat="1" applyFont="1" applyBorder="1"/>
    <xf numFmtId="3" fontId="9" fillId="0" borderId="18" xfId="14" applyNumberFormat="1" applyFont="1" applyBorder="1"/>
    <xf numFmtId="3" fontId="9" fillId="0" borderId="25" xfId="14" applyNumberFormat="1" applyFont="1" applyBorder="1"/>
    <xf numFmtId="43" fontId="11" fillId="6" borderId="25" xfId="14" applyNumberFormat="1" applyFont="1" applyFill="1" applyBorder="1"/>
    <xf numFmtId="43" fontId="11" fillId="6" borderId="17" xfId="14" applyNumberFormat="1" applyFont="1" applyFill="1" applyBorder="1"/>
    <xf numFmtId="43" fontId="11" fillId="6" borderId="14" xfId="14" applyNumberFormat="1" applyFont="1" applyFill="1" applyBorder="1"/>
    <xf numFmtId="3" fontId="9" fillId="6" borderId="2" xfId="14" applyNumberFormat="1" applyFont="1" applyFill="1" applyBorder="1"/>
    <xf numFmtId="3" fontId="9" fillId="6" borderId="14" xfId="14" applyNumberFormat="1" applyFont="1" applyFill="1" applyBorder="1"/>
    <xf numFmtId="3" fontId="9" fillId="6" borderId="18" xfId="14" applyNumberFormat="1" applyFont="1" applyFill="1" applyBorder="1"/>
    <xf numFmtId="3" fontId="9" fillId="6" borderId="25" xfId="14" applyNumberFormat="1" applyFont="1" applyFill="1" applyBorder="1"/>
    <xf numFmtId="43" fontId="9" fillId="0" borderId="26" xfId="14" applyNumberFormat="1" applyFont="1" applyBorder="1"/>
    <xf numFmtId="10" fontId="9" fillId="0" borderId="22" xfId="14" applyNumberFormat="1" applyFont="1" applyBorder="1"/>
    <xf numFmtId="3" fontId="9" fillId="0" borderId="13" xfId="14" applyNumberFormat="1" applyFont="1" applyBorder="1"/>
    <xf numFmtId="3" fontId="9" fillId="0" borderId="19" xfId="14" applyNumberFormat="1" applyFont="1" applyBorder="1"/>
    <xf numFmtId="3" fontId="9" fillId="0" borderId="26" xfId="14" applyNumberFormat="1" applyFont="1" applyBorder="1"/>
    <xf numFmtId="43" fontId="9" fillId="0" borderId="11" xfId="14" applyNumberFormat="1" applyFont="1" applyBorder="1"/>
    <xf numFmtId="0" fontId="9" fillId="0" borderId="22" xfId="14" applyFont="1" applyBorder="1"/>
    <xf numFmtId="0" fontId="9" fillId="0" borderId="10" xfId="14" applyFont="1" applyBorder="1"/>
    <xf numFmtId="0" fontId="9" fillId="0" borderId="27" xfId="14" applyFont="1" applyBorder="1"/>
    <xf numFmtId="0" fontId="9" fillId="0" borderId="9" xfId="14" applyFont="1" applyBorder="1"/>
    <xf numFmtId="0" fontId="9" fillId="0" borderId="20" xfId="14" applyFont="1" applyBorder="1"/>
    <xf numFmtId="0" fontId="9" fillId="0" borderId="23" xfId="14" applyFont="1" applyBorder="1"/>
    <xf numFmtId="43" fontId="9" fillId="0" borderId="28" xfId="14" applyNumberFormat="1" applyFont="1" applyBorder="1"/>
    <xf numFmtId="43" fontId="9" fillId="0" borderId="13" xfId="14" applyNumberFormat="1" applyFont="1" applyBorder="1"/>
    <xf numFmtId="3" fontId="9" fillId="0" borderId="15" xfId="14" applyNumberFormat="1" applyFont="1" applyBorder="1"/>
    <xf numFmtId="0" fontId="11" fillId="0" borderId="11" xfId="14" applyFont="1" applyBorder="1"/>
    <xf numFmtId="0" fontId="9" fillId="0" borderId="11" xfId="14" applyFont="1" applyBorder="1" applyAlignment="1">
      <alignment horizontal="left" indent="1"/>
    </xf>
    <xf numFmtId="1" fontId="9" fillId="0" borderId="22" xfId="14" applyNumberFormat="1" applyFont="1" applyBorder="1"/>
    <xf numFmtId="0" fontId="10" fillId="0" borderId="11" xfId="14" applyFont="1" applyBorder="1" applyAlignment="1">
      <alignment horizontal="right"/>
    </xf>
    <xf numFmtId="164" fontId="10" fillId="0" borderId="22" xfId="14" applyNumberFormat="1" applyFont="1" applyBorder="1"/>
    <xf numFmtId="0" fontId="13" fillId="0" borderId="11" xfId="14" applyFont="1" applyBorder="1" applyAlignment="1">
      <alignment horizontal="right"/>
    </xf>
    <xf numFmtId="164" fontId="13" fillId="0" borderId="22" xfId="14" applyNumberFormat="1" applyFont="1" applyBorder="1"/>
    <xf numFmtId="3" fontId="13" fillId="0" borderId="6" xfId="14" applyNumberFormat="1" applyFont="1" applyBorder="1"/>
    <xf numFmtId="3" fontId="13" fillId="0" borderId="16" xfId="14" applyNumberFormat="1" applyFont="1" applyBorder="1"/>
    <xf numFmtId="3" fontId="13" fillId="0" borderId="11" xfId="14" applyNumberFormat="1" applyFont="1" applyBorder="1"/>
    <xf numFmtId="0" fontId="13" fillId="0" borderId="0" xfId="14" applyFont="1"/>
    <xf numFmtId="0" fontId="9" fillId="0" borderId="11" xfId="14" applyFont="1" applyBorder="1"/>
    <xf numFmtId="164" fontId="9" fillId="0" borderId="22" xfId="14" applyNumberFormat="1" applyFont="1" applyBorder="1"/>
    <xf numFmtId="43" fontId="9" fillId="0" borderId="25" xfId="14" applyNumberFormat="1" applyFont="1" applyBorder="1"/>
    <xf numFmtId="43" fontId="9" fillId="0" borderId="17" xfId="14" applyNumberFormat="1" applyFont="1" applyBorder="1"/>
    <xf numFmtId="43" fontId="9" fillId="0" borderId="14" xfId="14" applyNumberFormat="1" applyFont="1" applyBorder="1"/>
    <xf numFmtId="43" fontId="11" fillId="0" borderId="13" xfId="14" applyNumberFormat="1" applyFont="1" applyBorder="1"/>
    <xf numFmtId="43" fontId="11" fillId="0" borderId="28" xfId="14" applyNumberFormat="1" applyFont="1" applyBorder="1"/>
    <xf numFmtId="43" fontId="9" fillId="0" borderId="10" xfId="14" applyNumberFormat="1" applyFont="1" applyBorder="1"/>
    <xf numFmtId="43" fontId="11" fillId="0" borderId="27" xfId="14" applyNumberFormat="1" applyFont="1" applyBorder="1"/>
    <xf numFmtId="43" fontId="11" fillId="0" borderId="9" xfId="14" applyNumberFormat="1" applyFont="1" applyBorder="1"/>
    <xf numFmtId="3" fontId="9" fillId="0" borderId="20" xfId="14" applyNumberFormat="1" applyFont="1" applyBorder="1"/>
    <xf numFmtId="3" fontId="9" fillId="0" borderId="9" xfId="14" applyNumberFormat="1" applyFont="1" applyBorder="1"/>
    <xf numFmtId="3" fontId="9" fillId="0" borderId="23" xfId="14" applyNumberFormat="1" applyFont="1" applyBorder="1"/>
    <xf numFmtId="3" fontId="9" fillId="0" borderId="10" xfId="14" applyNumberFormat="1" applyFont="1" applyBorder="1"/>
    <xf numFmtId="3" fontId="11" fillId="9" borderId="25" xfId="14" applyNumberFormat="1" applyFont="1" applyFill="1" applyBorder="1"/>
    <xf numFmtId="43" fontId="10" fillId="0" borderId="25" xfId="14" applyNumberFormat="1" applyFont="1" applyBorder="1" applyAlignment="1">
      <alignment horizontal="right"/>
    </xf>
    <xf numFmtId="9" fontId="9" fillId="0" borderId="0" xfId="15" applyFont="1" applyFill="1"/>
    <xf numFmtId="43" fontId="9" fillId="0" borderId="11" xfId="14" applyNumberFormat="1" applyFont="1" applyBorder="1" applyAlignment="1">
      <alignment wrapText="1"/>
    </xf>
    <xf numFmtId="0" fontId="11" fillId="9" borderId="25" xfId="14" applyFont="1" applyFill="1" applyBorder="1" applyAlignment="1">
      <alignment horizontal="right"/>
    </xf>
    <xf numFmtId="0" fontId="11" fillId="9" borderId="17" xfId="14" applyFont="1" applyFill="1" applyBorder="1"/>
    <xf numFmtId="0" fontId="11" fillId="9" borderId="14" xfId="14" applyFont="1" applyFill="1" applyBorder="1"/>
    <xf numFmtId="0" fontId="11" fillId="0" borderId="25" xfId="14" applyFont="1" applyBorder="1" applyAlignment="1">
      <alignment horizontal="right"/>
    </xf>
    <xf numFmtId="0" fontId="11" fillId="0" borderId="17" xfId="14" applyFont="1" applyBorder="1"/>
    <xf numFmtId="0" fontId="11" fillId="0" borderId="14" xfId="14" applyFont="1" applyBorder="1"/>
    <xf numFmtId="3" fontId="11" fillId="0" borderId="2" xfId="14" applyNumberFormat="1" applyFont="1" applyBorder="1"/>
    <xf numFmtId="3" fontId="11" fillId="0" borderId="14" xfId="14" applyNumberFormat="1" applyFont="1" applyBorder="1"/>
    <xf numFmtId="3" fontId="11" fillId="0" borderId="18" xfId="14" applyNumberFormat="1" applyFont="1" applyBorder="1"/>
    <xf numFmtId="3" fontId="11" fillId="0" borderId="25" xfId="14" applyNumberFormat="1" applyFont="1" applyBorder="1"/>
    <xf numFmtId="0" fontId="11" fillId="6" borderId="25" xfId="14" applyFont="1" applyFill="1" applyBorder="1"/>
    <xf numFmtId="0" fontId="11" fillId="6" borderId="17" xfId="14" applyFont="1" applyFill="1" applyBorder="1"/>
    <xf numFmtId="0" fontId="11" fillId="6" borderId="14" xfId="14" applyFont="1" applyFill="1" applyBorder="1"/>
    <xf numFmtId="3" fontId="11" fillId="0" borderId="0" xfId="14" applyNumberFormat="1" applyFont="1"/>
    <xf numFmtId="43" fontId="11" fillId="10" borderId="11" xfId="14" applyNumberFormat="1" applyFont="1" applyFill="1" applyBorder="1" applyAlignment="1">
      <alignment wrapText="1"/>
    </xf>
    <xf numFmtId="1" fontId="9" fillId="10" borderId="22" xfId="14" applyNumberFormat="1" applyFont="1" applyFill="1" applyBorder="1"/>
    <xf numFmtId="3" fontId="9" fillId="10" borderId="6" xfId="14" applyNumberFormat="1" applyFont="1" applyFill="1" applyBorder="1"/>
    <xf numFmtId="3" fontId="9" fillId="10" borderId="16" xfId="14" applyNumberFormat="1" applyFont="1" applyFill="1" applyBorder="1"/>
    <xf numFmtId="3" fontId="9" fillId="10" borderId="11" xfId="14" applyNumberFormat="1" applyFont="1" applyFill="1" applyBorder="1"/>
    <xf numFmtId="0" fontId="11" fillId="3" borderId="25" xfId="14" applyFont="1" applyFill="1" applyBorder="1"/>
    <xf numFmtId="43" fontId="11" fillId="3" borderId="17" xfId="14" applyNumberFormat="1" applyFont="1" applyFill="1" applyBorder="1"/>
    <xf numFmtId="43" fontId="11" fillId="3" borderId="14" xfId="14" applyNumberFormat="1" applyFont="1" applyFill="1" applyBorder="1"/>
    <xf numFmtId="43" fontId="11" fillId="3" borderId="4" xfId="14" applyNumberFormat="1" applyFont="1" applyFill="1" applyBorder="1"/>
    <xf numFmtId="10" fontId="9" fillId="3" borderId="17" xfId="14" applyNumberFormat="1" applyFont="1" applyFill="1" applyBorder="1"/>
    <xf numFmtId="10" fontId="9" fillId="3" borderId="14" xfId="14" applyNumberFormat="1" applyFont="1" applyFill="1" applyBorder="1"/>
    <xf numFmtId="10" fontId="9" fillId="3" borderId="4" xfId="14" applyNumberFormat="1" applyFont="1" applyFill="1" applyBorder="1"/>
    <xf numFmtId="0" fontId="9" fillId="3" borderId="31" xfId="14" applyFont="1" applyFill="1" applyBorder="1"/>
    <xf numFmtId="0" fontId="9" fillId="3" borderId="36" xfId="14" applyFont="1" applyFill="1" applyBorder="1"/>
    <xf numFmtId="0" fontId="9" fillId="3" borderId="37" xfId="14" applyFont="1" applyFill="1" applyBorder="1"/>
    <xf numFmtId="9" fontId="9" fillId="0" borderId="0" xfId="11" applyFont="1"/>
    <xf numFmtId="41" fontId="9" fillId="0" borderId="0" xfId="14" applyNumberFormat="1" applyFont="1"/>
    <xf numFmtId="168" fontId="9" fillId="0" borderId="0" xfId="15" applyNumberFormat="1" applyFont="1" applyBorder="1"/>
    <xf numFmtId="168" fontId="9" fillId="0" borderId="0" xfId="14" applyNumberFormat="1" applyFont="1"/>
    <xf numFmtId="0" fontId="19" fillId="5" borderId="1" xfId="3" applyFont="1" applyFill="1" applyBorder="1" applyAlignment="1">
      <alignment horizontal="center"/>
    </xf>
    <xf numFmtId="0" fontId="19" fillId="5" borderId="29" xfId="3" applyFont="1" applyFill="1" applyBorder="1" applyAlignment="1">
      <alignment horizontal="center"/>
    </xf>
    <xf numFmtId="38" fontId="18" fillId="0" borderId="0" xfId="3" applyNumberFormat="1" applyFont="1"/>
    <xf numFmtId="9" fontId="18" fillId="0" borderId="0" xfId="15" applyFont="1" applyBorder="1"/>
    <xf numFmtId="43" fontId="11" fillId="0" borderId="0" xfId="14" applyNumberFormat="1" applyFont="1"/>
    <xf numFmtId="43" fontId="9" fillId="0" borderId="11" xfId="14" applyNumberFormat="1" applyFont="1" applyBorder="1" applyAlignment="1">
      <alignment horizontal="left" inden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left"/>
    </xf>
    <xf numFmtId="0" fontId="14" fillId="5" borderId="34" xfId="0" applyFont="1" applyFill="1" applyBorder="1" applyAlignment="1">
      <alignment horizontal="left"/>
    </xf>
    <xf numFmtId="0" fontId="14" fillId="0" borderId="13" xfId="0" applyFont="1" applyBorder="1" applyAlignment="1">
      <alignment horizontal="left"/>
    </xf>
    <xf numFmtId="44" fontId="11" fillId="6" borderId="14" xfId="0" applyNumberFormat="1" applyFont="1" applyFill="1" applyBorder="1" applyAlignment="1">
      <alignment horizontal="left"/>
    </xf>
    <xf numFmtId="43" fontId="11" fillId="9" borderId="14" xfId="0" applyNumberFormat="1" applyFont="1" applyFill="1" applyBorder="1" applyAlignment="1">
      <alignment horizontal="left"/>
    </xf>
    <xf numFmtId="43" fontId="11" fillId="0" borderId="14" xfId="0" applyNumberFormat="1" applyFont="1" applyBorder="1" applyAlignment="1">
      <alignment horizontal="left"/>
    </xf>
    <xf numFmtId="43" fontId="11" fillId="6" borderId="14" xfId="0" applyNumberFormat="1" applyFont="1" applyFill="1" applyBorder="1" applyAlignment="1">
      <alignment horizontal="left"/>
    </xf>
    <xf numFmtId="43" fontId="9" fillId="0" borderId="13" xfId="0" applyNumberFormat="1" applyFont="1" applyBorder="1" applyAlignment="1">
      <alignment horizontal="left"/>
    </xf>
    <xf numFmtId="43" fontId="9" fillId="0" borderId="0" xfId="0" applyNumberFormat="1" applyFont="1" applyAlignment="1">
      <alignment horizontal="left"/>
    </xf>
    <xf numFmtId="43" fontId="9" fillId="0" borderId="14" xfId="0" applyNumberFormat="1" applyFont="1" applyBorder="1" applyAlignment="1">
      <alignment horizontal="left"/>
    </xf>
    <xf numFmtId="43" fontId="11" fillId="0" borderId="13" xfId="0" applyNumberFormat="1" applyFont="1" applyBorder="1" applyAlignment="1">
      <alignment horizontal="left"/>
    </xf>
    <xf numFmtId="43" fontId="11" fillId="0" borderId="9" xfId="0" applyNumberFormat="1" applyFont="1" applyBorder="1" applyAlignment="1">
      <alignment horizontal="left"/>
    </xf>
    <xf numFmtId="0" fontId="11" fillId="9" borderId="14" xfId="0" applyFont="1" applyFill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6" borderId="14" xfId="0" applyFont="1" applyFill="1" applyBorder="1" applyAlignment="1">
      <alignment horizontal="left"/>
    </xf>
    <xf numFmtId="43" fontId="10" fillId="0" borderId="0" xfId="0" applyNumberFormat="1" applyFont="1" applyAlignment="1">
      <alignment horizontal="left"/>
    </xf>
    <xf numFmtId="43" fontId="11" fillId="3" borderId="4" xfId="0" applyNumberFormat="1" applyFont="1" applyFill="1" applyBorder="1" applyAlignment="1">
      <alignment horizontal="left"/>
    </xf>
    <xf numFmtId="10" fontId="9" fillId="3" borderId="4" xfId="0" applyNumberFormat="1" applyFont="1" applyFill="1" applyBorder="1" applyAlignment="1">
      <alignment horizontal="left"/>
    </xf>
    <xf numFmtId="0" fontId="9" fillId="3" borderId="37" xfId="0" applyFont="1" applyFill="1" applyBorder="1" applyAlignment="1">
      <alignment horizontal="left"/>
    </xf>
    <xf numFmtId="43" fontId="9" fillId="0" borderId="11" xfId="14" applyNumberFormat="1" applyFont="1" applyBorder="1" applyAlignment="1">
      <alignment horizontal="left" wrapText="1"/>
    </xf>
    <xf numFmtId="10" fontId="9" fillId="0" borderId="0" xfId="14" applyNumberFormat="1" applyFont="1"/>
    <xf numFmtId="0" fontId="9" fillId="0" borderId="6" xfId="14" applyFont="1" applyBorder="1"/>
    <xf numFmtId="0" fontId="9" fillId="0" borderId="16" xfId="14" applyFont="1" applyBorder="1"/>
    <xf numFmtId="10" fontId="9" fillId="0" borderId="0" xfId="0" applyNumberFormat="1" applyFont="1"/>
    <xf numFmtId="0" fontId="9" fillId="0" borderId="6" xfId="0" applyFont="1" applyBorder="1"/>
    <xf numFmtId="0" fontId="9" fillId="0" borderId="16" xfId="0" applyFont="1" applyBorder="1"/>
    <xf numFmtId="43" fontId="10" fillId="0" borderId="11" xfId="14" applyNumberFormat="1" applyFont="1" applyBorder="1"/>
    <xf numFmtId="0" fontId="10" fillId="0" borderId="21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5" fillId="0" borderId="0" xfId="0" applyFont="1" applyAlignment="1">
      <alignment horizontal="center"/>
    </xf>
    <xf numFmtId="3" fontId="11" fillId="9" borderId="14" xfId="0" applyNumberFormat="1" applyFont="1" applyFill="1" applyBorder="1"/>
    <xf numFmtId="0" fontId="10" fillId="0" borderId="11" xfId="0" applyFont="1" applyBorder="1" applyAlignment="1">
      <alignment wrapText="1"/>
    </xf>
    <xf numFmtId="9" fontId="9" fillId="0" borderId="0" xfId="2" applyFont="1"/>
    <xf numFmtId="9" fontId="9" fillId="0" borderId="28" xfId="2" applyFont="1" applyBorder="1"/>
    <xf numFmtId="3" fontId="9" fillId="6" borderId="28" xfId="0" applyNumberFormat="1" applyFont="1" applyFill="1" applyBorder="1"/>
    <xf numFmtId="3" fontId="9" fillId="0" borderId="41" xfId="0" applyNumberFormat="1" applyFont="1" applyBorder="1"/>
    <xf numFmtId="3" fontId="10" fillId="0" borderId="43" xfId="0" applyNumberFormat="1" applyFont="1" applyBorder="1"/>
    <xf numFmtId="10" fontId="9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left"/>
    </xf>
    <xf numFmtId="9" fontId="9" fillId="0" borderId="0" xfId="2" applyFont="1" applyBorder="1"/>
    <xf numFmtId="43" fontId="9" fillId="0" borderId="5" xfId="0" applyNumberFormat="1" applyFont="1" applyBorder="1"/>
    <xf numFmtId="0" fontId="9" fillId="6" borderId="44" xfId="0" applyFont="1" applyFill="1" applyBorder="1"/>
    <xf numFmtId="0" fontId="14" fillId="0" borderId="41" xfId="14" applyFont="1" applyBorder="1" applyAlignment="1">
      <alignment horizontal="center"/>
    </xf>
    <xf numFmtId="3" fontId="10" fillId="0" borderId="0" xfId="14" applyNumberFormat="1" applyFont="1"/>
    <xf numFmtId="3" fontId="13" fillId="0" borderId="0" xfId="14" applyNumberFormat="1" applyFont="1"/>
    <xf numFmtId="3" fontId="9" fillId="10" borderId="0" xfId="14" applyNumberFormat="1" applyFont="1" applyFill="1"/>
    <xf numFmtId="0" fontId="15" fillId="0" borderId="0" xfId="14" applyFont="1" applyAlignment="1">
      <alignment horizontal="center"/>
    </xf>
    <xf numFmtId="3" fontId="11" fillId="9" borderId="14" xfId="14" applyNumberFormat="1" applyFont="1" applyFill="1" applyBorder="1"/>
    <xf numFmtId="3" fontId="11" fillId="0" borderId="0" xfId="0" applyNumberFormat="1" applyFont="1"/>
    <xf numFmtId="43" fontId="11" fillId="0" borderId="0" xfId="0" applyNumberFormat="1" applyFont="1" applyAlignment="1">
      <alignment horizontal="left"/>
    </xf>
    <xf numFmtId="0" fontId="14" fillId="5" borderId="33" xfId="0" applyFont="1" applyFill="1" applyBorder="1" applyAlignment="1">
      <alignment wrapText="1"/>
    </xf>
    <xf numFmtId="43" fontId="11" fillId="0" borderId="0" xfId="0" applyNumberFormat="1" applyFont="1" applyAlignment="1">
      <alignment horizontal="center"/>
    </xf>
    <xf numFmtId="0" fontId="9" fillId="0" borderId="0" xfId="3" applyFont="1" applyAlignment="1">
      <alignment horizontal="right"/>
    </xf>
    <xf numFmtId="0" fontId="9" fillId="0" borderId="0" xfId="3" applyFont="1" applyAlignment="1">
      <alignment horizontal="center"/>
    </xf>
    <xf numFmtId="43" fontId="10" fillId="0" borderId="0" xfId="0" applyNumberFormat="1" applyFont="1" applyAlignment="1">
      <alignment horizontal="right"/>
    </xf>
    <xf numFmtId="43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43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43" fontId="13" fillId="0" borderId="0" xfId="0" applyNumberFormat="1" applyFont="1" applyAlignment="1">
      <alignment horizontal="left"/>
    </xf>
    <xf numFmtId="164" fontId="9" fillId="10" borderId="0" xfId="0" applyNumberFormat="1" applyFont="1" applyFill="1"/>
    <xf numFmtId="164" fontId="9" fillId="10" borderId="0" xfId="0" applyNumberFormat="1" applyFont="1" applyFill="1" applyAlignment="1">
      <alignment horizontal="right"/>
    </xf>
    <xf numFmtId="43" fontId="9" fillId="10" borderId="0" xfId="0" applyNumberFormat="1" applyFont="1" applyFill="1" applyAlignment="1">
      <alignment horizontal="left"/>
    </xf>
    <xf numFmtId="3" fontId="9" fillId="10" borderId="46" xfId="0" applyNumberFormat="1" applyFont="1" applyFill="1" applyBorder="1"/>
    <xf numFmtId="0" fontId="14" fillId="5" borderId="44" xfId="0" applyFont="1" applyFill="1" applyBorder="1" applyAlignment="1">
      <alignment horizontal="right"/>
    </xf>
    <xf numFmtId="0" fontId="10" fillId="0" borderId="22" xfId="0" applyFont="1" applyBorder="1" applyAlignment="1">
      <alignment horizontal="right"/>
    </xf>
    <xf numFmtId="43" fontId="9" fillId="10" borderId="0" xfId="0" applyNumberFormat="1" applyFont="1" applyFill="1"/>
    <xf numFmtId="0" fontId="11" fillId="3" borderId="3" xfId="0" applyFont="1" applyFill="1" applyBorder="1"/>
    <xf numFmtId="0" fontId="10" fillId="0" borderId="22" xfId="0" applyFont="1" applyBorder="1" applyAlignment="1">
      <alignment vertical="top" wrapText="1"/>
    </xf>
    <xf numFmtId="0" fontId="9" fillId="0" borderId="22" xfId="0" applyFont="1" applyBorder="1" applyAlignment="1">
      <alignment vertical="top" wrapText="1"/>
    </xf>
    <xf numFmtId="0" fontId="14" fillId="5" borderId="44" xfId="14" applyFont="1" applyFill="1" applyBorder="1" applyAlignment="1">
      <alignment horizontal="right"/>
    </xf>
    <xf numFmtId="43" fontId="10" fillId="0" borderId="0" xfId="14" applyNumberFormat="1" applyFont="1"/>
    <xf numFmtId="43" fontId="9" fillId="0" borderId="0" xfId="14" applyNumberFormat="1" applyFont="1"/>
    <xf numFmtId="164" fontId="10" fillId="0" borderId="0" xfId="14" applyNumberFormat="1" applyFont="1"/>
    <xf numFmtId="43" fontId="13" fillId="0" borderId="0" xfId="14" applyNumberFormat="1" applyFont="1"/>
    <xf numFmtId="164" fontId="13" fillId="0" borderId="0" xfId="14" applyNumberFormat="1" applyFont="1"/>
    <xf numFmtId="1" fontId="9" fillId="0" borderId="0" xfId="14" applyNumberFormat="1" applyFont="1"/>
    <xf numFmtId="164" fontId="9" fillId="10" borderId="0" xfId="14" applyNumberFormat="1" applyFont="1" applyFill="1"/>
    <xf numFmtId="43" fontId="9" fillId="10" borderId="0" xfId="14" applyNumberFormat="1" applyFont="1" applyFill="1"/>
    <xf numFmtId="1" fontId="9" fillId="10" borderId="0" xfId="14" applyNumberFormat="1" applyFont="1" applyFill="1"/>
    <xf numFmtId="0" fontId="11" fillId="3" borderId="3" xfId="14" applyFont="1" applyFill="1" applyBorder="1"/>
    <xf numFmtId="44" fontId="10" fillId="0" borderId="0" xfId="1" applyFont="1" applyAlignment="1">
      <alignment horizontal="center" vertical="center" wrapText="1"/>
    </xf>
    <xf numFmtId="44" fontId="9" fillId="0" borderId="0" xfId="1" applyFont="1" applyAlignment="1">
      <alignment horizontal="center"/>
    </xf>
    <xf numFmtId="44" fontId="9" fillId="0" borderId="0" xfId="1" applyFont="1" applyFill="1" applyBorder="1" applyAlignment="1">
      <alignment horizontal="left"/>
    </xf>
    <xf numFmtId="44" fontId="10" fillId="0" borderId="0" xfId="0" applyNumberFormat="1" applyFont="1" applyAlignment="1">
      <alignment horizontal="center" vertical="center" wrapText="1"/>
    </xf>
    <xf numFmtId="0" fontId="11" fillId="0" borderId="11" xfId="0" applyFont="1" applyBorder="1" applyAlignment="1">
      <alignment wrapText="1"/>
    </xf>
    <xf numFmtId="9" fontId="9" fillId="0" borderId="22" xfId="2" applyFont="1" applyFill="1" applyBorder="1" applyAlignment="1"/>
    <xf numFmtId="9" fontId="9" fillId="0" borderId="22" xfId="2" applyFont="1" applyBorder="1"/>
    <xf numFmtId="0" fontId="9" fillId="0" borderId="5" xfId="14" applyFont="1" applyBorder="1"/>
    <xf numFmtId="167" fontId="17" fillId="0" borderId="1" xfId="1" applyNumberFormat="1" applyFont="1" applyBorder="1"/>
    <xf numFmtId="167" fontId="18" fillId="0" borderId="1" xfId="1" applyNumberFormat="1" applyFont="1" applyBorder="1"/>
    <xf numFmtId="167" fontId="17" fillId="0" borderId="1" xfId="0" applyNumberFormat="1" applyFont="1" applyBorder="1"/>
    <xf numFmtId="173" fontId="9" fillId="0" borderId="22" xfId="0" applyNumberFormat="1" applyFont="1" applyBorder="1"/>
    <xf numFmtId="44" fontId="9" fillId="0" borderId="0" xfId="1" applyFont="1"/>
    <xf numFmtId="167" fontId="9" fillId="0" borderId="0" xfId="1" applyNumberFormat="1" applyFont="1" applyFill="1"/>
    <xf numFmtId="0" fontId="21" fillId="0" borderId="0" xfId="0" applyFont="1"/>
    <xf numFmtId="9" fontId="21" fillId="0" borderId="0" xfId="2" applyFont="1" applyFill="1"/>
    <xf numFmtId="0" fontId="23" fillId="0" borderId="0" xfId="0" applyFont="1"/>
    <xf numFmtId="44" fontId="9" fillId="0" borderId="0" xfId="0" applyNumberFormat="1" applyFont="1"/>
    <xf numFmtId="3" fontId="24" fillId="6" borderId="2" xfId="3" applyNumberFormat="1" applyFont="1" applyFill="1" applyBorder="1"/>
    <xf numFmtId="3" fontId="24" fillId="0" borderId="13" xfId="3" applyNumberFormat="1" applyFont="1" applyBorder="1"/>
    <xf numFmtId="3" fontId="25" fillId="0" borderId="13" xfId="3" applyNumberFormat="1" applyFont="1" applyBorder="1"/>
    <xf numFmtId="3" fontId="9" fillId="0" borderId="50" xfId="0" applyNumberFormat="1" applyFont="1" applyBorder="1"/>
    <xf numFmtId="3" fontId="9" fillId="0" borderId="0" xfId="14" quotePrefix="1" applyNumberFormat="1" applyFont="1"/>
    <xf numFmtId="9" fontId="22" fillId="0" borderId="1" xfId="2" applyFont="1" applyBorder="1" applyAlignment="1">
      <alignment horizontal="center" wrapText="1"/>
    </xf>
    <xf numFmtId="9" fontId="22" fillId="0" borderId="1" xfId="15" applyFont="1" applyBorder="1" applyAlignment="1">
      <alignment horizontal="center" wrapText="1"/>
    </xf>
    <xf numFmtId="174" fontId="22" fillId="0" borderId="1" xfId="2" applyNumberFormat="1" applyFont="1" applyBorder="1" applyAlignment="1">
      <alignment horizontal="center" wrapText="1"/>
    </xf>
    <xf numFmtId="9" fontId="9" fillId="0" borderId="18" xfId="2" applyFont="1" applyBorder="1"/>
    <xf numFmtId="6" fontId="18" fillId="0" borderId="0" xfId="0" applyNumberFormat="1" applyFont="1"/>
    <xf numFmtId="0" fontId="26" fillId="0" borderId="51" xfId="0" applyFont="1" applyBorder="1" applyAlignment="1">
      <alignment horizontal="left" vertical="center"/>
    </xf>
    <xf numFmtId="0" fontId="26" fillId="0" borderId="52" xfId="0" applyFont="1" applyBorder="1" applyAlignment="1">
      <alignment horizontal="left" vertical="center"/>
    </xf>
    <xf numFmtId="0" fontId="26" fillId="0" borderId="22" xfId="0" applyFont="1" applyBorder="1" applyAlignment="1">
      <alignment horizontal="left" vertical="center"/>
    </xf>
    <xf numFmtId="0" fontId="26" fillId="0" borderId="16" xfId="0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/>
    </xf>
    <xf numFmtId="0" fontId="26" fillId="0" borderId="54" xfId="0" applyFont="1" applyBorder="1" applyAlignment="1">
      <alignment horizontal="left" vertical="center"/>
    </xf>
    <xf numFmtId="41" fontId="11" fillId="3" borderId="2" xfId="0" applyNumberFormat="1" applyFont="1" applyFill="1" applyBorder="1" applyAlignment="1">
      <alignment horizontal="right"/>
    </xf>
    <xf numFmtId="41" fontId="11" fillId="3" borderId="14" xfId="0" applyNumberFormat="1" applyFont="1" applyFill="1" applyBorder="1"/>
    <xf numFmtId="41" fontId="11" fillId="3" borderId="18" xfId="0" applyNumberFormat="1" applyFont="1" applyFill="1" applyBorder="1"/>
    <xf numFmtId="41" fontId="11" fillId="3" borderId="2" xfId="0" applyNumberFormat="1" applyFont="1" applyFill="1" applyBorder="1"/>
    <xf numFmtId="3" fontId="11" fillId="3" borderId="2" xfId="0" applyNumberFormat="1" applyFont="1" applyFill="1" applyBorder="1"/>
    <xf numFmtId="3" fontId="11" fillId="3" borderId="14" xfId="0" applyNumberFormat="1" applyFont="1" applyFill="1" applyBorder="1"/>
    <xf numFmtId="3" fontId="11" fillId="3" borderId="18" xfId="0" applyNumberFormat="1" applyFont="1" applyFill="1" applyBorder="1"/>
    <xf numFmtId="3" fontId="11" fillId="3" borderId="32" xfId="0" applyNumberFormat="1" applyFont="1" applyFill="1" applyBorder="1"/>
    <xf numFmtId="3" fontId="11" fillId="3" borderId="36" xfId="0" applyNumberFormat="1" applyFont="1" applyFill="1" applyBorder="1"/>
    <xf numFmtId="3" fontId="11" fillId="3" borderId="38" xfId="0" applyNumberFormat="1" applyFont="1" applyFill="1" applyBorder="1"/>
    <xf numFmtId="41" fontId="17" fillId="9" borderId="1" xfId="3" applyNumberFormat="1" applyFont="1" applyFill="1" applyBorder="1"/>
    <xf numFmtId="3" fontId="17" fillId="0" borderId="1" xfId="3" applyNumberFormat="1" applyFont="1" applyBorder="1"/>
    <xf numFmtId="3" fontId="17" fillId="9" borderId="1" xfId="3" applyNumberFormat="1" applyFont="1" applyFill="1" applyBorder="1"/>
    <xf numFmtId="9" fontId="9" fillId="0" borderId="48" xfId="0" applyNumberFormat="1" applyFont="1" applyBorder="1"/>
    <xf numFmtId="3" fontId="9" fillId="0" borderId="49" xfId="0" applyNumberFormat="1" applyFont="1" applyBorder="1"/>
    <xf numFmtId="3" fontId="9" fillId="0" borderId="47" xfId="0" applyNumberFormat="1" applyFont="1" applyBorder="1"/>
    <xf numFmtId="3" fontId="9" fillId="0" borderId="48" xfId="0" applyNumberFormat="1" applyFont="1" applyBorder="1"/>
    <xf numFmtId="0" fontId="4" fillId="0" borderId="0" xfId="0" applyFont="1"/>
    <xf numFmtId="173" fontId="9" fillId="0" borderId="22" xfId="2" applyNumberFormat="1" applyFont="1" applyBorder="1"/>
    <xf numFmtId="3" fontId="11" fillId="9" borderId="45" xfId="0" applyNumberFormat="1" applyFont="1" applyFill="1" applyBorder="1"/>
    <xf numFmtId="43" fontId="11" fillId="0" borderId="47" xfId="0" applyNumberFormat="1" applyFont="1" applyBorder="1" applyAlignment="1">
      <alignment wrapText="1"/>
    </xf>
    <xf numFmtId="0" fontId="9" fillId="0" borderId="48" xfId="0" applyFont="1" applyBorder="1"/>
    <xf numFmtId="0" fontId="9" fillId="0" borderId="47" xfId="0" applyFont="1" applyBorder="1" applyAlignment="1">
      <alignment horizontal="left"/>
    </xf>
    <xf numFmtId="1" fontId="9" fillId="0" borderId="48" xfId="0" applyNumberFormat="1" applyFont="1" applyBorder="1"/>
    <xf numFmtId="0" fontId="9" fillId="0" borderId="47" xfId="0" applyFont="1" applyBorder="1" applyAlignment="1">
      <alignment horizontal="left" wrapText="1"/>
    </xf>
    <xf numFmtId="3" fontId="11" fillId="3" borderId="31" xfId="0" applyNumberFormat="1" applyFont="1" applyFill="1" applyBorder="1"/>
    <xf numFmtId="0" fontId="12" fillId="0" borderId="29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2" fillId="0" borderId="0" xfId="0" applyFont="1" applyAlignment="1">
      <alignment horizontal="right"/>
    </xf>
    <xf numFmtId="0" fontId="12" fillId="0" borderId="12" xfId="0" applyFont="1" applyBorder="1" applyAlignment="1">
      <alignment horizontal="right"/>
    </xf>
    <xf numFmtId="0" fontId="12" fillId="0" borderId="19" xfId="0" applyFont="1" applyBorder="1" applyAlignment="1">
      <alignment horizontal="right"/>
    </xf>
    <xf numFmtId="0" fontId="12" fillId="0" borderId="13" xfId="0" applyFont="1" applyBorder="1" applyAlignment="1">
      <alignment horizontal="right"/>
    </xf>
    <xf numFmtId="0" fontId="12" fillId="0" borderId="7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0" fillId="0" borderId="26" xfId="0" applyFont="1" applyBorder="1" applyAlignment="1">
      <alignment horizontal="right"/>
    </xf>
    <xf numFmtId="0" fontId="10" fillId="0" borderId="28" xfId="0" applyFont="1" applyBorder="1" applyAlignment="1">
      <alignment horizontal="right"/>
    </xf>
    <xf numFmtId="0" fontId="10" fillId="0" borderId="13" xfId="0" applyFont="1" applyBorder="1" applyAlignment="1">
      <alignment horizontal="right"/>
    </xf>
    <xf numFmtId="0" fontId="10" fillId="0" borderId="19" xfId="0" applyFont="1" applyBorder="1" applyAlignment="1">
      <alignment horizontal="right"/>
    </xf>
    <xf numFmtId="0" fontId="10" fillId="0" borderId="15" xfId="0" applyFont="1" applyBorder="1" applyAlignment="1">
      <alignment horizontal="right"/>
    </xf>
    <xf numFmtId="0" fontId="10" fillId="0" borderId="22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3" fontId="11" fillId="9" borderId="24" xfId="0" applyNumberFormat="1" applyFont="1" applyFill="1" applyBorder="1"/>
    <xf numFmtId="3" fontId="11" fillId="9" borderId="42" xfId="0" applyNumberFormat="1" applyFont="1" applyFill="1" applyBorder="1"/>
    <xf numFmtId="3" fontId="11" fillId="9" borderId="20" xfId="0" applyNumberFormat="1" applyFont="1" applyFill="1" applyBorder="1"/>
    <xf numFmtId="3" fontId="11" fillId="3" borderId="17" xfId="0" applyNumberFormat="1" applyFont="1" applyFill="1" applyBorder="1"/>
    <xf numFmtId="3" fontId="10" fillId="0" borderId="11" xfId="14" applyNumberFormat="1" applyFont="1" applyBorder="1"/>
    <xf numFmtId="3" fontId="10" fillId="0" borderId="16" xfId="14" applyNumberFormat="1" applyFont="1" applyBorder="1"/>
    <xf numFmtId="173" fontId="9" fillId="0" borderId="22" xfId="14" applyNumberFormat="1" applyFont="1" applyBorder="1"/>
    <xf numFmtId="173" fontId="9" fillId="0" borderId="28" xfId="14" applyNumberFormat="1" applyFont="1" applyBorder="1"/>
    <xf numFmtId="0" fontId="9" fillId="0" borderId="11" xfId="14" applyFont="1" applyBorder="1" applyAlignment="1">
      <alignment horizontal="left" wrapText="1" indent="1"/>
    </xf>
    <xf numFmtId="3" fontId="11" fillId="0" borderId="11" xfId="0" applyNumberFormat="1" applyFont="1" applyBorder="1"/>
    <xf numFmtId="3" fontId="11" fillId="9" borderId="1" xfId="14" applyNumberFormat="1" applyFont="1" applyFill="1" applyBorder="1"/>
    <xf numFmtId="41" fontId="11" fillId="3" borderId="2" xfId="14" applyNumberFormat="1" applyFont="1" applyFill="1" applyBorder="1" applyAlignment="1">
      <alignment horizontal="right"/>
    </xf>
    <xf numFmtId="41" fontId="11" fillId="3" borderId="14" xfId="14" applyNumberFormat="1" applyFont="1" applyFill="1" applyBorder="1"/>
    <xf numFmtId="41" fontId="11" fillId="3" borderId="18" xfId="14" applyNumberFormat="1" applyFont="1" applyFill="1" applyBorder="1"/>
    <xf numFmtId="41" fontId="11" fillId="3" borderId="2" xfId="14" applyNumberFormat="1" applyFont="1" applyFill="1" applyBorder="1"/>
    <xf numFmtId="3" fontId="11" fillId="3" borderId="2" xfId="14" applyNumberFormat="1" applyFont="1" applyFill="1" applyBorder="1"/>
    <xf numFmtId="3" fontId="11" fillId="3" borderId="14" xfId="14" applyNumberFormat="1" applyFont="1" applyFill="1" applyBorder="1"/>
    <xf numFmtId="3" fontId="11" fillId="3" borderId="18" xfId="14" applyNumberFormat="1" applyFont="1" applyFill="1" applyBorder="1"/>
    <xf numFmtId="3" fontId="11" fillId="3" borderId="25" xfId="14" applyNumberFormat="1" applyFont="1" applyFill="1" applyBorder="1"/>
    <xf numFmtId="3" fontId="9" fillId="3" borderId="2" xfId="14" applyNumberFormat="1" applyFont="1" applyFill="1" applyBorder="1"/>
    <xf numFmtId="3" fontId="9" fillId="3" borderId="18" xfId="14" applyNumberFormat="1" applyFont="1" applyFill="1" applyBorder="1"/>
    <xf numFmtId="3" fontId="9" fillId="3" borderId="14" xfId="14" applyNumberFormat="1" applyFont="1" applyFill="1" applyBorder="1"/>
    <xf numFmtId="3" fontId="9" fillId="3" borderId="25" xfId="14" applyNumberFormat="1" applyFont="1" applyFill="1" applyBorder="1"/>
    <xf numFmtId="3" fontId="11" fillId="3" borderId="32" xfId="14" applyNumberFormat="1" applyFont="1" applyFill="1" applyBorder="1"/>
    <xf numFmtId="3" fontId="11" fillId="3" borderId="36" xfId="14" applyNumberFormat="1" applyFont="1" applyFill="1" applyBorder="1"/>
    <xf numFmtId="3" fontId="11" fillId="3" borderId="38" xfId="14" applyNumberFormat="1" applyFont="1" applyFill="1" applyBorder="1"/>
    <xf numFmtId="3" fontId="11" fillId="3" borderId="3" xfId="14" applyNumberFormat="1" applyFont="1" applyFill="1" applyBorder="1"/>
    <xf numFmtId="49" fontId="9" fillId="3" borderId="14" xfId="0" applyNumberFormat="1" applyFont="1" applyFill="1" applyBorder="1"/>
    <xf numFmtId="1" fontId="9" fillId="3" borderId="14" xfId="0" applyNumberFormat="1" applyFont="1" applyFill="1" applyBorder="1"/>
    <xf numFmtId="0" fontId="14" fillId="0" borderId="26" xfId="0" applyFont="1" applyBorder="1"/>
    <xf numFmtId="43" fontId="9" fillId="0" borderId="11" xfId="0" applyNumberFormat="1" applyFont="1" applyBorder="1" applyAlignment="1">
      <alignment vertical="top"/>
    </xf>
    <xf numFmtId="43" fontId="10" fillId="0" borderId="11" xfId="0" applyNumberFormat="1" applyFont="1" applyBorder="1"/>
    <xf numFmtId="43" fontId="11" fillId="9" borderId="25" xfId="0" applyNumberFormat="1" applyFont="1" applyFill="1" applyBorder="1"/>
    <xf numFmtId="0" fontId="10" fillId="0" borderId="11" xfId="0" applyFont="1" applyBorder="1"/>
    <xf numFmtId="0" fontId="13" fillId="0" borderId="11" xfId="0" applyFont="1" applyBorder="1"/>
    <xf numFmtId="43" fontId="10" fillId="0" borderId="25" xfId="0" applyNumberFormat="1" applyFont="1" applyBorder="1"/>
    <xf numFmtId="0" fontId="11" fillId="0" borderId="25" xfId="0" applyFont="1" applyBorder="1"/>
    <xf numFmtId="0" fontId="11" fillId="9" borderId="25" xfId="0" applyFont="1" applyFill="1" applyBorder="1"/>
    <xf numFmtId="0" fontId="9" fillId="0" borderId="11" xfId="0" applyFont="1" applyBorder="1" applyAlignment="1">
      <alignment horizontal="left" wrapText="1"/>
    </xf>
    <xf numFmtId="0" fontId="11" fillId="3" borderId="25" xfId="0" applyFont="1" applyFill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9" fillId="5" borderId="2" xfId="0" applyFont="1" applyFill="1" applyBorder="1" applyAlignment="1">
      <alignment horizontal="center"/>
    </xf>
    <xf numFmtId="0" fontId="19" fillId="5" borderId="14" xfId="0" applyFont="1" applyFill="1" applyBorder="1" applyAlignment="1">
      <alignment horizontal="center"/>
    </xf>
    <xf numFmtId="0" fontId="19" fillId="5" borderId="4" xfId="0" applyFont="1" applyFill="1" applyBorder="1" applyAlignment="1">
      <alignment horizontal="center"/>
    </xf>
    <xf numFmtId="0" fontId="17" fillId="9" borderId="19" xfId="0" applyFont="1" applyFill="1" applyBorder="1" applyAlignment="1">
      <alignment horizontal="left" vertical="center" wrapText="1"/>
    </xf>
    <xf numFmtId="0" fontId="17" fillId="9" borderId="13" xfId="0" applyFont="1" applyFill="1" applyBorder="1" applyAlignment="1">
      <alignment horizontal="left" vertical="center" wrapText="1"/>
    </xf>
    <xf numFmtId="0" fontId="17" fillId="9" borderId="12" xfId="0" applyFont="1" applyFill="1" applyBorder="1" applyAlignment="1">
      <alignment horizontal="left" vertical="center" wrapText="1"/>
    </xf>
    <xf numFmtId="0" fontId="17" fillId="9" borderId="6" xfId="0" applyFont="1" applyFill="1" applyBorder="1" applyAlignment="1">
      <alignment horizontal="left" vertical="center" wrapText="1"/>
    </xf>
    <xf numFmtId="0" fontId="17" fillId="9" borderId="0" xfId="0" applyFont="1" applyFill="1" applyAlignment="1">
      <alignment horizontal="left" vertical="center" wrapText="1"/>
    </xf>
    <xf numFmtId="0" fontId="17" fillId="9" borderId="5" xfId="0" applyFont="1" applyFill="1" applyBorder="1" applyAlignment="1">
      <alignment horizontal="left" vertical="center" wrapText="1"/>
    </xf>
    <xf numFmtId="3" fontId="18" fillId="0" borderId="2" xfId="0" applyNumberFormat="1" applyFont="1" applyBorder="1" applyAlignment="1">
      <alignment horizontal="left" vertical="center" wrapText="1"/>
    </xf>
    <xf numFmtId="3" fontId="18" fillId="0" borderId="14" xfId="0" applyNumberFormat="1" applyFont="1" applyBorder="1" applyAlignment="1">
      <alignment horizontal="left" vertical="center" wrapText="1"/>
    </xf>
    <xf numFmtId="3" fontId="18" fillId="0" borderId="4" xfId="0" applyNumberFormat="1" applyFont="1" applyBorder="1" applyAlignment="1">
      <alignment horizontal="left" vertical="center" wrapText="1"/>
    </xf>
    <xf numFmtId="3" fontId="17" fillId="0" borderId="1" xfId="0" applyNumberFormat="1" applyFont="1" applyBorder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4" fillId="5" borderId="33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14" fillId="5" borderId="35" xfId="0" applyFont="1" applyFill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4" fillId="5" borderId="8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wrapText="1"/>
    </xf>
    <xf numFmtId="0" fontId="14" fillId="5" borderId="52" xfId="0" applyFont="1" applyFill="1" applyBorder="1" applyAlignment="1">
      <alignment horizontal="center" wrapText="1"/>
    </xf>
    <xf numFmtId="0" fontId="14" fillId="5" borderId="23" xfId="0" applyFont="1" applyFill="1" applyBorder="1" applyAlignment="1">
      <alignment horizontal="center" wrapText="1"/>
    </xf>
    <xf numFmtId="0" fontId="17" fillId="0" borderId="0" xfId="3" applyFont="1" applyAlignment="1">
      <alignment horizontal="center"/>
    </xf>
    <xf numFmtId="0" fontId="18" fillId="0" borderId="0" xfId="3" applyFont="1" applyAlignment="1">
      <alignment horizontal="center"/>
    </xf>
    <xf numFmtId="0" fontId="19" fillId="5" borderId="2" xfId="3" applyFont="1" applyFill="1" applyBorder="1" applyAlignment="1">
      <alignment horizontal="center" wrapText="1"/>
    </xf>
    <xf numFmtId="0" fontId="19" fillId="5" borderId="14" xfId="3" applyFont="1" applyFill="1" applyBorder="1" applyAlignment="1">
      <alignment horizontal="center" wrapText="1"/>
    </xf>
    <xf numFmtId="0" fontId="19" fillId="5" borderId="4" xfId="3" applyFont="1" applyFill="1" applyBorder="1" applyAlignment="1">
      <alignment horizontal="center" wrapText="1"/>
    </xf>
    <xf numFmtId="0" fontId="14" fillId="5" borderId="41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5" borderId="52" xfId="0" applyFont="1" applyFill="1" applyBorder="1" applyAlignment="1">
      <alignment horizontal="center" vertical="center" wrapText="1"/>
    </xf>
    <xf numFmtId="0" fontId="14" fillId="5" borderId="23" xfId="0" applyFont="1" applyFill="1" applyBorder="1" applyAlignment="1">
      <alignment horizontal="center" vertical="center" wrapText="1"/>
    </xf>
    <xf numFmtId="0" fontId="14" fillId="5" borderId="41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1" fillId="0" borderId="0" xfId="0" applyFont="1"/>
    <xf numFmtId="0" fontId="14" fillId="5" borderId="8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9" fillId="5" borderId="2" xfId="3" applyFont="1" applyFill="1" applyBorder="1" applyAlignment="1">
      <alignment horizontal="center"/>
    </xf>
    <xf numFmtId="0" fontId="19" fillId="5" borderId="14" xfId="3" applyFont="1" applyFill="1" applyBorder="1" applyAlignment="1">
      <alignment horizontal="center"/>
    </xf>
    <xf numFmtId="0" fontId="19" fillId="5" borderId="4" xfId="3" applyFont="1" applyFill="1" applyBorder="1" applyAlignment="1">
      <alignment horizontal="center"/>
    </xf>
    <xf numFmtId="0" fontId="14" fillId="5" borderId="33" xfId="14" applyFont="1" applyFill="1" applyBorder="1" applyAlignment="1">
      <alignment horizontal="center"/>
    </xf>
    <xf numFmtId="0" fontId="12" fillId="0" borderId="6" xfId="14" applyFont="1" applyBorder="1" applyAlignment="1">
      <alignment horizontal="center" vertical="center" wrapText="1"/>
    </xf>
    <xf numFmtId="0" fontId="11" fillId="0" borderId="0" xfId="14" applyFont="1"/>
  </cellXfs>
  <cellStyles count="22">
    <cellStyle name="Comma 2" xfId="6" xr:uid="{00000000-0005-0000-0000-000001000000}"/>
    <cellStyle name="Comma 3" xfId="13" xr:uid="{E99ADC2E-6FA1-4B13-8417-DAE81CC08645}"/>
    <cellStyle name="Comma 3 2" xfId="21" xr:uid="{043D0E40-6BF3-4938-AB1D-2747C195DA41}"/>
    <cellStyle name="Currency" xfId="1" builtinId="4"/>
    <cellStyle name="Currency 2" xfId="8" xr:uid="{00000000-0005-0000-0000-000003000000}"/>
    <cellStyle name="Currency 2 2" xfId="19" xr:uid="{0F7B2CC6-3B2A-410C-8F50-0B7CECA2AE05}"/>
    <cellStyle name="Currency 3" xfId="10" xr:uid="{2B1F91B3-1D40-4C31-BE3E-C69FD655EC44}"/>
    <cellStyle name="Moneda 3" xfId="16" xr:uid="{0EDACBD5-8538-4CA1-A5C5-47211E396CC1}"/>
    <cellStyle name="Normal" xfId="0" builtinId="0"/>
    <cellStyle name="Normal 2" xfId="3" xr:uid="{00000000-0005-0000-0000-000005000000}"/>
    <cellStyle name="Normal 2 2" xfId="7" xr:uid="{00000000-0005-0000-0000-000006000000}"/>
    <cellStyle name="Normal 2 2 2" xfId="18" xr:uid="{EF3E748F-867A-497B-AD77-843D45E73587}"/>
    <cellStyle name="Normal 3" xfId="4" xr:uid="{00000000-0005-0000-0000-000007000000}"/>
    <cellStyle name="Normal 3 2" xfId="14" xr:uid="{A7632AEC-1A21-4FA3-9D04-FB464FFDE781}"/>
    <cellStyle name="Normal 4" xfId="5" xr:uid="{00000000-0005-0000-0000-000008000000}"/>
    <cellStyle name="Normal 4 2" xfId="17" xr:uid="{3C77F5F1-B118-48C2-BB37-C6874558E7C5}"/>
    <cellStyle name="Normal 5" xfId="9" xr:uid="{696106F2-B9F1-4F15-81A3-E3443F17835A}"/>
    <cellStyle name="Normal 5 2" xfId="20" xr:uid="{C56665C7-BAA1-418A-9B73-F589F2677328}"/>
    <cellStyle name="Percent" xfId="2" builtinId="5"/>
    <cellStyle name="Percent 2" xfId="11" xr:uid="{5DA92C78-84E0-4A77-96BF-0469385156F7}"/>
    <cellStyle name="Percent 34" xfId="12" xr:uid="{6B505889-CADA-4AFE-9B4E-B8BE429E708C}"/>
    <cellStyle name="Porcentaje 2" xfId="15" xr:uid="{BF36A7A8-D247-4B4F-98E3-6640926739E5}"/>
  </cellStyles>
  <dxfs count="0"/>
  <tableStyles count="0" defaultTableStyle="TableStyleMedium2" defaultPivotStyle="PivotStyleLight16"/>
  <colors>
    <mruColors>
      <color rgb="FFD7E5F5"/>
      <color rgb="FFE7F0F9"/>
      <color rgb="FFFFFF61"/>
      <color rgb="FFFFFFAF"/>
      <color rgb="FFFEF1E6"/>
      <color rgb="FFFEF4EC"/>
      <color rgb="FFFDD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1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styles" Target="styles.xml"/><Relationship Id="rId58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Ley%20715/Documents%20and%20Settings/rtorres/Mis%20documentos/windows/TEMP/DATOS/EXCEL/PREANT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Nicaragua_Budget_10_01_22v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CARLOSJ\PRES9194\PAGOS.XLW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modgobi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9\Excell\PRESUPUESTO\24juli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DGP\Flujos\Gobierno\modgobie%20CHEQUE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RBOCOL\MODCARB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FE\MODCAF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Ley%20715/WINDOWS/TEMP/Distribuciones/Conpes%202004/Consejos/Consejos%20comunales/Ejercicios%20Finales/MAGDALE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8\EXCELL\PRESUPUESTO\INGRESOS\vario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tprafe/Documents/FC-CP/Puerto%20de%20Cartagena/Prespuesto%20Estandar%20de%20Saberes%20V.F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Detai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Ley%20715/WINDOWS/TEMP/Distribuciones/Conpes%202004/Consejos/Consejos%20comunales/Ejercicios%20Finales/Pr2201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Dgp\Flujos\Regional\MODREGI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Contrato%20AMB\0.%20Bases%20de%20Datos\Compromisos%20-%20Seguimiento%20Convenios%20Cr&#237;ticos%20Julio%20Rev.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ODCs%2020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sanchez/c/WINDOWS/TEMP/PROYECTO/FUNCIONAM972000shi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as-jcasteblanco/Consejos%20Anticorrupci&#243;n/1_Elabora/Consejos%20Anticorrupci&#243;n/Doc%20Base/Adicionales/Transferencias_Sectores%20x%20Mpios%2094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RESTO\SOCIAL\MODESTS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ec2000gob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windows\TEMP\CUADRO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Lrhenals/gobierno/Gobierno/Cierre97/OPEF%201997%20Cierr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Lrhenals/gobierno/Gobierno/GOB97/Tesoreria%201997%20Cierre%20ene2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quipment%2020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Ssanchez/2001/ejecuaasepaoctu26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microsoft.com/office/2019/04/relationships/externalLinkLongPath" Target="/Users/Mariela/AppData/Local/Temp/Users/Ana%20Maria/Desktop/ANEXOS%20POAI%202010%20-%20PROPUESTA%20INICIAL%20AJUSTADA/Documents%20and%20Settings/Wvillota.EDUCACION/Mis%20documentos/COPIA%20ENTREGA%20PLANEACION%20PAOI%202010%20AGOST%2025-09/DATA%202010%20EDUCACION/DATA%202010%20?E776D024" TargetMode="External"/><Relationship Id="rId1" Type="http://schemas.openxmlformats.org/officeDocument/2006/relationships/externalLinkPath" Target="file:///\\E776D024\DATA%202010%20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Ley%20715/diego/ECOPETROL/Modelo/Modelo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P%20START%2014%20month%20Budget%20ver%2021Dec06%207%2055%20a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%2008%2012%20%20Pact%20Proposal%20Budget-%20ICN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Presupuesto/C/WINNT/Profiles/presup.001/Personal/NELSONIV/DATOS/EXCEL/PREANT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%20Ivan%20Garcia\Escritorio\2018\Portafolio%20de%20Proyectos\L&#237;nea%20Base%202018\BD\BD%20FINAL\Bases%20de%20c&#225;lculo\Versiones\Versi&#243;n%20Final%20Portafolio%20VDS%20Octubre%2017%20-%20BD%20Orige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%20VDS%202018\2.%20Portafolio\Recomposici&#243;n%202.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8\PRESUPUEST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Ley%20715/conso992002/PROFIN/PROGYCON/EJEC/Ejecdisgas/EJECDISYGAS03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C~1/AppData/Local/Temp/4.%20PLANTILLA%20EJEMPLO%20ANEXO%20PPTO%20POAI%202015%20AJUSTADO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Ssanchez/c/WINDOWS/TEMP/PROYECTO/972000%20a%20julio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5282001\Documents\1.%20VDS%202018\BD%20Seguimiento%20Inversi&#243;n%20socio%20ambiental%20Abril%202019%20VF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DF_SF_424_Final%20(4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Nombres%20Datamart/Documents%20and%20Settings/gcastel/Mis%20documentos/Variedades/Afros/Afros%20con%20Dpto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%20VDS%202018\BD%20Seguimiento%20Inversi&#243;n%20socio%20ambiental%20Noviembre%202019%20VF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gcastel/Ley%20715/windows/TEMP/oec7MAR00adicionPPT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Sherreno/c/WINDOWS/TEMP/PROYECTO/972000%20a%20julio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 No 4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Cost Share"/>
      <sheetName val="Rates"/>
      <sheetName val="Level of Effort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OFMI"/>
      <sheetName val="PAGOS VIGENCIA t"/>
      <sheetName val="PAGOR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ING-PROY-02 "/>
      <sheetName val="LIQUIDACION98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RESUOPE (2)"/>
      <sheetName val="Liquidación"/>
      <sheetName val="PROYECCION2000"/>
      <sheetName val="Cuadros CONFIS"/>
      <sheetName val=" SP y GG Leo"/>
      <sheetName val="deuda interna"/>
      <sheetName val="Proyecto Reforma Tributaria"/>
      <sheetName val="excedentes financieros"/>
      <sheetName val="Módulo1"/>
      <sheetName val="Módulo2"/>
      <sheetName val="DIFINGRESOS"/>
      <sheetName val="proy9798"/>
      <sheetName val="rezago"/>
      <sheetName val="I-FBKF"/>
      <sheetName val="DETALLE-INV"/>
      <sheetName val="detalle-planfin97-julio"/>
      <sheetName val="DEUDA ALTERN"/>
      <sheetName val="Formato Largo"/>
      <sheetName val="MODGOBIE"/>
      <sheetName val="TRIBUTARIOS"/>
      <sheetName val="APORTES A SEGSO"/>
      <sheetName val="TERRITORIALES"/>
      <sheetName val="OTROS CAPITAL"/>
      <sheetName val="% PIB"/>
      <sheetName val="DETALLE SERV.PERS. Y GTOS.GRALS"/>
      <sheetName val="TES"/>
      <sheetName val="DEUDA EXTERNA Y PRES NETO"/>
      <sheetName val="GOBIERN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LIQUIDACION98"/>
      <sheetName val="ING-PROY-02 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modgobie CHEQUEO"/>
      <sheetName val="excedentes financier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CARBOCOL"/>
      <sheetName val="PRES NETO"/>
      <sheetName val="DEUDA EXTERNA"/>
      <sheetName val="SUPUESTOS"/>
      <sheetName val="RESUMEN"/>
      <sheetName val="RESUMEN CON PLAN"/>
      <sheetName val="PIB"/>
      <sheetName val="TRANSFERENCIAS"/>
      <sheetName val="PPTO97"/>
      <sheetName val="CARBOCOL"/>
      <sheetName val="INTERESES"/>
      <sheetName val="AMORTIZA"/>
      <sheetName val="DEXT"/>
      <sheetName val="Diálogo1"/>
      <sheetName val="Módulo1"/>
      <sheetName val="PROYECTO97"/>
      <sheetName val="Hoja1"/>
      <sheetName val="SEG99"/>
      <sheetName val="RESU99"/>
      <sheetName val="SEG2000"/>
      <sheetName val="RESU2000"/>
      <sheetName val="C1-3vig97-00"/>
      <sheetName val="C1-3vIg98-00"/>
      <sheetName val="chequeo99"/>
      <sheetName val="plano-mensaje"/>
      <sheetName val="C1-3men"/>
      <sheetName val="DIFERENCIAS 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CAFE"/>
      <sheetName val="PRES NETO"/>
      <sheetName val="DEUDA EXTERNA"/>
      <sheetName val="PIB"/>
      <sheetName val="RESUMEN"/>
      <sheetName val="RESUMEN CON PLAN"/>
      <sheetName val="SUPUESTOS"/>
      <sheetName val="CONSOLIDADO"/>
      <sheetName val="CRECIMIENTOS %"/>
      <sheetName val="ANUAL1"/>
      <sheetName val="Asesores Junio 01"/>
      <sheetName val="TRANSFERENCIAS"/>
      <sheetName val="Módulo1"/>
      <sheetName val="MODCAFE"/>
      <sheetName val="DIFERENCIAS SIMUL"/>
      <sheetName val="ASESORES AGOSTO 13"/>
      <sheetName val="ASESORES AGOSTO 11"/>
      <sheetName val="ASESORES SEPTIEM 9"/>
      <sheetName val="ASESORES SEPTIEM 7"/>
      <sheetName val="ASESORES AGOSTO 26"/>
      <sheetName val="ASESORES AGOSTO 24"/>
      <sheetName val="Asesores"/>
      <sheetName val="Asesores nov8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Gráfico1"/>
      <sheetName val="% pib"/>
      <sheetName val="ASIG"/>
      <sheetName val="Crec ASIG"/>
      <sheetName val="Crec"/>
      <sheetName val="PER CAPITA"/>
      <sheetName val="P ca"/>
      <sheetName val="P po"/>
      <sheetName val="SGP 2003"/>
      <sheetName val="PERIODO"/>
      <sheetName val="2003 N"/>
      <sheetName val="03."/>
      <sheetName val="03"/>
      <sheetName val="SGP 03"/>
      <sheetName val="EF_SAL"/>
      <sheetName val="01-03"/>
      <sheetName val="DATOS"/>
      <sheetName val="Hoja3"/>
      <sheetName val="POB"/>
      <sheetName val="Hoja5"/>
      <sheetName val="POBLACIÓN"/>
      <sheetName val="Hoja4"/>
      <sheetName val="03-06"/>
      <sheetName val="D7_Icfes 02"/>
      <sheetName val="D8_MS"/>
      <sheetName val="D8_1_Bajo"/>
      <sheetName val="D9_Saber 97-99"/>
      <sheetName val="20 Magdale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INGRESOS99"/>
      <sheetName val="proyecINGRESOS99 (det)"/>
      <sheetName val="proyecINGRESOS99 _det_"/>
    </sheetNames>
    <sheetDataSet>
      <sheetData sheetId="0" refreshError="1"/>
      <sheetData sheetId="1" refreshError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arios"/>
      <sheetName val="Presupuesto estandar"/>
      <sheetName val="Presupuesto Resumen"/>
      <sheetName val="Variables"/>
      <sheetName val="Presupuesto por Aliado"/>
      <sheetName val="Presupuesto por Aliado (2)"/>
      <sheetName val="Presupuesto Final"/>
      <sheetName val="Presupuesto Yumbo y Aliados"/>
      <sheetName val="Para uso interno"/>
      <sheetName val="Ppto Fin Ajus 2 Aliados "/>
      <sheetName val="Ppto Ajustado Mayo"/>
      <sheetName val="Presupuesto Proyec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DRAFT BUDGET"/>
      <sheetName val="Salary &amp; PR Tax"/>
      <sheetName val="Fringe Benefits"/>
      <sheetName val="PR Taxes Prior Year"/>
      <sheetName val="Prior Year Indirect"/>
      <sheetName val="Communication Prior Year"/>
      <sheetName val="Consultants 2005"/>
      <sheetName val="UNUM LTD &amp; STD Costs"/>
      <sheetName val="MAMSI 200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OR.LEY21"/>
      <sheetName val="Hoja2"/>
      <sheetName val="ART.86 LEY 30-92"/>
      <sheetName val="JUNTA CENTRAL DE CONTADORES"/>
      <sheetName val="CALCULO LEY 21 1982 =&gt; 1998 "/>
      <sheetName val="CALCULO LEY 21 DE 1982 =&gt; 1999"/>
      <sheetName val="ART.87 LEY 30 1992"/>
      <sheetName val="NORMAS LEGALES"/>
      <sheetName val="JUSTIFICACION DIFERENCIAS"/>
      <sheetName val="GASTOS"/>
      <sheetName val="GASTOS (2)"/>
      <sheetName val="APOR.LEY21-2000 Y 2001"/>
      <sheetName val="JUNTA CENT.CONTAD. 2000 Y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GOBLOCAL"/>
      <sheetName val="BDEMPLOCAL"/>
      <sheetName val="RESUMENLG"/>
      <sheetName val="RESUMENLE"/>
      <sheetName val="PRES NETO"/>
      <sheetName val="SUPUESTOS"/>
      <sheetName val="Resumen x Entidades"/>
      <sheetName val="DEUDA EXTERNA"/>
      <sheetName val="RESUMEN FMI"/>
      <sheetName val="FMI DEPARTAMENTOS"/>
      <sheetName val=" FMI MUNICIPIOS"/>
      <sheetName val="FMI FNR"/>
      <sheetName val="FMI EMPRESAS"/>
      <sheetName val="RESUMEN"/>
      <sheetName val="MUNICIPIOS"/>
      <sheetName val="DEPARTAM"/>
      <sheetName val="LOTERIAS"/>
      <sheetName val="LICORERA"/>
      <sheetName val="EMPTERRI"/>
      <sheetName val="FNR"/>
      <sheetName val="EJEC. REGALIAS"/>
      <sheetName val="REZAGO FNR"/>
      <sheetName val="DEUDA FLOTANTE-FNR"/>
      <sheetName val="FNR-PROYECCIONES"/>
      <sheetName val="FNR-LEY 756"/>
      <sheetName val="VERIFICACION NETEO2"/>
      <sheetName val="PIB"/>
      <sheetName val="SISTEMA GRAL.PART."/>
      <sheetName val="COMPARATIVO FMI-PF"/>
      <sheetName val="COMPARATIVO FMI-PF $MM"/>
      <sheetName val="FNR-PROYECCIONES MFMP"/>
      <sheetName val="ModDeuda"/>
      <sheetName val="RESUMEN CON PLAN"/>
      <sheetName val="TRANSFERENCIAS"/>
      <sheetName val="PROY. REGALIAS"/>
      <sheetName val="DPTOS"/>
      <sheetName val="MPIOS"/>
      <sheetName val="EJCLOTERIA"/>
      <sheetName val="EJLICOR"/>
      <sheetName val="EEPP"/>
      <sheetName val="Prepag deud Faep art133 ley633"/>
      <sheetName val="DF FNR (C. Zambrano)"/>
      <sheetName val="FNR Dic 5 (C.Zam)"/>
      <sheetName val="FNR Dic 13-02 (C.Zam)"/>
      <sheetName val="FNR Dic 18-02(C.Zam)"/>
      <sheetName val="FNR Dic 20-02(C.Zam)"/>
      <sheetName val="DEUDA FLOTANTE-FNR SIN FAEP"/>
      <sheetName val="DEUDA FLOTANTE-INV."/>
      <sheetName val=" FAEP Mensual "/>
      <sheetName val="DEUDA FLOTANTE-INV. sin faep"/>
      <sheetName val="cuadros"/>
      <sheetName val="Hoja1"/>
      <sheetName val="faep (2)"/>
      <sheetName val="DEUDA FLOTANTE fnr"/>
      <sheetName val="FNR reducc"/>
      <sheetName val="FMI redu2)"/>
      <sheetName val="EJECUCION FAEP"/>
      <sheetName val="RESUMEN FMI DEPARTAMENTOS"/>
      <sheetName val="RESUMEN FMI MUNICIPIOS"/>
      <sheetName val="RESUMEN FMI FNR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nios Suscritos 2017 -2018"/>
      <sheetName val="ADDORES -APOYO TRANS"/>
      <sheetName val="BD Julio 2018"/>
      <sheetName val="Hoja2"/>
      <sheetName val="GRÁFICAS"/>
      <sheetName val="Críticos Orinoquía"/>
      <sheetName val="ORINOQUÍA"/>
      <sheetName val="CENTRAL"/>
      <sheetName val="CATATUMBO"/>
      <sheetName val="SUR"/>
      <sheetName val="CORP"/>
      <sheetName val="VIT - VIT AMB"/>
      <sheetName val="CARIBE"/>
      <sheetName val="ORIENTE"/>
      <sheetName val="BD JULIO RUBY"/>
      <sheetName val="SF"/>
      <sheetName val="Listas"/>
      <sheetName val="Listas desplegabl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E - Other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2castigo"/>
      <sheetName val="Hoja1"/>
      <sheetName val="CUA1-3"/>
      <sheetName val="TOTAL FUN"/>
      <sheetName val="NACION FUN"/>
      <sheetName val="PROPIOS FUN"/>
      <sheetName val="OCP"/>
      <sheetName val="TRANST"/>
      <sheetName val="notas"/>
      <sheetName val="TRANSN"/>
      <sheetName val="TRANSP"/>
      <sheetName val="GGT"/>
      <sheetName val="GGN"/>
      <sheetName val="GGP"/>
      <sheetName val="GPT"/>
      <sheetName val="GPN"/>
      <sheetName val="GPP"/>
      <sheetName val="ppry89aFEB"/>
      <sheetName val="CUA1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4-03 Mil Corr "/>
      <sheetName val="edu_sal_agua_milcte"/>
      <sheetName val="Educación"/>
      <sheetName val="Salud"/>
      <sheetName val="Hoja2"/>
      <sheetName val="Hoja3"/>
      <sheetName val="Agua"/>
      <sheetName val="94_03 Mil Cor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SOCIAL"/>
      <sheetName val="PRES NETO"/>
      <sheetName val="RESUMEN"/>
      <sheetName val="SUPUESTOS"/>
      <sheetName val="TRANSFERENCIAS"/>
      <sheetName val="ICBF"/>
      <sheetName val="SENA"/>
      <sheetName val="SENA2%YPORTAF"/>
      <sheetName val="REZAGOS"/>
      <sheetName val="ICBF3%"/>
      <sheetName val="SENA2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ENCIAS"/>
      <sheetName val="RESUOPE"/>
      <sheetName val="APRyPAGO-TRANSFE"/>
      <sheetName val="FINANCIAMIENTO"/>
      <sheetName val="DETALLE-INV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Hoja1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guimiento CSF"/>
      <sheetName val="Seguim. SSF"/>
      <sheetName val="Seguimiento SSF"/>
      <sheetName val="Formato Largo"/>
      <sheetName val="Resumen OPEF"/>
      <sheetName val="Reporte OPEF"/>
      <sheetName val="Resumen MES OPEF"/>
      <sheetName val="Confis Marzo 7-97"/>
      <sheetName val="Reclasificación"/>
      <sheetName val="Historia desembolsos"/>
      <sheetName val="Contingencias 1997"/>
      <sheetName val="Formato FMI"/>
      <sheetName val="Elasticidad"/>
      <sheetName val="Que pasaría si...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+D pagos"/>
      <sheetName val="P+D ingresos"/>
      <sheetName val="Dolares ingresos"/>
      <sheetName val="Pesos ingresos"/>
      <sheetName val="Dolares pagos"/>
      <sheetName val="Pesos pagos"/>
      <sheetName val="Seguimiento pagos"/>
      <sheetName val="Seguimiento ingresos"/>
      <sheetName val="Seguimiento Flujo"/>
      <sheetName val="Hoja2"/>
      <sheetName val="Hoja1"/>
      <sheetName val="Seguimiento Transferencias"/>
      <sheetName val="Gráfico3"/>
      <sheetName val="Reporte de Pagos"/>
      <sheetName val="Reporte Vicetecnico"/>
      <sheetName val="inversión"/>
      <sheetName val="Transferencias"/>
      <sheetName val="Calculo TC"/>
      <sheetName val="Gráfico TC"/>
      <sheetName val="Ejercicio Portafolio"/>
      <sheetName val="Rend. financieros"/>
      <sheetName val="Contingencias"/>
      <sheetName val="Resumen TES Convenidas"/>
      <sheetName val="TES Convenidas"/>
      <sheetName val="Gráfico1"/>
      <sheetName val="Comparación Tributarios"/>
      <sheetName val="Comparación Servicio Deuda"/>
      <sheetName val="Ahorro TES"/>
      <sheetName val="Flujo Tesorería"/>
      <sheetName val="P_D ingres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D - Equipment"/>
    </sheetNames>
    <sheetDataSet>
      <sheetData sheetId="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ific"/>
      <sheetName val="RESUMENV"/>
      <sheetName val="VIGP"/>
      <sheetName val="VIGN"/>
      <sheetName val="RESUMENCXP"/>
      <sheetName val="PROPIOSCXP"/>
      <sheetName val="NACIONCXP"/>
      <sheetName val="RESUMENR"/>
      <sheetName val="PROPIOSR"/>
      <sheetName val="NACION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IR_OBJETO_FUENTE"/>
      <sheetName val="INTRODUCIR_CCPD"/>
      <sheetName val="MYLIST"/>
      <sheetName val="INTRODUCIR_OBJETO"/>
      <sheetName val="Hoja2"/>
      <sheetName val="Listado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 DE GASOLINA"/>
      <sheetName val="MODELO DE TRANSF.IMPUESTOS"/>
      <sheetName val="SUPUESTOS BASICOS"/>
      <sheetName val="OPE DOLARES"/>
      <sheetName val="OPE PESOS"/>
      <sheetName val="OPE TOTALES"/>
      <sheetName val="Supuestos Macro"/>
      <sheetName val="Volumenes"/>
      <sheetName val="Precios"/>
      <sheetName val="OPEC Pesos y US$"/>
      <sheetName val="OPEC Pesos + US$"/>
      <sheetName val="Consolidado Diego"/>
      <sheetName val="CAJA MENSUAL PESOS"/>
      <sheetName val="CAJA MENSUAL DOLARES"/>
      <sheetName val="OPE CAJA PESOS"/>
      <sheetName val="OPE CAJA DOLARES"/>
      <sheetName val="OPE CAJA TOTAL"/>
      <sheetName val="FINANCIAMIENTO "/>
      <sheetName val="CONSOLIDADO"/>
      <sheetName val="RESUMENES"/>
      <sheetName val="INVERSIONES "/>
      <sheetName val="MODELO DE REGALÍA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Details"/>
    </sheetNames>
    <sheetDataSet>
      <sheetData sheetId="0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Links"/>
      <sheetName val="SF424"/>
      <sheetName val="SF424A1"/>
      <sheetName val="SF424A2"/>
    </sheetNames>
    <sheetDataSet>
      <sheetData sheetId="0">
        <row r="1">
          <cell r="J1">
            <v>1.05</v>
          </cell>
        </row>
      </sheetData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 No 4"/>
    </sheetNames>
    <sheetDataSet>
      <sheetData sheetId="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ferencia 4 MM"/>
      <sheetName val="Hoja1"/>
      <sheetName val="Presupuesto"/>
      <sheetName val="Santander 1"/>
      <sheetName val="Santander (2)"/>
      <sheetName val="Portafolio"/>
      <sheetName val="Controles de Cambio"/>
      <sheetName val="Gráfica Rec 2019 (2)"/>
      <sheetName val="Gráfica Rec 2019"/>
      <sheetName val="Causación LFSB"/>
      <sheetName val="estudios1"/>
      <sheetName val="Estudios"/>
      <sheetName val="Listas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</sheetNames>
    <sheetDataSet>
      <sheetData sheetId="0"/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-TRANSF"/>
      <sheetName val="LIQUI_TRANSF"/>
    </sheetNames>
    <sheetDataSet>
      <sheetData sheetId="0" refreshError="1"/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DIST"/>
      <sheetName val="DISTRIBVTAS"/>
      <sheetName val="Datos"/>
      <sheetName val="PROVYOTF"/>
      <sheetName val="MFISICA"/>
      <sheetName val="Inv"/>
      <sheetName val="O&amp;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MPD"/>
      <sheetName val="ACTIVIDADES PPTO GRAL."/>
      <sheetName val="Hoja1"/>
      <sheetName val="ANEXO DETALLE POBLACION"/>
      <sheetName val="1,1 CAFETERIA"/>
      <sheetName val="ACTIV. PROGRAM-FIDIC-FINA -"/>
      <sheetName val="ACTIV. PROD-INDIC POBL OBJ.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AS POWER BI"/>
      <sheetName val="Francisco N"/>
      <sheetName val="Procesos Jurídicos"/>
      <sheetName val="BD Mar 2019"/>
      <sheetName val="Hoja2"/>
      <sheetName val="LB Priorizados GCF"/>
      <sheetName val="Liquidaciones FA"/>
      <sheetName val="OPENT 11-ab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DLDP Activity Plan"/>
      <sheetName val="Rates"/>
      <sheetName val="Level of Eff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1"/>
      <sheetName val="2"/>
      <sheetName val="3"/>
      <sheetName val="Cuadros Grales"/>
      <sheetName val="Base"/>
      <sheetName val="Pob"/>
      <sheetName val="Pob afro"/>
      <sheetName val="Pobla"/>
      <sheetName val="Matrícula"/>
      <sheetName val="Mat afro"/>
      <sheetName val="Matric"/>
      <sheetName val="Icfes afro"/>
      <sheetName val="Icfes oficial 03 afro"/>
      <sheetName val="Acu y Alc"/>
      <sheetName val="Acu y Alc Afro"/>
      <sheetName val="AcyAl"/>
      <sheetName val="Salud Afro 1"/>
      <sheetName val="Sal Afro 2"/>
      <sheetName val="Sal"/>
      <sheetName val="Sal1"/>
      <sheetName val="TD Sal"/>
      <sheetName val="Salidas"/>
      <sheetName val="Gráfico1"/>
      <sheetName val="Gráfico2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Dat 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 GSO"/>
      <sheetName val="SE"/>
      <sheetName val="Prio GSO"/>
      <sheetName val="Prio"/>
      <sheetName val="BD Nov-19 Priorizados"/>
      <sheetName val="Mod 4Q"/>
      <sheetName val="GCF"/>
      <sheetName val="Planner 21-nov-19"/>
      <sheetName val="OPENT 19-nov"/>
      <sheetName val="Liquidaciones FA"/>
      <sheetName val="Por liquidar Oct19"/>
      <sheetName val="Escuela Nueva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resos00"/>
      <sheetName val="Pagos00"/>
      <sheetName val="Financiamiento00"/>
      <sheetName val="opetesorer"/>
      <sheetName val="CAIDAINGRESOS"/>
      <sheetName val="caidaTRAS.TERRIT"/>
      <sheetName val="inversion"/>
      <sheetName val="variacionapropiacion"/>
      <sheetName val="METAPAGOS.REZAGO(sincambio)"/>
      <sheetName val="REZAGO CON Y SIN ESPACIO"/>
      <sheetName val="REZAGO CON ESPACIO FISCAL(FMI)"/>
      <sheetName val="REZAGO CON ESPACIO FISCAL(F (2)"/>
      <sheetName val="REZAGO CON ESPACIO FISCAL (2)"/>
      <sheetName val="REZAGO CON ESPACIO FISCAL 4813"/>
      <sheetName val="REZAGO CON ESPACIO FISCAL M-25"/>
      <sheetName val="ESCENA(CON ESPACIO)"/>
      <sheetName val="ESCENA(CON Y SIN ESPACIO)"/>
      <sheetName val="ESCENARIOS(BASICO)"/>
      <sheetName val="DETALLE-DEUDA"/>
      <sheetName val="ESCENARIOS(BASICO) (2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X34"/>
  <sheetViews>
    <sheetView zoomScale="9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H26" sqref="H26"/>
    </sheetView>
  </sheetViews>
  <sheetFormatPr defaultColWidth="9.1640625" defaultRowHeight="15" customHeight="1" x14ac:dyDescent="0.55000000000000004"/>
  <cols>
    <col min="1" max="1" width="18.71875" style="196" bestFit="1" customWidth="1"/>
    <col min="2" max="2" width="11.1640625" style="196" bestFit="1" customWidth="1"/>
    <col min="3" max="3" width="10" style="196" bestFit="1" customWidth="1"/>
    <col min="4" max="4" width="11.1640625" style="196" bestFit="1" customWidth="1"/>
    <col min="5" max="5" width="13.44140625" style="196" bestFit="1" customWidth="1"/>
    <col min="6" max="6" width="10" style="196" bestFit="1" customWidth="1"/>
    <col min="7" max="8" width="11.1640625" style="196" bestFit="1" customWidth="1"/>
    <col min="9" max="9" width="10" style="196" bestFit="1" customWidth="1"/>
    <col min="10" max="11" width="11.1640625" style="196" bestFit="1" customWidth="1"/>
    <col min="12" max="12" width="10" style="196" bestFit="1" customWidth="1"/>
    <col min="13" max="14" width="11.1640625" style="196" bestFit="1" customWidth="1"/>
    <col min="15" max="15" width="10" style="196" bestFit="1" customWidth="1"/>
    <col min="16" max="16" width="11.1640625" style="196" bestFit="1" customWidth="1"/>
    <col min="17" max="17" width="12.27734375" style="196" bestFit="1" customWidth="1"/>
    <col min="18" max="18" width="11.1640625" style="196" bestFit="1" customWidth="1"/>
    <col min="19" max="19" width="12.27734375" style="196" bestFit="1" customWidth="1"/>
    <col min="20" max="24" width="9.1640625" style="196"/>
    <col min="25" max="25" width="9.1640625" style="196" customWidth="1"/>
    <col min="26" max="16384" width="9.1640625" style="196"/>
  </cols>
  <sheetData>
    <row r="1" spans="1:19" ht="15" customHeight="1" x14ac:dyDescent="0.55000000000000004">
      <c r="A1" s="195"/>
      <c r="B1" s="728" t="s">
        <v>0</v>
      </c>
      <c r="C1" s="728"/>
      <c r="D1" s="728"/>
      <c r="E1" s="728"/>
      <c r="F1" s="728"/>
      <c r="G1" s="728"/>
      <c r="H1" s="728"/>
      <c r="I1" s="728"/>
      <c r="J1" s="728"/>
      <c r="K1" s="728"/>
      <c r="L1" s="728"/>
      <c r="M1" s="728"/>
      <c r="N1" s="728"/>
      <c r="O1" s="728"/>
      <c r="P1" s="728"/>
      <c r="Q1" s="728"/>
      <c r="R1" s="728"/>
      <c r="S1" s="728"/>
    </row>
    <row r="2" spans="1:19" ht="15" customHeight="1" x14ac:dyDescent="0.55000000000000004">
      <c r="B2" s="729" t="s">
        <v>1</v>
      </c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</row>
    <row r="4" spans="1:19" ht="15" customHeight="1" x14ac:dyDescent="0.55000000000000004">
      <c r="A4" s="197" t="s">
        <v>2</v>
      </c>
      <c r="B4" s="715" t="s">
        <v>3</v>
      </c>
      <c r="C4" s="716"/>
      <c r="D4" s="717"/>
      <c r="E4" s="715" t="s">
        <v>4</v>
      </c>
      <c r="F4" s="716"/>
      <c r="G4" s="717"/>
      <c r="H4" s="715" t="s">
        <v>5</v>
      </c>
      <c r="I4" s="716"/>
      <c r="J4" s="717"/>
      <c r="K4" s="715" t="s">
        <v>6</v>
      </c>
      <c r="L4" s="716"/>
      <c r="M4" s="717"/>
      <c r="N4" s="715" t="s">
        <v>7</v>
      </c>
      <c r="O4" s="716"/>
      <c r="P4" s="717"/>
      <c r="Q4" s="198" t="s">
        <v>8</v>
      </c>
      <c r="R4" s="199" t="s">
        <v>9</v>
      </c>
      <c r="S4" s="199" t="s">
        <v>10</v>
      </c>
    </row>
    <row r="5" spans="1:19" ht="15" customHeight="1" thickBot="1" x14ac:dyDescent="0.6">
      <c r="A5" s="197"/>
      <c r="B5" s="200" t="s">
        <v>11</v>
      </c>
      <c r="C5" s="201" t="s">
        <v>12</v>
      </c>
      <c r="D5" s="202" t="s">
        <v>9</v>
      </c>
      <c r="E5" s="197" t="s">
        <v>11</v>
      </c>
      <c r="F5" s="197" t="s">
        <v>12</v>
      </c>
      <c r="G5" s="197" t="s">
        <v>9</v>
      </c>
      <c r="H5" s="202" t="s">
        <v>11</v>
      </c>
      <c r="I5" s="197" t="s">
        <v>12</v>
      </c>
      <c r="J5" s="197" t="s">
        <v>9</v>
      </c>
      <c r="K5" s="197" t="s">
        <v>11</v>
      </c>
      <c r="L5" s="197" t="s">
        <v>12</v>
      </c>
      <c r="M5" s="197" t="s">
        <v>9</v>
      </c>
      <c r="N5" s="197" t="s">
        <v>11</v>
      </c>
      <c r="O5" s="197" t="s">
        <v>12</v>
      </c>
      <c r="P5" s="197" t="s">
        <v>9</v>
      </c>
      <c r="Q5" s="203" t="s">
        <v>11</v>
      </c>
      <c r="R5" s="197" t="s">
        <v>12</v>
      </c>
      <c r="S5" s="204" t="s">
        <v>8</v>
      </c>
    </row>
    <row r="6" spans="1:19" ht="15" customHeight="1" x14ac:dyDescent="0.55000000000000004">
      <c r="A6" s="205"/>
      <c r="B6" s="206"/>
      <c r="C6" s="207"/>
      <c r="D6" s="208"/>
      <c r="E6" s="209"/>
      <c r="F6" s="210"/>
      <c r="G6" s="208"/>
      <c r="H6" s="210"/>
      <c r="I6" s="210"/>
      <c r="J6" s="208"/>
      <c r="K6" s="209"/>
      <c r="L6" s="210"/>
      <c r="M6" s="208"/>
      <c r="N6" s="209"/>
      <c r="O6" s="210"/>
      <c r="P6" s="208"/>
      <c r="Q6" s="211"/>
      <c r="R6" s="212"/>
      <c r="S6" s="211"/>
    </row>
    <row r="7" spans="1:19" ht="15" customHeight="1" x14ac:dyDescent="0.55000000000000004">
      <c r="A7" s="213" t="s">
        <v>13</v>
      </c>
      <c r="B7" s="214">
        <f>'Budget Partners'!K39</f>
        <v>757570.26666666672</v>
      </c>
      <c r="C7" s="215">
        <f>'Budget Partners'!L39</f>
        <v>0</v>
      </c>
      <c r="D7" s="216">
        <f>SUM(B7:C7)</f>
        <v>757570.26666666672</v>
      </c>
      <c r="E7" s="214">
        <f>'Budget Partners'!Q39</f>
        <v>869469.74399999995</v>
      </c>
      <c r="F7" s="215">
        <f>'Budget Partners'!R39</f>
        <v>0</v>
      </c>
      <c r="G7" s="216">
        <f>SUM(E7:F7)</f>
        <v>869469.74399999995</v>
      </c>
      <c r="H7" s="214">
        <f>'Budget Partners'!W39</f>
        <v>904248.53376000002</v>
      </c>
      <c r="I7" s="215">
        <f>'Budget Partners'!X39</f>
        <v>0</v>
      </c>
      <c r="J7" s="216">
        <f>SUM(H7:I7)</f>
        <v>904248.53376000002</v>
      </c>
      <c r="K7" s="214">
        <f>'Budget Partners'!AC39</f>
        <v>940418.4751104</v>
      </c>
      <c r="L7" s="215">
        <f>'Budget Partners'!AD39</f>
        <v>0</v>
      </c>
      <c r="M7" s="216">
        <f>SUM(K7:L7)</f>
        <v>940418.4751104</v>
      </c>
      <c r="N7" s="214">
        <f>'Budget Partners'!AI39</f>
        <v>919932.23896814953</v>
      </c>
      <c r="O7" s="215">
        <f>'Budget Partners'!AJ39</f>
        <v>0</v>
      </c>
      <c r="P7" s="216">
        <f>SUM(N7:O7)</f>
        <v>919932.23896814953</v>
      </c>
      <c r="Q7" s="217">
        <f>'Budget Partners'!AL39</f>
        <v>4391639.2585052159</v>
      </c>
      <c r="R7" s="217">
        <f>'Budget Partners'!AM39</f>
        <v>0</v>
      </c>
      <c r="S7" s="217">
        <f>'Budget Partners'!AN39</f>
        <v>4391639.2585052159</v>
      </c>
    </row>
    <row r="8" spans="1:19" ht="15" customHeight="1" x14ac:dyDescent="0.55000000000000004">
      <c r="A8" s="218"/>
      <c r="B8" s="219"/>
      <c r="C8" s="220"/>
      <c r="D8" s="221"/>
      <c r="E8" s="219"/>
      <c r="F8" s="220"/>
      <c r="G8" s="221"/>
      <c r="H8" s="219"/>
      <c r="I8" s="220"/>
      <c r="J8" s="221"/>
      <c r="K8" s="219"/>
      <c r="L8" s="220"/>
      <c r="M8" s="221"/>
      <c r="N8" s="219"/>
      <c r="O8" s="220"/>
      <c r="P8" s="221"/>
      <c r="Q8" s="222"/>
      <c r="R8" s="222"/>
      <c r="S8" s="222"/>
    </row>
    <row r="9" spans="1:19" ht="15" customHeight="1" x14ac:dyDescent="0.55000000000000004">
      <c r="A9" s="223" t="s">
        <v>14</v>
      </c>
      <c r="B9" s="214">
        <f>'Budget Partners'!K57</f>
        <v>387758.3259933333</v>
      </c>
      <c r="C9" s="215">
        <f>'Budget Partners'!L57</f>
        <v>0</v>
      </c>
      <c r="D9" s="216">
        <f>'Budget Partners'!M57</f>
        <v>387758.3259933333</v>
      </c>
      <c r="E9" s="214">
        <f>'Budget Partners'!Q57</f>
        <v>421082.63756639999</v>
      </c>
      <c r="F9" s="215">
        <f>'Budget Partners'!R57</f>
        <v>0</v>
      </c>
      <c r="G9" s="216">
        <f>'Budget Partners'!S57</f>
        <v>421082.63756639999</v>
      </c>
      <c r="H9" s="214">
        <f>'Budget Partners'!W57</f>
        <v>435904.26306905603</v>
      </c>
      <c r="I9" s="215">
        <f>'Budget Partners'!X57</f>
        <v>0</v>
      </c>
      <c r="J9" s="216">
        <f>'Budget Partners'!Y57</f>
        <v>435904.26306905603</v>
      </c>
      <c r="K9" s="214">
        <f>'Budget Partners'!AC57</f>
        <v>454244.22811681824</v>
      </c>
      <c r="L9" s="215">
        <f>'Budget Partners'!AD57</f>
        <v>0</v>
      </c>
      <c r="M9" s="216">
        <f>'Budget Partners'!AE57</f>
        <v>454244.22811681824</v>
      </c>
      <c r="N9" s="214">
        <f>'Budget Partners'!AI57</f>
        <v>463361.04304249049</v>
      </c>
      <c r="O9" s="215">
        <f>'Budget Partners'!AJ57</f>
        <v>0</v>
      </c>
      <c r="P9" s="216">
        <f>'Budget Partners'!AK57</f>
        <v>463361.04304249049</v>
      </c>
      <c r="Q9" s="217">
        <f>'Budget Partners'!AL57</f>
        <v>2162350.4977880977</v>
      </c>
      <c r="R9" s="217">
        <f>'Budget Partners'!AM57</f>
        <v>0</v>
      </c>
      <c r="S9" s="217">
        <f>'Budget Partners'!AN57</f>
        <v>2162350.4977880977</v>
      </c>
    </row>
    <row r="10" spans="1:19" ht="15" customHeight="1" x14ac:dyDescent="0.55000000000000004">
      <c r="A10" s="218"/>
      <c r="B10" s="219"/>
      <c r="C10" s="220"/>
      <c r="D10" s="221"/>
      <c r="E10" s="219"/>
      <c r="F10" s="220"/>
      <c r="G10" s="221"/>
      <c r="H10" s="219"/>
      <c r="I10" s="220"/>
      <c r="J10" s="221"/>
      <c r="K10" s="219"/>
      <c r="L10" s="220"/>
      <c r="M10" s="221"/>
      <c r="N10" s="219"/>
      <c r="O10" s="220"/>
      <c r="P10" s="221"/>
      <c r="Q10" s="222"/>
      <c r="R10" s="222"/>
      <c r="S10" s="222"/>
    </row>
    <row r="11" spans="1:19" ht="15" customHeight="1" x14ac:dyDescent="0.55000000000000004">
      <c r="A11" s="223" t="s">
        <v>15</v>
      </c>
      <c r="B11" s="214">
        <f>'Budget Partners'!K106</f>
        <v>55845</v>
      </c>
      <c r="C11" s="215">
        <f>'Budget Partners'!L106</f>
        <v>0</v>
      </c>
      <c r="D11" s="216">
        <f>'Budget Partners'!M106</f>
        <v>55845</v>
      </c>
      <c r="E11" s="214">
        <f>'Budget Partners'!Q106</f>
        <v>110986.5</v>
      </c>
      <c r="F11" s="215">
        <f>'Budget Partners'!R106</f>
        <v>0</v>
      </c>
      <c r="G11" s="216">
        <f>'Budget Partners'!S106</f>
        <v>110986.5</v>
      </c>
      <c r="H11" s="214">
        <f>'Budget Partners'!W106</f>
        <v>116653.85175000003</v>
      </c>
      <c r="I11" s="215">
        <f>'Budget Partners'!X106</f>
        <v>0</v>
      </c>
      <c r="J11" s="216">
        <f>'Budget Partners'!Y106</f>
        <v>116653.85175000003</v>
      </c>
      <c r="K11" s="214">
        <f>'Budget Partners'!AC106</f>
        <v>118091.67535875001</v>
      </c>
      <c r="L11" s="215">
        <f>'Budget Partners'!AD106</f>
        <v>0</v>
      </c>
      <c r="M11" s="216">
        <f>'Budget Partners'!AE106</f>
        <v>118091.67535875001</v>
      </c>
      <c r="N11" s="214">
        <f>'Budget Partners'!AI106</f>
        <v>70200.654573543739</v>
      </c>
      <c r="O11" s="215">
        <f>'Budget Partners'!AJ106</f>
        <v>0</v>
      </c>
      <c r="P11" s="216">
        <f>'Budget Partners'!AK106</f>
        <v>70200.654573543739</v>
      </c>
      <c r="Q11" s="217">
        <f>'Budget Partners'!AL106</f>
        <v>471777.68168229365</v>
      </c>
      <c r="R11" s="217">
        <f>'Budget Partners'!AM106</f>
        <v>0</v>
      </c>
      <c r="S11" s="217">
        <f>'Budget Partners'!AN106</f>
        <v>471777.68168229365</v>
      </c>
    </row>
    <row r="12" spans="1:19" ht="15" customHeight="1" x14ac:dyDescent="0.55000000000000004">
      <c r="A12" s="224"/>
      <c r="B12" s="219"/>
      <c r="C12" s="220"/>
      <c r="D12" s="221"/>
      <c r="E12" s="219"/>
      <c r="F12" s="220"/>
      <c r="G12" s="221"/>
      <c r="H12" s="219"/>
      <c r="I12" s="220"/>
      <c r="J12" s="221"/>
      <c r="K12" s="219"/>
      <c r="L12" s="220"/>
      <c r="M12" s="221"/>
      <c r="N12" s="219"/>
      <c r="O12" s="220"/>
      <c r="P12" s="221"/>
      <c r="Q12" s="222"/>
      <c r="R12" s="222"/>
      <c r="S12" s="222"/>
    </row>
    <row r="13" spans="1:19" ht="15" customHeight="1" x14ac:dyDescent="0.55000000000000004">
      <c r="A13" s="223" t="s">
        <v>16</v>
      </c>
      <c r="B13" s="214">
        <f>'Budget Partners'!K112</f>
        <v>150000</v>
      </c>
      <c r="C13" s="215">
        <f>'Budget Partners'!L112</f>
        <v>0</v>
      </c>
      <c r="D13" s="216">
        <f>'Budget Partners'!M112</f>
        <v>150000</v>
      </c>
      <c r="E13" s="214">
        <f>'Budget Partners'!Q112</f>
        <v>0</v>
      </c>
      <c r="F13" s="215">
        <f>'Budget Partners'!R112</f>
        <v>0</v>
      </c>
      <c r="G13" s="216">
        <f>'Budget Partners'!S112</f>
        <v>0</v>
      </c>
      <c r="H13" s="214">
        <f>'Budget Partners'!W112</f>
        <v>0</v>
      </c>
      <c r="I13" s="215">
        <f>'Budget Partners'!X112</f>
        <v>0</v>
      </c>
      <c r="J13" s="216">
        <f>'Budget Partners'!Y112</f>
        <v>0</v>
      </c>
      <c r="K13" s="214">
        <f>'Budget Partners'!AC112</f>
        <v>0</v>
      </c>
      <c r="L13" s="215">
        <f>'Budget Partners'!AD112</f>
        <v>0</v>
      </c>
      <c r="M13" s="216">
        <f>'Budget Partners'!AE112</f>
        <v>0</v>
      </c>
      <c r="N13" s="214">
        <f>'Budget Partners'!AI112</f>
        <v>0</v>
      </c>
      <c r="O13" s="215">
        <f>'Budget Partners'!AJ112</f>
        <v>0</v>
      </c>
      <c r="P13" s="216">
        <f>'Budget Partners'!AK112</f>
        <v>0</v>
      </c>
      <c r="Q13" s="217">
        <f>'Budget Partners'!AL112</f>
        <v>150000</v>
      </c>
      <c r="R13" s="217">
        <f>'Budget Partners'!AM112</f>
        <v>0</v>
      </c>
      <c r="S13" s="217">
        <f>'Budget Partners'!AN112</f>
        <v>150000</v>
      </c>
    </row>
    <row r="14" spans="1:19" ht="15" customHeight="1" x14ac:dyDescent="0.55000000000000004">
      <c r="A14" s="225"/>
      <c r="B14" s="219"/>
      <c r="C14" s="220"/>
      <c r="D14" s="221"/>
      <c r="E14" s="219"/>
      <c r="F14" s="220"/>
      <c r="G14" s="221"/>
      <c r="H14" s="219"/>
      <c r="I14" s="220"/>
      <c r="J14" s="221"/>
      <c r="K14" s="219"/>
      <c r="L14" s="220"/>
      <c r="M14" s="221"/>
      <c r="N14" s="219"/>
      <c r="O14" s="220"/>
      <c r="P14" s="221"/>
      <c r="Q14" s="222"/>
      <c r="R14" s="222"/>
      <c r="S14" s="222"/>
    </row>
    <row r="15" spans="1:19" ht="15" customHeight="1" x14ac:dyDescent="0.55000000000000004">
      <c r="A15" s="223" t="s">
        <v>17</v>
      </c>
      <c r="B15" s="214">
        <f>'Budget Partners'!K137</f>
        <v>86398.180000000008</v>
      </c>
      <c r="C15" s="215">
        <f>'Budget Partners'!L137</f>
        <v>0</v>
      </c>
      <c r="D15" s="216">
        <f>'Budget Partners'!M137</f>
        <v>86398.180000000008</v>
      </c>
      <c r="E15" s="214">
        <f>'Budget Partners'!Q137</f>
        <v>40125</v>
      </c>
      <c r="F15" s="215">
        <f>'Budget Partners'!R137</f>
        <v>0</v>
      </c>
      <c r="G15" s="216">
        <f>'Budget Partners'!S137</f>
        <v>40125</v>
      </c>
      <c r="H15" s="214">
        <f>'Budget Partners'!W137</f>
        <v>41283.074999999997</v>
      </c>
      <c r="I15" s="215">
        <f>'Budget Partners'!X137</f>
        <v>0</v>
      </c>
      <c r="J15" s="216">
        <f>'Budget Partners'!Y137</f>
        <v>41283.074999999997</v>
      </c>
      <c r="K15" s="214">
        <f>'Budget Partners'!AC137</f>
        <v>27723.392625000004</v>
      </c>
      <c r="L15" s="215">
        <f>'Budget Partners'!AD137</f>
        <v>0</v>
      </c>
      <c r="M15" s="216">
        <f>'Budget Partners'!AE137</f>
        <v>27723.392625000004</v>
      </c>
      <c r="N15" s="214">
        <f>'Budget Partners'!AI137</f>
        <v>22177.051820624998</v>
      </c>
      <c r="O15" s="215">
        <f>'Budget Partners'!AJ137</f>
        <v>0</v>
      </c>
      <c r="P15" s="216">
        <f>'Budget Partners'!AK137</f>
        <v>22177.051820624998</v>
      </c>
      <c r="Q15" s="217">
        <f>'Budget Partners'!AL137</f>
        <v>217706.69944562501</v>
      </c>
      <c r="R15" s="217">
        <f>'Budget Partners'!AM137</f>
        <v>0</v>
      </c>
      <c r="S15" s="217">
        <f>'Budget Partners'!AN137</f>
        <v>217706.69944562501</v>
      </c>
    </row>
    <row r="16" spans="1:19" ht="15" customHeight="1" x14ac:dyDescent="0.55000000000000004">
      <c r="A16" s="225"/>
      <c r="B16" s="219"/>
      <c r="C16" s="220"/>
      <c r="D16" s="221"/>
      <c r="E16" s="219"/>
      <c r="F16" s="220"/>
      <c r="G16" s="221"/>
      <c r="H16" s="219"/>
      <c r="I16" s="220"/>
      <c r="J16" s="221"/>
      <c r="K16" s="219"/>
      <c r="L16" s="220"/>
      <c r="M16" s="221"/>
      <c r="N16" s="219"/>
      <c r="O16" s="220"/>
      <c r="P16" s="221"/>
      <c r="Q16" s="222"/>
      <c r="R16" s="222"/>
      <c r="S16" s="222"/>
    </row>
    <row r="17" spans="1:128" ht="15" customHeight="1" x14ac:dyDescent="0.55000000000000004">
      <c r="A17" s="223" t="s">
        <v>18</v>
      </c>
      <c r="B17" s="214">
        <f>'Budget Partners'!K168</f>
        <v>3318069.5264125001</v>
      </c>
      <c r="C17" s="215">
        <f>'Budget Partners'!L168</f>
        <v>245351.81794007143</v>
      </c>
      <c r="D17" s="216">
        <f>'Budget Partners'!M168</f>
        <v>3563421.3443525713</v>
      </c>
      <c r="E17" s="214">
        <f>'Budget Partners'!Q168</f>
        <v>3997677.0940620005</v>
      </c>
      <c r="F17" s="215">
        <f>'Budget Partners'!R168</f>
        <v>200067.83669724112</v>
      </c>
      <c r="G17" s="216">
        <f>'Budget Partners'!S168</f>
        <v>4197744.9307592409</v>
      </c>
      <c r="H17" s="214">
        <f>'Budget Partners'!W168</f>
        <v>4340006.68669008</v>
      </c>
      <c r="I17" s="215">
        <f>'Budget Partners'!X168</f>
        <v>198207.17167513084</v>
      </c>
      <c r="J17" s="216">
        <f>'Budget Partners'!Y168</f>
        <v>4538213.8583652107</v>
      </c>
      <c r="K17" s="214">
        <f>'Budget Partners'!AC168</f>
        <v>4317470.5697301831</v>
      </c>
      <c r="L17" s="215">
        <f>'Budget Partners'!AD168</f>
        <v>205687.47972543607</v>
      </c>
      <c r="M17" s="216">
        <f>'Budget Partners'!AE168</f>
        <v>4523158.0494556194</v>
      </c>
      <c r="N17" s="214">
        <f>'Budget Partners'!AI168</f>
        <v>2761408.5950400783</v>
      </c>
      <c r="O17" s="215">
        <f>'Budget Partners'!AJ168</f>
        <v>209691.70553764762</v>
      </c>
      <c r="P17" s="216">
        <f>'Budget Partners'!AK168</f>
        <v>2971100.3005777262</v>
      </c>
      <c r="Q17" s="217">
        <f>'Budget Partners'!AL168</f>
        <v>18734632.471934844</v>
      </c>
      <c r="R17" s="217">
        <f>'Budget Partners'!AM168</f>
        <v>1059006.011575527</v>
      </c>
      <c r="S17" s="217">
        <f>'Budget Partners'!AN168</f>
        <v>19793638.483510371</v>
      </c>
    </row>
    <row r="18" spans="1:128" ht="15" customHeight="1" x14ac:dyDescent="0.55000000000000004">
      <c r="A18" s="218"/>
      <c r="B18" s="219"/>
      <c r="C18" s="220"/>
      <c r="D18" s="221"/>
      <c r="E18" s="219"/>
      <c r="F18" s="220"/>
      <c r="G18" s="221"/>
      <c r="H18" s="219"/>
      <c r="I18" s="220"/>
      <c r="J18" s="221"/>
      <c r="K18" s="219"/>
      <c r="L18" s="220"/>
      <c r="M18" s="221"/>
      <c r="N18" s="219"/>
      <c r="O18" s="220"/>
      <c r="P18" s="221"/>
      <c r="Q18" s="222"/>
      <c r="R18" s="222"/>
      <c r="S18" s="222"/>
    </row>
    <row r="19" spans="1:128" ht="15" customHeight="1" x14ac:dyDescent="0.55000000000000004">
      <c r="A19" s="226" t="s">
        <v>19</v>
      </c>
      <c r="B19" s="214">
        <f>'Budget Partners'!K220</f>
        <v>316251</v>
      </c>
      <c r="C19" s="215">
        <f>'Budget Partners'!L220</f>
        <v>0</v>
      </c>
      <c r="D19" s="216">
        <f>'Budget Partners'!M220</f>
        <v>316251</v>
      </c>
      <c r="E19" s="214">
        <f>'Budget Partners'!Q220</f>
        <v>192761.41500000001</v>
      </c>
      <c r="F19" s="215">
        <f>'Budget Partners'!R220</f>
        <v>0</v>
      </c>
      <c r="G19" s="216">
        <f>'Budget Partners'!S220</f>
        <v>192761.41500000001</v>
      </c>
      <c r="H19" s="214">
        <f>'Budget Partners'!W220</f>
        <v>197225.00422499995</v>
      </c>
      <c r="I19" s="215">
        <f>'Budget Partners'!X220</f>
        <v>0</v>
      </c>
      <c r="J19" s="216">
        <f>'Budget Partners'!Y220</f>
        <v>197225.00422499995</v>
      </c>
      <c r="K19" s="214">
        <f>'Budget Partners'!AC220</f>
        <v>199315.35732837502</v>
      </c>
      <c r="L19" s="215">
        <f>'Budget Partners'!AD220</f>
        <v>0</v>
      </c>
      <c r="M19" s="216">
        <f>'Budget Partners'!AE220</f>
        <v>199315.35732837502</v>
      </c>
      <c r="N19" s="214">
        <f>'Budget Partners'!AI220</f>
        <v>163481.30943715057</v>
      </c>
      <c r="O19" s="215">
        <f>'Budget Partners'!AJ220</f>
        <v>0</v>
      </c>
      <c r="P19" s="216">
        <f>'Budget Partners'!AK220</f>
        <v>163481.30943715057</v>
      </c>
      <c r="Q19" s="217">
        <f>'Budget Partners'!AL220</f>
        <v>1069034.0859905255</v>
      </c>
      <c r="R19" s="217">
        <f>'Budget Partners'!AM220</f>
        <v>0</v>
      </c>
      <c r="S19" s="217">
        <f>'Budget Partners'!AN220</f>
        <v>1069034.0859905255</v>
      </c>
    </row>
    <row r="20" spans="1:128" ht="15" customHeight="1" x14ac:dyDescent="0.55000000000000004">
      <c r="A20" s="227"/>
      <c r="B20" s="228"/>
      <c r="C20" s="229"/>
      <c r="D20" s="230"/>
      <c r="E20" s="228"/>
      <c r="F20" s="229"/>
      <c r="G20" s="230"/>
      <c r="H20" s="228"/>
      <c r="I20" s="229"/>
      <c r="J20" s="230"/>
      <c r="K20" s="228"/>
      <c r="L20" s="229"/>
      <c r="M20" s="230"/>
      <c r="N20" s="219"/>
      <c r="O20" s="220"/>
      <c r="P20" s="221"/>
      <c r="Q20" s="222"/>
      <c r="R20" s="222"/>
      <c r="S20" s="222"/>
    </row>
    <row r="21" spans="1:128" s="233" customFormat="1" ht="15" customHeight="1" x14ac:dyDescent="0.5">
      <c r="A21" s="231" t="s">
        <v>20</v>
      </c>
      <c r="B21" s="232">
        <f>'Budget Partners'!K222</f>
        <v>5071892.2990725003</v>
      </c>
      <c r="C21" s="232">
        <f>'Budget Partners'!L222</f>
        <v>245351.81794007143</v>
      </c>
      <c r="D21" s="232">
        <f>'Budget Partners'!M222</f>
        <v>5317244.1170125715</v>
      </c>
      <c r="E21" s="232">
        <f>'Budget Partners'!Q222</f>
        <v>5632102.3906284003</v>
      </c>
      <c r="F21" s="232">
        <f>'Budget Partners'!R222</f>
        <v>200067.83669724112</v>
      </c>
      <c r="G21" s="232">
        <f>'Budget Partners'!S222</f>
        <v>5832170.2273256416</v>
      </c>
      <c r="H21" s="232">
        <f>'Budget Partners'!W222</f>
        <v>6035321.4144941363</v>
      </c>
      <c r="I21" s="232">
        <f>'Budget Partners'!X222</f>
        <v>198207.17167513084</v>
      </c>
      <c r="J21" s="232">
        <f>'Budget Partners'!Y222</f>
        <v>6233528.5861692671</v>
      </c>
      <c r="K21" s="232">
        <f>'Budget Partners'!AC222</f>
        <v>6057263.6982695274</v>
      </c>
      <c r="L21" s="232">
        <f>'Budget Partners'!AD222</f>
        <v>205687.47972543607</v>
      </c>
      <c r="M21" s="232">
        <f>'Budget Partners'!AE222</f>
        <v>6262951.1779949628</v>
      </c>
      <c r="N21" s="232">
        <f>'Budget Partners'!AI222</f>
        <v>4400560.8928820379</v>
      </c>
      <c r="O21" s="232">
        <f>'Budget Partners'!AJ222</f>
        <v>209691.70553764762</v>
      </c>
      <c r="P21" s="232">
        <f>'Budget Partners'!AK222</f>
        <v>4610252.5984196858</v>
      </c>
      <c r="Q21" s="232">
        <f>'Budget Partners'!AL222</f>
        <v>27197140.695346601</v>
      </c>
      <c r="R21" s="232">
        <f>'Budget Partners'!AM222</f>
        <v>1059006.011575527</v>
      </c>
      <c r="S21" s="232">
        <f>'Budget Partners'!AN222</f>
        <v>28256146.706922129</v>
      </c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  <c r="BE21" s="195"/>
      <c r="BF21" s="195"/>
      <c r="BG21" s="195"/>
      <c r="BH21" s="195"/>
      <c r="BI21" s="195"/>
      <c r="BJ21" s="195"/>
      <c r="BK21" s="195"/>
      <c r="BL21" s="195"/>
      <c r="BM21" s="195"/>
      <c r="BN21" s="195"/>
      <c r="BO21" s="195"/>
      <c r="BP21" s="195"/>
      <c r="BQ21" s="195"/>
      <c r="BR21" s="195"/>
      <c r="BS21" s="195"/>
      <c r="BT21" s="195"/>
      <c r="BU21" s="195"/>
      <c r="BV21" s="195"/>
      <c r="BW21" s="195"/>
      <c r="BX21" s="195"/>
      <c r="BY21" s="195"/>
      <c r="BZ21" s="195"/>
      <c r="CA21" s="195"/>
      <c r="CB21" s="195"/>
      <c r="CC21" s="195"/>
      <c r="CD21" s="195"/>
      <c r="CE21" s="195"/>
      <c r="CF21" s="195"/>
      <c r="CG21" s="195"/>
      <c r="CH21" s="195"/>
      <c r="CI21" s="195"/>
      <c r="CJ21" s="195"/>
      <c r="CK21" s="195"/>
      <c r="CL21" s="195"/>
      <c r="CM21" s="195"/>
      <c r="CN21" s="195"/>
      <c r="CO21" s="195"/>
      <c r="CP21" s="195"/>
      <c r="CQ21" s="195"/>
      <c r="CR21" s="195"/>
      <c r="CS21" s="195"/>
      <c r="CT21" s="195"/>
      <c r="CU21" s="195"/>
      <c r="CV21" s="195"/>
      <c r="CW21" s="195"/>
      <c r="CX21" s="195"/>
      <c r="CY21" s="195"/>
      <c r="CZ21" s="195"/>
      <c r="DA21" s="195"/>
      <c r="DB21" s="195"/>
      <c r="DC21" s="195"/>
      <c r="DD21" s="195"/>
      <c r="DE21" s="195"/>
      <c r="DF21" s="195"/>
      <c r="DG21" s="195"/>
      <c r="DH21" s="195"/>
      <c r="DI21" s="195"/>
      <c r="DJ21" s="195"/>
      <c r="DK21" s="195"/>
      <c r="DL21" s="195"/>
      <c r="DM21" s="195"/>
      <c r="DN21" s="195"/>
      <c r="DO21" s="195"/>
      <c r="DP21" s="195"/>
      <c r="DQ21" s="195"/>
      <c r="DR21" s="195"/>
      <c r="DS21" s="195"/>
      <c r="DT21" s="195"/>
      <c r="DU21" s="195"/>
      <c r="DV21" s="195"/>
      <c r="DW21" s="195"/>
      <c r="DX21" s="195"/>
    </row>
    <row r="22" spans="1:128" s="233" customFormat="1" ht="15" customHeight="1" x14ac:dyDescent="0.5">
      <c r="A22" s="233" t="s">
        <v>21</v>
      </c>
      <c r="B22" s="234">
        <f>'Budget Partners'!K223</f>
        <v>1455125.9006039002</v>
      </c>
      <c r="C22" s="234">
        <f>'Budget Partners'!L223</f>
        <v>0</v>
      </c>
      <c r="D22" s="234">
        <f>'Budget Partners'!M223</f>
        <v>1455125.9006039002</v>
      </c>
      <c r="E22" s="234">
        <f>'Budget Partners'!Q223</f>
        <v>1615850.1758712879</v>
      </c>
      <c r="F22" s="234">
        <f>'Budget Partners'!R223</f>
        <v>0</v>
      </c>
      <c r="G22" s="234">
        <f>'Budget Partners'!S223</f>
        <v>1615850.1758712879</v>
      </c>
      <c r="H22" s="234">
        <f>'Budget Partners'!W223</f>
        <v>1731533.7138183676</v>
      </c>
      <c r="I22" s="234">
        <f>'Budget Partners'!X223</f>
        <v>0</v>
      </c>
      <c r="J22" s="234">
        <f>'Budget Partners'!Y223</f>
        <v>1731533.7138183676</v>
      </c>
      <c r="K22" s="234">
        <f>'Budget Partners'!AC223</f>
        <v>1737828.9550335275</v>
      </c>
      <c r="L22" s="234">
        <f>'Budget Partners'!AD223</f>
        <v>0</v>
      </c>
      <c r="M22" s="234">
        <f>'Budget Partners'!AE223</f>
        <v>1737828.9550335275</v>
      </c>
      <c r="N22" s="234">
        <f>'Budget Partners'!AI223</f>
        <v>1262520.9201678566</v>
      </c>
      <c r="O22" s="234">
        <f>'Budget Partners'!AJ223</f>
        <v>0</v>
      </c>
      <c r="P22" s="234">
        <f>'Budget Partners'!AK223</f>
        <v>1262520.9201678566</v>
      </c>
      <c r="Q22" s="234">
        <f>'Budget Partners'!AL223</f>
        <v>7802859.6654949393</v>
      </c>
      <c r="R22" s="234">
        <f>'Budget Partners'!AM223</f>
        <v>0</v>
      </c>
      <c r="S22" s="234">
        <f>'Budget Partners'!AN223</f>
        <v>7802859.6654949393</v>
      </c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95"/>
      <c r="BQ22" s="195"/>
      <c r="BR22" s="195"/>
      <c r="BS22" s="195"/>
      <c r="BT22" s="195"/>
      <c r="BU22" s="195"/>
      <c r="BV22" s="195"/>
      <c r="BW22" s="195"/>
      <c r="BX22" s="195"/>
      <c r="BY22" s="195"/>
      <c r="BZ22" s="195"/>
      <c r="CA22" s="195"/>
      <c r="CB22" s="195"/>
      <c r="CC22" s="195"/>
      <c r="CD22" s="195"/>
      <c r="CE22" s="195"/>
      <c r="CF22" s="195"/>
      <c r="CG22" s="195"/>
      <c r="CH22" s="195"/>
      <c r="CI22" s="195"/>
      <c r="CJ22" s="195"/>
      <c r="CK22" s="195"/>
      <c r="CL22" s="195"/>
      <c r="CM22" s="195"/>
      <c r="CN22" s="195"/>
      <c r="CO22" s="195"/>
      <c r="CP22" s="195"/>
      <c r="CQ22" s="195"/>
      <c r="CR22" s="195"/>
      <c r="CS22" s="195"/>
      <c r="CT22" s="195"/>
      <c r="CU22" s="195"/>
      <c r="CV22" s="195"/>
      <c r="CW22" s="195"/>
      <c r="CX22" s="195"/>
      <c r="CY22" s="195"/>
      <c r="CZ22" s="195"/>
      <c r="DA22" s="195"/>
      <c r="DB22" s="195"/>
      <c r="DC22" s="195"/>
      <c r="DD22" s="195"/>
      <c r="DE22" s="195"/>
      <c r="DF22" s="195"/>
      <c r="DG22" s="195"/>
      <c r="DH22" s="195"/>
      <c r="DI22" s="195"/>
      <c r="DJ22" s="195"/>
      <c r="DK22" s="195"/>
      <c r="DL22" s="195"/>
      <c r="DM22" s="195"/>
      <c r="DN22" s="195"/>
      <c r="DO22" s="195"/>
      <c r="DP22" s="195"/>
      <c r="DQ22" s="195"/>
      <c r="DR22" s="195"/>
      <c r="DS22" s="195"/>
      <c r="DT22" s="195"/>
      <c r="DU22" s="195"/>
      <c r="DV22" s="195"/>
      <c r="DW22" s="195"/>
      <c r="DX22" s="195"/>
    </row>
    <row r="23" spans="1:128" s="236" customFormat="1" ht="15" customHeight="1" x14ac:dyDescent="0.55000000000000004">
      <c r="A23" s="231" t="s">
        <v>8</v>
      </c>
      <c r="B23" s="235">
        <f>'Budget Partners'!K224</f>
        <v>6527018.1996764001</v>
      </c>
      <c r="C23" s="235">
        <f>'Budget Partners'!L224</f>
        <v>245351.81794007143</v>
      </c>
      <c r="D23" s="235">
        <f>'Budget Partners'!M224</f>
        <v>6772370.0176164713</v>
      </c>
      <c r="E23" s="235">
        <f>'Budget Partners'!Q224</f>
        <v>7247952.5664996877</v>
      </c>
      <c r="F23" s="235">
        <f>'Budget Partners'!R224</f>
        <v>200067.83669724112</v>
      </c>
      <c r="G23" s="235">
        <f>'Budget Partners'!S224</f>
        <v>7448020.403196929</v>
      </c>
      <c r="H23" s="235">
        <f>'Budget Partners'!W224</f>
        <v>7766855.1283125039</v>
      </c>
      <c r="I23" s="235">
        <f>'Budget Partners'!X224</f>
        <v>198207.17167513084</v>
      </c>
      <c r="J23" s="235">
        <f>'Budget Partners'!Y224</f>
        <v>7965062.2999876346</v>
      </c>
      <c r="K23" s="235">
        <f>'Budget Partners'!AC224</f>
        <v>7795092.6533030551</v>
      </c>
      <c r="L23" s="235">
        <f>'Budget Partners'!AD224</f>
        <v>205687.47972543607</v>
      </c>
      <c r="M23" s="235">
        <f>'Budget Partners'!AE224</f>
        <v>8000780.1330284905</v>
      </c>
      <c r="N23" s="235">
        <f>'Budget Partners'!AI224</f>
        <v>5663081.8130498948</v>
      </c>
      <c r="O23" s="235">
        <f>'Budget Partners'!AJ224</f>
        <v>209691.70553764762</v>
      </c>
      <c r="P23" s="235">
        <f>'Budget Partners'!AK224</f>
        <v>5872773.5185875427</v>
      </c>
      <c r="Q23" s="235">
        <f>'Budget Partners'!AL224</f>
        <v>35000000.360841542</v>
      </c>
      <c r="R23" s="235">
        <f>'Budget Partners'!AM224</f>
        <v>1059006.011575527</v>
      </c>
      <c r="S23" s="235">
        <f>'Budget Partners'!AN224</f>
        <v>36059006.37241707</v>
      </c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6"/>
      <c r="AW23" s="196"/>
      <c r="AX23" s="196"/>
      <c r="AY23" s="196"/>
      <c r="AZ23" s="196"/>
      <c r="BA23" s="196"/>
      <c r="BB23" s="196"/>
      <c r="BC23" s="196"/>
      <c r="BD23" s="196"/>
      <c r="BE23" s="196"/>
      <c r="BF23" s="196"/>
      <c r="BG23" s="196"/>
      <c r="BH23" s="196"/>
      <c r="BI23" s="196"/>
      <c r="BJ23" s="196"/>
      <c r="BK23" s="196"/>
      <c r="BL23" s="196"/>
      <c r="BM23" s="196"/>
      <c r="BN23" s="196"/>
      <c r="BO23" s="196"/>
      <c r="BP23" s="196"/>
      <c r="BQ23" s="196"/>
      <c r="BR23" s="196"/>
      <c r="BS23" s="196"/>
      <c r="BT23" s="196"/>
      <c r="BU23" s="196"/>
      <c r="BV23" s="196"/>
      <c r="BW23" s="196"/>
      <c r="BX23" s="196"/>
      <c r="BY23" s="196"/>
      <c r="BZ23" s="196"/>
      <c r="CA23" s="196"/>
      <c r="CB23" s="196"/>
      <c r="CC23" s="196"/>
      <c r="CD23" s="196"/>
      <c r="CE23" s="196"/>
      <c r="CF23" s="196"/>
      <c r="CG23" s="196"/>
      <c r="CH23" s="196"/>
      <c r="CI23" s="196"/>
      <c r="CJ23" s="196"/>
      <c r="CK23" s="196"/>
      <c r="CL23" s="196"/>
      <c r="CM23" s="196"/>
      <c r="CN23" s="196"/>
      <c r="CO23" s="196"/>
      <c r="CP23" s="196"/>
      <c r="CQ23" s="196"/>
      <c r="CR23" s="196"/>
      <c r="CS23" s="196"/>
      <c r="CT23" s="196"/>
      <c r="CU23" s="196"/>
      <c r="CV23" s="196"/>
      <c r="CW23" s="196"/>
      <c r="CX23" s="196"/>
      <c r="CY23" s="196"/>
      <c r="CZ23" s="196"/>
      <c r="DA23" s="196"/>
      <c r="DB23" s="196"/>
      <c r="DC23" s="196"/>
      <c r="DD23" s="196"/>
      <c r="DE23" s="196"/>
      <c r="DF23" s="196"/>
      <c r="DG23" s="196"/>
      <c r="DH23" s="196"/>
      <c r="DI23" s="196"/>
      <c r="DJ23" s="196"/>
      <c r="DK23" s="196"/>
      <c r="DL23" s="196"/>
      <c r="DM23" s="196"/>
      <c r="DN23" s="196"/>
      <c r="DO23" s="196"/>
      <c r="DP23" s="196"/>
      <c r="DQ23" s="196"/>
      <c r="DR23" s="196"/>
      <c r="DS23" s="196"/>
      <c r="DT23" s="196"/>
      <c r="DU23" s="196"/>
      <c r="DV23" s="196"/>
      <c r="DW23" s="196"/>
      <c r="DX23" s="196"/>
    </row>
    <row r="24" spans="1:128" s="237" customFormat="1" ht="15" customHeight="1" x14ac:dyDescent="0.55000000000000004">
      <c r="B24" s="238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238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  <c r="AX24" s="196"/>
      <c r="AY24" s="196"/>
      <c r="AZ24" s="196"/>
      <c r="BA24" s="196"/>
      <c r="BB24" s="196"/>
      <c r="BC24" s="196"/>
      <c r="BD24" s="196"/>
      <c r="BE24" s="196"/>
      <c r="BF24" s="196"/>
      <c r="BG24" s="196"/>
      <c r="BH24" s="196"/>
      <c r="BI24" s="196"/>
      <c r="BJ24" s="196"/>
      <c r="BK24" s="196"/>
      <c r="BL24" s="196"/>
      <c r="BM24" s="196"/>
      <c r="BN24" s="196"/>
      <c r="BO24" s="196"/>
      <c r="BP24" s="196"/>
      <c r="BQ24" s="196"/>
      <c r="BR24" s="196"/>
      <c r="BS24" s="196"/>
      <c r="BT24" s="196"/>
      <c r="BU24" s="196"/>
      <c r="BV24" s="196"/>
      <c r="BW24" s="196"/>
      <c r="BX24" s="196"/>
      <c r="BY24" s="196"/>
      <c r="BZ24" s="196"/>
      <c r="CA24" s="196"/>
      <c r="CB24" s="196"/>
      <c r="CC24" s="196"/>
      <c r="CD24" s="196"/>
      <c r="CE24" s="196"/>
      <c r="CF24" s="196"/>
      <c r="CG24" s="196"/>
      <c r="CH24" s="196"/>
      <c r="CI24" s="196"/>
      <c r="CJ24" s="196"/>
      <c r="CK24" s="196"/>
      <c r="CL24" s="196"/>
      <c r="CM24" s="196"/>
      <c r="CN24" s="196"/>
      <c r="CO24" s="196"/>
      <c r="CP24" s="196"/>
      <c r="CQ24" s="196"/>
      <c r="CR24" s="196"/>
      <c r="CS24" s="196"/>
      <c r="CT24" s="196"/>
      <c r="CU24" s="196"/>
      <c r="CV24" s="196"/>
      <c r="CW24" s="196"/>
      <c r="CX24" s="196"/>
      <c r="CY24" s="196"/>
      <c r="CZ24" s="196"/>
      <c r="DA24" s="196"/>
      <c r="DB24" s="196"/>
      <c r="DC24" s="196"/>
      <c r="DD24" s="196"/>
      <c r="DE24" s="196"/>
      <c r="DF24" s="196"/>
      <c r="DG24" s="196"/>
      <c r="DH24" s="196"/>
      <c r="DI24" s="196"/>
      <c r="DJ24" s="196"/>
      <c r="DK24" s="196"/>
      <c r="DL24" s="196"/>
      <c r="DM24" s="196"/>
      <c r="DN24" s="196"/>
      <c r="DO24" s="196"/>
      <c r="DP24" s="196"/>
      <c r="DQ24" s="196"/>
      <c r="DR24" s="196"/>
      <c r="DS24" s="196"/>
      <c r="DT24" s="196"/>
      <c r="DU24" s="196"/>
      <c r="DV24" s="196"/>
      <c r="DW24" s="196"/>
      <c r="DX24" s="196"/>
    </row>
    <row r="25" spans="1:128" ht="15" customHeight="1" x14ac:dyDescent="0.55000000000000004">
      <c r="B25" s="715" t="s">
        <v>22</v>
      </c>
      <c r="C25" s="716"/>
      <c r="D25" s="716"/>
      <c r="E25" s="717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</row>
    <row r="26" spans="1:128" ht="15.4" customHeight="1" x14ac:dyDescent="0.55000000000000004">
      <c r="B26" s="718" t="s">
        <v>23</v>
      </c>
      <c r="C26" s="719"/>
      <c r="D26" s="719"/>
      <c r="E26" s="7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39"/>
      <c r="R26" s="220"/>
    </row>
    <row r="27" spans="1:128" ht="15" customHeight="1" x14ac:dyDescent="0.55000000000000004">
      <c r="B27" s="721"/>
      <c r="C27" s="722"/>
      <c r="D27" s="722"/>
      <c r="E27" s="723"/>
      <c r="F27" s="220"/>
      <c r="G27" s="220"/>
      <c r="H27" s="220"/>
      <c r="I27" s="220"/>
      <c r="J27" s="220"/>
      <c r="K27" s="220"/>
      <c r="L27" s="220"/>
      <c r="M27" s="220"/>
      <c r="N27" s="220"/>
      <c r="O27" s="240"/>
      <c r="P27" s="220"/>
      <c r="Q27" s="220"/>
      <c r="R27" s="220"/>
      <c r="S27" s="220"/>
    </row>
    <row r="28" spans="1:128" ht="106.9" customHeight="1" x14ac:dyDescent="0.55000000000000004">
      <c r="B28" s="724" t="s">
        <v>24</v>
      </c>
      <c r="C28" s="725"/>
      <c r="D28" s="725"/>
      <c r="E28" s="726"/>
      <c r="F28" s="220"/>
      <c r="G28" s="220"/>
      <c r="H28" s="220"/>
      <c r="I28" s="220"/>
      <c r="J28" s="220"/>
      <c r="K28" s="220"/>
      <c r="L28" s="220"/>
      <c r="M28" s="220"/>
      <c r="N28" s="240"/>
      <c r="O28" s="220"/>
      <c r="P28" s="220"/>
      <c r="Q28" s="220"/>
      <c r="R28" s="220"/>
      <c r="S28" s="220"/>
    </row>
    <row r="29" spans="1:128" ht="15" customHeight="1" x14ac:dyDescent="0.55000000000000004">
      <c r="B29" s="727" t="s">
        <v>25</v>
      </c>
      <c r="C29" s="727"/>
      <c r="D29" s="727"/>
      <c r="E29" s="604">
        <f>Q23</f>
        <v>35000000.360841542</v>
      </c>
      <c r="F29" s="220"/>
      <c r="G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</row>
    <row r="30" spans="1:128" ht="15" customHeight="1" x14ac:dyDescent="0.55000000000000004">
      <c r="B30" s="714" t="s">
        <v>26</v>
      </c>
      <c r="C30" s="714"/>
      <c r="D30" s="714"/>
      <c r="E30" s="604">
        <f>E29*0.5</f>
        <v>17500000.180420771</v>
      </c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</row>
    <row r="31" spans="1:128" ht="15" customHeight="1" x14ac:dyDescent="0.55000000000000004">
      <c r="B31" s="712" t="s">
        <v>27</v>
      </c>
      <c r="C31" s="712"/>
      <c r="D31" s="712"/>
      <c r="E31" s="605">
        <f>'Budget Summary Parque Explora'!Q23</f>
        <v>6818381.4037863575</v>
      </c>
      <c r="G31" s="623"/>
      <c r="H31" s="623"/>
    </row>
    <row r="32" spans="1:128" ht="15" customHeight="1" x14ac:dyDescent="0.55000000000000004">
      <c r="B32" s="712" t="s">
        <v>28</v>
      </c>
      <c r="C32" s="712"/>
      <c r="D32" s="712"/>
      <c r="E32" s="605">
        <f>'Budget Summary ProAntioquia'!Q23</f>
        <v>2133978.7303473228</v>
      </c>
      <c r="G32" s="623"/>
      <c r="H32" s="623"/>
    </row>
    <row r="33" spans="2:8" ht="15" customHeight="1" x14ac:dyDescent="0.55000000000000004">
      <c r="B33" s="712" t="s">
        <v>29</v>
      </c>
      <c r="C33" s="712"/>
      <c r="D33" s="712"/>
      <c r="E33" s="605">
        <f>'Budget Summary Fund. Carvajal'!Q23</f>
        <v>8686266.3378011622</v>
      </c>
      <c r="G33" s="623"/>
      <c r="H33" s="623"/>
    </row>
    <row r="34" spans="2:8" ht="15" customHeight="1" x14ac:dyDescent="0.55000000000000004">
      <c r="B34" s="713" t="s">
        <v>30</v>
      </c>
      <c r="C34" s="713"/>
      <c r="D34" s="713"/>
      <c r="E34" s="606">
        <f>SUM(E31:E33)</f>
        <v>17638626.47193484</v>
      </c>
    </row>
  </sheetData>
  <mergeCells count="16">
    <mergeCell ref="B1:S1"/>
    <mergeCell ref="B2:S2"/>
    <mergeCell ref="K4:M4"/>
    <mergeCell ref="N4:P4"/>
    <mergeCell ref="B4:D4"/>
    <mergeCell ref="E4:G4"/>
    <mergeCell ref="H4:J4"/>
    <mergeCell ref="B32:D32"/>
    <mergeCell ref="B33:D33"/>
    <mergeCell ref="B34:D34"/>
    <mergeCell ref="B30:D30"/>
    <mergeCell ref="B25:E25"/>
    <mergeCell ref="B26:E27"/>
    <mergeCell ref="B28:E28"/>
    <mergeCell ref="B29:D29"/>
    <mergeCell ref="B31:D31"/>
  </mergeCells>
  <phoneticPr fontId="5" type="noConversion"/>
  <pageMargins left="0.25" right="0.25" top="0.75" bottom="0.75" header="0.3" footer="0.3"/>
  <pageSetup paperSize="5" scale="86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R232"/>
  <sheetViews>
    <sheetView tabSelected="1" zoomScale="102" zoomScaleNormal="100" workbookViewId="0">
      <pane xSplit="6" ySplit="13" topLeftCell="G57" activePane="bottomRight" state="frozen"/>
      <selection pane="topRight" activeCell="B1" sqref="B1"/>
      <selection pane="bottomLeft" activeCell="A14" sqref="A14"/>
      <selection pane="bottomRight" activeCell="B63" sqref="B63"/>
    </sheetView>
  </sheetViews>
  <sheetFormatPr defaultColWidth="9.1640625" defaultRowHeight="12.6" outlineLevelCol="1" x14ac:dyDescent="0.45"/>
  <cols>
    <col min="1" max="1" width="15.5546875" style="1" customWidth="1" outlineLevel="1"/>
    <col min="2" max="2" width="9.77734375" style="1" customWidth="1" outlineLevel="1"/>
    <col min="3" max="3" width="11.44140625" style="1" customWidth="1" outlineLevel="1"/>
    <col min="4" max="4" width="10.44140625" style="1" customWidth="1" outlineLevel="1"/>
    <col min="5" max="5" width="10.5546875" style="1" customWidth="1" outlineLevel="1"/>
    <col min="6" max="6" width="43.1640625" style="1" customWidth="1"/>
    <col min="7" max="7" width="7.44140625" style="1" customWidth="1" outlineLevel="1"/>
    <col min="8" max="9" width="8.27734375" style="1" customWidth="1" outlineLevel="1"/>
    <col min="10" max="10" width="9.83203125" style="1" customWidth="1" outlineLevel="1"/>
    <col min="11" max="11" width="9.5546875" style="1" customWidth="1" outlineLevel="1"/>
    <col min="12" max="12" width="8.44140625" style="1" customWidth="1" outlineLevel="1"/>
    <col min="13" max="13" width="9.5546875" style="1" customWidth="1" outlineLevel="1"/>
    <col min="14" max="14" width="5" style="1" customWidth="1"/>
    <col min="15" max="16" width="8.27734375" style="1" customWidth="1"/>
    <col min="17" max="17" width="9.5546875" style="1" customWidth="1"/>
    <col min="18" max="18" width="8.44140625" style="1" customWidth="1"/>
    <col min="19" max="19" width="9.5546875" style="1" customWidth="1"/>
    <col min="20" max="20" width="5" style="1" customWidth="1"/>
    <col min="21" max="22" width="8.27734375" style="1" customWidth="1"/>
    <col min="23" max="23" width="9" style="1" customWidth="1"/>
    <col min="24" max="24" width="8.44140625" style="1" customWidth="1"/>
    <col min="25" max="25" width="9" style="1" customWidth="1"/>
    <col min="26" max="26" width="5" style="1" customWidth="1"/>
    <col min="27" max="28" width="8.27734375" style="1" customWidth="1"/>
    <col min="29" max="29" width="9" style="1" customWidth="1"/>
    <col min="30" max="30" width="8.44140625" style="1" customWidth="1"/>
    <col min="31" max="31" width="9" style="1" customWidth="1"/>
    <col min="32" max="32" width="5" style="1" customWidth="1"/>
    <col min="33" max="34" width="8.27734375" style="1" customWidth="1"/>
    <col min="35" max="35" width="9" style="1" customWidth="1"/>
    <col min="36" max="36" width="8.44140625" style="1" customWidth="1"/>
    <col min="37" max="37" width="9" style="1" customWidth="1"/>
    <col min="38" max="38" width="11.27734375" style="1" bestFit="1" customWidth="1"/>
    <col min="39" max="39" width="9" style="1" customWidth="1"/>
    <col min="40" max="40" width="9.83203125" style="1" customWidth="1"/>
    <col min="41" max="41" width="14.1640625" style="1" bestFit="1" customWidth="1"/>
    <col min="42" max="42" width="17.44140625" style="1" bestFit="1" customWidth="1"/>
    <col min="43" max="43" width="10.44140625" style="1" bestFit="1" customWidth="1"/>
    <col min="44" max="16384" width="9.1640625" style="1"/>
  </cols>
  <sheetData>
    <row r="1" spans="1:40" ht="15" x14ac:dyDescent="0.45">
      <c r="G1" s="733" t="s">
        <v>0</v>
      </c>
      <c r="H1" s="734"/>
      <c r="I1" s="734"/>
      <c r="J1" s="734"/>
      <c r="K1" s="734"/>
      <c r="L1" s="734"/>
      <c r="M1" s="734"/>
      <c r="N1" s="734"/>
      <c r="O1" s="734"/>
      <c r="P1" s="734"/>
      <c r="Q1" s="734"/>
      <c r="R1" s="734"/>
      <c r="S1" s="734"/>
      <c r="T1" s="734"/>
      <c r="U1" s="734"/>
      <c r="V1" s="734"/>
      <c r="W1" s="734"/>
      <c r="X1" s="734"/>
      <c r="Y1" s="734"/>
      <c r="Z1" s="734"/>
      <c r="AA1" s="734"/>
      <c r="AB1" s="734"/>
      <c r="AC1" s="734"/>
      <c r="AD1" s="734"/>
      <c r="AE1" s="734"/>
      <c r="AF1" s="734"/>
      <c r="AG1" s="734"/>
      <c r="AH1" s="734"/>
      <c r="AI1" s="734"/>
      <c r="AJ1" s="734"/>
      <c r="AK1" s="734"/>
      <c r="AL1" s="734"/>
      <c r="AM1" s="734"/>
      <c r="AN1" s="734"/>
    </row>
    <row r="2" spans="1:40" ht="15" x14ac:dyDescent="0.45">
      <c r="G2" s="733" t="s">
        <v>1</v>
      </c>
      <c r="H2" s="734"/>
      <c r="I2" s="734"/>
      <c r="J2" s="734"/>
      <c r="K2" s="734"/>
      <c r="L2" s="734"/>
      <c r="M2" s="734"/>
      <c r="N2" s="734"/>
      <c r="O2" s="734"/>
      <c r="P2" s="734"/>
      <c r="Q2" s="734"/>
      <c r="R2" s="734"/>
      <c r="S2" s="734"/>
      <c r="T2" s="734"/>
      <c r="U2" s="734"/>
      <c r="V2" s="734"/>
      <c r="W2" s="734"/>
      <c r="X2" s="734"/>
      <c r="Y2" s="734"/>
      <c r="Z2" s="734"/>
      <c r="AA2" s="734"/>
      <c r="AB2" s="734"/>
      <c r="AC2" s="734"/>
      <c r="AD2" s="734"/>
      <c r="AE2" s="734"/>
      <c r="AF2" s="734"/>
      <c r="AG2" s="734"/>
      <c r="AH2" s="734"/>
      <c r="AI2" s="734"/>
      <c r="AJ2" s="734"/>
      <c r="AK2" s="734"/>
      <c r="AL2" s="734"/>
      <c r="AM2" s="734"/>
      <c r="AN2" s="734"/>
    </row>
    <row r="3" spans="1:40" ht="15" x14ac:dyDescent="0.45">
      <c r="G3" s="733" t="s">
        <v>31</v>
      </c>
      <c r="H3" s="734"/>
      <c r="I3" s="734"/>
      <c r="J3" s="734"/>
      <c r="K3" s="734"/>
      <c r="L3" s="734"/>
      <c r="M3" s="734"/>
      <c r="N3" s="734"/>
      <c r="O3" s="734"/>
      <c r="P3" s="734"/>
      <c r="Q3" s="734"/>
      <c r="R3" s="734"/>
      <c r="S3" s="734"/>
      <c r="T3" s="734"/>
      <c r="U3" s="734"/>
      <c r="V3" s="734"/>
      <c r="W3" s="734"/>
      <c r="X3" s="734"/>
      <c r="Y3" s="734"/>
      <c r="Z3" s="734"/>
      <c r="AA3" s="734"/>
      <c r="AB3" s="734"/>
      <c r="AC3" s="734"/>
      <c r="AD3" s="734"/>
      <c r="AE3" s="734"/>
      <c r="AF3" s="734"/>
      <c r="AG3" s="734"/>
      <c r="AH3" s="734"/>
      <c r="AI3" s="734"/>
      <c r="AJ3" s="734"/>
      <c r="AK3" s="734"/>
      <c r="AL3" s="734"/>
      <c r="AM3" s="734"/>
      <c r="AN3" s="734"/>
    </row>
    <row r="4" spans="1:40" ht="15.3" thickBot="1" x14ac:dyDescent="0.5">
      <c r="G4" s="733" t="s">
        <v>32</v>
      </c>
      <c r="H4" s="734"/>
      <c r="I4" s="734"/>
      <c r="J4" s="734"/>
      <c r="K4" s="734"/>
      <c r="L4" s="734"/>
      <c r="M4" s="734"/>
      <c r="N4" s="734"/>
      <c r="O4" s="734"/>
      <c r="P4" s="734"/>
      <c r="Q4" s="734"/>
      <c r="R4" s="734"/>
      <c r="S4" s="734"/>
      <c r="T4" s="734"/>
      <c r="U4" s="734"/>
      <c r="V4" s="734"/>
      <c r="W4" s="734"/>
      <c r="X4" s="734"/>
      <c r="Y4" s="734"/>
      <c r="Z4" s="734"/>
      <c r="AA4" s="734"/>
      <c r="AB4" s="734"/>
      <c r="AC4" s="734"/>
      <c r="AD4" s="734"/>
      <c r="AE4" s="734"/>
      <c r="AF4" s="734"/>
      <c r="AG4" s="734"/>
      <c r="AH4" s="734"/>
      <c r="AI4" s="734"/>
      <c r="AJ4" s="734"/>
      <c r="AK4" s="734"/>
      <c r="AL4" s="734"/>
      <c r="AM4" s="734"/>
      <c r="AN4" s="734"/>
    </row>
    <row r="5" spans="1:40" x14ac:dyDescent="0.45">
      <c r="A5" s="624" t="s">
        <v>33</v>
      </c>
      <c r="B5" s="625" t="s">
        <v>34</v>
      </c>
      <c r="C5" s="2"/>
      <c r="D5" s="2"/>
      <c r="E5" s="2"/>
      <c r="F5" s="11" t="s">
        <v>35</v>
      </c>
      <c r="G5" s="2"/>
      <c r="H5" s="2"/>
      <c r="I5" s="2"/>
      <c r="J5" s="2"/>
      <c r="K5" s="2"/>
      <c r="L5" s="2"/>
      <c r="M5" s="596"/>
      <c r="N5" s="59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40" x14ac:dyDescent="0.45">
      <c r="A6" s="626" t="s">
        <v>36</v>
      </c>
      <c r="B6" s="627">
        <v>20300</v>
      </c>
      <c r="C6" s="2"/>
      <c r="D6" s="2"/>
      <c r="E6" s="2"/>
      <c r="F6" s="3" t="s">
        <v>37</v>
      </c>
      <c r="G6" s="621">
        <v>1.0149999999999999</v>
      </c>
      <c r="H6" s="6"/>
      <c r="I6" s="2"/>
      <c r="J6" s="2"/>
      <c r="K6" s="2"/>
      <c r="L6" s="5"/>
      <c r="M6" s="596"/>
      <c r="N6" s="599"/>
      <c r="O6" s="5"/>
      <c r="P6" s="5"/>
      <c r="Q6" s="5"/>
      <c r="R6" s="5"/>
      <c r="S6" s="5"/>
      <c r="T6" s="5"/>
      <c r="U6" s="5"/>
      <c r="V6" s="5"/>
      <c r="W6" s="5"/>
      <c r="X6" s="5"/>
      <c r="Y6" s="2"/>
      <c r="Z6" s="2"/>
      <c r="AA6" s="2"/>
    </row>
    <row r="7" spans="1:40" ht="12.9" thickBot="1" x14ac:dyDescent="0.5">
      <c r="A7" s="628" t="s">
        <v>38</v>
      </c>
      <c r="B7" s="629" t="s">
        <v>39</v>
      </c>
      <c r="C7" s="6"/>
      <c r="D7" s="6"/>
      <c r="E7" s="6"/>
      <c r="F7" s="3" t="s">
        <v>40</v>
      </c>
      <c r="G7" s="619">
        <v>1.03</v>
      </c>
      <c r="H7" s="6"/>
      <c r="I7" s="6"/>
      <c r="J7" s="6"/>
      <c r="K7" s="7"/>
      <c r="L7" s="38"/>
      <c r="M7" s="597"/>
      <c r="N7" s="599"/>
      <c r="O7" s="38"/>
      <c r="P7" s="8"/>
      <c r="Q7" s="38"/>
      <c r="R7" s="38"/>
      <c r="S7" s="8"/>
      <c r="T7" s="38"/>
      <c r="U7" s="38"/>
      <c r="V7" s="8"/>
      <c r="W7" s="38"/>
      <c r="X7" s="38"/>
      <c r="Y7" s="38"/>
      <c r="Z7" s="38"/>
      <c r="AA7" s="38"/>
    </row>
    <row r="8" spans="1:40" x14ac:dyDescent="0.45">
      <c r="A8" s="6"/>
      <c r="B8" s="6"/>
      <c r="C8" s="6"/>
      <c r="D8" s="6"/>
      <c r="E8" s="6"/>
      <c r="F8" s="3" t="s">
        <v>41</v>
      </c>
      <c r="G8" s="4">
        <v>1.04</v>
      </c>
      <c r="H8" s="6"/>
      <c r="I8" s="6"/>
      <c r="J8" s="6"/>
      <c r="K8" s="7"/>
      <c r="L8" s="38"/>
      <c r="M8" s="597"/>
      <c r="N8" s="599"/>
      <c r="O8" s="38"/>
      <c r="P8" s="8"/>
      <c r="Q8" s="38"/>
      <c r="R8" s="38"/>
      <c r="S8" s="8"/>
      <c r="T8" s="38"/>
      <c r="U8" s="38"/>
      <c r="V8" s="8"/>
      <c r="W8" s="38"/>
      <c r="X8" s="38"/>
      <c r="Y8" s="38"/>
      <c r="Z8" s="38"/>
      <c r="AA8" s="38"/>
    </row>
    <row r="9" spans="1:40" x14ac:dyDescent="0.45">
      <c r="A9" s="81"/>
      <c r="B9" s="81"/>
      <c r="C9" s="81"/>
      <c r="D9" s="81"/>
      <c r="E9" s="81"/>
      <c r="F9" s="81" t="s">
        <v>42</v>
      </c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9"/>
      <c r="U9" s="9"/>
      <c r="V9" s="9"/>
      <c r="W9" s="9"/>
      <c r="Z9" s="9"/>
      <c r="AA9" s="9"/>
      <c r="AB9" s="9"/>
      <c r="AF9" s="9"/>
      <c r="AG9" s="9"/>
      <c r="AH9" s="9"/>
    </row>
    <row r="10" spans="1:40" x14ac:dyDescent="0.45">
      <c r="A10" s="513"/>
      <c r="B10" s="513"/>
      <c r="C10" s="513"/>
      <c r="D10" s="513"/>
      <c r="E10" s="513"/>
      <c r="F10" s="13"/>
      <c r="G10" s="112"/>
      <c r="H10" s="112"/>
      <c r="I10" s="513"/>
      <c r="J10" s="112"/>
      <c r="K10" s="112"/>
      <c r="L10" s="112"/>
      <c r="M10" s="598"/>
      <c r="N10" s="599"/>
      <c r="O10" s="112"/>
      <c r="P10" s="112"/>
      <c r="Q10" s="112"/>
      <c r="R10" s="112"/>
      <c r="S10" s="112"/>
      <c r="T10" s="112"/>
      <c r="U10" s="112"/>
      <c r="V10" s="112"/>
      <c r="W10" s="112"/>
    </row>
    <row r="11" spans="1:40" ht="12.9" thickBot="1" x14ac:dyDescent="0.5">
      <c r="A11" s="14"/>
      <c r="B11" s="14"/>
      <c r="C11" s="14"/>
      <c r="D11" s="14"/>
      <c r="E11" s="14"/>
      <c r="F11" s="46" t="s">
        <v>43</v>
      </c>
      <c r="G11" s="38"/>
      <c r="I11" s="14"/>
      <c r="J11" s="15"/>
      <c r="L11" s="16"/>
      <c r="M11" s="598"/>
      <c r="N11" s="599"/>
    </row>
    <row r="12" spans="1:40" ht="23.5" customHeight="1" thickBot="1" x14ac:dyDescent="0.5">
      <c r="A12" s="735" t="s">
        <v>44</v>
      </c>
      <c r="B12" s="735" t="s">
        <v>45</v>
      </c>
      <c r="C12" s="735" t="s">
        <v>46</v>
      </c>
      <c r="D12" s="735" t="s">
        <v>47</v>
      </c>
      <c r="E12" s="737" t="s">
        <v>48</v>
      </c>
      <c r="F12" s="579" t="s">
        <v>2</v>
      </c>
      <c r="G12" s="113"/>
      <c r="H12" s="114"/>
      <c r="I12" s="114"/>
      <c r="J12" s="114"/>
      <c r="K12" s="17" t="s">
        <v>3</v>
      </c>
      <c r="L12" s="17"/>
      <c r="M12" s="18"/>
      <c r="N12" s="113"/>
      <c r="O12" s="114"/>
      <c r="P12" s="114"/>
      <c r="Q12" s="17" t="s">
        <v>4</v>
      </c>
      <c r="R12" s="17"/>
      <c r="S12" s="18"/>
      <c r="T12" s="730" t="s">
        <v>5</v>
      </c>
      <c r="U12" s="731"/>
      <c r="V12" s="731"/>
      <c r="W12" s="731"/>
      <c r="X12" s="731"/>
      <c r="Y12" s="732"/>
      <c r="Z12" s="113"/>
      <c r="AA12" s="114"/>
      <c r="AB12" s="114"/>
      <c r="AC12" s="17" t="s">
        <v>6</v>
      </c>
      <c r="AD12" s="17"/>
      <c r="AE12" s="18"/>
      <c r="AF12" s="113"/>
      <c r="AG12" s="114"/>
      <c r="AH12" s="114"/>
      <c r="AI12" s="17" t="s">
        <v>7</v>
      </c>
      <c r="AJ12" s="17"/>
      <c r="AK12" s="18"/>
      <c r="AL12" s="19" t="s">
        <v>8</v>
      </c>
      <c r="AM12" s="19" t="s">
        <v>9</v>
      </c>
      <c r="AN12" s="19" t="s">
        <v>10</v>
      </c>
    </row>
    <row r="13" spans="1:40" ht="12.9" thickBot="1" x14ac:dyDescent="0.5">
      <c r="A13" s="736"/>
      <c r="B13" s="736"/>
      <c r="C13" s="736"/>
      <c r="D13" s="736"/>
      <c r="E13" s="738"/>
      <c r="F13" s="115"/>
      <c r="G13" s="116" t="s">
        <v>49</v>
      </c>
      <c r="H13" s="117" t="s">
        <v>50</v>
      </c>
      <c r="I13" s="117" t="s">
        <v>51</v>
      </c>
      <c r="J13" s="117" t="s">
        <v>52</v>
      </c>
      <c r="K13" s="118" t="s">
        <v>11</v>
      </c>
      <c r="L13" s="117" t="s">
        <v>12</v>
      </c>
      <c r="M13" s="119" t="s">
        <v>9</v>
      </c>
      <c r="N13" s="116" t="s">
        <v>49</v>
      </c>
      <c r="O13" s="117" t="s">
        <v>50</v>
      </c>
      <c r="P13" s="117" t="s">
        <v>51</v>
      </c>
      <c r="Q13" s="118" t="s">
        <v>11</v>
      </c>
      <c r="R13" s="117" t="s">
        <v>12</v>
      </c>
      <c r="S13" s="119" t="s">
        <v>9</v>
      </c>
      <c r="T13" s="116" t="s">
        <v>49</v>
      </c>
      <c r="U13" s="117" t="s">
        <v>50</v>
      </c>
      <c r="V13" s="117" t="s">
        <v>51</v>
      </c>
      <c r="W13" s="118" t="s">
        <v>11</v>
      </c>
      <c r="X13" s="117" t="s">
        <v>12</v>
      </c>
      <c r="Y13" s="119" t="s">
        <v>9</v>
      </c>
      <c r="Z13" s="116" t="s">
        <v>49</v>
      </c>
      <c r="AA13" s="117" t="s">
        <v>50</v>
      </c>
      <c r="AB13" s="117" t="s">
        <v>51</v>
      </c>
      <c r="AC13" s="118" t="s">
        <v>11</v>
      </c>
      <c r="AD13" s="117" t="s">
        <v>12</v>
      </c>
      <c r="AE13" s="119" t="s">
        <v>9</v>
      </c>
      <c r="AF13" s="116" t="s">
        <v>49</v>
      </c>
      <c r="AG13" s="117" t="s">
        <v>50</v>
      </c>
      <c r="AH13" s="117" t="s">
        <v>51</v>
      </c>
      <c r="AI13" s="118" t="s">
        <v>11</v>
      </c>
      <c r="AJ13" s="117" t="s">
        <v>12</v>
      </c>
      <c r="AK13" s="119" t="s">
        <v>9</v>
      </c>
      <c r="AL13" s="120" t="s">
        <v>11</v>
      </c>
      <c r="AM13" s="115" t="s">
        <v>12</v>
      </c>
      <c r="AN13" s="120" t="s">
        <v>8</v>
      </c>
    </row>
    <row r="14" spans="1:40" x14ac:dyDescent="0.45">
      <c r="A14" s="22"/>
      <c r="B14" s="22"/>
      <c r="C14" s="22"/>
      <c r="D14" s="22"/>
      <c r="E14" s="22"/>
      <c r="F14" s="20"/>
      <c r="G14" s="121"/>
      <c r="H14" s="22"/>
      <c r="I14" s="22"/>
      <c r="J14" s="22"/>
      <c r="K14" s="21"/>
      <c r="L14" s="22"/>
      <c r="M14" s="23"/>
      <c r="N14" s="121"/>
      <c r="O14" s="22"/>
      <c r="P14" s="22"/>
      <c r="Q14" s="21"/>
      <c r="R14" s="22"/>
      <c r="S14" s="23"/>
      <c r="T14" s="121"/>
      <c r="U14" s="22"/>
      <c r="V14" s="22"/>
      <c r="W14" s="21"/>
      <c r="X14" s="22"/>
      <c r="Y14" s="23"/>
      <c r="Z14" s="121"/>
      <c r="AA14" s="22"/>
      <c r="AB14" s="22"/>
      <c r="AC14" s="21"/>
      <c r="AD14" s="22"/>
      <c r="AE14" s="23"/>
      <c r="AF14" s="121"/>
      <c r="AG14" s="22"/>
      <c r="AH14" s="22"/>
      <c r="AI14" s="21"/>
      <c r="AJ14" s="22"/>
      <c r="AK14" s="22"/>
      <c r="AL14" s="542"/>
      <c r="AM14" s="543"/>
      <c r="AN14" s="542"/>
    </row>
    <row r="15" spans="1:40" x14ac:dyDescent="0.45">
      <c r="A15" s="123"/>
      <c r="B15" s="123"/>
      <c r="C15" s="123"/>
      <c r="D15" s="123"/>
      <c r="E15" s="123"/>
      <c r="F15" s="24" t="s">
        <v>13</v>
      </c>
      <c r="G15" s="122"/>
      <c r="H15" s="123"/>
      <c r="I15" s="123"/>
      <c r="J15" s="123"/>
      <c r="K15" s="25"/>
      <c r="L15" s="26"/>
      <c r="M15" s="27"/>
      <c r="N15" s="122"/>
      <c r="O15" s="123"/>
      <c r="P15" s="123"/>
      <c r="Q15" s="25"/>
      <c r="R15" s="26"/>
      <c r="S15" s="27"/>
      <c r="T15" s="122"/>
      <c r="U15" s="123"/>
      <c r="V15" s="123"/>
      <c r="W15" s="25"/>
      <c r="X15" s="26"/>
      <c r="Y15" s="27"/>
      <c r="Z15" s="122"/>
      <c r="AA15" s="123"/>
      <c r="AB15" s="123"/>
      <c r="AC15" s="25"/>
      <c r="AD15" s="26"/>
      <c r="AE15" s="27"/>
      <c r="AF15" s="122"/>
      <c r="AG15" s="123"/>
      <c r="AH15" s="123"/>
      <c r="AI15" s="25"/>
      <c r="AJ15" s="26"/>
      <c r="AK15" s="26"/>
      <c r="AL15" s="28"/>
      <c r="AM15" s="26"/>
      <c r="AN15" s="28"/>
    </row>
    <row r="16" spans="1:40" x14ac:dyDescent="0.45">
      <c r="A16" s="125"/>
      <c r="B16" s="125"/>
      <c r="C16" s="125"/>
      <c r="D16" s="125"/>
      <c r="E16" s="125"/>
      <c r="F16" s="29" t="s">
        <v>53</v>
      </c>
      <c r="G16" s="124" t="s">
        <v>54</v>
      </c>
      <c r="H16" s="125"/>
      <c r="I16" s="125"/>
      <c r="J16" s="125"/>
      <c r="K16" s="30"/>
      <c r="L16" s="31"/>
      <c r="M16" s="32"/>
      <c r="N16" s="126"/>
      <c r="O16" s="125"/>
      <c r="P16" s="125"/>
      <c r="Q16" s="30"/>
      <c r="R16" s="31"/>
      <c r="S16" s="32"/>
      <c r="T16" s="127"/>
      <c r="U16" s="125"/>
      <c r="V16" s="125"/>
      <c r="W16" s="30"/>
      <c r="X16" s="31"/>
      <c r="Y16" s="32"/>
      <c r="Z16" s="126"/>
      <c r="AA16" s="125"/>
      <c r="AB16" s="125"/>
      <c r="AC16" s="30"/>
      <c r="AD16" s="31"/>
      <c r="AE16" s="32"/>
      <c r="AF16" s="126"/>
      <c r="AG16" s="125"/>
      <c r="AH16" s="125"/>
      <c r="AI16" s="30"/>
      <c r="AJ16" s="31"/>
      <c r="AK16" s="31"/>
      <c r="AL16" s="33"/>
      <c r="AM16" s="31"/>
      <c r="AN16" s="33"/>
    </row>
    <row r="17" spans="1:40" x14ac:dyDescent="0.45">
      <c r="A17" s="1" t="s">
        <v>55</v>
      </c>
      <c r="B17" s="1" t="s">
        <v>56</v>
      </c>
      <c r="C17" s="1" t="s">
        <v>57</v>
      </c>
      <c r="D17" s="1" t="s">
        <v>57</v>
      </c>
      <c r="E17" s="1">
        <v>0</v>
      </c>
      <c r="F17" s="34" t="s">
        <v>58</v>
      </c>
      <c r="G17" s="601">
        <v>0.3</v>
      </c>
      <c r="H17" s="35">
        <f>116762/12</f>
        <v>9730.1666666666661</v>
      </c>
      <c r="I17" s="36">
        <v>12</v>
      </c>
      <c r="J17" s="1" t="s">
        <v>59</v>
      </c>
      <c r="K17" s="37">
        <f>I17*H17*G17</f>
        <v>35028.6</v>
      </c>
      <c r="L17" s="38">
        <v>0</v>
      </c>
      <c r="M17" s="39">
        <f>SUM(K17:L17)</f>
        <v>35028.6</v>
      </c>
      <c r="N17" s="601">
        <f>G17</f>
        <v>0.3</v>
      </c>
      <c r="O17" s="38">
        <f>H17*$G$8</f>
        <v>10119.373333333333</v>
      </c>
      <c r="P17" s="1">
        <v>12</v>
      </c>
      <c r="Q17" s="37">
        <f>N17*O17*P17</f>
        <v>36429.743999999999</v>
      </c>
      <c r="R17" s="38">
        <v>0</v>
      </c>
      <c r="S17" s="39">
        <f>SUM(Q17:R17)</f>
        <v>36429.743999999999</v>
      </c>
      <c r="T17" s="601">
        <f>G17</f>
        <v>0.3</v>
      </c>
      <c r="U17" s="38">
        <f>H17*$G$8*$G$8</f>
        <v>10524.148266666667</v>
      </c>
      <c r="V17" s="1">
        <v>12</v>
      </c>
      <c r="W17" s="37">
        <f>T17*U17*V17</f>
        <v>37886.93376</v>
      </c>
      <c r="X17" s="38">
        <v>0</v>
      </c>
      <c r="Y17" s="39">
        <f>SUM(W17:X17)</f>
        <v>37886.93376</v>
      </c>
      <c r="Z17" s="601">
        <f>T17</f>
        <v>0.3</v>
      </c>
      <c r="AA17" s="38">
        <f>H17*$G$8*$G$8*$G$8</f>
        <v>10945.114197333334</v>
      </c>
      <c r="AB17" s="1">
        <v>12</v>
      </c>
      <c r="AC17" s="37">
        <f>Z17*AA17*AB17</f>
        <v>39402.411110400004</v>
      </c>
      <c r="AD17" s="38">
        <v>0</v>
      </c>
      <c r="AE17" s="39">
        <f>SUM(AC17:AD17)</f>
        <v>39402.411110400004</v>
      </c>
      <c r="AF17" s="601">
        <f>Z17</f>
        <v>0.3</v>
      </c>
      <c r="AG17" s="38">
        <f>H17*$G$8*$G$8*$G$8*$G$8</f>
        <v>11382.918765226668</v>
      </c>
      <c r="AH17" s="1">
        <v>12</v>
      </c>
      <c r="AI17" s="37">
        <f>AF17*AG17*AH17</f>
        <v>40978.507554816009</v>
      </c>
      <c r="AJ17" s="38">
        <v>0</v>
      </c>
      <c r="AK17" s="38">
        <f>SUM(AI17:AJ17)</f>
        <v>40978.507554816009</v>
      </c>
      <c r="AL17" s="40">
        <f>K17+Q17+W17+AC17+AI17</f>
        <v>189726.19642521604</v>
      </c>
      <c r="AM17" s="38">
        <f t="shared" ref="AM17" si="0">L17+R17+X17+AD17+AJ17</f>
        <v>0</v>
      </c>
      <c r="AN17" s="40">
        <f>SUM(AL17:AM17)</f>
        <v>189726.19642521604</v>
      </c>
    </row>
    <row r="18" spans="1:40" x14ac:dyDescent="0.45">
      <c r="A18" s="1" t="s">
        <v>55</v>
      </c>
      <c r="B18" s="1" t="s">
        <v>56</v>
      </c>
      <c r="C18" s="1" t="s">
        <v>57</v>
      </c>
      <c r="D18" s="1" t="s">
        <v>57</v>
      </c>
      <c r="E18" s="1">
        <v>0</v>
      </c>
      <c r="F18" s="34" t="s">
        <v>60</v>
      </c>
      <c r="G18" s="601">
        <v>1</v>
      </c>
      <c r="H18" s="38">
        <f>85000/12</f>
        <v>7083.333333333333</v>
      </c>
      <c r="I18" s="1">
        <v>12</v>
      </c>
      <c r="J18" s="1" t="s">
        <v>59</v>
      </c>
      <c r="K18" s="37">
        <f>I18*H18*G18</f>
        <v>85000</v>
      </c>
      <c r="L18" s="38">
        <v>0</v>
      </c>
      <c r="M18" s="39">
        <f>SUM(K18:L18)</f>
        <v>85000</v>
      </c>
      <c r="N18" s="601">
        <f t="shared" ref="N18:N19" si="1">G18</f>
        <v>1</v>
      </c>
      <c r="O18" s="38">
        <f>H18*$G$8</f>
        <v>7366.666666666667</v>
      </c>
      <c r="P18" s="1">
        <v>12</v>
      </c>
      <c r="Q18" s="37">
        <f>N18*O18*P18</f>
        <v>88400</v>
      </c>
      <c r="R18" s="38">
        <v>0</v>
      </c>
      <c r="S18" s="39">
        <f>SUM(Q18:R18)</f>
        <v>88400</v>
      </c>
      <c r="T18" s="601">
        <f t="shared" ref="T18:T19" si="2">N18</f>
        <v>1</v>
      </c>
      <c r="U18" s="38">
        <f t="shared" ref="U18:U19" si="3">H18*$G$8*$G$8</f>
        <v>7661.3333333333339</v>
      </c>
      <c r="V18" s="1">
        <v>12</v>
      </c>
      <c r="W18" s="37">
        <f>T18*U18*V18</f>
        <v>91936</v>
      </c>
      <c r="X18" s="38">
        <v>0</v>
      </c>
      <c r="Y18" s="39">
        <f>SUM(W18:X18)</f>
        <v>91936</v>
      </c>
      <c r="Z18" s="601">
        <f t="shared" ref="Z18:Z19" si="4">T18</f>
        <v>1</v>
      </c>
      <c r="AA18" s="38">
        <f t="shared" ref="AA18:AA19" si="5">H18*$G$8*$G$8*$G$8</f>
        <v>7967.7866666666678</v>
      </c>
      <c r="AB18" s="1">
        <v>12</v>
      </c>
      <c r="AC18" s="37">
        <f>Z18*AA18*AB18</f>
        <v>95613.440000000017</v>
      </c>
      <c r="AD18" s="38">
        <v>0</v>
      </c>
      <c r="AE18" s="39">
        <f>SUM(AC18:AD18)</f>
        <v>95613.440000000017</v>
      </c>
      <c r="AF18" s="601">
        <f t="shared" ref="AF18:AF19" si="6">Z18</f>
        <v>1</v>
      </c>
      <c r="AG18" s="38">
        <f t="shared" ref="AG18:AG19" si="7">H18*$G$8*$G$8*$G$8*$G$8</f>
        <v>8286.4981333333344</v>
      </c>
      <c r="AH18" s="1">
        <v>12</v>
      </c>
      <c r="AI18" s="37">
        <f>AF18*AG18*AH18</f>
        <v>99437.977600000013</v>
      </c>
      <c r="AJ18" s="38">
        <v>0</v>
      </c>
      <c r="AK18" s="38">
        <f>SUM(AI18:AJ18)</f>
        <v>99437.977600000013</v>
      </c>
      <c r="AL18" s="40">
        <f t="shared" ref="AL18:AL19" si="8">K18+Q18+W18+AC18+AI18</f>
        <v>460387.41760000004</v>
      </c>
      <c r="AM18" s="38">
        <f t="shared" ref="AM18" si="9">L18+R18+X18+AD18+AJ18</f>
        <v>0</v>
      </c>
      <c r="AN18" s="40">
        <f>SUM(AL18:AM18)</f>
        <v>460387.41760000004</v>
      </c>
    </row>
    <row r="19" spans="1:40" x14ac:dyDescent="0.45">
      <c r="A19" s="1" t="s">
        <v>55</v>
      </c>
      <c r="B19" s="1" t="s">
        <v>56</v>
      </c>
      <c r="C19" s="1" t="s">
        <v>57</v>
      </c>
      <c r="D19" s="1" t="s">
        <v>57</v>
      </c>
      <c r="E19" s="1">
        <v>0</v>
      </c>
      <c r="F19" s="34" t="s">
        <v>61</v>
      </c>
      <c r="G19" s="601">
        <v>1</v>
      </c>
      <c r="H19" s="38">
        <f>52000/12</f>
        <v>4333.333333333333</v>
      </c>
      <c r="I19" s="1">
        <v>12</v>
      </c>
      <c r="J19" s="1" t="s">
        <v>59</v>
      </c>
      <c r="K19" s="37">
        <f t="shared" ref="K19" si="10">I19*H19*G19</f>
        <v>52000</v>
      </c>
      <c r="L19" s="38">
        <v>0</v>
      </c>
      <c r="M19" s="39">
        <f>SUM(K19:L19)</f>
        <v>52000</v>
      </c>
      <c r="N19" s="601">
        <f t="shared" si="1"/>
        <v>1</v>
      </c>
      <c r="O19" s="38">
        <f>H19*$G$8</f>
        <v>4506.6666666666661</v>
      </c>
      <c r="P19" s="1">
        <v>12</v>
      </c>
      <c r="Q19" s="37">
        <f t="shared" ref="Q19" si="11">N19*O19*P19</f>
        <v>54079.999999999993</v>
      </c>
      <c r="R19" s="38">
        <v>0</v>
      </c>
      <c r="S19" s="39">
        <f>SUM(Q19:R19)</f>
        <v>54079.999999999993</v>
      </c>
      <c r="T19" s="601">
        <f t="shared" si="2"/>
        <v>1</v>
      </c>
      <c r="U19" s="38">
        <f t="shared" si="3"/>
        <v>4686.9333333333325</v>
      </c>
      <c r="V19" s="1">
        <v>12</v>
      </c>
      <c r="W19" s="37">
        <f t="shared" ref="W19" si="12">T19*U19*V19</f>
        <v>56243.19999999999</v>
      </c>
      <c r="X19" s="38">
        <v>0</v>
      </c>
      <c r="Y19" s="39">
        <f>SUM(W19:X19)</f>
        <v>56243.19999999999</v>
      </c>
      <c r="Z19" s="601">
        <f t="shared" si="4"/>
        <v>1</v>
      </c>
      <c r="AA19" s="38">
        <f t="shared" si="5"/>
        <v>4874.4106666666657</v>
      </c>
      <c r="AB19" s="1">
        <v>12</v>
      </c>
      <c r="AC19" s="37">
        <f t="shared" ref="AC19" si="13">Z19*AA19*AB19</f>
        <v>58492.927999999985</v>
      </c>
      <c r="AD19" s="38">
        <v>0</v>
      </c>
      <c r="AE19" s="39">
        <f>SUM(AC19:AD19)</f>
        <v>58492.927999999985</v>
      </c>
      <c r="AF19" s="601">
        <f t="shared" si="6"/>
        <v>1</v>
      </c>
      <c r="AG19" s="38">
        <f t="shared" si="7"/>
        <v>5069.3870933333328</v>
      </c>
      <c r="AH19" s="1">
        <v>12</v>
      </c>
      <c r="AI19" s="37">
        <f t="shared" ref="AI19" si="14">AF19*AG19*AH19</f>
        <v>60832.645119999994</v>
      </c>
      <c r="AJ19" s="38">
        <v>0</v>
      </c>
      <c r="AK19" s="38">
        <f>SUM(AI19:AJ19)</f>
        <v>60832.645119999994</v>
      </c>
      <c r="AL19" s="40">
        <f t="shared" si="8"/>
        <v>281648.77311999997</v>
      </c>
      <c r="AM19" s="38">
        <f t="shared" ref="AM19" si="15">L19+R19+X19+AD19+AJ19</f>
        <v>0</v>
      </c>
      <c r="AN19" s="40">
        <f>SUM(AL19:AM19)</f>
        <v>281648.77311999997</v>
      </c>
    </row>
    <row r="20" spans="1:40" s="10" customFormat="1" ht="12.3" x14ac:dyDescent="0.4">
      <c r="A20" s="129"/>
      <c r="B20" s="129"/>
      <c r="C20" s="129"/>
      <c r="D20" s="129"/>
      <c r="E20" s="129"/>
      <c r="F20" s="41" t="s">
        <v>62</v>
      </c>
      <c r="G20" s="128"/>
      <c r="H20" s="129"/>
      <c r="I20" s="129"/>
      <c r="J20" s="129"/>
      <c r="K20" s="42">
        <f>SUM(K17:K19)</f>
        <v>172028.6</v>
      </c>
      <c r="L20" s="43">
        <f>SUM(L17:L19)</f>
        <v>0</v>
      </c>
      <c r="M20" s="44">
        <f>SUM(M17:M19)</f>
        <v>172028.6</v>
      </c>
      <c r="N20" s="128"/>
      <c r="O20" s="129"/>
      <c r="P20" s="129"/>
      <c r="Q20" s="42">
        <f>SUM(Q17:Q19)</f>
        <v>178909.74400000001</v>
      </c>
      <c r="R20" s="43">
        <f>SUM(R17:R19)</f>
        <v>0</v>
      </c>
      <c r="S20" s="44">
        <f>SUM(S17:S19)</f>
        <v>178909.74400000001</v>
      </c>
      <c r="T20" s="128"/>
      <c r="U20" s="129"/>
      <c r="V20" s="129"/>
      <c r="W20" s="42">
        <f>SUM(W17:W19)</f>
        <v>186066.13376</v>
      </c>
      <c r="X20" s="43">
        <f>SUM(X17:X19)</f>
        <v>0</v>
      </c>
      <c r="Y20" s="44">
        <f>SUM(Y17:Y19)</f>
        <v>186066.13376</v>
      </c>
      <c r="Z20" s="128"/>
      <c r="AA20" s="129"/>
      <c r="AB20" s="129"/>
      <c r="AC20" s="42">
        <f>SUM(AC17:AC19)</f>
        <v>193508.77911040001</v>
      </c>
      <c r="AD20" s="43">
        <f>SUM(AD17:AD19)</f>
        <v>0</v>
      </c>
      <c r="AE20" s="44">
        <f>SUM(AE17:AE19)</f>
        <v>193508.77911040001</v>
      </c>
      <c r="AF20" s="128"/>
      <c r="AG20" s="129"/>
      <c r="AH20" s="129"/>
      <c r="AI20" s="42">
        <f t="shared" ref="AI20:AN20" si="16">SUM(AI17:AI19)</f>
        <v>201249.13027481601</v>
      </c>
      <c r="AJ20" s="43">
        <f t="shared" si="16"/>
        <v>0</v>
      </c>
      <c r="AK20" s="43">
        <f t="shared" si="16"/>
        <v>201249.13027481601</v>
      </c>
      <c r="AL20" s="45">
        <f>SUM(AL17:AL19)</f>
        <v>931762.38714521611</v>
      </c>
      <c r="AM20" s="43">
        <f t="shared" si="16"/>
        <v>0</v>
      </c>
      <c r="AN20" s="45">
        <f t="shared" si="16"/>
        <v>931762.38714521611</v>
      </c>
    </row>
    <row r="21" spans="1:40" x14ac:dyDescent="0.45">
      <c r="A21" s="131"/>
      <c r="B21" s="131"/>
      <c r="C21" s="131"/>
      <c r="D21" s="131"/>
      <c r="E21" s="131"/>
      <c r="F21" s="46"/>
      <c r="G21" s="130"/>
      <c r="H21" s="131"/>
      <c r="I21" s="131"/>
      <c r="J21" s="131"/>
      <c r="K21" s="37"/>
      <c r="L21" s="38"/>
      <c r="M21" s="39"/>
      <c r="N21" s="130"/>
      <c r="O21" s="131"/>
      <c r="P21" s="131"/>
      <c r="Q21" s="37"/>
      <c r="R21" s="38"/>
      <c r="S21" s="39"/>
      <c r="T21" s="130"/>
      <c r="U21" s="131"/>
      <c r="V21" s="131"/>
      <c r="W21" s="37"/>
      <c r="X21" s="38"/>
      <c r="Y21" s="39"/>
      <c r="Z21" s="130"/>
      <c r="AA21" s="131"/>
      <c r="AB21" s="131"/>
      <c r="AC21" s="37"/>
      <c r="AD21" s="38"/>
      <c r="AE21" s="39"/>
      <c r="AF21" s="130"/>
      <c r="AG21" s="131"/>
      <c r="AH21" s="131"/>
      <c r="AI21" s="37"/>
      <c r="AJ21" s="38"/>
      <c r="AK21" s="38"/>
      <c r="AL21" s="40"/>
      <c r="AM21" s="38"/>
      <c r="AN21" s="40"/>
    </row>
    <row r="22" spans="1:40" x14ac:dyDescent="0.45">
      <c r="A22" s="132"/>
      <c r="B22" s="132"/>
      <c r="C22" s="132"/>
      <c r="D22" s="132"/>
      <c r="E22" s="132"/>
      <c r="F22" s="47" t="s">
        <v>63</v>
      </c>
      <c r="G22" s="124" t="s">
        <v>54</v>
      </c>
      <c r="H22" s="132"/>
      <c r="I22" s="132"/>
      <c r="J22" s="132"/>
      <c r="K22" s="37"/>
      <c r="L22" s="38"/>
      <c r="M22" s="39"/>
      <c r="N22" s="124"/>
      <c r="O22" s="132"/>
      <c r="P22" s="132"/>
      <c r="Q22" s="37"/>
      <c r="R22" s="38"/>
      <c r="S22" s="39"/>
      <c r="T22" s="124"/>
      <c r="U22" s="132"/>
      <c r="V22" s="132"/>
      <c r="W22" s="37"/>
      <c r="X22" s="38"/>
      <c r="Y22" s="39"/>
      <c r="Z22" s="124"/>
      <c r="AA22" s="132"/>
      <c r="AB22" s="132"/>
      <c r="AC22" s="37"/>
      <c r="AD22" s="38"/>
      <c r="AE22" s="39"/>
      <c r="AF22" s="124"/>
      <c r="AG22" s="132"/>
      <c r="AH22" s="132"/>
      <c r="AI22" s="37"/>
      <c r="AJ22" s="38"/>
      <c r="AK22" s="38"/>
      <c r="AL22" s="40"/>
      <c r="AM22" s="38"/>
      <c r="AN22" s="40"/>
    </row>
    <row r="23" spans="1:40" x14ac:dyDescent="0.45">
      <c r="A23" s="1" t="s">
        <v>64</v>
      </c>
      <c r="B23" s="1" t="s">
        <v>56</v>
      </c>
      <c r="C23" s="258" t="s">
        <v>65</v>
      </c>
      <c r="D23" s="258" t="s">
        <v>65</v>
      </c>
      <c r="E23" s="1">
        <v>0</v>
      </c>
      <c r="F23" s="34" t="s">
        <v>66</v>
      </c>
      <c r="G23" s="601">
        <v>1</v>
      </c>
      <c r="H23" s="37">
        <f>135000/12</f>
        <v>11250</v>
      </c>
      <c r="I23" s="1">
        <v>12</v>
      </c>
      <c r="J23" s="1" t="s">
        <v>59</v>
      </c>
      <c r="K23" s="37">
        <f>I23*H23*G23</f>
        <v>135000</v>
      </c>
      <c r="L23" s="38">
        <v>0</v>
      </c>
      <c r="M23" s="39">
        <f t="shared" ref="M23" si="17">SUM(K23:L23)</f>
        <v>135000</v>
      </c>
      <c r="N23" s="601">
        <v>1</v>
      </c>
      <c r="O23" s="38">
        <f>H23*$G$8</f>
        <v>11700</v>
      </c>
      <c r="P23" s="1">
        <v>12</v>
      </c>
      <c r="Q23" s="37">
        <f>O23*P23*N23</f>
        <v>140400</v>
      </c>
      <c r="R23" s="38">
        <v>0</v>
      </c>
      <c r="S23" s="39">
        <f t="shared" ref="S23" si="18">SUM(Q23:R23)</f>
        <v>140400</v>
      </c>
      <c r="T23" s="601">
        <v>1</v>
      </c>
      <c r="U23" s="38">
        <f>(H23*$G$8*$G$8)</f>
        <v>12168</v>
      </c>
      <c r="V23" s="1">
        <v>12</v>
      </c>
      <c r="W23" s="37">
        <f>V23*U23*T23</f>
        <v>146016</v>
      </c>
      <c r="X23" s="38">
        <v>0</v>
      </c>
      <c r="Y23" s="39">
        <f t="shared" ref="Y23" si="19">SUM(W23:X23)</f>
        <v>146016</v>
      </c>
      <c r="Z23" s="601">
        <v>1</v>
      </c>
      <c r="AA23" s="38">
        <f t="shared" ref="AA23:AA33" si="20">H23*$G$8*$G$8*$G$8</f>
        <v>12654.720000000001</v>
      </c>
      <c r="AB23" s="1">
        <v>12</v>
      </c>
      <c r="AC23" s="37">
        <f>AB23*AA23*Z23</f>
        <v>151856.64000000001</v>
      </c>
      <c r="AD23" s="38">
        <v>0</v>
      </c>
      <c r="AE23" s="39">
        <f t="shared" ref="AE23" si="21">SUM(AC23:AD23)</f>
        <v>151856.64000000001</v>
      </c>
      <c r="AF23" s="601">
        <v>1</v>
      </c>
      <c r="AG23" s="38">
        <f t="shared" ref="AG23:AG33" si="22">H23*$G$8*$G$8*$G$8*$G$8</f>
        <v>13160.908800000001</v>
      </c>
      <c r="AH23" s="1">
        <v>12</v>
      </c>
      <c r="AI23" s="37">
        <f>AH23*AG23*AF23</f>
        <v>157930.9056</v>
      </c>
      <c r="AJ23" s="38">
        <v>0</v>
      </c>
      <c r="AK23" s="38">
        <f t="shared" ref="AK23" si="23">SUM(AI23:AJ23)</f>
        <v>157930.9056</v>
      </c>
      <c r="AL23" s="40">
        <f>K23+Q23+W23+AC23+AI23</f>
        <v>731203.54560000007</v>
      </c>
      <c r="AM23" s="38">
        <f t="shared" ref="AM23" si="24">L23+R23+X23+AD23+AJ23</f>
        <v>0</v>
      </c>
      <c r="AN23" s="40">
        <f t="shared" ref="AN23" si="25">SUM(AL23:AM23)</f>
        <v>731203.54560000007</v>
      </c>
    </row>
    <row r="24" spans="1:40" x14ac:dyDescent="0.45">
      <c r="A24" s="1" t="s">
        <v>67</v>
      </c>
      <c r="B24" s="1">
        <v>70000</v>
      </c>
      <c r="C24" s="258" t="s">
        <v>65</v>
      </c>
      <c r="D24" s="258" t="s">
        <v>65</v>
      </c>
      <c r="E24" s="1">
        <v>0</v>
      </c>
      <c r="F24" s="34" t="s">
        <v>68</v>
      </c>
      <c r="G24" s="601">
        <v>1</v>
      </c>
      <c r="H24" s="37">
        <f>100000/12</f>
        <v>8333.3333333333339</v>
      </c>
      <c r="I24" s="1">
        <v>12</v>
      </c>
      <c r="J24" s="1" t="s">
        <v>59</v>
      </c>
      <c r="K24" s="37">
        <f t="shared" ref="K24:K33" si="26">I24*H24*G24</f>
        <v>100000</v>
      </c>
      <c r="L24" s="38">
        <v>0</v>
      </c>
      <c r="M24" s="39">
        <f t="shared" ref="M24" si="27">SUM(K24:L24)</f>
        <v>100000</v>
      </c>
      <c r="N24" s="601">
        <v>1</v>
      </c>
      <c r="O24" s="38">
        <f t="shared" ref="O24:O33" si="28">H24*$G$8</f>
        <v>8666.6666666666679</v>
      </c>
      <c r="P24" s="1">
        <v>12</v>
      </c>
      <c r="Q24" s="37">
        <f t="shared" ref="Q24:Q33" si="29">O24*P24*N24</f>
        <v>104000.00000000001</v>
      </c>
      <c r="R24" s="38">
        <v>0</v>
      </c>
      <c r="S24" s="39">
        <f t="shared" ref="S24:S29" si="30">SUM(Q24:R24)</f>
        <v>104000.00000000001</v>
      </c>
      <c r="T24" s="601">
        <v>1</v>
      </c>
      <c r="U24" s="38">
        <f t="shared" ref="U24:U33" si="31">H24*$G$8*$G$8</f>
        <v>9013.3333333333358</v>
      </c>
      <c r="V24" s="1">
        <v>12</v>
      </c>
      <c r="W24" s="37">
        <f t="shared" ref="W24:W33" si="32">V24*U24*T24</f>
        <v>108160.00000000003</v>
      </c>
      <c r="X24" s="38">
        <v>0</v>
      </c>
      <c r="Y24" s="39">
        <f t="shared" ref="Y24:Y29" si="33">SUM(W24:X24)</f>
        <v>108160.00000000003</v>
      </c>
      <c r="Z24" s="601">
        <v>1</v>
      </c>
      <c r="AA24" s="38">
        <f t="shared" si="20"/>
        <v>9373.8666666666686</v>
      </c>
      <c r="AB24" s="1">
        <v>12</v>
      </c>
      <c r="AC24" s="37">
        <f t="shared" ref="AC24:AC33" si="34">AB24*AA24*Z24</f>
        <v>112486.40000000002</v>
      </c>
      <c r="AD24" s="38">
        <v>0</v>
      </c>
      <c r="AE24" s="39">
        <f t="shared" ref="AE24:AE29" si="35">SUM(AC24:AD24)</f>
        <v>112486.40000000002</v>
      </c>
      <c r="AF24" s="601">
        <v>1</v>
      </c>
      <c r="AG24" s="38">
        <f t="shared" si="22"/>
        <v>9748.8213333333351</v>
      </c>
      <c r="AH24" s="1">
        <v>12</v>
      </c>
      <c r="AI24" s="37">
        <f>AH24*AG24*AF24</f>
        <v>116985.85600000003</v>
      </c>
      <c r="AJ24" s="38">
        <v>0</v>
      </c>
      <c r="AK24" s="38">
        <f t="shared" ref="AK24:AK25" si="36">SUM(AI24:AJ24)</f>
        <v>116985.85600000003</v>
      </c>
      <c r="AL24" s="40">
        <f t="shared" ref="AL24:AL33" si="37">K24+Q24+W24+AC24+AI24</f>
        <v>541632.25600000005</v>
      </c>
      <c r="AM24" s="38">
        <f t="shared" ref="AM24:AM29" si="38">L24+R24+X24+AD24+AJ24</f>
        <v>0</v>
      </c>
      <c r="AN24" s="40">
        <f t="shared" ref="AN24:AN29" si="39">SUM(AL24:AM24)</f>
        <v>541632.25600000005</v>
      </c>
    </row>
    <row r="25" spans="1:40" x14ac:dyDescent="0.45">
      <c r="A25" s="1" t="s">
        <v>69</v>
      </c>
      <c r="B25" s="1">
        <v>70000</v>
      </c>
      <c r="C25" s="258" t="s">
        <v>65</v>
      </c>
      <c r="D25" s="258" t="s">
        <v>65</v>
      </c>
      <c r="E25" s="1">
        <v>0</v>
      </c>
      <c r="F25" s="34" t="s">
        <v>70</v>
      </c>
      <c r="G25" s="601">
        <v>1</v>
      </c>
      <c r="H25" s="37">
        <f>52500/12</f>
        <v>4375</v>
      </c>
      <c r="I25" s="1">
        <v>12</v>
      </c>
      <c r="J25" s="1" t="s">
        <v>59</v>
      </c>
      <c r="K25" s="37">
        <f>I25*H25*G25</f>
        <v>52500</v>
      </c>
      <c r="L25" s="38">
        <v>0</v>
      </c>
      <c r="M25" s="39">
        <f t="shared" ref="M25:M29" si="40">SUM(K25:L25)</f>
        <v>52500</v>
      </c>
      <c r="N25" s="601">
        <v>1</v>
      </c>
      <c r="O25" s="38">
        <f t="shared" si="28"/>
        <v>4550</v>
      </c>
      <c r="P25" s="1">
        <v>12</v>
      </c>
      <c r="Q25" s="37">
        <f t="shared" ref="Q25:Q29" si="41">O25*P25*N25</f>
        <v>54600</v>
      </c>
      <c r="R25" s="38">
        <v>0</v>
      </c>
      <c r="S25" s="39">
        <f t="shared" si="30"/>
        <v>54600</v>
      </c>
      <c r="T25" s="601">
        <v>1</v>
      </c>
      <c r="U25" s="38">
        <f t="shared" si="31"/>
        <v>4732</v>
      </c>
      <c r="V25" s="1">
        <v>12</v>
      </c>
      <c r="W25" s="37">
        <f t="shared" ref="W25:W29" si="42">V25*U25*T25</f>
        <v>56784</v>
      </c>
      <c r="X25" s="38">
        <v>0</v>
      </c>
      <c r="Y25" s="39">
        <f t="shared" si="33"/>
        <v>56784</v>
      </c>
      <c r="Z25" s="601">
        <v>1</v>
      </c>
      <c r="AA25" s="38">
        <f t="shared" si="20"/>
        <v>4921.28</v>
      </c>
      <c r="AB25" s="1">
        <v>12</v>
      </c>
      <c r="AC25" s="37">
        <f t="shared" ref="AC25:AC29" si="43">AB25*AA25*Z25</f>
        <v>59055.360000000001</v>
      </c>
      <c r="AD25" s="38">
        <v>0</v>
      </c>
      <c r="AE25" s="39">
        <f t="shared" si="35"/>
        <v>59055.360000000001</v>
      </c>
      <c r="AF25" s="601">
        <v>1</v>
      </c>
      <c r="AG25" s="38">
        <f t="shared" si="22"/>
        <v>5118.1311999999998</v>
      </c>
      <c r="AH25" s="1">
        <v>12</v>
      </c>
      <c r="AI25" s="37">
        <f t="shared" ref="AI25:AI29" si="44">AH25*AG25*AF25</f>
        <v>61417.574399999998</v>
      </c>
      <c r="AJ25" s="38">
        <v>0</v>
      </c>
      <c r="AK25" s="38">
        <f t="shared" si="36"/>
        <v>61417.574399999998</v>
      </c>
      <c r="AL25" s="40">
        <f t="shared" si="37"/>
        <v>284356.93439999997</v>
      </c>
      <c r="AM25" s="38">
        <f t="shared" si="38"/>
        <v>0</v>
      </c>
      <c r="AN25" s="40">
        <f t="shared" si="39"/>
        <v>284356.93439999997</v>
      </c>
    </row>
    <row r="26" spans="1:40" s="610" customFormat="1" x14ac:dyDescent="0.45">
      <c r="A26" s="1" t="s">
        <v>71</v>
      </c>
      <c r="B26" s="1">
        <v>70000</v>
      </c>
      <c r="C26" s="258" t="s">
        <v>65</v>
      </c>
      <c r="D26" s="258" t="s">
        <v>65</v>
      </c>
      <c r="E26" s="1">
        <v>0</v>
      </c>
      <c r="F26" s="34" t="s">
        <v>72</v>
      </c>
      <c r="G26" s="601">
        <v>1</v>
      </c>
      <c r="H26" s="37">
        <f>52500/12</f>
        <v>4375</v>
      </c>
      <c r="I26" s="1">
        <v>10</v>
      </c>
      <c r="J26" s="1" t="s">
        <v>59</v>
      </c>
      <c r="K26" s="37">
        <f t="shared" si="26"/>
        <v>43750</v>
      </c>
      <c r="L26" s="38">
        <v>0</v>
      </c>
      <c r="M26" s="39">
        <f t="shared" ref="M26" si="45">SUM(K26:L26)</f>
        <v>43750</v>
      </c>
      <c r="N26" s="601">
        <v>1</v>
      </c>
      <c r="O26" s="38">
        <f t="shared" si="28"/>
        <v>4550</v>
      </c>
      <c r="P26" s="1">
        <v>12</v>
      </c>
      <c r="Q26" s="37">
        <f t="shared" ref="Q26" si="46">O26*P26*N26</f>
        <v>54600</v>
      </c>
      <c r="R26" s="38">
        <v>0</v>
      </c>
      <c r="S26" s="39">
        <f t="shared" ref="S26" si="47">SUM(Q26:R26)</f>
        <v>54600</v>
      </c>
      <c r="T26" s="601">
        <v>1</v>
      </c>
      <c r="U26" s="38">
        <f t="shared" si="31"/>
        <v>4732</v>
      </c>
      <c r="V26" s="1">
        <v>12</v>
      </c>
      <c r="W26" s="37">
        <f t="shared" ref="W26" si="48">V26*U26*T26</f>
        <v>56784</v>
      </c>
      <c r="X26" s="38">
        <v>0</v>
      </c>
      <c r="Y26" s="39">
        <f t="shared" ref="Y26" si="49">SUM(W26:X26)</f>
        <v>56784</v>
      </c>
      <c r="Z26" s="601">
        <v>1</v>
      </c>
      <c r="AA26" s="38">
        <f t="shared" si="20"/>
        <v>4921.28</v>
      </c>
      <c r="AB26" s="1">
        <v>12</v>
      </c>
      <c r="AC26" s="37">
        <f t="shared" ref="AC26" si="50">AB26*AA26*Z26</f>
        <v>59055.360000000001</v>
      </c>
      <c r="AD26" s="38">
        <v>0</v>
      </c>
      <c r="AE26" s="39">
        <f t="shared" ref="AE26" si="51">SUM(AC26:AD26)</f>
        <v>59055.360000000001</v>
      </c>
      <c r="AF26" s="601">
        <v>1</v>
      </c>
      <c r="AG26" s="38">
        <f t="shared" si="22"/>
        <v>5118.1311999999998</v>
      </c>
      <c r="AH26" s="1">
        <v>12</v>
      </c>
      <c r="AI26" s="37">
        <f t="shared" ref="AI26" si="52">AH26*AG26*AF26</f>
        <v>61417.574399999998</v>
      </c>
      <c r="AJ26" s="38">
        <v>0</v>
      </c>
      <c r="AK26" s="38">
        <f t="shared" ref="AK26" si="53">SUM(AI26:AJ26)</f>
        <v>61417.574399999998</v>
      </c>
      <c r="AL26" s="40">
        <f t="shared" si="37"/>
        <v>275606.93439999997</v>
      </c>
      <c r="AM26" s="38">
        <f t="shared" ref="AM26" si="54">L26+R26+X26+AD26+AJ26</f>
        <v>0</v>
      </c>
      <c r="AN26" s="40">
        <f t="shared" ref="AN26" si="55">SUM(AL26:AM26)</f>
        <v>275606.93439999997</v>
      </c>
    </row>
    <row r="27" spans="1:40" s="610" customFormat="1" x14ac:dyDescent="0.45">
      <c r="A27" s="1" t="s">
        <v>73</v>
      </c>
      <c r="B27" s="1">
        <v>70000</v>
      </c>
      <c r="C27" s="258" t="s">
        <v>65</v>
      </c>
      <c r="D27" s="258" t="s">
        <v>65</v>
      </c>
      <c r="E27" s="1">
        <v>0</v>
      </c>
      <c r="F27" s="34" t="s">
        <v>74</v>
      </c>
      <c r="G27" s="601">
        <v>1</v>
      </c>
      <c r="H27" s="37">
        <f>38000/12</f>
        <v>3166.6666666666665</v>
      </c>
      <c r="I27" s="1">
        <v>10</v>
      </c>
      <c r="J27" s="1" t="s">
        <v>59</v>
      </c>
      <c r="K27" s="37">
        <f t="shared" ref="K27:K29" si="56">I27*H27*G27</f>
        <v>31666.666666666664</v>
      </c>
      <c r="L27" s="38">
        <v>0</v>
      </c>
      <c r="M27" s="39">
        <f t="shared" si="40"/>
        <v>31666.666666666664</v>
      </c>
      <c r="N27" s="601">
        <v>1</v>
      </c>
      <c r="O27" s="38">
        <f t="shared" ref="O27:O29" si="57">H27*$G$8</f>
        <v>3293.3333333333335</v>
      </c>
      <c r="P27" s="1">
        <v>12</v>
      </c>
      <c r="Q27" s="37">
        <f t="shared" si="41"/>
        <v>39520</v>
      </c>
      <c r="R27" s="38">
        <v>0</v>
      </c>
      <c r="S27" s="39">
        <f t="shared" si="30"/>
        <v>39520</v>
      </c>
      <c r="T27" s="601">
        <v>1</v>
      </c>
      <c r="U27" s="38">
        <f t="shared" ref="U27:U29" si="58">H27*$G$8*$G$8</f>
        <v>3425.0666666666671</v>
      </c>
      <c r="V27" s="1">
        <v>12</v>
      </c>
      <c r="W27" s="37">
        <f t="shared" si="42"/>
        <v>41100.800000000003</v>
      </c>
      <c r="X27" s="38">
        <v>0</v>
      </c>
      <c r="Y27" s="39">
        <f t="shared" si="33"/>
        <v>41100.800000000003</v>
      </c>
      <c r="Z27" s="601">
        <v>1</v>
      </c>
      <c r="AA27" s="38">
        <f t="shared" ref="AA27:AA29" si="59">H27*$G$8*$G$8*$G$8</f>
        <v>3562.0693333333338</v>
      </c>
      <c r="AB27" s="1">
        <v>12</v>
      </c>
      <c r="AC27" s="37">
        <f t="shared" si="43"/>
        <v>42744.832000000009</v>
      </c>
      <c r="AD27" s="38">
        <v>0</v>
      </c>
      <c r="AE27" s="39">
        <f t="shared" si="35"/>
        <v>42744.832000000009</v>
      </c>
      <c r="AF27" s="601">
        <v>1</v>
      </c>
      <c r="AG27" s="38">
        <f t="shared" ref="AG27:AG29" si="60">H27*$G$8*$G$8*$G$8*$G$8</f>
        <v>3704.5521066666674</v>
      </c>
      <c r="AH27" s="1">
        <v>11</v>
      </c>
      <c r="AI27" s="37">
        <f t="shared" si="44"/>
        <v>40750.073173333345</v>
      </c>
      <c r="AJ27" s="38">
        <v>0</v>
      </c>
      <c r="AK27" s="38">
        <f t="shared" ref="AK27:AK29" si="61">SUM(AI27:AJ27)</f>
        <v>40750.073173333345</v>
      </c>
      <c r="AL27" s="40">
        <f t="shared" ref="AL27:AL29" si="62">K27+Q27+W27+AC27+AI27</f>
        <v>195782.37184000001</v>
      </c>
      <c r="AM27" s="38">
        <f t="shared" si="38"/>
        <v>0</v>
      </c>
      <c r="AN27" s="40">
        <f t="shared" si="39"/>
        <v>195782.37184000001</v>
      </c>
    </row>
    <row r="28" spans="1:40" x14ac:dyDescent="0.45">
      <c r="A28" s="1" t="s">
        <v>75</v>
      </c>
      <c r="B28" s="1">
        <v>70000</v>
      </c>
      <c r="C28" s="258" t="s">
        <v>65</v>
      </c>
      <c r="D28" s="258" t="s">
        <v>65</v>
      </c>
      <c r="E28" s="1">
        <v>0</v>
      </c>
      <c r="F28" s="34" t="s">
        <v>76</v>
      </c>
      <c r="G28" s="601">
        <v>1</v>
      </c>
      <c r="H28" s="37">
        <f>22500/12</f>
        <v>1875</v>
      </c>
      <c r="I28" s="1">
        <v>9</v>
      </c>
      <c r="J28" s="1" t="s">
        <v>59</v>
      </c>
      <c r="K28" s="37">
        <f t="shared" si="56"/>
        <v>16875</v>
      </c>
      <c r="L28" s="38">
        <v>0</v>
      </c>
      <c r="M28" s="39">
        <f t="shared" si="40"/>
        <v>16875</v>
      </c>
      <c r="N28" s="601">
        <v>1</v>
      </c>
      <c r="O28" s="38">
        <f t="shared" si="57"/>
        <v>1950</v>
      </c>
      <c r="P28" s="1">
        <v>12</v>
      </c>
      <c r="Q28" s="37">
        <f t="shared" si="41"/>
        <v>23400</v>
      </c>
      <c r="R28" s="38">
        <v>0</v>
      </c>
      <c r="S28" s="39">
        <f t="shared" si="30"/>
        <v>23400</v>
      </c>
      <c r="T28" s="601">
        <v>1</v>
      </c>
      <c r="U28" s="38">
        <f t="shared" si="58"/>
        <v>2028</v>
      </c>
      <c r="V28" s="1">
        <v>12</v>
      </c>
      <c r="W28" s="37">
        <f t="shared" si="42"/>
        <v>24336</v>
      </c>
      <c r="X28" s="38">
        <v>0</v>
      </c>
      <c r="Y28" s="39">
        <f t="shared" si="33"/>
        <v>24336</v>
      </c>
      <c r="Z28" s="601">
        <v>1</v>
      </c>
      <c r="AA28" s="38">
        <f t="shared" si="59"/>
        <v>2109.12</v>
      </c>
      <c r="AB28" s="1">
        <v>12</v>
      </c>
      <c r="AC28" s="37">
        <f t="shared" si="43"/>
        <v>25309.439999999999</v>
      </c>
      <c r="AD28" s="38">
        <v>0</v>
      </c>
      <c r="AE28" s="39">
        <f t="shared" si="35"/>
        <v>25309.439999999999</v>
      </c>
      <c r="AF28" s="601">
        <v>1</v>
      </c>
      <c r="AG28" s="38">
        <f t="shared" si="60"/>
        <v>2193.4848000000002</v>
      </c>
      <c r="AH28" s="1">
        <v>9</v>
      </c>
      <c r="AI28" s="37">
        <f t="shared" si="44"/>
        <v>19741.3632</v>
      </c>
      <c r="AJ28" s="38">
        <v>0</v>
      </c>
      <c r="AK28" s="38">
        <f t="shared" si="61"/>
        <v>19741.3632</v>
      </c>
      <c r="AL28" s="40">
        <f t="shared" si="62"/>
        <v>109661.80319999999</v>
      </c>
      <c r="AM28" s="38">
        <f t="shared" si="38"/>
        <v>0</v>
      </c>
      <c r="AN28" s="40">
        <f t="shared" si="39"/>
        <v>109661.80319999999</v>
      </c>
    </row>
    <row r="29" spans="1:40" x14ac:dyDescent="0.45">
      <c r="A29" s="1" t="s">
        <v>77</v>
      </c>
      <c r="B29" s="1">
        <v>70000</v>
      </c>
      <c r="C29" s="258" t="s">
        <v>65</v>
      </c>
      <c r="D29" s="258" t="s">
        <v>65</v>
      </c>
      <c r="E29" s="1">
        <v>0</v>
      </c>
      <c r="F29" s="34" t="s">
        <v>78</v>
      </c>
      <c r="G29" s="601">
        <v>1</v>
      </c>
      <c r="H29" s="37">
        <f>15000/12</f>
        <v>1250</v>
      </c>
      <c r="I29" s="1">
        <v>8</v>
      </c>
      <c r="J29" s="1" t="s">
        <v>59</v>
      </c>
      <c r="K29" s="37">
        <f t="shared" si="56"/>
        <v>10000</v>
      </c>
      <c r="L29" s="38">
        <v>0</v>
      </c>
      <c r="M29" s="39">
        <f t="shared" si="40"/>
        <v>10000</v>
      </c>
      <c r="N29" s="601">
        <v>1</v>
      </c>
      <c r="O29" s="38">
        <f t="shared" si="57"/>
        <v>1300</v>
      </c>
      <c r="P29" s="1">
        <v>12</v>
      </c>
      <c r="Q29" s="37">
        <f t="shared" si="41"/>
        <v>15600</v>
      </c>
      <c r="R29" s="38">
        <v>0</v>
      </c>
      <c r="S29" s="39">
        <f t="shared" si="30"/>
        <v>15600</v>
      </c>
      <c r="T29" s="601">
        <v>1</v>
      </c>
      <c r="U29" s="38">
        <f t="shared" si="58"/>
        <v>1352</v>
      </c>
      <c r="V29" s="1">
        <v>12</v>
      </c>
      <c r="W29" s="37">
        <f t="shared" si="42"/>
        <v>16224</v>
      </c>
      <c r="X29" s="38">
        <v>0</v>
      </c>
      <c r="Y29" s="39">
        <f t="shared" si="33"/>
        <v>16224</v>
      </c>
      <c r="Z29" s="601">
        <v>1</v>
      </c>
      <c r="AA29" s="38">
        <f t="shared" si="59"/>
        <v>1406.0800000000002</v>
      </c>
      <c r="AB29" s="1">
        <v>12</v>
      </c>
      <c r="AC29" s="37">
        <f t="shared" si="43"/>
        <v>16872.960000000003</v>
      </c>
      <c r="AD29" s="38">
        <v>0</v>
      </c>
      <c r="AE29" s="39">
        <f t="shared" si="35"/>
        <v>16872.960000000003</v>
      </c>
      <c r="AF29" s="601">
        <v>1</v>
      </c>
      <c r="AG29" s="38">
        <f t="shared" si="60"/>
        <v>1462.3232000000003</v>
      </c>
      <c r="AH29" s="1">
        <v>8</v>
      </c>
      <c r="AI29" s="37">
        <f t="shared" si="44"/>
        <v>11698.585600000002</v>
      </c>
      <c r="AJ29" s="38">
        <v>0</v>
      </c>
      <c r="AK29" s="38">
        <f t="shared" si="61"/>
        <v>11698.585600000002</v>
      </c>
      <c r="AL29" s="40">
        <f t="shared" si="62"/>
        <v>70395.545600000012</v>
      </c>
      <c r="AM29" s="38">
        <f t="shared" si="38"/>
        <v>0</v>
      </c>
      <c r="AN29" s="40">
        <f t="shared" si="39"/>
        <v>70395.545600000012</v>
      </c>
    </row>
    <row r="30" spans="1:40" x14ac:dyDescent="0.45">
      <c r="A30" s="1" t="s">
        <v>79</v>
      </c>
      <c r="B30" s="1">
        <v>70000</v>
      </c>
      <c r="C30" s="258" t="s">
        <v>65</v>
      </c>
      <c r="D30" s="258" t="s">
        <v>65</v>
      </c>
      <c r="E30" s="1">
        <v>0</v>
      </c>
      <c r="F30" s="34" t="s">
        <v>80</v>
      </c>
      <c r="G30" s="601">
        <v>1</v>
      </c>
      <c r="H30" s="37">
        <f>52500/12</f>
        <v>4375</v>
      </c>
      <c r="I30" s="1">
        <v>12</v>
      </c>
      <c r="J30" s="1" t="s">
        <v>59</v>
      </c>
      <c r="K30" s="37">
        <f t="shared" si="26"/>
        <v>52500</v>
      </c>
      <c r="L30" s="38">
        <v>0</v>
      </c>
      <c r="M30" s="39">
        <f t="shared" ref="M30" si="63">SUM(K30:L30)</f>
        <v>52500</v>
      </c>
      <c r="N30" s="601">
        <v>1</v>
      </c>
      <c r="O30" s="38">
        <f t="shared" si="28"/>
        <v>4550</v>
      </c>
      <c r="P30" s="1">
        <v>12</v>
      </c>
      <c r="Q30" s="37">
        <f t="shared" ref="Q30:Q31" si="64">O30*P30*N30</f>
        <v>54600</v>
      </c>
      <c r="R30" s="38">
        <v>0</v>
      </c>
      <c r="S30" s="39">
        <f t="shared" ref="S30:S31" si="65">SUM(Q30:R30)</f>
        <v>54600</v>
      </c>
      <c r="T30" s="601">
        <v>1</v>
      </c>
      <c r="U30" s="38">
        <f t="shared" si="31"/>
        <v>4732</v>
      </c>
      <c r="V30" s="1">
        <v>12</v>
      </c>
      <c r="W30" s="37">
        <f t="shared" ref="W30:W31" si="66">V30*U30*T30</f>
        <v>56784</v>
      </c>
      <c r="X30" s="38">
        <v>0</v>
      </c>
      <c r="Y30" s="39">
        <f t="shared" ref="Y30:Y31" si="67">SUM(W30:X30)</f>
        <v>56784</v>
      </c>
      <c r="Z30" s="601">
        <v>1</v>
      </c>
      <c r="AA30" s="38">
        <f t="shared" si="20"/>
        <v>4921.28</v>
      </c>
      <c r="AB30" s="1">
        <v>12</v>
      </c>
      <c r="AC30" s="37">
        <f t="shared" ref="AC30:AC31" si="68">AB30*AA30*Z30</f>
        <v>59055.360000000001</v>
      </c>
      <c r="AD30" s="38">
        <v>0</v>
      </c>
      <c r="AE30" s="39">
        <f t="shared" ref="AE30:AE31" si="69">SUM(AC30:AD30)</f>
        <v>59055.360000000001</v>
      </c>
      <c r="AF30" s="601">
        <v>1</v>
      </c>
      <c r="AG30" s="38">
        <f t="shared" si="22"/>
        <v>5118.1311999999998</v>
      </c>
      <c r="AH30" s="1">
        <v>12</v>
      </c>
      <c r="AI30" s="37">
        <f t="shared" ref="AI30:AI31" si="70">AH30*AG30*AF30</f>
        <v>61417.574399999998</v>
      </c>
      <c r="AJ30" s="38">
        <v>0</v>
      </c>
      <c r="AK30" s="38">
        <f t="shared" ref="AK30:AK31" si="71">SUM(AI30:AJ30)</f>
        <v>61417.574399999998</v>
      </c>
      <c r="AL30" s="40">
        <f t="shared" si="37"/>
        <v>284356.93439999997</v>
      </c>
      <c r="AM30" s="38">
        <f t="shared" ref="AM30:AM31" si="72">L30+R30+X30+AD30+AJ30</f>
        <v>0</v>
      </c>
      <c r="AN30" s="40">
        <f t="shared" ref="AN30:AN31" si="73">SUM(AL30:AM30)</f>
        <v>284356.93439999997</v>
      </c>
    </row>
    <row r="31" spans="1:40" x14ac:dyDescent="0.45">
      <c r="A31" s="1" t="s">
        <v>81</v>
      </c>
      <c r="B31" s="1">
        <v>70000</v>
      </c>
      <c r="C31" s="258" t="s">
        <v>65</v>
      </c>
      <c r="D31" s="258" t="s">
        <v>65</v>
      </c>
      <c r="E31" s="1">
        <v>0</v>
      </c>
      <c r="F31" s="34" t="s">
        <v>82</v>
      </c>
      <c r="G31" s="601">
        <v>1</v>
      </c>
      <c r="H31" s="37">
        <f>38000/12</f>
        <v>3166.6666666666665</v>
      </c>
      <c r="I31" s="1">
        <v>9</v>
      </c>
      <c r="J31" s="1" t="s">
        <v>59</v>
      </c>
      <c r="K31" s="37">
        <f t="shared" si="26"/>
        <v>28500</v>
      </c>
      <c r="L31" s="38">
        <v>0</v>
      </c>
      <c r="M31" s="39">
        <f>SUM(K31:L31)</f>
        <v>28500</v>
      </c>
      <c r="N31" s="601">
        <v>1</v>
      </c>
      <c r="O31" s="38">
        <f t="shared" si="28"/>
        <v>3293.3333333333335</v>
      </c>
      <c r="P31" s="1">
        <v>12</v>
      </c>
      <c r="Q31" s="37">
        <f t="shared" si="64"/>
        <v>39520</v>
      </c>
      <c r="R31" s="38">
        <v>0</v>
      </c>
      <c r="S31" s="39">
        <f t="shared" si="65"/>
        <v>39520</v>
      </c>
      <c r="T31" s="601">
        <v>1</v>
      </c>
      <c r="U31" s="38">
        <f t="shared" si="31"/>
        <v>3425.0666666666671</v>
      </c>
      <c r="V31" s="1">
        <v>12</v>
      </c>
      <c r="W31" s="37">
        <f t="shared" si="66"/>
        <v>41100.800000000003</v>
      </c>
      <c r="X31" s="38">
        <v>0</v>
      </c>
      <c r="Y31" s="39">
        <f t="shared" si="67"/>
        <v>41100.800000000003</v>
      </c>
      <c r="Z31" s="601">
        <v>1</v>
      </c>
      <c r="AA31" s="38">
        <f t="shared" si="20"/>
        <v>3562.0693333333338</v>
      </c>
      <c r="AB31" s="1">
        <v>12</v>
      </c>
      <c r="AC31" s="37">
        <f t="shared" si="68"/>
        <v>42744.832000000009</v>
      </c>
      <c r="AD31" s="38">
        <v>0</v>
      </c>
      <c r="AE31" s="39">
        <f t="shared" si="69"/>
        <v>42744.832000000009</v>
      </c>
      <c r="AF31" s="601">
        <v>1</v>
      </c>
      <c r="AG31" s="38">
        <f t="shared" si="22"/>
        <v>3704.5521066666674</v>
      </c>
      <c r="AH31" s="1">
        <v>9</v>
      </c>
      <c r="AI31" s="37">
        <f t="shared" si="70"/>
        <v>33340.968960000006</v>
      </c>
      <c r="AJ31" s="38">
        <v>0</v>
      </c>
      <c r="AK31" s="38">
        <f t="shared" si="71"/>
        <v>33340.968960000006</v>
      </c>
      <c r="AL31" s="40">
        <f t="shared" si="37"/>
        <v>185206.60096000001</v>
      </c>
      <c r="AM31" s="38">
        <f t="shared" si="72"/>
        <v>0</v>
      </c>
      <c r="AN31" s="40">
        <f t="shared" si="73"/>
        <v>185206.60096000001</v>
      </c>
    </row>
    <row r="32" spans="1:40" x14ac:dyDescent="0.45">
      <c r="A32" s="1" t="s">
        <v>83</v>
      </c>
      <c r="B32" s="1">
        <v>70000</v>
      </c>
      <c r="C32" s="258" t="s">
        <v>65</v>
      </c>
      <c r="D32" s="258" t="s">
        <v>65</v>
      </c>
      <c r="E32" s="1">
        <v>0</v>
      </c>
      <c r="F32" s="34" t="s">
        <v>84</v>
      </c>
      <c r="G32" s="601">
        <v>1</v>
      </c>
      <c r="H32" s="37">
        <f>52500/12</f>
        <v>4375</v>
      </c>
      <c r="I32" s="1">
        <v>12</v>
      </c>
      <c r="J32" s="1" t="s">
        <v>59</v>
      </c>
      <c r="K32" s="37">
        <f t="shared" si="26"/>
        <v>52500</v>
      </c>
      <c r="L32" s="38">
        <v>0</v>
      </c>
      <c r="M32" s="39">
        <f t="shared" ref="M32:M33" si="74">SUM(K32:L32)</f>
        <v>52500</v>
      </c>
      <c r="N32" s="601">
        <v>1</v>
      </c>
      <c r="O32" s="38">
        <f t="shared" si="28"/>
        <v>4550</v>
      </c>
      <c r="P32" s="1">
        <v>12</v>
      </c>
      <c r="Q32" s="37">
        <f t="shared" si="29"/>
        <v>54600</v>
      </c>
      <c r="R32" s="38">
        <v>0</v>
      </c>
      <c r="S32" s="39">
        <f t="shared" ref="S32:S33" si="75">SUM(Q32:R32)</f>
        <v>54600</v>
      </c>
      <c r="T32" s="601">
        <v>1</v>
      </c>
      <c r="U32" s="38">
        <f t="shared" si="31"/>
        <v>4732</v>
      </c>
      <c r="V32" s="1">
        <v>12</v>
      </c>
      <c r="W32" s="37">
        <f t="shared" si="32"/>
        <v>56784</v>
      </c>
      <c r="X32" s="38">
        <v>0</v>
      </c>
      <c r="Y32" s="39">
        <f t="shared" ref="Y32:Y33" si="76">SUM(W32:X32)</f>
        <v>56784</v>
      </c>
      <c r="Z32" s="601">
        <v>1</v>
      </c>
      <c r="AA32" s="38">
        <f t="shared" si="20"/>
        <v>4921.28</v>
      </c>
      <c r="AB32" s="1">
        <v>12</v>
      </c>
      <c r="AC32" s="37">
        <f t="shared" si="34"/>
        <v>59055.360000000001</v>
      </c>
      <c r="AD32" s="38">
        <v>0</v>
      </c>
      <c r="AE32" s="39">
        <f t="shared" ref="AE32:AE33" si="77">SUM(AC32:AD32)</f>
        <v>59055.360000000001</v>
      </c>
      <c r="AF32" s="601">
        <v>1</v>
      </c>
      <c r="AG32" s="38">
        <f t="shared" si="22"/>
        <v>5118.1311999999998</v>
      </c>
      <c r="AH32" s="1">
        <v>12</v>
      </c>
      <c r="AI32" s="37">
        <f t="shared" ref="AI32:AI33" si="78">AH32*AG32*AF32</f>
        <v>61417.574399999998</v>
      </c>
      <c r="AJ32" s="38">
        <v>0</v>
      </c>
      <c r="AK32" s="38">
        <f t="shared" ref="AK32:AK33" si="79">SUM(AI32:AJ32)</f>
        <v>61417.574399999998</v>
      </c>
      <c r="AL32" s="40">
        <f t="shared" si="37"/>
        <v>284356.93439999997</v>
      </c>
      <c r="AM32" s="38">
        <f t="shared" ref="AM32:AM33" si="80">L32+R32+X32+AD32+AJ32</f>
        <v>0</v>
      </c>
      <c r="AN32" s="40">
        <f t="shared" ref="AN32:AN33" si="81">SUM(AL32:AM32)</f>
        <v>284356.93439999997</v>
      </c>
    </row>
    <row r="33" spans="1:40" x14ac:dyDescent="0.45">
      <c r="A33" s="1" t="s">
        <v>85</v>
      </c>
      <c r="B33" s="1">
        <v>70000</v>
      </c>
      <c r="C33" s="258" t="s">
        <v>65</v>
      </c>
      <c r="D33" s="258" t="s">
        <v>65</v>
      </c>
      <c r="E33" s="1">
        <v>0</v>
      </c>
      <c r="F33" s="34" t="s">
        <v>86</v>
      </c>
      <c r="G33" s="601">
        <v>1</v>
      </c>
      <c r="H33" s="37">
        <f>38000/12</f>
        <v>3166.6666666666665</v>
      </c>
      <c r="I33" s="1">
        <v>9</v>
      </c>
      <c r="J33" s="1" t="s">
        <v>59</v>
      </c>
      <c r="K33" s="37">
        <f t="shared" si="26"/>
        <v>28500</v>
      </c>
      <c r="L33" s="38">
        <v>0</v>
      </c>
      <c r="M33" s="39">
        <f t="shared" si="74"/>
        <v>28500</v>
      </c>
      <c r="N33" s="601">
        <v>1</v>
      </c>
      <c r="O33" s="38">
        <f t="shared" si="28"/>
        <v>3293.3333333333335</v>
      </c>
      <c r="P33" s="1">
        <v>12</v>
      </c>
      <c r="Q33" s="37">
        <f t="shared" si="29"/>
        <v>39520</v>
      </c>
      <c r="R33" s="38">
        <v>0</v>
      </c>
      <c r="S33" s="39">
        <f t="shared" si="75"/>
        <v>39520</v>
      </c>
      <c r="T33" s="601">
        <v>1</v>
      </c>
      <c r="U33" s="38">
        <f t="shared" si="31"/>
        <v>3425.0666666666671</v>
      </c>
      <c r="V33" s="1">
        <v>12</v>
      </c>
      <c r="W33" s="37">
        <f t="shared" si="32"/>
        <v>41100.800000000003</v>
      </c>
      <c r="X33" s="38">
        <v>0</v>
      </c>
      <c r="Y33" s="39">
        <f t="shared" si="76"/>
        <v>41100.800000000003</v>
      </c>
      <c r="Z33" s="601">
        <v>1</v>
      </c>
      <c r="AA33" s="38">
        <f t="shared" si="20"/>
        <v>3562.0693333333338</v>
      </c>
      <c r="AB33" s="1">
        <v>12</v>
      </c>
      <c r="AC33" s="37">
        <f t="shared" si="34"/>
        <v>42744.832000000009</v>
      </c>
      <c r="AD33" s="38">
        <v>0</v>
      </c>
      <c r="AE33" s="39">
        <f t="shared" si="77"/>
        <v>42744.832000000009</v>
      </c>
      <c r="AF33" s="601">
        <v>1</v>
      </c>
      <c r="AG33" s="38">
        <f t="shared" si="22"/>
        <v>3704.5521066666674</v>
      </c>
      <c r="AH33" s="1">
        <v>9</v>
      </c>
      <c r="AI33" s="37">
        <f t="shared" si="78"/>
        <v>33340.968960000006</v>
      </c>
      <c r="AJ33" s="38">
        <v>0</v>
      </c>
      <c r="AK33" s="38">
        <f t="shared" si="79"/>
        <v>33340.968960000006</v>
      </c>
      <c r="AL33" s="40">
        <f t="shared" si="37"/>
        <v>185206.60096000001</v>
      </c>
      <c r="AM33" s="38">
        <f t="shared" si="80"/>
        <v>0</v>
      </c>
      <c r="AN33" s="40">
        <f t="shared" si="81"/>
        <v>185206.60096000001</v>
      </c>
    </row>
    <row r="34" spans="1:40" x14ac:dyDescent="0.45">
      <c r="A34" s="1" t="s">
        <v>87</v>
      </c>
      <c r="B34" s="1">
        <v>70000</v>
      </c>
      <c r="C34" s="258" t="s">
        <v>65</v>
      </c>
      <c r="D34" s="258" t="s">
        <v>65</v>
      </c>
      <c r="E34" s="1">
        <v>0</v>
      </c>
      <c r="F34" s="34" t="s">
        <v>88</v>
      </c>
      <c r="G34" s="601">
        <v>1</v>
      </c>
      <c r="H34" s="37">
        <f>22500/12</f>
        <v>1875</v>
      </c>
      <c r="I34" s="1">
        <v>6</v>
      </c>
      <c r="J34" s="1" t="s">
        <v>59</v>
      </c>
      <c r="K34" s="37">
        <f t="shared" ref="K34:K35" si="82">I34*H34*G34</f>
        <v>11250</v>
      </c>
      <c r="L34" s="38">
        <v>0</v>
      </c>
      <c r="M34" s="39">
        <f t="shared" ref="M34:M35" si="83">SUM(K34:L34)</f>
        <v>11250</v>
      </c>
      <c r="N34" s="601">
        <v>1</v>
      </c>
      <c r="O34" s="38">
        <f t="shared" ref="O34:O35" si="84">H34*$G$8</f>
        <v>1950</v>
      </c>
      <c r="P34" s="1">
        <v>12</v>
      </c>
      <c r="Q34" s="37">
        <f t="shared" ref="Q34:Q35" si="85">O34*P34*N34</f>
        <v>23400</v>
      </c>
      <c r="R34" s="38">
        <v>0</v>
      </c>
      <c r="S34" s="39">
        <f t="shared" ref="S34:S35" si="86">SUM(Q34:R34)</f>
        <v>23400</v>
      </c>
      <c r="T34" s="601">
        <v>1</v>
      </c>
      <c r="U34" s="38">
        <f t="shared" ref="U34:U35" si="87">H34*$G$8*$G$8</f>
        <v>2028</v>
      </c>
      <c r="V34" s="1">
        <v>12</v>
      </c>
      <c r="W34" s="37">
        <f t="shared" ref="W34:W35" si="88">V34*U34*T34</f>
        <v>24336</v>
      </c>
      <c r="X34" s="38">
        <v>0</v>
      </c>
      <c r="Y34" s="39">
        <f t="shared" ref="Y34:Y35" si="89">SUM(W34:X34)</f>
        <v>24336</v>
      </c>
      <c r="Z34" s="601">
        <v>1</v>
      </c>
      <c r="AA34" s="38">
        <f t="shared" ref="AA34:AA35" si="90">H34*$G$8*$G$8*$G$8</f>
        <v>2109.12</v>
      </c>
      <c r="AB34" s="1">
        <v>12</v>
      </c>
      <c r="AC34" s="37">
        <f t="shared" ref="AC34:AC35" si="91">AB34*AA34*Z34</f>
        <v>25309.439999999999</v>
      </c>
      <c r="AD34" s="38">
        <v>0</v>
      </c>
      <c r="AE34" s="39">
        <f t="shared" ref="AE34:AE35" si="92">SUM(AC34:AD34)</f>
        <v>25309.439999999999</v>
      </c>
      <c r="AF34" s="601">
        <v>1</v>
      </c>
      <c r="AG34" s="38">
        <f t="shared" ref="AG34:AG35" si="93">H34*$G$8*$G$8*$G$8*$G$8</f>
        <v>2193.4848000000002</v>
      </c>
      <c r="AH34" s="1">
        <v>9</v>
      </c>
      <c r="AI34" s="37">
        <f t="shared" ref="AI34:AI35" si="94">AH34*AG34*AF34</f>
        <v>19741.3632</v>
      </c>
      <c r="AJ34" s="38">
        <v>0</v>
      </c>
      <c r="AK34" s="38">
        <f t="shared" ref="AK34:AK35" si="95">SUM(AI34:AJ34)</f>
        <v>19741.3632</v>
      </c>
      <c r="AL34" s="40">
        <f t="shared" ref="AL34:AL35" si="96">K34+Q34+W34+AC34+AI34</f>
        <v>104036.80319999999</v>
      </c>
      <c r="AM34" s="38">
        <f t="shared" ref="AM34:AM35" si="97">L34+R34+X34+AD34+AJ34</f>
        <v>0</v>
      </c>
      <c r="AN34" s="40">
        <f t="shared" ref="AN34:AN35" si="98">SUM(AL34:AM34)</f>
        <v>104036.80319999999</v>
      </c>
    </row>
    <row r="35" spans="1:40" s="610" customFormat="1" x14ac:dyDescent="0.45">
      <c r="A35" s="1" t="s">
        <v>89</v>
      </c>
      <c r="B35" s="1">
        <v>70000</v>
      </c>
      <c r="C35" s="258" t="s">
        <v>65</v>
      </c>
      <c r="D35" s="258" t="s">
        <v>65</v>
      </c>
      <c r="E35" s="1">
        <v>0</v>
      </c>
      <c r="F35" s="34" t="s">
        <v>90</v>
      </c>
      <c r="G35" s="601">
        <v>1</v>
      </c>
      <c r="H35" s="37">
        <f>22500/12</f>
        <v>1875</v>
      </c>
      <c r="I35" s="1">
        <v>6</v>
      </c>
      <c r="J35" s="1" t="s">
        <v>59</v>
      </c>
      <c r="K35" s="37">
        <f t="shared" si="82"/>
        <v>11250</v>
      </c>
      <c r="L35" s="38">
        <v>0</v>
      </c>
      <c r="M35" s="39">
        <f t="shared" si="83"/>
        <v>11250</v>
      </c>
      <c r="N35" s="601">
        <v>1</v>
      </c>
      <c r="O35" s="38">
        <f t="shared" si="84"/>
        <v>1950</v>
      </c>
      <c r="P35" s="1">
        <v>12</v>
      </c>
      <c r="Q35" s="37">
        <f t="shared" si="85"/>
        <v>23400</v>
      </c>
      <c r="R35" s="38">
        <v>0</v>
      </c>
      <c r="S35" s="39">
        <f t="shared" si="86"/>
        <v>23400</v>
      </c>
      <c r="T35" s="601">
        <v>1</v>
      </c>
      <c r="U35" s="38">
        <f t="shared" si="87"/>
        <v>2028</v>
      </c>
      <c r="V35" s="1">
        <v>12</v>
      </c>
      <c r="W35" s="37">
        <f t="shared" si="88"/>
        <v>24336</v>
      </c>
      <c r="X35" s="38">
        <v>0</v>
      </c>
      <c r="Y35" s="39">
        <f t="shared" si="89"/>
        <v>24336</v>
      </c>
      <c r="Z35" s="601">
        <v>1</v>
      </c>
      <c r="AA35" s="38">
        <f t="shared" si="90"/>
        <v>2109.12</v>
      </c>
      <c r="AB35" s="1">
        <v>12</v>
      </c>
      <c r="AC35" s="37">
        <f t="shared" si="91"/>
        <v>25309.439999999999</v>
      </c>
      <c r="AD35" s="38">
        <v>0</v>
      </c>
      <c r="AE35" s="39">
        <f t="shared" si="92"/>
        <v>25309.439999999999</v>
      </c>
      <c r="AF35" s="601">
        <v>1</v>
      </c>
      <c r="AG35" s="38">
        <f t="shared" si="93"/>
        <v>2193.4848000000002</v>
      </c>
      <c r="AH35" s="1">
        <v>9</v>
      </c>
      <c r="AI35" s="37">
        <f t="shared" si="94"/>
        <v>19741.3632</v>
      </c>
      <c r="AJ35" s="38">
        <v>0</v>
      </c>
      <c r="AK35" s="38">
        <f t="shared" si="95"/>
        <v>19741.3632</v>
      </c>
      <c r="AL35" s="40">
        <f t="shared" si="96"/>
        <v>104036.80319999999</v>
      </c>
      <c r="AM35" s="38">
        <f t="shared" si="97"/>
        <v>0</v>
      </c>
      <c r="AN35" s="40">
        <f t="shared" si="98"/>
        <v>104036.80319999999</v>
      </c>
    </row>
    <row r="36" spans="1:40" x14ac:dyDescent="0.45">
      <c r="A36" s="1" t="s">
        <v>91</v>
      </c>
      <c r="B36" s="1">
        <v>70000</v>
      </c>
      <c r="C36" s="258" t="s">
        <v>65</v>
      </c>
      <c r="D36" s="258" t="s">
        <v>65</v>
      </c>
      <c r="E36" s="1">
        <v>0</v>
      </c>
      <c r="F36" s="34" t="s">
        <v>92</v>
      </c>
      <c r="G36" s="601">
        <v>1</v>
      </c>
      <c r="H36" s="37">
        <f>22500/12</f>
        <v>1875</v>
      </c>
      <c r="I36" s="1">
        <v>6</v>
      </c>
      <c r="J36" s="1" t="s">
        <v>59</v>
      </c>
      <c r="K36" s="37">
        <f t="shared" ref="K36" si="99">I36*H36*G36</f>
        <v>11250</v>
      </c>
      <c r="L36" s="38">
        <v>0</v>
      </c>
      <c r="M36" s="39">
        <f t="shared" ref="M36" si="100">SUM(K36:L36)</f>
        <v>11250</v>
      </c>
      <c r="N36" s="601">
        <v>1</v>
      </c>
      <c r="O36" s="38">
        <f t="shared" ref="O36" si="101">H36*$G$8</f>
        <v>1950</v>
      </c>
      <c r="P36" s="1">
        <v>12</v>
      </c>
      <c r="Q36" s="37">
        <f t="shared" ref="Q36" si="102">O36*P36*N36</f>
        <v>23400</v>
      </c>
      <c r="R36" s="38">
        <v>0</v>
      </c>
      <c r="S36" s="39">
        <f t="shared" ref="S36" si="103">SUM(Q36:R36)</f>
        <v>23400</v>
      </c>
      <c r="T36" s="601">
        <v>1</v>
      </c>
      <c r="U36" s="38">
        <f t="shared" ref="U36" si="104">H36*$G$8*$G$8</f>
        <v>2028</v>
      </c>
      <c r="V36" s="1">
        <v>12</v>
      </c>
      <c r="W36" s="37">
        <f t="shared" ref="W36" si="105">V36*U36*T36</f>
        <v>24336</v>
      </c>
      <c r="X36" s="38">
        <v>0</v>
      </c>
      <c r="Y36" s="39">
        <f t="shared" ref="Y36" si="106">SUM(W36:X36)</f>
        <v>24336</v>
      </c>
      <c r="Z36" s="601">
        <v>1</v>
      </c>
      <c r="AA36" s="38">
        <f t="shared" ref="AA36" si="107">H36*$G$8*$G$8*$G$8</f>
        <v>2109.12</v>
      </c>
      <c r="AB36" s="1">
        <v>12</v>
      </c>
      <c r="AC36" s="37">
        <f t="shared" ref="AC36" si="108">AB36*AA36*Z36</f>
        <v>25309.439999999999</v>
      </c>
      <c r="AD36" s="38">
        <v>0</v>
      </c>
      <c r="AE36" s="39">
        <f t="shared" ref="AE36" si="109">SUM(AC36:AD36)</f>
        <v>25309.439999999999</v>
      </c>
      <c r="AF36" s="601">
        <v>1</v>
      </c>
      <c r="AG36" s="38">
        <f t="shared" ref="AG36" si="110">H36*$G$8*$G$8*$G$8*$G$8</f>
        <v>2193.4848000000002</v>
      </c>
      <c r="AH36" s="1">
        <v>9</v>
      </c>
      <c r="AI36" s="37">
        <f t="shared" ref="AI36" si="111">AH36*AG36*AF36</f>
        <v>19741.3632</v>
      </c>
      <c r="AJ36" s="38">
        <v>0</v>
      </c>
      <c r="AK36" s="38">
        <f t="shared" ref="AK36" si="112">SUM(AI36:AJ36)</f>
        <v>19741.3632</v>
      </c>
      <c r="AL36" s="40">
        <f t="shared" ref="AL36" si="113">K36+Q36+W36+AC36+AI36</f>
        <v>104036.80319999999</v>
      </c>
      <c r="AM36" s="38">
        <f t="shared" ref="AM36" si="114">L36+R36+X36+AD36+AJ36</f>
        <v>0</v>
      </c>
      <c r="AN36" s="40">
        <f t="shared" ref="AN36" si="115">SUM(AL36:AM36)</f>
        <v>104036.80319999999</v>
      </c>
    </row>
    <row r="37" spans="1:40" s="10" customFormat="1" x14ac:dyDescent="0.45">
      <c r="A37" s="1"/>
      <c r="B37" s="1"/>
      <c r="C37" s="1"/>
      <c r="D37" s="1"/>
      <c r="E37" s="1"/>
      <c r="F37" s="41" t="s">
        <v>93</v>
      </c>
      <c r="G37" s="128"/>
      <c r="H37" s="129"/>
      <c r="I37" s="1"/>
      <c r="J37" s="129"/>
      <c r="K37" s="42">
        <f>SUM(K23:K36)</f>
        <v>585541.66666666674</v>
      </c>
      <c r="L37" s="43">
        <f>SUM(L23:L36)</f>
        <v>0</v>
      </c>
      <c r="M37" s="44">
        <f>SUM(M23:M36)</f>
        <v>585541.66666666674</v>
      </c>
      <c r="N37" s="128"/>
      <c r="O37" s="129"/>
      <c r="P37" s="129"/>
      <c r="Q37" s="42">
        <f>SUM(Q23:Q36)</f>
        <v>690560</v>
      </c>
      <c r="R37" s="42">
        <f>SUM(R23:R36)</f>
        <v>0</v>
      </c>
      <c r="S37" s="42">
        <f>SUM(S23:S36)</f>
        <v>690560</v>
      </c>
      <c r="T37" s="128"/>
      <c r="U37" s="129"/>
      <c r="V37" s="129"/>
      <c r="W37" s="42">
        <f>SUM(W23:W36)</f>
        <v>718182.40000000002</v>
      </c>
      <c r="X37" s="43">
        <f>SUM(X23:X36)</f>
        <v>0</v>
      </c>
      <c r="Y37" s="44">
        <f>SUM(Y23:Y36)</f>
        <v>718182.40000000002</v>
      </c>
      <c r="Z37" s="128"/>
      <c r="AA37" s="129"/>
      <c r="AB37" s="129"/>
      <c r="AC37" s="42">
        <f>SUM(AC23:AC36)</f>
        <v>746909.696</v>
      </c>
      <c r="AD37" s="43">
        <f>SUM(AD23:AD36)</f>
        <v>0</v>
      </c>
      <c r="AE37" s="44">
        <f>SUM(AE23:AE36)</f>
        <v>746909.696</v>
      </c>
      <c r="AF37" s="128"/>
      <c r="AG37" s="129"/>
      <c r="AH37" s="129"/>
      <c r="AI37" s="42">
        <f>SUM(AI23:AI36)</f>
        <v>718683.10869333346</v>
      </c>
      <c r="AJ37" s="43">
        <f>SUM(AJ23:AJ36)</f>
        <v>0</v>
      </c>
      <c r="AK37" s="43">
        <f>SUM(AK23:AK36)</f>
        <v>718683.10869333346</v>
      </c>
      <c r="AL37" s="45">
        <f>K37+Q37+W37+AC37+AI37</f>
        <v>3459876.8713600002</v>
      </c>
      <c r="AM37" s="43">
        <f>L37+R37+X37+AD37+AJ37</f>
        <v>0</v>
      </c>
      <c r="AN37" s="45">
        <f>SUM(AL37:AM37)</f>
        <v>3459876.8713600002</v>
      </c>
    </row>
    <row r="38" spans="1:40" x14ac:dyDescent="0.45">
      <c r="A38" s="132"/>
      <c r="B38" s="132"/>
      <c r="C38" s="132"/>
      <c r="D38" s="132"/>
      <c r="E38" s="132"/>
      <c r="F38" s="48"/>
      <c r="G38" s="124"/>
      <c r="H38" s="132"/>
      <c r="I38" s="132"/>
      <c r="J38" s="132"/>
      <c r="K38" s="37"/>
      <c r="L38" s="38"/>
      <c r="M38" s="39"/>
      <c r="N38" s="124"/>
      <c r="O38" s="132"/>
      <c r="P38" s="132"/>
      <c r="Q38" s="37"/>
      <c r="R38" s="38"/>
      <c r="S38" s="39"/>
      <c r="T38" s="124"/>
      <c r="U38" s="132"/>
      <c r="V38" s="132"/>
      <c r="W38" s="37"/>
      <c r="X38" s="38"/>
      <c r="Y38" s="39"/>
      <c r="Z38" s="124"/>
      <c r="AA38" s="132"/>
      <c r="AB38" s="132"/>
      <c r="AC38" s="37"/>
      <c r="AD38" s="38"/>
      <c r="AE38" s="39"/>
      <c r="AF38" s="124"/>
      <c r="AG38" s="132"/>
      <c r="AH38" s="132"/>
      <c r="AI38" s="37"/>
      <c r="AJ38" s="38"/>
      <c r="AK38" s="38"/>
      <c r="AL38" s="40"/>
      <c r="AM38" s="38"/>
      <c r="AN38" s="40"/>
    </row>
    <row r="39" spans="1:40" x14ac:dyDescent="0.45">
      <c r="A39" s="134"/>
      <c r="B39" s="134"/>
      <c r="C39" s="134"/>
      <c r="D39" s="134"/>
      <c r="E39" s="134"/>
      <c r="F39" s="49" t="s">
        <v>94</v>
      </c>
      <c r="G39" s="133"/>
      <c r="H39" s="134"/>
      <c r="I39" s="134"/>
      <c r="J39" s="134"/>
      <c r="K39" s="50">
        <f>K37+K20</f>
        <v>757570.26666666672</v>
      </c>
      <c r="L39" s="50">
        <f>L37+L20</f>
        <v>0</v>
      </c>
      <c r="M39" s="50">
        <f>M37+M20</f>
        <v>757570.26666666672</v>
      </c>
      <c r="N39" s="133"/>
      <c r="O39" s="134"/>
      <c r="P39" s="134"/>
      <c r="Q39" s="50">
        <f>Q37+Q20</f>
        <v>869469.74399999995</v>
      </c>
      <c r="R39" s="50">
        <f>R37+R20</f>
        <v>0</v>
      </c>
      <c r="S39" s="50">
        <f>S37+S20</f>
        <v>869469.74399999995</v>
      </c>
      <c r="T39" s="133"/>
      <c r="U39" s="134"/>
      <c r="V39" s="134"/>
      <c r="W39" s="50">
        <f>W37+W20</f>
        <v>904248.53376000002</v>
      </c>
      <c r="X39" s="50">
        <f>X37+X20</f>
        <v>0</v>
      </c>
      <c r="Y39" s="50">
        <f>Y37+Y20</f>
        <v>904248.53376000002</v>
      </c>
      <c r="Z39" s="133"/>
      <c r="AA39" s="134"/>
      <c r="AB39" s="134"/>
      <c r="AC39" s="50">
        <f>AC37+AC20</f>
        <v>940418.4751104</v>
      </c>
      <c r="AD39" s="50">
        <f>AD37+AD20</f>
        <v>0</v>
      </c>
      <c r="AE39" s="50">
        <f>AE37+AE20</f>
        <v>940418.4751104</v>
      </c>
      <c r="AF39" s="50"/>
      <c r="AG39" s="134"/>
      <c r="AH39" s="134"/>
      <c r="AI39" s="50">
        <f t="shared" ref="AI39:AN39" si="116">AI37+AI20</f>
        <v>919932.23896814953</v>
      </c>
      <c r="AJ39" s="50">
        <f t="shared" si="116"/>
        <v>0</v>
      </c>
      <c r="AK39" s="50">
        <f t="shared" si="116"/>
        <v>919932.23896814953</v>
      </c>
      <c r="AL39" s="71">
        <f t="shared" si="116"/>
        <v>4391639.2585052159</v>
      </c>
      <c r="AM39" s="544">
        <f t="shared" si="116"/>
        <v>0</v>
      </c>
      <c r="AN39" s="71">
        <f t="shared" si="116"/>
        <v>4391639.2585052159</v>
      </c>
    </row>
    <row r="40" spans="1:40" x14ac:dyDescent="0.45">
      <c r="A40" s="136"/>
      <c r="B40" s="136"/>
      <c r="C40" s="136"/>
      <c r="D40" s="136"/>
      <c r="E40" s="136"/>
      <c r="F40" s="51"/>
      <c r="G40" s="135"/>
      <c r="H40" s="136"/>
      <c r="I40" s="136"/>
      <c r="J40" s="136"/>
      <c r="K40" s="52"/>
      <c r="L40" s="53"/>
      <c r="M40" s="54"/>
      <c r="N40" s="135"/>
      <c r="O40" s="136"/>
      <c r="P40" s="136"/>
      <c r="Q40" s="52"/>
      <c r="R40" s="53"/>
      <c r="S40" s="54"/>
      <c r="T40" s="135"/>
      <c r="U40" s="136"/>
      <c r="V40" s="136"/>
      <c r="W40" s="52"/>
      <c r="X40" s="53"/>
      <c r="Y40" s="54"/>
      <c r="Z40" s="135"/>
      <c r="AA40" s="136"/>
      <c r="AB40" s="136"/>
      <c r="AC40" s="52"/>
      <c r="AD40" s="53"/>
      <c r="AE40" s="54"/>
      <c r="AF40" s="135"/>
      <c r="AG40" s="136"/>
      <c r="AH40" s="136"/>
      <c r="AI40" s="52"/>
      <c r="AJ40" s="53"/>
      <c r="AK40" s="53"/>
      <c r="AL40" s="55"/>
      <c r="AM40" s="53"/>
      <c r="AN40" s="55"/>
    </row>
    <row r="41" spans="1:40" x14ac:dyDescent="0.45">
      <c r="A41" s="138"/>
      <c r="B41" s="138"/>
      <c r="C41" s="138"/>
      <c r="D41" s="138"/>
      <c r="E41" s="138"/>
      <c r="F41" s="56" t="s">
        <v>14</v>
      </c>
      <c r="G41" s="137"/>
      <c r="H41" s="138"/>
      <c r="I41" s="138"/>
      <c r="J41" s="138"/>
      <c r="K41" s="57"/>
      <c r="L41" s="58"/>
      <c r="M41" s="59"/>
      <c r="N41" s="137"/>
      <c r="O41" s="138"/>
      <c r="P41" s="138"/>
      <c r="Q41" s="57"/>
      <c r="R41" s="58"/>
      <c r="S41" s="59"/>
      <c r="T41" s="137"/>
      <c r="U41" s="138"/>
      <c r="V41" s="138"/>
      <c r="W41" s="57"/>
      <c r="X41" s="58"/>
      <c r="Y41" s="59"/>
      <c r="Z41" s="137"/>
      <c r="AA41" s="138"/>
      <c r="AB41" s="138"/>
      <c r="AC41" s="57"/>
      <c r="AD41" s="58"/>
      <c r="AE41" s="59"/>
      <c r="AF41" s="137"/>
      <c r="AG41" s="138"/>
      <c r="AH41" s="138"/>
      <c r="AI41" s="57"/>
      <c r="AJ41" s="58"/>
      <c r="AK41" s="58"/>
      <c r="AL41" s="60"/>
      <c r="AM41" s="58"/>
      <c r="AN41" s="60"/>
    </row>
    <row r="42" spans="1:40" x14ac:dyDescent="0.45">
      <c r="A42" s="125"/>
      <c r="B42" s="125"/>
      <c r="C42" s="125"/>
      <c r="D42" s="125"/>
      <c r="E42" s="125"/>
      <c r="F42" s="73" t="s">
        <v>95</v>
      </c>
      <c r="G42" s="124" t="s">
        <v>54</v>
      </c>
      <c r="H42" s="125"/>
      <c r="I42" s="125"/>
      <c r="J42" s="125"/>
      <c r="K42" s="30"/>
      <c r="L42" s="31"/>
      <c r="M42" s="32"/>
      <c r="N42" s="126"/>
      <c r="O42" s="125"/>
      <c r="P42" s="125"/>
      <c r="Q42" s="30"/>
      <c r="R42" s="31"/>
      <c r="S42" s="32"/>
      <c r="T42" s="547"/>
      <c r="U42" s="125"/>
      <c r="V42" s="125"/>
      <c r="W42" s="30"/>
      <c r="X42" s="31"/>
      <c r="Y42" s="32"/>
      <c r="Z42" s="126"/>
      <c r="AA42" s="125"/>
      <c r="AB42" s="125"/>
      <c r="AC42" s="30"/>
      <c r="AD42" s="31"/>
      <c r="AE42" s="32"/>
      <c r="AF42" s="128"/>
      <c r="AG42" s="129"/>
      <c r="AH42" s="125"/>
      <c r="AI42" s="30"/>
      <c r="AJ42" s="31"/>
      <c r="AK42" s="31"/>
      <c r="AL42" s="33"/>
      <c r="AM42" s="31"/>
      <c r="AN42" s="33"/>
    </row>
    <row r="43" spans="1:40" x14ac:dyDescent="0.45">
      <c r="A43" s="1" t="s">
        <v>96</v>
      </c>
      <c r="B43" s="1">
        <v>50900</v>
      </c>
      <c r="C43" s="1" t="s">
        <v>57</v>
      </c>
      <c r="D43" s="1" t="s">
        <v>57</v>
      </c>
      <c r="E43" s="1">
        <v>0</v>
      </c>
      <c r="F43" s="65" t="s">
        <v>97</v>
      </c>
      <c r="G43" s="139">
        <v>0.21809999999999999</v>
      </c>
      <c r="H43" s="38"/>
      <c r="K43" s="37">
        <f>(K20+K23)*$G$43</f>
        <v>66962.937659999996</v>
      </c>
      <c r="L43" s="38">
        <v>0</v>
      </c>
      <c r="M43" s="39">
        <f t="shared" ref="M43" si="117">SUM(K43:L43)</f>
        <v>66962.937659999996</v>
      </c>
      <c r="N43" s="128"/>
      <c r="O43" s="129"/>
      <c r="Q43" s="37">
        <f>(Q20+Q23)*$G$43</f>
        <v>69641.455166400003</v>
      </c>
      <c r="R43" s="38">
        <v>0</v>
      </c>
      <c r="S43" s="39">
        <f t="shared" ref="S43:S49" si="118">SUM(Q43:R43)</f>
        <v>69641.455166400003</v>
      </c>
      <c r="T43" s="128"/>
      <c r="U43" s="129"/>
      <c r="W43" s="37">
        <f>(W20+W23)*$G$43</f>
        <v>72427.113373055996</v>
      </c>
      <c r="X43" s="38">
        <v>0</v>
      </c>
      <c r="Y43" s="39">
        <f t="shared" ref="Y43:Y49" si="119">SUM(W43:X43)</f>
        <v>72427.113373055996</v>
      </c>
      <c r="Z43" s="128"/>
      <c r="AA43" s="129"/>
      <c r="AC43" s="37">
        <f>(AC20+AC23)*$G$43</f>
        <v>75324.197907978247</v>
      </c>
      <c r="AD43" s="38">
        <v>0</v>
      </c>
      <c r="AE43" s="39">
        <f t="shared" ref="AE43:AE50" si="120">SUM(AC43:AD43)</f>
        <v>75324.197907978247</v>
      </c>
      <c r="AF43" s="128"/>
      <c r="AG43" s="129"/>
      <c r="AI43" s="37">
        <f>(AI20+AI23)*$G$43</f>
        <v>78337.165824297364</v>
      </c>
      <c r="AJ43" s="38">
        <v>0</v>
      </c>
      <c r="AK43" s="38">
        <f t="shared" ref="AK43:AK49" si="121">SUM(AI43:AJ43)</f>
        <v>78337.165824297364</v>
      </c>
      <c r="AL43" s="40">
        <f>K43+Q43+W43+AC43+AI43</f>
        <v>362692.86993173161</v>
      </c>
      <c r="AM43" s="38">
        <f>L43+R43+X43+AD43+AJ43</f>
        <v>0</v>
      </c>
      <c r="AN43" s="40">
        <f>SUM(AL43:AM43)</f>
        <v>362692.86993173161</v>
      </c>
    </row>
    <row r="44" spans="1:40" s="10" customFormat="1" ht="12.3" x14ac:dyDescent="0.4">
      <c r="A44" s="129"/>
      <c r="B44" s="129"/>
      <c r="C44" s="129"/>
      <c r="D44" s="129"/>
      <c r="E44" s="129"/>
      <c r="F44" s="41" t="s">
        <v>98</v>
      </c>
      <c r="G44" s="128"/>
      <c r="H44" s="129"/>
      <c r="I44" s="129"/>
      <c r="J44" s="129"/>
      <c r="K44" s="42">
        <f>SUM(K43)</f>
        <v>66962.937659999996</v>
      </c>
      <c r="L44" s="42">
        <f>SUM(L43)</f>
        <v>0</v>
      </c>
      <c r="M44" s="42">
        <f>SUM(M43)</f>
        <v>66962.937659999996</v>
      </c>
      <c r="N44" s="128"/>
      <c r="O44" s="129"/>
      <c r="P44" s="129"/>
      <c r="Q44" s="42">
        <f>SUM(Q43)</f>
        <v>69641.455166400003</v>
      </c>
      <c r="R44" s="42">
        <f>SUM(R43)</f>
        <v>0</v>
      </c>
      <c r="S44" s="42">
        <f>SUM(S43)</f>
        <v>69641.455166400003</v>
      </c>
      <c r="T44" s="128"/>
      <c r="U44" s="129"/>
      <c r="V44" s="129"/>
      <c r="W44" s="42">
        <f>SUM(W43)</f>
        <v>72427.113373055996</v>
      </c>
      <c r="X44" s="42">
        <f>SUM(X43)</f>
        <v>0</v>
      </c>
      <c r="Y44" s="42">
        <f>SUM(Y43)</f>
        <v>72427.113373055996</v>
      </c>
      <c r="Z44" s="128"/>
      <c r="AA44" s="129"/>
      <c r="AB44" s="129"/>
      <c r="AC44" s="42">
        <f>SUM(AC43)</f>
        <v>75324.197907978247</v>
      </c>
      <c r="AD44" s="42">
        <f>SUM(AD43)</f>
        <v>0</v>
      </c>
      <c r="AE44" s="42">
        <f>SUM(AE43)</f>
        <v>75324.197907978247</v>
      </c>
      <c r="AF44" s="128"/>
      <c r="AG44" s="129"/>
      <c r="AH44" s="129"/>
      <c r="AI44" s="42">
        <f t="shared" ref="AI44:AN44" si="122">SUM(AI43)</f>
        <v>78337.165824297364</v>
      </c>
      <c r="AJ44" s="42">
        <f t="shared" si="122"/>
        <v>0</v>
      </c>
      <c r="AK44" s="42">
        <f t="shared" si="122"/>
        <v>78337.165824297364</v>
      </c>
      <c r="AL44" s="45">
        <f t="shared" si="122"/>
        <v>362692.86993173161</v>
      </c>
      <c r="AM44" s="45">
        <f t="shared" si="122"/>
        <v>0</v>
      </c>
      <c r="AN44" s="45">
        <f t="shared" si="122"/>
        <v>362692.86993173161</v>
      </c>
    </row>
    <row r="45" spans="1:40" x14ac:dyDescent="0.45">
      <c r="F45" s="65"/>
      <c r="G45" s="139"/>
      <c r="H45" s="38"/>
      <c r="K45" s="37"/>
      <c r="L45" s="38"/>
      <c r="M45" s="39"/>
      <c r="N45" s="139"/>
      <c r="O45" s="38"/>
      <c r="Q45" s="37"/>
      <c r="R45" s="38"/>
      <c r="S45" s="39"/>
      <c r="T45" s="139"/>
      <c r="U45" s="38"/>
      <c r="W45" s="37"/>
      <c r="X45" s="38"/>
      <c r="Y45" s="39"/>
      <c r="Z45" s="139"/>
      <c r="AA45" s="38"/>
      <c r="AC45" s="37"/>
      <c r="AD45" s="38"/>
      <c r="AE45" s="39"/>
      <c r="AF45" s="139"/>
      <c r="AG45" s="38"/>
      <c r="AI45" s="37"/>
      <c r="AJ45" s="38"/>
      <c r="AK45" s="38"/>
      <c r="AL45" s="40"/>
      <c r="AM45" s="38"/>
      <c r="AN45" s="40"/>
    </row>
    <row r="46" spans="1:40" x14ac:dyDescent="0.45">
      <c r="A46" s="131"/>
      <c r="B46" s="131"/>
      <c r="C46" s="131"/>
      <c r="D46" s="131"/>
      <c r="E46" s="131"/>
      <c r="F46" s="73" t="s">
        <v>99</v>
      </c>
      <c r="G46" s="130"/>
      <c r="H46" s="38"/>
      <c r="I46" s="131"/>
      <c r="J46" s="131"/>
      <c r="K46" s="37"/>
      <c r="L46" s="38"/>
      <c r="M46" s="39"/>
      <c r="N46" s="130"/>
      <c r="O46" s="131"/>
      <c r="P46" s="131"/>
      <c r="Q46" s="37"/>
      <c r="R46" s="38"/>
      <c r="S46" s="39"/>
      <c r="T46" s="130"/>
      <c r="U46" s="38"/>
      <c r="V46" s="131"/>
      <c r="W46" s="37"/>
      <c r="X46" s="38"/>
      <c r="Y46" s="39"/>
      <c r="Z46" s="130"/>
      <c r="AA46" s="38"/>
      <c r="AB46" s="131"/>
      <c r="AC46" s="37"/>
      <c r="AD46" s="38"/>
      <c r="AE46" s="39"/>
      <c r="AF46" s="130"/>
      <c r="AG46" s="38"/>
      <c r="AH46" s="131"/>
      <c r="AI46" s="37"/>
      <c r="AJ46" s="38"/>
      <c r="AK46" s="38"/>
      <c r="AL46" s="40"/>
      <c r="AM46" s="38"/>
      <c r="AN46" s="40"/>
    </row>
    <row r="47" spans="1:40" x14ac:dyDescent="0.45">
      <c r="A47" s="1" t="s">
        <v>100</v>
      </c>
      <c r="B47" s="1">
        <v>70015</v>
      </c>
      <c r="C47" s="1" t="s">
        <v>57</v>
      </c>
      <c r="D47" s="1" t="s">
        <v>57</v>
      </c>
      <c r="E47" s="1">
        <v>0</v>
      </c>
      <c r="F47" s="65" t="s">
        <v>101</v>
      </c>
      <c r="G47" s="607">
        <v>0.53864000000000001</v>
      </c>
      <c r="H47" s="38"/>
      <c r="K47" s="37">
        <f>(K24+K25+K26+K27+K30+K31+K32+K33)*$G$47</f>
        <v>210024.71333333332</v>
      </c>
      <c r="L47" s="38">
        <v>0</v>
      </c>
      <c r="M47" s="39">
        <f>SUM(K47:L47)</f>
        <v>210024.71333333332</v>
      </c>
      <c r="N47" s="140"/>
      <c r="O47" s="38"/>
      <c r="Q47" s="37">
        <f>(Q24+Q25+Q26+Q27+Q30+Q31+Q32+Q33)*$G$47</f>
        <v>237518.69440000001</v>
      </c>
      <c r="R47" s="38">
        <v>0</v>
      </c>
      <c r="S47" s="39">
        <f t="shared" ref="S47" si="123">SUM(Q47:R47)</f>
        <v>237518.69440000001</v>
      </c>
      <c r="T47" s="140"/>
      <c r="U47" s="38"/>
      <c r="W47" s="37">
        <f>(W24+W25+W26+W27+W30+W31+W32+W33)*$G$47</f>
        <v>247019.44217600001</v>
      </c>
      <c r="X47" s="38">
        <v>0</v>
      </c>
      <c r="Y47" s="39">
        <f t="shared" ref="Y47" si="124">SUM(W47:X47)</f>
        <v>247019.44217600001</v>
      </c>
      <c r="Z47" s="140"/>
      <c r="AA47" s="38"/>
      <c r="AC47" s="37">
        <f>(AC24+AC25+AC26+AC27+AC30+AC31+AC32+AC33)*$G$47</f>
        <v>256900.21986303997</v>
      </c>
      <c r="AD47" s="38">
        <v>0</v>
      </c>
      <c r="AE47" s="39">
        <f t="shared" ref="AE47" si="125">SUM(AC47:AD47)</f>
        <v>256900.21986303997</v>
      </c>
      <c r="AF47" s="140"/>
      <c r="AG47" s="38"/>
      <c r="AI47" s="37">
        <f>(AI24+AI25+AI26+AI27+AI30+AI31+AI32+AI33)*$G$47</f>
        <v>253208.2890304171</v>
      </c>
      <c r="AJ47" s="38">
        <v>0</v>
      </c>
      <c r="AK47" s="38">
        <f t="shared" ref="AK47" si="126">SUM(AI47:AJ47)</f>
        <v>253208.2890304171</v>
      </c>
      <c r="AL47" s="40">
        <f t="shared" ref="AL47" si="127">K47+Q47+W47+AC47+AI47</f>
        <v>1204671.3588027903</v>
      </c>
      <c r="AM47" s="38">
        <f t="shared" ref="AM47" si="128">L47+R47+X47+AD47+AJ47</f>
        <v>0</v>
      </c>
      <c r="AN47" s="40">
        <f t="shared" ref="AN47" si="129">SUM(AL47:AM47)</f>
        <v>1204671.3588027903</v>
      </c>
    </row>
    <row r="48" spans="1:40" x14ac:dyDescent="0.45">
      <c r="A48" s="1" t="s">
        <v>100</v>
      </c>
      <c r="B48" s="1">
        <v>70015</v>
      </c>
      <c r="C48" s="1" t="s">
        <v>57</v>
      </c>
      <c r="D48" s="1" t="s">
        <v>57</v>
      </c>
      <c r="E48" s="1">
        <v>0</v>
      </c>
      <c r="F48" s="65" t="s">
        <v>102</v>
      </c>
      <c r="G48" s="607">
        <v>0.40364</v>
      </c>
      <c r="H48" s="38"/>
      <c r="K48" s="37">
        <f>(K28+K29+K34+K35+K36)*$G$48</f>
        <v>24470.674999999999</v>
      </c>
      <c r="L48" s="38">
        <v>0</v>
      </c>
      <c r="M48" s="39">
        <f>SUM(K48:L48)</f>
        <v>24470.674999999999</v>
      </c>
      <c r="N48" s="140"/>
      <c r="O48" s="38"/>
      <c r="Q48" s="37">
        <f>(Q28+Q29+Q34+Q35+Q36)*$G$48</f>
        <v>44077.487999999998</v>
      </c>
      <c r="R48" s="38">
        <v>0</v>
      </c>
      <c r="S48" s="39">
        <f t="shared" si="118"/>
        <v>44077.487999999998</v>
      </c>
      <c r="T48" s="140"/>
      <c r="U48" s="38"/>
      <c r="W48" s="37">
        <f>(W28+W29+W34+W35+W36)*$G$48</f>
        <v>45840.587520000001</v>
      </c>
      <c r="X48" s="38">
        <v>0</v>
      </c>
      <c r="Y48" s="39">
        <f t="shared" si="119"/>
        <v>45840.587520000001</v>
      </c>
      <c r="Z48" s="140"/>
      <c r="AA48" s="38"/>
      <c r="AC48" s="37">
        <f>(AC28+AC29+AC34+AC35+AC36)*$G$48</f>
        <v>47674.211020800001</v>
      </c>
      <c r="AD48" s="38">
        <v>0</v>
      </c>
      <c r="AE48" s="39">
        <f t="shared" si="120"/>
        <v>47674.211020800001</v>
      </c>
      <c r="AF48" s="140"/>
      <c r="AG48" s="38"/>
      <c r="AI48" s="37">
        <f>(AI28+AI29+AI34+AI35+AI36)*$G$48</f>
        <v>36595.632459775996</v>
      </c>
      <c r="AJ48" s="38">
        <v>0</v>
      </c>
      <c r="AK48" s="38">
        <f t="shared" si="121"/>
        <v>36595.632459775996</v>
      </c>
      <c r="AL48" s="40">
        <f t="shared" ref="AL48:AM48" si="130">K48+Q48+W48+AC48+AI48</f>
        <v>198658.59400057601</v>
      </c>
      <c r="AM48" s="38">
        <f t="shared" si="130"/>
        <v>0</v>
      </c>
      <c r="AN48" s="40">
        <f t="shared" ref="AN48:AN49" si="131">SUM(AL48:AM48)</f>
        <v>198658.59400057601</v>
      </c>
    </row>
    <row r="49" spans="1:44" x14ac:dyDescent="0.45">
      <c r="A49" s="1" t="s">
        <v>103</v>
      </c>
      <c r="B49" s="1">
        <v>50202</v>
      </c>
      <c r="C49" s="258" t="s">
        <v>65</v>
      </c>
      <c r="D49" s="258" t="s">
        <v>65</v>
      </c>
      <c r="E49" s="1">
        <v>0</v>
      </c>
      <c r="F49" s="65" t="s">
        <v>104</v>
      </c>
      <c r="G49" s="139">
        <v>0.1</v>
      </c>
      <c r="H49" s="38"/>
      <c r="K49" s="37">
        <f>$G$49*K23</f>
        <v>13500</v>
      </c>
      <c r="L49" s="38">
        <v>0</v>
      </c>
      <c r="M49" s="39">
        <f t="shared" ref="M49" si="132">SUM(K49:L49)</f>
        <v>13500</v>
      </c>
      <c r="N49" s="140"/>
      <c r="O49" s="38"/>
      <c r="Q49" s="37">
        <f>$G$49*Q23</f>
        <v>14040</v>
      </c>
      <c r="R49" s="38">
        <v>0</v>
      </c>
      <c r="S49" s="39">
        <f t="shared" si="118"/>
        <v>14040</v>
      </c>
      <c r="T49" s="140"/>
      <c r="U49" s="38"/>
      <c r="W49" s="37">
        <f>$G$49*W23</f>
        <v>14601.6</v>
      </c>
      <c r="X49" s="38">
        <v>0</v>
      </c>
      <c r="Y49" s="39">
        <f t="shared" si="119"/>
        <v>14601.6</v>
      </c>
      <c r="Z49" s="140"/>
      <c r="AA49" s="38"/>
      <c r="AC49" s="37">
        <f>$G$49*AC23</f>
        <v>15185.664000000002</v>
      </c>
      <c r="AD49" s="38">
        <v>0</v>
      </c>
      <c r="AE49" s="39">
        <f t="shared" si="120"/>
        <v>15185.664000000002</v>
      </c>
      <c r="AF49" s="140"/>
      <c r="AG49" s="38"/>
      <c r="AI49" s="37">
        <f>$G$49*AI23</f>
        <v>15793.090560000001</v>
      </c>
      <c r="AJ49" s="38">
        <v>0</v>
      </c>
      <c r="AK49" s="38">
        <f t="shared" si="121"/>
        <v>15793.090560000001</v>
      </c>
      <c r="AL49" s="40">
        <f t="shared" ref="AL49" si="133">K49+Q49+W49+AC49+AI49</f>
        <v>73120.354560000007</v>
      </c>
      <c r="AM49" s="38">
        <f t="shared" ref="AM49" si="134">L49+R49+X49+AD49+AJ49</f>
        <v>0</v>
      </c>
      <c r="AN49" s="40">
        <f t="shared" si="131"/>
        <v>73120.354560000007</v>
      </c>
    </row>
    <row r="50" spans="1:44" x14ac:dyDescent="0.45">
      <c r="A50" s="1" t="s">
        <v>105</v>
      </c>
      <c r="B50" s="1">
        <v>50203</v>
      </c>
      <c r="C50" s="258" t="s">
        <v>65</v>
      </c>
      <c r="D50" s="258" t="s">
        <v>65</v>
      </c>
      <c r="E50" s="1">
        <v>0</v>
      </c>
      <c r="F50" s="65" t="s">
        <v>106</v>
      </c>
      <c r="G50" s="141">
        <v>1</v>
      </c>
      <c r="H50" s="38">
        <v>2800</v>
      </c>
      <c r="I50" s="15">
        <v>12</v>
      </c>
      <c r="J50" s="131" t="s">
        <v>107</v>
      </c>
      <c r="K50" s="37">
        <f>I50*H50*G50</f>
        <v>33600</v>
      </c>
      <c r="L50" s="38">
        <v>0</v>
      </c>
      <c r="M50" s="39">
        <f t="shared" ref="M50" si="135">SUM(K50:L50)</f>
        <v>33600</v>
      </c>
      <c r="N50" s="140">
        <v>1</v>
      </c>
      <c r="O50" s="38">
        <f>H50*$G$7</f>
        <v>2884</v>
      </c>
      <c r="P50" s="1">
        <f>P23</f>
        <v>12</v>
      </c>
      <c r="Q50" s="37">
        <f>P50*O50*N50</f>
        <v>34608</v>
      </c>
      <c r="R50" s="38">
        <v>0</v>
      </c>
      <c r="S50" s="39">
        <f t="shared" ref="S50" si="136">SUM(Q50:R50)</f>
        <v>34608</v>
      </c>
      <c r="T50" s="140">
        <v>1</v>
      </c>
      <c r="U50" s="38">
        <f>H50*$G$7*$G$7</f>
        <v>2970.52</v>
      </c>
      <c r="V50" s="1">
        <v>12</v>
      </c>
      <c r="W50" s="37">
        <f>V50*U50*T50</f>
        <v>35646.239999999998</v>
      </c>
      <c r="X50" s="38">
        <v>0</v>
      </c>
      <c r="Y50" s="39">
        <f t="shared" ref="Y50" si="137">SUM(W50:X50)</f>
        <v>35646.239999999998</v>
      </c>
      <c r="Z50" s="140">
        <v>1</v>
      </c>
      <c r="AA50" s="38">
        <f>H50*$G$7*$G$7*$G$7</f>
        <v>3059.6356000000001</v>
      </c>
      <c r="AB50" s="1">
        <v>12</v>
      </c>
      <c r="AC50" s="37">
        <f>AB50*AA50*Z50</f>
        <v>36715.627200000003</v>
      </c>
      <c r="AD50" s="38">
        <v>0</v>
      </c>
      <c r="AE50" s="39">
        <f t="shared" si="120"/>
        <v>36715.627200000003</v>
      </c>
      <c r="AF50" s="140">
        <v>1</v>
      </c>
      <c r="AG50" s="38">
        <f>H50*$G$7*$G$7*$G$7*$G$7</f>
        <v>3151.4246680000001</v>
      </c>
      <c r="AH50" s="1">
        <v>12</v>
      </c>
      <c r="AI50" s="37">
        <f>AH50*AG50*AF50</f>
        <v>37817.096016000003</v>
      </c>
      <c r="AJ50" s="38">
        <v>0</v>
      </c>
      <c r="AK50" s="38">
        <f t="shared" ref="AK50" si="138">SUM(AI50:AJ50)</f>
        <v>37817.096016000003</v>
      </c>
      <c r="AL50" s="40">
        <f t="shared" ref="AL50" si="139">K50+Q50+W50+AC50+AI50</f>
        <v>178386.96321599997</v>
      </c>
      <c r="AM50" s="38">
        <f t="shared" ref="AM50" si="140">L50+R50+X50+AD50+AJ50</f>
        <v>0</v>
      </c>
      <c r="AN50" s="40">
        <f t="shared" ref="AN50" si="141">SUM(AL50:AM50)</f>
        <v>178386.96321599997</v>
      </c>
    </row>
    <row r="51" spans="1:44" x14ac:dyDescent="0.45">
      <c r="A51" s="1" t="s">
        <v>108</v>
      </c>
      <c r="B51" s="1">
        <v>50205</v>
      </c>
      <c r="C51" s="258" t="s">
        <v>65</v>
      </c>
      <c r="D51" s="258" t="s">
        <v>65</v>
      </c>
      <c r="E51" s="1">
        <v>0</v>
      </c>
      <c r="F51" s="65" t="s">
        <v>109</v>
      </c>
      <c r="G51" s="141">
        <v>1</v>
      </c>
      <c r="H51" s="38">
        <v>20000</v>
      </c>
      <c r="I51" s="15">
        <v>1</v>
      </c>
      <c r="J51" s="131" t="s">
        <v>110</v>
      </c>
      <c r="K51" s="37">
        <f>I51*H51*G51</f>
        <v>20000</v>
      </c>
      <c r="L51" s="38">
        <v>0</v>
      </c>
      <c r="M51" s="39">
        <f>SUM(K51:L51)</f>
        <v>20000</v>
      </c>
      <c r="N51" s="140">
        <v>0</v>
      </c>
      <c r="O51" s="38">
        <f>H51</f>
        <v>20000</v>
      </c>
      <c r="P51" s="1">
        <v>1</v>
      </c>
      <c r="Q51" s="37">
        <f>P51*O51*N51</f>
        <v>0</v>
      </c>
      <c r="R51" s="38">
        <v>0</v>
      </c>
      <c r="S51" s="39">
        <f>SUM(Q51:R51)</f>
        <v>0</v>
      </c>
      <c r="T51" s="140">
        <v>0</v>
      </c>
      <c r="U51" s="38">
        <f>H51</f>
        <v>20000</v>
      </c>
      <c r="V51" s="1">
        <v>1</v>
      </c>
      <c r="W51" s="37">
        <f>V51*U51*T51</f>
        <v>0</v>
      </c>
      <c r="X51" s="38">
        <v>0</v>
      </c>
      <c r="Y51" s="39">
        <f>SUM(W51:X51)</f>
        <v>0</v>
      </c>
      <c r="Z51" s="140">
        <v>0</v>
      </c>
      <c r="AA51" s="38">
        <f>H51</f>
        <v>20000</v>
      </c>
      <c r="AB51" s="1">
        <v>0</v>
      </c>
      <c r="AC51" s="37">
        <f>AB51*AA51*Z51</f>
        <v>0</v>
      </c>
      <c r="AD51" s="38">
        <v>0</v>
      </c>
      <c r="AE51" s="39">
        <f>SUM(AC51:AD51)</f>
        <v>0</v>
      </c>
      <c r="AF51" s="140">
        <v>0</v>
      </c>
      <c r="AG51" s="38">
        <f>H51</f>
        <v>20000</v>
      </c>
      <c r="AH51" s="1">
        <v>0</v>
      </c>
      <c r="AI51" s="37">
        <f>AH51*AG51*AF51</f>
        <v>0</v>
      </c>
      <c r="AJ51" s="38">
        <v>0</v>
      </c>
      <c r="AK51" s="38">
        <f>SUM(AI51:AJ51)</f>
        <v>0</v>
      </c>
      <c r="AL51" s="40">
        <f t="shared" ref="AL51:AM53" si="142">K51+Q51+W51+AC51+AI51</f>
        <v>20000</v>
      </c>
      <c r="AM51" s="38">
        <f t="shared" si="142"/>
        <v>0</v>
      </c>
      <c r="AN51" s="40">
        <f>SUM(AL51:AM51)</f>
        <v>20000</v>
      </c>
    </row>
    <row r="52" spans="1:44" s="610" customFormat="1" x14ac:dyDescent="0.45">
      <c r="A52" s="1" t="s">
        <v>111</v>
      </c>
      <c r="B52" s="1">
        <v>50205</v>
      </c>
      <c r="C52" s="258" t="s">
        <v>65</v>
      </c>
      <c r="D52" s="258" t="s">
        <v>65</v>
      </c>
      <c r="E52" s="1">
        <v>0</v>
      </c>
      <c r="F52" s="65" t="s">
        <v>112</v>
      </c>
      <c r="G52" s="141">
        <v>0</v>
      </c>
      <c r="H52" s="38">
        <v>20000</v>
      </c>
      <c r="I52" s="15">
        <v>0</v>
      </c>
      <c r="J52" s="131" t="s">
        <v>110</v>
      </c>
      <c r="K52" s="37">
        <f>I52*H52*G52</f>
        <v>0</v>
      </c>
      <c r="L52" s="38">
        <v>0</v>
      </c>
      <c r="M52" s="39">
        <f>SUM(K52:L52)</f>
        <v>0</v>
      </c>
      <c r="N52" s="140">
        <v>0</v>
      </c>
      <c r="O52" s="38">
        <f>H52</f>
        <v>20000</v>
      </c>
      <c r="P52" s="1">
        <v>0</v>
      </c>
      <c r="Q52" s="37">
        <f>P52*O52*N52</f>
        <v>0</v>
      </c>
      <c r="R52" s="38">
        <v>0</v>
      </c>
      <c r="S52" s="39">
        <f>SUM(Q52:R52)</f>
        <v>0</v>
      </c>
      <c r="T52" s="140">
        <v>0</v>
      </c>
      <c r="U52" s="38">
        <f>H52</f>
        <v>20000</v>
      </c>
      <c r="V52" s="1">
        <v>0</v>
      </c>
      <c r="W52" s="37">
        <f>V52*U52*T52</f>
        <v>0</v>
      </c>
      <c r="X52" s="38">
        <v>0</v>
      </c>
      <c r="Y52" s="39">
        <f>SUM(W52:X52)</f>
        <v>0</v>
      </c>
      <c r="Z52" s="140">
        <v>0</v>
      </c>
      <c r="AA52" s="38">
        <f>H52</f>
        <v>20000</v>
      </c>
      <c r="AB52" s="1">
        <v>0</v>
      </c>
      <c r="AC52" s="37">
        <f>AB52*AA52*Z52</f>
        <v>0</v>
      </c>
      <c r="AD52" s="38">
        <v>0</v>
      </c>
      <c r="AE52" s="39">
        <f>SUM(AC52:AD52)</f>
        <v>0</v>
      </c>
      <c r="AF52" s="140">
        <v>1</v>
      </c>
      <c r="AG52" s="38">
        <f>H52</f>
        <v>20000</v>
      </c>
      <c r="AH52" s="1">
        <v>1</v>
      </c>
      <c r="AI52" s="37">
        <f>AH52*AG52*AF52</f>
        <v>20000</v>
      </c>
      <c r="AJ52" s="38">
        <v>0</v>
      </c>
      <c r="AK52" s="38">
        <f>SUM(AI52:AJ52)</f>
        <v>20000</v>
      </c>
      <c r="AL52" s="40">
        <f t="shared" si="142"/>
        <v>20000</v>
      </c>
      <c r="AM52" s="38">
        <f t="shared" si="142"/>
        <v>0</v>
      </c>
      <c r="AN52" s="40">
        <f>SUM(AL52:AM52)</f>
        <v>20000</v>
      </c>
    </row>
    <row r="53" spans="1:44" x14ac:dyDescent="0.45">
      <c r="A53" s="1" t="s">
        <v>113</v>
      </c>
      <c r="B53" s="1">
        <v>50204</v>
      </c>
      <c r="C53" s="258" t="s">
        <v>65</v>
      </c>
      <c r="D53" s="258" t="s">
        <v>65</v>
      </c>
      <c r="E53" s="1">
        <v>0</v>
      </c>
      <c r="F53" s="65" t="s">
        <v>114</v>
      </c>
      <c r="G53" s="141">
        <v>2</v>
      </c>
      <c r="H53" s="38">
        <v>800</v>
      </c>
      <c r="I53" s="15">
        <v>12</v>
      </c>
      <c r="J53" s="131" t="s">
        <v>107</v>
      </c>
      <c r="K53" s="37">
        <f>I53*H53*G53</f>
        <v>19200</v>
      </c>
      <c r="L53" s="38">
        <v>0</v>
      </c>
      <c r="M53" s="39">
        <f>SUM(K53:L53)</f>
        <v>19200</v>
      </c>
      <c r="N53" s="140">
        <v>2</v>
      </c>
      <c r="O53" s="38">
        <f>H53*$G$7</f>
        <v>824</v>
      </c>
      <c r="P53" s="1">
        <f>P25</f>
        <v>12</v>
      </c>
      <c r="Q53" s="37">
        <f>P53*O53*N53</f>
        <v>19776</v>
      </c>
      <c r="R53" s="38">
        <v>0</v>
      </c>
      <c r="S53" s="39">
        <f>SUM(Q53:R53)</f>
        <v>19776</v>
      </c>
      <c r="T53" s="140">
        <v>2</v>
      </c>
      <c r="U53" s="38">
        <f>H53*$G$7*$G$7</f>
        <v>848.72</v>
      </c>
      <c r="V53" s="1">
        <v>12</v>
      </c>
      <c r="W53" s="37">
        <f>V53*U53*T53</f>
        <v>20369.28</v>
      </c>
      <c r="X53" s="38">
        <v>0</v>
      </c>
      <c r="Y53" s="39">
        <f>SUM(W53:X53)</f>
        <v>20369.28</v>
      </c>
      <c r="Z53" s="140">
        <v>2</v>
      </c>
      <c r="AA53" s="38">
        <f>H53*$G$7*$G$7*$G$7</f>
        <v>874.1816</v>
      </c>
      <c r="AB53" s="1">
        <v>12</v>
      </c>
      <c r="AC53" s="37">
        <f>AB53*AA53*Z53</f>
        <v>20980.358400000001</v>
      </c>
      <c r="AD53" s="38">
        <v>0</v>
      </c>
      <c r="AE53" s="39">
        <f>SUM(AC53:AD53)</f>
        <v>20980.358400000001</v>
      </c>
      <c r="AF53" s="140">
        <v>2</v>
      </c>
      <c r="AG53" s="38">
        <f>H53*$G$7*$G$7*$G$7*$G$7</f>
        <v>900.40704800000003</v>
      </c>
      <c r="AH53" s="1">
        <v>12</v>
      </c>
      <c r="AI53" s="37">
        <f>AH53*AG53*AF53</f>
        <v>21609.769152000001</v>
      </c>
      <c r="AJ53" s="38">
        <v>0</v>
      </c>
      <c r="AK53" s="38">
        <f>SUM(AI53:AJ53)</f>
        <v>21609.769152000001</v>
      </c>
      <c r="AL53" s="40">
        <f t="shared" si="142"/>
        <v>101935.40755199999</v>
      </c>
      <c r="AM53" s="38">
        <f t="shared" si="142"/>
        <v>0</v>
      </c>
      <c r="AN53" s="40">
        <f>SUM(AL53:AM53)</f>
        <v>101935.40755199999</v>
      </c>
    </row>
    <row r="54" spans="1:44" x14ac:dyDescent="0.45">
      <c r="A54" s="1" t="s">
        <v>115</v>
      </c>
      <c r="B54" s="1">
        <v>50206</v>
      </c>
      <c r="C54" s="258" t="s">
        <v>65</v>
      </c>
      <c r="D54" s="258" t="s">
        <v>65</v>
      </c>
      <c r="E54" s="1">
        <v>0</v>
      </c>
      <c r="F54" s="65" t="s">
        <v>116</v>
      </c>
      <c r="G54" s="141">
        <v>0</v>
      </c>
      <c r="H54" s="38">
        <v>350</v>
      </c>
      <c r="I54" s="15">
        <v>1</v>
      </c>
      <c r="J54" s="131" t="s">
        <v>110</v>
      </c>
      <c r="K54" s="37">
        <f>I54*H54*G54</f>
        <v>0</v>
      </c>
      <c r="L54" s="38">
        <v>0</v>
      </c>
      <c r="M54" s="39">
        <f t="shared" ref="M54" si="143">SUM(K54:L54)</f>
        <v>0</v>
      </c>
      <c r="N54" s="140">
        <v>4</v>
      </c>
      <c r="O54" s="38">
        <f>H54*$G$6</f>
        <v>355.24999999999994</v>
      </c>
      <c r="P54" s="1">
        <v>1</v>
      </c>
      <c r="Q54" s="37">
        <f>P54*O54*N54</f>
        <v>1420.9999999999998</v>
      </c>
      <c r="R54" s="38">
        <v>0</v>
      </c>
      <c r="S54" s="39">
        <f t="shared" ref="S54" si="144">SUM(Q54:R54)</f>
        <v>1420.9999999999998</v>
      </c>
      <c r="T54" s="140">
        <v>0</v>
      </c>
      <c r="U54" s="38">
        <f>H54*$G$6*$G$6</f>
        <v>360.5787499999999</v>
      </c>
      <c r="V54" s="1">
        <v>1</v>
      </c>
      <c r="W54" s="37">
        <f>V54*U54*T54</f>
        <v>0</v>
      </c>
      <c r="X54" s="38">
        <v>0</v>
      </c>
      <c r="Y54" s="39">
        <f t="shared" ref="Y54" si="145">SUM(W54:X54)</f>
        <v>0</v>
      </c>
      <c r="Z54" s="140">
        <v>4</v>
      </c>
      <c r="AA54" s="38">
        <f>H54*$G$6*$G$6*$G$6</f>
        <v>365.98743124999987</v>
      </c>
      <c r="AB54" s="1">
        <v>1</v>
      </c>
      <c r="AC54" s="37">
        <f>AB54*AA54*Z54</f>
        <v>1463.9497249999995</v>
      </c>
      <c r="AD54" s="38">
        <v>0</v>
      </c>
      <c r="AE54" s="39">
        <f t="shared" ref="AE54" si="146">SUM(AC54:AD54)</f>
        <v>1463.9497249999995</v>
      </c>
      <c r="AF54" s="140">
        <v>0</v>
      </c>
      <c r="AG54" s="38">
        <f>H54*$G$6*$G$6*$G$6*$G$6</f>
        <v>371.47724271874984</v>
      </c>
      <c r="AH54" s="1">
        <v>1</v>
      </c>
      <c r="AI54" s="37">
        <f>AH54*AG54*AF54</f>
        <v>0</v>
      </c>
      <c r="AJ54" s="38">
        <v>0</v>
      </c>
      <c r="AK54" s="38">
        <f t="shared" ref="AK54" si="147">SUM(AI54:AJ54)</f>
        <v>0</v>
      </c>
      <c r="AL54" s="40">
        <f t="shared" ref="AL54" si="148">K54+Q54+W54+AC54+AI54</f>
        <v>2884.9497249999995</v>
      </c>
      <c r="AM54" s="38">
        <f t="shared" ref="AM54" si="149">L54+R54+X54+AD54+AJ54</f>
        <v>0</v>
      </c>
      <c r="AN54" s="40">
        <f t="shared" ref="AN54" si="150">SUM(AL54:AM54)</f>
        <v>2884.9497249999995</v>
      </c>
    </row>
    <row r="55" spans="1:44" s="10" customFormat="1" ht="12.3" x14ac:dyDescent="0.4">
      <c r="A55" s="129"/>
      <c r="B55" s="129"/>
      <c r="C55" s="129"/>
      <c r="D55" s="129"/>
      <c r="E55" s="129"/>
      <c r="F55" s="41" t="s">
        <v>117</v>
      </c>
      <c r="G55" s="128"/>
      <c r="H55" s="129"/>
      <c r="I55" s="129"/>
      <c r="J55" s="129"/>
      <c r="K55" s="42">
        <f>SUM(K47:K54)</f>
        <v>320795.38833333331</v>
      </c>
      <c r="L55" s="42">
        <f>SUM(L47:L54)</f>
        <v>0</v>
      </c>
      <c r="M55" s="42">
        <f>SUM(M47:M54)</f>
        <v>320795.38833333331</v>
      </c>
      <c r="N55" s="128"/>
      <c r="O55" s="129"/>
      <c r="P55" s="129"/>
      <c r="Q55" s="42">
        <f>SUM(Q47:Q54)</f>
        <v>351441.18239999999</v>
      </c>
      <c r="R55" s="42">
        <f>SUM(R47:R54)</f>
        <v>0</v>
      </c>
      <c r="S55" s="42">
        <f>SUM(S47:S54)</f>
        <v>351441.18239999999</v>
      </c>
      <c r="T55" s="128"/>
      <c r="U55" s="129"/>
      <c r="V55" s="129"/>
      <c r="W55" s="42">
        <f>SUM(W47:W54)</f>
        <v>363477.14969600004</v>
      </c>
      <c r="X55" s="42">
        <f>SUM(X47:X54)</f>
        <v>0</v>
      </c>
      <c r="Y55" s="42">
        <f>SUM(Y47:Y54)</f>
        <v>363477.14969600004</v>
      </c>
      <c r="Z55" s="128"/>
      <c r="AA55" s="129"/>
      <c r="AB55" s="129"/>
      <c r="AC55" s="42">
        <f>SUM(AC47:AC54)</f>
        <v>378920.03020883998</v>
      </c>
      <c r="AD55" s="42">
        <f>SUM(AD47:AD54)</f>
        <v>0</v>
      </c>
      <c r="AE55" s="42">
        <f>SUM(AE47:AE54)</f>
        <v>378920.03020883998</v>
      </c>
      <c r="AF55" s="128"/>
      <c r="AG55" s="129"/>
      <c r="AH55" s="129"/>
      <c r="AI55" s="42">
        <f>SUM(AI47:AI54)</f>
        <v>385023.87721819314</v>
      </c>
      <c r="AJ55" s="42">
        <f t="shared" ref="AJ55:AM55" si="151">SUM(AJ47:AJ54)</f>
        <v>0</v>
      </c>
      <c r="AK55" s="42">
        <f t="shared" si="151"/>
        <v>385023.87721819314</v>
      </c>
      <c r="AL55" s="45">
        <f t="shared" si="151"/>
        <v>1799657.6278563661</v>
      </c>
      <c r="AM55" s="45">
        <f t="shared" si="151"/>
        <v>0</v>
      </c>
      <c r="AN55" s="45">
        <f>SUM(AN47:AN54)</f>
        <v>1799657.6278563661</v>
      </c>
    </row>
    <row r="56" spans="1:44" x14ac:dyDescent="0.45">
      <c r="A56" s="68"/>
      <c r="B56" s="68"/>
      <c r="C56" s="68"/>
      <c r="D56" s="68"/>
      <c r="E56" s="68"/>
      <c r="F56" s="66"/>
      <c r="G56" s="67"/>
      <c r="H56" s="68"/>
      <c r="I56" s="68"/>
      <c r="J56" s="68"/>
      <c r="K56" s="69"/>
      <c r="L56" s="68"/>
      <c r="M56" s="70"/>
      <c r="N56" s="67"/>
      <c r="O56" s="68"/>
      <c r="P56" s="68"/>
      <c r="Q56" s="69"/>
      <c r="R56" s="68"/>
      <c r="S56" s="70"/>
      <c r="T56" s="67"/>
      <c r="U56" s="68"/>
      <c r="V56" s="68"/>
      <c r="W56" s="69"/>
      <c r="X56" s="68"/>
      <c r="Y56" s="70"/>
      <c r="Z56" s="67"/>
      <c r="AA56" s="68"/>
      <c r="AB56" s="68"/>
      <c r="AC56" s="69"/>
      <c r="AD56" s="68"/>
      <c r="AE56" s="70"/>
      <c r="AF56" s="67"/>
      <c r="AG56" s="68"/>
      <c r="AH56" s="68"/>
      <c r="AI56" s="69"/>
      <c r="AJ56" s="68"/>
      <c r="AK56" s="68"/>
      <c r="AL56" s="66"/>
      <c r="AM56" s="68"/>
      <c r="AN56" s="66"/>
      <c r="AO56" s="38"/>
    </row>
    <row r="57" spans="1:44" x14ac:dyDescent="0.45">
      <c r="A57" s="134"/>
      <c r="B57" s="134"/>
      <c r="C57" s="134"/>
      <c r="D57" s="134"/>
      <c r="E57" s="134"/>
      <c r="F57" s="49" t="s">
        <v>118</v>
      </c>
      <c r="G57" s="133"/>
      <c r="H57" s="134"/>
      <c r="I57" s="134"/>
      <c r="J57" s="134"/>
      <c r="K57" s="50">
        <f>K55+K44</f>
        <v>387758.3259933333</v>
      </c>
      <c r="L57" s="50">
        <f>L55+L44</f>
        <v>0</v>
      </c>
      <c r="M57" s="50">
        <f>M55+M44</f>
        <v>387758.3259933333</v>
      </c>
      <c r="N57" s="133"/>
      <c r="O57" s="134"/>
      <c r="P57" s="134"/>
      <c r="Q57" s="50">
        <f>Q55+Q44</f>
        <v>421082.63756639999</v>
      </c>
      <c r="R57" s="50">
        <f>R55+R44</f>
        <v>0</v>
      </c>
      <c r="S57" s="50">
        <f>S55+S44</f>
        <v>421082.63756639999</v>
      </c>
      <c r="T57" s="133"/>
      <c r="U57" s="134"/>
      <c r="V57" s="134"/>
      <c r="W57" s="50">
        <f>W55+W44</f>
        <v>435904.26306905603</v>
      </c>
      <c r="X57" s="50">
        <f>X55+X44</f>
        <v>0</v>
      </c>
      <c r="Y57" s="50">
        <f>Y55+Y44</f>
        <v>435904.26306905603</v>
      </c>
      <c r="Z57" s="133"/>
      <c r="AA57" s="134"/>
      <c r="AB57" s="134"/>
      <c r="AC57" s="50">
        <f>AC55+AC44</f>
        <v>454244.22811681824</v>
      </c>
      <c r="AD57" s="50">
        <f>AD55+AD44</f>
        <v>0</v>
      </c>
      <c r="AE57" s="50">
        <f>AE55+AE44</f>
        <v>454244.22811681824</v>
      </c>
      <c r="AF57" s="133"/>
      <c r="AG57" s="134"/>
      <c r="AH57" s="134"/>
      <c r="AI57" s="50">
        <f t="shared" ref="AI57:AN57" si="152">AI55+AI44</f>
        <v>463361.04304249049</v>
      </c>
      <c r="AJ57" s="50">
        <f t="shared" si="152"/>
        <v>0</v>
      </c>
      <c r="AK57" s="50">
        <f t="shared" si="152"/>
        <v>463361.04304249049</v>
      </c>
      <c r="AL57" s="71">
        <f t="shared" si="152"/>
        <v>2162350.4977880977</v>
      </c>
      <c r="AM57" s="544">
        <f t="shared" si="152"/>
        <v>0</v>
      </c>
      <c r="AN57" s="71">
        <f t="shared" si="152"/>
        <v>2162350.4977880977</v>
      </c>
    </row>
    <row r="58" spans="1:44" x14ac:dyDescent="0.45">
      <c r="A58" s="136"/>
      <c r="B58" s="136"/>
      <c r="C58" s="136"/>
      <c r="D58" s="136"/>
      <c r="E58" s="136"/>
      <c r="F58" s="51"/>
      <c r="G58" s="135"/>
      <c r="H58" s="136"/>
      <c r="I58" s="136"/>
      <c r="J58" s="136"/>
      <c r="K58" s="52"/>
      <c r="L58" s="53"/>
      <c r="M58" s="54"/>
      <c r="N58" s="135"/>
      <c r="O58" s="136"/>
      <c r="P58" s="136"/>
      <c r="Q58" s="52"/>
      <c r="R58" s="53"/>
      <c r="S58" s="54"/>
      <c r="T58" s="135"/>
      <c r="U58" s="136"/>
      <c r="V58" s="136"/>
      <c r="W58" s="52"/>
      <c r="X58" s="53"/>
      <c r="Y58" s="54"/>
      <c r="Z58" s="135"/>
      <c r="AA58" s="136"/>
      <c r="AB58" s="136"/>
      <c r="AC58" s="52"/>
      <c r="AD58" s="53"/>
      <c r="AE58" s="54"/>
      <c r="AF58" s="135"/>
      <c r="AG58" s="136"/>
      <c r="AH58" s="136"/>
      <c r="AI58" s="52"/>
      <c r="AJ58" s="53"/>
      <c r="AK58" s="53"/>
      <c r="AL58" s="55"/>
      <c r="AM58" s="53"/>
      <c r="AN58" s="55"/>
    </row>
    <row r="59" spans="1:44" x14ac:dyDescent="0.45">
      <c r="A59" s="138"/>
      <c r="B59" s="138"/>
      <c r="C59" s="138"/>
      <c r="D59" s="138"/>
      <c r="E59" s="138"/>
      <c r="F59" s="56" t="s">
        <v>119</v>
      </c>
      <c r="G59" s="137"/>
      <c r="H59" s="138"/>
      <c r="I59" s="138"/>
      <c r="J59" s="138"/>
      <c r="K59" s="57"/>
      <c r="L59" s="58"/>
      <c r="M59" s="59"/>
      <c r="N59" s="137"/>
      <c r="O59" s="138"/>
      <c r="P59" s="138"/>
      <c r="Q59" s="57"/>
      <c r="R59" s="58"/>
      <c r="S59" s="59"/>
      <c r="T59" s="137"/>
      <c r="U59" s="138"/>
      <c r="V59" s="138"/>
      <c r="W59" s="57"/>
      <c r="X59" s="58"/>
      <c r="Y59" s="59"/>
      <c r="Z59" s="137"/>
      <c r="AA59" s="138"/>
      <c r="AB59" s="138"/>
      <c r="AC59" s="57"/>
      <c r="AD59" s="58"/>
      <c r="AE59" s="59"/>
      <c r="AF59" s="137"/>
      <c r="AG59" s="138"/>
      <c r="AH59" s="138"/>
      <c r="AI59" s="57"/>
      <c r="AJ59" s="58"/>
      <c r="AK59" s="58"/>
      <c r="AL59" s="60"/>
      <c r="AM59" s="58"/>
      <c r="AN59" s="60"/>
    </row>
    <row r="60" spans="1:44" x14ac:dyDescent="0.45">
      <c r="A60" s="143"/>
      <c r="B60" s="143"/>
      <c r="C60" s="143"/>
      <c r="D60" s="143"/>
      <c r="E60" s="143"/>
      <c r="F60" s="61"/>
      <c r="G60" s="142"/>
      <c r="H60" s="143"/>
      <c r="I60" s="143"/>
      <c r="J60" s="143"/>
      <c r="K60" s="62"/>
      <c r="L60" s="63"/>
      <c r="M60" s="72"/>
      <c r="N60" s="142"/>
      <c r="O60" s="143"/>
      <c r="P60" s="143"/>
      <c r="Q60" s="62"/>
      <c r="R60" s="63"/>
      <c r="S60" s="72"/>
      <c r="T60" s="142"/>
      <c r="U60" s="143"/>
      <c r="V60" s="143"/>
      <c r="W60" s="62"/>
      <c r="X60" s="63"/>
      <c r="Y60" s="72"/>
      <c r="Z60" s="142"/>
      <c r="AA60" s="143"/>
      <c r="AB60" s="143"/>
      <c r="AC60" s="62"/>
      <c r="AD60" s="63"/>
      <c r="AE60" s="72"/>
      <c r="AF60" s="142"/>
      <c r="AG60" s="143"/>
      <c r="AH60" s="143"/>
      <c r="AI60" s="62"/>
      <c r="AJ60" s="63"/>
      <c r="AK60" s="63"/>
      <c r="AL60" s="64"/>
      <c r="AM60" s="63"/>
      <c r="AN60" s="64"/>
    </row>
    <row r="61" spans="1:44" x14ac:dyDescent="0.45">
      <c r="A61" s="131"/>
      <c r="B61" s="131"/>
      <c r="C61" s="131"/>
      <c r="D61" s="131"/>
      <c r="E61" s="131"/>
      <c r="F61" s="73" t="s">
        <v>120</v>
      </c>
      <c r="G61" s="130"/>
      <c r="H61" s="131"/>
      <c r="I61" s="131"/>
      <c r="J61" s="131"/>
      <c r="K61" s="37"/>
      <c r="L61" s="38"/>
      <c r="M61" s="39"/>
      <c r="N61" s="130"/>
      <c r="O61" s="131"/>
      <c r="P61" s="131"/>
      <c r="Q61" s="37"/>
      <c r="R61" s="38"/>
      <c r="S61" s="39"/>
      <c r="T61" s="130"/>
      <c r="U61" s="131"/>
      <c r="V61" s="131"/>
      <c r="W61" s="37"/>
      <c r="X61" s="38"/>
      <c r="Y61" s="39"/>
      <c r="Z61" s="130"/>
      <c r="AA61" s="131"/>
      <c r="AB61" s="131"/>
      <c r="AC61" s="37"/>
      <c r="AD61" s="38"/>
      <c r="AE61" s="39"/>
      <c r="AF61" s="130"/>
      <c r="AG61" s="131"/>
      <c r="AH61" s="131"/>
      <c r="AI61" s="37"/>
      <c r="AJ61" s="38"/>
      <c r="AK61" s="38"/>
      <c r="AL61" s="40"/>
      <c r="AM61" s="38"/>
      <c r="AN61" s="40"/>
    </row>
    <row r="62" spans="1:44" x14ac:dyDescent="0.45">
      <c r="A62" s="131"/>
      <c r="F62" s="47" t="s">
        <v>121</v>
      </c>
      <c r="G62" s="140"/>
      <c r="H62" s="15"/>
      <c r="K62" s="37"/>
      <c r="L62" s="38"/>
      <c r="M62" s="39"/>
      <c r="N62" s="140"/>
      <c r="Q62" s="37"/>
      <c r="R62" s="38"/>
      <c r="S62" s="39"/>
      <c r="T62" s="140"/>
      <c r="W62" s="37"/>
      <c r="X62" s="38"/>
      <c r="Y62" s="39"/>
      <c r="Z62" s="140"/>
      <c r="AC62" s="37"/>
      <c r="AD62" s="38"/>
      <c r="AE62" s="39"/>
      <c r="AF62" s="140"/>
      <c r="AI62" s="37"/>
      <c r="AJ62" s="38"/>
      <c r="AK62" s="38"/>
      <c r="AL62" s="40"/>
      <c r="AM62" s="38"/>
      <c r="AN62" s="40"/>
      <c r="AP62" s="91"/>
      <c r="AQ62" s="91"/>
      <c r="AR62" s="91"/>
    </row>
    <row r="63" spans="1:44" x14ac:dyDescent="0.45">
      <c r="A63" s="131" t="s">
        <v>122</v>
      </c>
      <c r="B63" s="1">
        <v>86040</v>
      </c>
      <c r="C63" s="1" t="s">
        <v>57</v>
      </c>
      <c r="D63" s="1" t="s">
        <v>57</v>
      </c>
      <c r="E63" s="1">
        <v>0</v>
      </c>
      <c r="F63" s="74" t="s">
        <v>123</v>
      </c>
      <c r="G63" s="141">
        <v>3</v>
      </c>
      <c r="H63" s="38">
        <v>750</v>
      </c>
      <c r="I63" s="15">
        <v>1</v>
      </c>
      <c r="J63" s="131" t="s">
        <v>124</v>
      </c>
      <c r="K63" s="37">
        <f>I63*H63*G63</f>
        <v>2250</v>
      </c>
      <c r="L63" s="38">
        <v>0</v>
      </c>
      <c r="M63" s="39">
        <f>SUM(K63:L63)</f>
        <v>2250</v>
      </c>
      <c r="N63" s="141">
        <v>7</v>
      </c>
      <c r="O63" s="38">
        <f>H63*$G$6</f>
        <v>761.24999999999989</v>
      </c>
      <c r="P63" s="15">
        <v>1</v>
      </c>
      <c r="Q63" s="37">
        <f>N63*O63*P63</f>
        <v>5328.7499999999991</v>
      </c>
      <c r="R63" s="38">
        <v>0</v>
      </c>
      <c r="S63" s="39">
        <f>SUM(Q63:R63)</f>
        <v>5328.7499999999991</v>
      </c>
      <c r="T63" s="141">
        <v>7</v>
      </c>
      <c r="U63" s="38">
        <f>H63*$G$6*$G$6</f>
        <v>772.66874999999982</v>
      </c>
      <c r="V63" s="15">
        <v>1</v>
      </c>
      <c r="W63" s="37">
        <f>T63*U63*V63</f>
        <v>5408.6812499999987</v>
      </c>
      <c r="X63" s="38">
        <v>0</v>
      </c>
      <c r="Y63" s="39">
        <f>SUM(W63:X63)</f>
        <v>5408.6812499999987</v>
      </c>
      <c r="Z63" s="141">
        <v>7</v>
      </c>
      <c r="AA63" s="38">
        <f>H63*$G$6*$G$6*$G$6</f>
        <v>784.25878124999974</v>
      </c>
      <c r="AB63" s="15">
        <v>1</v>
      </c>
      <c r="AC63" s="37">
        <f>Z63*AA63*AB63</f>
        <v>5489.8114687499983</v>
      </c>
      <c r="AD63" s="38">
        <v>0</v>
      </c>
      <c r="AE63" s="39">
        <f>SUM(AC63:AD63)</f>
        <v>5489.8114687499983</v>
      </c>
      <c r="AF63" s="141">
        <v>5</v>
      </c>
      <c r="AG63" s="38">
        <f>H63*$G$6*$G$6*$G$6*$G$6</f>
        <v>796.02266296874961</v>
      </c>
      <c r="AH63" s="15">
        <v>1</v>
      </c>
      <c r="AI63" s="37">
        <f>AF63*AG63*AH63</f>
        <v>3980.113314843748</v>
      </c>
      <c r="AJ63" s="38">
        <v>0</v>
      </c>
      <c r="AK63" s="38">
        <f>SUM(AI63:AJ63)</f>
        <v>3980.113314843748</v>
      </c>
      <c r="AL63" s="40">
        <f>K63+Q63+W63+AC63+AI63</f>
        <v>22457.356033593744</v>
      </c>
      <c r="AM63" s="38">
        <f>L63+R63+X63+AD63+AJ63</f>
        <v>0</v>
      </c>
      <c r="AN63" s="40">
        <f>SUM(AL63:AM63)</f>
        <v>22457.356033593744</v>
      </c>
    </row>
    <row r="64" spans="1:44" x14ac:dyDescent="0.45">
      <c r="A64" s="131" t="s">
        <v>125</v>
      </c>
      <c r="B64" s="1">
        <v>86050</v>
      </c>
      <c r="C64" s="1" t="s">
        <v>57</v>
      </c>
      <c r="D64" s="1" t="s">
        <v>57</v>
      </c>
      <c r="E64" s="1">
        <v>0</v>
      </c>
      <c r="F64" s="74" t="s">
        <v>126</v>
      </c>
      <c r="G64" s="141">
        <f>$G$63</f>
        <v>3</v>
      </c>
      <c r="H64" s="38">
        <v>90</v>
      </c>
      <c r="I64" s="15">
        <v>10</v>
      </c>
      <c r="J64" s="131" t="s">
        <v>127</v>
      </c>
      <c r="K64" s="37">
        <f>I64*H64*G64</f>
        <v>2700</v>
      </c>
      <c r="L64" s="38">
        <v>0</v>
      </c>
      <c r="M64" s="39">
        <f t="shared" ref="M64:M65" si="153">SUM(K64:L64)</f>
        <v>2700</v>
      </c>
      <c r="N64" s="141">
        <f>$N$63</f>
        <v>7</v>
      </c>
      <c r="O64" s="38">
        <f t="shared" ref="O64:O67" si="154">H64*$G$6</f>
        <v>91.35</v>
      </c>
      <c r="P64" s="15">
        <v>10</v>
      </c>
      <c r="Q64" s="37">
        <f>N64*O64*P64</f>
        <v>6394.4999999999991</v>
      </c>
      <c r="R64" s="38">
        <v>0</v>
      </c>
      <c r="S64" s="39">
        <f t="shared" ref="S64:S65" si="155">SUM(Q64:R64)</f>
        <v>6394.4999999999991</v>
      </c>
      <c r="T64" s="141">
        <f>$T$63</f>
        <v>7</v>
      </c>
      <c r="U64" s="38">
        <f t="shared" ref="U64:U67" si="156">H64*$G$6*$G$6</f>
        <v>92.720249999999979</v>
      </c>
      <c r="V64" s="15">
        <v>10</v>
      </c>
      <c r="W64" s="37">
        <f t="shared" ref="W64:W65" si="157">T64*U64*V64</f>
        <v>6490.4174999999987</v>
      </c>
      <c r="X64" s="38">
        <v>0</v>
      </c>
      <c r="Y64" s="39">
        <f t="shared" ref="Y64:Y65" si="158">SUM(W64:X64)</f>
        <v>6490.4174999999987</v>
      </c>
      <c r="Z64" s="141">
        <f>$Z$63</f>
        <v>7</v>
      </c>
      <c r="AA64" s="38">
        <f t="shared" ref="AA64:AA67" si="159">H64*$G$6*$G$6*$G$6</f>
        <v>94.111053749999968</v>
      </c>
      <c r="AB64" s="15">
        <v>10</v>
      </c>
      <c r="AC64" s="37">
        <f t="shared" ref="AC64:AC65" si="160">Z64*AA64*AB64</f>
        <v>6587.7737624999972</v>
      </c>
      <c r="AD64" s="38">
        <v>0</v>
      </c>
      <c r="AE64" s="39">
        <f t="shared" ref="AE64:AE65" si="161">SUM(AC64:AD64)</f>
        <v>6587.7737624999972</v>
      </c>
      <c r="AF64" s="141">
        <f>$AF$63</f>
        <v>5</v>
      </c>
      <c r="AG64" s="38">
        <f t="shared" ref="AG64:AG67" si="162">H64*$G$6*$G$6*$G$6*$G$6</f>
        <v>95.522719556249953</v>
      </c>
      <c r="AH64" s="15">
        <v>10</v>
      </c>
      <c r="AI64" s="37">
        <f t="shared" ref="AI64:AI65" si="163">AF64*AG64*AH64</f>
        <v>4776.1359778124979</v>
      </c>
      <c r="AJ64" s="38">
        <v>0</v>
      </c>
      <c r="AK64" s="38">
        <f t="shared" ref="AK64:AK65" si="164">SUM(AI64:AJ64)</f>
        <v>4776.1359778124979</v>
      </c>
      <c r="AL64" s="40">
        <f>K64+Q64+W64+AC64+AI64</f>
        <v>26948.827240312494</v>
      </c>
      <c r="AM64" s="38">
        <f t="shared" ref="AM64:AM65" si="165">L64+R64+X64+AD64+AJ64</f>
        <v>0</v>
      </c>
      <c r="AN64" s="40">
        <f t="shared" ref="AN64:AN65" si="166">SUM(AL64:AM64)</f>
        <v>26948.827240312494</v>
      </c>
    </row>
    <row r="65" spans="1:44" x14ac:dyDescent="0.45">
      <c r="A65" s="131" t="s">
        <v>128</v>
      </c>
      <c r="B65" s="1">
        <v>86030</v>
      </c>
      <c r="C65" s="1" t="s">
        <v>57</v>
      </c>
      <c r="D65" s="1" t="s">
        <v>57</v>
      </c>
      <c r="E65" s="1">
        <v>0</v>
      </c>
      <c r="F65" s="74" t="s">
        <v>129</v>
      </c>
      <c r="G65" s="141">
        <f>$G$63</f>
        <v>3</v>
      </c>
      <c r="H65" s="38">
        <v>120</v>
      </c>
      <c r="I65" s="15">
        <v>10</v>
      </c>
      <c r="J65" s="131" t="s">
        <v>127</v>
      </c>
      <c r="K65" s="37">
        <f t="shared" ref="K65" si="167">I65*H65*G65</f>
        <v>3600</v>
      </c>
      <c r="L65" s="38">
        <v>0</v>
      </c>
      <c r="M65" s="39">
        <f t="shared" si="153"/>
        <v>3600</v>
      </c>
      <c r="N65" s="141">
        <f>$N$63</f>
        <v>7</v>
      </c>
      <c r="O65" s="38">
        <f t="shared" si="154"/>
        <v>121.79999999999998</v>
      </c>
      <c r="P65" s="15">
        <v>10</v>
      </c>
      <c r="Q65" s="37">
        <f t="shared" ref="Q65" si="168">N65*O65*P65</f>
        <v>8526</v>
      </c>
      <c r="R65" s="38">
        <v>0</v>
      </c>
      <c r="S65" s="39">
        <f t="shared" si="155"/>
        <v>8526</v>
      </c>
      <c r="T65" s="141">
        <f>$T$63</f>
        <v>7</v>
      </c>
      <c r="U65" s="38">
        <f t="shared" si="156"/>
        <v>123.62699999999997</v>
      </c>
      <c r="V65" s="15">
        <v>10</v>
      </c>
      <c r="W65" s="37">
        <f t="shared" si="157"/>
        <v>8653.8899999999976</v>
      </c>
      <c r="X65" s="38">
        <v>0</v>
      </c>
      <c r="Y65" s="39">
        <f t="shared" si="158"/>
        <v>8653.8899999999976</v>
      </c>
      <c r="Z65" s="141">
        <f>$Z$63</f>
        <v>7</v>
      </c>
      <c r="AA65" s="38">
        <f t="shared" si="159"/>
        <v>125.48140499999995</v>
      </c>
      <c r="AB65" s="15">
        <v>10</v>
      </c>
      <c r="AC65" s="37">
        <f t="shared" si="160"/>
        <v>8783.6983499999969</v>
      </c>
      <c r="AD65" s="38">
        <v>0</v>
      </c>
      <c r="AE65" s="39">
        <f t="shared" si="161"/>
        <v>8783.6983499999969</v>
      </c>
      <c r="AF65" s="141">
        <f>$AF$63</f>
        <v>5</v>
      </c>
      <c r="AG65" s="38">
        <f t="shared" si="162"/>
        <v>127.36362607499994</v>
      </c>
      <c r="AH65" s="15">
        <v>10</v>
      </c>
      <c r="AI65" s="37">
        <f t="shared" si="163"/>
        <v>6368.1813037499969</v>
      </c>
      <c r="AJ65" s="38">
        <v>0</v>
      </c>
      <c r="AK65" s="38">
        <f t="shared" si="164"/>
        <v>6368.1813037499969</v>
      </c>
      <c r="AL65" s="40">
        <f t="shared" ref="AL65" si="169">K65+Q65+W65+AC65+AI65</f>
        <v>35931.769653749994</v>
      </c>
      <c r="AM65" s="38">
        <f t="shared" si="165"/>
        <v>0</v>
      </c>
      <c r="AN65" s="40">
        <f t="shared" si="166"/>
        <v>35931.769653749994</v>
      </c>
    </row>
    <row r="66" spans="1:44" x14ac:dyDescent="0.45">
      <c r="A66" s="131" t="s">
        <v>130</v>
      </c>
      <c r="B66" s="1">
        <v>86000</v>
      </c>
      <c r="C66" s="1" t="s">
        <v>57</v>
      </c>
      <c r="D66" s="1" t="s">
        <v>57</v>
      </c>
      <c r="E66" s="1">
        <v>0</v>
      </c>
      <c r="F66" s="74" t="s">
        <v>131</v>
      </c>
      <c r="G66" s="141">
        <f>$G$63</f>
        <v>3</v>
      </c>
      <c r="H66" s="38">
        <v>25</v>
      </c>
      <c r="I66" s="15">
        <v>10</v>
      </c>
      <c r="J66" s="131" t="s">
        <v>127</v>
      </c>
      <c r="K66" s="37">
        <f t="shared" ref="K66:K67" si="170">I66*H66*G66</f>
        <v>750</v>
      </c>
      <c r="L66" s="38">
        <v>0</v>
      </c>
      <c r="M66" s="39">
        <f t="shared" ref="M66:M67" si="171">SUM(K66:L66)</f>
        <v>750</v>
      </c>
      <c r="N66" s="141">
        <f>$N$63</f>
        <v>7</v>
      </c>
      <c r="O66" s="38">
        <f t="shared" si="154"/>
        <v>25.374999999999996</v>
      </c>
      <c r="P66" s="15">
        <v>10</v>
      </c>
      <c r="Q66" s="37">
        <f t="shared" ref="Q66:Q67" si="172">N66*O66*P66</f>
        <v>1776.2499999999998</v>
      </c>
      <c r="R66" s="38">
        <v>0</v>
      </c>
      <c r="S66" s="39">
        <f t="shared" ref="S66:S67" si="173">SUM(Q66:R66)</f>
        <v>1776.2499999999998</v>
      </c>
      <c r="T66" s="141">
        <f>$T$63</f>
        <v>7</v>
      </c>
      <c r="U66" s="38">
        <f t="shared" si="156"/>
        <v>25.755624999999995</v>
      </c>
      <c r="V66" s="15">
        <v>10</v>
      </c>
      <c r="W66" s="37">
        <f t="shared" ref="W66:W67" si="174">T66*U66*V66</f>
        <v>1802.8937499999995</v>
      </c>
      <c r="X66" s="38">
        <v>0</v>
      </c>
      <c r="Y66" s="39">
        <f t="shared" ref="Y66:Y67" si="175">SUM(W66:X66)</f>
        <v>1802.8937499999995</v>
      </c>
      <c r="Z66" s="141">
        <f>$Z$63</f>
        <v>7</v>
      </c>
      <c r="AA66" s="38">
        <f t="shared" si="159"/>
        <v>26.141959374999992</v>
      </c>
      <c r="AB66" s="15">
        <v>10</v>
      </c>
      <c r="AC66" s="37">
        <f t="shared" ref="AC66:AC67" si="176">Z66*AA66*AB66</f>
        <v>1829.9371562499994</v>
      </c>
      <c r="AD66" s="38">
        <v>0</v>
      </c>
      <c r="AE66" s="39">
        <f t="shared" ref="AE66:AE67" si="177">SUM(AC66:AD66)</f>
        <v>1829.9371562499994</v>
      </c>
      <c r="AF66" s="141">
        <f>$AF$63</f>
        <v>5</v>
      </c>
      <c r="AG66" s="38">
        <f t="shared" si="162"/>
        <v>26.53408876562499</v>
      </c>
      <c r="AH66" s="15">
        <v>10</v>
      </c>
      <c r="AI66" s="37">
        <f t="shared" ref="AI66:AI67" si="178">AF66*AG66*AH66</f>
        <v>1326.7044382812494</v>
      </c>
      <c r="AJ66" s="38">
        <v>0</v>
      </c>
      <c r="AK66" s="38">
        <f t="shared" ref="AK66" si="179">SUM(AI66:AJ66)</f>
        <v>1326.7044382812494</v>
      </c>
      <c r="AL66" s="40">
        <f t="shared" ref="AL66:AL67" si="180">K66+Q66+W66+AC66+AI66</f>
        <v>7485.7853445312476</v>
      </c>
      <c r="AM66" s="38">
        <f t="shared" ref="AM66:AM67" si="181">L66+R66+X66+AD66+AJ66</f>
        <v>0</v>
      </c>
      <c r="AN66" s="40">
        <f t="shared" ref="AN66" si="182">SUM(AL66:AM66)</f>
        <v>7485.7853445312476</v>
      </c>
    </row>
    <row r="67" spans="1:44" x14ac:dyDescent="0.45">
      <c r="A67" s="131" t="s">
        <v>132</v>
      </c>
      <c r="B67" s="1">
        <v>86050</v>
      </c>
      <c r="C67" s="1" t="s">
        <v>57</v>
      </c>
      <c r="D67" s="1" t="s">
        <v>57</v>
      </c>
      <c r="E67" s="1">
        <v>0</v>
      </c>
      <c r="F67" s="74" t="s">
        <v>133</v>
      </c>
      <c r="G67" s="141">
        <f>$G$63</f>
        <v>3</v>
      </c>
      <c r="H67" s="38">
        <v>50</v>
      </c>
      <c r="I67" s="15">
        <v>1</v>
      </c>
      <c r="J67" s="131" t="s">
        <v>124</v>
      </c>
      <c r="K67" s="37">
        <f t="shared" si="170"/>
        <v>150</v>
      </c>
      <c r="L67" s="38">
        <v>0</v>
      </c>
      <c r="M67" s="39">
        <f t="shared" si="171"/>
        <v>150</v>
      </c>
      <c r="N67" s="141">
        <f>$N$63</f>
        <v>7</v>
      </c>
      <c r="O67" s="38">
        <f t="shared" si="154"/>
        <v>50.749999999999993</v>
      </c>
      <c r="P67" s="15">
        <v>1</v>
      </c>
      <c r="Q67" s="37">
        <f t="shared" si="172"/>
        <v>355.24999999999994</v>
      </c>
      <c r="R67" s="38">
        <v>0</v>
      </c>
      <c r="S67" s="39">
        <f t="shared" si="173"/>
        <v>355.24999999999994</v>
      </c>
      <c r="T67" s="141">
        <f>$T$63</f>
        <v>7</v>
      </c>
      <c r="U67" s="38">
        <f t="shared" si="156"/>
        <v>51.51124999999999</v>
      </c>
      <c r="V67" s="15">
        <v>1</v>
      </c>
      <c r="W67" s="37">
        <f t="shared" si="174"/>
        <v>360.5787499999999</v>
      </c>
      <c r="X67" s="38">
        <v>0</v>
      </c>
      <c r="Y67" s="39">
        <f t="shared" si="175"/>
        <v>360.5787499999999</v>
      </c>
      <c r="Z67" s="141">
        <f>$Z$63</f>
        <v>7</v>
      </c>
      <c r="AA67" s="38">
        <f t="shared" si="159"/>
        <v>52.283918749999984</v>
      </c>
      <c r="AB67" s="15">
        <v>1</v>
      </c>
      <c r="AC67" s="37">
        <f t="shared" si="176"/>
        <v>365.98743124999987</v>
      </c>
      <c r="AD67" s="38">
        <v>0</v>
      </c>
      <c r="AE67" s="39">
        <f t="shared" si="177"/>
        <v>365.98743124999987</v>
      </c>
      <c r="AF67" s="141">
        <f>$AF$63</f>
        <v>5</v>
      </c>
      <c r="AG67" s="38">
        <f t="shared" si="162"/>
        <v>53.068177531249979</v>
      </c>
      <c r="AH67" s="15">
        <v>1</v>
      </c>
      <c r="AI67" s="37">
        <f t="shared" si="178"/>
        <v>265.34088765624989</v>
      </c>
      <c r="AJ67" s="38">
        <v>0</v>
      </c>
      <c r="AK67" s="38">
        <f>SUM(AI67:AJ67)</f>
        <v>265.34088765624989</v>
      </c>
      <c r="AL67" s="40">
        <f t="shared" si="180"/>
        <v>1497.1570689062496</v>
      </c>
      <c r="AM67" s="38">
        <f t="shared" si="181"/>
        <v>0</v>
      </c>
      <c r="AN67" s="40">
        <f>SUM(AL67:AM67)</f>
        <v>1497.1570689062496</v>
      </c>
    </row>
    <row r="68" spans="1:44" s="10" customFormat="1" x14ac:dyDescent="0.45">
      <c r="A68" s="131"/>
      <c r="B68" s="1"/>
      <c r="C68" s="1"/>
      <c r="D68" s="1"/>
      <c r="E68" s="1"/>
      <c r="F68" s="75" t="s">
        <v>134</v>
      </c>
      <c r="G68" s="144"/>
      <c r="H68" s="38"/>
      <c r="I68" s="145"/>
      <c r="J68" s="129"/>
      <c r="K68" s="42">
        <f>SUM(K63:K67)</f>
        <v>9450</v>
      </c>
      <c r="L68" s="42">
        <f t="shared" ref="L68:M68" si="183">SUM(L63:L67)</f>
        <v>0</v>
      </c>
      <c r="M68" s="42">
        <f t="shared" si="183"/>
        <v>9450</v>
      </c>
      <c r="N68" s="144"/>
      <c r="O68" s="43"/>
      <c r="P68" s="129"/>
      <c r="Q68" s="42">
        <f>SUM(Q63:Q67)</f>
        <v>22380.75</v>
      </c>
      <c r="R68" s="42">
        <f t="shared" ref="R68" si="184">SUM(R63:R67)</f>
        <v>0</v>
      </c>
      <c r="S68" s="42">
        <f t="shared" ref="S68" si="185">SUM(S63:S67)</f>
        <v>22380.75</v>
      </c>
      <c r="T68" s="144"/>
      <c r="U68" s="38"/>
      <c r="V68" s="129"/>
      <c r="W68" s="42">
        <f>SUM(W63:W67)</f>
        <v>22716.461249999997</v>
      </c>
      <c r="X68" s="42">
        <f t="shared" ref="X68" si="186">SUM(X63:X67)</f>
        <v>0</v>
      </c>
      <c r="Y68" s="42">
        <f t="shared" ref="Y68" si="187">SUM(Y63:Y67)</f>
        <v>22716.461249999997</v>
      </c>
      <c r="Z68" s="144"/>
      <c r="AA68" s="38"/>
      <c r="AB68" s="129"/>
      <c r="AC68" s="42">
        <f>SUM(AC63:AC67)</f>
        <v>23057.208168749989</v>
      </c>
      <c r="AD68" s="42">
        <f t="shared" ref="AD68" si="188">SUM(AD63:AD67)</f>
        <v>0</v>
      </c>
      <c r="AE68" s="42">
        <f t="shared" ref="AE68" si="189">SUM(AE63:AE67)</f>
        <v>23057.208168749989</v>
      </c>
      <c r="AF68" s="144"/>
      <c r="AG68" s="38"/>
      <c r="AH68" s="129"/>
      <c r="AI68" s="42">
        <f>SUM(AI63:AI67)</f>
        <v>16716.475922343743</v>
      </c>
      <c r="AJ68" s="42">
        <f t="shared" ref="AJ68" si="190">SUM(AJ63:AJ67)</f>
        <v>0</v>
      </c>
      <c r="AK68" s="42">
        <f t="shared" ref="AK68" si="191">SUM(AK63:AK67)</f>
        <v>16716.475922343743</v>
      </c>
      <c r="AL68" s="45">
        <f>SUM(AL63:AL67)</f>
        <v>94320.895341093739</v>
      </c>
      <c r="AM68" s="43">
        <f t="shared" ref="AM68" si="192">SUM(AM63:AM67)</f>
        <v>0</v>
      </c>
      <c r="AN68" s="45">
        <f t="shared" ref="AN68" si="193">SUM(AN63:AN67)</f>
        <v>94320.895341093739</v>
      </c>
    </row>
    <row r="69" spans="1:44" s="81" customFormat="1" x14ac:dyDescent="0.45">
      <c r="A69" s="131"/>
      <c r="B69" s="1"/>
      <c r="C69" s="1"/>
      <c r="D69" s="1"/>
      <c r="E69" s="1"/>
      <c r="F69" s="76"/>
      <c r="G69" s="146"/>
      <c r="H69" s="38"/>
      <c r="I69" s="148"/>
      <c r="J69" s="147"/>
      <c r="K69" s="77"/>
      <c r="L69" s="78"/>
      <c r="M69" s="79"/>
      <c r="N69" s="146"/>
      <c r="O69" s="78"/>
      <c r="P69" s="147"/>
      <c r="Q69" s="77"/>
      <c r="R69" s="78"/>
      <c r="S69" s="79"/>
      <c r="T69" s="146"/>
      <c r="U69" s="38"/>
      <c r="V69" s="147"/>
      <c r="W69" s="77"/>
      <c r="X69" s="78"/>
      <c r="Y69" s="79"/>
      <c r="Z69" s="146"/>
      <c r="AA69" s="38"/>
      <c r="AB69" s="147"/>
      <c r="AC69" s="77"/>
      <c r="AD69" s="78"/>
      <c r="AE69" s="79"/>
      <c r="AF69" s="146"/>
      <c r="AG69" s="38"/>
      <c r="AH69" s="147"/>
      <c r="AI69" s="77"/>
      <c r="AJ69" s="78"/>
      <c r="AK69" s="78"/>
      <c r="AL69" s="80"/>
      <c r="AM69" s="78"/>
      <c r="AN69" s="80"/>
    </row>
    <row r="70" spans="1:44" x14ac:dyDescent="0.45">
      <c r="A70" s="131"/>
      <c r="F70" s="73" t="s">
        <v>135</v>
      </c>
      <c r="G70" s="130"/>
      <c r="H70" s="38"/>
      <c r="I70" s="131"/>
      <c r="J70" s="131"/>
      <c r="K70" s="37"/>
      <c r="L70" s="38"/>
      <c r="M70" s="39"/>
      <c r="N70" s="130"/>
      <c r="O70" s="131"/>
      <c r="P70" s="131"/>
      <c r="Q70" s="37"/>
      <c r="R70" s="38"/>
      <c r="S70" s="39"/>
      <c r="T70" s="130"/>
      <c r="U70" s="38"/>
      <c r="V70" s="131"/>
      <c r="W70" s="37"/>
      <c r="X70" s="38"/>
      <c r="Y70" s="39"/>
      <c r="Z70" s="130"/>
      <c r="AA70" s="38"/>
      <c r="AB70" s="131"/>
      <c r="AC70" s="37"/>
      <c r="AD70" s="38"/>
      <c r="AE70" s="39"/>
      <c r="AF70" s="130"/>
      <c r="AG70" s="38"/>
      <c r="AH70" s="131"/>
      <c r="AI70" s="37"/>
      <c r="AJ70" s="38"/>
      <c r="AK70" s="38"/>
      <c r="AL70" s="40"/>
      <c r="AM70" s="38"/>
      <c r="AN70" s="40"/>
    </row>
    <row r="71" spans="1:44" x14ac:dyDescent="0.45">
      <c r="A71" s="131"/>
      <c r="F71" s="47" t="s">
        <v>136</v>
      </c>
      <c r="G71" s="140"/>
      <c r="H71" s="15"/>
      <c r="K71" s="37"/>
      <c r="L71" s="38"/>
      <c r="M71" s="39"/>
      <c r="N71" s="140"/>
      <c r="Q71" s="37"/>
      <c r="R71" s="38"/>
      <c r="S71" s="39"/>
      <c r="T71" s="140"/>
      <c r="W71" s="37"/>
      <c r="X71" s="38"/>
      <c r="Y71" s="39"/>
      <c r="Z71" s="140"/>
      <c r="AC71" s="37"/>
      <c r="AD71" s="38"/>
      <c r="AE71" s="39"/>
      <c r="AF71" s="140"/>
      <c r="AI71" s="37"/>
      <c r="AJ71" s="38"/>
      <c r="AK71" s="38"/>
      <c r="AL71" s="40"/>
      <c r="AM71" s="38"/>
      <c r="AN71" s="40"/>
      <c r="AP71" s="91"/>
      <c r="AQ71" s="91"/>
      <c r="AR71" s="91"/>
    </row>
    <row r="72" spans="1:44" x14ac:dyDescent="0.45">
      <c r="A72" s="131" t="s">
        <v>137</v>
      </c>
      <c r="B72" s="1" t="s">
        <v>138</v>
      </c>
      <c r="C72" s="258" t="s">
        <v>65</v>
      </c>
      <c r="D72" s="258" t="s">
        <v>65</v>
      </c>
      <c r="E72" s="1">
        <v>0</v>
      </c>
      <c r="F72" s="74" t="s">
        <v>139</v>
      </c>
      <c r="G72" s="141">
        <f>(2*9)*2</f>
        <v>36</v>
      </c>
      <c r="H72" s="38">
        <v>250</v>
      </c>
      <c r="I72" s="15">
        <v>1</v>
      </c>
      <c r="J72" s="131" t="s">
        <v>124</v>
      </c>
      <c r="K72" s="37">
        <f t="shared" ref="K72" si="194">I72*H72*G72</f>
        <v>9000</v>
      </c>
      <c r="L72" s="38">
        <v>0</v>
      </c>
      <c r="M72" s="39">
        <f t="shared" ref="M72" si="195">SUM(K72:L72)</f>
        <v>9000</v>
      </c>
      <c r="N72" s="141">
        <f>(9*4)*2</f>
        <v>72</v>
      </c>
      <c r="O72" s="38">
        <f>H72*$G$7</f>
        <v>257.5</v>
      </c>
      <c r="P72" s="15">
        <v>1</v>
      </c>
      <c r="Q72" s="37">
        <f t="shared" ref="Q72" si="196">N72*O72*P72</f>
        <v>18540</v>
      </c>
      <c r="R72" s="38">
        <v>0</v>
      </c>
      <c r="S72" s="39">
        <f t="shared" ref="S72" si="197">SUM(Q72:R72)</f>
        <v>18540</v>
      </c>
      <c r="T72" s="141">
        <f>(9*4)*2</f>
        <v>72</v>
      </c>
      <c r="U72" s="38">
        <f t="shared" ref="U72" si="198">H72*$G$7*$G$7</f>
        <v>265.22500000000002</v>
      </c>
      <c r="V72" s="15">
        <v>1</v>
      </c>
      <c r="W72" s="37">
        <f t="shared" ref="W72" si="199">T72*U72*V72</f>
        <v>19096.2</v>
      </c>
      <c r="X72" s="38">
        <v>0</v>
      </c>
      <c r="Y72" s="39">
        <f t="shared" ref="Y72" si="200">SUM(W72:X72)</f>
        <v>19096.2</v>
      </c>
      <c r="Z72" s="141">
        <f>(9*4)*2</f>
        <v>72</v>
      </c>
      <c r="AA72" s="38">
        <f t="shared" ref="AA72" si="201">H72*$G$7*$G$7*$G$7</f>
        <v>273.18175000000002</v>
      </c>
      <c r="AB72" s="15">
        <v>1</v>
      </c>
      <c r="AC72" s="37">
        <f t="shared" ref="AC72" si="202">Z72*AA72*AB72</f>
        <v>19669.086000000003</v>
      </c>
      <c r="AD72" s="38">
        <v>0</v>
      </c>
      <c r="AE72" s="39">
        <f t="shared" ref="AE72" si="203">SUM(AC72:AD72)</f>
        <v>19669.086000000003</v>
      </c>
      <c r="AF72" s="141">
        <f>(2*9)*2</f>
        <v>36</v>
      </c>
      <c r="AG72" s="38">
        <f t="shared" ref="AG72" si="204">H72*$G$7*$G$7*$G$7*$G$7</f>
        <v>281.37720250000001</v>
      </c>
      <c r="AH72" s="15">
        <v>1</v>
      </c>
      <c r="AI72" s="37">
        <f t="shared" ref="AI72" si="205">AF72*AG72*AH72</f>
        <v>10129.57929</v>
      </c>
      <c r="AJ72" s="38">
        <v>0</v>
      </c>
      <c r="AK72" s="38">
        <f t="shared" ref="AK72" si="206">SUM(AI72:AJ72)</f>
        <v>10129.57929</v>
      </c>
      <c r="AL72" s="40">
        <f t="shared" ref="AL72" si="207">K72+Q72+W72+AC72+AI72</f>
        <v>76434.865289999987</v>
      </c>
      <c r="AM72" s="38">
        <f t="shared" ref="AM72" si="208">L72+R72+X72+AD72+AJ72</f>
        <v>0</v>
      </c>
      <c r="AN72" s="40">
        <f>SUM(AL72:AM72)</f>
        <v>76434.865289999987</v>
      </c>
    </row>
    <row r="73" spans="1:44" x14ac:dyDescent="0.45">
      <c r="A73" s="131" t="s">
        <v>140</v>
      </c>
      <c r="B73" s="1">
        <v>86050</v>
      </c>
      <c r="C73" s="258" t="s">
        <v>65</v>
      </c>
      <c r="D73" s="258" t="s">
        <v>65</v>
      </c>
      <c r="E73" s="1">
        <v>0</v>
      </c>
      <c r="F73" s="74" t="s">
        <v>141</v>
      </c>
      <c r="G73" s="141">
        <f>$G$72</f>
        <v>36</v>
      </c>
      <c r="H73" s="38">
        <v>40</v>
      </c>
      <c r="I73" s="15">
        <v>5</v>
      </c>
      <c r="J73" s="131" t="s">
        <v>127</v>
      </c>
      <c r="K73" s="37">
        <f>I73*H73*G73</f>
        <v>7200</v>
      </c>
      <c r="L73" s="38">
        <v>0</v>
      </c>
      <c r="M73" s="39">
        <f t="shared" ref="M73:M75" si="209">SUM(K73:L73)</f>
        <v>7200</v>
      </c>
      <c r="N73" s="141">
        <f>$N$72</f>
        <v>72</v>
      </c>
      <c r="O73" s="38">
        <f>H73*$G$7</f>
        <v>41.2</v>
      </c>
      <c r="P73" s="15">
        <v>5</v>
      </c>
      <c r="Q73" s="37">
        <f t="shared" ref="Q73:Q75" si="210">N73*O73*P73</f>
        <v>14832</v>
      </c>
      <c r="R73" s="38">
        <v>0</v>
      </c>
      <c r="S73" s="39">
        <f t="shared" ref="S73:S75" si="211">SUM(Q73:R73)</f>
        <v>14832</v>
      </c>
      <c r="T73" s="141">
        <f>$T$72</f>
        <v>72</v>
      </c>
      <c r="U73" s="38">
        <f>H73*$G$7*$G$7</f>
        <v>42.436000000000007</v>
      </c>
      <c r="V73" s="15">
        <v>5</v>
      </c>
      <c r="W73" s="37">
        <f t="shared" ref="W73:W75" si="212">T73*U73*V73</f>
        <v>15276.960000000003</v>
      </c>
      <c r="X73" s="38">
        <v>0</v>
      </c>
      <c r="Y73" s="39">
        <f t="shared" ref="Y73:Y75" si="213">SUM(W73:X73)</f>
        <v>15276.960000000003</v>
      </c>
      <c r="Z73" s="141">
        <f>$Z$72</f>
        <v>72</v>
      </c>
      <c r="AA73" s="38">
        <f>H73*$G$7*$G$7*$G$7</f>
        <v>43.709080000000007</v>
      </c>
      <c r="AB73" s="15">
        <v>5</v>
      </c>
      <c r="AC73" s="37">
        <f t="shared" ref="AC73:AC75" si="214">Z73*AA73*AB73</f>
        <v>15735.268800000003</v>
      </c>
      <c r="AD73" s="38">
        <v>0</v>
      </c>
      <c r="AE73" s="39">
        <f t="shared" ref="AE73:AE75" si="215">SUM(AC73:AD73)</f>
        <v>15735.268800000003</v>
      </c>
      <c r="AF73" s="141">
        <f>$AF$72</f>
        <v>36</v>
      </c>
      <c r="AG73" s="38">
        <f>H73*$G$7*$G$7*$G$7*$G$7</f>
        <v>45.020352400000007</v>
      </c>
      <c r="AH73" s="15">
        <v>5</v>
      </c>
      <c r="AI73" s="37">
        <f>AF73*AG73*AH73</f>
        <v>8103.6634320000012</v>
      </c>
      <c r="AJ73" s="38">
        <v>0</v>
      </c>
      <c r="AK73" s="38">
        <f t="shared" ref="AK73:AK75" si="216">SUM(AI73:AJ73)</f>
        <v>8103.6634320000012</v>
      </c>
      <c r="AL73" s="40">
        <f>K73+Q73+W73+AC73+AI73</f>
        <v>61147.892232000013</v>
      </c>
      <c r="AM73" s="38">
        <f t="shared" ref="AM73:AM75" si="217">L73+R73+X73+AD73+AJ73</f>
        <v>0</v>
      </c>
      <c r="AN73" s="40">
        <f t="shared" ref="AN73:AN75" si="218">SUM(AL73:AM73)</f>
        <v>61147.892232000013</v>
      </c>
    </row>
    <row r="74" spans="1:44" x14ac:dyDescent="0.45">
      <c r="A74" s="131" t="s">
        <v>142</v>
      </c>
      <c r="B74" s="1">
        <v>86000</v>
      </c>
      <c r="C74" s="258" t="s">
        <v>65</v>
      </c>
      <c r="D74" s="258" t="s">
        <v>65</v>
      </c>
      <c r="E74" s="1">
        <v>0</v>
      </c>
      <c r="F74" s="74" t="s">
        <v>143</v>
      </c>
      <c r="G74" s="141">
        <f>$G$72</f>
        <v>36</v>
      </c>
      <c r="H74" s="38">
        <v>80</v>
      </c>
      <c r="I74" s="15">
        <v>5</v>
      </c>
      <c r="J74" s="131" t="s">
        <v>127</v>
      </c>
      <c r="K74" s="37">
        <f t="shared" ref="K74:K75" si="219">I74*H74*G74</f>
        <v>14400</v>
      </c>
      <c r="L74" s="38">
        <v>0</v>
      </c>
      <c r="M74" s="39">
        <f t="shared" si="209"/>
        <v>14400</v>
      </c>
      <c r="N74" s="141">
        <f>$N$72</f>
        <v>72</v>
      </c>
      <c r="O74" s="38">
        <f t="shared" ref="O74:O75" si="220">H74*$G$7</f>
        <v>82.4</v>
      </c>
      <c r="P74" s="15">
        <v>5</v>
      </c>
      <c r="Q74" s="37">
        <f t="shared" si="210"/>
        <v>29664</v>
      </c>
      <c r="R74" s="38">
        <v>0</v>
      </c>
      <c r="S74" s="39">
        <f t="shared" si="211"/>
        <v>29664</v>
      </c>
      <c r="T74" s="141">
        <f>$T$72</f>
        <v>72</v>
      </c>
      <c r="U74" s="38">
        <f t="shared" ref="U74:U75" si="221">H74*$G$7*$G$7</f>
        <v>84.872000000000014</v>
      </c>
      <c r="V74" s="15">
        <v>5</v>
      </c>
      <c r="W74" s="37">
        <f t="shared" si="212"/>
        <v>30553.920000000006</v>
      </c>
      <c r="X74" s="38">
        <v>0</v>
      </c>
      <c r="Y74" s="39">
        <f t="shared" si="213"/>
        <v>30553.920000000006</v>
      </c>
      <c r="Z74" s="141">
        <f>$Z$72</f>
        <v>72</v>
      </c>
      <c r="AA74" s="38">
        <f t="shared" ref="AA74:AA75" si="222">H74*$G$7*$G$7*$G$7</f>
        <v>87.418160000000015</v>
      </c>
      <c r="AB74" s="15">
        <v>5</v>
      </c>
      <c r="AC74" s="37">
        <f t="shared" si="214"/>
        <v>31470.537600000007</v>
      </c>
      <c r="AD74" s="38">
        <v>0</v>
      </c>
      <c r="AE74" s="39">
        <f t="shared" si="215"/>
        <v>31470.537600000007</v>
      </c>
      <c r="AF74" s="141">
        <f>$AF$72</f>
        <v>36</v>
      </c>
      <c r="AG74" s="38">
        <f t="shared" ref="AG74:AG75" si="223">H74*$G$7*$G$7*$G$7*$G$7</f>
        <v>90.040704800000015</v>
      </c>
      <c r="AH74" s="15">
        <v>5</v>
      </c>
      <c r="AI74" s="37">
        <f t="shared" ref="AI74:AI75" si="224">AF74*AG74*AH74</f>
        <v>16207.326864000002</v>
      </c>
      <c r="AJ74" s="38">
        <v>0</v>
      </c>
      <c r="AK74" s="38">
        <f t="shared" si="216"/>
        <v>16207.326864000002</v>
      </c>
      <c r="AL74" s="40">
        <f t="shared" ref="AL74:AL75" si="225">K74+Q74+W74+AC74+AI74</f>
        <v>122295.78446400003</v>
      </c>
      <c r="AM74" s="38">
        <f t="shared" si="217"/>
        <v>0</v>
      </c>
      <c r="AN74" s="40">
        <f t="shared" si="218"/>
        <v>122295.78446400003</v>
      </c>
    </row>
    <row r="75" spans="1:44" x14ac:dyDescent="0.45">
      <c r="A75" s="131" t="s">
        <v>144</v>
      </c>
      <c r="B75" s="1">
        <v>86050</v>
      </c>
      <c r="C75" s="258" t="s">
        <v>65</v>
      </c>
      <c r="D75" s="258" t="s">
        <v>65</v>
      </c>
      <c r="E75" s="1">
        <v>0</v>
      </c>
      <c r="F75" s="74" t="s">
        <v>145</v>
      </c>
      <c r="G75" s="141">
        <f>$G$72</f>
        <v>36</v>
      </c>
      <c r="H75" s="38">
        <v>25</v>
      </c>
      <c r="I75" s="15">
        <v>1</v>
      </c>
      <c r="J75" s="131" t="s">
        <v>124</v>
      </c>
      <c r="K75" s="37">
        <f t="shared" si="219"/>
        <v>900</v>
      </c>
      <c r="L75" s="38">
        <v>0</v>
      </c>
      <c r="M75" s="39">
        <f t="shared" si="209"/>
        <v>900</v>
      </c>
      <c r="N75" s="141">
        <f>$N$72</f>
        <v>72</v>
      </c>
      <c r="O75" s="38">
        <f t="shared" si="220"/>
        <v>25.75</v>
      </c>
      <c r="P75" s="15">
        <v>1</v>
      </c>
      <c r="Q75" s="37">
        <f t="shared" si="210"/>
        <v>1854</v>
      </c>
      <c r="R75" s="38">
        <v>0</v>
      </c>
      <c r="S75" s="39">
        <f t="shared" si="211"/>
        <v>1854</v>
      </c>
      <c r="T75" s="141">
        <f>$T$72</f>
        <v>72</v>
      </c>
      <c r="U75" s="38">
        <f t="shared" si="221"/>
        <v>26.522500000000001</v>
      </c>
      <c r="V75" s="15">
        <v>1</v>
      </c>
      <c r="W75" s="37">
        <f t="shared" si="212"/>
        <v>1909.6200000000001</v>
      </c>
      <c r="X75" s="38">
        <v>0</v>
      </c>
      <c r="Y75" s="39">
        <f t="shared" si="213"/>
        <v>1909.6200000000001</v>
      </c>
      <c r="Z75" s="141">
        <f>$Z$72</f>
        <v>72</v>
      </c>
      <c r="AA75" s="38">
        <f t="shared" si="222"/>
        <v>27.318175</v>
      </c>
      <c r="AB75" s="15">
        <v>1</v>
      </c>
      <c r="AC75" s="37">
        <f t="shared" si="214"/>
        <v>1966.9086</v>
      </c>
      <c r="AD75" s="38">
        <v>0</v>
      </c>
      <c r="AE75" s="39">
        <f t="shared" si="215"/>
        <v>1966.9086</v>
      </c>
      <c r="AF75" s="141">
        <f>$AF$72</f>
        <v>36</v>
      </c>
      <c r="AG75" s="38">
        <f t="shared" si="223"/>
        <v>28.137720250000001</v>
      </c>
      <c r="AH75" s="15">
        <v>1</v>
      </c>
      <c r="AI75" s="37">
        <f t="shared" si="224"/>
        <v>1012.957929</v>
      </c>
      <c r="AJ75" s="38">
        <v>0</v>
      </c>
      <c r="AK75" s="38">
        <f t="shared" si="216"/>
        <v>1012.957929</v>
      </c>
      <c r="AL75" s="40">
        <f t="shared" si="225"/>
        <v>7643.4865289999998</v>
      </c>
      <c r="AM75" s="38">
        <f t="shared" si="217"/>
        <v>0</v>
      </c>
      <c r="AN75" s="40">
        <f t="shared" si="218"/>
        <v>7643.4865289999998</v>
      </c>
    </row>
    <row r="76" spans="1:44" x14ac:dyDescent="0.45">
      <c r="A76" s="131"/>
      <c r="C76" s="258"/>
      <c r="D76" s="258"/>
      <c r="F76" s="74"/>
      <c r="G76" s="141"/>
      <c r="H76" s="38"/>
      <c r="I76" s="15"/>
      <c r="J76" s="131"/>
      <c r="K76" s="37"/>
      <c r="L76" s="38"/>
      <c r="M76" s="39"/>
      <c r="N76" s="141"/>
      <c r="O76" s="38"/>
      <c r="P76" s="15"/>
      <c r="Q76" s="37"/>
      <c r="R76" s="38"/>
      <c r="S76" s="39"/>
      <c r="T76" s="141"/>
      <c r="U76" s="38"/>
      <c r="V76" s="15"/>
      <c r="W76" s="37"/>
      <c r="X76" s="38"/>
      <c r="Y76" s="39"/>
      <c r="Z76" s="141"/>
      <c r="AA76" s="38"/>
      <c r="AB76" s="15"/>
      <c r="AC76" s="37"/>
      <c r="AD76" s="38"/>
      <c r="AE76" s="39"/>
      <c r="AF76" s="141"/>
      <c r="AG76" s="38"/>
      <c r="AH76" s="15"/>
      <c r="AI76" s="37"/>
      <c r="AJ76" s="38"/>
      <c r="AK76" s="38"/>
      <c r="AL76" s="40"/>
      <c r="AM76" s="38"/>
      <c r="AN76" s="40"/>
    </row>
    <row r="77" spans="1:44" x14ac:dyDescent="0.45">
      <c r="A77" s="131"/>
      <c r="C77" s="258"/>
      <c r="D77" s="258"/>
      <c r="F77" s="47" t="s">
        <v>146</v>
      </c>
      <c r="G77" s="140"/>
      <c r="H77" s="15"/>
      <c r="K77" s="37"/>
      <c r="L77" s="38"/>
      <c r="M77" s="39"/>
      <c r="N77" s="140"/>
      <c r="Q77" s="37"/>
      <c r="R77" s="38"/>
      <c r="S77" s="39"/>
      <c r="T77" s="140"/>
      <c r="W77" s="37"/>
      <c r="X77" s="38"/>
      <c r="Y77" s="39"/>
      <c r="Z77" s="140"/>
      <c r="AC77" s="37"/>
      <c r="AD77" s="38"/>
      <c r="AE77" s="39"/>
      <c r="AF77" s="140"/>
      <c r="AI77" s="37"/>
      <c r="AJ77" s="38"/>
      <c r="AK77" s="38"/>
      <c r="AL77" s="40"/>
      <c r="AM77" s="38"/>
      <c r="AN77" s="40"/>
      <c r="AP77" s="91"/>
      <c r="AQ77" s="91"/>
      <c r="AR77" s="91"/>
    </row>
    <row r="78" spans="1:44" x14ac:dyDescent="0.45">
      <c r="A78" s="131" t="s">
        <v>147</v>
      </c>
      <c r="B78" s="1" t="s">
        <v>138</v>
      </c>
      <c r="C78" s="258" t="s">
        <v>65</v>
      </c>
      <c r="D78" s="258" t="s">
        <v>65</v>
      </c>
      <c r="E78" s="1">
        <v>0</v>
      </c>
      <c r="F78" s="74" t="s">
        <v>139</v>
      </c>
      <c r="G78" s="141">
        <f>2*3</f>
        <v>6</v>
      </c>
      <c r="H78" s="38">
        <v>250</v>
      </c>
      <c r="I78" s="15">
        <v>1</v>
      </c>
      <c r="J78" s="131" t="s">
        <v>124</v>
      </c>
      <c r="K78" s="37">
        <f t="shared" ref="K78" si="226">I78*H78*G78</f>
        <v>1500</v>
      </c>
      <c r="L78" s="38">
        <v>0</v>
      </c>
      <c r="M78" s="39">
        <f t="shared" ref="M78:M81" si="227">SUM(K78:L78)</f>
        <v>1500</v>
      </c>
      <c r="N78" s="141">
        <f>2*(3*2)</f>
        <v>12</v>
      </c>
      <c r="O78" s="38">
        <f t="shared" ref="O78" si="228">H78*$G$7</f>
        <v>257.5</v>
      </c>
      <c r="P78" s="15">
        <v>1</v>
      </c>
      <c r="Q78" s="37">
        <f t="shared" ref="Q78:Q81" si="229">N78*O78*P78</f>
        <v>3090</v>
      </c>
      <c r="R78" s="38">
        <v>0</v>
      </c>
      <c r="S78" s="39">
        <f t="shared" ref="S78:S81" si="230">SUM(Q78:R78)</f>
        <v>3090</v>
      </c>
      <c r="T78" s="141">
        <f>2*(3*2)</f>
        <v>12</v>
      </c>
      <c r="U78" s="38">
        <f t="shared" ref="U78" si="231">H78*$G$7*$G$7</f>
        <v>265.22500000000002</v>
      </c>
      <c r="V78" s="15">
        <v>1</v>
      </c>
      <c r="W78" s="37">
        <f t="shared" ref="W78:W81" si="232">T78*U78*V78</f>
        <v>3182.7000000000003</v>
      </c>
      <c r="X78" s="38">
        <v>0</v>
      </c>
      <c r="Y78" s="39">
        <f t="shared" ref="Y78:Y81" si="233">SUM(W78:X78)</f>
        <v>3182.7000000000003</v>
      </c>
      <c r="Z78" s="141">
        <f>2*(3*2)</f>
        <v>12</v>
      </c>
      <c r="AA78" s="38">
        <f t="shared" ref="AA78" si="234">H78*$G$7*$G$7*$G$7</f>
        <v>273.18175000000002</v>
      </c>
      <c r="AB78" s="15">
        <v>1</v>
      </c>
      <c r="AC78" s="37">
        <f t="shared" ref="AC78:AC81" si="235">Z78*AA78*AB78</f>
        <v>3278.1810000000005</v>
      </c>
      <c r="AD78" s="38">
        <v>0</v>
      </c>
      <c r="AE78" s="39">
        <f t="shared" ref="AE78:AE81" si="236">SUM(AC78:AD78)</f>
        <v>3278.1810000000005</v>
      </c>
      <c r="AF78" s="141">
        <f>2*3</f>
        <v>6</v>
      </c>
      <c r="AG78" s="38">
        <f t="shared" ref="AG78" si="237">H78*$G$7*$G$7*$G$7*$G$7</f>
        <v>281.37720250000001</v>
      </c>
      <c r="AH78" s="15">
        <v>1</v>
      </c>
      <c r="AI78" s="37">
        <f t="shared" ref="AI78:AI81" si="238">AF78*AG78*AH78</f>
        <v>1688.2632149999999</v>
      </c>
      <c r="AJ78" s="38">
        <v>0</v>
      </c>
      <c r="AK78" s="38">
        <f t="shared" ref="AK78:AK81" si="239">SUM(AI78:AJ78)</f>
        <v>1688.2632149999999</v>
      </c>
      <c r="AL78" s="40">
        <f t="shared" ref="AL78" si="240">K78+Q78+W78+AC78+AI78</f>
        <v>12739.144215</v>
      </c>
      <c r="AM78" s="38">
        <f t="shared" ref="AM78:AM81" si="241">L78+R78+X78+AD78+AJ78</f>
        <v>0</v>
      </c>
      <c r="AN78" s="40">
        <f t="shared" ref="AN78:AN81" si="242">SUM(AL78:AM78)</f>
        <v>12739.144215</v>
      </c>
    </row>
    <row r="79" spans="1:44" x14ac:dyDescent="0.45">
      <c r="A79" s="131" t="s">
        <v>148</v>
      </c>
      <c r="B79" s="1">
        <v>86050</v>
      </c>
      <c r="C79" s="258" t="s">
        <v>65</v>
      </c>
      <c r="D79" s="258" t="s">
        <v>65</v>
      </c>
      <c r="E79" s="1">
        <v>0</v>
      </c>
      <c r="F79" s="74" t="s">
        <v>141</v>
      </c>
      <c r="G79" s="141">
        <f>$G$78</f>
        <v>6</v>
      </c>
      <c r="H79" s="38">
        <v>40</v>
      </c>
      <c r="I79" s="15">
        <v>5</v>
      </c>
      <c r="J79" s="131" t="s">
        <v>127</v>
      </c>
      <c r="K79" s="37">
        <f>I79*H79*G79</f>
        <v>1200</v>
      </c>
      <c r="L79" s="38">
        <v>0</v>
      </c>
      <c r="M79" s="39">
        <f t="shared" si="227"/>
        <v>1200</v>
      </c>
      <c r="N79" s="141">
        <f>$N$78</f>
        <v>12</v>
      </c>
      <c r="O79" s="38">
        <f>H79*$G$7</f>
        <v>41.2</v>
      </c>
      <c r="P79" s="15">
        <v>5</v>
      </c>
      <c r="Q79" s="37">
        <f t="shared" si="229"/>
        <v>2472</v>
      </c>
      <c r="R79" s="38">
        <v>0</v>
      </c>
      <c r="S79" s="39">
        <f t="shared" si="230"/>
        <v>2472</v>
      </c>
      <c r="T79" s="141">
        <f>$T$78</f>
        <v>12</v>
      </c>
      <c r="U79" s="38">
        <f>H79*$G$7*$G$7</f>
        <v>42.436000000000007</v>
      </c>
      <c r="V79" s="15">
        <v>5</v>
      </c>
      <c r="W79" s="37">
        <f t="shared" si="232"/>
        <v>2546.1600000000003</v>
      </c>
      <c r="X79" s="38">
        <v>0</v>
      </c>
      <c r="Y79" s="39">
        <f t="shared" si="233"/>
        <v>2546.1600000000003</v>
      </c>
      <c r="Z79" s="141">
        <f>$Z$78</f>
        <v>12</v>
      </c>
      <c r="AA79" s="38">
        <f>H79*$G$7*$G$7*$G$7</f>
        <v>43.709080000000007</v>
      </c>
      <c r="AB79" s="15">
        <v>5</v>
      </c>
      <c r="AC79" s="37">
        <f t="shared" si="235"/>
        <v>2622.5448000000006</v>
      </c>
      <c r="AD79" s="38">
        <v>0</v>
      </c>
      <c r="AE79" s="39">
        <f t="shared" si="236"/>
        <v>2622.5448000000006</v>
      </c>
      <c r="AF79" s="141">
        <f>$AF$78</f>
        <v>6</v>
      </c>
      <c r="AG79" s="38">
        <f>H79*$G$7*$G$7*$G$7*$G$7</f>
        <v>45.020352400000007</v>
      </c>
      <c r="AH79" s="15">
        <v>5</v>
      </c>
      <c r="AI79" s="37">
        <f t="shared" si="238"/>
        <v>1350.6105720000003</v>
      </c>
      <c r="AJ79" s="38">
        <v>0</v>
      </c>
      <c r="AK79" s="38">
        <f t="shared" si="239"/>
        <v>1350.6105720000003</v>
      </c>
      <c r="AL79" s="40">
        <f>K79+Q79+W79+AC79+AI79</f>
        <v>10191.315371999999</v>
      </c>
      <c r="AM79" s="38">
        <f t="shared" si="241"/>
        <v>0</v>
      </c>
      <c r="AN79" s="40">
        <f t="shared" si="242"/>
        <v>10191.315371999999</v>
      </c>
    </row>
    <row r="80" spans="1:44" x14ac:dyDescent="0.45">
      <c r="A80" s="131" t="s">
        <v>149</v>
      </c>
      <c r="B80" s="1">
        <v>86000</v>
      </c>
      <c r="C80" s="258" t="s">
        <v>65</v>
      </c>
      <c r="D80" s="258" t="s">
        <v>65</v>
      </c>
      <c r="E80" s="1">
        <v>0</v>
      </c>
      <c r="F80" s="74" t="s">
        <v>143</v>
      </c>
      <c r="G80" s="141">
        <f>$G$78</f>
        <v>6</v>
      </c>
      <c r="H80" s="38">
        <v>80</v>
      </c>
      <c r="I80" s="15">
        <v>5</v>
      </c>
      <c r="J80" s="131" t="s">
        <v>127</v>
      </c>
      <c r="K80" s="37">
        <f t="shared" ref="K80:K81" si="243">I80*H80*G80</f>
        <v>2400</v>
      </c>
      <c r="L80" s="38">
        <v>0</v>
      </c>
      <c r="M80" s="39">
        <f t="shared" si="227"/>
        <v>2400</v>
      </c>
      <c r="N80" s="141">
        <f>$N$78</f>
        <v>12</v>
      </c>
      <c r="O80" s="38">
        <f t="shared" ref="O80:O81" si="244">H80*$G$7</f>
        <v>82.4</v>
      </c>
      <c r="P80" s="15">
        <v>5</v>
      </c>
      <c r="Q80" s="37">
        <f t="shared" si="229"/>
        <v>4944</v>
      </c>
      <c r="R80" s="38">
        <v>0</v>
      </c>
      <c r="S80" s="39">
        <f t="shared" si="230"/>
        <v>4944</v>
      </c>
      <c r="T80" s="141">
        <f>$T$78</f>
        <v>12</v>
      </c>
      <c r="U80" s="38">
        <f t="shared" ref="U80:U81" si="245">H80*$G$7*$G$7</f>
        <v>84.872000000000014</v>
      </c>
      <c r="V80" s="15">
        <v>5</v>
      </c>
      <c r="W80" s="37">
        <f t="shared" si="232"/>
        <v>5092.3200000000006</v>
      </c>
      <c r="X80" s="38">
        <v>0</v>
      </c>
      <c r="Y80" s="39">
        <f t="shared" si="233"/>
        <v>5092.3200000000006</v>
      </c>
      <c r="Z80" s="141">
        <f>$Z$78</f>
        <v>12</v>
      </c>
      <c r="AA80" s="38">
        <f t="shared" ref="AA80:AA81" si="246">H80*$G$7*$G$7*$G$7</f>
        <v>87.418160000000015</v>
      </c>
      <c r="AB80" s="15">
        <v>5</v>
      </c>
      <c r="AC80" s="37">
        <f t="shared" si="235"/>
        <v>5245.0896000000012</v>
      </c>
      <c r="AD80" s="38">
        <v>0</v>
      </c>
      <c r="AE80" s="39">
        <f t="shared" si="236"/>
        <v>5245.0896000000012</v>
      </c>
      <c r="AF80" s="141">
        <f>$AF$78</f>
        <v>6</v>
      </c>
      <c r="AG80" s="38">
        <f t="shared" ref="AG80:AG81" si="247">H80*$G$7*$G$7*$G$7*$G$7</f>
        <v>90.040704800000015</v>
      </c>
      <c r="AH80" s="15">
        <v>5</v>
      </c>
      <c r="AI80" s="37">
        <f t="shared" si="238"/>
        <v>2701.2211440000005</v>
      </c>
      <c r="AJ80" s="38">
        <v>0</v>
      </c>
      <c r="AK80" s="38">
        <f t="shared" si="239"/>
        <v>2701.2211440000005</v>
      </c>
      <c r="AL80" s="40">
        <f t="shared" ref="AL80:AL81" si="248">K80+Q80+W80+AC80+AI80</f>
        <v>20382.630743999998</v>
      </c>
      <c r="AM80" s="38">
        <f t="shared" si="241"/>
        <v>0</v>
      </c>
      <c r="AN80" s="40">
        <f t="shared" si="242"/>
        <v>20382.630743999998</v>
      </c>
    </row>
    <row r="81" spans="1:44" x14ac:dyDescent="0.45">
      <c r="A81" s="131" t="s">
        <v>150</v>
      </c>
      <c r="B81" s="1">
        <v>86050</v>
      </c>
      <c r="C81" s="258" t="s">
        <v>65</v>
      </c>
      <c r="D81" s="258" t="s">
        <v>65</v>
      </c>
      <c r="E81" s="1">
        <v>0</v>
      </c>
      <c r="F81" s="74" t="s">
        <v>145</v>
      </c>
      <c r="G81" s="141">
        <f>$G$78</f>
        <v>6</v>
      </c>
      <c r="H81" s="38">
        <v>25</v>
      </c>
      <c r="I81" s="15">
        <v>1</v>
      </c>
      <c r="J81" s="131" t="s">
        <v>124</v>
      </c>
      <c r="K81" s="37">
        <f t="shared" si="243"/>
        <v>150</v>
      </c>
      <c r="L81" s="38">
        <v>0</v>
      </c>
      <c r="M81" s="39">
        <f t="shared" si="227"/>
        <v>150</v>
      </c>
      <c r="N81" s="141">
        <f>$N$78</f>
        <v>12</v>
      </c>
      <c r="O81" s="38">
        <f t="shared" si="244"/>
        <v>25.75</v>
      </c>
      <c r="P81" s="15">
        <v>1</v>
      </c>
      <c r="Q81" s="37">
        <f t="shared" si="229"/>
        <v>309</v>
      </c>
      <c r="R81" s="38">
        <v>0</v>
      </c>
      <c r="S81" s="39">
        <f t="shared" si="230"/>
        <v>309</v>
      </c>
      <c r="T81" s="141">
        <f>$T$78</f>
        <v>12</v>
      </c>
      <c r="U81" s="38">
        <f t="shared" si="245"/>
        <v>26.522500000000001</v>
      </c>
      <c r="V81" s="15">
        <v>1</v>
      </c>
      <c r="W81" s="37">
        <f t="shared" si="232"/>
        <v>318.27</v>
      </c>
      <c r="X81" s="38">
        <v>0</v>
      </c>
      <c r="Y81" s="39">
        <f t="shared" si="233"/>
        <v>318.27</v>
      </c>
      <c r="Z81" s="141">
        <f>$Z$78</f>
        <v>12</v>
      </c>
      <c r="AA81" s="38">
        <f t="shared" si="246"/>
        <v>27.318175</v>
      </c>
      <c r="AB81" s="15">
        <v>1</v>
      </c>
      <c r="AC81" s="37">
        <f t="shared" si="235"/>
        <v>327.81810000000002</v>
      </c>
      <c r="AD81" s="38">
        <v>0</v>
      </c>
      <c r="AE81" s="39">
        <f t="shared" si="236"/>
        <v>327.81810000000002</v>
      </c>
      <c r="AF81" s="141">
        <f>$AF$78</f>
        <v>6</v>
      </c>
      <c r="AG81" s="38">
        <f t="shared" si="247"/>
        <v>28.137720250000001</v>
      </c>
      <c r="AH81" s="15">
        <v>1</v>
      </c>
      <c r="AI81" s="37">
        <f t="shared" si="238"/>
        <v>168.82632150000001</v>
      </c>
      <c r="AJ81" s="38">
        <v>0</v>
      </c>
      <c r="AK81" s="38">
        <f t="shared" si="239"/>
        <v>168.82632150000001</v>
      </c>
      <c r="AL81" s="40">
        <f t="shared" si="248"/>
        <v>1273.9144214999999</v>
      </c>
      <c r="AM81" s="38">
        <f t="shared" si="241"/>
        <v>0</v>
      </c>
      <c r="AN81" s="40">
        <f t="shared" si="242"/>
        <v>1273.9144214999999</v>
      </c>
    </row>
    <row r="82" spans="1:44" x14ac:dyDescent="0.45">
      <c r="A82" s="131"/>
      <c r="C82" s="258"/>
      <c r="D82" s="258"/>
      <c r="F82" s="74"/>
      <c r="G82" s="141"/>
      <c r="H82" s="38"/>
      <c r="I82" s="15"/>
      <c r="J82" s="131"/>
      <c r="K82" s="37"/>
      <c r="L82" s="38"/>
      <c r="M82" s="39"/>
      <c r="N82" s="141"/>
      <c r="O82" s="38"/>
      <c r="P82" s="15"/>
      <c r="Q82" s="37"/>
      <c r="R82" s="38"/>
      <c r="S82" s="39"/>
      <c r="T82" s="141"/>
      <c r="U82" s="38"/>
      <c r="V82" s="15"/>
      <c r="W82" s="37"/>
      <c r="X82" s="38"/>
      <c r="Y82" s="39"/>
      <c r="Z82" s="141"/>
      <c r="AA82" s="38"/>
      <c r="AB82" s="15"/>
      <c r="AC82" s="37"/>
      <c r="AD82" s="38"/>
      <c r="AE82" s="39"/>
      <c r="AF82" s="141"/>
      <c r="AG82" s="38"/>
      <c r="AH82" s="15"/>
      <c r="AI82" s="37"/>
      <c r="AJ82" s="38"/>
      <c r="AK82" s="38"/>
      <c r="AL82" s="40"/>
      <c r="AM82" s="38"/>
      <c r="AN82" s="40"/>
    </row>
    <row r="83" spans="1:44" x14ac:dyDescent="0.45">
      <c r="A83" s="131"/>
      <c r="C83" s="258"/>
      <c r="D83" s="258"/>
      <c r="F83" s="47" t="s">
        <v>151</v>
      </c>
      <c r="G83" s="140"/>
      <c r="H83" s="15"/>
      <c r="K83" s="37"/>
      <c r="L83" s="38"/>
      <c r="M83" s="39"/>
      <c r="N83" s="140"/>
      <c r="Q83" s="37"/>
      <c r="R83" s="38"/>
      <c r="S83" s="39"/>
      <c r="T83" s="140"/>
      <c r="W83" s="37"/>
      <c r="X83" s="38"/>
      <c r="Y83" s="39"/>
      <c r="Z83" s="140"/>
      <c r="AC83" s="37"/>
      <c r="AD83" s="38"/>
      <c r="AE83" s="39"/>
      <c r="AF83" s="140"/>
      <c r="AI83" s="37"/>
      <c r="AJ83" s="38"/>
      <c r="AK83" s="38"/>
      <c r="AL83" s="40"/>
      <c r="AM83" s="38"/>
      <c r="AN83" s="40"/>
      <c r="AP83" s="91"/>
      <c r="AQ83" s="91"/>
      <c r="AR83" s="91"/>
    </row>
    <row r="84" spans="1:44" x14ac:dyDescent="0.45">
      <c r="A84" s="131" t="s">
        <v>152</v>
      </c>
      <c r="B84" s="1">
        <v>86000</v>
      </c>
      <c r="C84" s="258" t="s">
        <v>65</v>
      </c>
      <c r="D84" s="258" t="s">
        <v>65</v>
      </c>
      <c r="E84" s="1">
        <v>0</v>
      </c>
      <c r="F84" s="74" t="s">
        <v>153</v>
      </c>
      <c r="G84" s="141">
        <v>3</v>
      </c>
      <c r="H84" s="38">
        <v>300</v>
      </c>
      <c r="I84" s="15">
        <v>6</v>
      </c>
      <c r="J84" s="131" t="s">
        <v>107</v>
      </c>
      <c r="K84" s="37">
        <f t="shared" ref="K84" si="249">I84*H84*G84</f>
        <v>5400</v>
      </c>
      <c r="L84" s="38">
        <v>0</v>
      </c>
      <c r="M84" s="39">
        <f t="shared" ref="M84" si="250">SUM(K84:L84)</f>
        <v>5400</v>
      </c>
      <c r="N84" s="141">
        <v>3</v>
      </c>
      <c r="O84" s="38">
        <f t="shared" ref="O84" si="251">H84*$G$7</f>
        <v>309</v>
      </c>
      <c r="P84" s="15">
        <v>12</v>
      </c>
      <c r="Q84" s="37">
        <f t="shared" ref="Q84" si="252">N84*O84*P84</f>
        <v>11124</v>
      </c>
      <c r="R84" s="38">
        <v>0</v>
      </c>
      <c r="S84" s="39">
        <f t="shared" ref="S84" si="253">SUM(Q84:R84)</f>
        <v>11124</v>
      </c>
      <c r="T84" s="141">
        <v>3</v>
      </c>
      <c r="U84" s="38">
        <f t="shared" ref="U84" si="254">H84*$G$7*$G$7</f>
        <v>318.27</v>
      </c>
      <c r="V84" s="15">
        <v>12</v>
      </c>
      <c r="W84" s="37">
        <f t="shared" ref="W84" si="255">T84*U84*V84</f>
        <v>11457.72</v>
      </c>
      <c r="X84" s="38">
        <v>0</v>
      </c>
      <c r="Y84" s="39">
        <f t="shared" ref="Y84" si="256">SUM(W84:X84)</f>
        <v>11457.72</v>
      </c>
      <c r="Z84" s="141">
        <v>3</v>
      </c>
      <c r="AA84" s="38">
        <f t="shared" ref="AA84" si="257">H84*$G$7*$G$7*$G$7</f>
        <v>327.81810000000002</v>
      </c>
      <c r="AB84" s="15">
        <v>12</v>
      </c>
      <c r="AC84" s="37">
        <f t="shared" ref="AC84" si="258">Z84*AA84*AB84</f>
        <v>11801.4516</v>
      </c>
      <c r="AD84" s="38">
        <v>0</v>
      </c>
      <c r="AE84" s="39">
        <f t="shared" ref="AE84" si="259">SUM(AC84:AD84)</f>
        <v>11801.4516</v>
      </c>
      <c r="AF84" s="141">
        <v>3</v>
      </c>
      <c r="AG84" s="38">
        <f t="shared" ref="AG84" si="260">H84*$G$7*$G$7*$G$7*$G$7</f>
        <v>337.65264300000001</v>
      </c>
      <c r="AH84" s="15">
        <v>9</v>
      </c>
      <c r="AI84" s="37">
        <f t="shared" ref="AI84" si="261">AF84*AG84*AH84</f>
        <v>9116.6213609999995</v>
      </c>
      <c r="AJ84" s="38">
        <v>0</v>
      </c>
      <c r="AK84" s="38">
        <f t="shared" ref="AK84" si="262">SUM(AI84:AJ84)</f>
        <v>9116.6213609999995</v>
      </c>
      <c r="AL84" s="40">
        <f t="shared" ref="AL84" si="263">K84+Q84+W84+AC84+AI84</f>
        <v>48899.792960999999</v>
      </c>
      <c r="AM84" s="38">
        <f t="shared" ref="AM84" si="264">L84+R84+X84+AD84+AJ84</f>
        <v>0</v>
      </c>
      <c r="AN84" s="40">
        <f t="shared" ref="AN84" si="265">SUM(AL84:AM84)</f>
        <v>48899.792960999999</v>
      </c>
    </row>
    <row r="85" spans="1:44" x14ac:dyDescent="0.45">
      <c r="A85" s="131"/>
      <c r="C85" s="258"/>
      <c r="D85" s="258"/>
      <c r="F85" s="74"/>
      <c r="G85" s="141"/>
      <c r="H85" s="38"/>
      <c r="I85" s="15"/>
      <c r="J85" s="131"/>
      <c r="K85" s="37"/>
      <c r="L85" s="38"/>
      <c r="M85" s="38"/>
      <c r="N85" s="141"/>
      <c r="O85" s="38"/>
      <c r="P85" s="15"/>
      <c r="Q85" s="37"/>
      <c r="R85" s="38"/>
      <c r="S85" s="38"/>
      <c r="T85" s="141"/>
      <c r="U85" s="38"/>
      <c r="V85" s="15"/>
      <c r="W85" s="37"/>
      <c r="X85" s="38"/>
      <c r="Y85" s="38"/>
      <c r="Z85" s="141"/>
      <c r="AA85" s="38"/>
      <c r="AB85" s="15"/>
      <c r="AC85" s="37"/>
      <c r="AD85" s="38"/>
      <c r="AE85" s="38"/>
      <c r="AF85" s="141"/>
      <c r="AG85" s="38"/>
      <c r="AH85" s="15"/>
      <c r="AI85" s="37"/>
      <c r="AJ85" s="38"/>
      <c r="AK85" s="38"/>
      <c r="AL85" s="40"/>
      <c r="AM85" s="38"/>
      <c r="AN85" s="40"/>
    </row>
    <row r="86" spans="1:44" x14ac:dyDescent="0.45">
      <c r="A86" s="131"/>
      <c r="C86" s="258"/>
      <c r="D86" s="258"/>
      <c r="F86" s="47" t="s">
        <v>154</v>
      </c>
      <c r="G86" s="140"/>
      <c r="H86" s="15"/>
      <c r="K86" s="37"/>
      <c r="L86" s="38"/>
      <c r="M86" s="39"/>
      <c r="N86" s="140"/>
      <c r="Q86" s="37"/>
      <c r="R86" s="38"/>
      <c r="S86" s="39"/>
      <c r="T86" s="140"/>
      <c r="W86" s="37"/>
      <c r="X86" s="38"/>
      <c r="Y86" s="39"/>
      <c r="Z86" s="140"/>
      <c r="AC86" s="37"/>
      <c r="AD86" s="38"/>
      <c r="AE86" s="39"/>
      <c r="AF86" s="140"/>
      <c r="AI86" s="37"/>
      <c r="AJ86" s="38"/>
      <c r="AK86" s="38"/>
      <c r="AL86" s="40"/>
      <c r="AM86" s="38"/>
      <c r="AN86" s="40"/>
      <c r="AP86" s="91"/>
      <c r="AQ86" s="91"/>
      <c r="AR86" s="91"/>
    </row>
    <row r="87" spans="1:44" x14ac:dyDescent="0.45">
      <c r="A87" s="131" t="s">
        <v>155</v>
      </c>
      <c r="B87" s="1" t="s">
        <v>138</v>
      </c>
      <c r="C87" s="258" t="s">
        <v>65</v>
      </c>
      <c r="D87" s="258" t="s">
        <v>65</v>
      </c>
      <c r="E87" s="1">
        <v>0</v>
      </c>
      <c r="F87" s="74" t="s">
        <v>156</v>
      </c>
      <c r="G87" s="141">
        <v>5</v>
      </c>
      <c r="H87" s="38">
        <v>80</v>
      </c>
      <c r="I87" s="15">
        <v>1</v>
      </c>
      <c r="J87" s="131" t="s">
        <v>124</v>
      </c>
      <c r="K87" s="37">
        <f t="shared" ref="K87" si="266">I87*H87*G87</f>
        <v>400</v>
      </c>
      <c r="L87" s="38">
        <v>0</v>
      </c>
      <c r="M87" s="39">
        <f t="shared" ref="M87:M90" si="267">SUM(K87:L87)</f>
        <v>400</v>
      </c>
      <c r="N87" s="141">
        <v>5</v>
      </c>
      <c r="O87" s="38">
        <f t="shared" ref="O87" si="268">H87*$G$7</f>
        <v>82.4</v>
      </c>
      <c r="P87" s="15">
        <v>1</v>
      </c>
      <c r="Q87" s="37">
        <f t="shared" ref="Q87:Q90" si="269">N87*O87*P87</f>
        <v>412</v>
      </c>
      <c r="R87" s="38">
        <v>0</v>
      </c>
      <c r="S87" s="39">
        <f t="shared" ref="S87:S90" si="270">SUM(Q87:R87)</f>
        <v>412</v>
      </c>
      <c r="T87" s="141">
        <v>5</v>
      </c>
      <c r="U87" s="38">
        <f t="shared" ref="U87" si="271">H87*$G$7*$G$7</f>
        <v>84.872000000000014</v>
      </c>
      <c r="V87" s="15">
        <v>1</v>
      </c>
      <c r="W87" s="37">
        <f t="shared" ref="W87:W90" si="272">T87*U87*V87</f>
        <v>424.36000000000007</v>
      </c>
      <c r="X87" s="38">
        <v>0</v>
      </c>
      <c r="Y87" s="39">
        <f t="shared" ref="Y87:Y90" si="273">SUM(W87:X87)</f>
        <v>424.36000000000007</v>
      </c>
      <c r="Z87" s="141">
        <v>5</v>
      </c>
      <c r="AA87" s="38">
        <f t="shared" ref="AA87" si="274">H87*$G$7*$G$7*$G$7</f>
        <v>87.418160000000015</v>
      </c>
      <c r="AB87" s="15">
        <v>1</v>
      </c>
      <c r="AC87" s="37">
        <f>Z87*AA87*AB87</f>
        <v>437.09080000000006</v>
      </c>
      <c r="AD87" s="38">
        <v>0</v>
      </c>
      <c r="AE87" s="39">
        <f t="shared" ref="AE87:AE90" si="275">SUM(AC87:AD87)</f>
        <v>437.09080000000006</v>
      </c>
      <c r="AF87" s="141">
        <v>5</v>
      </c>
      <c r="AG87" s="38">
        <f t="shared" ref="AG87" si="276">H87*$G$7*$G$7*$G$7*$G$7</f>
        <v>90.040704800000015</v>
      </c>
      <c r="AH87" s="15">
        <v>1</v>
      </c>
      <c r="AI87" s="37">
        <f t="shared" ref="AI87:AI90" si="277">AF87*AG87*AH87</f>
        <v>450.20352400000007</v>
      </c>
      <c r="AJ87" s="38">
        <v>0</v>
      </c>
      <c r="AK87" s="38">
        <f t="shared" ref="AK87:AK90" si="278">SUM(AI87:AJ87)</f>
        <v>450.20352400000007</v>
      </c>
      <c r="AL87" s="40">
        <f>K87+Q87+W87+AC87+AI87</f>
        <v>2123.6543240000001</v>
      </c>
      <c r="AM87" s="38">
        <f t="shared" ref="AM87:AM90" si="279">L87+R87+X87+AD87+AJ87</f>
        <v>0</v>
      </c>
      <c r="AN87" s="40">
        <f t="shared" ref="AN87:AN90" si="280">SUM(AL87:AM87)</f>
        <v>2123.6543240000001</v>
      </c>
    </row>
    <row r="88" spans="1:44" x14ac:dyDescent="0.45">
      <c r="A88" s="131" t="s">
        <v>157</v>
      </c>
      <c r="B88" s="1">
        <v>86050</v>
      </c>
      <c r="C88" s="258" t="s">
        <v>65</v>
      </c>
      <c r="D88" s="258" t="s">
        <v>65</v>
      </c>
      <c r="E88" s="1">
        <v>0</v>
      </c>
      <c r="F88" s="74" t="s">
        <v>158</v>
      </c>
      <c r="G88" s="141">
        <f>$G$87</f>
        <v>5</v>
      </c>
      <c r="H88" s="38">
        <v>40</v>
      </c>
      <c r="I88" s="15">
        <v>2</v>
      </c>
      <c r="J88" s="131" t="s">
        <v>127</v>
      </c>
      <c r="K88" s="37">
        <f>I88*H88*G88</f>
        <v>400</v>
      </c>
      <c r="L88" s="38">
        <v>0</v>
      </c>
      <c r="M88" s="39">
        <f t="shared" si="267"/>
        <v>400</v>
      </c>
      <c r="N88" s="141">
        <f>$N$87</f>
        <v>5</v>
      </c>
      <c r="O88" s="38">
        <f>H88*$G$7</f>
        <v>41.2</v>
      </c>
      <c r="P88" s="15">
        <v>2</v>
      </c>
      <c r="Q88" s="37">
        <f t="shared" si="269"/>
        <v>412</v>
      </c>
      <c r="R88" s="38">
        <v>0</v>
      </c>
      <c r="S88" s="39">
        <f t="shared" si="270"/>
        <v>412</v>
      </c>
      <c r="T88" s="141">
        <f>$T$87</f>
        <v>5</v>
      </c>
      <c r="U88" s="38">
        <f>H88*$G$7*$G$7</f>
        <v>42.436000000000007</v>
      </c>
      <c r="V88" s="15">
        <v>2</v>
      </c>
      <c r="W88" s="37">
        <f t="shared" si="272"/>
        <v>424.36000000000007</v>
      </c>
      <c r="X88" s="38">
        <v>0</v>
      </c>
      <c r="Y88" s="39">
        <f t="shared" si="273"/>
        <v>424.36000000000007</v>
      </c>
      <c r="Z88" s="141">
        <f>$Z$87</f>
        <v>5</v>
      </c>
      <c r="AA88" s="38">
        <f>H88*$G$7*$G$7*$G$7</f>
        <v>43.709080000000007</v>
      </c>
      <c r="AB88" s="15">
        <v>2</v>
      </c>
      <c r="AC88" s="37">
        <f t="shared" ref="AC88:AC90" si="281">Z88*AA88*AB88</f>
        <v>437.09080000000006</v>
      </c>
      <c r="AD88" s="38">
        <v>0</v>
      </c>
      <c r="AE88" s="39">
        <f t="shared" si="275"/>
        <v>437.09080000000006</v>
      </c>
      <c r="AF88" s="141">
        <f>$AF$87</f>
        <v>5</v>
      </c>
      <c r="AG88" s="38">
        <f>H88*$G$7*$G$7*$G$7*$G$7</f>
        <v>45.020352400000007</v>
      </c>
      <c r="AH88" s="15">
        <v>2</v>
      </c>
      <c r="AI88" s="37">
        <f t="shared" si="277"/>
        <v>450.20352400000007</v>
      </c>
      <c r="AJ88" s="38">
        <v>0</v>
      </c>
      <c r="AK88" s="38">
        <f t="shared" si="278"/>
        <v>450.20352400000007</v>
      </c>
      <c r="AL88" s="40">
        <f>K88+Q88+W88+AC88+AI88</f>
        <v>2123.6543240000001</v>
      </c>
      <c r="AM88" s="38">
        <f t="shared" si="279"/>
        <v>0</v>
      </c>
      <c r="AN88" s="40">
        <f t="shared" si="280"/>
        <v>2123.6543240000001</v>
      </c>
    </row>
    <row r="89" spans="1:44" x14ac:dyDescent="0.45">
      <c r="A89" s="131" t="s">
        <v>159</v>
      </c>
      <c r="B89" s="1">
        <v>86000</v>
      </c>
      <c r="C89" s="258" t="s">
        <v>65</v>
      </c>
      <c r="D89" s="258" t="s">
        <v>65</v>
      </c>
      <c r="E89" s="1">
        <v>0</v>
      </c>
      <c r="F89" s="74" t="s">
        <v>160</v>
      </c>
      <c r="G89" s="141">
        <f>$G$87</f>
        <v>5</v>
      </c>
      <c r="H89" s="38">
        <v>80</v>
      </c>
      <c r="I89" s="15">
        <v>2</v>
      </c>
      <c r="J89" s="131" t="s">
        <v>127</v>
      </c>
      <c r="K89" s="37">
        <f t="shared" ref="K89:K90" si="282">I89*H89*G89</f>
        <v>800</v>
      </c>
      <c r="L89" s="38">
        <v>0</v>
      </c>
      <c r="M89" s="39">
        <f t="shared" si="267"/>
        <v>800</v>
      </c>
      <c r="N89" s="141">
        <f>$N$87</f>
        <v>5</v>
      </c>
      <c r="O89" s="38">
        <f t="shared" ref="O89:O90" si="283">H89*$G$7</f>
        <v>82.4</v>
      </c>
      <c r="P89" s="15">
        <v>2</v>
      </c>
      <c r="Q89" s="37">
        <f t="shared" si="269"/>
        <v>824</v>
      </c>
      <c r="R89" s="38">
        <v>0</v>
      </c>
      <c r="S89" s="39">
        <f t="shared" si="270"/>
        <v>824</v>
      </c>
      <c r="T89" s="141">
        <f>$T$87</f>
        <v>5</v>
      </c>
      <c r="U89" s="38">
        <f t="shared" ref="U89:U90" si="284">H89*$G$7*$G$7</f>
        <v>84.872000000000014</v>
      </c>
      <c r="V89" s="15">
        <v>2</v>
      </c>
      <c r="W89" s="37">
        <f t="shared" si="272"/>
        <v>848.72000000000014</v>
      </c>
      <c r="X89" s="38">
        <v>0</v>
      </c>
      <c r="Y89" s="39">
        <f t="shared" si="273"/>
        <v>848.72000000000014</v>
      </c>
      <c r="Z89" s="141">
        <f>$Z$87</f>
        <v>5</v>
      </c>
      <c r="AA89" s="38">
        <f t="shared" ref="AA89:AA90" si="285">H89*$G$7*$G$7*$G$7</f>
        <v>87.418160000000015</v>
      </c>
      <c r="AB89" s="15">
        <v>2</v>
      </c>
      <c r="AC89" s="37">
        <f t="shared" si="281"/>
        <v>874.18160000000012</v>
      </c>
      <c r="AD89" s="38">
        <v>0</v>
      </c>
      <c r="AE89" s="39">
        <f t="shared" si="275"/>
        <v>874.18160000000012</v>
      </c>
      <c r="AF89" s="141">
        <f>$AF$87</f>
        <v>5</v>
      </c>
      <c r="AG89" s="38">
        <f t="shared" ref="AG89:AG90" si="286">H89*$G$7*$G$7*$G$7*$G$7</f>
        <v>90.040704800000015</v>
      </c>
      <c r="AH89" s="15">
        <v>2</v>
      </c>
      <c r="AI89" s="37">
        <f t="shared" si="277"/>
        <v>900.40704800000015</v>
      </c>
      <c r="AJ89" s="38">
        <v>0</v>
      </c>
      <c r="AK89" s="38">
        <f t="shared" si="278"/>
        <v>900.40704800000015</v>
      </c>
      <c r="AL89" s="40">
        <f t="shared" ref="AL89:AL90" si="287">K89+Q89+W89+AC89+AI89</f>
        <v>4247.3086480000002</v>
      </c>
      <c r="AM89" s="38">
        <f t="shared" si="279"/>
        <v>0</v>
      </c>
      <c r="AN89" s="40">
        <f t="shared" si="280"/>
        <v>4247.3086480000002</v>
      </c>
    </row>
    <row r="90" spans="1:44" x14ac:dyDescent="0.45">
      <c r="A90" s="131" t="s">
        <v>161</v>
      </c>
      <c r="B90" s="1">
        <v>86050</v>
      </c>
      <c r="C90" s="258" t="s">
        <v>65</v>
      </c>
      <c r="D90" s="258" t="s">
        <v>65</v>
      </c>
      <c r="E90" s="1">
        <v>0</v>
      </c>
      <c r="F90" s="74" t="s">
        <v>162</v>
      </c>
      <c r="G90" s="141">
        <f>$G$87</f>
        <v>5</v>
      </c>
      <c r="H90" s="38">
        <v>25</v>
      </c>
      <c r="I90" s="15">
        <v>1</v>
      </c>
      <c r="J90" s="131" t="s">
        <v>124</v>
      </c>
      <c r="K90" s="37">
        <f t="shared" si="282"/>
        <v>125</v>
      </c>
      <c r="L90" s="38">
        <v>0</v>
      </c>
      <c r="M90" s="39">
        <f t="shared" si="267"/>
        <v>125</v>
      </c>
      <c r="N90" s="141">
        <f>$N$87</f>
        <v>5</v>
      </c>
      <c r="O90" s="38">
        <f t="shared" si="283"/>
        <v>25.75</v>
      </c>
      <c r="P90" s="15">
        <v>1</v>
      </c>
      <c r="Q90" s="37">
        <f t="shared" si="269"/>
        <v>128.75</v>
      </c>
      <c r="R90" s="38">
        <v>0</v>
      </c>
      <c r="S90" s="39">
        <f t="shared" si="270"/>
        <v>128.75</v>
      </c>
      <c r="T90" s="141">
        <f>$T$87</f>
        <v>5</v>
      </c>
      <c r="U90" s="38">
        <f t="shared" si="284"/>
        <v>26.522500000000001</v>
      </c>
      <c r="V90" s="15">
        <v>1</v>
      </c>
      <c r="W90" s="37">
        <f t="shared" si="272"/>
        <v>132.61250000000001</v>
      </c>
      <c r="X90" s="38">
        <v>0</v>
      </c>
      <c r="Y90" s="39">
        <f t="shared" si="273"/>
        <v>132.61250000000001</v>
      </c>
      <c r="Z90" s="141">
        <f>$Z$87</f>
        <v>5</v>
      </c>
      <c r="AA90" s="38">
        <f t="shared" si="285"/>
        <v>27.318175</v>
      </c>
      <c r="AB90" s="15">
        <v>1</v>
      </c>
      <c r="AC90" s="37">
        <f t="shared" si="281"/>
        <v>136.59087500000001</v>
      </c>
      <c r="AD90" s="38">
        <v>0</v>
      </c>
      <c r="AE90" s="39">
        <f t="shared" si="275"/>
        <v>136.59087500000001</v>
      </c>
      <c r="AF90" s="141">
        <f>$AF$87</f>
        <v>5</v>
      </c>
      <c r="AG90" s="38">
        <f t="shared" si="286"/>
        <v>28.137720250000001</v>
      </c>
      <c r="AH90" s="15">
        <v>1</v>
      </c>
      <c r="AI90" s="37">
        <f t="shared" si="277"/>
        <v>140.68860125</v>
      </c>
      <c r="AJ90" s="38">
        <v>0</v>
      </c>
      <c r="AK90" s="38">
        <f t="shared" si="278"/>
        <v>140.68860125</v>
      </c>
      <c r="AL90" s="40">
        <f t="shared" si="287"/>
        <v>663.64197625000008</v>
      </c>
      <c r="AM90" s="38">
        <f t="shared" si="279"/>
        <v>0</v>
      </c>
      <c r="AN90" s="40">
        <f t="shared" si="280"/>
        <v>663.64197625000008</v>
      </c>
    </row>
    <row r="91" spans="1:44" x14ac:dyDescent="0.45">
      <c r="A91" s="131"/>
      <c r="C91" s="258"/>
      <c r="D91" s="258"/>
      <c r="F91" s="74"/>
      <c r="G91" s="141"/>
      <c r="H91" s="38"/>
      <c r="I91" s="15"/>
      <c r="J91" s="131"/>
      <c r="K91" s="37"/>
      <c r="L91" s="38"/>
      <c r="M91" s="38"/>
      <c r="N91" s="141"/>
      <c r="O91" s="38"/>
      <c r="P91" s="15"/>
      <c r="Q91" s="37"/>
      <c r="R91" s="38"/>
      <c r="S91" s="38"/>
      <c r="T91" s="141"/>
      <c r="U91" s="38"/>
      <c r="V91" s="15"/>
      <c r="W91" s="37"/>
      <c r="X91" s="38"/>
      <c r="Y91" s="38"/>
      <c r="Z91" s="141"/>
      <c r="AA91" s="38"/>
      <c r="AB91" s="15"/>
      <c r="AC91" s="37"/>
      <c r="AD91" s="38"/>
      <c r="AE91" s="38"/>
      <c r="AF91" s="141"/>
      <c r="AG91" s="38"/>
      <c r="AH91" s="15"/>
      <c r="AI91" s="37"/>
      <c r="AJ91" s="38"/>
      <c r="AK91" s="38"/>
      <c r="AL91" s="40"/>
      <c r="AM91" s="38"/>
      <c r="AN91" s="40"/>
    </row>
    <row r="92" spans="1:44" x14ac:dyDescent="0.45">
      <c r="A92" s="131"/>
      <c r="C92" s="258"/>
      <c r="D92" s="258"/>
      <c r="F92" s="47" t="s">
        <v>163</v>
      </c>
      <c r="G92" s="140"/>
      <c r="H92" s="15"/>
      <c r="K92" s="37"/>
      <c r="L92" s="38"/>
      <c r="M92" s="39"/>
      <c r="N92" s="140"/>
      <c r="Q92" s="37"/>
      <c r="R92" s="38"/>
      <c r="S92" s="39"/>
      <c r="T92" s="140"/>
      <c r="W92" s="37"/>
      <c r="X92" s="38"/>
      <c r="Y92" s="39"/>
      <c r="Z92" s="140"/>
      <c r="AC92" s="37"/>
      <c r="AD92" s="38"/>
      <c r="AE92" s="39"/>
      <c r="AF92" s="140"/>
      <c r="AI92" s="37"/>
      <c r="AJ92" s="38"/>
      <c r="AK92" s="38"/>
      <c r="AL92" s="40"/>
      <c r="AM92" s="38"/>
      <c r="AN92" s="40"/>
      <c r="AP92" s="91"/>
      <c r="AQ92" s="91"/>
      <c r="AR92" s="91"/>
    </row>
    <row r="93" spans="1:44" x14ac:dyDescent="0.45">
      <c r="A93" s="131" t="s">
        <v>164</v>
      </c>
      <c r="B93" s="1" t="s">
        <v>138</v>
      </c>
      <c r="C93" s="258" t="s">
        <v>65</v>
      </c>
      <c r="D93" s="258" t="s">
        <v>65</v>
      </c>
      <c r="E93" s="1">
        <v>0</v>
      </c>
      <c r="F93" s="74" t="s">
        <v>156</v>
      </c>
      <c r="G93" s="141">
        <v>5</v>
      </c>
      <c r="H93" s="38">
        <v>50</v>
      </c>
      <c r="I93" s="15">
        <v>1</v>
      </c>
      <c r="J93" s="131" t="s">
        <v>124</v>
      </c>
      <c r="K93" s="37">
        <f t="shared" ref="K93" si="288">I93*H93*G93</f>
        <v>250</v>
      </c>
      <c r="L93" s="38">
        <v>0</v>
      </c>
      <c r="M93" s="39">
        <f t="shared" ref="M93:M96" si="289">SUM(K93:L93)</f>
        <v>250</v>
      </c>
      <c r="N93" s="141">
        <v>0</v>
      </c>
      <c r="O93" s="38">
        <f t="shared" ref="O93" si="290">H93*$G$7</f>
        <v>51.5</v>
      </c>
      <c r="P93" s="15">
        <v>1</v>
      </c>
      <c r="Q93" s="37">
        <f t="shared" ref="Q93:Q96" si="291">N93*O93*P93</f>
        <v>0</v>
      </c>
      <c r="R93" s="38">
        <v>0</v>
      </c>
      <c r="S93" s="39">
        <f t="shared" ref="S93:S96" si="292">SUM(Q93:R93)</f>
        <v>0</v>
      </c>
      <c r="T93" s="141">
        <v>5</v>
      </c>
      <c r="U93" s="38">
        <f t="shared" ref="U93" si="293">H93*$G$7*$G$7</f>
        <v>53.045000000000002</v>
      </c>
      <c r="V93" s="15">
        <v>1</v>
      </c>
      <c r="W93" s="37">
        <f t="shared" ref="W93:W96" si="294">T93*U93*V93</f>
        <v>265.22500000000002</v>
      </c>
      <c r="X93" s="38">
        <v>0</v>
      </c>
      <c r="Y93" s="39">
        <f t="shared" ref="Y93:Y96" si="295">SUM(W93:X93)</f>
        <v>265.22500000000002</v>
      </c>
      <c r="Z93" s="141">
        <v>0</v>
      </c>
      <c r="AA93" s="38">
        <f t="shared" ref="AA93" si="296">H93*$G$7*$G$7*$G$7</f>
        <v>54.63635</v>
      </c>
      <c r="AB93" s="15">
        <v>1</v>
      </c>
      <c r="AC93" s="37">
        <f t="shared" ref="AC93:AC96" si="297">Z93*AA93*AB93</f>
        <v>0</v>
      </c>
      <c r="AD93" s="38">
        <v>0</v>
      </c>
      <c r="AE93" s="39">
        <f t="shared" ref="AE93:AE96" si="298">SUM(AC93:AD93)</f>
        <v>0</v>
      </c>
      <c r="AF93" s="141">
        <v>0</v>
      </c>
      <c r="AG93" s="38">
        <f t="shared" ref="AG93" si="299">H93*$G$7*$G$7*$G$7*$G$7</f>
        <v>56.275440500000002</v>
      </c>
      <c r="AH93" s="15">
        <v>1</v>
      </c>
      <c r="AI93" s="37">
        <f t="shared" ref="AI93:AI96" si="300">AF93*AG93*AH93</f>
        <v>0</v>
      </c>
      <c r="AJ93" s="38">
        <v>0</v>
      </c>
      <c r="AK93" s="38">
        <f t="shared" ref="AK93:AK96" si="301">SUM(AI93:AJ93)</f>
        <v>0</v>
      </c>
      <c r="AL93" s="40">
        <f t="shared" ref="AL93" si="302">K93+Q93+W93+AC93+AI93</f>
        <v>515.22500000000002</v>
      </c>
      <c r="AM93" s="38">
        <f t="shared" ref="AM93:AM96" si="303">L93+R93+X93+AD93+AJ93</f>
        <v>0</v>
      </c>
      <c r="AN93" s="40">
        <f t="shared" ref="AN93:AN96" si="304">SUM(AL93:AM93)</f>
        <v>515.22500000000002</v>
      </c>
    </row>
    <row r="94" spans="1:44" x14ac:dyDescent="0.45">
      <c r="A94" s="131" t="s">
        <v>165</v>
      </c>
      <c r="B94" s="1">
        <v>86050</v>
      </c>
      <c r="C94" s="258" t="s">
        <v>65</v>
      </c>
      <c r="D94" s="258" t="s">
        <v>65</v>
      </c>
      <c r="E94" s="1">
        <v>0</v>
      </c>
      <c r="F94" s="74" t="s">
        <v>158</v>
      </c>
      <c r="G94" s="141">
        <f>$G$87</f>
        <v>5</v>
      </c>
      <c r="H94" s="38">
        <v>40</v>
      </c>
      <c r="I94" s="15">
        <v>2</v>
      </c>
      <c r="J94" s="131" t="s">
        <v>127</v>
      </c>
      <c r="K94" s="37">
        <f>I94*H94*G94</f>
        <v>400</v>
      </c>
      <c r="L94" s="38">
        <v>0</v>
      </c>
      <c r="M94" s="39">
        <f t="shared" si="289"/>
        <v>400</v>
      </c>
      <c r="N94" s="141">
        <v>0</v>
      </c>
      <c r="O94" s="38">
        <f>H94*$G$7</f>
        <v>41.2</v>
      </c>
      <c r="P94" s="15">
        <v>2</v>
      </c>
      <c r="Q94" s="37">
        <f t="shared" si="291"/>
        <v>0</v>
      </c>
      <c r="R94" s="38">
        <v>0</v>
      </c>
      <c r="S94" s="39">
        <f t="shared" si="292"/>
        <v>0</v>
      </c>
      <c r="T94" s="141">
        <f>$T$87</f>
        <v>5</v>
      </c>
      <c r="U94" s="38">
        <f>H94*$G$7*$G$7</f>
        <v>42.436000000000007</v>
      </c>
      <c r="V94" s="15">
        <v>2</v>
      </c>
      <c r="W94" s="37">
        <f t="shared" si="294"/>
        <v>424.36000000000007</v>
      </c>
      <c r="X94" s="38">
        <v>0</v>
      </c>
      <c r="Y94" s="39">
        <f t="shared" si="295"/>
        <v>424.36000000000007</v>
      </c>
      <c r="Z94" s="141">
        <v>0</v>
      </c>
      <c r="AA94" s="38">
        <f>H94*$G$7*$G$7*$G$7</f>
        <v>43.709080000000007</v>
      </c>
      <c r="AB94" s="15">
        <v>2</v>
      </c>
      <c r="AC94" s="37">
        <f t="shared" si="297"/>
        <v>0</v>
      </c>
      <c r="AD94" s="38">
        <v>0</v>
      </c>
      <c r="AE94" s="39">
        <f t="shared" si="298"/>
        <v>0</v>
      </c>
      <c r="AF94" s="141">
        <v>0</v>
      </c>
      <c r="AG94" s="38">
        <f>H94*$G$7*$G$7*$G$7*$G$7</f>
        <v>45.020352400000007</v>
      </c>
      <c r="AH94" s="15">
        <v>2</v>
      </c>
      <c r="AI94" s="37">
        <f t="shared" si="300"/>
        <v>0</v>
      </c>
      <c r="AJ94" s="38">
        <v>0</v>
      </c>
      <c r="AK94" s="38">
        <f t="shared" si="301"/>
        <v>0</v>
      </c>
      <c r="AL94" s="40">
        <f>K94+Q94+W94+AC94+AI94</f>
        <v>824.36000000000013</v>
      </c>
      <c r="AM94" s="38">
        <f t="shared" si="303"/>
        <v>0</v>
      </c>
      <c r="AN94" s="40">
        <f t="shared" si="304"/>
        <v>824.36000000000013</v>
      </c>
    </row>
    <row r="95" spans="1:44" x14ac:dyDescent="0.45">
      <c r="A95" s="131" t="s">
        <v>166</v>
      </c>
      <c r="B95" s="1">
        <v>86000</v>
      </c>
      <c r="C95" s="258" t="s">
        <v>65</v>
      </c>
      <c r="D95" s="258" t="s">
        <v>65</v>
      </c>
      <c r="E95" s="1">
        <v>0</v>
      </c>
      <c r="F95" s="74" t="s">
        <v>160</v>
      </c>
      <c r="G95" s="141">
        <f>$G$87</f>
        <v>5</v>
      </c>
      <c r="H95" s="38">
        <v>80</v>
      </c>
      <c r="I95" s="15">
        <v>2</v>
      </c>
      <c r="J95" s="131" t="s">
        <v>127</v>
      </c>
      <c r="K95" s="37">
        <f t="shared" ref="K95:K96" si="305">I95*H95*G95</f>
        <v>800</v>
      </c>
      <c r="L95" s="38">
        <v>0</v>
      </c>
      <c r="M95" s="39">
        <f t="shared" si="289"/>
        <v>800</v>
      </c>
      <c r="N95" s="141">
        <v>0</v>
      </c>
      <c r="O95" s="38">
        <f t="shared" ref="O95:O96" si="306">H95*$G$7</f>
        <v>82.4</v>
      </c>
      <c r="P95" s="15">
        <v>2</v>
      </c>
      <c r="Q95" s="37">
        <f t="shared" si="291"/>
        <v>0</v>
      </c>
      <c r="R95" s="38">
        <v>0</v>
      </c>
      <c r="S95" s="39">
        <f t="shared" si="292"/>
        <v>0</v>
      </c>
      <c r="T95" s="141">
        <f>$T$87</f>
        <v>5</v>
      </c>
      <c r="U95" s="38">
        <f t="shared" ref="U95:U96" si="307">H95*$G$7*$G$7</f>
        <v>84.872000000000014</v>
      </c>
      <c r="V95" s="15">
        <v>2</v>
      </c>
      <c r="W95" s="37">
        <f t="shared" si="294"/>
        <v>848.72000000000014</v>
      </c>
      <c r="X95" s="38">
        <v>0</v>
      </c>
      <c r="Y95" s="39">
        <f t="shared" si="295"/>
        <v>848.72000000000014</v>
      </c>
      <c r="Z95" s="141">
        <v>0</v>
      </c>
      <c r="AA95" s="38">
        <f t="shared" ref="AA95:AA96" si="308">H95*$G$7*$G$7*$G$7</f>
        <v>87.418160000000015</v>
      </c>
      <c r="AB95" s="15">
        <v>2</v>
      </c>
      <c r="AC95" s="37">
        <f t="shared" si="297"/>
        <v>0</v>
      </c>
      <c r="AD95" s="38">
        <v>0</v>
      </c>
      <c r="AE95" s="39">
        <f t="shared" si="298"/>
        <v>0</v>
      </c>
      <c r="AF95" s="141">
        <v>0</v>
      </c>
      <c r="AG95" s="38">
        <f t="shared" ref="AG95:AG96" si="309">H95*$G$7*$G$7*$G$7*$G$7</f>
        <v>90.040704800000015</v>
      </c>
      <c r="AH95" s="15">
        <v>2</v>
      </c>
      <c r="AI95" s="37">
        <f t="shared" si="300"/>
        <v>0</v>
      </c>
      <c r="AJ95" s="38">
        <v>0</v>
      </c>
      <c r="AK95" s="38">
        <f t="shared" si="301"/>
        <v>0</v>
      </c>
      <c r="AL95" s="40">
        <f t="shared" ref="AL95:AL96" si="310">K95+Q95+W95+AC95+AI95</f>
        <v>1648.7200000000003</v>
      </c>
      <c r="AM95" s="38">
        <f t="shared" si="303"/>
        <v>0</v>
      </c>
      <c r="AN95" s="40">
        <f t="shared" si="304"/>
        <v>1648.7200000000003</v>
      </c>
    </row>
    <row r="96" spans="1:44" x14ac:dyDescent="0.45">
      <c r="A96" s="131" t="s">
        <v>167</v>
      </c>
      <c r="B96" s="1">
        <v>86050</v>
      </c>
      <c r="C96" s="258" t="s">
        <v>65</v>
      </c>
      <c r="D96" s="258" t="s">
        <v>65</v>
      </c>
      <c r="E96" s="1">
        <v>0</v>
      </c>
      <c r="F96" s="74" t="s">
        <v>162</v>
      </c>
      <c r="G96" s="141">
        <f>$G$87</f>
        <v>5</v>
      </c>
      <c r="H96" s="38">
        <v>25</v>
      </c>
      <c r="I96" s="15">
        <v>1</v>
      </c>
      <c r="J96" s="131" t="s">
        <v>124</v>
      </c>
      <c r="K96" s="37">
        <f t="shared" si="305"/>
        <v>125</v>
      </c>
      <c r="L96" s="38">
        <v>0</v>
      </c>
      <c r="M96" s="39">
        <f t="shared" si="289"/>
        <v>125</v>
      </c>
      <c r="N96" s="141">
        <v>0</v>
      </c>
      <c r="O96" s="38">
        <f t="shared" si="306"/>
        <v>25.75</v>
      </c>
      <c r="P96" s="15">
        <v>1</v>
      </c>
      <c r="Q96" s="37">
        <f t="shared" si="291"/>
        <v>0</v>
      </c>
      <c r="R96" s="38">
        <v>0</v>
      </c>
      <c r="S96" s="39">
        <f t="shared" si="292"/>
        <v>0</v>
      </c>
      <c r="T96" s="141">
        <f>$T$87</f>
        <v>5</v>
      </c>
      <c r="U96" s="38">
        <f t="shared" si="307"/>
        <v>26.522500000000001</v>
      </c>
      <c r="V96" s="15">
        <v>1</v>
      </c>
      <c r="W96" s="37">
        <f t="shared" si="294"/>
        <v>132.61250000000001</v>
      </c>
      <c r="X96" s="38">
        <v>0</v>
      </c>
      <c r="Y96" s="39">
        <f t="shared" si="295"/>
        <v>132.61250000000001</v>
      </c>
      <c r="Z96" s="141">
        <v>0</v>
      </c>
      <c r="AA96" s="38">
        <f t="shared" si="308"/>
        <v>27.318175</v>
      </c>
      <c r="AB96" s="15">
        <v>1</v>
      </c>
      <c r="AC96" s="37">
        <f t="shared" si="297"/>
        <v>0</v>
      </c>
      <c r="AD96" s="38">
        <v>0</v>
      </c>
      <c r="AE96" s="39">
        <f t="shared" si="298"/>
        <v>0</v>
      </c>
      <c r="AF96" s="141">
        <v>0</v>
      </c>
      <c r="AG96" s="38">
        <f t="shared" si="309"/>
        <v>28.137720250000001</v>
      </c>
      <c r="AH96" s="15">
        <v>1</v>
      </c>
      <c r="AI96" s="37">
        <f t="shared" si="300"/>
        <v>0</v>
      </c>
      <c r="AJ96" s="38">
        <v>0</v>
      </c>
      <c r="AK96" s="38">
        <f t="shared" si="301"/>
        <v>0</v>
      </c>
      <c r="AL96" s="40">
        <f t="shared" si="310"/>
        <v>257.61250000000001</v>
      </c>
      <c r="AM96" s="38">
        <f t="shared" si="303"/>
        <v>0</v>
      </c>
      <c r="AN96" s="40">
        <f t="shared" si="304"/>
        <v>257.61250000000001</v>
      </c>
    </row>
    <row r="97" spans="1:44" x14ac:dyDescent="0.45">
      <c r="A97" s="131"/>
      <c r="C97" s="258"/>
      <c r="D97" s="258"/>
      <c r="F97" s="74"/>
      <c r="G97" s="141"/>
      <c r="H97" s="38"/>
      <c r="I97" s="15"/>
      <c r="J97" s="131"/>
      <c r="K97" s="37"/>
      <c r="L97" s="38"/>
      <c r="M97" s="39"/>
      <c r="N97" s="141"/>
      <c r="O97" s="38"/>
      <c r="P97" s="15"/>
      <c r="Q97" s="37"/>
      <c r="R97" s="38"/>
      <c r="S97" s="39"/>
      <c r="T97" s="141"/>
      <c r="U97" s="38"/>
      <c r="V97" s="15"/>
      <c r="W97" s="37"/>
      <c r="X97" s="38"/>
      <c r="Y97" s="39"/>
      <c r="Z97" s="141"/>
      <c r="AA97" s="38"/>
      <c r="AB97" s="15"/>
      <c r="AC97" s="37"/>
      <c r="AD97" s="38"/>
      <c r="AE97" s="39"/>
      <c r="AF97" s="141"/>
      <c r="AG97" s="38"/>
      <c r="AH97" s="15"/>
      <c r="AI97" s="37"/>
      <c r="AJ97" s="38"/>
      <c r="AK97" s="38"/>
      <c r="AL97" s="40"/>
      <c r="AM97" s="38"/>
      <c r="AN97" s="40"/>
    </row>
    <row r="98" spans="1:44" x14ac:dyDescent="0.45">
      <c r="A98" s="131"/>
      <c r="C98" s="258"/>
      <c r="D98" s="258"/>
      <c r="F98" s="47" t="s">
        <v>168</v>
      </c>
      <c r="G98" s="140"/>
      <c r="H98" s="15"/>
      <c r="K98" s="37"/>
      <c r="L98" s="38"/>
      <c r="M98" s="39"/>
      <c r="N98" s="140"/>
      <c r="Q98" s="37"/>
      <c r="R98" s="38"/>
      <c r="S98" s="39"/>
      <c r="T98" s="140"/>
      <c r="W98" s="37"/>
      <c r="X98" s="38"/>
      <c r="Y98" s="39"/>
      <c r="Z98" s="140"/>
      <c r="AC98" s="37"/>
      <c r="AD98" s="38"/>
      <c r="AE98" s="39"/>
      <c r="AF98" s="140"/>
      <c r="AI98" s="37"/>
      <c r="AJ98" s="38"/>
      <c r="AK98" s="38"/>
      <c r="AL98" s="40"/>
      <c r="AM98" s="38"/>
      <c r="AN98" s="40"/>
      <c r="AP98" s="546"/>
      <c r="AQ98" s="546"/>
      <c r="AR98" s="546"/>
    </row>
    <row r="99" spans="1:44" x14ac:dyDescent="0.45">
      <c r="A99" s="131" t="s">
        <v>169</v>
      </c>
      <c r="B99" s="1" t="s">
        <v>138</v>
      </c>
      <c r="C99" s="258" t="s">
        <v>65</v>
      </c>
      <c r="D99" s="258" t="s">
        <v>65</v>
      </c>
      <c r="E99" s="1">
        <v>0</v>
      </c>
      <c r="F99" s="74" t="s">
        <v>156</v>
      </c>
      <c r="G99" s="141">
        <v>3</v>
      </c>
      <c r="H99" s="38">
        <v>50</v>
      </c>
      <c r="I99" s="15">
        <v>1</v>
      </c>
      <c r="J99" s="131" t="s">
        <v>124</v>
      </c>
      <c r="K99" s="37">
        <f>I99*H99*G99</f>
        <v>150</v>
      </c>
      <c r="L99" s="38">
        <v>0</v>
      </c>
      <c r="M99" s="39">
        <f>SUM(K99:L99)</f>
        <v>150</v>
      </c>
      <c r="N99" s="141">
        <v>0</v>
      </c>
      <c r="O99" s="38">
        <f>H99*$G$7</f>
        <v>51.5</v>
      </c>
      <c r="P99" s="15">
        <v>1</v>
      </c>
      <c r="Q99" s="37">
        <f>N99*O99*P99</f>
        <v>0</v>
      </c>
      <c r="R99" s="38">
        <v>0</v>
      </c>
      <c r="S99" s="39">
        <f>SUM(Q99:R99)</f>
        <v>0</v>
      </c>
      <c r="T99" s="141">
        <v>3</v>
      </c>
      <c r="U99" s="38">
        <f>H99*$G$7*$G$7</f>
        <v>53.045000000000002</v>
      </c>
      <c r="V99" s="15">
        <v>1</v>
      </c>
      <c r="W99" s="37">
        <f>T99*U99*V99</f>
        <v>159.13499999999999</v>
      </c>
      <c r="X99" s="38">
        <v>0</v>
      </c>
      <c r="Y99" s="39">
        <f>SUM(W99:X99)</f>
        <v>159.13499999999999</v>
      </c>
      <c r="Z99" s="141">
        <v>3</v>
      </c>
      <c r="AA99" s="38">
        <f>H99*$G$7*$G$7*$G$7</f>
        <v>54.63635</v>
      </c>
      <c r="AB99" s="15">
        <v>1</v>
      </c>
      <c r="AC99" s="37">
        <f>Z99*AA99*AB99</f>
        <v>163.90905000000001</v>
      </c>
      <c r="AD99" s="38">
        <v>0</v>
      </c>
      <c r="AE99" s="39">
        <f>SUM(AC99:AD99)</f>
        <v>163.90905000000001</v>
      </c>
      <c r="AF99" s="141">
        <v>3</v>
      </c>
      <c r="AG99" s="38">
        <f>H99*$G$7*$G$7*$G$7*$G$7</f>
        <v>56.275440500000002</v>
      </c>
      <c r="AH99" s="15">
        <v>1</v>
      </c>
      <c r="AI99" s="37">
        <f>AF99*AG99*AH99</f>
        <v>168.82632150000001</v>
      </c>
      <c r="AJ99" s="38">
        <v>0</v>
      </c>
      <c r="AK99" s="38">
        <f>SUM(AI99:AJ99)</f>
        <v>168.82632150000001</v>
      </c>
      <c r="AL99" s="40">
        <f t="shared" ref="AL99:AM102" si="311">K99+Q99+W99+AC99+AI99</f>
        <v>641.87037149999992</v>
      </c>
      <c r="AM99" s="38">
        <f t="shared" si="311"/>
        <v>0</v>
      </c>
      <c r="AN99" s="40">
        <f>SUM(AL99:AM99)</f>
        <v>641.87037149999992</v>
      </c>
    </row>
    <row r="100" spans="1:44" x14ac:dyDescent="0.45">
      <c r="A100" s="131" t="s">
        <v>170</v>
      </c>
      <c r="B100" s="1">
        <v>86050</v>
      </c>
      <c r="C100" s="258" t="s">
        <v>65</v>
      </c>
      <c r="D100" s="258" t="s">
        <v>65</v>
      </c>
      <c r="E100" s="1">
        <v>0</v>
      </c>
      <c r="F100" s="74" t="s">
        <v>158</v>
      </c>
      <c r="G100" s="141">
        <v>3</v>
      </c>
      <c r="H100" s="38">
        <v>40</v>
      </c>
      <c r="I100" s="15">
        <v>2</v>
      </c>
      <c r="J100" s="131" t="s">
        <v>127</v>
      </c>
      <c r="K100" s="37">
        <f>I100*H100*G100</f>
        <v>240</v>
      </c>
      <c r="L100" s="38">
        <v>0</v>
      </c>
      <c r="M100" s="39">
        <f>SUM(K100:L100)</f>
        <v>240</v>
      </c>
      <c r="N100" s="141">
        <v>0</v>
      </c>
      <c r="O100" s="38">
        <f>H100*$G$7</f>
        <v>41.2</v>
      </c>
      <c r="P100" s="15">
        <v>2</v>
      </c>
      <c r="Q100" s="37">
        <f>N100*O100*P100</f>
        <v>0</v>
      </c>
      <c r="R100" s="38">
        <v>0</v>
      </c>
      <c r="S100" s="39">
        <f>SUM(Q100:R100)</f>
        <v>0</v>
      </c>
      <c r="T100" s="141">
        <v>3</v>
      </c>
      <c r="U100" s="38">
        <f>H100*$G$7*$G$7</f>
        <v>42.436000000000007</v>
      </c>
      <c r="V100" s="15">
        <v>2</v>
      </c>
      <c r="W100" s="37">
        <f>T100*U100*V100</f>
        <v>254.61600000000004</v>
      </c>
      <c r="X100" s="38">
        <v>0</v>
      </c>
      <c r="Y100" s="39">
        <f>SUM(W100:X100)</f>
        <v>254.61600000000004</v>
      </c>
      <c r="Z100" s="141">
        <v>3</v>
      </c>
      <c r="AA100" s="38">
        <f>H100*$G$7*$G$7*$G$7</f>
        <v>43.709080000000007</v>
      </c>
      <c r="AB100" s="15">
        <v>2</v>
      </c>
      <c r="AC100" s="37">
        <f>Z100*AA100*AB100</f>
        <v>262.25448000000006</v>
      </c>
      <c r="AD100" s="38">
        <v>0</v>
      </c>
      <c r="AE100" s="39">
        <f>SUM(AC100:AD100)</f>
        <v>262.25448000000006</v>
      </c>
      <c r="AF100" s="141">
        <v>3</v>
      </c>
      <c r="AG100" s="38">
        <f>H100*$G$7*$G$7*$G$7*$G$7</f>
        <v>45.020352400000007</v>
      </c>
      <c r="AH100" s="15">
        <v>2</v>
      </c>
      <c r="AI100" s="37">
        <f>AF100*AG100*AH100</f>
        <v>270.12211440000004</v>
      </c>
      <c r="AJ100" s="38">
        <v>0</v>
      </c>
      <c r="AK100" s="38">
        <f>SUM(AI100:AJ100)</f>
        <v>270.12211440000004</v>
      </c>
      <c r="AL100" s="40">
        <f t="shared" si="311"/>
        <v>1026.9925944000001</v>
      </c>
      <c r="AM100" s="38">
        <f t="shared" si="311"/>
        <v>0</v>
      </c>
      <c r="AN100" s="40">
        <f>SUM(AL100:AM100)</f>
        <v>1026.9925944000001</v>
      </c>
    </row>
    <row r="101" spans="1:44" x14ac:dyDescent="0.45">
      <c r="A101" s="131" t="s">
        <v>171</v>
      </c>
      <c r="B101" s="1">
        <v>86000</v>
      </c>
      <c r="C101" s="258" t="s">
        <v>65</v>
      </c>
      <c r="D101" s="258" t="s">
        <v>65</v>
      </c>
      <c r="E101" s="1">
        <v>0</v>
      </c>
      <c r="F101" s="74" t="s">
        <v>160</v>
      </c>
      <c r="G101" s="141">
        <v>3</v>
      </c>
      <c r="H101" s="38">
        <v>80</v>
      </c>
      <c r="I101" s="15">
        <v>2</v>
      </c>
      <c r="J101" s="131" t="s">
        <v>127</v>
      </c>
      <c r="K101" s="37">
        <f>I101*H101*G101</f>
        <v>480</v>
      </c>
      <c r="L101" s="38">
        <v>0</v>
      </c>
      <c r="M101" s="39">
        <f>SUM(K101:L101)</f>
        <v>480</v>
      </c>
      <c r="N101" s="141">
        <v>0</v>
      </c>
      <c r="O101" s="38">
        <f>H101*$G$7</f>
        <v>82.4</v>
      </c>
      <c r="P101" s="15">
        <v>2</v>
      </c>
      <c r="Q101" s="37">
        <f>N101*O101*P101</f>
        <v>0</v>
      </c>
      <c r="R101" s="38">
        <v>0</v>
      </c>
      <c r="S101" s="39">
        <f>SUM(Q101:R101)</f>
        <v>0</v>
      </c>
      <c r="T101" s="141">
        <v>3</v>
      </c>
      <c r="U101" s="38">
        <f>H101*$G$7*$G$7</f>
        <v>84.872000000000014</v>
      </c>
      <c r="V101" s="15">
        <v>2</v>
      </c>
      <c r="W101" s="37">
        <f>T101*U101*V101</f>
        <v>509.23200000000008</v>
      </c>
      <c r="X101" s="38">
        <v>0</v>
      </c>
      <c r="Y101" s="39">
        <f>SUM(W101:X101)</f>
        <v>509.23200000000008</v>
      </c>
      <c r="Z101" s="141">
        <v>3</v>
      </c>
      <c r="AA101" s="38">
        <f>H101*$G$7*$G$7*$G$7</f>
        <v>87.418160000000015</v>
      </c>
      <c r="AB101" s="15">
        <v>2</v>
      </c>
      <c r="AC101" s="37">
        <f>Z101*AA101*AB101</f>
        <v>524.50896000000012</v>
      </c>
      <c r="AD101" s="38">
        <v>0</v>
      </c>
      <c r="AE101" s="39">
        <f>SUM(AC101:AD101)</f>
        <v>524.50896000000012</v>
      </c>
      <c r="AF101" s="141">
        <v>3</v>
      </c>
      <c r="AG101" s="38">
        <f>H101*$G$7*$G$7*$G$7*$G$7</f>
        <v>90.040704800000015</v>
      </c>
      <c r="AH101" s="15">
        <v>2</v>
      </c>
      <c r="AI101" s="37">
        <f>AF101*AG101*AH101</f>
        <v>540.24422880000009</v>
      </c>
      <c r="AJ101" s="38">
        <v>0</v>
      </c>
      <c r="AK101" s="38">
        <f>SUM(AI101:AJ101)</f>
        <v>540.24422880000009</v>
      </c>
      <c r="AL101" s="40">
        <f t="shared" si="311"/>
        <v>2053.9851888000003</v>
      </c>
      <c r="AM101" s="38">
        <f t="shared" si="311"/>
        <v>0</v>
      </c>
      <c r="AN101" s="40">
        <f>SUM(AL101:AM101)</f>
        <v>2053.9851888000003</v>
      </c>
    </row>
    <row r="102" spans="1:44" x14ac:dyDescent="0.45">
      <c r="A102" s="131" t="s">
        <v>172</v>
      </c>
      <c r="B102" s="1">
        <v>86050</v>
      </c>
      <c r="C102" s="258" t="s">
        <v>65</v>
      </c>
      <c r="D102" s="258" t="s">
        <v>65</v>
      </c>
      <c r="E102" s="1">
        <v>0</v>
      </c>
      <c r="F102" s="74" t="s">
        <v>162</v>
      </c>
      <c r="G102" s="141">
        <v>3</v>
      </c>
      <c r="H102" s="38">
        <v>25</v>
      </c>
      <c r="I102" s="15">
        <v>1</v>
      </c>
      <c r="J102" s="131" t="s">
        <v>124</v>
      </c>
      <c r="K102" s="37">
        <f>I102*H102*G102</f>
        <v>75</v>
      </c>
      <c r="L102" s="38">
        <v>0</v>
      </c>
      <c r="M102" s="39">
        <f>SUM(K102:L102)</f>
        <v>75</v>
      </c>
      <c r="N102" s="141">
        <v>0</v>
      </c>
      <c r="O102" s="38">
        <f>H102*$G$7</f>
        <v>25.75</v>
      </c>
      <c r="P102" s="15">
        <v>1</v>
      </c>
      <c r="Q102" s="37">
        <f>N102*O102*P102</f>
        <v>0</v>
      </c>
      <c r="R102" s="38">
        <v>0</v>
      </c>
      <c r="S102" s="39">
        <f>SUM(Q102:R102)</f>
        <v>0</v>
      </c>
      <c r="T102" s="141">
        <v>3</v>
      </c>
      <c r="U102" s="38">
        <f>H102*$G$7*$G$7</f>
        <v>26.522500000000001</v>
      </c>
      <c r="V102" s="15">
        <v>1</v>
      </c>
      <c r="W102" s="37">
        <f>T102*U102*V102</f>
        <v>79.567499999999995</v>
      </c>
      <c r="X102" s="38">
        <v>0</v>
      </c>
      <c r="Y102" s="39">
        <f>SUM(W102:X102)</f>
        <v>79.567499999999995</v>
      </c>
      <c r="Z102" s="141">
        <v>3</v>
      </c>
      <c r="AA102" s="38">
        <f>H102*$G$7*$G$7*$G$7</f>
        <v>27.318175</v>
      </c>
      <c r="AB102" s="15">
        <v>1</v>
      </c>
      <c r="AC102" s="37">
        <f>Z102*AA102*AB102</f>
        <v>81.954525000000004</v>
      </c>
      <c r="AD102" s="38">
        <v>0</v>
      </c>
      <c r="AE102" s="39">
        <f>SUM(AC102:AD102)</f>
        <v>81.954525000000004</v>
      </c>
      <c r="AF102" s="141">
        <v>3</v>
      </c>
      <c r="AG102" s="38">
        <f>H102*$G$7*$G$7*$G$7*$G$7</f>
        <v>28.137720250000001</v>
      </c>
      <c r="AH102" s="15">
        <v>1</v>
      </c>
      <c r="AI102" s="37">
        <f>AF102*AG102*AH102</f>
        <v>84.413160750000003</v>
      </c>
      <c r="AJ102" s="38">
        <v>0</v>
      </c>
      <c r="AK102" s="38">
        <f>SUM(AI102:AJ102)</f>
        <v>84.413160750000003</v>
      </c>
      <c r="AL102" s="40">
        <f t="shared" si="311"/>
        <v>320.93518574999996</v>
      </c>
      <c r="AM102" s="38">
        <f t="shared" si="311"/>
        <v>0</v>
      </c>
      <c r="AN102" s="40">
        <f>SUM(AL102:AM102)</f>
        <v>320.93518574999996</v>
      </c>
    </row>
    <row r="103" spans="1:44" x14ac:dyDescent="0.45">
      <c r="A103" s="131"/>
      <c r="F103" s="74"/>
      <c r="G103" s="141"/>
      <c r="H103" s="38"/>
      <c r="I103" s="15"/>
      <c r="J103" s="131"/>
      <c r="K103" s="37"/>
      <c r="L103" s="38"/>
      <c r="M103" s="38"/>
      <c r="N103" s="141"/>
      <c r="O103" s="38"/>
      <c r="P103" s="15"/>
      <c r="Q103" s="37"/>
      <c r="R103" s="38"/>
      <c r="S103" s="38"/>
      <c r="T103" s="141"/>
      <c r="U103" s="38"/>
      <c r="V103" s="15"/>
      <c r="W103" s="37"/>
      <c r="X103" s="38"/>
      <c r="Y103" s="38"/>
      <c r="Z103" s="141"/>
      <c r="AA103" s="38"/>
      <c r="AB103" s="15"/>
      <c r="AC103" s="37"/>
      <c r="AD103" s="38"/>
      <c r="AE103" s="38"/>
      <c r="AF103" s="141"/>
      <c r="AG103" s="38"/>
      <c r="AH103" s="15"/>
      <c r="AI103" s="37"/>
      <c r="AJ103" s="38"/>
      <c r="AK103" s="38"/>
      <c r="AL103" s="40"/>
      <c r="AM103" s="38"/>
      <c r="AN103" s="40"/>
    </row>
    <row r="104" spans="1:44" s="10" customFormat="1" x14ac:dyDescent="0.45">
      <c r="A104" s="131"/>
      <c r="B104" s="1"/>
      <c r="C104" s="1"/>
      <c r="D104" s="1"/>
      <c r="E104" s="1"/>
      <c r="F104" s="75" t="s">
        <v>173</v>
      </c>
      <c r="G104" s="144"/>
      <c r="H104" s="129"/>
      <c r="I104" s="145"/>
      <c r="J104" s="129"/>
      <c r="K104" s="42">
        <f>SUM(K71:K103)</f>
        <v>46395</v>
      </c>
      <c r="L104" s="42">
        <f>SUM(L71:L103)</f>
        <v>0</v>
      </c>
      <c r="M104" s="42">
        <f>SUM(M71:M103)</f>
        <v>46395</v>
      </c>
      <c r="N104" s="144"/>
      <c r="O104" s="43"/>
      <c r="P104" s="129"/>
      <c r="Q104" s="42">
        <f>SUM(Q71:Q103)</f>
        <v>88605.75</v>
      </c>
      <c r="R104" s="42">
        <f>SUM(R71:R103)</f>
        <v>0</v>
      </c>
      <c r="S104" s="42">
        <f>SUM(S71:S103)</f>
        <v>88605.75</v>
      </c>
      <c r="T104" s="144"/>
      <c r="U104" s="129"/>
      <c r="V104" s="129"/>
      <c r="W104" s="42">
        <f>SUM(W71:W103)</f>
        <v>93937.390500000038</v>
      </c>
      <c r="X104" s="42">
        <f>SUM(X71:X103)</f>
        <v>0</v>
      </c>
      <c r="Y104" s="42">
        <f>SUM(Y71:Y103)</f>
        <v>93937.390500000038</v>
      </c>
      <c r="Z104" s="144"/>
      <c r="AA104" s="129"/>
      <c r="AB104" s="129"/>
      <c r="AC104" s="42">
        <f>SUM(AC71:AC103)</f>
        <v>95034.467190000025</v>
      </c>
      <c r="AD104" s="42">
        <f>SUM(AD71:AD103)</f>
        <v>0</v>
      </c>
      <c r="AE104" s="42">
        <f>SUM(AE71:AE103)</f>
        <v>95034.467190000025</v>
      </c>
      <c r="AF104" s="144"/>
      <c r="AG104" s="129"/>
      <c r="AH104" s="129"/>
      <c r="AI104" s="42">
        <f t="shared" ref="AI104:AN104" si="312">SUM(AI71:AI103)</f>
        <v>53484.178651199996</v>
      </c>
      <c r="AJ104" s="42">
        <f t="shared" si="312"/>
        <v>0</v>
      </c>
      <c r="AK104" s="42">
        <f t="shared" si="312"/>
        <v>53484.178651199996</v>
      </c>
      <c r="AL104" s="45">
        <f t="shared" si="312"/>
        <v>377456.78634119994</v>
      </c>
      <c r="AM104" s="43">
        <f t="shared" si="312"/>
        <v>0</v>
      </c>
      <c r="AN104" s="45">
        <f t="shared" si="312"/>
        <v>377456.78634119994</v>
      </c>
    </row>
    <row r="105" spans="1:44" x14ac:dyDescent="0.45">
      <c r="A105" s="131"/>
      <c r="B105" s="131"/>
      <c r="C105" s="131"/>
      <c r="D105" s="131"/>
      <c r="E105" s="131"/>
      <c r="F105" s="82"/>
      <c r="G105" s="130"/>
      <c r="H105" s="131"/>
      <c r="I105" s="131"/>
      <c r="J105" s="131"/>
      <c r="K105" s="37"/>
      <c r="L105" s="38"/>
      <c r="M105" s="39"/>
      <c r="N105" s="149"/>
      <c r="O105" s="131"/>
      <c r="P105" s="131"/>
      <c r="Q105" s="37"/>
      <c r="R105" s="38"/>
      <c r="S105" s="39"/>
      <c r="T105" s="130"/>
      <c r="U105" s="131"/>
      <c r="V105" s="131"/>
      <c r="W105" s="37"/>
      <c r="X105" s="38"/>
      <c r="Y105" s="39"/>
      <c r="Z105" s="130"/>
      <c r="AA105" s="131"/>
      <c r="AB105" s="131"/>
      <c r="AC105" s="37"/>
      <c r="AD105" s="38"/>
      <c r="AE105" s="39"/>
      <c r="AF105" s="130"/>
      <c r="AG105" s="131"/>
      <c r="AH105" s="131"/>
      <c r="AI105" s="37"/>
      <c r="AJ105" s="38"/>
      <c r="AK105" s="38"/>
      <c r="AL105" s="40"/>
      <c r="AM105" s="38"/>
      <c r="AN105" s="40"/>
    </row>
    <row r="106" spans="1:44" x14ac:dyDescent="0.45">
      <c r="A106" s="134"/>
      <c r="B106" s="134"/>
      <c r="C106" s="134"/>
      <c r="D106" s="134"/>
      <c r="E106" s="134"/>
      <c r="F106" s="49" t="s">
        <v>174</v>
      </c>
      <c r="G106" s="133"/>
      <c r="H106" s="134"/>
      <c r="I106" s="134"/>
      <c r="J106" s="134"/>
      <c r="K106" s="50">
        <f>K104+K68</f>
        <v>55845</v>
      </c>
      <c r="L106" s="50">
        <f>L104+L68</f>
        <v>0</v>
      </c>
      <c r="M106" s="50">
        <f>M104+M68</f>
        <v>55845</v>
      </c>
      <c r="N106" s="133"/>
      <c r="O106" s="134"/>
      <c r="P106" s="134"/>
      <c r="Q106" s="50">
        <f>Q104+Q68</f>
        <v>110986.5</v>
      </c>
      <c r="R106" s="50">
        <f>R104+R68</f>
        <v>0</v>
      </c>
      <c r="S106" s="50">
        <f>S104+S68</f>
        <v>110986.5</v>
      </c>
      <c r="T106" s="133"/>
      <c r="U106" s="134"/>
      <c r="V106" s="134"/>
      <c r="W106" s="50">
        <f>W104+W68</f>
        <v>116653.85175000003</v>
      </c>
      <c r="X106" s="50">
        <f>X104+X68</f>
        <v>0</v>
      </c>
      <c r="Y106" s="50">
        <f>Y104+Y68</f>
        <v>116653.85175000003</v>
      </c>
      <c r="Z106" s="133"/>
      <c r="AA106" s="134"/>
      <c r="AB106" s="134"/>
      <c r="AC106" s="50">
        <f>AC104+AC68</f>
        <v>118091.67535875001</v>
      </c>
      <c r="AD106" s="50">
        <f>AD104+AD68</f>
        <v>0</v>
      </c>
      <c r="AE106" s="50">
        <f>AE104+AE68</f>
        <v>118091.67535875001</v>
      </c>
      <c r="AF106" s="133"/>
      <c r="AG106" s="134"/>
      <c r="AH106" s="134"/>
      <c r="AI106" s="50">
        <f t="shared" ref="AI106:AN106" si="313">AI104+AI68</f>
        <v>70200.654573543739</v>
      </c>
      <c r="AJ106" s="50">
        <f t="shared" si="313"/>
        <v>0</v>
      </c>
      <c r="AK106" s="50">
        <f t="shared" si="313"/>
        <v>70200.654573543739</v>
      </c>
      <c r="AL106" s="71">
        <f t="shared" si="313"/>
        <v>471777.68168229365</v>
      </c>
      <c r="AM106" s="544">
        <f t="shared" si="313"/>
        <v>0</v>
      </c>
      <c r="AN106" s="71">
        <f t="shared" si="313"/>
        <v>471777.68168229365</v>
      </c>
    </row>
    <row r="107" spans="1:44" x14ac:dyDescent="0.45">
      <c r="A107" s="151"/>
      <c r="B107" s="151"/>
      <c r="C107" s="151"/>
      <c r="D107" s="151"/>
      <c r="E107" s="151"/>
      <c r="F107" s="83"/>
      <c r="G107" s="150"/>
      <c r="H107" s="151"/>
      <c r="I107" s="151"/>
      <c r="J107" s="151"/>
      <c r="K107" s="52"/>
      <c r="L107" s="53"/>
      <c r="M107" s="54"/>
      <c r="N107" s="150"/>
      <c r="O107" s="151"/>
      <c r="P107" s="151"/>
      <c r="Q107" s="52"/>
      <c r="R107" s="53"/>
      <c r="S107" s="54"/>
      <c r="T107" s="150"/>
      <c r="U107" s="151"/>
      <c r="V107" s="151"/>
      <c r="W107" s="52"/>
      <c r="X107" s="53"/>
      <c r="Y107" s="54"/>
      <c r="Z107" s="150"/>
      <c r="AA107" s="151"/>
      <c r="AB107" s="151"/>
      <c r="AC107" s="52"/>
      <c r="AD107" s="53"/>
      <c r="AE107" s="54"/>
      <c r="AF107" s="150"/>
      <c r="AG107" s="151"/>
      <c r="AH107" s="151"/>
      <c r="AI107" s="52"/>
      <c r="AJ107" s="53"/>
      <c r="AK107" s="53"/>
      <c r="AL107" s="55"/>
      <c r="AM107" s="53"/>
      <c r="AN107" s="55"/>
    </row>
    <row r="108" spans="1:44" x14ac:dyDescent="0.45">
      <c r="A108" s="138"/>
      <c r="B108" s="138"/>
      <c r="C108" s="138"/>
      <c r="D108" s="138"/>
      <c r="E108" s="138"/>
      <c r="F108" s="56" t="s">
        <v>175</v>
      </c>
      <c r="G108" s="137"/>
      <c r="H108" s="138"/>
      <c r="I108" s="138"/>
      <c r="J108" s="138"/>
      <c r="K108" s="57"/>
      <c r="L108" s="58"/>
      <c r="M108" s="59"/>
      <c r="N108" s="137"/>
      <c r="O108" s="138"/>
      <c r="P108" s="138"/>
      <c r="Q108" s="57"/>
      <c r="R108" s="58"/>
      <c r="S108" s="59"/>
      <c r="T108" s="137"/>
      <c r="U108" s="138"/>
      <c r="V108" s="138"/>
      <c r="W108" s="57"/>
      <c r="X108" s="58"/>
      <c r="Y108" s="59"/>
      <c r="Z108" s="137"/>
      <c r="AA108" s="138"/>
      <c r="AB108" s="138"/>
      <c r="AC108" s="57"/>
      <c r="AD108" s="58"/>
      <c r="AE108" s="59"/>
      <c r="AF108" s="137"/>
      <c r="AG108" s="138"/>
      <c r="AH108" s="138"/>
      <c r="AI108" s="57"/>
      <c r="AJ108" s="58"/>
      <c r="AK108" s="58"/>
      <c r="AL108" s="60"/>
      <c r="AM108" s="58"/>
      <c r="AN108" s="60"/>
    </row>
    <row r="109" spans="1:44" x14ac:dyDescent="0.45">
      <c r="A109" s="152"/>
      <c r="B109" s="152"/>
      <c r="C109" s="152"/>
      <c r="D109" s="152"/>
      <c r="E109" s="152"/>
      <c r="F109" s="61"/>
      <c r="G109" s="141"/>
      <c r="H109" s="152"/>
      <c r="I109" s="152"/>
      <c r="J109" s="152"/>
      <c r="K109" s="30"/>
      <c r="L109" s="63"/>
      <c r="M109" s="72"/>
      <c r="N109" s="153"/>
      <c r="O109" s="152"/>
      <c r="P109" s="152"/>
      <c r="Q109" s="62"/>
      <c r="R109" s="63"/>
      <c r="S109" s="72"/>
      <c r="T109" s="153"/>
      <c r="U109" s="152"/>
      <c r="V109" s="152"/>
      <c r="W109" s="62"/>
      <c r="X109" s="63"/>
      <c r="Y109" s="72"/>
      <c r="Z109" s="153"/>
      <c r="AA109" s="152"/>
      <c r="AB109" s="152"/>
      <c r="AC109" s="62"/>
      <c r="AD109" s="63"/>
      <c r="AE109" s="72"/>
      <c r="AF109" s="153"/>
      <c r="AG109" s="152"/>
      <c r="AH109" s="152"/>
      <c r="AI109" s="62"/>
      <c r="AJ109" s="63"/>
      <c r="AK109" s="63"/>
      <c r="AL109" s="40"/>
      <c r="AM109" s="63"/>
      <c r="AN109" s="64"/>
    </row>
    <row r="110" spans="1:44" x14ac:dyDescent="0.45">
      <c r="A110" s="131" t="s">
        <v>176</v>
      </c>
      <c r="B110" s="1">
        <v>85200</v>
      </c>
      <c r="C110" s="258" t="s">
        <v>65</v>
      </c>
      <c r="D110" s="258" t="s">
        <v>65</v>
      </c>
      <c r="E110" s="1">
        <v>0</v>
      </c>
      <c r="F110" s="140" t="s">
        <v>177</v>
      </c>
      <c r="G110" s="141">
        <v>3</v>
      </c>
      <c r="H110" s="38">
        <v>50000</v>
      </c>
      <c r="I110" s="132"/>
      <c r="J110" s="131" t="s">
        <v>178</v>
      </c>
      <c r="K110" s="37">
        <f>H110*G110</f>
        <v>150000</v>
      </c>
      <c r="L110" s="38">
        <v>0</v>
      </c>
      <c r="M110" s="39">
        <f>SUM(K110:L110)</f>
        <v>150000</v>
      </c>
      <c r="N110" s="141">
        <v>0</v>
      </c>
      <c r="O110" s="38">
        <f>H110</f>
        <v>50000</v>
      </c>
      <c r="P110" s="132"/>
      <c r="Q110" s="37">
        <f>N110*O110</f>
        <v>0</v>
      </c>
      <c r="R110" s="38">
        <v>0</v>
      </c>
      <c r="S110" s="39">
        <f>SUM(Q110:R110)</f>
        <v>0</v>
      </c>
      <c r="T110" s="141">
        <v>0</v>
      </c>
      <c r="U110" s="38">
        <f>H110</f>
        <v>50000</v>
      </c>
      <c r="V110" s="132"/>
      <c r="W110" s="37">
        <f>U110*T110</f>
        <v>0</v>
      </c>
      <c r="X110" s="38">
        <v>0</v>
      </c>
      <c r="Y110" s="39">
        <f>SUM(W110:X110)</f>
        <v>0</v>
      </c>
      <c r="Z110" s="141">
        <v>0</v>
      </c>
      <c r="AA110" s="38">
        <f>H110</f>
        <v>50000</v>
      </c>
      <c r="AB110" s="132"/>
      <c r="AC110" s="37">
        <f>Z110*AA110</f>
        <v>0</v>
      </c>
      <c r="AD110" s="38">
        <v>0</v>
      </c>
      <c r="AE110" s="39">
        <f>SUM(AC110:AD110)</f>
        <v>0</v>
      </c>
      <c r="AF110" s="141">
        <v>0</v>
      </c>
      <c r="AG110" s="38">
        <f>H110</f>
        <v>50000</v>
      </c>
      <c r="AH110" s="132"/>
      <c r="AI110" s="37">
        <f>AG110*AF110</f>
        <v>0</v>
      </c>
      <c r="AJ110" s="38">
        <v>0</v>
      </c>
      <c r="AK110" s="38">
        <f>SUM(AI110:AJ110)</f>
        <v>0</v>
      </c>
      <c r="AL110" s="40">
        <f>K110+Q110+W110+AC110+AI110</f>
        <v>150000</v>
      </c>
      <c r="AM110" s="38">
        <f t="shared" ref="AM110" si="314">L110+R110+X110+AD110+AJ110</f>
        <v>0</v>
      </c>
      <c r="AN110" s="40">
        <f>SUM(AL110:AM110)</f>
        <v>150000</v>
      </c>
    </row>
    <row r="111" spans="1:44" x14ac:dyDescent="0.45">
      <c r="A111" s="155"/>
      <c r="B111" s="155"/>
      <c r="C111" s="155"/>
      <c r="D111" s="155"/>
      <c r="E111" s="155"/>
      <c r="F111" s="84"/>
      <c r="G111" s="154"/>
      <c r="H111" s="38"/>
      <c r="I111" s="155"/>
      <c r="J111" s="155"/>
      <c r="K111" s="85"/>
      <c r="L111" s="86"/>
      <c r="M111" s="87"/>
      <c r="N111" s="154"/>
      <c r="O111" s="155"/>
      <c r="P111" s="155"/>
      <c r="Q111" s="85"/>
      <c r="R111" s="86"/>
      <c r="S111" s="87"/>
      <c r="T111" s="154"/>
      <c r="U111" s="155"/>
      <c r="V111" s="155"/>
      <c r="W111" s="85"/>
      <c r="X111" s="86"/>
      <c r="Y111" s="87"/>
      <c r="Z111" s="154"/>
      <c r="AA111" s="155"/>
      <c r="AB111" s="155"/>
      <c r="AC111" s="85"/>
      <c r="AD111" s="86"/>
      <c r="AE111" s="87"/>
      <c r="AF111" s="154"/>
      <c r="AG111" s="155"/>
      <c r="AH111" s="155"/>
      <c r="AI111" s="85"/>
      <c r="AJ111" s="86"/>
      <c r="AK111" s="86"/>
      <c r="AL111" s="88"/>
      <c r="AM111" s="86"/>
      <c r="AN111" s="88"/>
    </row>
    <row r="112" spans="1:44" s="9" customFormat="1" ht="12.3" x14ac:dyDescent="0.4">
      <c r="A112" s="134"/>
      <c r="B112" s="134"/>
      <c r="C112" s="134"/>
      <c r="D112" s="134"/>
      <c r="E112" s="134"/>
      <c r="F112" s="49" t="s">
        <v>179</v>
      </c>
      <c r="G112" s="133"/>
      <c r="H112" s="134"/>
      <c r="I112" s="134"/>
      <c r="J112" s="134"/>
      <c r="K112" s="50">
        <f>SUM(K110:K111)</f>
        <v>150000</v>
      </c>
      <c r="L112" s="50">
        <f>SUM(L110:L111)</f>
        <v>0</v>
      </c>
      <c r="M112" s="50">
        <f>SUM(M110:M111)</f>
        <v>150000</v>
      </c>
      <c r="N112" s="133"/>
      <c r="O112" s="134"/>
      <c r="P112" s="134"/>
      <c r="Q112" s="50">
        <f>SUM(Q110:Q111)</f>
        <v>0</v>
      </c>
      <c r="R112" s="50">
        <f>SUM(R110:R111)</f>
        <v>0</v>
      </c>
      <c r="S112" s="50">
        <f>SUM(S110:S111)</f>
        <v>0</v>
      </c>
      <c r="T112" s="133"/>
      <c r="U112" s="134"/>
      <c r="V112" s="134"/>
      <c r="W112" s="50">
        <f>SUM(W110:W111)</f>
        <v>0</v>
      </c>
      <c r="X112" s="50">
        <f>SUM(X110:X111)</f>
        <v>0</v>
      </c>
      <c r="Y112" s="50">
        <f>SUM(Y110:Y111)</f>
        <v>0</v>
      </c>
      <c r="Z112" s="133"/>
      <c r="AA112" s="134"/>
      <c r="AB112" s="134"/>
      <c r="AC112" s="50">
        <f>SUM(AC110:AC111)</f>
        <v>0</v>
      </c>
      <c r="AD112" s="50">
        <f>SUM(AD110:AD111)</f>
        <v>0</v>
      </c>
      <c r="AE112" s="50">
        <f>SUM(AE110:AE111)</f>
        <v>0</v>
      </c>
      <c r="AF112" s="133"/>
      <c r="AG112" s="134"/>
      <c r="AH112" s="134"/>
      <c r="AI112" s="50">
        <f>SUM(AI110:AI111)</f>
        <v>0</v>
      </c>
      <c r="AJ112" s="50">
        <f>SUM(AJ110:AJ111)</f>
        <v>0</v>
      </c>
      <c r="AK112" s="50">
        <f>SUM(AK110:AK111)</f>
        <v>0</v>
      </c>
      <c r="AL112" s="71">
        <f>SUM(AL110:AL111)</f>
        <v>150000</v>
      </c>
      <c r="AM112" s="544">
        <f>SUM(AM110:AM111)</f>
        <v>0</v>
      </c>
      <c r="AN112" s="71">
        <f>SUM(AL112:AM112)</f>
        <v>150000</v>
      </c>
    </row>
    <row r="113" spans="1:40" x14ac:dyDescent="0.45">
      <c r="A113" s="136"/>
      <c r="B113" s="136"/>
      <c r="C113" s="136"/>
      <c r="D113" s="136"/>
      <c r="E113" s="136"/>
      <c r="F113" s="89"/>
      <c r="G113" s="135"/>
      <c r="H113" s="136"/>
      <c r="I113" s="136"/>
      <c r="J113" s="136"/>
      <c r="K113" s="52"/>
      <c r="L113" s="53"/>
      <c r="M113" s="54"/>
      <c r="N113" s="135"/>
      <c r="O113" s="136"/>
      <c r="P113" s="136"/>
      <c r="Q113" s="52"/>
      <c r="R113" s="53"/>
      <c r="S113" s="54"/>
      <c r="T113" s="135"/>
      <c r="U113" s="136"/>
      <c r="V113" s="136"/>
      <c r="W113" s="52"/>
      <c r="X113" s="53"/>
      <c r="Y113" s="54"/>
      <c r="Z113" s="135"/>
      <c r="AA113" s="136"/>
      <c r="AB113" s="136"/>
      <c r="AC113" s="52"/>
      <c r="AD113" s="53"/>
      <c r="AE113" s="54"/>
      <c r="AF113" s="135"/>
      <c r="AG113" s="136"/>
      <c r="AH113" s="136"/>
      <c r="AI113" s="52"/>
      <c r="AJ113" s="53"/>
      <c r="AK113" s="53"/>
      <c r="AL113" s="55"/>
      <c r="AM113" s="53"/>
      <c r="AN113" s="55"/>
    </row>
    <row r="114" spans="1:40" x14ac:dyDescent="0.45">
      <c r="A114" s="138"/>
      <c r="B114" s="138"/>
      <c r="C114" s="138"/>
      <c r="D114" s="138"/>
      <c r="E114" s="138"/>
      <c r="F114" s="56" t="s">
        <v>17</v>
      </c>
      <c r="G114" s="137"/>
      <c r="H114" s="138"/>
      <c r="I114" s="138"/>
      <c r="J114" s="138"/>
      <c r="K114" s="57"/>
      <c r="L114" s="58"/>
      <c r="M114" s="59"/>
      <c r="N114" s="137"/>
      <c r="O114" s="138"/>
      <c r="P114" s="138"/>
      <c r="Q114" s="57"/>
      <c r="R114" s="58"/>
      <c r="S114" s="59"/>
      <c r="T114" s="137"/>
      <c r="U114" s="138"/>
      <c r="V114" s="138"/>
      <c r="W114" s="57"/>
      <c r="X114" s="58"/>
      <c r="Y114" s="59"/>
      <c r="Z114" s="137"/>
      <c r="AA114" s="138"/>
      <c r="AB114" s="138"/>
      <c r="AC114" s="57"/>
      <c r="AD114" s="58"/>
      <c r="AE114" s="59"/>
      <c r="AF114" s="137"/>
      <c r="AG114" s="138"/>
      <c r="AH114" s="138"/>
      <c r="AI114" s="57"/>
      <c r="AJ114" s="58"/>
      <c r="AK114" s="58"/>
      <c r="AL114" s="60"/>
      <c r="AM114" s="58"/>
      <c r="AN114" s="60"/>
    </row>
    <row r="115" spans="1:40" x14ac:dyDescent="0.45">
      <c r="A115" s="152"/>
      <c r="B115" s="152"/>
      <c r="C115" s="152"/>
      <c r="D115" s="152"/>
      <c r="E115" s="152"/>
      <c r="F115" s="29"/>
      <c r="G115" s="153"/>
      <c r="H115" s="152"/>
      <c r="I115" s="152"/>
      <c r="J115" s="152"/>
      <c r="K115" s="62"/>
      <c r="L115" s="63"/>
      <c r="M115" s="72"/>
      <c r="N115" s="153"/>
      <c r="O115" s="152"/>
      <c r="P115" s="152"/>
      <c r="Q115" s="62"/>
      <c r="R115" s="63"/>
      <c r="S115" s="72"/>
      <c r="T115" s="153"/>
      <c r="U115" s="152"/>
      <c r="V115" s="152"/>
      <c r="W115" s="62"/>
      <c r="X115" s="63"/>
      <c r="Y115" s="72"/>
      <c r="Z115" s="153"/>
      <c r="AA115" s="152"/>
      <c r="AB115" s="152"/>
      <c r="AC115" s="62"/>
      <c r="AD115" s="63"/>
      <c r="AE115" s="72"/>
      <c r="AF115" s="153"/>
      <c r="AG115" s="152"/>
      <c r="AH115" s="152"/>
      <c r="AI115" s="62"/>
      <c r="AJ115" s="63"/>
      <c r="AK115" s="63"/>
      <c r="AL115" s="40"/>
      <c r="AM115" s="63"/>
      <c r="AN115" s="64"/>
    </row>
    <row r="116" spans="1:40" x14ac:dyDescent="0.45">
      <c r="A116" s="132"/>
      <c r="B116" s="132"/>
      <c r="C116" s="132"/>
      <c r="D116" s="132"/>
      <c r="E116" s="132"/>
      <c r="F116" s="73" t="s">
        <v>180</v>
      </c>
      <c r="G116" s="124"/>
      <c r="H116" s="132"/>
      <c r="I116" s="132"/>
      <c r="J116" s="132"/>
      <c r="K116" s="37"/>
      <c r="L116" s="38"/>
      <c r="M116" s="39"/>
      <c r="N116" s="141"/>
      <c r="O116" s="38"/>
      <c r="P116" s="15"/>
      <c r="Q116" s="37"/>
      <c r="R116" s="38"/>
      <c r="S116" s="39"/>
      <c r="T116" s="141"/>
      <c r="U116" s="38"/>
      <c r="V116" s="15"/>
      <c r="W116" s="37"/>
      <c r="X116" s="38"/>
      <c r="Y116" s="39"/>
      <c r="Z116" s="141"/>
      <c r="AA116" s="38"/>
      <c r="AB116" s="15"/>
      <c r="AC116" s="37"/>
      <c r="AD116" s="38"/>
      <c r="AE116" s="39"/>
      <c r="AF116" s="141"/>
      <c r="AG116" s="38"/>
      <c r="AH116" s="15"/>
      <c r="AI116" s="37"/>
      <c r="AJ116" s="38"/>
      <c r="AK116" s="38"/>
      <c r="AL116" s="40"/>
      <c r="AM116" s="38"/>
      <c r="AN116" s="40"/>
    </row>
    <row r="117" spans="1:40" x14ac:dyDescent="0.45">
      <c r="A117" s="131" t="s">
        <v>181</v>
      </c>
      <c r="B117" s="1">
        <v>82401</v>
      </c>
      <c r="C117" s="1" t="s">
        <v>57</v>
      </c>
      <c r="D117" s="1" t="s">
        <v>57</v>
      </c>
      <c r="E117" s="1">
        <v>0</v>
      </c>
      <c r="F117" s="65" t="s">
        <v>182</v>
      </c>
      <c r="G117" s="141">
        <v>3</v>
      </c>
      <c r="H117" s="38">
        <f>Supplies!B31</f>
        <v>1204.99</v>
      </c>
      <c r="I117" s="132"/>
      <c r="J117" s="131" t="s">
        <v>183</v>
      </c>
      <c r="K117" s="37">
        <f>H117*G117</f>
        <v>3614.9700000000003</v>
      </c>
      <c r="L117" s="38">
        <v>0</v>
      </c>
      <c r="M117" s="39">
        <f t="shared" ref="M117:M130" si="315">SUM(K117:L117)</f>
        <v>3614.9700000000003</v>
      </c>
      <c r="N117" s="141">
        <v>0</v>
      </c>
      <c r="O117" s="38">
        <f>H117*$G$6</f>
        <v>1223.06485</v>
      </c>
      <c r="P117" s="15"/>
      <c r="Q117" s="37">
        <f>N117*O117</f>
        <v>0</v>
      </c>
      <c r="R117" s="38">
        <v>0</v>
      </c>
      <c r="S117" s="39">
        <f t="shared" ref="S117:S128" si="316">SUM(Q117:R117)</f>
        <v>0</v>
      </c>
      <c r="T117" s="37">
        <f t="shared" ref="T117:T130" si="317">Q117*R117*S117</f>
        <v>0</v>
      </c>
      <c r="U117" s="38">
        <f>H117*$G$6*$G$6</f>
        <v>1241.4108227499999</v>
      </c>
      <c r="V117" s="15"/>
      <c r="W117" s="37">
        <f>U117*T117</f>
        <v>0</v>
      </c>
      <c r="X117" s="38">
        <v>0</v>
      </c>
      <c r="Y117" s="39">
        <f t="shared" ref="Y117:Y130" si="318">SUM(W117:X117)</f>
        <v>0</v>
      </c>
      <c r="Z117" s="37">
        <f t="shared" ref="Z117:Z130" si="319">W117*X117*Y117</f>
        <v>0</v>
      </c>
      <c r="AA117" s="38">
        <f>H117*$G$6*$G$6*$G$6</f>
        <v>1260.0319850912497</v>
      </c>
      <c r="AB117" s="15"/>
      <c r="AC117" s="37">
        <f>AA117*Z117</f>
        <v>0</v>
      </c>
      <c r="AD117" s="38">
        <v>0</v>
      </c>
      <c r="AE117" s="39">
        <f t="shared" ref="AE117:AE130" si="320">SUM(AC117:AD117)</f>
        <v>0</v>
      </c>
      <c r="AF117" s="37">
        <f t="shared" ref="AF117:AF130" si="321">AC117*AD117*AE117</f>
        <v>0</v>
      </c>
      <c r="AG117" s="38">
        <f>H117*$G$6*$G$6*$G$6*$G$6</f>
        <v>1278.9324648676184</v>
      </c>
      <c r="AH117" s="15">
        <v>0</v>
      </c>
      <c r="AI117" s="37">
        <f>AG117*AF117</f>
        <v>0</v>
      </c>
      <c r="AJ117" s="38">
        <v>0</v>
      </c>
      <c r="AK117" s="38">
        <f t="shared" ref="AK117:AK130" si="322">SUM(AI117:AJ117)</f>
        <v>0</v>
      </c>
      <c r="AL117" s="40">
        <f t="shared" ref="AL117:AL130" si="323">K117+Q117+W117+AC117+AI117</f>
        <v>3614.9700000000003</v>
      </c>
      <c r="AM117" s="38">
        <f t="shared" ref="AM117:AM130" si="324">L117+R117+X117+AD117+AJ117</f>
        <v>0</v>
      </c>
      <c r="AN117" s="40">
        <f t="shared" ref="AN117:AN130" si="325">SUM(AL117:AM117)</f>
        <v>3614.9700000000003</v>
      </c>
    </row>
    <row r="118" spans="1:40" x14ac:dyDescent="0.45">
      <c r="A118" s="131" t="s">
        <v>184</v>
      </c>
      <c r="B118" s="1">
        <v>82401</v>
      </c>
      <c r="C118" s="1" t="s">
        <v>57</v>
      </c>
      <c r="D118" s="1" t="s">
        <v>57</v>
      </c>
      <c r="E118" s="1">
        <v>0</v>
      </c>
      <c r="F118" s="65" t="s">
        <v>185</v>
      </c>
      <c r="G118" s="141">
        <v>1</v>
      </c>
      <c r="H118" s="38">
        <f>Supplies!B39</f>
        <v>469.95</v>
      </c>
      <c r="I118" s="132"/>
      <c r="J118" s="131" t="s">
        <v>183</v>
      </c>
      <c r="K118" s="37">
        <f t="shared" ref="K118:K130" si="326">H118*G118</f>
        <v>469.95</v>
      </c>
      <c r="L118" s="38">
        <v>0</v>
      </c>
      <c r="M118" s="39">
        <f t="shared" si="315"/>
        <v>469.95</v>
      </c>
      <c r="N118" s="141">
        <v>0</v>
      </c>
      <c r="O118" s="38">
        <f t="shared" ref="O118:O121" si="327">H118*$G$6</f>
        <v>476.99924999999996</v>
      </c>
      <c r="P118" s="15"/>
      <c r="Q118" s="37">
        <f t="shared" ref="Q118:Q129" si="328">N118*O118</f>
        <v>0</v>
      </c>
      <c r="R118" s="38">
        <v>0</v>
      </c>
      <c r="S118" s="39">
        <f t="shared" si="316"/>
        <v>0</v>
      </c>
      <c r="T118" s="37">
        <f t="shared" si="317"/>
        <v>0</v>
      </c>
      <c r="U118" s="38">
        <f t="shared" ref="U118:U121" si="329">H118*$G$6*$G$6</f>
        <v>484.15423874999993</v>
      </c>
      <c r="V118" s="15"/>
      <c r="W118" s="37">
        <f t="shared" ref="W118:W130" si="330">U118*T118</f>
        <v>0</v>
      </c>
      <c r="X118" s="38">
        <v>0</v>
      </c>
      <c r="Y118" s="39">
        <f t="shared" si="318"/>
        <v>0</v>
      </c>
      <c r="Z118" s="37">
        <f t="shared" si="319"/>
        <v>0</v>
      </c>
      <c r="AA118" s="38">
        <f t="shared" ref="AA118:AA121" si="331">H118*$G$6*$G$6*$G$6</f>
        <v>491.41655233124987</v>
      </c>
      <c r="AB118" s="15"/>
      <c r="AC118" s="37">
        <f t="shared" ref="AC118:AC130" si="332">AA118*Z118</f>
        <v>0</v>
      </c>
      <c r="AD118" s="38">
        <v>0</v>
      </c>
      <c r="AE118" s="39">
        <f t="shared" si="320"/>
        <v>0</v>
      </c>
      <c r="AF118" s="37">
        <f t="shared" si="321"/>
        <v>0</v>
      </c>
      <c r="AG118" s="38">
        <f t="shared" ref="AG118:AG121" si="333">H118*$G$6*$G$6*$G$6*$G$6</f>
        <v>498.78780061621859</v>
      </c>
      <c r="AH118" s="15"/>
      <c r="AI118" s="37">
        <f t="shared" ref="AI118:AI130" si="334">AG118*AF118</f>
        <v>0</v>
      </c>
      <c r="AJ118" s="38">
        <v>0</v>
      </c>
      <c r="AK118" s="38">
        <f t="shared" si="322"/>
        <v>0</v>
      </c>
      <c r="AL118" s="40">
        <f t="shared" si="323"/>
        <v>469.95</v>
      </c>
      <c r="AM118" s="38">
        <f t="shared" si="324"/>
        <v>0</v>
      </c>
      <c r="AN118" s="40">
        <f t="shared" si="325"/>
        <v>469.95</v>
      </c>
    </row>
    <row r="119" spans="1:40" x14ac:dyDescent="0.45">
      <c r="A119" s="131" t="s">
        <v>186</v>
      </c>
      <c r="B119" s="1">
        <v>82401</v>
      </c>
      <c r="C119" s="1" t="s">
        <v>57</v>
      </c>
      <c r="D119" s="1" t="s">
        <v>57</v>
      </c>
      <c r="E119" s="1">
        <v>0</v>
      </c>
      <c r="F119" s="65" t="s">
        <v>187</v>
      </c>
      <c r="G119" s="141">
        <v>1</v>
      </c>
      <c r="H119" s="38">
        <f>Supplies!B45</f>
        <v>854</v>
      </c>
      <c r="I119" s="132"/>
      <c r="J119" s="131" t="s">
        <v>183</v>
      </c>
      <c r="K119" s="37">
        <f t="shared" si="326"/>
        <v>854</v>
      </c>
      <c r="L119" s="38">
        <v>0</v>
      </c>
      <c r="M119" s="39">
        <f t="shared" si="315"/>
        <v>854</v>
      </c>
      <c r="N119" s="141">
        <v>0</v>
      </c>
      <c r="O119" s="38">
        <f t="shared" si="327"/>
        <v>866.81</v>
      </c>
      <c r="P119" s="15"/>
      <c r="Q119" s="37">
        <f t="shared" si="328"/>
        <v>0</v>
      </c>
      <c r="R119" s="38">
        <v>0</v>
      </c>
      <c r="S119" s="39">
        <f t="shared" si="316"/>
        <v>0</v>
      </c>
      <c r="T119" s="37">
        <f t="shared" si="317"/>
        <v>0</v>
      </c>
      <c r="U119" s="38">
        <f t="shared" si="329"/>
        <v>879.81214999999986</v>
      </c>
      <c r="V119" s="15"/>
      <c r="W119" s="37">
        <f t="shared" si="330"/>
        <v>0</v>
      </c>
      <c r="X119" s="38">
        <v>0</v>
      </c>
      <c r="Y119" s="39">
        <f t="shared" si="318"/>
        <v>0</v>
      </c>
      <c r="Z119" s="37">
        <f t="shared" si="319"/>
        <v>0</v>
      </c>
      <c r="AA119" s="38">
        <f t="shared" si="331"/>
        <v>893.00933224999972</v>
      </c>
      <c r="AB119" s="15"/>
      <c r="AC119" s="37">
        <f t="shared" si="332"/>
        <v>0</v>
      </c>
      <c r="AD119" s="38">
        <v>0</v>
      </c>
      <c r="AE119" s="39">
        <f t="shared" si="320"/>
        <v>0</v>
      </c>
      <c r="AF119" s="37">
        <f t="shared" si="321"/>
        <v>0</v>
      </c>
      <c r="AG119" s="38">
        <f t="shared" si="333"/>
        <v>906.40447223374963</v>
      </c>
      <c r="AH119" s="15"/>
      <c r="AI119" s="37">
        <f t="shared" si="334"/>
        <v>0</v>
      </c>
      <c r="AJ119" s="38">
        <v>0</v>
      </c>
      <c r="AK119" s="38">
        <f t="shared" si="322"/>
        <v>0</v>
      </c>
      <c r="AL119" s="40">
        <f t="shared" si="323"/>
        <v>854</v>
      </c>
      <c r="AM119" s="38">
        <f t="shared" si="324"/>
        <v>0</v>
      </c>
      <c r="AN119" s="40">
        <f t="shared" si="325"/>
        <v>854</v>
      </c>
    </row>
    <row r="120" spans="1:40" x14ac:dyDescent="0.45">
      <c r="A120" s="131" t="s">
        <v>188</v>
      </c>
      <c r="B120" s="1">
        <v>82401</v>
      </c>
      <c r="C120" s="1" t="s">
        <v>57</v>
      </c>
      <c r="D120" s="1" t="s">
        <v>57</v>
      </c>
      <c r="E120" s="1">
        <v>0</v>
      </c>
      <c r="F120" s="65" t="s">
        <v>189</v>
      </c>
      <c r="G120" s="141">
        <v>3</v>
      </c>
      <c r="H120" s="38">
        <f>Supplies!B69</f>
        <v>2790</v>
      </c>
      <c r="I120" s="132"/>
      <c r="J120" s="131" t="s">
        <v>183</v>
      </c>
      <c r="K120" s="37">
        <f t="shared" ref="K120" si="335">H120*G120</f>
        <v>8370</v>
      </c>
      <c r="L120" s="38">
        <v>0</v>
      </c>
      <c r="M120" s="39">
        <f t="shared" ref="M120" si="336">SUM(K120:L120)</f>
        <v>8370</v>
      </c>
      <c r="N120" s="141">
        <v>0</v>
      </c>
      <c r="O120" s="38">
        <f t="shared" si="327"/>
        <v>2831.85</v>
      </c>
      <c r="P120" s="15"/>
      <c r="Q120" s="37">
        <f t="shared" ref="Q120" si="337">N120*O120</f>
        <v>0</v>
      </c>
      <c r="R120" s="38">
        <v>0</v>
      </c>
      <c r="S120" s="39">
        <f t="shared" ref="S120" si="338">SUM(Q120:R120)</f>
        <v>0</v>
      </c>
      <c r="T120" s="37">
        <f t="shared" ref="T120" si="339">Q120*R120*S120</f>
        <v>0</v>
      </c>
      <c r="U120" s="38">
        <f t="shared" si="329"/>
        <v>2874.3277499999995</v>
      </c>
      <c r="V120" s="15"/>
      <c r="W120" s="37">
        <f t="shared" ref="W120" si="340">U120*T120</f>
        <v>0</v>
      </c>
      <c r="X120" s="38">
        <v>0</v>
      </c>
      <c r="Y120" s="39">
        <f t="shared" ref="Y120" si="341">SUM(W120:X120)</f>
        <v>0</v>
      </c>
      <c r="Z120" s="37">
        <f t="shared" ref="Z120" si="342">W120*X120*Y120</f>
        <v>0</v>
      </c>
      <c r="AA120" s="38">
        <f t="shared" si="331"/>
        <v>2917.4426662499991</v>
      </c>
      <c r="AB120" s="15"/>
      <c r="AC120" s="37">
        <f t="shared" ref="AC120" si="343">AA120*Z120</f>
        <v>0</v>
      </c>
      <c r="AD120" s="38">
        <v>0</v>
      </c>
      <c r="AE120" s="39">
        <f t="shared" ref="AE120" si="344">SUM(AC120:AD120)</f>
        <v>0</v>
      </c>
      <c r="AF120" s="37">
        <f t="shared" ref="AF120" si="345">AC120*AD120*AE120</f>
        <v>0</v>
      </c>
      <c r="AG120" s="38">
        <f t="shared" si="333"/>
        <v>2961.2043062437488</v>
      </c>
      <c r="AH120" s="15"/>
      <c r="AI120" s="37">
        <f t="shared" ref="AI120" si="346">AG120*AF120</f>
        <v>0</v>
      </c>
      <c r="AJ120" s="38">
        <v>0</v>
      </c>
      <c r="AK120" s="38">
        <f t="shared" ref="AK120" si="347">SUM(AI120:AJ120)</f>
        <v>0</v>
      </c>
      <c r="AL120" s="40">
        <f t="shared" ref="AL120" si="348">K120+Q120+W120+AC120+AI120</f>
        <v>8370</v>
      </c>
      <c r="AM120" s="38">
        <f t="shared" ref="AM120" si="349">L120+R120+X120+AD120+AJ120</f>
        <v>0</v>
      </c>
      <c r="AN120" s="40">
        <f t="shared" ref="AN120" si="350">SUM(AL120:AM120)</f>
        <v>8370</v>
      </c>
    </row>
    <row r="121" spans="1:40" x14ac:dyDescent="0.45">
      <c r="A121" s="131" t="s">
        <v>190</v>
      </c>
      <c r="B121" s="1">
        <v>82401</v>
      </c>
      <c r="C121" s="1" t="s">
        <v>57</v>
      </c>
      <c r="D121" s="1" t="s">
        <v>57</v>
      </c>
      <c r="E121" s="1">
        <v>0</v>
      </c>
      <c r="F121" s="65" t="s">
        <v>191</v>
      </c>
      <c r="G121" s="141">
        <v>1</v>
      </c>
      <c r="H121" s="38">
        <v>250</v>
      </c>
      <c r="I121" s="38">
        <v>12</v>
      </c>
      <c r="J121" s="131" t="s">
        <v>107</v>
      </c>
      <c r="K121" s="37">
        <f>H121*G121*I121</f>
        <v>3000</v>
      </c>
      <c r="L121" s="38">
        <v>0</v>
      </c>
      <c r="M121" s="39">
        <f t="shared" ref="M121" si="351">SUM(K121:L121)</f>
        <v>3000</v>
      </c>
      <c r="N121" s="141">
        <v>1</v>
      </c>
      <c r="O121" s="38">
        <f t="shared" si="327"/>
        <v>253.74999999999997</v>
      </c>
      <c r="P121" s="15">
        <v>12</v>
      </c>
      <c r="Q121" s="37">
        <f>N121*O121*P121</f>
        <v>3044.9999999999995</v>
      </c>
      <c r="R121" s="38">
        <v>0</v>
      </c>
      <c r="S121" s="39">
        <f t="shared" ref="S121" si="352">SUM(Q121:R121)</f>
        <v>3044.9999999999995</v>
      </c>
      <c r="T121" s="37">
        <v>1</v>
      </c>
      <c r="U121" s="38">
        <f t="shared" si="329"/>
        <v>257.55624999999992</v>
      </c>
      <c r="V121" s="15">
        <v>12</v>
      </c>
      <c r="W121" s="37">
        <f>U121*T121*V121</f>
        <v>3090.6749999999993</v>
      </c>
      <c r="X121" s="38">
        <v>0</v>
      </c>
      <c r="Y121" s="39">
        <f t="shared" ref="Y121" si="353">SUM(W121:X121)</f>
        <v>3090.6749999999993</v>
      </c>
      <c r="Z121" s="37">
        <v>1</v>
      </c>
      <c r="AA121" s="38">
        <f t="shared" si="331"/>
        <v>261.41959374999988</v>
      </c>
      <c r="AB121" s="15">
        <v>12</v>
      </c>
      <c r="AC121" s="37">
        <f>AA121*Z121*AB121</f>
        <v>3137.0351249999985</v>
      </c>
      <c r="AD121" s="38">
        <v>0</v>
      </c>
      <c r="AE121" s="39">
        <f t="shared" ref="AE121" si="354">SUM(AC121:AD121)</f>
        <v>3137.0351249999985</v>
      </c>
      <c r="AF121" s="37">
        <v>1</v>
      </c>
      <c r="AG121" s="38">
        <f t="shared" si="333"/>
        <v>265.34088765624983</v>
      </c>
      <c r="AH121" s="15">
        <v>12</v>
      </c>
      <c r="AI121" s="37">
        <f>AG121*AF121*AH121</f>
        <v>3184.090651874998</v>
      </c>
      <c r="AJ121" s="38">
        <v>0</v>
      </c>
      <c r="AK121" s="38">
        <f t="shared" ref="AK121" si="355">SUM(AI121:AJ121)</f>
        <v>3184.090651874998</v>
      </c>
      <c r="AL121" s="40">
        <f t="shared" ref="AL121" si="356">K121+Q121+W121+AC121+AI121</f>
        <v>15456.800776874996</v>
      </c>
      <c r="AM121" s="38">
        <f t="shared" ref="AM121" si="357">L121+R121+X121+AD121+AJ121</f>
        <v>0</v>
      </c>
      <c r="AN121" s="40">
        <f t="shared" ref="AN121" si="358">SUM(AL121:AM121)</f>
        <v>15456.800776874996</v>
      </c>
    </row>
    <row r="122" spans="1:40" s="10" customFormat="1" x14ac:dyDescent="0.45">
      <c r="A122" s="131"/>
      <c r="B122" s="145"/>
      <c r="C122" s="145"/>
      <c r="D122" s="145"/>
      <c r="E122" s="145"/>
      <c r="F122" s="75" t="s">
        <v>192</v>
      </c>
      <c r="G122" s="144"/>
      <c r="H122" s="129"/>
      <c r="I122" s="145"/>
      <c r="J122" s="129"/>
      <c r="K122" s="42">
        <f>SUM(K117:K121)</f>
        <v>16308.92</v>
      </c>
      <c r="L122" s="43">
        <f>SUM(L117:L121)</f>
        <v>0</v>
      </c>
      <c r="M122" s="44">
        <f>SUM(M117:M121)</f>
        <v>16308.92</v>
      </c>
      <c r="N122" s="144"/>
      <c r="O122" s="43"/>
      <c r="P122" s="129"/>
      <c r="Q122" s="42">
        <f>SUM(Q117:Q121)</f>
        <v>3044.9999999999995</v>
      </c>
      <c r="R122" s="43">
        <f>SUM(R117:R121)</f>
        <v>0</v>
      </c>
      <c r="S122" s="44">
        <f>SUM(S117:S121)</f>
        <v>3044.9999999999995</v>
      </c>
      <c r="T122" s="144"/>
      <c r="U122" s="129"/>
      <c r="V122" s="129"/>
      <c r="W122" s="42">
        <f>SUM(W117:W121)</f>
        <v>3090.6749999999993</v>
      </c>
      <c r="X122" s="43">
        <f>SUM(X117:X121)</f>
        <v>0</v>
      </c>
      <c r="Y122" s="44">
        <f>SUM(Y117:Y121)</f>
        <v>3090.6749999999993</v>
      </c>
      <c r="Z122" s="144"/>
      <c r="AA122" s="129"/>
      <c r="AB122" s="129"/>
      <c r="AC122" s="42">
        <f>SUM(AC117:AC121)</f>
        <v>3137.0351249999985</v>
      </c>
      <c r="AD122" s="43">
        <f>SUM(AD117:AD121)</f>
        <v>0</v>
      </c>
      <c r="AE122" s="44">
        <f>SUM(AE117:AE121)</f>
        <v>3137.0351249999985</v>
      </c>
      <c r="AF122" s="144"/>
      <c r="AG122" s="129"/>
      <c r="AH122" s="129"/>
      <c r="AI122" s="42">
        <f>SUM(AI117:AI121)</f>
        <v>3184.090651874998</v>
      </c>
      <c r="AJ122" s="43">
        <f>SUM(AJ117:AJ121)</f>
        <v>0</v>
      </c>
      <c r="AK122" s="43">
        <f>SUM(AK117:AK121)</f>
        <v>3184.090651874998</v>
      </c>
      <c r="AL122" s="45">
        <f>K122+Q122+W122+AC122+AI122</f>
        <v>28765.720776874994</v>
      </c>
      <c r="AM122" s="43">
        <f>L122+R122+X122+AD122+AJ122</f>
        <v>0</v>
      </c>
      <c r="AN122" s="45">
        <f>SUM(AL122:AM122)</f>
        <v>28765.720776874994</v>
      </c>
    </row>
    <row r="123" spans="1:40" x14ac:dyDescent="0.45">
      <c r="A123" s="131"/>
      <c r="B123" s="132"/>
      <c r="C123" s="132"/>
      <c r="D123" s="132"/>
      <c r="E123" s="132"/>
      <c r="F123" s="65"/>
      <c r="G123" s="141"/>
      <c r="H123" s="38"/>
      <c r="I123" s="132"/>
      <c r="J123" s="131"/>
      <c r="K123" s="37"/>
      <c r="L123" s="38"/>
      <c r="M123" s="39"/>
      <c r="N123" s="141"/>
      <c r="O123" s="38"/>
      <c r="P123" s="15"/>
      <c r="Q123" s="37"/>
      <c r="R123" s="38"/>
      <c r="S123" s="39"/>
      <c r="T123" s="37"/>
      <c r="U123" s="38"/>
      <c r="V123" s="15"/>
      <c r="W123" s="37"/>
      <c r="X123" s="38"/>
      <c r="Y123" s="39"/>
      <c r="Z123" s="37"/>
      <c r="AA123" s="38"/>
      <c r="AB123" s="15"/>
      <c r="AC123" s="37"/>
      <c r="AD123" s="38"/>
      <c r="AE123" s="39"/>
      <c r="AF123" s="37"/>
      <c r="AG123" s="38"/>
      <c r="AH123" s="15"/>
      <c r="AI123" s="37"/>
      <c r="AJ123" s="38"/>
      <c r="AK123" s="38"/>
      <c r="AL123" s="40"/>
      <c r="AM123" s="38"/>
      <c r="AN123" s="40"/>
    </row>
    <row r="124" spans="1:40" x14ac:dyDescent="0.45">
      <c r="A124" s="131"/>
      <c r="B124" s="132"/>
      <c r="C124" s="132"/>
      <c r="D124" s="132"/>
      <c r="E124" s="132"/>
      <c r="F124" s="73" t="s">
        <v>193</v>
      </c>
      <c r="G124" s="124"/>
      <c r="H124" s="132"/>
      <c r="I124" s="132"/>
      <c r="J124" s="132"/>
      <c r="K124" s="37"/>
      <c r="L124" s="38"/>
      <c r="M124" s="39"/>
      <c r="N124" s="124"/>
      <c r="O124" s="38"/>
      <c r="P124" s="15"/>
      <c r="Q124" s="37"/>
      <c r="R124" s="38"/>
      <c r="S124" s="39"/>
      <c r="T124" s="37"/>
      <c r="U124" s="38"/>
      <c r="V124" s="132"/>
      <c r="W124" s="37"/>
      <c r="X124" s="38"/>
      <c r="Y124" s="39"/>
      <c r="Z124" s="37"/>
      <c r="AA124" s="38"/>
      <c r="AB124" s="132"/>
      <c r="AC124" s="37"/>
      <c r="AD124" s="38"/>
      <c r="AE124" s="39"/>
      <c r="AF124" s="37"/>
      <c r="AG124" s="38"/>
      <c r="AH124" s="132"/>
      <c r="AI124" s="37"/>
      <c r="AJ124" s="38"/>
      <c r="AK124" s="38"/>
      <c r="AL124" s="40"/>
      <c r="AM124" s="38"/>
      <c r="AN124" s="40"/>
    </row>
    <row r="125" spans="1:40" x14ac:dyDescent="0.45">
      <c r="A125" s="131" t="s">
        <v>181</v>
      </c>
      <c r="B125" s="1">
        <v>82401</v>
      </c>
      <c r="C125" s="258" t="s">
        <v>65</v>
      </c>
      <c r="D125" s="258" t="s">
        <v>65</v>
      </c>
      <c r="E125" s="1">
        <v>0</v>
      </c>
      <c r="F125" s="65" t="s">
        <v>194</v>
      </c>
      <c r="G125" s="141">
        <v>14</v>
      </c>
      <c r="H125" s="38">
        <f>Supplies!B31</f>
        <v>1204.99</v>
      </c>
      <c r="I125" s="1">
        <v>1</v>
      </c>
      <c r="J125" s="131" t="s">
        <v>183</v>
      </c>
      <c r="K125" s="37">
        <f>H125*G125</f>
        <v>16869.86</v>
      </c>
      <c r="L125" s="38">
        <v>0</v>
      </c>
      <c r="M125" s="39">
        <f t="shared" si="315"/>
        <v>16869.86</v>
      </c>
      <c r="N125" s="141">
        <v>0</v>
      </c>
      <c r="O125" s="38">
        <f>H125*$G$7</f>
        <v>1241.1396999999999</v>
      </c>
      <c r="P125" s="1">
        <v>1</v>
      </c>
      <c r="Q125" s="37">
        <f t="shared" si="328"/>
        <v>0</v>
      </c>
      <c r="R125" s="38">
        <v>0</v>
      </c>
      <c r="S125" s="39">
        <f t="shared" si="316"/>
        <v>0</v>
      </c>
      <c r="T125" s="37">
        <f t="shared" si="317"/>
        <v>0</v>
      </c>
      <c r="U125" s="38">
        <f>H125*$G$7*$G$7</f>
        <v>1278.373891</v>
      </c>
      <c r="V125" s="1">
        <v>1</v>
      </c>
      <c r="W125" s="37">
        <f t="shared" si="330"/>
        <v>0</v>
      </c>
      <c r="X125" s="38">
        <v>0</v>
      </c>
      <c r="Y125" s="39">
        <f t="shared" si="318"/>
        <v>0</v>
      </c>
      <c r="Z125" s="37">
        <f t="shared" si="319"/>
        <v>0</v>
      </c>
      <c r="AA125" s="38">
        <f>H125*$G$7*$G$7*$G$7</f>
        <v>1316.72510773</v>
      </c>
      <c r="AB125" s="1">
        <v>1</v>
      </c>
      <c r="AC125" s="37">
        <f t="shared" si="332"/>
        <v>0</v>
      </c>
      <c r="AD125" s="38">
        <v>0</v>
      </c>
      <c r="AE125" s="39">
        <f t="shared" si="320"/>
        <v>0</v>
      </c>
      <c r="AF125" s="37">
        <f t="shared" si="321"/>
        <v>0</v>
      </c>
      <c r="AG125" s="38">
        <f>H125*$G$7*$G$7*$G$7*$G$7</f>
        <v>1356.2268609619</v>
      </c>
      <c r="AH125" s="1">
        <v>1</v>
      </c>
      <c r="AI125" s="37">
        <f t="shared" si="334"/>
        <v>0</v>
      </c>
      <c r="AJ125" s="38">
        <v>0</v>
      </c>
      <c r="AK125" s="38">
        <f t="shared" si="322"/>
        <v>0</v>
      </c>
      <c r="AL125" s="40">
        <f>K125+Q125+W125+AC125+AI125</f>
        <v>16869.86</v>
      </c>
      <c r="AM125" s="38">
        <f t="shared" si="324"/>
        <v>0</v>
      </c>
      <c r="AN125" s="40">
        <f t="shared" si="325"/>
        <v>16869.86</v>
      </c>
    </row>
    <row r="126" spans="1:40" x14ac:dyDescent="0.45">
      <c r="A126" s="131" t="s">
        <v>195</v>
      </c>
      <c r="B126" s="1">
        <v>82401</v>
      </c>
      <c r="C126" s="258" t="s">
        <v>65</v>
      </c>
      <c r="D126" s="258" t="s">
        <v>65</v>
      </c>
      <c r="E126" s="1">
        <v>0</v>
      </c>
      <c r="F126" s="65" t="s">
        <v>196</v>
      </c>
      <c r="G126" s="141">
        <f>3*2</f>
        <v>6</v>
      </c>
      <c r="H126" s="38">
        <f>Supplies!B51</f>
        <v>839</v>
      </c>
      <c r="I126" s="1">
        <v>1</v>
      </c>
      <c r="J126" s="131" t="s">
        <v>183</v>
      </c>
      <c r="K126" s="37">
        <f t="shared" si="326"/>
        <v>5034</v>
      </c>
      <c r="L126" s="38">
        <v>0</v>
      </c>
      <c r="M126" s="39">
        <f t="shared" si="315"/>
        <v>5034</v>
      </c>
      <c r="N126" s="141">
        <v>0</v>
      </c>
      <c r="O126" s="38">
        <f t="shared" ref="O126:O134" si="359">H126*$G$7</f>
        <v>864.17000000000007</v>
      </c>
      <c r="P126" s="1">
        <v>1</v>
      </c>
      <c r="Q126" s="37">
        <f t="shared" si="328"/>
        <v>0</v>
      </c>
      <c r="R126" s="38">
        <v>0</v>
      </c>
      <c r="S126" s="39">
        <f t="shared" si="316"/>
        <v>0</v>
      </c>
      <c r="T126" s="37">
        <f t="shared" si="317"/>
        <v>0</v>
      </c>
      <c r="U126" s="38">
        <f t="shared" ref="U126:U134" si="360">H126*$G$7*$G$7</f>
        <v>890.09510000000012</v>
      </c>
      <c r="V126" s="1">
        <v>1</v>
      </c>
      <c r="W126" s="37">
        <f t="shared" si="330"/>
        <v>0</v>
      </c>
      <c r="X126" s="38">
        <v>0</v>
      </c>
      <c r="Y126" s="39">
        <f t="shared" si="318"/>
        <v>0</v>
      </c>
      <c r="Z126" s="37">
        <f t="shared" si="319"/>
        <v>0</v>
      </c>
      <c r="AA126" s="38">
        <f t="shared" ref="AA126:AA133" si="361">H126*$G$7*$G$7*$G$7</f>
        <v>916.79795300000012</v>
      </c>
      <c r="AB126" s="1">
        <v>1</v>
      </c>
      <c r="AC126" s="37">
        <f t="shared" si="332"/>
        <v>0</v>
      </c>
      <c r="AD126" s="38">
        <v>0</v>
      </c>
      <c r="AE126" s="39">
        <f t="shared" si="320"/>
        <v>0</v>
      </c>
      <c r="AF126" s="37">
        <f t="shared" si="321"/>
        <v>0</v>
      </c>
      <c r="AG126" s="38">
        <f t="shared" ref="AG126:AG133" si="362">H126*$G$7*$G$7*$G$7*$G$7</f>
        <v>944.3018915900002</v>
      </c>
      <c r="AH126" s="1">
        <v>1</v>
      </c>
      <c r="AI126" s="37">
        <f t="shared" si="334"/>
        <v>0</v>
      </c>
      <c r="AJ126" s="38">
        <v>0</v>
      </c>
      <c r="AK126" s="38">
        <f t="shared" si="322"/>
        <v>0</v>
      </c>
      <c r="AL126" s="40">
        <f t="shared" si="323"/>
        <v>5034</v>
      </c>
      <c r="AM126" s="38">
        <f t="shared" si="324"/>
        <v>0</v>
      </c>
      <c r="AN126" s="40">
        <f t="shared" si="325"/>
        <v>5034</v>
      </c>
    </row>
    <row r="127" spans="1:40" x14ac:dyDescent="0.45">
      <c r="A127" s="131" t="s">
        <v>184</v>
      </c>
      <c r="B127" s="1">
        <v>82401</v>
      </c>
      <c r="C127" s="258" t="s">
        <v>65</v>
      </c>
      <c r="D127" s="258" t="s">
        <v>65</v>
      </c>
      <c r="E127" s="1">
        <v>0</v>
      </c>
      <c r="F127" s="65" t="s">
        <v>197</v>
      </c>
      <c r="G127" s="141">
        <f>3*2</f>
        <v>6</v>
      </c>
      <c r="H127" s="38">
        <f>Supplies!B39</f>
        <v>469.95</v>
      </c>
      <c r="I127" s="1">
        <v>1</v>
      </c>
      <c r="J127" s="131" t="s">
        <v>183</v>
      </c>
      <c r="K127" s="37">
        <f t="shared" si="326"/>
        <v>2819.7</v>
      </c>
      <c r="L127" s="38">
        <v>0</v>
      </c>
      <c r="M127" s="39">
        <f t="shared" si="315"/>
        <v>2819.7</v>
      </c>
      <c r="N127" s="141">
        <v>0</v>
      </c>
      <c r="O127" s="38">
        <f t="shared" si="359"/>
        <v>484.04849999999999</v>
      </c>
      <c r="P127" s="1">
        <v>1</v>
      </c>
      <c r="Q127" s="37">
        <f t="shared" si="328"/>
        <v>0</v>
      </c>
      <c r="R127" s="38">
        <v>0</v>
      </c>
      <c r="S127" s="39">
        <f t="shared" si="316"/>
        <v>0</v>
      </c>
      <c r="T127" s="37">
        <f t="shared" si="317"/>
        <v>0</v>
      </c>
      <c r="U127" s="38">
        <f t="shared" si="360"/>
        <v>498.56995499999999</v>
      </c>
      <c r="V127" s="1">
        <v>1</v>
      </c>
      <c r="W127" s="37">
        <f t="shared" si="330"/>
        <v>0</v>
      </c>
      <c r="X127" s="38">
        <v>0</v>
      </c>
      <c r="Y127" s="39">
        <f t="shared" si="318"/>
        <v>0</v>
      </c>
      <c r="Z127" s="37">
        <f t="shared" si="319"/>
        <v>0</v>
      </c>
      <c r="AA127" s="38">
        <f t="shared" si="361"/>
        <v>513.52705364999997</v>
      </c>
      <c r="AB127" s="1">
        <v>1</v>
      </c>
      <c r="AC127" s="37">
        <f t="shared" si="332"/>
        <v>0</v>
      </c>
      <c r="AD127" s="38">
        <v>0</v>
      </c>
      <c r="AE127" s="39">
        <f t="shared" si="320"/>
        <v>0</v>
      </c>
      <c r="AF127" s="37">
        <f t="shared" si="321"/>
        <v>0</v>
      </c>
      <c r="AG127" s="38">
        <f t="shared" si="362"/>
        <v>528.93286525949998</v>
      </c>
      <c r="AH127" s="1">
        <v>1</v>
      </c>
      <c r="AI127" s="37">
        <f t="shared" si="334"/>
        <v>0</v>
      </c>
      <c r="AJ127" s="38">
        <v>0</v>
      </c>
      <c r="AK127" s="38">
        <f t="shared" si="322"/>
        <v>0</v>
      </c>
      <c r="AL127" s="40">
        <f t="shared" si="323"/>
        <v>2819.7</v>
      </c>
      <c r="AM127" s="38">
        <f t="shared" si="324"/>
        <v>0</v>
      </c>
      <c r="AN127" s="40">
        <f t="shared" si="325"/>
        <v>2819.7</v>
      </c>
    </row>
    <row r="128" spans="1:40" x14ac:dyDescent="0.45">
      <c r="A128" s="131" t="s">
        <v>184</v>
      </c>
      <c r="B128" s="1">
        <v>82401</v>
      </c>
      <c r="C128" s="258" t="s">
        <v>65</v>
      </c>
      <c r="D128" s="258" t="s">
        <v>65</v>
      </c>
      <c r="E128" s="1">
        <v>0</v>
      </c>
      <c r="F128" s="65" t="s">
        <v>198</v>
      </c>
      <c r="G128" s="141">
        <f>3*2</f>
        <v>6</v>
      </c>
      <c r="H128" s="38">
        <f>Supplies!B59</f>
        <v>346.95</v>
      </c>
      <c r="I128" s="1">
        <v>1</v>
      </c>
      <c r="J128" s="131" t="s">
        <v>183</v>
      </c>
      <c r="K128" s="37">
        <f t="shared" si="326"/>
        <v>2081.6999999999998</v>
      </c>
      <c r="L128" s="38">
        <v>0</v>
      </c>
      <c r="M128" s="39">
        <f t="shared" si="315"/>
        <v>2081.6999999999998</v>
      </c>
      <c r="N128" s="141">
        <v>0</v>
      </c>
      <c r="O128" s="38">
        <f t="shared" si="359"/>
        <v>357.35849999999999</v>
      </c>
      <c r="P128" s="1">
        <v>1</v>
      </c>
      <c r="Q128" s="37">
        <f t="shared" si="328"/>
        <v>0</v>
      </c>
      <c r="R128" s="38">
        <v>0</v>
      </c>
      <c r="S128" s="39">
        <f t="shared" si="316"/>
        <v>0</v>
      </c>
      <c r="T128" s="37">
        <f t="shared" si="317"/>
        <v>0</v>
      </c>
      <c r="U128" s="38">
        <f t="shared" si="360"/>
        <v>368.07925499999999</v>
      </c>
      <c r="V128" s="1">
        <v>1</v>
      </c>
      <c r="W128" s="37">
        <f t="shared" si="330"/>
        <v>0</v>
      </c>
      <c r="X128" s="38">
        <v>0</v>
      </c>
      <c r="Y128" s="39">
        <f t="shared" si="318"/>
        <v>0</v>
      </c>
      <c r="Z128" s="37">
        <f t="shared" si="319"/>
        <v>0</v>
      </c>
      <c r="AA128" s="38">
        <f t="shared" si="361"/>
        <v>379.12163264999998</v>
      </c>
      <c r="AB128" s="1">
        <v>1</v>
      </c>
      <c r="AC128" s="37">
        <f t="shared" si="332"/>
        <v>0</v>
      </c>
      <c r="AD128" s="38">
        <v>0</v>
      </c>
      <c r="AE128" s="39">
        <f t="shared" si="320"/>
        <v>0</v>
      </c>
      <c r="AF128" s="37">
        <f t="shared" si="321"/>
        <v>0</v>
      </c>
      <c r="AG128" s="38">
        <f t="shared" si="362"/>
        <v>390.49528162949997</v>
      </c>
      <c r="AH128" s="1">
        <v>1</v>
      </c>
      <c r="AI128" s="37">
        <f t="shared" si="334"/>
        <v>0</v>
      </c>
      <c r="AJ128" s="38">
        <v>0</v>
      </c>
      <c r="AK128" s="38">
        <f t="shared" si="322"/>
        <v>0</v>
      </c>
      <c r="AL128" s="40">
        <f t="shared" si="323"/>
        <v>2081.6999999999998</v>
      </c>
      <c r="AM128" s="38">
        <f t="shared" si="324"/>
        <v>0</v>
      </c>
      <c r="AN128" s="40">
        <f t="shared" si="325"/>
        <v>2081.6999999999998</v>
      </c>
    </row>
    <row r="129" spans="1:44" x14ac:dyDescent="0.45">
      <c r="A129" s="131" t="s">
        <v>186</v>
      </c>
      <c r="B129" s="1">
        <v>82401</v>
      </c>
      <c r="C129" s="258" t="s">
        <v>65</v>
      </c>
      <c r="D129" s="258" t="s">
        <v>65</v>
      </c>
      <c r="E129" s="1">
        <v>0</v>
      </c>
      <c r="F129" s="65" t="s">
        <v>199</v>
      </c>
      <c r="G129" s="141">
        <f>3*2</f>
        <v>6</v>
      </c>
      <c r="H129" s="38">
        <f>Supplies!B17</f>
        <v>854</v>
      </c>
      <c r="I129" s="1">
        <v>1</v>
      </c>
      <c r="J129" s="131" t="s">
        <v>183</v>
      </c>
      <c r="K129" s="37">
        <f t="shared" si="326"/>
        <v>5124</v>
      </c>
      <c r="L129" s="38">
        <v>0</v>
      </c>
      <c r="M129" s="39">
        <f t="shared" si="315"/>
        <v>5124</v>
      </c>
      <c r="N129" s="141">
        <v>0</v>
      </c>
      <c r="O129" s="38">
        <f t="shared" si="359"/>
        <v>879.62</v>
      </c>
      <c r="P129" s="1">
        <v>1</v>
      </c>
      <c r="Q129" s="37">
        <f t="shared" si="328"/>
        <v>0</v>
      </c>
      <c r="R129" s="38">
        <v>0</v>
      </c>
      <c r="S129" s="39">
        <f>SUM(Q129:R129)</f>
        <v>0</v>
      </c>
      <c r="T129" s="37">
        <f t="shared" si="317"/>
        <v>0</v>
      </c>
      <c r="U129" s="38">
        <f t="shared" si="360"/>
        <v>906.0086</v>
      </c>
      <c r="V129" s="1">
        <v>1</v>
      </c>
      <c r="W129" s="37">
        <f t="shared" si="330"/>
        <v>0</v>
      </c>
      <c r="X129" s="38">
        <v>0</v>
      </c>
      <c r="Y129" s="39">
        <f t="shared" si="318"/>
        <v>0</v>
      </c>
      <c r="Z129" s="37">
        <f t="shared" si="319"/>
        <v>0</v>
      </c>
      <c r="AA129" s="38">
        <f t="shared" si="361"/>
        <v>933.18885799999998</v>
      </c>
      <c r="AB129" s="1">
        <v>1</v>
      </c>
      <c r="AC129" s="37">
        <f t="shared" si="332"/>
        <v>0</v>
      </c>
      <c r="AD129" s="38">
        <v>0</v>
      </c>
      <c r="AE129" s="39">
        <f t="shared" si="320"/>
        <v>0</v>
      </c>
      <c r="AF129" s="37">
        <f t="shared" si="321"/>
        <v>0</v>
      </c>
      <c r="AG129" s="38">
        <f t="shared" si="362"/>
        <v>961.18452374000003</v>
      </c>
      <c r="AH129" s="1">
        <v>1</v>
      </c>
      <c r="AI129" s="37">
        <f t="shared" si="334"/>
        <v>0</v>
      </c>
      <c r="AJ129" s="38">
        <v>0</v>
      </c>
      <c r="AK129" s="38">
        <f t="shared" si="322"/>
        <v>0</v>
      </c>
      <c r="AL129" s="40">
        <f t="shared" si="323"/>
        <v>5124</v>
      </c>
      <c r="AM129" s="38">
        <f t="shared" si="324"/>
        <v>0</v>
      </c>
      <c r="AN129" s="40">
        <f t="shared" si="325"/>
        <v>5124</v>
      </c>
    </row>
    <row r="130" spans="1:44" x14ac:dyDescent="0.45">
      <c r="A130" s="131" t="s">
        <v>200</v>
      </c>
      <c r="B130" s="1">
        <v>82401</v>
      </c>
      <c r="C130" s="258" t="s">
        <v>65</v>
      </c>
      <c r="D130" s="258" t="s">
        <v>65</v>
      </c>
      <c r="E130" s="1">
        <v>0</v>
      </c>
      <c r="F130" s="65" t="s">
        <v>201</v>
      </c>
      <c r="G130" s="141">
        <v>3</v>
      </c>
      <c r="H130" s="38">
        <f>Supplies!B74</f>
        <v>720</v>
      </c>
      <c r="I130" s="1">
        <v>1</v>
      </c>
      <c r="J130" s="131" t="s">
        <v>183</v>
      </c>
      <c r="K130" s="37">
        <f t="shared" si="326"/>
        <v>2160</v>
      </c>
      <c r="L130" s="38">
        <v>0</v>
      </c>
      <c r="M130" s="39">
        <f t="shared" si="315"/>
        <v>2160</v>
      </c>
      <c r="N130" s="141">
        <v>0</v>
      </c>
      <c r="O130" s="38">
        <f t="shared" si="359"/>
        <v>741.6</v>
      </c>
      <c r="P130" s="1">
        <v>1</v>
      </c>
      <c r="Q130" s="37">
        <f>O130*N130</f>
        <v>0</v>
      </c>
      <c r="R130" s="38">
        <v>0</v>
      </c>
      <c r="S130" s="39">
        <f t="shared" ref="S130" si="363">SUM(Q130:R130)</f>
        <v>0</v>
      </c>
      <c r="T130" s="37">
        <f t="shared" si="317"/>
        <v>0</v>
      </c>
      <c r="U130" s="38">
        <f t="shared" si="360"/>
        <v>763.84800000000007</v>
      </c>
      <c r="V130" s="1">
        <v>1</v>
      </c>
      <c r="W130" s="37">
        <f t="shared" si="330"/>
        <v>0</v>
      </c>
      <c r="X130" s="38">
        <v>0</v>
      </c>
      <c r="Y130" s="39">
        <f t="shared" si="318"/>
        <v>0</v>
      </c>
      <c r="Z130" s="37">
        <f t="shared" si="319"/>
        <v>0</v>
      </c>
      <c r="AA130" s="38">
        <f t="shared" si="361"/>
        <v>786.76344000000006</v>
      </c>
      <c r="AB130" s="1">
        <v>1</v>
      </c>
      <c r="AC130" s="37">
        <f t="shared" si="332"/>
        <v>0</v>
      </c>
      <c r="AD130" s="38">
        <v>0</v>
      </c>
      <c r="AE130" s="39">
        <f t="shared" si="320"/>
        <v>0</v>
      </c>
      <c r="AF130" s="37">
        <f t="shared" si="321"/>
        <v>0</v>
      </c>
      <c r="AG130" s="38">
        <f t="shared" si="362"/>
        <v>810.36634320000007</v>
      </c>
      <c r="AH130" s="1">
        <v>1</v>
      </c>
      <c r="AI130" s="37">
        <f t="shared" si="334"/>
        <v>0</v>
      </c>
      <c r="AJ130" s="38">
        <v>0</v>
      </c>
      <c r="AK130" s="38">
        <f t="shared" si="322"/>
        <v>0</v>
      </c>
      <c r="AL130" s="40">
        <f t="shared" si="323"/>
        <v>2160</v>
      </c>
      <c r="AM130" s="38">
        <f t="shared" si="324"/>
        <v>0</v>
      </c>
      <c r="AN130" s="40">
        <f t="shared" si="325"/>
        <v>2160</v>
      </c>
    </row>
    <row r="131" spans="1:44" x14ac:dyDescent="0.45">
      <c r="A131" s="131" t="s">
        <v>188</v>
      </c>
      <c r="B131" s="1">
        <v>82401</v>
      </c>
      <c r="C131" s="258" t="s">
        <v>65</v>
      </c>
      <c r="D131" s="258" t="s">
        <v>65</v>
      </c>
      <c r="E131" s="1">
        <v>0</v>
      </c>
      <c r="F131" s="65" t="s">
        <v>202</v>
      </c>
      <c r="G131" s="141">
        <v>3</v>
      </c>
      <c r="H131" s="38">
        <v>5000</v>
      </c>
      <c r="I131" s="1">
        <v>1</v>
      </c>
      <c r="J131" s="131" t="s">
        <v>183</v>
      </c>
      <c r="K131" s="37">
        <f t="shared" ref="K131:K132" si="364">H131*G131</f>
        <v>15000</v>
      </c>
      <c r="L131" s="38">
        <v>0</v>
      </c>
      <c r="M131" s="39">
        <f t="shared" ref="M131:M132" si="365">SUM(K131:L131)</f>
        <v>15000</v>
      </c>
      <c r="N131" s="141">
        <v>0</v>
      </c>
      <c r="O131" s="38">
        <f t="shared" si="359"/>
        <v>5150</v>
      </c>
      <c r="P131" s="1">
        <v>1</v>
      </c>
      <c r="Q131" s="37">
        <f t="shared" ref="Q131:Q132" si="366">N131*O131</f>
        <v>0</v>
      </c>
      <c r="R131" s="38">
        <v>0</v>
      </c>
      <c r="S131" s="39">
        <f>SUM(Q131:R131)</f>
        <v>0</v>
      </c>
      <c r="T131" s="37">
        <f t="shared" ref="T131" si="367">Q131*R131*S131</f>
        <v>0</v>
      </c>
      <c r="U131" s="38">
        <f t="shared" si="360"/>
        <v>5304.5</v>
      </c>
      <c r="V131" s="1">
        <v>1</v>
      </c>
      <c r="W131" s="37">
        <f t="shared" ref="W131:W132" si="368">U131*T131</f>
        <v>0</v>
      </c>
      <c r="X131" s="38">
        <v>0</v>
      </c>
      <c r="Y131" s="39">
        <f t="shared" ref="Y131:Y132" si="369">SUM(W131:X131)</f>
        <v>0</v>
      </c>
      <c r="Z131" s="37">
        <f t="shared" ref="Z131" si="370">W131*X131*Y131</f>
        <v>0</v>
      </c>
      <c r="AA131" s="38">
        <f t="shared" si="361"/>
        <v>5463.6350000000002</v>
      </c>
      <c r="AB131" s="1">
        <v>1</v>
      </c>
      <c r="AC131" s="37">
        <f t="shared" ref="AC131:AC132" si="371">AA131*Z131</f>
        <v>0</v>
      </c>
      <c r="AD131" s="38">
        <v>0</v>
      </c>
      <c r="AE131" s="39">
        <f t="shared" ref="AE131:AE132" si="372">SUM(AC131:AD131)</f>
        <v>0</v>
      </c>
      <c r="AF131" s="37">
        <f t="shared" ref="AF131" si="373">AC131*AD131*AE131</f>
        <v>0</v>
      </c>
      <c r="AG131" s="38">
        <f t="shared" si="362"/>
        <v>5627.5440500000004</v>
      </c>
      <c r="AH131" s="1">
        <v>1</v>
      </c>
      <c r="AI131" s="37">
        <f t="shared" ref="AI131:AI132" si="374">AG131*AF131</f>
        <v>0</v>
      </c>
      <c r="AJ131" s="38">
        <v>0</v>
      </c>
      <c r="AK131" s="38">
        <f t="shared" ref="AK131:AK132" si="375">SUM(AI131:AJ131)</f>
        <v>0</v>
      </c>
      <c r="AL131" s="40">
        <f t="shared" ref="AL131:AL133" si="376">K131+Q131+W131+AC131+AI131</f>
        <v>15000</v>
      </c>
      <c r="AM131" s="38">
        <f t="shared" ref="AM131:AM133" si="377">L131+R131+X131+AD131+AJ131</f>
        <v>0</v>
      </c>
      <c r="AN131" s="40">
        <f t="shared" ref="AN131:AN133" si="378">SUM(AL131:AM131)</f>
        <v>15000</v>
      </c>
    </row>
    <row r="132" spans="1:44" x14ac:dyDescent="0.45">
      <c r="A132" s="131" t="s">
        <v>188</v>
      </c>
      <c r="B132" s="1">
        <v>82401</v>
      </c>
      <c r="C132" s="258" t="s">
        <v>65</v>
      </c>
      <c r="D132" s="258" t="s">
        <v>65</v>
      </c>
      <c r="E132" s="1">
        <v>0</v>
      </c>
      <c r="F132" s="65" t="s">
        <v>203</v>
      </c>
      <c r="G132" s="141">
        <v>3</v>
      </c>
      <c r="H132" s="38">
        <v>1000</v>
      </c>
      <c r="I132" s="1">
        <v>1</v>
      </c>
      <c r="J132" s="131" t="s">
        <v>183</v>
      </c>
      <c r="K132" s="37">
        <f t="shared" si="364"/>
        <v>3000</v>
      </c>
      <c r="L132" s="38">
        <v>0</v>
      </c>
      <c r="M132" s="39">
        <f t="shared" si="365"/>
        <v>3000</v>
      </c>
      <c r="N132" s="141">
        <v>0</v>
      </c>
      <c r="O132" s="38">
        <f t="shared" si="359"/>
        <v>1030</v>
      </c>
      <c r="P132" s="1">
        <v>1</v>
      </c>
      <c r="Q132" s="37">
        <f t="shared" si="366"/>
        <v>0</v>
      </c>
      <c r="R132" s="38">
        <v>0</v>
      </c>
      <c r="S132" s="39">
        <f t="shared" ref="S132" si="379">SUM(Q132:R132)</f>
        <v>0</v>
      </c>
      <c r="T132" s="37">
        <v>0</v>
      </c>
      <c r="U132" s="38">
        <f t="shared" si="360"/>
        <v>1060.9000000000001</v>
      </c>
      <c r="V132" s="1">
        <v>1</v>
      </c>
      <c r="W132" s="37">
        <f t="shared" si="368"/>
        <v>0</v>
      </c>
      <c r="X132" s="38">
        <v>0</v>
      </c>
      <c r="Y132" s="39">
        <f t="shared" si="369"/>
        <v>0</v>
      </c>
      <c r="Z132" s="37">
        <v>0</v>
      </c>
      <c r="AA132" s="38">
        <f t="shared" si="361"/>
        <v>1092.7270000000001</v>
      </c>
      <c r="AB132" s="1">
        <v>1</v>
      </c>
      <c r="AC132" s="37">
        <f t="shared" si="371"/>
        <v>0</v>
      </c>
      <c r="AD132" s="38">
        <v>0</v>
      </c>
      <c r="AE132" s="39">
        <f t="shared" si="372"/>
        <v>0</v>
      </c>
      <c r="AF132" s="37">
        <v>0</v>
      </c>
      <c r="AG132" s="38">
        <f t="shared" si="362"/>
        <v>1125.50881</v>
      </c>
      <c r="AH132" s="1">
        <v>1</v>
      </c>
      <c r="AI132" s="37">
        <f t="shared" si="374"/>
        <v>0</v>
      </c>
      <c r="AJ132" s="38">
        <v>0</v>
      </c>
      <c r="AK132" s="38">
        <f t="shared" si="375"/>
        <v>0</v>
      </c>
      <c r="AL132" s="40">
        <f t="shared" si="376"/>
        <v>3000</v>
      </c>
      <c r="AM132" s="38">
        <f t="shared" si="377"/>
        <v>0</v>
      </c>
      <c r="AN132" s="40">
        <f t="shared" si="378"/>
        <v>3000</v>
      </c>
    </row>
    <row r="133" spans="1:44" x14ac:dyDescent="0.45">
      <c r="A133" s="131" t="s">
        <v>190</v>
      </c>
      <c r="B133" s="1">
        <v>82401</v>
      </c>
      <c r="C133" s="258" t="s">
        <v>65</v>
      </c>
      <c r="D133" s="258" t="s">
        <v>65</v>
      </c>
      <c r="E133" s="1">
        <v>0</v>
      </c>
      <c r="F133" s="65" t="s">
        <v>204</v>
      </c>
      <c r="G133" s="141">
        <v>3</v>
      </c>
      <c r="H133" s="38">
        <v>250</v>
      </c>
      <c r="I133" s="1">
        <v>6</v>
      </c>
      <c r="J133" s="131" t="s">
        <v>107</v>
      </c>
      <c r="K133" s="37">
        <f>I133*H133*G133</f>
        <v>4500</v>
      </c>
      <c r="L133" s="38">
        <v>0</v>
      </c>
      <c r="M133" s="39">
        <f t="shared" ref="M133" si="380">SUM(K133:L133)</f>
        <v>4500</v>
      </c>
      <c r="N133" s="141">
        <v>3</v>
      </c>
      <c r="O133" s="38">
        <f t="shared" si="359"/>
        <v>257.5</v>
      </c>
      <c r="P133" s="15">
        <v>12</v>
      </c>
      <c r="Q133" s="37">
        <f>P133*N133*O133</f>
        <v>9270</v>
      </c>
      <c r="R133" s="38">
        <v>0</v>
      </c>
      <c r="S133" s="39">
        <f t="shared" ref="S133" si="381">SUM(Q133:R133)</f>
        <v>9270</v>
      </c>
      <c r="T133" s="37">
        <v>3</v>
      </c>
      <c r="U133" s="38">
        <f t="shared" si="360"/>
        <v>265.22500000000002</v>
      </c>
      <c r="V133" s="15">
        <v>12</v>
      </c>
      <c r="W133" s="37">
        <f>U133*V133*T133</f>
        <v>9548.1</v>
      </c>
      <c r="X133" s="38">
        <v>0</v>
      </c>
      <c r="Y133" s="39">
        <f t="shared" ref="Y133" si="382">SUM(W133:X133)</f>
        <v>9548.1</v>
      </c>
      <c r="Z133" s="37">
        <v>3</v>
      </c>
      <c r="AA133" s="38">
        <f t="shared" si="361"/>
        <v>273.18175000000002</v>
      </c>
      <c r="AB133" s="15">
        <v>12</v>
      </c>
      <c r="AC133" s="37">
        <f>AA133*Z133*AB133</f>
        <v>9834.5430000000015</v>
      </c>
      <c r="AD133" s="38">
        <v>0</v>
      </c>
      <c r="AE133" s="39">
        <f t="shared" ref="AE133" si="383">SUM(AC133:AD133)</f>
        <v>9834.5430000000015</v>
      </c>
      <c r="AF133" s="37">
        <v>3</v>
      </c>
      <c r="AG133" s="38">
        <f t="shared" si="362"/>
        <v>281.37720250000001</v>
      </c>
      <c r="AH133" s="15">
        <v>9</v>
      </c>
      <c r="AI133" s="37">
        <f>AG133*AF133*AH133</f>
        <v>7597.1844674999993</v>
      </c>
      <c r="AJ133" s="38">
        <v>0</v>
      </c>
      <c r="AK133" s="38">
        <f t="shared" ref="AK133" si="384">SUM(AI133:AJ133)</f>
        <v>7597.1844674999993</v>
      </c>
      <c r="AL133" s="40">
        <f t="shared" si="376"/>
        <v>40749.827467499999</v>
      </c>
      <c r="AM133" s="38">
        <f t="shared" si="377"/>
        <v>0</v>
      </c>
      <c r="AN133" s="40">
        <f t="shared" si="378"/>
        <v>40749.827467499999</v>
      </c>
    </row>
    <row r="134" spans="1:44" s="610" customFormat="1" x14ac:dyDescent="0.45">
      <c r="A134" s="131" t="s">
        <v>205</v>
      </c>
      <c r="B134" s="1">
        <v>82401</v>
      </c>
      <c r="C134" s="258" t="s">
        <v>65</v>
      </c>
      <c r="D134" s="258" t="s">
        <v>65</v>
      </c>
      <c r="E134" s="1">
        <v>0</v>
      </c>
      <c r="F134" s="65" t="s">
        <v>206</v>
      </c>
      <c r="G134" s="141">
        <v>3</v>
      </c>
      <c r="H134" s="38">
        <v>750</v>
      </c>
      <c r="I134" s="1">
        <v>6</v>
      </c>
      <c r="J134" s="131" t="s">
        <v>107</v>
      </c>
      <c r="K134" s="37">
        <f>I134*H134*G134</f>
        <v>13500</v>
      </c>
      <c r="L134" s="38">
        <v>0</v>
      </c>
      <c r="M134" s="39">
        <f t="shared" ref="M134" si="385">SUM(K134:L134)</f>
        <v>13500</v>
      </c>
      <c r="N134" s="141">
        <v>3</v>
      </c>
      <c r="O134" s="38">
        <f t="shared" si="359"/>
        <v>772.5</v>
      </c>
      <c r="P134" s="15">
        <v>12</v>
      </c>
      <c r="Q134" s="37">
        <f>P134*N134*O134</f>
        <v>27810</v>
      </c>
      <c r="R134" s="38">
        <v>0</v>
      </c>
      <c r="S134" s="39">
        <f t="shared" ref="S134" si="386">SUM(Q134:R134)</f>
        <v>27810</v>
      </c>
      <c r="T134" s="37">
        <v>3</v>
      </c>
      <c r="U134" s="38">
        <f t="shared" si="360"/>
        <v>795.67500000000007</v>
      </c>
      <c r="V134" s="15">
        <v>12</v>
      </c>
      <c r="W134" s="37">
        <f>U134*V134*T134</f>
        <v>28644.300000000003</v>
      </c>
      <c r="X134" s="38">
        <v>0</v>
      </c>
      <c r="Y134" s="39">
        <f t="shared" ref="Y134" si="387">SUM(W134:X134)</f>
        <v>28644.300000000003</v>
      </c>
      <c r="Z134" s="37">
        <v>3</v>
      </c>
      <c r="AA134" s="38">
        <f>H134*$G$7*$G$7*$G$7*0.5</f>
        <v>409.77262500000006</v>
      </c>
      <c r="AB134" s="15">
        <v>12</v>
      </c>
      <c r="AC134" s="37">
        <f>AA134*Z134*AB134</f>
        <v>14751.814500000002</v>
      </c>
      <c r="AD134" s="38">
        <v>0</v>
      </c>
      <c r="AE134" s="39">
        <f t="shared" ref="AE134" si="388">SUM(AC134:AD134)</f>
        <v>14751.814500000002</v>
      </c>
      <c r="AF134" s="37">
        <v>3</v>
      </c>
      <c r="AG134" s="38">
        <f>H134*$G$7*$G$7*$G$7*$G$7*0.5</f>
        <v>422.0658037500001</v>
      </c>
      <c r="AH134" s="15">
        <v>9</v>
      </c>
      <c r="AI134" s="37">
        <f>AG134*AF134*AH134</f>
        <v>11395.776701250001</v>
      </c>
      <c r="AJ134" s="38">
        <v>0</v>
      </c>
      <c r="AK134" s="38">
        <f t="shared" ref="AK134" si="389">SUM(AI134:AJ134)</f>
        <v>11395.776701250001</v>
      </c>
      <c r="AL134" s="40">
        <f t="shared" ref="AL134" si="390">K134+Q134+W134+AC134+AI134</f>
        <v>96101.891201250008</v>
      </c>
      <c r="AM134" s="38">
        <f t="shared" ref="AM134" si="391">L134+R134+X134+AD134+AJ134</f>
        <v>0</v>
      </c>
      <c r="AN134" s="40">
        <f t="shared" ref="AN134" si="392">SUM(AL134:AM134)</f>
        <v>96101.891201250008</v>
      </c>
    </row>
    <row r="135" spans="1:44" s="10" customFormat="1" x14ac:dyDescent="0.45">
      <c r="A135" s="131"/>
      <c r="B135" s="145"/>
      <c r="C135" s="145"/>
      <c r="D135" s="145"/>
      <c r="E135" s="145"/>
      <c r="F135" s="75" t="s">
        <v>207</v>
      </c>
      <c r="G135" s="144"/>
      <c r="H135" s="129"/>
      <c r="I135" s="145"/>
      <c r="J135" s="129"/>
      <c r="K135" s="42">
        <f>SUM(K125:K134)</f>
        <v>70089.260000000009</v>
      </c>
      <c r="L135" s="42">
        <f>SUM(L125:L134)</f>
        <v>0</v>
      </c>
      <c r="M135" s="42">
        <f>SUM(M125:M134)</f>
        <v>70089.260000000009</v>
      </c>
      <c r="N135" s="144"/>
      <c r="O135" s="43"/>
      <c r="P135" s="129"/>
      <c r="Q135" s="42">
        <f>SUM(Q125:Q134)</f>
        <v>37080</v>
      </c>
      <c r="R135" s="42">
        <f>SUM(R125:R134)</f>
        <v>0</v>
      </c>
      <c r="S135" s="42">
        <f>SUM(S125:S134)</f>
        <v>37080</v>
      </c>
      <c r="T135" s="144"/>
      <c r="U135" s="129"/>
      <c r="V135" s="129"/>
      <c r="W135" s="42">
        <f>SUM(W125:W134)</f>
        <v>38192.400000000001</v>
      </c>
      <c r="X135" s="42">
        <f>SUM(X125:X134)</f>
        <v>0</v>
      </c>
      <c r="Y135" s="42">
        <f>SUM(Y125:Y134)</f>
        <v>38192.400000000001</v>
      </c>
      <c r="Z135" s="144"/>
      <c r="AA135" s="129"/>
      <c r="AB135" s="129"/>
      <c r="AC135" s="42">
        <f>SUM(AC125:AC134)</f>
        <v>24586.357500000006</v>
      </c>
      <c r="AD135" s="42">
        <f>SUM(AD125:AD134)</f>
        <v>0</v>
      </c>
      <c r="AE135" s="42">
        <f>SUM(AE125:AE134)</f>
        <v>24586.357500000006</v>
      </c>
      <c r="AF135" s="144"/>
      <c r="AG135" s="129"/>
      <c r="AH135" s="129"/>
      <c r="AI135" s="42">
        <f t="shared" ref="AI135:AN135" si="393">SUM(AI125:AI134)</f>
        <v>18992.96116875</v>
      </c>
      <c r="AJ135" s="42">
        <f t="shared" si="393"/>
        <v>0</v>
      </c>
      <c r="AK135" s="42">
        <f t="shared" si="393"/>
        <v>18992.96116875</v>
      </c>
      <c r="AL135" s="45">
        <f t="shared" si="393"/>
        <v>188940.97866875003</v>
      </c>
      <c r="AM135" s="43">
        <f t="shared" si="393"/>
        <v>0</v>
      </c>
      <c r="AN135" s="45">
        <f t="shared" si="393"/>
        <v>188940.97866875003</v>
      </c>
    </row>
    <row r="136" spans="1:44" x14ac:dyDescent="0.45">
      <c r="A136" s="155"/>
      <c r="B136" s="155"/>
      <c r="C136" s="155"/>
      <c r="D136" s="155"/>
      <c r="E136" s="155"/>
      <c r="F136" s="84"/>
      <c r="G136" s="154"/>
      <c r="H136" s="155"/>
      <c r="I136" s="155"/>
      <c r="J136" s="155"/>
      <c r="K136" s="85"/>
      <c r="L136" s="86"/>
      <c r="M136" s="87"/>
      <c r="N136" s="154"/>
      <c r="O136" s="155"/>
      <c r="P136" s="155"/>
      <c r="Q136" s="85"/>
      <c r="R136" s="86"/>
      <c r="S136" s="87"/>
      <c r="T136" s="154"/>
      <c r="U136" s="155"/>
      <c r="V136" s="155"/>
      <c r="W136" s="85"/>
      <c r="X136" s="86"/>
      <c r="Y136" s="87"/>
      <c r="Z136" s="154"/>
      <c r="AA136" s="155"/>
      <c r="AB136" s="155"/>
      <c r="AC136" s="85"/>
      <c r="AD136" s="86"/>
      <c r="AE136" s="87"/>
      <c r="AF136" s="154"/>
      <c r="AG136" s="155"/>
      <c r="AH136" s="155"/>
      <c r="AI136" s="85"/>
      <c r="AJ136" s="86"/>
      <c r="AK136" s="86"/>
      <c r="AL136" s="88"/>
      <c r="AM136" s="86"/>
      <c r="AN136" s="88"/>
    </row>
    <row r="137" spans="1:44" s="9" customFormat="1" ht="12.3" x14ac:dyDescent="0.4">
      <c r="A137" s="134"/>
      <c r="B137" s="134"/>
      <c r="C137" s="134"/>
      <c r="D137" s="134"/>
      <c r="E137" s="134"/>
      <c r="F137" s="49" t="s">
        <v>208</v>
      </c>
      <c r="G137" s="133"/>
      <c r="H137" s="134"/>
      <c r="I137" s="134"/>
      <c r="J137" s="134"/>
      <c r="K137" s="50">
        <f>K135+K122</f>
        <v>86398.180000000008</v>
      </c>
      <c r="L137" s="50">
        <f>L135+L122</f>
        <v>0</v>
      </c>
      <c r="M137" s="50">
        <f>M135+M122</f>
        <v>86398.180000000008</v>
      </c>
      <c r="N137" s="133"/>
      <c r="O137" s="134"/>
      <c r="P137" s="134"/>
      <c r="Q137" s="50">
        <f>Q135+Q122</f>
        <v>40125</v>
      </c>
      <c r="R137" s="50">
        <f>R135+R122</f>
        <v>0</v>
      </c>
      <c r="S137" s="50">
        <f>S135+S122</f>
        <v>40125</v>
      </c>
      <c r="T137" s="133"/>
      <c r="U137" s="134"/>
      <c r="V137" s="134"/>
      <c r="W137" s="50">
        <f>W135+W122</f>
        <v>41283.074999999997</v>
      </c>
      <c r="X137" s="50">
        <f>X135+X122</f>
        <v>0</v>
      </c>
      <c r="Y137" s="50">
        <f>Y135+Y122</f>
        <v>41283.074999999997</v>
      </c>
      <c r="Z137" s="133"/>
      <c r="AA137" s="134"/>
      <c r="AB137" s="134"/>
      <c r="AC137" s="50">
        <f>AC135+AC122</f>
        <v>27723.392625000004</v>
      </c>
      <c r="AD137" s="50">
        <f>AD135+AD122</f>
        <v>0</v>
      </c>
      <c r="AE137" s="50">
        <f>AE135+AE122</f>
        <v>27723.392625000004</v>
      </c>
      <c r="AF137" s="133"/>
      <c r="AG137" s="134"/>
      <c r="AH137" s="134"/>
      <c r="AI137" s="50">
        <f>AI135+AI122</f>
        <v>22177.051820624998</v>
      </c>
      <c r="AJ137" s="50">
        <f>AJ135+AJ122</f>
        <v>0</v>
      </c>
      <c r="AK137" s="50">
        <f>AK135+AK122</f>
        <v>22177.051820624998</v>
      </c>
      <c r="AL137" s="71">
        <f>AI137+AC137+W137+Q137+K137</f>
        <v>217706.69944562501</v>
      </c>
      <c r="AM137" s="544">
        <f t="shared" ref="AM137" si="394">AJ137+AD137+X137+R137+L137</f>
        <v>0</v>
      </c>
      <c r="AN137" s="71">
        <f>AK137+AE137+Y137+S137+M137</f>
        <v>217706.69944562501</v>
      </c>
    </row>
    <row r="138" spans="1:44" x14ac:dyDescent="0.45">
      <c r="A138" s="136"/>
      <c r="B138" s="136"/>
      <c r="C138" s="136"/>
      <c r="D138" s="136"/>
      <c r="E138" s="136"/>
      <c r="F138" s="89"/>
      <c r="G138" s="135"/>
      <c r="H138" s="136"/>
      <c r="I138" s="136"/>
      <c r="J138" s="136"/>
      <c r="K138" s="52"/>
      <c r="L138" s="53"/>
      <c r="M138" s="54"/>
      <c r="N138" s="135"/>
      <c r="O138" s="136"/>
      <c r="P138" s="136"/>
      <c r="Q138" s="52"/>
      <c r="R138" s="53"/>
      <c r="S138" s="54"/>
      <c r="T138" s="135"/>
      <c r="U138" s="136"/>
      <c r="V138" s="136"/>
      <c r="W138" s="52"/>
      <c r="X138" s="53"/>
      <c r="Y138" s="54"/>
      <c r="Z138" s="135"/>
      <c r="AA138" s="136"/>
      <c r="AB138" s="136"/>
      <c r="AC138" s="52"/>
      <c r="AD138" s="53"/>
      <c r="AE138" s="54"/>
      <c r="AF138" s="135"/>
      <c r="AG138" s="136"/>
      <c r="AH138" s="136"/>
      <c r="AI138" s="52"/>
      <c r="AJ138" s="53"/>
      <c r="AK138" s="53"/>
      <c r="AL138" s="55"/>
      <c r="AM138" s="53"/>
      <c r="AN138" s="55"/>
    </row>
    <row r="139" spans="1:44" x14ac:dyDescent="0.45">
      <c r="A139" s="138"/>
      <c r="B139" s="138"/>
      <c r="C139" s="138"/>
      <c r="D139" s="138"/>
      <c r="E139" s="138"/>
      <c r="F139" s="56" t="s">
        <v>18</v>
      </c>
      <c r="G139" s="137"/>
      <c r="H139" s="138"/>
      <c r="I139" s="138"/>
      <c r="J139" s="138"/>
      <c r="K139" s="57"/>
      <c r="L139" s="58"/>
      <c r="M139" s="59"/>
      <c r="N139" s="137"/>
      <c r="O139" s="138"/>
      <c r="P139" s="138"/>
      <c r="Q139" s="57"/>
      <c r="R139" s="58"/>
      <c r="S139" s="59"/>
      <c r="T139" s="137"/>
      <c r="U139" s="138"/>
      <c r="V139" s="138"/>
      <c r="W139" s="57"/>
      <c r="X139" s="58"/>
      <c r="Y139" s="59"/>
      <c r="Z139" s="137"/>
      <c r="AA139" s="138"/>
      <c r="AB139" s="138"/>
      <c r="AC139" s="57"/>
      <c r="AD139" s="58"/>
      <c r="AE139" s="59"/>
      <c r="AF139" s="137"/>
      <c r="AG139" s="138"/>
      <c r="AH139" s="138"/>
      <c r="AI139" s="57"/>
      <c r="AJ139" s="58"/>
      <c r="AK139" s="58"/>
      <c r="AL139" s="60"/>
      <c r="AM139" s="58"/>
      <c r="AN139" s="60"/>
    </row>
    <row r="140" spans="1:44" x14ac:dyDescent="0.45">
      <c r="A140" s="132"/>
      <c r="B140" s="132"/>
      <c r="C140" s="132"/>
      <c r="D140" s="132"/>
      <c r="E140" s="132"/>
      <c r="F140" s="47"/>
      <c r="G140" s="124"/>
      <c r="H140" s="132"/>
      <c r="I140" s="132"/>
      <c r="J140" s="132"/>
      <c r="K140" s="37"/>
      <c r="L140" s="38"/>
      <c r="M140" s="39"/>
      <c r="N140" s="124"/>
      <c r="O140" s="132"/>
      <c r="P140" s="132"/>
      <c r="Q140" s="37"/>
      <c r="R140" s="38"/>
      <c r="S140" s="39"/>
      <c r="T140" s="124"/>
      <c r="U140" s="132"/>
      <c r="V140" s="132"/>
      <c r="W140" s="37"/>
      <c r="X140" s="38"/>
      <c r="Y140" s="39"/>
      <c r="Z140" s="124"/>
      <c r="AA140" s="132"/>
      <c r="AB140" s="132"/>
      <c r="AC140" s="37"/>
      <c r="AD140" s="38"/>
      <c r="AE140" s="39"/>
      <c r="AF140" s="124"/>
      <c r="AG140" s="132"/>
      <c r="AH140" s="132"/>
      <c r="AI140" s="37"/>
      <c r="AJ140" s="38"/>
      <c r="AK140" s="38"/>
      <c r="AL140" s="40"/>
      <c r="AM140" s="38"/>
      <c r="AN140" s="40"/>
    </row>
    <row r="141" spans="1:44" x14ac:dyDescent="0.45">
      <c r="A141" s="132"/>
      <c r="C141" s="132"/>
      <c r="D141" s="132"/>
      <c r="E141" s="132"/>
      <c r="F141" s="47" t="s">
        <v>209</v>
      </c>
      <c r="G141" s="124"/>
      <c r="H141" s="132"/>
      <c r="I141" s="132"/>
      <c r="J141" s="132"/>
      <c r="K141" s="37"/>
      <c r="L141" s="38"/>
      <c r="M141" s="39"/>
      <c r="N141" s="124"/>
      <c r="O141" s="132"/>
      <c r="P141" s="132"/>
      <c r="Q141" s="37"/>
      <c r="R141" s="38"/>
      <c r="S141" s="39"/>
      <c r="T141" s="124"/>
      <c r="U141" s="132"/>
      <c r="V141" s="132"/>
      <c r="W141" s="37"/>
      <c r="X141" s="38"/>
      <c r="Y141" s="39"/>
      <c r="Z141" s="124"/>
      <c r="AA141" s="132"/>
      <c r="AB141" s="132"/>
      <c r="AC141" s="37"/>
      <c r="AD141" s="38"/>
      <c r="AE141" s="39"/>
      <c r="AF141" s="124"/>
      <c r="AG141" s="132"/>
      <c r="AH141" s="132"/>
      <c r="AI141" s="37"/>
      <c r="AJ141" s="38"/>
      <c r="AK141" s="38"/>
      <c r="AL141" s="40"/>
      <c r="AM141" s="38"/>
      <c r="AN141" s="40"/>
    </row>
    <row r="142" spans="1:44" x14ac:dyDescent="0.45">
      <c r="A142" s="1" t="s">
        <v>210</v>
      </c>
      <c r="B142" s="1">
        <v>89050</v>
      </c>
      <c r="C142" s="258" t="s">
        <v>65</v>
      </c>
      <c r="D142" s="258" t="s">
        <v>65</v>
      </c>
      <c r="E142" s="1" t="s">
        <v>211</v>
      </c>
      <c r="F142" s="65" t="s">
        <v>212</v>
      </c>
      <c r="G142" s="141">
        <v>1</v>
      </c>
      <c r="H142" s="38">
        <f>'Budget Fundacion Carvajal'!L175</f>
        <v>1433541.4517125001</v>
      </c>
      <c r="I142" s="1">
        <v>1</v>
      </c>
      <c r="J142" s="1" t="s">
        <v>183</v>
      </c>
      <c r="K142" s="37">
        <f>H142*G142*I142</f>
        <v>1433541.4517125001</v>
      </c>
      <c r="L142" s="38">
        <f>'Budget Fundacion Carvajal'!M175</f>
        <v>55605.678289071431</v>
      </c>
      <c r="M142" s="39">
        <f>SUM(K142:L142)</f>
        <v>1489147.1300015715</v>
      </c>
      <c r="N142" s="141">
        <v>1</v>
      </c>
      <c r="O142" s="38">
        <f>'Budget Fundacion Carvajal'!R175</f>
        <v>2001795.40499</v>
      </c>
      <c r="P142" s="1">
        <v>1</v>
      </c>
      <c r="Q142" s="37">
        <f>O142*N142*P142</f>
        <v>2001795.40499</v>
      </c>
      <c r="R142" s="38">
        <f>'Budget Fundacion Carvajal'!S175</f>
        <v>69497.661135961142</v>
      </c>
      <c r="S142" s="39">
        <f>SUM(Q142:R142)</f>
        <v>2071293.066125961</v>
      </c>
      <c r="T142" s="141">
        <v>1</v>
      </c>
      <c r="U142" s="38">
        <f>'Budget Fundacion Carvajal'!X175</f>
        <v>1975720.2642896003</v>
      </c>
      <c r="V142" s="1">
        <v>1</v>
      </c>
      <c r="W142" s="37">
        <f>T142*U142*V142</f>
        <v>1975720.2642896003</v>
      </c>
      <c r="X142" s="38">
        <f>'Budget Fundacion Carvajal'!Y175</f>
        <v>62458.858131399596</v>
      </c>
      <c r="Y142" s="39">
        <f>SUM(W142:X142)</f>
        <v>2038179.1224209999</v>
      </c>
      <c r="Z142" s="141">
        <v>1</v>
      </c>
      <c r="AA142" s="38">
        <f>'Budget Fundacion Carvajal'!AD175</f>
        <v>2020763.4603461842</v>
      </c>
      <c r="AB142" s="1">
        <v>1</v>
      </c>
      <c r="AC142" s="37">
        <f>AA142*Z142*AB142</f>
        <v>2020763.4603461842</v>
      </c>
      <c r="AD142" s="38">
        <f>'Budget Fundacion Carvajal'!AE175</f>
        <v>64555.24275115558</v>
      </c>
      <c r="AE142" s="39">
        <f>SUM(AC142:AD142)</f>
        <v>2085318.7030973397</v>
      </c>
      <c r="AF142" s="141">
        <v>1</v>
      </c>
      <c r="AG142" s="38">
        <f>'Budget Fundacion Carvajal'!AJ175</f>
        <v>1254445.7564628788</v>
      </c>
      <c r="AH142" s="1">
        <v>1</v>
      </c>
      <c r="AI142" s="37">
        <f>AG142*AF142*AH142</f>
        <v>1254445.7564628788</v>
      </c>
      <c r="AJ142" s="38">
        <f>'Budget Fundacion Carvajal'!AK175</f>
        <v>63849.001624923105</v>
      </c>
      <c r="AK142" s="38">
        <f>SUM(AI142:AJ142)</f>
        <v>1318294.758087802</v>
      </c>
      <c r="AL142" s="40">
        <f t="shared" ref="AL142" si="395">K142+Q142+W142+AC142+AI142</f>
        <v>8686266.337801164</v>
      </c>
      <c r="AM142" s="38">
        <f t="shared" ref="AM142" si="396">L142+R142+X142+AD142+AJ142</f>
        <v>315966.44193251082</v>
      </c>
      <c r="AN142" s="40">
        <f t="shared" ref="AN142" si="397">SUM(AL142:AM142)</f>
        <v>9002232.7797336746</v>
      </c>
      <c r="AO142" s="90"/>
      <c r="AP142" s="91"/>
      <c r="AQ142" s="91"/>
      <c r="AR142" s="91"/>
    </row>
    <row r="143" spans="1:44" x14ac:dyDescent="0.45">
      <c r="A143" s="1" t="s">
        <v>213</v>
      </c>
      <c r="B143" s="1">
        <v>89050</v>
      </c>
      <c r="C143" s="258" t="s">
        <v>65</v>
      </c>
      <c r="D143" s="258" t="s">
        <v>65</v>
      </c>
      <c r="E143" s="1" t="s">
        <v>214</v>
      </c>
      <c r="F143" s="65" t="s">
        <v>215</v>
      </c>
      <c r="G143" s="141">
        <v>1</v>
      </c>
      <c r="H143" s="38">
        <f>'Budget Summary ProAntioquia'!B21</f>
        <v>447655.136</v>
      </c>
      <c r="I143" s="1">
        <v>1</v>
      </c>
      <c r="J143" s="1" t="s">
        <v>183</v>
      </c>
      <c r="K143" s="37">
        <f>H143*G143*I143</f>
        <v>447655.136</v>
      </c>
      <c r="L143" s="38">
        <f>'Budget Summary ProAntioquia'!C23</f>
        <v>79869.194615999993</v>
      </c>
      <c r="M143" s="39">
        <f>SUM(K143:L143)</f>
        <v>527524.33061599999</v>
      </c>
      <c r="N143" s="141">
        <v>1</v>
      </c>
      <c r="O143" s="38">
        <f>'Budget Summary ProAntioquia'!E23</f>
        <v>517725.41872000002</v>
      </c>
      <c r="P143" s="1">
        <v>1</v>
      </c>
      <c r="Q143" s="37">
        <f>O143*N143*P143</f>
        <v>517725.41872000002</v>
      </c>
      <c r="R143" s="38">
        <f>'Budget Summary ProAntioquia'!F23</f>
        <v>52531.003150080003</v>
      </c>
      <c r="S143" s="39">
        <f>SUM(Q143:R143)</f>
        <v>570256.42187008006</v>
      </c>
      <c r="T143" s="141">
        <v>1</v>
      </c>
      <c r="U143" s="38">
        <f>'Budget Summary ProAntioquia'!H23</f>
        <v>414551.14326879993</v>
      </c>
      <c r="V143" s="1">
        <v>1</v>
      </c>
      <c r="W143" s="37">
        <f>T143*U143*V143</f>
        <v>414551.14326879993</v>
      </c>
      <c r="X143" s="38">
        <f>'Budget Summary ProAntioquia'!I23</f>
        <v>54587.574236083208</v>
      </c>
      <c r="Y143" s="39">
        <f>SUM(W143:X143)</f>
        <v>469138.71750488313</v>
      </c>
      <c r="Z143" s="141">
        <v>1</v>
      </c>
      <c r="AA143" s="38">
        <f>'Budget Summary ProAntioquia'!K23</f>
        <v>429936.224669552</v>
      </c>
      <c r="AB143" s="1">
        <v>1</v>
      </c>
      <c r="AC143" s="37">
        <f>AA143*Z143*AB143</f>
        <v>429936.224669552</v>
      </c>
      <c r="AD143" s="38">
        <f>'Budget Summary ProAntioquia'!L23</f>
        <v>56725.06809432654</v>
      </c>
      <c r="AE143" s="39">
        <f>SUM(AC143:AD143)</f>
        <v>486661.29276387853</v>
      </c>
      <c r="AF143" s="141">
        <v>1</v>
      </c>
      <c r="AG143" s="38">
        <f>'Budget Summary ProAntioquia'!N23</f>
        <v>324110.80768897047</v>
      </c>
      <c r="AH143" s="1">
        <v>1</v>
      </c>
      <c r="AI143" s="37">
        <f>AG143*AF143*AH143</f>
        <v>324110.80768897047</v>
      </c>
      <c r="AJ143" s="38">
        <f>'Budget Summary ProAntioquia'!O23</f>
        <v>57092.870522679921</v>
      </c>
      <c r="AK143" s="38">
        <f>SUM(AI143:AJ143)</f>
        <v>381203.6782116504</v>
      </c>
      <c r="AL143" s="40">
        <f t="shared" ref="AL143" si="398">K143+Q143+W143+AC143+AI143</f>
        <v>2133978.7303473223</v>
      </c>
      <c r="AM143" s="38">
        <f t="shared" ref="AM143" si="399">L143+R143+X143+AD143+AJ143</f>
        <v>300805.71061916969</v>
      </c>
      <c r="AN143" s="40">
        <f t="shared" ref="AN143" si="400">SUM(AL143:AM143)</f>
        <v>2434784.4409664921</v>
      </c>
      <c r="AO143" s="90"/>
      <c r="AP143" s="90"/>
      <c r="AQ143" s="91"/>
      <c r="AR143" s="91"/>
    </row>
    <row r="144" spans="1:44" x14ac:dyDescent="0.45">
      <c r="A144" s="1" t="s">
        <v>216</v>
      </c>
      <c r="B144" s="1">
        <v>89050</v>
      </c>
      <c r="C144" s="258" t="s">
        <v>65</v>
      </c>
      <c r="D144" s="258" t="s">
        <v>65</v>
      </c>
      <c r="E144" s="1" t="s">
        <v>217</v>
      </c>
      <c r="F144" s="65" t="s">
        <v>218</v>
      </c>
      <c r="G144" s="141">
        <v>1</v>
      </c>
      <c r="H144" s="38">
        <f>'Budget Parque Explora'!L207</f>
        <v>940972.93869999994</v>
      </c>
      <c r="I144" s="1">
        <v>1</v>
      </c>
      <c r="J144" s="1" t="s">
        <v>183</v>
      </c>
      <c r="K144" s="37">
        <f>H144*G144*I144</f>
        <v>940972.93869999994</v>
      </c>
      <c r="L144" s="38">
        <f>'Budget Parque Explora'!M207</f>
        <v>109876.94503500001</v>
      </c>
      <c r="M144" s="39">
        <f>SUM(K144:L144)</f>
        <v>1050849.8837349999</v>
      </c>
      <c r="N144" s="141">
        <v>1</v>
      </c>
      <c r="O144" s="38">
        <f>'Budget Parque Explora'!R207</f>
        <v>1335822.2703520001</v>
      </c>
      <c r="P144" s="1">
        <v>1</v>
      </c>
      <c r="Q144" s="37">
        <f>O144*N144*P144</f>
        <v>1335822.2703520001</v>
      </c>
      <c r="R144" s="38">
        <f>'Budget Parque Explora'!S207</f>
        <v>78039.172411199994</v>
      </c>
      <c r="S144" s="39">
        <f>SUM(Q144:R144)</f>
        <v>1413861.4427632</v>
      </c>
      <c r="T144" s="141">
        <v>1</v>
      </c>
      <c r="U144" s="38">
        <f>'Budget Parque Explora'!X207</f>
        <v>1823999.2791316798</v>
      </c>
      <c r="V144" s="1">
        <v>1</v>
      </c>
      <c r="W144" s="37">
        <f>T144*U144*V144</f>
        <v>1823999.2791316798</v>
      </c>
      <c r="X144" s="38">
        <f>'Budget Parque Explora'!Y207</f>
        <v>81160.739307648022</v>
      </c>
      <c r="Y144" s="39">
        <f>SUM(W144:X144)</f>
        <v>1905160.0184393278</v>
      </c>
      <c r="Z144" s="141">
        <v>1</v>
      </c>
      <c r="AA144" s="38">
        <f>'Budget Parque Explora'!AD207</f>
        <v>1841034.8847144474</v>
      </c>
      <c r="AB144" s="1">
        <v>1</v>
      </c>
      <c r="AC144" s="37">
        <f>AA144*Z144*AB144</f>
        <v>1841034.8847144474</v>
      </c>
      <c r="AD144" s="38">
        <f>'Budget Parque Explora'!AE207</f>
        <v>84407.168879953941</v>
      </c>
      <c r="AE144" s="39">
        <f>SUM(AC144:AD144)</f>
        <v>1925442.0535944013</v>
      </c>
      <c r="AF144" s="141">
        <v>1</v>
      </c>
      <c r="AG144" s="38">
        <f>'Budget Parque Explora'!AJ207</f>
        <v>876552.03088822926</v>
      </c>
      <c r="AH144" s="1">
        <v>1</v>
      </c>
      <c r="AI144" s="37">
        <f>AG144*AF144*AH144</f>
        <v>876552.03088822926</v>
      </c>
      <c r="AJ144" s="38">
        <f>'Budget Parque Explora'!AK207</f>
        <v>88749.833390044601</v>
      </c>
      <c r="AK144" s="38">
        <f>SUM(AI144:AJ144)</f>
        <v>965301.86427827389</v>
      </c>
      <c r="AL144" s="40">
        <f t="shared" ref="AL144" si="401">K144+Q144+W144+AC144+AI144</f>
        <v>6818381.4037863575</v>
      </c>
      <c r="AM144" s="38">
        <f t="shared" ref="AM144" si="402">L144+R144+X144+AD144+AJ144</f>
        <v>442233.85902384657</v>
      </c>
      <c r="AN144" s="40">
        <f t="shared" ref="AN144" si="403">SUM(AL144:AM144)</f>
        <v>7260615.2628102042</v>
      </c>
      <c r="AO144" s="90"/>
      <c r="AP144" s="91"/>
      <c r="AQ144" s="91"/>
      <c r="AR144" s="91"/>
    </row>
    <row r="145" spans="1:44" s="10" customFormat="1" x14ac:dyDescent="0.45">
      <c r="A145" s="145"/>
      <c r="B145" s="1"/>
      <c r="C145" s="145"/>
      <c r="D145" s="145"/>
      <c r="E145" s="145"/>
      <c r="F145" s="75" t="s">
        <v>219</v>
      </c>
      <c r="G145" s="144"/>
      <c r="H145" s="129"/>
      <c r="I145" s="145"/>
      <c r="J145" s="129"/>
      <c r="K145" s="42">
        <f>SUM(K141:K144)</f>
        <v>2822169.5264125001</v>
      </c>
      <c r="L145" s="43">
        <f>SUM(L141:L144)</f>
        <v>245351.81794007143</v>
      </c>
      <c r="M145" s="43">
        <f>SUM(M141:M144)</f>
        <v>3067521.3443525713</v>
      </c>
      <c r="N145" s="144"/>
      <c r="O145" s="43"/>
      <c r="P145" s="129"/>
      <c r="Q145" s="42">
        <f>SUM(Q141:Q144)</f>
        <v>3855343.0940620005</v>
      </c>
      <c r="R145" s="42">
        <f>SUM(R141:R144)</f>
        <v>200067.83669724112</v>
      </c>
      <c r="S145" s="42">
        <f>SUM(S141:S144)</f>
        <v>4055410.9307592409</v>
      </c>
      <c r="T145" s="144"/>
      <c r="U145" s="129"/>
      <c r="V145" s="129"/>
      <c r="W145" s="42">
        <f>SUM(W141:W144)</f>
        <v>4214270.68669008</v>
      </c>
      <c r="X145" s="42">
        <f>SUM(X141:X144)</f>
        <v>198207.17167513084</v>
      </c>
      <c r="Y145" s="42">
        <f>SUM(Y141:Y144)</f>
        <v>4412477.8583652107</v>
      </c>
      <c r="Z145" s="144"/>
      <c r="AA145" s="129"/>
      <c r="AB145" s="129"/>
      <c r="AC145" s="42">
        <f>SUM(AC141:AC144)</f>
        <v>4291734.5697301831</v>
      </c>
      <c r="AD145" s="42">
        <f>SUM(AD141:AD144)</f>
        <v>205687.47972543607</v>
      </c>
      <c r="AE145" s="42">
        <f>SUM(AE141:AE144)</f>
        <v>4497422.0494556194</v>
      </c>
      <c r="AF145" s="144"/>
      <c r="AG145" s="129"/>
      <c r="AH145" s="129"/>
      <c r="AI145" s="42">
        <f t="shared" ref="AI145:AN145" si="404">SUM(AI141:AI144)</f>
        <v>2455108.5950400783</v>
      </c>
      <c r="AJ145" s="42">
        <f t="shared" si="404"/>
        <v>209691.70553764762</v>
      </c>
      <c r="AK145" s="43">
        <f t="shared" si="404"/>
        <v>2664800.3005777262</v>
      </c>
      <c r="AL145" s="45">
        <f t="shared" si="404"/>
        <v>17638626.471934844</v>
      </c>
      <c r="AM145" s="43">
        <f t="shared" si="404"/>
        <v>1059006.011575527</v>
      </c>
      <c r="AN145" s="45">
        <f t="shared" si="404"/>
        <v>18697632.483510371</v>
      </c>
    </row>
    <row r="146" spans="1:44" s="10" customFormat="1" x14ac:dyDescent="0.45">
      <c r="A146" s="145"/>
      <c r="B146" s="1"/>
      <c r="C146" s="145"/>
      <c r="D146" s="145"/>
      <c r="E146" s="145"/>
      <c r="F146" s="75"/>
      <c r="G146" s="144"/>
      <c r="H146" s="129"/>
      <c r="I146" s="145"/>
      <c r="J146" s="129"/>
      <c r="K146" s="42"/>
      <c r="L146" s="43"/>
      <c r="M146" s="43"/>
      <c r="N146" s="144"/>
      <c r="O146" s="43"/>
      <c r="P146" s="129"/>
      <c r="Q146" s="42"/>
      <c r="R146" s="43"/>
      <c r="S146" s="43"/>
      <c r="T146" s="144"/>
      <c r="U146" s="129"/>
      <c r="V146" s="129"/>
      <c r="W146" s="42"/>
      <c r="X146" s="43"/>
      <c r="Y146" s="43"/>
      <c r="Z146" s="144"/>
      <c r="AA146" s="129"/>
      <c r="AB146" s="129"/>
      <c r="AC146" s="42"/>
      <c r="AD146" s="43"/>
      <c r="AE146" s="43"/>
      <c r="AF146" s="144"/>
      <c r="AG146" s="129"/>
      <c r="AH146" s="129"/>
      <c r="AI146" s="42"/>
      <c r="AJ146" s="43"/>
      <c r="AK146" s="43"/>
      <c r="AL146" s="45"/>
      <c r="AM146" s="43"/>
      <c r="AN146" s="45"/>
    </row>
    <row r="147" spans="1:44" x14ac:dyDescent="0.45">
      <c r="F147" s="47" t="s">
        <v>220</v>
      </c>
      <c r="G147" s="140"/>
      <c r="K147" s="37"/>
      <c r="L147" s="38"/>
      <c r="M147" s="39"/>
      <c r="N147" s="140"/>
      <c r="Q147" s="37"/>
      <c r="R147" s="38"/>
      <c r="S147" s="39"/>
      <c r="T147" s="140"/>
      <c r="W147" s="37"/>
      <c r="X147" s="38"/>
      <c r="Y147" s="39"/>
      <c r="Z147" s="140"/>
      <c r="AC147" s="37"/>
      <c r="AD147" s="38"/>
      <c r="AE147" s="39"/>
      <c r="AF147" s="140"/>
      <c r="AI147" s="37"/>
      <c r="AJ147" s="38"/>
      <c r="AK147" s="38"/>
      <c r="AL147" s="40"/>
      <c r="AM147" s="38"/>
      <c r="AN147" s="40"/>
      <c r="AP147" s="91"/>
      <c r="AQ147" s="91"/>
      <c r="AR147" s="91"/>
    </row>
    <row r="148" spans="1:44" s="610" customFormat="1" x14ac:dyDescent="0.45">
      <c r="A148" s="1" t="s">
        <v>221</v>
      </c>
      <c r="B148" s="1">
        <v>81000</v>
      </c>
      <c r="C148" s="258" t="s">
        <v>222</v>
      </c>
      <c r="D148" s="258" t="s">
        <v>222</v>
      </c>
      <c r="E148" s="1">
        <v>0</v>
      </c>
      <c r="F148" s="65" t="s">
        <v>223</v>
      </c>
      <c r="G148" s="140">
        <v>1</v>
      </c>
      <c r="H148" s="15">
        <v>4334</v>
      </c>
      <c r="I148" s="1">
        <v>3</v>
      </c>
      <c r="J148" s="1" t="s">
        <v>107</v>
      </c>
      <c r="K148" s="37">
        <f>I148*H148*G148</f>
        <v>13002</v>
      </c>
      <c r="L148" s="38">
        <v>0</v>
      </c>
      <c r="M148" s="39">
        <f>SUM(K148:L148)</f>
        <v>13002</v>
      </c>
      <c r="N148" s="140">
        <v>1</v>
      </c>
      <c r="O148" s="38">
        <f>H148</f>
        <v>4334</v>
      </c>
      <c r="P148" s="1">
        <v>4</v>
      </c>
      <c r="Q148" s="37">
        <f>P148*O148*N148</f>
        <v>17336</v>
      </c>
      <c r="R148" s="38">
        <v>0</v>
      </c>
      <c r="S148" s="39">
        <f>SUM(Q148:R148)</f>
        <v>17336</v>
      </c>
      <c r="T148" s="140">
        <v>1</v>
      </c>
      <c r="U148" s="38">
        <f>H148</f>
        <v>4334</v>
      </c>
      <c r="V148" s="1">
        <v>4</v>
      </c>
      <c r="W148" s="37">
        <f>V148*U148*T148</f>
        <v>17336</v>
      </c>
      <c r="X148" s="38">
        <v>0</v>
      </c>
      <c r="Y148" s="39">
        <f>SUM(W148:X148)</f>
        <v>17336</v>
      </c>
      <c r="Z148" s="140">
        <v>1</v>
      </c>
      <c r="AA148" s="38">
        <f>H148</f>
        <v>4334</v>
      </c>
      <c r="AB148" s="1">
        <v>4</v>
      </c>
      <c r="AC148" s="37">
        <f>AB148*AA148*Z148</f>
        <v>17336</v>
      </c>
      <c r="AD148" s="38">
        <v>0</v>
      </c>
      <c r="AE148" s="39">
        <f>SUM(AC148:AD148)</f>
        <v>17336</v>
      </c>
      <c r="AF148" s="140">
        <v>1</v>
      </c>
      <c r="AG148" s="38">
        <f>H148</f>
        <v>4334</v>
      </c>
      <c r="AH148" s="1">
        <v>0</v>
      </c>
      <c r="AI148" s="37">
        <f>AH148*AF148*AG148</f>
        <v>0</v>
      </c>
      <c r="AJ148" s="38">
        <v>0</v>
      </c>
      <c r="AK148" s="38">
        <f>SUM(AI148:AJ148)</f>
        <v>0</v>
      </c>
      <c r="AL148" s="40">
        <f t="shared" ref="AL148" si="405">K148+Q148+W148+AC148+AI148</f>
        <v>65010</v>
      </c>
      <c r="AM148" s="38">
        <f t="shared" ref="AM148" si="406">L148+R148+X148+AD148+AJ148</f>
        <v>0</v>
      </c>
      <c r="AN148" s="40">
        <f t="shared" ref="AN148" si="407">SUM(AL148:AM148)</f>
        <v>65010</v>
      </c>
      <c r="AP148" s="611"/>
      <c r="AQ148" s="611"/>
      <c r="AR148" s="611"/>
    </row>
    <row r="149" spans="1:44" s="10" customFormat="1" x14ac:dyDescent="0.45">
      <c r="A149" s="145"/>
      <c r="B149" s="1"/>
      <c r="C149" s="145"/>
      <c r="D149" s="145"/>
      <c r="E149" s="145"/>
      <c r="F149" s="75" t="s">
        <v>224</v>
      </c>
      <c r="G149" s="144"/>
      <c r="H149" s="129"/>
      <c r="I149" s="145"/>
      <c r="J149" s="129"/>
      <c r="K149" s="42">
        <f>SUM(K148:K148)</f>
        <v>13002</v>
      </c>
      <c r="L149" s="42">
        <f>SUM(L148:L148)</f>
        <v>0</v>
      </c>
      <c r="M149" s="42">
        <f>SUM(M148:M148)</f>
        <v>13002</v>
      </c>
      <c r="N149" s="144"/>
      <c r="O149" s="43"/>
      <c r="P149" s="129"/>
      <c r="Q149" s="42">
        <f>SUM(Q148:Q148)</f>
        <v>17336</v>
      </c>
      <c r="R149" s="42">
        <f>SUM(R148:R148)</f>
        <v>0</v>
      </c>
      <c r="S149" s="42">
        <f>SUM(S148:S148)</f>
        <v>17336</v>
      </c>
      <c r="T149" s="144"/>
      <c r="U149" s="129"/>
      <c r="V149" s="129"/>
      <c r="W149" s="42">
        <f>SUM(W148:W148)</f>
        <v>17336</v>
      </c>
      <c r="X149" s="42">
        <f>SUM(X148:X148)</f>
        <v>0</v>
      </c>
      <c r="Y149" s="42">
        <f>SUM(Y148:Y148)</f>
        <v>17336</v>
      </c>
      <c r="Z149" s="144"/>
      <c r="AA149" s="129"/>
      <c r="AB149" s="129"/>
      <c r="AC149" s="42">
        <f>SUM(AC148:AC148)</f>
        <v>17336</v>
      </c>
      <c r="AD149" s="42">
        <f>SUM(AD148:AD148)</f>
        <v>0</v>
      </c>
      <c r="AE149" s="42">
        <f>SUM(AE148:AE148)</f>
        <v>17336</v>
      </c>
      <c r="AF149" s="144"/>
      <c r="AG149" s="129"/>
      <c r="AH149" s="129"/>
      <c r="AI149" s="42">
        <f>SUM(AI148:AI148)</f>
        <v>0</v>
      </c>
      <c r="AJ149" s="42">
        <f>SUM(AJ148:AJ148)</f>
        <v>0</v>
      </c>
      <c r="AK149" s="42">
        <f>SUM(AK148:AK148)</f>
        <v>0</v>
      </c>
      <c r="AL149" s="45">
        <f>SUM(AL147:AL148)</f>
        <v>65010</v>
      </c>
      <c r="AM149" s="43">
        <f>SUM(AM147:AM148)</f>
        <v>0</v>
      </c>
      <c r="AN149" s="45">
        <f>SUM(AN147:AN148)</f>
        <v>65010</v>
      </c>
    </row>
    <row r="150" spans="1:44" s="10" customFormat="1" x14ac:dyDescent="0.45">
      <c r="A150" s="145"/>
      <c r="B150" s="1"/>
      <c r="C150" s="145"/>
      <c r="D150" s="145"/>
      <c r="E150" s="145"/>
      <c r="F150" s="75"/>
      <c r="G150" s="144"/>
      <c r="H150" s="129"/>
      <c r="I150" s="145"/>
      <c r="J150" s="129"/>
      <c r="K150" s="42"/>
      <c r="L150" s="43"/>
      <c r="M150" s="43"/>
      <c r="N150" s="144"/>
      <c r="O150" s="43"/>
      <c r="P150" s="129"/>
      <c r="Q150" s="42"/>
      <c r="R150" s="43"/>
      <c r="S150" s="43"/>
      <c r="T150" s="144"/>
      <c r="U150" s="129"/>
      <c r="V150" s="129"/>
      <c r="W150" s="42"/>
      <c r="X150" s="43"/>
      <c r="Y150" s="43"/>
      <c r="Z150" s="144"/>
      <c r="AA150" s="129"/>
      <c r="AB150" s="129"/>
      <c r="AC150" s="42"/>
      <c r="AD150" s="43"/>
      <c r="AE150" s="43"/>
      <c r="AF150" s="144"/>
      <c r="AG150" s="129"/>
      <c r="AH150" s="129"/>
      <c r="AI150" s="42"/>
      <c r="AJ150" s="43"/>
      <c r="AK150" s="43"/>
      <c r="AL150" s="45"/>
      <c r="AM150" s="43"/>
      <c r="AN150" s="45"/>
    </row>
    <row r="151" spans="1:44" s="610" customFormat="1" x14ac:dyDescent="0.45">
      <c r="A151" s="1"/>
      <c r="B151" s="1"/>
      <c r="C151" s="1"/>
      <c r="D151" s="1"/>
      <c r="E151" s="1"/>
      <c r="F151" s="47" t="s">
        <v>225</v>
      </c>
      <c r="G151" s="140"/>
      <c r="H151" s="1"/>
      <c r="I151" s="1"/>
      <c r="J151" s="1"/>
      <c r="K151" s="37"/>
      <c r="L151" s="38"/>
      <c r="M151" s="39"/>
      <c r="N151" s="140"/>
      <c r="O151" s="1"/>
      <c r="P151" s="1"/>
      <c r="Q151" s="37"/>
      <c r="R151" s="38"/>
      <c r="S151" s="39"/>
      <c r="T151" s="140"/>
      <c r="U151" s="1"/>
      <c r="V151" s="1"/>
      <c r="W151" s="37"/>
      <c r="X151" s="38"/>
      <c r="Y151" s="39"/>
      <c r="Z151" s="140"/>
      <c r="AA151" s="1"/>
      <c r="AB151" s="1"/>
      <c r="AC151" s="37"/>
      <c r="AD151" s="38"/>
      <c r="AE151" s="39"/>
      <c r="AF151" s="140"/>
      <c r="AG151" s="1"/>
      <c r="AH151" s="1"/>
      <c r="AI151" s="37"/>
      <c r="AJ151" s="38"/>
      <c r="AK151" s="38"/>
      <c r="AL151" s="40"/>
      <c r="AM151" s="38"/>
      <c r="AN151" s="40"/>
      <c r="AP151" s="611"/>
      <c r="AQ151" s="611"/>
      <c r="AR151" s="611"/>
    </row>
    <row r="152" spans="1:44" s="610" customFormat="1" x14ac:dyDescent="0.45">
      <c r="A152" s="1" t="s">
        <v>226</v>
      </c>
      <c r="B152" s="1">
        <v>86110</v>
      </c>
      <c r="C152" s="258" t="s">
        <v>222</v>
      </c>
      <c r="D152" s="258" t="s">
        <v>222</v>
      </c>
      <c r="E152" s="1">
        <v>0</v>
      </c>
      <c r="F152" s="65" t="s">
        <v>227</v>
      </c>
      <c r="G152" s="140">
        <v>1</v>
      </c>
      <c r="H152" s="15">
        <v>60000</v>
      </c>
      <c r="I152" s="1">
        <v>1</v>
      </c>
      <c r="J152" s="1" t="s">
        <v>183</v>
      </c>
      <c r="K152" s="37">
        <f>I152*H152*G152</f>
        <v>60000</v>
      </c>
      <c r="L152" s="38">
        <v>0</v>
      </c>
      <c r="M152" s="39">
        <f>SUM(K152:L152)</f>
        <v>60000</v>
      </c>
      <c r="N152" s="140">
        <v>0</v>
      </c>
      <c r="O152" s="15">
        <f>H152</f>
        <v>60000</v>
      </c>
      <c r="P152" s="1">
        <v>0</v>
      </c>
      <c r="Q152" s="37">
        <f>P152*O152*N152</f>
        <v>0</v>
      </c>
      <c r="R152" s="38">
        <v>0</v>
      </c>
      <c r="S152" s="39">
        <f>SUM(Q152:R152)</f>
        <v>0</v>
      </c>
      <c r="T152" s="140">
        <v>0</v>
      </c>
      <c r="U152" s="15">
        <f>H152</f>
        <v>60000</v>
      </c>
      <c r="V152" s="1">
        <v>0</v>
      </c>
      <c r="W152" s="37">
        <f>V152*U152*T152</f>
        <v>0</v>
      </c>
      <c r="X152" s="38">
        <v>0</v>
      </c>
      <c r="Y152" s="39">
        <f>SUM(W152:W152)</f>
        <v>0</v>
      </c>
      <c r="Z152" s="140">
        <v>0</v>
      </c>
      <c r="AA152" s="15">
        <f>H152</f>
        <v>60000</v>
      </c>
      <c r="AB152" s="1">
        <v>0</v>
      </c>
      <c r="AC152" s="37">
        <f>AB152*AA152*Z152</f>
        <v>0</v>
      </c>
      <c r="AD152" s="38">
        <v>0</v>
      </c>
      <c r="AE152" s="39">
        <f>SUM(AC152:AD152)</f>
        <v>0</v>
      </c>
      <c r="AF152" s="140">
        <v>0</v>
      </c>
      <c r="AG152" s="15">
        <f>H152</f>
        <v>60000</v>
      </c>
      <c r="AH152" s="1">
        <v>0</v>
      </c>
      <c r="AI152" s="37">
        <f>AH152*AG152*AF152</f>
        <v>0</v>
      </c>
      <c r="AJ152" s="38">
        <v>0</v>
      </c>
      <c r="AK152" s="38">
        <f>SUM(AI152:AJ152)</f>
        <v>0</v>
      </c>
      <c r="AL152" s="40">
        <f t="shared" ref="AL152:AL153" si="408">K152+Q152+W152+AC152+AI152</f>
        <v>60000</v>
      </c>
      <c r="AM152" s="38">
        <f t="shared" ref="AM152:AM153" si="409">L152+R152+X152+AD152+AJ152</f>
        <v>0</v>
      </c>
      <c r="AN152" s="40">
        <f t="shared" ref="AN152:AN153" si="410">SUM(AL152:AM152)</f>
        <v>60000</v>
      </c>
      <c r="AP152" s="611"/>
      <c r="AQ152" s="611"/>
      <c r="AR152" s="611"/>
    </row>
    <row r="153" spans="1:44" s="610" customFormat="1" x14ac:dyDescent="0.45">
      <c r="A153" s="1" t="s">
        <v>228</v>
      </c>
      <c r="B153" s="1">
        <v>86110</v>
      </c>
      <c r="C153" s="258" t="s">
        <v>65</v>
      </c>
      <c r="D153" s="258" t="s">
        <v>65</v>
      </c>
      <c r="E153" s="1">
        <v>0</v>
      </c>
      <c r="F153" s="65" t="s">
        <v>229</v>
      </c>
      <c r="G153" s="140">
        <v>1</v>
      </c>
      <c r="H153" s="15">
        <v>700</v>
      </c>
      <c r="I153" s="1">
        <v>9</v>
      </c>
      <c r="J153" s="1" t="s">
        <v>107</v>
      </c>
      <c r="K153" s="37">
        <f>I153*H153*G153</f>
        <v>6300</v>
      </c>
      <c r="L153" s="38">
        <v>0</v>
      </c>
      <c r="M153" s="39">
        <f>SUM(K153:L153)</f>
        <v>6300</v>
      </c>
      <c r="N153" s="140">
        <v>1</v>
      </c>
      <c r="O153" s="38">
        <f>H153</f>
        <v>700</v>
      </c>
      <c r="P153" s="1">
        <v>12</v>
      </c>
      <c r="Q153" s="37">
        <f>P153*O153*N153</f>
        <v>8400</v>
      </c>
      <c r="R153" s="38">
        <v>0</v>
      </c>
      <c r="S153" s="39">
        <f>SUM(Q153:R153)</f>
        <v>8400</v>
      </c>
      <c r="T153" s="140">
        <v>1</v>
      </c>
      <c r="U153" s="38">
        <f>H153</f>
        <v>700</v>
      </c>
      <c r="V153" s="1">
        <v>12</v>
      </c>
      <c r="W153" s="37">
        <f>V153*U153*T153</f>
        <v>8400</v>
      </c>
      <c r="X153" s="38">
        <v>0</v>
      </c>
      <c r="Y153" s="39">
        <f>SUM(W153:X153)</f>
        <v>8400</v>
      </c>
      <c r="Z153" s="140">
        <v>1</v>
      </c>
      <c r="AA153" s="38">
        <f>H153</f>
        <v>700</v>
      </c>
      <c r="AB153" s="1">
        <v>12</v>
      </c>
      <c r="AC153" s="37">
        <f>AB153*AA153*Z153</f>
        <v>8400</v>
      </c>
      <c r="AD153" s="38">
        <v>0</v>
      </c>
      <c r="AE153" s="39">
        <f>SUM(AC153:AD153)</f>
        <v>8400</v>
      </c>
      <c r="AF153" s="140">
        <v>1</v>
      </c>
      <c r="AG153" s="38">
        <f>H153</f>
        <v>700</v>
      </c>
      <c r="AH153" s="1">
        <v>9</v>
      </c>
      <c r="AI153" s="37">
        <f>AH153*AF153*AG153</f>
        <v>6300</v>
      </c>
      <c r="AJ153" s="38">
        <v>0</v>
      </c>
      <c r="AK153" s="38">
        <f>SUM(AI153:AJ153)</f>
        <v>6300</v>
      </c>
      <c r="AL153" s="40">
        <f t="shared" si="408"/>
        <v>37800</v>
      </c>
      <c r="AM153" s="38">
        <f t="shared" si="409"/>
        <v>0</v>
      </c>
      <c r="AN153" s="40">
        <f t="shared" si="410"/>
        <v>37800</v>
      </c>
      <c r="AP153" s="611"/>
      <c r="AQ153" s="611"/>
      <c r="AR153" s="611"/>
    </row>
    <row r="154" spans="1:44" s="612" customFormat="1" x14ac:dyDescent="0.45">
      <c r="A154" s="145"/>
      <c r="B154" s="1"/>
      <c r="C154" s="145"/>
      <c r="D154" s="145"/>
      <c r="E154" s="145"/>
      <c r="F154" s="75" t="s">
        <v>230</v>
      </c>
      <c r="G154" s="144"/>
      <c r="H154" s="129"/>
      <c r="I154" s="145"/>
      <c r="J154" s="129"/>
      <c r="K154" s="42">
        <f>SUM(K152:K153)</f>
        <v>66300</v>
      </c>
      <c r="L154" s="42">
        <f>SUM(L152:L153)</f>
        <v>0</v>
      </c>
      <c r="M154" s="42">
        <f>SUM(M152:M153)</f>
        <v>66300</v>
      </c>
      <c r="N154" s="144"/>
      <c r="O154" s="43"/>
      <c r="P154" s="129"/>
      <c r="Q154" s="42">
        <f>SUM(Q152:Q153)</f>
        <v>8400</v>
      </c>
      <c r="R154" s="42">
        <f>SUM(R152:R153)</f>
        <v>0</v>
      </c>
      <c r="S154" s="42">
        <f>SUM(S152:S153)</f>
        <v>8400</v>
      </c>
      <c r="T154" s="144"/>
      <c r="U154" s="129"/>
      <c r="V154" s="129"/>
      <c r="W154" s="42">
        <f>SUM(W152:W153)</f>
        <v>8400</v>
      </c>
      <c r="X154" s="42">
        <f>SUM(X152:X153)</f>
        <v>0</v>
      </c>
      <c r="Y154" s="42">
        <f>SUM(Y152:Y153)</f>
        <v>8400</v>
      </c>
      <c r="Z154" s="144"/>
      <c r="AA154" s="129"/>
      <c r="AB154" s="129"/>
      <c r="AC154" s="42">
        <f>SUM(AC152:AC153)</f>
        <v>8400</v>
      </c>
      <c r="AD154" s="42">
        <f>SUM(AD152:AD153)</f>
        <v>0</v>
      </c>
      <c r="AE154" s="42">
        <f>SUM(AE152:AE153)</f>
        <v>8400</v>
      </c>
      <c r="AF154" s="144"/>
      <c r="AG154" s="129"/>
      <c r="AH154" s="129"/>
      <c r="AI154" s="42">
        <f>SUM(AI152:AI153)</f>
        <v>6300</v>
      </c>
      <c r="AJ154" s="42">
        <f>SUM(AJ152:AJ153)</f>
        <v>0</v>
      </c>
      <c r="AK154" s="42">
        <f>SUM(AK152:AK153)</f>
        <v>6300</v>
      </c>
      <c r="AL154" s="45">
        <f>SUM(AL151:AL153)</f>
        <v>97800</v>
      </c>
      <c r="AM154" s="43">
        <f>SUM(AM151:AM153)</f>
        <v>0</v>
      </c>
      <c r="AN154" s="45">
        <f>SUM(AN151:AN153)</f>
        <v>97800</v>
      </c>
    </row>
    <row r="155" spans="1:44" s="10" customFormat="1" x14ac:dyDescent="0.45">
      <c r="A155" s="145"/>
      <c r="B155" s="1"/>
      <c r="C155" s="145"/>
      <c r="D155" s="145"/>
      <c r="E155" s="145"/>
      <c r="F155" s="75"/>
      <c r="G155" s="144"/>
      <c r="H155" s="129"/>
      <c r="I155" s="145"/>
      <c r="J155" s="129"/>
      <c r="K155" s="42"/>
      <c r="L155" s="43"/>
      <c r="M155" s="43"/>
      <c r="N155" s="144"/>
      <c r="O155" s="43"/>
      <c r="P155" s="129"/>
      <c r="Q155" s="42"/>
      <c r="R155" s="43"/>
      <c r="S155" s="43"/>
      <c r="T155" s="144"/>
      <c r="U155" s="129"/>
      <c r="V155" s="129"/>
      <c r="W155" s="42"/>
      <c r="X155" s="43"/>
      <c r="Y155" s="43"/>
      <c r="Z155" s="144"/>
      <c r="AA155" s="129"/>
      <c r="AB155" s="129"/>
      <c r="AC155" s="42"/>
      <c r="AD155" s="43"/>
      <c r="AE155" s="43"/>
      <c r="AF155" s="144"/>
      <c r="AG155" s="129"/>
      <c r="AH155" s="129"/>
      <c r="AI155" s="42"/>
      <c r="AJ155" s="43"/>
      <c r="AK155" s="43"/>
      <c r="AL155" s="45"/>
      <c r="AM155" s="43"/>
      <c r="AN155" s="45"/>
    </row>
    <row r="156" spans="1:44" x14ac:dyDescent="0.45">
      <c r="F156" s="47" t="s">
        <v>231</v>
      </c>
      <c r="G156" s="140"/>
      <c r="K156" s="37"/>
      <c r="L156" s="38"/>
      <c r="M156" s="39"/>
      <c r="N156" s="140"/>
      <c r="Q156" s="37"/>
      <c r="R156" s="38"/>
      <c r="S156" s="39"/>
      <c r="T156" s="140"/>
      <c r="W156" s="37"/>
      <c r="X156" s="38"/>
      <c r="Y156" s="39"/>
      <c r="Z156" s="140"/>
      <c r="AC156" s="37"/>
      <c r="AD156" s="38"/>
      <c r="AE156" s="39"/>
      <c r="AF156" s="140"/>
      <c r="AI156" s="37"/>
      <c r="AJ156" s="38"/>
      <c r="AK156" s="38"/>
      <c r="AL156" s="40"/>
      <c r="AM156" s="38"/>
      <c r="AN156" s="40"/>
      <c r="AP156" s="91"/>
      <c r="AQ156" s="91"/>
      <c r="AR156" s="91"/>
    </row>
    <row r="157" spans="1:44" x14ac:dyDescent="0.45">
      <c r="A157" s="1" t="s">
        <v>232</v>
      </c>
      <c r="B157" s="1">
        <v>81000</v>
      </c>
      <c r="C157" s="1" t="s">
        <v>57</v>
      </c>
      <c r="D157" s="1" t="s">
        <v>57</v>
      </c>
      <c r="E157" s="1">
        <v>0</v>
      </c>
      <c r="F157" s="65" t="s">
        <v>233</v>
      </c>
      <c r="G157" s="140">
        <v>1</v>
      </c>
      <c r="H157" s="15">
        <v>150000</v>
      </c>
      <c r="I157" s="1">
        <v>0.5</v>
      </c>
      <c r="J157" s="1" t="s">
        <v>183</v>
      </c>
      <c r="K157" s="37">
        <f>I157*H157*G157</f>
        <v>75000</v>
      </c>
      <c r="L157" s="38">
        <v>0</v>
      </c>
      <c r="M157" s="39">
        <f>SUM(K157:L157)</f>
        <v>75000</v>
      </c>
      <c r="N157" s="140">
        <v>1</v>
      </c>
      <c r="O157" s="15">
        <f>H157</f>
        <v>150000</v>
      </c>
      <c r="P157" s="1">
        <v>0.5</v>
      </c>
      <c r="Q157" s="37">
        <f>P157*O157*N157</f>
        <v>75000</v>
      </c>
      <c r="R157" s="38">
        <v>0</v>
      </c>
      <c r="S157" s="39">
        <f>SUM(Q157:R157)</f>
        <v>75000</v>
      </c>
      <c r="T157" s="140">
        <v>0</v>
      </c>
      <c r="U157" s="15">
        <f>H157</f>
        <v>150000</v>
      </c>
      <c r="V157" s="1">
        <v>0</v>
      </c>
      <c r="W157" s="37">
        <f>V157*U157*T157</f>
        <v>0</v>
      </c>
      <c r="X157" s="38">
        <v>0</v>
      </c>
      <c r="Y157" s="39">
        <f>SUM(W157:W157)</f>
        <v>0</v>
      </c>
      <c r="Z157" s="140">
        <v>0</v>
      </c>
      <c r="AA157" s="15">
        <f>H157</f>
        <v>150000</v>
      </c>
      <c r="AB157" s="1">
        <v>0</v>
      </c>
      <c r="AC157" s="37">
        <f>AB157*AA157*Z157</f>
        <v>0</v>
      </c>
      <c r="AD157" s="38">
        <v>0</v>
      </c>
      <c r="AE157" s="39">
        <f>SUM(AC157:AD157)</f>
        <v>0</v>
      </c>
      <c r="AF157" s="140">
        <v>0</v>
      </c>
      <c r="AG157" s="15">
        <f>H157</f>
        <v>150000</v>
      </c>
      <c r="AH157" s="1">
        <v>0</v>
      </c>
      <c r="AI157" s="37">
        <f>AH157*AG157*AF157</f>
        <v>0</v>
      </c>
      <c r="AJ157" s="38">
        <v>0</v>
      </c>
      <c r="AK157" s="38">
        <f>SUM(AI157:AJ157)</f>
        <v>0</v>
      </c>
      <c r="AL157" s="40">
        <f t="shared" ref="AL157:AL158" si="411">K157+Q157+W157+AC157+AI157</f>
        <v>150000</v>
      </c>
      <c r="AM157" s="38">
        <f t="shared" ref="AM157:AM164" si="412">L157+R157+X157+AD157+AJ157</f>
        <v>0</v>
      </c>
      <c r="AN157" s="40">
        <f t="shared" ref="AN157:AN158" si="413">SUM(AL157:AM157)</f>
        <v>150000</v>
      </c>
      <c r="AP157" s="91"/>
      <c r="AQ157" s="91"/>
      <c r="AR157" s="91"/>
    </row>
    <row r="158" spans="1:44" x14ac:dyDescent="0.45">
      <c r="A158" s="1" t="s">
        <v>234</v>
      </c>
      <c r="B158" s="1">
        <v>81000</v>
      </c>
      <c r="C158" s="1" t="s">
        <v>57</v>
      </c>
      <c r="D158" s="1" t="s">
        <v>57</v>
      </c>
      <c r="E158" s="1">
        <v>0</v>
      </c>
      <c r="F158" s="65" t="s">
        <v>235</v>
      </c>
      <c r="G158" s="140">
        <v>1</v>
      </c>
      <c r="H158" s="15">
        <v>6933</v>
      </c>
      <c r="I158" s="1">
        <v>6</v>
      </c>
      <c r="J158" s="1" t="s">
        <v>107</v>
      </c>
      <c r="K158" s="37">
        <f>I158*H158*G158</f>
        <v>41598</v>
      </c>
      <c r="L158" s="38">
        <v>0</v>
      </c>
      <c r="M158" s="39">
        <f>SUM(K158:L158)</f>
        <v>41598</v>
      </c>
      <c r="N158" s="140">
        <v>1</v>
      </c>
      <c r="O158" s="38">
        <f>H158</f>
        <v>6933</v>
      </c>
      <c r="P158" s="1">
        <v>6</v>
      </c>
      <c r="Q158" s="37">
        <f>P158*O158*N158</f>
        <v>41598</v>
      </c>
      <c r="R158" s="38">
        <v>0</v>
      </c>
      <c r="S158" s="39">
        <f>SUM(Q158:R158)</f>
        <v>41598</v>
      </c>
      <c r="T158" s="140">
        <v>1</v>
      </c>
      <c r="U158" s="38">
        <f>H158</f>
        <v>6933</v>
      </c>
      <c r="V158" s="1">
        <v>0</v>
      </c>
      <c r="W158" s="37">
        <f>V158*U158*T158</f>
        <v>0</v>
      </c>
      <c r="X158" s="38">
        <v>0</v>
      </c>
      <c r="Y158" s="39">
        <f>SUM(W158:X158)</f>
        <v>0</v>
      </c>
      <c r="Z158" s="140">
        <v>1</v>
      </c>
      <c r="AA158" s="38">
        <f>H158</f>
        <v>6933</v>
      </c>
      <c r="AB158" s="1">
        <v>0</v>
      </c>
      <c r="AC158" s="37">
        <f>AB158*AA158*Z158</f>
        <v>0</v>
      </c>
      <c r="AD158" s="38">
        <v>0</v>
      </c>
      <c r="AE158" s="39">
        <f>SUM(AC158:AD158)</f>
        <v>0</v>
      </c>
      <c r="AF158" s="140">
        <v>1</v>
      </c>
      <c r="AG158" s="38">
        <f>H158</f>
        <v>6933</v>
      </c>
      <c r="AH158" s="1">
        <v>0</v>
      </c>
      <c r="AI158" s="37">
        <f>AH158*AF158*AG158</f>
        <v>0</v>
      </c>
      <c r="AJ158" s="38">
        <v>0</v>
      </c>
      <c r="AK158" s="38">
        <f>SUM(AI158:AJ158)</f>
        <v>0</v>
      </c>
      <c r="AL158" s="40">
        <f t="shared" si="411"/>
        <v>83196</v>
      </c>
      <c r="AM158" s="38">
        <f t="shared" ref="AM158" si="414">L158+R158+X158+AD158+AJ158</f>
        <v>0</v>
      </c>
      <c r="AN158" s="40">
        <f t="shared" si="413"/>
        <v>83196</v>
      </c>
      <c r="AP158" s="91"/>
      <c r="AQ158" s="91"/>
      <c r="AR158" s="91"/>
    </row>
    <row r="159" spans="1:44" s="10" customFormat="1" x14ac:dyDescent="0.45">
      <c r="A159" s="145"/>
      <c r="B159" s="1"/>
      <c r="C159" s="145"/>
      <c r="D159" s="145"/>
      <c r="E159" s="145"/>
      <c r="F159" s="75" t="s">
        <v>236</v>
      </c>
      <c r="G159" s="144"/>
      <c r="H159" s="129"/>
      <c r="I159" s="145"/>
      <c r="J159" s="129"/>
      <c r="K159" s="42">
        <f>SUM(K157:K158)</f>
        <v>116598</v>
      </c>
      <c r="L159" s="42">
        <f>SUM(L157:L158)</f>
        <v>0</v>
      </c>
      <c r="M159" s="42">
        <f>SUM(M157:M158)</f>
        <v>116598</v>
      </c>
      <c r="N159" s="144"/>
      <c r="O159" s="43"/>
      <c r="P159" s="129"/>
      <c r="Q159" s="42">
        <f>SUM(Q157:Q158)</f>
        <v>116598</v>
      </c>
      <c r="R159" s="42">
        <f>SUM(R157:R158)</f>
        <v>0</v>
      </c>
      <c r="S159" s="42">
        <f>SUM(S157:S158)</f>
        <v>116598</v>
      </c>
      <c r="T159" s="144"/>
      <c r="U159" s="129"/>
      <c r="V159" s="129"/>
      <c r="W159" s="42">
        <f>SUM(W157:W158)</f>
        <v>0</v>
      </c>
      <c r="X159" s="42">
        <f>SUM(X157:X158)</f>
        <v>0</v>
      </c>
      <c r="Y159" s="42">
        <f>SUM(Y157:Y158)</f>
        <v>0</v>
      </c>
      <c r="Z159" s="144"/>
      <c r="AA159" s="129"/>
      <c r="AB159" s="129"/>
      <c r="AC159" s="42">
        <f>SUM(AC157:AC158)</f>
        <v>0</v>
      </c>
      <c r="AD159" s="42">
        <f>SUM(AD157:AD158)</f>
        <v>0</v>
      </c>
      <c r="AE159" s="42">
        <f>SUM(AE157:AE158)</f>
        <v>0</v>
      </c>
      <c r="AF159" s="144"/>
      <c r="AG159" s="129"/>
      <c r="AH159" s="129"/>
      <c r="AI159" s="42">
        <f>SUM(AI157:AI158)</f>
        <v>0</v>
      </c>
      <c r="AJ159" s="42">
        <f>SUM(AJ157:AJ158)</f>
        <v>0</v>
      </c>
      <c r="AK159" s="42">
        <f>SUM(AK157:AK158)</f>
        <v>0</v>
      </c>
      <c r="AL159" s="45">
        <f>SUM(AL156:AL158)</f>
        <v>233196</v>
      </c>
      <c r="AM159" s="43">
        <f>SUM(AM156:AM158)</f>
        <v>0</v>
      </c>
      <c r="AN159" s="45">
        <f>SUM(AN156:AN158)</f>
        <v>233196</v>
      </c>
      <c r="AO159" s="43"/>
    </row>
    <row r="160" spans="1:44" x14ac:dyDescent="0.45">
      <c r="F160" s="82"/>
      <c r="G160" s="140"/>
      <c r="H160" s="15"/>
      <c r="K160" s="37"/>
      <c r="L160" s="38"/>
      <c r="M160" s="39"/>
      <c r="N160" s="140"/>
      <c r="Q160" s="37"/>
      <c r="R160" s="38"/>
      <c r="S160" s="39"/>
      <c r="T160" s="140"/>
      <c r="W160" s="37"/>
      <c r="X160" s="38"/>
      <c r="Y160" s="39"/>
      <c r="Z160" s="140"/>
      <c r="AC160" s="37"/>
      <c r="AD160" s="38"/>
      <c r="AE160" s="39"/>
      <c r="AF160" s="140"/>
      <c r="AI160" s="37"/>
      <c r="AJ160" s="38"/>
      <c r="AK160" s="38"/>
      <c r="AL160" s="40"/>
      <c r="AM160" s="38"/>
      <c r="AN160" s="40"/>
      <c r="AP160" s="91"/>
      <c r="AQ160" s="91"/>
      <c r="AR160" s="91"/>
    </row>
    <row r="161" spans="1:44" x14ac:dyDescent="0.45">
      <c r="F161" s="47" t="s">
        <v>237</v>
      </c>
      <c r="G161" s="140"/>
      <c r="H161" s="15"/>
      <c r="K161" s="37"/>
      <c r="L161" s="38"/>
      <c r="M161" s="39"/>
      <c r="N161" s="140"/>
      <c r="Q161" s="37"/>
      <c r="R161" s="38"/>
      <c r="S161" s="39"/>
      <c r="T161" s="140"/>
      <c r="W161" s="37"/>
      <c r="X161" s="38"/>
      <c r="Y161" s="39"/>
      <c r="Z161" s="140"/>
      <c r="AC161" s="37"/>
      <c r="AD161" s="38"/>
      <c r="AE161" s="39"/>
      <c r="AF161" s="140"/>
      <c r="AI161" s="37"/>
      <c r="AJ161" s="38"/>
      <c r="AK161" s="38"/>
      <c r="AL161" s="40"/>
      <c r="AM161" s="38"/>
      <c r="AN161" s="40"/>
      <c r="AP161" s="91"/>
      <c r="AQ161" s="91"/>
      <c r="AR161" s="91"/>
    </row>
    <row r="162" spans="1:44" x14ac:dyDescent="0.45">
      <c r="A162" s="1" t="s">
        <v>238</v>
      </c>
      <c r="B162" s="1">
        <v>81010</v>
      </c>
      <c r="C162" s="258" t="s">
        <v>65</v>
      </c>
      <c r="D162" s="258" t="s">
        <v>65</v>
      </c>
      <c r="E162" s="1">
        <v>0</v>
      </c>
      <c r="F162" s="65" t="s">
        <v>239</v>
      </c>
      <c r="G162" s="140">
        <v>1</v>
      </c>
      <c r="H162" s="15">
        <v>300000</v>
      </c>
      <c r="J162" s="1" t="s">
        <v>183</v>
      </c>
      <c r="K162" s="37">
        <f t="shared" ref="K162:K164" si="415">H162*G162</f>
        <v>300000</v>
      </c>
      <c r="L162" s="38">
        <v>0</v>
      </c>
      <c r="M162" s="39">
        <f>SUM(K162:L162)</f>
        <v>300000</v>
      </c>
      <c r="N162" s="140">
        <v>0</v>
      </c>
      <c r="O162" s="15">
        <f t="shared" ref="O162" si="416">H162</f>
        <v>300000</v>
      </c>
      <c r="Q162" s="37">
        <f t="shared" ref="Q162:Q164" si="417">N162*O162</f>
        <v>0</v>
      </c>
      <c r="R162" s="38">
        <v>0</v>
      </c>
      <c r="S162" s="39">
        <f>SUM(Q162:R162)</f>
        <v>0</v>
      </c>
      <c r="T162" s="140">
        <v>0</v>
      </c>
      <c r="U162" s="15">
        <f t="shared" ref="U162:U164" si="418">H162</f>
        <v>300000</v>
      </c>
      <c r="W162" s="37">
        <f t="shared" ref="W162:W164" si="419">U162*T162</f>
        <v>0</v>
      </c>
      <c r="X162" s="38">
        <v>0</v>
      </c>
      <c r="Y162" s="39">
        <f>SUM(W162:W162)</f>
        <v>0</v>
      </c>
      <c r="Z162" s="140">
        <v>0</v>
      </c>
      <c r="AA162" s="15">
        <f t="shared" ref="AA162" si="420">H162</f>
        <v>300000</v>
      </c>
      <c r="AC162" s="37">
        <f t="shared" ref="AC162:AC164" si="421">AA162*Z162</f>
        <v>0</v>
      </c>
      <c r="AD162" s="38">
        <v>0</v>
      </c>
      <c r="AE162" s="39">
        <f>SUM(AC162:AD162)</f>
        <v>0</v>
      </c>
      <c r="AF162" s="140">
        <v>0</v>
      </c>
      <c r="AG162" s="15">
        <f t="shared" ref="AG162:AG164" si="422">H162</f>
        <v>300000</v>
      </c>
      <c r="AI162" s="37">
        <f t="shared" ref="AI162" si="423">AG162*AF162</f>
        <v>0</v>
      </c>
      <c r="AJ162" s="38">
        <v>0</v>
      </c>
      <c r="AK162" s="38">
        <f>SUM(AI162:AJ162)</f>
        <v>0</v>
      </c>
      <c r="AL162" s="40">
        <f t="shared" ref="AL162:AL164" si="424">K162+Q162+W162+AC162+AI162</f>
        <v>300000</v>
      </c>
      <c r="AM162" s="38">
        <f t="shared" si="412"/>
        <v>0</v>
      </c>
      <c r="AN162" s="40">
        <f t="shared" ref="AN162:AN164" si="425">SUM(AL162:AM162)</f>
        <v>300000</v>
      </c>
      <c r="AP162" s="91"/>
      <c r="AQ162" s="91"/>
      <c r="AR162" s="91"/>
    </row>
    <row r="163" spans="1:44" x14ac:dyDescent="0.45">
      <c r="A163" s="1" t="s">
        <v>240</v>
      </c>
      <c r="B163" s="1">
        <v>81010</v>
      </c>
      <c r="C163" s="258" t="s">
        <v>65</v>
      </c>
      <c r="D163" s="258" t="s">
        <v>65</v>
      </c>
      <c r="E163" s="1">
        <v>0</v>
      </c>
      <c r="F163" s="65" t="s">
        <v>241</v>
      </c>
      <c r="G163" s="140">
        <v>0</v>
      </c>
      <c r="H163" s="15">
        <v>100000</v>
      </c>
      <c r="J163" s="1" t="s">
        <v>183</v>
      </c>
      <c r="K163" s="37">
        <f t="shared" ref="K163" si="426">H163*G163</f>
        <v>0</v>
      </c>
      <c r="L163" s="38">
        <v>0</v>
      </c>
      <c r="M163" s="39">
        <f>SUM(K163:L163)</f>
        <v>0</v>
      </c>
      <c r="N163" s="140">
        <v>0</v>
      </c>
      <c r="O163" s="15">
        <f>H163</f>
        <v>100000</v>
      </c>
      <c r="Q163" s="37">
        <f t="shared" ref="Q163" si="427">N163*O163</f>
        <v>0</v>
      </c>
      <c r="R163" s="38">
        <v>0</v>
      </c>
      <c r="S163" s="39">
        <f>SUM(Q163:R163)</f>
        <v>0</v>
      </c>
      <c r="T163" s="140">
        <v>1</v>
      </c>
      <c r="U163" s="15">
        <f t="shared" ref="U163" si="428">H163</f>
        <v>100000</v>
      </c>
      <c r="W163" s="37">
        <f t="shared" ref="W163" si="429">U163*T163</f>
        <v>100000</v>
      </c>
      <c r="X163" s="38">
        <v>0</v>
      </c>
      <c r="Y163" s="39">
        <f>SUM(W163:W163)</f>
        <v>100000</v>
      </c>
      <c r="Z163" s="140">
        <v>0</v>
      </c>
      <c r="AA163" s="15">
        <v>375000</v>
      </c>
      <c r="AC163" s="37">
        <f t="shared" ref="AC163" si="430">AA163*Z163</f>
        <v>0</v>
      </c>
      <c r="AD163" s="38">
        <v>0</v>
      </c>
      <c r="AE163" s="39">
        <f>SUM(AC163:AD163)</f>
        <v>0</v>
      </c>
      <c r="AF163" s="140">
        <v>0</v>
      </c>
      <c r="AG163" s="15">
        <f t="shared" ref="AG163" si="431">H163</f>
        <v>100000</v>
      </c>
      <c r="AI163" s="37">
        <f>AG163*AF163</f>
        <v>0</v>
      </c>
      <c r="AJ163" s="38">
        <v>0</v>
      </c>
      <c r="AK163" s="38">
        <f>SUM(AI163:AJ163)</f>
        <v>0</v>
      </c>
      <c r="AL163" s="40">
        <f t="shared" ref="AL163" si="432">K163+Q163+W163+AC163+AI163</f>
        <v>100000</v>
      </c>
      <c r="AM163" s="38">
        <f t="shared" ref="AM163" si="433">L163+R163+X163+AD163+AJ163</f>
        <v>0</v>
      </c>
      <c r="AN163" s="40">
        <f t="shared" ref="AN163" si="434">SUM(AL163:AM163)</f>
        <v>100000</v>
      </c>
      <c r="AP163" s="91"/>
      <c r="AQ163" s="91"/>
      <c r="AR163" s="91"/>
    </row>
    <row r="164" spans="1:44" x14ac:dyDescent="0.45">
      <c r="A164" s="1" t="s">
        <v>242</v>
      </c>
      <c r="B164" s="1">
        <v>81010</v>
      </c>
      <c r="C164" s="258" t="s">
        <v>65</v>
      </c>
      <c r="D164" s="258" t="s">
        <v>65</v>
      </c>
      <c r="E164" s="1">
        <v>0</v>
      </c>
      <c r="F164" s="65" t="s">
        <v>243</v>
      </c>
      <c r="G164" s="140">
        <v>0</v>
      </c>
      <c r="H164" s="15">
        <v>300000</v>
      </c>
      <c r="J164" s="1" t="s">
        <v>183</v>
      </c>
      <c r="K164" s="37">
        <f t="shared" si="415"/>
        <v>0</v>
      </c>
      <c r="L164" s="38">
        <v>0</v>
      </c>
      <c r="M164" s="39">
        <f>SUM(K164:L164)</f>
        <v>0</v>
      </c>
      <c r="N164" s="140">
        <v>0</v>
      </c>
      <c r="O164" s="15">
        <f>H164</f>
        <v>300000</v>
      </c>
      <c r="Q164" s="37">
        <f t="shared" si="417"/>
        <v>0</v>
      </c>
      <c r="R164" s="38">
        <v>0</v>
      </c>
      <c r="S164" s="39">
        <f>SUM(Q164:R164)</f>
        <v>0</v>
      </c>
      <c r="T164" s="140">
        <v>0</v>
      </c>
      <c r="U164" s="15">
        <f t="shared" si="418"/>
        <v>300000</v>
      </c>
      <c r="W164" s="37">
        <f t="shared" si="419"/>
        <v>0</v>
      </c>
      <c r="X164" s="38">
        <v>0</v>
      </c>
      <c r="Y164" s="39">
        <f>SUM(W164:W164)</f>
        <v>0</v>
      </c>
      <c r="Z164" s="140">
        <v>0</v>
      </c>
      <c r="AA164" s="15">
        <v>375000</v>
      </c>
      <c r="AC164" s="37">
        <f t="shared" si="421"/>
        <v>0</v>
      </c>
      <c r="AD164" s="38">
        <v>0</v>
      </c>
      <c r="AE164" s="39">
        <f>SUM(AC164:AD164)</f>
        <v>0</v>
      </c>
      <c r="AF164" s="140">
        <v>1</v>
      </c>
      <c r="AG164" s="15">
        <f t="shared" si="422"/>
        <v>300000</v>
      </c>
      <c r="AI164" s="37">
        <f>AG164*AF164</f>
        <v>300000</v>
      </c>
      <c r="AJ164" s="38">
        <v>0</v>
      </c>
      <c r="AK164" s="38">
        <f>SUM(AI164:AJ164)</f>
        <v>300000</v>
      </c>
      <c r="AL164" s="40">
        <f t="shared" si="424"/>
        <v>300000</v>
      </c>
      <c r="AM164" s="38">
        <f t="shared" si="412"/>
        <v>0</v>
      </c>
      <c r="AN164" s="40">
        <f t="shared" si="425"/>
        <v>300000</v>
      </c>
      <c r="AP164" s="91"/>
      <c r="AQ164" s="91"/>
      <c r="AR164" s="91"/>
    </row>
    <row r="165" spans="1:44" s="10" customFormat="1" x14ac:dyDescent="0.45">
      <c r="A165" s="1"/>
      <c r="B165" s="145"/>
      <c r="C165" s="145"/>
      <c r="D165" s="145"/>
      <c r="E165" s="145"/>
      <c r="F165" s="75" t="s">
        <v>244</v>
      </c>
      <c r="G165" s="144"/>
      <c r="H165" s="129"/>
      <c r="I165" s="145"/>
      <c r="J165" s="129"/>
      <c r="K165" s="42">
        <f>SUM(K162:K164)</f>
        <v>300000</v>
      </c>
      <c r="L165" s="42">
        <f>SUM(L162:L164)</f>
        <v>0</v>
      </c>
      <c r="M165" s="42">
        <f>SUM(M162:M164)</f>
        <v>300000</v>
      </c>
      <c r="N165" s="144"/>
      <c r="O165" s="43"/>
      <c r="P165" s="129"/>
      <c r="Q165" s="42">
        <f>SUM(Q162:Q164)</f>
        <v>0</v>
      </c>
      <c r="R165" s="42">
        <f>SUM(R162:R164)</f>
        <v>0</v>
      </c>
      <c r="S165" s="42">
        <f>SUM(S162:S164)</f>
        <v>0</v>
      </c>
      <c r="T165" s="144"/>
      <c r="U165" s="129"/>
      <c r="V165" s="129"/>
      <c r="W165" s="42">
        <f>SUM(W162:W164)</f>
        <v>100000</v>
      </c>
      <c r="X165" s="42">
        <f>SUM(X162:X164)</f>
        <v>0</v>
      </c>
      <c r="Y165" s="42">
        <f>SUM(Y162:Y164)</f>
        <v>100000</v>
      </c>
      <c r="Z165" s="144"/>
      <c r="AA165" s="129"/>
      <c r="AB165" s="129"/>
      <c r="AC165" s="42">
        <f>SUM(AC162:AC164)</f>
        <v>0</v>
      </c>
      <c r="AD165" s="42">
        <f>SUM(AD162:AD164)</f>
        <v>0</v>
      </c>
      <c r="AE165" s="42">
        <f>SUM(AE162:AE164)</f>
        <v>0</v>
      </c>
      <c r="AF165" s="144"/>
      <c r="AG165" s="129"/>
      <c r="AH165" s="129"/>
      <c r="AI165" s="42">
        <f t="shared" ref="AI165:AN165" si="435">SUM(AI162:AI164)</f>
        <v>300000</v>
      </c>
      <c r="AJ165" s="42">
        <f t="shared" si="435"/>
        <v>0</v>
      </c>
      <c r="AK165" s="42">
        <f t="shared" si="435"/>
        <v>300000</v>
      </c>
      <c r="AL165" s="45">
        <f t="shared" si="435"/>
        <v>700000</v>
      </c>
      <c r="AM165" s="43">
        <f t="shared" si="435"/>
        <v>0</v>
      </c>
      <c r="AN165" s="45">
        <f t="shared" si="435"/>
        <v>700000</v>
      </c>
    </row>
    <row r="166" spans="1:44" x14ac:dyDescent="0.45">
      <c r="F166" s="82"/>
      <c r="G166" s="140"/>
      <c r="H166" s="15"/>
      <c r="K166" s="37"/>
      <c r="L166" s="38"/>
      <c r="M166" s="39"/>
      <c r="N166" s="140"/>
      <c r="Q166" s="37"/>
      <c r="R166" s="38"/>
      <c r="S166" s="39"/>
      <c r="T166" s="140"/>
      <c r="W166" s="37"/>
      <c r="X166" s="38"/>
      <c r="Y166" s="39"/>
      <c r="Z166" s="140"/>
      <c r="AC166" s="37"/>
      <c r="AD166" s="38"/>
      <c r="AE166" s="39"/>
      <c r="AF166" s="140"/>
      <c r="AI166" s="37"/>
      <c r="AJ166" s="38"/>
      <c r="AK166" s="38"/>
      <c r="AL166" s="40"/>
      <c r="AM166" s="38"/>
      <c r="AN166" s="40"/>
      <c r="AP166" s="91"/>
      <c r="AQ166" s="91"/>
      <c r="AR166" s="91"/>
    </row>
    <row r="167" spans="1:44" x14ac:dyDescent="0.45">
      <c r="A167" s="68"/>
      <c r="B167" s="68"/>
      <c r="C167" s="68"/>
      <c r="D167" s="68"/>
      <c r="E167" s="68"/>
      <c r="F167" s="66"/>
      <c r="G167" s="67"/>
      <c r="H167" s="68"/>
      <c r="I167" s="68"/>
      <c r="J167" s="68"/>
      <c r="K167" s="85"/>
      <c r="L167" s="86"/>
      <c r="M167" s="87"/>
      <c r="N167" s="67"/>
      <c r="O167" s="68"/>
      <c r="P167" s="68"/>
      <c r="Q167" s="85"/>
      <c r="R167" s="86"/>
      <c r="S167" s="87"/>
      <c r="T167" s="67"/>
      <c r="U167" s="68"/>
      <c r="V167" s="68"/>
      <c r="W167" s="85"/>
      <c r="X167" s="86"/>
      <c r="Y167" s="87"/>
      <c r="Z167" s="67"/>
      <c r="AA167" s="68"/>
      <c r="AB167" s="68"/>
      <c r="AC167" s="85"/>
      <c r="AD167" s="86"/>
      <c r="AE167" s="87"/>
      <c r="AF167" s="67"/>
      <c r="AG167" s="68"/>
      <c r="AH167" s="68"/>
      <c r="AI167" s="85"/>
      <c r="AJ167" s="86"/>
      <c r="AK167" s="86"/>
      <c r="AL167" s="88"/>
      <c r="AM167" s="86"/>
      <c r="AN167" s="88"/>
      <c r="AP167" s="92"/>
    </row>
    <row r="168" spans="1:44" s="9" customFormat="1" ht="12.3" x14ac:dyDescent="0.4">
      <c r="A168" s="157"/>
      <c r="B168" s="157"/>
      <c r="C168" s="157"/>
      <c r="D168" s="157"/>
      <c r="E168" s="157"/>
      <c r="F168" s="93" t="s">
        <v>245</v>
      </c>
      <c r="G168" s="156"/>
      <c r="H168" s="157"/>
      <c r="I168" s="157"/>
      <c r="J168" s="157"/>
      <c r="K168" s="50">
        <f>K165+K159+K145+K149+K154</f>
        <v>3318069.5264125001</v>
      </c>
      <c r="L168" s="50">
        <f>L165+L159+L145+L149+L154</f>
        <v>245351.81794007143</v>
      </c>
      <c r="M168" s="50">
        <f>M165+M159+M145+M149+M154</f>
        <v>3563421.3443525713</v>
      </c>
      <c r="N168" s="156"/>
      <c r="O168" s="157"/>
      <c r="P168" s="157"/>
      <c r="Q168" s="50">
        <f>Q165+Q159+Q145+Q149+Q154</f>
        <v>3997677.0940620005</v>
      </c>
      <c r="R168" s="50">
        <f>R165+R159+R145+R149+R154</f>
        <v>200067.83669724112</v>
      </c>
      <c r="S168" s="50">
        <f>S165+S159+S145+S149+S154</f>
        <v>4197744.9307592409</v>
      </c>
      <c r="T168" s="156"/>
      <c r="U168" s="157"/>
      <c r="V168" s="157"/>
      <c r="W168" s="50">
        <f>W165+W159+W145+W149+W154</f>
        <v>4340006.68669008</v>
      </c>
      <c r="X168" s="50">
        <f>X165+X159+X145+X149+X154</f>
        <v>198207.17167513084</v>
      </c>
      <c r="Y168" s="50">
        <f>Y165+Y159+Y145+Y149+Y154</f>
        <v>4538213.8583652107</v>
      </c>
      <c r="Z168" s="156"/>
      <c r="AA168" s="157"/>
      <c r="AB168" s="157"/>
      <c r="AC168" s="50">
        <f>AC165+AC159+AC145+AC149+AC154</f>
        <v>4317470.5697301831</v>
      </c>
      <c r="AD168" s="50">
        <f>AD165+AD159+AD145+AD149+AD154</f>
        <v>205687.47972543607</v>
      </c>
      <c r="AE168" s="50">
        <f>AE165+AE159+AE145+AE149+AE154</f>
        <v>4523158.0494556194</v>
      </c>
      <c r="AF168" s="156"/>
      <c r="AG168" s="157"/>
      <c r="AH168" s="157"/>
      <c r="AI168" s="50">
        <f t="shared" ref="AI168:AN168" si="436">AI165+AI159+AI145+AI149+AI154</f>
        <v>2761408.5950400783</v>
      </c>
      <c r="AJ168" s="50">
        <f t="shared" si="436"/>
        <v>209691.70553764762</v>
      </c>
      <c r="AK168" s="50">
        <f t="shared" si="436"/>
        <v>2971100.3005777262</v>
      </c>
      <c r="AL168" s="50">
        <f t="shared" si="436"/>
        <v>18734632.471934844</v>
      </c>
      <c r="AM168" s="50">
        <f t="shared" si="436"/>
        <v>1059006.011575527</v>
      </c>
      <c r="AN168" s="252">
        <f t="shared" si="436"/>
        <v>19793638.483510371</v>
      </c>
    </row>
    <row r="169" spans="1:44" s="9" customFormat="1" ht="12.3" x14ac:dyDescent="0.4">
      <c r="A169" s="159"/>
      <c r="B169" s="159"/>
      <c r="C169" s="159"/>
      <c r="D169" s="159"/>
      <c r="E169" s="159"/>
      <c r="F169" s="94"/>
      <c r="G169" s="158"/>
      <c r="H169" s="159"/>
      <c r="I169" s="159"/>
      <c r="J169" s="159"/>
      <c r="K169" s="95"/>
      <c r="L169" s="96"/>
      <c r="M169" s="97"/>
      <c r="N169" s="158"/>
      <c r="O169" s="159"/>
      <c r="P169" s="159"/>
      <c r="Q169" s="95"/>
      <c r="R169" s="96"/>
      <c r="S169" s="97"/>
      <c r="T169" s="158"/>
      <c r="U169" s="159"/>
      <c r="V169" s="159"/>
      <c r="W169" s="95"/>
      <c r="X169" s="96"/>
      <c r="Y169" s="97"/>
      <c r="Z169" s="158"/>
      <c r="AA169" s="159"/>
      <c r="AB169" s="159"/>
      <c r="AC169" s="95"/>
      <c r="AD169" s="96"/>
      <c r="AE169" s="97"/>
      <c r="AF169" s="158"/>
      <c r="AG169" s="159"/>
      <c r="AH169" s="159"/>
      <c r="AI169" s="95"/>
      <c r="AJ169" s="96"/>
      <c r="AK169" s="96"/>
      <c r="AL169" s="98"/>
      <c r="AM169" s="96"/>
      <c r="AN169" s="98"/>
    </row>
    <row r="170" spans="1:44" x14ac:dyDescent="0.45">
      <c r="A170" s="161"/>
      <c r="B170" s="161"/>
      <c r="C170" s="161"/>
      <c r="D170" s="161"/>
      <c r="E170" s="161"/>
      <c r="F170" s="99" t="s">
        <v>19</v>
      </c>
      <c r="G170" s="160"/>
      <c r="H170" s="161"/>
      <c r="I170" s="161"/>
      <c r="J170" s="161"/>
      <c r="K170" s="57"/>
      <c r="L170" s="58"/>
      <c r="M170" s="59"/>
      <c r="N170" s="160"/>
      <c r="O170" s="161"/>
      <c r="P170" s="161"/>
      <c r="Q170" s="57"/>
      <c r="R170" s="58"/>
      <c r="S170" s="59"/>
      <c r="T170" s="160"/>
      <c r="U170" s="161"/>
      <c r="V170" s="161"/>
      <c r="W170" s="57"/>
      <c r="X170" s="58"/>
      <c r="Y170" s="59"/>
      <c r="Z170" s="160"/>
      <c r="AA170" s="161"/>
      <c r="AB170" s="161"/>
      <c r="AC170" s="57"/>
      <c r="AD170" s="58"/>
      <c r="AE170" s="59"/>
      <c r="AF170" s="160"/>
      <c r="AG170" s="161"/>
      <c r="AH170" s="161"/>
      <c r="AI170" s="57"/>
      <c r="AJ170" s="58"/>
      <c r="AK170" s="58"/>
      <c r="AL170" s="60"/>
      <c r="AM170" s="58"/>
      <c r="AN170" s="60"/>
    </row>
    <row r="171" spans="1:44" x14ac:dyDescent="0.45">
      <c r="A171" s="152"/>
      <c r="B171" s="152"/>
      <c r="C171" s="152"/>
      <c r="D171" s="152"/>
      <c r="E171" s="152"/>
      <c r="F171" s="29"/>
      <c r="G171" s="153"/>
      <c r="H171" s="152"/>
      <c r="I171" s="152"/>
      <c r="J171" s="152"/>
      <c r="K171" s="62"/>
      <c r="L171" s="63"/>
      <c r="M171" s="72"/>
      <c r="N171" s="153"/>
      <c r="O171" s="152"/>
      <c r="P171" s="152"/>
      <c r="Q171" s="62"/>
      <c r="R171" s="63"/>
      <c r="S171" s="72"/>
      <c r="T171" s="153"/>
      <c r="U171" s="152"/>
      <c r="V171" s="152"/>
      <c r="W171" s="62"/>
      <c r="X171" s="63"/>
      <c r="Y171" s="72"/>
      <c r="Z171" s="153"/>
      <c r="AA171" s="152"/>
      <c r="AB171" s="152"/>
      <c r="AC171" s="62"/>
      <c r="AD171" s="63"/>
      <c r="AE171" s="72"/>
      <c r="AF171" s="153"/>
      <c r="AG171" s="152"/>
      <c r="AH171" s="152"/>
      <c r="AI171" s="62"/>
      <c r="AJ171" s="63"/>
      <c r="AK171" s="63"/>
      <c r="AL171" s="64"/>
      <c r="AM171" s="63"/>
      <c r="AN171" s="64"/>
    </row>
    <row r="172" spans="1:44" x14ac:dyDescent="0.45">
      <c r="F172" s="47" t="s">
        <v>246</v>
      </c>
      <c r="G172" s="140"/>
      <c r="H172" s="15"/>
      <c r="K172" s="37"/>
      <c r="L172" s="38"/>
      <c r="M172" s="39"/>
      <c r="N172" s="140"/>
      <c r="Q172" s="37"/>
      <c r="R172" s="38"/>
      <c r="S172" s="39"/>
      <c r="T172" s="140"/>
      <c r="W172" s="37"/>
      <c r="X172" s="38"/>
      <c r="Y172" s="39"/>
      <c r="Z172" s="140"/>
      <c r="AC172" s="37"/>
      <c r="AD172" s="38"/>
      <c r="AE172" s="39"/>
      <c r="AF172" s="140"/>
      <c r="AI172" s="37"/>
      <c r="AJ172" s="38"/>
      <c r="AK172" s="38"/>
      <c r="AL172" s="40"/>
      <c r="AM172" s="38"/>
      <c r="AN172" s="40"/>
      <c r="AP172" s="91"/>
      <c r="AQ172" s="91"/>
      <c r="AR172" s="91"/>
    </row>
    <row r="173" spans="1:44" x14ac:dyDescent="0.45">
      <c r="A173" s="15" t="s">
        <v>247</v>
      </c>
      <c r="B173" s="1">
        <v>89400</v>
      </c>
      <c r="C173" s="1" t="s">
        <v>57</v>
      </c>
      <c r="D173" s="1" t="s">
        <v>57</v>
      </c>
      <c r="E173" s="1">
        <v>0</v>
      </c>
      <c r="F173" s="65" t="s">
        <v>248</v>
      </c>
      <c r="G173" s="141">
        <v>1</v>
      </c>
      <c r="H173" s="15">
        <v>10000</v>
      </c>
      <c r="I173" s="15">
        <v>1</v>
      </c>
      <c r="J173" s="131" t="s">
        <v>249</v>
      </c>
      <c r="K173" s="37">
        <f>I173*H173*G173</f>
        <v>10000</v>
      </c>
      <c r="L173" s="38">
        <v>0</v>
      </c>
      <c r="M173" s="39">
        <f>SUM(K173:L173)</f>
        <v>10000</v>
      </c>
      <c r="N173" s="141">
        <v>1</v>
      </c>
      <c r="O173" s="38">
        <f>H173*$G$6</f>
        <v>10149.999999999998</v>
      </c>
      <c r="P173" s="15">
        <v>1</v>
      </c>
      <c r="Q173" s="37">
        <f>N173*O173*P173</f>
        <v>10149.999999999998</v>
      </c>
      <c r="R173" s="38">
        <v>0</v>
      </c>
      <c r="S173" s="39">
        <f>SUM(Q173:R173)</f>
        <v>10149.999999999998</v>
      </c>
      <c r="T173" s="141">
        <v>1</v>
      </c>
      <c r="U173" s="38">
        <f>H173*$G$6*$G$6</f>
        <v>10302.249999999996</v>
      </c>
      <c r="V173" s="15">
        <v>1</v>
      </c>
      <c r="W173" s="37">
        <f t="shared" ref="W173" si="437">T173*U173*V173</f>
        <v>10302.249999999996</v>
      </c>
      <c r="X173" s="38">
        <v>0</v>
      </c>
      <c r="Y173" s="39">
        <f>SUM(W173:X173)</f>
        <v>10302.249999999996</v>
      </c>
      <c r="Z173" s="141">
        <v>1</v>
      </c>
      <c r="AA173" s="38">
        <f>H173*$G$6*$G$6*$G$6</f>
        <v>10456.783749999995</v>
      </c>
      <c r="AB173" s="15">
        <v>1</v>
      </c>
      <c r="AC173" s="37">
        <f t="shared" ref="AC173" si="438">Z173*AA173*AB173</f>
        <v>10456.783749999995</v>
      </c>
      <c r="AD173" s="38">
        <v>0</v>
      </c>
      <c r="AE173" s="39">
        <f t="shared" ref="AE173" si="439">SUM(AC173:AD173)</f>
        <v>10456.783749999995</v>
      </c>
      <c r="AF173" s="141">
        <v>1</v>
      </c>
      <c r="AG173" s="38">
        <f>H173*$G$6*$G$6*$G$6*$G$6</f>
        <v>10613.635506249993</v>
      </c>
      <c r="AH173" s="15">
        <v>1</v>
      </c>
      <c r="AI173" s="37">
        <f t="shared" ref="AI173" si="440">AF173*AG173*AH173</f>
        <v>10613.635506249993</v>
      </c>
      <c r="AJ173" s="38">
        <v>0</v>
      </c>
      <c r="AK173" s="38">
        <f>SUM(AI173:AJ173)</f>
        <v>10613.635506249993</v>
      </c>
      <c r="AL173" s="40">
        <f>K173+Q173+W173+AC173+AI173</f>
        <v>51522.669256249981</v>
      </c>
      <c r="AM173" s="38">
        <f t="shared" ref="AM173" si="441">L173+R173+X173+AD173+AJ173</f>
        <v>0</v>
      </c>
      <c r="AN173" s="40">
        <f>SUM(AL173:AM173)</f>
        <v>51522.669256249981</v>
      </c>
    </row>
    <row r="174" spans="1:44" x14ac:dyDescent="0.45">
      <c r="A174" s="15" t="s">
        <v>250</v>
      </c>
      <c r="B174" s="1">
        <v>89400</v>
      </c>
      <c r="C174" s="1" t="s">
        <v>57</v>
      </c>
      <c r="D174" s="1" t="s">
        <v>57</v>
      </c>
      <c r="E174" s="1">
        <v>0</v>
      </c>
      <c r="F174" s="65" t="s">
        <v>251</v>
      </c>
      <c r="G174" s="141">
        <v>7</v>
      </c>
      <c r="H174" s="15">
        <v>1300</v>
      </c>
      <c r="I174" s="15">
        <v>1</v>
      </c>
      <c r="J174" s="131" t="s">
        <v>249</v>
      </c>
      <c r="K174" s="37">
        <f>I174*H174*G174</f>
        <v>9100</v>
      </c>
      <c r="L174" s="38">
        <v>0</v>
      </c>
      <c r="M174" s="39">
        <f>SUM(K174:L174)</f>
        <v>9100</v>
      </c>
      <c r="N174" s="141">
        <v>7</v>
      </c>
      <c r="O174" s="38">
        <f>H174*$G$6</f>
        <v>1319.4999999999998</v>
      </c>
      <c r="P174" s="15">
        <v>1</v>
      </c>
      <c r="Q174" s="37">
        <f>N174*O174*P174</f>
        <v>9236.4999999999982</v>
      </c>
      <c r="R174" s="38">
        <v>0</v>
      </c>
      <c r="S174" s="39">
        <f>SUM(Q174:R174)</f>
        <v>9236.4999999999982</v>
      </c>
      <c r="T174" s="141">
        <v>7</v>
      </c>
      <c r="U174" s="38">
        <f>H174*$G$6*$G$6</f>
        <v>1339.2924999999996</v>
      </c>
      <c r="V174" s="15">
        <v>1</v>
      </c>
      <c r="W174" s="37">
        <f t="shared" ref="W174" si="442">T174*U174*V174</f>
        <v>9375.0474999999969</v>
      </c>
      <c r="X174" s="38">
        <v>0</v>
      </c>
      <c r="Y174" s="39">
        <f>SUM(W174:X174)</f>
        <v>9375.0474999999969</v>
      </c>
      <c r="Z174" s="141">
        <v>7</v>
      </c>
      <c r="AA174" s="38">
        <f>H174*$G$6*$G$6*$G$6</f>
        <v>1359.3818874999995</v>
      </c>
      <c r="AB174" s="15">
        <v>1</v>
      </c>
      <c r="AC174" s="37">
        <f t="shared" ref="AC174" si="443">Z174*AA174*AB174</f>
        <v>9515.6732124999962</v>
      </c>
      <c r="AD174" s="38">
        <v>0</v>
      </c>
      <c r="AE174" s="39">
        <f t="shared" ref="AE174" si="444">SUM(AC174:AD174)</f>
        <v>9515.6732124999962</v>
      </c>
      <c r="AF174" s="141">
        <v>7</v>
      </c>
      <c r="AG174" s="38">
        <f>H174*$G$6*$G$6*$G$6*$G$6</f>
        <v>1379.7726158124995</v>
      </c>
      <c r="AH174" s="15">
        <v>1</v>
      </c>
      <c r="AI174" s="37">
        <f t="shared" ref="AI174" si="445">AF174*AG174*AH174</f>
        <v>9658.4083106874969</v>
      </c>
      <c r="AJ174" s="38">
        <v>0</v>
      </c>
      <c r="AK174" s="38">
        <f>SUM(AI174:AJ174)</f>
        <v>9658.4083106874969</v>
      </c>
      <c r="AL174" s="40">
        <f>K174+Q174+W174+AC174+AI174</f>
        <v>46885.629023187488</v>
      </c>
      <c r="AM174" s="38">
        <f t="shared" ref="AM174" si="446">L174+R174+X174+AD174+AJ174</f>
        <v>0</v>
      </c>
      <c r="AN174" s="40">
        <f>SUM(AL174:AM174)</f>
        <v>46885.629023187488</v>
      </c>
    </row>
    <row r="175" spans="1:44" x14ac:dyDescent="0.45">
      <c r="A175" s="15" t="s">
        <v>252</v>
      </c>
      <c r="B175" s="1">
        <v>89400</v>
      </c>
      <c r="C175" s="1" t="s">
        <v>57</v>
      </c>
      <c r="D175" s="1" t="s">
        <v>57</v>
      </c>
      <c r="E175" s="1">
        <v>0</v>
      </c>
      <c r="F175" s="65" t="s">
        <v>253</v>
      </c>
      <c r="G175" s="141">
        <v>1</v>
      </c>
      <c r="H175" s="15">
        <v>275</v>
      </c>
      <c r="I175" s="15">
        <v>12</v>
      </c>
      <c r="J175" s="131" t="s">
        <v>107</v>
      </c>
      <c r="K175" s="37">
        <f>I175*H175*G175</f>
        <v>3300</v>
      </c>
      <c r="L175" s="38">
        <v>0</v>
      </c>
      <c r="M175" s="39">
        <f>SUM(K175:L175)</f>
        <v>3300</v>
      </c>
      <c r="N175" s="141">
        <v>1</v>
      </c>
      <c r="O175" s="38">
        <f>H175*$G$6</f>
        <v>279.125</v>
      </c>
      <c r="P175" s="15">
        <v>12</v>
      </c>
      <c r="Q175" s="37">
        <f>N175*O175*P175</f>
        <v>3349.5</v>
      </c>
      <c r="R175" s="38">
        <v>0</v>
      </c>
      <c r="S175" s="39">
        <f>SUM(Q175:R175)</f>
        <v>3349.5</v>
      </c>
      <c r="T175" s="141">
        <v>1</v>
      </c>
      <c r="U175" s="38">
        <f>H175*$G$6*$G$6</f>
        <v>283.31187499999999</v>
      </c>
      <c r="V175" s="15">
        <v>12</v>
      </c>
      <c r="W175" s="37">
        <f t="shared" ref="W175" si="447">T175*U175*V175</f>
        <v>3399.7424999999998</v>
      </c>
      <c r="X175" s="38">
        <v>0</v>
      </c>
      <c r="Y175" s="39">
        <f>SUM(W175:X175)</f>
        <v>3399.7424999999998</v>
      </c>
      <c r="Z175" s="141">
        <v>1</v>
      </c>
      <c r="AA175" s="38">
        <f>H175*$G$6*$G$6*$G$6</f>
        <v>287.56155312499993</v>
      </c>
      <c r="AB175" s="15">
        <v>12</v>
      </c>
      <c r="AC175" s="37">
        <f t="shared" ref="AC175" si="448">Z175*AA175*AB175</f>
        <v>3450.7386374999992</v>
      </c>
      <c r="AD175" s="38">
        <v>0</v>
      </c>
      <c r="AE175" s="39">
        <f t="shared" ref="AE175" si="449">SUM(AC175:AD175)</f>
        <v>3450.7386374999992</v>
      </c>
      <c r="AF175" s="141">
        <v>1</v>
      </c>
      <c r="AG175" s="38">
        <f>H175*$G$6*$G$6*$G$6*$G$6</f>
        <v>291.87497642187492</v>
      </c>
      <c r="AH175" s="15">
        <v>12</v>
      </c>
      <c r="AI175" s="37">
        <f t="shared" ref="AI175" si="450">AF175*AG175*AH175</f>
        <v>3502.4997170624993</v>
      </c>
      <c r="AJ175" s="38">
        <v>0</v>
      </c>
      <c r="AK175" s="38">
        <f>SUM(AI175:AJ175)</f>
        <v>3502.4997170624993</v>
      </c>
      <c r="AL175" s="40">
        <f>K175+Q175+W175+AC175+AI175</f>
        <v>17002.480854562498</v>
      </c>
      <c r="AM175" s="38">
        <f t="shared" ref="AM175" si="451">L175+R175+X175+AD175+AJ175</f>
        <v>0</v>
      </c>
      <c r="AN175" s="40">
        <f>SUM(AL175:AM175)</f>
        <v>17002.480854562498</v>
      </c>
    </row>
    <row r="176" spans="1:44" x14ac:dyDescent="0.45">
      <c r="A176" s="15" t="s">
        <v>254</v>
      </c>
      <c r="B176" s="1">
        <v>87010</v>
      </c>
      <c r="C176" s="1" t="s">
        <v>57</v>
      </c>
      <c r="D176" s="1" t="s">
        <v>57</v>
      </c>
      <c r="E176" s="1">
        <v>0</v>
      </c>
      <c r="F176" s="65" t="s">
        <v>255</v>
      </c>
      <c r="G176" s="141">
        <v>1</v>
      </c>
      <c r="H176" s="15">
        <v>1500</v>
      </c>
      <c r="I176" s="15">
        <v>1</v>
      </c>
      <c r="J176" s="131" t="s">
        <v>249</v>
      </c>
      <c r="K176" s="37">
        <f>I176*H176*G176</f>
        <v>1500</v>
      </c>
      <c r="L176" s="38">
        <v>0</v>
      </c>
      <c r="M176" s="39">
        <f>SUM(K176:L176)</f>
        <v>1500</v>
      </c>
      <c r="N176" s="141">
        <v>1</v>
      </c>
      <c r="O176" s="38">
        <f>H176*$G$6</f>
        <v>1522.4999999999998</v>
      </c>
      <c r="P176" s="15">
        <v>1</v>
      </c>
      <c r="Q176" s="37">
        <f>N176*O176*P176</f>
        <v>1522.4999999999998</v>
      </c>
      <c r="R176" s="38">
        <v>0</v>
      </c>
      <c r="S176" s="39">
        <f>SUM(Q176:R176)</f>
        <v>1522.4999999999998</v>
      </c>
      <c r="T176" s="141">
        <v>1</v>
      </c>
      <c r="U176" s="38">
        <f t="shared" ref="U176:U177" si="452">H176*$G$6*$G$6</f>
        <v>1545.3374999999996</v>
      </c>
      <c r="V176" s="15">
        <v>1</v>
      </c>
      <c r="W176" s="37">
        <f t="shared" ref="W176" si="453">T176*U176*V176</f>
        <v>1545.3374999999996</v>
      </c>
      <c r="X176" s="38">
        <v>0</v>
      </c>
      <c r="Y176" s="39">
        <f>SUM(W176:X176)</f>
        <v>1545.3374999999996</v>
      </c>
      <c r="Z176" s="141">
        <v>1</v>
      </c>
      <c r="AA176" s="38">
        <f t="shared" ref="AA176:AA177" si="454">H176*$G$6*$G$6*$G$6</f>
        <v>1568.5175624999995</v>
      </c>
      <c r="AB176" s="15">
        <v>1</v>
      </c>
      <c r="AC176" s="37">
        <f t="shared" ref="AC176" si="455">Z176*AA176*AB176</f>
        <v>1568.5175624999995</v>
      </c>
      <c r="AD176" s="38">
        <v>0</v>
      </c>
      <c r="AE176" s="39">
        <f t="shared" ref="AE176:AE189" si="456">SUM(AC176:AD176)</f>
        <v>1568.5175624999995</v>
      </c>
      <c r="AF176" s="141">
        <v>1</v>
      </c>
      <c r="AG176" s="38">
        <f t="shared" ref="AG176:AG177" si="457">H176*$G$6*$G$6*$G$6*$G$6</f>
        <v>1592.0453259374992</v>
      </c>
      <c r="AH176" s="15">
        <v>1</v>
      </c>
      <c r="AI176" s="37">
        <f t="shared" ref="AI176" si="458">AF176*AG176*AH176</f>
        <v>1592.0453259374992</v>
      </c>
      <c r="AJ176" s="38">
        <v>0</v>
      </c>
      <c r="AK176" s="38">
        <f>SUM(AI176:AJ176)</f>
        <v>1592.0453259374992</v>
      </c>
      <c r="AL176" s="40">
        <f t="shared" ref="AL176:AM177" si="459">K176+Q176+W176+AC176+AI176</f>
        <v>7728.4003884374979</v>
      </c>
      <c r="AM176" s="38">
        <f t="shared" si="459"/>
        <v>0</v>
      </c>
      <c r="AN176" s="40">
        <f>SUM(AL176:AM176)</f>
        <v>7728.4003884374979</v>
      </c>
    </row>
    <row r="177" spans="1:44" x14ac:dyDescent="0.45">
      <c r="A177" s="15" t="s">
        <v>256</v>
      </c>
      <c r="B177" s="1">
        <v>90450</v>
      </c>
      <c r="C177" s="1" t="s">
        <v>57</v>
      </c>
      <c r="D177" s="1" t="s">
        <v>57</v>
      </c>
      <c r="E177" s="1">
        <v>0</v>
      </c>
      <c r="F177" s="65" t="s">
        <v>257</v>
      </c>
      <c r="G177" s="141">
        <v>1</v>
      </c>
      <c r="H177" s="15">
        <v>281</v>
      </c>
      <c r="I177" s="15">
        <v>1</v>
      </c>
      <c r="J177" s="131" t="s">
        <v>249</v>
      </c>
      <c r="K177" s="37">
        <f t="shared" ref="K177" si="460">I177*H177*G177</f>
        <v>281</v>
      </c>
      <c r="L177" s="38">
        <v>0</v>
      </c>
      <c r="M177" s="39">
        <f>SUM(K177:L177)</f>
        <v>281</v>
      </c>
      <c r="N177" s="141">
        <v>1</v>
      </c>
      <c r="O177" s="38">
        <f>H177*$G$6</f>
        <v>285.21499999999997</v>
      </c>
      <c r="P177" s="15">
        <v>1</v>
      </c>
      <c r="Q177" s="37">
        <f t="shared" ref="Q177" si="461">N177*O177*P177</f>
        <v>285.21499999999997</v>
      </c>
      <c r="R177" s="38">
        <v>0</v>
      </c>
      <c r="S177" s="39">
        <f t="shared" ref="S177" si="462">SUM(Q177:R177)</f>
        <v>285.21499999999997</v>
      </c>
      <c r="T177" s="141">
        <v>1</v>
      </c>
      <c r="U177" s="38">
        <f t="shared" si="452"/>
        <v>289.49322499999994</v>
      </c>
      <c r="V177" s="15">
        <v>1</v>
      </c>
      <c r="W177" s="37">
        <f t="shared" ref="W177" si="463">T177*U177*V177</f>
        <v>289.49322499999994</v>
      </c>
      <c r="X177" s="38">
        <v>0</v>
      </c>
      <c r="Y177" s="39">
        <f>SUM(W177:X177)</f>
        <v>289.49322499999994</v>
      </c>
      <c r="Z177" s="141">
        <v>1</v>
      </c>
      <c r="AA177" s="38">
        <f t="shared" si="454"/>
        <v>293.8356233749999</v>
      </c>
      <c r="AB177" s="15">
        <v>1</v>
      </c>
      <c r="AC177" s="37">
        <f t="shared" ref="AC177" si="464">Z177*AA177*AB177</f>
        <v>293.8356233749999</v>
      </c>
      <c r="AD177" s="38">
        <v>0</v>
      </c>
      <c r="AE177" s="39">
        <f t="shared" si="456"/>
        <v>293.8356233749999</v>
      </c>
      <c r="AF177" s="141">
        <v>1</v>
      </c>
      <c r="AG177" s="38">
        <f t="shared" si="457"/>
        <v>298.24315772562488</v>
      </c>
      <c r="AH177" s="15">
        <v>1</v>
      </c>
      <c r="AI177" s="37">
        <f t="shared" ref="AI177" si="465">AF177*AG177*AH177</f>
        <v>298.24315772562488</v>
      </c>
      <c r="AJ177" s="38">
        <v>0</v>
      </c>
      <c r="AK177" s="38">
        <f>SUM(AI177:AJ177)</f>
        <v>298.24315772562488</v>
      </c>
      <c r="AL177" s="40">
        <f t="shared" ref="AL177" si="466">K177+Q177+W177+AC177+AI177</f>
        <v>1447.7870061006247</v>
      </c>
      <c r="AM177" s="38">
        <f t="shared" si="459"/>
        <v>0</v>
      </c>
      <c r="AN177" s="40">
        <f>SUM(AL177:AM177)</f>
        <v>1447.7870061006247</v>
      </c>
    </row>
    <row r="178" spans="1:44" s="10" customFormat="1" x14ac:dyDescent="0.45">
      <c r="A178" s="145"/>
      <c r="B178" s="145"/>
      <c r="C178" s="145"/>
      <c r="D178" s="145"/>
      <c r="E178" s="145"/>
      <c r="F178" s="580" t="s">
        <v>258</v>
      </c>
      <c r="G178" s="145"/>
      <c r="H178" s="129"/>
      <c r="I178" s="145"/>
      <c r="J178" s="129"/>
      <c r="K178" s="42">
        <f>SUM(K173:K177)</f>
        <v>24181</v>
      </c>
      <c r="L178" s="42">
        <f t="shared" ref="L178:M178" si="467">SUM(L173:L177)</f>
        <v>0</v>
      </c>
      <c r="M178" s="44">
        <f t="shared" si="467"/>
        <v>24181</v>
      </c>
      <c r="N178" s="145"/>
      <c r="O178" s="43"/>
      <c r="P178" s="129"/>
      <c r="Q178" s="42">
        <f>SUM(Q173:Q177)</f>
        <v>24543.714999999997</v>
      </c>
      <c r="R178" s="42">
        <f t="shared" ref="R178" si="468">SUM(R173:R177)</f>
        <v>0</v>
      </c>
      <c r="S178" s="44">
        <f t="shared" ref="S178" si="469">SUM(S173:S177)</f>
        <v>24543.714999999997</v>
      </c>
      <c r="T178" s="145"/>
      <c r="U178" s="129"/>
      <c r="V178" s="129"/>
      <c r="W178" s="42">
        <f>SUM(W173:W177)</f>
        <v>24911.870724999993</v>
      </c>
      <c r="X178" s="42">
        <f t="shared" ref="X178" si="470">SUM(X173:X177)</f>
        <v>0</v>
      </c>
      <c r="Y178" s="44">
        <f t="shared" ref="Y178" si="471">SUM(Y173:Y177)</f>
        <v>24911.870724999993</v>
      </c>
      <c r="Z178" s="145"/>
      <c r="AA178" s="129"/>
      <c r="AB178" s="129"/>
      <c r="AC178" s="42">
        <f>SUM(AC173:AC177)</f>
        <v>25285.548785874991</v>
      </c>
      <c r="AD178" s="42">
        <f t="shared" ref="AD178" si="472">SUM(AD173:AD177)</f>
        <v>0</v>
      </c>
      <c r="AE178" s="44">
        <f t="shared" ref="AE178" si="473">SUM(AE173:AE177)</f>
        <v>25285.548785874991</v>
      </c>
      <c r="AF178" s="145"/>
      <c r="AG178" s="129"/>
      <c r="AH178" s="129"/>
      <c r="AI178" s="42">
        <f>SUM(AI173:AI177)</f>
        <v>25664.832017663113</v>
      </c>
      <c r="AJ178" s="42">
        <f t="shared" ref="AJ178" si="474">SUM(AJ173:AJ177)</f>
        <v>0</v>
      </c>
      <c r="AK178" s="43">
        <f t="shared" ref="AK178" si="475">SUM(AK173:AK177)</f>
        <v>25664.832017663113</v>
      </c>
      <c r="AL178" s="45">
        <f>SUM(AL173:AL177)</f>
        <v>124586.96652853809</v>
      </c>
      <c r="AM178" s="43">
        <f t="shared" ref="AM178" si="476">SUM(AM173:AM177)</f>
        <v>0</v>
      </c>
      <c r="AN178" s="45">
        <f t="shared" ref="AN178" si="477">SUM(AN173:AN177)</f>
        <v>124586.96652853809</v>
      </c>
      <c r="AO178" s="1"/>
    </row>
    <row r="179" spans="1:44" x14ac:dyDescent="0.45">
      <c r="A179" s="132"/>
      <c r="B179" s="132"/>
      <c r="C179" s="132"/>
      <c r="D179" s="132"/>
      <c r="E179" s="132"/>
      <c r="F179" s="47"/>
      <c r="G179" s="124"/>
      <c r="H179" s="132"/>
      <c r="I179" s="132"/>
      <c r="J179" s="132"/>
      <c r="K179" s="37"/>
      <c r="L179" s="38"/>
      <c r="M179" s="39"/>
      <c r="N179" s="124"/>
      <c r="O179" s="132"/>
      <c r="P179" s="132"/>
      <c r="Q179" s="37"/>
      <c r="R179" s="38"/>
      <c r="S179" s="39"/>
      <c r="T179" s="124"/>
      <c r="U179" s="132"/>
      <c r="V179" s="132"/>
      <c r="W179" s="37"/>
      <c r="X179" s="38"/>
      <c r="Y179" s="39"/>
      <c r="Z179" s="124"/>
      <c r="AA179" s="132"/>
      <c r="AB179" s="132"/>
      <c r="AC179" s="37"/>
      <c r="AD179" s="38"/>
      <c r="AE179" s="39"/>
      <c r="AF179" s="124"/>
      <c r="AG179" s="132"/>
      <c r="AH179" s="132"/>
      <c r="AI179" s="37"/>
      <c r="AJ179" s="38"/>
      <c r="AK179" s="38"/>
      <c r="AL179" s="40"/>
      <c r="AM179" s="38"/>
      <c r="AN179" s="40"/>
    </row>
    <row r="180" spans="1:44" x14ac:dyDescent="0.45">
      <c r="F180" s="47" t="s">
        <v>259</v>
      </c>
      <c r="G180" s="140"/>
      <c r="H180" s="15"/>
      <c r="K180" s="37"/>
      <c r="L180" s="38"/>
      <c r="M180" s="39"/>
      <c r="N180" s="140"/>
      <c r="Q180" s="37"/>
      <c r="R180" s="38"/>
      <c r="S180" s="39"/>
      <c r="T180" s="140"/>
      <c r="W180" s="37"/>
      <c r="X180" s="38"/>
      <c r="Y180" s="39"/>
      <c r="Z180" s="140"/>
      <c r="AC180" s="37"/>
      <c r="AD180" s="38"/>
      <c r="AE180" s="39"/>
      <c r="AF180" s="140"/>
      <c r="AI180" s="37"/>
      <c r="AJ180" s="38"/>
      <c r="AK180" s="38"/>
      <c r="AL180" s="40"/>
      <c r="AM180" s="38"/>
      <c r="AN180" s="40"/>
      <c r="AP180" s="91"/>
      <c r="AQ180" s="91"/>
      <c r="AR180" s="91"/>
    </row>
    <row r="181" spans="1:44" x14ac:dyDescent="0.45">
      <c r="A181" s="15" t="s">
        <v>260</v>
      </c>
      <c r="B181" s="1">
        <v>82100</v>
      </c>
      <c r="C181" s="258" t="s">
        <v>65</v>
      </c>
      <c r="D181" s="258" t="s">
        <v>65</v>
      </c>
      <c r="E181" s="1">
        <v>0</v>
      </c>
      <c r="F181" s="65" t="s">
        <v>261</v>
      </c>
      <c r="G181" s="141">
        <v>1</v>
      </c>
      <c r="H181" s="15">
        <f>(150*12)+2500</f>
        <v>4300</v>
      </c>
      <c r="I181" s="15">
        <v>1</v>
      </c>
      <c r="J181" s="131" t="s">
        <v>249</v>
      </c>
      <c r="K181" s="37">
        <f>I181*H181*G181</f>
        <v>4300</v>
      </c>
      <c r="L181" s="38">
        <v>0</v>
      </c>
      <c r="M181" s="39">
        <f t="shared" ref="M181" si="478">SUM(K181:L181)</f>
        <v>4300</v>
      </c>
      <c r="N181" s="141">
        <v>1</v>
      </c>
      <c r="O181" s="38">
        <f>H181*$G$7</f>
        <v>4429</v>
      </c>
      <c r="P181" s="15">
        <v>1</v>
      </c>
      <c r="Q181" s="37">
        <f>N181*O181*P181</f>
        <v>4429</v>
      </c>
      <c r="R181" s="38">
        <v>0</v>
      </c>
      <c r="S181" s="39">
        <f t="shared" ref="S181" si="479">SUM(Q181:R181)</f>
        <v>4429</v>
      </c>
      <c r="T181" s="141">
        <v>1</v>
      </c>
      <c r="U181" s="38">
        <f>H181*$G$7*$G$7</f>
        <v>4561.87</v>
      </c>
      <c r="V181" s="15">
        <v>1</v>
      </c>
      <c r="W181" s="37">
        <f>V181*U181*T181</f>
        <v>4561.87</v>
      </c>
      <c r="X181" s="38">
        <v>0</v>
      </c>
      <c r="Y181" s="39">
        <f t="shared" ref="Y181" si="480">SUM(W181:X181)</f>
        <v>4561.87</v>
      </c>
      <c r="Z181" s="141">
        <v>1</v>
      </c>
      <c r="AA181" s="38">
        <f>H181*$G$7*$G$7*$G$7</f>
        <v>4698.7260999999999</v>
      </c>
      <c r="AB181" s="15">
        <v>1</v>
      </c>
      <c r="AC181" s="37">
        <f>AB181*AA181*Z181</f>
        <v>4698.7260999999999</v>
      </c>
      <c r="AD181" s="38">
        <v>0</v>
      </c>
      <c r="AE181" s="39">
        <f t="shared" ref="AE181" si="481">SUM(AC181:AD181)</f>
        <v>4698.7260999999999</v>
      </c>
      <c r="AF181" s="141">
        <v>1</v>
      </c>
      <c r="AG181" s="38">
        <f>H181*$G$7*$G$7*$G$7*$G$7</f>
        <v>4839.6878829999996</v>
      </c>
      <c r="AH181" s="15">
        <v>1</v>
      </c>
      <c r="AI181" s="37">
        <f>AH181*AG181*AF181</f>
        <v>4839.6878829999996</v>
      </c>
      <c r="AJ181" s="38">
        <v>0</v>
      </c>
      <c r="AK181" s="38">
        <f t="shared" ref="AK181" si="482">SUM(AI181:AJ181)</f>
        <v>4839.6878829999996</v>
      </c>
      <c r="AL181" s="40">
        <f>K181+Q181+W181+AC181+AI181</f>
        <v>22829.283982999998</v>
      </c>
      <c r="AM181" s="38">
        <f t="shared" ref="AM181:AM182" si="483">L181+R181+X181+AD181+AJ181</f>
        <v>0</v>
      </c>
      <c r="AN181" s="40">
        <f t="shared" ref="AN181:AN182" si="484">SUM(AL181:AM181)</f>
        <v>22829.283982999998</v>
      </c>
    </row>
    <row r="182" spans="1:44" x14ac:dyDescent="0.45">
      <c r="A182" s="15" t="s">
        <v>252</v>
      </c>
      <c r="B182" s="1">
        <v>89400</v>
      </c>
      <c r="C182" s="258" t="s">
        <v>65</v>
      </c>
      <c r="D182" s="258" t="s">
        <v>65</v>
      </c>
      <c r="E182" s="1">
        <v>0</v>
      </c>
      <c r="F182" s="65" t="s">
        <v>262</v>
      </c>
      <c r="G182" s="141">
        <v>1</v>
      </c>
      <c r="H182" s="15">
        <v>170</v>
      </c>
      <c r="I182" s="15">
        <v>6</v>
      </c>
      <c r="J182" s="131" t="s">
        <v>107</v>
      </c>
      <c r="K182" s="37">
        <f t="shared" ref="K182" si="485">I182*H182*G182</f>
        <v>1020</v>
      </c>
      <c r="L182" s="38">
        <v>0</v>
      </c>
      <c r="M182" s="39">
        <f t="shared" ref="M182" si="486">SUM(K182:L182)</f>
        <v>1020</v>
      </c>
      <c r="N182" s="141">
        <v>1</v>
      </c>
      <c r="O182" s="38">
        <f t="shared" ref="O182:O195" si="487">H182*$G$7</f>
        <v>175.1</v>
      </c>
      <c r="P182" s="15">
        <v>12</v>
      </c>
      <c r="Q182" s="37">
        <f t="shared" ref="Q182" si="488">N182*O182*P182</f>
        <v>2101.1999999999998</v>
      </c>
      <c r="R182" s="38">
        <v>0</v>
      </c>
      <c r="S182" s="39">
        <f t="shared" ref="S182" si="489">SUM(Q182:R182)</f>
        <v>2101.1999999999998</v>
      </c>
      <c r="T182" s="141">
        <v>1</v>
      </c>
      <c r="U182" s="38">
        <f t="shared" ref="U182:U195" si="490">H182*$G$7*$G$7</f>
        <v>180.35300000000001</v>
      </c>
      <c r="V182" s="15">
        <v>12</v>
      </c>
      <c r="W182" s="37">
        <f t="shared" ref="W182" si="491">V182*U182*T182</f>
        <v>2164.2359999999999</v>
      </c>
      <c r="X182" s="38">
        <v>0</v>
      </c>
      <c r="Y182" s="39">
        <f t="shared" ref="Y182" si="492">SUM(W182:X182)</f>
        <v>2164.2359999999999</v>
      </c>
      <c r="Z182" s="141">
        <v>1</v>
      </c>
      <c r="AA182" s="38">
        <f t="shared" ref="AA182:AA195" si="493">H182*$G$7*$G$7*$G$7</f>
        <v>185.76359000000002</v>
      </c>
      <c r="AB182" s="15">
        <v>12</v>
      </c>
      <c r="AC182" s="37">
        <f t="shared" ref="AC182" si="494">AB182*AA182*Z182</f>
        <v>2229.1630800000003</v>
      </c>
      <c r="AD182" s="38">
        <v>0</v>
      </c>
      <c r="AE182" s="39">
        <f t="shared" ref="AE182" si="495">SUM(AC182:AD182)</f>
        <v>2229.1630800000003</v>
      </c>
      <c r="AF182" s="141">
        <v>1</v>
      </c>
      <c r="AG182" s="38">
        <f t="shared" ref="AG182:AG195" si="496">H182*$G$7*$G$7*$G$7*$G$7</f>
        <v>191.33649770000002</v>
      </c>
      <c r="AH182" s="15">
        <v>9</v>
      </c>
      <c r="AI182" s="37">
        <f t="shared" ref="AI182" si="497">AH182*AG182*AF182</f>
        <v>1722.0284793000003</v>
      </c>
      <c r="AJ182" s="38">
        <v>0</v>
      </c>
      <c r="AK182" s="38">
        <f t="shared" ref="AK182" si="498">SUM(AI182:AJ182)</f>
        <v>1722.0284793000003</v>
      </c>
      <c r="AL182" s="40">
        <f t="shared" ref="AL182" si="499">K182+Q182+W182+AC182+AI182</f>
        <v>9236.6275593000009</v>
      </c>
      <c r="AM182" s="38">
        <f t="shared" si="483"/>
        <v>0</v>
      </c>
      <c r="AN182" s="40">
        <f t="shared" si="484"/>
        <v>9236.6275593000009</v>
      </c>
    </row>
    <row r="183" spans="1:44" x14ac:dyDescent="0.45">
      <c r="A183" s="15" t="s">
        <v>263</v>
      </c>
      <c r="B183" s="1">
        <v>82350</v>
      </c>
      <c r="C183" s="258" t="s">
        <v>65</v>
      </c>
      <c r="D183" s="258" t="s">
        <v>65</v>
      </c>
      <c r="E183" s="1">
        <v>0</v>
      </c>
      <c r="F183" s="65" t="s">
        <v>264</v>
      </c>
      <c r="G183" s="141">
        <v>3</v>
      </c>
      <c r="H183" s="15">
        <v>25</v>
      </c>
      <c r="I183" s="15">
        <v>6</v>
      </c>
      <c r="J183" s="131" t="s">
        <v>107</v>
      </c>
      <c r="K183" s="37">
        <f t="shared" ref="K183:K195" si="500">I183*H183*G183</f>
        <v>450</v>
      </c>
      <c r="L183" s="38">
        <v>0</v>
      </c>
      <c r="M183" s="39">
        <f t="shared" ref="M183" si="501">SUM(K183:L183)</f>
        <v>450</v>
      </c>
      <c r="N183" s="141">
        <v>3</v>
      </c>
      <c r="O183" s="38">
        <f t="shared" si="487"/>
        <v>25.75</v>
      </c>
      <c r="P183" s="15">
        <v>12</v>
      </c>
      <c r="Q183" s="37">
        <f t="shared" ref="Q183:Q195" si="502">N183*O183*P183</f>
        <v>927</v>
      </c>
      <c r="R183" s="38">
        <v>0</v>
      </c>
      <c r="S183" s="39">
        <f t="shared" ref="S183" si="503">SUM(Q183:R183)</f>
        <v>927</v>
      </c>
      <c r="T183" s="141">
        <v>3</v>
      </c>
      <c r="U183" s="38">
        <f t="shared" si="490"/>
        <v>26.522500000000001</v>
      </c>
      <c r="V183" s="15">
        <v>12</v>
      </c>
      <c r="W183" s="37">
        <f t="shared" ref="W183:W195" si="504">V183*U183*T183</f>
        <v>954.81</v>
      </c>
      <c r="X183" s="38">
        <v>0</v>
      </c>
      <c r="Y183" s="39">
        <f t="shared" ref="Y183" si="505">SUM(W183:X183)</f>
        <v>954.81</v>
      </c>
      <c r="Z183" s="141">
        <v>3</v>
      </c>
      <c r="AA183" s="38">
        <f t="shared" si="493"/>
        <v>27.318175</v>
      </c>
      <c r="AB183" s="15">
        <v>12</v>
      </c>
      <c r="AC183" s="37">
        <f t="shared" ref="AC183:AC194" si="506">AB183*AA183*Z183</f>
        <v>983.4543000000001</v>
      </c>
      <c r="AD183" s="38">
        <v>0</v>
      </c>
      <c r="AE183" s="39">
        <f t="shared" ref="AE183" si="507">SUM(AC183:AD183)</f>
        <v>983.4543000000001</v>
      </c>
      <c r="AF183" s="141">
        <v>3</v>
      </c>
      <c r="AG183" s="38">
        <f t="shared" si="496"/>
        <v>28.137720250000001</v>
      </c>
      <c r="AH183" s="15">
        <v>9</v>
      </c>
      <c r="AI183" s="37">
        <f t="shared" ref="AI183:AI195" si="508">AH183*AG183*AF183</f>
        <v>759.71844675</v>
      </c>
      <c r="AJ183" s="38">
        <v>0</v>
      </c>
      <c r="AK183" s="38">
        <f t="shared" ref="AK183" si="509">SUM(AI183:AJ183)</f>
        <v>759.71844675</v>
      </c>
      <c r="AL183" s="40">
        <f t="shared" ref="AL183" si="510">K183+Q183+W183+AC183+AI183</f>
        <v>4074.9827467499999</v>
      </c>
      <c r="AM183" s="38">
        <f t="shared" ref="AM183" si="511">L183+R183+X183+AD183+AJ183</f>
        <v>0</v>
      </c>
      <c r="AN183" s="40">
        <f t="shared" ref="AN183" si="512">SUM(AL183:AM183)</f>
        <v>4074.9827467499999</v>
      </c>
    </row>
    <row r="184" spans="1:44" x14ac:dyDescent="0.45">
      <c r="A184" s="15" t="s">
        <v>265</v>
      </c>
      <c r="B184" s="1">
        <v>90900</v>
      </c>
      <c r="C184" s="258" t="s">
        <v>65</v>
      </c>
      <c r="D184" s="258" t="s">
        <v>65</v>
      </c>
      <c r="E184" s="1">
        <v>0</v>
      </c>
      <c r="F184" s="65" t="s">
        <v>266</v>
      </c>
      <c r="G184" s="141">
        <v>1</v>
      </c>
      <c r="H184" s="15">
        <v>300</v>
      </c>
      <c r="I184" s="15">
        <v>6</v>
      </c>
      <c r="J184" s="131" t="s">
        <v>107</v>
      </c>
      <c r="K184" s="37">
        <f t="shared" si="500"/>
        <v>1800</v>
      </c>
      <c r="L184" s="38">
        <v>0</v>
      </c>
      <c r="M184" s="39">
        <f t="shared" ref="M184" si="513">SUM(K184:L184)</f>
        <v>1800</v>
      </c>
      <c r="N184" s="141">
        <v>1</v>
      </c>
      <c r="O184" s="38">
        <f t="shared" si="487"/>
        <v>309</v>
      </c>
      <c r="P184" s="15">
        <v>12</v>
      </c>
      <c r="Q184" s="37">
        <f t="shared" si="502"/>
        <v>3708</v>
      </c>
      <c r="R184" s="38">
        <v>0</v>
      </c>
      <c r="S184" s="39">
        <f t="shared" ref="S184" si="514">SUM(Q184:R184)</f>
        <v>3708</v>
      </c>
      <c r="T184" s="141">
        <v>1</v>
      </c>
      <c r="U184" s="38">
        <f t="shared" si="490"/>
        <v>318.27</v>
      </c>
      <c r="V184" s="15">
        <v>12</v>
      </c>
      <c r="W184" s="37">
        <f t="shared" si="504"/>
        <v>3819.24</v>
      </c>
      <c r="X184" s="38">
        <v>0</v>
      </c>
      <c r="Y184" s="39">
        <f t="shared" ref="Y184" si="515">SUM(W184:X184)</f>
        <v>3819.24</v>
      </c>
      <c r="Z184" s="141">
        <v>1</v>
      </c>
      <c r="AA184" s="38">
        <f t="shared" si="493"/>
        <v>327.81810000000002</v>
      </c>
      <c r="AB184" s="15">
        <v>12</v>
      </c>
      <c r="AC184" s="37">
        <f t="shared" si="506"/>
        <v>3933.8172000000004</v>
      </c>
      <c r="AD184" s="38">
        <v>0</v>
      </c>
      <c r="AE184" s="39">
        <f t="shared" ref="AE184" si="516">SUM(AC184:AD184)</f>
        <v>3933.8172000000004</v>
      </c>
      <c r="AF184" s="141">
        <v>1</v>
      </c>
      <c r="AG184" s="38">
        <f t="shared" si="496"/>
        <v>337.65264300000001</v>
      </c>
      <c r="AH184" s="15">
        <v>9</v>
      </c>
      <c r="AI184" s="37">
        <f t="shared" si="508"/>
        <v>3038.873787</v>
      </c>
      <c r="AJ184" s="38">
        <v>0</v>
      </c>
      <c r="AK184" s="38">
        <f t="shared" ref="AK184" si="517">SUM(AI184:AJ184)</f>
        <v>3038.873787</v>
      </c>
      <c r="AL184" s="40">
        <f t="shared" ref="AL184" si="518">K184+Q184+W184+AC184+AI184</f>
        <v>16299.930987</v>
      </c>
      <c r="AM184" s="38">
        <f t="shared" ref="AM184" si="519">L184+R184+X184+AD184+AJ184</f>
        <v>0</v>
      </c>
      <c r="AN184" s="40">
        <f t="shared" ref="AN184" si="520">SUM(AL184:AM184)</f>
        <v>16299.930987</v>
      </c>
    </row>
    <row r="185" spans="1:44" x14ac:dyDescent="0.45">
      <c r="A185" s="15" t="s">
        <v>256</v>
      </c>
      <c r="B185" s="1">
        <v>90450</v>
      </c>
      <c r="C185" s="258" t="s">
        <v>65</v>
      </c>
      <c r="D185" s="258" t="s">
        <v>65</v>
      </c>
      <c r="E185" s="1">
        <v>0</v>
      </c>
      <c r="F185" s="65" t="s">
        <v>267</v>
      </c>
      <c r="G185" s="141">
        <v>1</v>
      </c>
      <c r="H185" s="15">
        <v>500</v>
      </c>
      <c r="I185" s="15">
        <v>1</v>
      </c>
      <c r="J185" s="131" t="s">
        <v>249</v>
      </c>
      <c r="K185" s="37">
        <f t="shared" si="500"/>
        <v>500</v>
      </c>
      <c r="L185" s="38">
        <v>0</v>
      </c>
      <c r="M185" s="39">
        <f t="shared" ref="M185" si="521">SUM(K185:L185)</f>
        <v>500</v>
      </c>
      <c r="N185" s="141">
        <v>1</v>
      </c>
      <c r="O185" s="38">
        <f t="shared" si="487"/>
        <v>515</v>
      </c>
      <c r="P185" s="15">
        <v>1</v>
      </c>
      <c r="Q185" s="37">
        <f t="shared" si="502"/>
        <v>515</v>
      </c>
      <c r="R185" s="38">
        <v>0</v>
      </c>
      <c r="S185" s="39">
        <f t="shared" ref="S185" si="522">SUM(Q185:R185)</f>
        <v>515</v>
      </c>
      <c r="T185" s="141">
        <v>1</v>
      </c>
      <c r="U185" s="38">
        <f t="shared" si="490"/>
        <v>530.45000000000005</v>
      </c>
      <c r="V185" s="15">
        <v>1</v>
      </c>
      <c r="W185" s="37">
        <f t="shared" si="504"/>
        <v>530.45000000000005</v>
      </c>
      <c r="X185" s="38">
        <v>0</v>
      </c>
      <c r="Y185" s="39">
        <f t="shared" ref="Y185" si="523">SUM(W185:X185)</f>
        <v>530.45000000000005</v>
      </c>
      <c r="Z185" s="141">
        <v>1</v>
      </c>
      <c r="AA185" s="38">
        <f t="shared" si="493"/>
        <v>546.36350000000004</v>
      </c>
      <c r="AB185" s="15">
        <v>1</v>
      </c>
      <c r="AC185" s="37">
        <f t="shared" si="506"/>
        <v>546.36350000000004</v>
      </c>
      <c r="AD185" s="38">
        <v>0</v>
      </c>
      <c r="AE185" s="39">
        <f t="shared" ref="AE185" si="524">SUM(AC185:AD185)</f>
        <v>546.36350000000004</v>
      </c>
      <c r="AF185" s="141">
        <v>1</v>
      </c>
      <c r="AG185" s="38">
        <f t="shared" si="496"/>
        <v>562.75440500000002</v>
      </c>
      <c r="AH185" s="15">
        <v>1</v>
      </c>
      <c r="AI185" s="37">
        <f t="shared" si="508"/>
        <v>562.75440500000002</v>
      </c>
      <c r="AJ185" s="38">
        <v>0</v>
      </c>
      <c r="AK185" s="38">
        <f t="shared" ref="AK185" si="525">SUM(AI185:AJ185)</f>
        <v>562.75440500000002</v>
      </c>
      <c r="AL185" s="40">
        <f t="shared" ref="AL185" si="526">K185+Q185+W185+AC185+AI185</f>
        <v>2654.5679050000003</v>
      </c>
      <c r="AM185" s="38">
        <f t="shared" ref="AM185" si="527">L185+R185+X185+AD185+AJ185</f>
        <v>0</v>
      </c>
      <c r="AN185" s="40">
        <f t="shared" ref="AN185" si="528">SUM(AL185:AM185)</f>
        <v>2654.5679050000003</v>
      </c>
    </row>
    <row r="186" spans="1:44" x14ac:dyDescent="0.45">
      <c r="A186" s="15" t="s">
        <v>268</v>
      </c>
      <c r="B186" s="1">
        <v>85105</v>
      </c>
      <c r="C186" s="258" t="s">
        <v>65</v>
      </c>
      <c r="D186" s="258" t="s">
        <v>65</v>
      </c>
      <c r="E186" s="1">
        <v>0</v>
      </c>
      <c r="F186" s="65" t="s">
        <v>269</v>
      </c>
      <c r="G186" s="141">
        <v>3</v>
      </c>
      <c r="H186" s="15">
        <v>350</v>
      </c>
      <c r="I186" s="15">
        <v>6</v>
      </c>
      <c r="J186" s="131" t="s">
        <v>107</v>
      </c>
      <c r="K186" s="37">
        <f t="shared" si="500"/>
        <v>6300</v>
      </c>
      <c r="L186" s="38">
        <v>0</v>
      </c>
      <c r="M186" s="39">
        <f t="shared" ref="M186" si="529">SUM(K186:L186)</f>
        <v>6300</v>
      </c>
      <c r="N186" s="141">
        <v>3</v>
      </c>
      <c r="O186" s="38">
        <f t="shared" si="487"/>
        <v>360.5</v>
      </c>
      <c r="P186" s="15">
        <v>12</v>
      </c>
      <c r="Q186" s="37">
        <f t="shared" si="502"/>
        <v>12978</v>
      </c>
      <c r="R186" s="38">
        <v>0</v>
      </c>
      <c r="S186" s="39">
        <f t="shared" ref="S186" si="530">SUM(Q186:R186)</f>
        <v>12978</v>
      </c>
      <c r="T186" s="141">
        <v>3</v>
      </c>
      <c r="U186" s="38">
        <f t="shared" si="490"/>
        <v>371.315</v>
      </c>
      <c r="V186" s="15">
        <v>12</v>
      </c>
      <c r="W186" s="37">
        <f t="shared" si="504"/>
        <v>13367.34</v>
      </c>
      <c r="X186" s="38">
        <v>0</v>
      </c>
      <c r="Y186" s="39">
        <f t="shared" ref="Y186" si="531">SUM(W186:X186)</f>
        <v>13367.34</v>
      </c>
      <c r="Z186" s="141">
        <v>3</v>
      </c>
      <c r="AA186" s="38">
        <f t="shared" si="493"/>
        <v>382.45445000000001</v>
      </c>
      <c r="AB186" s="15">
        <v>12</v>
      </c>
      <c r="AC186" s="37">
        <f t="shared" si="506"/>
        <v>13768.360200000001</v>
      </c>
      <c r="AD186" s="38">
        <v>0</v>
      </c>
      <c r="AE186" s="39">
        <f t="shared" ref="AE186" si="532">SUM(AC186:AD186)</f>
        <v>13768.360200000001</v>
      </c>
      <c r="AF186" s="141">
        <v>3</v>
      </c>
      <c r="AG186" s="38">
        <f t="shared" si="496"/>
        <v>393.92808350000001</v>
      </c>
      <c r="AH186" s="15">
        <v>9</v>
      </c>
      <c r="AI186" s="37">
        <f t="shared" si="508"/>
        <v>10636.0582545</v>
      </c>
      <c r="AJ186" s="38">
        <v>0</v>
      </c>
      <c r="AK186" s="38">
        <f t="shared" ref="AK186" si="533">SUM(AI186:AJ186)</f>
        <v>10636.0582545</v>
      </c>
      <c r="AL186" s="40">
        <f t="shared" ref="AL186" si="534">K186+Q186+W186+AC186+AI186</f>
        <v>57049.758454499999</v>
      </c>
      <c r="AM186" s="38">
        <f t="shared" ref="AM186" si="535">L186+R186+X186+AD186+AJ186</f>
        <v>0</v>
      </c>
      <c r="AN186" s="40">
        <f t="shared" ref="AN186" si="536">SUM(AL186:AM186)</f>
        <v>57049.758454499999</v>
      </c>
    </row>
    <row r="187" spans="1:44" x14ac:dyDescent="0.45">
      <c r="A187" s="15" t="s">
        <v>270</v>
      </c>
      <c r="B187" s="1" t="s">
        <v>271</v>
      </c>
      <c r="C187" s="258" t="s">
        <v>65</v>
      </c>
      <c r="D187" s="258" t="s">
        <v>65</v>
      </c>
      <c r="E187" s="1">
        <v>0</v>
      </c>
      <c r="F187" s="65" t="s">
        <v>272</v>
      </c>
      <c r="G187" s="141">
        <v>3</v>
      </c>
      <c r="H187" s="15">
        <v>300</v>
      </c>
      <c r="I187" s="15">
        <v>6</v>
      </c>
      <c r="J187" s="131" t="s">
        <v>107</v>
      </c>
      <c r="K187" s="37">
        <f t="shared" si="500"/>
        <v>5400</v>
      </c>
      <c r="L187" s="38">
        <v>0</v>
      </c>
      <c r="M187" s="39">
        <f t="shared" ref="M187:M188" si="537">SUM(K187:L187)</f>
        <v>5400</v>
      </c>
      <c r="N187" s="141">
        <v>3</v>
      </c>
      <c r="O187" s="38">
        <f t="shared" si="487"/>
        <v>309</v>
      </c>
      <c r="P187" s="15">
        <v>12</v>
      </c>
      <c r="Q187" s="37">
        <f t="shared" si="502"/>
        <v>11124</v>
      </c>
      <c r="R187" s="38">
        <v>0</v>
      </c>
      <c r="S187" s="39">
        <f t="shared" ref="S187:S188" si="538">SUM(Q187:R187)</f>
        <v>11124</v>
      </c>
      <c r="T187" s="141">
        <v>3</v>
      </c>
      <c r="U187" s="38">
        <f t="shared" si="490"/>
        <v>318.27</v>
      </c>
      <c r="V187" s="15">
        <v>12</v>
      </c>
      <c r="W187" s="37">
        <f t="shared" si="504"/>
        <v>11457.72</v>
      </c>
      <c r="X187" s="38">
        <v>0</v>
      </c>
      <c r="Y187" s="39">
        <f t="shared" ref="Y187:Y188" si="539">SUM(W187:X187)</f>
        <v>11457.72</v>
      </c>
      <c r="Z187" s="141">
        <v>3</v>
      </c>
      <c r="AA187" s="38">
        <f t="shared" si="493"/>
        <v>327.81810000000002</v>
      </c>
      <c r="AB187" s="15">
        <v>12</v>
      </c>
      <c r="AC187" s="37">
        <f t="shared" si="506"/>
        <v>11801.4516</v>
      </c>
      <c r="AD187" s="38">
        <v>0</v>
      </c>
      <c r="AE187" s="39">
        <f t="shared" ref="AE187:AE188" si="540">SUM(AC187:AD187)</f>
        <v>11801.4516</v>
      </c>
      <c r="AF187" s="141">
        <v>3</v>
      </c>
      <c r="AG187" s="38">
        <f t="shared" si="496"/>
        <v>337.65264300000001</v>
      </c>
      <c r="AH187" s="15">
        <v>9</v>
      </c>
      <c r="AI187" s="37">
        <f t="shared" si="508"/>
        <v>9116.6213609999995</v>
      </c>
      <c r="AJ187" s="38">
        <v>0</v>
      </c>
      <c r="AK187" s="38">
        <f t="shared" ref="AK187" si="541">SUM(AI187:AJ187)</f>
        <v>9116.6213609999995</v>
      </c>
      <c r="AL187" s="40">
        <f t="shared" ref="AL187:AL188" si="542">K187+Q187+W187+AC187+AI187</f>
        <v>48899.792960999999</v>
      </c>
      <c r="AM187" s="38">
        <f t="shared" ref="AM187:AM188" si="543">L187+R187+X187+AD187+AJ187</f>
        <v>0</v>
      </c>
      <c r="AN187" s="40">
        <f t="shared" ref="AN187:AN188" si="544">SUM(AL187:AM187)</f>
        <v>48899.792960999999</v>
      </c>
    </row>
    <row r="188" spans="1:44" x14ac:dyDescent="0.45">
      <c r="A188" s="15" t="s">
        <v>273</v>
      </c>
      <c r="B188" s="1">
        <v>89500</v>
      </c>
      <c r="C188" s="258" t="s">
        <v>65</v>
      </c>
      <c r="D188" s="258" t="s">
        <v>65</v>
      </c>
      <c r="E188" s="1">
        <v>0</v>
      </c>
      <c r="F188" s="65" t="s">
        <v>274</v>
      </c>
      <c r="G188" s="141">
        <v>3</v>
      </c>
      <c r="H188" s="15">
        <v>500</v>
      </c>
      <c r="I188" s="15">
        <v>1</v>
      </c>
      <c r="J188" s="131" t="s">
        <v>249</v>
      </c>
      <c r="K188" s="37">
        <f t="shared" ref="K188" si="545">I188*H188*G188</f>
        <v>1500</v>
      </c>
      <c r="L188" s="38">
        <v>0</v>
      </c>
      <c r="M188" s="39">
        <f t="shared" si="537"/>
        <v>1500</v>
      </c>
      <c r="N188" s="141">
        <v>3</v>
      </c>
      <c r="O188" s="38">
        <f t="shared" ref="O188" si="546">H188*$G$7</f>
        <v>515</v>
      </c>
      <c r="P188" s="15">
        <v>1</v>
      </c>
      <c r="Q188" s="37">
        <f t="shared" ref="Q188" si="547">N188*O188*P188</f>
        <v>1545</v>
      </c>
      <c r="R188" s="38">
        <v>0</v>
      </c>
      <c r="S188" s="39">
        <f t="shared" si="538"/>
        <v>1545</v>
      </c>
      <c r="T188" s="141">
        <v>3</v>
      </c>
      <c r="U188" s="38">
        <f t="shared" ref="U188" si="548">H188*$G$7*$G$7</f>
        <v>530.45000000000005</v>
      </c>
      <c r="V188" s="15">
        <v>1</v>
      </c>
      <c r="W188" s="37">
        <f t="shared" ref="W188" si="549">V188*U188*T188</f>
        <v>1591.3500000000001</v>
      </c>
      <c r="X188" s="38">
        <v>0</v>
      </c>
      <c r="Y188" s="39">
        <f t="shared" si="539"/>
        <v>1591.3500000000001</v>
      </c>
      <c r="Z188" s="141">
        <v>3</v>
      </c>
      <c r="AA188" s="38">
        <f t="shared" ref="AA188" si="550">H188*$G$7*$G$7*$G$7</f>
        <v>546.36350000000004</v>
      </c>
      <c r="AB188" s="15">
        <v>1</v>
      </c>
      <c r="AC188" s="37">
        <f t="shared" ref="AC188" si="551">AB188*AA188*Z188</f>
        <v>1639.0905000000002</v>
      </c>
      <c r="AD188" s="38">
        <v>0</v>
      </c>
      <c r="AE188" s="39">
        <f t="shared" si="540"/>
        <v>1639.0905000000002</v>
      </c>
      <c r="AF188" s="141">
        <v>3</v>
      </c>
      <c r="AG188" s="38">
        <f t="shared" ref="AG188" si="552">H188*$G$7*$G$7*$G$7*$G$7</f>
        <v>562.75440500000002</v>
      </c>
      <c r="AH188" s="15">
        <v>1</v>
      </c>
      <c r="AI188" s="37">
        <f t="shared" ref="AI188" si="553">AH188*AG188*AF188</f>
        <v>1688.2632149999999</v>
      </c>
      <c r="AJ188" s="38">
        <v>0</v>
      </c>
      <c r="AK188" s="38">
        <f t="shared" ref="AK188" si="554">SUM(AI188:AJ188)</f>
        <v>1688.2632149999999</v>
      </c>
      <c r="AL188" s="40">
        <f t="shared" si="542"/>
        <v>7963.7037150000006</v>
      </c>
      <c r="AM188" s="38">
        <f t="shared" si="543"/>
        <v>0</v>
      </c>
      <c r="AN188" s="40">
        <f t="shared" si="544"/>
        <v>7963.7037150000006</v>
      </c>
    </row>
    <row r="189" spans="1:44" x14ac:dyDescent="0.45">
      <c r="A189" s="15" t="s">
        <v>254</v>
      </c>
      <c r="B189" s="1">
        <v>87010</v>
      </c>
      <c r="C189" s="258" t="s">
        <v>65</v>
      </c>
      <c r="D189" s="258" t="s">
        <v>65</v>
      </c>
      <c r="E189" s="1">
        <v>0</v>
      </c>
      <c r="F189" s="65" t="s">
        <v>275</v>
      </c>
      <c r="G189" s="141">
        <v>1</v>
      </c>
      <c r="H189" s="15">
        <v>400</v>
      </c>
      <c r="I189" s="15">
        <v>6</v>
      </c>
      <c r="J189" s="131" t="s">
        <v>107</v>
      </c>
      <c r="K189" s="37">
        <f t="shared" si="500"/>
        <v>2400</v>
      </c>
      <c r="L189" s="38">
        <v>0</v>
      </c>
      <c r="M189" s="39">
        <f t="shared" ref="M189:M192" si="555">SUM(K189:L189)</f>
        <v>2400</v>
      </c>
      <c r="N189" s="141">
        <v>1</v>
      </c>
      <c r="O189" s="38">
        <f t="shared" si="487"/>
        <v>412</v>
      </c>
      <c r="P189" s="15">
        <v>12</v>
      </c>
      <c r="Q189" s="37">
        <f t="shared" si="502"/>
        <v>4944</v>
      </c>
      <c r="R189" s="38">
        <v>0</v>
      </c>
      <c r="S189" s="39">
        <f t="shared" ref="S189" si="556">SUM(Q189:R189)</f>
        <v>4944</v>
      </c>
      <c r="T189" s="141">
        <v>1</v>
      </c>
      <c r="U189" s="38">
        <f t="shared" si="490"/>
        <v>424.36</v>
      </c>
      <c r="V189" s="15">
        <v>12</v>
      </c>
      <c r="W189" s="37">
        <f t="shared" si="504"/>
        <v>5092.32</v>
      </c>
      <c r="X189" s="38">
        <v>0</v>
      </c>
      <c r="Y189" s="39">
        <f t="shared" ref="Y189:Y192" si="557">SUM(W189:X189)</f>
        <v>5092.32</v>
      </c>
      <c r="Z189" s="141">
        <v>1</v>
      </c>
      <c r="AA189" s="38">
        <f t="shared" si="493"/>
        <v>437.0908</v>
      </c>
      <c r="AB189" s="15">
        <v>12</v>
      </c>
      <c r="AC189" s="37">
        <f t="shared" si="506"/>
        <v>5245.0896000000002</v>
      </c>
      <c r="AD189" s="38">
        <v>0</v>
      </c>
      <c r="AE189" s="39">
        <f t="shared" si="456"/>
        <v>5245.0896000000002</v>
      </c>
      <c r="AF189" s="141">
        <v>1</v>
      </c>
      <c r="AG189" s="38">
        <f t="shared" si="496"/>
        <v>450.20352400000002</v>
      </c>
      <c r="AH189" s="15">
        <v>9</v>
      </c>
      <c r="AI189" s="37">
        <f t="shared" si="508"/>
        <v>4051.8317160000001</v>
      </c>
      <c r="AJ189" s="38">
        <v>0</v>
      </c>
      <c r="AK189" s="38">
        <f t="shared" ref="AK189:AK192" si="558">SUM(AI189:AJ189)</f>
        <v>4051.8317160000001</v>
      </c>
      <c r="AL189" s="40">
        <f t="shared" ref="AL189:AM192" si="559">K189+Q189+W189+AC189+AI189</f>
        <v>21733.241316</v>
      </c>
      <c r="AM189" s="38">
        <f t="shared" si="559"/>
        <v>0</v>
      </c>
      <c r="AN189" s="40">
        <f t="shared" ref="AN189:AN192" si="560">SUM(AL189:AM189)</f>
        <v>21733.241316</v>
      </c>
    </row>
    <row r="190" spans="1:44" x14ac:dyDescent="0.45">
      <c r="A190" s="15" t="s">
        <v>276</v>
      </c>
      <c r="B190" s="1">
        <v>82030</v>
      </c>
      <c r="C190" s="258" t="s">
        <v>222</v>
      </c>
      <c r="D190" s="258" t="s">
        <v>222</v>
      </c>
      <c r="E190" s="1">
        <v>0</v>
      </c>
      <c r="F190" s="65" t="s">
        <v>277</v>
      </c>
      <c r="G190" s="141">
        <v>3</v>
      </c>
      <c r="H190" s="15">
        <v>400</v>
      </c>
      <c r="I190" s="15">
        <v>6</v>
      </c>
      <c r="J190" s="131" t="s">
        <v>107</v>
      </c>
      <c r="K190" s="37">
        <f t="shared" si="500"/>
        <v>7200</v>
      </c>
      <c r="L190" s="38">
        <v>0</v>
      </c>
      <c r="M190" s="274">
        <f t="shared" si="555"/>
        <v>7200</v>
      </c>
      <c r="N190" s="272">
        <v>3</v>
      </c>
      <c r="O190" s="38">
        <f t="shared" si="487"/>
        <v>412</v>
      </c>
      <c r="P190" s="15">
        <v>12</v>
      </c>
      <c r="Q190" s="37">
        <f t="shared" si="502"/>
        <v>14832</v>
      </c>
      <c r="R190" s="38">
        <v>0</v>
      </c>
      <c r="S190" s="39">
        <f t="shared" ref="S190:S192" si="561">SUM(Q190:R190)</f>
        <v>14832</v>
      </c>
      <c r="T190" s="141">
        <v>3</v>
      </c>
      <c r="U190" s="38">
        <f t="shared" si="490"/>
        <v>424.36</v>
      </c>
      <c r="V190" s="15">
        <v>12</v>
      </c>
      <c r="W190" s="37">
        <f t="shared" si="504"/>
        <v>15276.96</v>
      </c>
      <c r="X190" s="38">
        <v>0</v>
      </c>
      <c r="Y190" s="39">
        <f t="shared" si="557"/>
        <v>15276.96</v>
      </c>
      <c r="Z190" s="141">
        <v>3</v>
      </c>
      <c r="AA190" s="38">
        <f t="shared" si="493"/>
        <v>437.0908</v>
      </c>
      <c r="AB190" s="15">
        <v>12</v>
      </c>
      <c r="AC190" s="37">
        <f t="shared" si="506"/>
        <v>15735.268800000002</v>
      </c>
      <c r="AD190" s="38">
        <v>0</v>
      </c>
      <c r="AE190" s="39">
        <f t="shared" ref="AE190:AE192" si="562">SUM(AC190:AD190)</f>
        <v>15735.268800000002</v>
      </c>
      <c r="AF190" s="141">
        <v>3</v>
      </c>
      <c r="AG190" s="38">
        <f t="shared" si="496"/>
        <v>450.20352400000002</v>
      </c>
      <c r="AH190" s="15">
        <v>9</v>
      </c>
      <c r="AI190" s="37">
        <f t="shared" si="508"/>
        <v>12155.495148</v>
      </c>
      <c r="AJ190" s="38">
        <v>0</v>
      </c>
      <c r="AK190" s="38">
        <f t="shared" si="558"/>
        <v>12155.495148</v>
      </c>
      <c r="AL190" s="40">
        <f t="shared" si="559"/>
        <v>65199.723947999999</v>
      </c>
      <c r="AM190" s="38">
        <f t="shared" si="559"/>
        <v>0</v>
      </c>
      <c r="AN190" s="40">
        <f t="shared" si="560"/>
        <v>65199.723947999999</v>
      </c>
    </row>
    <row r="191" spans="1:44" x14ac:dyDescent="0.45">
      <c r="A191" s="15" t="s">
        <v>278</v>
      </c>
      <c r="B191" s="1">
        <v>85180</v>
      </c>
      <c r="C191" s="258" t="s">
        <v>65</v>
      </c>
      <c r="D191" s="258" t="s">
        <v>65</v>
      </c>
      <c r="E191" s="1">
        <v>0</v>
      </c>
      <c r="F191" s="65" t="s">
        <v>279</v>
      </c>
      <c r="G191" s="141">
        <v>1</v>
      </c>
      <c r="H191" s="15">
        <v>2500</v>
      </c>
      <c r="I191" s="15">
        <v>6</v>
      </c>
      <c r="J191" s="131" t="s">
        <v>107</v>
      </c>
      <c r="K191" s="37">
        <f t="shared" si="500"/>
        <v>15000</v>
      </c>
      <c r="L191" s="38">
        <v>0</v>
      </c>
      <c r="M191" s="274">
        <f t="shared" si="555"/>
        <v>15000</v>
      </c>
      <c r="N191" s="272">
        <v>1</v>
      </c>
      <c r="O191" s="38">
        <f t="shared" si="487"/>
        <v>2575</v>
      </c>
      <c r="P191" s="15">
        <v>12</v>
      </c>
      <c r="Q191" s="37">
        <f t="shared" si="502"/>
        <v>30900</v>
      </c>
      <c r="R191" s="38">
        <v>0</v>
      </c>
      <c r="S191" s="39">
        <f t="shared" si="561"/>
        <v>30900</v>
      </c>
      <c r="T191" s="141">
        <v>1</v>
      </c>
      <c r="U191" s="38">
        <f t="shared" si="490"/>
        <v>2652.25</v>
      </c>
      <c r="V191" s="15">
        <v>12</v>
      </c>
      <c r="W191" s="37">
        <f t="shared" si="504"/>
        <v>31827</v>
      </c>
      <c r="X191" s="38">
        <v>0</v>
      </c>
      <c r="Y191" s="39">
        <f t="shared" si="557"/>
        <v>31827</v>
      </c>
      <c r="Z191" s="141">
        <v>1</v>
      </c>
      <c r="AA191" s="38">
        <f t="shared" si="493"/>
        <v>2731.8175000000001</v>
      </c>
      <c r="AB191" s="15">
        <v>12</v>
      </c>
      <c r="AC191" s="37">
        <f t="shared" si="506"/>
        <v>32781.81</v>
      </c>
      <c r="AD191" s="38">
        <v>0</v>
      </c>
      <c r="AE191" s="39">
        <f t="shared" si="562"/>
        <v>32781.81</v>
      </c>
      <c r="AF191" s="141">
        <v>1</v>
      </c>
      <c r="AG191" s="38">
        <f t="shared" si="496"/>
        <v>2813.7720250000002</v>
      </c>
      <c r="AH191" s="15">
        <v>9</v>
      </c>
      <c r="AI191" s="37">
        <f t="shared" si="508"/>
        <v>25323.948225</v>
      </c>
      <c r="AJ191" s="38">
        <v>0</v>
      </c>
      <c r="AK191" s="38">
        <f t="shared" si="558"/>
        <v>25323.948225</v>
      </c>
      <c r="AL191" s="40">
        <f t="shared" si="559"/>
        <v>135832.758225</v>
      </c>
      <c r="AM191" s="38">
        <f t="shared" si="559"/>
        <v>0</v>
      </c>
      <c r="AN191" s="40">
        <f t="shared" si="560"/>
        <v>135832.758225</v>
      </c>
    </row>
    <row r="192" spans="1:44" x14ac:dyDescent="0.45">
      <c r="A192" s="15" t="s">
        <v>278</v>
      </c>
      <c r="B192" s="1">
        <v>85180</v>
      </c>
      <c r="C192" s="258" t="s">
        <v>65</v>
      </c>
      <c r="D192" s="258" t="s">
        <v>65</v>
      </c>
      <c r="E192" s="1">
        <v>0</v>
      </c>
      <c r="F192" s="65" t="s">
        <v>280</v>
      </c>
      <c r="G192" s="141">
        <v>1</v>
      </c>
      <c r="H192" s="15">
        <v>1700</v>
      </c>
      <c r="I192" s="15">
        <v>6</v>
      </c>
      <c r="J192" s="131" t="s">
        <v>107</v>
      </c>
      <c r="K192" s="37">
        <f t="shared" si="500"/>
        <v>10200</v>
      </c>
      <c r="L192" s="38">
        <v>0</v>
      </c>
      <c r="M192" s="274">
        <f t="shared" si="555"/>
        <v>10200</v>
      </c>
      <c r="N192" s="272">
        <v>1</v>
      </c>
      <c r="O192" s="38">
        <f t="shared" si="487"/>
        <v>1751</v>
      </c>
      <c r="P192" s="15">
        <v>12</v>
      </c>
      <c r="Q192" s="37">
        <f t="shared" si="502"/>
        <v>21012</v>
      </c>
      <c r="R192" s="38">
        <v>0</v>
      </c>
      <c r="S192" s="39">
        <f t="shared" si="561"/>
        <v>21012</v>
      </c>
      <c r="T192" s="141">
        <v>1</v>
      </c>
      <c r="U192" s="38">
        <f t="shared" si="490"/>
        <v>1803.53</v>
      </c>
      <c r="V192" s="15">
        <v>12</v>
      </c>
      <c r="W192" s="37">
        <f t="shared" si="504"/>
        <v>21642.36</v>
      </c>
      <c r="X192" s="38">
        <v>0</v>
      </c>
      <c r="Y192" s="39">
        <f t="shared" si="557"/>
        <v>21642.36</v>
      </c>
      <c r="Z192" s="141">
        <v>1</v>
      </c>
      <c r="AA192" s="38">
        <f t="shared" si="493"/>
        <v>1857.6359</v>
      </c>
      <c r="AB192" s="15">
        <v>12</v>
      </c>
      <c r="AC192" s="37">
        <f t="shared" si="506"/>
        <v>22291.630799999999</v>
      </c>
      <c r="AD192" s="38">
        <v>0</v>
      </c>
      <c r="AE192" s="39">
        <f t="shared" si="562"/>
        <v>22291.630799999999</v>
      </c>
      <c r="AF192" s="141">
        <v>1</v>
      </c>
      <c r="AG192" s="38">
        <f t="shared" si="496"/>
        <v>1913.364977</v>
      </c>
      <c r="AH192" s="15">
        <v>9</v>
      </c>
      <c r="AI192" s="37">
        <f t="shared" si="508"/>
        <v>17220.284792999999</v>
      </c>
      <c r="AJ192" s="38">
        <v>0</v>
      </c>
      <c r="AK192" s="38">
        <f t="shared" si="558"/>
        <v>17220.284792999999</v>
      </c>
      <c r="AL192" s="40">
        <f t="shared" si="559"/>
        <v>92366.275592999998</v>
      </c>
      <c r="AM192" s="38">
        <f t="shared" si="559"/>
        <v>0</v>
      </c>
      <c r="AN192" s="40">
        <f t="shared" si="560"/>
        <v>92366.275592999998</v>
      </c>
    </row>
    <row r="193" spans="1:40" x14ac:dyDescent="0.45">
      <c r="A193" s="15" t="s">
        <v>278</v>
      </c>
      <c r="B193" s="1">
        <v>85180</v>
      </c>
      <c r="C193" s="258" t="s">
        <v>65</v>
      </c>
      <c r="D193" s="258" t="s">
        <v>65</v>
      </c>
      <c r="E193" s="1">
        <v>0</v>
      </c>
      <c r="F193" s="65" t="s">
        <v>281</v>
      </c>
      <c r="G193" s="141">
        <v>1</v>
      </c>
      <c r="H193" s="15">
        <v>1700</v>
      </c>
      <c r="I193" s="15">
        <v>6</v>
      </c>
      <c r="J193" s="131" t="s">
        <v>107</v>
      </c>
      <c r="K193" s="37">
        <f t="shared" ref="K193" si="563">I193*H193*G193</f>
        <v>10200</v>
      </c>
      <c r="L193" s="38">
        <v>0</v>
      </c>
      <c r="M193" s="274">
        <f t="shared" ref="M193" si="564">SUM(K193:L193)</f>
        <v>10200</v>
      </c>
      <c r="N193" s="272">
        <v>1</v>
      </c>
      <c r="O193" s="38">
        <f t="shared" ref="O193" si="565">H193*$G$7</f>
        <v>1751</v>
      </c>
      <c r="P193" s="15">
        <v>12</v>
      </c>
      <c r="Q193" s="37">
        <f t="shared" ref="Q193" si="566">N193*O193*P193</f>
        <v>21012</v>
      </c>
      <c r="R193" s="38">
        <v>0</v>
      </c>
      <c r="S193" s="39">
        <f t="shared" ref="S193" si="567">SUM(Q193:R193)</f>
        <v>21012</v>
      </c>
      <c r="T193" s="141">
        <v>1</v>
      </c>
      <c r="U193" s="38">
        <f t="shared" ref="U193" si="568">H193*$G$7*$G$7</f>
        <v>1803.53</v>
      </c>
      <c r="V193" s="15">
        <v>12</v>
      </c>
      <c r="W193" s="37">
        <f t="shared" ref="W193" si="569">V193*U193*T193</f>
        <v>21642.36</v>
      </c>
      <c r="X193" s="38">
        <v>0</v>
      </c>
      <c r="Y193" s="39">
        <f t="shared" ref="Y193" si="570">SUM(W193:X193)</f>
        <v>21642.36</v>
      </c>
      <c r="Z193" s="141">
        <v>1</v>
      </c>
      <c r="AA193" s="38">
        <f t="shared" ref="AA193" si="571">H193*$G$7*$G$7*$G$7</f>
        <v>1857.6359</v>
      </c>
      <c r="AB193" s="15">
        <v>12</v>
      </c>
      <c r="AC193" s="37">
        <f t="shared" ref="AC193" si="572">AB193*AA193*Z193</f>
        <v>22291.630799999999</v>
      </c>
      <c r="AD193" s="38">
        <v>0</v>
      </c>
      <c r="AE193" s="39">
        <f t="shared" ref="AE193" si="573">SUM(AC193:AD193)</f>
        <v>22291.630799999999</v>
      </c>
      <c r="AF193" s="141">
        <v>1</v>
      </c>
      <c r="AG193" s="38">
        <f t="shared" ref="AG193" si="574">H193*$G$7*$G$7*$G$7*$G$7</f>
        <v>1913.364977</v>
      </c>
      <c r="AH193" s="15">
        <v>9</v>
      </c>
      <c r="AI193" s="37">
        <f t="shared" ref="AI193" si="575">AH193*AG193*AF193</f>
        <v>17220.284792999999</v>
      </c>
      <c r="AJ193" s="38">
        <v>0</v>
      </c>
      <c r="AK193" s="38">
        <f t="shared" ref="AK193" si="576">SUM(AI193:AJ193)</f>
        <v>17220.284792999999</v>
      </c>
      <c r="AL193" s="40">
        <f t="shared" ref="AL193" si="577">K193+Q193+W193+AC193+AI193</f>
        <v>92366.275592999998</v>
      </c>
      <c r="AM193" s="38">
        <f t="shared" ref="AM193" si="578">L193+R193+X193+AD193+AJ193</f>
        <v>0</v>
      </c>
      <c r="AN193" s="40">
        <f t="shared" ref="AN193" si="579">SUM(AL193:AM193)</f>
        <v>92366.275592999998</v>
      </c>
    </row>
    <row r="194" spans="1:40" s="610" customFormat="1" x14ac:dyDescent="0.45">
      <c r="A194" s="15" t="s">
        <v>282</v>
      </c>
      <c r="B194" s="1" t="s">
        <v>283</v>
      </c>
      <c r="C194" s="258" t="s">
        <v>65</v>
      </c>
      <c r="D194" s="258" t="s">
        <v>65</v>
      </c>
      <c r="E194" s="1">
        <v>0</v>
      </c>
      <c r="F194" s="65" t="s">
        <v>284</v>
      </c>
      <c r="G194" s="141">
        <v>1</v>
      </c>
      <c r="H194" s="15">
        <v>150</v>
      </c>
      <c r="I194" s="15">
        <v>6</v>
      </c>
      <c r="J194" s="131" t="s">
        <v>107</v>
      </c>
      <c r="K194" s="37">
        <f t="shared" si="500"/>
        <v>900</v>
      </c>
      <c r="L194" s="38">
        <v>0</v>
      </c>
      <c r="M194" s="274">
        <f t="shared" ref="M194" si="580">SUM(K194:L194)</f>
        <v>900</v>
      </c>
      <c r="N194" s="272">
        <v>1</v>
      </c>
      <c r="O194" s="38">
        <f t="shared" si="487"/>
        <v>154.5</v>
      </c>
      <c r="P194" s="15">
        <v>12</v>
      </c>
      <c r="Q194" s="37">
        <f t="shared" si="502"/>
        <v>1854</v>
      </c>
      <c r="R194" s="38">
        <v>0</v>
      </c>
      <c r="S194" s="39">
        <f t="shared" ref="S194" si="581">SUM(Q194:R194)</f>
        <v>1854</v>
      </c>
      <c r="T194" s="141">
        <v>1</v>
      </c>
      <c r="U194" s="38">
        <f t="shared" si="490"/>
        <v>159.13499999999999</v>
      </c>
      <c r="V194" s="15">
        <v>12</v>
      </c>
      <c r="W194" s="37">
        <f t="shared" si="504"/>
        <v>1909.62</v>
      </c>
      <c r="X194" s="38">
        <v>0</v>
      </c>
      <c r="Y194" s="39">
        <f t="shared" ref="Y194" si="582">SUM(W194:X194)</f>
        <v>1909.62</v>
      </c>
      <c r="Z194" s="141">
        <v>1</v>
      </c>
      <c r="AA194" s="38">
        <f t="shared" si="493"/>
        <v>163.90905000000001</v>
      </c>
      <c r="AB194" s="15">
        <v>12</v>
      </c>
      <c r="AC194" s="37">
        <f t="shared" si="506"/>
        <v>1966.9086000000002</v>
      </c>
      <c r="AD194" s="38">
        <v>0</v>
      </c>
      <c r="AE194" s="39">
        <f t="shared" ref="AE194" si="583">SUM(AC194:AD194)</f>
        <v>1966.9086000000002</v>
      </c>
      <c r="AF194" s="141">
        <v>1</v>
      </c>
      <c r="AG194" s="38">
        <f t="shared" si="496"/>
        <v>168.82632150000001</v>
      </c>
      <c r="AH194" s="15">
        <v>9</v>
      </c>
      <c r="AI194" s="37">
        <f t="shared" si="508"/>
        <v>1519.4368935</v>
      </c>
      <c r="AJ194" s="38">
        <v>0</v>
      </c>
      <c r="AK194" s="38">
        <f t="shared" ref="AK194" si="584">SUM(AI194:AJ194)</f>
        <v>1519.4368935</v>
      </c>
      <c r="AL194" s="40">
        <f t="shared" ref="AL194" si="585">K194+Q194+W194+AC194+AI194</f>
        <v>8149.9654934999999</v>
      </c>
      <c r="AM194" s="38">
        <f t="shared" ref="AM194" si="586">L194+R194+X194+AD194+AJ194</f>
        <v>0</v>
      </c>
      <c r="AN194" s="40">
        <f t="shared" ref="AN194" si="587">SUM(AL194:AM194)</f>
        <v>8149.9654934999999</v>
      </c>
    </row>
    <row r="195" spans="1:40" x14ac:dyDescent="0.45">
      <c r="A195" s="15" t="s">
        <v>285</v>
      </c>
      <c r="B195" s="1">
        <v>81010</v>
      </c>
      <c r="C195" s="258" t="s">
        <v>65</v>
      </c>
      <c r="D195" s="258" t="s">
        <v>65</v>
      </c>
      <c r="E195" s="1">
        <v>0</v>
      </c>
      <c r="F195" s="65" t="s">
        <v>286</v>
      </c>
      <c r="G195" s="141">
        <v>1</v>
      </c>
      <c r="H195" s="15">
        <v>1000</v>
      </c>
      <c r="I195" s="15">
        <v>1</v>
      </c>
      <c r="J195" s="131" t="s">
        <v>249</v>
      </c>
      <c r="K195" s="37">
        <f t="shared" si="500"/>
        <v>1000</v>
      </c>
      <c r="L195" s="38">
        <v>0</v>
      </c>
      <c r="M195" s="274">
        <f t="shared" ref="M195" si="588">SUM(K195:L195)</f>
        <v>1000</v>
      </c>
      <c r="N195" s="272">
        <v>1</v>
      </c>
      <c r="O195" s="38">
        <f t="shared" si="487"/>
        <v>1030</v>
      </c>
      <c r="P195" s="15">
        <v>1</v>
      </c>
      <c r="Q195" s="37">
        <f t="shared" si="502"/>
        <v>1030</v>
      </c>
      <c r="R195" s="38">
        <v>0</v>
      </c>
      <c r="S195" s="39">
        <f t="shared" ref="S195" si="589">SUM(Q195:R195)</f>
        <v>1030</v>
      </c>
      <c r="T195" s="141">
        <v>1</v>
      </c>
      <c r="U195" s="38">
        <f t="shared" si="490"/>
        <v>1060.9000000000001</v>
      </c>
      <c r="V195" s="15">
        <v>1</v>
      </c>
      <c r="W195" s="37">
        <f t="shared" si="504"/>
        <v>1060.9000000000001</v>
      </c>
      <c r="X195" s="38">
        <v>0</v>
      </c>
      <c r="Y195" s="39">
        <f t="shared" ref="Y195" si="590">SUM(W195:X195)</f>
        <v>1060.9000000000001</v>
      </c>
      <c r="Z195" s="141">
        <v>1</v>
      </c>
      <c r="AA195" s="38">
        <f t="shared" si="493"/>
        <v>1092.7270000000001</v>
      </c>
      <c r="AB195" s="15">
        <v>1</v>
      </c>
      <c r="AC195" s="37">
        <f>AB195*AA195*Z195</f>
        <v>1092.7270000000001</v>
      </c>
      <c r="AD195" s="38">
        <v>0</v>
      </c>
      <c r="AE195" s="39">
        <f t="shared" ref="AE195" si="591">SUM(AC195:AD195)</f>
        <v>1092.7270000000001</v>
      </c>
      <c r="AF195" s="141">
        <v>1</v>
      </c>
      <c r="AG195" s="38">
        <f t="shared" si="496"/>
        <v>1125.50881</v>
      </c>
      <c r="AH195" s="15">
        <v>1</v>
      </c>
      <c r="AI195" s="37">
        <f t="shared" si="508"/>
        <v>1125.50881</v>
      </c>
      <c r="AJ195" s="38">
        <v>0</v>
      </c>
      <c r="AK195" s="38">
        <f t="shared" ref="AK195" si="592">SUM(AI195:AJ195)</f>
        <v>1125.50881</v>
      </c>
      <c r="AL195" s="40">
        <f t="shared" ref="AL195" si="593">K195+Q195+W195+AC195+AI195</f>
        <v>5309.1358100000007</v>
      </c>
      <c r="AM195" s="38">
        <f t="shared" ref="AM195" si="594">L195+R195+X195+AD195+AJ195</f>
        <v>0</v>
      </c>
      <c r="AN195" s="40">
        <f t="shared" ref="AN195" si="595">SUM(AL195:AM195)</f>
        <v>5309.1358100000007</v>
      </c>
    </row>
    <row r="196" spans="1:40" x14ac:dyDescent="0.45">
      <c r="A196" s="15"/>
      <c r="B196" s="15"/>
      <c r="C196" s="15"/>
      <c r="D196" s="15"/>
      <c r="E196" s="15"/>
      <c r="F196" s="130"/>
      <c r="G196" s="272"/>
      <c r="H196" s="15"/>
      <c r="I196" s="15"/>
      <c r="J196" s="131"/>
      <c r="K196" s="37"/>
      <c r="L196" s="38"/>
      <c r="M196" s="274"/>
      <c r="N196" s="272"/>
      <c r="O196" s="38"/>
      <c r="P196" s="15"/>
      <c r="Q196" s="37"/>
      <c r="R196" s="38"/>
      <c r="S196" s="38"/>
      <c r="T196" s="277"/>
      <c r="U196" s="38"/>
      <c r="V196" s="278"/>
      <c r="W196" s="37"/>
      <c r="X196" s="38"/>
      <c r="Y196" s="38"/>
      <c r="Z196" s="277"/>
      <c r="AA196" s="38"/>
      <c r="AB196" s="278"/>
      <c r="AC196" s="37"/>
      <c r="AD196" s="38"/>
      <c r="AE196" s="38"/>
      <c r="AF196" s="277"/>
      <c r="AG196" s="38"/>
      <c r="AH196" s="278"/>
      <c r="AI196" s="37"/>
      <c r="AJ196" s="38"/>
      <c r="AK196" s="38"/>
      <c r="AL196" s="40"/>
      <c r="AM196" s="38"/>
      <c r="AN196" s="40"/>
    </row>
    <row r="197" spans="1:40" ht="24.9" x14ac:dyDescent="0.45">
      <c r="A197" s="575"/>
      <c r="B197" s="575"/>
      <c r="C197" s="575"/>
      <c r="D197" s="575"/>
      <c r="E197" s="575"/>
      <c r="F197" s="261" t="s">
        <v>287</v>
      </c>
      <c r="G197" s="262"/>
      <c r="H197" s="575"/>
      <c r="I197" s="575"/>
      <c r="J197" s="581"/>
      <c r="K197" s="263"/>
      <c r="L197" s="276"/>
      <c r="M197" s="275"/>
      <c r="N197" s="273"/>
      <c r="O197" s="276"/>
      <c r="P197" s="575"/>
      <c r="Q197" s="263"/>
      <c r="R197" s="276"/>
      <c r="S197" s="276"/>
      <c r="T197" s="279"/>
      <c r="U197" s="276"/>
      <c r="V197" s="280"/>
      <c r="W197" s="263"/>
      <c r="X197" s="276"/>
      <c r="Y197" s="276"/>
      <c r="Z197" s="279"/>
      <c r="AA197" s="276"/>
      <c r="AB197" s="280"/>
      <c r="AC197" s="263"/>
      <c r="AD197" s="276"/>
      <c r="AE197" s="276"/>
      <c r="AF197" s="279"/>
      <c r="AG197" s="276"/>
      <c r="AH197" s="280"/>
      <c r="AI197" s="263"/>
      <c r="AJ197" s="276"/>
      <c r="AK197" s="276"/>
      <c r="AL197" s="266"/>
      <c r="AM197" s="276"/>
      <c r="AN197" s="266"/>
    </row>
    <row r="198" spans="1:40" x14ac:dyDescent="0.45">
      <c r="A198" s="15" t="s">
        <v>288</v>
      </c>
      <c r="B198" s="1">
        <v>81010</v>
      </c>
      <c r="C198" s="258" t="s">
        <v>65</v>
      </c>
      <c r="D198" s="258" t="s">
        <v>65</v>
      </c>
      <c r="E198" s="1">
        <v>0</v>
      </c>
      <c r="F198" s="65" t="s">
        <v>289</v>
      </c>
      <c r="G198" s="141">
        <v>1</v>
      </c>
      <c r="H198" s="38">
        <v>150000</v>
      </c>
      <c r="I198" s="15">
        <v>1</v>
      </c>
      <c r="J198" s="131" t="s">
        <v>183</v>
      </c>
      <c r="K198" s="37">
        <f t="shared" ref="K198" si="596">H198*G198</f>
        <v>150000</v>
      </c>
      <c r="L198" s="38">
        <v>0</v>
      </c>
      <c r="M198" s="39">
        <f t="shared" ref="M198" si="597">SUM(K198:L198)</f>
        <v>150000</v>
      </c>
      <c r="N198" s="141">
        <v>0</v>
      </c>
      <c r="O198" s="38">
        <f t="shared" ref="O198" si="598">H198</f>
        <v>150000</v>
      </c>
      <c r="P198" s="15">
        <v>1</v>
      </c>
      <c r="Q198" s="37">
        <f t="shared" ref="Q198" si="599">N198*O198</f>
        <v>0</v>
      </c>
      <c r="R198" s="38">
        <v>0</v>
      </c>
      <c r="S198" s="39">
        <f t="shared" ref="S198" si="600">SUM(Q198:R198)</f>
        <v>0</v>
      </c>
      <c r="T198" s="37">
        <v>0</v>
      </c>
      <c r="U198" s="38">
        <f t="shared" ref="U198" si="601">H198</f>
        <v>150000</v>
      </c>
      <c r="V198" s="15">
        <v>1</v>
      </c>
      <c r="W198" s="37">
        <f t="shared" ref="W198" si="602">U198*T198</f>
        <v>0</v>
      </c>
      <c r="X198" s="38">
        <v>0</v>
      </c>
      <c r="Y198" s="39">
        <f t="shared" ref="Y198" si="603">SUM(W198:X198)</f>
        <v>0</v>
      </c>
      <c r="Z198" s="37">
        <v>0</v>
      </c>
      <c r="AA198" s="38">
        <f t="shared" ref="AA198" si="604">H198</f>
        <v>150000</v>
      </c>
      <c r="AB198" s="15">
        <v>1</v>
      </c>
      <c r="AC198" s="37">
        <f t="shared" ref="AC198" si="605">AA198*Z198</f>
        <v>0</v>
      </c>
      <c r="AD198" s="38">
        <v>0</v>
      </c>
      <c r="AE198" s="39">
        <f t="shared" ref="AE198" si="606">SUM(AC198:AD198)</f>
        <v>0</v>
      </c>
      <c r="AF198" s="37">
        <v>0</v>
      </c>
      <c r="AG198" s="38">
        <f t="shared" ref="AG198" si="607">H198</f>
        <v>150000</v>
      </c>
      <c r="AH198" s="15">
        <v>1</v>
      </c>
      <c r="AI198" s="37">
        <f t="shared" ref="AI198:AI203" si="608">AG198*AF198</f>
        <v>0</v>
      </c>
      <c r="AJ198" s="38">
        <v>0</v>
      </c>
      <c r="AK198" s="38">
        <f t="shared" ref="AK198" si="609">SUM(AI198:AJ198)</f>
        <v>0</v>
      </c>
      <c r="AL198" s="40">
        <f t="shared" ref="AL198" si="610">K198+Q198+W198+AC198+AI198</f>
        <v>150000</v>
      </c>
      <c r="AM198" s="38">
        <f t="shared" ref="AM198" si="611">L198+R198+X198+AD198+AJ198</f>
        <v>0</v>
      </c>
      <c r="AN198" s="40">
        <f t="shared" ref="AN198" si="612">SUM(AL198:AM198)</f>
        <v>150000</v>
      </c>
    </row>
    <row r="199" spans="1:40" x14ac:dyDescent="0.45">
      <c r="A199" s="15" t="s">
        <v>290</v>
      </c>
      <c r="B199" s="1">
        <v>87000</v>
      </c>
      <c r="C199" s="258" t="s">
        <v>65</v>
      </c>
      <c r="D199" s="258" t="s">
        <v>65</v>
      </c>
      <c r="E199" s="1">
        <v>0</v>
      </c>
      <c r="F199" s="65" t="s">
        <v>291</v>
      </c>
      <c r="G199" s="141">
        <v>1</v>
      </c>
      <c r="H199" s="38">
        <v>2500</v>
      </c>
      <c r="I199" s="15">
        <v>1</v>
      </c>
      <c r="J199" s="131" t="s">
        <v>292</v>
      </c>
      <c r="K199" s="37">
        <f t="shared" ref="K199" si="613">H199*G199</f>
        <v>2500</v>
      </c>
      <c r="L199" s="38">
        <v>0</v>
      </c>
      <c r="M199" s="39">
        <f t="shared" ref="M199" si="614">SUM(K199:L199)</f>
        <v>2500</v>
      </c>
      <c r="N199" s="141">
        <v>1</v>
      </c>
      <c r="O199" s="38">
        <f t="shared" ref="O199" si="615">H199</f>
        <v>2500</v>
      </c>
      <c r="P199" s="15">
        <v>1</v>
      </c>
      <c r="Q199" s="37">
        <f t="shared" ref="Q199" si="616">N199*O199</f>
        <v>2500</v>
      </c>
      <c r="R199" s="38">
        <v>0</v>
      </c>
      <c r="S199" s="39">
        <f t="shared" ref="S199" si="617">SUM(Q199:R199)</f>
        <v>2500</v>
      </c>
      <c r="T199" s="37">
        <v>1</v>
      </c>
      <c r="U199" s="38">
        <f t="shared" ref="U199" si="618">H199</f>
        <v>2500</v>
      </c>
      <c r="V199" s="15">
        <v>1</v>
      </c>
      <c r="W199" s="37">
        <f t="shared" ref="W199" si="619">U199*T199</f>
        <v>2500</v>
      </c>
      <c r="X199" s="38">
        <v>0</v>
      </c>
      <c r="Y199" s="39">
        <f t="shared" ref="Y199" si="620">SUM(W199:X199)</f>
        <v>2500</v>
      </c>
      <c r="Z199" s="37">
        <v>0</v>
      </c>
      <c r="AA199" s="38">
        <f t="shared" ref="AA199" si="621">H199</f>
        <v>2500</v>
      </c>
      <c r="AB199" s="15">
        <v>1</v>
      </c>
      <c r="AC199" s="37">
        <f t="shared" ref="AC199" si="622">AA199*Z199</f>
        <v>0</v>
      </c>
      <c r="AD199" s="38">
        <v>0</v>
      </c>
      <c r="AE199" s="39">
        <f t="shared" ref="AE199" si="623">SUM(AC199:AD199)</f>
        <v>0</v>
      </c>
      <c r="AF199" s="37">
        <v>0</v>
      </c>
      <c r="AG199" s="38">
        <f t="shared" ref="AG199" si="624">H199</f>
        <v>2500</v>
      </c>
      <c r="AH199" s="15">
        <v>1</v>
      </c>
      <c r="AI199" s="37">
        <f t="shared" si="608"/>
        <v>0</v>
      </c>
      <c r="AJ199" s="38">
        <v>0</v>
      </c>
      <c r="AK199" s="38">
        <f t="shared" ref="AK199" si="625">SUM(AI199:AJ199)</f>
        <v>0</v>
      </c>
      <c r="AL199" s="40">
        <f t="shared" ref="AL199" si="626">K199+Q199+W199+AC199+AI199</f>
        <v>7500</v>
      </c>
      <c r="AM199" s="38">
        <f t="shared" ref="AM199" si="627">L199+R199+X199+AD199+AJ199</f>
        <v>0</v>
      </c>
      <c r="AN199" s="40">
        <f t="shared" ref="AN199" si="628">SUM(AL199:AM199)</f>
        <v>7500</v>
      </c>
    </row>
    <row r="200" spans="1:40" x14ac:dyDescent="0.45">
      <c r="A200" s="15" t="s">
        <v>293</v>
      </c>
      <c r="B200" s="1">
        <v>87000</v>
      </c>
      <c r="C200" s="258" t="s">
        <v>65</v>
      </c>
      <c r="D200" s="258" t="s">
        <v>65</v>
      </c>
      <c r="E200" s="1">
        <v>0</v>
      </c>
      <c r="F200" s="65" t="s">
        <v>294</v>
      </c>
      <c r="G200" s="141">
        <v>1</v>
      </c>
      <c r="H200" s="38">
        <v>2500</v>
      </c>
      <c r="I200" s="15">
        <v>1</v>
      </c>
      <c r="J200" s="131" t="s">
        <v>292</v>
      </c>
      <c r="K200" s="37">
        <f t="shared" ref="K200" si="629">H200*G200</f>
        <v>2500</v>
      </c>
      <c r="L200" s="38">
        <v>0</v>
      </c>
      <c r="M200" s="39">
        <f t="shared" ref="M200" si="630">SUM(K200:L200)</f>
        <v>2500</v>
      </c>
      <c r="N200" s="141">
        <v>1</v>
      </c>
      <c r="O200" s="38">
        <f t="shared" ref="O200" si="631">H200</f>
        <v>2500</v>
      </c>
      <c r="P200" s="15">
        <v>1</v>
      </c>
      <c r="Q200" s="37">
        <f t="shared" ref="Q200" si="632">N200*O200</f>
        <v>2500</v>
      </c>
      <c r="R200" s="38">
        <v>0</v>
      </c>
      <c r="S200" s="39">
        <f t="shared" ref="S200" si="633">SUM(Q200:R200)</f>
        <v>2500</v>
      </c>
      <c r="T200" s="37">
        <v>1</v>
      </c>
      <c r="U200" s="38">
        <f t="shared" ref="U200" si="634">H200</f>
        <v>2500</v>
      </c>
      <c r="V200" s="15">
        <v>1</v>
      </c>
      <c r="W200" s="37">
        <f t="shared" ref="W200" si="635">U200*T200</f>
        <v>2500</v>
      </c>
      <c r="X200" s="38">
        <v>0</v>
      </c>
      <c r="Y200" s="39">
        <f t="shared" ref="Y200" si="636">SUM(W200:X200)</f>
        <v>2500</v>
      </c>
      <c r="Z200" s="37">
        <v>1</v>
      </c>
      <c r="AA200" s="38">
        <f t="shared" ref="AA200" si="637">H200</f>
        <v>2500</v>
      </c>
      <c r="AB200" s="15">
        <v>1</v>
      </c>
      <c r="AC200" s="37">
        <f t="shared" ref="AC200" si="638">AA200*Z200</f>
        <v>2500</v>
      </c>
      <c r="AD200" s="38">
        <v>0</v>
      </c>
      <c r="AE200" s="39">
        <f t="shared" ref="AE200" si="639">SUM(AC200:AD200)</f>
        <v>2500</v>
      </c>
      <c r="AF200" s="37">
        <v>1</v>
      </c>
      <c r="AG200" s="38">
        <f t="shared" ref="AG200" si="640">H200</f>
        <v>2500</v>
      </c>
      <c r="AH200" s="15">
        <v>1</v>
      </c>
      <c r="AI200" s="37">
        <f t="shared" si="608"/>
        <v>2500</v>
      </c>
      <c r="AJ200" s="38">
        <v>0</v>
      </c>
      <c r="AK200" s="38">
        <f t="shared" ref="AK200" si="641">SUM(AI200:AJ200)</f>
        <v>2500</v>
      </c>
      <c r="AL200" s="40">
        <f t="shared" ref="AL200" si="642">K200+Q200+W200+AC200+AI200</f>
        <v>12500</v>
      </c>
      <c r="AM200" s="38">
        <f t="shared" ref="AM200" si="643">L200+R200+X200+AD200+AJ200</f>
        <v>0</v>
      </c>
      <c r="AN200" s="40">
        <f t="shared" ref="AN200" si="644">SUM(AL200:AM200)</f>
        <v>12500</v>
      </c>
    </row>
    <row r="201" spans="1:40" x14ac:dyDescent="0.45">
      <c r="A201" s="15" t="s">
        <v>295</v>
      </c>
      <c r="B201" s="1">
        <v>87010</v>
      </c>
      <c r="C201" s="258" t="s">
        <v>65</v>
      </c>
      <c r="D201" s="258" t="s">
        <v>65</v>
      </c>
      <c r="E201" s="1">
        <v>0</v>
      </c>
      <c r="F201" s="65" t="s">
        <v>296</v>
      </c>
      <c r="G201" s="141">
        <f>G72+G78</f>
        <v>42</v>
      </c>
      <c r="H201" s="38">
        <v>150</v>
      </c>
      <c r="I201" s="15">
        <v>1</v>
      </c>
      <c r="J201" s="131" t="s">
        <v>183</v>
      </c>
      <c r="K201" s="37">
        <f t="shared" ref="K201" si="645">H201*G201</f>
        <v>6300</v>
      </c>
      <c r="L201" s="38">
        <v>0</v>
      </c>
      <c r="M201" s="39">
        <f t="shared" ref="M201" si="646">SUM(K201:L201)</f>
        <v>6300</v>
      </c>
      <c r="N201" s="141">
        <f>N72+N78</f>
        <v>84</v>
      </c>
      <c r="O201" s="38">
        <f t="shared" ref="O201" si="647">H201</f>
        <v>150</v>
      </c>
      <c r="P201" s="15">
        <v>1</v>
      </c>
      <c r="Q201" s="37">
        <f t="shared" ref="Q201" si="648">N201*O201</f>
        <v>12600</v>
      </c>
      <c r="R201" s="38">
        <v>0</v>
      </c>
      <c r="S201" s="39">
        <f t="shared" ref="S201" si="649">SUM(Q201:R201)</f>
        <v>12600</v>
      </c>
      <c r="T201" s="141">
        <f>T72+T78</f>
        <v>84</v>
      </c>
      <c r="U201" s="38">
        <f t="shared" ref="U201" si="650">H201</f>
        <v>150</v>
      </c>
      <c r="V201" s="15">
        <v>1</v>
      </c>
      <c r="W201" s="37">
        <f t="shared" ref="W201" si="651">U201*T201</f>
        <v>12600</v>
      </c>
      <c r="X201" s="38">
        <v>0</v>
      </c>
      <c r="Y201" s="39">
        <f t="shared" ref="Y201" si="652">SUM(W201:X201)</f>
        <v>12600</v>
      </c>
      <c r="Z201" s="141">
        <f>Z72+Z78</f>
        <v>84</v>
      </c>
      <c r="AA201" s="38">
        <f t="shared" ref="AA201" si="653">H201</f>
        <v>150</v>
      </c>
      <c r="AB201" s="15">
        <v>1</v>
      </c>
      <c r="AC201" s="37">
        <f t="shared" ref="AC201" si="654">AA201*Z201</f>
        <v>12600</v>
      </c>
      <c r="AD201" s="38">
        <v>0</v>
      </c>
      <c r="AE201" s="39">
        <f t="shared" ref="AE201" si="655">SUM(AC201:AD201)</f>
        <v>12600</v>
      </c>
      <c r="AF201" s="141">
        <f>AF72+AF78</f>
        <v>42</v>
      </c>
      <c r="AG201" s="38">
        <f t="shared" ref="AG201" si="656">H201</f>
        <v>150</v>
      </c>
      <c r="AH201" s="15">
        <v>1</v>
      </c>
      <c r="AI201" s="37">
        <f t="shared" si="608"/>
        <v>6300</v>
      </c>
      <c r="AJ201" s="38">
        <v>0</v>
      </c>
      <c r="AK201" s="38">
        <f t="shared" ref="AK201" si="657">SUM(AI201:AJ201)</f>
        <v>6300</v>
      </c>
      <c r="AL201" s="40">
        <f t="shared" ref="AL201" si="658">K201+Q201+W201+AC201+AI201</f>
        <v>50400</v>
      </c>
      <c r="AM201" s="38">
        <f t="shared" ref="AM201" si="659">L201+R201+X201+AD201+AJ201</f>
        <v>0</v>
      </c>
      <c r="AN201" s="40">
        <f t="shared" ref="AN201" si="660">SUM(AL201:AM201)</f>
        <v>50400</v>
      </c>
    </row>
    <row r="202" spans="1:40" x14ac:dyDescent="0.45">
      <c r="A202" s="15" t="s">
        <v>297</v>
      </c>
      <c r="B202" s="1">
        <v>87010</v>
      </c>
      <c r="C202" s="258" t="s">
        <v>65</v>
      </c>
      <c r="D202" s="258" t="s">
        <v>65</v>
      </c>
      <c r="E202" s="1">
        <v>0</v>
      </c>
      <c r="F202" s="65" t="s">
        <v>298</v>
      </c>
      <c r="G202" s="141">
        <v>2</v>
      </c>
      <c r="H202" s="38">
        <v>2500</v>
      </c>
      <c r="I202" s="15">
        <v>1</v>
      </c>
      <c r="J202" s="131" t="s">
        <v>299</v>
      </c>
      <c r="K202" s="37">
        <f t="shared" ref="K202" si="661">H202*G202</f>
        <v>5000</v>
      </c>
      <c r="L202" s="38">
        <v>0</v>
      </c>
      <c r="M202" s="39">
        <f t="shared" ref="M202" si="662">SUM(K202:L202)</f>
        <v>5000</v>
      </c>
      <c r="N202" s="141">
        <v>2</v>
      </c>
      <c r="O202" s="38">
        <f t="shared" ref="O202" si="663">H202</f>
        <v>2500</v>
      </c>
      <c r="P202" s="15">
        <v>1</v>
      </c>
      <c r="Q202" s="37">
        <f t="shared" ref="Q202" si="664">N202*O202</f>
        <v>5000</v>
      </c>
      <c r="R202" s="38">
        <v>0</v>
      </c>
      <c r="S202" s="39">
        <f t="shared" ref="S202" si="665">SUM(Q202:R202)</f>
        <v>5000</v>
      </c>
      <c r="T202" s="37">
        <v>2</v>
      </c>
      <c r="U202" s="38">
        <f t="shared" ref="U202" si="666">H202</f>
        <v>2500</v>
      </c>
      <c r="V202" s="15">
        <v>1</v>
      </c>
      <c r="W202" s="37">
        <f t="shared" ref="W202" si="667">U202*T202</f>
        <v>5000</v>
      </c>
      <c r="X202" s="38">
        <v>0</v>
      </c>
      <c r="Y202" s="39">
        <f t="shared" ref="Y202" si="668">SUM(W202:X202)</f>
        <v>5000</v>
      </c>
      <c r="Z202" s="37">
        <v>2</v>
      </c>
      <c r="AA202" s="38">
        <f t="shared" ref="AA202" si="669">H202</f>
        <v>2500</v>
      </c>
      <c r="AB202" s="15">
        <v>1</v>
      </c>
      <c r="AC202" s="37">
        <f t="shared" ref="AC202" si="670">AA202*Z202</f>
        <v>5000</v>
      </c>
      <c r="AD202" s="38">
        <v>0</v>
      </c>
      <c r="AE202" s="39">
        <f t="shared" ref="AE202" si="671">SUM(AC202:AD202)</f>
        <v>5000</v>
      </c>
      <c r="AF202" s="37">
        <v>2</v>
      </c>
      <c r="AG202" s="38">
        <f t="shared" ref="AG202" si="672">H202</f>
        <v>2500</v>
      </c>
      <c r="AH202" s="15">
        <v>1</v>
      </c>
      <c r="AI202" s="37">
        <f t="shared" si="608"/>
        <v>5000</v>
      </c>
      <c r="AJ202" s="38">
        <v>0</v>
      </c>
      <c r="AK202" s="38">
        <f t="shared" ref="AK202" si="673">SUM(AI202:AJ202)</f>
        <v>5000</v>
      </c>
      <c r="AL202" s="40">
        <f t="shared" ref="AL202" si="674">K202+Q202+W202+AC202+AI202</f>
        <v>25000</v>
      </c>
      <c r="AM202" s="38">
        <f t="shared" ref="AM202" si="675">L202+R202+X202+AD202+AJ202</f>
        <v>0</v>
      </c>
      <c r="AN202" s="40">
        <f t="shared" ref="AN202" si="676">SUM(AL202:AM202)</f>
        <v>25000</v>
      </c>
    </row>
    <row r="203" spans="1:40" x14ac:dyDescent="0.45">
      <c r="A203" s="15" t="s">
        <v>300</v>
      </c>
      <c r="B203" s="1">
        <v>87000</v>
      </c>
      <c r="C203" s="258" t="s">
        <v>65</v>
      </c>
      <c r="D203" s="258" t="s">
        <v>65</v>
      </c>
      <c r="E203" s="1">
        <v>0</v>
      </c>
      <c r="F203" s="65" t="s">
        <v>301</v>
      </c>
      <c r="G203" s="141">
        <v>1</v>
      </c>
      <c r="H203" s="38">
        <v>2500</v>
      </c>
      <c r="I203" s="15">
        <v>1</v>
      </c>
      <c r="J203" s="131" t="s">
        <v>299</v>
      </c>
      <c r="K203" s="37">
        <f>H203*G203</f>
        <v>2500</v>
      </c>
      <c r="L203" s="38">
        <v>0</v>
      </c>
      <c r="M203" s="39">
        <f>SUM(K203:L203)</f>
        <v>2500</v>
      </c>
      <c r="N203" s="141">
        <v>1</v>
      </c>
      <c r="O203" s="38">
        <f>H203</f>
        <v>2500</v>
      </c>
      <c r="P203" s="15">
        <v>1</v>
      </c>
      <c r="Q203" s="37">
        <f>N203*O203</f>
        <v>2500</v>
      </c>
      <c r="R203" s="38">
        <v>0</v>
      </c>
      <c r="S203" s="39">
        <f>SUM(Q203:R203)</f>
        <v>2500</v>
      </c>
      <c r="T203" s="37">
        <v>1</v>
      </c>
      <c r="U203" s="38">
        <f>H203</f>
        <v>2500</v>
      </c>
      <c r="V203" s="15">
        <v>1</v>
      </c>
      <c r="W203" s="37">
        <f>U203*T203</f>
        <v>2500</v>
      </c>
      <c r="X203" s="38">
        <v>0</v>
      </c>
      <c r="Y203" s="39">
        <f>SUM(W203:X203)</f>
        <v>2500</v>
      </c>
      <c r="Z203" s="37">
        <v>1</v>
      </c>
      <c r="AA203" s="38">
        <f>H203</f>
        <v>2500</v>
      </c>
      <c r="AB203" s="15">
        <v>1</v>
      </c>
      <c r="AC203" s="37">
        <f>AA203*Z203</f>
        <v>2500</v>
      </c>
      <c r="AD203" s="38">
        <v>0</v>
      </c>
      <c r="AE203" s="39">
        <f>SUM(AC203:AD203)</f>
        <v>2500</v>
      </c>
      <c r="AF203" s="37">
        <v>1</v>
      </c>
      <c r="AG203" s="38">
        <f>H203</f>
        <v>2500</v>
      </c>
      <c r="AH203" s="15">
        <v>1</v>
      </c>
      <c r="AI203" s="37">
        <f t="shared" si="608"/>
        <v>2500</v>
      </c>
      <c r="AJ203" s="38">
        <v>0</v>
      </c>
      <c r="AK203" s="38">
        <f>SUM(AI203:AJ203)</f>
        <v>2500</v>
      </c>
      <c r="AL203" s="40">
        <f>K203+Q203+W203+AC203+AI203</f>
        <v>12500</v>
      </c>
      <c r="AM203" s="38">
        <f>L203+R203+X203+AD203+AJ203</f>
        <v>0</v>
      </c>
      <c r="AN203" s="40">
        <f>SUM(AL203:AM203)</f>
        <v>12500</v>
      </c>
    </row>
    <row r="204" spans="1:40" x14ac:dyDescent="0.45">
      <c r="A204" s="15"/>
      <c r="B204" s="15"/>
      <c r="C204" s="15"/>
      <c r="D204" s="15"/>
      <c r="E204" s="15"/>
      <c r="F204" s="65"/>
      <c r="G204" s="141"/>
      <c r="H204" s="38"/>
      <c r="I204" s="15"/>
      <c r="J204" s="131"/>
      <c r="K204" s="37"/>
      <c r="L204" s="38"/>
      <c r="M204" s="38"/>
      <c r="N204" s="272"/>
      <c r="O204" s="38"/>
      <c r="P204" s="15"/>
      <c r="Q204" s="37"/>
      <c r="R204" s="38"/>
      <c r="S204" s="38"/>
      <c r="T204" s="37"/>
      <c r="U204" s="38"/>
      <c r="V204" s="15"/>
      <c r="W204" s="37"/>
      <c r="X204" s="38"/>
      <c r="Y204" s="38"/>
      <c r="Z204" s="37"/>
      <c r="AA204" s="38"/>
      <c r="AB204" s="15"/>
      <c r="AC204" s="37"/>
      <c r="AD204" s="38"/>
      <c r="AE204" s="38"/>
      <c r="AF204" s="37"/>
      <c r="AG204" s="38"/>
      <c r="AH204" s="15"/>
      <c r="AI204" s="37"/>
      <c r="AJ204" s="38"/>
      <c r="AK204" s="38"/>
      <c r="AL204" s="40"/>
      <c r="AM204" s="38"/>
      <c r="AN204" s="40"/>
    </row>
    <row r="205" spans="1:40" ht="24.9" x14ac:dyDescent="0.45">
      <c r="A205" s="575"/>
      <c r="B205" s="575"/>
      <c r="C205" s="575"/>
      <c r="D205" s="575"/>
      <c r="E205" s="575"/>
      <c r="F205" s="261" t="s">
        <v>302</v>
      </c>
      <c r="G205" s="262"/>
      <c r="H205" s="575"/>
      <c r="I205" s="575"/>
      <c r="J205" s="581"/>
      <c r="K205" s="263"/>
      <c r="L205" s="276"/>
      <c r="M205" s="275"/>
      <c r="N205" s="273"/>
      <c r="O205" s="276"/>
      <c r="P205" s="575"/>
      <c r="Q205" s="263"/>
      <c r="R205" s="276"/>
      <c r="S205" s="276"/>
      <c r="T205" s="279"/>
      <c r="U205" s="276"/>
      <c r="V205" s="280"/>
      <c r="W205" s="263"/>
      <c r="X205" s="276"/>
      <c r="Y205" s="276"/>
      <c r="Z205" s="279"/>
      <c r="AA205" s="276"/>
      <c r="AB205" s="280"/>
      <c r="AC205" s="263"/>
      <c r="AD205" s="276"/>
      <c r="AE205" s="276"/>
      <c r="AF205" s="279"/>
      <c r="AG205" s="276"/>
      <c r="AH205" s="280"/>
      <c r="AI205" s="263"/>
      <c r="AJ205" s="276"/>
      <c r="AK205" s="276"/>
      <c r="AL205" s="266"/>
      <c r="AM205" s="276"/>
      <c r="AN205" s="266"/>
    </row>
    <row r="206" spans="1:40" x14ac:dyDescent="0.45">
      <c r="A206" s="15" t="s">
        <v>303</v>
      </c>
      <c r="B206" s="1">
        <v>81000</v>
      </c>
      <c r="C206" s="258" t="s">
        <v>65</v>
      </c>
      <c r="D206" s="258" t="s">
        <v>65</v>
      </c>
      <c r="E206" s="1">
        <v>0</v>
      </c>
      <c r="F206" s="65" t="s">
        <v>304</v>
      </c>
      <c r="G206" s="141">
        <v>1</v>
      </c>
      <c r="H206" s="38">
        <v>20000</v>
      </c>
      <c r="I206" s="15">
        <v>1</v>
      </c>
      <c r="J206" s="131" t="s">
        <v>305</v>
      </c>
      <c r="K206" s="37">
        <f t="shared" ref="K206" si="677">H206*G206</f>
        <v>20000</v>
      </c>
      <c r="L206" s="38">
        <v>0</v>
      </c>
      <c r="M206" s="39">
        <f t="shared" ref="M206" si="678">SUM(K206:L206)</f>
        <v>20000</v>
      </c>
      <c r="N206" s="141">
        <v>0</v>
      </c>
      <c r="O206" s="38">
        <f t="shared" ref="O206" si="679">H206</f>
        <v>20000</v>
      </c>
      <c r="P206" s="15">
        <v>1</v>
      </c>
      <c r="Q206" s="37">
        <f t="shared" ref="Q206" si="680">N206*O206</f>
        <v>0</v>
      </c>
      <c r="R206" s="38">
        <v>0</v>
      </c>
      <c r="S206" s="39">
        <f t="shared" ref="S206" si="681">SUM(Q206:R206)</f>
        <v>0</v>
      </c>
      <c r="T206" s="37">
        <v>0</v>
      </c>
      <c r="U206" s="38">
        <f t="shared" ref="U206" si="682">H206</f>
        <v>20000</v>
      </c>
      <c r="V206" s="15">
        <v>1</v>
      </c>
      <c r="W206" s="37">
        <f t="shared" ref="W206" si="683">U206*T206</f>
        <v>0</v>
      </c>
      <c r="X206" s="38">
        <v>0</v>
      </c>
      <c r="Y206" s="39">
        <f t="shared" ref="Y206" si="684">SUM(W206:X206)</f>
        <v>0</v>
      </c>
      <c r="Z206" s="37">
        <v>0</v>
      </c>
      <c r="AA206" s="38">
        <f t="shared" ref="AA206" si="685">H206</f>
        <v>20000</v>
      </c>
      <c r="AB206" s="15">
        <v>1</v>
      </c>
      <c r="AC206" s="37">
        <f t="shared" ref="AC206" si="686">AA206*Z206</f>
        <v>0</v>
      </c>
      <c r="AD206" s="38">
        <v>0</v>
      </c>
      <c r="AE206" s="39">
        <f t="shared" ref="AE206" si="687">SUM(AC206:AD206)</f>
        <v>0</v>
      </c>
      <c r="AF206" s="37">
        <v>0</v>
      </c>
      <c r="AG206" s="38">
        <f t="shared" ref="AG206" si="688">H206</f>
        <v>20000</v>
      </c>
      <c r="AH206" s="15">
        <v>1</v>
      </c>
      <c r="AI206" s="37">
        <f>AG206*AF206</f>
        <v>0</v>
      </c>
      <c r="AJ206" s="38">
        <v>0</v>
      </c>
      <c r="AK206" s="38">
        <f t="shared" ref="AK206" si="689">SUM(AI206:AJ206)</f>
        <v>0</v>
      </c>
      <c r="AL206" s="40">
        <f t="shared" ref="AL206" si="690">K206+Q206+W206+AC206+AI206</f>
        <v>20000</v>
      </c>
      <c r="AM206" s="38">
        <f t="shared" ref="AM206" si="691">L206+R206+X206+AD206+AJ206</f>
        <v>0</v>
      </c>
      <c r="AN206" s="40">
        <f t="shared" ref="AN206" si="692">SUM(AL206:AM206)</f>
        <v>20000</v>
      </c>
    </row>
    <row r="207" spans="1:40" x14ac:dyDescent="0.45">
      <c r="A207" s="15"/>
      <c r="B207" s="15"/>
      <c r="C207" s="15"/>
      <c r="D207" s="15"/>
      <c r="E207" s="15"/>
      <c r="F207" s="65"/>
      <c r="G207" s="141"/>
      <c r="H207" s="38"/>
      <c r="I207" s="15"/>
      <c r="J207" s="131"/>
      <c r="K207" s="37"/>
      <c r="L207" s="38"/>
      <c r="M207" s="38"/>
      <c r="N207" s="272"/>
      <c r="O207" s="38"/>
      <c r="P207" s="15"/>
      <c r="Q207" s="37"/>
      <c r="R207" s="38"/>
      <c r="S207" s="38"/>
      <c r="T207" s="37"/>
      <c r="U207" s="38"/>
      <c r="V207" s="15"/>
      <c r="W207" s="37"/>
      <c r="X207" s="38"/>
      <c r="Y207" s="38"/>
      <c r="Z207" s="37"/>
      <c r="AA207" s="38"/>
      <c r="AB207" s="15"/>
      <c r="AC207" s="37"/>
      <c r="AD207" s="38"/>
      <c r="AE207" s="38"/>
      <c r="AF207" s="37"/>
      <c r="AG207" s="38"/>
      <c r="AH207" s="15"/>
      <c r="AI207" s="37"/>
      <c r="AJ207" s="38"/>
      <c r="AK207" s="38"/>
      <c r="AL207" s="40"/>
      <c r="AM207" s="38"/>
      <c r="AN207" s="40"/>
    </row>
    <row r="208" spans="1:40" ht="24.9" x14ac:dyDescent="0.45">
      <c r="A208" s="575"/>
      <c r="B208" s="575"/>
      <c r="C208" s="575"/>
      <c r="D208" s="575"/>
      <c r="E208" s="575"/>
      <c r="F208" s="261" t="s">
        <v>306</v>
      </c>
      <c r="G208" s="262"/>
      <c r="H208" s="575"/>
      <c r="I208" s="575"/>
      <c r="J208" s="581"/>
      <c r="K208" s="263"/>
      <c r="L208" s="276"/>
      <c r="M208" s="275"/>
      <c r="N208" s="273"/>
      <c r="O208" s="276"/>
      <c r="P208" s="575"/>
      <c r="Q208" s="263"/>
      <c r="R208" s="276"/>
      <c r="S208" s="276"/>
      <c r="T208" s="279"/>
      <c r="U208" s="276"/>
      <c r="V208" s="280"/>
      <c r="W208" s="263"/>
      <c r="X208" s="276"/>
      <c r="Y208" s="276"/>
      <c r="Z208" s="279"/>
      <c r="AA208" s="276"/>
      <c r="AB208" s="280"/>
      <c r="AC208" s="263"/>
      <c r="AD208" s="276"/>
      <c r="AE208" s="276"/>
      <c r="AF208" s="279"/>
      <c r="AG208" s="276"/>
      <c r="AH208" s="280"/>
      <c r="AI208" s="263"/>
      <c r="AJ208" s="276"/>
      <c r="AK208" s="276"/>
      <c r="AL208" s="266"/>
      <c r="AM208" s="276"/>
      <c r="AN208" s="266"/>
    </row>
    <row r="209" spans="1:44" x14ac:dyDescent="0.45">
      <c r="A209" s="15" t="s">
        <v>307</v>
      </c>
      <c r="B209" s="1">
        <v>87000</v>
      </c>
      <c r="C209" s="258" t="s">
        <v>65</v>
      </c>
      <c r="D209" s="258" t="s">
        <v>65</v>
      </c>
      <c r="E209" s="1">
        <v>0</v>
      </c>
      <c r="F209" s="65" t="s">
        <v>308</v>
      </c>
      <c r="G209" s="141">
        <v>1</v>
      </c>
      <c r="H209" s="38">
        <v>3000</v>
      </c>
      <c r="I209" s="15">
        <v>1</v>
      </c>
      <c r="J209" s="131" t="s">
        <v>309</v>
      </c>
      <c r="K209" s="37">
        <f t="shared" ref="K209" si="693">H209*G209</f>
        <v>3000</v>
      </c>
      <c r="L209" s="38">
        <v>0</v>
      </c>
      <c r="M209" s="39">
        <f t="shared" ref="M209" si="694">SUM(K209:L209)</f>
        <v>3000</v>
      </c>
      <c r="N209" s="141">
        <v>1</v>
      </c>
      <c r="O209" s="38">
        <f t="shared" ref="O209" si="695">H209</f>
        <v>3000</v>
      </c>
      <c r="P209" s="15">
        <v>1</v>
      </c>
      <c r="Q209" s="37">
        <f t="shared" ref="Q209" si="696">N209*O209</f>
        <v>3000</v>
      </c>
      <c r="R209" s="38">
        <v>0</v>
      </c>
      <c r="S209" s="39">
        <f t="shared" ref="S209" si="697">SUM(Q209:R209)</f>
        <v>3000</v>
      </c>
      <c r="T209" s="37">
        <v>1</v>
      </c>
      <c r="U209" s="38">
        <f t="shared" ref="U209" si="698">H209</f>
        <v>3000</v>
      </c>
      <c r="V209" s="15">
        <v>1</v>
      </c>
      <c r="W209" s="37">
        <f t="shared" ref="W209" si="699">U209*T209</f>
        <v>3000</v>
      </c>
      <c r="X209" s="38">
        <v>0</v>
      </c>
      <c r="Y209" s="39">
        <f t="shared" ref="Y209" si="700">SUM(W209:X209)</f>
        <v>3000</v>
      </c>
      <c r="Z209" s="37">
        <v>1</v>
      </c>
      <c r="AA209" s="38">
        <f t="shared" ref="AA209" si="701">H209</f>
        <v>3000</v>
      </c>
      <c r="AB209" s="15">
        <v>1</v>
      </c>
      <c r="AC209" s="37">
        <f t="shared" ref="AC209" si="702">AA209*Z209</f>
        <v>3000</v>
      </c>
      <c r="AD209" s="38">
        <v>0</v>
      </c>
      <c r="AE209" s="39">
        <f t="shared" ref="AE209" si="703">SUM(AC209:AD209)</f>
        <v>3000</v>
      </c>
      <c r="AF209" s="37">
        <v>1</v>
      </c>
      <c r="AG209" s="38">
        <f t="shared" ref="AG209" si="704">H209</f>
        <v>3000</v>
      </c>
      <c r="AH209" s="15">
        <v>1</v>
      </c>
      <c r="AI209" s="37">
        <f>AG209*AF209</f>
        <v>3000</v>
      </c>
      <c r="AJ209" s="38">
        <v>0</v>
      </c>
      <c r="AK209" s="38">
        <f t="shared" ref="AK209" si="705">SUM(AI209:AJ209)</f>
        <v>3000</v>
      </c>
      <c r="AL209" s="40">
        <f t="shared" ref="AL209" si="706">K209+Q209+W209+AC209+AI209</f>
        <v>15000</v>
      </c>
      <c r="AM209" s="38">
        <f t="shared" ref="AM209" si="707">L209+R209+X209+AD209+AJ209</f>
        <v>0</v>
      </c>
      <c r="AN209" s="40">
        <f t="shared" ref="AN209" si="708">SUM(AL209:AM209)</f>
        <v>15000</v>
      </c>
    </row>
    <row r="210" spans="1:44" x14ac:dyDescent="0.45">
      <c r="A210" s="15"/>
      <c r="B210" s="15"/>
      <c r="C210" s="15"/>
      <c r="D210" s="15"/>
      <c r="E210" s="15"/>
      <c r="F210" s="65"/>
      <c r="G210" s="141"/>
      <c r="H210" s="38"/>
      <c r="I210" s="15"/>
      <c r="J210" s="131"/>
      <c r="K210" s="37"/>
      <c r="L210" s="38"/>
      <c r="M210" s="38"/>
      <c r="N210" s="272"/>
      <c r="O210" s="38"/>
      <c r="P210" s="15"/>
      <c r="Q210" s="37"/>
      <c r="R210" s="38"/>
      <c r="S210" s="38"/>
      <c r="T210" s="37"/>
      <c r="U210" s="38"/>
      <c r="V210" s="15"/>
      <c r="W210" s="37"/>
      <c r="X210" s="38"/>
      <c r="Y210" s="38"/>
      <c r="Z210" s="37"/>
      <c r="AA210" s="38"/>
      <c r="AB210" s="15"/>
      <c r="AC210" s="37"/>
      <c r="AD210" s="38"/>
      <c r="AE210" s="38"/>
      <c r="AF210" s="37"/>
      <c r="AG210" s="38"/>
      <c r="AH210" s="15"/>
      <c r="AI210" s="37"/>
      <c r="AJ210" s="38"/>
      <c r="AK210" s="38"/>
      <c r="AL210" s="40"/>
      <c r="AM210" s="38"/>
      <c r="AN210" s="40"/>
    </row>
    <row r="211" spans="1:44" ht="24.9" x14ac:dyDescent="0.45">
      <c r="A211" s="575"/>
      <c r="B211" s="575"/>
      <c r="C211" s="575"/>
      <c r="D211" s="575"/>
      <c r="E211" s="575"/>
      <c r="F211" s="261" t="s">
        <v>310</v>
      </c>
      <c r="G211" s="262"/>
      <c r="H211" s="575"/>
      <c r="I211" s="575"/>
      <c r="J211" s="581"/>
      <c r="K211" s="263"/>
      <c r="L211" s="276"/>
      <c r="M211" s="275"/>
      <c r="N211" s="273"/>
      <c r="O211" s="276"/>
      <c r="P211" s="575"/>
      <c r="Q211" s="263"/>
      <c r="R211" s="276"/>
      <c r="S211" s="276"/>
      <c r="T211" s="279"/>
      <c r="U211" s="276"/>
      <c r="V211" s="280"/>
      <c r="W211" s="263"/>
      <c r="X211" s="276"/>
      <c r="Y211" s="276"/>
      <c r="Z211" s="279"/>
      <c r="AA211" s="276"/>
      <c r="AB211" s="280"/>
      <c r="AC211" s="263"/>
      <c r="AD211" s="276"/>
      <c r="AE211" s="276"/>
      <c r="AF211" s="279"/>
      <c r="AG211" s="276"/>
      <c r="AH211" s="280"/>
      <c r="AI211" s="263"/>
      <c r="AJ211" s="276"/>
      <c r="AK211" s="276"/>
      <c r="AL211" s="266"/>
      <c r="AM211" s="276"/>
      <c r="AN211" s="266"/>
    </row>
    <row r="212" spans="1:44" x14ac:dyDescent="0.45">
      <c r="A212" s="15" t="s">
        <v>311</v>
      </c>
      <c r="B212" s="1">
        <v>81025</v>
      </c>
      <c r="C212" s="258" t="s">
        <v>65</v>
      </c>
      <c r="D212" s="258" t="s">
        <v>65</v>
      </c>
      <c r="E212" s="1">
        <v>0</v>
      </c>
      <c r="F212" s="65" t="s">
        <v>312</v>
      </c>
      <c r="G212" s="140">
        <v>1</v>
      </c>
      <c r="H212" s="15">
        <v>3600</v>
      </c>
      <c r="I212" s="15">
        <v>1</v>
      </c>
      <c r="J212" s="131" t="s">
        <v>249</v>
      </c>
      <c r="K212" s="37">
        <f>I212*H212*G212</f>
        <v>3600</v>
      </c>
      <c r="L212" s="38">
        <v>0</v>
      </c>
      <c r="M212" s="39">
        <f>SUM(K212:L212)</f>
        <v>3600</v>
      </c>
      <c r="N212" s="140">
        <v>1</v>
      </c>
      <c r="O212" s="38">
        <f>H212*$G$6</f>
        <v>3653.9999999999995</v>
      </c>
      <c r="P212" s="1">
        <v>1</v>
      </c>
      <c r="Q212" s="37">
        <f>P212*O212*N212</f>
        <v>3653.9999999999995</v>
      </c>
      <c r="R212" s="38">
        <v>0</v>
      </c>
      <c r="S212" s="39">
        <f>SUM(Q212:R212)</f>
        <v>3653.9999999999995</v>
      </c>
      <c r="T212" s="140">
        <v>1</v>
      </c>
      <c r="U212" s="38">
        <f>H212*$G$6*$G$6</f>
        <v>3708.809999999999</v>
      </c>
      <c r="V212" s="1">
        <v>1</v>
      </c>
      <c r="W212" s="37">
        <f>V212*U212*T212</f>
        <v>3708.809999999999</v>
      </c>
      <c r="X212" s="38">
        <v>0</v>
      </c>
      <c r="Y212" s="39">
        <f>SUM(W212:W212)</f>
        <v>3708.809999999999</v>
      </c>
      <c r="Z212" s="140">
        <v>1</v>
      </c>
      <c r="AA212" s="38">
        <f t="shared" ref="AA212:AA217" si="709">H212*$G$6*$G$6*$G$6</f>
        <v>3764.4421499999985</v>
      </c>
      <c r="AB212" s="1">
        <v>1</v>
      </c>
      <c r="AC212" s="37">
        <f>AB212*AA212*Z212</f>
        <v>3764.4421499999985</v>
      </c>
      <c r="AD212" s="38">
        <v>0</v>
      </c>
      <c r="AE212" s="39">
        <f>SUM(AC212:AD212)</f>
        <v>3764.4421499999985</v>
      </c>
      <c r="AF212" s="140">
        <v>1</v>
      </c>
      <c r="AG212" s="38">
        <f t="shared" ref="AG212:AG217" si="710">H212*$G$6*$G$6*$G$6*$G$6</f>
        <v>3820.9087822499982</v>
      </c>
      <c r="AH212" s="1">
        <v>1</v>
      </c>
      <c r="AI212" s="37">
        <f>AH212*AG212*AF212</f>
        <v>3820.9087822499982</v>
      </c>
      <c r="AJ212" s="38">
        <v>0</v>
      </c>
      <c r="AK212" s="38">
        <f>SUM(AI212:AJ212)</f>
        <v>3820.9087822499982</v>
      </c>
      <c r="AL212" s="40">
        <f t="shared" ref="AL212:AL214" si="711">K212+Q212+W212+AC212+AI212</f>
        <v>18548.160932249997</v>
      </c>
      <c r="AM212" s="38">
        <f t="shared" ref="AM212:AM214" si="712">L212+R212+X212+AD212+AJ212</f>
        <v>0</v>
      </c>
      <c r="AN212" s="40">
        <f t="shared" ref="AN212:AN214" si="713">SUM(AL212:AM212)</f>
        <v>18548.160932249997</v>
      </c>
      <c r="AP212" s="91"/>
      <c r="AQ212" s="91"/>
      <c r="AR212" s="91"/>
    </row>
    <row r="213" spans="1:44" x14ac:dyDescent="0.45">
      <c r="A213" s="15" t="s">
        <v>313</v>
      </c>
      <c r="B213" s="1">
        <v>82420</v>
      </c>
      <c r="C213" s="258" t="s">
        <v>65</v>
      </c>
      <c r="D213" s="258" t="s">
        <v>65</v>
      </c>
      <c r="E213" s="1">
        <v>0</v>
      </c>
      <c r="F213" s="65" t="s">
        <v>314</v>
      </c>
      <c r="G213" s="141">
        <v>1</v>
      </c>
      <c r="H213" s="38">
        <v>10000</v>
      </c>
      <c r="I213" s="15">
        <v>1</v>
      </c>
      <c r="J213" s="131" t="s">
        <v>183</v>
      </c>
      <c r="K213" s="37">
        <f t="shared" ref="K213" si="714">H213*G213</f>
        <v>10000</v>
      </c>
      <c r="L213" s="38">
        <v>0</v>
      </c>
      <c r="M213" s="39">
        <f t="shared" ref="M213:M214" si="715">SUM(K213:L213)</f>
        <v>10000</v>
      </c>
      <c r="N213" s="141">
        <v>0</v>
      </c>
      <c r="O213" s="38">
        <f t="shared" ref="O213:O217" si="716">H213*$G$6</f>
        <v>10149.999999999998</v>
      </c>
      <c r="P213" s="1">
        <v>1</v>
      </c>
      <c r="Q213" s="37">
        <f t="shared" ref="Q213:Q214" si="717">N213*O213</f>
        <v>0</v>
      </c>
      <c r="R213" s="38">
        <v>0</v>
      </c>
      <c r="S213" s="39">
        <f t="shared" ref="S213:S214" si="718">SUM(Q213:R213)</f>
        <v>0</v>
      </c>
      <c r="T213" s="37">
        <v>0</v>
      </c>
      <c r="U213" s="38">
        <f t="shared" ref="U213:U217" si="719">H213*$G$6*$G$6</f>
        <v>10302.249999999996</v>
      </c>
      <c r="V213" s="1">
        <v>1</v>
      </c>
      <c r="W213" s="37">
        <f t="shared" ref="W213:W214" si="720">U213*T213</f>
        <v>0</v>
      </c>
      <c r="X213" s="38">
        <v>0</v>
      </c>
      <c r="Y213" s="39">
        <f t="shared" ref="Y213:Y214" si="721">SUM(W213:X213)</f>
        <v>0</v>
      </c>
      <c r="Z213" s="37">
        <v>0</v>
      </c>
      <c r="AA213" s="38">
        <f t="shared" si="709"/>
        <v>10456.783749999995</v>
      </c>
      <c r="AB213" s="1">
        <v>1</v>
      </c>
      <c r="AC213" s="37">
        <f t="shared" ref="AC213:AC214" si="722">AA213*Z213</f>
        <v>0</v>
      </c>
      <c r="AD213" s="38">
        <v>0</v>
      </c>
      <c r="AE213" s="39">
        <f t="shared" ref="AE213:AE214" si="723">SUM(AC213:AD213)</f>
        <v>0</v>
      </c>
      <c r="AF213" s="37">
        <v>0</v>
      </c>
      <c r="AG213" s="38">
        <f t="shared" si="710"/>
        <v>10613.635506249993</v>
      </c>
      <c r="AH213" s="1">
        <v>1</v>
      </c>
      <c r="AI213" s="37">
        <f>AG213*AF213</f>
        <v>0</v>
      </c>
      <c r="AJ213" s="38">
        <v>0</v>
      </c>
      <c r="AK213" s="38">
        <f t="shared" ref="AK213:AK214" si="724">SUM(AI213:AJ213)</f>
        <v>0</v>
      </c>
      <c r="AL213" s="40">
        <f t="shared" si="711"/>
        <v>10000</v>
      </c>
      <c r="AM213" s="38">
        <f t="shared" si="712"/>
        <v>0</v>
      </c>
      <c r="AN213" s="40">
        <f t="shared" si="713"/>
        <v>10000</v>
      </c>
    </row>
    <row r="214" spans="1:44" x14ac:dyDescent="0.45">
      <c r="A214" s="15" t="s">
        <v>315</v>
      </c>
      <c r="B214" s="1">
        <v>87000</v>
      </c>
      <c r="C214" s="258" t="s">
        <v>65</v>
      </c>
      <c r="D214" s="258" t="s">
        <v>65</v>
      </c>
      <c r="E214" s="1">
        <v>0</v>
      </c>
      <c r="F214" s="65" t="s">
        <v>316</v>
      </c>
      <c r="G214" s="141">
        <v>7</v>
      </c>
      <c r="H214" s="38">
        <v>250</v>
      </c>
      <c r="I214" s="15">
        <v>1</v>
      </c>
      <c r="J214" s="131" t="s">
        <v>309</v>
      </c>
      <c r="K214" s="37">
        <f>H214*G214</f>
        <v>1750</v>
      </c>
      <c r="L214" s="38">
        <v>0</v>
      </c>
      <c r="M214" s="39">
        <f t="shared" si="715"/>
        <v>1750</v>
      </c>
      <c r="N214" s="141">
        <v>7</v>
      </c>
      <c r="O214" s="38">
        <f t="shared" si="716"/>
        <v>253.74999999999997</v>
      </c>
      <c r="P214" s="1">
        <v>1</v>
      </c>
      <c r="Q214" s="37">
        <f t="shared" si="717"/>
        <v>1776.2499999999998</v>
      </c>
      <c r="R214" s="38">
        <v>0</v>
      </c>
      <c r="S214" s="39">
        <f t="shared" si="718"/>
        <v>1776.2499999999998</v>
      </c>
      <c r="T214" s="37">
        <v>7</v>
      </c>
      <c r="U214" s="38">
        <f t="shared" si="719"/>
        <v>257.55624999999992</v>
      </c>
      <c r="V214" s="1">
        <v>1</v>
      </c>
      <c r="W214" s="37">
        <f t="shared" si="720"/>
        <v>1802.8937499999995</v>
      </c>
      <c r="X214" s="38">
        <v>0</v>
      </c>
      <c r="Y214" s="39">
        <f t="shared" si="721"/>
        <v>1802.8937499999995</v>
      </c>
      <c r="Z214" s="37">
        <v>7</v>
      </c>
      <c r="AA214" s="38">
        <f t="shared" si="709"/>
        <v>261.41959374999988</v>
      </c>
      <c r="AB214" s="1">
        <v>1</v>
      </c>
      <c r="AC214" s="37">
        <f t="shared" si="722"/>
        <v>1829.9371562499991</v>
      </c>
      <c r="AD214" s="38">
        <v>0</v>
      </c>
      <c r="AE214" s="39">
        <f t="shared" si="723"/>
        <v>1829.9371562499991</v>
      </c>
      <c r="AF214" s="37">
        <v>7</v>
      </c>
      <c r="AG214" s="38">
        <f t="shared" si="710"/>
        <v>265.34088765624983</v>
      </c>
      <c r="AH214" s="1">
        <v>1</v>
      </c>
      <c r="AI214" s="37">
        <f>AG214*AF214</f>
        <v>1857.3862135937488</v>
      </c>
      <c r="AJ214" s="38">
        <v>0</v>
      </c>
      <c r="AK214" s="38">
        <f t="shared" si="724"/>
        <v>1857.3862135937488</v>
      </c>
      <c r="AL214" s="40">
        <f t="shared" si="711"/>
        <v>9016.4671198437463</v>
      </c>
      <c r="AM214" s="38">
        <f t="shared" si="712"/>
        <v>0</v>
      </c>
      <c r="AN214" s="40">
        <f t="shared" si="713"/>
        <v>9016.4671198437463</v>
      </c>
    </row>
    <row r="215" spans="1:44" x14ac:dyDescent="0.45">
      <c r="A215" s="15" t="s">
        <v>317</v>
      </c>
      <c r="B215" s="1">
        <v>87000</v>
      </c>
      <c r="C215" s="258" t="s">
        <v>65</v>
      </c>
      <c r="D215" s="258" t="s">
        <v>65</v>
      </c>
      <c r="E215" s="1">
        <v>0</v>
      </c>
      <c r="F215" s="65" t="s">
        <v>318</v>
      </c>
      <c r="G215" s="141">
        <v>7</v>
      </c>
      <c r="H215" s="38">
        <v>250</v>
      </c>
      <c r="I215" s="15">
        <v>1</v>
      </c>
      <c r="J215" s="131" t="s">
        <v>309</v>
      </c>
      <c r="K215" s="37">
        <f>H215*G215</f>
        <v>1750</v>
      </c>
      <c r="L215" s="38">
        <v>0</v>
      </c>
      <c r="M215" s="39">
        <f t="shared" ref="M215" si="725">SUM(K215:L215)</f>
        <v>1750</v>
      </c>
      <c r="N215" s="141">
        <v>7</v>
      </c>
      <c r="O215" s="38">
        <f t="shared" si="716"/>
        <v>253.74999999999997</v>
      </c>
      <c r="P215" s="1">
        <v>1</v>
      </c>
      <c r="Q215" s="37">
        <f t="shared" ref="Q215" si="726">N215*O215</f>
        <v>1776.2499999999998</v>
      </c>
      <c r="R215" s="38">
        <v>0</v>
      </c>
      <c r="S215" s="39">
        <f t="shared" ref="S215" si="727">SUM(Q215:R215)</f>
        <v>1776.2499999999998</v>
      </c>
      <c r="T215" s="37">
        <v>7</v>
      </c>
      <c r="U215" s="38">
        <f t="shared" si="719"/>
        <v>257.55624999999992</v>
      </c>
      <c r="V215" s="1">
        <v>1</v>
      </c>
      <c r="W215" s="37">
        <f t="shared" ref="W215" si="728">U215*T215</f>
        <v>1802.8937499999995</v>
      </c>
      <c r="X215" s="38">
        <v>0</v>
      </c>
      <c r="Y215" s="39">
        <f t="shared" ref="Y215" si="729">SUM(W215:X215)</f>
        <v>1802.8937499999995</v>
      </c>
      <c r="Z215" s="37">
        <v>7</v>
      </c>
      <c r="AA215" s="38">
        <f t="shared" si="709"/>
        <v>261.41959374999988</v>
      </c>
      <c r="AB215" s="1">
        <v>1</v>
      </c>
      <c r="AC215" s="37">
        <f t="shared" ref="AC215" si="730">AA215*Z215</f>
        <v>1829.9371562499991</v>
      </c>
      <c r="AD215" s="38">
        <v>0</v>
      </c>
      <c r="AE215" s="39">
        <f t="shared" ref="AE215" si="731">SUM(AC215:AD215)</f>
        <v>1829.9371562499991</v>
      </c>
      <c r="AF215" s="37">
        <v>7</v>
      </c>
      <c r="AG215" s="38">
        <f t="shared" si="710"/>
        <v>265.34088765624983</v>
      </c>
      <c r="AH215" s="1">
        <v>1</v>
      </c>
      <c r="AI215" s="37">
        <f>AG215*AF215</f>
        <v>1857.3862135937488</v>
      </c>
      <c r="AJ215" s="38">
        <v>0</v>
      </c>
      <c r="AK215" s="38">
        <f t="shared" ref="AK215" si="732">SUM(AI215:AJ215)</f>
        <v>1857.3862135937488</v>
      </c>
      <c r="AL215" s="40">
        <f t="shared" ref="AL215" si="733">K215+Q215+W215+AC215+AI215</f>
        <v>9016.4671198437463</v>
      </c>
      <c r="AM215" s="38">
        <f t="shared" ref="AM215" si="734">L215+R215+X215+AD215+AJ215</f>
        <v>0</v>
      </c>
      <c r="AN215" s="40">
        <f t="shared" ref="AN215" si="735">SUM(AL215:AM215)</f>
        <v>9016.4671198437463</v>
      </c>
    </row>
    <row r="216" spans="1:44" x14ac:dyDescent="0.45">
      <c r="A216" s="15" t="s">
        <v>319</v>
      </c>
      <c r="B216" s="1" t="s">
        <v>320</v>
      </c>
      <c r="C216" s="258" t="s">
        <v>65</v>
      </c>
      <c r="D216" s="258" t="s">
        <v>65</v>
      </c>
      <c r="E216" s="1">
        <v>0</v>
      </c>
      <c r="F216" s="65" t="s">
        <v>321</v>
      </c>
      <c r="G216" s="141">
        <v>1</v>
      </c>
      <c r="H216" s="38">
        <v>10000</v>
      </c>
      <c r="I216" s="15">
        <v>1</v>
      </c>
      <c r="J216" s="131" t="s">
        <v>322</v>
      </c>
      <c r="K216" s="37">
        <f t="shared" ref="K216:K217" si="736">H216*G216</f>
        <v>10000</v>
      </c>
      <c r="L216" s="38">
        <v>0</v>
      </c>
      <c r="M216" s="39">
        <f t="shared" ref="M216:M217" si="737">SUM(K216:L216)</f>
        <v>10000</v>
      </c>
      <c r="N216" s="141">
        <v>0</v>
      </c>
      <c r="O216" s="38">
        <f t="shared" si="716"/>
        <v>10149.999999999998</v>
      </c>
      <c r="P216" s="1">
        <v>1</v>
      </c>
      <c r="Q216" s="37">
        <f t="shared" ref="Q216:Q217" si="738">N216*O216</f>
        <v>0</v>
      </c>
      <c r="R216" s="38">
        <v>0</v>
      </c>
      <c r="S216" s="39">
        <f t="shared" ref="S216:S217" si="739">SUM(Q216:R216)</f>
        <v>0</v>
      </c>
      <c r="T216" s="37">
        <v>0</v>
      </c>
      <c r="U216" s="38">
        <f t="shared" si="719"/>
        <v>10302.249999999996</v>
      </c>
      <c r="V216" s="1">
        <v>1</v>
      </c>
      <c r="W216" s="37">
        <f t="shared" ref="W216:W217" si="740">U216*T216</f>
        <v>0</v>
      </c>
      <c r="X216" s="38">
        <v>0</v>
      </c>
      <c r="Y216" s="39">
        <f t="shared" ref="Y216:Y217" si="741">SUM(W216:X216)</f>
        <v>0</v>
      </c>
      <c r="Z216" s="37">
        <v>0</v>
      </c>
      <c r="AA216" s="38">
        <f t="shared" si="709"/>
        <v>10456.783749999995</v>
      </c>
      <c r="AB216" s="1">
        <v>1</v>
      </c>
      <c r="AC216" s="37">
        <f t="shared" ref="AC216:AC217" si="742">AA216*Z216</f>
        <v>0</v>
      </c>
      <c r="AD216" s="38">
        <v>0</v>
      </c>
      <c r="AE216" s="39">
        <f t="shared" ref="AE216:AE217" si="743">SUM(AC216:AD216)</f>
        <v>0</v>
      </c>
      <c r="AF216" s="37">
        <v>0</v>
      </c>
      <c r="AG216" s="38">
        <f t="shared" si="710"/>
        <v>10613.635506249993</v>
      </c>
      <c r="AH216" s="1">
        <v>1</v>
      </c>
      <c r="AI216" s="37">
        <f>AG216*AF216</f>
        <v>0</v>
      </c>
      <c r="AJ216" s="38">
        <v>0</v>
      </c>
      <c r="AK216" s="38">
        <f t="shared" ref="AK216:AK217" si="744">SUM(AI216:AJ216)</f>
        <v>0</v>
      </c>
      <c r="AL216" s="40">
        <f t="shared" ref="AL216:AL217" si="745">K216+Q216+W216+AC216+AI216</f>
        <v>10000</v>
      </c>
      <c r="AM216" s="38">
        <f t="shared" ref="AM216:AM217" si="746">L216+R216+X216+AD216+AJ216</f>
        <v>0</v>
      </c>
      <c r="AN216" s="40">
        <f t="shared" ref="AN216:AN217" si="747">SUM(AL216:AM216)</f>
        <v>10000</v>
      </c>
    </row>
    <row r="217" spans="1:44" x14ac:dyDescent="0.45">
      <c r="A217" s="15" t="s">
        <v>323</v>
      </c>
      <c r="B217" s="1">
        <v>87000</v>
      </c>
      <c r="C217" s="258" t="s">
        <v>65</v>
      </c>
      <c r="D217" s="258" t="s">
        <v>65</v>
      </c>
      <c r="E217" s="1">
        <v>0</v>
      </c>
      <c r="F217" s="65" t="s">
        <v>324</v>
      </c>
      <c r="G217" s="141">
        <v>1</v>
      </c>
      <c r="H217" s="38">
        <v>5000</v>
      </c>
      <c r="I217" s="15">
        <v>1</v>
      </c>
      <c r="J217" s="131" t="s">
        <v>309</v>
      </c>
      <c r="K217" s="37">
        <f t="shared" si="736"/>
        <v>5000</v>
      </c>
      <c r="L217" s="38">
        <v>0</v>
      </c>
      <c r="M217" s="39">
        <f t="shared" si="737"/>
        <v>5000</v>
      </c>
      <c r="N217" s="141">
        <v>0</v>
      </c>
      <c r="O217" s="38">
        <f t="shared" si="716"/>
        <v>5074.9999999999991</v>
      </c>
      <c r="P217" s="1">
        <v>1</v>
      </c>
      <c r="Q217" s="37">
        <f t="shared" si="738"/>
        <v>0</v>
      </c>
      <c r="R217" s="38">
        <v>0</v>
      </c>
      <c r="S217" s="39">
        <f t="shared" si="739"/>
        <v>0</v>
      </c>
      <c r="T217" s="37">
        <v>0</v>
      </c>
      <c r="U217" s="38">
        <f t="shared" si="719"/>
        <v>5151.1249999999982</v>
      </c>
      <c r="V217" s="1">
        <v>1</v>
      </c>
      <c r="W217" s="37">
        <f t="shared" si="740"/>
        <v>0</v>
      </c>
      <c r="X217" s="38">
        <v>0</v>
      </c>
      <c r="Y217" s="39">
        <f t="shared" si="741"/>
        <v>0</v>
      </c>
      <c r="Z217" s="37">
        <v>0</v>
      </c>
      <c r="AA217" s="38">
        <f t="shared" si="709"/>
        <v>5228.3918749999975</v>
      </c>
      <c r="AB217" s="1">
        <v>1</v>
      </c>
      <c r="AC217" s="37">
        <f t="shared" si="742"/>
        <v>0</v>
      </c>
      <c r="AD217" s="38">
        <v>0</v>
      </c>
      <c r="AE217" s="39">
        <f t="shared" si="743"/>
        <v>0</v>
      </c>
      <c r="AF217" s="37">
        <v>0</v>
      </c>
      <c r="AG217" s="38">
        <f t="shared" si="710"/>
        <v>5306.8177531249967</v>
      </c>
      <c r="AH217" s="1">
        <v>1</v>
      </c>
      <c r="AI217" s="37">
        <f>AG217*AF217</f>
        <v>0</v>
      </c>
      <c r="AJ217" s="38">
        <v>0</v>
      </c>
      <c r="AK217" s="38">
        <f t="shared" si="744"/>
        <v>0</v>
      </c>
      <c r="AL217" s="40">
        <f t="shared" si="745"/>
        <v>5000</v>
      </c>
      <c r="AM217" s="38">
        <f t="shared" si="746"/>
        <v>0</v>
      </c>
      <c r="AN217" s="40">
        <f t="shared" si="747"/>
        <v>5000</v>
      </c>
    </row>
    <row r="218" spans="1:44" s="10" customFormat="1" x14ac:dyDescent="0.45">
      <c r="A218" s="145"/>
      <c r="B218" s="145"/>
      <c r="C218" s="145"/>
      <c r="D218" s="145"/>
      <c r="E218" s="145"/>
      <c r="F218" s="580" t="s">
        <v>325</v>
      </c>
      <c r="G218" s="145"/>
      <c r="H218" s="129"/>
      <c r="I218" s="145"/>
      <c r="J218" s="129"/>
      <c r="K218" s="42">
        <f>SUM(K181:K217)</f>
        <v>292070</v>
      </c>
      <c r="L218" s="42">
        <f>SUM(L181:L217)</f>
        <v>0</v>
      </c>
      <c r="M218" s="42">
        <f>SUM(M181:M217)</f>
        <v>292070</v>
      </c>
      <c r="N218" s="145"/>
      <c r="O218" s="43"/>
      <c r="P218" s="129"/>
      <c r="Q218" s="42">
        <f>SUM(Q181:Q217)</f>
        <v>168217.7</v>
      </c>
      <c r="R218" s="42">
        <f>SUM(R181:R217)</f>
        <v>0</v>
      </c>
      <c r="S218" s="42">
        <f>SUM(S181:S217)</f>
        <v>168217.7</v>
      </c>
      <c r="T218" s="281"/>
      <c r="U218" s="129"/>
      <c r="V218" s="282"/>
      <c r="W218" s="42">
        <f>SUM(W181:W217)</f>
        <v>172313.13349999997</v>
      </c>
      <c r="X218" s="42">
        <f>SUM(X181:X217)</f>
        <v>0</v>
      </c>
      <c r="Y218" s="42">
        <f>SUM(Y181:Y217)</f>
        <v>172313.13349999997</v>
      </c>
      <c r="Z218" s="281"/>
      <c r="AA218" s="129"/>
      <c r="AB218" s="1"/>
      <c r="AC218" s="42">
        <f>SUM(AC181:AC217)</f>
        <v>174029.80854250002</v>
      </c>
      <c r="AD218" s="42">
        <f>SUM(AD181:AD217)</f>
        <v>0</v>
      </c>
      <c r="AE218" s="42">
        <f>SUM(AE181:AE217)</f>
        <v>174029.80854250002</v>
      </c>
      <c r="AF218" s="281"/>
      <c r="AG218" s="129"/>
      <c r="AH218" s="282"/>
      <c r="AI218" s="42">
        <f t="shared" ref="AI218:AN218" si="748">SUM(AI181:AI217)</f>
        <v>137816.47741948746</v>
      </c>
      <c r="AJ218" s="42">
        <f t="shared" si="748"/>
        <v>0</v>
      </c>
      <c r="AK218" s="42">
        <f t="shared" si="748"/>
        <v>137816.47741948746</v>
      </c>
      <c r="AL218" s="45">
        <f t="shared" si="748"/>
        <v>944447.1194619874</v>
      </c>
      <c r="AM218" s="43">
        <f t="shared" si="748"/>
        <v>0</v>
      </c>
      <c r="AN218" s="45">
        <f t="shared" si="748"/>
        <v>944447.1194619874</v>
      </c>
      <c r="AO218" s="1"/>
    </row>
    <row r="219" spans="1:44" x14ac:dyDescent="0.45">
      <c r="F219" s="82"/>
      <c r="G219" s="140"/>
      <c r="K219" s="37"/>
      <c r="L219" s="38"/>
      <c r="M219" s="39"/>
      <c r="N219" s="140"/>
      <c r="Q219" s="37"/>
      <c r="R219" s="38"/>
      <c r="S219" s="38"/>
      <c r="T219" s="69"/>
      <c r="U219" s="68"/>
      <c r="V219" s="283"/>
      <c r="W219" s="37"/>
      <c r="X219" s="38"/>
      <c r="Y219" s="38"/>
      <c r="Z219" s="69"/>
      <c r="AA219" s="68"/>
      <c r="AB219" s="283"/>
      <c r="AC219" s="37"/>
      <c r="AD219" s="38"/>
      <c r="AE219" s="39"/>
      <c r="AF219" s="140"/>
      <c r="AI219" s="37"/>
      <c r="AJ219" s="38"/>
      <c r="AK219" s="38"/>
      <c r="AL219" s="40"/>
      <c r="AM219" s="38"/>
      <c r="AN219" s="40"/>
    </row>
    <row r="220" spans="1:44" s="9" customFormat="1" x14ac:dyDescent="0.45">
      <c r="A220" s="157"/>
      <c r="B220" s="157"/>
      <c r="C220" s="157"/>
      <c r="D220" s="157"/>
      <c r="E220" s="157"/>
      <c r="F220" s="93" t="s">
        <v>326</v>
      </c>
      <c r="G220" s="156"/>
      <c r="H220" s="157"/>
      <c r="I220" s="157"/>
      <c r="J220" s="157"/>
      <c r="K220" s="50">
        <f>K218+K178</f>
        <v>316251</v>
      </c>
      <c r="L220" s="50">
        <f>L218+L178</f>
        <v>0</v>
      </c>
      <c r="M220" s="50">
        <f>M218+M178</f>
        <v>316251</v>
      </c>
      <c r="N220" s="156"/>
      <c r="O220" s="157"/>
      <c r="P220" s="157"/>
      <c r="Q220" s="50">
        <f>Q218+Q178</f>
        <v>192761.41500000001</v>
      </c>
      <c r="R220" s="50">
        <f>R218+R178</f>
        <v>0</v>
      </c>
      <c r="S220" s="50">
        <f>S218+S178</f>
        <v>192761.41500000001</v>
      </c>
      <c r="T220" s="156"/>
      <c r="U220" s="157"/>
      <c r="V220" s="157"/>
      <c r="W220" s="50">
        <f>W218+W178</f>
        <v>197225.00422499995</v>
      </c>
      <c r="X220" s="50">
        <f>X218+X178</f>
        <v>0</v>
      </c>
      <c r="Y220" s="50">
        <f>Y218+Y178</f>
        <v>197225.00422499995</v>
      </c>
      <c r="Z220" s="156"/>
      <c r="AA220" s="157"/>
      <c r="AB220" s="157"/>
      <c r="AC220" s="50">
        <f>AC218+AC178</f>
        <v>199315.35732837502</v>
      </c>
      <c r="AD220" s="50">
        <f>AD218+AD178</f>
        <v>0</v>
      </c>
      <c r="AE220" s="50">
        <f>AE218+AE178</f>
        <v>199315.35732837502</v>
      </c>
      <c r="AF220" s="156"/>
      <c r="AG220" s="157"/>
      <c r="AH220" s="157"/>
      <c r="AI220" s="50">
        <f t="shared" ref="AI220:AN220" si="749">AI218+AI178</f>
        <v>163481.30943715057</v>
      </c>
      <c r="AJ220" s="50">
        <f t="shared" si="749"/>
        <v>0</v>
      </c>
      <c r="AK220" s="50">
        <f t="shared" si="749"/>
        <v>163481.30943715057</v>
      </c>
      <c r="AL220" s="71">
        <f t="shared" si="749"/>
        <v>1069034.0859905255</v>
      </c>
      <c r="AM220" s="544">
        <f t="shared" si="749"/>
        <v>0</v>
      </c>
      <c r="AN220" s="71">
        <f t="shared" si="749"/>
        <v>1069034.0859905255</v>
      </c>
      <c r="AO220" s="1"/>
      <c r="AP220" s="100"/>
    </row>
    <row r="221" spans="1:44" x14ac:dyDescent="0.45">
      <c r="F221" s="82"/>
      <c r="G221" s="140"/>
      <c r="K221" s="37"/>
      <c r="L221" s="38"/>
      <c r="M221" s="39"/>
      <c r="N221" s="140"/>
      <c r="Q221" s="37"/>
      <c r="R221" s="38"/>
      <c r="S221" s="39"/>
      <c r="T221" s="140"/>
      <c r="W221" s="37"/>
      <c r="X221" s="38"/>
      <c r="Y221" s="39"/>
      <c r="Z221" s="140"/>
      <c r="AC221" s="37"/>
      <c r="AD221" s="38"/>
      <c r="AE221" s="39"/>
      <c r="AF221" s="140"/>
      <c r="AI221" s="37"/>
      <c r="AJ221" s="38"/>
      <c r="AK221" s="38"/>
      <c r="AL221" s="40"/>
      <c r="AM221" s="38"/>
      <c r="AN221" s="40"/>
      <c r="AP221" s="100"/>
    </row>
    <row r="222" spans="1:44" s="9" customFormat="1" ht="12.3" x14ac:dyDescent="0.4">
      <c r="A222" s="163"/>
      <c r="B222" s="163"/>
      <c r="C222" s="163"/>
      <c r="D222" s="163"/>
      <c r="E222" s="163"/>
      <c r="F222" s="101" t="s">
        <v>20</v>
      </c>
      <c r="G222" s="162"/>
      <c r="H222" s="163"/>
      <c r="I222" s="163"/>
      <c r="J222" s="164"/>
      <c r="K222" s="630">
        <f>K220+K168+K137+K112+K106+K57+K39</f>
        <v>5071892.2990725003</v>
      </c>
      <c r="L222" s="631">
        <f>L220+L168+L137+L112+L106+L57+L39</f>
        <v>245351.81794007143</v>
      </c>
      <c r="M222" s="632">
        <f>SUM(K222:L222)</f>
        <v>5317244.1170125715</v>
      </c>
      <c r="N222" s="162"/>
      <c r="O222" s="163"/>
      <c r="P222" s="163"/>
      <c r="Q222" s="633">
        <f>Q220+Q168+Q137+Q112+Q106+Q57+Q39</f>
        <v>5632102.3906284003</v>
      </c>
      <c r="R222" s="631">
        <f>R220+R168+R137+R112+R106+R57+R39</f>
        <v>200067.83669724112</v>
      </c>
      <c r="S222" s="632">
        <f>SUM(Q222:R222)</f>
        <v>5832170.2273256416</v>
      </c>
      <c r="T222" s="162"/>
      <c r="U222" s="163"/>
      <c r="V222" s="163"/>
      <c r="W222" s="634">
        <f>W220+W168+W137+W112+W106+W57+W39</f>
        <v>6035321.4144941363</v>
      </c>
      <c r="X222" s="635">
        <f>X220+X168+X137+X112+X106+X57+X39</f>
        <v>198207.17167513084</v>
      </c>
      <c r="Y222" s="636">
        <f>Y220+Y168+Y137+Y112+Y106+Y57+Y39</f>
        <v>6233528.5861692671</v>
      </c>
      <c r="Z222" s="162"/>
      <c r="AA222" s="163"/>
      <c r="AB222" s="163"/>
      <c r="AC222" s="634">
        <f>AC220+AC168+AC137+AC112+AC106+AC57+AC39</f>
        <v>6057263.6982695274</v>
      </c>
      <c r="AD222" s="635">
        <f>AD220+AD168+AD137+AD112+AD106+AD57+AD39</f>
        <v>205687.47972543607</v>
      </c>
      <c r="AE222" s="636">
        <f>AE220+AE168+AE137+AE112+AE106+AE57+AE39</f>
        <v>6262951.1779949628</v>
      </c>
      <c r="AF222" s="162"/>
      <c r="AG222" s="163"/>
      <c r="AH222" s="163"/>
      <c r="AI222" s="636">
        <f>AI220+AI168+AI137+AI112+AI106+AI57+AI39</f>
        <v>4400560.8928820379</v>
      </c>
      <c r="AJ222" s="635">
        <f>AJ220+AJ168+AJ137+AJ112+AJ106+AJ57+AJ39</f>
        <v>209691.70553764762</v>
      </c>
      <c r="AK222" s="635">
        <f>AK220+AK168+AK137+AK112+AK106+AK57+AK39</f>
        <v>4610252.5984196858</v>
      </c>
      <c r="AL222" s="102">
        <f>AI222+AC222+W222+Q222+K222</f>
        <v>27197140.695346601</v>
      </c>
      <c r="AM222" s="635">
        <f>AJ222+AD222+X222+R222+L222</f>
        <v>1059006.011575527</v>
      </c>
      <c r="AN222" s="102">
        <f>SUM(AL222:AM222)</f>
        <v>28256146.706922129</v>
      </c>
      <c r="AP222" s="103"/>
      <c r="AQ222" s="241"/>
    </row>
    <row r="223" spans="1:44" s="9" customFormat="1" x14ac:dyDescent="0.45">
      <c r="A223" s="166" t="s">
        <v>327</v>
      </c>
      <c r="B223" s="699" t="s">
        <v>328</v>
      </c>
      <c r="C223" s="700" t="s">
        <v>57</v>
      </c>
      <c r="D223" s="700" t="s">
        <v>57</v>
      </c>
      <c r="E223" s="700">
        <v>0</v>
      </c>
      <c r="F223" s="101" t="s">
        <v>21</v>
      </c>
      <c r="G223" s="165">
        <v>0.28689999999999999</v>
      </c>
      <c r="H223" s="166"/>
      <c r="I223" s="166"/>
      <c r="J223" s="167"/>
      <c r="K223" s="104">
        <f>K222*$G223</f>
        <v>1455125.9006039002</v>
      </c>
      <c r="L223" s="105">
        <v>0</v>
      </c>
      <c r="M223" s="106">
        <f>SUM(K223:L223)</f>
        <v>1455125.9006039002</v>
      </c>
      <c r="N223" s="165"/>
      <c r="O223" s="166"/>
      <c r="P223" s="166"/>
      <c r="Q223" s="104">
        <f>Q222*$G223</f>
        <v>1615850.1758712879</v>
      </c>
      <c r="R223" s="105">
        <v>0</v>
      </c>
      <c r="S223" s="106">
        <f>SUM(Q223:R223)</f>
        <v>1615850.1758712879</v>
      </c>
      <c r="T223" s="165"/>
      <c r="U223" s="166"/>
      <c r="V223" s="166"/>
      <c r="W223" s="104">
        <f>W222*$G223</f>
        <v>1731533.7138183676</v>
      </c>
      <c r="X223" s="105">
        <v>0</v>
      </c>
      <c r="Y223" s="106">
        <f>SUM(W223:X223)</f>
        <v>1731533.7138183676</v>
      </c>
      <c r="Z223" s="165"/>
      <c r="AA223" s="166"/>
      <c r="AB223" s="166"/>
      <c r="AC223" s="104">
        <f>AC222*$G223</f>
        <v>1737828.9550335275</v>
      </c>
      <c r="AD223" s="105">
        <v>0</v>
      </c>
      <c r="AE223" s="106">
        <f>SUM(AC223:AD223)</f>
        <v>1737828.9550335275</v>
      </c>
      <c r="AF223" s="165"/>
      <c r="AG223" s="166"/>
      <c r="AH223" s="166"/>
      <c r="AI223" s="104">
        <f>AI222*$G223</f>
        <v>1262520.9201678566</v>
      </c>
      <c r="AJ223" s="105">
        <v>0</v>
      </c>
      <c r="AK223" s="105">
        <f>SUM(AI223:AJ223)</f>
        <v>1262520.9201678566</v>
      </c>
      <c r="AL223" s="107">
        <f>AI223+AC223+W223+Q223+K223</f>
        <v>7802859.6654949393</v>
      </c>
      <c r="AM223" s="105">
        <f t="shared" ref="AM223:AM224" si="750">AJ223+AD223+X223+R223+L223</f>
        <v>0</v>
      </c>
      <c r="AN223" s="107">
        <f>SUM(AL223:AM223)</f>
        <v>7802859.6654949393</v>
      </c>
      <c r="AO223" s="108"/>
      <c r="AP223" s="103"/>
    </row>
    <row r="224" spans="1:44" ht="12.9" thickBot="1" x14ac:dyDescent="0.5">
      <c r="A224" s="169"/>
      <c r="B224" s="169"/>
      <c r="C224" s="169"/>
      <c r="D224" s="169"/>
      <c r="E224" s="169"/>
      <c r="F224" s="582" t="s">
        <v>8</v>
      </c>
      <c r="G224" s="168"/>
      <c r="H224" s="169"/>
      <c r="I224" s="169"/>
      <c r="J224" s="170"/>
      <c r="K224" s="637">
        <f>SUM(K222:K223)</f>
        <v>6527018.1996764001</v>
      </c>
      <c r="L224" s="638">
        <f t="shared" ref="L224:AK224" si="751">SUM(L222:L223)</f>
        <v>245351.81794007143</v>
      </c>
      <c r="M224" s="639">
        <f t="shared" si="751"/>
        <v>6772370.0176164713</v>
      </c>
      <c r="N224" s="168"/>
      <c r="O224" s="169"/>
      <c r="P224" s="169"/>
      <c r="Q224" s="637">
        <f t="shared" si="751"/>
        <v>7247952.5664996877</v>
      </c>
      <c r="R224" s="638">
        <f t="shared" si="751"/>
        <v>200067.83669724112</v>
      </c>
      <c r="S224" s="639">
        <f t="shared" si="751"/>
        <v>7448020.403196929</v>
      </c>
      <c r="T224" s="168"/>
      <c r="U224" s="169"/>
      <c r="V224" s="169"/>
      <c r="W224" s="637">
        <f>SUM(W222:W223)</f>
        <v>7766855.1283125039</v>
      </c>
      <c r="X224" s="638">
        <f t="shared" si="751"/>
        <v>198207.17167513084</v>
      </c>
      <c r="Y224" s="639">
        <f t="shared" si="751"/>
        <v>7965062.2999876346</v>
      </c>
      <c r="Z224" s="168"/>
      <c r="AA224" s="169"/>
      <c r="AB224" s="169"/>
      <c r="AC224" s="637">
        <f t="shared" si="751"/>
        <v>7795092.6533030551</v>
      </c>
      <c r="AD224" s="638">
        <f t="shared" si="751"/>
        <v>205687.47972543607</v>
      </c>
      <c r="AE224" s="639">
        <f t="shared" si="751"/>
        <v>8000780.1330284905</v>
      </c>
      <c r="AF224" s="168"/>
      <c r="AG224" s="169"/>
      <c r="AH224" s="169"/>
      <c r="AI224" s="637">
        <f>SUM(AI222:AI223)</f>
        <v>5663081.8130498948</v>
      </c>
      <c r="AJ224" s="638">
        <f t="shared" si="751"/>
        <v>209691.70553764762</v>
      </c>
      <c r="AK224" s="638">
        <f t="shared" si="751"/>
        <v>5872773.5185875427</v>
      </c>
      <c r="AL224" s="109">
        <f>AI224+AC224+W224+Q224+K224</f>
        <v>35000000.360841542</v>
      </c>
      <c r="AM224" s="638">
        <f t="shared" si="750"/>
        <v>1059006.011575527</v>
      </c>
      <c r="AN224" s="109">
        <f>SUM(AL224:AM224)</f>
        <v>36059006.37241707</v>
      </c>
      <c r="AO224" s="38"/>
      <c r="AP224" s="16"/>
      <c r="AQ224" s="38"/>
    </row>
    <row r="225" spans="11:40" x14ac:dyDescent="0.45">
      <c r="K225" s="38"/>
      <c r="L225" s="38"/>
      <c r="M225" s="38"/>
      <c r="Q225" s="38"/>
      <c r="R225" s="38"/>
      <c r="S225" s="38"/>
      <c r="W225" s="38"/>
      <c r="X225" s="38"/>
      <c r="Y225" s="38"/>
      <c r="AC225" s="38"/>
      <c r="AD225" s="38"/>
      <c r="AE225" s="38"/>
      <c r="AI225" s="38"/>
      <c r="AJ225" s="38"/>
      <c r="AK225" s="38"/>
      <c r="AL225" s="609"/>
      <c r="AM225" s="38"/>
      <c r="AN225" s="38"/>
    </row>
    <row r="226" spans="11:40" x14ac:dyDescent="0.45">
      <c r="K226" s="38"/>
      <c r="L226" s="38"/>
      <c r="M226" s="38"/>
      <c r="Q226" s="38"/>
      <c r="R226" s="38"/>
      <c r="S226" s="38"/>
      <c r="W226" s="38"/>
      <c r="X226" s="38"/>
      <c r="Y226" s="38"/>
      <c r="AC226" s="38"/>
      <c r="AD226" s="38"/>
      <c r="AE226" s="38"/>
      <c r="AI226" s="38"/>
      <c r="AJ226" s="38"/>
      <c r="AK226" s="38"/>
      <c r="AL226" s="38"/>
      <c r="AM226" s="38"/>
    </row>
    <row r="227" spans="11:40" x14ac:dyDescent="0.45">
      <c r="AI227" s="38"/>
      <c r="AJ227" s="38"/>
      <c r="AK227" s="38"/>
      <c r="AL227" s="14"/>
      <c r="AM227" s="38"/>
    </row>
    <row r="228" spans="11:40" x14ac:dyDescent="0.45">
      <c r="AI228" s="38"/>
      <c r="AJ228" s="38"/>
      <c r="AK228" s="38"/>
      <c r="AL228" s="14"/>
      <c r="AM228" s="38"/>
    </row>
    <row r="229" spans="11:40" x14ac:dyDescent="0.45">
      <c r="AI229" s="38"/>
      <c r="AJ229" s="38"/>
      <c r="AK229" s="38"/>
      <c r="AL229" s="38"/>
      <c r="AM229" s="38"/>
      <c r="AN229" s="38"/>
    </row>
    <row r="230" spans="11:40" x14ac:dyDescent="0.45">
      <c r="AL230" s="110"/>
    </row>
    <row r="232" spans="11:40" x14ac:dyDescent="0.45">
      <c r="AI232" s="1" t="s">
        <v>329</v>
      </c>
      <c r="AL232" s="111"/>
    </row>
  </sheetData>
  <mergeCells count="10">
    <mergeCell ref="A12:A13"/>
    <mergeCell ref="B12:B13"/>
    <mergeCell ref="C12:C13"/>
    <mergeCell ref="D12:D13"/>
    <mergeCell ref="E12:E13"/>
    <mergeCell ref="T12:Y12"/>
    <mergeCell ref="G1:AN1"/>
    <mergeCell ref="G2:AN2"/>
    <mergeCell ref="G3:AN3"/>
    <mergeCell ref="G4:AN4"/>
  </mergeCells>
  <phoneticPr fontId="5" type="noConversion"/>
  <pageMargins left="0.5" right="0.34" top="0.63" bottom="0.41" header="0.5" footer="0.5"/>
  <pageSetup paperSize="17" scale="50" fitToHeight="2" orientation="landscape" r:id="rId1"/>
  <headerFooter alignWithMargins="0"/>
  <ignoredErrors>
    <ignoredError sqref="M222 S22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2F01-868E-4E9E-B18C-A907D8DEA95A}">
  <sheetPr>
    <pageSetUpPr fitToPage="1"/>
  </sheetPr>
  <dimension ref="A1:DT25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22" sqref="B22"/>
    </sheetView>
  </sheetViews>
  <sheetFormatPr defaultColWidth="9.1640625" defaultRowHeight="15" customHeight="1" x14ac:dyDescent="0.55000000000000004"/>
  <cols>
    <col min="1" max="1" width="18.71875" style="310" bestFit="1" customWidth="1"/>
    <col min="2" max="2" width="9.71875" style="310" bestFit="1" customWidth="1"/>
    <col min="3" max="3" width="10" style="310" bestFit="1" customWidth="1"/>
    <col min="4" max="5" width="11.1640625" style="310" bestFit="1" customWidth="1"/>
    <col min="6" max="6" width="10" style="310" bestFit="1" customWidth="1"/>
    <col min="7" max="8" width="11.1640625" style="310" bestFit="1" customWidth="1"/>
    <col min="9" max="9" width="10" style="310" bestFit="1" customWidth="1"/>
    <col min="10" max="11" width="11.1640625" style="310" bestFit="1" customWidth="1"/>
    <col min="12" max="12" width="10" style="310" bestFit="1" customWidth="1"/>
    <col min="13" max="13" width="11.1640625" style="310" bestFit="1" customWidth="1"/>
    <col min="14" max="14" width="9.44140625" style="310" bestFit="1" customWidth="1"/>
    <col min="15" max="15" width="10" style="310" bestFit="1" customWidth="1"/>
    <col min="16" max="16" width="9.71875" style="310" bestFit="1" customWidth="1"/>
    <col min="17" max="17" width="11.1640625" style="310" bestFit="1" customWidth="1"/>
    <col min="18" max="18" width="10" style="310" bestFit="1" customWidth="1"/>
    <col min="19" max="19" width="11.1640625" style="310" bestFit="1" customWidth="1"/>
    <col min="20" max="16384" width="9.1640625" style="310"/>
  </cols>
  <sheetData>
    <row r="1" spans="1:19" ht="15" customHeight="1" x14ac:dyDescent="0.55000000000000004">
      <c r="A1" s="309"/>
      <c r="B1" s="739" t="s">
        <v>330</v>
      </c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</row>
    <row r="2" spans="1:19" ht="15" customHeight="1" x14ac:dyDescent="0.55000000000000004">
      <c r="B2" s="740" t="s">
        <v>1</v>
      </c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</row>
    <row r="4" spans="1:19" s="314" customFormat="1" ht="47.25" customHeight="1" x14ac:dyDescent="0.55000000000000004">
      <c r="A4" s="311"/>
      <c r="B4" s="741" t="s">
        <v>3</v>
      </c>
      <c r="C4" s="742"/>
      <c r="D4" s="743"/>
      <c r="E4" s="741" t="s">
        <v>4</v>
      </c>
      <c r="F4" s="742"/>
      <c r="G4" s="743"/>
      <c r="H4" s="741" t="s">
        <v>5</v>
      </c>
      <c r="I4" s="742"/>
      <c r="J4" s="743"/>
      <c r="K4" s="741" t="s">
        <v>6</v>
      </c>
      <c r="L4" s="742"/>
      <c r="M4" s="743"/>
      <c r="N4" s="741" t="s">
        <v>7</v>
      </c>
      <c r="O4" s="742"/>
      <c r="P4" s="743"/>
      <c r="Q4" s="312" t="s">
        <v>8</v>
      </c>
      <c r="R4" s="313" t="s">
        <v>9</v>
      </c>
      <c r="S4" s="313" t="s">
        <v>10</v>
      </c>
    </row>
    <row r="5" spans="1:19" ht="15" customHeight="1" thickBot="1" x14ac:dyDescent="0.6">
      <c r="A5" s="315"/>
      <c r="B5" s="316" t="s">
        <v>11</v>
      </c>
      <c r="C5" s="317" t="s">
        <v>12</v>
      </c>
      <c r="D5" s="318" t="s">
        <v>9</v>
      </c>
      <c r="E5" s="315" t="s">
        <v>11</v>
      </c>
      <c r="F5" s="315" t="s">
        <v>12</v>
      </c>
      <c r="G5" s="315" t="s">
        <v>9</v>
      </c>
      <c r="H5" s="318" t="s">
        <v>11</v>
      </c>
      <c r="I5" s="315" t="s">
        <v>12</v>
      </c>
      <c r="J5" s="315" t="s">
        <v>9</v>
      </c>
      <c r="K5" s="315" t="s">
        <v>11</v>
      </c>
      <c r="L5" s="315" t="s">
        <v>12</v>
      </c>
      <c r="M5" s="315" t="s">
        <v>9</v>
      </c>
      <c r="N5" s="315" t="s">
        <v>11</v>
      </c>
      <c r="O5" s="315" t="s">
        <v>12</v>
      </c>
      <c r="P5" s="315" t="s">
        <v>9</v>
      </c>
      <c r="Q5" s="319" t="s">
        <v>11</v>
      </c>
      <c r="R5" s="315" t="s">
        <v>12</v>
      </c>
      <c r="S5" s="320" t="s">
        <v>8</v>
      </c>
    </row>
    <row r="6" spans="1:19" ht="15" customHeight="1" x14ac:dyDescent="0.55000000000000004">
      <c r="A6" s="321"/>
      <c r="B6" s="322"/>
      <c r="C6" s="323"/>
      <c r="D6" s="324"/>
      <c r="E6" s="325"/>
      <c r="F6" s="326"/>
      <c r="G6" s="324"/>
      <c r="H6" s="326"/>
      <c r="I6" s="326"/>
      <c r="J6" s="324"/>
      <c r="K6" s="325"/>
      <c r="L6" s="326"/>
      <c r="M6" s="324"/>
      <c r="N6" s="325"/>
      <c r="O6" s="326"/>
      <c r="P6" s="324"/>
      <c r="Q6" s="327"/>
      <c r="R6" s="328"/>
      <c r="S6" s="327"/>
    </row>
    <row r="7" spans="1:19" ht="15" customHeight="1" x14ac:dyDescent="0.55000000000000004">
      <c r="A7" s="329" t="s">
        <v>13</v>
      </c>
      <c r="B7" s="330">
        <f>'Budget Parque Explora'!L51</f>
        <v>290716.66666666663</v>
      </c>
      <c r="C7" s="330">
        <f>'Budget Parque Explora'!M51</f>
        <v>67092.083333333343</v>
      </c>
      <c r="D7" s="330">
        <f>'Budget Parque Explora'!N51</f>
        <v>357808.75</v>
      </c>
      <c r="E7" s="330">
        <f>'Budget Parque Explora'!R51</f>
        <v>560248</v>
      </c>
      <c r="F7" s="330">
        <f>'Budget Parque Explora'!S51</f>
        <v>48302.8</v>
      </c>
      <c r="G7" s="330">
        <f>'Budget Parque Explora'!T51</f>
        <v>608550.80000000005</v>
      </c>
      <c r="H7" s="330">
        <f>'Budget Parque Explora'!X51</f>
        <v>582657.91999999993</v>
      </c>
      <c r="I7" s="330">
        <f>'Budget Parque Explora'!Y51</f>
        <v>50234.912000000011</v>
      </c>
      <c r="J7" s="330">
        <f>'Budget Parque Explora'!Z51</f>
        <v>632892.83200000017</v>
      </c>
      <c r="K7" s="330">
        <f>'Budget Parque Explora'!AD51</f>
        <v>605964.23680000007</v>
      </c>
      <c r="L7" s="330">
        <f>'Budget Parque Explora'!AE51</f>
        <v>52244.308480000014</v>
      </c>
      <c r="M7" s="330">
        <f>'Budget Parque Explora'!AF51</f>
        <v>658208.54527999996</v>
      </c>
      <c r="N7" s="330">
        <f>'Budget Parque Explora'!AJ51</f>
        <v>325522.89314133336</v>
      </c>
      <c r="O7" s="330">
        <f>'Budget Parque Explora'!AK51</f>
        <v>54457.403409066683</v>
      </c>
      <c r="P7" s="330">
        <f>'Budget Parque Explora'!AL51</f>
        <v>379980.29655039997</v>
      </c>
      <c r="Q7" s="330">
        <f>'Budget Parque Explora'!AM51</f>
        <v>2365109.716608</v>
      </c>
      <c r="R7" s="330">
        <f>'Budget Parque Explora'!AN51</f>
        <v>272331.50722240005</v>
      </c>
      <c r="S7" s="330">
        <f>'Budget Parque Explora'!AO51</f>
        <v>2637441.2238304</v>
      </c>
    </row>
    <row r="8" spans="1:19" ht="15" customHeight="1" x14ac:dyDescent="0.55000000000000004">
      <c r="A8" s="331"/>
      <c r="B8" s="332"/>
      <c r="C8" s="333"/>
      <c r="D8" s="334"/>
      <c r="E8" s="332"/>
      <c r="F8" s="333"/>
      <c r="G8" s="334"/>
      <c r="H8" s="332"/>
      <c r="I8" s="333"/>
      <c r="J8" s="334"/>
      <c r="K8" s="332"/>
      <c r="L8" s="333"/>
      <c r="M8" s="334"/>
      <c r="N8" s="332"/>
      <c r="O8" s="333"/>
      <c r="P8" s="334"/>
      <c r="Q8" s="335"/>
      <c r="R8" s="335"/>
      <c r="S8" s="335"/>
    </row>
    <row r="9" spans="1:19" ht="15" customHeight="1" x14ac:dyDescent="0.55000000000000004">
      <c r="A9" s="336" t="s">
        <v>14</v>
      </c>
      <c r="B9" s="330">
        <f>'Budget Parque Explora'!L56</f>
        <v>130924.75033333333</v>
      </c>
      <c r="C9" s="330">
        <f>'Budget Parque Explora'!M56</f>
        <v>32796.048516666669</v>
      </c>
      <c r="D9" s="330">
        <f>'Budget Parque Explora'!N56</f>
        <v>163720.79884999999</v>
      </c>
      <c r="E9" s="330">
        <f>'Budget Parque Explora'!R56</f>
        <v>243225.18272000001</v>
      </c>
      <c r="F9" s="330">
        <f>'Budget Parque Explora'!S56</f>
        <v>22641.902192000001</v>
      </c>
      <c r="G9" s="330">
        <f>'Budget Parque Explora'!T56</f>
        <v>265867.08491199999</v>
      </c>
      <c r="H9" s="330">
        <f>'Budget Parque Explora'!X56</f>
        <v>252954.19002879999</v>
      </c>
      <c r="I9" s="330">
        <f>'Budget Parque Explora'!Y56</f>
        <v>23547.578279680005</v>
      </c>
      <c r="J9" s="330">
        <f>'Budget Parque Explora'!Z56</f>
        <v>276501.76830848004</v>
      </c>
      <c r="K9" s="330">
        <f>'Budget Parque Explora'!AD56</f>
        <v>263072.35762995208</v>
      </c>
      <c r="L9" s="330">
        <f>'Budget Parque Explora'!AE56</f>
        <v>24489.481410867207</v>
      </c>
      <c r="M9" s="330">
        <f>'Budget Parque Explora'!AF56</f>
        <v>287561.83904081926</v>
      </c>
      <c r="N9" s="330">
        <f>'Budget Parque Explora'!AJ56</f>
        <v>146280.36453124779</v>
      </c>
      <c r="O9" s="330">
        <f>'Budget Parque Explora'!AK56</f>
        <v>26224.263309155678</v>
      </c>
      <c r="P9" s="330">
        <f>'Budget Parque Explora'!AL56</f>
        <v>172504.62784040347</v>
      </c>
      <c r="Q9" s="330">
        <f>'Budget Parque Explora'!AM56</f>
        <v>1036456.8452433334</v>
      </c>
      <c r="R9" s="330">
        <f>'Budget Parque Explora'!AN56</f>
        <v>129699.27370836955</v>
      </c>
      <c r="S9" s="330">
        <f>'Budget Parque Explora'!AO56</f>
        <v>1166156.118951703</v>
      </c>
    </row>
    <row r="10" spans="1:19" ht="15" customHeight="1" x14ac:dyDescent="0.55000000000000004">
      <c r="A10" s="331"/>
      <c r="B10" s="332"/>
      <c r="C10" s="333"/>
      <c r="D10" s="334"/>
      <c r="E10" s="332"/>
      <c r="F10" s="333"/>
      <c r="G10" s="334"/>
      <c r="H10" s="332"/>
      <c r="I10" s="333"/>
      <c r="J10" s="334"/>
      <c r="K10" s="332"/>
      <c r="L10" s="333"/>
      <c r="M10" s="334"/>
      <c r="N10" s="332"/>
      <c r="O10" s="333"/>
      <c r="P10" s="334"/>
      <c r="Q10" s="335"/>
      <c r="R10" s="335"/>
      <c r="S10" s="335"/>
    </row>
    <row r="11" spans="1:19" ht="15" customHeight="1" x14ac:dyDescent="0.55000000000000004">
      <c r="A11" s="336" t="s">
        <v>15</v>
      </c>
      <c r="B11" s="330">
        <f>'Budget Parque Explora'!L121</f>
        <v>61740</v>
      </c>
      <c r="C11" s="330">
        <f>'Budget Parque Explora'!M121</f>
        <v>0</v>
      </c>
      <c r="D11" s="330">
        <f>'Budget Parque Explora'!N121</f>
        <v>61740</v>
      </c>
      <c r="E11" s="330">
        <f>'Budget Parque Explora'!R121</f>
        <v>122765.4</v>
      </c>
      <c r="F11" s="330">
        <f>'Budget Parque Explora'!S121</f>
        <v>0</v>
      </c>
      <c r="G11" s="330">
        <f>'Budget Parque Explora'!T121</f>
        <v>122765.4</v>
      </c>
      <c r="H11" s="330">
        <f>'Budget Parque Explora'!X121</f>
        <v>216148.935</v>
      </c>
      <c r="I11" s="330">
        <f>'Budget Parque Explora'!Y121</f>
        <v>0</v>
      </c>
      <c r="J11" s="330">
        <f>'Budget Parque Explora'!Z121</f>
        <v>216148.935</v>
      </c>
      <c r="K11" s="330">
        <f>'Budget Parque Explora'!AD121</f>
        <v>190494.36788500001</v>
      </c>
      <c r="L11" s="330">
        <f>'Budget Parque Explora'!AE121</f>
        <v>0</v>
      </c>
      <c r="M11" s="330">
        <f>'Budget Parque Explora'!AF121</f>
        <v>190494.36788500001</v>
      </c>
      <c r="N11" s="330">
        <f>'Budget Parque Explora'!AJ121</f>
        <v>68821.056509700036</v>
      </c>
      <c r="O11" s="330">
        <f>'Budget Parque Explora'!AK121</f>
        <v>0</v>
      </c>
      <c r="P11" s="330">
        <f>'Budget Parque Explora'!AL121</f>
        <v>68821.056509700036</v>
      </c>
      <c r="Q11" s="330">
        <f>'Budget Parque Explora'!AM121</f>
        <v>659969.75939470006</v>
      </c>
      <c r="R11" s="330">
        <f>'Budget Parque Explora'!AN121</f>
        <v>0</v>
      </c>
      <c r="S11" s="330">
        <f>'Budget Parque Explora'!AO121</f>
        <v>659969.75939470006</v>
      </c>
    </row>
    <row r="12" spans="1:19" ht="15" customHeight="1" x14ac:dyDescent="0.55000000000000004">
      <c r="A12" s="337"/>
      <c r="B12" s="332"/>
      <c r="C12" s="333"/>
      <c r="D12" s="334"/>
      <c r="E12" s="332"/>
      <c r="F12" s="333"/>
      <c r="G12" s="334"/>
      <c r="H12" s="332"/>
      <c r="I12" s="333"/>
      <c r="J12" s="334"/>
      <c r="K12" s="332"/>
      <c r="L12" s="333"/>
      <c r="M12" s="334"/>
      <c r="N12" s="332"/>
      <c r="O12" s="333"/>
      <c r="P12" s="334"/>
      <c r="Q12" s="335"/>
      <c r="R12" s="335"/>
      <c r="S12" s="335"/>
    </row>
    <row r="13" spans="1:19" ht="15" customHeight="1" x14ac:dyDescent="0.55000000000000004">
      <c r="A13" s="336" t="s">
        <v>16</v>
      </c>
      <c r="B13" s="330">
        <f>'Budget Parque Explora'!L127</f>
        <v>50000</v>
      </c>
      <c r="C13" s="330">
        <f>'Budget Parque Explora'!M127</f>
        <v>0</v>
      </c>
      <c r="D13" s="330">
        <f>'Budget Parque Explora'!N127</f>
        <v>50000</v>
      </c>
      <c r="E13" s="330">
        <f>'Budget Parque Explora'!R127</f>
        <v>0</v>
      </c>
      <c r="F13" s="330">
        <f>'Budget Parque Explora'!S127</f>
        <v>0</v>
      </c>
      <c r="G13" s="330">
        <f>'Budget Parque Explora'!T127</f>
        <v>0</v>
      </c>
      <c r="H13" s="330">
        <f>'Budget Parque Explora'!X127</f>
        <v>0</v>
      </c>
      <c r="I13" s="330">
        <f>'Budget Parque Explora'!Y127</f>
        <v>0</v>
      </c>
      <c r="J13" s="330">
        <f>'Budget Parque Explora'!Z127</f>
        <v>0</v>
      </c>
      <c r="K13" s="330">
        <f>'Budget Parque Explora'!AD127</f>
        <v>0</v>
      </c>
      <c r="L13" s="330">
        <f>'Budget Parque Explora'!AE127</f>
        <v>0</v>
      </c>
      <c r="M13" s="330">
        <f>'Budget Parque Explora'!AF127</f>
        <v>0</v>
      </c>
      <c r="N13" s="330">
        <f>'Budget Parque Explora'!AJ127</f>
        <v>0</v>
      </c>
      <c r="O13" s="330">
        <f>'Budget Parque Explora'!AK127</f>
        <v>0</v>
      </c>
      <c r="P13" s="330">
        <f>'Budget Parque Explora'!AL127</f>
        <v>0</v>
      </c>
      <c r="Q13" s="330">
        <f>'Budget Parque Explora'!AM127</f>
        <v>50000</v>
      </c>
      <c r="R13" s="330">
        <f>'Budget Parque Explora'!AN127</f>
        <v>0</v>
      </c>
      <c r="S13" s="330">
        <f>'Budget Parque Explora'!AO127</f>
        <v>50000</v>
      </c>
    </row>
    <row r="14" spans="1:19" ht="15" customHeight="1" x14ac:dyDescent="0.55000000000000004">
      <c r="A14" s="338"/>
      <c r="B14" s="332"/>
      <c r="C14" s="333"/>
      <c r="D14" s="334"/>
      <c r="E14" s="332"/>
      <c r="F14" s="333"/>
      <c r="G14" s="334"/>
      <c r="H14" s="332"/>
      <c r="I14" s="333"/>
      <c r="J14" s="334"/>
      <c r="K14" s="332"/>
      <c r="L14" s="333"/>
      <c r="M14" s="334"/>
      <c r="N14" s="332"/>
      <c r="O14" s="333"/>
      <c r="P14" s="334"/>
      <c r="Q14" s="335"/>
      <c r="R14" s="335"/>
      <c r="S14" s="335"/>
    </row>
    <row r="15" spans="1:19" ht="15" customHeight="1" x14ac:dyDescent="0.55000000000000004">
      <c r="A15" s="336" t="s">
        <v>17</v>
      </c>
      <c r="B15" s="330">
        <f>'Budget Parque Explora'!L142</f>
        <v>18439.900000000001</v>
      </c>
      <c r="C15" s="330">
        <f>'Budget Parque Explora'!M142</f>
        <v>0</v>
      </c>
      <c r="D15" s="330">
        <f>'Budget Parque Explora'!N142</f>
        <v>18439.900000000001</v>
      </c>
      <c r="E15" s="330">
        <f>'Budget Parque Explora'!R142</f>
        <v>21423.917600000001</v>
      </c>
      <c r="F15" s="330">
        <f>'Budget Parque Explora'!S142</f>
        <v>0</v>
      </c>
      <c r="G15" s="330">
        <f>'Budget Parque Explora'!T142</f>
        <v>21423.917600000001</v>
      </c>
      <c r="H15" s="330">
        <f>'Budget Parque Explora'!X142</f>
        <v>9548.1</v>
      </c>
      <c r="I15" s="330">
        <f>'Budget Parque Explora'!Y142</f>
        <v>0</v>
      </c>
      <c r="J15" s="330">
        <f>'Budget Parque Explora'!Z142</f>
        <v>9548.1</v>
      </c>
      <c r="K15" s="330">
        <f>'Budget Parque Explora'!AD142</f>
        <v>4917.2715000000007</v>
      </c>
      <c r="L15" s="330">
        <f>'Budget Parque Explora'!AE142</f>
        <v>0</v>
      </c>
      <c r="M15" s="330">
        <f>'Budget Parque Explora'!AF142</f>
        <v>4917.2715000000007</v>
      </c>
      <c r="N15" s="330">
        <f>'Budget Parque Explora'!AJ142</f>
        <v>3798.592233750001</v>
      </c>
      <c r="O15" s="330">
        <f>'Budget Parque Explora'!AK142</f>
        <v>0</v>
      </c>
      <c r="P15" s="330">
        <f>'Budget Parque Explora'!AL142</f>
        <v>3798.592233750001</v>
      </c>
      <c r="Q15" s="330">
        <f>'Budget Parque Explora'!AM142</f>
        <v>58127.781333750005</v>
      </c>
      <c r="R15" s="330">
        <f>'Budget Parque Explora'!AN142</f>
        <v>0</v>
      </c>
      <c r="S15" s="330">
        <f>'Budget Parque Explora'!AO142</f>
        <v>58127.781333750005</v>
      </c>
    </row>
    <row r="16" spans="1:19" ht="15" customHeight="1" x14ac:dyDescent="0.55000000000000004">
      <c r="A16" s="338"/>
      <c r="B16" s="332"/>
      <c r="C16" s="333"/>
      <c r="D16" s="334"/>
      <c r="E16" s="332"/>
      <c r="F16" s="333"/>
      <c r="G16" s="334"/>
      <c r="H16" s="332"/>
      <c r="I16" s="333"/>
      <c r="J16" s="334"/>
      <c r="K16" s="332"/>
      <c r="L16" s="333"/>
      <c r="M16" s="334"/>
      <c r="N16" s="332"/>
      <c r="O16" s="333"/>
      <c r="P16" s="334"/>
      <c r="Q16" s="335"/>
      <c r="R16" s="335"/>
      <c r="S16" s="335"/>
    </row>
    <row r="17" spans="1:124" ht="15" customHeight="1" x14ac:dyDescent="0.55000000000000004">
      <c r="A17" s="336" t="s">
        <v>18</v>
      </c>
      <c r="B17" s="330">
        <f>'Budget Parque Explora'!L154</f>
        <v>204200</v>
      </c>
      <c r="C17" s="330">
        <f>'Budget Parque Explora'!M154</f>
        <v>0</v>
      </c>
      <c r="D17" s="330">
        <f>'Budget Parque Explora'!N154</f>
        <v>204200</v>
      </c>
      <c r="E17" s="330">
        <f>'Budget Parque Explora'!R154</f>
        <v>208400</v>
      </c>
      <c r="F17" s="330">
        <f>'Budget Parque Explora'!S154</f>
        <v>0</v>
      </c>
      <c r="G17" s="330">
        <f>'Budget Parque Explora'!T154</f>
        <v>208400</v>
      </c>
      <c r="H17" s="330">
        <f>'Budget Parque Explora'!X154</f>
        <v>208400</v>
      </c>
      <c r="I17" s="330">
        <f>'Budget Parque Explora'!Y154</f>
        <v>0</v>
      </c>
      <c r="J17" s="330">
        <f>'Budget Parque Explora'!Z154</f>
        <v>208400</v>
      </c>
      <c r="K17" s="330">
        <f>'Budget Parque Explora'!AD154</f>
        <v>208400</v>
      </c>
      <c r="L17" s="330">
        <f>'Budget Parque Explora'!AE154</f>
        <v>0</v>
      </c>
      <c r="M17" s="330">
        <f>'Budget Parque Explora'!AF154</f>
        <v>208400</v>
      </c>
      <c r="N17" s="330">
        <f>'Budget Parque Explora'!AJ154</f>
        <v>206300</v>
      </c>
      <c r="O17" s="330">
        <f>'Budget Parque Explora'!AK154</f>
        <v>0</v>
      </c>
      <c r="P17" s="330">
        <f>'Budget Parque Explora'!AL154</f>
        <v>206300</v>
      </c>
      <c r="Q17" s="330">
        <f>'Budget Parque Explora'!AM154</f>
        <v>1035700</v>
      </c>
      <c r="R17" s="330">
        <f>'Budget Parque Explora'!AN154</f>
        <v>0</v>
      </c>
      <c r="S17" s="330">
        <f>'Budget Parque Explora'!AO154</f>
        <v>1035700</v>
      </c>
    </row>
    <row r="18" spans="1:124" ht="15" customHeight="1" x14ac:dyDescent="0.55000000000000004">
      <c r="A18" s="331"/>
      <c r="B18" s="332"/>
      <c r="C18" s="333"/>
      <c r="D18" s="334"/>
      <c r="E18" s="332"/>
      <c r="F18" s="333"/>
      <c r="G18" s="334"/>
      <c r="H18" s="332"/>
      <c r="I18" s="333"/>
      <c r="J18" s="334"/>
      <c r="K18" s="332"/>
      <c r="L18" s="333"/>
      <c r="M18" s="334"/>
      <c r="N18" s="332"/>
      <c r="O18" s="333"/>
      <c r="P18" s="334"/>
      <c r="Q18" s="335"/>
      <c r="R18" s="335"/>
      <c r="S18" s="335"/>
    </row>
    <row r="19" spans="1:124" ht="15" customHeight="1" x14ac:dyDescent="0.55000000000000004">
      <c r="A19" s="339" t="s">
        <v>19</v>
      </c>
      <c r="B19" s="330">
        <f>'Budget Parque Explora'!L203</f>
        <v>122135.9</v>
      </c>
      <c r="C19" s="330">
        <f>'Budget Parque Explora'!M203</f>
        <v>0</v>
      </c>
      <c r="D19" s="330">
        <f>'Budget Parque Explora'!N203</f>
        <v>122135.9</v>
      </c>
      <c r="E19" s="330">
        <f>'Budget Parque Explora'!R203</f>
        <v>76503.199999999997</v>
      </c>
      <c r="F19" s="330">
        <f>'Budget Parque Explora'!S203</f>
        <v>0</v>
      </c>
      <c r="G19" s="330">
        <f>'Budget Parque Explora'!T203</f>
        <v>76503.199999999997</v>
      </c>
      <c r="H19" s="330">
        <f>'Budget Parque Explora'!X203</f>
        <v>406653.83600000001</v>
      </c>
      <c r="I19" s="330">
        <f>'Budget Parque Explora'!Y203</f>
        <v>0</v>
      </c>
      <c r="J19" s="330">
        <f>'Budget Parque Explora'!Z203</f>
        <v>406653.83600000001</v>
      </c>
      <c r="K19" s="330">
        <f>'Budget Parque Explora'!AD203</f>
        <v>419001.66138000006</v>
      </c>
      <c r="L19" s="330">
        <f>'Budget Parque Explora'!AE203</f>
        <v>0</v>
      </c>
      <c r="M19" s="330">
        <f>'Budget Parque Explora'!AF203</f>
        <v>419001.66138000006</v>
      </c>
      <c r="N19" s="330">
        <f>'Budget Parque Explora'!AJ203</f>
        <v>64324.394391449991</v>
      </c>
      <c r="O19" s="330">
        <f>'Budget Parque Explora'!AK203</f>
        <v>0</v>
      </c>
      <c r="P19" s="330">
        <f>'Budget Parque Explora'!AL203</f>
        <v>64324.394391449991</v>
      </c>
      <c r="Q19" s="330">
        <f>'Budget Parque Explora'!AM203</f>
        <v>1088618.9917714498</v>
      </c>
      <c r="R19" s="330">
        <f>'Budget Parque Explora'!AN203</f>
        <v>0</v>
      </c>
      <c r="S19" s="330">
        <f>'Budget Parque Explora'!AO203</f>
        <v>1088618.9917714498</v>
      </c>
    </row>
    <row r="20" spans="1:124" ht="15" customHeight="1" x14ac:dyDescent="0.55000000000000004">
      <c r="A20" s="340"/>
      <c r="B20" s="341"/>
      <c r="C20" s="342"/>
      <c r="D20" s="343"/>
      <c r="E20" s="341"/>
      <c r="F20" s="342"/>
      <c r="G20" s="343"/>
      <c r="H20" s="341"/>
      <c r="I20" s="342"/>
      <c r="J20" s="343"/>
      <c r="K20" s="341"/>
      <c r="L20" s="342"/>
      <c r="M20" s="343"/>
      <c r="N20" s="332"/>
      <c r="O20" s="333"/>
      <c r="P20" s="334"/>
      <c r="Q20" s="335"/>
      <c r="R20" s="335"/>
      <c r="S20" s="335"/>
    </row>
    <row r="21" spans="1:124" s="345" customFormat="1" ht="15" customHeight="1" x14ac:dyDescent="0.5">
      <c r="A21" s="344" t="s">
        <v>20</v>
      </c>
      <c r="B21" s="640">
        <f>SUM(B7:B20)</f>
        <v>878157.21699999995</v>
      </c>
      <c r="C21" s="640">
        <f t="shared" ref="C21:S21" si="0">SUM(C7:C20)</f>
        <v>99888.131850000005</v>
      </c>
      <c r="D21" s="640">
        <f t="shared" si="0"/>
        <v>978045.34885000007</v>
      </c>
      <c r="E21" s="640">
        <f t="shared" si="0"/>
        <v>1232565.7003200001</v>
      </c>
      <c r="F21" s="640">
        <f t="shared" si="0"/>
        <v>70944.702191999997</v>
      </c>
      <c r="G21" s="640">
        <f t="shared" si="0"/>
        <v>1303510.4025120002</v>
      </c>
      <c r="H21" s="640">
        <f t="shared" si="0"/>
        <v>1676362.9810287999</v>
      </c>
      <c r="I21" s="640">
        <f t="shared" si="0"/>
        <v>73782.490279680016</v>
      </c>
      <c r="J21" s="640">
        <f t="shared" si="0"/>
        <v>1750145.4713084805</v>
      </c>
      <c r="K21" s="640">
        <f t="shared" si="0"/>
        <v>1691849.8951949524</v>
      </c>
      <c r="L21" s="640">
        <f t="shared" si="0"/>
        <v>76733.789890867221</v>
      </c>
      <c r="M21" s="640">
        <f t="shared" si="0"/>
        <v>1768583.6850858196</v>
      </c>
      <c r="N21" s="640">
        <f t="shared" si="0"/>
        <v>815047.30080748117</v>
      </c>
      <c r="O21" s="640">
        <f t="shared" si="0"/>
        <v>80681.666718222361</v>
      </c>
      <c r="P21" s="640">
        <f t="shared" si="0"/>
        <v>895728.96752570348</v>
      </c>
      <c r="Q21" s="640">
        <f t="shared" si="0"/>
        <v>6293983.0943512339</v>
      </c>
      <c r="R21" s="640">
        <f t="shared" si="0"/>
        <v>402030.78093076963</v>
      </c>
      <c r="S21" s="640">
        <f t="shared" si="0"/>
        <v>6696013.8752820026</v>
      </c>
      <c r="T21" s="309"/>
      <c r="U21" s="309"/>
      <c r="V21" s="309"/>
      <c r="W21" s="309"/>
      <c r="X21" s="309"/>
      <c r="Y21" s="309"/>
      <c r="Z21" s="309"/>
      <c r="AA21" s="309"/>
      <c r="AB21" s="309"/>
      <c r="AC21" s="309"/>
      <c r="AD21" s="309"/>
      <c r="AE21" s="309"/>
      <c r="AF21" s="309"/>
      <c r="AG21" s="309"/>
      <c r="AH21" s="309"/>
      <c r="AI21" s="309"/>
      <c r="AJ21" s="309"/>
      <c r="AK21" s="309"/>
      <c r="AL21" s="309"/>
      <c r="AM21" s="309"/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09"/>
      <c r="BK21" s="309"/>
      <c r="BL21" s="309"/>
      <c r="BM21" s="309"/>
      <c r="BN21" s="309"/>
      <c r="BO21" s="309"/>
      <c r="BP21" s="309"/>
      <c r="BQ21" s="309"/>
      <c r="BR21" s="309"/>
      <c r="BS21" s="309"/>
      <c r="BT21" s="309"/>
      <c r="BU21" s="309"/>
      <c r="BV21" s="309"/>
      <c r="BW21" s="309"/>
      <c r="BX21" s="309"/>
      <c r="BY21" s="309"/>
      <c r="BZ21" s="309"/>
      <c r="CA21" s="309"/>
      <c r="CB21" s="309"/>
      <c r="CC21" s="309"/>
      <c r="CD21" s="309"/>
      <c r="CE21" s="309"/>
      <c r="CF21" s="309"/>
      <c r="CG21" s="309"/>
      <c r="CH21" s="309"/>
      <c r="CI21" s="309"/>
      <c r="CJ21" s="309"/>
      <c r="CK21" s="309"/>
      <c r="CL21" s="309"/>
      <c r="CM21" s="309"/>
      <c r="CN21" s="309"/>
      <c r="CO21" s="309"/>
      <c r="CP21" s="309"/>
      <c r="CQ21" s="309"/>
      <c r="CR21" s="309"/>
      <c r="CS21" s="309"/>
      <c r="CT21" s="309"/>
      <c r="CU21" s="309"/>
      <c r="CV21" s="309"/>
      <c r="CW21" s="309"/>
      <c r="CX21" s="309"/>
      <c r="CY21" s="309"/>
      <c r="CZ21" s="309"/>
      <c r="DA21" s="309"/>
      <c r="DB21" s="309"/>
      <c r="DC21" s="309"/>
      <c r="DD21" s="309"/>
      <c r="DE21" s="309"/>
      <c r="DF21" s="309"/>
      <c r="DG21" s="309"/>
      <c r="DH21" s="309"/>
      <c r="DI21" s="309"/>
      <c r="DJ21" s="309"/>
      <c r="DK21" s="309"/>
      <c r="DL21" s="309"/>
      <c r="DM21" s="309"/>
      <c r="DN21" s="309"/>
      <c r="DO21" s="309"/>
      <c r="DP21" s="309"/>
      <c r="DQ21" s="309"/>
      <c r="DR21" s="309"/>
      <c r="DS21" s="309"/>
      <c r="DT21" s="309"/>
    </row>
    <row r="22" spans="1:124" s="345" customFormat="1" ht="15" customHeight="1" x14ac:dyDescent="0.5">
      <c r="A22" s="345" t="s">
        <v>21</v>
      </c>
      <c r="B22" s="641">
        <f>'Budget Parque Explora'!L206</f>
        <v>62815.721699999995</v>
      </c>
      <c r="C22" s="641">
        <f>'Budget Parque Explora'!M206</f>
        <v>9988.8131850000009</v>
      </c>
      <c r="D22" s="641">
        <f>'Budget Parque Explora'!N206</f>
        <v>72804.534885000001</v>
      </c>
      <c r="E22" s="641">
        <f>'Budget Parque Explora'!R206</f>
        <v>103256.57003200002</v>
      </c>
      <c r="F22" s="641">
        <f>'Budget Parque Explora'!S206</f>
        <v>7094.4702192000004</v>
      </c>
      <c r="G22" s="641">
        <f>'Budget Parque Explora'!T206</f>
        <v>110351.04025120001</v>
      </c>
      <c r="H22" s="641">
        <f>'Budget Parque Explora'!X206</f>
        <v>147636.29810287998</v>
      </c>
      <c r="I22" s="641">
        <f>'Budget Parque Explora'!Y206</f>
        <v>7378.2490279680023</v>
      </c>
      <c r="J22" s="641">
        <f>'Budget Parque Explora'!Z206</f>
        <v>155014.54713084799</v>
      </c>
      <c r="K22" s="641">
        <f>'Budget Parque Explora'!AD206</f>
        <v>149184.98951949523</v>
      </c>
      <c r="L22" s="641">
        <f>'Budget Parque Explora'!AE206</f>
        <v>7673.3789890867229</v>
      </c>
      <c r="M22" s="641">
        <f>'Budget Parque Explora'!AF206</f>
        <v>156858.36850858195</v>
      </c>
      <c r="N22" s="641">
        <f>'Budget Parque Explora'!AJ206</f>
        <v>61504.730080748122</v>
      </c>
      <c r="O22" s="641">
        <f>'Budget Parque Explora'!AK206</f>
        <v>8068.1666718222368</v>
      </c>
      <c r="P22" s="641">
        <f>'Budget Parque Explora'!AL206</f>
        <v>69572.896752570363</v>
      </c>
      <c r="Q22" s="641">
        <f>'Budget Parque Explora'!AM206</f>
        <v>524398.30943512334</v>
      </c>
      <c r="R22" s="641">
        <f>'Budget Parque Explora'!AN206</f>
        <v>40203.078093076962</v>
      </c>
      <c r="S22" s="641">
        <f>'Budget Parque Explora'!AO206</f>
        <v>564601.38752820028</v>
      </c>
      <c r="T22" s="309"/>
      <c r="U22" s="309"/>
      <c r="V22" s="309"/>
      <c r="W22" s="309"/>
      <c r="X22" s="309"/>
      <c r="Y22" s="309"/>
      <c r="Z22" s="309"/>
      <c r="AA22" s="309"/>
      <c r="AB22" s="309"/>
      <c r="AC22" s="309"/>
      <c r="AD22" s="309"/>
      <c r="AE22" s="309"/>
      <c r="AF22" s="309"/>
      <c r="AG22" s="309"/>
      <c r="AH22" s="309"/>
      <c r="AI22" s="309"/>
      <c r="AJ22" s="309"/>
      <c r="AK22" s="309"/>
      <c r="AL22" s="309"/>
      <c r="AM22" s="309"/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09"/>
      <c r="BK22" s="309"/>
      <c r="BL22" s="309"/>
      <c r="BM22" s="309"/>
      <c r="BN22" s="309"/>
      <c r="BO22" s="309"/>
      <c r="BP22" s="309"/>
      <c r="BQ22" s="309"/>
      <c r="BR22" s="309"/>
      <c r="BS22" s="309"/>
      <c r="BT22" s="309"/>
      <c r="BU22" s="309"/>
      <c r="BV22" s="309"/>
      <c r="BW22" s="309"/>
      <c r="BX22" s="309"/>
      <c r="BY22" s="309"/>
      <c r="BZ22" s="309"/>
      <c r="CA22" s="309"/>
      <c r="CB22" s="309"/>
      <c r="CC22" s="309"/>
      <c r="CD22" s="309"/>
      <c r="CE22" s="309"/>
      <c r="CF22" s="309"/>
      <c r="CG22" s="309"/>
      <c r="CH22" s="309"/>
      <c r="CI22" s="309"/>
      <c r="CJ22" s="309"/>
      <c r="CK22" s="309"/>
      <c r="CL22" s="309"/>
      <c r="CM22" s="309"/>
      <c r="CN22" s="309"/>
      <c r="CO22" s="309"/>
      <c r="CP22" s="309"/>
      <c r="CQ22" s="309"/>
      <c r="CR22" s="309"/>
      <c r="CS22" s="309"/>
      <c r="CT22" s="309"/>
      <c r="CU22" s="309"/>
      <c r="CV22" s="309"/>
      <c r="CW22" s="309"/>
      <c r="CX22" s="309"/>
      <c r="CY22" s="309"/>
      <c r="CZ22" s="309"/>
      <c r="DA22" s="309"/>
      <c r="DB22" s="309"/>
      <c r="DC22" s="309"/>
      <c r="DD22" s="309"/>
      <c r="DE22" s="309"/>
      <c r="DF22" s="309"/>
      <c r="DG22" s="309"/>
      <c r="DH22" s="309"/>
      <c r="DI22" s="309"/>
      <c r="DJ22" s="309"/>
      <c r="DK22" s="309"/>
      <c r="DL22" s="309"/>
      <c r="DM22" s="309"/>
      <c r="DN22" s="309"/>
      <c r="DO22" s="309"/>
      <c r="DP22" s="309"/>
      <c r="DQ22" s="309"/>
      <c r="DR22" s="309"/>
      <c r="DS22" s="309"/>
      <c r="DT22" s="309"/>
    </row>
    <row r="23" spans="1:124" s="346" customFormat="1" ht="15" customHeight="1" x14ac:dyDescent="0.55000000000000004">
      <c r="A23" s="344" t="s">
        <v>8</v>
      </c>
      <c r="B23" s="642">
        <f>B22+B21</f>
        <v>940972.93869999994</v>
      </c>
      <c r="C23" s="642">
        <f t="shared" ref="C23:S23" si="1">C22+C21</f>
        <v>109876.94503500001</v>
      </c>
      <c r="D23" s="642">
        <f t="shared" si="1"/>
        <v>1050849.8837350002</v>
      </c>
      <c r="E23" s="642">
        <f t="shared" si="1"/>
        <v>1335822.2703520001</v>
      </c>
      <c r="F23" s="642">
        <f t="shared" si="1"/>
        <v>78039.172411199994</v>
      </c>
      <c r="G23" s="642">
        <f t="shared" si="1"/>
        <v>1413861.4427632003</v>
      </c>
      <c r="H23" s="642">
        <f t="shared" si="1"/>
        <v>1823999.2791316798</v>
      </c>
      <c r="I23" s="642">
        <f t="shared" si="1"/>
        <v>81160.739307648022</v>
      </c>
      <c r="J23" s="642">
        <f t="shared" si="1"/>
        <v>1905160.0184393285</v>
      </c>
      <c r="K23" s="642">
        <f t="shared" si="1"/>
        <v>1841034.8847144477</v>
      </c>
      <c r="L23" s="642">
        <f t="shared" si="1"/>
        <v>84407.168879953941</v>
      </c>
      <c r="M23" s="642">
        <f t="shared" si="1"/>
        <v>1925442.0535944016</v>
      </c>
      <c r="N23" s="642">
        <f t="shared" si="1"/>
        <v>876552.03088822926</v>
      </c>
      <c r="O23" s="642">
        <f t="shared" si="1"/>
        <v>88749.833390044601</v>
      </c>
      <c r="P23" s="642">
        <f t="shared" si="1"/>
        <v>965301.86427827389</v>
      </c>
      <c r="Q23" s="642">
        <f t="shared" si="1"/>
        <v>6818381.4037863575</v>
      </c>
      <c r="R23" s="642">
        <f t="shared" si="1"/>
        <v>442233.85902384657</v>
      </c>
      <c r="S23" s="642">
        <f t="shared" si="1"/>
        <v>7260615.2628102032</v>
      </c>
      <c r="T23" s="310"/>
      <c r="U23" s="310"/>
      <c r="V23" s="310"/>
      <c r="W23" s="310"/>
      <c r="X23" s="310"/>
      <c r="Y23" s="310"/>
      <c r="Z23" s="310"/>
      <c r="AA23" s="310"/>
      <c r="AB23" s="310"/>
      <c r="AC23" s="310"/>
      <c r="AD23" s="310"/>
      <c r="AE23" s="310"/>
      <c r="AF23" s="310"/>
      <c r="AG23" s="310"/>
      <c r="AH23" s="310"/>
      <c r="AI23" s="310"/>
      <c r="AJ23" s="310"/>
      <c r="AK23" s="310"/>
      <c r="AL23" s="310"/>
      <c r="AM23" s="310"/>
      <c r="AN23" s="310"/>
      <c r="AO23" s="310"/>
      <c r="AP23" s="310"/>
      <c r="AQ23" s="310"/>
      <c r="AR23" s="310"/>
      <c r="AS23" s="310"/>
      <c r="AT23" s="310"/>
      <c r="AU23" s="310"/>
      <c r="AV23" s="310"/>
      <c r="AW23" s="310"/>
      <c r="AX23" s="310"/>
      <c r="AY23" s="310"/>
      <c r="AZ23" s="310"/>
      <c r="BA23" s="310"/>
      <c r="BB23" s="310"/>
      <c r="BC23" s="310"/>
      <c r="BD23" s="310"/>
      <c r="BE23" s="310"/>
      <c r="BF23" s="310"/>
      <c r="BG23" s="310"/>
      <c r="BH23" s="310"/>
      <c r="BI23" s="310"/>
      <c r="BJ23" s="310"/>
      <c r="BK23" s="310"/>
      <c r="BL23" s="310"/>
      <c r="BM23" s="310"/>
      <c r="BN23" s="310"/>
      <c r="BO23" s="310"/>
      <c r="BP23" s="310"/>
      <c r="BQ23" s="310"/>
      <c r="BR23" s="310"/>
      <c r="BS23" s="310"/>
      <c r="BT23" s="310"/>
      <c r="BU23" s="310"/>
      <c r="BV23" s="310"/>
      <c r="BW23" s="310"/>
      <c r="BX23" s="310"/>
      <c r="BY23" s="310"/>
      <c r="BZ23" s="310"/>
      <c r="CA23" s="310"/>
      <c r="CB23" s="310"/>
      <c r="CC23" s="310"/>
      <c r="CD23" s="310"/>
      <c r="CE23" s="310"/>
      <c r="CF23" s="310"/>
      <c r="CG23" s="310"/>
      <c r="CH23" s="310"/>
      <c r="CI23" s="310"/>
      <c r="CJ23" s="310"/>
      <c r="CK23" s="310"/>
      <c r="CL23" s="310"/>
      <c r="CM23" s="310"/>
      <c r="CN23" s="310"/>
      <c r="CO23" s="310"/>
      <c r="CP23" s="310"/>
      <c r="CQ23" s="310"/>
      <c r="CR23" s="310"/>
      <c r="CS23" s="310"/>
      <c r="CT23" s="310"/>
      <c r="CU23" s="310"/>
      <c r="CV23" s="310"/>
      <c r="CW23" s="310"/>
      <c r="CX23" s="310"/>
      <c r="CY23" s="310"/>
      <c r="CZ23" s="310"/>
      <c r="DA23" s="310"/>
      <c r="DB23" s="310"/>
      <c r="DC23" s="310"/>
      <c r="DD23" s="310"/>
      <c r="DE23" s="310"/>
      <c r="DF23" s="310"/>
      <c r="DG23" s="310"/>
      <c r="DH23" s="310"/>
      <c r="DI23" s="310"/>
      <c r="DJ23" s="310"/>
      <c r="DK23" s="310"/>
      <c r="DL23" s="310"/>
      <c r="DM23" s="310"/>
      <c r="DN23" s="310"/>
      <c r="DO23" s="310"/>
      <c r="DP23" s="310"/>
      <c r="DQ23" s="310"/>
      <c r="DR23" s="310"/>
      <c r="DS23" s="310"/>
      <c r="DT23" s="310"/>
    </row>
    <row r="24" spans="1:124" s="347" customFormat="1" ht="15" customHeight="1" x14ac:dyDescent="0.55000000000000004">
      <c r="B24" s="615"/>
      <c r="C24" s="348"/>
      <c r="D24" s="348"/>
      <c r="E24" s="348"/>
      <c r="F24" s="348"/>
      <c r="G24" s="348"/>
      <c r="H24" s="615"/>
      <c r="I24" s="348"/>
      <c r="J24" s="348"/>
      <c r="K24" s="348"/>
      <c r="L24" s="348"/>
      <c r="M24" s="348"/>
      <c r="N24" s="348"/>
      <c r="O24" s="616"/>
      <c r="P24" s="348"/>
      <c r="Q24" s="348"/>
      <c r="R24" s="348"/>
      <c r="S24" s="348"/>
      <c r="T24" s="310"/>
      <c r="U24" s="310"/>
      <c r="V24" s="310"/>
      <c r="W24" s="310"/>
      <c r="X24" s="310"/>
      <c r="Y24" s="310"/>
      <c r="Z24" s="310"/>
      <c r="AA24" s="310"/>
      <c r="AB24" s="310"/>
      <c r="AC24" s="310"/>
      <c r="AD24" s="310"/>
      <c r="AE24" s="310"/>
      <c r="AF24" s="310"/>
      <c r="AG24" s="310"/>
      <c r="AH24" s="310"/>
      <c r="AI24" s="310"/>
      <c r="AJ24" s="310"/>
      <c r="AK24" s="310"/>
      <c r="AL24" s="310"/>
      <c r="AM24" s="310"/>
      <c r="AN24" s="310"/>
      <c r="AO24" s="310"/>
      <c r="AP24" s="310"/>
      <c r="AQ24" s="310"/>
      <c r="AR24" s="310"/>
      <c r="AS24" s="310"/>
      <c r="AT24" s="310"/>
      <c r="AU24" s="310"/>
      <c r="AV24" s="310"/>
      <c r="AW24" s="310"/>
      <c r="AX24" s="310"/>
      <c r="AY24" s="310"/>
      <c r="AZ24" s="310"/>
      <c r="BA24" s="310"/>
      <c r="BB24" s="310"/>
      <c r="BC24" s="310"/>
      <c r="BD24" s="310"/>
      <c r="BE24" s="310"/>
      <c r="BF24" s="310"/>
      <c r="BG24" s="310"/>
      <c r="BH24" s="310"/>
      <c r="BI24" s="310"/>
      <c r="BJ24" s="310"/>
      <c r="BK24" s="310"/>
      <c r="BL24" s="310"/>
      <c r="BM24" s="310"/>
      <c r="BN24" s="310"/>
      <c r="BO24" s="310"/>
      <c r="BP24" s="310"/>
      <c r="BQ24" s="310"/>
      <c r="BR24" s="310"/>
      <c r="BS24" s="310"/>
      <c r="BT24" s="310"/>
      <c r="BU24" s="310"/>
      <c r="BV24" s="310"/>
      <c r="BW24" s="310"/>
      <c r="BX24" s="310"/>
      <c r="BY24" s="310"/>
      <c r="BZ24" s="310"/>
      <c r="CA24" s="310"/>
      <c r="CB24" s="310"/>
      <c r="CC24" s="310"/>
      <c r="CD24" s="310"/>
      <c r="CE24" s="310"/>
      <c r="CF24" s="310"/>
      <c r="CG24" s="310"/>
      <c r="CH24" s="310"/>
      <c r="CI24" s="310"/>
      <c r="CJ24" s="310"/>
      <c r="CK24" s="310"/>
      <c r="CL24" s="310"/>
      <c r="CM24" s="310"/>
      <c r="CN24" s="310"/>
      <c r="CO24" s="310"/>
      <c r="CP24" s="310"/>
      <c r="CQ24" s="310"/>
      <c r="CR24" s="310"/>
      <c r="CS24" s="310"/>
      <c r="CT24" s="310"/>
      <c r="CU24" s="310"/>
      <c r="CV24" s="310"/>
      <c r="CW24" s="310"/>
      <c r="CX24" s="310"/>
      <c r="CY24" s="310"/>
      <c r="CZ24" s="310"/>
      <c r="DA24" s="310"/>
      <c r="DB24" s="310"/>
      <c r="DC24" s="310"/>
      <c r="DD24" s="310"/>
      <c r="DE24" s="310"/>
      <c r="DF24" s="310"/>
      <c r="DG24" s="310"/>
      <c r="DH24" s="310"/>
      <c r="DI24" s="310"/>
      <c r="DJ24" s="310"/>
      <c r="DK24" s="310"/>
      <c r="DL24" s="310"/>
      <c r="DM24" s="310"/>
      <c r="DN24" s="310"/>
      <c r="DO24" s="310"/>
      <c r="DP24" s="310"/>
      <c r="DQ24" s="310"/>
      <c r="DR24" s="310"/>
      <c r="DS24" s="310"/>
      <c r="DT24" s="310"/>
    </row>
    <row r="25" spans="1:124" ht="15" customHeight="1" x14ac:dyDescent="0.55000000000000004">
      <c r="B25" s="333"/>
      <c r="C25" s="333"/>
      <c r="D25" s="333"/>
      <c r="E25" s="333"/>
      <c r="F25" s="333"/>
      <c r="G25" s="333"/>
      <c r="H25" s="333"/>
      <c r="I25" s="333"/>
      <c r="J25" s="333"/>
      <c r="K25" s="333"/>
      <c r="L25" s="333"/>
      <c r="M25" s="333"/>
      <c r="N25" s="333"/>
      <c r="O25" s="333"/>
      <c r="P25" s="333"/>
      <c r="Q25" s="333"/>
      <c r="R25" s="333"/>
    </row>
  </sheetData>
  <mergeCells count="7">
    <mergeCell ref="B1:S1"/>
    <mergeCell ref="B2:S2"/>
    <mergeCell ref="B4:D4"/>
    <mergeCell ref="E4:G4"/>
    <mergeCell ref="H4:J4"/>
    <mergeCell ref="K4:M4"/>
    <mergeCell ref="N4:P4"/>
  </mergeCells>
  <pageMargins left="0.25" right="0.25" top="0.75" bottom="0.75" header="0.3" footer="0.3"/>
  <pageSetup paperSize="5" scale="86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A610-5173-431F-804F-DE02458BC5E4}">
  <sheetPr>
    <pageSetUpPr fitToPage="1"/>
  </sheetPr>
  <dimension ref="A1:AS211"/>
  <sheetViews>
    <sheetView zoomScale="89" zoomScaleNormal="55" zoomScalePageLayoutView="60" workbookViewId="0">
      <pane xSplit="7" ySplit="11" topLeftCell="H199" activePane="bottomRight" state="frozen"/>
      <selection pane="topRight" activeCell="B1" sqref="B1"/>
      <selection pane="bottomLeft" activeCell="A12" sqref="A12"/>
      <selection pane="bottomRight" activeCell="K208" sqref="K208"/>
    </sheetView>
  </sheetViews>
  <sheetFormatPr defaultColWidth="9.1640625" defaultRowHeight="12.6" outlineLevelCol="1" x14ac:dyDescent="0.45"/>
  <cols>
    <col min="1" max="1" width="14.1640625" style="1" customWidth="1"/>
    <col min="2" max="2" width="9.44140625" style="1" customWidth="1"/>
    <col min="3" max="3" width="13.5546875" style="1" customWidth="1"/>
    <col min="4" max="4" width="13" style="1" customWidth="1"/>
    <col min="5" max="5" width="15.27734375" style="1" customWidth="1"/>
    <col min="6" max="6" width="24.5546875" style="1" bestFit="1" customWidth="1"/>
    <col min="7" max="7" width="66" style="1" customWidth="1"/>
    <col min="8" max="8" width="7.44140625" style="1" bestFit="1" customWidth="1" outlineLevel="1"/>
    <col min="9" max="9" width="7.1640625" style="1" bestFit="1" customWidth="1" outlineLevel="1"/>
    <col min="10" max="10" width="8.44140625" style="287" bestFit="1" customWidth="1" outlineLevel="1"/>
    <col min="11" max="11" width="10.27734375" style="112" bestFit="1" customWidth="1" outlineLevel="1"/>
    <col min="12" max="13" width="8.71875" style="1" bestFit="1" customWidth="1" outlineLevel="1"/>
    <col min="14" max="14" width="8.83203125" style="1" bestFit="1" customWidth="1" outlineLevel="1"/>
    <col min="15" max="15" width="7.44140625" style="1" bestFit="1" customWidth="1"/>
    <col min="16" max="16" width="6.83203125" style="1" bestFit="1" customWidth="1"/>
    <col min="17" max="17" width="8.44140625" style="1" bestFit="1" customWidth="1"/>
    <col min="18" max="18" width="10.1640625" style="1" bestFit="1" customWidth="1"/>
    <col min="19" max="19" width="8.71875" style="1" bestFit="1" customWidth="1"/>
    <col min="20" max="20" width="10.1640625" style="1" bestFit="1" customWidth="1"/>
    <col min="21" max="21" width="7.44140625" style="1" bestFit="1" customWidth="1"/>
    <col min="22" max="22" width="6.83203125" style="1" bestFit="1" customWidth="1"/>
    <col min="23" max="23" width="8.44140625" style="1" bestFit="1" customWidth="1"/>
    <col min="24" max="24" width="10.1640625" style="1" bestFit="1" customWidth="1"/>
    <col min="25" max="25" width="8.71875" style="1" bestFit="1" customWidth="1"/>
    <col min="26" max="26" width="10.1640625" style="1" bestFit="1" customWidth="1"/>
    <col min="27" max="27" width="7.44140625" style="1" bestFit="1" customWidth="1"/>
    <col min="28" max="28" width="6.83203125" style="1" bestFit="1" customWidth="1"/>
    <col min="29" max="29" width="8.44140625" style="1" bestFit="1" customWidth="1"/>
    <col min="30" max="30" width="10.1640625" style="1" bestFit="1" customWidth="1"/>
    <col min="31" max="31" width="8.71875" style="1" bestFit="1" customWidth="1"/>
    <col min="32" max="32" width="10.1640625" style="1" bestFit="1" customWidth="1"/>
    <col min="33" max="33" width="7.44140625" style="1" bestFit="1" customWidth="1"/>
    <col min="34" max="34" width="6.83203125" style="1" bestFit="1" customWidth="1"/>
    <col min="35" max="35" width="8.44140625" style="1" bestFit="1" customWidth="1"/>
    <col min="36" max="38" width="8.71875" style="1" bestFit="1" customWidth="1"/>
    <col min="39" max="39" width="10.1640625" style="1" bestFit="1" customWidth="1"/>
    <col min="40" max="40" width="8.71875" style="1" bestFit="1" customWidth="1"/>
    <col min="41" max="41" width="10.1640625" style="1" bestFit="1" customWidth="1"/>
    <col min="42" max="16384" width="9.1640625" style="1"/>
  </cols>
  <sheetData>
    <row r="1" spans="1:41" ht="15" x14ac:dyDescent="0.45">
      <c r="H1" s="733" t="s">
        <v>331</v>
      </c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</row>
    <row r="2" spans="1:41" ht="15" x14ac:dyDescent="0.45">
      <c r="H2" s="733" t="s">
        <v>332</v>
      </c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</row>
    <row r="3" spans="1:41" ht="15.3" thickBot="1" x14ac:dyDescent="0.5">
      <c r="H3" s="733" t="s">
        <v>333</v>
      </c>
      <c r="I3" s="733"/>
      <c r="J3" s="733"/>
      <c r="K3" s="733"/>
      <c r="L3" s="733"/>
      <c r="M3" s="733"/>
      <c r="N3" s="733"/>
      <c r="O3" s="733"/>
      <c r="P3" s="733"/>
      <c r="Q3" s="733"/>
      <c r="R3" s="733"/>
      <c r="S3" s="733"/>
      <c r="T3" s="733"/>
      <c r="U3" s="733"/>
      <c r="V3" s="733"/>
      <c r="W3" s="733"/>
      <c r="X3" s="733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</row>
    <row r="4" spans="1:41" ht="15" x14ac:dyDescent="0.45">
      <c r="A4" s="624" t="s">
        <v>33</v>
      </c>
      <c r="B4" s="625" t="s">
        <v>34</v>
      </c>
      <c r="H4" s="733" t="s">
        <v>32</v>
      </c>
      <c r="I4" s="733"/>
      <c r="J4" s="733"/>
      <c r="K4" s="733"/>
      <c r="L4" s="733"/>
      <c r="M4" s="733"/>
      <c r="N4" s="733"/>
      <c r="O4" s="733"/>
      <c r="P4" s="733"/>
      <c r="Q4" s="733"/>
      <c r="R4" s="733"/>
      <c r="S4" s="733"/>
      <c r="T4" s="733"/>
      <c r="U4" s="733"/>
      <c r="V4" s="733"/>
      <c r="W4" s="733"/>
      <c r="X4" s="733"/>
      <c r="Y4" s="733"/>
      <c r="Z4" s="733"/>
      <c r="AA4" s="733"/>
      <c r="AB4" s="733"/>
      <c r="AC4" s="733"/>
      <c r="AD4" s="733"/>
      <c r="AE4" s="733"/>
      <c r="AF4" s="733"/>
      <c r="AG4" s="733"/>
      <c r="AH4" s="733"/>
      <c r="AI4" s="733"/>
      <c r="AJ4" s="733"/>
      <c r="AK4" s="733"/>
      <c r="AL4" s="733"/>
      <c r="AM4" s="733"/>
      <c r="AN4" s="733"/>
      <c r="AO4" s="733"/>
    </row>
    <row r="5" spans="1:41" x14ac:dyDescent="0.45">
      <c r="A5" s="626" t="s">
        <v>36</v>
      </c>
      <c r="B5" s="627">
        <v>20300</v>
      </c>
      <c r="G5" s="541" t="s">
        <v>35</v>
      </c>
      <c r="H5" s="2"/>
      <c r="I5" s="2"/>
      <c r="J5" s="285"/>
      <c r="K5" s="51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41" ht="12.9" thickBot="1" x14ac:dyDescent="0.5">
      <c r="A6" s="628" t="s">
        <v>38</v>
      </c>
      <c r="B6" s="629" t="s">
        <v>39</v>
      </c>
      <c r="G6" s="3" t="s">
        <v>334</v>
      </c>
      <c r="H6" s="619">
        <v>1.03</v>
      </c>
      <c r="I6" s="6"/>
      <c r="J6" s="286"/>
      <c r="K6" s="513"/>
      <c r="L6" s="7"/>
      <c r="M6" s="38"/>
      <c r="N6" s="8"/>
      <c r="O6" s="38"/>
      <c r="P6" s="38"/>
      <c r="Q6" s="8"/>
      <c r="R6" s="38"/>
      <c r="S6" s="38"/>
      <c r="T6" s="8"/>
      <c r="U6" s="38"/>
      <c r="V6" s="38"/>
      <c r="W6" s="8"/>
      <c r="X6" s="38"/>
      <c r="Y6" s="38"/>
      <c r="Z6" s="38"/>
      <c r="AA6" s="38"/>
      <c r="AB6" s="38"/>
    </row>
    <row r="7" spans="1:41" x14ac:dyDescent="0.45">
      <c r="G7" s="3" t="s">
        <v>41</v>
      </c>
      <c r="H7" s="619">
        <v>1.04</v>
      </c>
      <c r="I7" s="6"/>
      <c r="J7" s="286"/>
      <c r="K7" s="513"/>
      <c r="L7" s="7"/>
      <c r="M7" s="38"/>
      <c r="N7" s="12"/>
      <c r="O7" s="38"/>
      <c r="P7" s="38"/>
      <c r="Q7" s="8"/>
      <c r="R7" s="38"/>
      <c r="S7" s="38"/>
      <c r="T7" s="8"/>
      <c r="U7" s="38"/>
      <c r="V7" s="38"/>
      <c r="W7" s="8"/>
      <c r="X7" s="38"/>
      <c r="Y7" s="38"/>
      <c r="Z7" s="38"/>
      <c r="AA7" s="38"/>
      <c r="AB7" s="38"/>
    </row>
    <row r="8" spans="1:41" x14ac:dyDescent="0.45">
      <c r="G8" s="13"/>
      <c r="H8" s="112"/>
      <c r="I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</row>
    <row r="9" spans="1:41" ht="12.9" thickBot="1" x14ac:dyDescent="0.5">
      <c r="G9" s="37" t="s">
        <v>43</v>
      </c>
      <c r="H9" s="38"/>
      <c r="J9" s="289"/>
      <c r="K9" s="514"/>
      <c r="M9" s="16"/>
    </row>
    <row r="10" spans="1:41" ht="12.9" thickBot="1" x14ac:dyDescent="0.5">
      <c r="A10" s="735" t="s">
        <v>44</v>
      </c>
      <c r="B10" s="735" t="s">
        <v>45</v>
      </c>
      <c r="C10" s="735" t="s">
        <v>46</v>
      </c>
      <c r="D10" s="735" t="s">
        <v>47</v>
      </c>
      <c r="E10" s="746" t="s">
        <v>48</v>
      </c>
      <c r="F10" s="744" t="s">
        <v>335</v>
      </c>
      <c r="G10" s="564"/>
      <c r="H10" s="113"/>
      <c r="I10" s="114"/>
      <c r="J10" s="114"/>
      <c r="K10" s="515"/>
      <c r="L10" s="17" t="s">
        <v>3</v>
      </c>
      <c r="M10" s="17"/>
      <c r="N10" s="18"/>
      <c r="O10" s="113"/>
      <c r="P10" s="114"/>
      <c r="Q10" s="114"/>
      <c r="R10" s="17" t="s">
        <v>4</v>
      </c>
      <c r="S10" s="17"/>
      <c r="T10" s="18"/>
      <c r="U10" s="730" t="s">
        <v>5</v>
      </c>
      <c r="V10" s="730"/>
      <c r="W10" s="730"/>
      <c r="X10" s="730"/>
      <c r="Y10" s="730"/>
      <c r="Z10" s="730"/>
      <c r="AA10" s="113"/>
      <c r="AB10" s="114"/>
      <c r="AC10" s="114"/>
      <c r="AD10" s="17" t="s">
        <v>6</v>
      </c>
      <c r="AE10" s="17"/>
      <c r="AF10" s="18"/>
      <c r="AG10" s="113"/>
      <c r="AH10" s="114"/>
      <c r="AI10" s="114"/>
      <c r="AJ10" s="17" t="s">
        <v>7</v>
      </c>
      <c r="AK10" s="17"/>
      <c r="AL10" s="18"/>
      <c r="AM10" s="19" t="s">
        <v>8</v>
      </c>
      <c r="AN10" s="351" t="s">
        <v>9</v>
      </c>
      <c r="AO10" s="19" t="s">
        <v>10</v>
      </c>
    </row>
    <row r="11" spans="1:41" s="288" customFormat="1" ht="12.6" customHeight="1" x14ac:dyDescent="0.45">
      <c r="A11" s="736"/>
      <c r="B11" s="736"/>
      <c r="C11" s="736"/>
      <c r="D11" s="736"/>
      <c r="E11" s="747"/>
      <c r="F11" s="745"/>
      <c r="G11" s="290"/>
      <c r="H11" s="291" t="s">
        <v>49</v>
      </c>
      <c r="I11" s="292" t="s">
        <v>50</v>
      </c>
      <c r="J11" s="292" t="s">
        <v>51</v>
      </c>
      <c r="K11" s="292" t="s">
        <v>52</v>
      </c>
      <c r="L11" s="293" t="s">
        <v>11</v>
      </c>
      <c r="M11" s="292" t="s">
        <v>12</v>
      </c>
      <c r="N11" s="294" t="s">
        <v>9</v>
      </c>
      <c r="O11" s="291" t="s">
        <v>49</v>
      </c>
      <c r="P11" s="292" t="s">
        <v>50</v>
      </c>
      <c r="Q11" s="292" t="s">
        <v>51</v>
      </c>
      <c r="R11" s="293" t="s">
        <v>11</v>
      </c>
      <c r="S11" s="292" t="s">
        <v>12</v>
      </c>
      <c r="T11" s="294" t="s">
        <v>9</v>
      </c>
      <c r="U11" s="291" t="s">
        <v>49</v>
      </c>
      <c r="V11" s="292" t="s">
        <v>50</v>
      </c>
      <c r="W11" s="292" t="s">
        <v>51</v>
      </c>
      <c r="X11" s="293" t="s">
        <v>11</v>
      </c>
      <c r="Y11" s="292" t="s">
        <v>12</v>
      </c>
      <c r="Z11" s="294" t="s">
        <v>9</v>
      </c>
      <c r="AA11" s="291" t="s">
        <v>49</v>
      </c>
      <c r="AB11" s="292" t="s">
        <v>50</v>
      </c>
      <c r="AC11" s="292" t="s">
        <v>51</v>
      </c>
      <c r="AD11" s="293" t="s">
        <v>11</v>
      </c>
      <c r="AE11" s="292" t="s">
        <v>12</v>
      </c>
      <c r="AF11" s="294" t="s">
        <v>9</v>
      </c>
      <c r="AG11" s="291" t="s">
        <v>49</v>
      </c>
      <c r="AH11" s="292" t="s">
        <v>50</v>
      </c>
      <c r="AI11" s="292" t="s">
        <v>51</v>
      </c>
      <c r="AJ11" s="293" t="s">
        <v>11</v>
      </c>
      <c r="AK11" s="292" t="s">
        <v>12</v>
      </c>
      <c r="AL11" s="294" t="s">
        <v>9</v>
      </c>
      <c r="AM11" s="120" t="s">
        <v>11</v>
      </c>
      <c r="AN11" s="291" t="s">
        <v>12</v>
      </c>
      <c r="AO11" s="120" t="s">
        <v>8</v>
      </c>
    </row>
    <row r="12" spans="1:41" x14ac:dyDescent="0.45">
      <c r="A12" s="20"/>
      <c r="B12" s="20"/>
      <c r="C12" s="20"/>
      <c r="D12" s="20"/>
      <c r="E12" s="20"/>
      <c r="F12" s="701"/>
      <c r="G12" s="20"/>
      <c r="H12" s="121"/>
      <c r="I12" s="22"/>
      <c r="J12" s="22"/>
      <c r="K12" s="516"/>
      <c r="L12" s="21"/>
      <c r="M12" s="22"/>
      <c r="N12" s="23"/>
      <c r="O12" s="121"/>
      <c r="P12" s="22"/>
      <c r="Q12" s="22"/>
      <c r="R12" s="21"/>
      <c r="S12" s="22"/>
      <c r="T12" s="23"/>
      <c r="U12" s="121"/>
      <c r="V12" s="22"/>
      <c r="W12" s="22"/>
      <c r="X12" s="21"/>
      <c r="Y12" s="22"/>
      <c r="Z12" s="23"/>
      <c r="AA12" s="121"/>
      <c r="AB12" s="22"/>
      <c r="AC12" s="22"/>
      <c r="AD12" s="21"/>
      <c r="AE12" s="22"/>
      <c r="AF12" s="23"/>
      <c r="AG12" s="121"/>
      <c r="AH12" s="22"/>
      <c r="AI12" s="22"/>
      <c r="AJ12" s="21"/>
      <c r="AK12" s="22"/>
      <c r="AL12" s="23"/>
      <c r="AM12" s="245"/>
      <c r="AN12" s="352"/>
      <c r="AO12" s="245"/>
    </row>
    <row r="13" spans="1:41" x14ac:dyDescent="0.45">
      <c r="A13" s="24"/>
      <c r="B13" s="24"/>
      <c r="C13" s="24"/>
      <c r="D13" s="24"/>
      <c r="E13" s="24"/>
      <c r="F13" s="24"/>
      <c r="G13" s="24" t="s">
        <v>13</v>
      </c>
      <c r="H13" s="122"/>
      <c r="I13" s="123"/>
      <c r="J13" s="295"/>
      <c r="K13" s="517"/>
      <c r="L13" s="25"/>
      <c r="M13" s="26"/>
      <c r="N13" s="27"/>
      <c r="O13" s="122"/>
      <c r="P13" s="123"/>
      <c r="Q13" s="123"/>
      <c r="R13" s="25"/>
      <c r="S13" s="26"/>
      <c r="T13" s="27"/>
      <c r="U13" s="122"/>
      <c r="V13" s="123"/>
      <c r="W13" s="123"/>
      <c r="X13" s="25"/>
      <c r="Y13" s="26"/>
      <c r="Z13" s="27"/>
      <c r="AA13" s="122"/>
      <c r="AB13" s="123"/>
      <c r="AC13" s="123"/>
      <c r="AD13" s="25"/>
      <c r="AE13" s="26"/>
      <c r="AF13" s="27"/>
      <c r="AG13" s="122"/>
      <c r="AH13" s="123"/>
      <c r="AI13" s="123"/>
      <c r="AJ13" s="25"/>
      <c r="AK13" s="26"/>
      <c r="AL13" s="27"/>
      <c r="AM13" s="28"/>
      <c r="AN13" s="246"/>
      <c r="AO13" s="28"/>
    </row>
    <row r="14" spans="1:41" x14ac:dyDescent="0.45">
      <c r="A14" s="73"/>
      <c r="B14" s="73"/>
      <c r="C14" s="73"/>
      <c r="D14" s="73"/>
      <c r="E14" s="73"/>
      <c r="F14" s="73"/>
      <c r="G14" s="73" t="s">
        <v>336</v>
      </c>
      <c r="H14" s="124" t="s">
        <v>54</v>
      </c>
      <c r="I14" s="132"/>
      <c r="J14" s="349"/>
      <c r="K14" s="563"/>
      <c r="L14" s="37"/>
      <c r="M14" s="38"/>
      <c r="N14" s="39"/>
      <c r="O14" s="124"/>
      <c r="P14" s="132"/>
      <c r="Q14" s="565"/>
      <c r="R14" s="37"/>
      <c r="S14" s="38"/>
      <c r="T14" s="39"/>
      <c r="U14" s="124"/>
      <c r="V14" s="132"/>
      <c r="W14" s="565"/>
      <c r="X14" s="37"/>
      <c r="Y14" s="38"/>
      <c r="Z14" s="39"/>
      <c r="AA14" s="124"/>
      <c r="AB14" s="132"/>
      <c r="AC14" s="132"/>
      <c r="AD14" s="37"/>
      <c r="AE14" s="38"/>
      <c r="AF14" s="39"/>
      <c r="AG14" s="124"/>
      <c r="AH14" s="132"/>
      <c r="AI14" s="132"/>
      <c r="AJ14" s="37"/>
      <c r="AK14" s="38"/>
      <c r="AL14" s="39"/>
      <c r="AM14" s="40"/>
      <c r="AN14" s="270"/>
      <c r="AO14" s="40"/>
    </row>
    <row r="15" spans="1:41" x14ac:dyDescent="0.45">
      <c r="A15" s="545"/>
      <c r="B15" s="545"/>
      <c r="C15" s="545"/>
      <c r="D15" s="545"/>
      <c r="E15" s="545"/>
      <c r="F15" s="545"/>
      <c r="G15" s="545" t="s">
        <v>337</v>
      </c>
      <c r="H15" s="124"/>
      <c r="I15" s="132"/>
      <c r="J15" s="349"/>
      <c r="K15" s="563"/>
      <c r="L15" s="37"/>
      <c r="M15" s="38"/>
      <c r="N15" s="39"/>
      <c r="O15" s="124"/>
      <c r="P15" s="132"/>
      <c r="Q15" s="565"/>
      <c r="R15" s="37"/>
      <c r="S15" s="38"/>
      <c r="T15" s="39"/>
      <c r="U15" s="124"/>
      <c r="V15" s="132"/>
      <c r="W15" s="565"/>
      <c r="X15" s="37"/>
      <c r="Y15" s="38"/>
      <c r="Z15" s="39"/>
      <c r="AA15" s="124"/>
      <c r="AB15" s="132"/>
      <c r="AC15" s="132"/>
      <c r="AD15" s="37"/>
      <c r="AE15" s="38"/>
      <c r="AF15" s="39"/>
      <c r="AG15" s="124"/>
      <c r="AH15" s="132"/>
      <c r="AI15" s="132"/>
      <c r="AJ15" s="37"/>
      <c r="AK15" s="38"/>
      <c r="AL15" s="39"/>
      <c r="AM15" s="40"/>
      <c r="AN15" s="270"/>
      <c r="AO15" s="40"/>
    </row>
    <row r="16" spans="1:41" x14ac:dyDescent="0.45">
      <c r="A16" s="258" t="s">
        <v>216</v>
      </c>
      <c r="B16" s="258">
        <v>89050</v>
      </c>
      <c r="C16" s="258" t="s">
        <v>65</v>
      </c>
      <c r="D16" s="258" t="s">
        <v>65</v>
      </c>
      <c r="E16" s="258" t="s">
        <v>217</v>
      </c>
      <c r="F16" s="702" t="s">
        <v>338</v>
      </c>
      <c r="G16" s="34" t="s">
        <v>339</v>
      </c>
      <c r="H16" s="601">
        <v>1</v>
      </c>
      <c r="I16" s="37">
        <f>52500/12</f>
        <v>4375</v>
      </c>
      <c r="J16" s="566">
        <v>11</v>
      </c>
      <c r="K16" s="112" t="s">
        <v>59</v>
      </c>
      <c r="L16" s="37">
        <f>J16*I16*H16</f>
        <v>48125</v>
      </c>
      <c r="M16" s="38">
        <v>0</v>
      </c>
      <c r="N16" s="39">
        <f>SUM(L16:M16)</f>
        <v>48125</v>
      </c>
      <c r="O16" s="601">
        <f>H16</f>
        <v>1</v>
      </c>
      <c r="P16" s="38">
        <f>I16*$H$7</f>
        <v>4550</v>
      </c>
      <c r="Q16" s="567">
        <v>12</v>
      </c>
      <c r="R16" s="37">
        <f>O16*P16*Q16</f>
        <v>54600</v>
      </c>
      <c r="S16" s="38">
        <v>0</v>
      </c>
      <c r="T16" s="39">
        <f>SUM(R16:S16)</f>
        <v>54600</v>
      </c>
      <c r="U16" s="601">
        <f>H16</f>
        <v>1</v>
      </c>
      <c r="V16" s="38">
        <f>I16*$H$7*$H$7</f>
        <v>4732</v>
      </c>
      <c r="W16" s="567">
        <v>12</v>
      </c>
      <c r="X16" s="37">
        <f>U16*V16*W16</f>
        <v>56784</v>
      </c>
      <c r="Y16" s="38">
        <v>0</v>
      </c>
      <c r="Z16" s="39">
        <f>SUM(X16:Y16)</f>
        <v>56784</v>
      </c>
      <c r="AA16" s="601">
        <f>U16</f>
        <v>1</v>
      </c>
      <c r="AB16" s="38">
        <f>I16*$H$7*$H$7*$H$7</f>
        <v>4921.28</v>
      </c>
      <c r="AC16" s="567">
        <v>12</v>
      </c>
      <c r="AD16" s="37">
        <f>AA16*AB16*AC16</f>
        <v>59055.360000000001</v>
      </c>
      <c r="AE16" s="38">
        <v>0</v>
      </c>
      <c r="AF16" s="39">
        <f>SUM(AD16:AE16)</f>
        <v>59055.360000000001</v>
      </c>
      <c r="AG16" s="601">
        <f>AA16</f>
        <v>1</v>
      </c>
      <c r="AH16" s="38">
        <f>I16*$H$7*$H$7*$H$7*$H$7</f>
        <v>5118.1311999999998</v>
      </c>
      <c r="AI16" s="567">
        <v>11</v>
      </c>
      <c r="AJ16" s="37">
        <f>AG16*AH16*AI16</f>
        <v>56299.443199999994</v>
      </c>
      <c r="AK16" s="38">
        <v>0</v>
      </c>
      <c r="AL16" s="39">
        <f>SUM(AJ16:AK16)</f>
        <v>56299.443199999994</v>
      </c>
      <c r="AM16" s="40">
        <f>L16+R16+X16+AD16+AJ16</f>
        <v>274863.80319999997</v>
      </c>
      <c r="AN16" s="270">
        <f>M16+S16+Y16+AE16+AK16</f>
        <v>0</v>
      </c>
      <c r="AO16" s="40">
        <f>SUM(AM16:AN16)</f>
        <v>274863.80319999997</v>
      </c>
    </row>
    <row r="17" spans="1:45" x14ac:dyDescent="0.45">
      <c r="A17" s="258" t="s">
        <v>216</v>
      </c>
      <c r="B17" s="258">
        <v>89050</v>
      </c>
      <c r="C17" s="258" t="s">
        <v>65</v>
      </c>
      <c r="D17" s="258" t="s">
        <v>65</v>
      </c>
      <c r="E17" s="258" t="s">
        <v>217</v>
      </c>
      <c r="F17" s="702" t="s">
        <v>338</v>
      </c>
      <c r="G17" s="34" t="s">
        <v>340</v>
      </c>
      <c r="H17" s="601">
        <v>1</v>
      </c>
      <c r="I17" s="37">
        <f>38000/12</f>
        <v>3166.6666666666665</v>
      </c>
      <c r="J17" s="287">
        <v>10</v>
      </c>
      <c r="K17" s="112" t="s">
        <v>59</v>
      </c>
      <c r="L17" s="37">
        <f>J17*I17*H17</f>
        <v>31666.666666666664</v>
      </c>
      <c r="M17" s="38">
        <v>0</v>
      </c>
      <c r="N17" s="39">
        <f>SUM(L17:M17)</f>
        <v>31666.666666666664</v>
      </c>
      <c r="O17" s="601">
        <v>1</v>
      </c>
      <c r="P17" s="38">
        <f>I17*$H$7</f>
        <v>3293.3333333333335</v>
      </c>
      <c r="Q17" s="288">
        <v>12</v>
      </c>
      <c r="R17" s="37">
        <f>P17*Q17*O17</f>
        <v>39520</v>
      </c>
      <c r="S17" s="38">
        <v>0</v>
      </c>
      <c r="T17" s="39">
        <f>SUM(R17:S17)</f>
        <v>39520</v>
      </c>
      <c r="U17" s="601">
        <v>1</v>
      </c>
      <c r="V17" s="38">
        <f>I17*$H$7*$H$7</f>
        <v>3425.0666666666671</v>
      </c>
      <c r="W17" s="288">
        <v>12</v>
      </c>
      <c r="X17" s="37">
        <f>W17*V17*U17</f>
        <v>41100.800000000003</v>
      </c>
      <c r="Y17" s="38">
        <v>0</v>
      </c>
      <c r="Z17" s="39">
        <f>SUM(X17:Y17)</f>
        <v>41100.800000000003</v>
      </c>
      <c r="AA17" s="601">
        <v>1</v>
      </c>
      <c r="AB17" s="38">
        <f>I17*$H$7*$H$7*$H$7</f>
        <v>3562.0693333333338</v>
      </c>
      <c r="AC17" s="288">
        <v>12</v>
      </c>
      <c r="AD17" s="37">
        <f>AC17*AB17*AA17</f>
        <v>42744.832000000009</v>
      </c>
      <c r="AE17" s="38">
        <v>0</v>
      </c>
      <c r="AF17" s="39">
        <f>SUM(AD17:AE17)</f>
        <v>42744.832000000009</v>
      </c>
      <c r="AG17" s="601">
        <v>1</v>
      </c>
      <c r="AH17" s="38">
        <f>I17*$H$7*$H$7*$H$7*$H$7</f>
        <v>3704.5521066666674</v>
      </c>
      <c r="AI17" s="288">
        <v>8</v>
      </c>
      <c r="AJ17" s="37">
        <f>AI17*AH17*AG17</f>
        <v>29636.41685333334</v>
      </c>
      <c r="AK17" s="38">
        <v>0</v>
      </c>
      <c r="AL17" s="39">
        <f>SUM(AJ17:AK17)</f>
        <v>29636.41685333334</v>
      </c>
      <c r="AM17" s="40">
        <f>L17+R17+X17+AD17+AJ17</f>
        <v>184668.71552</v>
      </c>
      <c r="AN17" s="270">
        <f>M17+S17+Y17+AE17+AK17</f>
        <v>0</v>
      </c>
      <c r="AO17" s="40">
        <f>SUM(AM17:AN17)</f>
        <v>184668.71552</v>
      </c>
    </row>
    <row r="18" spans="1:45" x14ac:dyDescent="0.45">
      <c r="A18" s="545"/>
      <c r="B18" s="258"/>
      <c r="C18" s="258"/>
      <c r="D18" s="258"/>
      <c r="E18" s="545"/>
      <c r="F18" s="545"/>
      <c r="G18" s="545" t="s">
        <v>341</v>
      </c>
      <c r="H18" s="601"/>
      <c r="I18" s="35"/>
      <c r="L18" s="37"/>
      <c r="M18" s="38"/>
      <c r="N18" s="39"/>
      <c r="O18" s="601"/>
      <c r="P18" s="38"/>
      <c r="Q18" s="288"/>
      <c r="R18" s="37"/>
      <c r="S18" s="38"/>
      <c r="T18" s="39"/>
      <c r="U18" s="601"/>
      <c r="V18" s="38"/>
      <c r="W18" s="288"/>
      <c r="X18" s="37"/>
      <c r="Y18" s="38"/>
      <c r="Z18" s="39"/>
      <c r="AA18" s="601"/>
      <c r="AB18" s="38"/>
      <c r="AC18" s="288"/>
      <c r="AD18" s="37"/>
      <c r="AE18" s="38"/>
      <c r="AF18" s="39"/>
      <c r="AG18" s="601"/>
      <c r="AH18" s="38"/>
      <c r="AI18" s="288"/>
      <c r="AJ18" s="37"/>
      <c r="AK18" s="38"/>
      <c r="AL18" s="39"/>
      <c r="AM18" s="40"/>
      <c r="AN18" s="270"/>
      <c r="AO18" s="40"/>
    </row>
    <row r="19" spans="1:45" x14ac:dyDescent="0.45">
      <c r="A19" s="258" t="s">
        <v>216</v>
      </c>
      <c r="B19" s="258">
        <v>89050</v>
      </c>
      <c r="C19" s="258" t="s">
        <v>65</v>
      </c>
      <c r="D19" s="258" t="s">
        <v>65</v>
      </c>
      <c r="E19" s="258" t="s">
        <v>217</v>
      </c>
      <c r="F19" s="702" t="s">
        <v>338</v>
      </c>
      <c r="G19" s="34" t="s">
        <v>342</v>
      </c>
      <c r="H19" s="643">
        <v>1</v>
      </c>
      <c r="I19" s="37">
        <f>22500/12</f>
        <v>1875</v>
      </c>
      <c r="J19" s="287">
        <v>10</v>
      </c>
      <c r="K19" s="112" t="s">
        <v>59</v>
      </c>
      <c r="L19" s="37">
        <f t="shared" ref="L19:L24" si="0">J19*I19*H19</f>
        <v>18750</v>
      </c>
      <c r="M19" s="38">
        <v>0</v>
      </c>
      <c r="N19" s="39">
        <f t="shared" ref="N19:N24" si="1">SUM(L19:M19)</f>
        <v>18750</v>
      </c>
      <c r="O19" s="601">
        <v>1</v>
      </c>
      <c r="P19" s="38">
        <f t="shared" ref="P19:P24" si="2">I19*$H$7</f>
        <v>1950</v>
      </c>
      <c r="Q19" s="288">
        <v>12</v>
      </c>
      <c r="R19" s="37">
        <f t="shared" ref="R19:R24" si="3">P19*Q19*O19</f>
        <v>23400</v>
      </c>
      <c r="S19" s="38">
        <v>0</v>
      </c>
      <c r="T19" s="39">
        <f t="shared" ref="T19:T24" si="4">SUM(R19:S19)</f>
        <v>23400</v>
      </c>
      <c r="U19" s="601">
        <v>1</v>
      </c>
      <c r="V19" s="38">
        <f t="shared" ref="V19:V24" si="5">I19*$H$7*$H$7</f>
        <v>2028</v>
      </c>
      <c r="W19" s="288">
        <v>12</v>
      </c>
      <c r="X19" s="37">
        <f t="shared" ref="X19:X24" si="6">W19*V19*U19</f>
        <v>24336</v>
      </c>
      <c r="Y19" s="38">
        <v>0</v>
      </c>
      <c r="Z19" s="39">
        <f t="shared" ref="Z19:Z24" si="7">SUM(X19:Y19)</f>
        <v>24336</v>
      </c>
      <c r="AA19" s="601">
        <v>1</v>
      </c>
      <c r="AB19" s="38">
        <f t="shared" ref="AB19:AB24" si="8">I19*$H$7*$H$7*$H$7</f>
        <v>2109.12</v>
      </c>
      <c r="AC19" s="288">
        <v>12</v>
      </c>
      <c r="AD19" s="37">
        <f t="shared" ref="AD19:AD24" si="9">AC19*AB19*AA19</f>
        <v>25309.439999999999</v>
      </c>
      <c r="AE19" s="38">
        <v>0</v>
      </c>
      <c r="AF19" s="39">
        <f t="shared" ref="AF19:AF24" si="10">SUM(AD19:AE19)</f>
        <v>25309.439999999999</v>
      </c>
      <c r="AG19" s="601">
        <v>1</v>
      </c>
      <c r="AH19" s="38">
        <f t="shared" ref="AH19:AH24" si="11">I19*$H$7*$H$7*$H$7*$H$7</f>
        <v>2193.4848000000002</v>
      </c>
      <c r="AI19" s="288">
        <v>8</v>
      </c>
      <c r="AJ19" s="37">
        <f t="shared" ref="AJ19:AJ24" si="12">AI19*AH19*AG19</f>
        <v>17547.878400000001</v>
      </c>
      <c r="AK19" s="38">
        <v>0</v>
      </c>
      <c r="AL19" s="39">
        <f t="shared" ref="AL19:AL24" si="13">SUM(AJ19:AK19)</f>
        <v>17547.878400000001</v>
      </c>
      <c r="AM19" s="40">
        <f t="shared" ref="AM19:AN24" si="14">L19+R19+X19+AD19+AJ19</f>
        <v>109343.3184</v>
      </c>
      <c r="AN19" s="270">
        <f t="shared" ref="AN19:AN27" si="15">M19+S19+Y19+AE19+AK19</f>
        <v>0</v>
      </c>
      <c r="AO19" s="40">
        <f t="shared" ref="AO19:AO27" si="16">SUM(AM19:AN19)</f>
        <v>109343.3184</v>
      </c>
    </row>
    <row r="20" spans="1:45" x14ac:dyDescent="0.45">
      <c r="A20" s="258" t="s">
        <v>216</v>
      </c>
      <c r="B20" s="258">
        <v>89050</v>
      </c>
      <c r="C20" s="258" t="s">
        <v>65</v>
      </c>
      <c r="D20" s="258" t="s">
        <v>65</v>
      </c>
      <c r="E20" s="258" t="s">
        <v>217</v>
      </c>
      <c r="F20" s="702" t="s">
        <v>338</v>
      </c>
      <c r="G20" s="34" t="s">
        <v>343</v>
      </c>
      <c r="H20" s="643">
        <v>1</v>
      </c>
      <c r="I20" s="37">
        <f>22500/12</f>
        <v>1875</v>
      </c>
      <c r="J20" s="287">
        <v>10</v>
      </c>
      <c r="K20" s="112" t="s">
        <v>59</v>
      </c>
      <c r="L20" s="37">
        <f t="shared" si="0"/>
        <v>18750</v>
      </c>
      <c r="M20" s="38">
        <v>0</v>
      </c>
      <c r="N20" s="39">
        <f t="shared" si="1"/>
        <v>18750</v>
      </c>
      <c r="O20" s="601">
        <v>1</v>
      </c>
      <c r="P20" s="38">
        <f>I20*$H$7</f>
        <v>1950</v>
      </c>
      <c r="Q20" s="288">
        <v>12</v>
      </c>
      <c r="R20" s="37">
        <f t="shared" si="3"/>
        <v>23400</v>
      </c>
      <c r="S20" s="38">
        <v>0</v>
      </c>
      <c r="T20" s="39">
        <f t="shared" si="4"/>
        <v>23400</v>
      </c>
      <c r="U20" s="601">
        <v>1</v>
      </c>
      <c r="V20" s="38">
        <f t="shared" si="5"/>
        <v>2028</v>
      </c>
      <c r="W20" s="288">
        <v>12</v>
      </c>
      <c r="X20" s="37">
        <f t="shared" si="6"/>
        <v>24336</v>
      </c>
      <c r="Y20" s="38">
        <v>0</v>
      </c>
      <c r="Z20" s="39">
        <f t="shared" si="7"/>
        <v>24336</v>
      </c>
      <c r="AA20" s="601">
        <v>1</v>
      </c>
      <c r="AB20" s="38">
        <f t="shared" si="8"/>
        <v>2109.12</v>
      </c>
      <c r="AC20" s="288">
        <v>12</v>
      </c>
      <c r="AD20" s="37">
        <f t="shared" si="9"/>
        <v>25309.439999999999</v>
      </c>
      <c r="AE20" s="38">
        <v>0</v>
      </c>
      <c r="AF20" s="39">
        <f t="shared" si="10"/>
        <v>25309.439999999999</v>
      </c>
      <c r="AG20" s="601">
        <v>1</v>
      </c>
      <c r="AH20" s="38">
        <f t="shared" si="11"/>
        <v>2193.4848000000002</v>
      </c>
      <c r="AI20" s="288">
        <v>8</v>
      </c>
      <c r="AJ20" s="37">
        <f t="shared" si="12"/>
        <v>17547.878400000001</v>
      </c>
      <c r="AK20" s="38">
        <v>0</v>
      </c>
      <c r="AL20" s="39">
        <f t="shared" si="13"/>
        <v>17547.878400000001</v>
      </c>
      <c r="AM20" s="40">
        <f t="shared" si="14"/>
        <v>109343.3184</v>
      </c>
      <c r="AN20" s="270">
        <f t="shared" si="15"/>
        <v>0</v>
      </c>
      <c r="AO20" s="40">
        <f t="shared" si="16"/>
        <v>109343.3184</v>
      </c>
    </row>
    <row r="21" spans="1:45" s="647" customFormat="1" x14ac:dyDescent="0.45">
      <c r="A21" s="258" t="s">
        <v>216</v>
      </c>
      <c r="B21" s="258">
        <v>89050</v>
      </c>
      <c r="C21" s="258" t="s">
        <v>65</v>
      </c>
      <c r="D21" s="258" t="s">
        <v>65</v>
      </c>
      <c r="E21" s="258" t="s">
        <v>217</v>
      </c>
      <c r="F21" s="702" t="s">
        <v>338</v>
      </c>
      <c r="G21" s="34" t="s">
        <v>344</v>
      </c>
      <c r="H21" s="643">
        <v>1</v>
      </c>
      <c r="I21" s="37">
        <f>22500/12</f>
        <v>1875</v>
      </c>
      <c r="J21" s="287">
        <v>10</v>
      </c>
      <c r="K21" s="112" t="s">
        <v>59</v>
      </c>
      <c r="L21" s="644">
        <f t="shared" si="0"/>
        <v>18750</v>
      </c>
      <c r="M21" s="38">
        <v>0</v>
      </c>
      <c r="N21" s="617">
        <f t="shared" si="1"/>
        <v>18750</v>
      </c>
      <c r="O21" s="643">
        <v>1</v>
      </c>
      <c r="P21" s="38">
        <f t="shared" si="2"/>
        <v>1950</v>
      </c>
      <c r="Q21" s="288">
        <v>12</v>
      </c>
      <c r="R21" s="644">
        <f t="shared" si="3"/>
        <v>23400</v>
      </c>
      <c r="S21" s="38">
        <v>0</v>
      </c>
      <c r="T21" s="617">
        <f t="shared" si="4"/>
        <v>23400</v>
      </c>
      <c r="U21" s="643">
        <v>1</v>
      </c>
      <c r="V21" s="38">
        <f t="shared" si="5"/>
        <v>2028</v>
      </c>
      <c r="W21" s="288">
        <v>12</v>
      </c>
      <c r="X21" s="644">
        <f t="shared" si="6"/>
        <v>24336</v>
      </c>
      <c r="Y21" s="38">
        <v>0</v>
      </c>
      <c r="Z21" s="617">
        <f t="shared" si="7"/>
        <v>24336</v>
      </c>
      <c r="AA21" s="643">
        <v>1</v>
      </c>
      <c r="AB21" s="38">
        <f t="shared" si="8"/>
        <v>2109.12</v>
      </c>
      <c r="AC21" s="288">
        <v>12</v>
      </c>
      <c r="AD21" s="644">
        <f t="shared" si="9"/>
        <v>25309.439999999999</v>
      </c>
      <c r="AE21" s="38">
        <v>0</v>
      </c>
      <c r="AF21" s="617">
        <f t="shared" si="10"/>
        <v>25309.439999999999</v>
      </c>
      <c r="AG21" s="643">
        <v>1</v>
      </c>
      <c r="AH21" s="38">
        <f t="shared" si="11"/>
        <v>2193.4848000000002</v>
      </c>
      <c r="AI21" s="288">
        <v>8</v>
      </c>
      <c r="AJ21" s="644">
        <f t="shared" si="12"/>
        <v>17547.878400000001</v>
      </c>
      <c r="AK21" s="38">
        <v>0</v>
      </c>
      <c r="AL21" s="617">
        <f t="shared" si="13"/>
        <v>17547.878400000001</v>
      </c>
      <c r="AM21" s="645">
        <f t="shared" si="14"/>
        <v>109343.3184</v>
      </c>
      <c r="AN21" s="646">
        <f t="shared" si="14"/>
        <v>0</v>
      </c>
      <c r="AO21" s="645">
        <f t="shared" si="16"/>
        <v>109343.3184</v>
      </c>
      <c r="AP21" s="1"/>
      <c r="AQ21" s="1"/>
      <c r="AR21" s="1"/>
      <c r="AS21" s="1"/>
    </row>
    <row r="22" spans="1:45" s="647" customFormat="1" x14ac:dyDescent="0.45">
      <c r="A22" s="258" t="s">
        <v>216</v>
      </c>
      <c r="B22" s="258">
        <v>89050</v>
      </c>
      <c r="C22" s="258" t="s">
        <v>65</v>
      </c>
      <c r="D22" s="258" t="s">
        <v>65</v>
      </c>
      <c r="E22" s="258" t="s">
        <v>217</v>
      </c>
      <c r="F22" s="702" t="s">
        <v>338</v>
      </c>
      <c r="G22" s="34" t="s">
        <v>345</v>
      </c>
      <c r="H22" s="643">
        <v>1</v>
      </c>
      <c r="I22" s="35">
        <f>15000/12</f>
        <v>1250</v>
      </c>
      <c r="J22" s="287">
        <v>10</v>
      </c>
      <c r="K22" s="112" t="s">
        <v>59</v>
      </c>
      <c r="L22" s="644">
        <f t="shared" si="0"/>
        <v>12500</v>
      </c>
      <c r="M22" s="38">
        <v>0</v>
      </c>
      <c r="N22" s="617">
        <f t="shared" si="1"/>
        <v>12500</v>
      </c>
      <c r="O22" s="643">
        <v>1</v>
      </c>
      <c r="P22" s="38">
        <f t="shared" si="2"/>
        <v>1300</v>
      </c>
      <c r="Q22" s="288">
        <v>12</v>
      </c>
      <c r="R22" s="644">
        <f t="shared" si="3"/>
        <v>15600</v>
      </c>
      <c r="S22" s="38">
        <v>0</v>
      </c>
      <c r="T22" s="617">
        <f t="shared" si="4"/>
        <v>15600</v>
      </c>
      <c r="U22" s="643">
        <v>1</v>
      </c>
      <c r="V22" s="38">
        <f t="shared" si="5"/>
        <v>1352</v>
      </c>
      <c r="W22" s="288">
        <v>12</v>
      </c>
      <c r="X22" s="644">
        <f t="shared" si="6"/>
        <v>16224</v>
      </c>
      <c r="Y22" s="38">
        <v>0</v>
      </c>
      <c r="Z22" s="617">
        <f t="shared" si="7"/>
        <v>16224</v>
      </c>
      <c r="AA22" s="643">
        <v>1</v>
      </c>
      <c r="AB22" s="38">
        <f t="shared" si="8"/>
        <v>1406.0800000000002</v>
      </c>
      <c r="AC22" s="288">
        <v>12</v>
      </c>
      <c r="AD22" s="644">
        <f t="shared" si="9"/>
        <v>16872.960000000003</v>
      </c>
      <c r="AE22" s="38">
        <v>0</v>
      </c>
      <c r="AF22" s="617">
        <f t="shared" si="10"/>
        <v>16872.960000000003</v>
      </c>
      <c r="AG22" s="643">
        <v>1</v>
      </c>
      <c r="AH22" s="38">
        <f t="shared" si="11"/>
        <v>1462.3232000000003</v>
      </c>
      <c r="AI22" s="288">
        <v>8</v>
      </c>
      <c r="AJ22" s="644">
        <f t="shared" si="12"/>
        <v>11698.585600000002</v>
      </c>
      <c r="AK22" s="38">
        <v>0</v>
      </c>
      <c r="AL22" s="617">
        <f t="shared" si="13"/>
        <v>11698.585600000002</v>
      </c>
      <c r="AM22" s="645">
        <f t="shared" si="14"/>
        <v>72895.545600000012</v>
      </c>
      <c r="AN22" s="646">
        <f t="shared" si="14"/>
        <v>0</v>
      </c>
      <c r="AO22" s="645">
        <f t="shared" si="16"/>
        <v>72895.545600000012</v>
      </c>
      <c r="AP22" s="1"/>
      <c r="AQ22" s="1"/>
      <c r="AR22" s="1"/>
      <c r="AS22" s="1"/>
    </row>
    <row r="23" spans="1:45" s="647" customFormat="1" x14ac:dyDescent="0.45">
      <c r="A23" s="258" t="s">
        <v>216</v>
      </c>
      <c r="B23" s="258">
        <v>89050</v>
      </c>
      <c r="C23" s="258" t="s">
        <v>65</v>
      </c>
      <c r="D23" s="258" t="s">
        <v>65</v>
      </c>
      <c r="E23" s="258" t="s">
        <v>217</v>
      </c>
      <c r="F23" s="702" t="s">
        <v>338</v>
      </c>
      <c r="G23" s="34" t="s">
        <v>346</v>
      </c>
      <c r="H23" s="643">
        <v>1</v>
      </c>
      <c r="I23" s="35">
        <f>15000/12</f>
        <v>1250</v>
      </c>
      <c r="J23" s="287">
        <v>10</v>
      </c>
      <c r="K23" s="112" t="s">
        <v>59</v>
      </c>
      <c r="L23" s="644">
        <f t="shared" si="0"/>
        <v>12500</v>
      </c>
      <c r="M23" s="38">
        <v>0</v>
      </c>
      <c r="N23" s="617">
        <f t="shared" si="1"/>
        <v>12500</v>
      </c>
      <c r="O23" s="643">
        <v>1</v>
      </c>
      <c r="P23" s="38">
        <f t="shared" si="2"/>
        <v>1300</v>
      </c>
      <c r="Q23" s="288">
        <v>12</v>
      </c>
      <c r="R23" s="644">
        <f t="shared" si="3"/>
        <v>15600</v>
      </c>
      <c r="S23" s="38">
        <v>0</v>
      </c>
      <c r="T23" s="617">
        <f t="shared" si="4"/>
        <v>15600</v>
      </c>
      <c r="U23" s="643">
        <v>1</v>
      </c>
      <c r="V23" s="38">
        <f t="shared" si="5"/>
        <v>1352</v>
      </c>
      <c r="W23" s="288">
        <v>12</v>
      </c>
      <c r="X23" s="644">
        <f t="shared" si="6"/>
        <v>16224</v>
      </c>
      <c r="Y23" s="38">
        <v>0</v>
      </c>
      <c r="Z23" s="617">
        <f t="shared" si="7"/>
        <v>16224</v>
      </c>
      <c r="AA23" s="643">
        <v>1</v>
      </c>
      <c r="AB23" s="38">
        <f t="shared" si="8"/>
        <v>1406.0800000000002</v>
      </c>
      <c r="AC23" s="288">
        <v>12</v>
      </c>
      <c r="AD23" s="644">
        <f t="shared" si="9"/>
        <v>16872.960000000003</v>
      </c>
      <c r="AE23" s="38">
        <v>0</v>
      </c>
      <c r="AF23" s="617">
        <f t="shared" si="10"/>
        <v>16872.960000000003</v>
      </c>
      <c r="AG23" s="643">
        <v>1</v>
      </c>
      <c r="AH23" s="38">
        <f t="shared" si="11"/>
        <v>1462.3232000000003</v>
      </c>
      <c r="AI23" s="288">
        <v>8</v>
      </c>
      <c r="AJ23" s="644">
        <f t="shared" si="12"/>
        <v>11698.585600000002</v>
      </c>
      <c r="AK23" s="38">
        <v>0</v>
      </c>
      <c r="AL23" s="617">
        <f t="shared" si="13"/>
        <v>11698.585600000002</v>
      </c>
      <c r="AM23" s="645">
        <f t="shared" si="14"/>
        <v>72895.545600000012</v>
      </c>
      <c r="AN23" s="646">
        <f t="shared" si="14"/>
        <v>0</v>
      </c>
      <c r="AO23" s="645">
        <f t="shared" si="16"/>
        <v>72895.545600000012</v>
      </c>
      <c r="AP23" s="1"/>
      <c r="AQ23" s="1"/>
      <c r="AR23" s="1"/>
      <c r="AS23" s="1"/>
    </row>
    <row r="24" spans="1:45" x14ac:dyDescent="0.45">
      <c r="A24" s="258" t="s">
        <v>216</v>
      </c>
      <c r="B24" s="258">
        <v>89050</v>
      </c>
      <c r="C24" s="258" t="s">
        <v>65</v>
      </c>
      <c r="D24" s="258" t="s">
        <v>65</v>
      </c>
      <c r="E24" s="258" t="s">
        <v>217</v>
      </c>
      <c r="F24" s="702" t="s">
        <v>338</v>
      </c>
      <c r="G24" s="34" t="s">
        <v>347</v>
      </c>
      <c r="H24" s="643">
        <v>1</v>
      </c>
      <c r="I24" s="35">
        <f>31200/12</f>
        <v>2600</v>
      </c>
      <c r="J24" s="287">
        <v>8</v>
      </c>
      <c r="K24" s="112" t="s">
        <v>59</v>
      </c>
      <c r="L24" s="37">
        <f t="shared" si="0"/>
        <v>20800</v>
      </c>
      <c r="M24" s="38">
        <v>0</v>
      </c>
      <c r="N24" s="39">
        <f t="shared" si="1"/>
        <v>20800</v>
      </c>
      <c r="O24" s="601">
        <v>1</v>
      </c>
      <c r="P24" s="38">
        <f t="shared" si="2"/>
        <v>2704</v>
      </c>
      <c r="Q24" s="288">
        <v>12</v>
      </c>
      <c r="R24" s="37">
        <f t="shared" si="3"/>
        <v>32448</v>
      </c>
      <c r="S24" s="38">
        <v>0</v>
      </c>
      <c r="T24" s="39">
        <f t="shared" si="4"/>
        <v>32448</v>
      </c>
      <c r="U24" s="601">
        <v>1</v>
      </c>
      <c r="V24" s="38">
        <f t="shared" si="5"/>
        <v>2812.1600000000003</v>
      </c>
      <c r="W24" s="288">
        <v>12</v>
      </c>
      <c r="X24" s="37">
        <f t="shared" si="6"/>
        <v>33745.920000000006</v>
      </c>
      <c r="Y24" s="38">
        <v>0</v>
      </c>
      <c r="Z24" s="39">
        <f t="shared" si="7"/>
        <v>33745.920000000006</v>
      </c>
      <c r="AA24" s="601">
        <v>1</v>
      </c>
      <c r="AB24" s="38">
        <f t="shared" si="8"/>
        <v>2924.6464000000005</v>
      </c>
      <c r="AC24" s="288">
        <v>12</v>
      </c>
      <c r="AD24" s="37">
        <f t="shared" si="9"/>
        <v>35095.756800000003</v>
      </c>
      <c r="AE24" s="38">
        <v>0</v>
      </c>
      <c r="AF24" s="39">
        <f t="shared" si="10"/>
        <v>35095.756800000003</v>
      </c>
      <c r="AG24" s="601">
        <v>1</v>
      </c>
      <c r="AH24" s="38">
        <f t="shared" si="11"/>
        <v>3041.6322560000008</v>
      </c>
      <c r="AI24" s="288">
        <v>8</v>
      </c>
      <c r="AJ24" s="37">
        <f t="shared" si="12"/>
        <v>24333.058048000006</v>
      </c>
      <c r="AK24" s="38">
        <v>0</v>
      </c>
      <c r="AL24" s="39">
        <f t="shared" si="13"/>
        <v>24333.058048000006</v>
      </c>
      <c r="AM24" s="40">
        <f t="shared" si="14"/>
        <v>146422.73484800002</v>
      </c>
      <c r="AN24" s="270">
        <f t="shared" si="15"/>
        <v>0</v>
      </c>
      <c r="AO24" s="40">
        <f t="shared" si="16"/>
        <v>146422.73484800002</v>
      </c>
    </row>
    <row r="25" spans="1:45" x14ac:dyDescent="0.45">
      <c r="A25" s="258" t="s">
        <v>216</v>
      </c>
      <c r="B25" s="258">
        <v>89050</v>
      </c>
      <c r="C25" s="258" t="s">
        <v>65</v>
      </c>
      <c r="D25" s="258" t="s">
        <v>65</v>
      </c>
      <c r="E25" s="258" t="s">
        <v>217</v>
      </c>
      <c r="F25" s="702" t="s">
        <v>338</v>
      </c>
      <c r="G25" s="34" t="s">
        <v>348</v>
      </c>
      <c r="H25" s="643">
        <v>1</v>
      </c>
      <c r="I25" s="35">
        <f>15000/12</f>
        <v>1250</v>
      </c>
      <c r="J25" s="287">
        <v>6</v>
      </c>
      <c r="K25" s="112" t="s">
        <v>59</v>
      </c>
      <c r="L25" s="37">
        <f>J25*I25*H25</f>
        <v>7500</v>
      </c>
      <c r="M25" s="38">
        <v>0</v>
      </c>
      <c r="N25" s="39">
        <f>SUM(L25:M25)</f>
        <v>7500</v>
      </c>
      <c r="O25" s="601">
        <v>1</v>
      </c>
      <c r="P25" s="38">
        <f>I25*$H$7</f>
        <v>1300</v>
      </c>
      <c r="Q25" s="288">
        <v>12</v>
      </c>
      <c r="R25" s="37">
        <f>P25*Q25*O25</f>
        <v>15600</v>
      </c>
      <c r="S25" s="38">
        <v>0</v>
      </c>
      <c r="T25" s="39">
        <f>SUM(R25:S25)</f>
        <v>15600</v>
      </c>
      <c r="U25" s="601">
        <v>1</v>
      </c>
      <c r="V25" s="38">
        <f>I25*$H$7*$H$7</f>
        <v>1352</v>
      </c>
      <c r="W25" s="288">
        <v>12</v>
      </c>
      <c r="X25" s="37">
        <f>W25*V25*U25</f>
        <v>16224</v>
      </c>
      <c r="Y25" s="38">
        <v>0</v>
      </c>
      <c r="Z25" s="39">
        <f>SUM(X25:Y25)</f>
        <v>16224</v>
      </c>
      <c r="AA25" s="601">
        <v>1</v>
      </c>
      <c r="AB25" s="38">
        <f>I25*$H$7*$H$7*$H$7</f>
        <v>1406.0800000000002</v>
      </c>
      <c r="AC25" s="288">
        <v>12</v>
      </c>
      <c r="AD25" s="37">
        <f>AC25*AB25*AA25</f>
        <v>16872.960000000003</v>
      </c>
      <c r="AE25" s="38">
        <v>0</v>
      </c>
      <c r="AF25" s="39">
        <f>SUM(AD25:AE25)</f>
        <v>16872.960000000003</v>
      </c>
      <c r="AG25" s="601">
        <v>1</v>
      </c>
      <c r="AH25" s="38">
        <f>I25*$H$7*$H$7*$H$7*$H$7</f>
        <v>1462.3232000000003</v>
      </c>
      <c r="AI25" s="288">
        <v>8</v>
      </c>
      <c r="AJ25" s="37">
        <f>AI25*AH25*AG25</f>
        <v>11698.585600000002</v>
      </c>
      <c r="AK25" s="38">
        <v>0</v>
      </c>
      <c r="AL25" s="39">
        <f>SUM(AJ25:AK25)</f>
        <v>11698.585600000002</v>
      </c>
      <c r="AM25" s="40">
        <f>L25+R25+X25+AD25+AJ25</f>
        <v>67895.545600000012</v>
      </c>
      <c r="AN25" s="270">
        <f>M25+S25+Y25+AE25+AK25</f>
        <v>0</v>
      </c>
      <c r="AO25" s="40">
        <f>SUM(AM25:AN25)</f>
        <v>67895.545600000012</v>
      </c>
    </row>
    <row r="26" spans="1:45" s="647" customFormat="1" x14ac:dyDescent="0.45">
      <c r="A26" s="258" t="s">
        <v>216</v>
      </c>
      <c r="B26" s="258">
        <v>89050</v>
      </c>
      <c r="C26" s="258" t="s">
        <v>65</v>
      </c>
      <c r="D26" s="258" t="s">
        <v>65</v>
      </c>
      <c r="E26" s="258" t="s">
        <v>217</v>
      </c>
      <c r="F26" s="702" t="s">
        <v>338</v>
      </c>
      <c r="G26" s="34" t="s">
        <v>349</v>
      </c>
      <c r="H26" s="643">
        <v>1</v>
      </c>
      <c r="I26" s="37">
        <f>22500/12</f>
        <v>1875</v>
      </c>
      <c r="J26" s="287">
        <v>3</v>
      </c>
      <c r="K26" s="112" t="s">
        <v>59</v>
      </c>
      <c r="L26" s="644">
        <f t="shared" ref="L26" si="17">J26*I26*H26</f>
        <v>5625</v>
      </c>
      <c r="M26" s="38">
        <v>0</v>
      </c>
      <c r="N26" s="617">
        <f t="shared" ref="N26" si="18">SUM(L26:M26)</f>
        <v>5625</v>
      </c>
      <c r="O26" s="643">
        <v>1</v>
      </c>
      <c r="P26" s="38">
        <f t="shared" ref="P26" si="19">I26*$H$7</f>
        <v>1950</v>
      </c>
      <c r="Q26" s="288">
        <v>12</v>
      </c>
      <c r="R26" s="644">
        <f t="shared" ref="R26" si="20">P26*Q26*O26</f>
        <v>23400</v>
      </c>
      <c r="S26" s="38">
        <v>0</v>
      </c>
      <c r="T26" s="617">
        <f t="shared" ref="T26" si="21">SUM(R26:S26)</f>
        <v>23400</v>
      </c>
      <c r="U26" s="643">
        <v>1</v>
      </c>
      <c r="V26" s="38">
        <f t="shared" ref="V26" si="22">I26*$H$7*$H$7</f>
        <v>2028</v>
      </c>
      <c r="W26" s="288">
        <v>12</v>
      </c>
      <c r="X26" s="644">
        <f t="shared" ref="X26" si="23">W26*V26*U26</f>
        <v>24336</v>
      </c>
      <c r="Y26" s="38">
        <v>0</v>
      </c>
      <c r="Z26" s="617">
        <f t="shared" ref="Z26" si="24">SUM(X26:Y26)</f>
        <v>24336</v>
      </c>
      <c r="AA26" s="643">
        <v>1</v>
      </c>
      <c r="AB26" s="38">
        <f t="shared" ref="AB26" si="25">I26*$H$7*$H$7*$H$7</f>
        <v>2109.12</v>
      </c>
      <c r="AC26" s="288">
        <v>12</v>
      </c>
      <c r="AD26" s="644">
        <f t="shared" ref="AD26" si="26">AC26*AB26*AA26</f>
        <v>25309.439999999999</v>
      </c>
      <c r="AE26" s="38">
        <v>0</v>
      </c>
      <c r="AF26" s="617">
        <f t="shared" ref="AF26" si="27">SUM(AD26:AE26)</f>
        <v>25309.439999999999</v>
      </c>
      <c r="AG26" s="643">
        <v>1</v>
      </c>
      <c r="AH26" s="38">
        <f t="shared" ref="AH26" si="28">I26*$H$7*$H$7*$H$7*$H$7</f>
        <v>2193.4848000000002</v>
      </c>
      <c r="AI26" s="288">
        <v>8</v>
      </c>
      <c r="AJ26" s="644">
        <f t="shared" ref="AJ26" si="29">AI26*AH26*AG26</f>
        <v>17547.878400000001</v>
      </c>
      <c r="AK26" s="38">
        <v>0</v>
      </c>
      <c r="AL26" s="617">
        <f t="shared" ref="AL26" si="30">SUM(AJ26:AK26)</f>
        <v>17547.878400000001</v>
      </c>
      <c r="AM26" s="645">
        <f t="shared" ref="AM26" si="31">L26+R26+X26+AD26+AJ26</f>
        <v>96218.318400000004</v>
      </c>
      <c r="AN26" s="646">
        <f t="shared" ref="AN26" si="32">M26+S26+Y26+AE26+AK26</f>
        <v>0</v>
      </c>
      <c r="AO26" s="645">
        <f t="shared" ref="AO26" si="33">SUM(AM26:AN26)</f>
        <v>96218.318400000004</v>
      </c>
      <c r="AP26" s="1"/>
      <c r="AQ26" s="1"/>
      <c r="AR26" s="1"/>
      <c r="AS26" s="1"/>
    </row>
    <row r="27" spans="1:45" x14ac:dyDescent="0.45">
      <c r="A27" s="258" t="s">
        <v>216</v>
      </c>
      <c r="B27" s="258">
        <v>89050</v>
      </c>
      <c r="C27" s="258" t="s">
        <v>65</v>
      </c>
      <c r="D27" s="258" t="s">
        <v>65</v>
      </c>
      <c r="E27" s="258" t="s">
        <v>217</v>
      </c>
      <c r="F27" s="702" t="s">
        <v>338</v>
      </c>
      <c r="G27" s="34" t="s">
        <v>350</v>
      </c>
      <c r="H27" s="643">
        <v>1</v>
      </c>
      <c r="I27" s="35">
        <f>(22500/12)*2</f>
        <v>3750</v>
      </c>
      <c r="J27" s="287">
        <v>9</v>
      </c>
      <c r="K27" s="112" t="s">
        <v>59</v>
      </c>
      <c r="L27" s="37">
        <f t="shared" ref="L27" si="34">J27*I27*H27</f>
        <v>33750</v>
      </c>
      <c r="M27" s="38">
        <v>0</v>
      </c>
      <c r="N27" s="39">
        <f t="shared" ref="N27" si="35">SUM(L27:M27)</f>
        <v>33750</v>
      </c>
      <c r="O27" s="601">
        <v>1</v>
      </c>
      <c r="P27" s="38">
        <f t="shared" ref="P27" si="36">I27*$H$7</f>
        <v>3900</v>
      </c>
      <c r="Q27" s="288">
        <v>12</v>
      </c>
      <c r="R27" s="37">
        <f t="shared" ref="R27" si="37">P27*Q27*O27</f>
        <v>46800</v>
      </c>
      <c r="S27" s="38">
        <v>0</v>
      </c>
      <c r="T27" s="39">
        <f t="shared" ref="T27" si="38">SUM(R27:S27)</f>
        <v>46800</v>
      </c>
      <c r="U27" s="601">
        <v>1</v>
      </c>
      <c r="V27" s="38">
        <f t="shared" ref="V27" si="39">I27*$H$7*$H$7</f>
        <v>4056</v>
      </c>
      <c r="W27" s="288">
        <v>12</v>
      </c>
      <c r="X27" s="37">
        <f t="shared" ref="X27" si="40">W27*V27*U27</f>
        <v>48672</v>
      </c>
      <c r="Y27" s="38">
        <v>0</v>
      </c>
      <c r="Z27" s="39">
        <f t="shared" ref="Z27" si="41">SUM(X27:Y27)</f>
        <v>48672</v>
      </c>
      <c r="AA27" s="601">
        <v>1</v>
      </c>
      <c r="AB27" s="38">
        <f t="shared" ref="AB27" si="42">I27*$H$7*$H$7*$H$7</f>
        <v>4218.24</v>
      </c>
      <c r="AC27" s="288">
        <v>12</v>
      </c>
      <c r="AD27" s="37">
        <f t="shared" ref="AD27" si="43">AC27*AB27*AA27</f>
        <v>50618.879999999997</v>
      </c>
      <c r="AE27" s="38">
        <v>0</v>
      </c>
      <c r="AF27" s="39">
        <f t="shared" ref="AF27" si="44">SUM(AD27:AE27)</f>
        <v>50618.879999999997</v>
      </c>
      <c r="AG27" s="601">
        <v>1</v>
      </c>
      <c r="AH27" s="38">
        <f t="shared" ref="AH27" si="45">I27*$H$7*$H$7*$H$7*$H$7</f>
        <v>4386.9696000000004</v>
      </c>
      <c r="AI27" s="288">
        <v>8</v>
      </c>
      <c r="AJ27" s="37">
        <f>AI27*AH27*AG27</f>
        <v>35095.756800000003</v>
      </c>
      <c r="AK27" s="38">
        <v>0</v>
      </c>
      <c r="AL27" s="39">
        <f t="shared" ref="AL27" si="46">SUM(AJ27:AK27)</f>
        <v>35095.756800000003</v>
      </c>
      <c r="AM27" s="40">
        <f t="shared" ref="AM27" si="47">L27+R27+X27+AD27+AJ27</f>
        <v>214936.63680000001</v>
      </c>
      <c r="AN27" s="270">
        <f t="shared" si="15"/>
        <v>0</v>
      </c>
      <c r="AO27" s="40">
        <f t="shared" si="16"/>
        <v>214936.63680000001</v>
      </c>
    </row>
    <row r="28" spans="1:45" s="647" customFormat="1" x14ac:dyDescent="0.45">
      <c r="A28" s="258" t="s">
        <v>216</v>
      </c>
      <c r="B28" s="258">
        <v>89050</v>
      </c>
      <c r="C28" s="258" t="s">
        <v>65</v>
      </c>
      <c r="D28" s="258" t="s">
        <v>65</v>
      </c>
      <c r="E28" s="258" t="s">
        <v>217</v>
      </c>
      <c r="F28" s="702" t="s">
        <v>351</v>
      </c>
      <c r="G28" s="34" t="s">
        <v>352</v>
      </c>
      <c r="H28" s="643">
        <v>0.05</v>
      </c>
      <c r="I28" s="38">
        <f>64000/12</f>
        <v>5333.333333333333</v>
      </c>
      <c r="J28" s="287">
        <v>11</v>
      </c>
      <c r="K28" s="112" t="s">
        <v>59</v>
      </c>
      <c r="L28" s="644">
        <v>0</v>
      </c>
      <c r="M28" s="38">
        <f t="shared" ref="M28:M43" si="48">J28*I28*H28</f>
        <v>2933.3333333333335</v>
      </c>
      <c r="N28" s="617">
        <f t="shared" ref="N28:N43" si="49">SUM(L28:M28)</f>
        <v>2933.3333333333335</v>
      </c>
      <c r="O28" s="643">
        <v>0.05</v>
      </c>
      <c r="P28" s="38">
        <f t="shared" ref="P28:P43" si="50">I28*$H$7</f>
        <v>5546.666666666667</v>
      </c>
      <c r="Q28" s="288">
        <v>12</v>
      </c>
      <c r="R28" s="644">
        <v>0</v>
      </c>
      <c r="S28" s="38">
        <f t="shared" ref="S28:S43" si="51">P28*O28*Q28</f>
        <v>3328.0000000000005</v>
      </c>
      <c r="T28" s="617">
        <f t="shared" ref="T28:T43" si="52">SUM(R28:S28)</f>
        <v>3328.0000000000005</v>
      </c>
      <c r="U28" s="643">
        <v>0.05</v>
      </c>
      <c r="V28" s="38">
        <f t="shared" ref="V28:V43" si="53">I28*$H$7*$H$7</f>
        <v>5768.5333333333338</v>
      </c>
      <c r="W28" s="288">
        <v>12</v>
      </c>
      <c r="X28" s="644">
        <v>0</v>
      </c>
      <c r="Y28" s="38">
        <f t="shared" ref="Y28:Y43" si="54">V28*U28*W28</f>
        <v>3461.12</v>
      </c>
      <c r="Z28" s="617">
        <f t="shared" ref="Z28:Z43" si="55">SUM(X28:Y28)</f>
        <v>3461.12</v>
      </c>
      <c r="AA28" s="643">
        <v>0.05</v>
      </c>
      <c r="AB28" s="38">
        <f t="shared" ref="AB28:AB43" si="56">I28*$H$7*$H$7*$H$7</f>
        <v>5999.2746666666671</v>
      </c>
      <c r="AC28" s="288">
        <v>12</v>
      </c>
      <c r="AD28" s="644">
        <v>0</v>
      </c>
      <c r="AE28" s="38">
        <f t="shared" ref="AE28:AE43" si="57">AB28*AA28*AC28</f>
        <v>3599.5648000000006</v>
      </c>
      <c r="AF28" s="617">
        <f t="shared" ref="AF28:AF43" si="58">SUM(AD28:AE28)</f>
        <v>3599.5648000000006</v>
      </c>
      <c r="AG28" s="643">
        <v>0.05</v>
      </c>
      <c r="AH28" s="38">
        <f t="shared" ref="AH28:AH43" si="59">I28*$H$7*$H$7*$H$7*$H$7</f>
        <v>6239.2456533333343</v>
      </c>
      <c r="AI28" s="288">
        <v>10</v>
      </c>
      <c r="AJ28" s="644">
        <v>0</v>
      </c>
      <c r="AK28" s="38">
        <f t="shared" ref="AK28:AK43" si="60">AH28*AG28*AI28</f>
        <v>3119.6228266666676</v>
      </c>
      <c r="AL28" s="617">
        <f t="shared" ref="AL28:AL43" si="61">SUM(AJ28:AK28)</f>
        <v>3119.6228266666676</v>
      </c>
      <c r="AM28" s="645">
        <f t="shared" ref="AM28:AN43" si="62">L28+R28+X28+AD28+AJ28</f>
        <v>0</v>
      </c>
      <c r="AN28" s="646">
        <f t="shared" si="62"/>
        <v>16441.640960000004</v>
      </c>
      <c r="AO28" s="645">
        <f t="shared" ref="AO28:AO43" si="63">SUM(AM28:AN28)</f>
        <v>16441.640960000004</v>
      </c>
      <c r="AP28" s="1"/>
      <c r="AQ28" s="1"/>
      <c r="AR28" s="1"/>
      <c r="AS28" s="1"/>
    </row>
    <row r="29" spans="1:45" s="647" customFormat="1" x14ac:dyDescent="0.45">
      <c r="A29" s="258" t="s">
        <v>216</v>
      </c>
      <c r="B29" s="258">
        <v>89050</v>
      </c>
      <c r="C29" s="258" t="s">
        <v>65</v>
      </c>
      <c r="D29" s="258" t="s">
        <v>65</v>
      </c>
      <c r="E29" s="258" t="s">
        <v>217</v>
      </c>
      <c r="F29" s="702" t="s">
        <v>351</v>
      </c>
      <c r="G29" s="34" t="s">
        <v>353</v>
      </c>
      <c r="H29" s="643">
        <v>0.2</v>
      </c>
      <c r="I29" s="38">
        <f t="shared" ref="I29:I30" si="64">48000/12</f>
        <v>4000</v>
      </c>
      <c r="J29" s="287">
        <v>11</v>
      </c>
      <c r="K29" s="112" t="s">
        <v>59</v>
      </c>
      <c r="L29" s="644">
        <v>0</v>
      </c>
      <c r="M29" s="38">
        <f t="shared" si="48"/>
        <v>8800</v>
      </c>
      <c r="N29" s="617">
        <f t="shared" si="49"/>
        <v>8800</v>
      </c>
      <c r="O29" s="643">
        <v>0.1</v>
      </c>
      <c r="P29" s="38">
        <f t="shared" si="50"/>
        <v>4160</v>
      </c>
      <c r="Q29" s="288">
        <v>12</v>
      </c>
      <c r="R29" s="644">
        <v>0</v>
      </c>
      <c r="S29" s="38">
        <f t="shared" si="51"/>
        <v>4992</v>
      </c>
      <c r="T29" s="617">
        <f t="shared" si="52"/>
        <v>4992</v>
      </c>
      <c r="U29" s="643">
        <v>0.1</v>
      </c>
      <c r="V29" s="38">
        <f t="shared" si="53"/>
        <v>4326.4000000000005</v>
      </c>
      <c r="W29" s="288">
        <v>12</v>
      </c>
      <c r="X29" s="644">
        <v>0</v>
      </c>
      <c r="Y29" s="38">
        <f t="shared" si="54"/>
        <v>5191.6800000000012</v>
      </c>
      <c r="Z29" s="617">
        <f t="shared" si="55"/>
        <v>5191.6800000000012</v>
      </c>
      <c r="AA29" s="643">
        <v>0.1</v>
      </c>
      <c r="AB29" s="38">
        <f t="shared" si="56"/>
        <v>4499.456000000001</v>
      </c>
      <c r="AC29" s="288">
        <v>12</v>
      </c>
      <c r="AD29" s="644">
        <v>0</v>
      </c>
      <c r="AE29" s="38">
        <f t="shared" si="57"/>
        <v>5399.347200000002</v>
      </c>
      <c r="AF29" s="617">
        <f t="shared" si="58"/>
        <v>5399.347200000002</v>
      </c>
      <c r="AG29" s="643">
        <v>0.2</v>
      </c>
      <c r="AH29" s="38">
        <f t="shared" si="59"/>
        <v>4679.4342400000014</v>
      </c>
      <c r="AI29" s="288">
        <v>12</v>
      </c>
      <c r="AJ29" s="644">
        <v>0</v>
      </c>
      <c r="AK29" s="38">
        <f t="shared" si="60"/>
        <v>11230.642176000005</v>
      </c>
      <c r="AL29" s="617">
        <f t="shared" si="61"/>
        <v>11230.642176000005</v>
      </c>
      <c r="AM29" s="645">
        <f t="shared" si="62"/>
        <v>0</v>
      </c>
      <c r="AN29" s="646">
        <f t="shared" si="62"/>
        <v>35613.669376000005</v>
      </c>
      <c r="AO29" s="645">
        <f t="shared" si="63"/>
        <v>35613.669376000005</v>
      </c>
      <c r="AP29" s="1"/>
      <c r="AQ29" s="1"/>
      <c r="AR29" s="1"/>
      <c r="AS29" s="1"/>
    </row>
    <row r="30" spans="1:45" s="647" customFormat="1" x14ac:dyDescent="0.45">
      <c r="A30" s="258" t="s">
        <v>216</v>
      </c>
      <c r="B30" s="258">
        <v>89050</v>
      </c>
      <c r="C30" s="258" t="s">
        <v>65</v>
      </c>
      <c r="D30" s="258" t="s">
        <v>65</v>
      </c>
      <c r="E30" s="258" t="s">
        <v>217</v>
      </c>
      <c r="F30" s="702" t="s">
        <v>351</v>
      </c>
      <c r="G30" s="34" t="s">
        <v>354</v>
      </c>
      <c r="H30" s="643">
        <v>0.2</v>
      </c>
      <c r="I30" s="38">
        <f t="shared" si="64"/>
        <v>4000</v>
      </c>
      <c r="J30" s="287">
        <v>9</v>
      </c>
      <c r="K30" s="112" t="s">
        <v>59</v>
      </c>
      <c r="L30" s="644">
        <v>0</v>
      </c>
      <c r="M30" s="38">
        <f t="shared" si="48"/>
        <v>7200</v>
      </c>
      <c r="N30" s="617">
        <f t="shared" si="49"/>
        <v>7200</v>
      </c>
      <c r="O30" s="643">
        <v>0.05</v>
      </c>
      <c r="P30" s="38">
        <f t="shared" si="50"/>
        <v>4160</v>
      </c>
      <c r="Q30" s="288">
        <v>12</v>
      </c>
      <c r="R30" s="644">
        <v>0</v>
      </c>
      <c r="S30" s="38">
        <f t="shared" si="51"/>
        <v>2496</v>
      </c>
      <c r="T30" s="617">
        <f t="shared" si="52"/>
        <v>2496</v>
      </c>
      <c r="U30" s="643">
        <v>0.05</v>
      </c>
      <c r="V30" s="38">
        <f t="shared" si="53"/>
        <v>4326.4000000000005</v>
      </c>
      <c r="W30" s="288">
        <v>12</v>
      </c>
      <c r="X30" s="644">
        <v>0</v>
      </c>
      <c r="Y30" s="38">
        <f t="shared" si="54"/>
        <v>2595.8400000000006</v>
      </c>
      <c r="Z30" s="617">
        <f t="shared" si="55"/>
        <v>2595.8400000000006</v>
      </c>
      <c r="AA30" s="643">
        <v>0.05</v>
      </c>
      <c r="AB30" s="38">
        <f t="shared" si="56"/>
        <v>4499.456000000001</v>
      </c>
      <c r="AC30" s="288">
        <v>12</v>
      </c>
      <c r="AD30" s="644">
        <v>0</v>
      </c>
      <c r="AE30" s="38">
        <f t="shared" si="57"/>
        <v>2699.673600000001</v>
      </c>
      <c r="AF30" s="617">
        <f t="shared" si="58"/>
        <v>2699.673600000001</v>
      </c>
      <c r="AG30" s="643">
        <v>0.1</v>
      </c>
      <c r="AH30" s="38">
        <f t="shared" si="59"/>
        <v>4679.4342400000014</v>
      </c>
      <c r="AI30" s="288">
        <v>8</v>
      </c>
      <c r="AJ30" s="644">
        <v>0</v>
      </c>
      <c r="AK30" s="38">
        <f t="shared" si="60"/>
        <v>3743.5473920000013</v>
      </c>
      <c r="AL30" s="617">
        <f t="shared" si="61"/>
        <v>3743.5473920000013</v>
      </c>
      <c r="AM30" s="645">
        <f t="shared" si="62"/>
        <v>0</v>
      </c>
      <c r="AN30" s="646">
        <f t="shared" si="62"/>
        <v>18735.060992000002</v>
      </c>
      <c r="AO30" s="645">
        <f t="shared" si="63"/>
        <v>18735.060992000002</v>
      </c>
      <c r="AP30" s="1"/>
      <c r="AQ30" s="1"/>
      <c r="AR30" s="1"/>
      <c r="AS30" s="1"/>
    </row>
    <row r="31" spans="1:45" s="647" customFormat="1" x14ac:dyDescent="0.45">
      <c r="A31" s="258" t="s">
        <v>216</v>
      </c>
      <c r="B31" s="258">
        <v>89050</v>
      </c>
      <c r="C31" s="258" t="s">
        <v>65</v>
      </c>
      <c r="D31" s="258" t="s">
        <v>65</v>
      </c>
      <c r="E31" s="258" t="s">
        <v>217</v>
      </c>
      <c r="F31" s="702" t="s">
        <v>351</v>
      </c>
      <c r="G31" s="34" t="s">
        <v>355</v>
      </c>
      <c r="H31" s="643">
        <v>0.2</v>
      </c>
      <c r="I31" s="38">
        <v>2000</v>
      </c>
      <c r="J31" s="287">
        <v>9</v>
      </c>
      <c r="K31" s="112" t="s">
        <v>59</v>
      </c>
      <c r="L31" s="644">
        <v>0</v>
      </c>
      <c r="M31" s="38">
        <f t="shared" si="48"/>
        <v>3600</v>
      </c>
      <c r="N31" s="617">
        <f t="shared" si="49"/>
        <v>3600</v>
      </c>
      <c r="O31" s="643">
        <v>0.05</v>
      </c>
      <c r="P31" s="38">
        <f t="shared" si="50"/>
        <v>2080</v>
      </c>
      <c r="Q31" s="288">
        <v>12</v>
      </c>
      <c r="R31" s="644">
        <v>0</v>
      </c>
      <c r="S31" s="38">
        <f t="shared" si="51"/>
        <v>1248</v>
      </c>
      <c r="T31" s="617">
        <f t="shared" si="52"/>
        <v>1248</v>
      </c>
      <c r="U31" s="643">
        <v>0.05</v>
      </c>
      <c r="V31" s="38">
        <f t="shared" si="53"/>
        <v>2163.2000000000003</v>
      </c>
      <c r="W31" s="288">
        <v>12</v>
      </c>
      <c r="X31" s="644">
        <v>0</v>
      </c>
      <c r="Y31" s="38">
        <f t="shared" si="54"/>
        <v>1297.9200000000003</v>
      </c>
      <c r="Z31" s="617">
        <f t="shared" si="55"/>
        <v>1297.9200000000003</v>
      </c>
      <c r="AA31" s="643">
        <v>0.05</v>
      </c>
      <c r="AB31" s="38">
        <f t="shared" si="56"/>
        <v>2249.7280000000005</v>
      </c>
      <c r="AC31" s="288">
        <v>12</v>
      </c>
      <c r="AD31" s="644">
        <v>0</v>
      </c>
      <c r="AE31" s="38">
        <f t="shared" si="57"/>
        <v>1349.8368000000005</v>
      </c>
      <c r="AF31" s="617">
        <f t="shared" si="58"/>
        <v>1349.8368000000005</v>
      </c>
      <c r="AG31" s="643">
        <v>0.1</v>
      </c>
      <c r="AH31" s="38">
        <f t="shared" si="59"/>
        <v>2339.7171200000007</v>
      </c>
      <c r="AI31" s="288">
        <v>8</v>
      </c>
      <c r="AJ31" s="644">
        <v>0</v>
      </c>
      <c r="AK31" s="38">
        <f t="shared" si="60"/>
        <v>1871.7736960000007</v>
      </c>
      <c r="AL31" s="617">
        <f t="shared" si="61"/>
        <v>1871.7736960000007</v>
      </c>
      <c r="AM31" s="645">
        <f t="shared" si="62"/>
        <v>0</v>
      </c>
      <c r="AN31" s="646">
        <f t="shared" si="62"/>
        <v>9367.5304960000012</v>
      </c>
      <c r="AO31" s="645">
        <f t="shared" si="63"/>
        <v>9367.5304960000012</v>
      </c>
      <c r="AP31" s="1"/>
      <c r="AQ31" s="1"/>
      <c r="AR31" s="1"/>
      <c r="AS31" s="1"/>
    </row>
    <row r="32" spans="1:45" s="647" customFormat="1" x14ac:dyDescent="0.45">
      <c r="A32" s="258" t="s">
        <v>216</v>
      </c>
      <c r="B32" s="258">
        <v>89050</v>
      </c>
      <c r="C32" s="258" t="s">
        <v>65</v>
      </c>
      <c r="D32" s="258" t="s">
        <v>65</v>
      </c>
      <c r="E32" s="258" t="s">
        <v>217</v>
      </c>
      <c r="F32" s="702" t="s">
        <v>351</v>
      </c>
      <c r="G32" s="34" t="s">
        <v>356</v>
      </c>
      <c r="H32" s="643">
        <v>0.2</v>
      </c>
      <c r="I32" s="38">
        <f t="shared" ref="I32:I33" si="65">48000/12</f>
        <v>4000</v>
      </c>
      <c r="J32" s="287">
        <v>9</v>
      </c>
      <c r="K32" s="112" t="s">
        <v>59</v>
      </c>
      <c r="L32" s="644">
        <v>0</v>
      </c>
      <c r="M32" s="38">
        <f t="shared" si="48"/>
        <v>7200</v>
      </c>
      <c r="N32" s="617">
        <f t="shared" si="49"/>
        <v>7200</v>
      </c>
      <c r="O32" s="643">
        <v>0.05</v>
      </c>
      <c r="P32" s="38">
        <f t="shared" si="50"/>
        <v>4160</v>
      </c>
      <c r="Q32" s="288">
        <v>12</v>
      </c>
      <c r="R32" s="644">
        <v>0</v>
      </c>
      <c r="S32" s="38">
        <f t="shared" si="51"/>
        <v>2496</v>
      </c>
      <c r="T32" s="617">
        <f t="shared" si="52"/>
        <v>2496</v>
      </c>
      <c r="U32" s="643">
        <v>0.05</v>
      </c>
      <c r="V32" s="38">
        <f t="shared" si="53"/>
        <v>4326.4000000000005</v>
      </c>
      <c r="W32" s="288">
        <v>12</v>
      </c>
      <c r="X32" s="644">
        <v>0</v>
      </c>
      <c r="Y32" s="38">
        <f t="shared" si="54"/>
        <v>2595.8400000000006</v>
      </c>
      <c r="Z32" s="617">
        <f t="shared" si="55"/>
        <v>2595.8400000000006</v>
      </c>
      <c r="AA32" s="643">
        <v>0.05</v>
      </c>
      <c r="AB32" s="38">
        <f t="shared" si="56"/>
        <v>4499.456000000001</v>
      </c>
      <c r="AC32" s="288">
        <v>12</v>
      </c>
      <c r="AD32" s="644">
        <v>0</v>
      </c>
      <c r="AE32" s="38">
        <f t="shared" si="57"/>
        <v>2699.673600000001</v>
      </c>
      <c r="AF32" s="617">
        <f t="shared" si="58"/>
        <v>2699.673600000001</v>
      </c>
      <c r="AG32" s="643">
        <v>0.05</v>
      </c>
      <c r="AH32" s="38">
        <f t="shared" si="59"/>
        <v>4679.4342400000014</v>
      </c>
      <c r="AI32" s="288">
        <v>8</v>
      </c>
      <c r="AJ32" s="644">
        <v>0</v>
      </c>
      <c r="AK32" s="38">
        <f t="shared" si="60"/>
        <v>1871.7736960000007</v>
      </c>
      <c r="AL32" s="617">
        <f t="shared" si="61"/>
        <v>1871.7736960000007</v>
      </c>
      <c r="AM32" s="645">
        <f t="shared" si="62"/>
        <v>0</v>
      </c>
      <c r="AN32" s="646">
        <f t="shared" si="62"/>
        <v>16863.287296000002</v>
      </c>
      <c r="AO32" s="645">
        <f t="shared" si="63"/>
        <v>16863.287296000002</v>
      </c>
      <c r="AP32" s="1"/>
      <c r="AQ32" s="1"/>
      <c r="AR32" s="1"/>
      <c r="AS32" s="1"/>
    </row>
    <row r="33" spans="1:45" s="647" customFormat="1" x14ac:dyDescent="0.45">
      <c r="A33" s="258" t="s">
        <v>216</v>
      </c>
      <c r="B33" s="258">
        <v>89050</v>
      </c>
      <c r="C33" s="258" t="s">
        <v>65</v>
      </c>
      <c r="D33" s="258" t="s">
        <v>65</v>
      </c>
      <c r="E33" s="258" t="s">
        <v>217</v>
      </c>
      <c r="F33" s="702" t="s">
        <v>351</v>
      </c>
      <c r="G33" s="34" t="s">
        <v>357</v>
      </c>
      <c r="H33" s="643">
        <v>0.2</v>
      </c>
      <c r="I33" s="38">
        <f t="shared" si="65"/>
        <v>4000</v>
      </c>
      <c r="J33" s="287">
        <v>10</v>
      </c>
      <c r="K33" s="112" t="s">
        <v>59</v>
      </c>
      <c r="L33" s="644">
        <v>0</v>
      </c>
      <c r="M33" s="38">
        <f t="shared" si="48"/>
        <v>8000</v>
      </c>
      <c r="N33" s="617">
        <f t="shared" si="49"/>
        <v>8000</v>
      </c>
      <c r="O33" s="643">
        <v>0.1</v>
      </c>
      <c r="P33" s="38">
        <f>I33*$H$7</f>
        <v>4160</v>
      </c>
      <c r="Q33" s="288">
        <v>12</v>
      </c>
      <c r="R33" s="644">
        <v>0</v>
      </c>
      <c r="S33" s="38">
        <f>P33*O33*Q33</f>
        <v>4992</v>
      </c>
      <c r="T33" s="617">
        <f t="shared" si="52"/>
        <v>4992</v>
      </c>
      <c r="U33" s="643">
        <v>0.1</v>
      </c>
      <c r="V33" s="38">
        <f t="shared" si="53"/>
        <v>4326.4000000000005</v>
      </c>
      <c r="W33" s="288">
        <v>12</v>
      </c>
      <c r="X33" s="644">
        <v>0</v>
      </c>
      <c r="Y33" s="38">
        <f t="shared" si="54"/>
        <v>5191.6800000000012</v>
      </c>
      <c r="Z33" s="617">
        <f t="shared" si="55"/>
        <v>5191.6800000000012</v>
      </c>
      <c r="AA33" s="643">
        <v>0.1</v>
      </c>
      <c r="AB33" s="38">
        <f t="shared" si="56"/>
        <v>4499.456000000001</v>
      </c>
      <c r="AC33" s="288">
        <v>12</v>
      </c>
      <c r="AD33" s="644">
        <v>0</v>
      </c>
      <c r="AE33" s="38">
        <f t="shared" si="57"/>
        <v>5399.347200000002</v>
      </c>
      <c r="AF33" s="617">
        <f t="shared" si="58"/>
        <v>5399.347200000002</v>
      </c>
      <c r="AG33" s="643">
        <v>0.2</v>
      </c>
      <c r="AH33" s="38">
        <f t="shared" si="59"/>
        <v>4679.4342400000014</v>
      </c>
      <c r="AI33" s="288">
        <v>8</v>
      </c>
      <c r="AJ33" s="644">
        <v>0</v>
      </c>
      <c r="AK33" s="38">
        <f t="shared" si="60"/>
        <v>7487.0947840000026</v>
      </c>
      <c r="AL33" s="617">
        <f t="shared" si="61"/>
        <v>7487.0947840000026</v>
      </c>
      <c r="AM33" s="645">
        <f t="shared" si="62"/>
        <v>0</v>
      </c>
      <c r="AN33" s="646">
        <f t="shared" si="62"/>
        <v>31070.121984000005</v>
      </c>
      <c r="AO33" s="645">
        <f t="shared" si="63"/>
        <v>31070.121984000005</v>
      </c>
      <c r="AP33" s="1"/>
      <c r="AQ33" s="1"/>
      <c r="AR33" s="1"/>
      <c r="AS33" s="1"/>
    </row>
    <row r="34" spans="1:45" s="647" customFormat="1" x14ac:dyDescent="0.45">
      <c r="A34" s="258" t="s">
        <v>216</v>
      </c>
      <c r="B34" s="258">
        <v>89050</v>
      </c>
      <c r="C34" s="258" t="s">
        <v>65</v>
      </c>
      <c r="D34" s="258" t="s">
        <v>65</v>
      </c>
      <c r="E34" s="258" t="s">
        <v>217</v>
      </c>
      <c r="F34" s="702" t="s">
        <v>351</v>
      </c>
      <c r="G34" s="34" t="s">
        <v>358</v>
      </c>
      <c r="H34" s="643">
        <v>0.3</v>
      </c>
      <c r="I34" s="38">
        <v>2000</v>
      </c>
      <c r="J34" s="287">
        <v>10</v>
      </c>
      <c r="K34" s="112" t="s">
        <v>59</v>
      </c>
      <c r="L34" s="644">
        <v>0</v>
      </c>
      <c r="M34" s="38">
        <f t="shared" si="48"/>
        <v>6000</v>
      </c>
      <c r="N34" s="617">
        <f t="shared" si="49"/>
        <v>6000</v>
      </c>
      <c r="O34" s="643">
        <v>0.15</v>
      </c>
      <c r="P34" s="38">
        <f t="shared" si="50"/>
        <v>2080</v>
      </c>
      <c r="Q34" s="288">
        <v>12</v>
      </c>
      <c r="R34" s="644">
        <v>0</v>
      </c>
      <c r="S34" s="38">
        <f t="shared" si="51"/>
        <v>3744</v>
      </c>
      <c r="T34" s="617">
        <f t="shared" si="52"/>
        <v>3744</v>
      </c>
      <c r="U34" s="643">
        <v>0.15</v>
      </c>
      <c r="V34" s="38">
        <f t="shared" si="53"/>
        <v>2163.2000000000003</v>
      </c>
      <c r="W34" s="288">
        <v>12</v>
      </c>
      <c r="X34" s="644">
        <v>0</v>
      </c>
      <c r="Y34" s="38">
        <f t="shared" si="54"/>
        <v>3893.76</v>
      </c>
      <c r="Z34" s="617">
        <f t="shared" si="55"/>
        <v>3893.76</v>
      </c>
      <c r="AA34" s="643">
        <v>0.15</v>
      </c>
      <c r="AB34" s="38">
        <f t="shared" si="56"/>
        <v>2249.7280000000005</v>
      </c>
      <c r="AC34" s="288">
        <v>12</v>
      </c>
      <c r="AD34" s="644">
        <v>0</v>
      </c>
      <c r="AE34" s="38">
        <f t="shared" si="57"/>
        <v>4049.510400000001</v>
      </c>
      <c r="AF34" s="617">
        <f t="shared" si="58"/>
        <v>4049.510400000001</v>
      </c>
      <c r="AG34" s="643">
        <v>0.2</v>
      </c>
      <c r="AH34" s="38">
        <f t="shared" si="59"/>
        <v>2339.7171200000007</v>
      </c>
      <c r="AI34" s="288">
        <v>9</v>
      </c>
      <c r="AJ34" s="644">
        <v>0</v>
      </c>
      <c r="AK34" s="38">
        <f t="shared" si="60"/>
        <v>4211.4908160000014</v>
      </c>
      <c r="AL34" s="617">
        <f t="shared" si="61"/>
        <v>4211.4908160000014</v>
      </c>
      <c r="AM34" s="645">
        <f t="shared" si="62"/>
        <v>0</v>
      </c>
      <c r="AN34" s="646">
        <f t="shared" si="62"/>
        <v>21898.761216000003</v>
      </c>
      <c r="AO34" s="645">
        <f t="shared" si="63"/>
        <v>21898.761216000003</v>
      </c>
      <c r="AP34" s="1"/>
      <c r="AQ34" s="1"/>
      <c r="AR34" s="1"/>
      <c r="AS34" s="1"/>
    </row>
    <row r="35" spans="1:45" s="647" customFormat="1" x14ac:dyDescent="0.45">
      <c r="A35" s="258" t="s">
        <v>216</v>
      </c>
      <c r="B35" s="258">
        <v>89050</v>
      </c>
      <c r="C35" s="258" t="s">
        <v>65</v>
      </c>
      <c r="D35" s="258" t="s">
        <v>65</v>
      </c>
      <c r="E35" s="258" t="s">
        <v>217</v>
      </c>
      <c r="F35" s="702" t="s">
        <v>351</v>
      </c>
      <c r="G35" s="34" t="s">
        <v>359</v>
      </c>
      <c r="H35" s="643">
        <v>0.2</v>
      </c>
      <c r="I35" s="38">
        <f>48000/12</f>
        <v>4000</v>
      </c>
      <c r="J35" s="287">
        <v>8</v>
      </c>
      <c r="K35" s="112" t="s">
        <v>59</v>
      </c>
      <c r="L35" s="644">
        <v>0</v>
      </c>
      <c r="M35" s="38">
        <f t="shared" si="48"/>
        <v>6400</v>
      </c>
      <c r="N35" s="617">
        <f t="shared" si="49"/>
        <v>6400</v>
      </c>
      <c r="O35" s="643">
        <v>0.05</v>
      </c>
      <c r="P35" s="38">
        <f t="shared" si="50"/>
        <v>4160</v>
      </c>
      <c r="Q35" s="288">
        <v>12</v>
      </c>
      <c r="R35" s="644">
        <v>0</v>
      </c>
      <c r="S35" s="38">
        <f t="shared" si="51"/>
        <v>2496</v>
      </c>
      <c r="T35" s="617">
        <f t="shared" si="52"/>
        <v>2496</v>
      </c>
      <c r="U35" s="643">
        <v>0.05</v>
      </c>
      <c r="V35" s="38">
        <f t="shared" si="53"/>
        <v>4326.4000000000005</v>
      </c>
      <c r="W35" s="288">
        <v>12</v>
      </c>
      <c r="X35" s="644">
        <v>0</v>
      </c>
      <c r="Y35" s="38">
        <f t="shared" si="54"/>
        <v>2595.8400000000006</v>
      </c>
      <c r="Z35" s="617">
        <f t="shared" si="55"/>
        <v>2595.8400000000006</v>
      </c>
      <c r="AA35" s="643">
        <v>0.05</v>
      </c>
      <c r="AB35" s="38">
        <f t="shared" si="56"/>
        <v>4499.456000000001</v>
      </c>
      <c r="AC35" s="288">
        <v>12</v>
      </c>
      <c r="AD35" s="644">
        <v>0</v>
      </c>
      <c r="AE35" s="38">
        <f t="shared" si="57"/>
        <v>2699.673600000001</v>
      </c>
      <c r="AF35" s="617">
        <f t="shared" si="58"/>
        <v>2699.673600000001</v>
      </c>
      <c r="AG35" s="643">
        <v>0.05</v>
      </c>
      <c r="AH35" s="38">
        <f t="shared" si="59"/>
        <v>4679.4342400000014</v>
      </c>
      <c r="AI35" s="288">
        <v>8</v>
      </c>
      <c r="AJ35" s="644">
        <v>0</v>
      </c>
      <c r="AK35" s="38">
        <f t="shared" si="60"/>
        <v>1871.7736960000007</v>
      </c>
      <c r="AL35" s="617">
        <f t="shared" si="61"/>
        <v>1871.7736960000007</v>
      </c>
      <c r="AM35" s="645">
        <f t="shared" si="62"/>
        <v>0</v>
      </c>
      <c r="AN35" s="646">
        <f t="shared" si="62"/>
        <v>16063.287296000002</v>
      </c>
      <c r="AO35" s="645">
        <f t="shared" si="63"/>
        <v>16063.287296000002</v>
      </c>
      <c r="AP35" s="1"/>
      <c r="AQ35" s="1"/>
      <c r="AR35" s="1"/>
      <c r="AS35" s="1"/>
    </row>
    <row r="36" spans="1:45" s="647" customFormat="1" x14ac:dyDescent="0.45">
      <c r="A36" s="258" t="s">
        <v>216</v>
      </c>
      <c r="B36" s="258">
        <v>89050</v>
      </c>
      <c r="C36" s="258" t="s">
        <v>65</v>
      </c>
      <c r="D36" s="258" t="s">
        <v>65</v>
      </c>
      <c r="E36" s="258" t="s">
        <v>217</v>
      </c>
      <c r="F36" s="702" t="s">
        <v>351</v>
      </c>
      <c r="G36" s="34" t="s">
        <v>360</v>
      </c>
      <c r="H36" s="643">
        <v>0.2</v>
      </c>
      <c r="I36" s="38">
        <v>2000</v>
      </c>
      <c r="J36" s="287">
        <v>8</v>
      </c>
      <c r="K36" s="112" t="s">
        <v>59</v>
      </c>
      <c r="L36" s="644">
        <v>0</v>
      </c>
      <c r="M36" s="38">
        <f t="shared" si="48"/>
        <v>3200</v>
      </c>
      <c r="N36" s="617">
        <f t="shared" si="49"/>
        <v>3200</v>
      </c>
      <c r="O36" s="643">
        <v>0.1</v>
      </c>
      <c r="P36" s="38">
        <f t="shared" si="50"/>
        <v>2080</v>
      </c>
      <c r="Q36" s="288">
        <v>12</v>
      </c>
      <c r="R36" s="644">
        <v>0</v>
      </c>
      <c r="S36" s="38">
        <f t="shared" si="51"/>
        <v>2496</v>
      </c>
      <c r="T36" s="617">
        <f t="shared" si="52"/>
        <v>2496</v>
      </c>
      <c r="U36" s="643">
        <v>0.1</v>
      </c>
      <c r="V36" s="38">
        <f t="shared" si="53"/>
        <v>2163.2000000000003</v>
      </c>
      <c r="W36" s="288">
        <v>12</v>
      </c>
      <c r="X36" s="644">
        <v>0</v>
      </c>
      <c r="Y36" s="38">
        <f t="shared" si="54"/>
        <v>2595.8400000000006</v>
      </c>
      <c r="Z36" s="617">
        <f t="shared" si="55"/>
        <v>2595.8400000000006</v>
      </c>
      <c r="AA36" s="643">
        <v>0.1</v>
      </c>
      <c r="AB36" s="38">
        <f t="shared" si="56"/>
        <v>2249.7280000000005</v>
      </c>
      <c r="AC36" s="288">
        <v>12</v>
      </c>
      <c r="AD36" s="644">
        <v>0</v>
      </c>
      <c r="AE36" s="38">
        <f t="shared" si="57"/>
        <v>2699.673600000001</v>
      </c>
      <c r="AF36" s="617">
        <f t="shared" si="58"/>
        <v>2699.673600000001</v>
      </c>
      <c r="AG36" s="643">
        <v>0.1</v>
      </c>
      <c r="AH36" s="38">
        <f t="shared" si="59"/>
        <v>2339.7171200000007</v>
      </c>
      <c r="AI36" s="288">
        <v>8</v>
      </c>
      <c r="AJ36" s="644">
        <v>0</v>
      </c>
      <c r="AK36" s="38">
        <f t="shared" si="60"/>
        <v>1871.7736960000007</v>
      </c>
      <c r="AL36" s="617">
        <f t="shared" si="61"/>
        <v>1871.7736960000007</v>
      </c>
      <c r="AM36" s="645">
        <f t="shared" si="62"/>
        <v>0</v>
      </c>
      <c r="AN36" s="646">
        <f t="shared" si="62"/>
        <v>12863.287296000002</v>
      </c>
      <c r="AO36" s="645">
        <f t="shared" si="63"/>
        <v>12863.287296000002</v>
      </c>
      <c r="AP36" s="1"/>
      <c r="AQ36" s="1"/>
      <c r="AR36" s="1"/>
      <c r="AS36" s="1"/>
    </row>
    <row r="37" spans="1:45" s="647" customFormat="1" x14ac:dyDescent="0.45">
      <c r="A37" s="258" t="s">
        <v>216</v>
      </c>
      <c r="B37" s="258">
        <v>89050</v>
      </c>
      <c r="C37" s="258" t="s">
        <v>65</v>
      </c>
      <c r="D37" s="258" t="s">
        <v>65</v>
      </c>
      <c r="E37" s="258" t="s">
        <v>217</v>
      </c>
      <c r="F37" s="702" t="s">
        <v>351</v>
      </c>
      <c r="G37" s="34" t="s">
        <v>361</v>
      </c>
      <c r="H37" s="643">
        <v>0.1</v>
      </c>
      <c r="I37" s="38">
        <v>2000</v>
      </c>
      <c r="J37" s="287">
        <v>9</v>
      </c>
      <c r="K37" s="112" t="s">
        <v>59</v>
      </c>
      <c r="L37" s="644">
        <v>0</v>
      </c>
      <c r="M37" s="38">
        <f t="shared" si="48"/>
        <v>1800</v>
      </c>
      <c r="N37" s="617">
        <f t="shared" si="49"/>
        <v>1800</v>
      </c>
      <c r="O37" s="643">
        <v>0.1</v>
      </c>
      <c r="P37" s="38">
        <f t="shared" si="50"/>
        <v>2080</v>
      </c>
      <c r="Q37" s="288">
        <v>12</v>
      </c>
      <c r="R37" s="644">
        <v>0</v>
      </c>
      <c r="S37" s="38">
        <f t="shared" si="51"/>
        <v>2496</v>
      </c>
      <c r="T37" s="617">
        <f t="shared" si="52"/>
        <v>2496</v>
      </c>
      <c r="U37" s="643">
        <v>0.1</v>
      </c>
      <c r="V37" s="38">
        <f t="shared" si="53"/>
        <v>2163.2000000000003</v>
      </c>
      <c r="W37" s="288">
        <v>12</v>
      </c>
      <c r="X37" s="644">
        <v>0</v>
      </c>
      <c r="Y37" s="38">
        <f t="shared" si="54"/>
        <v>2595.8400000000006</v>
      </c>
      <c r="Z37" s="617">
        <f t="shared" si="55"/>
        <v>2595.8400000000006</v>
      </c>
      <c r="AA37" s="643">
        <v>0.1</v>
      </c>
      <c r="AB37" s="38">
        <f t="shared" si="56"/>
        <v>2249.7280000000005</v>
      </c>
      <c r="AC37" s="288">
        <v>12</v>
      </c>
      <c r="AD37" s="644">
        <v>0</v>
      </c>
      <c r="AE37" s="38">
        <f t="shared" si="57"/>
        <v>2699.673600000001</v>
      </c>
      <c r="AF37" s="617">
        <f t="shared" si="58"/>
        <v>2699.673600000001</v>
      </c>
      <c r="AG37" s="643">
        <v>0.1</v>
      </c>
      <c r="AH37" s="38">
        <f t="shared" si="59"/>
        <v>2339.7171200000007</v>
      </c>
      <c r="AI37" s="288">
        <v>8</v>
      </c>
      <c r="AJ37" s="644">
        <v>0</v>
      </c>
      <c r="AK37" s="38">
        <f t="shared" si="60"/>
        <v>1871.7736960000007</v>
      </c>
      <c r="AL37" s="617">
        <f t="shared" si="61"/>
        <v>1871.7736960000007</v>
      </c>
      <c r="AM37" s="645">
        <f t="shared" si="62"/>
        <v>0</v>
      </c>
      <c r="AN37" s="646">
        <f t="shared" si="62"/>
        <v>11463.287296000002</v>
      </c>
      <c r="AO37" s="645">
        <f t="shared" si="63"/>
        <v>11463.287296000002</v>
      </c>
      <c r="AP37" s="1"/>
      <c r="AQ37" s="1"/>
      <c r="AR37" s="1"/>
      <c r="AS37" s="1"/>
    </row>
    <row r="38" spans="1:45" s="647" customFormat="1" x14ac:dyDescent="0.45">
      <c r="A38" s="258" t="s">
        <v>216</v>
      </c>
      <c r="B38" s="258">
        <v>89050</v>
      </c>
      <c r="C38" s="258" t="s">
        <v>65</v>
      </c>
      <c r="D38" s="258" t="s">
        <v>65</v>
      </c>
      <c r="E38" s="258" t="s">
        <v>217</v>
      </c>
      <c r="F38" s="702" t="s">
        <v>351</v>
      </c>
      <c r="G38" s="34" t="s">
        <v>362</v>
      </c>
      <c r="H38" s="643">
        <v>0.3</v>
      </c>
      <c r="I38" s="38">
        <v>1250</v>
      </c>
      <c r="J38" s="287">
        <v>8</v>
      </c>
      <c r="K38" s="112" t="s">
        <v>59</v>
      </c>
      <c r="L38" s="644">
        <v>0</v>
      </c>
      <c r="M38" s="38">
        <f t="shared" si="48"/>
        <v>3000</v>
      </c>
      <c r="N38" s="617">
        <f t="shared" si="49"/>
        <v>3000</v>
      </c>
      <c r="O38" s="643">
        <v>0.3</v>
      </c>
      <c r="P38" s="38">
        <f t="shared" si="50"/>
        <v>1300</v>
      </c>
      <c r="Q38" s="288">
        <v>12</v>
      </c>
      <c r="R38" s="644">
        <v>0</v>
      </c>
      <c r="S38" s="38">
        <f t="shared" si="51"/>
        <v>4680</v>
      </c>
      <c r="T38" s="617">
        <f t="shared" si="52"/>
        <v>4680</v>
      </c>
      <c r="U38" s="643">
        <v>0.3</v>
      </c>
      <c r="V38" s="38">
        <f t="shared" si="53"/>
        <v>1352</v>
      </c>
      <c r="W38" s="288">
        <v>12</v>
      </c>
      <c r="X38" s="644">
        <v>0</v>
      </c>
      <c r="Y38" s="38">
        <f t="shared" si="54"/>
        <v>4867.2</v>
      </c>
      <c r="Z38" s="617">
        <f t="shared" si="55"/>
        <v>4867.2</v>
      </c>
      <c r="AA38" s="643">
        <v>0.3</v>
      </c>
      <c r="AB38" s="38">
        <f t="shared" si="56"/>
        <v>1406.0800000000002</v>
      </c>
      <c r="AC38" s="288">
        <v>12</v>
      </c>
      <c r="AD38" s="644">
        <v>0</v>
      </c>
      <c r="AE38" s="38">
        <f t="shared" si="57"/>
        <v>5061.8879999999999</v>
      </c>
      <c r="AF38" s="617">
        <f t="shared" si="58"/>
        <v>5061.8879999999999</v>
      </c>
      <c r="AG38" s="643">
        <v>0.3</v>
      </c>
      <c r="AH38" s="38">
        <f t="shared" si="59"/>
        <v>1462.3232000000003</v>
      </c>
      <c r="AI38" s="288">
        <v>10</v>
      </c>
      <c r="AJ38" s="644">
        <v>0</v>
      </c>
      <c r="AK38" s="38">
        <f t="shared" si="60"/>
        <v>4386.9696000000004</v>
      </c>
      <c r="AL38" s="617">
        <f t="shared" si="61"/>
        <v>4386.9696000000004</v>
      </c>
      <c r="AM38" s="645">
        <f t="shared" si="62"/>
        <v>0</v>
      </c>
      <c r="AN38" s="646">
        <f t="shared" si="62"/>
        <v>21996.0576</v>
      </c>
      <c r="AO38" s="645">
        <f t="shared" si="63"/>
        <v>21996.0576</v>
      </c>
      <c r="AP38" s="1"/>
      <c r="AQ38" s="1"/>
      <c r="AR38" s="1"/>
      <c r="AS38" s="1"/>
    </row>
    <row r="39" spans="1:45" s="647" customFormat="1" x14ac:dyDescent="0.45">
      <c r="A39" s="258" t="s">
        <v>216</v>
      </c>
      <c r="B39" s="258">
        <v>89050</v>
      </c>
      <c r="C39" s="258" t="s">
        <v>65</v>
      </c>
      <c r="D39" s="258" t="s">
        <v>65</v>
      </c>
      <c r="E39" s="258" t="s">
        <v>217</v>
      </c>
      <c r="F39" s="702" t="s">
        <v>351</v>
      </c>
      <c r="G39" s="34" t="s">
        <v>363</v>
      </c>
      <c r="H39" s="643">
        <v>0.3</v>
      </c>
      <c r="I39" s="38">
        <v>1000</v>
      </c>
      <c r="J39" s="287">
        <v>8</v>
      </c>
      <c r="K39" s="112" t="s">
        <v>59</v>
      </c>
      <c r="L39" s="644">
        <v>0</v>
      </c>
      <c r="M39" s="38">
        <f t="shared" si="48"/>
        <v>2400</v>
      </c>
      <c r="N39" s="617">
        <f t="shared" si="49"/>
        <v>2400</v>
      </c>
      <c r="O39" s="643">
        <v>0.3</v>
      </c>
      <c r="P39" s="38">
        <f t="shared" si="50"/>
        <v>1040</v>
      </c>
      <c r="Q39" s="288">
        <v>12</v>
      </c>
      <c r="R39" s="644">
        <v>0</v>
      </c>
      <c r="S39" s="38">
        <f t="shared" si="51"/>
        <v>3744</v>
      </c>
      <c r="T39" s="617">
        <f t="shared" si="52"/>
        <v>3744</v>
      </c>
      <c r="U39" s="643">
        <v>0.3</v>
      </c>
      <c r="V39" s="38">
        <f t="shared" si="53"/>
        <v>1081.6000000000001</v>
      </c>
      <c r="W39" s="288">
        <v>12</v>
      </c>
      <c r="X39" s="644">
        <v>0</v>
      </c>
      <c r="Y39" s="38">
        <f t="shared" si="54"/>
        <v>3893.76</v>
      </c>
      <c r="Z39" s="617">
        <f t="shared" si="55"/>
        <v>3893.76</v>
      </c>
      <c r="AA39" s="643">
        <v>0.3</v>
      </c>
      <c r="AB39" s="38">
        <f t="shared" si="56"/>
        <v>1124.8640000000003</v>
      </c>
      <c r="AC39" s="288">
        <v>12</v>
      </c>
      <c r="AD39" s="644">
        <v>0</v>
      </c>
      <c r="AE39" s="38">
        <f t="shared" si="57"/>
        <v>4049.510400000001</v>
      </c>
      <c r="AF39" s="617">
        <f t="shared" si="58"/>
        <v>4049.510400000001</v>
      </c>
      <c r="AG39" s="643">
        <v>0.3</v>
      </c>
      <c r="AH39" s="38">
        <f t="shared" si="59"/>
        <v>1169.8585600000004</v>
      </c>
      <c r="AI39" s="288">
        <v>8</v>
      </c>
      <c r="AJ39" s="644">
        <v>0</v>
      </c>
      <c r="AK39" s="38">
        <f t="shared" si="60"/>
        <v>2807.6605440000008</v>
      </c>
      <c r="AL39" s="617">
        <f t="shared" si="61"/>
        <v>2807.6605440000008</v>
      </c>
      <c r="AM39" s="645">
        <f t="shared" si="62"/>
        <v>0</v>
      </c>
      <c r="AN39" s="646">
        <f t="shared" si="62"/>
        <v>16894.930944000003</v>
      </c>
      <c r="AO39" s="645">
        <f t="shared" si="63"/>
        <v>16894.930944000003</v>
      </c>
      <c r="AP39" s="1"/>
      <c r="AQ39" s="1"/>
      <c r="AR39" s="1"/>
      <c r="AS39" s="1"/>
    </row>
    <row r="40" spans="1:45" s="647" customFormat="1" x14ac:dyDescent="0.45">
      <c r="A40" s="258" t="s">
        <v>216</v>
      </c>
      <c r="B40" s="258">
        <v>89050</v>
      </c>
      <c r="C40" s="258" t="s">
        <v>65</v>
      </c>
      <c r="D40" s="258" t="s">
        <v>65</v>
      </c>
      <c r="E40" s="258" t="s">
        <v>217</v>
      </c>
      <c r="F40" s="702" t="s">
        <v>351</v>
      </c>
      <c r="G40" s="34" t="s">
        <v>364</v>
      </c>
      <c r="H40" s="643">
        <v>0.1</v>
      </c>
      <c r="I40" s="38">
        <v>1250</v>
      </c>
      <c r="J40" s="287">
        <v>9</v>
      </c>
      <c r="K40" s="112" t="s">
        <v>59</v>
      </c>
      <c r="L40" s="644">
        <v>0</v>
      </c>
      <c r="M40" s="38">
        <f t="shared" si="48"/>
        <v>1125</v>
      </c>
      <c r="N40" s="617">
        <f t="shared" si="49"/>
        <v>1125</v>
      </c>
      <c r="O40" s="643">
        <v>0.1</v>
      </c>
      <c r="P40" s="38">
        <f t="shared" si="50"/>
        <v>1300</v>
      </c>
      <c r="Q40" s="288">
        <v>12</v>
      </c>
      <c r="R40" s="644">
        <v>0</v>
      </c>
      <c r="S40" s="38">
        <f t="shared" si="51"/>
        <v>1560</v>
      </c>
      <c r="T40" s="617">
        <f t="shared" si="52"/>
        <v>1560</v>
      </c>
      <c r="U40" s="643">
        <v>0.1</v>
      </c>
      <c r="V40" s="38">
        <f t="shared" si="53"/>
        <v>1352</v>
      </c>
      <c r="W40" s="288">
        <v>12</v>
      </c>
      <c r="X40" s="644">
        <v>0</v>
      </c>
      <c r="Y40" s="38">
        <f t="shared" si="54"/>
        <v>1622.4</v>
      </c>
      <c r="Z40" s="617">
        <f t="shared" si="55"/>
        <v>1622.4</v>
      </c>
      <c r="AA40" s="643">
        <v>0.1</v>
      </c>
      <c r="AB40" s="38">
        <f t="shared" si="56"/>
        <v>1406.0800000000002</v>
      </c>
      <c r="AC40" s="288">
        <v>12</v>
      </c>
      <c r="AD40" s="644">
        <v>0</v>
      </c>
      <c r="AE40" s="38">
        <f t="shared" si="57"/>
        <v>1687.2960000000003</v>
      </c>
      <c r="AF40" s="617">
        <f t="shared" si="58"/>
        <v>1687.2960000000003</v>
      </c>
      <c r="AG40" s="643">
        <v>0.1</v>
      </c>
      <c r="AH40" s="38">
        <f t="shared" si="59"/>
        <v>1462.3232000000003</v>
      </c>
      <c r="AI40" s="288">
        <v>12</v>
      </c>
      <c r="AJ40" s="644">
        <v>0</v>
      </c>
      <c r="AK40" s="38">
        <f t="shared" si="60"/>
        <v>1754.7878400000004</v>
      </c>
      <c r="AL40" s="617">
        <f t="shared" si="61"/>
        <v>1754.7878400000004</v>
      </c>
      <c r="AM40" s="645">
        <f t="shared" si="62"/>
        <v>0</v>
      </c>
      <c r="AN40" s="646">
        <f t="shared" si="62"/>
        <v>7749.4838400000008</v>
      </c>
      <c r="AO40" s="645">
        <f t="shared" si="63"/>
        <v>7749.4838400000008</v>
      </c>
      <c r="AP40" s="1"/>
      <c r="AQ40" s="1"/>
      <c r="AR40" s="1"/>
      <c r="AS40" s="1"/>
    </row>
    <row r="41" spans="1:45" s="647" customFormat="1" x14ac:dyDescent="0.45">
      <c r="A41" s="258" t="s">
        <v>216</v>
      </c>
      <c r="B41" s="258">
        <v>89050</v>
      </c>
      <c r="C41" s="258" t="s">
        <v>65</v>
      </c>
      <c r="D41" s="258" t="s">
        <v>65</v>
      </c>
      <c r="E41" s="258" t="s">
        <v>217</v>
      </c>
      <c r="F41" s="702" t="s">
        <v>351</v>
      </c>
      <c r="G41" s="34" t="s">
        <v>365</v>
      </c>
      <c r="H41" s="643">
        <v>0.1</v>
      </c>
      <c r="I41" s="38">
        <v>1000</v>
      </c>
      <c r="J41" s="287">
        <v>9</v>
      </c>
      <c r="K41" s="112" t="s">
        <v>59</v>
      </c>
      <c r="L41" s="644">
        <v>0</v>
      </c>
      <c r="M41" s="38">
        <f t="shared" si="48"/>
        <v>900</v>
      </c>
      <c r="N41" s="617">
        <f t="shared" si="49"/>
        <v>900</v>
      </c>
      <c r="O41" s="643">
        <v>0.1</v>
      </c>
      <c r="P41" s="38">
        <f t="shared" si="50"/>
        <v>1040</v>
      </c>
      <c r="Q41" s="288">
        <v>12</v>
      </c>
      <c r="R41" s="644">
        <v>0</v>
      </c>
      <c r="S41" s="38">
        <f t="shared" si="51"/>
        <v>1248</v>
      </c>
      <c r="T41" s="617">
        <f t="shared" si="52"/>
        <v>1248</v>
      </c>
      <c r="U41" s="643">
        <v>0.1</v>
      </c>
      <c r="V41" s="38">
        <f t="shared" si="53"/>
        <v>1081.6000000000001</v>
      </c>
      <c r="W41" s="288">
        <v>12</v>
      </c>
      <c r="X41" s="644">
        <v>0</v>
      </c>
      <c r="Y41" s="38">
        <f t="shared" si="54"/>
        <v>1297.9200000000003</v>
      </c>
      <c r="Z41" s="617">
        <f t="shared" si="55"/>
        <v>1297.9200000000003</v>
      </c>
      <c r="AA41" s="643">
        <v>0.1</v>
      </c>
      <c r="AB41" s="38">
        <f t="shared" si="56"/>
        <v>1124.8640000000003</v>
      </c>
      <c r="AC41" s="288">
        <v>12</v>
      </c>
      <c r="AD41" s="644">
        <v>0</v>
      </c>
      <c r="AE41" s="38">
        <f t="shared" si="57"/>
        <v>1349.8368000000005</v>
      </c>
      <c r="AF41" s="617">
        <f t="shared" si="58"/>
        <v>1349.8368000000005</v>
      </c>
      <c r="AG41" s="643">
        <v>0.1</v>
      </c>
      <c r="AH41" s="38">
        <f t="shared" si="59"/>
        <v>1169.8585600000004</v>
      </c>
      <c r="AI41" s="288">
        <v>9</v>
      </c>
      <c r="AJ41" s="644">
        <v>0</v>
      </c>
      <c r="AK41" s="38">
        <f t="shared" si="60"/>
        <v>1052.8727040000003</v>
      </c>
      <c r="AL41" s="617">
        <f t="shared" si="61"/>
        <v>1052.8727040000003</v>
      </c>
      <c r="AM41" s="645">
        <f t="shared" si="62"/>
        <v>0</v>
      </c>
      <c r="AN41" s="646">
        <f t="shared" si="62"/>
        <v>5848.6295040000014</v>
      </c>
      <c r="AO41" s="645">
        <f t="shared" si="63"/>
        <v>5848.6295040000014</v>
      </c>
      <c r="AP41" s="1"/>
      <c r="AQ41" s="1"/>
      <c r="AR41" s="1"/>
      <c r="AS41" s="1"/>
    </row>
    <row r="42" spans="1:45" s="647" customFormat="1" x14ac:dyDescent="0.45">
      <c r="A42" s="258" t="s">
        <v>216</v>
      </c>
      <c r="B42" s="258">
        <v>89050</v>
      </c>
      <c r="C42" s="258" t="s">
        <v>65</v>
      </c>
      <c r="D42" s="258" t="s">
        <v>65</v>
      </c>
      <c r="E42" s="258" t="s">
        <v>217</v>
      </c>
      <c r="F42" s="702" t="s">
        <v>351</v>
      </c>
      <c r="G42" s="34" t="s">
        <v>366</v>
      </c>
      <c r="H42" s="643">
        <v>0.05</v>
      </c>
      <c r="I42" s="38">
        <f>48000/12</f>
        <v>4000</v>
      </c>
      <c r="J42" s="287">
        <v>9</v>
      </c>
      <c r="K42" s="112" t="s">
        <v>59</v>
      </c>
      <c r="L42" s="644">
        <v>0</v>
      </c>
      <c r="M42" s="38">
        <f t="shared" si="48"/>
        <v>1800</v>
      </c>
      <c r="N42" s="617">
        <f t="shared" si="49"/>
        <v>1800</v>
      </c>
      <c r="O42" s="643">
        <v>0.05</v>
      </c>
      <c r="P42" s="38">
        <f t="shared" si="50"/>
        <v>4160</v>
      </c>
      <c r="Q42" s="288">
        <v>12</v>
      </c>
      <c r="R42" s="644">
        <v>0</v>
      </c>
      <c r="S42" s="38">
        <f t="shared" si="51"/>
        <v>2496</v>
      </c>
      <c r="T42" s="617">
        <f t="shared" si="52"/>
        <v>2496</v>
      </c>
      <c r="U42" s="643">
        <v>0.05</v>
      </c>
      <c r="V42" s="38">
        <f t="shared" si="53"/>
        <v>4326.4000000000005</v>
      </c>
      <c r="W42" s="288">
        <v>12</v>
      </c>
      <c r="X42" s="644">
        <v>0</v>
      </c>
      <c r="Y42" s="38">
        <f t="shared" si="54"/>
        <v>2595.8400000000006</v>
      </c>
      <c r="Z42" s="617">
        <f t="shared" si="55"/>
        <v>2595.8400000000006</v>
      </c>
      <c r="AA42" s="643">
        <v>0.05</v>
      </c>
      <c r="AB42" s="38">
        <f t="shared" si="56"/>
        <v>4499.456000000001</v>
      </c>
      <c r="AC42" s="288">
        <v>12</v>
      </c>
      <c r="AD42" s="644">
        <v>0</v>
      </c>
      <c r="AE42" s="38">
        <f t="shared" si="57"/>
        <v>2699.673600000001</v>
      </c>
      <c r="AF42" s="617">
        <f t="shared" si="58"/>
        <v>2699.673600000001</v>
      </c>
      <c r="AG42" s="643">
        <v>0.05</v>
      </c>
      <c r="AH42" s="38">
        <f t="shared" si="59"/>
        <v>4679.4342400000014</v>
      </c>
      <c r="AI42" s="288">
        <v>9</v>
      </c>
      <c r="AJ42" s="644">
        <v>0</v>
      </c>
      <c r="AK42" s="38">
        <f t="shared" si="60"/>
        <v>2105.7454080000007</v>
      </c>
      <c r="AL42" s="617">
        <f t="shared" si="61"/>
        <v>2105.7454080000007</v>
      </c>
      <c r="AM42" s="645">
        <f t="shared" si="62"/>
        <v>0</v>
      </c>
      <c r="AN42" s="646">
        <f t="shared" si="62"/>
        <v>11697.259008000003</v>
      </c>
      <c r="AO42" s="645">
        <f t="shared" si="63"/>
        <v>11697.259008000003</v>
      </c>
      <c r="AP42" s="1"/>
      <c r="AQ42" s="1"/>
      <c r="AR42" s="1"/>
      <c r="AS42" s="1"/>
    </row>
    <row r="43" spans="1:45" s="647" customFormat="1" x14ac:dyDescent="0.45">
      <c r="A43" s="258" t="s">
        <v>216</v>
      </c>
      <c r="B43" s="258">
        <v>89050</v>
      </c>
      <c r="C43" s="258" t="s">
        <v>65</v>
      </c>
      <c r="D43" s="258" t="s">
        <v>65</v>
      </c>
      <c r="E43" s="258" t="s">
        <v>217</v>
      </c>
      <c r="F43" s="702" t="s">
        <v>351</v>
      </c>
      <c r="G43" s="34" t="s">
        <v>367</v>
      </c>
      <c r="H43" s="643">
        <v>0.3</v>
      </c>
      <c r="I43" s="38">
        <f>12150/12</f>
        <v>1012.5</v>
      </c>
      <c r="J43" s="287">
        <v>9</v>
      </c>
      <c r="K43" s="112" t="s">
        <v>59</v>
      </c>
      <c r="L43" s="644">
        <v>0</v>
      </c>
      <c r="M43" s="38">
        <f t="shared" si="48"/>
        <v>2733.75</v>
      </c>
      <c r="N43" s="617">
        <f t="shared" si="49"/>
        <v>2733.75</v>
      </c>
      <c r="O43" s="643">
        <v>0.3</v>
      </c>
      <c r="P43" s="38">
        <f t="shared" si="50"/>
        <v>1053</v>
      </c>
      <c r="Q43" s="288">
        <v>12</v>
      </c>
      <c r="R43" s="644">
        <v>0</v>
      </c>
      <c r="S43" s="38">
        <f t="shared" si="51"/>
        <v>3790.7999999999997</v>
      </c>
      <c r="T43" s="617">
        <f t="shared" si="52"/>
        <v>3790.7999999999997</v>
      </c>
      <c r="U43" s="643">
        <v>0.3</v>
      </c>
      <c r="V43" s="38">
        <f t="shared" si="53"/>
        <v>1095.1200000000001</v>
      </c>
      <c r="W43" s="288">
        <v>12</v>
      </c>
      <c r="X43" s="644">
        <v>0</v>
      </c>
      <c r="Y43" s="38">
        <f t="shared" si="54"/>
        <v>3942.4319999999998</v>
      </c>
      <c r="Z43" s="617">
        <f t="shared" si="55"/>
        <v>3942.4319999999998</v>
      </c>
      <c r="AA43" s="643">
        <v>0.3</v>
      </c>
      <c r="AB43" s="38">
        <f t="shared" si="56"/>
        <v>1138.9248000000002</v>
      </c>
      <c r="AC43" s="288">
        <v>12</v>
      </c>
      <c r="AD43" s="644">
        <v>0</v>
      </c>
      <c r="AE43" s="38">
        <f t="shared" si="57"/>
        <v>4100.129280000001</v>
      </c>
      <c r="AF43" s="617">
        <f t="shared" si="58"/>
        <v>4100.129280000001</v>
      </c>
      <c r="AG43" s="643">
        <v>0.3</v>
      </c>
      <c r="AH43" s="38">
        <f t="shared" si="59"/>
        <v>1184.4817920000003</v>
      </c>
      <c r="AI43" s="288">
        <v>9</v>
      </c>
      <c r="AJ43" s="644">
        <v>0</v>
      </c>
      <c r="AK43" s="38">
        <f t="shared" si="60"/>
        <v>3198.1008384000006</v>
      </c>
      <c r="AL43" s="617">
        <f t="shared" si="61"/>
        <v>3198.1008384000006</v>
      </c>
      <c r="AM43" s="645">
        <f t="shared" si="62"/>
        <v>0</v>
      </c>
      <c r="AN43" s="646">
        <f t="shared" si="62"/>
        <v>17765.212118400003</v>
      </c>
      <c r="AO43" s="645">
        <f t="shared" si="63"/>
        <v>17765.212118400003</v>
      </c>
      <c r="AP43" s="1"/>
      <c r="AQ43" s="1"/>
      <c r="AR43" s="1"/>
      <c r="AS43" s="1"/>
    </row>
    <row r="44" spans="1:45" s="10" customFormat="1" x14ac:dyDescent="0.45">
      <c r="A44" s="258"/>
      <c r="B44" s="258"/>
      <c r="C44" s="258"/>
      <c r="D44" s="258"/>
      <c r="E44" s="258"/>
      <c r="F44" s="65"/>
      <c r="G44" s="41" t="s">
        <v>62</v>
      </c>
      <c r="H44" s="128"/>
      <c r="I44" s="129"/>
      <c r="J44" s="568"/>
      <c r="K44" s="529"/>
      <c r="L44" s="42">
        <f>SUM(L16:L43)</f>
        <v>228716.66666666666</v>
      </c>
      <c r="M44" s="42">
        <f>SUM(M16:M43)</f>
        <v>67092.083333333343</v>
      </c>
      <c r="N44" s="42">
        <f>SUM(N16:N43)</f>
        <v>295808.75</v>
      </c>
      <c r="O44" s="128"/>
      <c r="P44" s="129"/>
      <c r="Q44" s="569"/>
      <c r="R44" s="42">
        <f>SUM(R16:R43)</f>
        <v>313768</v>
      </c>
      <c r="S44" s="42">
        <f>SUM(S16:S43)</f>
        <v>48302.8</v>
      </c>
      <c r="T44" s="42">
        <f>SUM(T16:T43)</f>
        <v>362070.8</v>
      </c>
      <c r="U44" s="128"/>
      <c r="V44" s="129"/>
      <c r="W44" s="569"/>
      <c r="X44" s="42">
        <f>SUM(X16:X43)</f>
        <v>326318.71999999997</v>
      </c>
      <c r="Y44" s="42">
        <f>SUM(Y16:Y43)</f>
        <v>50234.912000000011</v>
      </c>
      <c r="Z44" s="42">
        <f>SUM(Z16:Z43)</f>
        <v>376553.6320000001</v>
      </c>
      <c r="AA44" s="128"/>
      <c r="AB44" s="129"/>
      <c r="AC44" s="129"/>
      <c r="AD44" s="42">
        <f>SUM(AD16:AD43)</f>
        <v>339371.46880000003</v>
      </c>
      <c r="AE44" s="42">
        <f>SUM(AE16:AE43)</f>
        <v>52244.308480000014</v>
      </c>
      <c r="AF44" s="42">
        <f>SUM(AF16:AF43)</f>
        <v>391615.77727999992</v>
      </c>
      <c r="AG44" s="128"/>
      <c r="AH44" s="129"/>
      <c r="AI44" s="129"/>
      <c r="AJ44" s="42">
        <f t="shared" ref="AJ44:AO44" si="66">SUM(AJ16:AJ43)</f>
        <v>250651.94530133336</v>
      </c>
      <c r="AK44" s="42">
        <f t="shared" si="66"/>
        <v>54457.403409066683</v>
      </c>
      <c r="AL44" s="42">
        <f t="shared" si="66"/>
        <v>305109.34871039994</v>
      </c>
      <c r="AM44" s="45">
        <f t="shared" si="66"/>
        <v>1458826.8007680001</v>
      </c>
      <c r="AN44" s="248">
        <f t="shared" si="66"/>
        <v>272331.50722240005</v>
      </c>
      <c r="AO44" s="45">
        <f t="shared" si="66"/>
        <v>1731158.3079903999</v>
      </c>
    </row>
    <row r="45" spans="1:45" x14ac:dyDescent="0.45">
      <c r="A45" s="34"/>
      <c r="B45" s="34"/>
      <c r="C45" s="34"/>
      <c r="D45" s="34"/>
      <c r="E45" s="34"/>
      <c r="F45" s="65"/>
      <c r="G45" s="34"/>
      <c r="H45" s="129"/>
      <c r="I45" s="129"/>
      <c r="J45" s="131"/>
      <c r="K45" s="131"/>
      <c r="L45" s="37"/>
      <c r="M45" s="38"/>
      <c r="N45" s="39"/>
      <c r="O45" s="130"/>
      <c r="P45" s="131"/>
      <c r="Q45" s="131"/>
      <c r="R45" s="37"/>
      <c r="S45" s="38"/>
      <c r="T45" s="39"/>
      <c r="U45" s="130"/>
      <c r="V45" s="131"/>
      <c r="W45" s="131"/>
      <c r="X45" s="37"/>
      <c r="Y45" s="38"/>
      <c r="Z45" s="39"/>
      <c r="AA45" s="130"/>
      <c r="AB45" s="131"/>
      <c r="AC45" s="131"/>
      <c r="AD45" s="37"/>
      <c r="AE45" s="38"/>
      <c r="AF45" s="39"/>
      <c r="AG45" s="130"/>
      <c r="AH45" s="131"/>
      <c r="AI45" s="131"/>
      <c r="AJ45" s="37"/>
      <c r="AK45" s="38"/>
      <c r="AL45" s="38"/>
      <c r="AM45" s="40"/>
      <c r="AN45" s="38"/>
      <c r="AO45" s="40"/>
    </row>
    <row r="46" spans="1:45" x14ac:dyDescent="0.45">
      <c r="A46" s="124"/>
      <c r="B46" s="124"/>
      <c r="C46" s="124"/>
      <c r="D46" s="124"/>
      <c r="E46" s="124"/>
      <c r="F46" s="124"/>
      <c r="G46" s="124" t="s">
        <v>63</v>
      </c>
      <c r="H46" s="132" t="s">
        <v>54</v>
      </c>
      <c r="I46" s="537"/>
      <c r="J46" s="551"/>
      <c r="K46" s="552"/>
      <c r="N46" s="39"/>
      <c r="O46" s="537"/>
      <c r="P46" s="537"/>
      <c r="Q46" s="131"/>
      <c r="T46" s="39"/>
      <c r="U46" s="553"/>
      <c r="V46" s="537"/>
      <c r="W46" s="131"/>
      <c r="Z46" s="39"/>
      <c r="AA46" s="537"/>
      <c r="AB46" s="537"/>
      <c r="AC46" s="131"/>
      <c r="AF46" s="39"/>
      <c r="AG46" s="537"/>
      <c r="AH46" s="537"/>
      <c r="AI46" s="554"/>
      <c r="AL46" s="274"/>
      <c r="AM46" s="40"/>
      <c r="AN46" s="38"/>
      <c r="AO46" s="40"/>
    </row>
    <row r="47" spans="1:45" x14ac:dyDescent="0.45">
      <c r="A47" s="258" t="s">
        <v>216</v>
      </c>
      <c r="B47" s="258">
        <v>89050</v>
      </c>
      <c r="C47" s="258" t="s">
        <v>65</v>
      </c>
      <c r="D47" s="258" t="s">
        <v>65</v>
      </c>
      <c r="E47" s="258" t="s">
        <v>217</v>
      </c>
      <c r="F47" s="702" t="s">
        <v>338</v>
      </c>
      <c r="G47" s="34" t="s">
        <v>368</v>
      </c>
      <c r="H47" s="601">
        <v>1</v>
      </c>
      <c r="I47" s="35">
        <f>(12000/12)*16</f>
        <v>16000</v>
      </c>
      <c r="J47" s="566">
        <v>2</v>
      </c>
      <c r="K47" s="112" t="s">
        <v>59</v>
      </c>
      <c r="L47" s="37">
        <f>J47*I47*H47</f>
        <v>32000</v>
      </c>
      <c r="M47" s="38">
        <v>0</v>
      </c>
      <c r="N47" s="39">
        <f>SUM(L47:M47)</f>
        <v>32000</v>
      </c>
      <c r="O47" s="601">
        <v>1</v>
      </c>
      <c r="P47" s="38">
        <f>I47*$H$7</f>
        <v>16640</v>
      </c>
      <c r="Q47" s="567">
        <v>12</v>
      </c>
      <c r="R47" s="37">
        <f>O47*P47*Q47</f>
        <v>199680</v>
      </c>
      <c r="S47" s="38">
        <v>0</v>
      </c>
      <c r="T47" s="39">
        <f>SUM(R47:S47)</f>
        <v>199680</v>
      </c>
      <c r="U47" s="601">
        <f>+O47</f>
        <v>1</v>
      </c>
      <c r="V47" s="38">
        <f>I47*$H$7*$H$7</f>
        <v>17305.600000000002</v>
      </c>
      <c r="W47" s="567">
        <v>12</v>
      </c>
      <c r="X47" s="37">
        <f>U47*V47*W47</f>
        <v>207667.20000000001</v>
      </c>
      <c r="Y47" s="38">
        <v>0</v>
      </c>
      <c r="Z47" s="39">
        <f>SUM(X47:Y47)</f>
        <v>207667.20000000001</v>
      </c>
      <c r="AA47" s="601">
        <f>U47</f>
        <v>1</v>
      </c>
      <c r="AB47" s="38">
        <f>I47*$H$7*$H$7*$H$7</f>
        <v>17997.824000000004</v>
      </c>
      <c r="AC47" s="567">
        <v>12</v>
      </c>
      <c r="AD47" s="37">
        <f>AA47*AB47*AC47</f>
        <v>215973.88800000004</v>
      </c>
      <c r="AE47" s="38">
        <v>0</v>
      </c>
      <c r="AF47" s="39">
        <f>SUM(AD47:AE47)</f>
        <v>215973.88800000004</v>
      </c>
      <c r="AG47" s="601">
        <v>1</v>
      </c>
      <c r="AH47" s="38">
        <f>I47*$H$7*$H$7*$H$7*$H$7</f>
        <v>18717.736960000006</v>
      </c>
      <c r="AI47" s="567">
        <v>4</v>
      </c>
      <c r="AJ47" s="37">
        <f>AG47*AH47*AI47</f>
        <v>74870.947840000023</v>
      </c>
      <c r="AK47" s="38">
        <v>0</v>
      </c>
      <c r="AL47" s="39">
        <f>SUM(AJ47:AK47)</f>
        <v>74870.947840000023</v>
      </c>
      <c r="AM47" s="40">
        <f>L47+R47+X47+AD47+AJ47</f>
        <v>730192.03584000003</v>
      </c>
      <c r="AN47" s="270">
        <f>M47+S47+Y47+AE47+AK47</f>
        <v>0</v>
      </c>
      <c r="AO47" s="40">
        <f>SUM(AM47:AN47)</f>
        <v>730192.03584000003</v>
      </c>
    </row>
    <row r="48" spans="1:45" x14ac:dyDescent="0.45">
      <c r="A48" s="258" t="s">
        <v>216</v>
      </c>
      <c r="B48" s="258">
        <v>89050</v>
      </c>
      <c r="C48" s="258" t="s">
        <v>65</v>
      </c>
      <c r="D48" s="258" t="s">
        <v>65</v>
      </c>
      <c r="E48" s="258" t="s">
        <v>217</v>
      </c>
      <c r="F48" s="702" t="s">
        <v>338</v>
      </c>
      <c r="G48" s="34" t="s">
        <v>369</v>
      </c>
      <c r="H48" s="601">
        <v>1</v>
      </c>
      <c r="I48" s="35">
        <f>(15000/12)*3</f>
        <v>3750</v>
      </c>
      <c r="J48" s="566">
        <v>8</v>
      </c>
      <c r="K48" s="112" t="s">
        <v>59</v>
      </c>
      <c r="L48" s="37">
        <f>J48*I48*H48</f>
        <v>30000</v>
      </c>
      <c r="M48" s="38">
        <v>0</v>
      </c>
      <c r="N48" s="39">
        <f>SUM(L48:M48)</f>
        <v>30000</v>
      </c>
      <c r="O48" s="601">
        <f>H48</f>
        <v>1</v>
      </c>
      <c r="P48" s="38">
        <f>I48*$H$7</f>
        <v>3900</v>
      </c>
      <c r="Q48" s="288">
        <v>12</v>
      </c>
      <c r="R48" s="37">
        <f>O48*P48*Q48</f>
        <v>46800</v>
      </c>
      <c r="S48" s="38">
        <v>0</v>
      </c>
      <c r="T48" s="39">
        <f>SUM(R48:S48)</f>
        <v>46800</v>
      </c>
      <c r="U48" s="601">
        <f>H48</f>
        <v>1</v>
      </c>
      <c r="V48" s="38">
        <f>I48*$H$7*$H$7</f>
        <v>4056</v>
      </c>
      <c r="W48" s="288">
        <v>12</v>
      </c>
      <c r="X48" s="37">
        <f>U48*V48*W48</f>
        <v>48672</v>
      </c>
      <c r="Y48" s="38">
        <v>0</v>
      </c>
      <c r="Z48" s="39">
        <f>SUM(X48:Y48)</f>
        <v>48672</v>
      </c>
      <c r="AA48" s="601">
        <f>U48</f>
        <v>1</v>
      </c>
      <c r="AB48" s="38">
        <f>I48*$H$7*$H$7*$H$7</f>
        <v>4218.24</v>
      </c>
      <c r="AC48" s="570">
        <v>12</v>
      </c>
      <c r="AD48" s="37">
        <f>AA48*AB48*AC48</f>
        <v>50618.879999999997</v>
      </c>
      <c r="AE48" s="38">
        <v>0</v>
      </c>
      <c r="AF48" s="39">
        <f>SUM(AD48:AE48)</f>
        <v>50618.879999999997</v>
      </c>
      <c r="AG48" s="601">
        <f>AA48</f>
        <v>1</v>
      </c>
      <c r="AH48" s="38">
        <f>I48*$H$7*$H$7*$H$7*$H$7</f>
        <v>4386.9696000000004</v>
      </c>
      <c r="AI48" s="288">
        <v>0</v>
      </c>
      <c r="AJ48" s="37">
        <f>AG48*AH48*AI48</f>
        <v>0</v>
      </c>
      <c r="AK48" s="38">
        <v>0</v>
      </c>
      <c r="AL48" s="39">
        <f>SUM(AJ48:AK48)</f>
        <v>0</v>
      </c>
      <c r="AM48" s="40">
        <f>L48+R48+X48+AD48+AJ48</f>
        <v>176090.88</v>
      </c>
      <c r="AN48" s="270">
        <f t="shared" ref="AN48" si="67">M48+S48+Y48+AE48+AK48</f>
        <v>0</v>
      </c>
      <c r="AO48" s="40">
        <f>SUM(AM48:AN48)</f>
        <v>176090.88</v>
      </c>
    </row>
    <row r="49" spans="1:41" s="10" customFormat="1" x14ac:dyDescent="0.45">
      <c r="A49" s="41"/>
      <c r="B49" s="41"/>
      <c r="C49" s="41"/>
      <c r="D49" s="41"/>
      <c r="E49" s="41"/>
      <c r="F49" s="703"/>
      <c r="G49" s="41" t="s">
        <v>93</v>
      </c>
      <c r="H49" s="128"/>
      <c r="I49" s="129"/>
      <c r="J49" s="287"/>
      <c r="K49" s="529"/>
      <c r="L49" s="42">
        <f>SUM(L47:L48)</f>
        <v>62000</v>
      </c>
      <c r="M49" s="42">
        <f>SUM(M47:M48)</f>
        <v>0</v>
      </c>
      <c r="N49" s="42">
        <f>SUM(N47:N48)</f>
        <v>62000</v>
      </c>
      <c r="O49" s="128"/>
      <c r="P49" s="129"/>
      <c r="Q49" s="129"/>
      <c r="R49" s="42">
        <f>SUM(R47:R48)</f>
        <v>246480</v>
      </c>
      <c r="S49" s="42">
        <f>SUM(S47:S48)</f>
        <v>0</v>
      </c>
      <c r="T49" s="42">
        <f>SUM(T47:T48)</f>
        <v>246480</v>
      </c>
      <c r="U49" s="128"/>
      <c r="V49" s="129"/>
      <c r="W49" s="129"/>
      <c r="X49" s="42">
        <f>SUM(X47:X48)</f>
        <v>256339.20000000001</v>
      </c>
      <c r="Y49" s="42">
        <f>SUM(Y47:Y48)</f>
        <v>0</v>
      </c>
      <c r="Z49" s="42">
        <f>SUM(Z47:Z48)</f>
        <v>256339.20000000001</v>
      </c>
      <c r="AA49" s="128"/>
      <c r="AB49" s="129"/>
      <c r="AC49" s="129"/>
      <c r="AD49" s="42">
        <f>SUM(AD47:AD48)</f>
        <v>266592.76800000004</v>
      </c>
      <c r="AE49" s="42">
        <f>SUM(AE47:AE48)</f>
        <v>0</v>
      </c>
      <c r="AF49" s="42">
        <f>SUM(AF47:AF48)</f>
        <v>266592.76800000004</v>
      </c>
      <c r="AG49" s="128"/>
      <c r="AH49" s="129"/>
      <c r="AI49" s="129"/>
      <c r="AJ49" s="42">
        <f t="shared" ref="AJ49:AO49" si="68">SUM(AJ47:AJ48)</f>
        <v>74870.947840000023</v>
      </c>
      <c r="AK49" s="42">
        <f t="shared" si="68"/>
        <v>0</v>
      </c>
      <c r="AL49" s="42">
        <f t="shared" si="68"/>
        <v>74870.947840000023</v>
      </c>
      <c r="AM49" s="42">
        <f t="shared" si="68"/>
        <v>906282.91584000003</v>
      </c>
      <c r="AN49" s="42">
        <f t="shared" si="68"/>
        <v>0</v>
      </c>
      <c r="AO49" s="45">
        <f t="shared" si="68"/>
        <v>906282.91584000003</v>
      </c>
    </row>
    <row r="50" spans="1:41" x14ac:dyDescent="0.45">
      <c r="A50" s="48"/>
      <c r="B50" s="48"/>
      <c r="C50" s="48"/>
      <c r="D50" s="48"/>
      <c r="E50" s="48"/>
      <c r="F50" s="703"/>
      <c r="G50" s="48"/>
      <c r="H50" s="124"/>
      <c r="I50" s="132"/>
      <c r="J50" s="349"/>
      <c r="K50" s="563"/>
      <c r="L50" s="37"/>
      <c r="M50" s="38"/>
      <c r="N50" s="39"/>
      <c r="O50" s="124"/>
      <c r="P50" s="132"/>
      <c r="Q50" s="132"/>
      <c r="R50" s="37"/>
      <c r="S50" s="38"/>
      <c r="T50" s="39"/>
      <c r="U50" s="124"/>
      <c r="V50" s="132"/>
      <c r="W50" s="132"/>
      <c r="X50" s="37"/>
      <c r="Y50" s="38"/>
      <c r="Z50" s="39"/>
      <c r="AA50" s="124"/>
      <c r="AB50" s="132"/>
      <c r="AC50" s="132"/>
      <c r="AD50" s="37"/>
      <c r="AE50" s="38"/>
      <c r="AF50" s="39"/>
      <c r="AG50" s="124"/>
      <c r="AH50" s="132"/>
      <c r="AI50" s="132"/>
      <c r="AJ50" s="37"/>
      <c r="AK50" s="38"/>
      <c r="AL50" s="39"/>
      <c r="AM50" s="40"/>
      <c r="AN50" s="270"/>
      <c r="AO50" s="40"/>
    </row>
    <row r="51" spans="1:41" x14ac:dyDescent="0.45">
      <c r="A51" s="49"/>
      <c r="B51" s="49"/>
      <c r="C51" s="49"/>
      <c r="D51" s="49"/>
      <c r="E51" s="49"/>
      <c r="F51" s="704"/>
      <c r="G51" s="49" t="s">
        <v>94</v>
      </c>
      <c r="H51" s="133"/>
      <c r="I51" s="134"/>
      <c r="J51" s="296"/>
      <c r="K51" s="518"/>
      <c r="L51" s="50">
        <f>L49+L44</f>
        <v>290716.66666666663</v>
      </c>
      <c r="M51" s="50">
        <f>M49+M44</f>
        <v>67092.083333333343</v>
      </c>
      <c r="N51" s="50">
        <f>N49+N44</f>
        <v>357808.75</v>
      </c>
      <c r="O51" s="133"/>
      <c r="P51" s="134"/>
      <c r="Q51" s="134"/>
      <c r="R51" s="50">
        <f>R49+R44</f>
        <v>560248</v>
      </c>
      <c r="S51" s="50">
        <f>S49+S44</f>
        <v>48302.8</v>
      </c>
      <c r="T51" s="50">
        <f>T49+T44</f>
        <v>608550.80000000005</v>
      </c>
      <c r="U51" s="133"/>
      <c r="V51" s="134"/>
      <c r="W51" s="134"/>
      <c r="X51" s="50">
        <f>X49+X44</f>
        <v>582657.91999999993</v>
      </c>
      <c r="Y51" s="50">
        <f>Y49+Y44</f>
        <v>50234.912000000011</v>
      </c>
      <c r="Z51" s="50">
        <f>Z49+Z44</f>
        <v>632892.83200000017</v>
      </c>
      <c r="AA51" s="133"/>
      <c r="AB51" s="134"/>
      <c r="AC51" s="134"/>
      <c r="AD51" s="50">
        <f>AD49+AD44</f>
        <v>605964.23680000007</v>
      </c>
      <c r="AE51" s="50">
        <f>AE49+AE44</f>
        <v>52244.308480000014</v>
      </c>
      <c r="AF51" s="50">
        <f>AF49+AF44</f>
        <v>658208.54527999996</v>
      </c>
      <c r="AG51" s="50"/>
      <c r="AH51" s="134"/>
      <c r="AI51" s="134"/>
      <c r="AJ51" s="50">
        <f t="shared" ref="AJ51:AO51" si="69">AJ49+AJ44</f>
        <v>325522.89314133336</v>
      </c>
      <c r="AK51" s="50">
        <f t="shared" si="69"/>
        <v>54457.403409066683</v>
      </c>
      <c r="AL51" s="50">
        <f t="shared" si="69"/>
        <v>379980.29655039997</v>
      </c>
      <c r="AM51" s="50">
        <f t="shared" si="69"/>
        <v>2365109.716608</v>
      </c>
      <c r="AN51" s="50">
        <f t="shared" si="69"/>
        <v>272331.50722240005</v>
      </c>
      <c r="AO51" s="71">
        <f t="shared" si="69"/>
        <v>2637441.2238304</v>
      </c>
    </row>
    <row r="52" spans="1:41" x14ac:dyDescent="0.45">
      <c r="A52" s="51"/>
      <c r="B52" s="51"/>
      <c r="C52" s="51"/>
      <c r="D52" s="51"/>
      <c r="E52" s="51"/>
      <c r="F52" s="51"/>
      <c r="G52" s="51"/>
      <c r="H52" s="135"/>
      <c r="I52" s="136"/>
      <c r="J52" s="297"/>
      <c r="K52" s="519"/>
      <c r="L52" s="52"/>
      <c r="M52" s="53"/>
      <c r="N52" s="54"/>
      <c r="O52" s="135"/>
      <c r="P52" s="136"/>
      <c r="Q52" s="136"/>
      <c r="R52" s="52"/>
      <c r="S52" s="53"/>
      <c r="T52" s="54"/>
      <c r="U52" s="135"/>
      <c r="V52" s="136"/>
      <c r="W52" s="136"/>
      <c r="X52" s="52"/>
      <c r="Y52" s="53"/>
      <c r="Z52" s="54"/>
      <c r="AA52" s="135"/>
      <c r="AB52" s="136"/>
      <c r="AC52" s="136"/>
      <c r="AD52" s="52"/>
      <c r="AE52" s="53"/>
      <c r="AF52" s="54"/>
      <c r="AG52" s="135"/>
      <c r="AH52" s="136"/>
      <c r="AI52" s="136"/>
      <c r="AJ52" s="52"/>
      <c r="AK52" s="53"/>
      <c r="AL52" s="54"/>
      <c r="AM52" s="55"/>
      <c r="AN52" s="249"/>
      <c r="AO52" s="55"/>
    </row>
    <row r="53" spans="1:41" x14ac:dyDescent="0.45">
      <c r="A53" s="56"/>
      <c r="B53" s="56"/>
      <c r="C53" s="56"/>
      <c r="D53" s="56"/>
      <c r="E53" s="56"/>
      <c r="F53" s="56"/>
      <c r="G53" s="56" t="s">
        <v>14</v>
      </c>
      <c r="H53" s="137"/>
      <c r="I53" s="138"/>
      <c r="J53" s="298"/>
      <c r="K53" s="520"/>
      <c r="L53" s="57"/>
      <c r="M53" s="58"/>
      <c r="N53" s="59"/>
      <c r="O53" s="137"/>
      <c r="P53" s="138"/>
      <c r="Q53" s="138"/>
      <c r="R53" s="57"/>
      <c r="S53" s="58"/>
      <c r="T53" s="59"/>
      <c r="U53" s="137"/>
      <c r="V53" s="138"/>
      <c r="W53" s="138"/>
      <c r="X53" s="57"/>
      <c r="Y53" s="58"/>
      <c r="Z53" s="59"/>
      <c r="AA53" s="137"/>
      <c r="AB53" s="138"/>
      <c r="AC53" s="138"/>
      <c r="AD53" s="57"/>
      <c r="AE53" s="58"/>
      <c r="AF53" s="59"/>
      <c r="AG53" s="137"/>
      <c r="AH53" s="138"/>
      <c r="AI53" s="138"/>
      <c r="AJ53" s="57"/>
      <c r="AK53" s="58"/>
      <c r="AL53" s="59"/>
      <c r="AM53" s="60"/>
      <c r="AN53" s="251"/>
      <c r="AO53" s="60"/>
    </row>
    <row r="54" spans="1:41" x14ac:dyDescent="0.45">
      <c r="A54" s="258" t="s">
        <v>216</v>
      </c>
      <c r="B54" s="258">
        <v>89050</v>
      </c>
      <c r="C54" s="258" t="s">
        <v>65</v>
      </c>
      <c r="D54" s="258" t="s">
        <v>65</v>
      </c>
      <c r="E54" s="258" t="s">
        <v>217</v>
      </c>
      <c r="F54" s="429" t="s">
        <v>370</v>
      </c>
      <c r="G54" s="429" t="s">
        <v>371</v>
      </c>
      <c r="H54" s="648">
        <v>0.53864000000000001</v>
      </c>
      <c r="I54" s="38"/>
      <c r="L54" s="37">
        <f>$H$54*(L16+L17+L24+L28+L29+L30+L32+L33+L35+L42)</f>
        <v>54182.695333333329</v>
      </c>
      <c r="M54" s="37">
        <f>$H$54*(M16+M17+M24+M28+M29+M30+M32+M33+M35+M42)</f>
        <v>22802.42666666667</v>
      </c>
      <c r="N54" s="37">
        <f>M54+L54</f>
        <v>76985.122000000003</v>
      </c>
      <c r="O54" s="648">
        <f>H54</f>
        <v>0.53864000000000001</v>
      </c>
      <c r="P54" s="38"/>
      <c r="R54" s="37">
        <f>$H$54*(R16+R17+R24+R28+R29+R30+R32+R33+R35+R42)</f>
        <v>68174.587520000001</v>
      </c>
      <c r="S54" s="37">
        <f>$H$54*(S16+S17+S24+S28+S29+S30+S32+S33+S35+S42)</f>
        <v>12548.157440000001</v>
      </c>
      <c r="T54" s="37">
        <f>S54+R54</f>
        <v>80722.744959999996</v>
      </c>
      <c r="U54" s="648">
        <f>H54</f>
        <v>0.53864000000000001</v>
      </c>
      <c r="V54" s="38"/>
      <c r="X54" s="37">
        <f>$H$54*(X16+X17+X24+X28+X29+X30+X32+X33+X35+X42)</f>
        <v>70901.571020799995</v>
      </c>
      <c r="Y54" s="37">
        <f>$H$54*(Y16+Y17+Y24+Y28+Y29+Y30+Y32+Y33+Y35+Y42)</f>
        <v>13050.083737600002</v>
      </c>
      <c r="Z54" s="37">
        <f>Y54+X54</f>
        <v>83951.654758399993</v>
      </c>
      <c r="AA54" s="648">
        <f>H54</f>
        <v>0.53864000000000001</v>
      </c>
      <c r="AB54" s="38"/>
      <c r="AD54" s="37">
        <f>$H$54*(AD16+AD17+AD24+AD28+AD29+AD30+AD32+AD33+AD35+AD42)</f>
        <v>73737.633861632014</v>
      </c>
      <c r="AE54" s="37">
        <f>$H$54*(AE16+AE17+AE24+AE28+AE29+AE30+AE32+AE33+AE35+AE42)</f>
        <v>13572.087087104004</v>
      </c>
      <c r="AF54" s="37">
        <f>AE54+AD54</f>
        <v>87309.720948736023</v>
      </c>
      <c r="AG54" s="648">
        <f>H54</f>
        <v>0.53864000000000001</v>
      </c>
      <c r="AH54" s="38"/>
      <c r="AJ54" s="37">
        <f>$H$54*(AJ16+AJ17+AJ24+AJ28+AJ29+AJ30+AJ32+AJ33+AJ35+AJ42)</f>
        <v>59395.250046102192</v>
      </c>
      <c r="AK54" s="37">
        <f>$H$54*(AK16+AK17+AK24+AK28+AK29+AK30+AK32+AK33+AK35+AK42)</f>
        <v>16929.562916509021</v>
      </c>
      <c r="AL54" s="37">
        <f>AK54+AJ54</f>
        <v>76324.812962611206</v>
      </c>
      <c r="AM54" s="37">
        <f>L54+R54+X54+AD54+AJ54</f>
        <v>326391.73778186756</v>
      </c>
      <c r="AN54" s="270">
        <f>M54+S54+Y54+AE54+AK54</f>
        <v>78902.317847879691</v>
      </c>
      <c r="AO54" s="40">
        <f>SUM(AM54:AN54)</f>
        <v>405294.05562974722</v>
      </c>
    </row>
    <row r="55" spans="1:41" x14ac:dyDescent="0.45">
      <c r="A55" s="258" t="s">
        <v>216</v>
      </c>
      <c r="B55" s="258">
        <v>89050</v>
      </c>
      <c r="C55" s="258" t="s">
        <v>65</v>
      </c>
      <c r="D55" s="258" t="s">
        <v>65</v>
      </c>
      <c r="E55" s="258" t="s">
        <v>217</v>
      </c>
      <c r="F55" s="429" t="s">
        <v>370</v>
      </c>
      <c r="G55" s="434" t="s">
        <v>372</v>
      </c>
      <c r="H55" s="648">
        <v>0.40364</v>
      </c>
      <c r="I55" s="38"/>
      <c r="L55" s="37">
        <f>$H$55*(L47+L48+L19+L20+L21+L22+L23+L25+L26+L27+L31+L34+L36+L37+L38+L39+L40+L41+L43)</f>
        <v>76742.054999999993</v>
      </c>
      <c r="M55" s="37">
        <f>$H$55*(M47+M48+M19+M20+M21+M22+M23+M25+M26+M27+M31+M34+M36+M37+M38+M39+M40+M41+M43)</f>
        <v>9993.6218499999995</v>
      </c>
      <c r="N55" s="37">
        <f>M55+L55</f>
        <v>86735.676849999989</v>
      </c>
      <c r="O55" s="648">
        <f>H55</f>
        <v>0.40364</v>
      </c>
      <c r="P55" s="38"/>
      <c r="R55" s="37">
        <f>$H$55*(R47+R48+R19+R20+R21+R22+R23+R25+R26+R27+R31+R34+R36+R37+R38+R39+R40+R41+R43)</f>
        <v>175050.59520000001</v>
      </c>
      <c r="S55" s="37">
        <f>$H$55*(S47+S48+S19+S20+S21+S22+S23+S25+S26+S27+S31+S34+S36+S37+S38+S39+S40+S41+S43)</f>
        <v>10093.744752000001</v>
      </c>
      <c r="T55" s="37">
        <f>S55+R55</f>
        <v>185144.33995200001</v>
      </c>
      <c r="U55" s="648">
        <f>H55</f>
        <v>0.40364</v>
      </c>
      <c r="V55" s="38"/>
      <c r="X55" s="37">
        <f>$H$55*(X47+X48+X19+X20+X21+X22+X23+X25+X26+X27+X31+X34+X36+X37+X38+X39+X40+X41+X43)</f>
        <v>182052.61900800001</v>
      </c>
      <c r="Y55" s="37">
        <f>$H$55*(Y47+Y48+Y19+Y20+Y21+Y22+Y23+Y25+Y26+Y27+Y31+Y34+Y36+Y37+Y38+Y39+Y40+Y41+Y43)</f>
        <v>10497.494542080001</v>
      </c>
      <c r="Z55" s="37">
        <f>Y55+X55</f>
        <v>192550.11355008002</v>
      </c>
      <c r="AA55" s="648">
        <f>H55</f>
        <v>0.40364</v>
      </c>
      <c r="AB55" s="38"/>
      <c r="AD55" s="37">
        <f>$H$55*(AD47+AD48+AD19+AD20+AD21+AD22+AD23+AD25+AD26+AD27+AD31+AD34+AD36+AD37+AD38+AD39+AD40+AD41+AD43)</f>
        <v>189334.72376832005</v>
      </c>
      <c r="AE55" s="37">
        <f>$H$55*(AE47+AE48+AE19+AE20+AE21+AE22+AE23+AE25+AE26+AE27+AE31+AE34+AE36+AE37+AE38+AE39+AE40+AE41+AE43)</f>
        <v>10917.394323763205</v>
      </c>
      <c r="AF55" s="37">
        <f>AE55+AD55</f>
        <v>200252.11809208326</v>
      </c>
      <c r="AG55" s="648">
        <f>H55</f>
        <v>0.40364</v>
      </c>
      <c r="AH55" s="38"/>
      <c r="AJ55" s="37">
        <f>$H$55*(AJ47+AJ48+AJ19+AJ20+AJ21+AJ22+AJ23+AJ25+AJ26+AJ27+AJ31+AJ34+AJ36+AJ37+AJ38+AJ39+AJ40+AJ41+AJ43)</f>
        <v>86885.114485145605</v>
      </c>
      <c r="AK55" s="37">
        <f>$H$55*(AK47+AK48+AK19+AK20+AK21+AK22+AK23+AK25+AK26+AK27+AK31+AK34+AK36+AK37+AK38+AK39+AK40+AK41+AK43)</f>
        <v>9294.7003926466587</v>
      </c>
      <c r="AL55" s="37">
        <f>AK55+AJ55</f>
        <v>96179.814877792262</v>
      </c>
      <c r="AM55" s="37">
        <f>L55+R55+X55+AD55+AJ55</f>
        <v>710065.10746146576</v>
      </c>
      <c r="AN55" s="270">
        <f>M55+S55+Y55+AE55+AK55</f>
        <v>50796.955860489863</v>
      </c>
      <c r="AO55" s="40">
        <f>SUM(AM55:AN55)</f>
        <v>760862.06332195562</v>
      </c>
    </row>
    <row r="56" spans="1:41" x14ac:dyDescent="0.45">
      <c r="A56" s="49"/>
      <c r="B56" s="49"/>
      <c r="C56" s="49"/>
      <c r="D56" s="49"/>
      <c r="E56" s="49"/>
      <c r="F56" s="704"/>
      <c r="G56" s="49" t="s">
        <v>118</v>
      </c>
      <c r="H56" s="133"/>
      <c r="I56" s="134"/>
      <c r="J56" s="296"/>
      <c r="K56" s="518"/>
      <c r="L56" s="50">
        <f>SUM(L54:L55)</f>
        <v>130924.75033333333</v>
      </c>
      <c r="M56" s="50">
        <f>SUM(M54:M55)</f>
        <v>32796.048516666669</v>
      </c>
      <c r="N56" s="50">
        <f>SUM(N54:N55)</f>
        <v>163720.79884999999</v>
      </c>
      <c r="O56" s="133"/>
      <c r="P56" s="134"/>
      <c r="Q56" s="134"/>
      <c r="R56" s="50">
        <f>SUM(R54:R55)</f>
        <v>243225.18272000001</v>
      </c>
      <c r="S56" s="50">
        <f>SUM(S54:S55)</f>
        <v>22641.902192000001</v>
      </c>
      <c r="T56" s="50">
        <f>SUM(T54:T55)</f>
        <v>265867.08491199999</v>
      </c>
      <c r="U56" s="133"/>
      <c r="V56" s="134"/>
      <c r="W56" s="134"/>
      <c r="X56" s="50">
        <f>SUM(X54:X55)</f>
        <v>252954.19002879999</v>
      </c>
      <c r="Y56" s="50">
        <f>SUM(Y54:Y55)</f>
        <v>23547.578279680005</v>
      </c>
      <c r="Z56" s="50">
        <f>SUM(Z54:Z55)</f>
        <v>276501.76830848004</v>
      </c>
      <c r="AA56" s="133"/>
      <c r="AB56" s="134"/>
      <c r="AC56" s="134"/>
      <c r="AD56" s="50">
        <f>SUM(AD54:AD55)</f>
        <v>263072.35762995208</v>
      </c>
      <c r="AE56" s="50">
        <f>SUM(AE54:AE55)</f>
        <v>24489.481410867207</v>
      </c>
      <c r="AF56" s="50">
        <f>SUM(AF54:AF55)</f>
        <v>287561.83904081926</v>
      </c>
      <c r="AG56" s="133"/>
      <c r="AH56" s="134"/>
      <c r="AI56" s="134"/>
      <c r="AJ56" s="50">
        <f t="shared" ref="AJ56:AO56" si="70">SUM(AJ54:AJ55)</f>
        <v>146280.36453124779</v>
      </c>
      <c r="AK56" s="50">
        <f t="shared" si="70"/>
        <v>26224.263309155678</v>
      </c>
      <c r="AL56" s="50">
        <f t="shared" si="70"/>
        <v>172504.62784040347</v>
      </c>
      <c r="AM56" s="50">
        <f>SUM(AM54:AM55)</f>
        <v>1036456.8452433334</v>
      </c>
      <c r="AN56" s="50">
        <f t="shared" si="70"/>
        <v>129699.27370836955</v>
      </c>
      <c r="AO56" s="71">
        <f t="shared" si="70"/>
        <v>1166156.118951703</v>
      </c>
    </row>
    <row r="57" spans="1:41" x14ac:dyDescent="0.45">
      <c r="A57" s="51"/>
      <c r="B57" s="51"/>
      <c r="C57" s="51"/>
      <c r="D57" s="51"/>
      <c r="E57" s="51"/>
      <c r="F57" s="51"/>
      <c r="G57" s="51"/>
      <c r="H57" s="135"/>
      <c r="I57" s="136"/>
      <c r="J57" s="297"/>
      <c r="K57" s="519"/>
      <c r="L57" s="52"/>
      <c r="M57" s="53"/>
      <c r="N57" s="54"/>
      <c r="O57" s="135"/>
      <c r="P57" s="136"/>
      <c r="Q57" s="136"/>
      <c r="R57" s="52"/>
      <c r="S57" s="53"/>
      <c r="T57" s="54"/>
      <c r="U57" s="135"/>
      <c r="V57" s="136"/>
      <c r="W57" s="136"/>
      <c r="X57" s="52"/>
      <c r="Y57" s="53"/>
      <c r="Z57" s="54"/>
      <c r="AA57" s="135"/>
      <c r="AB57" s="136"/>
      <c r="AC57" s="136"/>
      <c r="AD57" s="52"/>
      <c r="AE57" s="53"/>
      <c r="AF57" s="622"/>
      <c r="AG57" s="135"/>
      <c r="AH57" s="136"/>
      <c r="AI57" s="136"/>
      <c r="AJ57" s="52"/>
      <c r="AK57" s="53"/>
      <c r="AL57" s="54"/>
      <c r="AM57" s="55"/>
      <c r="AN57" s="249"/>
      <c r="AO57" s="55"/>
    </row>
    <row r="58" spans="1:41" x14ac:dyDescent="0.45">
      <c r="A58" s="56"/>
      <c r="B58" s="56"/>
      <c r="C58" s="56"/>
      <c r="D58" s="56"/>
      <c r="E58" s="56"/>
      <c r="F58" s="56"/>
      <c r="G58" s="56" t="s">
        <v>119</v>
      </c>
      <c r="H58" s="137"/>
      <c r="I58" s="138"/>
      <c r="J58" s="298"/>
      <c r="K58" s="520"/>
      <c r="L58" s="57"/>
      <c r="M58" s="58"/>
      <c r="N58" s="59"/>
      <c r="O58" s="137"/>
      <c r="P58" s="138"/>
      <c r="Q58" s="138"/>
      <c r="R58" s="57"/>
      <c r="S58" s="58"/>
      <c r="T58" s="59"/>
      <c r="U58" s="137"/>
      <c r="V58" s="138"/>
      <c r="W58" s="138"/>
      <c r="X58" s="57"/>
      <c r="Y58" s="58"/>
      <c r="Z58" s="59"/>
      <c r="AA58" s="137"/>
      <c r="AB58" s="138"/>
      <c r="AC58" s="138"/>
      <c r="AD58" s="57"/>
      <c r="AE58" s="58"/>
      <c r="AF58" s="59"/>
      <c r="AG58" s="137"/>
      <c r="AH58" s="138"/>
      <c r="AI58" s="138"/>
      <c r="AJ58" s="57"/>
      <c r="AK58" s="58"/>
      <c r="AL58" s="59"/>
      <c r="AM58" s="60"/>
      <c r="AN58" s="251"/>
      <c r="AO58" s="60"/>
    </row>
    <row r="59" spans="1:41" x14ac:dyDescent="0.45">
      <c r="A59" s="61"/>
      <c r="B59" s="61"/>
      <c r="C59" s="61"/>
      <c r="D59" s="61"/>
      <c r="E59" s="61"/>
      <c r="F59" s="61"/>
      <c r="G59" s="61"/>
      <c r="H59" s="142"/>
      <c r="I59" s="143"/>
      <c r="J59" s="299"/>
      <c r="K59" s="521"/>
      <c r="L59" s="62"/>
      <c r="M59" s="63"/>
      <c r="N59" s="72"/>
      <c r="O59" s="142"/>
      <c r="P59" s="143"/>
      <c r="Q59" s="143"/>
      <c r="R59" s="62"/>
      <c r="S59" s="63"/>
      <c r="T59" s="72"/>
      <c r="U59" s="142"/>
      <c r="V59" s="143"/>
      <c r="W59" s="143"/>
      <c r="X59" s="62"/>
      <c r="Y59" s="63"/>
      <c r="Z59" s="72"/>
      <c r="AA59" s="142"/>
      <c r="AB59" s="143"/>
      <c r="AC59" s="143"/>
      <c r="AD59" s="62"/>
      <c r="AE59" s="63"/>
      <c r="AF59" s="72"/>
      <c r="AG59" s="142"/>
      <c r="AH59" s="143"/>
      <c r="AI59" s="143"/>
      <c r="AJ59" s="62"/>
      <c r="AK59" s="63"/>
      <c r="AL59" s="72"/>
      <c r="AM59" s="64"/>
      <c r="AN59" s="253"/>
      <c r="AO59" s="64"/>
    </row>
    <row r="60" spans="1:41" x14ac:dyDescent="0.45">
      <c r="A60" s="73"/>
      <c r="B60" s="73"/>
      <c r="C60" s="73"/>
      <c r="D60" s="73"/>
      <c r="E60" s="73"/>
      <c r="F60" s="73"/>
      <c r="G60" s="73" t="s">
        <v>373</v>
      </c>
      <c r="H60" s="130"/>
      <c r="I60" s="131"/>
      <c r="J60" s="571"/>
      <c r="K60" s="522"/>
      <c r="L60" s="37"/>
      <c r="M60" s="38"/>
      <c r="N60" s="39"/>
      <c r="O60" s="130"/>
      <c r="P60" s="131"/>
      <c r="Q60" s="131"/>
      <c r="R60" s="37"/>
      <c r="S60" s="38"/>
      <c r="T60" s="39"/>
      <c r="U60" s="130"/>
      <c r="V60" s="131"/>
      <c r="W60" s="131"/>
      <c r="X60" s="37"/>
      <c r="Y60" s="38"/>
      <c r="Z60" s="39"/>
      <c r="AA60" s="130"/>
      <c r="AB60" s="131"/>
      <c r="AC60" s="131"/>
      <c r="AD60" s="37"/>
      <c r="AE60" s="38"/>
      <c r="AF60" s="39"/>
      <c r="AG60" s="130"/>
      <c r="AH60" s="131"/>
      <c r="AI60" s="131"/>
      <c r="AJ60" s="37"/>
      <c r="AK60" s="38"/>
      <c r="AL60" s="39"/>
      <c r="AM60" s="40"/>
      <c r="AN60" s="270"/>
      <c r="AO60" s="40"/>
    </row>
    <row r="61" spans="1:41" x14ac:dyDescent="0.45">
      <c r="A61" s="258" t="s">
        <v>216</v>
      </c>
      <c r="B61" s="258">
        <v>89050</v>
      </c>
      <c r="C61" s="258" t="s">
        <v>65</v>
      </c>
      <c r="D61" s="258" t="s">
        <v>65</v>
      </c>
      <c r="E61" s="258" t="s">
        <v>217</v>
      </c>
      <c r="F61" s="82" t="s">
        <v>374</v>
      </c>
      <c r="G61" s="74" t="s">
        <v>375</v>
      </c>
      <c r="H61" s="141">
        <f>1*9</f>
        <v>9</v>
      </c>
      <c r="I61" s="38">
        <v>250</v>
      </c>
      <c r="J61" s="572">
        <v>1</v>
      </c>
      <c r="K61" s="522" t="s">
        <v>124</v>
      </c>
      <c r="L61" s="37">
        <f>I61*H61*J61</f>
        <v>2250</v>
      </c>
      <c r="M61" s="38">
        <v>0</v>
      </c>
      <c r="N61" s="39">
        <f>SUM(L61:M61)</f>
        <v>2250</v>
      </c>
      <c r="O61" s="141">
        <f>9*2</f>
        <v>18</v>
      </c>
      <c r="P61" s="38">
        <f>I61*$H$6</f>
        <v>257.5</v>
      </c>
      <c r="Q61" s="572">
        <v>1</v>
      </c>
      <c r="R61" s="37">
        <f>O61*P61*Q61</f>
        <v>4635</v>
      </c>
      <c r="S61" s="38">
        <v>0</v>
      </c>
      <c r="T61" s="39">
        <f>SUM(R61:S61)</f>
        <v>4635</v>
      </c>
      <c r="U61" s="141">
        <f>9*2</f>
        <v>18</v>
      </c>
      <c r="V61" s="38">
        <f>I61*$H$6*$H$6</f>
        <v>265.22500000000002</v>
      </c>
      <c r="W61" s="572">
        <v>1</v>
      </c>
      <c r="X61" s="37">
        <f>U61*V61*W61</f>
        <v>4774.05</v>
      </c>
      <c r="Y61" s="38">
        <v>0</v>
      </c>
      <c r="Z61" s="39">
        <f>SUM(X61:Y61)</f>
        <v>4774.05</v>
      </c>
      <c r="AA61" s="141">
        <f>1*9</f>
        <v>9</v>
      </c>
      <c r="AB61" s="38">
        <f>I61*$H$6*$H$6*$H$6</f>
        <v>273.18175000000002</v>
      </c>
      <c r="AC61" s="572">
        <v>1</v>
      </c>
      <c r="AD61" s="37">
        <f>AA61*AB61*AC61</f>
        <v>2458.6357500000004</v>
      </c>
      <c r="AE61" s="38">
        <v>0</v>
      </c>
      <c r="AF61" s="39">
        <f>SUM(AD61:AE61)</f>
        <v>2458.6357500000004</v>
      </c>
      <c r="AG61" s="141">
        <f>1*9</f>
        <v>9</v>
      </c>
      <c r="AH61" s="38">
        <f>I61*$H$6*$H$6*$H$6*$H$6</f>
        <v>281.37720250000001</v>
      </c>
      <c r="AI61" s="572">
        <v>1</v>
      </c>
      <c r="AJ61" s="37">
        <f>AG61*AH61*AI61</f>
        <v>2532.3948224999999</v>
      </c>
      <c r="AK61" s="38">
        <v>0</v>
      </c>
      <c r="AL61" s="39">
        <f>SUM(AJ61:AK61)</f>
        <v>2532.3948224999999</v>
      </c>
      <c r="AM61" s="40">
        <f>L61+R61+X61+AD61+AJ61</f>
        <v>16650.080572499999</v>
      </c>
      <c r="AN61" s="270">
        <f>M61+S61+Y61+AE61+AK61</f>
        <v>0</v>
      </c>
      <c r="AO61" s="40">
        <f>SUM(AM61:AN61)</f>
        <v>16650.080572499999</v>
      </c>
    </row>
    <row r="62" spans="1:41" x14ac:dyDescent="0.45">
      <c r="A62" s="258" t="s">
        <v>216</v>
      </c>
      <c r="B62" s="258">
        <v>89050</v>
      </c>
      <c r="C62" s="258" t="s">
        <v>65</v>
      </c>
      <c r="D62" s="258" t="s">
        <v>65</v>
      </c>
      <c r="E62" s="258" t="s">
        <v>217</v>
      </c>
      <c r="F62" s="82" t="s">
        <v>374</v>
      </c>
      <c r="G62" s="74" t="s">
        <v>376</v>
      </c>
      <c r="H62" s="141">
        <f>1*9</f>
        <v>9</v>
      </c>
      <c r="I62" s="38">
        <v>40</v>
      </c>
      <c r="J62" s="572">
        <v>5</v>
      </c>
      <c r="K62" s="522" t="s">
        <v>127</v>
      </c>
      <c r="L62" s="37">
        <f>I62*H62*J62</f>
        <v>1800</v>
      </c>
      <c r="M62" s="38">
        <v>0</v>
      </c>
      <c r="N62" s="39">
        <f>SUM(L62:M62)</f>
        <v>1800</v>
      </c>
      <c r="O62" s="141">
        <f>9*2</f>
        <v>18</v>
      </c>
      <c r="P62" s="38">
        <f>I62*$H$6</f>
        <v>41.2</v>
      </c>
      <c r="Q62" s="572">
        <v>5</v>
      </c>
      <c r="R62" s="37">
        <f>O62*P62*Q62</f>
        <v>3708</v>
      </c>
      <c r="S62" s="38">
        <v>0</v>
      </c>
      <c r="T62" s="39">
        <f>SUM(R62:S62)</f>
        <v>3708</v>
      </c>
      <c r="U62" s="141">
        <f>9*2</f>
        <v>18</v>
      </c>
      <c r="V62" s="38">
        <f>I62*$H$6*$H$6</f>
        <v>42.436000000000007</v>
      </c>
      <c r="W62" s="572">
        <v>4</v>
      </c>
      <c r="X62" s="37">
        <f>U62*V62*W62</f>
        <v>3055.3920000000007</v>
      </c>
      <c r="Y62" s="38">
        <v>0</v>
      </c>
      <c r="Z62" s="39">
        <f>SUM(X62:Y62)</f>
        <v>3055.3920000000007</v>
      </c>
      <c r="AA62" s="141">
        <f>1*9</f>
        <v>9</v>
      </c>
      <c r="AB62" s="38">
        <f>I62*$H$6*$H$6*$H$6</f>
        <v>43.709080000000007</v>
      </c>
      <c r="AC62" s="572">
        <v>4</v>
      </c>
      <c r="AD62" s="37">
        <f>AA62*AB62*AC62</f>
        <v>1573.5268800000003</v>
      </c>
      <c r="AE62" s="38">
        <v>0</v>
      </c>
      <c r="AF62" s="39">
        <f>SUM(AD62:AE62)</f>
        <v>1573.5268800000003</v>
      </c>
      <c r="AG62" s="141">
        <f>1*9</f>
        <v>9</v>
      </c>
      <c r="AH62" s="38">
        <f>I62*$H$6*$H$6*$H$6*$H$6</f>
        <v>45.020352400000007</v>
      </c>
      <c r="AI62" s="572">
        <v>4</v>
      </c>
      <c r="AJ62" s="37">
        <f>AG62*AH62*AI62</f>
        <v>1620.7326864000001</v>
      </c>
      <c r="AK62" s="38">
        <v>0</v>
      </c>
      <c r="AL62" s="39">
        <f>SUM(AJ62:AK62)</f>
        <v>1620.7326864000001</v>
      </c>
      <c r="AM62" s="40">
        <f>L62+R62+X62+AD62+AJ62</f>
        <v>11757.651566400002</v>
      </c>
      <c r="AN62" s="270">
        <f>M62+S62+Y62+AE62+AK62</f>
        <v>0</v>
      </c>
      <c r="AO62" s="40">
        <f>SUM(AM62:AN62)</f>
        <v>11757.651566400002</v>
      </c>
    </row>
    <row r="63" spans="1:41" x14ac:dyDescent="0.45">
      <c r="A63" s="258" t="s">
        <v>216</v>
      </c>
      <c r="B63" s="258">
        <v>89050</v>
      </c>
      <c r="C63" s="258" t="s">
        <v>65</v>
      </c>
      <c r="D63" s="258" t="s">
        <v>65</v>
      </c>
      <c r="E63" s="258" t="s">
        <v>217</v>
      </c>
      <c r="F63" s="82" t="s">
        <v>374</v>
      </c>
      <c r="G63" s="74" t="s">
        <v>377</v>
      </c>
      <c r="H63" s="141">
        <f>1*9</f>
        <v>9</v>
      </c>
      <c r="I63" s="38">
        <v>80</v>
      </c>
      <c r="J63" s="572">
        <v>4</v>
      </c>
      <c r="K63" s="522" t="s">
        <v>127</v>
      </c>
      <c r="L63" s="37">
        <f>I63*H63*J63</f>
        <v>2880</v>
      </c>
      <c r="M63" s="38">
        <v>0</v>
      </c>
      <c r="N63" s="39">
        <f t="shared" ref="N63" si="71">SUM(L63:M63)</f>
        <v>2880</v>
      </c>
      <c r="O63" s="141">
        <f>9*2</f>
        <v>18</v>
      </c>
      <c r="P63" s="38">
        <f t="shared" ref="P63:P64" si="72">I63*$H$6</f>
        <v>82.4</v>
      </c>
      <c r="Q63" s="572">
        <v>4</v>
      </c>
      <c r="R63" s="37">
        <f>O63*P63*Q63</f>
        <v>5932.8</v>
      </c>
      <c r="S63" s="38">
        <v>0</v>
      </c>
      <c r="T63" s="39">
        <f t="shared" ref="T63" si="73">SUM(R63:S63)</f>
        <v>5932.8</v>
      </c>
      <c r="U63" s="141">
        <f>9*2</f>
        <v>18</v>
      </c>
      <c r="V63" s="38">
        <f t="shared" ref="V63:V64" si="74">I63*$H$6*$H$6</f>
        <v>84.872000000000014</v>
      </c>
      <c r="W63" s="572">
        <v>3</v>
      </c>
      <c r="X63" s="37">
        <f t="shared" ref="X63:X64" si="75">U63*V63*W63</f>
        <v>4583.0880000000016</v>
      </c>
      <c r="Y63" s="38">
        <v>0</v>
      </c>
      <c r="Z63" s="39">
        <f t="shared" ref="Z63:Z64" si="76">SUM(X63:Y63)</f>
        <v>4583.0880000000016</v>
      </c>
      <c r="AA63" s="141">
        <f>1*9</f>
        <v>9</v>
      </c>
      <c r="AB63" s="38">
        <f t="shared" ref="AB63:AB64" si="77">I63*$H$6*$H$6*$H$6</f>
        <v>87.418160000000015</v>
      </c>
      <c r="AC63" s="572">
        <v>3</v>
      </c>
      <c r="AD63" s="37">
        <f t="shared" ref="AD63:AD64" si="78">AA63*AB63*AC63</f>
        <v>2360.2903200000005</v>
      </c>
      <c r="AE63" s="38">
        <v>0</v>
      </c>
      <c r="AF63" s="39">
        <f t="shared" ref="AF63:AF64" si="79">SUM(AD63:AE63)</f>
        <v>2360.2903200000005</v>
      </c>
      <c r="AG63" s="141">
        <f>1*9</f>
        <v>9</v>
      </c>
      <c r="AH63" s="38">
        <f t="shared" ref="AH63:AH64" si="80">I63*$H$6*$H$6*$H$6*$H$6</f>
        <v>90.040704800000015</v>
      </c>
      <c r="AI63" s="572">
        <v>3</v>
      </c>
      <c r="AJ63" s="37">
        <f>AG63*AH63*AI63</f>
        <v>2431.0990296</v>
      </c>
      <c r="AK63" s="38">
        <v>0</v>
      </c>
      <c r="AL63" s="39">
        <f t="shared" ref="AL63" si="81">SUM(AJ63:AK63)</f>
        <v>2431.0990296</v>
      </c>
      <c r="AM63" s="40">
        <f>L63+R63+X63+AD63+AJ63</f>
        <v>18187.277349600001</v>
      </c>
      <c r="AN63" s="270">
        <f t="shared" ref="AN63:AN64" si="82">M63+S63+Y63+AE63+AK63</f>
        <v>0</v>
      </c>
      <c r="AO63" s="40">
        <f t="shared" ref="AO63:AO64" si="83">SUM(AM63:AN63)</f>
        <v>18187.277349600001</v>
      </c>
    </row>
    <row r="64" spans="1:41" x14ac:dyDescent="0.45">
      <c r="A64" s="258" t="s">
        <v>216</v>
      </c>
      <c r="B64" s="258">
        <v>89050</v>
      </c>
      <c r="C64" s="258" t="s">
        <v>65</v>
      </c>
      <c r="D64" s="258" t="s">
        <v>65</v>
      </c>
      <c r="E64" s="258" t="s">
        <v>217</v>
      </c>
      <c r="F64" s="82" t="s">
        <v>374</v>
      </c>
      <c r="G64" s="74" t="s">
        <v>378</v>
      </c>
      <c r="H64" s="141">
        <f>1*9</f>
        <v>9</v>
      </c>
      <c r="I64" s="38">
        <v>25</v>
      </c>
      <c r="J64" s="572">
        <v>1</v>
      </c>
      <c r="K64" s="522" t="s">
        <v>124</v>
      </c>
      <c r="L64" s="37">
        <f>I64*H64*J64</f>
        <v>225</v>
      </c>
      <c r="M64" s="38">
        <v>0</v>
      </c>
      <c r="N64" s="39">
        <f t="shared" ref="N64" si="84">SUM(L64:M64)</f>
        <v>225</v>
      </c>
      <c r="O64" s="141">
        <f>9*2</f>
        <v>18</v>
      </c>
      <c r="P64" s="38">
        <f t="shared" si="72"/>
        <v>25.75</v>
      </c>
      <c r="Q64" s="572">
        <v>1</v>
      </c>
      <c r="R64" s="37">
        <f t="shared" ref="R64" si="85">O64*P64*Q64</f>
        <v>463.5</v>
      </c>
      <c r="S64" s="38">
        <v>0</v>
      </c>
      <c r="T64" s="39">
        <f t="shared" ref="T64" si="86">SUM(R64:S64)</f>
        <v>463.5</v>
      </c>
      <c r="U64" s="141">
        <f>9*2</f>
        <v>18</v>
      </c>
      <c r="V64" s="38">
        <f t="shared" si="74"/>
        <v>26.522500000000001</v>
      </c>
      <c r="W64" s="572">
        <v>1</v>
      </c>
      <c r="X64" s="37">
        <f t="shared" si="75"/>
        <v>477.40500000000003</v>
      </c>
      <c r="Y64" s="38">
        <v>0</v>
      </c>
      <c r="Z64" s="39">
        <f t="shared" si="76"/>
        <v>477.40500000000003</v>
      </c>
      <c r="AA64" s="141">
        <f>1*9</f>
        <v>9</v>
      </c>
      <c r="AB64" s="38">
        <f t="shared" si="77"/>
        <v>27.318175</v>
      </c>
      <c r="AC64" s="572">
        <v>1</v>
      </c>
      <c r="AD64" s="37">
        <f t="shared" si="78"/>
        <v>245.863575</v>
      </c>
      <c r="AE64" s="38">
        <v>0</v>
      </c>
      <c r="AF64" s="39">
        <f t="shared" si="79"/>
        <v>245.863575</v>
      </c>
      <c r="AG64" s="141">
        <f>1*9</f>
        <v>9</v>
      </c>
      <c r="AH64" s="38">
        <f t="shared" si="80"/>
        <v>28.137720250000001</v>
      </c>
      <c r="AI64" s="572">
        <v>1</v>
      </c>
      <c r="AJ64" s="37">
        <f>AG64*AH64*AI64</f>
        <v>253.23948225000001</v>
      </c>
      <c r="AK64" s="38">
        <v>0</v>
      </c>
      <c r="AL64" s="39">
        <f t="shared" ref="AL64" si="87">SUM(AJ64:AK64)</f>
        <v>253.23948225000001</v>
      </c>
      <c r="AM64" s="40">
        <f t="shared" ref="AM64" si="88">L64+R64+X64+AD64+AJ64</f>
        <v>1665.0080572500001</v>
      </c>
      <c r="AN64" s="270">
        <f t="shared" si="82"/>
        <v>0</v>
      </c>
      <c r="AO64" s="40">
        <f t="shared" si="83"/>
        <v>1665.0080572500001</v>
      </c>
    </row>
    <row r="65" spans="1:41" s="10" customFormat="1" x14ac:dyDescent="0.45">
      <c r="A65" s="75"/>
      <c r="B65" s="75"/>
      <c r="C65" s="258"/>
      <c r="D65" s="258"/>
      <c r="E65" s="75"/>
      <c r="F65" s="705"/>
      <c r="G65" s="75" t="s">
        <v>379</v>
      </c>
      <c r="H65" s="144"/>
      <c r="I65" s="129"/>
      <c r="J65" s="350"/>
      <c r="K65" s="529"/>
      <c r="L65" s="42">
        <f>SUM(L61:L64)</f>
        <v>7155</v>
      </c>
      <c r="M65" s="42">
        <f>SUM(M61:M64)</f>
        <v>0</v>
      </c>
      <c r="N65" s="42">
        <f>SUM(N61:N64)</f>
        <v>7155</v>
      </c>
      <c r="O65" s="144"/>
      <c r="P65" s="43"/>
      <c r="Q65" s="129"/>
      <c r="R65" s="42">
        <f>SUM(R61:R64)</f>
        <v>14739.3</v>
      </c>
      <c r="S65" s="42">
        <f>SUM(S61:S64)</f>
        <v>0</v>
      </c>
      <c r="T65" s="42">
        <f>SUM(T61:T64)</f>
        <v>14739.3</v>
      </c>
      <c r="U65" s="144"/>
      <c r="V65" s="38"/>
      <c r="W65" s="129"/>
      <c r="X65" s="42">
        <f>SUM(X61:X64)</f>
        <v>12889.935000000003</v>
      </c>
      <c r="Y65" s="42">
        <f>SUM(Y61:Y64)</f>
        <v>0</v>
      </c>
      <c r="Z65" s="42">
        <f>SUM(Z61:Z64)</f>
        <v>12889.935000000003</v>
      </c>
      <c r="AA65" s="144"/>
      <c r="AB65" s="38"/>
      <c r="AC65" s="129"/>
      <c r="AD65" s="42">
        <f>SUM(AD61:AD64)</f>
        <v>6638.3165250000011</v>
      </c>
      <c r="AE65" s="42">
        <f>SUM(AE61:AE64)</f>
        <v>0</v>
      </c>
      <c r="AF65" s="42">
        <f>SUM(AF61:AF64)</f>
        <v>6638.3165250000011</v>
      </c>
      <c r="AG65" s="144"/>
      <c r="AH65" s="38"/>
      <c r="AI65" s="129"/>
      <c r="AJ65" s="42">
        <f t="shared" ref="AJ65:AO65" si="89">SUM(AJ61:AJ64)</f>
        <v>6837.4660207500001</v>
      </c>
      <c r="AK65" s="42">
        <f t="shared" si="89"/>
        <v>0</v>
      </c>
      <c r="AL65" s="44">
        <f t="shared" si="89"/>
        <v>6837.4660207500001</v>
      </c>
      <c r="AM65" s="45">
        <f>SUM(AM61:AM64)</f>
        <v>48260.017545750001</v>
      </c>
      <c r="AN65" s="42">
        <f t="shared" si="89"/>
        <v>0</v>
      </c>
      <c r="AO65" s="45">
        <f t="shared" si="89"/>
        <v>48260.017545750001</v>
      </c>
    </row>
    <row r="66" spans="1:41" s="81" customFormat="1" x14ac:dyDescent="0.45">
      <c r="A66" s="76"/>
      <c r="B66" s="76"/>
      <c r="C66" s="258"/>
      <c r="D66" s="258"/>
      <c r="E66" s="76"/>
      <c r="F66" s="706"/>
      <c r="G66" s="76"/>
      <c r="H66" s="146"/>
      <c r="I66" s="147"/>
      <c r="J66" s="573"/>
      <c r="K66" s="574"/>
      <c r="L66" s="77"/>
      <c r="M66" s="78"/>
      <c r="N66" s="79"/>
      <c r="O66" s="146"/>
      <c r="P66" s="78"/>
      <c r="Q66" s="147"/>
      <c r="R66" s="77"/>
      <c r="S66" s="78"/>
      <c r="T66" s="79"/>
      <c r="U66" s="146"/>
      <c r="V66" s="38"/>
      <c r="W66" s="147"/>
      <c r="X66" s="77"/>
      <c r="Y66" s="78"/>
      <c r="Z66" s="79"/>
      <c r="AA66" s="146"/>
      <c r="AB66" s="38"/>
      <c r="AC66" s="147"/>
      <c r="AD66" s="77"/>
      <c r="AE66" s="78"/>
      <c r="AF66" s="79"/>
      <c r="AG66" s="146"/>
      <c r="AH66" s="38"/>
      <c r="AI66" s="147"/>
      <c r="AJ66" s="77"/>
      <c r="AK66" s="78"/>
      <c r="AL66" s="79"/>
      <c r="AM66" s="80"/>
      <c r="AN66" s="255"/>
      <c r="AO66" s="80"/>
    </row>
    <row r="67" spans="1:41" x14ac:dyDescent="0.45">
      <c r="A67" s="73"/>
      <c r="B67" s="73"/>
      <c r="C67" s="258"/>
      <c r="D67" s="258"/>
      <c r="E67" s="73"/>
      <c r="F67" s="73"/>
      <c r="G67" s="73" t="s">
        <v>135</v>
      </c>
      <c r="H67" s="130"/>
      <c r="I67" s="131"/>
      <c r="J67" s="571"/>
      <c r="K67" s="522"/>
      <c r="L67" s="37"/>
      <c r="M67" s="38"/>
      <c r="N67" s="39"/>
      <c r="O67" s="130"/>
      <c r="P67" s="131"/>
      <c r="Q67" s="131"/>
      <c r="R67" s="37"/>
      <c r="S67" s="38"/>
      <c r="T67" s="39"/>
      <c r="U67" s="130"/>
      <c r="V67" s="38"/>
      <c r="W67" s="131"/>
      <c r="X67" s="37"/>
      <c r="Y67" s="38"/>
      <c r="Z67" s="39"/>
      <c r="AA67" s="130"/>
      <c r="AB67" s="38"/>
      <c r="AC67" s="131"/>
      <c r="AD67" s="37"/>
      <c r="AE67" s="38"/>
      <c r="AF67" s="39"/>
      <c r="AG67" s="130"/>
      <c r="AH67" s="38"/>
      <c r="AI67" s="131"/>
      <c r="AJ67" s="37"/>
      <c r="AK67" s="38"/>
      <c r="AL67" s="39"/>
      <c r="AM67" s="40"/>
      <c r="AN67" s="270"/>
      <c r="AO67" s="40"/>
    </row>
    <row r="68" spans="1:41" x14ac:dyDescent="0.45">
      <c r="A68" s="73"/>
      <c r="B68" s="73"/>
      <c r="C68" s="258"/>
      <c r="D68" s="258"/>
      <c r="E68" s="73"/>
      <c r="F68" s="73"/>
      <c r="G68" s="73" t="s">
        <v>380</v>
      </c>
      <c r="H68" s="130"/>
      <c r="I68" s="131"/>
      <c r="J68" s="571"/>
      <c r="K68" s="522"/>
      <c r="L68" s="37"/>
      <c r="M68" s="38"/>
      <c r="N68" s="39"/>
      <c r="O68" s="130"/>
      <c r="P68" s="131"/>
      <c r="Q68" s="131"/>
      <c r="R68" s="37"/>
      <c r="S68" s="38"/>
      <c r="T68" s="39"/>
      <c r="U68" s="130"/>
      <c r="V68" s="38"/>
      <c r="W68" s="131"/>
      <c r="X68" s="37"/>
      <c r="Y68" s="38"/>
      <c r="Z68" s="39"/>
      <c r="AA68" s="130"/>
      <c r="AB68" s="38"/>
      <c r="AC68" s="131"/>
      <c r="AD68" s="37"/>
      <c r="AE68" s="38"/>
      <c r="AF68" s="39"/>
      <c r="AG68" s="130"/>
      <c r="AH68" s="38"/>
      <c r="AI68" s="131"/>
      <c r="AJ68" s="37"/>
      <c r="AK68" s="38"/>
      <c r="AL68" s="39"/>
      <c r="AM68" s="40"/>
      <c r="AN68" s="270"/>
      <c r="AO68" s="40"/>
    </row>
    <row r="69" spans="1:41" x14ac:dyDescent="0.45">
      <c r="A69" s="258" t="s">
        <v>216</v>
      </c>
      <c r="B69" s="258">
        <v>89050</v>
      </c>
      <c r="C69" s="258" t="s">
        <v>65</v>
      </c>
      <c r="D69" s="258" t="s">
        <v>65</v>
      </c>
      <c r="E69" s="258" t="s">
        <v>217</v>
      </c>
      <c r="F69" s="82" t="s">
        <v>381</v>
      </c>
      <c r="G69" s="74" t="s">
        <v>382</v>
      </c>
      <c r="H69" s="141">
        <f>2*9</f>
        <v>18</v>
      </c>
      <c r="I69" s="15">
        <v>250</v>
      </c>
      <c r="J69" s="572">
        <v>1</v>
      </c>
      <c r="K69" s="522" t="s">
        <v>124</v>
      </c>
      <c r="L69" s="37">
        <f>H69*J69*I69</f>
        <v>4500</v>
      </c>
      <c r="M69" s="38">
        <v>0</v>
      </c>
      <c r="N69" s="39">
        <f t="shared" ref="N69:N72" si="90">SUM(L69:M69)</f>
        <v>4500</v>
      </c>
      <c r="O69" s="141">
        <f>9*4</f>
        <v>36</v>
      </c>
      <c r="P69" s="38">
        <f>I69*$H$6</f>
        <v>257.5</v>
      </c>
      <c r="Q69" s="15">
        <v>1</v>
      </c>
      <c r="R69" s="37">
        <f>P69*O69*Q69</f>
        <v>9270</v>
      </c>
      <c r="S69" s="38">
        <v>0</v>
      </c>
      <c r="T69" s="39">
        <f t="shared" ref="T69:T72" si="91">SUM(R69:S69)</f>
        <v>9270</v>
      </c>
      <c r="U69" s="141">
        <f>9*4</f>
        <v>36</v>
      </c>
      <c r="V69" s="38">
        <f>I69*$H$6*$H$6</f>
        <v>265.22500000000002</v>
      </c>
      <c r="W69" s="15">
        <v>1</v>
      </c>
      <c r="X69" s="37">
        <f>U69*V69*W69</f>
        <v>9548.1</v>
      </c>
      <c r="Y69" s="38">
        <v>0</v>
      </c>
      <c r="Z69" s="39">
        <f>SUM(X69:Y69)</f>
        <v>9548.1</v>
      </c>
      <c r="AA69" s="141">
        <f>9*4</f>
        <v>36</v>
      </c>
      <c r="AB69" s="38">
        <f>I69*$H$6*$H$6*$H$6</f>
        <v>273.18175000000002</v>
      </c>
      <c r="AC69" s="15">
        <v>1</v>
      </c>
      <c r="AD69" s="37">
        <f>AA69*AB69*AC69</f>
        <v>9834.5430000000015</v>
      </c>
      <c r="AE69" s="38">
        <v>0</v>
      </c>
      <c r="AF69" s="39">
        <f t="shared" ref="AF69:AF72" si="92">SUM(AD69:AE69)</f>
        <v>9834.5430000000015</v>
      </c>
      <c r="AG69" s="141">
        <f>2*9</f>
        <v>18</v>
      </c>
      <c r="AH69" s="38">
        <f>I69*$H$6*$H$6*$H$6*$H$6</f>
        <v>281.37720250000001</v>
      </c>
      <c r="AI69" s="15">
        <v>1</v>
      </c>
      <c r="AJ69" s="37">
        <f>AG69*AH69*AI69</f>
        <v>5064.7896449999998</v>
      </c>
      <c r="AK69" s="38">
        <v>0</v>
      </c>
      <c r="AL69" s="39">
        <f t="shared" ref="AL69:AL72" si="93">SUM(AJ69:AK69)</f>
        <v>5064.7896449999998</v>
      </c>
      <c r="AM69" s="40">
        <f>L69+R69+X69+AD69+AJ69</f>
        <v>38217.432644999993</v>
      </c>
      <c r="AN69" s="270">
        <f t="shared" ref="AN69:AN72" si="94">M69+S69+Y69+AE69+AK69</f>
        <v>0</v>
      </c>
      <c r="AO69" s="40">
        <f t="shared" ref="AO69:AO72" si="95">SUM(AM69:AN69)</f>
        <v>38217.432644999993</v>
      </c>
    </row>
    <row r="70" spans="1:41" x14ac:dyDescent="0.45">
      <c r="A70" s="258" t="s">
        <v>216</v>
      </c>
      <c r="B70" s="258">
        <v>89050</v>
      </c>
      <c r="C70" s="258" t="s">
        <v>65</v>
      </c>
      <c r="D70" s="258" t="s">
        <v>65</v>
      </c>
      <c r="E70" s="258" t="s">
        <v>217</v>
      </c>
      <c r="F70" s="82" t="s">
        <v>381</v>
      </c>
      <c r="G70" s="74" t="s">
        <v>383</v>
      </c>
      <c r="H70" s="141">
        <f>2*9</f>
        <v>18</v>
      </c>
      <c r="I70" s="15">
        <v>40</v>
      </c>
      <c r="J70" s="572">
        <v>5</v>
      </c>
      <c r="K70" s="522" t="s">
        <v>124</v>
      </c>
      <c r="L70" s="37">
        <f t="shared" ref="L70:L72" si="96">H70*J70*I70</f>
        <v>3600</v>
      </c>
      <c r="M70" s="38">
        <v>0</v>
      </c>
      <c r="N70" s="39">
        <f t="shared" ref="N70" si="97">SUM(L70:M70)</f>
        <v>3600</v>
      </c>
      <c r="O70" s="141">
        <f>9*4</f>
        <v>36</v>
      </c>
      <c r="P70" s="38">
        <f>I70*$H$6</f>
        <v>41.2</v>
      </c>
      <c r="Q70" s="15">
        <v>5</v>
      </c>
      <c r="R70" s="37">
        <f t="shared" ref="R70:R72" si="98">P70*O70*Q70</f>
        <v>7416</v>
      </c>
      <c r="S70" s="38">
        <v>0</v>
      </c>
      <c r="T70" s="39">
        <f t="shared" ref="T70" si="99">SUM(R70:S70)</f>
        <v>7416</v>
      </c>
      <c r="U70" s="141">
        <f>9*4</f>
        <v>36</v>
      </c>
      <c r="V70" s="38">
        <f t="shared" ref="V70" si="100">I70*$H$6*$H$6</f>
        <v>42.436000000000007</v>
      </c>
      <c r="W70" s="15">
        <v>5</v>
      </c>
      <c r="X70" s="37">
        <f t="shared" ref="X70:X72" si="101">U70*V70*W70</f>
        <v>7638.4800000000014</v>
      </c>
      <c r="Y70" s="38">
        <v>0</v>
      </c>
      <c r="Z70" s="39">
        <f t="shared" ref="Z70" si="102">SUM(X70:Y70)</f>
        <v>7638.4800000000014</v>
      </c>
      <c r="AA70" s="141">
        <f>9*4</f>
        <v>36</v>
      </c>
      <c r="AB70" s="38">
        <f t="shared" ref="AB70" si="103">I70*$H$6*$H$6*$H$6</f>
        <v>43.709080000000007</v>
      </c>
      <c r="AC70" s="15">
        <v>5</v>
      </c>
      <c r="AD70" s="37">
        <f t="shared" ref="AD70:AD72" si="104">AA70*AB70*AC70</f>
        <v>7867.6344000000017</v>
      </c>
      <c r="AE70" s="38">
        <v>0</v>
      </c>
      <c r="AF70" s="39">
        <f t="shared" ref="AF70" si="105">SUM(AD70:AE70)</f>
        <v>7867.6344000000017</v>
      </c>
      <c r="AG70" s="141">
        <f>2*9</f>
        <v>18</v>
      </c>
      <c r="AH70" s="38">
        <f t="shared" ref="AH70" si="106">I70*$H$6*$H$6*$H$6*$H$6</f>
        <v>45.020352400000007</v>
      </c>
      <c r="AI70" s="15">
        <v>5</v>
      </c>
      <c r="AJ70" s="37">
        <f t="shared" ref="AJ70:AJ72" si="107">AG70*AH70*AI70</f>
        <v>4051.8317160000006</v>
      </c>
      <c r="AK70" s="38">
        <v>0</v>
      </c>
      <c r="AL70" s="39">
        <f t="shared" ref="AL70" si="108">SUM(AJ70:AK70)</f>
        <v>4051.8317160000006</v>
      </c>
      <c r="AM70" s="40">
        <f t="shared" ref="AM70" si="109">L70+R70+X70+AD70+AJ70</f>
        <v>30573.946116000006</v>
      </c>
      <c r="AN70" s="270">
        <f t="shared" ref="AN70" si="110">M70+S70+Y70+AE70+AK70</f>
        <v>0</v>
      </c>
      <c r="AO70" s="40">
        <f t="shared" ref="AO70" si="111">SUM(AM70:AN70)</f>
        <v>30573.946116000006</v>
      </c>
    </row>
    <row r="71" spans="1:41" x14ac:dyDescent="0.45">
      <c r="A71" s="258" t="s">
        <v>216</v>
      </c>
      <c r="B71" s="258">
        <v>89050</v>
      </c>
      <c r="C71" s="258" t="s">
        <v>65</v>
      </c>
      <c r="D71" s="258" t="s">
        <v>65</v>
      </c>
      <c r="E71" s="258" t="s">
        <v>217</v>
      </c>
      <c r="F71" s="82" t="s">
        <v>381</v>
      </c>
      <c r="G71" s="74" t="s">
        <v>384</v>
      </c>
      <c r="H71" s="141">
        <f>2*9</f>
        <v>18</v>
      </c>
      <c r="I71" s="15">
        <v>80</v>
      </c>
      <c r="J71" s="572">
        <v>5</v>
      </c>
      <c r="K71" s="522" t="s">
        <v>127</v>
      </c>
      <c r="L71" s="37">
        <f t="shared" si="96"/>
        <v>7200</v>
      </c>
      <c r="M71" s="38">
        <v>0</v>
      </c>
      <c r="N71" s="39">
        <f t="shared" si="90"/>
        <v>7200</v>
      </c>
      <c r="O71" s="141">
        <f>9*4</f>
        <v>36</v>
      </c>
      <c r="P71" s="38">
        <f t="shared" ref="P71" si="112">I71*$H$6</f>
        <v>82.4</v>
      </c>
      <c r="Q71" s="15">
        <v>5</v>
      </c>
      <c r="R71" s="37">
        <f t="shared" si="98"/>
        <v>14832</v>
      </c>
      <c r="S71" s="38">
        <v>0</v>
      </c>
      <c r="T71" s="39">
        <f t="shared" si="91"/>
        <v>14832</v>
      </c>
      <c r="U71" s="141">
        <f>9*4</f>
        <v>36</v>
      </c>
      <c r="V71" s="38">
        <f t="shared" ref="V71:V72" si="113">I71*$H$6*$H$6</f>
        <v>84.872000000000014</v>
      </c>
      <c r="W71" s="15">
        <v>5</v>
      </c>
      <c r="X71" s="37">
        <f t="shared" si="101"/>
        <v>15276.960000000003</v>
      </c>
      <c r="Y71" s="38">
        <v>0</v>
      </c>
      <c r="Z71" s="39">
        <f t="shared" ref="Z71:Z72" si="114">SUM(X71:Y71)</f>
        <v>15276.960000000003</v>
      </c>
      <c r="AA71" s="141">
        <f>9*4</f>
        <v>36</v>
      </c>
      <c r="AB71" s="38">
        <f t="shared" ref="AB71:AB72" si="115">I71*$H$6*$H$6*$H$6</f>
        <v>87.418160000000015</v>
      </c>
      <c r="AC71" s="15">
        <v>5</v>
      </c>
      <c r="AD71" s="37">
        <f t="shared" si="104"/>
        <v>15735.268800000003</v>
      </c>
      <c r="AE71" s="38">
        <v>0</v>
      </c>
      <c r="AF71" s="39">
        <f t="shared" si="92"/>
        <v>15735.268800000003</v>
      </c>
      <c r="AG71" s="141">
        <f>2*9</f>
        <v>18</v>
      </c>
      <c r="AH71" s="38">
        <f t="shared" ref="AH71:AH72" si="116">I71*$H$6*$H$6*$H$6*$H$6</f>
        <v>90.040704800000015</v>
      </c>
      <c r="AI71" s="15">
        <v>5</v>
      </c>
      <c r="AJ71" s="37">
        <f t="shared" si="107"/>
        <v>8103.6634320000012</v>
      </c>
      <c r="AK71" s="38">
        <v>0</v>
      </c>
      <c r="AL71" s="39">
        <f t="shared" si="93"/>
        <v>8103.6634320000012</v>
      </c>
      <c r="AM71" s="40">
        <f t="shared" ref="AM71:AM72" si="117">L71+R71+X71+AD71+AJ71</f>
        <v>61147.892232000013</v>
      </c>
      <c r="AN71" s="270">
        <f t="shared" si="94"/>
        <v>0</v>
      </c>
      <c r="AO71" s="40">
        <f t="shared" si="95"/>
        <v>61147.892232000013</v>
      </c>
    </row>
    <row r="72" spans="1:41" x14ac:dyDescent="0.45">
      <c r="A72" s="258" t="s">
        <v>216</v>
      </c>
      <c r="B72" s="258">
        <v>89050</v>
      </c>
      <c r="C72" s="258" t="s">
        <v>65</v>
      </c>
      <c r="D72" s="258" t="s">
        <v>65</v>
      </c>
      <c r="E72" s="258" t="s">
        <v>217</v>
      </c>
      <c r="F72" s="82" t="s">
        <v>381</v>
      </c>
      <c r="G72" s="74" t="s">
        <v>385</v>
      </c>
      <c r="H72" s="141">
        <f>2*9</f>
        <v>18</v>
      </c>
      <c r="I72" s="15">
        <v>25</v>
      </c>
      <c r="J72" s="572">
        <v>1</v>
      </c>
      <c r="K72" s="522" t="s">
        <v>124</v>
      </c>
      <c r="L72" s="37">
        <f t="shared" si="96"/>
        <v>450</v>
      </c>
      <c r="M72" s="38">
        <v>0</v>
      </c>
      <c r="N72" s="39">
        <f t="shared" si="90"/>
        <v>450</v>
      </c>
      <c r="O72" s="141">
        <f>9*4</f>
        <v>36</v>
      </c>
      <c r="P72" s="38">
        <f>I72*$H$6</f>
        <v>25.75</v>
      </c>
      <c r="Q72" s="15">
        <v>1</v>
      </c>
      <c r="R72" s="37">
        <f t="shared" si="98"/>
        <v>927</v>
      </c>
      <c r="S72" s="38">
        <v>0</v>
      </c>
      <c r="T72" s="39">
        <f t="shared" si="91"/>
        <v>927</v>
      </c>
      <c r="U72" s="141">
        <f>9*4</f>
        <v>36</v>
      </c>
      <c r="V72" s="38">
        <f t="shared" si="113"/>
        <v>26.522500000000001</v>
      </c>
      <c r="W72" s="15">
        <v>1</v>
      </c>
      <c r="X72" s="37">
        <f t="shared" si="101"/>
        <v>954.81000000000006</v>
      </c>
      <c r="Y72" s="38">
        <v>0</v>
      </c>
      <c r="Z72" s="39">
        <f t="shared" si="114"/>
        <v>954.81000000000006</v>
      </c>
      <c r="AA72" s="141">
        <f>9*4</f>
        <v>36</v>
      </c>
      <c r="AB72" s="38">
        <f t="shared" si="115"/>
        <v>27.318175</v>
      </c>
      <c r="AC72" s="15">
        <v>1</v>
      </c>
      <c r="AD72" s="37">
        <f t="shared" si="104"/>
        <v>983.45429999999999</v>
      </c>
      <c r="AE72" s="38">
        <v>0</v>
      </c>
      <c r="AF72" s="39">
        <f t="shared" si="92"/>
        <v>983.45429999999999</v>
      </c>
      <c r="AG72" s="141">
        <f>2*9</f>
        <v>18</v>
      </c>
      <c r="AH72" s="38">
        <f t="shared" si="116"/>
        <v>28.137720250000001</v>
      </c>
      <c r="AI72" s="15">
        <v>1</v>
      </c>
      <c r="AJ72" s="37">
        <f t="shared" si="107"/>
        <v>506.47896450000002</v>
      </c>
      <c r="AK72" s="38">
        <v>0</v>
      </c>
      <c r="AL72" s="39">
        <f t="shared" si="93"/>
        <v>506.47896450000002</v>
      </c>
      <c r="AM72" s="40">
        <f t="shared" si="117"/>
        <v>3821.7432644999999</v>
      </c>
      <c r="AN72" s="270">
        <f t="shared" si="94"/>
        <v>0</v>
      </c>
      <c r="AO72" s="40">
        <f t="shared" si="95"/>
        <v>3821.7432644999999</v>
      </c>
    </row>
    <row r="73" spans="1:41" s="10" customFormat="1" x14ac:dyDescent="0.45">
      <c r="A73" s="75"/>
      <c r="B73" s="75"/>
      <c r="C73" s="258"/>
      <c r="D73" s="258"/>
      <c r="E73" s="75"/>
      <c r="F73" s="705"/>
      <c r="G73" s="75"/>
      <c r="H73" s="144"/>
      <c r="I73" s="129"/>
      <c r="J73" s="350"/>
      <c r="K73" s="529"/>
      <c r="L73" s="42"/>
      <c r="M73" s="43"/>
      <c r="N73" s="43"/>
      <c r="O73" s="144"/>
      <c r="P73" s="43"/>
      <c r="Q73" s="129"/>
      <c r="R73" s="42"/>
      <c r="S73" s="43"/>
      <c r="T73" s="43"/>
      <c r="U73" s="144"/>
      <c r="V73" s="129"/>
      <c r="W73" s="129"/>
      <c r="X73" s="42"/>
      <c r="Y73" s="43"/>
      <c r="Z73" s="43"/>
      <c r="AA73" s="144"/>
      <c r="AB73" s="129"/>
      <c r="AC73" s="129"/>
      <c r="AD73" s="42"/>
      <c r="AE73" s="43"/>
      <c r="AF73" s="43"/>
      <c r="AG73" s="144"/>
      <c r="AH73" s="129"/>
      <c r="AI73" s="129"/>
      <c r="AJ73" s="42"/>
      <c r="AK73" s="43"/>
      <c r="AL73" s="39"/>
      <c r="AM73" s="40"/>
      <c r="AN73" s="270"/>
      <c r="AO73" s="40"/>
    </row>
    <row r="74" spans="1:41" s="10" customFormat="1" ht="24.9" x14ac:dyDescent="0.45">
      <c r="A74" s="600"/>
      <c r="B74" s="600"/>
      <c r="C74" s="258"/>
      <c r="D74" s="258"/>
      <c r="E74" s="600"/>
      <c r="F74" s="600"/>
      <c r="G74" s="600" t="s">
        <v>386</v>
      </c>
      <c r="H74" s="144"/>
      <c r="I74" s="129"/>
      <c r="J74" s="350"/>
      <c r="K74" s="529"/>
      <c r="L74" s="42"/>
      <c r="M74" s="43"/>
      <c r="N74" s="43"/>
      <c r="O74" s="144"/>
      <c r="P74" s="43"/>
      <c r="Q74" s="129"/>
      <c r="R74" s="42"/>
      <c r="S74" s="43"/>
      <c r="T74" s="43"/>
      <c r="U74" s="144"/>
      <c r="V74" s="129"/>
      <c r="W74" s="129"/>
      <c r="X74" s="42"/>
      <c r="Y74" s="43"/>
      <c r="Z74" s="43"/>
      <c r="AA74" s="144"/>
      <c r="AB74" s="129"/>
      <c r="AC74" s="129"/>
      <c r="AD74" s="42"/>
      <c r="AE74" s="43"/>
      <c r="AF74" s="43"/>
      <c r="AG74" s="144"/>
      <c r="AH74" s="129"/>
      <c r="AI74" s="129"/>
      <c r="AJ74" s="42"/>
      <c r="AK74" s="43"/>
      <c r="AL74" s="39"/>
      <c r="AM74" s="40"/>
      <c r="AN74" s="270"/>
      <c r="AO74" s="40"/>
    </row>
    <row r="75" spans="1:41" x14ac:dyDescent="0.45">
      <c r="A75" s="258" t="s">
        <v>216</v>
      </c>
      <c r="B75" s="258">
        <v>89050</v>
      </c>
      <c r="C75" s="258" t="s">
        <v>65</v>
      </c>
      <c r="D75" s="258" t="s">
        <v>65</v>
      </c>
      <c r="E75" s="258" t="s">
        <v>217</v>
      </c>
      <c r="F75" s="82" t="s">
        <v>387</v>
      </c>
      <c r="G75" s="74" t="s">
        <v>388</v>
      </c>
      <c r="H75" s="141">
        <v>0</v>
      </c>
      <c r="I75" s="15">
        <v>250</v>
      </c>
      <c r="J75" s="572">
        <v>1</v>
      </c>
      <c r="K75" s="522" t="s">
        <v>124</v>
      </c>
      <c r="L75" s="37">
        <f>H75*I75*J75</f>
        <v>0</v>
      </c>
      <c r="M75" s="38">
        <v>0</v>
      </c>
      <c r="N75" s="39">
        <f>SUM(L75:M75)</f>
        <v>0</v>
      </c>
      <c r="O75" s="141">
        <v>0</v>
      </c>
      <c r="P75" s="38">
        <f>I75*$H$6</f>
        <v>257.5</v>
      </c>
      <c r="Q75" s="572">
        <v>1</v>
      </c>
      <c r="R75" s="37">
        <f>P75*O75*Q75</f>
        <v>0</v>
      </c>
      <c r="S75" s="38">
        <v>0</v>
      </c>
      <c r="T75" s="39">
        <f>SUM(R75:S75)</f>
        <v>0</v>
      </c>
      <c r="U75" s="141">
        <f>(8+8+3)*2</f>
        <v>38</v>
      </c>
      <c r="V75" s="38">
        <f>I75*$H$6*$H$6</f>
        <v>265.22500000000002</v>
      </c>
      <c r="W75" s="572">
        <v>1</v>
      </c>
      <c r="X75" s="37">
        <f>U75*V75*W75</f>
        <v>10078.550000000001</v>
      </c>
      <c r="Y75" s="38">
        <v>0</v>
      </c>
      <c r="Z75" s="39">
        <f>SUM(X75:Y75)</f>
        <v>10078.550000000001</v>
      </c>
      <c r="AA75" s="141">
        <f>(8+8+3)*2</f>
        <v>38</v>
      </c>
      <c r="AB75" s="38">
        <f>I75*$H$6*$H$6*$H$6</f>
        <v>273.18175000000002</v>
      </c>
      <c r="AC75" s="572">
        <v>1</v>
      </c>
      <c r="AD75" s="37">
        <f>AA75*AB75</f>
        <v>10380.906500000001</v>
      </c>
      <c r="AE75" s="38">
        <v>0</v>
      </c>
      <c r="AF75" s="39">
        <f>SUM(AD75:AE75)</f>
        <v>10380.906500000001</v>
      </c>
      <c r="AG75" s="141">
        <v>0</v>
      </c>
      <c r="AH75" s="38">
        <f>I75*$H$6*$H$6*$H$6*$H$6</f>
        <v>281.37720250000001</v>
      </c>
      <c r="AI75" s="572">
        <v>1</v>
      </c>
      <c r="AJ75" s="37">
        <f>AG75*AH75</f>
        <v>0</v>
      </c>
      <c r="AK75" s="38">
        <v>0</v>
      </c>
      <c r="AL75" s="39">
        <f>SUM(AJ75:AK75)</f>
        <v>0</v>
      </c>
      <c r="AM75" s="40">
        <f t="shared" ref="AM75:AN79" si="118">L75+R75+X75+AD75+AJ75</f>
        <v>20459.4565</v>
      </c>
      <c r="AN75" s="270">
        <f t="shared" si="118"/>
        <v>0</v>
      </c>
      <c r="AO75" s="40">
        <f>SUM(AM75:AN75)</f>
        <v>20459.4565</v>
      </c>
    </row>
    <row r="76" spans="1:41" x14ac:dyDescent="0.45">
      <c r="A76" s="258" t="s">
        <v>216</v>
      </c>
      <c r="B76" s="258">
        <v>89050</v>
      </c>
      <c r="C76" s="258" t="s">
        <v>65</v>
      </c>
      <c r="D76" s="258" t="s">
        <v>65</v>
      </c>
      <c r="E76" s="258" t="s">
        <v>217</v>
      </c>
      <c r="F76" s="82" t="s">
        <v>387</v>
      </c>
      <c r="G76" s="74" t="s">
        <v>389</v>
      </c>
      <c r="H76" s="141">
        <v>0</v>
      </c>
      <c r="I76" s="15">
        <v>40</v>
      </c>
      <c r="J76" s="572">
        <v>6</v>
      </c>
      <c r="K76" s="522" t="s">
        <v>127</v>
      </c>
      <c r="L76" s="37">
        <f>H76*I76*J76</f>
        <v>0</v>
      </c>
      <c r="M76" s="38">
        <v>0</v>
      </c>
      <c r="N76" s="39">
        <f>SUM(L76:M76)</f>
        <v>0</v>
      </c>
      <c r="O76" s="141">
        <v>0</v>
      </c>
      <c r="P76" s="38">
        <f>I76*$H$6</f>
        <v>41.2</v>
      </c>
      <c r="Q76" s="572">
        <v>6</v>
      </c>
      <c r="R76" s="37">
        <f>P76*O76*Q76</f>
        <v>0</v>
      </c>
      <c r="S76" s="38">
        <v>0</v>
      </c>
      <c r="T76" s="39">
        <f>SUM(R76:S76)</f>
        <v>0</v>
      </c>
      <c r="U76" s="141">
        <f>(8+8+3)*2</f>
        <v>38</v>
      </c>
      <c r="V76" s="38">
        <f>I76*$H$6*$H$6</f>
        <v>42.436000000000007</v>
      </c>
      <c r="W76" s="572">
        <v>6</v>
      </c>
      <c r="X76" s="37">
        <f>U76*V76*W76</f>
        <v>9675.4080000000013</v>
      </c>
      <c r="Y76" s="38">
        <v>0</v>
      </c>
      <c r="Z76" s="39">
        <f>SUM(X76:Y76)</f>
        <v>9675.4080000000013</v>
      </c>
      <c r="AA76" s="141">
        <f>(8+8+3)*2</f>
        <v>38</v>
      </c>
      <c r="AB76" s="38">
        <f>I76*$H$6*$H$6*$H$6</f>
        <v>43.709080000000007</v>
      </c>
      <c r="AC76" s="572">
        <v>6</v>
      </c>
      <c r="AD76" s="37">
        <f>AA76*AB76</f>
        <v>1660.9450400000003</v>
      </c>
      <c r="AE76" s="38">
        <v>0</v>
      </c>
      <c r="AF76" s="39">
        <f>SUM(AD76:AE76)</f>
        <v>1660.9450400000003</v>
      </c>
      <c r="AG76" s="141">
        <v>0</v>
      </c>
      <c r="AH76" s="38">
        <f>I76*$H$6*$H$6*$H$6*$H$6</f>
        <v>45.020352400000007</v>
      </c>
      <c r="AI76" s="572">
        <v>6</v>
      </c>
      <c r="AJ76" s="37">
        <f>AG76*AH76</f>
        <v>0</v>
      </c>
      <c r="AK76" s="38">
        <v>0</v>
      </c>
      <c r="AL76" s="39">
        <f>SUM(AJ76:AK76)</f>
        <v>0</v>
      </c>
      <c r="AM76" s="40">
        <f t="shared" ref="AM76" si="119">L76+R76+X76+AD76+AJ76</f>
        <v>11336.353040000002</v>
      </c>
      <c r="AN76" s="270">
        <f t="shared" ref="AN76" si="120">M76+S76+Y76+AE76+AK76</f>
        <v>0</v>
      </c>
      <c r="AO76" s="40">
        <f>SUM(AM76:AN76)</f>
        <v>11336.353040000002</v>
      </c>
    </row>
    <row r="77" spans="1:41" x14ac:dyDescent="0.45">
      <c r="A77" s="258" t="s">
        <v>216</v>
      </c>
      <c r="B77" s="258">
        <v>89050</v>
      </c>
      <c r="C77" s="258" t="s">
        <v>65</v>
      </c>
      <c r="D77" s="258" t="s">
        <v>65</v>
      </c>
      <c r="E77" s="258" t="s">
        <v>217</v>
      </c>
      <c r="F77" s="82" t="s">
        <v>387</v>
      </c>
      <c r="G77" s="74" t="s">
        <v>390</v>
      </c>
      <c r="H77" s="141">
        <v>0</v>
      </c>
      <c r="I77" s="15">
        <v>80</v>
      </c>
      <c r="J77" s="572">
        <v>5</v>
      </c>
      <c r="K77" s="522" t="s">
        <v>127</v>
      </c>
      <c r="L77" s="37">
        <f>H77*I77*J77</f>
        <v>0</v>
      </c>
      <c r="M77" s="38">
        <v>0</v>
      </c>
      <c r="N77" s="39">
        <f>SUM(L77:M77)</f>
        <v>0</v>
      </c>
      <c r="O77" s="141">
        <v>0</v>
      </c>
      <c r="P77" s="38">
        <f>I77*$H$6</f>
        <v>82.4</v>
      </c>
      <c r="Q77" s="572">
        <v>5</v>
      </c>
      <c r="R77" s="37">
        <f>P77*O77*Q77</f>
        <v>0</v>
      </c>
      <c r="S77" s="38">
        <v>0</v>
      </c>
      <c r="T77" s="39">
        <f>SUM(R77:S77)</f>
        <v>0</v>
      </c>
      <c r="U77" s="141">
        <f>(8+8+3)*2</f>
        <v>38</v>
      </c>
      <c r="V77" s="38">
        <f>I77*$H$6*$H$6</f>
        <v>84.872000000000014</v>
      </c>
      <c r="W77" s="572">
        <v>5</v>
      </c>
      <c r="X77" s="37">
        <f>U77*V77*W77</f>
        <v>16125.680000000002</v>
      </c>
      <c r="Y77" s="38">
        <v>0</v>
      </c>
      <c r="Z77" s="39">
        <f>SUM(X77:Y77)</f>
        <v>16125.680000000002</v>
      </c>
      <c r="AA77" s="141">
        <f>(8+8+3)*2</f>
        <v>38</v>
      </c>
      <c r="AB77" s="38">
        <f>I77*$H$6*$H$6*$H$6</f>
        <v>87.418160000000015</v>
      </c>
      <c r="AC77" s="572">
        <v>5</v>
      </c>
      <c r="AD77" s="37">
        <f>AA77*AB77</f>
        <v>3321.8900800000006</v>
      </c>
      <c r="AE77" s="38">
        <v>0</v>
      </c>
      <c r="AF77" s="39">
        <f>SUM(AD77:AE77)</f>
        <v>3321.8900800000006</v>
      </c>
      <c r="AG77" s="141">
        <v>0</v>
      </c>
      <c r="AH77" s="38">
        <f>I77*$H$6*$H$6*$H$6*$H$6</f>
        <v>90.040704800000015</v>
      </c>
      <c r="AI77" s="572">
        <v>5</v>
      </c>
      <c r="AJ77" s="37">
        <f>AG77*AH77</f>
        <v>0</v>
      </c>
      <c r="AK77" s="38">
        <v>0</v>
      </c>
      <c r="AL77" s="39">
        <f>SUM(AJ77:AK77)</f>
        <v>0</v>
      </c>
      <c r="AM77" s="40">
        <f t="shared" si="118"/>
        <v>19447.570080000001</v>
      </c>
      <c r="AN77" s="270">
        <f t="shared" si="118"/>
        <v>0</v>
      </c>
      <c r="AO77" s="40">
        <f>SUM(AM77:AN77)</f>
        <v>19447.570080000001</v>
      </c>
    </row>
    <row r="78" spans="1:41" x14ac:dyDescent="0.45">
      <c r="A78" s="258" t="s">
        <v>216</v>
      </c>
      <c r="B78" s="258">
        <v>89050</v>
      </c>
      <c r="C78" s="258" t="s">
        <v>65</v>
      </c>
      <c r="D78" s="258" t="s">
        <v>65</v>
      </c>
      <c r="E78" s="258" t="s">
        <v>217</v>
      </c>
      <c r="F78" s="82" t="s">
        <v>387</v>
      </c>
      <c r="G78" s="74" t="s">
        <v>391</v>
      </c>
      <c r="H78" s="141">
        <v>0</v>
      </c>
      <c r="I78" s="15">
        <v>25</v>
      </c>
      <c r="J78" s="572">
        <v>1</v>
      </c>
      <c r="K78" s="522" t="s">
        <v>124</v>
      </c>
      <c r="L78" s="37">
        <f>H78*I78*J78</f>
        <v>0</v>
      </c>
      <c r="M78" s="38">
        <v>0</v>
      </c>
      <c r="N78" s="39">
        <f>SUM(L78:M78)</f>
        <v>0</v>
      </c>
      <c r="O78" s="141">
        <v>0</v>
      </c>
      <c r="P78" s="38">
        <f>I78*$H$6</f>
        <v>25.75</v>
      </c>
      <c r="Q78" s="572">
        <v>1</v>
      </c>
      <c r="R78" s="37">
        <f>P78*O78*Q78</f>
        <v>0</v>
      </c>
      <c r="S78" s="38">
        <v>0</v>
      </c>
      <c r="T78" s="39">
        <f>SUM(R78:S78)</f>
        <v>0</v>
      </c>
      <c r="U78" s="141">
        <f>(8+8+3)*2</f>
        <v>38</v>
      </c>
      <c r="V78" s="38">
        <f>I78*$H$6*$H$6</f>
        <v>26.522500000000001</v>
      </c>
      <c r="W78" s="572">
        <v>1</v>
      </c>
      <c r="X78" s="37">
        <f>U78*V78*W78</f>
        <v>1007.855</v>
      </c>
      <c r="Y78" s="38">
        <v>0</v>
      </c>
      <c r="Z78" s="39">
        <f>SUM(X78:Y78)</f>
        <v>1007.855</v>
      </c>
      <c r="AA78" s="141">
        <f>(8+8+3)*2</f>
        <v>38</v>
      </c>
      <c r="AB78" s="38">
        <f>I78*$H$6*$H$6*$H$6</f>
        <v>27.318175</v>
      </c>
      <c r="AC78" s="572">
        <v>1</v>
      </c>
      <c r="AD78" s="37">
        <f>AA78*AB78</f>
        <v>1038.0906500000001</v>
      </c>
      <c r="AE78" s="38">
        <v>0</v>
      </c>
      <c r="AF78" s="39">
        <f>SUM(AD78:AE78)</f>
        <v>1038.0906500000001</v>
      </c>
      <c r="AG78" s="141">
        <v>0</v>
      </c>
      <c r="AH78" s="38">
        <f>I78*$H$6*$H$6*$H$6*$H$6</f>
        <v>28.137720250000001</v>
      </c>
      <c r="AI78" s="572">
        <v>1</v>
      </c>
      <c r="AJ78" s="37">
        <f>AG78*AH78</f>
        <v>0</v>
      </c>
      <c r="AK78" s="38">
        <v>0</v>
      </c>
      <c r="AL78" s="39">
        <f>SUM(AJ78:AK78)</f>
        <v>0</v>
      </c>
      <c r="AM78" s="40">
        <f t="shared" si="118"/>
        <v>2045.9456500000001</v>
      </c>
      <c r="AN78" s="270">
        <f t="shared" si="118"/>
        <v>0</v>
      </c>
      <c r="AO78" s="40">
        <f>SUM(AM78:AN78)</f>
        <v>2045.9456500000001</v>
      </c>
    </row>
    <row r="79" spans="1:41" x14ac:dyDescent="0.45">
      <c r="A79" s="258" t="s">
        <v>216</v>
      </c>
      <c r="B79" s="258">
        <v>89050</v>
      </c>
      <c r="C79" s="258" t="s">
        <v>65</v>
      </c>
      <c r="D79" s="258" t="s">
        <v>65</v>
      </c>
      <c r="E79" s="258" t="s">
        <v>217</v>
      </c>
      <c r="F79" s="82" t="s">
        <v>387</v>
      </c>
      <c r="G79" s="74" t="s">
        <v>392</v>
      </c>
      <c r="H79" s="141">
        <v>0</v>
      </c>
      <c r="I79" s="15">
        <v>7</v>
      </c>
      <c r="J79" s="572">
        <v>1</v>
      </c>
      <c r="K79" s="522" t="s">
        <v>393</v>
      </c>
      <c r="L79" s="37">
        <f>H79*I79*J79</f>
        <v>0</v>
      </c>
      <c r="M79" s="38">
        <v>0</v>
      </c>
      <c r="N79" s="39">
        <f>SUM(L79:M79)</f>
        <v>0</v>
      </c>
      <c r="O79" s="141">
        <v>0</v>
      </c>
      <c r="P79" s="38">
        <f>I79*$H$6</f>
        <v>7.21</v>
      </c>
      <c r="Q79" s="15">
        <v>1</v>
      </c>
      <c r="R79" s="37">
        <f>P79*O79*Q79</f>
        <v>0</v>
      </c>
      <c r="S79" s="38">
        <v>0</v>
      </c>
      <c r="T79" s="39">
        <f>SUM(R79:S79)</f>
        <v>0</v>
      </c>
      <c r="U79" s="141">
        <f>480*5</f>
        <v>2400</v>
      </c>
      <c r="V79" s="38">
        <f>I79*$H$6*$H$6</f>
        <v>7.4263000000000003</v>
      </c>
      <c r="W79" s="15">
        <v>1</v>
      </c>
      <c r="X79" s="37">
        <f>U79*V79*W79</f>
        <v>17823.120000000003</v>
      </c>
      <c r="Y79" s="38">
        <v>0</v>
      </c>
      <c r="Z79" s="39">
        <f>SUM(X79:Y79)</f>
        <v>17823.120000000003</v>
      </c>
      <c r="AA79" s="141">
        <f>480*4</f>
        <v>1920</v>
      </c>
      <c r="AB79" s="38">
        <f>I79*$H$6*$H$6*$H$6</f>
        <v>7.6490890000000009</v>
      </c>
      <c r="AC79" s="15">
        <v>1</v>
      </c>
      <c r="AD79" s="37">
        <f>AA79*AB79</f>
        <v>14686.250880000001</v>
      </c>
      <c r="AE79" s="38">
        <v>0</v>
      </c>
      <c r="AF79" s="39">
        <f>SUM(AD79:AE79)</f>
        <v>14686.250880000001</v>
      </c>
      <c r="AG79" s="141">
        <v>0</v>
      </c>
      <c r="AH79" s="38">
        <f>I79*$H$6*$H$6*$H$6*$H$6</f>
        <v>7.8785616700000007</v>
      </c>
      <c r="AI79" s="15">
        <v>1</v>
      </c>
      <c r="AJ79" s="37">
        <f>AG79*AH79</f>
        <v>0</v>
      </c>
      <c r="AK79" s="38">
        <v>0</v>
      </c>
      <c r="AL79" s="39">
        <f>SUM(AJ79:AK79)</f>
        <v>0</v>
      </c>
      <c r="AM79" s="40">
        <f t="shared" si="118"/>
        <v>32509.370880000002</v>
      </c>
      <c r="AN79" s="270">
        <f t="shared" si="118"/>
        <v>0</v>
      </c>
      <c r="AO79" s="40">
        <f>SUM(AM79:AN79)</f>
        <v>32509.370880000002</v>
      </c>
    </row>
    <row r="80" spans="1:41" s="10" customFormat="1" x14ac:dyDescent="0.45">
      <c r="A80" s="75"/>
      <c r="B80" s="75"/>
      <c r="C80" s="258"/>
      <c r="D80" s="258"/>
      <c r="E80" s="75"/>
      <c r="F80" s="705"/>
      <c r="G80" s="75"/>
      <c r="H80" s="144"/>
      <c r="I80" s="129"/>
      <c r="J80" s="350"/>
      <c r="K80" s="529"/>
      <c r="L80" s="42"/>
      <c r="M80" s="43"/>
      <c r="N80" s="43"/>
      <c r="O80" s="144"/>
      <c r="P80" s="43"/>
      <c r="Q80" s="129"/>
      <c r="R80" s="42"/>
      <c r="S80" s="43"/>
      <c r="T80" s="43"/>
      <c r="U80" s="144"/>
      <c r="V80" s="129"/>
      <c r="W80" s="129"/>
      <c r="X80" s="42"/>
      <c r="Y80" s="43"/>
      <c r="Z80" s="43"/>
      <c r="AA80" s="144"/>
      <c r="AB80" s="129"/>
      <c r="AC80" s="129"/>
      <c r="AD80" s="42"/>
      <c r="AE80" s="43"/>
      <c r="AF80" s="43"/>
      <c r="AG80" s="144"/>
      <c r="AH80" s="129"/>
      <c r="AI80" s="129"/>
      <c r="AJ80" s="42"/>
      <c r="AK80" s="43"/>
      <c r="AL80" s="39"/>
      <c r="AM80" s="40"/>
      <c r="AN80" s="270"/>
      <c r="AO80" s="40"/>
    </row>
    <row r="81" spans="1:44" s="10" customFormat="1" x14ac:dyDescent="0.45">
      <c r="A81" s="73"/>
      <c r="B81" s="73"/>
      <c r="C81" s="258"/>
      <c r="D81" s="258"/>
      <c r="E81" s="73"/>
      <c r="F81" s="73"/>
      <c r="G81" s="73" t="s">
        <v>394</v>
      </c>
      <c r="H81" s="144"/>
      <c r="I81" s="129"/>
      <c r="J81" s="350"/>
      <c r="K81" s="529"/>
      <c r="L81" s="42"/>
      <c r="M81" s="43"/>
      <c r="N81" s="43"/>
      <c r="O81" s="144"/>
      <c r="P81" s="43"/>
      <c r="Q81" s="129"/>
      <c r="R81" s="42"/>
      <c r="S81" s="43"/>
      <c r="T81" s="43"/>
      <c r="U81" s="144"/>
      <c r="V81" s="129"/>
      <c r="W81" s="129"/>
      <c r="X81" s="42"/>
      <c r="Y81" s="43"/>
      <c r="Z81" s="43"/>
      <c r="AA81" s="144"/>
      <c r="AB81" s="129"/>
      <c r="AC81" s="129"/>
      <c r="AD81" s="42"/>
      <c r="AE81" s="43"/>
      <c r="AF81" s="43"/>
      <c r="AG81" s="144"/>
      <c r="AH81" s="129"/>
      <c r="AI81" s="129"/>
      <c r="AJ81" s="42"/>
      <c r="AK81" s="43"/>
      <c r="AL81" s="39"/>
      <c r="AM81" s="40"/>
      <c r="AN81" s="270"/>
      <c r="AO81" s="40"/>
    </row>
    <row r="82" spans="1:44" x14ac:dyDescent="0.45">
      <c r="A82" s="258" t="s">
        <v>216</v>
      </c>
      <c r="B82" s="258">
        <v>89050</v>
      </c>
      <c r="C82" s="258" t="s">
        <v>65</v>
      </c>
      <c r="D82" s="258" t="s">
        <v>65</v>
      </c>
      <c r="E82" s="258" t="s">
        <v>217</v>
      </c>
      <c r="F82" s="82" t="s">
        <v>395</v>
      </c>
      <c r="G82" s="74" t="s">
        <v>396</v>
      </c>
      <c r="H82" s="141">
        <v>35</v>
      </c>
      <c r="I82" s="15">
        <v>250</v>
      </c>
      <c r="J82" s="572">
        <v>1</v>
      </c>
      <c r="K82" s="522" t="s">
        <v>124</v>
      </c>
      <c r="L82" s="37">
        <f t="shared" ref="L82:L84" si="121">J82*I82*H82</f>
        <v>8750</v>
      </c>
      <c r="M82" s="38">
        <v>0</v>
      </c>
      <c r="N82" s="39">
        <f t="shared" ref="N82:N84" si="122">SUM(L82:M82)</f>
        <v>8750</v>
      </c>
      <c r="O82" s="141">
        <v>70</v>
      </c>
      <c r="P82" s="38">
        <f t="shared" ref="P82" si="123">I82*$H$6</f>
        <v>257.5</v>
      </c>
      <c r="Q82" s="572">
        <v>1</v>
      </c>
      <c r="R82" s="37">
        <f t="shared" ref="R82:R84" si="124">O82*P82*Q82</f>
        <v>18025</v>
      </c>
      <c r="S82" s="38">
        <v>0</v>
      </c>
      <c r="T82" s="39">
        <f t="shared" ref="T82:T84" si="125">SUM(R82:S82)</f>
        <v>18025</v>
      </c>
      <c r="U82" s="141">
        <v>70</v>
      </c>
      <c r="V82" s="38">
        <f>I82*$H$6*$H$6</f>
        <v>265.22500000000002</v>
      </c>
      <c r="W82" s="572">
        <v>1</v>
      </c>
      <c r="X82" s="37">
        <f t="shared" ref="X82:X84" si="126">U82*V82*W82</f>
        <v>18565.75</v>
      </c>
      <c r="Y82" s="38">
        <v>0</v>
      </c>
      <c r="Z82" s="39">
        <f t="shared" ref="Z82:Z84" si="127">SUM(X82:Y82)</f>
        <v>18565.75</v>
      </c>
      <c r="AA82" s="141">
        <v>70</v>
      </c>
      <c r="AB82" s="38">
        <f t="shared" ref="AB82" si="128">I82*$H$6*$H$6*$H$6</f>
        <v>273.18175000000002</v>
      </c>
      <c r="AC82" s="572">
        <v>1</v>
      </c>
      <c r="AD82" s="37">
        <f t="shared" ref="AD82:AD84" si="129">AA82*AB82*AC82</f>
        <v>19122.7225</v>
      </c>
      <c r="AE82" s="38">
        <v>0</v>
      </c>
      <c r="AF82" s="39">
        <f t="shared" ref="AF82:AF84" si="130">SUM(AD82:AE82)</f>
        <v>19122.7225</v>
      </c>
      <c r="AG82" s="141">
        <v>35</v>
      </c>
      <c r="AH82" s="38">
        <f t="shared" ref="AH82" si="131">I82*$H$6*$H$6*$H$6*$H$6</f>
        <v>281.37720250000001</v>
      </c>
      <c r="AI82" s="572">
        <v>1</v>
      </c>
      <c r="AJ82" s="37">
        <f t="shared" ref="AJ82:AJ84" si="132">AG82*AH82*AI82</f>
        <v>9848.2020874999998</v>
      </c>
      <c r="AK82" s="38">
        <v>0</v>
      </c>
      <c r="AL82" s="39">
        <f t="shared" ref="AL82:AL84" si="133">SUM(AJ82:AK82)</f>
        <v>9848.2020874999998</v>
      </c>
      <c r="AM82" s="40">
        <f t="shared" ref="AM82:AM84" si="134">L82+R82+X82+AD82+AJ82</f>
        <v>74311.674587500005</v>
      </c>
      <c r="AN82" s="270">
        <f>M82+S82+Y82+AE82+AK82</f>
        <v>0</v>
      </c>
      <c r="AO82" s="40">
        <f t="shared" ref="AO82:AO84" si="135">SUM(AM82:AN82)</f>
        <v>74311.674587500005</v>
      </c>
    </row>
    <row r="83" spans="1:44" x14ac:dyDescent="0.45">
      <c r="A83" s="258" t="s">
        <v>216</v>
      </c>
      <c r="B83" s="258">
        <v>89050</v>
      </c>
      <c r="C83" s="258" t="s">
        <v>65</v>
      </c>
      <c r="D83" s="258" t="s">
        <v>65</v>
      </c>
      <c r="E83" s="258" t="s">
        <v>217</v>
      </c>
      <c r="F83" s="82" t="s">
        <v>395</v>
      </c>
      <c r="G83" s="74" t="s">
        <v>397</v>
      </c>
      <c r="H83" s="141">
        <v>35</v>
      </c>
      <c r="I83" s="15">
        <v>40</v>
      </c>
      <c r="J83" s="572">
        <v>6</v>
      </c>
      <c r="K83" s="522" t="s">
        <v>127</v>
      </c>
      <c r="L83" s="37">
        <f>J83*I83*H83</f>
        <v>8400</v>
      </c>
      <c r="M83" s="38">
        <v>0</v>
      </c>
      <c r="N83" s="39">
        <f>SUM(L83:M83)</f>
        <v>8400</v>
      </c>
      <c r="O83" s="141">
        <v>70</v>
      </c>
      <c r="P83" s="38">
        <f>I83*$H$6</f>
        <v>41.2</v>
      </c>
      <c r="Q83" s="572">
        <v>6</v>
      </c>
      <c r="R83" s="37">
        <f>O83*P83*Q83</f>
        <v>17304</v>
      </c>
      <c r="S83" s="38">
        <v>0</v>
      </c>
      <c r="T83" s="39">
        <f>SUM(R83:S83)</f>
        <v>17304</v>
      </c>
      <c r="U83" s="141">
        <v>70</v>
      </c>
      <c r="V83" s="38">
        <f>I83*$H$6*$H$6</f>
        <v>42.436000000000007</v>
      </c>
      <c r="W83" s="572">
        <v>6</v>
      </c>
      <c r="X83" s="37">
        <f>U83*V83*W83</f>
        <v>17823.120000000003</v>
      </c>
      <c r="Y83" s="38">
        <v>0</v>
      </c>
      <c r="Z83" s="39">
        <f>SUM(X83:Y83)</f>
        <v>17823.120000000003</v>
      </c>
      <c r="AA83" s="141">
        <v>70</v>
      </c>
      <c r="AB83" s="38">
        <f>I83*$H$6*$H$6*$H$6</f>
        <v>43.709080000000007</v>
      </c>
      <c r="AC83" s="572">
        <v>6</v>
      </c>
      <c r="AD83" s="37">
        <f>AA83*AB83*AC83</f>
        <v>18357.813600000001</v>
      </c>
      <c r="AE83" s="38">
        <v>0</v>
      </c>
      <c r="AF83" s="39">
        <f>SUM(AD83:AE83)</f>
        <v>18357.813600000001</v>
      </c>
      <c r="AG83" s="141">
        <v>35</v>
      </c>
      <c r="AH83" s="38">
        <f>I83*$H$6*$H$6*$H$6*$H$6</f>
        <v>45.020352400000007</v>
      </c>
      <c r="AI83" s="572">
        <v>6</v>
      </c>
      <c r="AJ83" s="37">
        <f>AG83*AH83*AI83</f>
        <v>9454.2740040000026</v>
      </c>
      <c r="AK83" s="38">
        <v>0</v>
      </c>
      <c r="AL83" s="39">
        <f>SUM(AJ83:AK83)</f>
        <v>9454.2740040000026</v>
      </c>
      <c r="AM83" s="40">
        <f>L83+R83+X83+AD83+AJ83</f>
        <v>71339.20760400001</v>
      </c>
      <c r="AN83" s="270">
        <f>M83+S83+Y83+AE83+AK83</f>
        <v>0</v>
      </c>
      <c r="AO83" s="40">
        <f>SUM(AM83:AN83)</f>
        <v>71339.20760400001</v>
      </c>
    </row>
    <row r="84" spans="1:44" x14ac:dyDescent="0.45">
      <c r="A84" s="258" t="s">
        <v>216</v>
      </c>
      <c r="B84" s="258">
        <v>89050</v>
      </c>
      <c r="C84" s="258" t="s">
        <v>65</v>
      </c>
      <c r="D84" s="258" t="s">
        <v>65</v>
      </c>
      <c r="E84" s="258" t="s">
        <v>217</v>
      </c>
      <c r="F84" s="82" t="s">
        <v>395</v>
      </c>
      <c r="G84" s="74" t="s">
        <v>398</v>
      </c>
      <c r="H84" s="141">
        <v>35</v>
      </c>
      <c r="I84" s="15">
        <v>80</v>
      </c>
      <c r="J84" s="572">
        <v>5</v>
      </c>
      <c r="K84" s="522" t="s">
        <v>127</v>
      </c>
      <c r="L84" s="37">
        <f t="shared" si="121"/>
        <v>14000</v>
      </c>
      <c r="M84" s="38">
        <v>0</v>
      </c>
      <c r="N84" s="39">
        <f t="shared" si="122"/>
        <v>14000</v>
      </c>
      <c r="O84" s="141">
        <v>70</v>
      </c>
      <c r="P84" s="38">
        <f>I84*$H$6</f>
        <v>82.4</v>
      </c>
      <c r="Q84" s="572">
        <v>5</v>
      </c>
      <c r="R84" s="37">
        <f t="shared" si="124"/>
        <v>28840</v>
      </c>
      <c r="S84" s="38">
        <v>0</v>
      </c>
      <c r="T84" s="39">
        <f t="shared" si="125"/>
        <v>28840</v>
      </c>
      <c r="U84" s="141">
        <v>70</v>
      </c>
      <c r="V84" s="38">
        <f>I84*$H$6*$H$6</f>
        <v>84.872000000000014</v>
      </c>
      <c r="W84" s="572">
        <v>5</v>
      </c>
      <c r="X84" s="37">
        <f t="shared" si="126"/>
        <v>29705.200000000004</v>
      </c>
      <c r="Y84" s="38">
        <v>0</v>
      </c>
      <c r="Z84" s="39">
        <f t="shared" si="127"/>
        <v>29705.200000000004</v>
      </c>
      <c r="AA84" s="141">
        <v>70</v>
      </c>
      <c r="AB84" s="38">
        <f>I84*$H$6*$H$6*$H$6</f>
        <v>87.418160000000015</v>
      </c>
      <c r="AC84" s="572">
        <v>5</v>
      </c>
      <c r="AD84" s="37">
        <f t="shared" si="129"/>
        <v>30596.356000000007</v>
      </c>
      <c r="AE84" s="38">
        <v>0</v>
      </c>
      <c r="AF84" s="39">
        <f t="shared" si="130"/>
        <v>30596.356000000007</v>
      </c>
      <c r="AG84" s="141">
        <v>35</v>
      </c>
      <c r="AH84" s="38">
        <f>I84*$H$6*$H$6*$H$6*$H$6</f>
        <v>90.040704800000015</v>
      </c>
      <c r="AI84" s="572">
        <v>5</v>
      </c>
      <c r="AJ84" s="37">
        <f t="shared" si="132"/>
        <v>15757.123340000002</v>
      </c>
      <c r="AK84" s="38">
        <v>0</v>
      </c>
      <c r="AL84" s="39">
        <f t="shared" si="133"/>
        <v>15757.123340000002</v>
      </c>
      <c r="AM84" s="40">
        <f t="shared" si="134"/>
        <v>118898.67934000002</v>
      </c>
      <c r="AN84" s="270">
        <f>M84+S84+Y84+AE84+AK84</f>
        <v>0</v>
      </c>
      <c r="AO84" s="40">
        <f t="shared" si="135"/>
        <v>118898.67934000002</v>
      </c>
    </row>
    <row r="85" spans="1:44" x14ac:dyDescent="0.45">
      <c r="A85" s="258" t="s">
        <v>216</v>
      </c>
      <c r="B85" s="258">
        <v>89050</v>
      </c>
      <c r="C85" s="258" t="s">
        <v>65</v>
      </c>
      <c r="D85" s="258" t="s">
        <v>65</v>
      </c>
      <c r="E85" s="258" t="s">
        <v>217</v>
      </c>
      <c r="F85" s="82" t="s">
        <v>395</v>
      </c>
      <c r="G85" s="74" t="s">
        <v>399</v>
      </c>
      <c r="H85" s="141">
        <v>35</v>
      </c>
      <c r="I85" s="15">
        <v>25</v>
      </c>
      <c r="J85" s="572">
        <v>1</v>
      </c>
      <c r="K85" s="522" t="s">
        <v>124</v>
      </c>
      <c r="L85" s="37">
        <f>H85*I85*J85</f>
        <v>875</v>
      </c>
      <c r="M85" s="38">
        <v>0</v>
      </c>
      <c r="N85" s="39">
        <f>SUM(L85:M85)</f>
        <v>875</v>
      </c>
      <c r="O85" s="141">
        <v>70</v>
      </c>
      <c r="P85" s="38">
        <f>I85*$H$6</f>
        <v>25.75</v>
      </c>
      <c r="Q85" s="572">
        <v>1</v>
      </c>
      <c r="R85" s="37">
        <f>P85*O85*Q85</f>
        <v>1802.5</v>
      </c>
      <c r="S85" s="38">
        <v>0</v>
      </c>
      <c r="T85" s="39">
        <f>SUM(R85:S85)</f>
        <v>1802.5</v>
      </c>
      <c r="U85" s="141">
        <v>70</v>
      </c>
      <c r="V85" s="38">
        <f>I85*$H$6*$H$6</f>
        <v>26.522500000000001</v>
      </c>
      <c r="W85" s="572">
        <v>1</v>
      </c>
      <c r="X85" s="37">
        <f>U85*V85*W85</f>
        <v>1856.575</v>
      </c>
      <c r="Y85" s="38">
        <v>0</v>
      </c>
      <c r="Z85" s="39">
        <f>SUM(X85:Y85)</f>
        <v>1856.575</v>
      </c>
      <c r="AA85" s="141">
        <v>70</v>
      </c>
      <c r="AB85" s="38">
        <f>I85*$H$6*$H$6*$H$6</f>
        <v>27.318175</v>
      </c>
      <c r="AC85" s="572">
        <v>1</v>
      </c>
      <c r="AD85" s="37">
        <f>AA85*AB85</f>
        <v>1912.27225</v>
      </c>
      <c r="AE85" s="38">
        <v>0</v>
      </c>
      <c r="AF85" s="39">
        <f>SUM(AD85:AE85)</f>
        <v>1912.27225</v>
      </c>
      <c r="AG85" s="141">
        <v>35</v>
      </c>
      <c r="AH85" s="38">
        <f>I85*$H$6*$H$6*$H$6*$H$6</f>
        <v>28.137720250000001</v>
      </c>
      <c r="AI85" s="572">
        <v>1</v>
      </c>
      <c r="AJ85" s="37">
        <f>AG85*AH85</f>
        <v>984.82020875000001</v>
      </c>
      <c r="AK85" s="38">
        <v>0</v>
      </c>
      <c r="AL85" s="39">
        <f>SUM(AJ85:AK85)</f>
        <v>984.82020875000001</v>
      </c>
      <c r="AM85" s="40">
        <f>L85+R85+X85+AD85+AJ85</f>
        <v>7431.1674587500002</v>
      </c>
      <c r="AN85" s="270">
        <f>M85+S85+Y85+AE85+AK85</f>
        <v>0</v>
      </c>
      <c r="AO85" s="40">
        <f>SUM(AM85:AN85)</f>
        <v>7431.1674587500002</v>
      </c>
    </row>
    <row r="86" spans="1:44" x14ac:dyDescent="0.45">
      <c r="A86" s="74"/>
      <c r="B86" s="74"/>
      <c r="C86" s="258"/>
      <c r="D86" s="258"/>
      <c r="E86" s="74"/>
      <c r="F86" s="82"/>
      <c r="G86" s="74"/>
      <c r="H86" s="141"/>
      <c r="I86" s="15"/>
      <c r="J86" s="572"/>
      <c r="K86" s="522"/>
      <c r="L86" s="37"/>
      <c r="M86" s="38"/>
      <c r="N86" s="38"/>
      <c r="O86" s="141"/>
      <c r="P86" s="38"/>
      <c r="Q86" s="15"/>
      <c r="R86" s="37"/>
      <c r="S86" s="38"/>
      <c r="T86" s="38"/>
      <c r="U86" s="141"/>
      <c r="V86" s="38"/>
      <c r="W86" s="15"/>
      <c r="X86" s="37"/>
      <c r="Y86" s="38"/>
      <c r="Z86" s="38"/>
      <c r="AA86" s="141"/>
      <c r="AB86" s="38"/>
      <c r="AC86" s="15"/>
      <c r="AD86" s="37"/>
      <c r="AE86" s="38"/>
      <c r="AF86" s="38"/>
      <c r="AG86" s="141"/>
      <c r="AH86" s="38"/>
      <c r="AI86" s="15"/>
      <c r="AJ86" s="37"/>
      <c r="AK86" s="38"/>
      <c r="AL86" s="39"/>
      <c r="AM86" s="40"/>
      <c r="AN86" s="270"/>
      <c r="AO86" s="40"/>
    </row>
    <row r="87" spans="1:44" x14ac:dyDescent="0.45">
      <c r="A87" s="47"/>
      <c r="B87" s="47"/>
      <c r="C87" s="258"/>
      <c r="D87" s="258"/>
      <c r="E87" s="47"/>
      <c r="F87" s="47"/>
      <c r="G87" s="47" t="s">
        <v>400</v>
      </c>
      <c r="H87" s="140"/>
      <c r="I87" s="15"/>
      <c r="J87" s="1"/>
      <c r="L87" s="37"/>
      <c r="M87" s="38"/>
      <c r="N87" s="39"/>
      <c r="O87" s="140"/>
      <c r="R87" s="37"/>
      <c r="S87" s="38"/>
      <c r="T87" s="39"/>
      <c r="U87" s="140"/>
      <c r="X87" s="37"/>
      <c r="Y87" s="38"/>
      <c r="Z87" s="39"/>
      <c r="AA87" s="140"/>
      <c r="AD87" s="37"/>
      <c r="AE87" s="38"/>
      <c r="AF87" s="39"/>
      <c r="AG87" s="140"/>
      <c r="AJ87" s="37"/>
      <c r="AK87" s="38"/>
      <c r="AL87" s="39"/>
      <c r="AM87" s="40"/>
      <c r="AN87" s="270"/>
      <c r="AO87" s="40"/>
      <c r="AP87" s="91"/>
      <c r="AQ87" s="91"/>
      <c r="AR87" s="91"/>
    </row>
    <row r="88" spans="1:44" x14ac:dyDescent="0.45">
      <c r="A88" s="258" t="s">
        <v>216</v>
      </c>
      <c r="B88" s="258">
        <v>89050</v>
      </c>
      <c r="C88" s="258" t="s">
        <v>65</v>
      </c>
      <c r="D88" s="258" t="s">
        <v>65</v>
      </c>
      <c r="E88" s="258" t="s">
        <v>217</v>
      </c>
      <c r="F88" s="82" t="s">
        <v>401</v>
      </c>
      <c r="G88" s="74" t="s">
        <v>402</v>
      </c>
      <c r="H88" s="141">
        <v>6</v>
      </c>
      <c r="I88" s="38">
        <f>300</f>
        <v>300</v>
      </c>
      <c r="J88" s="15">
        <v>1</v>
      </c>
      <c r="K88" s="522" t="s">
        <v>107</v>
      </c>
      <c r="L88" s="37">
        <f t="shared" ref="L88" si="136">J88*I88*H88</f>
        <v>1800</v>
      </c>
      <c r="M88" s="38">
        <v>0</v>
      </c>
      <c r="N88" s="39">
        <f t="shared" ref="N88" si="137">SUM(L88:M88)</f>
        <v>1800</v>
      </c>
      <c r="O88" s="141">
        <v>12</v>
      </c>
      <c r="P88" s="38">
        <f t="shared" ref="P88" si="138">I88*$H$7</f>
        <v>312</v>
      </c>
      <c r="Q88" s="15">
        <v>1</v>
      </c>
      <c r="R88" s="37">
        <f t="shared" ref="R88" si="139">O88*P88*Q88</f>
        <v>3744</v>
      </c>
      <c r="S88" s="38">
        <v>0</v>
      </c>
      <c r="T88" s="39">
        <f t="shared" ref="T88" si="140">SUM(R88:S88)</f>
        <v>3744</v>
      </c>
      <c r="U88" s="141">
        <v>12</v>
      </c>
      <c r="V88" s="38">
        <f t="shared" ref="V88" si="141">I88*$H$7*$H$7</f>
        <v>324.48</v>
      </c>
      <c r="W88" s="15">
        <v>1</v>
      </c>
      <c r="X88" s="37">
        <f t="shared" ref="X88" si="142">U88*V88*W88</f>
        <v>3893.76</v>
      </c>
      <c r="Y88" s="38">
        <v>0</v>
      </c>
      <c r="Z88" s="39">
        <f t="shared" ref="Z88" si="143">SUM(X88:Y88)</f>
        <v>3893.76</v>
      </c>
      <c r="AA88" s="141">
        <v>12</v>
      </c>
      <c r="AB88" s="38">
        <f t="shared" ref="AB88" si="144">I88*$H$7*$H$7*$H$7</f>
        <v>337.45920000000001</v>
      </c>
      <c r="AC88" s="15">
        <v>1</v>
      </c>
      <c r="AD88" s="37">
        <f t="shared" ref="AD88" si="145">AA88*AB88*AC88</f>
        <v>4049.5104000000001</v>
      </c>
      <c r="AE88" s="38">
        <v>0</v>
      </c>
      <c r="AF88" s="39">
        <f t="shared" ref="AF88" si="146">SUM(AD88:AE88)</f>
        <v>4049.5104000000001</v>
      </c>
      <c r="AG88" s="141">
        <v>9</v>
      </c>
      <c r="AH88" s="38">
        <f t="shared" ref="AH88" si="147">I88*$H$7*$H$7*$H$7*$H$7</f>
        <v>350.95756800000004</v>
      </c>
      <c r="AI88" s="15">
        <v>1</v>
      </c>
      <c r="AJ88" s="37">
        <f t="shared" ref="AJ88" si="148">AG88*AH88*AI88</f>
        <v>3158.6181120000001</v>
      </c>
      <c r="AK88" s="38">
        <v>0</v>
      </c>
      <c r="AL88" s="39">
        <f t="shared" ref="AL88" si="149">SUM(AJ88:AK88)</f>
        <v>3158.6181120000001</v>
      </c>
      <c r="AM88" s="40">
        <f t="shared" ref="AM88" si="150">L88+R88+X88+AD88+AJ88</f>
        <v>16645.888512000001</v>
      </c>
      <c r="AN88" s="270">
        <f>M88+S88+Y88+AE88+AK88</f>
        <v>0</v>
      </c>
      <c r="AO88" s="40">
        <f t="shared" ref="AO88" si="151">SUM(AM88:AN88)</f>
        <v>16645.888512000001</v>
      </c>
    </row>
    <row r="89" spans="1:44" x14ac:dyDescent="0.45">
      <c r="A89" s="74"/>
      <c r="B89" s="74"/>
      <c r="C89" s="258"/>
      <c r="D89" s="258"/>
      <c r="E89" s="74"/>
      <c r="F89" s="82"/>
      <c r="G89" s="74"/>
      <c r="H89" s="141"/>
      <c r="I89" s="15"/>
      <c r="J89" s="572"/>
      <c r="K89" s="522"/>
      <c r="L89" s="37"/>
      <c r="M89" s="38"/>
      <c r="N89" s="38"/>
      <c r="O89" s="141"/>
      <c r="P89" s="38"/>
      <c r="Q89" s="15"/>
      <c r="R89" s="37"/>
      <c r="S89" s="38"/>
      <c r="T89" s="38"/>
      <c r="U89" s="141"/>
      <c r="V89" s="38"/>
      <c r="W89" s="15"/>
      <c r="X89" s="37"/>
      <c r="Y89" s="38"/>
      <c r="Z89" s="38"/>
      <c r="AA89" s="141"/>
      <c r="AB89" s="38"/>
      <c r="AC89" s="15"/>
      <c r="AD89" s="37"/>
      <c r="AE89" s="38"/>
      <c r="AF89" s="38"/>
      <c r="AG89" s="141"/>
      <c r="AH89" s="38"/>
      <c r="AI89" s="15"/>
      <c r="AJ89" s="37"/>
      <c r="AK89" s="38"/>
      <c r="AL89" s="39"/>
      <c r="AM89" s="40"/>
      <c r="AN89" s="270"/>
      <c r="AO89" s="40"/>
    </row>
    <row r="90" spans="1:44" x14ac:dyDescent="0.45">
      <c r="A90" s="353"/>
      <c r="B90" s="353"/>
      <c r="C90" s="258"/>
      <c r="D90" s="258"/>
      <c r="E90" s="353"/>
      <c r="F90" s="353"/>
      <c r="G90" s="353" t="s">
        <v>154</v>
      </c>
      <c r="H90" s="140"/>
      <c r="I90" s="15"/>
      <c r="J90" s="1"/>
      <c r="L90" s="37"/>
      <c r="M90" s="38"/>
      <c r="N90" s="39"/>
      <c r="O90" s="140"/>
      <c r="R90" s="37"/>
      <c r="S90" s="38"/>
      <c r="T90" s="39"/>
      <c r="U90" s="140"/>
      <c r="X90" s="37"/>
      <c r="Y90" s="38"/>
      <c r="Z90" s="39"/>
      <c r="AA90" s="140"/>
      <c r="AD90" s="37"/>
      <c r="AE90" s="38"/>
      <c r="AF90" s="39"/>
      <c r="AG90" s="140"/>
      <c r="AJ90" s="37"/>
      <c r="AK90" s="38"/>
      <c r="AL90" s="39"/>
      <c r="AM90" s="40"/>
      <c r="AN90" s="270"/>
      <c r="AO90" s="40"/>
      <c r="AP90" s="91"/>
      <c r="AQ90" s="91"/>
      <c r="AR90" s="91"/>
    </row>
    <row r="91" spans="1:44" x14ac:dyDescent="0.45">
      <c r="A91" s="258" t="s">
        <v>216</v>
      </c>
      <c r="B91" s="258">
        <v>89050</v>
      </c>
      <c r="C91" s="258" t="s">
        <v>65</v>
      </c>
      <c r="D91" s="258" t="s">
        <v>65</v>
      </c>
      <c r="E91" s="258" t="s">
        <v>217</v>
      </c>
      <c r="F91" s="82" t="s">
        <v>403</v>
      </c>
      <c r="G91" s="74" t="s">
        <v>404</v>
      </c>
      <c r="H91" s="141">
        <f>2*2</f>
        <v>4</v>
      </c>
      <c r="I91" s="38">
        <v>80</v>
      </c>
      <c r="J91" s="15">
        <v>1</v>
      </c>
      <c r="K91" s="522" t="s">
        <v>124</v>
      </c>
      <c r="L91" s="37">
        <f t="shared" ref="L91" si="152">J91*I91*H91</f>
        <v>320</v>
      </c>
      <c r="M91" s="38">
        <v>0</v>
      </c>
      <c r="N91" s="39">
        <f t="shared" ref="N91:N94" si="153">SUM(L91:M91)</f>
        <v>320</v>
      </c>
      <c r="O91" s="141">
        <f>2*2</f>
        <v>4</v>
      </c>
      <c r="P91" s="38">
        <f t="shared" ref="P91" si="154">I91*$H$7</f>
        <v>83.2</v>
      </c>
      <c r="Q91" s="15">
        <v>1</v>
      </c>
      <c r="R91" s="37">
        <f t="shared" ref="R91:R94" si="155">O91*P91*Q91</f>
        <v>332.8</v>
      </c>
      <c r="S91" s="38">
        <v>0</v>
      </c>
      <c r="T91" s="39">
        <f t="shared" ref="T91:T94" si="156">SUM(R91:S91)</f>
        <v>332.8</v>
      </c>
      <c r="U91" s="141">
        <f>2*2</f>
        <v>4</v>
      </c>
      <c r="V91" s="38">
        <f>I91*$H$7*$H$7</f>
        <v>86.528000000000006</v>
      </c>
      <c r="W91" s="15">
        <v>1</v>
      </c>
      <c r="X91" s="37">
        <f>U91*V91*W91</f>
        <v>346.11200000000002</v>
      </c>
      <c r="Y91" s="38">
        <v>0</v>
      </c>
      <c r="Z91" s="39">
        <f t="shared" ref="Z91:Z94" si="157">SUM(X91:Y91)</f>
        <v>346.11200000000002</v>
      </c>
      <c r="AA91" s="141">
        <f>2*2</f>
        <v>4</v>
      </c>
      <c r="AB91" s="38">
        <f t="shared" ref="AB91" si="158">I91*$H$7*$H$7*$H$7</f>
        <v>89.989120000000014</v>
      </c>
      <c r="AC91" s="15">
        <v>1</v>
      </c>
      <c r="AD91" s="37">
        <f t="shared" ref="AD91:AD94" si="159">AA91*AB91*AC91</f>
        <v>359.95648000000006</v>
      </c>
      <c r="AE91" s="38">
        <v>0</v>
      </c>
      <c r="AF91" s="39">
        <f t="shared" ref="AF91:AF94" si="160">SUM(AD91:AE91)</f>
        <v>359.95648000000006</v>
      </c>
      <c r="AG91" s="141">
        <v>2</v>
      </c>
      <c r="AH91" s="38">
        <f t="shared" ref="AH91" si="161">I91*$H$7*$H$7*$H$7*$H$7</f>
        <v>93.588684800000024</v>
      </c>
      <c r="AI91" s="15">
        <v>1</v>
      </c>
      <c r="AJ91" s="37">
        <f t="shared" ref="AJ91:AJ94" si="162">AG91*AH91*AI91</f>
        <v>187.17736960000005</v>
      </c>
      <c r="AK91" s="38">
        <v>0</v>
      </c>
      <c r="AL91" s="39">
        <f t="shared" ref="AL91:AL94" si="163">SUM(AJ91:AK91)</f>
        <v>187.17736960000005</v>
      </c>
      <c r="AM91" s="40">
        <f t="shared" ref="AM91:AN94" si="164">L91+R91+X91+AD91+AJ91</f>
        <v>1546.0458496000001</v>
      </c>
      <c r="AN91" s="40">
        <f t="shared" si="164"/>
        <v>0</v>
      </c>
      <c r="AO91" s="40">
        <f t="shared" ref="AO91:AO94" si="165">SUM(AM91:AN91)</f>
        <v>1546.0458496000001</v>
      </c>
    </row>
    <row r="92" spans="1:44" x14ac:dyDescent="0.45">
      <c r="A92" s="258" t="s">
        <v>216</v>
      </c>
      <c r="B92" s="258">
        <v>89050</v>
      </c>
      <c r="C92" s="258" t="s">
        <v>65</v>
      </c>
      <c r="D92" s="258" t="s">
        <v>65</v>
      </c>
      <c r="E92" s="258" t="s">
        <v>217</v>
      </c>
      <c r="F92" s="82" t="s">
        <v>403</v>
      </c>
      <c r="G92" s="74" t="s">
        <v>405</v>
      </c>
      <c r="H92" s="141">
        <f>2*2</f>
        <v>4</v>
      </c>
      <c r="I92" s="38">
        <v>40</v>
      </c>
      <c r="J92" s="15">
        <v>2</v>
      </c>
      <c r="K92" s="522" t="s">
        <v>127</v>
      </c>
      <c r="L92" s="37">
        <f>J92*I92*H92</f>
        <v>320</v>
      </c>
      <c r="M92" s="38">
        <v>0</v>
      </c>
      <c r="N92" s="39">
        <f t="shared" si="153"/>
        <v>320</v>
      </c>
      <c r="O92" s="141">
        <f>2*2</f>
        <v>4</v>
      </c>
      <c r="P92" s="38">
        <f>I92*$H$7</f>
        <v>41.6</v>
      </c>
      <c r="Q92" s="15">
        <v>2</v>
      </c>
      <c r="R92" s="37">
        <f t="shared" si="155"/>
        <v>332.8</v>
      </c>
      <c r="S92" s="38">
        <v>0</v>
      </c>
      <c r="T92" s="39">
        <f t="shared" si="156"/>
        <v>332.8</v>
      </c>
      <c r="U92" s="141">
        <f>2*2</f>
        <v>4</v>
      </c>
      <c r="V92" s="38">
        <f>I92*$H$7*$H$7</f>
        <v>43.264000000000003</v>
      </c>
      <c r="W92" s="15">
        <v>2</v>
      </c>
      <c r="X92" s="37">
        <f t="shared" ref="X92:X94" si="166">U92*V92*W92</f>
        <v>346.11200000000002</v>
      </c>
      <c r="Y92" s="38">
        <v>0</v>
      </c>
      <c r="Z92" s="39">
        <f t="shared" si="157"/>
        <v>346.11200000000002</v>
      </c>
      <c r="AA92" s="141">
        <f>2*2</f>
        <v>4</v>
      </c>
      <c r="AB92" s="38">
        <f>I92*$H$7*$H$7*$H$7</f>
        <v>44.994560000000007</v>
      </c>
      <c r="AC92" s="15">
        <v>2</v>
      </c>
      <c r="AD92" s="37">
        <f t="shared" si="159"/>
        <v>359.95648000000006</v>
      </c>
      <c r="AE92" s="38">
        <v>0</v>
      </c>
      <c r="AF92" s="39">
        <f t="shared" si="160"/>
        <v>359.95648000000006</v>
      </c>
      <c r="AG92" s="141">
        <v>2</v>
      </c>
      <c r="AH92" s="38">
        <f>I92*$H$7*$H$7*$H$7*$H$7</f>
        <v>46.794342400000012</v>
      </c>
      <c r="AI92" s="15">
        <v>2</v>
      </c>
      <c r="AJ92" s="37">
        <f t="shared" si="162"/>
        <v>187.17736960000005</v>
      </c>
      <c r="AK92" s="38">
        <v>0</v>
      </c>
      <c r="AL92" s="39">
        <f t="shared" si="163"/>
        <v>187.17736960000005</v>
      </c>
      <c r="AM92" s="40">
        <f>L92+R92+X92+AD92+AJ92</f>
        <v>1546.0458496000001</v>
      </c>
      <c r="AN92" s="40">
        <f t="shared" si="164"/>
        <v>0</v>
      </c>
      <c r="AO92" s="40">
        <f t="shared" si="165"/>
        <v>1546.0458496000001</v>
      </c>
    </row>
    <row r="93" spans="1:44" x14ac:dyDescent="0.45">
      <c r="A93" s="258" t="s">
        <v>216</v>
      </c>
      <c r="B93" s="258">
        <v>89050</v>
      </c>
      <c r="C93" s="258" t="s">
        <v>65</v>
      </c>
      <c r="D93" s="258" t="s">
        <v>65</v>
      </c>
      <c r="E93" s="258" t="s">
        <v>217</v>
      </c>
      <c r="F93" s="82" t="s">
        <v>403</v>
      </c>
      <c r="G93" s="74" t="s">
        <v>406</v>
      </c>
      <c r="H93" s="141">
        <f>2*2</f>
        <v>4</v>
      </c>
      <c r="I93" s="38">
        <v>80</v>
      </c>
      <c r="J93" s="15">
        <v>2</v>
      </c>
      <c r="K93" s="522" t="s">
        <v>127</v>
      </c>
      <c r="L93" s="37">
        <f t="shared" ref="L93:L94" si="167">J93*I93*H93</f>
        <v>640</v>
      </c>
      <c r="M93" s="38">
        <v>0</v>
      </c>
      <c r="N93" s="39">
        <f t="shared" si="153"/>
        <v>640</v>
      </c>
      <c r="O93" s="141">
        <f>2*2</f>
        <v>4</v>
      </c>
      <c r="P93" s="38">
        <f t="shared" ref="P93:P94" si="168">I93*$H$7</f>
        <v>83.2</v>
      </c>
      <c r="Q93" s="15">
        <v>2</v>
      </c>
      <c r="R93" s="37">
        <f t="shared" si="155"/>
        <v>665.6</v>
      </c>
      <c r="S93" s="38">
        <v>0</v>
      </c>
      <c r="T93" s="39">
        <f t="shared" si="156"/>
        <v>665.6</v>
      </c>
      <c r="U93" s="141">
        <f>2*2</f>
        <v>4</v>
      </c>
      <c r="V93" s="38">
        <f t="shared" ref="V93:V94" si="169">I93*$H$7*$H$7</f>
        <v>86.528000000000006</v>
      </c>
      <c r="W93" s="15">
        <v>2</v>
      </c>
      <c r="X93" s="37">
        <f t="shared" si="166"/>
        <v>692.22400000000005</v>
      </c>
      <c r="Y93" s="38">
        <v>0</v>
      </c>
      <c r="Z93" s="39">
        <f t="shared" si="157"/>
        <v>692.22400000000005</v>
      </c>
      <c r="AA93" s="141">
        <f>2*2</f>
        <v>4</v>
      </c>
      <c r="AB93" s="38">
        <f t="shared" ref="AB93:AB94" si="170">I93*$H$7*$H$7*$H$7</f>
        <v>89.989120000000014</v>
      </c>
      <c r="AC93" s="15">
        <v>2</v>
      </c>
      <c r="AD93" s="37">
        <f t="shared" si="159"/>
        <v>719.91296000000011</v>
      </c>
      <c r="AE93" s="38">
        <v>0</v>
      </c>
      <c r="AF93" s="39">
        <f t="shared" si="160"/>
        <v>719.91296000000011</v>
      </c>
      <c r="AG93" s="141">
        <v>2</v>
      </c>
      <c r="AH93" s="38">
        <f t="shared" ref="AH93:AH94" si="171">I93*$H$7*$H$7*$H$7*$H$7</f>
        <v>93.588684800000024</v>
      </c>
      <c r="AI93" s="15">
        <v>2</v>
      </c>
      <c r="AJ93" s="37">
        <f t="shared" si="162"/>
        <v>374.3547392000001</v>
      </c>
      <c r="AK93" s="38">
        <v>0</v>
      </c>
      <c r="AL93" s="39">
        <f t="shared" si="163"/>
        <v>374.3547392000001</v>
      </c>
      <c r="AM93" s="40">
        <f t="shared" ref="AM93:AM94" si="172">L93+R93+X93+AD93+AJ93</f>
        <v>3092.0916992000002</v>
      </c>
      <c r="AN93" s="40">
        <f t="shared" si="164"/>
        <v>0</v>
      </c>
      <c r="AO93" s="40">
        <f t="shared" si="165"/>
        <v>3092.0916992000002</v>
      </c>
    </row>
    <row r="94" spans="1:44" x14ac:dyDescent="0.45">
      <c r="A94" s="258" t="s">
        <v>216</v>
      </c>
      <c r="B94" s="258">
        <v>89050</v>
      </c>
      <c r="C94" s="258" t="s">
        <v>65</v>
      </c>
      <c r="D94" s="258" t="s">
        <v>65</v>
      </c>
      <c r="E94" s="258" t="s">
        <v>217</v>
      </c>
      <c r="F94" s="82" t="s">
        <v>403</v>
      </c>
      <c r="G94" s="74" t="s">
        <v>407</v>
      </c>
      <c r="H94" s="141">
        <f>2*2</f>
        <v>4</v>
      </c>
      <c r="I94" s="38">
        <v>25</v>
      </c>
      <c r="J94" s="15">
        <v>1</v>
      </c>
      <c r="K94" s="522" t="s">
        <v>124</v>
      </c>
      <c r="L94" s="37">
        <f t="shared" si="167"/>
        <v>100</v>
      </c>
      <c r="M94" s="38">
        <v>0</v>
      </c>
      <c r="N94" s="39">
        <f t="shared" si="153"/>
        <v>100</v>
      </c>
      <c r="O94" s="141">
        <f>2*2</f>
        <v>4</v>
      </c>
      <c r="P94" s="38">
        <f t="shared" si="168"/>
        <v>26</v>
      </c>
      <c r="Q94" s="15">
        <v>1</v>
      </c>
      <c r="R94" s="37">
        <f t="shared" si="155"/>
        <v>104</v>
      </c>
      <c r="S94" s="38">
        <v>0</v>
      </c>
      <c r="T94" s="39">
        <f t="shared" si="156"/>
        <v>104</v>
      </c>
      <c r="U94" s="141">
        <f>2*2</f>
        <v>4</v>
      </c>
      <c r="V94" s="38">
        <f t="shared" si="169"/>
        <v>27.04</v>
      </c>
      <c r="W94" s="15">
        <v>1</v>
      </c>
      <c r="X94" s="37">
        <f t="shared" si="166"/>
        <v>108.16</v>
      </c>
      <c r="Y94" s="38">
        <v>0</v>
      </c>
      <c r="Z94" s="39">
        <f t="shared" si="157"/>
        <v>108.16</v>
      </c>
      <c r="AA94" s="141">
        <f>2*2</f>
        <v>4</v>
      </c>
      <c r="AB94" s="38">
        <f t="shared" si="170"/>
        <v>28.121600000000001</v>
      </c>
      <c r="AC94" s="15">
        <v>1</v>
      </c>
      <c r="AD94" s="37">
        <f t="shared" si="159"/>
        <v>112.4864</v>
      </c>
      <c r="AE94" s="38">
        <v>0</v>
      </c>
      <c r="AF94" s="39">
        <f t="shared" si="160"/>
        <v>112.4864</v>
      </c>
      <c r="AG94" s="141">
        <v>2</v>
      </c>
      <c r="AH94" s="38">
        <f t="shared" si="171"/>
        <v>29.246464000000003</v>
      </c>
      <c r="AI94" s="15">
        <v>1</v>
      </c>
      <c r="AJ94" s="37">
        <f t="shared" si="162"/>
        <v>58.492928000000006</v>
      </c>
      <c r="AK94" s="38">
        <v>0</v>
      </c>
      <c r="AL94" s="39">
        <f t="shared" si="163"/>
        <v>58.492928000000006</v>
      </c>
      <c r="AM94" s="40">
        <f t="shared" si="172"/>
        <v>483.13932799999998</v>
      </c>
      <c r="AN94" s="40">
        <f t="shared" si="164"/>
        <v>0</v>
      </c>
      <c r="AO94" s="40">
        <f t="shared" si="165"/>
        <v>483.13932799999998</v>
      </c>
    </row>
    <row r="95" spans="1:44" x14ac:dyDescent="0.45">
      <c r="A95" s="74"/>
      <c r="B95" s="74"/>
      <c r="C95" s="258"/>
      <c r="D95" s="258"/>
      <c r="E95" s="74"/>
      <c r="F95" s="82"/>
      <c r="G95" s="74"/>
      <c r="H95" s="141"/>
      <c r="I95" s="15"/>
      <c r="J95" s="572"/>
      <c r="K95" s="522"/>
      <c r="L95" s="37"/>
      <c r="M95" s="38"/>
      <c r="N95" s="38"/>
      <c r="O95" s="141"/>
      <c r="P95" s="38"/>
      <c r="Q95" s="15"/>
      <c r="R95" s="37"/>
      <c r="S95" s="38"/>
      <c r="T95" s="38"/>
      <c r="U95" s="141"/>
      <c r="V95" s="38"/>
      <c r="W95" s="15"/>
      <c r="X95" s="37"/>
      <c r="Y95" s="38"/>
      <c r="Z95" s="38"/>
      <c r="AA95" s="141"/>
      <c r="AB95" s="38"/>
      <c r="AC95" s="15"/>
      <c r="AD95" s="37"/>
      <c r="AE95" s="38"/>
      <c r="AF95" s="38"/>
      <c r="AG95" s="141"/>
      <c r="AH95" s="38"/>
      <c r="AI95" s="15"/>
      <c r="AJ95" s="37"/>
      <c r="AK95" s="38"/>
      <c r="AL95" s="39"/>
      <c r="AM95" s="40"/>
      <c r="AN95" s="40"/>
      <c r="AO95" s="40"/>
    </row>
    <row r="96" spans="1:44" x14ac:dyDescent="0.45">
      <c r="A96" s="353"/>
      <c r="B96" s="353"/>
      <c r="C96" s="258"/>
      <c r="D96" s="258"/>
      <c r="E96" s="353"/>
      <c r="F96" s="353"/>
      <c r="G96" s="353" t="s">
        <v>408</v>
      </c>
      <c r="H96" s="140"/>
      <c r="I96" s="15"/>
      <c r="J96" s="1"/>
      <c r="L96" s="37"/>
      <c r="M96" s="38"/>
      <c r="N96" s="39"/>
      <c r="O96" s="140"/>
      <c r="R96" s="37"/>
      <c r="S96" s="38"/>
      <c r="T96" s="39"/>
      <c r="U96" s="140"/>
      <c r="X96" s="37"/>
      <c r="Y96" s="38"/>
      <c r="Z96" s="39"/>
      <c r="AA96" s="140"/>
      <c r="AD96" s="37"/>
      <c r="AE96" s="38"/>
      <c r="AF96" s="39"/>
      <c r="AG96" s="140"/>
      <c r="AJ96" s="37"/>
      <c r="AK96" s="38"/>
      <c r="AL96" s="39"/>
      <c r="AM96" s="40"/>
      <c r="AN96" s="40"/>
      <c r="AO96" s="40"/>
      <c r="AP96" s="91"/>
      <c r="AQ96" s="91"/>
      <c r="AR96" s="91"/>
    </row>
    <row r="97" spans="1:44" x14ac:dyDescent="0.45">
      <c r="A97" s="258" t="s">
        <v>216</v>
      </c>
      <c r="B97" s="258">
        <v>89050</v>
      </c>
      <c r="C97" s="258" t="s">
        <v>65</v>
      </c>
      <c r="D97" s="258" t="s">
        <v>65</v>
      </c>
      <c r="E97" s="258" t="s">
        <v>217</v>
      </c>
      <c r="F97" s="82" t="s">
        <v>409</v>
      </c>
      <c r="G97" s="74" t="s">
        <v>410</v>
      </c>
      <c r="H97" s="141">
        <v>0</v>
      </c>
      <c r="I97" s="38">
        <v>50</v>
      </c>
      <c r="J97" s="15">
        <v>1</v>
      </c>
      <c r="K97" s="522" t="s">
        <v>124</v>
      </c>
      <c r="L97" s="37">
        <f t="shared" ref="L97" si="173">J97*I97*H97</f>
        <v>0</v>
      </c>
      <c r="M97" s="38">
        <v>0</v>
      </c>
      <c r="N97" s="39">
        <f t="shared" ref="N97:N100" si="174">SUM(L97:M97)</f>
        <v>0</v>
      </c>
      <c r="O97" s="141">
        <v>2</v>
      </c>
      <c r="P97" s="38">
        <f t="shared" ref="P97" si="175">I97*$H$7</f>
        <v>52</v>
      </c>
      <c r="Q97" s="15">
        <v>1</v>
      </c>
      <c r="R97" s="37">
        <f t="shared" ref="R97:R100" si="176">O97*P97*Q97</f>
        <v>104</v>
      </c>
      <c r="S97" s="38">
        <v>0</v>
      </c>
      <c r="T97" s="39">
        <f t="shared" ref="T97:T100" si="177">SUM(R97:S97)</f>
        <v>104</v>
      </c>
      <c r="U97" s="141">
        <v>2</v>
      </c>
      <c r="V97" s="38">
        <f t="shared" ref="V97" si="178">I97*$H$7*$H$7</f>
        <v>54.08</v>
      </c>
      <c r="W97" s="15">
        <v>1</v>
      </c>
      <c r="X97" s="37">
        <f t="shared" ref="X97:X100" si="179">U97*V97*W97</f>
        <v>108.16</v>
      </c>
      <c r="Y97" s="38">
        <v>0</v>
      </c>
      <c r="Z97" s="39">
        <f t="shared" ref="Z97:Z100" si="180">SUM(X97:Y97)</f>
        <v>108.16</v>
      </c>
      <c r="AA97" s="141">
        <v>0</v>
      </c>
      <c r="AB97" s="38">
        <f t="shared" ref="AB97" si="181">I97*$H$7*$H$7*$H$7</f>
        <v>56.243200000000002</v>
      </c>
      <c r="AC97" s="15">
        <v>1</v>
      </c>
      <c r="AD97" s="37">
        <f t="shared" ref="AD97:AD100" si="182">AA97*AB97*AC97</f>
        <v>0</v>
      </c>
      <c r="AE97" s="38">
        <v>0</v>
      </c>
      <c r="AF97" s="39">
        <f t="shared" ref="AF97:AF100" si="183">SUM(AD97:AE97)</f>
        <v>0</v>
      </c>
      <c r="AG97" s="141">
        <v>0</v>
      </c>
      <c r="AH97" s="38">
        <f t="shared" ref="AH97" si="184">I97*$H$7*$H$7*$H$7*$H$7</f>
        <v>58.492928000000006</v>
      </c>
      <c r="AI97" s="15">
        <v>1</v>
      </c>
      <c r="AJ97" s="37">
        <f t="shared" ref="AJ97:AJ100" si="185">AG97*AH97*AI97</f>
        <v>0</v>
      </c>
      <c r="AK97" s="38">
        <v>0</v>
      </c>
      <c r="AL97" s="39">
        <f t="shared" ref="AL97:AL100" si="186">SUM(AJ97:AK97)</f>
        <v>0</v>
      </c>
      <c r="AM97" s="40">
        <f t="shared" ref="AM97:AN100" si="187">L97+R97+X97+AD97+AJ97</f>
        <v>212.16</v>
      </c>
      <c r="AN97" s="40">
        <f t="shared" si="187"/>
        <v>0</v>
      </c>
      <c r="AO97" s="40">
        <f t="shared" ref="AO97:AO100" si="188">SUM(AM97:AN97)</f>
        <v>212.16</v>
      </c>
    </row>
    <row r="98" spans="1:44" x14ac:dyDescent="0.45">
      <c r="A98" s="258" t="s">
        <v>216</v>
      </c>
      <c r="B98" s="258">
        <v>89050</v>
      </c>
      <c r="C98" s="258" t="s">
        <v>65</v>
      </c>
      <c r="D98" s="258" t="s">
        <v>65</v>
      </c>
      <c r="E98" s="258" t="s">
        <v>217</v>
      </c>
      <c r="F98" s="82" t="s">
        <v>409</v>
      </c>
      <c r="G98" s="74" t="s">
        <v>411</v>
      </c>
      <c r="H98" s="141">
        <v>0</v>
      </c>
      <c r="I98" s="38">
        <v>40</v>
      </c>
      <c r="J98" s="15">
        <v>2</v>
      </c>
      <c r="K98" s="522" t="s">
        <v>127</v>
      </c>
      <c r="L98" s="37">
        <f>J98*I98*H98</f>
        <v>0</v>
      </c>
      <c r="M98" s="38">
        <v>0</v>
      </c>
      <c r="N98" s="39">
        <f t="shared" si="174"/>
        <v>0</v>
      </c>
      <c r="O98" s="141">
        <v>2</v>
      </c>
      <c r="P98" s="38">
        <f>I98*$H$7</f>
        <v>41.6</v>
      </c>
      <c r="Q98" s="15">
        <v>2</v>
      </c>
      <c r="R98" s="37">
        <f t="shared" si="176"/>
        <v>166.4</v>
      </c>
      <c r="S98" s="38">
        <v>0</v>
      </c>
      <c r="T98" s="39">
        <f t="shared" si="177"/>
        <v>166.4</v>
      </c>
      <c r="U98" s="141">
        <v>2</v>
      </c>
      <c r="V98" s="38">
        <f>I98*$H$7*$H$7</f>
        <v>43.264000000000003</v>
      </c>
      <c r="W98" s="15">
        <v>2</v>
      </c>
      <c r="X98" s="37">
        <f t="shared" si="179"/>
        <v>173.05600000000001</v>
      </c>
      <c r="Y98" s="38">
        <v>0</v>
      </c>
      <c r="Z98" s="39">
        <f t="shared" si="180"/>
        <v>173.05600000000001</v>
      </c>
      <c r="AA98" s="141">
        <v>0</v>
      </c>
      <c r="AB98" s="38">
        <f>I98*$H$7*$H$7*$H$7</f>
        <v>44.994560000000007</v>
      </c>
      <c r="AC98" s="15">
        <v>2</v>
      </c>
      <c r="AD98" s="37">
        <f t="shared" si="182"/>
        <v>0</v>
      </c>
      <c r="AE98" s="38">
        <v>0</v>
      </c>
      <c r="AF98" s="39">
        <f t="shared" si="183"/>
        <v>0</v>
      </c>
      <c r="AG98" s="141">
        <v>0</v>
      </c>
      <c r="AH98" s="38">
        <f>I98*$H$7*$H$7*$H$7*$H$7</f>
        <v>46.794342400000012</v>
      </c>
      <c r="AI98" s="15">
        <v>2</v>
      </c>
      <c r="AJ98" s="37">
        <f t="shared" si="185"/>
        <v>0</v>
      </c>
      <c r="AK98" s="38">
        <v>0</v>
      </c>
      <c r="AL98" s="39">
        <f t="shared" si="186"/>
        <v>0</v>
      </c>
      <c r="AM98" s="40">
        <f>L98+R98+X98+AD98+AJ98</f>
        <v>339.45600000000002</v>
      </c>
      <c r="AN98" s="40">
        <f t="shared" si="187"/>
        <v>0</v>
      </c>
      <c r="AO98" s="40">
        <f t="shared" si="188"/>
        <v>339.45600000000002</v>
      </c>
    </row>
    <row r="99" spans="1:44" x14ac:dyDescent="0.45">
      <c r="A99" s="258" t="s">
        <v>216</v>
      </c>
      <c r="B99" s="258">
        <v>89050</v>
      </c>
      <c r="C99" s="258" t="s">
        <v>65</v>
      </c>
      <c r="D99" s="258" t="s">
        <v>65</v>
      </c>
      <c r="E99" s="258" t="s">
        <v>217</v>
      </c>
      <c r="F99" s="82" t="s">
        <v>409</v>
      </c>
      <c r="G99" s="74" t="s">
        <v>412</v>
      </c>
      <c r="H99" s="141">
        <v>0</v>
      </c>
      <c r="I99" s="38">
        <v>80</v>
      </c>
      <c r="J99" s="15">
        <v>2</v>
      </c>
      <c r="K99" s="522" t="s">
        <v>127</v>
      </c>
      <c r="L99" s="37">
        <f t="shared" ref="L99:L100" si="189">J99*I99*H99</f>
        <v>0</v>
      </c>
      <c r="M99" s="38">
        <v>0</v>
      </c>
      <c r="N99" s="39">
        <f t="shared" si="174"/>
        <v>0</v>
      </c>
      <c r="O99" s="141">
        <v>2</v>
      </c>
      <c r="P99" s="38">
        <f t="shared" ref="P99:P100" si="190">I99*$H$7</f>
        <v>83.2</v>
      </c>
      <c r="Q99" s="15">
        <v>2</v>
      </c>
      <c r="R99" s="37">
        <f t="shared" si="176"/>
        <v>332.8</v>
      </c>
      <c r="S99" s="38">
        <v>0</v>
      </c>
      <c r="T99" s="39">
        <f t="shared" si="177"/>
        <v>332.8</v>
      </c>
      <c r="U99" s="141">
        <v>2</v>
      </c>
      <c r="V99" s="38">
        <f t="shared" ref="V99:V100" si="191">I99*$H$7*$H$7</f>
        <v>86.528000000000006</v>
      </c>
      <c r="W99" s="15">
        <v>2</v>
      </c>
      <c r="X99" s="37">
        <f t="shared" si="179"/>
        <v>346.11200000000002</v>
      </c>
      <c r="Y99" s="38">
        <v>0</v>
      </c>
      <c r="Z99" s="39">
        <f t="shared" si="180"/>
        <v>346.11200000000002</v>
      </c>
      <c r="AA99" s="141">
        <v>0</v>
      </c>
      <c r="AB99" s="38">
        <f t="shared" ref="AB99:AB100" si="192">I99*$H$7*$H$7*$H$7</f>
        <v>89.989120000000014</v>
      </c>
      <c r="AC99" s="15">
        <v>2</v>
      </c>
      <c r="AD99" s="37">
        <f t="shared" si="182"/>
        <v>0</v>
      </c>
      <c r="AE99" s="38">
        <v>0</v>
      </c>
      <c r="AF99" s="39">
        <f t="shared" si="183"/>
        <v>0</v>
      </c>
      <c r="AG99" s="141">
        <v>0</v>
      </c>
      <c r="AH99" s="38">
        <f t="shared" ref="AH99:AH100" si="193">I99*$H$7*$H$7*$H$7*$H$7</f>
        <v>93.588684800000024</v>
      </c>
      <c r="AI99" s="15">
        <v>2</v>
      </c>
      <c r="AJ99" s="37">
        <f t="shared" si="185"/>
        <v>0</v>
      </c>
      <c r="AK99" s="38">
        <v>0</v>
      </c>
      <c r="AL99" s="39">
        <f t="shared" si="186"/>
        <v>0</v>
      </c>
      <c r="AM99" s="40">
        <f t="shared" ref="AM99:AM100" si="194">L99+R99+X99+AD99+AJ99</f>
        <v>678.91200000000003</v>
      </c>
      <c r="AN99" s="40">
        <f t="shared" si="187"/>
        <v>0</v>
      </c>
      <c r="AO99" s="40">
        <f t="shared" si="188"/>
        <v>678.91200000000003</v>
      </c>
    </row>
    <row r="100" spans="1:44" x14ac:dyDescent="0.45">
      <c r="A100" s="258" t="s">
        <v>216</v>
      </c>
      <c r="B100" s="258">
        <v>89050</v>
      </c>
      <c r="C100" s="258" t="s">
        <v>65</v>
      </c>
      <c r="D100" s="258" t="s">
        <v>65</v>
      </c>
      <c r="E100" s="258" t="s">
        <v>217</v>
      </c>
      <c r="F100" s="82" t="s">
        <v>409</v>
      </c>
      <c r="G100" s="74" t="s">
        <v>413</v>
      </c>
      <c r="H100" s="141">
        <v>0</v>
      </c>
      <c r="I100" s="38">
        <v>25</v>
      </c>
      <c r="J100" s="15">
        <v>1</v>
      </c>
      <c r="K100" s="522" t="s">
        <v>124</v>
      </c>
      <c r="L100" s="37">
        <f t="shared" si="189"/>
        <v>0</v>
      </c>
      <c r="M100" s="38">
        <v>0</v>
      </c>
      <c r="N100" s="39">
        <f t="shared" si="174"/>
        <v>0</v>
      </c>
      <c r="O100" s="141">
        <v>2</v>
      </c>
      <c r="P100" s="38">
        <f t="shared" si="190"/>
        <v>26</v>
      </c>
      <c r="Q100" s="15">
        <v>1</v>
      </c>
      <c r="R100" s="37">
        <f t="shared" si="176"/>
        <v>52</v>
      </c>
      <c r="S100" s="38">
        <v>0</v>
      </c>
      <c r="T100" s="39">
        <f t="shared" si="177"/>
        <v>52</v>
      </c>
      <c r="U100" s="141">
        <v>2</v>
      </c>
      <c r="V100" s="38">
        <f t="shared" si="191"/>
        <v>27.04</v>
      </c>
      <c r="W100" s="15">
        <v>1</v>
      </c>
      <c r="X100" s="37">
        <f t="shared" si="179"/>
        <v>54.08</v>
      </c>
      <c r="Y100" s="38">
        <v>0</v>
      </c>
      <c r="Z100" s="39">
        <f t="shared" si="180"/>
        <v>54.08</v>
      </c>
      <c r="AA100" s="141">
        <v>0</v>
      </c>
      <c r="AB100" s="38">
        <f t="shared" si="192"/>
        <v>28.121600000000001</v>
      </c>
      <c r="AC100" s="15">
        <v>1</v>
      </c>
      <c r="AD100" s="37">
        <f t="shared" si="182"/>
        <v>0</v>
      </c>
      <c r="AE100" s="38">
        <v>0</v>
      </c>
      <c r="AF100" s="39">
        <f t="shared" si="183"/>
        <v>0</v>
      </c>
      <c r="AG100" s="141">
        <v>0</v>
      </c>
      <c r="AH100" s="38">
        <f t="shared" si="193"/>
        <v>29.246464000000003</v>
      </c>
      <c r="AI100" s="15">
        <v>1</v>
      </c>
      <c r="AJ100" s="37">
        <f t="shared" si="185"/>
        <v>0</v>
      </c>
      <c r="AK100" s="38">
        <v>0</v>
      </c>
      <c r="AL100" s="39">
        <f t="shared" si="186"/>
        <v>0</v>
      </c>
      <c r="AM100" s="40">
        <f t="shared" si="194"/>
        <v>106.08</v>
      </c>
      <c r="AN100" s="40">
        <f t="shared" si="187"/>
        <v>0</v>
      </c>
      <c r="AO100" s="40">
        <f t="shared" si="188"/>
        <v>106.08</v>
      </c>
    </row>
    <row r="101" spans="1:44" x14ac:dyDescent="0.45">
      <c r="A101" s="74"/>
      <c r="B101" s="258"/>
      <c r="C101" s="258"/>
      <c r="D101" s="258"/>
      <c r="E101" s="74"/>
      <c r="F101" s="82"/>
      <c r="G101" s="74"/>
      <c r="H101" s="141"/>
      <c r="I101" s="15"/>
      <c r="J101" s="572"/>
      <c r="K101" s="522"/>
      <c r="L101" s="37"/>
      <c r="M101" s="38"/>
      <c r="N101" s="38"/>
      <c r="O101" s="141"/>
      <c r="P101" s="38"/>
      <c r="Q101" s="15"/>
      <c r="R101" s="37"/>
      <c r="S101" s="38"/>
      <c r="T101" s="38"/>
      <c r="U101" s="141"/>
      <c r="V101" s="38"/>
      <c r="W101" s="15"/>
      <c r="X101" s="37"/>
      <c r="Y101" s="38"/>
      <c r="Z101" s="38"/>
      <c r="AA101" s="141"/>
      <c r="AB101" s="38"/>
      <c r="AC101" s="15"/>
      <c r="AD101" s="37"/>
      <c r="AE101" s="38"/>
      <c r="AF101" s="38"/>
      <c r="AG101" s="141"/>
      <c r="AH101" s="38"/>
      <c r="AI101" s="15"/>
      <c r="AJ101" s="37"/>
      <c r="AK101" s="38"/>
      <c r="AL101" s="39"/>
      <c r="AM101" s="40"/>
      <c r="AN101" s="40"/>
      <c r="AO101" s="40"/>
    </row>
    <row r="102" spans="1:44" x14ac:dyDescent="0.45">
      <c r="A102" s="47"/>
      <c r="B102" s="258"/>
      <c r="C102" s="258"/>
      <c r="D102" s="258"/>
      <c r="E102" s="47"/>
      <c r="F102" s="47"/>
      <c r="G102" s="47" t="s">
        <v>414</v>
      </c>
      <c r="H102" s="140"/>
      <c r="I102" s="15"/>
      <c r="J102" s="1"/>
      <c r="L102" s="37"/>
      <c r="M102" s="38"/>
      <c r="N102" s="39"/>
      <c r="O102" s="140"/>
      <c r="R102" s="37"/>
      <c r="S102" s="38"/>
      <c r="T102" s="39"/>
      <c r="U102" s="140"/>
      <c r="X102" s="37"/>
      <c r="Y102" s="38"/>
      <c r="Z102" s="39"/>
      <c r="AA102" s="140"/>
      <c r="AD102" s="37"/>
      <c r="AE102" s="38"/>
      <c r="AF102" s="39"/>
      <c r="AG102" s="140"/>
      <c r="AJ102" s="37"/>
      <c r="AK102" s="38"/>
      <c r="AL102" s="39"/>
      <c r="AM102" s="40"/>
      <c r="AN102" s="40"/>
      <c r="AO102" s="40"/>
      <c r="AP102" s="91"/>
      <c r="AQ102" s="91"/>
      <c r="AR102" s="91"/>
    </row>
    <row r="103" spans="1:44" x14ac:dyDescent="0.45">
      <c r="A103" s="258" t="s">
        <v>216</v>
      </c>
      <c r="B103" s="258">
        <v>89050</v>
      </c>
      <c r="C103" s="258" t="s">
        <v>65</v>
      </c>
      <c r="D103" s="258" t="s">
        <v>65</v>
      </c>
      <c r="E103" s="258" t="s">
        <v>217</v>
      </c>
      <c r="F103" s="82" t="s">
        <v>415</v>
      </c>
      <c r="G103" s="74" t="s">
        <v>416</v>
      </c>
      <c r="H103" s="141">
        <v>17</v>
      </c>
      <c r="I103" s="38">
        <v>50</v>
      </c>
      <c r="J103" s="15">
        <v>1</v>
      </c>
      <c r="K103" s="522" t="s">
        <v>124</v>
      </c>
      <c r="L103" s="37">
        <f t="shared" ref="L103" si="195">J103*I103*H103</f>
        <v>850</v>
      </c>
      <c r="M103" s="38">
        <v>0</v>
      </c>
      <c r="N103" s="39">
        <f t="shared" ref="N103:N106" si="196">SUM(L103:M103)</f>
        <v>850</v>
      </c>
      <c r="O103" s="141">
        <v>17</v>
      </c>
      <c r="P103" s="38">
        <f t="shared" ref="P103" si="197">I103*$H$7</f>
        <v>52</v>
      </c>
      <c r="Q103" s="15">
        <v>1</v>
      </c>
      <c r="R103" s="37">
        <f t="shared" ref="R103:R106" si="198">O103*P103*Q103</f>
        <v>884</v>
      </c>
      <c r="S103" s="38">
        <v>0</v>
      </c>
      <c r="T103" s="39">
        <f t="shared" ref="T103:T106" si="199">SUM(R103:S103)</f>
        <v>884</v>
      </c>
      <c r="U103" s="141">
        <v>17</v>
      </c>
      <c r="V103" s="38">
        <f t="shared" ref="V103" si="200">I103*$H$7*$H$7</f>
        <v>54.08</v>
      </c>
      <c r="W103" s="15">
        <v>1</v>
      </c>
      <c r="X103" s="37">
        <f t="shared" ref="X103:X106" si="201">U103*V103*W103</f>
        <v>919.36</v>
      </c>
      <c r="Y103" s="38">
        <v>0</v>
      </c>
      <c r="Z103" s="39">
        <f t="shared" ref="Z103:Z106" si="202">SUM(X103:Y103)</f>
        <v>919.36</v>
      </c>
      <c r="AA103" s="141">
        <v>17</v>
      </c>
      <c r="AB103" s="38">
        <f t="shared" ref="AB103" si="203">I103*$H$7*$H$7*$H$7</f>
        <v>56.243200000000002</v>
      </c>
      <c r="AC103" s="15">
        <v>1</v>
      </c>
      <c r="AD103" s="37">
        <f t="shared" ref="AD103:AD106" si="204">AA103*AB103*AC103</f>
        <v>956.13440000000003</v>
      </c>
      <c r="AE103" s="38">
        <v>0</v>
      </c>
      <c r="AF103" s="39">
        <f t="shared" ref="AF103:AF106" si="205">SUM(AD103:AE103)</f>
        <v>956.13440000000003</v>
      </c>
      <c r="AG103" s="141">
        <v>17</v>
      </c>
      <c r="AH103" s="38">
        <f t="shared" ref="AH103" si="206">I103*$H$7*$H$7*$H$7*$H$7</f>
        <v>58.492928000000006</v>
      </c>
      <c r="AI103" s="15">
        <v>1</v>
      </c>
      <c r="AJ103" s="37">
        <f t="shared" ref="AJ103:AJ106" si="207">AG103*AH103*AI103</f>
        <v>994.37977600000011</v>
      </c>
      <c r="AK103" s="38">
        <v>0</v>
      </c>
      <c r="AL103" s="39">
        <f t="shared" ref="AL103:AL106" si="208">SUM(AJ103:AK103)</f>
        <v>994.37977600000011</v>
      </c>
      <c r="AM103" s="40">
        <f t="shared" ref="AM103" si="209">L103+R103+X103+AD103+AJ103</f>
        <v>4603.8741760000003</v>
      </c>
      <c r="AN103" s="40">
        <f t="shared" ref="AN103:AN106" si="210">M103+S103+Y103+AE103+AK103</f>
        <v>0</v>
      </c>
      <c r="AO103" s="40">
        <f t="shared" ref="AO103:AO106" si="211">SUM(AM103:AN103)</f>
        <v>4603.8741760000003</v>
      </c>
    </row>
    <row r="104" spans="1:44" x14ac:dyDescent="0.45">
      <c r="A104" s="258" t="s">
        <v>216</v>
      </c>
      <c r="B104" s="258">
        <v>89050</v>
      </c>
      <c r="C104" s="258" t="s">
        <v>65</v>
      </c>
      <c r="D104" s="258" t="s">
        <v>65</v>
      </c>
      <c r="E104" s="258" t="s">
        <v>217</v>
      </c>
      <c r="F104" s="82" t="s">
        <v>415</v>
      </c>
      <c r="G104" s="74" t="s">
        <v>417</v>
      </c>
      <c r="H104" s="141">
        <v>17</v>
      </c>
      <c r="I104" s="38">
        <v>40</v>
      </c>
      <c r="J104" s="15">
        <v>1</v>
      </c>
      <c r="K104" s="522" t="s">
        <v>127</v>
      </c>
      <c r="L104" s="37">
        <f>J104*I104*H104</f>
        <v>680</v>
      </c>
      <c r="M104" s="38">
        <v>0</v>
      </c>
      <c r="N104" s="39">
        <f t="shared" si="196"/>
        <v>680</v>
      </c>
      <c r="O104" s="141">
        <v>17</v>
      </c>
      <c r="P104" s="38">
        <f>I104*$H$7</f>
        <v>41.6</v>
      </c>
      <c r="Q104" s="15">
        <v>1</v>
      </c>
      <c r="R104" s="37">
        <f t="shared" si="198"/>
        <v>707.2</v>
      </c>
      <c r="S104" s="38">
        <v>0</v>
      </c>
      <c r="T104" s="39">
        <f t="shared" si="199"/>
        <v>707.2</v>
      </c>
      <c r="U104" s="141">
        <v>17</v>
      </c>
      <c r="V104" s="38">
        <f>I104*$H$7*$H$7</f>
        <v>43.264000000000003</v>
      </c>
      <c r="W104" s="15">
        <v>1</v>
      </c>
      <c r="X104" s="37">
        <f t="shared" si="201"/>
        <v>735.48800000000006</v>
      </c>
      <c r="Y104" s="38">
        <v>0</v>
      </c>
      <c r="Z104" s="39">
        <f t="shared" si="202"/>
        <v>735.48800000000006</v>
      </c>
      <c r="AA104" s="141">
        <v>17</v>
      </c>
      <c r="AB104" s="38">
        <f>I104*$H$7*$H$7*$H$7</f>
        <v>44.994560000000007</v>
      </c>
      <c r="AC104" s="15">
        <v>1</v>
      </c>
      <c r="AD104" s="37">
        <f t="shared" si="204"/>
        <v>764.90752000000009</v>
      </c>
      <c r="AE104" s="38">
        <v>0</v>
      </c>
      <c r="AF104" s="39">
        <f t="shared" si="205"/>
        <v>764.90752000000009</v>
      </c>
      <c r="AG104" s="141">
        <v>17</v>
      </c>
      <c r="AH104" s="38">
        <f>I104*$H$7*$H$7*$H$7*$H$7</f>
        <v>46.794342400000012</v>
      </c>
      <c r="AI104" s="15">
        <v>1</v>
      </c>
      <c r="AJ104" s="37">
        <f t="shared" si="207"/>
        <v>795.5038208000002</v>
      </c>
      <c r="AK104" s="38">
        <v>0</v>
      </c>
      <c r="AL104" s="39">
        <f t="shared" si="208"/>
        <v>795.5038208000002</v>
      </c>
      <c r="AM104" s="40">
        <f>L104+R104+X104+AD104+AJ104</f>
        <v>3683.0993408000004</v>
      </c>
      <c r="AN104" s="40">
        <f t="shared" si="210"/>
        <v>0</v>
      </c>
      <c r="AO104" s="40">
        <f t="shared" si="211"/>
        <v>3683.0993408000004</v>
      </c>
    </row>
    <row r="105" spans="1:44" x14ac:dyDescent="0.45">
      <c r="A105" s="258" t="s">
        <v>216</v>
      </c>
      <c r="B105" s="258">
        <v>89050</v>
      </c>
      <c r="C105" s="258" t="s">
        <v>65</v>
      </c>
      <c r="D105" s="258" t="s">
        <v>65</v>
      </c>
      <c r="E105" s="258" t="s">
        <v>217</v>
      </c>
      <c r="F105" s="82" t="s">
        <v>415</v>
      </c>
      <c r="G105" s="74" t="s">
        <v>418</v>
      </c>
      <c r="H105" s="141">
        <v>17</v>
      </c>
      <c r="I105" s="38">
        <v>80</v>
      </c>
      <c r="J105" s="15">
        <v>1</v>
      </c>
      <c r="K105" s="522" t="s">
        <v>127</v>
      </c>
      <c r="L105" s="37">
        <f t="shared" ref="L105:L106" si="212">J105*I105*H105</f>
        <v>1360</v>
      </c>
      <c r="M105" s="38">
        <v>0</v>
      </c>
      <c r="N105" s="39">
        <f t="shared" si="196"/>
        <v>1360</v>
      </c>
      <c r="O105" s="141">
        <v>17</v>
      </c>
      <c r="P105" s="38">
        <f t="shared" ref="P105:P106" si="213">I105*$H$7</f>
        <v>83.2</v>
      </c>
      <c r="Q105" s="15">
        <v>1</v>
      </c>
      <c r="R105" s="37">
        <f t="shared" si="198"/>
        <v>1414.4</v>
      </c>
      <c r="S105" s="38">
        <v>0</v>
      </c>
      <c r="T105" s="39">
        <f t="shared" si="199"/>
        <v>1414.4</v>
      </c>
      <c r="U105" s="141">
        <v>17</v>
      </c>
      <c r="V105" s="38">
        <f t="shared" ref="V105:V106" si="214">I105*$H$7*$H$7</f>
        <v>86.528000000000006</v>
      </c>
      <c r="W105" s="15">
        <v>1</v>
      </c>
      <c r="X105" s="37">
        <f t="shared" si="201"/>
        <v>1470.9760000000001</v>
      </c>
      <c r="Y105" s="38">
        <v>0</v>
      </c>
      <c r="Z105" s="39">
        <f t="shared" si="202"/>
        <v>1470.9760000000001</v>
      </c>
      <c r="AA105" s="141">
        <v>17</v>
      </c>
      <c r="AB105" s="38">
        <f t="shared" ref="AB105:AB106" si="215">I105*$H$7*$H$7*$H$7</f>
        <v>89.989120000000014</v>
      </c>
      <c r="AC105" s="15">
        <v>1</v>
      </c>
      <c r="AD105" s="37">
        <f t="shared" si="204"/>
        <v>1529.8150400000002</v>
      </c>
      <c r="AE105" s="38">
        <v>0</v>
      </c>
      <c r="AF105" s="39">
        <f t="shared" si="205"/>
        <v>1529.8150400000002</v>
      </c>
      <c r="AG105" s="141">
        <v>17</v>
      </c>
      <c r="AH105" s="38">
        <f t="shared" ref="AH105:AH106" si="216">I105*$H$7*$H$7*$H$7*$H$7</f>
        <v>93.588684800000024</v>
      </c>
      <c r="AI105" s="15">
        <v>1</v>
      </c>
      <c r="AJ105" s="37">
        <f t="shared" si="207"/>
        <v>1591.0076416000004</v>
      </c>
      <c r="AK105" s="38">
        <v>0</v>
      </c>
      <c r="AL105" s="39">
        <f t="shared" si="208"/>
        <v>1591.0076416000004</v>
      </c>
      <c r="AM105" s="40">
        <f t="shared" ref="AM105:AM106" si="217">L105+R105+X105+AD105+AJ105</f>
        <v>7366.1986816000008</v>
      </c>
      <c r="AN105" s="40">
        <f t="shared" si="210"/>
        <v>0</v>
      </c>
      <c r="AO105" s="40">
        <f t="shared" si="211"/>
        <v>7366.1986816000008</v>
      </c>
    </row>
    <row r="106" spans="1:44" x14ac:dyDescent="0.45">
      <c r="A106" s="258" t="s">
        <v>216</v>
      </c>
      <c r="B106" s="258">
        <v>89050</v>
      </c>
      <c r="C106" s="258" t="s">
        <v>65</v>
      </c>
      <c r="D106" s="258" t="s">
        <v>65</v>
      </c>
      <c r="E106" s="258" t="s">
        <v>217</v>
      </c>
      <c r="F106" s="82" t="s">
        <v>415</v>
      </c>
      <c r="G106" s="74" t="s">
        <v>419</v>
      </c>
      <c r="H106" s="141">
        <v>17</v>
      </c>
      <c r="I106" s="38">
        <v>25</v>
      </c>
      <c r="J106" s="15">
        <v>1</v>
      </c>
      <c r="K106" s="522" t="s">
        <v>124</v>
      </c>
      <c r="L106" s="37">
        <f t="shared" si="212"/>
        <v>425</v>
      </c>
      <c r="M106" s="38">
        <v>0</v>
      </c>
      <c r="N106" s="39">
        <f t="shared" si="196"/>
        <v>425</v>
      </c>
      <c r="O106" s="141">
        <v>17</v>
      </c>
      <c r="P106" s="38">
        <f t="shared" si="213"/>
        <v>26</v>
      </c>
      <c r="Q106" s="15">
        <v>1</v>
      </c>
      <c r="R106" s="37">
        <f t="shared" si="198"/>
        <v>442</v>
      </c>
      <c r="S106" s="38">
        <v>0</v>
      </c>
      <c r="T106" s="39">
        <f t="shared" si="199"/>
        <v>442</v>
      </c>
      <c r="U106" s="141">
        <v>17</v>
      </c>
      <c r="V106" s="38">
        <f t="shared" si="214"/>
        <v>27.04</v>
      </c>
      <c r="W106" s="15">
        <v>1</v>
      </c>
      <c r="X106" s="37">
        <f t="shared" si="201"/>
        <v>459.68</v>
      </c>
      <c r="Y106" s="38">
        <v>0</v>
      </c>
      <c r="Z106" s="39">
        <f t="shared" si="202"/>
        <v>459.68</v>
      </c>
      <c r="AA106" s="141">
        <v>17</v>
      </c>
      <c r="AB106" s="38">
        <f t="shared" si="215"/>
        <v>28.121600000000001</v>
      </c>
      <c r="AC106" s="15">
        <v>1</v>
      </c>
      <c r="AD106" s="37">
        <f t="shared" si="204"/>
        <v>478.06720000000001</v>
      </c>
      <c r="AE106" s="38">
        <v>0</v>
      </c>
      <c r="AF106" s="39">
        <f t="shared" si="205"/>
        <v>478.06720000000001</v>
      </c>
      <c r="AG106" s="141">
        <v>17</v>
      </c>
      <c r="AH106" s="38">
        <f t="shared" si="216"/>
        <v>29.246464000000003</v>
      </c>
      <c r="AI106" s="15">
        <v>1</v>
      </c>
      <c r="AJ106" s="37">
        <f t="shared" si="207"/>
        <v>497.18988800000005</v>
      </c>
      <c r="AK106" s="38">
        <v>0</v>
      </c>
      <c r="AL106" s="39">
        <f t="shared" si="208"/>
        <v>497.18988800000005</v>
      </c>
      <c r="AM106" s="40">
        <f t="shared" si="217"/>
        <v>2301.9370880000001</v>
      </c>
      <c r="AN106" s="40">
        <f t="shared" si="210"/>
        <v>0</v>
      </c>
      <c r="AO106" s="40">
        <f t="shared" si="211"/>
        <v>2301.9370880000001</v>
      </c>
    </row>
    <row r="107" spans="1:44" x14ac:dyDescent="0.45">
      <c r="A107" s="74"/>
      <c r="B107" s="74"/>
      <c r="C107" s="258"/>
      <c r="D107" s="258"/>
      <c r="E107" s="74"/>
      <c r="F107" s="82"/>
      <c r="G107" s="74"/>
      <c r="H107" s="141"/>
      <c r="I107" s="15"/>
      <c r="J107" s="572"/>
      <c r="K107" s="522"/>
      <c r="L107" s="37"/>
      <c r="M107" s="38"/>
      <c r="N107" s="38"/>
      <c r="O107" s="141"/>
      <c r="P107" s="38"/>
      <c r="Q107" s="15"/>
      <c r="R107" s="37"/>
      <c r="S107" s="38"/>
      <c r="T107" s="38"/>
      <c r="U107" s="141"/>
      <c r="V107" s="38"/>
      <c r="W107" s="15"/>
      <c r="X107" s="37"/>
      <c r="Y107" s="38"/>
      <c r="Z107" s="38"/>
      <c r="AA107" s="141"/>
      <c r="AB107" s="38"/>
      <c r="AC107" s="15"/>
      <c r="AD107" s="37"/>
      <c r="AE107" s="38"/>
      <c r="AF107" s="38"/>
      <c r="AG107" s="141"/>
      <c r="AH107" s="38"/>
      <c r="AI107" s="15"/>
      <c r="AJ107" s="37"/>
      <c r="AK107" s="38"/>
      <c r="AL107" s="39"/>
      <c r="AM107" s="40"/>
      <c r="AN107" s="40"/>
      <c r="AO107" s="40"/>
    </row>
    <row r="108" spans="1:44" x14ac:dyDescent="0.45">
      <c r="A108" s="353"/>
      <c r="B108" s="353"/>
      <c r="C108" s="258"/>
      <c r="D108" s="258"/>
      <c r="E108" s="353"/>
      <c r="F108" s="353"/>
      <c r="G108" s="353" t="s">
        <v>420</v>
      </c>
      <c r="H108" s="140"/>
      <c r="I108" s="15"/>
      <c r="J108" s="1"/>
      <c r="L108" s="37"/>
      <c r="M108" s="38"/>
      <c r="N108" s="39"/>
      <c r="O108" s="140"/>
      <c r="R108" s="37"/>
      <c r="S108" s="38"/>
      <c r="T108" s="39"/>
      <c r="U108" s="140"/>
      <c r="X108" s="37"/>
      <c r="Y108" s="38"/>
      <c r="Z108" s="39"/>
      <c r="AA108" s="140"/>
      <c r="AD108" s="37"/>
      <c r="AE108" s="38"/>
      <c r="AF108" s="39"/>
      <c r="AG108" s="140"/>
      <c r="AJ108" s="37"/>
      <c r="AK108" s="38"/>
      <c r="AL108" s="39"/>
      <c r="AM108" s="40"/>
      <c r="AN108" s="40"/>
      <c r="AO108" s="40"/>
      <c r="AP108" s="91"/>
      <c r="AQ108" s="91"/>
      <c r="AR108" s="91"/>
    </row>
    <row r="109" spans="1:44" x14ac:dyDescent="0.45">
      <c r="A109" s="258" t="s">
        <v>216</v>
      </c>
      <c r="B109" s="258">
        <v>89050</v>
      </c>
      <c r="C109" s="258" t="s">
        <v>65</v>
      </c>
      <c r="D109" s="258" t="s">
        <v>65</v>
      </c>
      <c r="E109" s="258" t="s">
        <v>217</v>
      </c>
      <c r="F109" s="82" t="s">
        <v>421</v>
      </c>
      <c r="G109" s="74" t="s">
        <v>422</v>
      </c>
      <c r="H109" s="141">
        <v>1</v>
      </c>
      <c r="I109" s="38">
        <v>50</v>
      </c>
      <c r="J109" s="15">
        <v>1</v>
      </c>
      <c r="K109" s="522" t="s">
        <v>124</v>
      </c>
      <c r="L109" s="37">
        <f t="shared" ref="L109" si="218">J109*I109*H109</f>
        <v>50</v>
      </c>
      <c r="M109" s="38">
        <v>0</v>
      </c>
      <c r="N109" s="39">
        <f t="shared" ref="N109:N112" si="219">SUM(L109:M109)</f>
        <v>50</v>
      </c>
      <c r="O109" s="141">
        <v>1</v>
      </c>
      <c r="P109" s="38">
        <f t="shared" ref="P109" si="220">I109*$H$7</f>
        <v>52</v>
      </c>
      <c r="Q109" s="15">
        <v>1</v>
      </c>
      <c r="R109" s="37">
        <f t="shared" ref="R109:R112" si="221">O109*P109*Q109</f>
        <v>52</v>
      </c>
      <c r="S109" s="38">
        <v>0</v>
      </c>
      <c r="T109" s="39">
        <f t="shared" ref="T109:T112" si="222">SUM(R109:S109)</f>
        <v>52</v>
      </c>
      <c r="U109" s="141">
        <v>1</v>
      </c>
      <c r="V109" s="38">
        <f t="shared" ref="V109" si="223">I109*$H$7*$H$7</f>
        <v>54.08</v>
      </c>
      <c r="W109" s="15">
        <v>1</v>
      </c>
      <c r="X109" s="37">
        <f t="shared" ref="X109:X112" si="224">U109*V109*W109</f>
        <v>54.08</v>
      </c>
      <c r="Y109" s="38">
        <v>0</v>
      </c>
      <c r="Z109" s="39">
        <f t="shared" ref="Z109:Z112" si="225">SUM(X109:Y109)</f>
        <v>54.08</v>
      </c>
      <c r="AA109" s="141">
        <v>1</v>
      </c>
      <c r="AB109" s="38">
        <f t="shared" ref="AB109" si="226">I109*$H$7*$H$7*$H$7</f>
        <v>56.243200000000002</v>
      </c>
      <c r="AC109" s="15">
        <v>1</v>
      </c>
      <c r="AD109" s="37">
        <f t="shared" ref="AD109:AD112" si="227">AA109*AB109*AC109</f>
        <v>56.243200000000002</v>
      </c>
      <c r="AE109" s="38">
        <v>0</v>
      </c>
      <c r="AF109" s="39">
        <f t="shared" ref="AF109:AF112" si="228">SUM(AD109:AE109)</f>
        <v>56.243200000000002</v>
      </c>
      <c r="AG109" s="141">
        <v>1</v>
      </c>
      <c r="AH109" s="38">
        <f t="shared" ref="AH109" si="229">I109*$H$7*$H$7*$H$7*$H$7</f>
        <v>58.492928000000006</v>
      </c>
      <c r="AI109" s="15">
        <v>1</v>
      </c>
      <c r="AJ109" s="37">
        <f t="shared" ref="AJ109:AJ112" si="230">AG109*AH109*AI109</f>
        <v>58.492928000000006</v>
      </c>
      <c r="AK109" s="38">
        <v>0</v>
      </c>
      <c r="AL109" s="39">
        <f t="shared" ref="AL109:AL112" si="231">SUM(AJ109:AK109)</f>
        <v>58.492928000000006</v>
      </c>
      <c r="AM109" s="40">
        <f t="shared" ref="AM109" si="232">L109+R109+X109+AD109+AJ109</f>
        <v>270.81612799999999</v>
      </c>
      <c r="AN109" s="40">
        <f t="shared" ref="AN109:AN112" si="233">M109+S109+Y109+AE109+AK109</f>
        <v>0</v>
      </c>
      <c r="AO109" s="40">
        <f t="shared" ref="AO109:AO112" si="234">SUM(AM109:AN109)</f>
        <v>270.81612799999999</v>
      </c>
    </row>
    <row r="110" spans="1:44" x14ac:dyDescent="0.45">
      <c r="A110" s="258" t="s">
        <v>216</v>
      </c>
      <c r="B110" s="258">
        <v>89050</v>
      </c>
      <c r="C110" s="258" t="s">
        <v>65</v>
      </c>
      <c r="D110" s="258" t="s">
        <v>65</v>
      </c>
      <c r="E110" s="258" t="s">
        <v>217</v>
      </c>
      <c r="F110" s="82" t="s">
        <v>421</v>
      </c>
      <c r="G110" s="74" t="s">
        <v>423</v>
      </c>
      <c r="H110" s="141">
        <v>1</v>
      </c>
      <c r="I110" s="38">
        <v>40</v>
      </c>
      <c r="J110" s="15">
        <v>2</v>
      </c>
      <c r="K110" s="522" t="s">
        <v>127</v>
      </c>
      <c r="L110" s="37">
        <f>J110*I110*H110</f>
        <v>80</v>
      </c>
      <c r="M110" s="38">
        <v>0</v>
      </c>
      <c r="N110" s="39">
        <f t="shared" si="219"/>
        <v>80</v>
      </c>
      <c r="O110" s="141">
        <v>1</v>
      </c>
      <c r="P110" s="38">
        <f>I110*$H$7</f>
        <v>41.6</v>
      </c>
      <c r="Q110" s="15">
        <v>2</v>
      </c>
      <c r="R110" s="37">
        <f t="shared" si="221"/>
        <v>83.2</v>
      </c>
      <c r="S110" s="38">
        <v>0</v>
      </c>
      <c r="T110" s="39">
        <f t="shared" si="222"/>
        <v>83.2</v>
      </c>
      <c r="U110" s="141">
        <v>1</v>
      </c>
      <c r="V110" s="38">
        <f>I110*$H$7*$H$7</f>
        <v>43.264000000000003</v>
      </c>
      <c r="W110" s="15">
        <v>2</v>
      </c>
      <c r="X110" s="37">
        <f t="shared" si="224"/>
        <v>86.528000000000006</v>
      </c>
      <c r="Y110" s="38">
        <v>0</v>
      </c>
      <c r="Z110" s="39">
        <f t="shared" si="225"/>
        <v>86.528000000000006</v>
      </c>
      <c r="AA110" s="141">
        <v>1</v>
      </c>
      <c r="AB110" s="38">
        <f>I110*$H$7*$H$7*$H$7</f>
        <v>44.994560000000007</v>
      </c>
      <c r="AC110" s="15">
        <v>2</v>
      </c>
      <c r="AD110" s="37">
        <f t="shared" si="227"/>
        <v>89.989120000000014</v>
      </c>
      <c r="AE110" s="38">
        <v>0</v>
      </c>
      <c r="AF110" s="39">
        <f t="shared" si="228"/>
        <v>89.989120000000014</v>
      </c>
      <c r="AG110" s="141">
        <v>1</v>
      </c>
      <c r="AH110" s="38">
        <f>I110*$H$7*$H$7*$H$7*$H$7</f>
        <v>46.794342400000012</v>
      </c>
      <c r="AI110" s="15">
        <v>2</v>
      </c>
      <c r="AJ110" s="37">
        <f t="shared" si="230"/>
        <v>93.588684800000024</v>
      </c>
      <c r="AK110" s="38">
        <v>0</v>
      </c>
      <c r="AL110" s="39">
        <f t="shared" si="231"/>
        <v>93.588684800000024</v>
      </c>
      <c r="AM110" s="40">
        <f>L110+R110+X110+AD110+AJ110</f>
        <v>433.30580480000003</v>
      </c>
      <c r="AN110" s="40">
        <f t="shared" si="233"/>
        <v>0</v>
      </c>
      <c r="AO110" s="40">
        <f t="shared" si="234"/>
        <v>433.30580480000003</v>
      </c>
    </row>
    <row r="111" spans="1:44" x14ac:dyDescent="0.45">
      <c r="A111" s="258" t="s">
        <v>216</v>
      </c>
      <c r="B111" s="258">
        <v>89050</v>
      </c>
      <c r="C111" s="258" t="s">
        <v>65</v>
      </c>
      <c r="D111" s="258" t="s">
        <v>65</v>
      </c>
      <c r="E111" s="258" t="s">
        <v>217</v>
      </c>
      <c r="F111" s="82" t="s">
        <v>421</v>
      </c>
      <c r="G111" s="74" t="s">
        <v>424</v>
      </c>
      <c r="H111" s="141">
        <v>1</v>
      </c>
      <c r="I111" s="38">
        <v>80</v>
      </c>
      <c r="J111" s="15">
        <v>2</v>
      </c>
      <c r="K111" s="522" t="s">
        <v>127</v>
      </c>
      <c r="L111" s="37">
        <f t="shared" ref="L111:L112" si="235">J111*I111*H111</f>
        <v>160</v>
      </c>
      <c r="M111" s="38">
        <v>0</v>
      </c>
      <c r="N111" s="39">
        <f t="shared" si="219"/>
        <v>160</v>
      </c>
      <c r="O111" s="141">
        <v>1</v>
      </c>
      <c r="P111" s="38">
        <f t="shared" ref="P111:P112" si="236">I111*$H$7</f>
        <v>83.2</v>
      </c>
      <c r="Q111" s="15">
        <v>2</v>
      </c>
      <c r="R111" s="37">
        <f t="shared" si="221"/>
        <v>166.4</v>
      </c>
      <c r="S111" s="38">
        <v>0</v>
      </c>
      <c r="T111" s="39">
        <f t="shared" si="222"/>
        <v>166.4</v>
      </c>
      <c r="U111" s="141">
        <v>1</v>
      </c>
      <c r="V111" s="38">
        <f t="shared" ref="V111:V112" si="237">I111*$H$7*$H$7</f>
        <v>86.528000000000006</v>
      </c>
      <c r="W111" s="15">
        <v>2</v>
      </c>
      <c r="X111" s="37">
        <f t="shared" si="224"/>
        <v>173.05600000000001</v>
      </c>
      <c r="Y111" s="38">
        <v>0</v>
      </c>
      <c r="Z111" s="39">
        <f t="shared" si="225"/>
        <v>173.05600000000001</v>
      </c>
      <c r="AA111" s="141">
        <v>1</v>
      </c>
      <c r="AB111" s="38">
        <f t="shared" ref="AB111:AB112" si="238">I111*$H$7*$H$7*$H$7</f>
        <v>89.989120000000014</v>
      </c>
      <c r="AC111" s="15">
        <v>2</v>
      </c>
      <c r="AD111" s="37">
        <f t="shared" si="227"/>
        <v>179.97824000000003</v>
      </c>
      <c r="AE111" s="38">
        <v>0</v>
      </c>
      <c r="AF111" s="39">
        <f t="shared" si="228"/>
        <v>179.97824000000003</v>
      </c>
      <c r="AG111" s="141">
        <v>1</v>
      </c>
      <c r="AH111" s="38">
        <f t="shared" ref="AH111:AH112" si="239">I111*$H$7*$H$7*$H$7*$H$7</f>
        <v>93.588684800000024</v>
      </c>
      <c r="AI111" s="15">
        <v>2</v>
      </c>
      <c r="AJ111" s="37">
        <f t="shared" si="230"/>
        <v>187.17736960000005</v>
      </c>
      <c r="AK111" s="38">
        <v>0</v>
      </c>
      <c r="AL111" s="39">
        <f t="shared" si="231"/>
        <v>187.17736960000005</v>
      </c>
      <c r="AM111" s="40">
        <f t="shared" ref="AM111:AM112" si="240">L111+R111+X111+AD111+AJ111</f>
        <v>866.61160960000007</v>
      </c>
      <c r="AN111" s="40">
        <f t="shared" si="233"/>
        <v>0</v>
      </c>
      <c r="AO111" s="40">
        <f t="shared" si="234"/>
        <v>866.61160960000007</v>
      </c>
    </row>
    <row r="112" spans="1:44" x14ac:dyDescent="0.45">
      <c r="A112" s="258" t="s">
        <v>216</v>
      </c>
      <c r="B112" s="258">
        <v>89050</v>
      </c>
      <c r="C112" s="258" t="s">
        <v>65</v>
      </c>
      <c r="D112" s="258" t="s">
        <v>65</v>
      </c>
      <c r="E112" s="258" t="s">
        <v>217</v>
      </c>
      <c r="F112" s="82" t="s">
        <v>421</v>
      </c>
      <c r="G112" s="74" t="s">
        <v>425</v>
      </c>
      <c r="H112" s="141">
        <v>1</v>
      </c>
      <c r="I112" s="38">
        <v>25</v>
      </c>
      <c r="J112" s="15">
        <v>1</v>
      </c>
      <c r="K112" s="522" t="s">
        <v>124</v>
      </c>
      <c r="L112" s="37">
        <f t="shared" si="235"/>
        <v>25</v>
      </c>
      <c r="M112" s="38">
        <v>0</v>
      </c>
      <c r="N112" s="39">
        <f t="shared" si="219"/>
        <v>25</v>
      </c>
      <c r="O112" s="141">
        <v>1</v>
      </c>
      <c r="P112" s="38">
        <f t="shared" si="236"/>
        <v>26</v>
      </c>
      <c r="Q112" s="15">
        <v>1</v>
      </c>
      <c r="R112" s="37">
        <f t="shared" si="221"/>
        <v>26</v>
      </c>
      <c r="S112" s="38">
        <v>0</v>
      </c>
      <c r="T112" s="39">
        <f t="shared" si="222"/>
        <v>26</v>
      </c>
      <c r="U112" s="141">
        <v>1</v>
      </c>
      <c r="V112" s="38">
        <f t="shared" si="237"/>
        <v>27.04</v>
      </c>
      <c r="W112" s="15">
        <v>1</v>
      </c>
      <c r="X112" s="37">
        <f t="shared" si="224"/>
        <v>27.04</v>
      </c>
      <c r="Y112" s="38">
        <v>0</v>
      </c>
      <c r="Z112" s="39">
        <f t="shared" si="225"/>
        <v>27.04</v>
      </c>
      <c r="AA112" s="141">
        <v>1</v>
      </c>
      <c r="AB112" s="38">
        <f t="shared" si="238"/>
        <v>28.121600000000001</v>
      </c>
      <c r="AC112" s="15">
        <v>1</v>
      </c>
      <c r="AD112" s="37">
        <f t="shared" si="227"/>
        <v>28.121600000000001</v>
      </c>
      <c r="AE112" s="38">
        <v>0</v>
      </c>
      <c r="AF112" s="39">
        <f t="shared" si="228"/>
        <v>28.121600000000001</v>
      </c>
      <c r="AG112" s="141">
        <v>1</v>
      </c>
      <c r="AH112" s="38">
        <f t="shared" si="239"/>
        <v>29.246464000000003</v>
      </c>
      <c r="AI112" s="15">
        <v>1</v>
      </c>
      <c r="AJ112" s="37">
        <f t="shared" si="230"/>
        <v>29.246464000000003</v>
      </c>
      <c r="AK112" s="38">
        <v>0</v>
      </c>
      <c r="AL112" s="39">
        <f t="shared" si="231"/>
        <v>29.246464000000003</v>
      </c>
      <c r="AM112" s="40">
        <f t="shared" si="240"/>
        <v>135.408064</v>
      </c>
      <c r="AN112" s="40">
        <f t="shared" si="233"/>
        <v>0</v>
      </c>
      <c r="AO112" s="40">
        <f t="shared" si="234"/>
        <v>135.408064</v>
      </c>
    </row>
    <row r="113" spans="1:44" x14ac:dyDescent="0.45">
      <c r="A113" s="74"/>
      <c r="B113" s="74"/>
      <c r="C113" s="258"/>
      <c r="D113" s="258"/>
      <c r="E113" s="74"/>
      <c r="F113" s="82"/>
      <c r="G113" s="74"/>
      <c r="H113" s="141"/>
      <c r="I113" s="38"/>
      <c r="J113" s="15"/>
      <c r="K113" s="522"/>
      <c r="L113" s="37"/>
      <c r="M113" s="38"/>
      <c r="N113" s="38"/>
      <c r="O113" s="141"/>
      <c r="P113" s="38"/>
      <c r="Q113" s="15"/>
      <c r="R113" s="37"/>
      <c r="S113" s="38"/>
      <c r="T113" s="38"/>
      <c r="U113" s="141"/>
      <c r="V113" s="38"/>
      <c r="W113" s="15"/>
      <c r="X113" s="37"/>
      <c r="Y113" s="38"/>
      <c r="Z113" s="38"/>
      <c r="AA113" s="141"/>
      <c r="AB113" s="38"/>
      <c r="AC113" s="15"/>
      <c r="AD113" s="37"/>
      <c r="AE113" s="38"/>
      <c r="AF113" s="38"/>
      <c r="AG113" s="141"/>
      <c r="AH113" s="38"/>
      <c r="AI113" s="15"/>
      <c r="AJ113" s="37"/>
      <c r="AK113" s="38"/>
      <c r="AL113" s="38"/>
      <c r="AM113" s="40"/>
      <c r="AN113" s="40"/>
      <c r="AO113" s="40"/>
    </row>
    <row r="114" spans="1:44" x14ac:dyDescent="0.45">
      <c r="A114" s="353"/>
      <c r="B114" s="353"/>
      <c r="C114" s="258"/>
      <c r="D114" s="258"/>
      <c r="E114" s="353"/>
      <c r="F114" s="353"/>
      <c r="G114" s="353" t="s">
        <v>426</v>
      </c>
      <c r="H114" s="140"/>
      <c r="I114" s="15"/>
      <c r="J114" s="1"/>
      <c r="L114" s="37"/>
      <c r="M114" s="38"/>
      <c r="N114" s="39"/>
      <c r="O114" s="140"/>
      <c r="R114" s="37"/>
      <c r="S114" s="38"/>
      <c r="T114" s="39"/>
      <c r="U114" s="140"/>
      <c r="X114" s="37"/>
      <c r="Y114" s="38"/>
      <c r="Z114" s="39"/>
      <c r="AA114" s="140"/>
      <c r="AD114" s="37"/>
      <c r="AE114" s="38"/>
      <c r="AF114" s="39"/>
      <c r="AG114" s="140"/>
      <c r="AJ114" s="37"/>
      <c r="AK114" s="38"/>
      <c r="AL114" s="39"/>
      <c r="AM114" s="40"/>
      <c r="AN114" s="40"/>
      <c r="AO114" s="40"/>
      <c r="AP114" s="546"/>
      <c r="AQ114" s="546"/>
      <c r="AR114" s="546"/>
    </row>
    <row r="115" spans="1:44" x14ac:dyDescent="0.45">
      <c r="A115" s="258" t="s">
        <v>216</v>
      </c>
      <c r="B115" s="258">
        <v>89050</v>
      </c>
      <c r="C115" s="258" t="s">
        <v>65</v>
      </c>
      <c r="D115" s="258" t="s">
        <v>65</v>
      </c>
      <c r="E115" s="258" t="s">
        <v>217</v>
      </c>
      <c r="F115" s="82" t="s">
        <v>427</v>
      </c>
      <c r="G115" s="74" t="s">
        <v>428</v>
      </c>
      <c r="H115" s="141">
        <v>0</v>
      </c>
      <c r="I115" s="38">
        <v>250</v>
      </c>
      <c r="J115" s="15">
        <v>1</v>
      </c>
      <c r="K115" s="522" t="s">
        <v>124</v>
      </c>
      <c r="L115" s="37">
        <f>J115*I115*H115</f>
        <v>0</v>
      </c>
      <c r="M115" s="38">
        <v>0</v>
      </c>
      <c r="N115" s="39">
        <f>SUM(L115:M115)</f>
        <v>0</v>
      </c>
      <c r="O115" s="141">
        <v>0</v>
      </c>
      <c r="P115" s="38">
        <f>I115*$H$7</f>
        <v>260</v>
      </c>
      <c r="Q115" s="15">
        <v>1</v>
      </c>
      <c r="R115" s="37">
        <f>O115*P115*Q115</f>
        <v>0</v>
      </c>
      <c r="S115" s="38">
        <v>0</v>
      </c>
      <c r="T115" s="39">
        <f>SUM(R115:S115)</f>
        <v>0</v>
      </c>
      <c r="U115" s="141">
        <f>4*9</f>
        <v>36</v>
      </c>
      <c r="V115" s="38">
        <f>I115*$H$7*$H$7</f>
        <v>270.40000000000003</v>
      </c>
      <c r="W115" s="15">
        <v>1</v>
      </c>
      <c r="X115" s="37">
        <f>U115*V115*W115</f>
        <v>9734.4000000000015</v>
      </c>
      <c r="Y115" s="38">
        <v>0</v>
      </c>
      <c r="Z115" s="39">
        <f>SUM(X115:Y115)</f>
        <v>9734.4000000000015</v>
      </c>
      <c r="AA115" s="141">
        <f>4*9</f>
        <v>36</v>
      </c>
      <c r="AB115" s="38">
        <f>I115*$H$7*$H$7*$H$7</f>
        <v>281.21600000000007</v>
      </c>
      <c r="AC115" s="15">
        <v>1</v>
      </c>
      <c r="AD115" s="37">
        <f>AA115*AB115*AC115</f>
        <v>10123.776000000002</v>
      </c>
      <c r="AE115" s="38">
        <v>0</v>
      </c>
      <c r="AF115" s="39">
        <f>SUM(AD115:AE115)</f>
        <v>10123.776000000002</v>
      </c>
      <c r="AG115" s="141">
        <v>0</v>
      </c>
      <c r="AH115" s="38">
        <f>I115*$H$7*$H$7*$H$7*$H$7</f>
        <v>292.46464000000009</v>
      </c>
      <c r="AI115" s="15">
        <v>1</v>
      </c>
      <c r="AJ115" s="37">
        <f>AG115*AH115*AI115</f>
        <v>0</v>
      </c>
      <c r="AK115" s="38">
        <v>0</v>
      </c>
      <c r="AL115" s="39">
        <f t="shared" ref="AL115:AL119" si="241">SUM(AJ115:AK115)</f>
        <v>0</v>
      </c>
      <c r="AM115" s="40">
        <f t="shared" ref="AM115:AN119" si="242">L115+R115+X115+AD115+AJ115</f>
        <v>19858.176000000003</v>
      </c>
      <c r="AN115" s="40">
        <f t="shared" si="242"/>
        <v>0</v>
      </c>
      <c r="AO115" s="40">
        <f t="shared" ref="AO115:AO119" si="243">SUM(AM115:AN115)</f>
        <v>19858.176000000003</v>
      </c>
    </row>
    <row r="116" spans="1:44" x14ac:dyDescent="0.45">
      <c r="A116" s="258" t="s">
        <v>216</v>
      </c>
      <c r="B116" s="258">
        <v>89050</v>
      </c>
      <c r="C116" s="258" t="s">
        <v>65</v>
      </c>
      <c r="D116" s="258" t="s">
        <v>65</v>
      </c>
      <c r="E116" s="258" t="s">
        <v>217</v>
      </c>
      <c r="F116" s="82" t="s">
        <v>427</v>
      </c>
      <c r="G116" s="74" t="s">
        <v>429</v>
      </c>
      <c r="H116" s="141">
        <v>0</v>
      </c>
      <c r="I116" s="38">
        <v>40</v>
      </c>
      <c r="J116" s="15">
        <v>5</v>
      </c>
      <c r="K116" s="522" t="s">
        <v>127</v>
      </c>
      <c r="L116" s="37">
        <f>J116*I116*H116</f>
        <v>0</v>
      </c>
      <c r="M116" s="38">
        <v>0</v>
      </c>
      <c r="N116" s="39">
        <f>SUM(L116:M116)</f>
        <v>0</v>
      </c>
      <c r="O116" s="141">
        <v>0</v>
      </c>
      <c r="P116" s="38">
        <f>I116*$H$7</f>
        <v>41.6</v>
      </c>
      <c r="Q116" s="15">
        <v>5</v>
      </c>
      <c r="R116" s="37">
        <f>O116*P116*Q116</f>
        <v>0</v>
      </c>
      <c r="S116" s="38">
        <v>0</v>
      </c>
      <c r="T116" s="39">
        <f>SUM(R116:S116)</f>
        <v>0</v>
      </c>
      <c r="U116" s="141">
        <f>4*9</f>
        <v>36</v>
      </c>
      <c r="V116" s="38">
        <f>I116*$H$7*$H$7</f>
        <v>43.264000000000003</v>
      </c>
      <c r="W116" s="15">
        <v>5</v>
      </c>
      <c r="X116" s="37">
        <f>U116*V116*W116</f>
        <v>7787.52</v>
      </c>
      <c r="Y116" s="38">
        <v>0</v>
      </c>
      <c r="Z116" s="39">
        <f>SUM(X116:Y116)</f>
        <v>7787.52</v>
      </c>
      <c r="AA116" s="141">
        <f>4*9</f>
        <v>36</v>
      </c>
      <c r="AB116" s="38">
        <f>I116*$H$7*$H$7*$H$7</f>
        <v>44.994560000000007</v>
      </c>
      <c r="AC116" s="15">
        <v>5</v>
      </c>
      <c r="AD116" s="37">
        <f>AA116*AB116*AC116</f>
        <v>8099.0208000000002</v>
      </c>
      <c r="AE116" s="38">
        <v>0</v>
      </c>
      <c r="AF116" s="39">
        <f>SUM(AD116:AE116)</f>
        <v>8099.0208000000002</v>
      </c>
      <c r="AG116" s="141">
        <v>0</v>
      </c>
      <c r="AH116" s="38">
        <f>I116*$H$7*$H$7*$H$7*$H$7</f>
        <v>46.794342400000012</v>
      </c>
      <c r="AI116" s="15">
        <v>5</v>
      </c>
      <c r="AJ116" s="37">
        <f>AG116*AH116*AI116</f>
        <v>0</v>
      </c>
      <c r="AK116" s="38">
        <v>0</v>
      </c>
      <c r="AL116" s="39">
        <f t="shared" si="241"/>
        <v>0</v>
      </c>
      <c r="AM116" s="40">
        <f t="shared" si="242"/>
        <v>15886.540800000001</v>
      </c>
      <c r="AN116" s="40">
        <f t="shared" si="242"/>
        <v>0</v>
      </c>
      <c r="AO116" s="40">
        <f t="shared" si="243"/>
        <v>15886.540800000001</v>
      </c>
    </row>
    <row r="117" spans="1:44" x14ac:dyDescent="0.45">
      <c r="A117" s="258" t="s">
        <v>216</v>
      </c>
      <c r="B117" s="258">
        <v>89050</v>
      </c>
      <c r="C117" s="258" t="s">
        <v>65</v>
      </c>
      <c r="D117" s="258" t="s">
        <v>65</v>
      </c>
      <c r="E117" s="258" t="s">
        <v>217</v>
      </c>
      <c r="F117" s="82" t="s">
        <v>427</v>
      </c>
      <c r="G117" s="74" t="s">
        <v>430</v>
      </c>
      <c r="H117" s="141">
        <v>0</v>
      </c>
      <c r="I117" s="38">
        <v>80</v>
      </c>
      <c r="J117" s="15">
        <v>6</v>
      </c>
      <c r="K117" s="522" t="s">
        <v>127</v>
      </c>
      <c r="L117" s="37">
        <f>J117*I117*H117</f>
        <v>0</v>
      </c>
      <c r="M117" s="38">
        <v>0</v>
      </c>
      <c r="N117" s="39">
        <f>SUM(L117:M117)</f>
        <v>0</v>
      </c>
      <c r="O117" s="141">
        <v>0</v>
      </c>
      <c r="P117" s="38">
        <f>I117*$H$7</f>
        <v>83.2</v>
      </c>
      <c r="Q117" s="15">
        <v>6</v>
      </c>
      <c r="R117" s="37">
        <f>O117*P117*Q117</f>
        <v>0</v>
      </c>
      <c r="S117" s="38">
        <v>0</v>
      </c>
      <c r="T117" s="39">
        <f>SUM(R117:S117)</f>
        <v>0</v>
      </c>
      <c r="U117" s="141">
        <f>4*9</f>
        <v>36</v>
      </c>
      <c r="V117" s="38">
        <f>I117*$H$7*$H$7</f>
        <v>86.528000000000006</v>
      </c>
      <c r="W117" s="15">
        <v>6</v>
      </c>
      <c r="X117" s="37">
        <f>U117*V117*W117</f>
        <v>18690.048000000003</v>
      </c>
      <c r="Y117" s="38">
        <v>0</v>
      </c>
      <c r="Z117" s="39">
        <f>SUM(X117:Y117)</f>
        <v>18690.048000000003</v>
      </c>
      <c r="AA117" s="141">
        <f>4*9</f>
        <v>36</v>
      </c>
      <c r="AB117" s="38">
        <f>I117*$H$7*$H$7*$H$7</f>
        <v>89.989120000000014</v>
      </c>
      <c r="AC117" s="15">
        <v>6</v>
      </c>
      <c r="AD117" s="37">
        <f>AA117*AB117*AC117</f>
        <v>19437.649920000003</v>
      </c>
      <c r="AE117" s="38">
        <v>0</v>
      </c>
      <c r="AF117" s="39">
        <f>SUM(AD117:AE117)</f>
        <v>19437.649920000003</v>
      </c>
      <c r="AG117" s="141">
        <v>0</v>
      </c>
      <c r="AH117" s="38">
        <f>I117*$H$7*$H$7*$H$7*$H$7</f>
        <v>93.588684800000024</v>
      </c>
      <c r="AI117" s="15">
        <v>6</v>
      </c>
      <c r="AJ117" s="37">
        <f>AG117*AH117*AI117</f>
        <v>0</v>
      </c>
      <c r="AK117" s="38">
        <v>0</v>
      </c>
      <c r="AL117" s="39">
        <f t="shared" si="241"/>
        <v>0</v>
      </c>
      <c r="AM117" s="40">
        <f t="shared" si="242"/>
        <v>38127.697920000006</v>
      </c>
      <c r="AN117" s="40">
        <f t="shared" si="242"/>
        <v>0</v>
      </c>
      <c r="AO117" s="40">
        <f t="shared" si="243"/>
        <v>38127.697920000006</v>
      </c>
    </row>
    <row r="118" spans="1:44" x14ac:dyDescent="0.45">
      <c r="A118" s="258" t="s">
        <v>216</v>
      </c>
      <c r="B118" s="258">
        <v>89050</v>
      </c>
      <c r="C118" s="258" t="s">
        <v>65</v>
      </c>
      <c r="D118" s="258" t="s">
        <v>65</v>
      </c>
      <c r="E118" s="258" t="s">
        <v>217</v>
      </c>
      <c r="F118" s="82" t="s">
        <v>427</v>
      </c>
      <c r="G118" s="74" t="s">
        <v>431</v>
      </c>
      <c r="H118" s="141">
        <v>0</v>
      </c>
      <c r="I118" s="38">
        <v>25</v>
      </c>
      <c r="J118" s="15">
        <v>1</v>
      </c>
      <c r="K118" s="522" t="s">
        <v>124</v>
      </c>
      <c r="L118" s="37">
        <f>J118*I118*H118</f>
        <v>0</v>
      </c>
      <c r="M118" s="38">
        <v>0</v>
      </c>
      <c r="N118" s="39">
        <f>SUM(L118:M118)</f>
        <v>0</v>
      </c>
      <c r="O118" s="141">
        <v>0</v>
      </c>
      <c r="P118" s="38">
        <f>I118*$H$7</f>
        <v>26</v>
      </c>
      <c r="Q118" s="15">
        <v>1</v>
      </c>
      <c r="R118" s="37">
        <f>O118*P118*Q118</f>
        <v>0</v>
      </c>
      <c r="S118" s="38">
        <v>0</v>
      </c>
      <c r="T118" s="39">
        <f>SUM(R118:S118)</f>
        <v>0</v>
      </c>
      <c r="U118" s="141">
        <f>4*9</f>
        <v>36</v>
      </c>
      <c r="V118" s="38">
        <f>I118*$H$7*$H$7</f>
        <v>27.04</v>
      </c>
      <c r="W118" s="15">
        <v>1</v>
      </c>
      <c r="X118" s="37">
        <f>U118*V118*W118</f>
        <v>973.43999999999994</v>
      </c>
      <c r="Y118" s="38">
        <v>0</v>
      </c>
      <c r="Z118" s="39">
        <f>SUM(X118:Y118)</f>
        <v>973.43999999999994</v>
      </c>
      <c r="AA118" s="141">
        <f>4*9</f>
        <v>36</v>
      </c>
      <c r="AB118" s="38">
        <f>I118*$H$7*$H$7*$H$7</f>
        <v>28.121600000000001</v>
      </c>
      <c r="AC118" s="15">
        <v>1</v>
      </c>
      <c r="AD118" s="37">
        <f>AA118*AB118*AC118</f>
        <v>1012.3776</v>
      </c>
      <c r="AE118" s="38">
        <v>0</v>
      </c>
      <c r="AF118" s="39">
        <f>SUM(AD118:AE118)</f>
        <v>1012.3776</v>
      </c>
      <c r="AG118" s="141">
        <v>0</v>
      </c>
      <c r="AH118" s="38">
        <f>I118*$H$7*$H$7*$H$7*$H$7</f>
        <v>29.246464000000003</v>
      </c>
      <c r="AI118" s="15">
        <v>1</v>
      </c>
      <c r="AJ118" s="37">
        <f>AG118*AH118*AI118</f>
        <v>0</v>
      </c>
      <c r="AK118" s="38">
        <v>0</v>
      </c>
      <c r="AL118" s="39">
        <f t="shared" si="241"/>
        <v>0</v>
      </c>
      <c r="AM118" s="40">
        <f t="shared" si="242"/>
        <v>1985.8175999999999</v>
      </c>
      <c r="AN118" s="40">
        <f t="shared" si="242"/>
        <v>0</v>
      </c>
      <c r="AO118" s="40">
        <f t="shared" si="243"/>
        <v>1985.8175999999999</v>
      </c>
    </row>
    <row r="119" spans="1:44" s="10" customFormat="1" x14ac:dyDescent="0.45">
      <c r="A119" s="75"/>
      <c r="B119" s="74"/>
      <c r="C119" s="75"/>
      <c r="D119" s="75"/>
      <c r="E119" s="75"/>
      <c r="F119" s="705"/>
      <c r="G119" s="75" t="s">
        <v>173</v>
      </c>
      <c r="H119" s="144"/>
      <c r="I119" s="129"/>
      <c r="J119" s="350"/>
      <c r="K119" s="529"/>
      <c r="L119" s="42">
        <f>SUM(L69:L118)</f>
        <v>54585</v>
      </c>
      <c r="M119" s="42">
        <f>SUM(M69:M118)</f>
        <v>0</v>
      </c>
      <c r="N119" s="42">
        <f>SUM(N69:N118)</f>
        <v>54585</v>
      </c>
      <c r="O119" s="144"/>
      <c r="P119" s="43"/>
      <c r="Q119" s="129"/>
      <c r="R119" s="42">
        <f>SUM(R69:R118)</f>
        <v>108026.09999999999</v>
      </c>
      <c r="S119" s="42">
        <f>SUM(S69:S118)</f>
        <v>0</v>
      </c>
      <c r="T119" s="42">
        <f>SUM(T69:T118)</f>
        <v>108026.09999999999</v>
      </c>
      <c r="U119" s="144"/>
      <c r="V119" s="129"/>
      <c r="W119" s="129"/>
      <c r="X119" s="42">
        <f>SUM(X69:X118)</f>
        <v>203259</v>
      </c>
      <c r="Y119" s="42">
        <f>SUM(Y69:Y118)</f>
        <v>0</v>
      </c>
      <c r="Z119" s="42">
        <f>SUM(Z69:Z118)</f>
        <v>203259</v>
      </c>
      <c r="AA119" s="144"/>
      <c r="AB119" s="129"/>
      <c r="AC119" s="129"/>
      <c r="AD119" s="42">
        <f>SUM(AD69:AD118)</f>
        <v>183856.05136000001</v>
      </c>
      <c r="AE119" s="42">
        <f>SUM(AE69:AE118)</f>
        <v>0</v>
      </c>
      <c r="AF119" s="42">
        <f>SUM(AF69:AF118)</f>
        <v>183856.05136000001</v>
      </c>
      <c r="AG119" s="144"/>
      <c r="AH119" s="129"/>
      <c r="AI119" s="129"/>
      <c r="AJ119" s="42">
        <f>SUM(AJ69:AJ118)</f>
        <v>61983.590488950031</v>
      </c>
      <c r="AK119" s="42">
        <f>SUM(AK69:AK118)</f>
        <v>0</v>
      </c>
      <c r="AL119" s="44">
        <f t="shared" si="241"/>
        <v>61983.590488950031</v>
      </c>
      <c r="AM119" s="45">
        <f t="shared" si="242"/>
        <v>611709.74184895004</v>
      </c>
      <c r="AN119" s="45">
        <f t="shared" si="242"/>
        <v>0</v>
      </c>
      <c r="AO119" s="45">
        <f t="shared" si="243"/>
        <v>611709.74184895004</v>
      </c>
    </row>
    <row r="120" spans="1:44" x14ac:dyDescent="0.45">
      <c r="A120" s="82"/>
      <c r="B120" s="82"/>
      <c r="C120" s="82"/>
      <c r="D120" s="82"/>
      <c r="E120" s="82"/>
      <c r="F120" s="82"/>
      <c r="G120" s="82"/>
      <c r="H120" s="130"/>
      <c r="I120" s="131"/>
      <c r="J120" s="571"/>
      <c r="K120" s="522"/>
      <c r="L120" s="37"/>
      <c r="M120" s="38"/>
      <c r="N120" s="39"/>
      <c r="O120" s="149"/>
      <c r="P120" s="131"/>
      <c r="Q120" s="131"/>
      <c r="R120" s="37"/>
      <c r="S120" s="38"/>
      <c r="T120" s="39"/>
      <c r="U120" s="130"/>
      <c r="V120" s="131"/>
      <c r="W120" s="131"/>
      <c r="X120" s="37"/>
      <c r="Y120" s="38"/>
      <c r="Z120" s="39"/>
      <c r="AA120" s="130"/>
      <c r="AB120" s="131"/>
      <c r="AC120" s="131"/>
      <c r="AD120" s="37"/>
      <c r="AE120" s="38"/>
      <c r="AF120" s="39"/>
      <c r="AG120" s="130"/>
      <c r="AH120" s="131"/>
      <c r="AI120" s="131"/>
      <c r="AJ120" s="37"/>
      <c r="AK120" s="38"/>
      <c r="AL120" s="39"/>
      <c r="AM120" s="40"/>
      <c r="AN120" s="270"/>
      <c r="AO120" s="40"/>
    </row>
    <row r="121" spans="1:44" x14ac:dyDescent="0.45">
      <c r="A121" s="49"/>
      <c r="B121" s="49"/>
      <c r="C121" s="49"/>
      <c r="D121" s="49"/>
      <c r="E121" s="49"/>
      <c r="F121" s="704"/>
      <c r="G121" s="49" t="s">
        <v>174</v>
      </c>
      <c r="H121" s="133"/>
      <c r="I121" s="134"/>
      <c r="J121" s="296"/>
      <c r="K121" s="518"/>
      <c r="L121" s="50">
        <f>L119+L65</f>
        <v>61740</v>
      </c>
      <c r="M121" s="50">
        <f>M119+M65</f>
        <v>0</v>
      </c>
      <c r="N121" s="50">
        <f>N119+N65</f>
        <v>61740</v>
      </c>
      <c r="O121" s="133"/>
      <c r="P121" s="134"/>
      <c r="Q121" s="134"/>
      <c r="R121" s="50">
        <f>R119+R65</f>
        <v>122765.4</v>
      </c>
      <c r="S121" s="50">
        <f>S119+S65</f>
        <v>0</v>
      </c>
      <c r="T121" s="50">
        <f>T119+T65</f>
        <v>122765.4</v>
      </c>
      <c r="U121" s="133"/>
      <c r="V121" s="134"/>
      <c r="W121" s="134"/>
      <c r="X121" s="50">
        <f>X119+X65</f>
        <v>216148.935</v>
      </c>
      <c r="Y121" s="50">
        <f>Y119+Y65</f>
        <v>0</v>
      </c>
      <c r="Z121" s="50">
        <f>Z119+Z65</f>
        <v>216148.935</v>
      </c>
      <c r="AA121" s="133"/>
      <c r="AB121" s="134"/>
      <c r="AC121" s="134"/>
      <c r="AD121" s="50">
        <f>AD119+AD65</f>
        <v>190494.36788500001</v>
      </c>
      <c r="AE121" s="50">
        <f>AE119+AE65</f>
        <v>0</v>
      </c>
      <c r="AF121" s="50">
        <f>AF119+AF65</f>
        <v>190494.36788500001</v>
      </c>
      <c r="AG121" s="133"/>
      <c r="AH121" s="134"/>
      <c r="AI121" s="134"/>
      <c r="AJ121" s="50">
        <f t="shared" ref="AJ121:AO121" si="244">AJ119+AJ65</f>
        <v>68821.056509700036</v>
      </c>
      <c r="AK121" s="50">
        <f t="shared" si="244"/>
        <v>0</v>
      </c>
      <c r="AL121" s="50">
        <f t="shared" si="244"/>
        <v>68821.056509700036</v>
      </c>
      <c r="AM121" s="50">
        <f t="shared" si="244"/>
        <v>659969.75939470006</v>
      </c>
      <c r="AN121" s="50">
        <f t="shared" si="244"/>
        <v>0</v>
      </c>
      <c r="AO121" s="649">
        <f t="shared" si="244"/>
        <v>659969.75939470006</v>
      </c>
    </row>
    <row r="122" spans="1:44" x14ac:dyDescent="0.45">
      <c r="A122" s="83"/>
      <c r="B122" s="83"/>
      <c r="C122" s="83"/>
      <c r="D122" s="83"/>
      <c r="E122" s="83"/>
      <c r="F122" s="83"/>
      <c r="G122" s="83"/>
      <c r="H122" s="150"/>
      <c r="I122" s="151"/>
      <c r="J122" s="300"/>
      <c r="K122" s="523"/>
      <c r="L122" s="52"/>
      <c r="M122" s="53"/>
      <c r="N122" s="54"/>
      <c r="O122" s="150"/>
      <c r="P122" s="151"/>
      <c r="Q122" s="151"/>
      <c r="R122" s="52"/>
      <c r="S122" s="53"/>
      <c r="T122" s="54"/>
      <c r="U122" s="150"/>
      <c r="V122" s="151"/>
      <c r="W122" s="151"/>
      <c r="X122" s="52"/>
      <c r="Y122" s="53"/>
      <c r="Z122" s="54"/>
      <c r="AA122" s="150"/>
      <c r="AB122" s="151"/>
      <c r="AC122" s="151"/>
      <c r="AD122" s="52"/>
      <c r="AE122" s="53"/>
      <c r="AF122" s="54"/>
      <c r="AG122" s="150"/>
      <c r="AH122" s="151"/>
      <c r="AI122" s="151"/>
      <c r="AJ122" s="52"/>
      <c r="AK122" s="53"/>
      <c r="AL122" s="54"/>
      <c r="AM122" s="55"/>
      <c r="AN122" s="249"/>
      <c r="AO122" s="55"/>
    </row>
    <row r="123" spans="1:44" x14ac:dyDescent="0.45">
      <c r="A123" s="56"/>
      <c r="B123" s="56"/>
      <c r="C123" s="56"/>
      <c r="D123" s="56"/>
      <c r="E123" s="56"/>
      <c r="F123" s="56"/>
      <c r="G123" s="56" t="s">
        <v>175</v>
      </c>
      <c r="H123" s="137"/>
      <c r="I123" s="138"/>
      <c r="J123" s="138"/>
      <c r="K123" s="520"/>
      <c r="L123" s="57"/>
      <c r="M123" s="58"/>
      <c r="N123" s="59"/>
      <c r="O123" s="137"/>
      <c r="P123" s="138"/>
      <c r="Q123" s="138"/>
      <c r="R123" s="57"/>
      <c r="S123" s="58"/>
      <c r="T123" s="59"/>
      <c r="U123" s="137"/>
      <c r="V123" s="138"/>
      <c r="W123" s="138"/>
      <c r="X123" s="57"/>
      <c r="Y123" s="58"/>
      <c r="Z123" s="59"/>
      <c r="AA123" s="137"/>
      <c r="AB123" s="138"/>
      <c r="AC123" s="138"/>
      <c r="AD123" s="57"/>
      <c r="AE123" s="58"/>
      <c r="AF123" s="59"/>
      <c r="AG123" s="137"/>
      <c r="AH123" s="138"/>
      <c r="AI123" s="138"/>
      <c r="AJ123" s="57"/>
      <c r="AK123" s="58"/>
      <c r="AL123" s="59"/>
      <c r="AM123" s="60"/>
      <c r="AN123" s="251"/>
      <c r="AO123" s="60"/>
    </row>
    <row r="124" spans="1:44" x14ac:dyDescent="0.45">
      <c r="A124" s="61"/>
      <c r="B124" s="61"/>
      <c r="C124" s="61"/>
      <c r="D124" s="61"/>
      <c r="E124" s="61"/>
      <c r="F124" s="61"/>
      <c r="G124" s="61"/>
      <c r="H124" s="141"/>
      <c r="I124" s="152"/>
      <c r="J124" s="152"/>
      <c r="K124" s="524"/>
      <c r="L124" s="30"/>
      <c r="M124" s="63"/>
      <c r="N124" s="72"/>
      <c r="O124" s="153"/>
      <c r="P124" s="152"/>
      <c r="Q124" s="152"/>
      <c r="R124" s="62"/>
      <c r="S124" s="63"/>
      <c r="T124" s="72"/>
      <c r="U124" s="153"/>
      <c r="V124" s="152"/>
      <c r="W124" s="152"/>
      <c r="X124" s="62"/>
      <c r="Y124" s="63"/>
      <c r="Z124" s="72"/>
      <c r="AA124" s="153"/>
      <c r="AB124" s="152"/>
      <c r="AC124" s="152"/>
      <c r="AD124" s="62"/>
      <c r="AE124" s="63"/>
      <c r="AF124" s="72"/>
      <c r="AG124" s="153"/>
      <c r="AH124" s="152"/>
      <c r="AI124" s="152"/>
      <c r="AJ124" s="62"/>
      <c r="AK124" s="63"/>
      <c r="AL124" s="72"/>
      <c r="AM124" s="40"/>
      <c r="AN124" s="253"/>
      <c r="AO124" s="64"/>
    </row>
    <row r="125" spans="1:44" x14ac:dyDescent="0.45">
      <c r="A125" s="258" t="s">
        <v>216</v>
      </c>
      <c r="B125" s="258">
        <v>89050</v>
      </c>
      <c r="C125" s="258" t="s">
        <v>65</v>
      </c>
      <c r="D125" s="258" t="s">
        <v>65</v>
      </c>
      <c r="E125" s="258" t="s">
        <v>217</v>
      </c>
      <c r="F125" s="140" t="s">
        <v>432</v>
      </c>
      <c r="G125" s="140" t="s">
        <v>433</v>
      </c>
      <c r="H125" s="141">
        <v>1</v>
      </c>
      <c r="I125" s="38">
        <v>50000</v>
      </c>
      <c r="J125" s="132"/>
      <c r="K125" s="522" t="s">
        <v>178</v>
      </c>
      <c r="L125" s="37">
        <f>I125*H125</f>
        <v>50000</v>
      </c>
      <c r="M125" s="38">
        <v>0</v>
      </c>
      <c r="N125" s="39">
        <f>SUM(L125:M125)</f>
        <v>50000</v>
      </c>
      <c r="O125" s="141">
        <v>0</v>
      </c>
      <c r="P125" s="38">
        <f>I125</f>
        <v>50000</v>
      </c>
      <c r="Q125" s="132"/>
      <c r="R125" s="37">
        <f>O125*P125</f>
        <v>0</v>
      </c>
      <c r="S125" s="38">
        <v>0</v>
      </c>
      <c r="T125" s="39">
        <f>SUM(R125:S125)</f>
        <v>0</v>
      </c>
      <c r="U125" s="141">
        <v>0</v>
      </c>
      <c r="V125" s="38">
        <f>I125</f>
        <v>50000</v>
      </c>
      <c r="W125" s="132"/>
      <c r="X125" s="37">
        <f>V125*U125</f>
        <v>0</v>
      </c>
      <c r="Y125" s="38">
        <v>0</v>
      </c>
      <c r="Z125" s="39">
        <f>SUM(X125:Y125)</f>
        <v>0</v>
      </c>
      <c r="AA125" s="141">
        <v>0</v>
      </c>
      <c r="AB125" s="38">
        <f>I125</f>
        <v>50000</v>
      </c>
      <c r="AC125" s="132"/>
      <c r="AD125" s="37">
        <f>AA125*AB125</f>
        <v>0</v>
      </c>
      <c r="AE125" s="38">
        <v>0</v>
      </c>
      <c r="AF125" s="39">
        <f>SUM(AD125:AE125)</f>
        <v>0</v>
      </c>
      <c r="AG125" s="141">
        <v>0</v>
      </c>
      <c r="AH125" s="38">
        <f>I125</f>
        <v>50000</v>
      </c>
      <c r="AI125" s="132"/>
      <c r="AJ125" s="37">
        <f>AH125*AG125</f>
        <v>0</v>
      </c>
      <c r="AK125" s="38">
        <v>0</v>
      </c>
      <c r="AL125" s="39">
        <f>SUM(AJ125:AK125)</f>
        <v>0</v>
      </c>
      <c r="AM125" s="40">
        <f>L125+R125+X125+AD125+AJ125</f>
        <v>50000</v>
      </c>
      <c r="AN125" s="270">
        <f t="shared" ref="AN125" si="245">M125+S125+Y125+AE125+AK125</f>
        <v>0</v>
      </c>
      <c r="AO125" s="40">
        <f>SUM(AM125:AN125)</f>
        <v>50000</v>
      </c>
    </row>
    <row r="126" spans="1:44" x14ac:dyDescent="0.45">
      <c r="A126" s="84"/>
      <c r="B126" s="84"/>
      <c r="C126" s="84"/>
      <c r="D126" s="84"/>
      <c r="E126" s="84"/>
      <c r="F126" s="84"/>
      <c r="G126" s="84"/>
      <c r="H126" s="154"/>
      <c r="I126" s="38"/>
      <c r="J126" s="155"/>
      <c r="K126" s="525"/>
      <c r="L126" s="85"/>
      <c r="M126" s="86"/>
      <c r="N126" s="87"/>
      <c r="O126" s="154"/>
      <c r="P126" s="155"/>
      <c r="Q126" s="155"/>
      <c r="R126" s="85"/>
      <c r="S126" s="86"/>
      <c r="T126" s="87"/>
      <c r="U126" s="154"/>
      <c r="V126" s="155"/>
      <c r="W126" s="155"/>
      <c r="X126" s="85"/>
      <c r="Y126" s="86"/>
      <c r="Z126" s="87"/>
      <c r="AA126" s="154"/>
      <c r="AB126" s="155"/>
      <c r="AC126" s="155"/>
      <c r="AD126" s="85"/>
      <c r="AE126" s="86"/>
      <c r="AF126" s="87"/>
      <c r="AG126" s="154"/>
      <c r="AH126" s="155"/>
      <c r="AI126" s="155"/>
      <c r="AJ126" s="85"/>
      <c r="AK126" s="86"/>
      <c r="AL126" s="87"/>
      <c r="AM126" s="88"/>
      <c r="AN126" s="256"/>
      <c r="AO126" s="88"/>
    </row>
    <row r="127" spans="1:44" s="9" customFormat="1" ht="12.3" x14ac:dyDescent="0.4">
      <c r="A127" s="49"/>
      <c r="B127" s="49"/>
      <c r="C127" s="49"/>
      <c r="D127" s="49"/>
      <c r="E127" s="49"/>
      <c r="F127" s="704"/>
      <c r="G127" s="49" t="s">
        <v>179</v>
      </c>
      <c r="H127" s="133"/>
      <c r="I127" s="134"/>
      <c r="J127" s="134"/>
      <c r="K127" s="518"/>
      <c r="L127" s="50">
        <f>SUM(L125:L126)</f>
        <v>50000</v>
      </c>
      <c r="M127" s="50">
        <f>SUM(M125:M126)</f>
        <v>0</v>
      </c>
      <c r="N127" s="50">
        <f>SUM(N125:N126)</f>
        <v>50000</v>
      </c>
      <c r="O127" s="133"/>
      <c r="P127" s="134"/>
      <c r="Q127" s="134"/>
      <c r="R127" s="50">
        <f>SUM(R125:R126)</f>
        <v>0</v>
      </c>
      <c r="S127" s="50">
        <f>SUM(S125:S126)</f>
        <v>0</v>
      </c>
      <c r="T127" s="50">
        <f>SUM(T125:T126)</f>
        <v>0</v>
      </c>
      <c r="U127" s="133"/>
      <c r="V127" s="134"/>
      <c r="W127" s="134"/>
      <c r="X127" s="50">
        <f>SUM(X125:X126)</f>
        <v>0</v>
      </c>
      <c r="Y127" s="50">
        <f>SUM(Y125:Y126)</f>
        <v>0</v>
      </c>
      <c r="Z127" s="50">
        <f>SUM(Z125:Z126)</f>
        <v>0</v>
      </c>
      <c r="AA127" s="133"/>
      <c r="AB127" s="134"/>
      <c r="AC127" s="134"/>
      <c r="AD127" s="50">
        <f>SUM(AD125:AD126)</f>
        <v>0</v>
      </c>
      <c r="AE127" s="50">
        <f>SUM(AE125:AE126)</f>
        <v>0</v>
      </c>
      <c r="AF127" s="50">
        <f>SUM(AF125:AF126)</f>
        <v>0</v>
      </c>
      <c r="AG127" s="133"/>
      <c r="AH127" s="134"/>
      <c r="AI127" s="134"/>
      <c r="AJ127" s="50">
        <f>SUM(AJ125:AJ126)</f>
        <v>0</v>
      </c>
      <c r="AK127" s="50">
        <f>SUM(AK125:AK126)</f>
        <v>0</v>
      </c>
      <c r="AL127" s="50">
        <f>SUM(AL125:AL126)</f>
        <v>0</v>
      </c>
      <c r="AM127" s="71">
        <f>SUM(AM125:AM126)</f>
        <v>50000</v>
      </c>
      <c r="AN127" s="257">
        <f>SUM(AN125:AN126)</f>
        <v>0</v>
      </c>
      <c r="AO127" s="71">
        <f>SUM(AM127:AN127)</f>
        <v>50000</v>
      </c>
    </row>
    <row r="128" spans="1:44" x14ac:dyDescent="0.45">
      <c r="A128" s="89"/>
      <c r="B128" s="89"/>
      <c r="C128" s="89"/>
      <c r="D128" s="89"/>
      <c r="E128" s="89"/>
      <c r="F128" s="707"/>
      <c r="G128" s="89"/>
      <c r="H128" s="135"/>
      <c r="I128" s="136"/>
      <c r="J128" s="297"/>
      <c r="K128" s="519"/>
      <c r="L128" s="52"/>
      <c r="M128" s="53"/>
      <c r="N128" s="54"/>
      <c r="O128" s="135"/>
      <c r="P128" s="136"/>
      <c r="Q128" s="136"/>
      <c r="R128" s="52"/>
      <c r="S128" s="53"/>
      <c r="T128" s="54"/>
      <c r="U128" s="135"/>
      <c r="V128" s="136"/>
      <c r="W128" s="136"/>
      <c r="X128" s="52"/>
      <c r="Y128" s="53"/>
      <c r="Z128" s="54"/>
      <c r="AA128" s="135"/>
      <c r="AB128" s="136"/>
      <c r="AC128" s="136"/>
      <c r="AD128" s="52"/>
      <c r="AE128" s="53"/>
      <c r="AF128" s="54"/>
      <c r="AG128" s="135"/>
      <c r="AH128" s="136"/>
      <c r="AI128" s="136"/>
      <c r="AJ128" s="52"/>
      <c r="AK128" s="53"/>
      <c r="AL128" s="54"/>
      <c r="AM128" s="55"/>
      <c r="AN128" s="249"/>
      <c r="AO128" s="55"/>
    </row>
    <row r="129" spans="1:41" x14ac:dyDescent="0.45">
      <c r="A129" s="56"/>
      <c r="B129" s="56"/>
      <c r="C129" s="56"/>
      <c r="D129" s="56"/>
      <c r="E129" s="56"/>
      <c r="F129" s="56"/>
      <c r="G129" s="56" t="s">
        <v>434</v>
      </c>
      <c r="H129" s="137"/>
      <c r="I129" s="138"/>
      <c r="J129" s="298"/>
      <c r="K129" s="520"/>
      <c r="L129" s="57"/>
      <c r="M129" s="58"/>
      <c r="N129" s="59"/>
      <c r="O129" s="137"/>
      <c r="P129" s="138"/>
      <c r="Q129" s="138"/>
      <c r="R129" s="57"/>
      <c r="S129" s="58"/>
      <c r="T129" s="59"/>
      <c r="U129" s="137"/>
      <c r="V129" s="138"/>
      <c r="W129" s="138"/>
      <c r="X129" s="57"/>
      <c r="Y129" s="58"/>
      <c r="Z129" s="59"/>
      <c r="AA129" s="137"/>
      <c r="AB129" s="138"/>
      <c r="AC129" s="138"/>
      <c r="AD129" s="57"/>
      <c r="AE129" s="58"/>
      <c r="AF129" s="59"/>
      <c r="AG129" s="137"/>
      <c r="AH129" s="138"/>
      <c r="AI129" s="138"/>
      <c r="AJ129" s="57"/>
      <c r="AK129" s="58"/>
      <c r="AL129" s="59"/>
      <c r="AM129" s="60"/>
      <c r="AN129" s="251"/>
      <c r="AO129" s="60"/>
    </row>
    <row r="130" spans="1:41" x14ac:dyDescent="0.45">
      <c r="A130" s="29"/>
      <c r="B130" s="29"/>
      <c r="C130" s="29"/>
      <c r="D130" s="29"/>
      <c r="E130" s="29"/>
      <c r="F130" s="29"/>
      <c r="G130" s="29"/>
      <c r="H130" s="153"/>
      <c r="I130" s="152"/>
      <c r="J130" s="301"/>
      <c r="K130" s="524"/>
      <c r="L130" s="62"/>
      <c r="M130" s="63"/>
      <c r="N130" s="72"/>
      <c r="O130" s="153"/>
      <c r="P130" s="152"/>
      <c r="Q130" s="152"/>
      <c r="R130" s="62"/>
      <c r="S130" s="63"/>
      <c r="T130" s="72"/>
      <c r="U130" s="153"/>
      <c r="V130" s="152"/>
      <c r="W130" s="152"/>
      <c r="X130" s="62"/>
      <c r="Y130" s="63"/>
      <c r="Z130" s="72"/>
      <c r="AA130" s="153"/>
      <c r="AB130" s="152"/>
      <c r="AC130" s="152"/>
      <c r="AD130" s="62"/>
      <c r="AE130" s="63"/>
      <c r="AF130" s="72"/>
      <c r="AG130" s="153"/>
      <c r="AH130" s="152"/>
      <c r="AI130" s="152"/>
      <c r="AJ130" s="62"/>
      <c r="AK130" s="63"/>
      <c r="AL130" s="72"/>
      <c r="AM130" s="40"/>
      <c r="AN130" s="253"/>
      <c r="AO130" s="64"/>
    </row>
    <row r="131" spans="1:41" x14ac:dyDescent="0.45">
      <c r="A131" s="73"/>
      <c r="B131" s="73"/>
      <c r="C131" s="73"/>
      <c r="D131" s="73"/>
      <c r="E131" s="73"/>
      <c r="F131" s="73"/>
      <c r="G131" s="73" t="s">
        <v>180</v>
      </c>
      <c r="H131" s="124"/>
      <c r="I131" s="132"/>
      <c r="J131" s="349"/>
      <c r="K131" s="563"/>
      <c r="L131" s="37"/>
      <c r="M131" s="38"/>
      <c r="N131" s="39"/>
      <c r="O131" s="141"/>
      <c r="P131" s="38"/>
      <c r="Q131" s="15"/>
      <c r="R131" s="37"/>
      <c r="S131" s="38"/>
      <c r="T131" s="39"/>
      <c r="U131" s="141"/>
      <c r="V131" s="38"/>
      <c r="W131" s="15"/>
      <c r="X131" s="37"/>
      <c r="Y131" s="38"/>
      <c r="Z131" s="39"/>
      <c r="AA131" s="141"/>
      <c r="AB131" s="38"/>
      <c r="AC131" s="15"/>
      <c r="AD131" s="37"/>
      <c r="AE131" s="38"/>
      <c r="AF131" s="39"/>
      <c r="AG131" s="141"/>
      <c r="AH131" s="38"/>
      <c r="AI131" s="15"/>
      <c r="AJ131" s="37"/>
      <c r="AK131" s="38"/>
      <c r="AL131" s="39"/>
      <c r="AM131" s="40"/>
      <c r="AN131" s="270"/>
      <c r="AO131" s="40"/>
    </row>
    <row r="132" spans="1:41" x14ac:dyDescent="0.45">
      <c r="A132" s="258" t="s">
        <v>216</v>
      </c>
      <c r="B132" s="258">
        <v>89050</v>
      </c>
      <c r="C132" s="258" t="s">
        <v>65</v>
      </c>
      <c r="D132" s="258" t="s">
        <v>65</v>
      </c>
      <c r="E132" s="258" t="s">
        <v>217</v>
      </c>
      <c r="F132" s="140" t="s">
        <v>435</v>
      </c>
      <c r="G132" s="65" t="s">
        <v>436</v>
      </c>
      <c r="H132" s="141">
        <v>2</v>
      </c>
      <c r="I132" s="38">
        <f>Supplies!B31</f>
        <v>1204.99</v>
      </c>
      <c r="J132" s="572">
        <v>1</v>
      </c>
      <c r="K132" s="522" t="s">
        <v>183</v>
      </c>
      <c r="L132" s="37">
        <f>I132*H132</f>
        <v>2409.98</v>
      </c>
      <c r="M132" s="38">
        <v>0</v>
      </c>
      <c r="N132" s="39">
        <f t="shared" ref="N132:N137" si="246">SUM(L132:M132)</f>
        <v>2409.98</v>
      </c>
      <c r="O132" s="141">
        <v>0</v>
      </c>
      <c r="P132" s="38">
        <f>I132*$H$6</f>
        <v>1241.1396999999999</v>
      </c>
      <c r="Q132" s="15">
        <v>1</v>
      </c>
      <c r="R132" s="37">
        <f>O132*P132</f>
        <v>0</v>
      </c>
      <c r="S132" s="38">
        <v>0</v>
      </c>
      <c r="T132" s="39">
        <f t="shared" ref="T132:T137" si="247">SUM(R132:S132)</f>
        <v>0</v>
      </c>
      <c r="U132" s="37">
        <f t="shared" ref="U132:U137" si="248">R132*S132*T132</f>
        <v>0</v>
      </c>
      <c r="V132" s="38">
        <f t="shared" ref="V132:V133" si="249">I132*$H$6*$H$6</f>
        <v>1278.373891</v>
      </c>
      <c r="W132" s="15">
        <v>1</v>
      </c>
      <c r="X132" s="37">
        <f>V132*U132</f>
        <v>0</v>
      </c>
      <c r="Y132" s="38">
        <v>0</v>
      </c>
      <c r="Z132" s="39">
        <f t="shared" ref="Z132:Z137" si="250">SUM(X132:Y132)</f>
        <v>0</v>
      </c>
      <c r="AA132" s="37">
        <f t="shared" ref="AA132:AA137" si="251">X132*Y132*Z132</f>
        <v>0</v>
      </c>
      <c r="AB132" s="38">
        <f t="shared" ref="AB132:AB133" si="252">I132*$H$6*$H$6*$H$6</f>
        <v>1316.72510773</v>
      </c>
      <c r="AC132" s="15">
        <v>1</v>
      </c>
      <c r="AD132" s="37">
        <f>AB132*AA132</f>
        <v>0</v>
      </c>
      <c r="AE132" s="38">
        <v>0</v>
      </c>
      <c r="AF132" s="39">
        <f t="shared" ref="AF132:AF137" si="253">SUM(AD132:AE132)</f>
        <v>0</v>
      </c>
      <c r="AG132" s="37">
        <f t="shared" ref="AG132:AG137" si="254">AD132*AE132*AF132</f>
        <v>0</v>
      </c>
      <c r="AH132" s="38">
        <f t="shared" ref="AH132:AH133" si="255">I132*$H$6*$H$6*$H$6*$H$6</f>
        <v>1356.2268609619</v>
      </c>
      <c r="AI132" s="15">
        <v>1</v>
      </c>
      <c r="AJ132" s="37">
        <f>AH132*AG132</f>
        <v>0</v>
      </c>
      <c r="AK132" s="38">
        <v>0</v>
      </c>
      <c r="AL132" s="39">
        <f t="shared" ref="AL132:AL137" si="256">SUM(AJ132:AK132)</f>
        <v>0</v>
      </c>
      <c r="AM132" s="40">
        <f t="shared" ref="AM132:AN139" si="257">L132+R132+X132+AD132+AJ132</f>
        <v>2409.98</v>
      </c>
      <c r="AN132" s="270">
        <f t="shared" si="257"/>
        <v>0</v>
      </c>
      <c r="AO132" s="40">
        <f t="shared" ref="AO132:AO139" si="258">SUM(AM132:AN132)</f>
        <v>2409.98</v>
      </c>
    </row>
    <row r="133" spans="1:41" x14ac:dyDescent="0.45">
      <c r="A133" s="258" t="s">
        <v>216</v>
      </c>
      <c r="B133" s="258">
        <v>89050</v>
      </c>
      <c r="C133" s="258" t="s">
        <v>65</v>
      </c>
      <c r="D133" s="258" t="s">
        <v>65</v>
      </c>
      <c r="E133" s="258" t="s">
        <v>217</v>
      </c>
      <c r="F133" s="140" t="s">
        <v>437</v>
      </c>
      <c r="G133" s="65" t="s">
        <v>438</v>
      </c>
      <c r="H133" s="141">
        <v>1</v>
      </c>
      <c r="I133" s="38">
        <f>Supplies!B31</f>
        <v>1204.99</v>
      </c>
      <c r="J133" s="572">
        <v>1</v>
      </c>
      <c r="K133" s="522" t="s">
        <v>183</v>
      </c>
      <c r="L133" s="37">
        <f t="shared" ref="L133" si="259">I133*H133</f>
        <v>1204.99</v>
      </c>
      <c r="M133" s="38">
        <v>0</v>
      </c>
      <c r="N133" s="39">
        <f t="shared" si="246"/>
        <v>1204.99</v>
      </c>
      <c r="O133" s="141">
        <v>0</v>
      </c>
      <c r="P133" s="38">
        <f>I133*$H$6</f>
        <v>1241.1396999999999</v>
      </c>
      <c r="Q133" s="15">
        <v>1</v>
      </c>
      <c r="R133" s="37">
        <f t="shared" ref="R133" si="260">O133*P133</f>
        <v>0</v>
      </c>
      <c r="S133" s="38">
        <v>0</v>
      </c>
      <c r="T133" s="39">
        <f t="shared" si="247"/>
        <v>0</v>
      </c>
      <c r="U133" s="37">
        <f t="shared" si="248"/>
        <v>0</v>
      </c>
      <c r="V133" s="38">
        <f t="shared" si="249"/>
        <v>1278.373891</v>
      </c>
      <c r="W133" s="15">
        <v>1</v>
      </c>
      <c r="X133" s="37">
        <f t="shared" ref="X133:X137" si="261">V133*U133</f>
        <v>0</v>
      </c>
      <c r="Y133" s="38">
        <v>0</v>
      </c>
      <c r="Z133" s="39">
        <f t="shared" si="250"/>
        <v>0</v>
      </c>
      <c r="AA133" s="37">
        <f t="shared" si="251"/>
        <v>0</v>
      </c>
      <c r="AB133" s="38">
        <f t="shared" si="252"/>
        <v>1316.72510773</v>
      </c>
      <c r="AC133" s="15">
        <v>1</v>
      </c>
      <c r="AD133" s="37">
        <f t="shared" ref="AD133:AD137" si="262">AB133*AA133</f>
        <v>0</v>
      </c>
      <c r="AE133" s="38">
        <v>0</v>
      </c>
      <c r="AF133" s="39">
        <f t="shared" si="253"/>
        <v>0</v>
      </c>
      <c r="AG133" s="37">
        <f t="shared" si="254"/>
        <v>0</v>
      </c>
      <c r="AH133" s="38">
        <f t="shared" si="255"/>
        <v>1356.2268609619</v>
      </c>
      <c r="AI133" s="15">
        <v>1</v>
      </c>
      <c r="AJ133" s="37">
        <f t="shared" ref="AJ133:AJ137" si="263">AH133*AG133</f>
        <v>0</v>
      </c>
      <c r="AK133" s="38">
        <v>0</v>
      </c>
      <c r="AL133" s="39">
        <f t="shared" si="256"/>
        <v>0</v>
      </c>
      <c r="AM133" s="40">
        <f t="shared" si="257"/>
        <v>1204.99</v>
      </c>
      <c r="AN133" s="270">
        <f t="shared" si="257"/>
        <v>0</v>
      </c>
      <c r="AO133" s="40">
        <f t="shared" si="258"/>
        <v>1204.99</v>
      </c>
    </row>
    <row r="134" spans="1:41" s="10" customFormat="1" x14ac:dyDescent="0.45">
      <c r="A134" s="75"/>
      <c r="B134" s="75"/>
      <c r="C134" s="75"/>
      <c r="D134" s="75"/>
      <c r="E134" s="75"/>
      <c r="F134" s="705"/>
      <c r="G134" s="75" t="s">
        <v>192</v>
      </c>
      <c r="H134" s="144"/>
      <c r="I134" s="129"/>
      <c r="J134" s="350"/>
      <c r="K134" s="522"/>
      <c r="L134" s="42">
        <f>SUM(L132:L133)</f>
        <v>3614.9700000000003</v>
      </c>
      <c r="M134" s="42">
        <f>SUM(M132:M133)</f>
        <v>0</v>
      </c>
      <c r="N134" s="42">
        <f>SUM(N132:N133)</f>
        <v>3614.9700000000003</v>
      </c>
      <c r="O134" s="144"/>
      <c r="P134" s="43"/>
      <c r="Q134" s="129"/>
      <c r="R134" s="42">
        <f>SUM(R132:R133)</f>
        <v>0</v>
      </c>
      <c r="S134" s="42">
        <f>SUM(S132:S133)</f>
        <v>0</v>
      </c>
      <c r="T134" s="42">
        <f>SUM(T132:T133)</f>
        <v>0</v>
      </c>
      <c r="U134" s="144"/>
      <c r="V134" s="129"/>
      <c r="W134" s="129"/>
      <c r="X134" s="42">
        <f>SUM(X132:X133)</f>
        <v>0</v>
      </c>
      <c r="Y134" s="42">
        <f>SUM(Y132:Y133)</f>
        <v>0</v>
      </c>
      <c r="Z134" s="42">
        <f>SUM(Z132:Z133)</f>
        <v>0</v>
      </c>
      <c r="AA134" s="144"/>
      <c r="AB134" s="129"/>
      <c r="AC134" s="129"/>
      <c r="AD134" s="42">
        <f>SUM(AD132:AD133)</f>
        <v>0</v>
      </c>
      <c r="AE134" s="42">
        <f>SUM(AE132:AE133)</f>
        <v>0</v>
      </c>
      <c r="AF134" s="42">
        <f>SUM(AF132:AF133)</f>
        <v>0</v>
      </c>
      <c r="AG134" s="144"/>
      <c r="AH134" s="129"/>
      <c r="AI134" s="129"/>
      <c r="AJ134" s="42">
        <f t="shared" ref="AJ134:AO134" si="264">SUM(AJ132:AJ133)</f>
        <v>0</v>
      </c>
      <c r="AK134" s="42">
        <f t="shared" si="264"/>
        <v>0</v>
      </c>
      <c r="AL134" s="42">
        <f t="shared" si="264"/>
        <v>0</v>
      </c>
      <c r="AM134" s="45">
        <f t="shared" si="264"/>
        <v>3614.9700000000003</v>
      </c>
      <c r="AN134" s="248">
        <f t="shared" si="264"/>
        <v>0</v>
      </c>
      <c r="AO134" s="45">
        <f t="shared" si="264"/>
        <v>3614.9700000000003</v>
      </c>
    </row>
    <row r="135" spans="1:41" x14ac:dyDescent="0.45">
      <c r="A135" s="65"/>
      <c r="B135" s="65"/>
      <c r="C135" s="65"/>
      <c r="D135" s="65"/>
      <c r="E135" s="65"/>
      <c r="F135" s="65"/>
      <c r="G135" s="65"/>
      <c r="H135" s="141"/>
      <c r="I135" s="38"/>
      <c r="J135" s="349"/>
      <c r="K135" s="522"/>
      <c r="L135" s="37"/>
      <c r="M135" s="38"/>
      <c r="N135" s="39"/>
      <c r="O135" s="141"/>
      <c r="P135" s="38"/>
      <c r="Q135" s="15"/>
      <c r="R135" s="37"/>
      <c r="S135" s="38"/>
      <c r="T135" s="39"/>
      <c r="U135" s="37"/>
      <c r="V135" s="38"/>
      <c r="W135" s="15"/>
      <c r="X135" s="37"/>
      <c r="Y135" s="38"/>
      <c r="Z135" s="39"/>
      <c r="AA135" s="37"/>
      <c r="AB135" s="38"/>
      <c r="AC135" s="15"/>
      <c r="AD135" s="37"/>
      <c r="AE135" s="38"/>
      <c r="AF135" s="39"/>
      <c r="AG135" s="37"/>
      <c r="AH135" s="38"/>
      <c r="AI135" s="15"/>
      <c r="AJ135" s="37"/>
      <c r="AK135" s="38"/>
      <c r="AL135" s="39"/>
      <c r="AM135" s="40"/>
      <c r="AN135" s="270"/>
      <c r="AO135" s="40"/>
    </row>
    <row r="136" spans="1:41" x14ac:dyDescent="0.45">
      <c r="A136" s="73"/>
      <c r="B136" s="73"/>
      <c r="C136" s="73"/>
      <c r="D136" s="73"/>
      <c r="E136" s="73"/>
      <c r="F136" s="73"/>
      <c r="G136" s="73" t="s">
        <v>193</v>
      </c>
      <c r="H136" s="124"/>
      <c r="I136" s="132"/>
      <c r="J136" s="349"/>
      <c r="K136" s="563"/>
      <c r="L136" s="37"/>
      <c r="M136" s="38"/>
      <c r="N136" s="39"/>
      <c r="O136" s="124"/>
      <c r="P136" s="38"/>
      <c r="Q136" s="15"/>
      <c r="R136" s="37"/>
      <c r="S136" s="38"/>
      <c r="T136" s="39"/>
      <c r="U136" s="37"/>
      <c r="V136" s="38"/>
      <c r="W136" s="132"/>
      <c r="X136" s="37"/>
      <c r="Y136" s="38"/>
      <c r="Z136" s="39"/>
      <c r="AA136" s="37"/>
      <c r="AB136" s="38"/>
      <c r="AC136" s="132"/>
      <c r="AD136" s="37"/>
      <c r="AE136" s="38"/>
      <c r="AF136" s="39"/>
      <c r="AG136" s="37"/>
      <c r="AH136" s="38"/>
      <c r="AI136" s="132"/>
      <c r="AJ136" s="37"/>
      <c r="AK136" s="38"/>
      <c r="AL136" s="39"/>
      <c r="AM136" s="40"/>
      <c r="AN136" s="270"/>
      <c r="AO136" s="40"/>
    </row>
    <row r="137" spans="1:41" x14ac:dyDescent="0.45">
      <c r="A137" s="258" t="s">
        <v>216</v>
      </c>
      <c r="B137" s="258">
        <v>89050</v>
      </c>
      <c r="C137" s="258" t="s">
        <v>65</v>
      </c>
      <c r="D137" s="258" t="s">
        <v>65</v>
      </c>
      <c r="E137" s="258" t="s">
        <v>217</v>
      </c>
      <c r="F137" s="140" t="s">
        <v>439</v>
      </c>
      <c r="G137" s="65" t="s">
        <v>436</v>
      </c>
      <c r="H137" s="141">
        <v>7</v>
      </c>
      <c r="I137" s="38">
        <f>Supplies!B31</f>
        <v>1204.99</v>
      </c>
      <c r="J137" s="38">
        <v>1</v>
      </c>
      <c r="K137" s="522" t="s">
        <v>183</v>
      </c>
      <c r="L137" s="37">
        <f>I137*H137*J137</f>
        <v>8434.93</v>
      </c>
      <c r="M137" s="38">
        <v>0</v>
      </c>
      <c r="N137" s="39">
        <f t="shared" si="246"/>
        <v>8434.93</v>
      </c>
      <c r="O137" s="141">
        <v>8</v>
      </c>
      <c r="P137" s="38">
        <f>I137*$H$6</f>
        <v>1241.1396999999999</v>
      </c>
      <c r="Q137" s="15">
        <v>1</v>
      </c>
      <c r="R137" s="37">
        <f>O137*P137</f>
        <v>9929.1175999999996</v>
      </c>
      <c r="S137" s="38">
        <v>0</v>
      </c>
      <c r="T137" s="39">
        <f t="shared" si="247"/>
        <v>9929.1175999999996</v>
      </c>
      <c r="U137" s="37">
        <f t="shared" si="248"/>
        <v>0</v>
      </c>
      <c r="V137" s="38">
        <f>P137*$H$6</f>
        <v>1278.373891</v>
      </c>
      <c r="W137" s="15">
        <v>1</v>
      </c>
      <c r="X137" s="37">
        <f t="shared" si="261"/>
        <v>0</v>
      </c>
      <c r="Y137" s="38">
        <v>0</v>
      </c>
      <c r="Z137" s="39">
        <f t="shared" si="250"/>
        <v>0</v>
      </c>
      <c r="AA137" s="37">
        <f t="shared" si="251"/>
        <v>0</v>
      </c>
      <c r="AB137" s="38">
        <f>I137*$H$6*$H$6*$H$6</f>
        <v>1316.72510773</v>
      </c>
      <c r="AC137" s="15">
        <v>1</v>
      </c>
      <c r="AD137" s="37">
        <f t="shared" si="262"/>
        <v>0</v>
      </c>
      <c r="AE137" s="38">
        <v>0</v>
      </c>
      <c r="AF137" s="39">
        <f t="shared" si="253"/>
        <v>0</v>
      </c>
      <c r="AG137" s="37">
        <f t="shared" si="254"/>
        <v>0</v>
      </c>
      <c r="AH137" s="38">
        <f>I137*$H$6*$H$6*$H$6*$H$6</f>
        <v>1356.2268609619</v>
      </c>
      <c r="AI137" s="15">
        <v>1</v>
      </c>
      <c r="AJ137" s="37">
        <f t="shared" si="263"/>
        <v>0</v>
      </c>
      <c r="AK137" s="38">
        <v>0</v>
      </c>
      <c r="AL137" s="39">
        <f t="shared" si="256"/>
        <v>0</v>
      </c>
      <c r="AM137" s="40">
        <f>L137+R137+X137+AD137+AJ137</f>
        <v>18364.047599999998</v>
      </c>
      <c r="AN137" s="270">
        <f t="shared" si="257"/>
        <v>0</v>
      </c>
      <c r="AO137" s="40">
        <f t="shared" si="258"/>
        <v>18364.047599999998</v>
      </c>
    </row>
    <row r="138" spans="1:41" x14ac:dyDescent="0.45">
      <c r="A138" s="258" t="s">
        <v>216</v>
      </c>
      <c r="B138" s="258">
        <v>89050</v>
      </c>
      <c r="C138" s="258" t="s">
        <v>65</v>
      </c>
      <c r="D138" s="258" t="s">
        <v>65</v>
      </c>
      <c r="E138" s="258" t="s">
        <v>217</v>
      </c>
      <c r="F138" s="140" t="s">
        <v>440</v>
      </c>
      <c r="G138" s="65" t="s">
        <v>441</v>
      </c>
      <c r="H138" s="141">
        <v>7</v>
      </c>
      <c r="I138" s="38">
        <v>270</v>
      </c>
      <c r="J138" s="38">
        <v>1</v>
      </c>
      <c r="K138" s="522" t="s">
        <v>183</v>
      </c>
      <c r="L138" s="37">
        <f>J138*I138*H138</f>
        <v>1890</v>
      </c>
      <c r="M138" s="38">
        <v>0</v>
      </c>
      <c r="N138" s="39">
        <f>SUM(L138:M138)</f>
        <v>1890</v>
      </c>
      <c r="O138" s="141">
        <v>8</v>
      </c>
      <c r="P138" s="38">
        <f t="shared" ref="P138:P139" si="265">I138*$H$6</f>
        <v>278.10000000000002</v>
      </c>
      <c r="Q138" s="15">
        <v>1</v>
      </c>
      <c r="R138" s="37">
        <f>O138*P138*Q138</f>
        <v>2224.8000000000002</v>
      </c>
      <c r="S138" s="38">
        <v>0</v>
      </c>
      <c r="T138" s="39">
        <f>SUM(R138:S138)</f>
        <v>2224.8000000000002</v>
      </c>
      <c r="U138" s="141">
        <v>0</v>
      </c>
      <c r="V138" s="38">
        <f t="shared" ref="V138:V139" si="266">P138*$H$6</f>
        <v>286.44300000000004</v>
      </c>
      <c r="W138" s="15">
        <v>1</v>
      </c>
      <c r="X138" s="37">
        <f>W138*V138*U138</f>
        <v>0</v>
      </c>
      <c r="Y138" s="38">
        <v>0</v>
      </c>
      <c r="Z138" s="39">
        <f>SUM(X138:Y138)</f>
        <v>0</v>
      </c>
      <c r="AA138" s="141">
        <v>0</v>
      </c>
      <c r="AB138" s="38">
        <f>I138*$H$6*$H$6*$H$6</f>
        <v>295.03629000000006</v>
      </c>
      <c r="AC138" s="15">
        <v>1</v>
      </c>
      <c r="AD138" s="37">
        <f>AC138*AB138*AA138</f>
        <v>0</v>
      </c>
      <c r="AE138" s="38">
        <v>0</v>
      </c>
      <c r="AF138" s="39">
        <f>SUM(AD138:AE138)</f>
        <v>0</v>
      </c>
      <c r="AG138" s="141">
        <v>0</v>
      </c>
      <c r="AH138" s="38">
        <f>I138*$H$6*$H$6*$H$6*$H$6</f>
        <v>303.88737870000006</v>
      </c>
      <c r="AI138" s="15">
        <v>1</v>
      </c>
      <c r="AJ138" s="37">
        <f>AI138*AH138*AG138</f>
        <v>0</v>
      </c>
      <c r="AK138" s="38">
        <v>0</v>
      </c>
      <c r="AL138" s="39">
        <f>SUM(AJ138:AK138)</f>
        <v>0</v>
      </c>
      <c r="AM138" s="40">
        <f>L138+R138+X138+AD138+AJ138</f>
        <v>4114.8</v>
      </c>
      <c r="AN138" s="270">
        <f>M138+S138+Y138+AE138+AK138</f>
        <v>0</v>
      </c>
      <c r="AO138" s="40">
        <f>SUM(AM138:AN138)</f>
        <v>4114.8</v>
      </c>
    </row>
    <row r="139" spans="1:41" x14ac:dyDescent="0.45">
      <c r="A139" s="258" t="s">
        <v>216</v>
      </c>
      <c r="B139" s="258">
        <v>89050</v>
      </c>
      <c r="C139" s="258" t="s">
        <v>65</v>
      </c>
      <c r="D139" s="258" t="s">
        <v>65</v>
      </c>
      <c r="E139" s="258" t="s">
        <v>217</v>
      </c>
      <c r="F139" s="140" t="s">
        <v>442</v>
      </c>
      <c r="G139" s="65" t="s">
        <v>443</v>
      </c>
      <c r="H139" s="141">
        <v>1</v>
      </c>
      <c r="I139" s="38">
        <v>750</v>
      </c>
      <c r="J139" s="1">
        <v>6</v>
      </c>
      <c r="K139" s="131" t="s">
        <v>107</v>
      </c>
      <c r="L139" s="37">
        <f>J139*I139*H139</f>
        <v>4500</v>
      </c>
      <c r="M139" s="38">
        <v>0</v>
      </c>
      <c r="N139" s="39">
        <f t="shared" ref="N139" si="267">SUM(L139:M139)</f>
        <v>4500</v>
      </c>
      <c r="O139" s="141">
        <v>1</v>
      </c>
      <c r="P139" s="38">
        <f t="shared" si="265"/>
        <v>772.5</v>
      </c>
      <c r="Q139" s="15">
        <v>12</v>
      </c>
      <c r="R139" s="37">
        <f>Q139*O139*P139</f>
        <v>9270</v>
      </c>
      <c r="S139" s="38">
        <v>0</v>
      </c>
      <c r="T139" s="39">
        <f t="shared" ref="T139" si="268">SUM(R139:S139)</f>
        <v>9270</v>
      </c>
      <c r="U139" s="37">
        <v>1</v>
      </c>
      <c r="V139" s="38">
        <f t="shared" si="266"/>
        <v>795.67500000000007</v>
      </c>
      <c r="W139" s="15">
        <v>12</v>
      </c>
      <c r="X139" s="37">
        <f>V139*W139*U139</f>
        <v>9548.1</v>
      </c>
      <c r="Y139" s="38">
        <v>0</v>
      </c>
      <c r="Z139" s="39">
        <f t="shared" ref="Z139" si="269">SUM(X139:Y139)</f>
        <v>9548.1</v>
      </c>
      <c r="AA139" s="37">
        <v>1</v>
      </c>
      <c r="AB139" s="38">
        <f>I139*$H$6*$H$6*$H$6*0.5</f>
        <v>409.77262500000006</v>
      </c>
      <c r="AC139" s="15">
        <v>12</v>
      </c>
      <c r="AD139" s="37">
        <f>AB139*AA139*AC139</f>
        <v>4917.2715000000007</v>
      </c>
      <c r="AE139" s="38">
        <v>0</v>
      </c>
      <c r="AF139" s="39">
        <f t="shared" ref="AF139" si="270">SUM(AD139:AE139)</f>
        <v>4917.2715000000007</v>
      </c>
      <c r="AG139" s="37">
        <v>1</v>
      </c>
      <c r="AH139" s="38">
        <f>I139*$H$6*$H$6*$H$6*$H$6*0.5</f>
        <v>422.0658037500001</v>
      </c>
      <c r="AI139" s="15">
        <v>9</v>
      </c>
      <c r="AJ139" s="37">
        <f>AH139*AG139*AI139</f>
        <v>3798.592233750001</v>
      </c>
      <c r="AK139" s="38">
        <v>0</v>
      </c>
      <c r="AL139" s="38">
        <f t="shared" ref="AL139" si="271">SUM(AJ139:AK139)</f>
        <v>3798.592233750001</v>
      </c>
      <c r="AM139" s="40">
        <f t="shared" ref="AM139" si="272">L139+R139+X139+AD139+AJ139</f>
        <v>32033.963733750003</v>
      </c>
      <c r="AN139" s="38">
        <f t="shared" si="257"/>
        <v>0</v>
      </c>
      <c r="AO139" s="40">
        <f t="shared" si="258"/>
        <v>32033.963733750003</v>
      </c>
    </row>
    <row r="140" spans="1:41" s="10" customFormat="1" ht="12.3" x14ac:dyDescent="0.4">
      <c r="A140" s="75"/>
      <c r="B140" s="75"/>
      <c r="C140" s="75"/>
      <c r="D140" s="75"/>
      <c r="E140" s="75"/>
      <c r="F140" s="705"/>
      <c r="G140" s="75" t="s">
        <v>207</v>
      </c>
      <c r="H140" s="144"/>
      <c r="I140" s="129"/>
      <c r="J140" s="350"/>
      <c r="K140" s="529"/>
      <c r="L140" s="42">
        <f>SUM(L137:L139)</f>
        <v>14824.93</v>
      </c>
      <c r="M140" s="42">
        <f>SUM(M137:M139)</f>
        <v>0</v>
      </c>
      <c r="N140" s="42">
        <f>SUM(N137:N139)</f>
        <v>14824.93</v>
      </c>
      <c r="O140" s="144"/>
      <c r="P140" s="43"/>
      <c r="Q140" s="129"/>
      <c r="R140" s="42">
        <f>SUM(R137:R139)</f>
        <v>21423.917600000001</v>
      </c>
      <c r="S140" s="42">
        <f>SUM(S137:S139)</f>
        <v>0</v>
      </c>
      <c r="T140" s="42">
        <f>SUM(T137:T139)</f>
        <v>21423.917600000001</v>
      </c>
      <c r="U140" s="144"/>
      <c r="V140" s="129"/>
      <c r="W140" s="129"/>
      <c r="X140" s="42">
        <f>SUM(X137:X139)</f>
        <v>9548.1</v>
      </c>
      <c r="Y140" s="42">
        <f>SUM(Y137:Y139)</f>
        <v>0</v>
      </c>
      <c r="Z140" s="42">
        <f>SUM(Z137:Z139)</f>
        <v>9548.1</v>
      </c>
      <c r="AA140" s="144"/>
      <c r="AB140" s="129"/>
      <c r="AC140" s="129"/>
      <c r="AD140" s="42">
        <f>SUM(AD137:AD139)</f>
        <v>4917.2715000000007</v>
      </c>
      <c r="AE140" s="42">
        <f>SUM(AE137:AE139)</f>
        <v>0</v>
      </c>
      <c r="AF140" s="42">
        <f>SUM(AF137:AF139)</f>
        <v>4917.2715000000007</v>
      </c>
      <c r="AG140" s="144"/>
      <c r="AH140" s="129"/>
      <c r="AI140" s="129"/>
      <c r="AJ140" s="42">
        <f t="shared" ref="AJ140:AO140" si="273">SUM(AJ137:AJ139)</f>
        <v>3798.592233750001</v>
      </c>
      <c r="AK140" s="42">
        <f t="shared" si="273"/>
        <v>0</v>
      </c>
      <c r="AL140" s="42">
        <f t="shared" si="273"/>
        <v>3798.592233750001</v>
      </c>
      <c r="AM140" s="45">
        <f>SUM(AM137:AM139)</f>
        <v>54512.811333749996</v>
      </c>
      <c r="AN140" s="248">
        <f t="shared" si="273"/>
        <v>0</v>
      </c>
      <c r="AO140" s="45">
        <f t="shared" si="273"/>
        <v>54512.811333749996</v>
      </c>
    </row>
    <row r="141" spans="1:41" x14ac:dyDescent="0.45">
      <c r="A141" s="84"/>
      <c r="B141" s="84"/>
      <c r="C141" s="84"/>
      <c r="D141" s="84"/>
      <c r="E141" s="84"/>
      <c r="F141" s="84"/>
      <c r="G141" s="84"/>
      <c r="H141" s="154"/>
      <c r="I141" s="155"/>
      <c r="J141" s="302"/>
      <c r="K141" s="525"/>
      <c r="L141" s="85"/>
      <c r="M141" s="86"/>
      <c r="N141" s="87"/>
      <c r="O141" s="154"/>
      <c r="P141" s="155"/>
      <c r="Q141" s="155"/>
      <c r="R141" s="85"/>
      <c r="S141" s="86"/>
      <c r="T141" s="87"/>
      <c r="U141" s="154"/>
      <c r="V141" s="155"/>
      <c r="W141" s="155"/>
      <c r="X141" s="85"/>
      <c r="Y141" s="86"/>
      <c r="Z141" s="87"/>
      <c r="AA141" s="154"/>
      <c r="AB141" s="155"/>
      <c r="AC141" s="155"/>
      <c r="AD141" s="85"/>
      <c r="AE141" s="86"/>
      <c r="AF141" s="87"/>
      <c r="AG141" s="154"/>
      <c r="AH141" s="155"/>
      <c r="AI141" s="155"/>
      <c r="AJ141" s="85"/>
      <c r="AK141" s="86"/>
      <c r="AL141" s="87"/>
      <c r="AM141" s="88"/>
      <c r="AN141" s="256"/>
      <c r="AO141" s="88"/>
    </row>
    <row r="142" spans="1:41" s="9" customFormat="1" ht="12.3" x14ac:dyDescent="0.4">
      <c r="A142" s="49"/>
      <c r="B142" s="49"/>
      <c r="C142" s="49"/>
      <c r="D142" s="49"/>
      <c r="E142" s="49"/>
      <c r="F142" s="704"/>
      <c r="G142" s="49" t="s">
        <v>208</v>
      </c>
      <c r="H142" s="133"/>
      <c r="I142" s="134"/>
      <c r="J142" s="296"/>
      <c r="K142" s="518"/>
      <c r="L142" s="50">
        <f>L140+L134</f>
        <v>18439.900000000001</v>
      </c>
      <c r="M142" s="50">
        <f>M140+M134</f>
        <v>0</v>
      </c>
      <c r="N142" s="50">
        <f>N140+N134</f>
        <v>18439.900000000001</v>
      </c>
      <c r="O142" s="133"/>
      <c r="P142" s="134"/>
      <c r="Q142" s="134"/>
      <c r="R142" s="50">
        <f>R140+R134</f>
        <v>21423.917600000001</v>
      </c>
      <c r="S142" s="50">
        <f>S140+S134</f>
        <v>0</v>
      </c>
      <c r="T142" s="50">
        <f>T140+T134</f>
        <v>21423.917600000001</v>
      </c>
      <c r="U142" s="133"/>
      <c r="V142" s="134"/>
      <c r="W142" s="134"/>
      <c r="X142" s="50">
        <f>X140+X134</f>
        <v>9548.1</v>
      </c>
      <c r="Y142" s="50">
        <f>Y140+Y134</f>
        <v>0</v>
      </c>
      <c r="Z142" s="50">
        <f>Z140+Z134</f>
        <v>9548.1</v>
      </c>
      <c r="AA142" s="133"/>
      <c r="AB142" s="134"/>
      <c r="AC142" s="134"/>
      <c r="AD142" s="50">
        <f>AD140+AD134</f>
        <v>4917.2715000000007</v>
      </c>
      <c r="AE142" s="50">
        <f>AE140+AE134</f>
        <v>0</v>
      </c>
      <c r="AF142" s="50">
        <f>AF140+AF134</f>
        <v>4917.2715000000007</v>
      </c>
      <c r="AG142" s="133"/>
      <c r="AH142" s="134"/>
      <c r="AI142" s="134"/>
      <c r="AJ142" s="50">
        <f>AJ140+AJ134</f>
        <v>3798.592233750001</v>
      </c>
      <c r="AK142" s="50">
        <f>AK140+AK134</f>
        <v>0</v>
      </c>
      <c r="AL142" s="50">
        <f>AL140+AL134</f>
        <v>3798.592233750001</v>
      </c>
      <c r="AM142" s="71">
        <f>AJ142+AD142+X142+R142+L142</f>
        <v>58127.781333750005</v>
      </c>
      <c r="AN142" s="257">
        <f t="shared" ref="AN142" si="274">AK142+AE142+Y142+S142+M142</f>
        <v>0</v>
      </c>
      <c r="AO142" s="71">
        <f>AL142+AF142+Z142+T142+N142</f>
        <v>58127.781333750005</v>
      </c>
    </row>
    <row r="143" spans="1:41" x14ac:dyDescent="0.45">
      <c r="A143" s="89"/>
      <c r="B143" s="89"/>
      <c r="C143" s="89"/>
      <c r="D143" s="89"/>
      <c r="E143" s="89"/>
      <c r="F143" s="707"/>
      <c r="G143" s="89"/>
      <c r="H143" s="135"/>
      <c r="I143" s="136"/>
      <c r="J143" s="297"/>
      <c r="K143" s="519"/>
      <c r="L143" s="52"/>
      <c r="M143" s="53"/>
      <c r="N143" s="54"/>
      <c r="O143" s="135"/>
      <c r="P143" s="136"/>
      <c r="Q143" s="136"/>
      <c r="R143" s="52"/>
      <c r="S143" s="53"/>
      <c r="T143" s="54"/>
      <c r="U143" s="135"/>
      <c r="V143" s="136"/>
      <c r="W143" s="136"/>
      <c r="X143" s="52"/>
      <c r="Y143" s="53"/>
      <c r="Z143" s="54"/>
      <c r="AA143" s="135"/>
      <c r="AB143" s="136"/>
      <c r="AC143" s="136"/>
      <c r="AD143" s="52"/>
      <c r="AE143" s="53"/>
      <c r="AF143" s="54"/>
      <c r="AG143" s="135"/>
      <c r="AH143" s="136"/>
      <c r="AI143" s="136"/>
      <c r="AJ143" s="52"/>
      <c r="AK143" s="53"/>
      <c r="AL143" s="54"/>
      <c r="AM143" s="55"/>
      <c r="AN143" s="249"/>
      <c r="AO143" s="55"/>
    </row>
    <row r="144" spans="1:41" x14ac:dyDescent="0.45">
      <c r="A144" s="56"/>
      <c r="B144" s="56"/>
      <c r="C144" s="56"/>
      <c r="D144" s="56"/>
      <c r="E144" s="56"/>
      <c r="F144" s="56"/>
      <c r="G144" s="56" t="s">
        <v>18</v>
      </c>
      <c r="H144" s="137"/>
      <c r="I144" s="138"/>
      <c r="J144" s="138"/>
      <c r="K144" s="520"/>
      <c r="L144" s="57"/>
      <c r="M144" s="58"/>
      <c r="N144" s="59"/>
      <c r="O144" s="137"/>
      <c r="P144" s="138"/>
      <c r="Q144" s="138"/>
      <c r="R144" s="57"/>
      <c r="S144" s="58"/>
      <c r="T144" s="59"/>
      <c r="U144" s="137"/>
      <c r="V144" s="138"/>
      <c r="W144" s="138"/>
      <c r="X144" s="57"/>
      <c r="Y144" s="58"/>
      <c r="Z144" s="59"/>
      <c r="AA144" s="137"/>
      <c r="AB144" s="138"/>
      <c r="AC144" s="138"/>
      <c r="AD144" s="57"/>
      <c r="AE144" s="58"/>
      <c r="AF144" s="59"/>
      <c r="AG144" s="137"/>
      <c r="AH144" s="138"/>
      <c r="AI144" s="138"/>
      <c r="AJ144" s="57"/>
      <c r="AK144" s="58"/>
      <c r="AL144" s="59"/>
      <c r="AM144" s="60"/>
      <c r="AN144" s="251"/>
      <c r="AO144" s="60"/>
    </row>
    <row r="145" spans="1:45" x14ac:dyDescent="0.45">
      <c r="A145" s="61"/>
      <c r="B145" s="61"/>
      <c r="C145" s="61"/>
      <c r="D145" s="61"/>
      <c r="E145" s="61"/>
      <c r="F145" s="61"/>
      <c r="G145" s="61"/>
      <c r="H145" s="141"/>
      <c r="I145" s="152"/>
      <c r="J145" s="152"/>
      <c r="K145" s="524"/>
      <c r="L145" s="30"/>
      <c r="M145" s="63"/>
      <c r="N145" s="72"/>
      <c r="O145" s="153"/>
      <c r="P145" s="152"/>
      <c r="Q145" s="152"/>
      <c r="R145" s="62"/>
      <c r="S145" s="63"/>
      <c r="T145" s="72"/>
      <c r="U145" s="153"/>
      <c r="V145" s="152"/>
      <c r="W145" s="152"/>
      <c r="X145" s="62"/>
      <c r="Y145" s="63"/>
      <c r="Z145" s="72"/>
      <c r="AA145" s="153"/>
      <c r="AB145" s="152"/>
      <c r="AC145" s="152"/>
      <c r="AD145" s="62"/>
      <c r="AE145" s="63"/>
      <c r="AF145" s="72"/>
      <c r="AG145" s="153"/>
      <c r="AH145" s="152"/>
      <c r="AI145" s="152"/>
      <c r="AJ145" s="62"/>
      <c r="AK145" s="63"/>
      <c r="AL145" s="72"/>
      <c r="AM145" s="40"/>
      <c r="AN145" s="253"/>
      <c r="AO145" s="64"/>
    </row>
    <row r="146" spans="1:45" x14ac:dyDescent="0.45">
      <c r="A146" s="47"/>
      <c r="B146" s="47"/>
      <c r="C146" s="47"/>
      <c r="D146" s="47"/>
      <c r="E146" s="47"/>
      <c r="F146" s="47"/>
      <c r="G146" s="47" t="s">
        <v>209</v>
      </c>
      <c r="H146" s="124"/>
      <c r="I146" s="132"/>
      <c r="J146" s="132"/>
      <c r="K146" s="132"/>
      <c r="L146" s="37"/>
      <c r="M146" s="38"/>
      <c r="N146" s="39"/>
      <c r="O146" s="124"/>
      <c r="P146" s="132"/>
      <c r="Q146" s="132"/>
      <c r="R146" s="37"/>
      <c r="S146" s="38"/>
      <c r="T146" s="39"/>
      <c r="U146" s="124"/>
      <c r="V146" s="132"/>
      <c r="W146" s="132"/>
      <c r="X146" s="37"/>
      <c r="Y146" s="38"/>
      <c r="Z146" s="39"/>
      <c r="AA146" s="124"/>
      <c r="AB146" s="132"/>
      <c r="AC146" s="132"/>
      <c r="AD146" s="37"/>
      <c r="AE146" s="38"/>
      <c r="AF146" s="39"/>
      <c r="AG146" s="124"/>
      <c r="AH146" s="132"/>
      <c r="AI146" s="132"/>
      <c r="AJ146" s="37"/>
      <c r="AK146" s="38"/>
      <c r="AL146" s="38"/>
      <c r="AM146" s="40"/>
      <c r="AN146" s="38"/>
      <c r="AO146" s="40"/>
    </row>
    <row r="147" spans="1:45" x14ac:dyDescent="0.45">
      <c r="A147" s="258" t="s">
        <v>216</v>
      </c>
      <c r="B147" s="258">
        <v>89050</v>
      </c>
      <c r="C147" s="258" t="s">
        <v>65</v>
      </c>
      <c r="D147" s="258" t="s">
        <v>65</v>
      </c>
      <c r="E147" s="258" t="s">
        <v>217</v>
      </c>
      <c r="F147" s="140" t="s">
        <v>444</v>
      </c>
      <c r="G147" s="65" t="s">
        <v>445</v>
      </c>
      <c r="H147" s="140">
        <v>1</v>
      </c>
      <c r="I147" s="38">
        <v>200000</v>
      </c>
      <c r="J147" s="1">
        <v>1</v>
      </c>
      <c r="K147" s="1" t="s">
        <v>183</v>
      </c>
      <c r="L147" s="37">
        <f>I147*H147</f>
        <v>200000</v>
      </c>
      <c r="M147" s="38">
        <v>0</v>
      </c>
      <c r="N147" s="39">
        <f>SUM(L147:M147)</f>
        <v>200000</v>
      </c>
      <c r="O147" s="140">
        <v>1</v>
      </c>
      <c r="P147" s="38">
        <f>I147</f>
        <v>200000</v>
      </c>
      <c r="Q147" s="1">
        <v>1</v>
      </c>
      <c r="R147" s="37">
        <f>P147*O147</f>
        <v>200000</v>
      </c>
      <c r="S147" s="38">
        <v>0</v>
      </c>
      <c r="T147" s="39">
        <f>SUM(R147:S147)</f>
        <v>200000</v>
      </c>
      <c r="U147" s="140">
        <v>1</v>
      </c>
      <c r="V147" s="38">
        <f>I147</f>
        <v>200000</v>
      </c>
      <c r="W147" s="1">
        <v>1</v>
      </c>
      <c r="X147" s="37">
        <f>U147*V147</f>
        <v>200000</v>
      </c>
      <c r="Y147" s="38">
        <v>0</v>
      </c>
      <c r="Z147" s="39">
        <f>SUM(X147:Y147)</f>
        <v>200000</v>
      </c>
      <c r="AA147" s="140">
        <v>1</v>
      </c>
      <c r="AB147" s="38">
        <f>I147</f>
        <v>200000</v>
      </c>
      <c r="AC147" s="1">
        <v>1</v>
      </c>
      <c r="AD147" s="37">
        <f>AB147*AA147*AC147</f>
        <v>200000</v>
      </c>
      <c r="AE147" s="38">
        <v>0</v>
      </c>
      <c r="AF147" s="39">
        <f>SUM(AD147:AE147)</f>
        <v>200000</v>
      </c>
      <c r="AG147" s="140">
        <v>1</v>
      </c>
      <c r="AH147" s="38">
        <f>I147</f>
        <v>200000</v>
      </c>
      <c r="AI147" s="1">
        <v>1</v>
      </c>
      <c r="AJ147" s="37">
        <f>AH147*AG147*AI147</f>
        <v>200000</v>
      </c>
      <c r="AK147" s="38">
        <v>0</v>
      </c>
      <c r="AL147" s="38">
        <f>SUM(AJ147:AK147)</f>
        <v>200000</v>
      </c>
      <c r="AM147" s="40">
        <f t="shared" ref="AM147:AN147" si="275">L147+R147+X147+AD147+AJ147</f>
        <v>1000000</v>
      </c>
      <c r="AN147" s="38">
        <f t="shared" si="275"/>
        <v>0</v>
      </c>
      <c r="AO147" s="40">
        <f t="shared" ref="AO147" si="276">SUM(AM147:AN147)</f>
        <v>1000000</v>
      </c>
      <c r="AP147" s="613"/>
      <c r="AR147" s="91"/>
      <c r="AS147" s="91"/>
    </row>
    <row r="148" spans="1:45" s="10" customFormat="1" ht="12.3" x14ac:dyDescent="0.4">
      <c r="A148" s="75"/>
      <c r="B148" s="75"/>
      <c r="C148" s="75"/>
      <c r="D148" s="75"/>
      <c r="E148" s="75"/>
      <c r="F148" s="705"/>
      <c r="G148" s="75" t="s">
        <v>219</v>
      </c>
      <c r="H148" s="144"/>
      <c r="I148" s="129"/>
      <c r="J148" s="145"/>
      <c r="K148" s="129"/>
      <c r="L148" s="42">
        <f>SUM(L144:L147)</f>
        <v>200000</v>
      </c>
      <c r="M148" s="43">
        <f>SUM(M144:M147)</f>
        <v>0</v>
      </c>
      <c r="N148" s="43">
        <f>SUM(N144:N147)</f>
        <v>200000</v>
      </c>
      <c r="O148" s="144"/>
      <c r="P148" s="43"/>
      <c r="Q148" s="129"/>
      <c r="R148" s="42">
        <f>SUM(R144:R147)</f>
        <v>200000</v>
      </c>
      <c r="S148" s="42">
        <f>SUM(S144:S147)</f>
        <v>0</v>
      </c>
      <c r="T148" s="42">
        <f>SUM(T144:T147)</f>
        <v>200000</v>
      </c>
      <c r="U148" s="144"/>
      <c r="V148" s="129"/>
      <c r="W148" s="129"/>
      <c r="X148" s="42">
        <f>SUM(X144:X147)</f>
        <v>200000</v>
      </c>
      <c r="Y148" s="42">
        <f>SUM(Y144:Y147)</f>
        <v>0</v>
      </c>
      <c r="Z148" s="42">
        <f>SUM(Z144:Z147)</f>
        <v>200000</v>
      </c>
      <c r="AA148" s="144"/>
      <c r="AB148" s="129"/>
      <c r="AC148" s="129"/>
      <c r="AD148" s="42">
        <f>SUM(AD144:AD147)</f>
        <v>200000</v>
      </c>
      <c r="AE148" s="42">
        <f>SUM(AE144:AE147)</f>
        <v>0</v>
      </c>
      <c r="AF148" s="42">
        <f>SUM(AF144:AF147)</f>
        <v>200000</v>
      </c>
      <c r="AG148" s="144"/>
      <c r="AH148" s="129"/>
      <c r="AI148" s="129"/>
      <c r="AJ148" s="42">
        <f t="shared" ref="AJ148:AO148" si="277">SUM(AJ144:AJ147)</f>
        <v>200000</v>
      </c>
      <c r="AK148" s="42">
        <f t="shared" si="277"/>
        <v>0</v>
      </c>
      <c r="AL148" s="43">
        <f t="shared" si="277"/>
        <v>200000</v>
      </c>
      <c r="AM148" s="45">
        <f t="shared" si="277"/>
        <v>1000000</v>
      </c>
      <c r="AN148" s="43">
        <f t="shared" si="277"/>
        <v>0</v>
      </c>
      <c r="AO148" s="45">
        <f t="shared" si="277"/>
        <v>1000000</v>
      </c>
    </row>
    <row r="149" spans="1:45" s="10" customFormat="1" ht="12.3" x14ac:dyDescent="0.4">
      <c r="A149" s="75"/>
      <c r="B149" s="75"/>
      <c r="C149" s="75"/>
      <c r="D149" s="75"/>
      <c r="E149" s="75"/>
      <c r="F149" s="705"/>
      <c r="G149" s="75"/>
      <c r="H149" s="144"/>
      <c r="I149" s="129"/>
      <c r="J149" s="145"/>
      <c r="K149" s="129"/>
      <c r="L149" s="42"/>
      <c r="M149" s="43"/>
      <c r="N149" s="43"/>
      <c r="O149" s="144"/>
      <c r="P149" s="43"/>
      <c r="Q149" s="129"/>
      <c r="R149" s="42"/>
      <c r="S149" s="43"/>
      <c r="T149" s="43"/>
      <c r="U149" s="144"/>
      <c r="V149" s="129"/>
      <c r="W149" s="129"/>
      <c r="X149" s="42"/>
      <c r="Y149" s="43"/>
      <c r="Z149" s="43"/>
      <c r="AA149" s="144"/>
      <c r="AB149" s="129"/>
      <c r="AC149" s="129"/>
      <c r="AD149" s="42"/>
      <c r="AE149" s="43"/>
      <c r="AF149" s="43"/>
      <c r="AG149" s="144"/>
      <c r="AH149" s="129"/>
      <c r="AI149" s="129"/>
      <c r="AJ149" s="42"/>
      <c r="AK149" s="43"/>
      <c r="AL149" s="43"/>
      <c r="AM149" s="45"/>
      <c r="AN149" s="43"/>
      <c r="AO149" s="45"/>
    </row>
    <row r="150" spans="1:45" x14ac:dyDescent="0.45">
      <c r="A150" s="47"/>
      <c r="B150" s="47"/>
      <c r="C150" s="47"/>
      <c r="D150" s="47"/>
      <c r="E150" s="47"/>
      <c r="F150" s="47"/>
      <c r="G150" s="47" t="s">
        <v>225</v>
      </c>
      <c r="H150" s="140"/>
      <c r="J150" s="1"/>
      <c r="K150" s="1"/>
      <c r="L150" s="37"/>
      <c r="M150" s="38"/>
      <c r="N150" s="39"/>
      <c r="O150" s="140"/>
      <c r="R150" s="37"/>
      <c r="S150" s="38"/>
      <c r="T150" s="39"/>
      <c r="U150" s="140"/>
      <c r="X150" s="37"/>
      <c r="Y150" s="38"/>
      <c r="Z150" s="39"/>
      <c r="AA150" s="140"/>
      <c r="AD150" s="37"/>
      <c r="AE150" s="38"/>
      <c r="AF150" s="39"/>
      <c r="AG150" s="140"/>
      <c r="AJ150" s="37"/>
      <c r="AK150" s="38"/>
      <c r="AL150" s="38"/>
      <c r="AM150" s="40"/>
      <c r="AN150" s="38"/>
      <c r="AO150" s="40"/>
      <c r="AQ150" s="91"/>
      <c r="AR150" s="91"/>
      <c r="AS150" s="91"/>
    </row>
    <row r="151" spans="1:45" x14ac:dyDescent="0.45">
      <c r="A151" s="258" t="s">
        <v>216</v>
      </c>
      <c r="B151" s="258">
        <v>89050</v>
      </c>
      <c r="C151" s="258" t="s">
        <v>65</v>
      </c>
      <c r="D151" s="258" t="s">
        <v>65</v>
      </c>
      <c r="E151" s="258" t="s">
        <v>217</v>
      </c>
      <c r="F151" s="140" t="s">
        <v>446</v>
      </c>
      <c r="G151" s="65" t="s">
        <v>229</v>
      </c>
      <c r="H151" s="140">
        <v>1</v>
      </c>
      <c r="I151" s="15">
        <v>700</v>
      </c>
      <c r="J151" s="1">
        <v>6</v>
      </c>
      <c r="K151" s="1" t="s">
        <v>107</v>
      </c>
      <c r="L151" s="37">
        <f>J151*I151*H151</f>
        <v>4200</v>
      </c>
      <c r="M151" s="38">
        <v>0</v>
      </c>
      <c r="N151" s="39">
        <f>SUM(L151:M151)</f>
        <v>4200</v>
      </c>
      <c r="O151" s="140">
        <v>1</v>
      </c>
      <c r="P151" s="38">
        <f>I151</f>
        <v>700</v>
      </c>
      <c r="Q151" s="1">
        <v>12</v>
      </c>
      <c r="R151" s="37">
        <f>Q151*P151*O151</f>
        <v>8400</v>
      </c>
      <c r="S151" s="38">
        <v>0</v>
      </c>
      <c r="T151" s="39">
        <f>SUM(R151:S151)</f>
        <v>8400</v>
      </c>
      <c r="U151" s="140">
        <v>1</v>
      </c>
      <c r="V151" s="38">
        <f>I151</f>
        <v>700</v>
      </c>
      <c r="W151" s="1">
        <v>12</v>
      </c>
      <c r="X151" s="37">
        <f>W151*V151*U151</f>
        <v>8400</v>
      </c>
      <c r="Y151" s="38">
        <v>0</v>
      </c>
      <c r="Z151" s="39">
        <f>SUM(X151:Y151)</f>
        <v>8400</v>
      </c>
      <c r="AA151" s="140">
        <v>1</v>
      </c>
      <c r="AB151" s="38">
        <f>I151</f>
        <v>700</v>
      </c>
      <c r="AC151" s="1">
        <v>12</v>
      </c>
      <c r="AD151" s="37">
        <f>AC151*AB151*AA151</f>
        <v>8400</v>
      </c>
      <c r="AE151" s="38">
        <v>0</v>
      </c>
      <c r="AF151" s="39">
        <f>SUM(AD151:AE151)</f>
        <v>8400</v>
      </c>
      <c r="AG151" s="140">
        <v>1</v>
      </c>
      <c r="AH151" s="38">
        <f>I151</f>
        <v>700</v>
      </c>
      <c r="AI151" s="1">
        <v>9</v>
      </c>
      <c r="AJ151" s="37">
        <f>AI151*AG151*AH151</f>
        <v>6300</v>
      </c>
      <c r="AK151" s="38">
        <v>0</v>
      </c>
      <c r="AL151" s="38">
        <f>SUM(AJ151:AK151)</f>
        <v>6300</v>
      </c>
      <c r="AM151" s="40">
        <f t="shared" ref="AM151:AN151" si="278">L151+R151+X151+AD151+AJ151</f>
        <v>35700</v>
      </c>
      <c r="AN151" s="38">
        <f t="shared" si="278"/>
        <v>0</v>
      </c>
      <c r="AO151" s="40">
        <f t="shared" ref="AO151" si="279">SUM(AM151:AN151)</f>
        <v>35700</v>
      </c>
      <c r="AQ151" s="91"/>
      <c r="AR151" s="91"/>
      <c r="AS151" s="91"/>
    </row>
    <row r="152" spans="1:45" s="10" customFormat="1" ht="12.3" x14ac:dyDescent="0.4">
      <c r="A152" s="75"/>
      <c r="B152" s="75"/>
      <c r="C152" s="75"/>
      <c r="D152" s="75"/>
      <c r="E152" s="75"/>
      <c r="F152" s="705"/>
      <c r="G152" s="75" t="s">
        <v>230</v>
      </c>
      <c r="H152" s="144"/>
      <c r="I152" s="129"/>
      <c r="J152" s="145"/>
      <c r="K152" s="129"/>
      <c r="L152" s="42">
        <f>SUM(L151:L151)</f>
        <v>4200</v>
      </c>
      <c r="M152" s="42">
        <f>SUM(M151:M151)</f>
        <v>0</v>
      </c>
      <c r="N152" s="42">
        <f>SUM(N151:N151)</f>
        <v>4200</v>
      </c>
      <c r="O152" s="144"/>
      <c r="P152" s="43"/>
      <c r="Q152" s="129"/>
      <c r="R152" s="42">
        <f>SUM(R151:R151)</f>
        <v>8400</v>
      </c>
      <c r="S152" s="42">
        <f>SUM(S151:S151)</f>
        <v>0</v>
      </c>
      <c r="T152" s="42">
        <f>SUM(T151:T151)</f>
        <v>8400</v>
      </c>
      <c r="U152" s="144"/>
      <c r="V152" s="129"/>
      <c r="W152" s="129"/>
      <c r="X152" s="42">
        <f>SUM(X151:X151)</f>
        <v>8400</v>
      </c>
      <c r="Y152" s="42">
        <f>SUM(Y151:Y151)</f>
        <v>0</v>
      </c>
      <c r="Z152" s="42">
        <f>SUM(Z151:Z151)</f>
        <v>8400</v>
      </c>
      <c r="AA152" s="144"/>
      <c r="AB152" s="129"/>
      <c r="AC152" s="129"/>
      <c r="AD152" s="42">
        <f>SUM(AD151:AD151)</f>
        <v>8400</v>
      </c>
      <c r="AE152" s="42">
        <f>SUM(AE151:AE151)</f>
        <v>0</v>
      </c>
      <c r="AF152" s="42">
        <f>SUM(AF151:AF151)</f>
        <v>8400</v>
      </c>
      <c r="AG152" s="144"/>
      <c r="AH152" s="129"/>
      <c r="AI152" s="129"/>
      <c r="AJ152" s="42">
        <f>SUM(AJ151:AJ151)</f>
        <v>6300</v>
      </c>
      <c r="AK152" s="42">
        <f>SUM(AK151:AK151)</f>
        <v>0</v>
      </c>
      <c r="AL152" s="42">
        <f>SUM(AL151:AL151)</f>
        <v>6300</v>
      </c>
      <c r="AM152" s="45">
        <f>SUM(AM150:AM151)</f>
        <v>35700</v>
      </c>
      <c r="AN152" s="43">
        <f>SUM(AN150:AN151)</f>
        <v>0</v>
      </c>
      <c r="AO152" s="45">
        <f>SUM(AO150:AO151)</f>
        <v>35700</v>
      </c>
    </row>
    <row r="153" spans="1:45" x14ac:dyDescent="0.45">
      <c r="A153" s="84"/>
      <c r="B153" s="84"/>
      <c r="C153" s="84"/>
      <c r="D153" s="84"/>
      <c r="E153" s="84"/>
      <c r="F153" s="84"/>
      <c r="G153" s="84"/>
      <c r="H153" s="154"/>
      <c r="I153" s="38"/>
      <c r="J153" s="155"/>
      <c r="K153" s="525"/>
      <c r="L153" s="85"/>
      <c r="M153" s="86"/>
      <c r="N153" s="87"/>
      <c r="O153" s="154"/>
      <c r="P153" s="155"/>
      <c r="Q153" s="155"/>
      <c r="R153" s="85"/>
      <c r="S153" s="86"/>
      <c r="T153" s="87"/>
      <c r="U153" s="154"/>
      <c r="V153" s="155"/>
      <c r="W153" s="155"/>
      <c r="X153" s="85"/>
      <c r="Y153" s="86"/>
      <c r="Z153" s="87"/>
      <c r="AA153" s="154"/>
      <c r="AB153" s="155"/>
      <c r="AC153" s="155"/>
      <c r="AD153" s="85"/>
      <c r="AE153" s="86"/>
      <c r="AF153" s="87"/>
      <c r="AG153" s="154"/>
      <c r="AH153" s="155"/>
      <c r="AI153" s="155"/>
      <c r="AJ153" s="85"/>
      <c r="AK153" s="86"/>
      <c r="AL153" s="87"/>
      <c r="AM153" s="88"/>
      <c r="AN153" s="256"/>
      <c r="AO153" s="88"/>
    </row>
    <row r="154" spans="1:45" s="9" customFormat="1" ht="12.3" x14ac:dyDescent="0.4">
      <c r="A154" s="49"/>
      <c r="B154" s="49"/>
      <c r="C154" s="49"/>
      <c r="D154" s="49"/>
      <c r="E154" s="49"/>
      <c r="F154" s="704"/>
      <c r="G154" s="49" t="s">
        <v>245</v>
      </c>
      <c r="H154" s="133"/>
      <c r="I154" s="134"/>
      <c r="J154" s="134"/>
      <c r="K154" s="518"/>
      <c r="L154" s="50">
        <f>L152+L148</f>
        <v>204200</v>
      </c>
      <c r="M154" s="50">
        <f>M152+M148</f>
        <v>0</v>
      </c>
      <c r="N154" s="50">
        <f>N152+N148</f>
        <v>204200</v>
      </c>
      <c r="O154" s="133"/>
      <c r="P154" s="134"/>
      <c r="Q154" s="134"/>
      <c r="R154" s="50">
        <f>R152+R148</f>
        <v>208400</v>
      </c>
      <c r="S154" s="50">
        <f>S152+S148</f>
        <v>0</v>
      </c>
      <c r="T154" s="50">
        <f>T152+T148</f>
        <v>208400</v>
      </c>
      <c r="U154" s="133"/>
      <c r="V154" s="134"/>
      <c r="W154" s="134"/>
      <c r="X154" s="50">
        <f>X152+X148</f>
        <v>208400</v>
      </c>
      <c r="Y154" s="50">
        <f>Y152+Y148</f>
        <v>0</v>
      </c>
      <c r="Z154" s="50">
        <f>Z152+Z148</f>
        <v>208400</v>
      </c>
      <c r="AA154" s="133"/>
      <c r="AB154" s="134"/>
      <c r="AC154" s="134"/>
      <c r="AD154" s="50">
        <f>AD152+AD148</f>
        <v>208400</v>
      </c>
      <c r="AE154" s="50">
        <f>AE152+AE148</f>
        <v>0</v>
      </c>
      <c r="AF154" s="50">
        <f>AF152+AF148</f>
        <v>208400</v>
      </c>
      <c r="AG154" s="133"/>
      <c r="AH154" s="134"/>
      <c r="AI154" s="134"/>
      <c r="AJ154" s="50">
        <f t="shared" ref="AJ154:AO154" si="280">AJ152+AJ148</f>
        <v>206300</v>
      </c>
      <c r="AK154" s="50">
        <f t="shared" si="280"/>
        <v>0</v>
      </c>
      <c r="AL154" s="50">
        <f t="shared" si="280"/>
        <v>206300</v>
      </c>
      <c r="AM154" s="50">
        <f t="shared" si="280"/>
        <v>1035700</v>
      </c>
      <c r="AN154" s="50">
        <f t="shared" si="280"/>
        <v>0</v>
      </c>
      <c r="AO154" s="50">
        <f t="shared" si="280"/>
        <v>1035700</v>
      </c>
    </row>
    <row r="155" spans="1:45" s="9" customFormat="1" ht="12.3" x14ac:dyDescent="0.4">
      <c r="A155" s="94"/>
      <c r="B155" s="94"/>
      <c r="C155" s="94"/>
      <c r="D155" s="94"/>
      <c r="E155" s="94"/>
      <c r="F155" s="708"/>
      <c r="G155" s="94"/>
      <c r="H155" s="158"/>
      <c r="I155" s="159"/>
      <c r="J155" s="304"/>
      <c r="K155" s="527"/>
      <c r="L155" s="95"/>
      <c r="M155" s="96"/>
      <c r="N155" s="97"/>
      <c r="O155" s="158"/>
      <c r="P155" s="159"/>
      <c r="Q155" s="159"/>
      <c r="R155" s="95"/>
      <c r="S155" s="96"/>
      <c r="T155" s="97"/>
      <c r="U155" s="158"/>
      <c r="V155" s="159"/>
      <c r="W155" s="159"/>
      <c r="X155" s="95"/>
      <c r="Y155" s="96"/>
      <c r="Z155" s="97"/>
      <c r="AA155" s="158"/>
      <c r="AB155" s="159"/>
      <c r="AC155" s="159"/>
      <c r="AD155" s="95"/>
      <c r="AE155" s="96"/>
      <c r="AF155" s="97"/>
      <c r="AG155" s="158"/>
      <c r="AH155" s="159"/>
      <c r="AI155" s="159"/>
      <c r="AJ155" s="95"/>
      <c r="AK155" s="96"/>
      <c r="AL155" s="97"/>
      <c r="AM155" s="98"/>
      <c r="AN155" s="260"/>
      <c r="AO155" s="98"/>
    </row>
    <row r="156" spans="1:45" x14ac:dyDescent="0.45">
      <c r="A156" s="99"/>
      <c r="B156" s="99"/>
      <c r="C156" s="99"/>
      <c r="D156" s="99"/>
      <c r="E156" s="99"/>
      <c r="F156" s="99"/>
      <c r="G156" s="99" t="s">
        <v>19</v>
      </c>
      <c r="H156" s="160"/>
      <c r="I156" s="161"/>
      <c r="J156" s="305"/>
      <c r="K156" s="528"/>
      <c r="L156" s="57"/>
      <c r="M156" s="58"/>
      <c r="N156" s="59"/>
      <c r="O156" s="160"/>
      <c r="P156" s="161"/>
      <c r="Q156" s="161"/>
      <c r="R156" s="57"/>
      <c r="S156" s="58"/>
      <c r="T156" s="59"/>
      <c r="U156" s="160"/>
      <c r="V156" s="161"/>
      <c r="W156" s="161"/>
      <c r="X156" s="57"/>
      <c r="Y156" s="58"/>
      <c r="Z156" s="59"/>
      <c r="AA156" s="160"/>
      <c r="AB156" s="161"/>
      <c r="AC156" s="161"/>
      <c r="AD156" s="57"/>
      <c r="AE156" s="58"/>
      <c r="AF156" s="59"/>
      <c r="AG156" s="160"/>
      <c r="AH156" s="161"/>
      <c r="AI156" s="161"/>
      <c r="AJ156" s="57"/>
      <c r="AK156" s="58"/>
      <c r="AL156" s="59"/>
      <c r="AM156" s="60"/>
      <c r="AN156" s="251"/>
      <c r="AO156" s="60"/>
    </row>
    <row r="157" spans="1:45" x14ac:dyDescent="0.45">
      <c r="A157" s="47"/>
      <c r="B157" s="47"/>
      <c r="C157" s="47"/>
      <c r="D157" s="47"/>
      <c r="E157" s="47"/>
      <c r="F157" s="47"/>
      <c r="G157" s="47"/>
      <c r="H157" s="124"/>
      <c r="I157" s="132"/>
      <c r="J157" s="349"/>
      <c r="K157" s="522"/>
      <c r="L157" s="37"/>
      <c r="M157" s="38"/>
      <c r="N157" s="39"/>
      <c r="O157" s="124"/>
      <c r="P157" s="132"/>
      <c r="Q157" s="132"/>
      <c r="R157" s="37"/>
      <c r="S157" s="38"/>
      <c r="T157" s="39"/>
      <c r="U157" s="124"/>
      <c r="V157" s="132"/>
      <c r="W157" s="132"/>
      <c r="X157" s="37"/>
      <c r="Y157" s="38"/>
      <c r="Z157" s="39"/>
      <c r="AA157" s="124"/>
      <c r="AB157" s="132"/>
      <c r="AC157" s="132"/>
      <c r="AD157" s="37"/>
      <c r="AE157" s="38"/>
      <c r="AF157" s="39"/>
      <c r="AG157" s="124"/>
      <c r="AH157" s="132"/>
      <c r="AI157" s="132"/>
      <c r="AJ157" s="37"/>
      <c r="AK157" s="38"/>
      <c r="AL157" s="39"/>
      <c r="AM157" s="40"/>
      <c r="AN157" s="270"/>
      <c r="AO157" s="40"/>
    </row>
    <row r="158" spans="1:45" x14ac:dyDescent="0.45">
      <c r="A158" s="47"/>
      <c r="B158" s="47"/>
      <c r="C158" s="47"/>
      <c r="D158" s="47"/>
      <c r="E158" s="47"/>
      <c r="F158" s="47"/>
      <c r="G158" s="47" t="s">
        <v>246</v>
      </c>
      <c r="H158" s="153"/>
      <c r="I158" s="152"/>
      <c r="J158" s="301"/>
      <c r="K158" s="524"/>
      <c r="L158" s="62"/>
      <c r="M158" s="63"/>
      <c r="N158" s="72"/>
      <c r="O158" s="153"/>
      <c r="P158" s="152"/>
      <c r="Q158" s="152"/>
      <c r="R158" s="62"/>
      <c r="S158" s="63"/>
      <c r="T158" s="72"/>
      <c r="U158" s="153"/>
      <c r="V158" s="152"/>
      <c r="W158" s="152"/>
      <c r="X158" s="62"/>
      <c r="Y158" s="63"/>
      <c r="Z158" s="72"/>
      <c r="AA158" s="153"/>
      <c r="AB158" s="152"/>
      <c r="AC158" s="152"/>
      <c r="AD158" s="62"/>
      <c r="AE158" s="63"/>
      <c r="AF158" s="72"/>
      <c r="AG158" s="153"/>
      <c r="AH158" s="152"/>
      <c r="AI158" s="152"/>
      <c r="AJ158" s="62"/>
      <c r="AK158" s="63"/>
      <c r="AL158" s="72"/>
      <c r="AM158" s="64"/>
      <c r="AN158" s="253"/>
      <c r="AO158" s="64"/>
    </row>
    <row r="159" spans="1:45" x14ac:dyDescent="0.45">
      <c r="A159" s="47"/>
      <c r="B159" s="47"/>
      <c r="C159" s="47"/>
      <c r="D159" s="47"/>
      <c r="E159" s="47"/>
      <c r="F159" s="47"/>
      <c r="G159" s="47" t="s">
        <v>447</v>
      </c>
      <c r="H159" s="141"/>
      <c r="I159" s="15"/>
      <c r="J159" s="572"/>
      <c r="K159" s="522"/>
      <c r="L159" s="37"/>
      <c r="M159" s="38"/>
      <c r="N159" s="39"/>
      <c r="O159" s="141"/>
      <c r="P159" s="38"/>
      <c r="Q159" s="15"/>
      <c r="R159" s="37"/>
      <c r="S159" s="38"/>
      <c r="T159" s="39"/>
      <c r="U159" s="141"/>
      <c r="V159" s="38"/>
      <c r="W159" s="15"/>
      <c r="X159" s="37"/>
      <c r="Y159" s="38"/>
      <c r="Z159" s="39"/>
      <c r="AA159" s="141"/>
      <c r="AB159" s="38"/>
      <c r="AC159" s="15"/>
      <c r="AD159" s="37"/>
      <c r="AE159" s="38"/>
      <c r="AF159" s="39"/>
      <c r="AG159" s="141"/>
      <c r="AH159" s="38"/>
      <c r="AI159" s="15"/>
      <c r="AJ159" s="37"/>
      <c r="AK159" s="38"/>
      <c r="AL159" s="39"/>
      <c r="AM159" s="40"/>
      <c r="AN159" s="270"/>
      <c r="AO159" s="40"/>
    </row>
    <row r="160" spans="1:45" x14ac:dyDescent="0.45">
      <c r="A160" s="258" t="s">
        <v>216</v>
      </c>
      <c r="B160" s="258">
        <v>89050</v>
      </c>
      <c r="C160" s="258" t="s">
        <v>65</v>
      </c>
      <c r="D160" s="258" t="s">
        <v>65</v>
      </c>
      <c r="E160" s="258" t="s">
        <v>217</v>
      </c>
      <c r="F160" s="140" t="s">
        <v>448</v>
      </c>
      <c r="G160" s="254" t="s">
        <v>449</v>
      </c>
      <c r="H160" s="141">
        <v>1</v>
      </c>
      <c r="I160" s="15">
        <v>40000</v>
      </c>
      <c r="J160" s="572">
        <v>1</v>
      </c>
      <c r="K160" s="522" t="s">
        <v>183</v>
      </c>
      <c r="L160" s="37">
        <f>J160*I160*H160</f>
        <v>40000</v>
      </c>
      <c r="M160" s="38">
        <v>0</v>
      </c>
      <c r="N160" s="39">
        <f>SUM(L160:M160)</f>
        <v>40000</v>
      </c>
      <c r="O160" s="141">
        <v>0</v>
      </c>
      <c r="P160" s="38">
        <f>I160*$H$6</f>
        <v>41200</v>
      </c>
      <c r="Q160" s="15">
        <v>0</v>
      </c>
      <c r="R160" s="37">
        <f>O160*P160*Q160</f>
        <v>0</v>
      </c>
      <c r="S160" s="38">
        <v>0</v>
      </c>
      <c r="T160" s="39">
        <f>SUM(R160:S160)</f>
        <v>0</v>
      </c>
      <c r="U160" s="141">
        <v>0</v>
      </c>
      <c r="V160" s="38">
        <f>I160*$H$6*$H$6</f>
        <v>42436</v>
      </c>
      <c r="W160" s="15">
        <v>0</v>
      </c>
      <c r="X160" s="37">
        <f t="shared" ref="X160:X163" si="281">U160*V160*W160</f>
        <v>0</v>
      </c>
      <c r="Y160" s="38">
        <v>0</v>
      </c>
      <c r="Z160" s="39">
        <f>SUM(X160:Y160)</f>
        <v>0</v>
      </c>
      <c r="AA160" s="141">
        <v>0</v>
      </c>
      <c r="AB160" s="38">
        <f>I160*$H$6*$H$6*$H$6</f>
        <v>43709.08</v>
      </c>
      <c r="AC160" s="15">
        <v>0</v>
      </c>
      <c r="AD160" s="37">
        <f t="shared" ref="AD160:AD163" si="282">AA160*AB160*AC160</f>
        <v>0</v>
      </c>
      <c r="AE160" s="38">
        <v>0</v>
      </c>
      <c r="AF160" s="39">
        <f t="shared" ref="AF160:AF163" si="283">SUM(AD160:AE160)</f>
        <v>0</v>
      </c>
      <c r="AG160" s="141">
        <v>0</v>
      </c>
      <c r="AH160" s="38">
        <f>I160*$H$6*$H$6*$H$6*$H$6</f>
        <v>45020.352400000003</v>
      </c>
      <c r="AI160" s="15">
        <v>0</v>
      </c>
      <c r="AJ160" s="37">
        <f t="shared" ref="AJ160:AJ163" si="284">AG160*AH160*AI160</f>
        <v>0</v>
      </c>
      <c r="AK160" s="38">
        <v>0</v>
      </c>
      <c r="AL160" s="39">
        <f>SUM(AJ160:AK160)</f>
        <v>0</v>
      </c>
      <c r="AM160" s="40">
        <f>L160+R160+X160+AD160+AJ160</f>
        <v>40000</v>
      </c>
      <c r="AN160" s="270">
        <f t="shared" ref="AN160" si="285">M160+S160+Y160+AE160+AK160</f>
        <v>0</v>
      </c>
      <c r="AO160" s="40">
        <f>SUM(AM160:AN160)</f>
        <v>40000</v>
      </c>
    </row>
    <row r="161" spans="1:45" x14ac:dyDescent="0.45">
      <c r="A161" s="258" t="s">
        <v>216</v>
      </c>
      <c r="B161" s="258">
        <v>89050</v>
      </c>
      <c r="C161" s="258" t="s">
        <v>65</v>
      </c>
      <c r="D161" s="258" t="s">
        <v>65</v>
      </c>
      <c r="E161" s="258" t="s">
        <v>217</v>
      </c>
      <c r="F161" s="140" t="s">
        <v>450</v>
      </c>
      <c r="G161" s="254" t="s">
        <v>451</v>
      </c>
      <c r="H161" s="141">
        <v>1</v>
      </c>
      <c r="I161" s="15">
        <v>1000</v>
      </c>
      <c r="J161" s="572">
        <v>1</v>
      </c>
      <c r="K161" s="522" t="s">
        <v>249</v>
      </c>
      <c r="L161" s="37">
        <f>J161*I161*H161</f>
        <v>1000</v>
      </c>
      <c r="M161" s="38">
        <v>0</v>
      </c>
      <c r="N161" s="39">
        <f>SUM(L161:M161)</f>
        <v>1000</v>
      </c>
      <c r="O161" s="141">
        <v>1</v>
      </c>
      <c r="P161" s="38">
        <f t="shared" ref="P161:P163" si="286">I161*$H$6</f>
        <v>1030</v>
      </c>
      <c r="Q161" s="15">
        <v>1</v>
      </c>
      <c r="R161" s="37">
        <f>O161*P161*Q161</f>
        <v>1030</v>
      </c>
      <c r="S161" s="38">
        <v>0</v>
      </c>
      <c r="T161" s="39">
        <f>SUM(R161:S161)</f>
        <v>1030</v>
      </c>
      <c r="U161" s="141">
        <v>1</v>
      </c>
      <c r="V161" s="38">
        <f t="shared" ref="V161:V163" si="287">I161*$H$6*$H$6</f>
        <v>1060.9000000000001</v>
      </c>
      <c r="W161" s="15">
        <v>1</v>
      </c>
      <c r="X161" s="37">
        <f t="shared" si="281"/>
        <v>1060.9000000000001</v>
      </c>
      <c r="Y161" s="38">
        <v>0</v>
      </c>
      <c r="Z161" s="39">
        <f>SUM(X161:Y161)</f>
        <v>1060.9000000000001</v>
      </c>
      <c r="AA161" s="141">
        <v>1</v>
      </c>
      <c r="AB161" s="38">
        <f t="shared" ref="AB161:AB163" si="288">I161*$H$6*$H$6*$H$6</f>
        <v>1092.7270000000001</v>
      </c>
      <c r="AC161" s="15">
        <v>1</v>
      </c>
      <c r="AD161" s="37">
        <f t="shared" si="282"/>
        <v>1092.7270000000001</v>
      </c>
      <c r="AE161" s="38">
        <v>0</v>
      </c>
      <c r="AF161" s="39">
        <f t="shared" si="283"/>
        <v>1092.7270000000001</v>
      </c>
      <c r="AG161" s="141">
        <v>1</v>
      </c>
      <c r="AH161" s="38">
        <f t="shared" ref="AH161:AH163" si="289">I161*$H$6*$H$6*$H$6*$H$6</f>
        <v>1125.50881</v>
      </c>
      <c r="AI161" s="15">
        <v>1</v>
      </c>
      <c r="AJ161" s="37">
        <f t="shared" si="284"/>
        <v>1125.50881</v>
      </c>
      <c r="AK161" s="38">
        <v>0</v>
      </c>
      <c r="AL161" s="39">
        <f>SUM(AJ161:AK161)</f>
        <v>1125.50881</v>
      </c>
      <c r="AM161" s="40">
        <f t="shared" ref="AM161:AN163" si="290">L161+R161+X161+AD161+AJ161</f>
        <v>5309.1358100000007</v>
      </c>
      <c r="AN161" s="270">
        <f t="shared" si="290"/>
        <v>0</v>
      </c>
      <c r="AO161" s="40">
        <f>SUM(AM161:AN161)</f>
        <v>5309.1358100000007</v>
      </c>
    </row>
    <row r="162" spans="1:45" x14ac:dyDescent="0.45">
      <c r="A162" s="258" t="s">
        <v>216</v>
      </c>
      <c r="B162" s="258">
        <v>89050</v>
      </c>
      <c r="C162" s="258" t="s">
        <v>65</v>
      </c>
      <c r="D162" s="258" t="s">
        <v>65</v>
      </c>
      <c r="E162" s="258" t="s">
        <v>217</v>
      </c>
      <c r="F162" s="140" t="s">
        <v>452</v>
      </c>
      <c r="G162" s="254" t="s">
        <v>453</v>
      </c>
      <c r="H162" s="141">
        <v>1</v>
      </c>
      <c r="I162" s="15">
        <v>2000</v>
      </c>
      <c r="J162" s="572">
        <v>1</v>
      </c>
      <c r="K162" s="522" t="s">
        <v>249</v>
      </c>
      <c r="L162" s="37">
        <f t="shared" ref="L162:L163" si="291">J162*I162*H162</f>
        <v>2000</v>
      </c>
      <c r="M162" s="38">
        <v>0</v>
      </c>
      <c r="N162" s="39">
        <f>SUM(L162:M162)</f>
        <v>2000</v>
      </c>
      <c r="O162" s="141">
        <v>1</v>
      </c>
      <c r="P162" s="38">
        <f t="shared" si="286"/>
        <v>2060</v>
      </c>
      <c r="Q162" s="15">
        <v>1</v>
      </c>
      <c r="R162" s="37">
        <f t="shared" ref="R162:R163" si="292">O162*P162*Q162</f>
        <v>2060</v>
      </c>
      <c r="S162" s="38">
        <v>0</v>
      </c>
      <c r="T162" s="39">
        <f t="shared" ref="T162:T163" si="293">SUM(R162:S162)</f>
        <v>2060</v>
      </c>
      <c r="U162" s="141">
        <v>1</v>
      </c>
      <c r="V162" s="38">
        <f t="shared" si="287"/>
        <v>2121.8000000000002</v>
      </c>
      <c r="W162" s="15">
        <v>1</v>
      </c>
      <c r="X162" s="37">
        <f t="shared" si="281"/>
        <v>2121.8000000000002</v>
      </c>
      <c r="Y162" s="38">
        <v>0</v>
      </c>
      <c r="Z162" s="39">
        <f>SUM(X162:Y162)</f>
        <v>2121.8000000000002</v>
      </c>
      <c r="AA162" s="141">
        <v>1</v>
      </c>
      <c r="AB162" s="38">
        <f t="shared" si="288"/>
        <v>2185.4540000000002</v>
      </c>
      <c r="AC162" s="15">
        <v>1</v>
      </c>
      <c r="AD162" s="37">
        <f t="shared" si="282"/>
        <v>2185.4540000000002</v>
      </c>
      <c r="AE162" s="38">
        <v>0</v>
      </c>
      <c r="AF162" s="39">
        <f t="shared" si="283"/>
        <v>2185.4540000000002</v>
      </c>
      <c r="AG162" s="141">
        <v>1</v>
      </c>
      <c r="AH162" s="38">
        <f t="shared" si="289"/>
        <v>2251.0176200000001</v>
      </c>
      <c r="AI162" s="15">
        <v>1</v>
      </c>
      <c r="AJ162" s="37">
        <f t="shared" si="284"/>
        <v>2251.0176200000001</v>
      </c>
      <c r="AK162" s="38">
        <v>0</v>
      </c>
      <c r="AL162" s="39">
        <f>SUM(AJ162:AK162)</f>
        <v>2251.0176200000001</v>
      </c>
      <c r="AM162" s="40">
        <f t="shared" si="290"/>
        <v>10618.271620000001</v>
      </c>
      <c r="AN162" s="270">
        <f t="shared" si="290"/>
        <v>0</v>
      </c>
      <c r="AO162" s="40">
        <f>SUM(AM162:AN162)</f>
        <v>10618.271620000001</v>
      </c>
    </row>
    <row r="163" spans="1:45" x14ac:dyDescent="0.45">
      <c r="A163" s="258" t="s">
        <v>216</v>
      </c>
      <c r="B163" s="258">
        <v>89050</v>
      </c>
      <c r="C163" s="258" t="s">
        <v>65</v>
      </c>
      <c r="D163" s="258" t="s">
        <v>65</v>
      </c>
      <c r="E163" s="258" t="s">
        <v>217</v>
      </c>
      <c r="F163" s="140" t="s">
        <v>454</v>
      </c>
      <c r="G163" s="254" t="s">
        <v>455</v>
      </c>
      <c r="H163" s="141">
        <v>1</v>
      </c>
      <c r="I163" s="15">
        <v>2000</v>
      </c>
      <c r="J163" s="572">
        <v>1</v>
      </c>
      <c r="K163" s="522" t="s">
        <v>249</v>
      </c>
      <c r="L163" s="37">
        <f t="shared" si="291"/>
        <v>2000</v>
      </c>
      <c r="M163" s="38">
        <v>0</v>
      </c>
      <c r="N163" s="39">
        <f>SUM(L163:M163)</f>
        <v>2000</v>
      </c>
      <c r="O163" s="141">
        <v>1</v>
      </c>
      <c r="P163" s="38">
        <f t="shared" si="286"/>
        <v>2060</v>
      </c>
      <c r="Q163" s="15">
        <v>1</v>
      </c>
      <c r="R163" s="37">
        <f t="shared" si="292"/>
        <v>2060</v>
      </c>
      <c r="S163" s="38">
        <v>0</v>
      </c>
      <c r="T163" s="39">
        <f t="shared" si="293"/>
        <v>2060</v>
      </c>
      <c r="U163" s="141">
        <v>1</v>
      </c>
      <c r="V163" s="38">
        <f t="shared" si="287"/>
        <v>2121.8000000000002</v>
      </c>
      <c r="W163" s="15">
        <v>1</v>
      </c>
      <c r="X163" s="37">
        <f t="shared" si="281"/>
        <v>2121.8000000000002</v>
      </c>
      <c r="Y163" s="38">
        <v>0</v>
      </c>
      <c r="Z163" s="39">
        <f t="shared" ref="Z163" si="294">SUM(X163:Y163)</f>
        <v>2121.8000000000002</v>
      </c>
      <c r="AA163" s="141">
        <v>1</v>
      </c>
      <c r="AB163" s="38">
        <f t="shared" si="288"/>
        <v>2185.4540000000002</v>
      </c>
      <c r="AC163" s="15">
        <v>1</v>
      </c>
      <c r="AD163" s="37">
        <f t="shared" si="282"/>
        <v>2185.4540000000002</v>
      </c>
      <c r="AE163" s="38">
        <v>0</v>
      </c>
      <c r="AF163" s="39">
        <f t="shared" si="283"/>
        <v>2185.4540000000002</v>
      </c>
      <c r="AG163" s="141">
        <v>1</v>
      </c>
      <c r="AH163" s="38">
        <f t="shared" si="289"/>
        <v>2251.0176200000001</v>
      </c>
      <c r="AI163" s="15">
        <v>1</v>
      </c>
      <c r="AJ163" s="37">
        <f t="shared" si="284"/>
        <v>2251.0176200000001</v>
      </c>
      <c r="AK163" s="38">
        <v>0</v>
      </c>
      <c r="AL163" s="39">
        <f t="shared" ref="AL163" si="295">SUM(AJ163:AK163)</f>
        <v>2251.0176200000001</v>
      </c>
      <c r="AM163" s="40">
        <f t="shared" si="290"/>
        <v>10618.271620000001</v>
      </c>
      <c r="AN163" s="270">
        <f t="shared" si="290"/>
        <v>0</v>
      </c>
      <c r="AO163" s="40">
        <f>SUM(AM163:AN163)</f>
        <v>10618.271620000001</v>
      </c>
    </row>
    <row r="164" spans="1:45" x14ac:dyDescent="0.45">
      <c r="A164" s="47"/>
      <c r="B164" s="47"/>
      <c r="C164" s="47"/>
      <c r="D164" s="47"/>
      <c r="E164" s="47"/>
      <c r="F164" s="47"/>
      <c r="G164" s="47" t="s">
        <v>456</v>
      </c>
      <c r="H164" s="141"/>
      <c r="I164" s="15"/>
      <c r="J164" s="572"/>
      <c r="K164" s="522"/>
      <c r="L164" s="37"/>
      <c r="M164" s="38"/>
      <c r="N164" s="39"/>
      <c r="O164" s="141"/>
      <c r="P164" s="38"/>
      <c r="Q164" s="15"/>
      <c r="R164" s="37"/>
      <c r="S164" s="38"/>
      <c r="T164" s="39"/>
      <c r="U164" s="141"/>
      <c r="V164" s="38"/>
      <c r="W164" s="15"/>
      <c r="X164" s="37"/>
      <c r="Y164" s="38"/>
      <c r="Z164" s="39"/>
      <c r="AA164" s="141"/>
      <c r="AB164" s="38"/>
      <c r="AC164" s="15"/>
      <c r="AD164" s="37"/>
      <c r="AE164" s="38"/>
      <c r="AF164" s="39"/>
      <c r="AG164" s="141"/>
      <c r="AH164" s="38"/>
      <c r="AI164" s="15"/>
      <c r="AJ164" s="37"/>
      <c r="AK164" s="38"/>
      <c r="AL164" s="39"/>
      <c r="AM164" s="40"/>
      <c r="AN164" s="270"/>
      <c r="AO164" s="40"/>
    </row>
    <row r="165" spans="1:45" ht="25.2" x14ac:dyDescent="0.45">
      <c r="A165" s="258" t="s">
        <v>216</v>
      </c>
      <c r="B165" s="258">
        <v>89050</v>
      </c>
      <c r="C165" s="258" t="s">
        <v>65</v>
      </c>
      <c r="D165" s="258" t="s">
        <v>65</v>
      </c>
      <c r="E165" s="258" t="s">
        <v>217</v>
      </c>
      <c r="F165" s="140" t="s">
        <v>457</v>
      </c>
      <c r="G165" s="254" t="s">
        <v>458</v>
      </c>
      <c r="H165" s="141">
        <v>1</v>
      </c>
      <c r="I165" s="15">
        <v>30000</v>
      </c>
      <c r="J165" s="572">
        <v>1</v>
      </c>
      <c r="K165" s="522" t="s">
        <v>249</v>
      </c>
      <c r="L165" s="37">
        <f>J165*I165*H165</f>
        <v>30000</v>
      </c>
      <c r="M165" s="38">
        <v>0</v>
      </c>
      <c r="N165" s="39">
        <f>SUM(L165:M165)</f>
        <v>30000</v>
      </c>
      <c r="O165" s="141">
        <v>1</v>
      </c>
      <c r="P165" s="38">
        <f>I165*$H$6</f>
        <v>30900</v>
      </c>
      <c r="Q165" s="15">
        <v>1</v>
      </c>
      <c r="R165" s="37">
        <f>O165*P165*Q165</f>
        <v>30900</v>
      </c>
      <c r="S165" s="38">
        <v>0</v>
      </c>
      <c r="T165" s="39">
        <f>SUM(R165:S165)</f>
        <v>30900</v>
      </c>
      <c r="U165" s="141">
        <v>1</v>
      </c>
      <c r="V165" s="38">
        <f>I165*$H$6*$H$6</f>
        <v>31827</v>
      </c>
      <c r="W165" s="15">
        <v>1</v>
      </c>
      <c r="X165" s="37">
        <f t="shared" ref="X165" si="296">U165*V165*W165</f>
        <v>31827</v>
      </c>
      <c r="Y165" s="38">
        <v>0</v>
      </c>
      <c r="Z165" s="39">
        <f>SUM(X165:Y165)</f>
        <v>31827</v>
      </c>
      <c r="AA165" s="141">
        <v>1</v>
      </c>
      <c r="AB165" s="38">
        <f>I165*$H$6*$H$6*$H$6</f>
        <v>32781.81</v>
      </c>
      <c r="AC165" s="15">
        <v>1</v>
      </c>
      <c r="AD165" s="37">
        <f t="shared" ref="AD165" si="297">AA165*AB165*AC165</f>
        <v>32781.81</v>
      </c>
      <c r="AE165" s="38">
        <v>0</v>
      </c>
      <c r="AF165" s="39">
        <f t="shared" ref="AF165" si="298">SUM(AD165:AE165)</f>
        <v>32781.81</v>
      </c>
      <c r="AG165" s="141">
        <v>1</v>
      </c>
      <c r="AH165" s="38">
        <f>I165*$H$6*$H$6*$H$6*$H$6</f>
        <v>33765.264299999995</v>
      </c>
      <c r="AI165" s="15">
        <v>1</v>
      </c>
      <c r="AJ165" s="37">
        <f t="shared" ref="AJ165" si="299">AG165*AH165*AI165</f>
        <v>33765.264299999995</v>
      </c>
      <c r="AK165" s="38">
        <v>0</v>
      </c>
      <c r="AL165" s="39">
        <f>SUM(AJ165:AK165)</f>
        <v>33765.264299999995</v>
      </c>
      <c r="AM165" s="40">
        <f>L165+R165+X165+AD165+AJ165</f>
        <v>159274.07429999998</v>
      </c>
      <c r="AN165" s="270">
        <f t="shared" ref="AN165" si="300">M165+S165+Y165+AE165+AK165</f>
        <v>0</v>
      </c>
      <c r="AO165" s="40">
        <f>SUM(AM165:AN165)</f>
        <v>159274.07429999998</v>
      </c>
    </row>
    <row r="166" spans="1:45" s="10" customFormat="1" x14ac:dyDescent="0.45">
      <c r="A166" s="75"/>
      <c r="B166" s="75"/>
      <c r="C166" s="75"/>
      <c r="D166" s="75"/>
      <c r="E166" s="75"/>
      <c r="F166" s="705"/>
      <c r="G166" s="75" t="s">
        <v>258</v>
      </c>
      <c r="H166" s="145"/>
      <c r="I166" s="129"/>
      <c r="J166" s="350"/>
      <c r="K166" s="522"/>
      <c r="L166" s="42">
        <f>SUM(L160:L165)</f>
        <v>75000</v>
      </c>
      <c r="M166" s="42">
        <f>SUM(M159:M165)</f>
        <v>0</v>
      </c>
      <c r="N166" s="44">
        <f>SUM(N159:N165)</f>
        <v>75000</v>
      </c>
      <c r="O166" s="145"/>
      <c r="P166" s="43"/>
      <c r="Q166" s="129"/>
      <c r="R166" s="42">
        <f>SUM(R160:R165)</f>
        <v>36050</v>
      </c>
      <c r="S166" s="42">
        <f>SUM(S159:S165)</f>
        <v>0</v>
      </c>
      <c r="T166" s="44">
        <f>SUM(T159:T165)</f>
        <v>36050</v>
      </c>
      <c r="U166" s="145"/>
      <c r="V166" s="129"/>
      <c r="W166" s="129"/>
      <c r="X166" s="42">
        <f>SUM(X160:X165)</f>
        <v>37131.5</v>
      </c>
      <c r="Y166" s="42">
        <f>SUM(Y159:Y165)</f>
        <v>0</v>
      </c>
      <c r="Z166" s="44">
        <f>SUM(Z159:Z165)</f>
        <v>37131.5</v>
      </c>
      <c r="AA166" s="145"/>
      <c r="AB166" s="129"/>
      <c r="AC166" s="129"/>
      <c r="AD166" s="42">
        <f>SUM(AD160:AD165)</f>
        <v>38245.445</v>
      </c>
      <c r="AE166" s="42">
        <f>SUM(AE159:AE165)</f>
        <v>0</v>
      </c>
      <c r="AF166" s="44">
        <f>SUM(AF159:AF165)</f>
        <v>38245.445</v>
      </c>
      <c r="AG166" s="145"/>
      <c r="AH166" s="129"/>
      <c r="AI166" s="129"/>
      <c r="AJ166" s="42">
        <f>SUM(AJ160:AJ165)</f>
        <v>39392.808349999992</v>
      </c>
      <c r="AK166" s="42">
        <f>SUM(AK159:AK165)</f>
        <v>0</v>
      </c>
      <c r="AL166" s="44">
        <f>SUM(AL159:AL165)</f>
        <v>39392.808349999992</v>
      </c>
      <c r="AM166" s="45">
        <f>SUM(AM160:AM165)</f>
        <v>225819.75334999998</v>
      </c>
      <c r="AN166" s="44">
        <f>SUM(AN160:AN165)</f>
        <v>0</v>
      </c>
      <c r="AO166" s="44">
        <f>SUM(AO160:AO165)</f>
        <v>225819.75334999998</v>
      </c>
    </row>
    <row r="167" spans="1:45" x14ac:dyDescent="0.45">
      <c r="A167" s="47"/>
      <c r="B167" s="47"/>
      <c r="C167" s="47"/>
      <c r="D167" s="47"/>
      <c r="E167" s="47"/>
      <c r="F167" s="47"/>
      <c r="G167" s="47"/>
      <c r="H167" s="124"/>
      <c r="I167" s="132"/>
      <c r="J167" s="349"/>
      <c r="K167" s="522"/>
      <c r="L167" s="37"/>
      <c r="M167" s="38"/>
      <c r="N167" s="39"/>
      <c r="O167" s="124"/>
      <c r="P167" s="132"/>
      <c r="Q167" s="132"/>
      <c r="R167" s="37"/>
      <c r="S167" s="38"/>
      <c r="T167" s="39"/>
      <c r="U167" s="124"/>
      <c r="V167" s="132"/>
      <c r="W167" s="132"/>
      <c r="X167" s="37"/>
      <c r="Y167" s="38"/>
      <c r="Z167" s="39"/>
      <c r="AA167" s="124"/>
      <c r="AB167" s="132"/>
      <c r="AC167" s="132"/>
      <c r="AD167" s="37"/>
      <c r="AE167" s="38"/>
      <c r="AF167" s="39"/>
      <c r="AG167" s="124"/>
      <c r="AH167" s="132"/>
      <c r="AI167" s="132"/>
      <c r="AJ167" s="37"/>
      <c r="AK167" s="38"/>
      <c r="AL167" s="39"/>
      <c r="AM167" s="40"/>
      <c r="AN167" s="270"/>
      <c r="AO167" s="40"/>
    </row>
    <row r="168" spans="1:45" x14ac:dyDescent="0.45">
      <c r="A168" s="47"/>
      <c r="B168" s="258"/>
      <c r="C168" s="47"/>
      <c r="D168" s="47"/>
      <c r="E168" s="47"/>
      <c r="F168" s="47"/>
      <c r="G168" s="47" t="s">
        <v>259</v>
      </c>
      <c r="H168" s="140"/>
      <c r="I168" s="15"/>
      <c r="K168" s="522"/>
      <c r="L168" s="37"/>
      <c r="M168" s="38"/>
      <c r="N168" s="39"/>
      <c r="O168" s="140"/>
      <c r="R168" s="37"/>
      <c r="S168" s="38"/>
      <c r="T168" s="39"/>
      <c r="U168" s="140"/>
      <c r="X168" s="37"/>
      <c r="Y168" s="38"/>
      <c r="Z168" s="39"/>
      <c r="AA168" s="140"/>
      <c r="AD168" s="37"/>
      <c r="AE168" s="38"/>
      <c r="AF168" s="39"/>
      <c r="AG168" s="140"/>
      <c r="AJ168" s="37"/>
      <c r="AK168" s="38"/>
      <c r="AL168" s="39"/>
      <c r="AM168" s="40"/>
      <c r="AN168" s="270"/>
      <c r="AO168" s="40"/>
    </row>
    <row r="169" spans="1:45" x14ac:dyDescent="0.45">
      <c r="A169" s="258" t="s">
        <v>216</v>
      </c>
      <c r="B169" s="258">
        <v>89050</v>
      </c>
      <c r="C169" s="258" t="s">
        <v>65</v>
      </c>
      <c r="D169" s="258" t="s">
        <v>65</v>
      </c>
      <c r="E169" s="258" t="s">
        <v>217</v>
      </c>
      <c r="F169" s="140" t="s">
        <v>459</v>
      </c>
      <c r="G169" s="434" t="s">
        <v>460</v>
      </c>
      <c r="H169" s="141">
        <v>1</v>
      </c>
      <c r="I169" s="15">
        <v>2500</v>
      </c>
      <c r="J169" s="572">
        <v>1</v>
      </c>
      <c r="K169" s="522" t="s">
        <v>249</v>
      </c>
      <c r="L169" s="37">
        <f>J169*I169*H169</f>
        <v>2500</v>
      </c>
      <c r="M169" s="38">
        <v>0</v>
      </c>
      <c r="N169" s="39">
        <f t="shared" ref="N169" si="301">SUM(L169:M169)</f>
        <v>2500</v>
      </c>
      <c r="O169" s="141">
        <v>1</v>
      </c>
      <c r="P169" s="38">
        <f>I169*$H$6</f>
        <v>2575</v>
      </c>
      <c r="Q169" s="15">
        <v>1</v>
      </c>
      <c r="R169" s="37">
        <f>O169*P169*Q169</f>
        <v>2575</v>
      </c>
      <c r="S169" s="38">
        <v>0</v>
      </c>
      <c r="T169" s="39">
        <f t="shared" ref="T169" si="302">SUM(R169:S169)</f>
        <v>2575</v>
      </c>
      <c r="U169" s="141">
        <v>1</v>
      </c>
      <c r="V169" s="38">
        <f>I169*$H$6*$H$6</f>
        <v>2652.25</v>
      </c>
      <c r="W169" s="15">
        <v>1</v>
      </c>
      <c r="X169" s="37">
        <f>W169*V169*U169</f>
        <v>2652.25</v>
      </c>
      <c r="Y169" s="38">
        <v>0</v>
      </c>
      <c r="Z169" s="39">
        <f t="shared" ref="Z169" si="303">SUM(X169:Y169)</f>
        <v>2652.25</v>
      </c>
      <c r="AA169" s="141">
        <v>1</v>
      </c>
      <c r="AB169" s="38">
        <f>I169*$H$6*$H$6*$H$6</f>
        <v>2731.8175000000001</v>
      </c>
      <c r="AC169" s="15">
        <v>1</v>
      </c>
      <c r="AD169" s="37">
        <f>AC169*AB169*AA169</f>
        <v>2731.8175000000001</v>
      </c>
      <c r="AE169" s="38">
        <v>0</v>
      </c>
      <c r="AF169" s="39">
        <f t="shared" ref="AF169" si="304">SUM(AD169:AE169)</f>
        <v>2731.8175000000001</v>
      </c>
      <c r="AG169" s="141">
        <v>1</v>
      </c>
      <c r="AH169" s="38">
        <f>I169*$H$6*$H$6*$H$6*$H$6</f>
        <v>2813.7720250000002</v>
      </c>
      <c r="AI169" s="15">
        <v>1</v>
      </c>
      <c r="AJ169" s="37">
        <f>AI169*AH169*AG169</f>
        <v>2813.7720250000002</v>
      </c>
      <c r="AK169" s="38">
        <v>0</v>
      </c>
      <c r="AL169" s="39">
        <f t="shared" ref="AL169" si="305">SUM(AJ169:AK169)</f>
        <v>2813.7720250000002</v>
      </c>
      <c r="AM169" s="40">
        <f>L169+R169+X169+AD169+AJ169</f>
        <v>13272.839525000001</v>
      </c>
      <c r="AN169" s="270">
        <f t="shared" ref="AN169:AN173" si="306">M169+S169+Y169+AE169+AK169</f>
        <v>0</v>
      </c>
      <c r="AO169" s="40">
        <f t="shared" ref="AO169:AO173" si="307">SUM(AM169:AN169)</f>
        <v>13272.839525000001</v>
      </c>
    </row>
    <row r="170" spans="1:45" x14ac:dyDescent="0.45">
      <c r="A170" s="258" t="s">
        <v>216</v>
      </c>
      <c r="B170" s="258">
        <v>89050</v>
      </c>
      <c r="C170" s="258" t="s">
        <v>65</v>
      </c>
      <c r="D170" s="258" t="s">
        <v>65</v>
      </c>
      <c r="E170" s="258" t="s">
        <v>217</v>
      </c>
      <c r="F170" s="140" t="s">
        <v>461</v>
      </c>
      <c r="G170" s="65" t="s">
        <v>462</v>
      </c>
      <c r="H170" s="141">
        <v>1</v>
      </c>
      <c r="I170" s="15">
        <v>2000</v>
      </c>
      <c r="J170" s="15">
        <v>1</v>
      </c>
      <c r="K170" s="131" t="s">
        <v>249</v>
      </c>
      <c r="L170" s="37">
        <f>J170*I170*H170</f>
        <v>2000</v>
      </c>
      <c r="M170" s="38">
        <v>0</v>
      </c>
      <c r="N170" s="39">
        <f>SUM(L170:M170)</f>
        <v>2000</v>
      </c>
      <c r="O170" s="141">
        <v>1</v>
      </c>
      <c r="P170" s="38">
        <f>I170*$H$6</f>
        <v>2060</v>
      </c>
      <c r="Q170" s="15">
        <v>1</v>
      </c>
      <c r="R170" s="37">
        <f>O170*P170*Q170</f>
        <v>2060</v>
      </c>
      <c r="S170" s="38">
        <v>0</v>
      </c>
      <c r="T170" s="39">
        <f>SUM(R170:S170)</f>
        <v>2060</v>
      </c>
      <c r="U170" s="141">
        <v>1</v>
      </c>
      <c r="V170" s="38">
        <f>I170*$H$6*$H$6</f>
        <v>2121.8000000000002</v>
      </c>
      <c r="W170" s="15">
        <v>1</v>
      </c>
      <c r="X170" s="37">
        <f>U170*V170*W170</f>
        <v>2121.8000000000002</v>
      </c>
      <c r="Y170" s="38">
        <v>0</v>
      </c>
      <c r="Z170" s="39">
        <f>SUM(X170:Y170)</f>
        <v>2121.8000000000002</v>
      </c>
      <c r="AA170" s="141">
        <v>1</v>
      </c>
      <c r="AB170" s="38">
        <f>I170*$H$6*$H$6*$H$6</f>
        <v>2185.4540000000002</v>
      </c>
      <c r="AC170" s="15">
        <v>1</v>
      </c>
      <c r="AD170" s="37">
        <f t="shared" ref="AD170" si="308">AA170*AB170*AC170</f>
        <v>2185.4540000000002</v>
      </c>
      <c r="AE170" s="38">
        <v>0</v>
      </c>
      <c r="AF170" s="39">
        <f t="shared" ref="AF170" si="309">SUM(AD170:AE170)</f>
        <v>2185.4540000000002</v>
      </c>
      <c r="AG170" s="141">
        <v>1</v>
      </c>
      <c r="AH170" s="38">
        <f>I170*$H$6*$H$6*$H$6*$H$6</f>
        <v>2251.0176200000001</v>
      </c>
      <c r="AI170" s="15">
        <v>1</v>
      </c>
      <c r="AJ170" s="37">
        <f t="shared" ref="AJ170" si="310">AG170*AH170*AI170</f>
        <v>2251.0176200000001</v>
      </c>
      <c r="AK170" s="38">
        <v>0</v>
      </c>
      <c r="AL170" s="39">
        <f>SUM(AJ170:AK170)</f>
        <v>2251.0176200000001</v>
      </c>
      <c r="AM170" s="270">
        <f>L170+R170+X170+AD170+AJ170</f>
        <v>10618.271620000001</v>
      </c>
      <c r="AN170" s="270">
        <f t="shared" si="306"/>
        <v>0</v>
      </c>
      <c r="AO170" s="40">
        <f>SUM(AM170:AN170)</f>
        <v>10618.271620000001</v>
      </c>
    </row>
    <row r="171" spans="1:45" x14ac:dyDescent="0.45">
      <c r="A171" s="258" t="s">
        <v>216</v>
      </c>
      <c r="B171" s="258">
        <v>89050</v>
      </c>
      <c r="C171" s="258" t="s">
        <v>65</v>
      </c>
      <c r="D171" s="258" t="s">
        <v>65</v>
      </c>
      <c r="E171" s="258" t="s">
        <v>217</v>
      </c>
      <c r="F171" s="140" t="s">
        <v>463</v>
      </c>
      <c r="G171" s="65" t="s">
        <v>464</v>
      </c>
      <c r="H171" s="141">
        <v>1</v>
      </c>
      <c r="I171" s="15">
        <v>25</v>
      </c>
      <c r="J171" s="572">
        <v>6</v>
      </c>
      <c r="K171" s="522" t="s">
        <v>107</v>
      </c>
      <c r="L171" s="37">
        <f t="shared" ref="L171:L173" si="311">J171*I171*H171</f>
        <v>150</v>
      </c>
      <c r="M171" s="38">
        <v>0</v>
      </c>
      <c r="N171" s="39">
        <f t="shared" ref="N171:N173" si="312">SUM(L171:M171)</f>
        <v>150</v>
      </c>
      <c r="O171" s="141">
        <v>1</v>
      </c>
      <c r="P171" s="38">
        <f t="shared" ref="P171:P172" si="313">I171*$H$6</f>
        <v>25.75</v>
      </c>
      <c r="Q171" s="15">
        <v>12</v>
      </c>
      <c r="R171" s="37">
        <f t="shared" ref="R171:R173" si="314">O171*P171*Q171</f>
        <v>309</v>
      </c>
      <c r="S171" s="38">
        <v>0</v>
      </c>
      <c r="T171" s="39">
        <f t="shared" ref="T171:T173" si="315">SUM(R171:S171)</f>
        <v>309</v>
      </c>
      <c r="U171" s="141">
        <v>1</v>
      </c>
      <c r="V171" s="38">
        <f t="shared" ref="V171:V172" si="316">I171*$H$6*$H$6</f>
        <v>26.522500000000001</v>
      </c>
      <c r="W171" s="15">
        <v>12</v>
      </c>
      <c r="X171" s="37">
        <f t="shared" ref="X171:X173" si="317">W171*V171*U171</f>
        <v>318.27</v>
      </c>
      <c r="Y171" s="38">
        <v>0</v>
      </c>
      <c r="Z171" s="39">
        <f t="shared" ref="Z171:Z173" si="318">SUM(X171:Y171)</f>
        <v>318.27</v>
      </c>
      <c r="AA171" s="141">
        <v>1</v>
      </c>
      <c r="AB171" s="38">
        <f t="shared" ref="AB171:AB172" si="319">I171*$H$6*$H$6*$H$6</f>
        <v>27.318175</v>
      </c>
      <c r="AC171" s="15">
        <v>12</v>
      </c>
      <c r="AD171" s="37">
        <f t="shared" ref="AD171:AD173" si="320">AC171*AB171*AA171</f>
        <v>327.81810000000002</v>
      </c>
      <c r="AE171" s="38">
        <v>0</v>
      </c>
      <c r="AF171" s="39">
        <f t="shared" ref="AF171:AF173" si="321">SUM(AD171:AE171)</f>
        <v>327.81810000000002</v>
      </c>
      <c r="AG171" s="141">
        <v>1</v>
      </c>
      <c r="AH171" s="38">
        <f t="shared" ref="AH171:AH172" si="322">I171*$H$6*$H$6*$H$6*$H$6</f>
        <v>28.137720250000001</v>
      </c>
      <c r="AI171" s="15">
        <v>9</v>
      </c>
      <c r="AJ171" s="37">
        <f t="shared" ref="AJ171:AJ173" si="323">AI171*AH171*AG171</f>
        <v>253.23948225000001</v>
      </c>
      <c r="AK171" s="38">
        <v>0</v>
      </c>
      <c r="AL171" s="39">
        <f t="shared" ref="AL171:AL173" si="324">SUM(AJ171:AK171)</f>
        <v>253.23948225000001</v>
      </c>
      <c r="AM171" s="40">
        <f t="shared" ref="AM171:AM173" si="325">L171+R171+X171+AD171+AJ171</f>
        <v>1358.32758225</v>
      </c>
      <c r="AN171" s="270">
        <f t="shared" si="306"/>
        <v>0</v>
      </c>
      <c r="AO171" s="40">
        <f t="shared" si="307"/>
        <v>1358.32758225</v>
      </c>
    </row>
    <row r="172" spans="1:45" s="354" customFormat="1" x14ac:dyDescent="0.45">
      <c r="A172" s="258" t="s">
        <v>216</v>
      </c>
      <c r="B172" s="258">
        <v>89050</v>
      </c>
      <c r="C172" s="258" t="s">
        <v>65</v>
      </c>
      <c r="D172" s="258" t="s">
        <v>65</v>
      </c>
      <c r="E172" s="258" t="s">
        <v>217</v>
      </c>
      <c r="F172" s="140" t="s">
        <v>465</v>
      </c>
      <c r="G172" s="434" t="s">
        <v>466</v>
      </c>
      <c r="H172" s="446">
        <v>1</v>
      </c>
      <c r="I172" s="365">
        <v>300</v>
      </c>
      <c r="J172" s="365">
        <v>6</v>
      </c>
      <c r="K172" s="587" t="s">
        <v>107</v>
      </c>
      <c r="L172" s="400">
        <f>J172*I172*H172</f>
        <v>1800</v>
      </c>
      <c r="M172" s="359">
        <v>0</v>
      </c>
      <c r="N172" s="401">
        <f t="shared" ref="N172" si="326">SUM(L172:M172)</f>
        <v>1800</v>
      </c>
      <c r="O172" s="446">
        <v>1</v>
      </c>
      <c r="P172" s="359">
        <f t="shared" si="313"/>
        <v>309</v>
      </c>
      <c r="Q172" s="365">
        <v>12</v>
      </c>
      <c r="R172" s="400">
        <f t="shared" si="314"/>
        <v>3708</v>
      </c>
      <c r="S172" s="359">
        <v>0</v>
      </c>
      <c r="T172" s="401">
        <f t="shared" si="315"/>
        <v>3708</v>
      </c>
      <c r="U172" s="446">
        <v>1</v>
      </c>
      <c r="V172" s="359">
        <f t="shared" si="316"/>
        <v>318.27</v>
      </c>
      <c r="W172" s="365">
        <v>12</v>
      </c>
      <c r="X172" s="400">
        <f t="shared" si="317"/>
        <v>3819.24</v>
      </c>
      <c r="Y172" s="359">
        <v>0</v>
      </c>
      <c r="Z172" s="401">
        <f t="shared" si="318"/>
        <v>3819.24</v>
      </c>
      <c r="AA172" s="446">
        <v>1</v>
      </c>
      <c r="AB172" s="359">
        <f t="shared" si="319"/>
        <v>327.81810000000002</v>
      </c>
      <c r="AC172" s="365">
        <v>12</v>
      </c>
      <c r="AD172" s="400">
        <f t="shared" si="320"/>
        <v>3933.8172000000004</v>
      </c>
      <c r="AE172" s="359">
        <v>0</v>
      </c>
      <c r="AF172" s="401">
        <f t="shared" si="321"/>
        <v>3933.8172000000004</v>
      </c>
      <c r="AG172" s="446">
        <v>1</v>
      </c>
      <c r="AH172" s="359">
        <f t="shared" si="322"/>
        <v>337.65264300000001</v>
      </c>
      <c r="AI172" s="365">
        <v>9</v>
      </c>
      <c r="AJ172" s="400">
        <f t="shared" si="323"/>
        <v>3038.873787</v>
      </c>
      <c r="AK172" s="359">
        <v>0</v>
      </c>
      <c r="AL172" s="359">
        <f t="shared" si="324"/>
        <v>3038.873787</v>
      </c>
      <c r="AM172" s="402">
        <f t="shared" si="325"/>
        <v>16299.930987</v>
      </c>
      <c r="AN172" s="359">
        <f t="shared" si="306"/>
        <v>0</v>
      </c>
      <c r="AO172" s="402">
        <f t="shared" si="307"/>
        <v>16299.930987</v>
      </c>
    </row>
    <row r="173" spans="1:45" x14ac:dyDescent="0.45">
      <c r="A173" s="258" t="s">
        <v>216</v>
      </c>
      <c r="B173" s="258">
        <v>89050</v>
      </c>
      <c r="C173" s="258" t="s">
        <v>65</v>
      </c>
      <c r="D173" s="258" t="s">
        <v>65</v>
      </c>
      <c r="E173" s="258" t="s">
        <v>217</v>
      </c>
      <c r="F173" s="140" t="s">
        <v>467</v>
      </c>
      <c r="G173" s="65" t="s">
        <v>468</v>
      </c>
      <c r="H173" s="141">
        <v>1</v>
      </c>
      <c r="I173" s="15">
        <v>300</v>
      </c>
      <c r="J173" s="15">
        <v>6</v>
      </c>
      <c r="K173" s="522" t="s">
        <v>107</v>
      </c>
      <c r="L173" s="37">
        <f t="shared" si="311"/>
        <v>1800</v>
      </c>
      <c r="M173" s="38">
        <v>0</v>
      </c>
      <c r="N173" s="39">
        <f t="shared" si="312"/>
        <v>1800</v>
      </c>
      <c r="O173" s="141">
        <v>1</v>
      </c>
      <c r="P173" s="38">
        <f>I173*$H$7</f>
        <v>312</v>
      </c>
      <c r="Q173" s="15">
        <v>12</v>
      </c>
      <c r="R173" s="37">
        <f t="shared" si="314"/>
        <v>3744</v>
      </c>
      <c r="S173" s="38">
        <v>0</v>
      </c>
      <c r="T173" s="39">
        <f t="shared" si="315"/>
        <v>3744</v>
      </c>
      <c r="U173" s="141">
        <v>1</v>
      </c>
      <c r="V173" s="38">
        <f t="shared" ref="V173" si="327">I173*$H$7*$H$7</f>
        <v>324.48</v>
      </c>
      <c r="W173" s="15">
        <v>12</v>
      </c>
      <c r="X173" s="37">
        <f t="shared" si="317"/>
        <v>3893.76</v>
      </c>
      <c r="Y173" s="38">
        <v>0</v>
      </c>
      <c r="Z173" s="39">
        <f t="shared" si="318"/>
        <v>3893.76</v>
      </c>
      <c r="AA173" s="141">
        <v>1</v>
      </c>
      <c r="AB173" s="38">
        <f t="shared" ref="AB173" si="328">I173*$H$7*$H$7*$H$7</f>
        <v>337.45920000000001</v>
      </c>
      <c r="AC173" s="15">
        <v>12</v>
      </c>
      <c r="AD173" s="37">
        <f t="shared" si="320"/>
        <v>4049.5104000000001</v>
      </c>
      <c r="AE173" s="38">
        <v>0</v>
      </c>
      <c r="AF173" s="39">
        <f t="shared" si="321"/>
        <v>4049.5104000000001</v>
      </c>
      <c r="AG173" s="141">
        <v>1</v>
      </c>
      <c r="AH173" s="38">
        <f t="shared" ref="AH173" si="329">I173*$H$7*$H$7*$H$7*$H$7</f>
        <v>350.95756800000004</v>
      </c>
      <c r="AI173" s="15">
        <v>9</v>
      </c>
      <c r="AJ173" s="37">
        <f t="shared" si="323"/>
        <v>3158.6181120000001</v>
      </c>
      <c r="AK173" s="38">
        <v>0</v>
      </c>
      <c r="AL173" s="39">
        <f t="shared" si="324"/>
        <v>3158.6181120000001</v>
      </c>
      <c r="AM173" s="40">
        <f t="shared" si="325"/>
        <v>16645.888512000001</v>
      </c>
      <c r="AN173" s="40">
        <f t="shared" si="306"/>
        <v>0</v>
      </c>
      <c r="AO173" s="40">
        <f t="shared" si="307"/>
        <v>16645.888512000001</v>
      </c>
    </row>
    <row r="174" spans="1:45" x14ac:dyDescent="0.45">
      <c r="A174" s="65"/>
      <c r="B174" s="65"/>
      <c r="C174" s="65"/>
      <c r="D174" s="65"/>
      <c r="E174" s="65"/>
      <c r="F174" s="65"/>
      <c r="G174" s="65"/>
      <c r="H174" s="141"/>
      <c r="I174" s="15"/>
      <c r="J174" s="15"/>
      <c r="K174" s="522"/>
      <c r="L174" s="37"/>
      <c r="M174" s="38"/>
      <c r="N174" s="39"/>
      <c r="O174" s="141"/>
      <c r="P174" s="38"/>
      <c r="Q174" s="15"/>
      <c r="R174" s="37"/>
      <c r="S174" s="38"/>
      <c r="T174" s="39"/>
      <c r="U174" s="272"/>
      <c r="V174" s="38"/>
      <c r="W174" s="15"/>
      <c r="X174" s="37"/>
      <c r="Y174" s="38"/>
      <c r="Z174" s="39"/>
      <c r="AA174" s="272"/>
      <c r="AB174" s="38"/>
      <c r="AC174" s="15"/>
      <c r="AD174" s="37"/>
      <c r="AE174" s="38"/>
      <c r="AF174" s="39"/>
      <c r="AG174" s="272"/>
      <c r="AH174" s="38"/>
      <c r="AI174" s="15"/>
      <c r="AJ174" s="37"/>
      <c r="AK174" s="38"/>
      <c r="AL174" s="39"/>
      <c r="AM174" s="40"/>
      <c r="AN174" s="270"/>
      <c r="AO174" s="40"/>
    </row>
    <row r="175" spans="1:45" ht="24.9" x14ac:dyDescent="0.45">
      <c r="A175" s="261"/>
      <c r="B175" s="261"/>
      <c r="C175" s="261"/>
      <c r="D175" s="261"/>
      <c r="E175" s="261"/>
      <c r="F175" s="261"/>
      <c r="G175" s="261" t="s">
        <v>287</v>
      </c>
      <c r="H175" s="262"/>
      <c r="I175" s="575"/>
      <c r="J175" s="576"/>
      <c r="K175" s="577"/>
      <c r="L175" s="263"/>
      <c r="M175" s="276"/>
      <c r="N175" s="264"/>
      <c r="O175" s="262"/>
      <c r="P175" s="276"/>
      <c r="Q175" s="575"/>
      <c r="R175" s="263"/>
      <c r="S175" s="276"/>
      <c r="T175" s="264"/>
      <c r="U175" s="273"/>
      <c r="V175" s="276"/>
      <c r="W175" s="575"/>
      <c r="X175" s="263"/>
      <c r="Y175" s="276"/>
      <c r="Z175" s="264"/>
      <c r="AA175" s="273"/>
      <c r="AB175" s="276"/>
      <c r="AC175" s="575"/>
      <c r="AD175" s="263"/>
      <c r="AE175" s="276"/>
      <c r="AF175" s="264"/>
      <c r="AG175" s="273"/>
      <c r="AH175" s="276"/>
      <c r="AI175" s="575"/>
      <c r="AJ175" s="263"/>
      <c r="AK175" s="276"/>
      <c r="AL175" s="264"/>
      <c r="AM175" s="266"/>
      <c r="AN175" s="265"/>
      <c r="AO175" s="266"/>
    </row>
    <row r="176" spans="1:45" s="647" customFormat="1" x14ac:dyDescent="0.45">
      <c r="A176" s="650"/>
      <c r="B176" s="650"/>
      <c r="C176" s="650"/>
      <c r="D176" s="650"/>
      <c r="E176" s="650"/>
      <c r="F176" s="650"/>
      <c r="G176" s="650" t="s">
        <v>469</v>
      </c>
      <c r="H176" s="651"/>
      <c r="I176" s="15"/>
      <c r="J176" s="287"/>
      <c r="K176" s="112"/>
      <c r="L176" s="644"/>
      <c r="M176" s="38"/>
      <c r="N176" s="617"/>
      <c r="O176" s="651"/>
      <c r="P176" s="1"/>
      <c r="Q176" s="1"/>
      <c r="R176" s="644"/>
      <c r="S176" s="38"/>
      <c r="T176" s="617"/>
      <c r="U176" s="651"/>
      <c r="V176" s="1"/>
      <c r="W176" s="1"/>
      <c r="X176" s="644"/>
      <c r="Y176" s="38"/>
      <c r="Z176" s="617"/>
      <c r="AA176" s="651"/>
      <c r="AB176" s="1"/>
      <c r="AC176" s="1"/>
      <c r="AD176" s="644"/>
      <c r="AE176" s="38"/>
      <c r="AF176" s="617"/>
      <c r="AG176" s="651"/>
      <c r="AH176" s="1"/>
      <c r="AI176" s="1"/>
      <c r="AJ176" s="644"/>
      <c r="AK176" s="38"/>
      <c r="AL176" s="617"/>
      <c r="AM176" s="645"/>
      <c r="AN176" s="646"/>
      <c r="AO176" s="645"/>
      <c r="AP176" s="1"/>
      <c r="AQ176" s="1"/>
      <c r="AR176" s="1"/>
      <c r="AS176" s="1"/>
    </row>
    <row r="177" spans="1:45" s="647" customFormat="1" x14ac:dyDescent="0.45">
      <c r="A177" s="258" t="s">
        <v>216</v>
      </c>
      <c r="B177" s="258">
        <v>89050</v>
      </c>
      <c r="C177" s="258" t="s">
        <v>65</v>
      </c>
      <c r="D177" s="258" t="s">
        <v>65</v>
      </c>
      <c r="E177" s="258" t="s">
        <v>217</v>
      </c>
      <c r="F177" s="140" t="s">
        <v>470</v>
      </c>
      <c r="G177" s="652" t="s">
        <v>471</v>
      </c>
      <c r="H177" s="653">
        <v>0</v>
      </c>
      <c r="I177" s="15">
        <v>2000</v>
      </c>
      <c r="J177" s="572">
        <v>1</v>
      </c>
      <c r="K177" s="522" t="s">
        <v>309</v>
      </c>
      <c r="L177" s="644">
        <f t="shared" ref="L177:L180" si="330">I177*H177*J177</f>
        <v>0</v>
      </c>
      <c r="M177" s="38">
        <v>0</v>
      </c>
      <c r="N177" s="617">
        <f t="shared" ref="N177:N180" si="331">SUM(L177:M177)</f>
        <v>0</v>
      </c>
      <c r="O177" s="653">
        <v>0</v>
      </c>
      <c r="P177" s="38">
        <f t="shared" ref="P177:P180" si="332">I177*$H$6</f>
        <v>2060</v>
      </c>
      <c r="Q177" s="15">
        <v>1</v>
      </c>
      <c r="R177" s="644">
        <f t="shared" ref="R177:R180" si="333">P177*O177*Q177</f>
        <v>0</v>
      </c>
      <c r="S177" s="38">
        <v>0</v>
      </c>
      <c r="T177" s="617">
        <f t="shared" ref="T177:T180" si="334">SUM(R177:S177)</f>
        <v>0</v>
      </c>
      <c r="U177" s="653">
        <v>10</v>
      </c>
      <c r="V177" s="38">
        <f t="shared" ref="V177:V180" si="335">I177*$H$6*$H$6</f>
        <v>2121.8000000000002</v>
      </c>
      <c r="W177" s="15">
        <v>1</v>
      </c>
      <c r="X177" s="644">
        <f t="shared" ref="X177:X180" si="336">U177*V177*W177</f>
        <v>21218</v>
      </c>
      <c r="Y177" s="38">
        <v>0</v>
      </c>
      <c r="Z177" s="617">
        <f t="shared" ref="Z177:Z180" si="337">SUM(X177:Y177)</f>
        <v>21218</v>
      </c>
      <c r="AA177" s="653">
        <v>10</v>
      </c>
      <c r="AB177" s="38">
        <f t="shared" ref="AB177:AB180" si="338">I177*$H$6*$H$6*$H$6</f>
        <v>2185.4540000000002</v>
      </c>
      <c r="AC177" s="15">
        <v>1</v>
      </c>
      <c r="AD177" s="644">
        <f t="shared" ref="AD177:AD180" si="339">AA177*AB177*AC177</f>
        <v>21854.54</v>
      </c>
      <c r="AE177" s="38">
        <v>0</v>
      </c>
      <c r="AF177" s="617">
        <f t="shared" ref="AF177:AF180" si="340">SUM(AD177:AE177)</f>
        <v>21854.54</v>
      </c>
      <c r="AG177" s="653">
        <v>0</v>
      </c>
      <c r="AH177" s="38">
        <f t="shared" ref="AH177:AH180" si="341">I177*$H$6*$H$6*$H$6*$H$6</f>
        <v>2251.0176200000001</v>
      </c>
      <c r="AI177" s="15">
        <v>1</v>
      </c>
      <c r="AJ177" s="644">
        <f t="shared" ref="AJ177:AJ180" si="342">AG177*AH177*AI177</f>
        <v>0</v>
      </c>
      <c r="AK177" s="38">
        <v>0</v>
      </c>
      <c r="AL177" s="617">
        <f t="shared" ref="AL177:AL180" si="343">SUM(AJ177:AK177)</f>
        <v>0</v>
      </c>
      <c r="AM177" s="645">
        <f t="shared" ref="AM177:AN180" si="344">L177+R177+X177+AD177+AJ177</f>
        <v>43072.54</v>
      </c>
      <c r="AN177" s="646">
        <f t="shared" si="344"/>
        <v>0</v>
      </c>
      <c r="AO177" s="645">
        <f t="shared" ref="AO177:AO180" si="345">SUM(AM177:AN177)</f>
        <v>43072.54</v>
      </c>
      <c r="AP177" s="1"/>
      <c r="AQ177" s="1"/>
      <c r="AR177" s="1"/>
      <c r="AS177" s="1"/>
    </row>
    <row r="178" spans="1:45" s="647" customFormat="1" x14ac:dyDescent="0.45">
      <c r="A178" s="258" t="s">
        <v>216</v>
      </c>
      <c r="B178" s="258">
        <v>89050</v>
      </c>
      <c r="C178" s="258" t="s">
        <v>65</v>
      </c>
      <c r="D178" s="258" t="s">
        <v>65</v>
      </c>
      <c r="E178" s="258" t="s">
        <v>217</v>
      </c>
      <c r="F178" s="140" t="s">
        <v>472</v>
      </c>
      <c r="G178" s="654" t="s">
        <v>473</v>
      </c>
      <c r="H178" s="653">
        <v>0</v>
      </c>
      <c r="I178" s="15">
        <v>500</v>
      </c>
      <c r="J178" s="572">
        <v>1</v>
      </c>
      <c r="K178" s="522" t="s">
        <v>309</v>
      </c>
      <c r="L178" s="644">
        <f t="shared" si="330"/>
        <v>0</v>
      </c>
      <c r="M178" s="38">
        <v>0</v>
      </c>
      <c r="N178" s="617">
        <f t="shared" si="331"/>
        <v>0</v>
      </c>
      <c r="O178" s="653">
        <v>0</v>
      </c>
      <c r="P178" s="38">
        <f t="shared" si="332"/>
        <v>515</v>
      </c>
      <c r="Q178" s="15">
        <v>1</v>
      </c>
      <c r="R178" s="644">
        <f t="shared" si="333"/>
        <v>0</v>
      </c>
      <c r="S178" s="38">
        <v>0</v>
      </c>
      <c r="T178" s="617">
        <f t="shared" si="334"/>
        <v>0</v>
      </c>
      <c r="U178" s="653">
        <v>10</v>
      </c>
      <c r="V178" s="38">
        <f t="shared" si="335"/>
        <v>530.45000000000005</v>
      </c>
      <c r="W178" s="15">
        <v>1</v>
      </c>
      <c r="X178" s="644">
        <f t="shared" si="336"/>
        <v>5304.5</v>
      </c>
      <c r="Y178" s="38">
        <v>0</v>
      </c>
      <c r="Z178" s="617">
        <f t="shared" si="337"/>
        <v>5304.5</v>
      </c>
      <c r="AA178" s="653">
        <v>10</v>
      </c>
      <c r="AB178" s="38">
        <f t="shared" si="338"/>
        <v>546.36350000000004</v>
      </c>
      <c r="AC178" s="15">
        <v>1</v>
      </c>
      <c r="AD178" s="644">
        <f t="shared" si="339"/>
        <v>5463.6350000000002</v>
      </c>
      <c r="AE178" s="38">
        <v>0</v>
      </c>
      <c r="AF178" s="617">
        <f t="shared" si="340"/>
        <v>5463.6350000000002</v>
      </c>
      <c r="AG178" s="653">
        <v>0</v>
      </c>
      <c r="AH178" s="38">
        <f t="shared" si="341"/>
        <v>562.75440500000002</v>
      </c>
      <c r="AI178" s="15">
        <v>1</v>
      </c>
      <c r="AJ178" s="644">
        <f t="shared" si="342"/>
        <v>0</v>
      </c>
      <c r="AK178" s="38">
        <v>0</v>
      </c>
      <c r="AL178" s="617">
        <f t="shared" si="343"/>
        <v>0</v>
      </c>
      <c r="AM178" s="645">
        <f t="shared" si="344"/>
        <v>10768.135</v>
      </c>
      <c r="AN178" s="646">
        <f t="shared" si="344"/>
        <v>0</v>
      </c>
      <c r="AO178" s="645">
        <f t="shared" si="345"/>
        <v>10768.135</v>
      </c>
      <c r="AP178" s="1"/>
      <c r="AQ178" s="1"/>
      <c r="AR178" s="1"/>
      <c r="AS178" s="1"/>
    </row>
    <row r="179" spans="1:45" s="647" customFormat="1" x14ac:dyDescent="0.45">
      <c r="A179" s="258" t="s">
        <v>216</v>
      </c>
      <c r="B179" s="258">
        <v>89050</v>
      </c>
      <c r="C179" s="258" t="s">
        <v>65</v>
      </c>
      <c r="D179" s="258" t="s">
        <v>65</v>
      </c>
      <c r="E179" s="258" t="s">
        <v>217</v>
      </c>
      <c r="F179" s="140" t="s">
        <v>474</v>
      </c>
      <c r="G179" s="654" t="s">
        <v>475</v>
      </c>
      <c r="H179" s="653">
        <v>0</v>
      </c>
      <c r="I179" s="15">
        <v>1000</v>
      </c>
      <c r="J179" s="572">
        <v>1</v>
      </c>
      <c r="K179" s="522" t="s">
        <v>476</v>
      </c>
      <c r="L179" s="644">
        <f t="shared" si="330"/>
        <v>0</v>
      </c>
      <c r="M179" s="38">
        <v>0</v>
      </c>
      <c r="N179" s="617">
        <f t="shared" si="331"/>
        <v>0</v>
      </c>
      <c r="O179" s="653">
        <v>0</v>
      </c>
      <c r="P179" s="38">
        <f t="shared" si="332"/>
        <v>1030</v>
      </c>
      <c r="Q179" s="15">
        <v>1</v>
      </c>
      <c r="R179" s="644">
        <f t="shared" si="333"/>
        <v>0</v>
      </c>
      <c r="S179" s="38">
        <v>0</v>
      </c>
      <c r="T179" s="617">
        <f t="shared" si="334"/>
        <v>0</v>
      </c>
      <c r="U179" s="653">
        <v>10</v>
      </c>
      <c r="V179" s="38">
        <f t="shared" si="335"/>
        <v>1060.9000000000001</v>
      </c>
      <c r="W179" s="15">
        <v>1</v>
      </c>
      <c r="X179" s="644">
        <f t="shared" si="336"/>
        <v>10609</v>
      </c>
      <c r="Y179" s="38">
        <v>0</v>
      </c>
      <c r="Z179" s="617">
        <f t="shared" si="337"/>
        <v>10609</v>
      </c>
      <c r="AA179" s="653">
        <v>10</v>
      </c>
      <c r="AB179" s="38">
        <f t="shared" si="338"/>
        <v>1092.7270000000001</v>
      </c>
      <c r="AC179" s="15">
        <v>1</v>
      </c>
      <c r="AD179" s="644">
        <f t="shared" si="339"/>
        <v>10927.27</v>
      </c>
      <c r="AE179" s="38">
        <v>0</v>
      </c>
      <c r="AF179" s="617">
        <f t="shared" si="340"/>
        <v>10927.27</v>
      </c>
      <c r="AG179" s="653">
        <v>0</v>
      </c>
      <c r="AH179" s="38">
        <f t="shared" si="341"/>
        <v>1125.50881</v>
      </c>
      <c r="AI179" s="15">
        <v>1</v>
      </c>
      <c r="AJ179" s="644">
        <f t="shared" si="342"/>
        <v>0</v>
      </c>
      <c r="AK179" s="38">
        <v>0</v>
      </c>
      <c r="AL179" s="617">
        <f t="shared" si="343"/>
        <v>0</v>
      </c>
      <c r="AM179" s="645">
        <f t="shared" si="344"/>
        <v>21536.27</v>
      </c>
      <c r="AN179" s="646">
        <f t="shared" si="344"/>
        <v>0</v>
      </c>
      <c r="AO179" s="645">
        <f t="shared" si="345"/>
        <v>21536.27</v>
      </c>
      <c r="AP179" s="1"/>
      <c r="AQ179" s="1"/>
      <c r="AR179" s="1"/>
      <c r="AS179" s="1"/>
    </row>
    <row r="180" spans="1:45" s="647" customFormat="1" x14ac:dyDescent="0.45">
      <c r="A180" s="258" t="s">
        <v>216</v>
      </c>
      <c r="B180" s="258">
        <v>89050</v>
      </c>
      <c r="C180" s="258" t="s">
        <v>65</v>
      </c>
      <c r="D180" s="258" t="s">
        <v>65</v>
      </c>
      <c r="E180" s="258" t="s">
        <v>217</v>
      </c>
      <c r="F180" s="140" t="s">
        <v>477</v>
      </c>
      <c r="G180" s="654" t="s">
        <v>478</v>
      </c>
      <c r="H180" s="653">
        <v>0</v>
      </c>
      <c r="I180" s="15">
        <v>20000</v>
      </c>
      <c r="J180" s="572">
        <v>1</v>
      </c>
      <c r="K180" s="522" t="s">
        <v>479</v>
      </c>
      <c r="L180" s="644">
        <f t="shared" si="330"/>
        <v>0</v>
      </c>
      <c r="M180" s="38">
        <v>0</v>
      </c>
      <c r="N180" s="617">
        <f t="shared" si="331"/>
        <v>0</v>
      </c>
      <c r="O180" s="653">
        <v>0</v>
      </c>
      <c r="P180" s="38">
        <f t="shared" si="332"/>
        <v>20600</v>
      </c>
      <c r="Q180" s="15">
        <v>1</v>
      </c>
      <c r="R180" s="644">
        <f t="shared" si="333"/>
        <v>0</v>
      </c>
      <c r="S180" s="38">
        <v>0</v>
      </c>
      <c r="T180" s="617">
        <f t="shared" si="334"/>
        <v>0</v>
      </c>
      <c r="U180" s="653">
        <v>10</v>
      </c>
      <c r="V180" s="38">
        <f t="shared" si="335"/>
        <v>21218</v>
      </c>
      <c r="W180" s="15">
        <v>1</v>
      </c>
      <c r="X180" s="644">
        <f t="shared" si="336"/>
        <v>212180</v>
      </c>
      <c r="Y180" s="38">
        <v>0</v>
      </c>
      <c r="Z180" s="617">
        <f t="shared" si="337"/>
        <v>212180</v>
      </c>
      <c r="AA180" s="653">
        <v>10</v>
      </c>
      <c r="AB180" s="38">
        <f t="shared" si="338"/>
        <v>21854.54</v>
      </c>
      <c r="AC180" s="15">
        <v>1</v>
      </c>
      <c r="AD180" s="644">
        <f t="shared" si="339"/>
        <v>218545.40000000002</v>
      </c>
      <c r="AE180" s="38">
        <v>0</v>
      </c>
      <c r="AF180" s="617">
        <f t="shared" si="340"/>
        <v>218545.40000000002</v>
      </c>
      <c r="AG180" s="653">
        <v>0</v>
      </c>
      <c r="AH180" s="38">
        <f t="shared" si="341"/>
        <v>22510.176200000002</v>
      </c>
      <c r="AI180" s="15">
        <v>1</v>
      </c>
      <c r="AJ180" s="644">
        <f t="shared" si="342"/>
        <v>0</v>
      </c>
      <c r="AK180" s="38">
        <v>0</v>
      </c>
      <c r="AL180" s="617">
        <f t="shared" si="343"/>
        <v>0</v>
      </c>
      <c r="AM180" s="645">
        <f t="shared" si="344"/>
        <v>430725.4</v>
      </c>
      <c r="AN180" s="646">
        <f t="shared" si="344"/>
        <v>0</v>
      </c>
      <c r="AO180" s="645">
        <f t="shared" si="345"/>
        <v>430725.4</v>
      </c>
      <c r="AP180" s="1"/>
      <c r="AQ180" s="1"/>
      <c r="AR180" s="1"/>
      <c r="AS180" s="1"/>
    </row>
    <row r="181" spans="1:45" s="647" customFormat="1" x14ac:dyDescent="0.45">
      <c r="A181" s="650"/>
      <c r="B181" s="258"/>
      <c r="C181" s="650"/>
      <c r="D181" s="650"/>
      <c r="E181" s="650"/>
      <c r="F181" s="650"/>
      <c r="G181" s="650" t="s">
        <v>480</v>
      </c>
      <c r="H181" s="653"/>
      <c r="I181" s="15"/>
      <c r="J181" s="572"/>
      <c r="K181" s="522"/>
      <c r="L181" s="644"/>
      <c r="M181" s="38"/>
      <c r="N181" s="617"/>
      <c r="O181" s="653"/>
      <c r="P181" s="38"/>
      <c r="Q181" s="15"/>
      <c r="R181" s="644"/>
      <c r="S181" s="38"/>
      <c r="T181" s="617"/>
      <c r="U181" s="653"/>
      <c r="V181" s="38"/>
      <c r="W181" s="15"/>
      <c r="X181" s="644"/>
      <c r="Y181" s="38"/>
      <c r="Z181" s="617"/>
      <c r="AA181" s="653"/>
      <c r="AB181" s="38"/>
      <c r="AC181" s="15"/>
      <c r="AD181" s="644"/>
      <c r="AE181" s="38"/>
      <c r="AF181" s="617"/>
      <c r="AG181" s="653"/>
      <c r="AH181" s="38"/>
      <c r="AI181" s="15"/>
      <c r="AJ181" s="644"/>
      <c r="AK181" s="38"/>
      <c r="AL181" s="617"/>
      <c r="AM181" s="645"/>
      <c r="AN181" s="646"/>
      <c r="AO181" s="645"/>
      <c r="AP181" s="1"/>
      <c r="AQ181" s="1"/>
      <c r="AR181" s="1"/>
      <c r="AS181" s="1"/>
    </row>
    <row r="182" spans="1:45" s="647" customFormat="1" x14ac:dyDescent="0.45">
      <c r="A182" s="258" t="s">
        <v>216</v>
      </c>
      <c r="B182" s="258">
        <v>89050</v>
      </c>
      <c r="C182" s="258" t="s">
        <v>65</v>
      </c>
      <c r="D182" s="258" t="s">
        <v>65</v>
      </c>
      <c r="E182" s="258" t="s">
        <v>217</v>
      </c>
      <c r="F182" s="140" t="s">
        <v>481</v>
      </c>
      <c r="G182" s="652" t="s">
        <v>482</v>
      </c>
      <c r="H182" s="653">
        <f t="shared" ref="H182:H183" si="346">35+35</f>
        <v>70</v>
      </c>
      <c r="I182" s="15">
        <v>6</v>
      </c>
      <c r="J182" s="572">
        <v>1</v>
      </c>
      <c r="K182" s="522" t="s">
        <v>483</v>
      </c>
      <c r="L182" s="644">
        <f t="shared" ref="L182:L187" si="347">J182*I182*H182</f>
        <v>420</v>
      </c>
      <c r="M182" s="38">
        <v>0</v>
      </c>
      <c r="N182" s="617">
        <f t="shared" ref="N182:N187" si="348">SUM(L182:M182)</f>
        <v>420</v>
      </c>
      <c r="O182" s="653">
        <f t="shared" ref="O182:O183" si="349">70+70</f>
        <v>140</v>
      </c>
      <c r="P182" s="38">
        <f t="shared" ref="P182:P187" si="350">I182*$H$6</f>
        <v>6.18</v>
      </c>
      <c r="Q182" s="15">
        <v>1</v>
      </c>
      <c r="R182" s="644">
        <f t="shared" ref="R182:R187" si="351">O182*P182*Q182</f>
        <v>865.19999999999993</v>
      </c>
      <c r="S182" s="38">
        <v>0</v>
      </c>
      <c r="T182" s="617">
        <f t="shared" ref="T182:T187" si="352">SUM(R182:S182)</f>
        <v>865.19999999999993</v>
      </c>
      <c r="U182" s="653">
        <f t="shared" ref="U182:U183" si="353">70+70</f>
        <v>140</v>
      </c>
      <c r="V182" s="38">
        <f t="shared" ref="V182:V187" si="354">I182*$H$6*$H$6</f>
        <v>6.3654000000000002</v>
      </c>
      <c r="W182" s="15">
        <v>1</v>
      </c>
      <c r="X182" s="644">
        <f t="shared" ref="X182:X187" si="355">U182*V182*W182</f>
        <v>891.15600000000006</v>
      </c>
      <c r="Y182" s="38">
        <v>0</v>
      </c>
      <c r="Z182" s="617">
        <f t="shared" ref="Z182:Z187" si="356">SUM(X182:Y182)</f>
        <v>891.15600000000006</v>
      </c>
      <c r="AA182" s="653">
        <f t="shared" ref="AA182:AA183" si="357">70+70</f>
        <v>140</v>
      </c>
      <c r="AB182" s="38">
        <f t="shared" ref="AB182:AB187" si="358">I182*$H$6*$H$6*$H$6</f>
        <v>6.556362</v>
      </c>
      <c r="AC182" s="15">
        <v>1</v>
      </c>
      <c r="AD182" s="644">
        <f t="shared" ref="AD182:AD187" si="359">AA182*AB182*AC182</f>
        <v>917.89067999999997</v>
      </c>
      <c r="AE182" s="38">
        <v>0</v>
      </c>
      <c r="AF182" s="617">
        <f t="shared" ref="AF182:AF187" si="360">SUM(AD182:AE182)</f>
        <v>917.89067999999997</v>
      </c>
      <c r="AG182" s="653">
        <v>70</v>
      </c>
      <c r="AH182" s="38">
        <f t="shared" ref="AH182:AH187" si="361">I182*$H$6*$H$6*$H$6*$H$6</f>
        <v>6.7530528600000004</v>
      </c>
      <c r="AI182" s="15">
        <v>1</v>
      </c>
      <c r="AJ182" s="644">
        <f t="shared" ref="AJ182:AJ187" si="362">AG182*AH182*AI182</f>
        <v>472.71370020000001</v>
      </c>
      <c r="AK182" s="38">
        <v>0</v>
      </c>
      <c r="AL182" s="617">
        <f t="shared" ref="AL182:AL187" si="363">SUM(AJ182:AK182)</f>
        <v>472.71370020000001</v>
      </c>
      <c r="AM182" s="645">
        <f t="shared" ref="AM182:AN187" si="364">L182+R182+X182+AD182+AJ182</f>
        <v>3566.9603801999997</v>
      </c>
      <c r="AN182" s="646">
        <f t="shared" si="364"/>
        <v>0</v>
      </c>
      <c r="AO182" s="645">
        <f t="shared" ref="AO182:AO187" si="365">SUM(AM182:AN182)</f>
        <v>3566.9603801999997</v>
      </c>
      <c r="AP182" s="1"/>
      <c r="AQ182" s="1"/>
      <c r="AR182" s="1"/>
      <c r="AS182" s="1"/>
    </row>
    <row r="183" spans="1:45" s="647" customFormat="1" x14ac:dyDescent="0.45">
      <c r="A183" s="258" t="s">
        <v>216</v>
      </c>
      <c r="B183" s="258">
        <v>89050</v>
      </c>
      <c r="C183" s="258" t="s">
        <v>65</v>
      </c>
      <c r="D183" s="258" t="s">
        <v>65</v>
      </c>
      <c r="E183" s="258" t="s">
        <v>217</v>
      </c>
      <c r="F183" s="140" t="s">
        <v>484</v>
      </c>
      <c r="G183" s="652" t="s">
        <v>485</v>
      </c>
      <c r="H183" s="653">
        <f t="shared" si="346"/>
        <v>70</v>
      </c>
      <c r="I183" s="15">
        <v>100</v>
      </c>
      <c r="J183" s="572">
        <v>1</v>
      </c>
      <c r="K183" s="522" t="s">
        <v>483</v>
      </c>
      <c r="L183" s="644">
        <f t="shared" si="347"/>
        <v>7000</v>
      </c>
      <c r="M183" s="38">
        <v>0</v>
      </c>
      <c r="N183" s="617">
        <f t="shared" si="348"/>
        <v>7000</v>
      </c>
      <c r="O183" s="653">
        <f t="shared" si="349"/>
        <v>140</v>
      </c>
      <c r="P183" s="38">
        <f t="shared" si="350"/>
        <v>103</v>
      </c>
      <c r="Q183" s="15">
        <v>1</v>
      </c>
      <c r="R183" s="644">
        <f t="shared" si="351"/>
        <v>14420</v>
      </c>
      <c r="S183" s="38">
        <v>0</v>
      </c>
      <c r="T183" s="617">
        <f t="shared" si="352"/>
        <v>14420</v>
      </c>
      <c r="U183" s="653">
        <f t="shared" si="353"/>
        <v>140</v>
      </c>
      <c r="V183" s="38">
        <f t="shared" si="354"/>
        <v>106.09</v>
      </c>
      <c r="W183" s="15">
        <v>1</v>
      </c>
      <c r="X183" s="644">
        <f t="shared" si="355"/>
        <v>14852.6</v>
      </c>
      <c r="Y183" s="38">
        <v>0</v>
      </c>
      <c r="Z183" s="617">
        <f t="shared" si="356"/>
        <v>14852.6</v>
      </c>
      <c r="AA183" s="653">
        <f t="shared" si="357"/>
        <v>140</v>
      </c>
      <c r="AB183" s="38">
        <f t="shared" si="358"/>
        <v>109.2727</v>
      </c>
      <c r="AC183" s="15">
        <v>1</v>
      </c>
      <c r="AD183" s="644">
        <f t="shared" si="359"/>
        <v>15298.178</v>
      </c>
      <c r="AE183" s="38">
        <v>0</v>
      </c>
      <c r="AF183" s="617">
        <f t="shared" si="360"/>
        <v>15298.178</v>
      </c>
      <c r="AG183" s="653">
        <v>70</v>
      </c>
      <c r="AH183" s="38">
        <f t="shared" si="361"/>
        <v>112.550881</v>
      </c>
      <c r="AI183" s="15">
        <v>1</v>
      </c>
      <c r="AJ183" s="644">
        <f t="shared" si="362"/>
        <v>7878.56167</v>
      </c>
      <c r="AK183" s="38">
        <v>0</v>
      </c>
      <c r="AL183" s="617">
        <f t="shared" si="363"/>
        <v>7878.56167</v>
      </c>
      <c r="AM183" s="645">
        <f t="shared" si="364"/>
        <v>59449.339670000001</v>
      </c>
      <c r="AN183" s="646">
        <f t="shared" si="364"/>
        <v>0</v>
      </c>
      <c r="AO183" s="645">
        <f t="shared" si="365"/>
        <v>59449.339670000001</v>
      </c>
      <c r="AP183" s="1"/>
      <c r="AQ183" s="1"/>
      <c r="AR183" s="1"/>
      <c r="AS183" s="1"/>
    </row>
    <row r="184" spans="1:45" s="647" customFormat="1" x14ac:dyDescent="0.45">
      <c r="A184" s="258" t="s">
        <v>216</v>
      </c>
      <c r="B184" s="258">
        <v>89050</v>
      </c>
      <c r="C184" s="258" t="s">
        <v>65</v>
      </c>
      <c r="D184" s="258" t="s">
        <v>65</v>
      </c>
      <c r="E184" s="258" t="s">
        <v>217</v>
      </c>
      <c r="F184" s="140" t="s">
        <v>486</v>
      </c>
      <c r="G184" s="652" t="s">
        <v>487</v>
      </c>
      <c r="H184" s="653">
        <v>50</v>
      </c>
      <c r="I184" s="15">
        <v>50</v>
      </c>
      <c r="J184" s="572">
        <v>1</v>
      </c>
      <c r="K184" s="522" t="s">
        <v>309</v>
      </c>
      <c r="L184" s="644">
        <f t="shared" si="347"/>
        <v>2500</v>
      </c>
      <c r="M184" s="38">
        <v>0</v>
      </c>
      <c r="N184" s="617">
        <f t="shared" si="348"/>
        <v>2500</v>
      </c>
      <c r="O184" s="653">
        <v>100</v>
      </c>
      <c r="P184" s="38">
        <f t="shared" si="350"/>
        <v>51.5</v>
      </c>
      <c r="Q184" s="15">
        <v>1</v>
      </c>
      <c r="R184" s="644">
        <f t="shared" si="351"/>
        <v>5150</v>
      </c>
      <c r="S184" s="38">
        <v>0</v>
      </c>
      <c r="T184" s="617">
        <f t="shared" si="352"/>
        <v>5150</v>
      </c>
      <c r="U184" s="653">
        <v>100</v>
      </c>
      <c r="V184" s="38">
        <f t="shared" si="354"/>
        <v>53.045000000000002</v>
      </c>
      <c r="W184" s="15">
        <v>1</v>
      </c>
      <c r="X184" s="644">
        <f t="shared" si="355"/>
        <v>5304.5</v>
      </c>
      <c r="Y184" s="38">
        <v>0</v>
      </c>
      <c r="Z184" s="617">
        <f t="shared" si="356"/>
        <v>5304.5</v>
      </c>
      <c r="AA184" s="653">
        <v>100</v>
      </c>
      <c r="AB184" s="38">
        <f t="shared" si="358"/>
        <v>54.63635</v>
      </c>
      <c r="AC184" s="15">
        <v>1</v>
      </c>
      <c r="AD184" s="644">
        <f t="shared" si="359"/>
        <v>5463.6350000000002</v>
      </c>
      <c r="AE184" s="38">
        <v>0</v>
      </c>
      <c r="AF184" s="617">
        <f t="shared" si="360"/>
        <v>5463.6350000000002</v>
      </c>
      <c r="AG184" s="653">
        <v>50</v>
      </c>
      <c r="AH184" s="38">
        <f t="shared" si="361"/>
        <v>56.275440500000002</v>
      </c>
      <c r="AI184" s="15">
        <v>0</v>
      </c>
      <c r="AJ184" s="644">
        <f t="shared" si="362"/>
        <v>0</v>
      </c>
      <c r="AK184" s="38">
        <v>0</v>
      </c>
      <c r="AL184" s="617">
        <f t="shared" si="363"/>
        <v>0</v>
      </c>
      <c r="AM184" s="645">
        <f t="shared" si="364"/>
        <v>18418.135000000002</v>
      </c>
      <c r="AN184" s="646">
        <f t="shared" si="364"/>
        <v>0</v>
      </c>
      <c r="AO184" s="645">
        <f t="shared" si="365"/>
        <v>18418.135000000002</v>
      </c>
      <c r="AP184" s="1"/>
      <c r="AQ184" s="1"/>
      <c r="AR184" s="1"/>
      <c r="AS184" s="1"/>
    </row>
    <row r="185" spans="1:45" s="647" customFormat="1" x14ac:dyDescent="0.45">
      <c r="A185" s="258" t="s">
        <v>216</v>
      </c>
      <c r="B185" s="258">
        <v>89050</v>
      </c>
      <c r="C185" s="258" t="s">
        <v>65</v>
      </c>
      <c r="D185" s="258" t="s">
        <v>65</v>
      </c>
      <c r="E185" s="258" t="s">
        <v>217</v>
      </c>
      <c r="F185" s="140" t="s">
        <v>488</v>
      </c>
      <c r="G185" s="652" t="s">
        <v>489</v>
      </c>
      <c r="H185" s="653">
        <v>25</v>
      </c>
      <c r="I185" s="15">
        <v>50</v>
      </c>
      <c r="J185" s="572">
        <v>1</v>
      </c>
      <c r="K185" s="522" t="s">
        <v>309</v>
      </c>
      <c r="L185" s="644">
        <f t="shared" si="347"/>
        <v>1250</v>
      </c>
      <c r="M185" s="38">
        <v>0</v>
      </c>
      <c r="N185" s="617">
        <f t="shared" si="348"/>
        <v>1250</v>
      </c>
      <c r="O185" s="653">
        <v>50</v>
      </c>
      <c r="P185" s="38">
        <f t="shared" si="350"/>
        <v>51.5</v>
      </c>
      <c r="Q185" s="15">
        <v>1</v>
      </c>
      <c r="R185" s="644">
        <f t="shared" si="351"/>
        <v>2575</v>
      </c>
      <c r="S185" s="38">
        <v>0</v>
      </c>
      <c r="T185" s="617">
        <f t="shared" si="352"/>
        <v>2575</v>
      </c>
      <c r="U185" s="653">
        <v>50</v>
      </c>
      <c r="V185" s="38">
        <f t="shared" si="354"/>
        <v>53.045000000000002</v>
      </c>
      <c r="W185" s="15">
        <v>1</v>
      </c>
      <c r="X185" s="644">
        <f t="shared" si="355"/>
        <v>2652.25</v>
      </c>
      <c r="Y185" s="38">
        <v>0</v>
      </c>
      <c r="Z185" s="617">
        <f t="shared" si="356"/>
        <v>2652.25</v>
      </c>
      <c r="AA185" s="653">
        <v>50</v>
      </c>
      <c r="AB185" s="38">
        <f t="shared" si="358"/>
        <v>54.63635</v>
      </c>
      <c r="AC185" s="15">
        <v>1</v>
      </c>
      <c r="AD185" s="644">
        <f t="shared" si="359"/>
        <v>2731.8175000000001</v>
      </c>
      <c r="AE185" s="38">
        <v>0</v>
      </c>
      <c r="AF185" s="617">
        <f t="shared" si="360"/>
        <v>2731.8175000000001</v>
      </c>
      <c r="AG185" s="653">
        <v>25</v>
      </c>
      <c r="AH185" s="38">
        <f t="shared" si="361"/>
        <v>56.275440500000002</v>
      </c>
      <c r="AI185" s="15">
        <v>0</v>
      </c>
      <c r="AJ185" s="644">
        <f t="shared" si="362"/>
        <v>0</v>
      </c>
      <c r="AK185" s="38">
        <v>0</v>
      </c>
      <c r="AL185" s="617">
        <f t="shared" si="363"/>
        <v>0</v>
      </c>
      <c r="AM185" s="645">
        <f t="shared" si="364"/>
        <v>9209.067500000001</v>
      </c>
      <c r="AN185" s="646">
        <f t="shared" si="364"/>
        <v>0</v>
      </c>
      <c r="AO185" s="645">
        <f t="shared" si="365"/>
        <v>9209.067500000001</v>
      </c>
      <c r="AP185" s="1"/>
      <c r="AQ185" s="1"/>
      <c r="AR185" s="1"/>
      <c r="AS185" s="1"/>
    </row>
    <row r="186" spans="1:45" s="647" customFormat="1" x14ac:dyDescent="0.45">
      <c r="A186" s="258" t="s">
        <v>216</v>
      </c>
      <c r="B186" s="258">
        <v>89050</v>
      </c>
      <c r="C186" s="258" t="s">
        <v>65</v>
      </c>
      <c r="D186" s="258" t="s">
        <v>65</v>
      </c>
      <c r="E186" s="258" t="s">
        <v>217</v>
      </c>
      <c r="F186" s="140" t="s">
        <v>490</v>
      </c>
      <c r="G186" s="652" t="s">
        <v>491</v>
      </c>
      <c r="H186" s="653">
        <v>1</v>
      </c>
      <c r="I186" s="15">
        <v>14215.9</v>
      </c>
      <c r="J186" s="572">
        <v>1</v>
      </c>
      <c r="K186" s="522" t="s">
        <v>492</v>
      </c>
      <c r="L186" s="644">
        <f t="shared" si="347"/>
        <v>14215.9</v>
      </c>
      <c r="M186" s="38">
        <v>0</v>
      </c>
      <c r="N186" s="617">
        <f t="shared" si="348"/>
        <v>14215.9</v>
      </c>
      <c r="O186" s="653">
        <v>0</v>
      </c>
      <c r="P186" s="38">
        <f t="shared" si="350"/>
        <v>14642.377</v>
      </c>
      <c r="Q186" s="15">
        <v>1</v>
      </c>
      <c r="R186" s="644">
        <f t="shared" si="351"/>
        <v>0</v>
      </c>
      <c r="S186" s="38">
        <v>0</v>
      </c>
      <c r="T186" s="617">
        <f t="shared" si="352"/>
        <v>0</v>
      </c>
      <c r="U186" s="653">
        <v>0</v>
      </c>
      <c r="V186" s="38">
        <f t="shared" si="354"/>
        <v>15081.64831</v>
      </c>
      <c r="W186" s="15">
        <v>1</v>
      </c>
      <c r="X186" s="644">
        <f t="shared" si="355"/>
        <v>0</v>
      </c>
      <c r="Y186" s="38">
        <v>0</v>
      </c>
      <c r="Z186" s="617">
        <f t="shared" si="356"/>
        <v>0</v>
      </c>
      <c r="AA186" s="653">
        <v>0</v>
      </c>
      <c r="AB186" s="38">
        <f t="shared" si="358"/>
        <v>15534.097759300001</v>
      </c>
      <c r="AC186" s="15">
        <v>1</v>
      </c>
      <c r="AD186" s="644">
        <f t="shared" si="359"/>
        <v>0</v>
      </c>
      <c r="AE186" s="38">
        <v>0</v>
      </c>
      <c r="AF186" s="617">
        <f t="shared" si="360"/>
        <v>0</v>
      </c>
      <c r="AG186" s="653">
        <v>0</v>
      </c>
      <c r="AH186" s="38">
        <f t="shared" si="361"/>
        <v>16000.120692079001</v>
      </c>
      <c r="AI186" s="15">
        <v>0</v>
      </c>
      <c r="AJ186" s="644">
        <f t="shared" si="362"/>
        <v>0</v>
      </c>
      <c r="AK186" s="38">
        <v>0</v>
      </c>
      <c r="AL186" s="617">
        <f t="shared" si="363"/>
        <v>0</v>
      </c>
      <c r="AM186" s="645">
        <f t="shared" si="364"/>
        <v>14215.9</v>
      </c>
      <c r="AN186" s="646">
        <f t="shared" si="364"/>
        <v>0</v>
      </c>
      <c r="AO186" s="645">
        <f t="shared" si="365"/>
        <v>14215.9</v>
      </c>
      <c r="AP186" s="1"/>
      <c r="AQ186" s="1"/>
      <c r="AR186" s="1"/>
      <c r="AS186" s="1"/>
    </row>
    <row r="187" spans="1:45" s="647" customFormat="1" x14ac:dyDescent="0.45">
      <c r="A187" s="258" t="s">
        <v>216</v>
      </c>
      <c r="B187" s="258">
        <v>89050</v>
      </c>
      <c r="C187" s="258" t="s">
        <v>65</v>
      </c>
      <c r="D187" s="258" t="s">
        <v>65</v>
      </c>
      <c r="E187" s="258" t="s">
        <v>217</v>
      </c>
      <c r="F187" s="140" t="s">
        <v>493</v>
      </c>
      <c r="G187" s="652" t="s">
        <v>494</v>
      </c>
      <c r="H187" s="653">
        <v>1</v>
      </c>
      <c r="I187" s="15">
        <v>2500</v>
      </c>
      <c r="J187" s="572">
        <v>1</v>
      </c>
      <c r="K187" s="522" t="s">
        <v>492</v>
      </c>
      <c r="L187" s="644">
        <f t="shared" si="347"/>
        <v>2500</v>
      </c>
      <c r="M187" s="38">
        <v>0</v>
      </c>
      <c r="N187" s="617">
        <f t="shared" si="348"/>
        <v>2500</v>
      </c>
      <c r="O187" s="653">
        <v>0</v>
      </c>
      <c r="P187" s="38">
        <f t="shared" si="350"/>
        <v>2575</v>
      </c>
      <c r="Q187" s="15">
        <v>1</v>
      </c>
      <c r="R187" s="644">
        <f t="shared" si="351"/>
        <v>0</v>
      </c>
      <c r="S187" s="38">
        <v>0</v>
      </c>
      <c r="T187" s="617">
        <f t="shared" si="352"/>
        <v>0</v>
      </c>
      <c r="U187" s="653">
        <v>0</v>
      </c>
      <c r="V187" s="38">
        <f t="shared" si="354"/>
        <v>2652.25</v>
      </c>
      <c r="W187" s="15">
        <v>1</v>
      </c>
      <c r="X187" s="644">
        <f t="shared" si="355"/>
        <v>0</v>
      </c>
      <c r="Y187" s="38">
        <v>0</v>
      </c>
      <c r="Z187" s="617">
        <f t="shared" si="356"/>
        <v>0</v>
      </c>
      <c r="AA187" s="653">
        <v>0</v>
      </c>
      <c r="AB187" s="38">
        <f t="shared" si="358"/>
        <v>2731.8175000000001</v>
      </c>
      <c r="AC187" s="15">
        <v>1</v>
      </c>
      <c r="AD187" s="644">
        <f t="shared" si="359"/>
        <v>0</v>
      </c>
      <c r="AE187" s="38">
        <v>0</v>
      </c>
      <c r="AF187" s="617">
        <f t="shared" si="360"/>
        <v>0</v>
      </c>
      <c r="AG187" s="653">
        <v>0</v>
      </c>
      <c r="AH187" s="38">
        <f t="shared" si="361"/>
        <v>2813.7720250000002</v>
      </c>
      <c r="AI187" s="15">
        <v>0</v>
      </c>
      <c r="AJ187" s="644">
        <f t="shared" si="362"/>
        <v>0</v>
      </c>
      <c r="AK187" s="38">
        <v>0</v>
      </c>
      <c r="AL187" s="617">
        <f t="shared" si="363"/>
        <v>0</v>
      </c>
      <c r="AM187" s="645">
        <f t="shared" si="364"/>
        <v>2500</v>
      </c>
      <c r="AN187" s="646">
        <f t="shared" si="364"/>
        <v>0</v>
      </c>
      <c r="AO187" s="645">
        <f t="shared" si="365"/>
        <v>2500</v>
      </c>
      <c r="AP187" s="1"/>
      <c r="AQ187" s="1"/>
      <c r="AR187" s="1"/>
      <c r="AS187" s="1"/>
    </row>
    <row r="188" spans="1:45" x14ac:dyDescent="0.45">
      <c r="A188" s="74"/>
      <c r="B188" s="74"/>
      <c r="C188" s="74"/>
      <c r="D188" s="74"/>
      <c r="E188" s="74"/>
      <c r="F188" s="82"/>
      <c r="G188" s="74"/>
      <c r="H188" s="141"/>
      <c r="I188" s="15"/>
      <c r="J188" s="572"/>
      <c r="K188" s="522"/>
      <c r="L188" s="37"/>
      <c r="M188" s="38"/>
      <c r="N188" s="39"/>
      <c r="O188" s="141"/>
      <c r="P188" s="38"/>
      <c r="Q188" s="15"/>
      <c r="R188" s="37"/>
      <c r="S188" s="38"/>
      <c r="T188" s="39"/>
      <c r="U188" s="141"/>
      <c r="V188" s="38"/>
      <c r="W188" s="15"/>
      <c r="X188" s="37"/>
      <c r="Y188" s="38"/>
      <c r="Z188" s="39"/>
      <c r="AA188" s="141"/>
      <c r="AB188" s="38"/>
      <c r="AC188" s="15"/>
      <c r="AD188" s="37"/>
      <c r="AE188" s="38"/>
      <c r="AF188" s="39"/>
      <c r="AG188" s="141"/>
      <c r="AH188" s="38"/>
      <c r="AI188" s="15"/>
      <c r="AJ188" s="37"/>
      <c r="AK188" s="38"/>
      <c r="AL188" s="39"/>
      <c r="AM188" s="40"/>
      <c r="AN188" s="270"/>
      <c r="AO188" s="40"/>
    </row>
    <row r="189" spans="1:45" x14ac:dyDescent="0.45">
      <c r="A189" s="261"/>
      <c r="B189" s="261"/>
      <c r="C189" s="261"/>
      <c r="D189" s="261"/>
      <c r="E189" s="261"/>
      <c r="F189" s="261"/>
      <c r="G189" s="261" t="s">
        <v>306</v>
      </c>
      <c r="H189" s="262"/>
      <c r="I189" s="575"/>
      <c r="J189" s="576"/>
      <c r="K189" s="577"/>
      <c r="L189" s="263"/>
      <c r="M189" s="276"/>
      <c r="N189" s="264"/>
      <c r="O189" s="262"/>
      <c r="P189" s="276"/>
      <c r="Q189" s="575"/>
      <c r="R189" s="263"/>
      <c r="S189" s="276"/>
      <c r="T189" s="264"/>
      <c r="U189" s="262"/>
      <c r="V189" s="276"/>
      <c r="W189" s="575"/>
      <c r="X189" s="263"/>
      <c r="Y189" s="276"/>
      <c r="Z189" s="264"/>
      <c r="AA189" s="262"/>
      <c r="AB189" s="276"/>
      <c r="AC189" s="575"/>
      <c r="AD189" s="263"/>
      <c r="AE189" s="276"/>
      <c r="AF189" s="264"/>
      <c r="AG189" s="262"/>
      <c r="AH189" s="276"/>
      <c r="AI189" s="575"/>
      <c r="AJ189" s="263"/>
      <c r="AK189" s="276"/>
      <c r="AL189" s="264"/>
      <c r="AM189" s="266"/>
      <c r="AN189" s="265"/>
      <c r="AO189" s="266"/>
    </row>
    <row r="190" spans="1:45" s="647" customFormat="1" x14ac:dyDescent="0.45">
      <c r="A190" s="650"/>
      <c r="B190" s="650"/>
      <c r="C190" s="650"/>
      <c r="D190" s="650"/>
      <c r="E190" s="650"/>
      <c r="F190" s="650"/>
      <c r="G190" s="650" t="s">
        <v>495</v>
      </c>
      <c r="H190" s="653"/>
      <c r="I190" s="15"/>
      <c r="J190" s="572"/>
      <c r="K190" s="522"/>
      <c r="L190" s="644"/>
      <c r="M190" s="38"/>
      <c r="N190" s="617"/>
      <c r="O190" s="653"/>
      <c r="P190" s="38"/>
      <c r="Q190" s="15"/>
      <c r="R190" s="644"/>
      <c r="S190" s="38"/>
      <c r="T190" s="617"/>
      <c r="U190" s="653"/>
      <c r="V190" s="38"/>
      <c r="W190" s="15"/>
      <c r="X190" s="644"/>
      <c r="Y190" s="38"/>
      <c r="Z190" s="617"/>
      <c r="AA190" s="653"/>
      <c r="AB190" s="38"/>
      <c r="AC190" s="15"/>
      <c r="AD190" s="644"/>
      <c r="AE190" s="38"/>
      <c r="AF190" s="617"/>
      <c r="AG190" s="653"/>
      <c r="AH190" s="38"/>
      <c r="AI190" s="15"/>
      <c r="AJ190" s="644"/>
      <c r="AK190" s="38"/>
      <c r="AL190" s="617"/>
      <c r="AM190" s="645"/>
      <c r="AN190" s="646"/>
      <c r="AO190" s="645"/>
      <c r="AP190" s="1"/>
      <c r="AQ190" s="1"/>
      <c r="AR190" s="1"/>
      <c r="AS190" s="1"/>
    </row>
    <row r="191" spans="1:45" s="647" customFormat="1" x14ac:dyDescent="0.45">
      <c r="A191" s="258" t="s">
        <v>216</v>
      </c>
      <c r="B191" s="258">
        <v>89050</v>
      </c>
      <c r="C191" s="258" t="s">
        <v>65</v>
      </c>
      <c r="D191" s="258" t="s">
        <v>65</v>
      </c>
      <c r="E191" s="258" t="s">
        <v>217</v>
      </c>
      <c r="F191" s="140" t="s">
        <v>496</v>
      </c>
      <c r="G191" s="652" t="s">
        <v>497</v>
      </c>
      <c r="H191" s="653">
        <v>0</v>
      </c>
      <c r="I191" s="15">
        <v>2000</v>
      </c>
      <c r="J191" s="572">
        <v>1</v>
      </c>
      <c r="K191" s="522" t="s">
        <v>309</v>
      </c>
      <c r="L191" s="644">
        <f>J191*I191*H191</f>
        <v>0</v>
      </c>
      <c r="M191" s="38">
        <v>0</v>
      </c>
      <c r="N191" s="617">
        <f>SUM(L191:M191)</f>
        <v>0</v>
      </c>
      <c r="O191" s="653">
        <v>0</v>
      </c>
      <c r="P191" s="38">
        <f>I191*$H$6</f>
        <v>2060</v>
      </c>
      <c r="Q191" s="15">
        <v>1</v>
      </c>
      <c r="R191" s="644">
        <f>O191*P191*Q191</f>
        <v>0</v>
      </c>
      <c r="S191" s="38">
        <v>0</v>
      </c>
      <c r="T191" s="617">
        <f>SUM(R191:S191)</f>
        <v>0</v>
      </c>
      <c r="U191" s="653">
        <f>4*9</f>
        <v>36</v>
      </c>
      <c r="V191" s="38">
        <f>I191*$H$6*$H$6</f>
        <v>2121.8000000000002</v>
      </c>
      <c r="W191" s="15">
        <v>1</v>
      </c>
      <c r="X191" s="644">
        <f>U191*V191*W191</f>
        <v>76384.800000000003</v>
      </c>
      <c r="Y191" s="38">
        <v>0</v>
      </c>
      <c r="Z191" s="617">
        <f>SUM(X191:Y191)</f>
        <v>76384.800000000003</v>
      </c>
      <c r="AA191" s="653">
        <f>4*9</f>
        <v>36</v>
      </c>
      <c r="AB191" s="38">
        <f>I191*$H$6*$H$6*$H$6</f>
        <v>2185.4540000000002</v>
      </c>
      <c r="AC191" s="15">
        <v>1</v>
      </c>
      <c r="AD191" s="644">
        <f>AA191*AB191*AC191</f>
        <v>78676.344000000012</v>
      </c>
      <c r="AE191" s="38">
        <v>0</v>
      </c>
      <c r="AF191" s="617">
        <f>SUM(AD191:AE191)</f>
        <v>78676.344000000012</v>
      </c>
      <c r="AG191" s="653">
        <v>0</v>
      </c>
      <c r="AH191" s="38">
        <f>I191*$H$6*$H$6*$H$6*$H$6</f>
        <v>2251.0176200000001</v>
      </c>
      <c r="AI191" s="15">
        <v>0</v>
      </c>
      <c r="AJ191" s="644">
        <f>AG191*AH191*AI191</f>
        <v>0</v>
      </c>
      <c r="AK191" s="38">
        <v>0</v>
      </c>
      <c r="AL191" s="617">
        <f>SUM(AJ191:AK191)</f>
        <v>0</v>
      </c>
      <c r="AM191" s="645">
        <f t="shared" ref="AM191:AN191" si="366">L191+R191+X191+AD191+AJ191</f>
        <v>155061.14400000003</v>
      </c>
      <c r="AN191" s="646">
        <f t="shared" si="366"/>
        <v>0</v>
      </c>
      <c r="AO191" s="645">
        <f>SUM(AM191:AN191)</f>
        <v>155061.14400000003</v>
      </c>
      <c r="AP191" s="1"/>
      <c r="AQ191" s="1"/>
      <c r="AR191" s="1"/>
      <c r="AS191" s="1"/>
    </row>
    <row r="192" spans="1:45" s="647" customFormat="1" x14ac:dyDescent="0.45">
      <c r="A192" s="650"/>
      <c r="B192" s="650"/>
      <c r="C192" s="650"/>
      <c r="D192" s="650"/>
      <c r="E192" s="650"/>
      <c r="F192" s="650"/>
      <c r="G192" s="650" t="s">
        <v>498</v>
      </c>
      <c r="H192" s="653"/>
      <c r="I192" s="15"/>
      <c r="J192" s="572"/>
      <c r="K192" s="522"/>
      <c r="L192" s="644"/>
      <c r="M192" s="38"/>
      <c r="N192" s="617"/>
      <c r="O192" s="272"/>
      <c r="P192" s="38"/>
      <c r="Q192" s="15"/>
      <c r="R192" s="644"/>
      <c r="S192" s="38"/>
      <c r="T192" s="617"/>
      <c r="U192" s="272"/>
      <c r="V192" s="38"/>
      <c r="W192" s="15"/>
      <c r="X192" s="644"/>
      <c r="Y192" s="38"/>
      <c r="Z192" s="617"/>
      <c r="AA192" s="272"/>
      <c r="AB192" s="38"/>
      <c r="AC192" s="15"/>
      <c r="AD192" s="644"/>
      <c r="AE192" s="38"/>
      <c r="AF192" s="617"/>
      <c r="AG192" s="272"/>
      <c r="AH192" s="38"/>
      <c r="AI192" s="15"/>
      <c r="AJ192" s="644"/>
      <c r="AK192" s="644"/>
      <c r="AL192" s="617"/>
      <c r="AM192" s="645"/>
      <c r="AN192" s="646"/>
      <c r="AO192" s="645"/>
      <c r="AP192" s="1"/>
      <c r="AQ192" s="1"/>
      <c r="AR192" s="1"/>
      <c r="AS192" s="1"/>
    </row>
    <row r="193" spans="1:45" s="647" customFormat="1" x14ac:dyDescent="0.45">
      <c r="A193" s="258" t="s">
        <v>216</v>
      </c>
      <c r="B193" s="258">
        <v>89050</v>
      </c>
      <c r="C193" s="258" t="s">
        <v>65</v>
      </c>
      <c r="D193" s="258" t="s">
        <v>65</v>
      </c>
      <c r="E193" s="258" t="s">
        <v>217</v>
      </c>
      <c r="F193" s="140" t="s">
        <v>499</v>
      </c>
      <c r="G193" s="652" t="s">
        <v>500</v>
      </c>
      <c r="H193" s="653">
        <v>0</v>
      </c>
      <c r="I193" s="15">
        <v>200</v>
      </c>
      <c r="J193" s="572">
        <v>1</v>
      </c>
      <c r="K193" s="522" t="s">
        <v>299</v>
      </c>
      <c r="L193" s="644">
        <f t="shared" ref="L193:L194" si="367">I193*H193*J193</f>
        <v>0</v>
      </c>
      <c r="M193" s="38">
        <v>0</v>
      </c>
      <c r="N193" s="617">
        <f t="shared" ref="N193:N194" si="368">SUM(L193:M193)</f>
        <v>0</v>
      </c>
      <c r="O193" s="272">
        <v>4</v>
      </c>
      <c r="P193" s="38">
        <f t="shared" ref="P193:P194" si="369">I193*$H$6</f>
        <v>206</v>
      </c>
      <c r="Q193" s="15">
        <v>1</v>
      </c>
      <c r="R193" s="644">
        <f t="shared" ref="R193:R194" si="370">P193*O193*Q193</f>
        <v>824</v>
      </c>
      <c r="S193" s="38">
        <v>0</v>
      </c>
      <c r="T193" s="617">
        <f t="shared" ref="T193:T194" si="371">SUM(R193:S193)</f>
        <v>824</v>
      </c>
      <c r="U193" s="272">
        <v>8</v>
      </c>
      <c r="V193" s="38">
        <f t="shared" ref="V193:V194" si="372">I193*$H$6*$H$6</f>
        <v>212.18</v>
      </c>
      <c r="W193" s="15">
        <v>1</v>
      </c>
      <c r="X193" s="644">
        <f t="shared" ref="X193:X194" si="373">U193*V193*W193</f>
        <v>1697.44</v>
      </c>
      <c r="Y193" s="38">
        <v>0</v>
      </c>
      <c r="Z193" s="617">
        <f t="shared" ref="Z193:Z194" si="374">SUM(X193:Y193)</f>
        <v>1697.44</v>
      </c>
      <c r="AA193" s="272">
        <v>10</v>
      </c>
      <c r="AB193" s="38">
        <f t="shared" ref="AB193:AB194" si="375">I193*$H$6*$H$6*$H$6</f>
        <v>218.5454</v>
      </c>
      <c r="AC193" s="15">
        <v>1</v>
      </c>
      <c r="AD193" s="644">
        <f t="shared" ref="AD193:AD194" si="376">AA193*AB193*AC193</f>
        <v>2185.4540000000002</v>
      </c>
      <c r="AE193" s="38">
        <v>0</v>
      </c>
      <c r="AF193" s="617">
        <f t="shared" ref="AF193:AF194" si="377">SUM(AD193:AE193)</f>
        <v>2185.4540000000002</v>
      </c>
      <c r="AG193" s="272">
        <v>2</v>
      </c>
      <c r="AH193" s="38">
        <f t="shared" ref="AH193:AH194" si="378">I193*$H$6*$H$6*$H$6*$H$6</f>
        <v>225.10176200000001</v>
      </c>
      <c r="AI193" s="15">
        <v>1</v>
      </c>
      <c r="AJ193" s="644">
        <f t="shared" ref="AJ193:AJ194" si="379">AG193*AH193*AI193</f>
        <v>450.20352400000002</v>
      </c>
      <c r="AK193" s="644">
        <v>0</v>
      </c>
      <c r="AL193" s="617">
        <f t="shared" ref="AL193:AL194" si="380">SUM(AJ193:AK193)</f>
        <v>450.20352400000002</v>
      </c>
      <c r="AM193" s="645">
        <f t="shared" ref="AM193:AN194" si="381">L193+R193+X193+AD193+AJ193</f>
        <v>5157.0975240000007</v>
      </c>
      <c r="AN193" s="646">
        <f t="shared" si="381"/>
        <v>0</v>
      </c>
      <c r="AO193" s="645">
        <f t="shared" ref="AO193:AO194" si="382">SUM(AM193:AN193)</f>
        <v>5157.0975240000007</v>
      </c>
      <c r="AP193" s="1"/>
      <c r="AQ193" s="1"/>
      <c r="AR193" s="1"/>
      <c r="AS193" s="1"/>
    </row>
    <row r="194" spans="1:45" s="647" customFormat="1" x14ac:dyDescent="0.45">
      <c r="A194" s="258" t="s">
        <v>216</v>
      </c>
      <c r="B194" s="258">
        <v>89050</v>
      </c>
      <c r="C194" s="258" t="s">
        <v>65</v>
      </c>
      <c r="D194" s="258" t="s">
        <v>65</v>
      </c>
      <c r="E194" s="258" t="s">
        <v>217</v>
      </c>
      <c r="F194" s="140" t="s">
        <v>501</v>
      </c>
      <c r="G194" s="652" t="s">
        <v>502</v>
      </c>
      <c r="H194" s="653">
        <v>0</v>
      </c>
      <c r="I194" s="15">
        <v>300</v>
      </c>
      <c r="J194" s="572">
        <v>1</v>
      </c>
      <c r="K194" s="522" t="s">
        <v>183</v>
      </c>
      <c r="L194" s="644">
        <f t="shared" si="367"/>
        <v>0</v>
      </c>
      <c r="M194" s="38">
        <v>0</v>
      </c>
      <c r="N194" s="617">
        <f t="shared" si="368"/>
        <v>0</v>
      </c>
      <c r="O194" s="272">
        <v>2</v>
      </c>
      <c r="P194" s="38">
        <f t="shared" si="369"/>
        <v>309</v>
      </c>
      <c r="Q194" s="15">
        <v>1</v>
      </c>
      <c r="R194" s="644">
        <f t="shared" si="370"/>
        <v>618</v>
      </c>
      <c r="S194" s="38">
        <v>0</v>
      </c>
      <c r="T194" s="617">
        <f t="shared" si="371"/>
        <v>618</v>
      </c>
      <c r="U194" s="272">
        <v>6</v>
      </c>
      <c r="V194" s="38">
        <f t="shared" si="372"/>
        <v>318.27</v>
      </c>
      <c r="W194" s="15">
        <v>1</v>
      </c>
      <c r="X194" s="644">
        <f t="shared" si="373"/>
        <v>1909.62</v>
      </c>
      <c r="Y194" s="38">
        <v>0</v>
      </c>
      <c r="Z194" s="617">
        <f t="shared" si="374"/>
        <v>1909.62</v>
      </c>
      <c r="AA194" s="272">
        <v>5</v>
      </c>
      <c r="AB194" s="38">
        <f t="shared" si="375"/>
        <v>327.81810000000002</v>
      </c>
      <c r="AC194" s="15">
        <v>1</v>
      </c>
      <c r="AD194" s="644">
        <f t="shared" si="376"/>
        <v>1639.0905</v>
      </c>
      <c r="AE194" s="38">
        <v>0</v>
      </c>
      <c r="AF194" s="617">
        <f t="shared" si="377"/>
        <v>1639.0905</v>
      </c>
      <c r="AG194" s="272">
        <v>2</v>
      </c>
      <c r="AH194" s="38">
        <f t="shared" si="378"/>
        <v>337.65264300000001</v>
      </c>
      <c r="AI194" s="15">
        <v>1</v>
      </c>
      <c r="AJ194" s="644">
        <f t="shared" si="379"/>
        <v>675.30528600000002</v>
      </c>
      <c r="AK194" s="644">
        <v>0</v>
      </c>
      <c r="AL194" s="617">
        <f t="shared" si="380"/>
        <v>675.30528600000002</v>
      </c>
      <c r="AM194" s="645">
        <f t="shared" si="381"/>
        <v>4842.0157859999999</v>
      </c>
      <c r="AN194" s="646">
        <f t="shared" si="381"/>
        <v>0</v>
      </c>
      <c r="AO194" s="645">
        <f t="shared" si="382"/>
        <v>4842.0157859999999</v>
      </c>
      <c r="AP194" s="1"/>
      <c r="AQ194" s="1"/>
      <c r="AR194" s="1"/>
      <c r="AS194" s="1"/>
    </row>
    <row r="195" spans="1:45" x14ac:dyDescent="0.45">
      <c r="A195" s="74"/>
      <c r="B195" s="74"/>
      <c r="C195" s="74"/>
      <c r="D195" s="74"/>
      <c r="E195" s="74"/>
      <c r="F195" s="82"/>
      <c r="G195" s="74"/>
      <c r="H195" s="141"/>
      <c r="I195" s="15"/>
      <c r="J195" s="572"/>
      <c r="K195" s="522"/>
      <c r="L195" s="37"/>
      <c r="M195" s="38"/>
      <c r="N195" s="38"/>
      <c r="O195" s="272"/>
      <c r="P195" s="38"/>
      <c r="Q195" s="15"/>
      <c r="R195" s="37"/>
      <c r="S195" s="38"/>
      <c r="T195" s="38"/>
      <c r="U195" s="272"/>
      <c r="V195" s="38"/>
      <c r="W195" s="15"/>
      <c r="X195" s="37"/>
      <c r="Y195" s="38"/>
      <c r="Z195" s="38"/>
      <c r="AA195" s="272"/>
      <c r="AB195" s="38"/>
      <c r="AC195" s="15"/>
      <c r="AD195" s="37"/>
      <c r="AE195" s="38"/>
      <c r="AF195" s="38"/>
      <c r="AG195" s="272"/>
      <c r="AH195" s="38"/>
      <c r="AI195" s="15"/>
      <c r="AJ195" s="37"/>
      <c r="AK195" s="38"/>
      <c r="AL195" s="38"/>
      <c r="AM195" s="40"/>
      <c r="AN195" s="270"/>
      <c r="AO195" s="40"/>
    </row>
    <row r="196" spans="1:45" x14ac:dyDescent="0.45">
      <c r="A196" s="261"/>
      <c r="B196" s="261"/>
      <c r="C196" s="261"/>
      <c r="D196" s="261"/>
      <c r="E196" s="261"/>
      <c r="F196" s="261"/>
      <c r="G196" s="261" t="s">
        <v>310</v>
      </c>
      <c r="H196" s="262"/>
      <c r="I196" s="575"/>
      <c r="J196" s="575"/>
      <c r="K196" s="577"/>
      <c r="L196" s="263"/>
      <c r="M196" s="276"/>
      <c r="N196" s="275"/>
      <c r="O196" s="273"/>
      <c r="P196" s="273"/>
      <c r="Q196" s="575"/>
      <c r="R196" s="263"/>
      <c r="S196" s="276"/>
      <c r="T196" s="276"/>
      <c r="U196" s="279"/>
      <c r="V196" s="279"/>
      <c r="W196" s="280"/>
      <c r="X196" s="263"/>
      <c r="Y196" s="276"/>
      <c r="Z196" s="276"/>
      <c r="AA196" s="279"/>
      <c r="AB196" s="559"/>
      <c r="AC196" s="280"/>
      <c r="AD196" s="263"/>
      <c r="AE196" s="276"/>
      <c r="AF196" s="276"/>
      <c r="AG196" s="279"/>
      <c r="AH196" s="276"/>
      <c r="AI196" s="280"/>
      <c r="AJ196" s="263"/>
      <c r="AK196" s="276"/>
      <c r="AL196" s="276"/>
      <c r="AM196" s="284"/>
      <c r="AN196" s="284"/>
      <c r="AO196" s="578"/>
    </row>
    <row r="197" spans="1:45" x14ac:dyDescent="0.45">
      <c r="A197" s="258" t="s">
        <v>216</v>
      </c>
      <c r="B197" s="258">
        <v>89050</v>
      </c>
      <c r="C197" s="258" t="s">
        <v>65</v>
      </c>
      <c r="D197" s="258" t="s">
        <v>65</v>
      </c>
      <c r="E197" s="258" t="s">
        <v>217</v>
      </c>
      <c r="F197" s="140" t="s">
        <v>503</v>
      </c>
      <c r="G197" s="65" t="s">
        <v>504</v>
      </c>
      <c r="H197" s="140">
        <v>1</v>
      </c>
      <c r="I197" s="38">
        <v>2500</v>
      </c>
      <c r="J197" s="15">
        <v>1</v>
      </c>
      <c r="K197" s="522" t="s">
        <v>249</v>
      </c>
      <c r="L197" s="37">
        <f>J197*I197*H197</f>
        <v>2500</v>
      </c>
      <c r="M197" s="38">
        <v>0</v>
      </c>
      <c r="N197" s="39">
        <f>SUM(L197:M197)</f>
        <v>2500</v>
      </c>
      <c r="O197" s="140">
        <v>1</v>
      </c>
      <c r="P197" s="359">
        <f>I197*$H$6</f>
        <v>2575</v>
      </c>
      <c r="Q197" s="1">
        <v>1</v>
      </c>
      <c r="R197" s="37">
        <f>Q197*P197*O197</f>
        <v>2575</v>
      </c>
      <c r="S197" s="38">
        <v>0</v>
      </c>
      <c r="T197" s="39">
        <f>SUM(R197:S197)</f>
        <v>2575</v>
      </c>
      <c r="U197" s="140">
        <v>1</v>
      </c>
      <c r="V197" s="359">
        <f t="shared" ref="V197:V200" si="383">I197*$H$6*$H$6</f>
        <v>2652.25</v>
      </c>
      <c r="W197" s="1">
        <v>1</v>
      </c>
      <c r="X197" s="37">
        <f>W197*V197*U197</f>
        <v>2652.25</v>
      </c>
      <c r="Y197" s="38">
        <v>0</v>
      </c>
      <c r="Z197" s="39">
        <f>SUM(X197:X197)</f>
        <v>2652.25</v>
      </c>
      <c r="AA197" s="140">
        <v>1</v>
      </c>
      <c r="AB197" s="359">
        <f t="shared" ref="AB197:AB200" si="384">I197*$H$6*$H$6*$H$6</f>
        <v>2731.8175000000001</v>
      </c>
      <c r="AC197" s="1">
        <v>1</v>
      </c>
      <c r="AD197" s="37">
        <f>AC197*AB197*AA197</f>
        <v>2731.8175000000001</v>
      </c>
      <c r="AE197" s="38">
        <v>0</v>
      </c>
      <c r="AF197" s="39">
        <f>SUM(AD197:AE197)</f>
        <v>2731.8175000000001</v>
      </c>
      <c r="AG197" s="140">
        <v>1</v>
      </c>
      <c r="AH197" s="359">
        <f t="shared" ref="AH197:AH200" si="385">I197*$H$6*$H$6*$H$6*$H$6</f>
        <v>2813.7720250000002</v>
      </c>
      <c r="AI197" s="1">
        <v>1</v>
      </c>
      <c r="AJ197" s="37">
        <f>AI197*AH197*AG197</f>
        <v>2813.7720250000002</v>
      </c>
      <c r="AK197" s="38">
        <v>0</v>
      </c>
      <c r="AL197" s="39">
        <f>SUM(AJ197:AK197)</f>
        <v>2813.7720250000002</v>
      </c>
      <c r="AM197" s="40">
        <f t="shared" ref="AM197:AN200" si="386">L197+R197+X197+AD197+AJ197</f>
        <v>13272.839525000001</v>
      </c>
      <c r="AN197" s="40">
        <f t="shared" si="386"/>
        <v>0</v>
      </c>
      <c r="AO197" s="40">
        <f t="shared" ref="AO197:AO200" si="387">SUM(AM197:AN197)</f>
        <v>13272.839525000001</v>
      </c>
      <c r="AP197" s="91"/>
      <c r="AQ197" s="91"/>
      <c r="AR197" s="91"/>
    </row>
    <row r="198" spans="1:45" x14ac:dyDescent="0.45">
      <c r="A198" s="258" t="s">
        <v>216</v>
      </c>
      <c r="B198" s="258">
        <v>89050</v>
      </c>
      <c r="C198" s="258" t="s">
        <v>65</v>
      </c>
      <c r="D198" s="258" t="s">
        <v>65</v>
      </c>
      <c r="E198" s="258" t="s">
        <v>217</v>
      </c>
      <c r="F198" s="140" t="s">
        <v>505</v>
      </c>
      <c r="G198" s="65" t="s">
        <v>314</v>
      </c>
      <c r="H198" s="38">
        <v>1</v>
      </c>
      <c r="I198" s="38">
        <v>7500</v>
      </c>
      <c r="J198" s="15">
        <v>1</v>
      </c>
      <c r="K198" s="522" t="s">
        <v>183</v>
      </c>
      <c r="L198" s="37">
        <f t="shared" ref="L198" si="388">I198*H198</f>
        <v>7500</v>
      </c>
      <c r="M198" s="38">
        <v>0</v>
      </c>
      <c r="N198" s="39">
        <f t="shared" ref="N198:N200" si="389">SUM(L198:M198)</f>
        <v>7500</v>
      </c>
      <c r="O198" s="141">
        <v>0</v>
      </c>
      <c r="P198" s="359">
        <f t="shared" ref="P198:P200" si="390">I198*$H$6</f>
        <v>7725</v>
      </c>
      <c r="Q198" s="15">
        <v>1</v>
      </c>
      <c r="R198" s="37">
        <f t="shared" ref="R198:R200" si="391">O198*P198</f>
        <v>0</v>
      </c>
      <c r="S198" s="38">
        <v>0</v>
      </c>
      <c r="T198" s="39">
        <f t="shared" ref="T198:T200" si="392">SUM(R198:S198)</f>
        <v>0</v>
      </c>
      <c r="U198" s="37">
        <v>0</v>
      </c>
      <c r="V198" s="359">
        <f t="shared" si="383"/>
        <v>7956.75</v>
      </c>
      <c r="W198" s="15">
        <v>1</v>
      </c>
      <c r="X198" s="37">
        <f t="shared" ref="X198:X200" si="393">V198*U198</f>
        <v>0</v>
      </c>
      <c r="Y198" s="38">
        <v>0</v>
      </c>
      <c r="Z198" s="39">
        <f t="shared" ref="Z198:Z200" si="394">SUM(X198:Y198)</f>
        <v>0</v>
      </c>
      <c r="AA198" s="37">
        <v>0</v>
      </c>
      <c r="AB198" s="359">
        <f t="shared" si="384"/>
        <v>8195.4524999999994</v>
      </c>
      <c r="AC198" s="15">
        <v>1</v>
      </c>
      <c r="AD198" s="37">
        <f t="shared" ref="AD198:AD200" si="395">AB198*AA198</f>
        <v>0</v>
      </c>
      <c r="AE198" s="38">
        <v>0</v>
      </c>
      <c r="AF198" s="39">
        <f t="shared" ref="AF198:AF200" si="396">SUM(AD198:AE198)</f>
        <v>0</v>
      </c>
      <c r="AG198" s="37">
        <v>0</v>
      </c>
      <c r="AH198" s="359">
        <f t="shared" si="385"/>
        <v>8441.3160749999988</v>
      </c>
      <c r="AI198" s="1">
        <v>1</v>
      </c>
      <c r="AJ198" s="37">
        <f>AH198*AG198</f>
        <v>0</v>
      </c>
      <c r="AK198" s="38">
        <v>0</v>
      </c>
      <c r="AL198" s="39">
        <f t="shared" ref="AL198:AL200" si="397">SUM(AJ198:AK198)</f>
        <v>0</v>
      </c>
      <c r="AM198" s="40">
        <f t="shared" si="386"/>
        <v>7500</v>
      </c>
      <c r="AN198" s="40">
        <f t="shared" si="386"/>
        <v>0</v>
      </c>
      <c r="AO198" s="40">
        <f t="shared" si="387"/>
        <v>7500</v>
      </c>
    </row>
    <row r="199" spans="1:45" x14ac:dyDescent="0.45">
      <c r="A199" s="258" t="s">
        <v>216</v>
      </c>
      <c r="B199" s="258">
        <v>89050</v>
      </c>
      <c r="C199" s="258" t="s">
        <v>65</v>
      </c>
      <c r="D199" s="258" t="s">
        <v>65</v>
      </c>
      <c r="E199" s="258" t="s">
        <v>217</v>
      </c>
      <c r="F199" s="140" t="s">
        <v>506</v>
      </c>
      <c r="G199" s="65" t="s">
        <v>316</v>
      </c>
      <c r="H199" s="141">
        <v>2</v>
      </c>
      <c r="I199" s="38">
        <v>250</v>
      </c>
      <c r="J199" s="15">
        <v>1</v>
      </c>
      <c r="K199" s="522" t="s">
        <v>309</v>
      </c>
      <c r="L199" s="37">
        <f>I199*H199</f>
        <v>500</v>
      </c>
      <c r="M199" s="38">
        <v>0</v>
      </c>
      <c r="N199" s="39">
        <f t="shared" si="389"/>
        <v>500</v>
      </c>
      <c r="O199" s="141">
        <v>2</v>
      </c>
      <c r="P199" s="359">
        <f t="shared" si="390"/>
        <v>257.5</v>
      </c>
      <c r="Q199" s="15">
        <v>1</v>
      </c>
      <c r="R199" s="37">
        <f t="shared" si="391"/>
        <v>515</v>
      </c>
      <c r="S199" s="38">
        <v>0</v>
      </c>
      <c r="T199" s="39">
        <f t="shared" si="392"/>
        <v>515</v>
      </c>
      <c r="U199" s="37">
        <v>2</v>
      </c>
      <c r="V199" s="359">
        <f t="shared" si="383"/>
        <v>265.22500000000002</v>
      </c>
      <c r="W199" s="15">
        <v>1</v>
      </c>
      <c r="X199" s="37">
        <f t="shared" si="393"/>
        <v>530.45000000000005</v>
      </c>
      <c r="Y199" s="38">
        <v>0</v>
      </c>
      <c r="Z199" s="39">
        <f t="shared" si="394"/>
        <v>530.45000000000005</v>
      </c>
      <c r="AA199" s="37">
        <v>2</v>
      </c>
      <c r="AB199" s="359">
        <f t="shared" si="384"/>
        <v>273.18175000000002</v>
      </c>
      <c r="AC199" s="15">
        <v>1</v>
      </c>
      <c r="AD199" s="37">
        <f t="shared" si="395"/>
        <v>546.36350000000004</v>
      </c>
      <c r="AE199" s="38">
        <v>0</v>
      </c>
      <c r="AF199" s="39">
        <f t="shared" si="396"/>
        <v>546.36350000000004</v>
      </c>
      <c r="AG199" s="37">
        <v>2</v>
      </c>
      <c r="AH199" s="359">
        <f t="shared" si="385"/>
        <v>281.37720250000001</v>
      </c>
      <c r="AI199" s="1">
        <v>1</v>
      </c>
      <c r="AJ199" s="37">
        <f>AH199*AG199</f>
        <v>562.75440500000002</v>
      </c>
      <c r="AK199" s="38">
        <v>0</v>
      </c>
      <c r="AL199" s="39">
        <f t="shared" si="397"/>
        <v>562.75440500000002</v>
      </c>
      <c r="AM199" s="40">
        <f t="shared" si="386"/>
        <v>2654.5679050000003</v>
      </c>
      <c r="AN199" s="40">
        <f t="shared" si="386"/>
        <v>0</v>
      </c>
      <c r="AO199" s="40">
        <f t="shared" si="387"/>
        <v>2654.5679050000003</v>
      </c>
    </row>
    <row r="200" spans="1:45" x14ac:dyDescent="0.45">
      <c r="A200" s="258" t="s">
        <v>216</v>
      </c>
      <c r="B200" s="258">
        <v>89050</v>
      </c>
      <c r="C200" s="258" t="s">
        <v>65</v>
      </c>
      <c r="D200" s="258" t="s">
        <v>65</v>
      </c>
      <c r="E200" s="258" t="s">
        <v>217</v>
      </c>
      <c r="F200" s="140" t="s">
        <v>507</v>
      </c>
      <c r="G200" s="65" t="s">
        <v>318</v>
      </c>
      <c r="H200" s="141">
        <v>2</v>
      </c>
      <c r="I200" s="38">
        <v>250</v>
      </c>
      <c r="J200" s="15">
        <v>1</v>
      </c>
      <c r="K200" s="522" t="s">
        <v>309</v>
      </c>
      <c r="L200" s="37">
        <f>I200*H200</f>
        <v>500</v>
      </c>
      <c r="M200" s="38">
        <v>0</v>
      </c>
      <c r="N200" s="39">
        <f t="shared" si="389"/>
        <v>500</v>
      </c>
      <c r="O200" s="141">
        <v>2</v>
      </c>
      <c r="P200" s="359">
        <f t="shared" si="390"/>
        <v>257.5</v>
      </c>
      <c r="Q200" s="15">
        <v>1</v>
      </c>
      <c r="R200" s="37">
        <f t="shared" si="391"/>
        <v>515</v>
      </c>
      <c r="S200" s="38">
        <v>0</v>
      </c>
      <c r="T200" s="39">
        <f t="shared" si="392"/>
        <v>515</v>
      </c>
      <c r="U200" s="37">
        <v>2</v>
      </c>
      <c r="V200" s="359">
        <f t="shared" si="383"/>
        <v>265.22500000000002</v>
      </c>
      <c r="W200" s="15">
        <v>1</v>
      </c>
      <c r="X200" s="37">
        <f t="shared" si="393"/>
        <v>530.45000000000005</v>
      </c>
      <c r="Y200" s="38">
        <v>0</v>
      </c>
      <c r="Z200" s="39">
        <f t="shared" si="394"/>
        <v>530.45000000000005</v>
      </c>
      <c r="AA200" s="37">
        <v>2</v>
      </c>
      <c r="AB200" s="359">
        <f t="shared" si="384"/>
        <v>273.18175000000002</v>
      </c>
      <c r="AC200" s="15">
        <v>1</v>
      </c>
      <c r="AD200" s="37">
        <f t="shared" si="395"/>
        <v>546.36350000000004</v>
      </c>
      <c r="AE200" s="38">
        <v>0</v>
      </c>
      <c r="AF200" s="39">
        <f t="shared" si="396"/>
        <v>546.36350000000004</v>
      </c>
      <c r="AG200" s="37">
        <v>2</v>
      </c>
      <c r="AH200" s="359">
        <f t="shared" si="385"/>
        <v>281.37720250000001</v>
      </c>
      <c r="AI200" s="1">
        <v>1</v>
      </c>
      <c r="AJ200" s="37">
        <f>AH200*AG200</f>
        <v>562.75440500000002</v>
      </c>
      <c r="AK200" s="38">
        <v>0</v>
      </c>
      <c r="AL200" s="39">
        <f t="shared" si="397"/>
        <v>562.75440500000002</v>
      </c>
      <c r="AM200" s="40">
        <f t="shared" si="386"/>
        <v>2654.5679050000003</v>
      </c>
      <c r="AN200" s="40">
        <f t="shared" si="386"/>
        <v>0</v>
      </c>
      <c r="AO200" s="40">
        <f t="shared" si="387"/>
        <v>2654.5679050000003</v>
      </c>
    </row>
    <row r="201" spans="1:45" s="10" customFormat="1" ht="12.3" x14ac:dyDescent="0.4">
      <c r="A201" s="75"/>
      <c r="B201" s="75"/>
      <c r="C201" s="75"/>
      <c r="D201" s="75"/>
      <c r="E201" s="75"/>
      <c r="F201" s="705"/>
      <c r="G201" s="75" t="s">
        <v>325</v>
      </c>
      <c r="H201" s="145"/>
      <c r="I201" s="129"/>
      <c r="J201" s="350"/>
      <c r="K201" s="529"/>
      <c r="L201" s="42">
        <f>SUM(L169:L200)</f>
        <v>47135.9</v>
      </c>
      <c r="M201" s="42">
        <f>SUM(M169:M200)</f>
        <v>0</v>
      </c>
      <c r="N201" s="44">
        <f>SUM(N169:N200)</f>
        <v>47135.9</v>
      </c>
      <c r="O201" s="145"/>
      <c r="P201" s="43"/>
      <c r="Q201" s="129"/>
      <c r="R201" s="42">
        <f>SUM(R169:R200)</f>
        <v>40453.199999999997</v>
      </c>
      <c r="S201" s="42">
        <f>SUM(S169:S200)</f>
        <v>0</v>
      </c>
      <c r="T201" s="44">
        <f>SUM(T169:T200)</f>
        <v>40453.199999999997</v>
      </c>
      <c r="U201" s="145"/>
      <c r="V201" s="129"/>
      <c r="W201" s="129"/>
      <c r="X201" s="42">
        <f>SUM(X169:X200)</f>
        <v>369522.33600000001</v>
      </c>
      <c r="Y201" s="42">
        <f>SUM(Y169:Y200)</f>
        <v>0</v>
      </c>
      <c r="Z201" s="44">
        <f>SUM(Z169:Z200)</f>
        <v>369522.33600000001</v>
      </c>
      <c r="AA201" s="145"/>
      <c r="AB201" s="129"/>
      <c r="AC201" s="129"/>
      <c r="AD201" s="42">
        <f>SUM(AD169:AD200)</f>
        <v>380756.21638000006</v>
      </c>
      <c r="AE201" s="42">
        <f>SUM(AE169:AE200)</f>
        <v>0</v>
      </c>
      <c r="AF201" s="44">
        <f>SUM(AF169:AF200)</f>
        <v>380756.21638000006</v>
      </c>
      <c r="AG201" s="145"/>
      <c r="AH201" s="129"/>
      <c r="AI201" s="129"/>
      <c r="AJ201" s="42">
        <f t="shared" ref="AJ201:AO201" si="398">SUM(AJ169:AJ200)</f>
        <v>24931.586041449998</v>
      </c>
      <c r="AK201" s="42">
        <f t="shared" si="398"/>
        <v>0</v>
      </c>
      <c r="AL201" s="44">
        <f t="shared" si="398"/>
        <v>24931.586041449998</v>
      </c>
      <c r="AM201" s="45">
        <f t="shared" si="398"/>
        <v>862799.2384214499</v>
      </c>
      <c r="AN201" s="45">
        <f t="shared" si="398"/>
        <v>0</v>
      </c>
      <c r="AO201" s="44">
        <f t="shared" si="398"/>
        <v>862799.2384214499</v>
      </c>
    </row>
    <row r="202" spans="1:45" x14ac:dyDescent="0.45">
      <c r="A202" s="82"/>
      <c r="B202" s="82"/>
      <c r="C202" s="82"/>
      <c r="D202" s="82"/>
      <c r="E202" s="82"/>
      <c r="F202" s="82"/>
      <c r="G202" s="82"/>
      <c r="H202" s="140"/>
      <c r="L202" s="37"/>
      <c r="M202" s="38"/>
      <c r="N202" s="39"/>
      <c r="O202" s="140"/>
      <c r="R202" s="37"/>
      <c r="S202" s="38"/>
      <c r="T202" s="39"/>
      <c r="U202" s="140"/>
      <c r="X202" s="37"/>
      <c r="Y202" s="38"/>
      <c r="Z202" s="39"/>
      <c r="AA202" s="140"/>
      <c r="AD202" s="37"/>
      <c r="AE202" s="38"/>
      <c r="AF202" s="39"/>
      <c r="AG202" s="140"/>
      <c r="AJ202" s="37"/>
      <c r="AK202" s="38"/>
      <c r="AL202" s="39"/>
      <c r="AM202" s="40"/>
      <c r="AN202" s="270"/>
      <c r="AO202" s="40"/>
    </row>
    <row r="203" spans="1:45" s="9" customFormat="1" ht="12.3" x14ac:dyDescent="0.4">
      <c r="A203" s="93"/>
      <c r="B203" s="93"/>
      <c r="C203" s="93"/>
      <c r="D203" s="93"/>
      <c r="E203" s="93"/>
      <c r="F203" s="709"/>
      <c r="G203" s="93" t="s">
        <v>326</v>
      </c>
      <c r="H203" s="156"/>
      <c r="I203" s="157"/>
      <c r="J203" s="303"/>
      <c r="K203" s="526"/>
      <c r="L203" s="50">
        <f>L201+L166</f>
        <v>122135.9</v>
      </c>
      <c r="M203" s="50">
        <f>M201+M166</f>
        <v>0</v>
      </c>
      <c r="N203" s="50">
        <f>N201+N166</f>
        <v>122135.9</v>
      </c>
      <c r="O203" s="156"/>
      <c r="P203" s="157"/>
      <c r="Q203" s="157"/>
      <c r="R203" s="50">
        <f>R201+R166</f>
        <v>76503.199999999997</v>
      </c>
      <c r="S203" s="50">
        <f>S201+S166</f>
        <v>0</v>
      </c>
      <c r="T203" s="50">
        <f>T201+T166</f>
        <v>76503.199999999997</v>
      </c>
      <c r="U203" s="156"/>
      <c r="V203" s="157"/>
      <c r="W203" s="157"/>
      <c r="X203" s="50">
        <f>X201+X166</f>
        <v>406653.83600000001</v>
      </c>
      <c r="Y203" s="50">
        <f>Y201+Y166</f>
        <v>0</v>
      </c>
      <c r="Z203" s="50">
        <f>Z201+Z166</f>
        <v>406653.83600000001</v>
      </c>
      <c r="AA203" s="156"/>
      <c r="AB203" s="157"/>
      <c r="AC203" s="157"/>
      <c r="AD203" s="50">
        <f>AD201+AD166</f>
        <v>419001.66138000006</v>
      </c>
      <c r="AE203" s="50">
        <f>AE201+AE166</f>
        <v>0</v>
      </c>
      <c r="AF203" s="50">
        <f>AF201+AF166</f>
        <v>419001.66138000006</v>
      </c>
      <c r="AG203" s="156"/>
      <c r="AH203" s="157"/>
      <c r="AI203" s="157"/>
      <c r="AJ203" s="50">
        <f t="shared" ref="AJ203:AO203" si="399">AJ201+AJ166</f>
        <v>64324.394391449991</v>
      </c>
      <c r="AK203" s="50">
        <f t="shared" si="399"/>
        <v>0</v>
      </c>
      <c r="AL203" s="50">
        <f t="shared" si="399"/>
        <v>64324.394391449991</v>
      </c>
      <c r="AM203" s="71">
        <f t="shared" si="399"/>
        <v>1088618.9917714498</v>
      </c>
      <c r="AN203" s="257">
        <f t="shared" si="399"/>
        <v>0</v>
      </c>
      <c r="AO203" s="71">
        <f t="shared" si="399"/>
        <v>1088618.9917714498</v>
      </c>
    </row>
    <row r="204" spans="1:45" x14ac:dyDescent="0.45">
      <c r="A204" s="82"/>
      <c r="B204" s="82"/>
      <c r="C204" s="82"/>
      <c r="D204" s="82"/>
      <c r="E204" s="82"/>
      <c r="F204" s="82"/>
      <c r="G204" s="82"/>
      <c r="H204" s="140"/>
      <c r="L204" s="37"/>
      <c r="M204" s="38"/>
      <c r="N204" s="39"/>
      <c r="O204" s="140"/>
      <c r="R204" s="37"/>
      <c r="S204" s="38"/>
      <c r="T204" s="39"/>
      <c r="U204" s="140"/>
      <c r="X204" s="37"/>
      <c r="Y204" s="38"/>
      <c r="Z204" s="39"/>
      <c r="AA204" s="140"/>
      <c r="AD204" s="37"/>
      <c r="AE204" s="38"/>
      <c r="AF204" s="39"/>
      <c r="AG204" s="140"/>
      <c r="AJ204" s="37"/>
      <c r="AK204" s="38"/>
      <c r="AL204" s="39"/>
      <c r="AM204" s="40"/>
      <c r="AN204" s="270"/>
      <c r="AO204" s="40"/>
    </row>
    <row r="205" spans="1:45" s="9" customFormat="1" ht="12.3" x14ac:dyDescent="0.4">
      <c r="A205" s="101"/>
      <c r="B205" s="101"/>
      <c r="C205" s="101"/>
      <c r="D205" s="101"/>
      <c r="E205" s="101"/>
      <c r="F205" s="101"/>
      <c r="G205" s="101" t="s">
        <v>20</v>
      </c>
      <c r="H205" s="162"/>
      <c r="I205" s="163"/>
      <c r="J205" s="306"/>
      <c r="K205" s="530"/>
      <c r="L205" s="630">
        <f>L203+L142+L121+L56+L51+L127+L154</f>
        <v>878157.21699999995</v>
      </c>
      <c r="M205" s="630">
        <f>M203+M142+M121+M56+M51+M127+M154</f>
        <v>99888.131850000005</v>
      </c>
      <c r="N205" s="630">
        <f>N203+N142+N121+N56+N51+N127+N154</f>
        <v>978045.34884999995</v>
      </c>
      <c r="O205" s="162"/>
      <c r="P205" s="163"/>
      <c r="Q205" s="163"/>
      <c r="R205" s="630">
        <f>R203+R142+R121+R56+R51+R127+R154</f>
        <v>1232565.7003200001</v>
      </c>
      <c r="S205" s="630">
        <f>S203+S142+S121+S56+S51+S127+S154</f>
        <v>70944.702191999997</v>
      </c>
      <c r="T205" s="630">
        <f>T203+T142+T121+T56+T51+T127+T154</f>
        <v>1303510.4025119999</v>
      </c>
      <c r="U205" s="162"/>
      <c r="V205" s="163"/>
      <c r="W205" s="163"/>
      <c r="X205" s="630">
        <f>X203+X142+X121+X56+X51+X127+X154</f>
        <v>1676362.9810287999</v>
      </c>
      <c r="Y205" s="630">
        <f>Y203+Y142+Y121+Y56+Y51+Y127+Y154</f>
        <v>73782.490279680016</v>
      </c>
      <c r="Z205" s="630">
        <f>Z203+Z142+Z121+Z56+Z51+Z127+Z154</f>
        <v>1750145.4713084802</v>
      </c>
      <c r="AA205" s="162"/>
      <c r="AB205" s="163"/>
      <c r="AC205" s="163"/>
      <c r="AD205" s="630">
        <f>AD203+AD142+AD121+AD56+AD51+AD127+AD154</f>
        <v>1691849.8951949521</v>
      </c>
      <c r="AE205" s="630">
        <f>AE203+AE142+AE121+AE56+AE51+AE127+AE154</f>
        <v>76733.789890867221</v>
      </c>
      <c r="AF205" s="630">
        <f>AF203+AF142+AF121+AF56+AF51+AF127+AF154</f>
        <v>1768583.6850858193</v>
      </c>
      <c r="AG205" s="162"/>
      <c r="AH205" s="163"/>
      <c r="AI205" s="163"/>
      <c r="AJ205" s="630">
        <f t="shared" ref="AJ205:AO205" si="400">AJ203+AJ142+AJ121+AJ56+AJ51+AJ127+AJ154</f>
        <v>815047.30080748117</v>
      </c>
      <c r="AK205" s="630">
        <f t="shared" si="400"/>
        <v>80681.666718222361</v>
      </c>
      <c r="AL205" s="630">
        <f t="shared" si="400"/>
        <v>895728.96752570348</v>
      </c>
      <c r="AM205" s="630">
        <f t="shared" si="400"/>
        <v>6293983.0943512339</v>
      </c>
      <c r="AN205" s="630">
        <f t="shared" si="400"/>
        <v>402030.78093076963</v>
      </c>
      <c r="AO205" s="630">
        <f t="shared" si="400"/>
        <v>6696013.8752820026</v>
      </c>
    </row>
    <row r="206" spans="1:45" s="9" customFormat="1" x14ac:dyDescent="0.45">
      <c r="A206" s="101" t="s">
        <v>216</v>
      </c>
      <c r="B206" s="101">
        <v>89050</v>
      </c>
      <c r="C206" s="101" t="s">
        <v>508</v>
      </c>
      <c r="D206" s="101" t="s">
        <v>508</v>
      </c>
      <c r="E206" s="101" t="s">
        <v>217</v>
      </c>
      <c r="F206" s="101" t="s">
        <v>509</v>
      </c>
      <c r="G206" s="101" t="s">
        <v>510</v>
      </c>
      <c r="H206" s="165">
        <v>0.1</v>
      </c>
      <c r="I206" s="166"/>
      <c r="J206" s="307"/>
      <c r="K206" s="531"/>
      <c r="L206" s="104">
        <f>(L205-L127-L148)*$H206</f>
        <v>62815.721699999995</v>
      </c>
      <c r="M206" s="104">
        <f>(M205-M127-M148)*$H206</f>
        <v>9988.8131850000009</v>
      </c>
      <c r="N206" s="106">
        <f>SUM(L206:M206)</f>
        <v>72804.534885000001</v>
      </c>
      <c r="O206" s="165"/>
      <c r="P206" s="166"/>
      <c r="Q206" s="166"/>
      <c r="R206" s="104">
        <f>(R205-R127-R148)*$H206</f>
        <v>103256.57003200002</v>
      </c>
      <c r="S206" s="104">
        <f>(S205-S127-S148)*$H206</f>
        <v>7094.4702192000004</v>
      </c>
      <c r="T206" s="106">
        <f>SUM(R206:S206)</f>
        <v>110351.04025120001</v>
      </c>
      <c r="U206" s="165"/>
      <c r="V206" s="166"/>
      <c r="W206" s="166"/>
      <c r="X206" s="104">
        <f>(X205-X127-X148)*$H206</f>
        <v>147636.29810287998</v>
      </c>
      <c r="Y206" s="104">
        <f>(Y205-Y127-Y148)*$H206</f>
        <v>7378.2490279680023</v>
      </c>
      <c r="Z206" s="106">
        <f>SUM(X206:Y206)</f>
        <v>155014.54713084799</v>
      </c>
      <c r="AA206" s="165"/>
      <c r="AB206" s="166"/>
      <c r="AC206" s="166"/>
      <c r="AD206" s="104">
        <f>(AD205-AD127-AD148)*$H206</f>
        <v>149184.98951949523</v>
      </c>
      <c r="AE206" s="104">
        <f>(AE205-AE127-AE148)*$H206</f>
        <v>7673.3789890867229</v>
      </c>
      <c r="AF206" s="106">
        <f>SUM(AD206:AE206)</f>
        <v>156858.36850858195</v>
      </c>
      <c r="AG206" s="165"/>
      <c r="AH206" s="166"/>
      <c r="AI206" s="166"/>
      <c r="AJ206" s="104">
        <f>(AJ205-AJ127-AJ148)*$H206</f>
        <v>61504.730080748122</v>
      </c>
      <c r="AK206" s="104">
        <f>(AK205-AK127-AK148)*$H206</f>
        <v>8068.1666718222368</v>
      </c>
      <c r="AL206" s="106">
        <f>SUM(AJ206:AK206)</f>
        <v>69572.896752570363</v>
      </c>
      <c r="AM206" s="107">
        <f>AJ206+AD206+X206+R206+L206</f>
        <v>524398.30943512334</v>
      </c>
      <c r="AN206" s="267">
        <f t="shared" ref="AN206:AN207" si="401">AK206+AE206+Y206+S206+M206</f>
        <v>40203.078093076962</v>
      </c>
      <c r="AO206" s="107">
        <f>SUM(AM206:AN206)</f>
        <v>564601.38752820028</v>
      </c>
    </row>
    <row r="207" spans="1:45" ht="12.9" thickBot="1" x14ac:dyDescent="0.5">
      <c r="A207" s="168"/>
      <c r="B207" s="168"/>
      <c r="C207" s="168"/>
      <c r="D207" s="168"/>
      <c r="E207" s="168"/>
      <c r="F207" s="168"/>
      <c r="G207" s="168" t="s">
        <v>8</v>
      </c>
      <c r="H207" s="168"/>
      <c r="I207" s="169"/>
      <c r="J207" s="308"/>
      <c r="K207" s="532"/>
      <c r="L207" s="637">
        <f>SUM(L205:L206)</f>
        <v>940972.93869999994</v>
      </c>
      <c r="M207" s="638">
        <f t="shared" ref="M207:AL207" si="402">SUM(M205:M206)</f>
        <v>109876.94503500001</v>
      </c>
      <c r="N207" s="639">
        <f t="shared" si="402"/>
        <v>1050849.8837349999</v>
      </c>
      <c r="O207" s="168"/>
      <c r="P207" s="169"/>
      <c r="Q207" s="169"/>
      <c r="R207" s="637">
        <f t="shared" si="402"/>
        <v>1335822.2703520001</v>
      </c>
      <c r="S207" s="638">
        <f t="shared" si="402"/>
        <v>78039.172411199994</v>
      </c>
      <c r="T207" s="639">
        <f t="shared" si="402"/>
        <v>1413861.4427632</v>
      </c>
      <c r="U207" s="168"/>
      <c r="V207" s="169"/>
      <c r="W207" s="169"/>
      <c r="X207" s="637">
        <f>SUM(X205:X206)</f>
        <v>1823999.2791316798</v>
      </c>
      <c r="Y207" s="638">
        <f t="shared" si="402"/>
        <v>81160.739307648022</v>
      </c>
      <c r="Z207" s="639">
        <f t="shared" si="402"/>
        <v>1905160.0184393283</v>
      </c>
      <c r="AA207" s="168"/>
      <c r="AB207" s="169"/>
      <c r="AC207" s="169"/>
      <c r="AD207" s="637">
        <f t="shared" si="402"/>
        <v>1841034.8847144474</v>
      </c>
      <c r="AE207" s="638">
        <f t="shared" si="402"/>
        <v>84407.168879953941</v>
      </c>
      <c r="AF207" s="639">
        <f t="shared" si="402"/>
        <v>1925442.0535944013</v>
      </c>
      <c r="AG207" s="168"/>
      <c r="AH207" s="169"/>
      <c r="AI207" s="169"/>
      <c r="AJ207" s="637">
        <f>SUM(AJ205:AJ206)</f>
        <v>876552.03088822926</v>
      </c>
      <c r="AK207" s="638">
        <f t="shared" si="402"/>
        <v>88749.833390044601</v>
      </c>
      <c r="AL207" s="639">
        <f t="shared" si="402"/>
        <v>965301.86427827389</v>
      </c>
      <c r="AM207" s="109">
        <f>AJ207+AD207+X207+R207+L207</f>
        <v>6818381.4037863566</v>
      </c>
      <c r="AN207" s="655">
        <f t="shared" si="401"/>
        <v>442233.85902384657</v>
      </c>
      <c r="AO207" s="109">
        <f>SUM(AM207:AN207)</f>
        <v>7260615.2628102032</v>
      </c>
    </row>
    <row r="208" spans="1:45" x14ac:dyDescent="0.45">
      <c r="A208" s="31"/>
      <c r="B208" s="31"/>
      <c r="C208" s="31"/>
      <c r="D208" s="31"/>
      <c r="E208" s="31"/>
      <c r="F208" s="31"/>
      <c r="G208" s="31"/>
      <c r="L208" s="38"/>
      <c r="M208" s="38"/>
      <c r="N208" s="38"/>
      <c r="R208" s="38"/>
      <c r="S208" s="38"/>
      <c r="T208" s="38"/>
      <c r="X208" s="38"/>
      <c r="Y208" s="38"/>
      <c r="Z208" s="38"/>
      <c r="AD208" s="38"/>
      <c r="AE208" s="38"/>
      <c r="AF208" s="38"/>
      <c r="AJ208" s="38"/>
      <c r="AK208" s="38"/>
      <c r="AL208" s="38"/>
      <c r="AN208" s="38"/>
      <c r="AO208" s="38"/>
    </row>
    <row r="209" spans="1:39" x14ac:dyDescent="0.45">
      <c r="A209" s="38"/>
      <c r="B209" s="38"/>
      <c r="C209" s="38"/>
      <c r="D209" s="38"/>
      <c r="E209" s="38"/>
      <c r="F209" s="38"/>
      <c r="G209" s="38"/>
      <c r="H209" s="38"/>
      <c r="J209" s="289"/>
      <c r="K209" s="514"/>
      <c r="M209" s="16"/>
      <c r="AM209" s="608"/>
    </row>
    <row r="210" spans="1:39" x14ac:dyDescent="0.45">
      <c r="AM210" s="38"/>
    </row>
    <row r="211" spans="1:39" x14ac:dyDescent="0.45">
      <c r="AM211" s="613"/>
    </row>
  </sheetData>
  <mergeCells count="11">
    <mergeCell ref="F10:F11"/>
    <mergeCell ref="A10:A11"/>
    <mergeCell ref="B10:B11"/>
    <mergeCell ref="C10:C11"/>
    <mergeCell ref="D10:D11"/>
    <mergeCell ref="E10:E11"/>
    <mergeCell ref="H1:AO1"/>
    <mergeCell ref="H2:AO2"/>
    <mergeCell ref="H3:AO3"/>
    <mergeCell ref="H4:AO4"/>
    <mergeCell ref="U10:Z10"/>
  </mergeCells>
  <phoneticPr fontId="5" type="noConversion"/>
  <pageMargins left="0.5" right="0.34" top="0.63" bottom="0.41" header="0.5" footer="0.5"/>
  <pageSetup paperSize="17" scale="50" fitToHeight="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430E-8915-4E1F-994A-E7B06C38BCA8}">
  <sheetPr>
    <pageSetUpPr fitToPage="1"/>
  </sheetPr>
  <dimension ref="A1:DX41"/>
  <sheetViews>
    <sheetView workbookViewId="0">
      <pane xSplit="1" ySplit="5" topLeftCell="B6" activePane="bottomRight" state="frozen"/>
      <selection pane="topRight" activeCell="A8" sqref="A8:N8"/>
      <selection pane="bottomLeft" activeCell="A8" sqref="A8:N8"/>
      <selection pane="bottomRight" activeCell="C15" sqref="C15"/>
    </sheetView>
  </sheetViews>
  <sheetFormatPr defaultColWidth="9.1640625" defaultRowHeight="15" customHeight="1" x14ac:dyDescent="0.55000000000000004"/>
  <cols>
    <col min="1" max="1" width="18.71875" style="196" bestFit="1" customWidth="1"/>
    <col min="2" max="2" width="9.44140625" style="196" bestFit="1" customWidth="1"/>
    <col min="3" max="3" width="10" style="196" bestFit="1" customWidth="1"/>
    <col min="4" max="5" width="9.44140625" style="196" bestFit="1" customWidth="1"/>
    <col min="6" max="6" width="10" style="196" bestFit="1" customWidth="1"/>
    <col min="7" max="8" width="9.44140625" style="196" bestFit="1" customWidth="1"/>
    <col min="9" max="9" width="10" style="196" bestFit="1" customWidth="1"/>
    <col min="10" max="11" width="9.44140625" style="196" bestFit="1" customWidth="1"/>
    <col min="12" max="12" width="10" style="196" bestFit="1" customWidth="1"/>
    <col min="13" max="14" width="9.44140625" style="196" bestFit="1" customWidth="1"/>
    <col min="15" max="15" width="10" style="196" bestFit="1" customWidth="1"/>
    <col min="16" max="16" width="9.44140625" style="196" bestFit="1" customWidth="1"/>
    <col min="17" max="17" width="11" style="196" bestFit="1" customWidth="1"/>
    <col min="18" max="18" width="10" style="196" bestFit="1" customWidth="1"/>
    <col min="19" max="19" width="11" style="196" bestFit="1" customWidth="1"/>
    <col min="20" max="16384" width="9.1640625" style="196"/>
  </cols>
  <sheetData>
    <row r="1" spans="1:19" ht="15" customHeight="1" x14ac:dyDescent="0.55000000000000004">
      <c r="A1" s="195"/>
      <c r="B1" s="728" t="s">
        <v>511</v>
      </c>
      <c r="C1" s="728"/>
      <c r="D1" s="728"/>
      <c r="E1" s="728"/>
      <c r="F1" s="728"/>
      <c r="G1" s="728"/>
      <c r="H1" s="728"/>
      <c r="I1" s="728"/>
      <c r="J1" s="728"/>
      <c r="K1" s="728"/>
      <c r="L1" s="728"/>
      <c r="M1" s="728"/>
      <c r="N1" s="728"/>
      <c r="O1" s="728"/>
      <c r="P1" s="728"/>
      <c r="Q1" s="728"/>
      <c r="R1" s="728"/>
      <c r="S1" s="728"/>
    </row>
    <row r="2" spans="1:19" ht="15" customHeight="1" x14ac:dyDescent="0.55000000000000004">
      <c r="B2" s="729" t="s">
        <v>1</v>
      </c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</row>
    <row r="4" spans="1:19" ht="15" customHeight="1" x14ac:dyDescent="0.55000000000000004">
      <c r="A4" s="197" t="s">
        <v>2</v>
      </c>
      <c r="B4" s="715" t="s">
        <v>3</v>
      </c>
      <c r="C4" s="716"/>
      <c r="D4" s="717"/>
      <c r="E4" s="715" t="s">
        <v>4</v>
      </c>
      <c r="F4" s="716"/>
      <c r="G4" s="717"/>
      <c r="H4" s="715" t="s">
        <v>5</v>
      </c>
      <c r="I4" s="716"/>
      <c r="J4" s="717"/>
      <c r="K4" s="715" t="s">
        <v>6</v>
      </c>
      <c r="L4" s="716"/>
      <c r="M4" s="717"/>
      <c r="N4" s="715" t="s">
        <v>7</v>
      </c>
      <c r="O4" s="716"/>
      <c r="P4" s="717"/>
      <c r="Q4" s="198" t="s">
        <v>8</v>
      </c>
      <c r="R4" s="199" t="s">
        <v>9</v>
      </c>
      <c r="S4" s="199" t="s">
        <v>10</v>
      </c>
    </row>
    <row r="5" spans="1:19" ht="15" customHeight="1" thickBot="1" x14ac:dyDescent="0.6">
      <c r="A5" s="197"/>
      <c r="B5" s="200" t="s">
        <v>11</v>
      </c>
      <c r="C5" s="201" t="s">
        <v>12</v>
      </c>
      <c r="D5" s="202" t="s">
        <v>9</v>
      </c>
      <c r="E5" s="197" t="s">
        <v>11</v>
      </c>
      <c r="F5" s="197" t="s">
        <v>12</v>
      </c>
      <c r="G5" s="197" t="s">
        <v>9</v>
      </c>
      <c r="H5" s="202" t="s">
        <v>11</v>
      </c>
      <c r="I5" s="197" t="s">
        <v>12</v>
      </c>
      <c r="J5" s="197" t="s">
        <v>9</v>
      </c>
      <c r="K5" s="197" t="s">
        <v>11</v>
      </c>
      <c r="L5" s="197" t="s">
        <v>12</v>
      </c>
      <c r="M5" s="197" t="s">
        <v>9</v>
      </c>
      <c r="N5" s="197" t="s">
        <v>11</v>
      </c>
      <c r="O5" s="197" t="s">
        <v>12</v>
      </c>
      <c r="P5" s="197" t="s">
        <v>9</v>
      </c>
      <c r="Q5" s="203" t="s">
        <v>11</v>
      </c>
      <c r="R5" s="197" t="s">
        <v>12</v>
      </c>
      <c r="S5" s="204" t="s">
        <v>8</v>
      </c>
    </row>
    <row r="6" spans="1:19" ht="15" customHeight="1" x14ac:dyDescent="0.55000000000000004">
      <c r="A6" s="656"/>
      <c r="B6" s="657"/>
      <c r="C6" s="658"/>
      <c r="D6" s="659"/>
      <c r="E6" s="660"/>
      <c r="F6" s="661"/>
      <c r="G6" s="659"/>
      <c r="H6" s="661"/>
      <c r="I6" s="661"/>
      <c r="J6" s="659"/>
      <c r="K6" s="660"/>
      <c r="L6" s="661"/>
      <c r="M6" s="659"/>
      <c r="N6" s="660"/>
      <c r="O6" s="661"/>
      <c r="P6" s="659"/>
      <c r="Q6" s="662"/>
      <c r="R6" s="663"/>
      <c r="S6" s="662"/>
    </row>
    <row r="7" spans="1:19" ht="15" customHeight="1" x14ac:dyDescent="0.55000000000000004">
      <c r="A7" s="213" t="s">
        <v>13</v>
      </c>
      <c r="B7" s="214">
        <f>'Budget ProAntioquia'!L33</f>
        <v>146525</v>
      </c>
      <c r="C7" s="214">
        <f>'Budget ProAntioquia'!M33</f>
        <v>29706.899999999998</v>
      </c>
      <c r="D7" s="216">
        <f>SUM(B7:C7)</f>
        <v>176231.9</v>
      </c>
      <c r="E7" s="214">
        <f>'Budget ProAntioquia'!R33</f>
        <v>180648</v>
      </c>
      <c r="F7" s="214">
        <f>'Budget ProAntioquia'!S33</f>
        <v>33006.272000000004</v>
      </c>
      <c r="G7" s="216">
        <f>SUM(E7:F7)</f>
        <v>213654.272</v>
      </c>
      <c r="H7" s="214">
        <f>'Budget ProAntioquia'!X33</f>
        <v>187873.92000000001</v>
      </c>
      <c r="I7" s="214">
        <f>'Budget ProAntioquia'!Y33</f>
        <v>34326.522880000004</v>
      </c>
      <c r="J7" s="216">
        <f>SUM(H7:I7)</f>
        <v>222200.44288000002</v>
      </c>
      <c r="K7" s="214">
        <f>'Budget ProAntioquia'!AD33</f>
        <v>195388.87680000003</v>
      </c>
      <c r="L7" s="214">
        <f>'Budget ProAntioquia'!AE33</f>
        <v>35699.583795200007</v>
      </c>
      <c r="M7" s="216">
        <f>SUM(K7:L7)</f>
        <v>231088.46059520004</v>
      </c>
      <c r="N7" s="214">
        <f>'Budget ProAntioquia'!AJ33</f>
        <v>175186.31936000002</v>
      </c>
      <c r="O7" s="214">
        <f>'Budget ProAntioquia'!AK33</f>
        <v>35922.729816064006</v>
      </c>
      <c r="P7" s="216">
        <f>SUM(N7:O7)</f>
        <v>211109.04917606403</v>
      </c>
      <c r="Q7" s="217">
        <f>'Budget ProAntioquia'!AM33</f>
        <v>885622.11615999998</v>
      </c>
      <c r="R7" s="217">
        <f>'Budget ProAntioquia'!AN33</f>
        <v>168662.00849126402</v>
      </c>
      <c r="S7" s="217">
        <f>'Budget ProAntioquia'!AO33</f>
        <v>1054284.1246512639</v>
      </c>
    </row>
    <row r="8" spans="1:19" ht="15" customHeight="1" x14ac:dyDescent="0.55000000000000004">
      <c r="A8" s="218"/>
      <c r="B8" s="219"/>
      <c r="C8" s="220"/>
      <c r="D8" s="221"/>
      <c r="E8" s="219"/>
      <c r="F8" s="220"/>
      <c r="G8" s="221"/>
      <c r="H8" s="219"/>
      <c r="I8" s="220"/>
      <c r="J8" s="221"/>
      <c r="K8" s="219"/>
      <c r="L8" s="220"/>
      <c r="M8" s="221"/>
      <c r="N8" s="219"/>
      <c r="O8" s="220"/>
      <c r="P8" s="221"/>
      <c r="Q8" s="222"/>
      <c r="R8" s="222"/>
      <c r="S8" s="222"/>
    </row>
    <row r="9" spans="1:19" ht="15" customHeight="1" x14ac:dyDescent="0.55000000000000004">
      <c r="A9" s="223" t="s">
        <v>14</v>
      </c>
      <c r="B9" s="214">
        <f>'Budget ProAntioquia'!L39</f>
        <v>68799.225999999995</v>
      </c>
      <c r="C9" s="214">
        <f>'Budget ProAntioquia'!M39</f>
        <v>13520.294615999999</v>
      </c>
      <c r="D9" s="214">
        <f>'Budget ProAntioquia'!N39</f>
        <v>82319.520615999994</v>
      </c>
      <c r="E9" s="214">
        <f>'Budget ProAntioquia'!R39</f>
        <v>84668.238719999994</v>
      </c>
      <c r="F9" s="214">
        <f>'Budget ProAntioquia'!S39</f>
        <v>15057.82715008</v>
      </c>
      <c r="G9" s="214">
        <f>'Budget ProAntioquia'!T39</f>
        <v>99726.065870079998</v>
      </c>
      <c r="H9" s="214">
        <f>'Budget ProAntioquia'!X39</f>
        <v>88054.968268800003</v>
      </c>
      <c r="I9" s="214">
        <f>'Budget ProAntioquia'!Y39</f>
        <v>15660.1402360832</v>
      </c>
      <c r="J9" s="214">
        <f>'Budget ProAntioquia'!Z39</f>
        <v>103715.1085048832</v>
      </c>
      <c r="K9" s="214">
        <f>'Budget ProAntioquia'!AD39</f>
        <v>91577.166999551991</v>
      </c>
      <c r="L9" s="214">
        <f>'Budget ProAntioquia'!AE39</f>
        <v>16286.545845526531</v>
      </c>
      <c r="M9" s="214">
        <f>'Budget ProAntioquia'!AF39</f>
        <v>107863.71284507852</v>
      </c>
      <c r="N9" s="214">
        <f>'Budget ProAntioquia'!AJ39</f>
        <v>83109.782036070406</v>
      </c>
      <c r="O9" s="214">
        <f>'Budget ProAntioquia'!AK39</f>
        <v>16289.034099407918</v>
      </c>
      <c r="P9" s="214">
        <f>'Budget ProAntioquia'!AL39</f>
        <v>99398.816135478322</v>
      </c>
      <c r="Q9" s="217">
        <f>'Budget ProAntioquia'!AM39</f>
        <v>416209.3820244224</v>
      </c>
      <c r="R9" s="217">
        <f>'Budget ProAntioquia'!AN39</f>
        <v>76813.841947097651</v>
      </c>
      <c r="S9" s="217">
        <f>'Budget ProAntioquia'!AO39</f>
        <v>493023.22397152008</v>
      </c>
    </row>
    <row r="10" spans="1:19" ht="15" customHeight="1" x14ac:dyDescent="0.55000000000000004">
      <c r="A10" s="218"/>
      <c r="B10" s="219"/>
      <c r="C10" s="220"/>
      <c r="D10" s="221"/>
      <c r="E10" s="219"/>
      <c r="F10" s="220"/>
      <c r="G10" s="221"/>
      <c r="H10" s="219"/>
      <c r="I10" s="220"/>
      <c r="J10" s="221"/>
      <c r="K10" s="219"/>
      <c r="L10" s="220"/>
      <c r="M10" s="221"/>
      <c r="N10" s="219"/>
      <c r="O10" s="220"/>
      <c r="P10" s="221"/>
      <c r="Q10" s="222"/>
      <c r="R10" s="222"/>
      <c r="S10" s="222"/>
    </row>
    <row r="11" spans="1:19" ht="15" customHeight="1" x14ac:dyDescent="0.55000000000000004">
      <c r="A11" s="223" t="s">
        <v>15</v>
      </c>
      <c r="B11" s="214">
        <f>'Budget ProAntioquia'!L85</f>
        <v>18570</v>
      </c>
      <c r="C11" s="214">
        <f>'Budget ProAntioquia'!M85</f>
        <v>0</v>
      </c>
      <c r="D11" s="214">
        <f>'Budget ProAntioquia'!N85</f>
        <v>18570</v>
      </c>
      <c r="E11" s="214">
        <f>'Budget ProAntioquia'!R85</f>
        <v>19700.700000000004</v>
      </c>
      <c r="F11" s="214">
        <f>'Budget ProAntioquia'!S85</f>
        <v>0</v>
      </c>
      <c r="G11" s="214">
        <f>'Budget ProAntioquia'!T85</f>
        <v>19700.700000000004</v>
      </c>
      <c r="H11" s="214">
        <f>'Budget ProAntioquia'!X85</f>
        <v>21801.801000000003</v>
      </c>
      <c r="I11" s="214">
        <f>'Budget ProAntioquia'!Y85</f>
        <v>0</v>
      </c>
      <c r="J11" s="214">
        <f>'Budget ProAntioquia'!Z85</f>
        <v>21801.801000000003</v>
      </c>
      <c r="K11" s="214">
        <f>'Budget ProAntioquia'!AD85</f>
        <v>21847.130550000002</v>
      </c>
      <c r="L11" s="214">
        <f>'Budget ProAntioquia'!AE85</f>
        <v>0</v>
      </c>
      <c r="M11" s="214">
        <f>'Budget ProAntioquia'!AF85</f>
        <v>21847.130550000002</v>
      </c>
      <c r="N11" s="214">
        <f>'Budget ProAntioquia'!AJ85</f>
        <v>21546.522552900005</v>
      </c>
      <c r="O11" s="214">
        <f>'Budget ProAntioquia'!AK85</f>
        <v>0</v>
      </c>
      <c r="P11" s="214">
        <f>'Budget ProAntioquia'!AL85</f>
        <v>21546.522552900005</v>
      </c>
      <c r="Q11" s="217">
        <f>'Budget ProAntioquia'!AM85</f>
        <v>103466.15410290001</v>
      </c>
      <c r="R11" s="217">
        <f>'Budget ProAntioquia'!AN85</f>
        <v>0</v>
      </c>
      <c r="S11" s="217">
        <f>'Budget ProAntioquia'!AO85</f>
        <v>103466.15410290001</v>
      </c>
    </row>
    <row r="12" spans="1:19" ht="15" customHeight="1" x14ac:dyDescent="0.55000000000000004">
      <c r="A12" s="224"/>
      <c r="B12" s="219"/>
      <c r="C12" s="220"/>
      <c r="D12" s="221"/>
      <c r="E12" s="219"/>
      <c r="F12" s="220"/>
      <c r="G12" s="221"/>
      <c r="H12" s="219"/>
      <c r="I12" s="220"/>
      <c r="J12" s="221"/>
      <c r="K12" s="219"/>
      <c r="L12" s="220"/>
      <c r="M12" s="221"/>
      <c r="N12" s="219"/>
      <c r="O12" s="220"/>
      <c r="P12" s="221"/>
      <c r="Q12" s="222"/>
      <c r="R12" s="222"/>
      <c r="S12" s="222"/>
    </row>
    <row r="13" spans="1:19" ht="15" customHeight="1" x14ac:dyDescent="0.55000000000000004">
      <c r="A13" s="223" t="s">
        <v>16</v>
      </c>
      <c r="B13" s="214">
        <f>'Budget ProAntioquia'!L91</f>
        <v>50000</v>
      </c>
      <c r="C13" s="214">
        <f>'Budget ProAntioquia'!M91</f>
        <v>0</v>
      </c>
      <c r="D13" s="214">
        <f>'Budget ProAntioquia'!N91</f>
        <v>50000</v>
      </c>
      <c r="E13" s="214">
        <f>'Budget ProAntioquia'!R91</f>
        <v>0</v>
      </c>
      <c r="F13" s="214">
        <f>'Budget ProAntioquia'!S91</f>
        <v>0</v>
      </c>
      <c r="G13" s="214">
        <f>'Budget ProAntioquia'!T91</f>
        <v>0</v>
      </c>
      <c r="H13" s="214">
        <f>'Budget ProAntioquia'!X91</f>
        <v>0</v>
      </c>
      <c r="I13" s="214">
        <f>'Budget ProAntioquia'!Y91</f>
        <v>0</v>
      </c>
      <c r="J13" s="214">
        <f>'Budget ProAntioquia'!Z91</f>
        <v>0</v>
      </c>
      <c r="K13" s="214">
        <f>'Budget ProAntioquia'!AD91</f>
        <v>0</v>
      </c>
      <c r="L13" s="214">
        <f>'Budget ProAntioquia'!AE91</f>
        <v>0</v>
      </c>
      <c r="M13" s="214">
        <f>'Budget ProAntioquia'!AF91</f>
        <v>0</v>
      </c>
      <c r="N13" s="214">
        <f>'Budget ProAntioquia'!AJ91</f>
        <v>0</v>
      </c>
      <c r="O13" s="214">
        <f>'Budget ProAntioquia'!AK91</f>
        <v>0</v>
      </c>
      <c r="P13" s="214">
        <f>'Budget ProAntioquia'!AL91</f>
        <v>0</v>
      </c>
      <c r="Q13" s="214">
        <f>'Budget ProAntioquia'!AM91</f>
        <v>50000</v>
      </c>
      <c r="R13" s="214">
        <f>'Budget ProAntioquia'!AN91</f>
        <v>0</v>
      </c>
      <c r="S13" s="214">
        <f>'Budget ProAntioquia'!AO91</f>
        <v>50000</v>
      </c>
    </row>
    <row r="14" spans="1:19" ht="15" customHeight="1" x14ac:dyDescent="0.55000000000000004">
      <c r="A14" s="225"/>
      <c r="B14" s="219"/>
      <c r="C14" s="220"/>
      <c r="D14" s="221"/>
      <c r="E14" s="219"/>
      <c r="F14" s="220"/>
      <c r="G14" s="221"/>
      <c r="H14" s="219"/>
      <c r="I14" s="220"/>
      <c r="J14" s="221"/>
      <c r="K14" s="219"/>
      <c r="L14" s="220"/>
      <c r="M14" s="221"/>
      <c r="N14" s="219"/>
      <c r="O14" s="220"/>
      <c r="P14" s="221"/>
      <c r="Q14" s="222"/>
      <c r="R14" s="222"/>
      <c r="S14" s="222"/>
    </row>
    <row r="15" spans="1:19" ht="15" customHeight="1" x14ac:dyDescent="0.55000000000000004">
      <c r="A15" s="223" t="s">
        <v>17</v>
      </c>
      <c r="B15" s="214">
        <f>'Budget ProAntioquia'!L105</f>
        <v>15344.91</v>
      </c>
      <c r="C15" s="214">
        <f>'Budget ProAntioquia'!M105</f>
        <v>3336</v>
      </c>
      <c r="D15" s="214">
        <f>'Budget ProAntioquia'!N105</f>
        <v>18680.91</v>
      </c>
      <c r="E15" s="214">
        <f>'Budget ProAntioquia'!R105</f>
        <v>9270</v>
      </c>
      <c r="F15" s="214">
        <f>'Budget ProAntioquia'!S105</f>
        <v>4466.9040000000005</v>
      </c>
      <c r="G15" s="214">
        <f>'Budget ProAntioquia'!T105</f>
        <v>13736.904</v>
      </c>
      <c r="H15" s="214">
        <f>'Budget ProAntioquia'!X105</f>
        <v>9548.1</v>
      </c>
      <c r="I15" s="214">
        <f>'Budget ProAntioquia'!Y105</f>
        <v>4600.9111200000007</v>
      </c>
      <c r="J15" s="214">
        <f>'Budget ProAntioquia'!Z105</f>
        <v>14149.011120000001</v>
      </c>
      <c r="K15" s="214">
        <f>'Budget ProAntioquia'!AD105</f>
        <v>4917.2715000000007</v>
      </c>
      <c r="L15" s="214">
        <f>'Budget ProAntioquia'!AE105</f>
        <v>4738.9384536000007</v>
      </c>
      <c r="M15" s="214">
        <f>'Budget ProAntioquia'!AF105</f>
        <v>9656.2099536000023</v>
      </c>
      <c r="N15" s="214">
        <f>'Budget ProAntioquia'!AJ105</f>
        <v>3798.592233750001</v>
      </c>
      <c r="O15" s="214">
        <f>'Budget ProAntioquia'!AK105</f>
        <v>4881.1066072080012</v>
      </c>
      <c r="P15" s="214">
        <f>'Budget ProAntioquia'!AL105</f>
        <v>8679.6988409580026</v>
      </c>
      <c r="Q15" s="217">
        <f>'Budget ProAntioquia'!AM105</f>
        <v>42878.873733749999</v>
      </c>
      <c r="R15" s="217">
        <f>'Budget ProAntioquia'!AN105</f>
        <v>22023.860180808006</v>
      </c>
      <c r="S15" s="217">
        <f>'Budget ProAntioquia'!AO105</f>
        <v>64902.733914558004</v>
      </c>
    </row>
    <row r="16" spans="1:19" ht="15" customHeight="1" x14ac:dyDescent="0.55000000000000004">
      <c r="A16" s="225"/>
      <c r="B16" s="219"/>
      <c r="C16" s="220"/>
      <c r="D16" s="221"/>
      <c r="E16" s="219"/>
      <c r="F16" s="220"/>
      <c r="G16" s="221"/>
      <c r="H16" s="219"/>
      <c r="I16" s="220"/>
      <c r="J16" s="221"/>
      <c r="K16" s="219"/>
      <c r="L16" s="220"/>
      <c r="M16" s="221"/>
      <c r="N16" s="219"/>
      <c r="O16" s="220"/>
      <c r="P16" s="221"/>
      <c r="Q16" s="222"/>
      <c r="R16" s="222"/>
      <c r="S16" s="222"/>
    </row>
    <row r="17" spans="1:128" ht="15" customHeight="1" x14ac:dyDescent="0.55000000000000004">
      <c r="A17" s="223" t="s">
        <v>18</v>
      </c>
      <c r="B17" s="214">
        <f>'Budget ProAntioquia'!L119</f>
        <v>42850</v>
      </c>
      <c r="C17" s="214">
        <f>'Budget ProAntioquia'!M119</f>
        <v>0</v>
      </c>
      <c r="D17" s="214">
        <f>'Budget ProAntioquia'!N119</f>
        <v>42850</v>
      </c>
      <c r="E17" s="214">
        <f>'Budget ProAntioquia'!R119</f>
        <v>47050</v>
      </c>
      <c r="F17" s="214">
        <f>'Budget ProAntioquia'!S119</f>
        <v>0</v>
      </c>
      <c r="G17" s="214">
        <f>'Budget ProAntioquia'!T119</f>
        <v>47050</v>
      </c>
      <c r="H17" s="214">
        <f>'Budget ProAntioquia'!X119</f>
        <v>22050</v>
      </c>
      <c r="I17" s="214">
        <f>'Budget ProAntioquia'!Y119</f>
        <v>0</v>
      </c>
      <c r="J17" s="214">
        <f>'Budget ProAntioquia'!Z119</f>
        <v>22050</v>
      </c>
      <c r="K17" s="214">
        <f>'Budget ProAntioquia'!AD119</f>
        <v>22050</v>
      </c>
      <c r="L17" s="214">
        <f>'Budget ProAntioquia'!AE119</f>
        <v>0</v>
      </c>
      <c r="M17" s="214">
        <f>'Budget ProAntioquia'!AF119</f>
        <v>22050</v>
      </c>
      <c r="N17" s="214">
        <f>'Budget ProAntioquia'!AJ119</f>
        <v>19950</v>
      </c>
      <c r="O17" s="214">
        <f>'Budget ProAntioquia'!AK119</f>
        <v>0</v>
      </c>
      <c r="P17" s="214">
        <f>'Budget ProAntioquia'!AL119</f>
        <v>19950</v>
      </c>
      <c r="Q17" s="217">
        <f>'Budget ProAntioquia'!AM119</f>
        <v>153950</v>
      </c>
      <c r="R17" s="217">
        <f>'Budget ProAntioquia'!AN119</f>
        <v>0</v>
      </c>
      <c r="S17" s="217">
        <f>'Budget ProAntioquia'!AO119</f>
        <v>153950</v>
      </c>
    </row>
    <row r="18" spans="1:128" ht="15" customHeight="1" x14ac:dyDescent="0.55000000000000004">
      <c r="A18" s="218"/>
      <c r="B18" s="219"/>
      <c r="C18" s="220"/>
      <c r="D18" s="221"/>
      <c r="E18" s="219"/>
      <c r="F18" s="220"/>
      <c r="G18" s="221"/>
      <c r="H18" s="219"/>
      <c r="I18" s="220"/>
      <c r="J18" s="221"/>
      <c r="K18" s="219"/>
      <c r="L18" s="220"/>
      <c r="M18" s="221"/>
      <c r="N18" s="219"/>
      <c r="O18" s="220"/>
      <c r="P18" s="221"/>
      <c r="Q18" s="222"/>
      <c r="R18" s="222"/>
      <c r="S18" s="222"/>
    </row>
    <row r="19" spans="1:128" ht="15" customHeight="1" x14ac:dyDescent="0.55000000000000004">
      <c r="A19" s="226" t="s">
        <v>19</v>
      </c>
      <c r="B19" s="214">
        <f>'Budget ProAntioquia'!L160</f>
        <v>105566</v>
      </c>
      <c r="C19" s="214">
        <f>'Budget ProAntioquia'!M160</f>
        <v>33306</v>
      </c>
      <c r="D19" s="214">
        <f>'Budget ProAntioquia'!N160</f>
        <v>138872</v>
      </c>
      <c r="E19" s="214">
        <f>'Budget ProAntioquia'!R160</f>
        <v>176388.47999999998</v>
      </c>
      <c r="F19" s="214">
        <f>'Budget ProAntioquia'!S160</f>
        <v>0</v>
      </c>
      <c r="G19" s="214">
        <f>'Budget ProAntioquia'!T160</f>
        <v>176388.47999999998</v>
      </c>
      <c r="H19" s="214">
        <f>'Budget ProAntioquia'!X160</f>
        <v>85222.353999999992</v>
      </c>
      <c r="I19" s="214">
        <f>'Budget ProAntioquia'!Y160</f>
        <v>0</v>
      </c>
      <c r="J19" s="214">
        <f>'Budget ProAntioquia'!Z160</f>
        <v>85222.353999999992</v>
      </c>
      <c r="K19" s="214">
        <f>'Budget ProAntioquia'!AD160</f>
        <v>94155.778820000021</v>
      </c>
      <c r="L19" s="214">
        <f>'Budget ProAntioquia'!AE160</f>
        <v>0</v>
      </c>
      <c r="M19" s="214">
        <f>'Budget ProAntioquia'!AF160</f>
        <v>94155.778820000021</v>
      </c>
      <c r="N19" s="214">
        <f>'Budget ProAntioquia'!AJ160</f>
        <v>20519.591506249999</v>
      </c>
      <c r="O19" s="214">
        <f>'Budget ProAntioquia'!AK160</f>
        <v>0</v>
      </c>
      <c r="P19" s="214">
        <f>'Budget ProAntioquia'!AL160</f>
        <v>20519.591506249999</v>
      </c>
      <c r="Q19" s="217">
        <f>'Budget ProAntioquia'!AM160</f>
        <v>481852.20432625001</v>
      </c>
      <c r="R19" s="217">
        <f>'Budget ProAntioquia'!AN160</f>
        <v>33306</v>
      </c>
      <c r="S19" s="217">
        <f>'Budget ProAntioquia'!AO160</f>
        <v>515158.20432625001</v>
      </c>
    </row>
    <row r="20" spans="1:128" ht="15" customHeight="1" x14ac:dyDescent="0.55000000000000004">
      <c r="A20" s="227"/>
      <c r="B20" s="228"/>
      <c r="C20" s="229"/>
      <c r="D20" s="230"/>
      <c r="E20" s="228"/>
      <c r="F20" s="229"/>
      <c r="G20" s="230"/>
      <c r="H20" s="228"/>
      <c r="I20" s="229"/>
      <c r="J20" s="230"/>
      <c r="K20" s="228"/>
      <c r="L20" s="229"/>
      <c r="M20" s="230"/>
      <c r="N20" s="219"/>
      <c r="O20" s="220"/>
      <c r="P20" s="221"/>
      <c r="Q20" s="222"/>
      <c r="R20" s="222"/>
      <c r="S20" s="222"/>
    </row>
    <row r="21" spans="1:128" s="233" customFormat="1" ht="15" customHeight="1" x14ac:dyDescent="0.5">
      <c r="A21" s="231" t="s">
        <v>20</v>
      </c>
      <c r="B21" s="232">
        <f>SUM(B7:B20)</f>
        <v>447655.136</v>
      </c>
      <c r="C21" s="232">
        <f t="shared" ref="C21" si="0">SUM(C7:C20)</f>
        <v>79869.194615999993</v>
      </c>
      <c r="D21" s="232">
        <f>SUM(D7:D20)</f>
        <v>527524.33061599988</v>
      </c>
      <c r="E21" s="232">
        <f>SUM(E7:E20)</f>
        <v>517725.41872000002</v>
      </c>
      <c r="F21" s="232">
        <f t="shared" ref="F21" si="1">SUM(F7:F20)</f>
        <v>52531.003150080003</v>
      </c>
      <c r="G21" s="232">
        <f t="shared" ref="G21" si="2">SUM(G7:G20)</f>
        <v>570256.42187008006</v>
      </c>
      <c r="H21" s="232">
        <f>SUM(H7:H20)</f>
        <v>414551.14326879993</v>
      </c>
      <c r="I21" s="232">
        <f>SUM(I7:I20)</f>
        <v>54587.574236083208</v>
      </c>
      <c r="J21" s="232">
        <f t="shared" ref="J21" si="3">SUM(J7:J20)</f>
        <v>469138.71750488319</v>
      </c>
      <c r="K21" s="232">
        <f>SUM(K7:K20)</f>
        <v>429936.224669552</v>
      </c>
      <c r="L21" s="232">
        <f t="shared" ref="L21" si="4">SUM(L7:L20)</f>
        <v>56725.06809432654</v>
      </c>
      <c r="M21" s="232">
        <f>SUM(M7:M20)</f>
        <v>486661.29276387859</v>
      </c>
      <c r="N21" s="232">
        <f>SUM(N7:N20)</f>
        <v>324110.80768897047</v>
      </c>
      <c r="O21" s="232">
        <f t="shared" ref="O21" si="5">SUM(O7:O20)</f>
        <v>57092.870522679921</v>
      </c>
      <c r="P21" s="232">
        <f t="shared" ref="P21" si="6">SUM(P7:P20)</f>
        <v>381203.67821165035</v>
      </c>
      <c r="Q21" s="232">
        <f>SUM(Q7:Q20)</f>
        <v>2133978.7303473228</v>
      </c>
      <c r="R21" s="232">
        <f t="shared" ref="R21" si="7">SUM(R7:R20)</f>
        <v>300805.71061916969</v>
      </c>
      <c r="S21" s="232">
        <f t="shared" ref="S21" si="8">SUM(S7:S20)</f>
        <v>2434784.4409664921</v>
      </c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  <c r="BE21" s="195"/>
      <c r="BF21" s="195"/>
      <c r="BG21" s="195"/>
      <c r="BH21" s="195"/>
      <c r="BI21" s="195"/>
      <c r="BJ21" s="195"/>
      <c r="BK21" s="195"/>
      <c r="BL21" s="195"/>
      <c r="BM21" s="195"/>
      <c r="BN21" s="195"/>
      <c r="BO21" s="195"/>
      <c r="BP21" s="195"/>
      <c r="BQ21" s="195"/>
      <c r="BR21" s="195"/>
      <c r="BS21" s="195"/>
      <c r="BT21" s="195"/>
      <c r="BU21" s="195"/>
      <c r="BV21" s="195"/>
      <c r="BW21" s="195"/>
      <c r="BX21" s="195"/>
      <c r="BY21" s="195"/>
      <c r="BZ21" s="195"/>
      <c r="CA21" s="195"/>
      <c r="CB21" s="195"/>
      <c r="CC21" s="195"/>
      <c r="CD21" s="195"/>
      <c r="CE21" s="195"/>
      <c r="CF21" s="195"/>
      <c r="CG21" s="195"/>
      <c r="CH21" s="195"/>
      <c r="CI21" s="195"/>
      <c r="CJ21" s="195"/>
      <c r="CK21" s="195"/>
      <c r="CL21" s="195"/>
      <c r="CM21" s="195"/>
      <c r="CN21" s="195"/>
      <c r="CO21" s="195"/>
      <c r="CP21" s="195"/>
      <c r="CQ21" s="195"/>
      <c r="CR21" s="195"/>
      <c r="CS21" s="195"/>
      <c r="CT21" s="195"/>
      <c r="CU21" s="195"/>
      <c r="CV21" s="195"/>
      <c r="CW21" s="195"/>
      <c r="CX21" s="195"/>
      <c r="CY21" s="195"/>
      <c r="CZ21" s="195"/>
      <c r="DA21" s="195"/>
      <c r="DB21" s="195"/>
      <c r="DC21" s="195"/>
      <c r="DD21" s="195"/>
      <c r="DE21" s="195"/>
      <c r="DF21" s="195"/>
      <c r="DG21" s="195"/>
      <c r="DH21" s="195"/>
      <c r="DI21" s="195"/>
      <c r="DJ21" s="195"/>
      <c r="DK21" s="195"/>
      <c r="DL21" s="195"/>
      <c r="DM21" s="195"/>
      <c r="DN21" s="195"/>
      <c r="DO21" s="195"/>
      <c r="DP21" s="195"/>
      <c r="DQ21" s="195"/>
      <c r="DR21" s="195"/>
      <c r="DS21" s="195"/>
      <c r="DT21" s="195"/>
      <c r="DU21" s="195"/>
      <c r="DV21" s="195"/>
      <c r="DW21" s="195"/>
      <c r="DX21" s="195"/>
    </row>
    <row r="22" spans="1:128" s="233" customFormat="1" ht="15" customHeight="1" x14ac:dyDescent="0.5">
      <c r="A22" s="233" t="s">
        <v>21</v>
      </c>
      <c r="B22" s="234">
        <f>'Budget ProAntioquia'!L163</f>
        <v>0</v>
      </c>
      <c r="C22" s="234">
        <f>'Budget ProAntioquia'!M163</f>
        <v>0</v>
      </c>
      <c r="D22" s="234">
        <f>'Budget ProAntioquia'!N163</f>
        <v>0</v>
      </c>
      <c r="E22" s="234">
        <f>'Budget ProAntioquia'!R163</f>
        <v>0</v>
      </c>
      <c r="F22" s="234">
        <f>'Budget ProAntioquia'!S163</f>
        <v>0</v>
      </c>
      <c r="G22" s="234">
        <f>'Budget ProAntioquia'!T163</f>
        <v>0</v>
      </c>
      <c r="H22" s="234">
        <f>'Budget ProAntioquia'!X163</f>
        <v>0</v>
      </c>
      <c r="I22" s="234">
        <f>'Budget ProAntioquia'!Y163</f>
        <v>0</v>
      </c>
      <c r="J22" s="234">
        <f>'Budget ProAntioquia'!Z163</f>
        <v>0</v>
      </c>
      <c r="K22" s="234">
        <f>'Budget ProAntioquia'!AD163</f>
        <v>0</v>
      </c>
      <c r="L22" s="234">
        <f>'Budget ProAntioquia'!AE163</f>
        <v>0</v>
      </c>
      <c r="M22" s="234">
        <f>'Budget ProAntioquia'!AF163</f>
        <v>0</v>
      </c>
      <c r="N22" s="234">
        <f>'Budget ProAntioquia'!AJ163</f>
        <v>0</v>
      </c>
      <c r="O22" s="234">
        <f>'Budget ProAntioquia'!AK163</f>
        <v>0</v>
      </c>
      <c r="P22" s="234">
        <f>'Budget ProAntioquia'!AL163</f>
        <v>0</v>
      </c>
      <c r="Q22" s="234">
        <f>'Budget ProAntioquia'!AM163</f>
        <v>0</v>
      </c>
      <c r="R22" s="234">
        <f>'Budget ProAntioquia'!AN163</f>
        <v>0</v>
      </c>
      <c r="S22" s="234">
        <f>'Budget ProAntioquia'!AO163</f>
        <v>0</v>
      </c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95"/>
      <c r="BQ22" s="195"/>
      <c r="BR22" s="195"/>
      <c r="BS22" s="195"/>
      <c r="BT22" s="195"/>
      <c r="BU22" s="195"/>
      <c r="BV22" s="195"/>
      <c r="BW22" s="195"/>
      <c r="BX22" s="195"/>
      <c r="BY22" s="195"/>
      <c r="BZ22" s="195"/>
      <c r="CA22" s="195"/>
      <c r="CB22" s="195"/>
      <c r="CC22" s="195"/>
      <c r="CD22" s="195"/>
      <c r="CE22" s="195"/>
      <c r="CF22" s="195"/>
      <c r="CG22" s="195"/>
      <c r="CH22" s="195"/>
      <c r="CI22" s="195"/>
      <c r="CJ22" s="195"/>
      <c r="CK22" s="195"/>
      <c r="CL22" s="195"/>
      <c r="CM22" s="195"/>
      <c r="CN22" s="195"/>
      <c r="CO22" s="195"/>
      <c r="CP22" s="195"/>
      <c r="CQ22" s="195"/>
      <c r="CR22" s="195"/>
      <c r="CS22" s="195"/>
      <c r="CT22" s="195"/>
      <c r="CU22" s="195"/>
      <c r="CV22" s="195"/>
      <c r="CW22" s="195"/>
      <c r="CX22" s="195"/>
      <c r="CY22" s="195"/>
      <c r="CZ22" s="195"/>
      <c r="DA22" s="195"/>
      <c r="DB22" s="195"/>
      <c r="DC22" s="195"/>
      <c r="DD22" s="195"/>
      <c r="DE22" s="195"/>
      <c r="DF22" s="195"/>
      <c r="DG22" s="195"/>
      <c r="DH22" s="195"/>
      <c r="DI22" s="195"/>
      <c r="DJ22" s="195"/>
      <c r="DK22" s="195"/>
      <c r="DL22" s="195"/>
      <c r="DM22" s="195"/>
      <c r="DN22" s="195"/>
      <c r="DO22" s="195"/>
      <c r="DP22" s="195"/>
      <c r="DQ22" s="195"/>
      <c r="DR22" s="195"/>
      <c r="DS22" s="195"/>
      <c r="DT22" s="195"/>
      <c r="DU22" s="195"/>
      <c r="DV22" s="195"/>
      <c r="DW22" s="195"/>
      <c r="DX22" s="195"/>
    </row>
    <row r="23" spans="1:128" s="236" customFormat="1" ht="15" customHeight="1" x14ac:dyDescent="0.55000000000000004">
      <c r="A23" s="231" t="s">
        <v>8</v>
      </c>
      <c r="B23" s="235">
        <f>B22+B21</f>
        <v>447655.136</v>
      </c>
      <c r="C23" s="235">
        <f t="shared" ref="C23:S23" si="9">C22+C21</f>
        <v>79869.194615999993</v>
      </c>
      <c r="D23" s="235">
        <f t="shared" si="9"/>
        <v>527524.33061599988</v>
      </c>
      <c r="E23" s="235">
        <f t="shared" si="9"/>
        <v>517725.41872000002</v>
      </c>
      <c r="F23" s="235">
        <f t="shared" si="9"/>
        <v>52531.003150080003</v>
      </c>
      <c r="G23" s="235">
        <f t="shared" si="9"/>
        <v>570256.42187008006</v>
      </c>
      <c r="H23" s="235">
        <f t="shared" si="9"/>
        <v>414551.14326879993</v>
      </c>
      <c r="I23" s="235">
        <f t="shared" si="9"/>
        <v>54587.574236083208</v>
      </c>
      <c r="J23" s="235">
        <f t="shared" si="9"/>
        <v>469138.71750488319</v>
      </c>
      <c r="K23" s="235">
        <f t="shared" si="9"/>
        <v>429936.224669552</v>
      </c>
      <c r="L23" s="235">
        <f t="shared" si="9"/>
        <v>56725.06809432654</v>
      </c>
      <c r="M23" s="235">
        <f t="shared" si="9"/>
        <v>486661.29276387859</v>
      </c>
      <c r="N23" s="235">
        <f t="shared" si="9"/>
        <v>324110.80768897047</v>
      </c>
      <c r="O23" s="235">
        <f t="shared" si="9"/>
        <v>57092.870522679921</v>
      </c>
      <c r="P23" s="235">
        <f t="shared" si="9"/>
        <v>381203.67821165035</v>
      </c>
      <c r="Q23" s="235">
        <f t="shared" si="9"/>
        <v>2133978.7303473228</v>
      </c>
      <c r="R23" s="235">
        <f t="shared" si="9"/>
        <v>300805.71061916969</v>
      </c>
      <c r="S23" s="235">
        <f t="shared" si="9"/>
        <v>2434784.4409664921</v>
      </c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6"/>
      <c r="AW23" s="196"/>
      <c r="AX23" s="196"/>
      <c r="AY23" s="196"/>
      <c r="AZ23" s="196"/>
      <c r="BA23" s="196"/>
      <c r="BB23" s="196"/>
      <c r="BC23" s="196"/>
      <c r="BD23" s="196"/>
      <c r="BE23" s="196"/>
      <c r="BF23" s="196"/>
      <c r="BG23" s="196"/>
      <c r="BH23" s="196"/>
      <c r="BI23" s="196"/>
      <c r="BJ23" s="196"/>
      <c r="BK23" s="196"/>
      <c r="BL23" s="196"/>
      <c r="BM23" s="196"/>
      <c r="BN23" s="196"/>
      <c r="BO23" s="196"/>
      <c r="BP23" s="196"/>
      <c r="BQ23" s="196"/>
      <c r="BR23" s="196"/>
      <c r="BS23" s="196"/>
      <c r="BT23" s="196"/>
      <c r="BU23" s="196"/>
      <c r="BV23" s="196"/>
      <c r="BW23" s="196"/>
      <c r="BX23" s="196"/>
      <c r="BY23" s="196"/>
      <c r="BZ23" s="196"/>
      <c r="CA23" s="196"/>
      <c r="CB23" s="196"/>
      <c r="CC23" s="196"/>
      <c r="CD23" s="196"/>
      <c r="CE23" s="196"/>
      <c r="CF23" s="196"/>
      <c r="CG23" s="196"/>
      <c r="CH23" s="196"/>
      <c r="CI23" s="196"/>
      <c r="CJ23" s="196"/>
      <c r="CK23" s="196"/>
      <c r="CL23" s="196"/>
      <c r="CM23" s="196"/>
      <c r="CN23" s="196"/>
      <c r="CO23" s="196"/>
      <c r="CP23" s="196"/>
      <c r="CQ23" s="196"/>
      <c r="CR23" s="196"/>
      <c r="CS23" s="196"/>
      <c r="CT23" s="196"/>
      <c r="CU23" s="196"/>
      <c r="CV23" s="196"/>
      <c r="CW23" s="196"/>
      <c r="CX23" s="196"/>
      <c r="CY23" s="196"/>
      <c r="CZ23" s="196"/>
      <c r="DA23" s="196"/>
      <c r="DB23" s="196"/>
      <c r="DC23" s="196"/>
      <c r="DD23" s="196"/>
      <c r="DE23" s="196"/>
      <c r="DF23" s="196"/>
      <c r="DG23" s="196"/>
      <c r="DH23" s="196"/>
      <c r="DI23" s="196"/>
      <c r="DJ23" s="196"/>
      <c r="DK23" s="196"/>
      <c r="DL23" s="196"/>
      <c r="DM23" s="196"/>
      <c r="DN23" s="196"/>
      <c r="DO23" s="196"/>
      <c r="DP23" s="196"/>
      <c r="DQ23" s="196"/>
      <c r="DR23" s="196"/>
      <c r="DS23" s="196"/>
      <c r="DT23" s="196"/>
      <c r="DU23" s="196"/>
      <c r="DV23" s="196"/>
      <c r="DW23" s="196"/>
      <c r="DX23" s="196"/>
    </row>
    <row r="24" spans="1:128" s="237" customFormat="1" ht="15" customHeight="1" x14ac:dyDescent="0.55000000000000004">
      <c r="B24" s="238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238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  <c r="AX24" s="196"/>
      <c r="AY24" s="196"/>
      <c r="AZ24" s="196"/>
      <c r="BA24" s="196"/>
      <c r="BB24" s="196"/>
      <c r="BC24" s="196"/>
      <c r="BD24" s="196"/>
      <c r="BE24" s="196"/>
      <c r="BF24" s="196"/>
      <c r="BG24" s="196"/>
      <c r="BH24" s="196"/>
      <c r="BI24" s="196"/>
      <c r="BJ24" s="196"/>
      <c r="BK24" s="196"/>
      <c r="BL24" s="196"/>
      <c r="BM24" s="196"/>
      <c r="BN24" s="196"/>
      <c r="BO24" s="196"/>
      <c r="BP24" s="196"/>
      <c r="BQ24" s="196"/>
      <c r="BR24" s="196"/>
      <c r="BS24" s="196"/>
      <c r="BT24" s="196"/>
      <c r="BU24" s="196"/>
      <c r="BV24" s="196"/>
      <c r="BW24" s="196"/>
      <c r="BX24" s="196"/>
      <c r="BY24" s="196"/>
      <c r="BZ24" s="196"/>
      <c r="CA24" s="196"/>
      <c r="CB24" s="196"/>
      <c r="CC24" s="196"/>
      <c r="CD24" s="196"/>
      <c r="CE24" s="196"/>
      <c r="CF24" s="196"/>
      <c r="CG24" s="196"/>
      <c r="CH24" s="196"/>
      <c r="CI24" s="196"/>
      <c r="CJ24" s="196"/>
      <c r="CK24" s="196"/>
      <c r="CL24" s="196"/>
      <c r="CM24" s="196"/>
      <c r="CN24" s="196"/>
      <c r="CO24" s="196"/>
      <c r="CP24" s="196"/>
      <c r="CQ24" s="196"/>
      <c r="CR24" s="196"/>
      <c r="CS24" s="196"/>
      <c r="CT24" s="196"/>
      <c r="CU24" s="196"/>
      <c r="CV24" s="196"/>
      <c r="CW24" s="196"/>
      <c r="CX24" s="196"/>
      <c r="CY24" s="196"/>
      <c r="CZ24" s="196"/>
      <c r="DA24" s="196"/>
      <c r="DB24" s="196"/>
      <c r="DC24" s="196"/>
      <c r="DD24" s="196"/>
      <c r="DE24" s="196"/>
      <c r="DF24" s="196"/>
      <c r="DG24" s="196"/>
      <c r="DH24" s="196"/>
      <c r="DI24" s="196"/>
      <c r="DJ24" s="196"/>
      <c r="DK24" s="196"/>
      <c r="DL24" s="196"/>
      <c r="DM24" s="196"/>
      <c r="DN24" s="196"/>
      <c r="DO24" s="196"/>
      <c r="DP24" s="196"/>
      <c r="DQ24" s="196"/>
      <c r="DR24" s="196"/>
      <c r="DS24" s="196"/>
      <c r="DT24" s="196"/>
      <c r="DU24" s="196"/>
      <c r="DV24" s="196"/>
      <c r="DW24" s="196"/>
      <c r="DX24" s="196"/>
    </row>
    <row r="25" spans="1:128" ht="15" customHeight="1" x14ac:dyDescent="0.55000000000000004"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68"/>
    </row>
    <row r="26" spans="1:128" ht="15" customHeight="1" x14ac:dyDescent="0.55000000000000004"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39"/>
      <c r="R26" s="220"/>
    </row>
    <row r="27" spans="1:128" ht="15" customHeight="1" x14ac:dyDescent="0.55000000000000004"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40"/>
      <c r="P27" s="220"/>
      <c r="Q27" s="220"/>
      <c r="R27" s="220"/>
      <c r="S27" s="220"/>
    </row>
    <row r="28" spans="1:128" ht="15" customHeight="1" x14ac:dyDescent="0.55000000000000004"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40"/>
      <c r="O28" s="220"/>
      <c r="P28" s="220"/>
      <c r="Q28" s="220"/>
      <c r="R28" s="220"/>
      <c r="S28" s="220"/>
    </row>
    <row r="29" spans="1:128" ht="15" customHeight="1" x14ac:dyDescent="0.55000000000000004"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</row>
    <row r="30" spans="1:128" ht="15" customHeight="1" x14ac:dyDescent="0.55000000000000004"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</row>
    <row r="31" spans="1:128" ht="15" customHeight="1" x14ac:dyDescent="0.55000000000000004"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</row>
    <row r="32" spans="1:128" ht="15" customHeight="1" x14ac:dyDescent="0.55000000000000004"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</row>
    <row r="33" spans="2:19" ht="15" customHeight="1" x14ac:dyDescent="0.55000000000000004"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</row>
    <row r="34" spans="2:19" ht="15" customHeight="1" x14ac:dyDescent="0.55000000000000004"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</row>
    <row r="35" spans="2:19" ht="15" customHeight="1" x14ac:dyDescent="0.55000000000000004"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</row>
    <row r="36" spans="2:19" ht="15" customHeight="1" x14ac:dyDescent="0.55000000000000004"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</row>
    <row r="37" spans="2:19" ht="15" customHeight="1" x14ac:dyDescent="0.55000000000000004"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</row>
    <row r="38" spans="2:19" ht="15" customHeight="1" x14ac:dyDescent="0.55000000000000004"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</row>
    <row r="39" spans="2:19" ht="15" customHeight="1" x14ac:dyDescent="0.55000000000000004"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</row>
    <row r="40" spans="2:19" ht="15" customHeight="1" x14ac:dyDescent="0.55000000000000004"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</row>
    <row r="41" spans="2:19" ht="15" customHeight="1" x14ac:dyDescent="0.55000000000000004"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</row>
  </sheetData>
  <mergeCells count="7">
    <mergeCell ref="B1:S1"/>
    <mergeCell ref="B2:S2"/>
    <mergeCell ref="B4:D4"/>
    <mergeCell ref="E4:G4"/>
    <mergeCell ref="H4:J4"/>
    <mergeCell ref="K4:M4"/>
    <mergeCell ref="N4:P4"/>
  </mergeCells>
  <pageMargins left="0.25" right="0.25" top="0.75" bottom="0.75" header="0.3" footer="0.3"/>
  <pageSetup paperSize="5" scale="86" fitToHeight="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C3F3-C2D5-4D69-9A46-209DB97C3441}">
  <sheetPr>
    <pageSetUpPr fitToPage="1"/>
  </sheetPr>
  <dimension ref="A1:AS172"/>
  <sheetViews>
    <sheetView zoomScale="78" zoomScaleNormal="85" workbookViewId="0">
      <pane xSplit="7" ySplit="11" topLeftCell="H12" activePane="bottomRight" state="frozen"/>
      <selection pane="topRight" activeCell="B1" sqref="B1"/>
      <selection pane="bottomLeft" activeCell="A13" sqref="A13"/>
      <selection pane="bottomRight" activeCell="D24" sqref="C24:D30"/>
    </sheetView>
  </sheetViews>
  <sheetFormatPr defaultColWidth="9.1640625" defaultRowHeight="12.6" outlineLevelCol="1" x14ac:dyDescent="0.45"/>
  <cols>
    <col min="1" max="1" width="14.71875" style="1" customWidth="1" outlineLevel="1"/>
    <col min="2" max="2" width="12.44140625" style="1" customWidth="1" outlineLevel="1"/>
    <col min="3" max="3" width="10.5546875" style="1" customWidth="1" outlineLevel="1"/>
    <col min="4" max="4" width="12.1640625" style="1" customWidth="1" outlineLevel="1"/>
    <col min="5" max="5" width="12.44140625" style="1" customWidth="1" outlineLevel="1"/>
    <col min="6" max="6" width="21.1640625" style="1" bestFit="1" customWidth="1" outlineLevel="1"/>
    <col min="7" max="7" width="89.27734375" style="1" customWidth="1"/>
    <col min="8" max="8" width="7.71875" style="1" customWidth="1" outlineLevel="1"/>
    <col min="9" max="9" width="7.44140625" style="1" customWidth="1" outlineLevel="1"/>
    <col min="10" max="10" width="8.44140625" style="1" customWidth="1" outlineLevel="1"/>
    <col min="11" max="11" width="9.83203125" style="1" customWidth="1" outlineLevel="1"/>
    <col min="12" max="14" width="8.44140625" style="1" customWidth="1" outlineLevel="1"/>
    <col min="15" max="15" width="7.71875" style="1" customWidth="1"/>
    <col min="16" max="16" width="7.44140625" style="1" customWidth="1"/>
    <col min="17" max="20" width="8.44140625" style="1" customWidth="1"/>
    <col min="21" max="21" width="7.71875" style="1" customWidth="1"/>
    <col min="22" max="22" width="7.44140625" style="1" customWidth="1"/>
    <col min="23" max="23" width="8.44140625" style="1" customWidth="1"/>
    <col min="24" max="24" width="7.71875" style="1" customWidth="1"/>
    <col min="25" max="25" width="8.44140625" style="1" customWidth="1"/>
    <col min="26" max="27" width="7.71875" style="1" customWidth="1"/>
    <col min="28" max="28" width="7.44140625" style="1" customWidth="1"/>
    <col min="29" max="29" width="8.44140625" style="1" customWidth="1"/>
    <col min="30" max="30" width="7.71875" style="1" customWidth="1"/>
    <col min="31" max="31" width="8.44140625" style="1" customWidth="1"/>
    <col min="32" max="33" width="7.71875" style="1" customWidth="1"/>
    <col min="34" max="34" width="7.44140625" style="1" customWidth="1"/>
    <col min="35" max="35" width="8.44140625" style="1" customWidth="1"/>
    <col min="36" max="36" width="7.1640625" style="1" customWidth="1"/>
    <col min="37" max="37" width="8.44140625" style="1" customWidth="1"/>
    <col min="38" max="38" width="7.71875" style="1" customWidth="1"/>
    <col min="39" max="39" width="8.5546875" style="1" bestFit="1" customWidth="1"/>
    <col min="40" max="40" width="8.44140625" style="1" customWidth="1"/>
    <col min="41" max="41" width="8.5546875" style="1" customWidth="1"/>
    <col min="42" max="42" width="37.5546875" style="1" customWidth="1"/>
    <col min="43" max="43" width="17.44140625" style="1" bestFit="1" customWidth="1"/>
    <col min="44" max="16384" width="9.1640625" style="1"/>
  </cols>
  <sheetData>
    <row r="1" spans="1:41" ht="15" x14ac:dyDescent="0.45">
      <c r="H1" s="733" t="s">
        <v>331</v>
      </c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</row>
    <row r="2" spans="1:41" ht="15" x14ac:dyDescent="0.45">
      <c r="H2" s="733" t="s">
        <v>512</v>
      </c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</row>
    <row r="3" spans="1:41" ht="15.3" thickBot="1" x14ac:dyDescent="0.5">
      <c r="H3" s="733" t="s">
        <v>333</v>
      </c>
      <c r="I3" s="733"/>
      <c r="J3" s="733"/>
      <c r="K3" s="733"/>
      <c r="L3" s="733"/>
      <c r="M3" s="733"/>
      <c r="N3" s="733"/>
      <c r="O3" s="733"/>
      <c r="P3" s="733"/>
      <c r="Q3" s="733"/>
      <c r="R3" s="733"/>
      <c r="S3" s="733"/>
      <c r="T3" s="733"/>
      <c r="U3" s="733"/>
      <c r="V3" s="733"/>
      <c r="W3" s="733"/>
      <c r="X3" s="733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</row>
    <row r="4" spans="1:41" ht="15" x14ac:dyDescent="0.45">
      <c r="A4" s="624" t="s">
        <v>33</v>
      </c>
      <c r="B4" s="625" t="s">
        <v>34</v>
      </c>
      <c r="H4" s="733" t="s">
        <v>32</v>
      </c>
      <c r="I4" s="733"/>
      <c r="J4" s="733"/>
      <c r="K4" s="733"/>
      <c r="L4" s="733"/>
      <c r="M4" s="733"/>
      <c r="N4" s="733"/>
      <c r="O4" s="733"/>
      <c r="P4" s="733"/>
      <c r="Q4" s="733"/>
      <c r="R4" s="733"/>
      <c r="S4" s="733"/>
      <c r="T4" s="733"/>
      <c r="U4" s="733"/>
      <c r="V4" s="733"/>
      <c r="W4" s="733"/>
      <c r="X4" s="733"/>
      <c r="Y4" s="733"/>
      <c r="Z4" s="733"/>
      <c r="AA4" s="733"/>
      <c r="AB4" s="733"/>
      <c r="AC4" s="733"/>
      <c r="AD4" s="733"/>
      <c r="AE4" s="733"/>
      <c r="AF4" s="733"/>
      <c r="AG4" s="733"/>
      <c r="AH4" s="733"/>
      <c r="AI4" s="733"/>
      <c r="AJ4" s="733"/>
      <c r="AK4" s="733"/>
      <c r="AL4" s="733"/>
      <c r="AM4" s="733"/>
      <c r="AN4" s="733"/>
      <c r="AO4" s="733"/>
    </row>
    <row r="5" spans="1:41" x14ac:dyDescent="0.45">
      <c r="A5" s="626" t="s">
        <v>36</v>
      </c>
      <c r="B5" s="627">
        <v>20300</v>
      </c>
      <c r="C5" s="2"/>
      <c r="D5" s="2"/>
      <c r="E5" s="2"/>
      <c r="F5" s="2"/>
      <c r="G5" s="11" t="s">
        <v>35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41" ht="12.9" thickBot="1" x14ac:dyDescent="0.5">
      <c r="A6" s="628" t="s">
        <v>38</v>
      </c>
      <c r="B6" s="629" t="s">
        <v>39</v>
      </c>
      <c r="C6" s="6"/>
      <c r="D6" s="6"/>
      <c r="E6" s="6"/>
      <c r="F6" s="6"/>
      <c r="G6" s="3" t="s">
        <v>334</v>
      </c>
      <c r="H6" s="619">
        <v>1.03</v>
      </c>
      <c r="I6" s="6"/>
      <c r="J6" s="6"/>
      <c r="K6" s="6"/>
      <c r="L6" s="7"/>
      <c r="M6" s="38"/>
      <c r="N6" s="8"/>
      <c r="O6" s="38"/>
      <c r="P6" s="38"/>
      <c r="Q6" s="8"/>
      <c r="R6" s="38"/>
      <c r="S6" s="38"/>
      <c r="T6" s="8"/>
      <c r="U6" s="38"/>
      <c r="V6" s="38"/>
      <c r="W6" s="8"/>
      <c r="X6" s="38"/>
      <c r="Y6" s="38"/>
      <c r="Z6" s="38"/>
      <c r="AA6" s="38"/>
      <c r="AB6" s="38"/>
    </row>
    <row r="7" spans="1:41" x14ac:dyDescent="0.45">
      <c r="A7" s="6"/>
      <c r="B7" s="6"/>
      <c r="C7" s="6"/>
      <c r="D7" s="6"/>
      <c r="E7" s="6"/>
      <c r="F7" s="6"/>
      <c r="G7" s="3" t="s">
        <v>41</v>
      </c>
      <c r="H7" s="619">
        <v>1.04</v>
      </c>
      <c r="I7" s="6"/>
      <c r="J7" s="6"/>
      <c r="K7" s="6"/>
      <c r="L7" s="7"/>
      <c r="M7" s="38"/>
      <c r="N7" s="12"/>
      <c r="O7" s="38"/>
      <c r="P7" s="38"/>
      <c r="Q7" s="8"/>
      <c r="R7" s="38"/>
      <c r="S7" s="38"/>
      <c r="T7" s="8"/>
      <c r="U7" s="38"/>
      <c r="V7" s="38"/>
      <c r="W7" s="8"/>
      <c r="X7" s="38"/>
      <c r="Y7" s="38"/>
      <c r="Z7" s="38"/>
      <c r="AA7" s="38"/>
      <c r="AB7" s="38"/>
    </row>
    <row r="8" spans="1:41" x14ac:dyDescent="0.45">
      <c r="G8" s="750"/>
      <c r="H8" s="750"/>
      <c r="I8" s="750"/>
      <c r="J8" s="750"/>
      <c r="K8" s="750"/>
      <c r="L8" s="750"/>
      <c r="M8" s="750"/>
      <c r="N8" s="750"/>
      <c r="O8" s="750"/>
      <c r="P8" s="750"/>
      <c r="Q8" s="750"/>
      <c r="R8" s="750"/>
      <c r="S8" s="750"/>
      <c r="T8" s="750"/>
      <c r="U8" s="9"/>
      <c r="V8" s="9"/>
      <c r="W8" s="9"/>
      <c r="X8" s="9"/>
      <c r="AA8" s="9"/>
      <c r="AB8" s="9"/>
      <c r="AC8" s="9"/>
      <c r="AG8" s="9"/>
      <c r="AH8" s="9"/>
      <c r="AI8" s="9"/>
    </row>
    <row r="9" spans="1:41" ht="12.9" thickBot="1" x14ac:dyDescent="0.5">
      <c r="G9" s="46" t="s">
        <v>43</v>
      </c>
      <c r="H9" s="38"/>
      <c r="J9" s="14"/>
      <c r="K9" s="15"/>
      <c r="M9" s="16"/>
    </row>
    <row r="10" spans="1:41" ht="12.9" thickBot="1" x14ac:dyDescent="0.5">
      <c r="A10" s="751" t="s">
        <v>44</v>
      </c>
      <c r="B10" s="751" t="s">
        <v>45</v>
      </c>
      <c r="C10" s="751" t="s">
        <v>46</v>
      </c>
      <c r="D10" s="751" t="s">
        <v>47</v>
      </c>
      <c r="E10" s="746" t="s">
        <v>48</v>
      </c>
      <c r="F10" s="748" t="s">
        <v>335</v>
      </c>
      <c r="G10" s="748" t="s">
        <v>513</v>
      </c>
      <c r="H10" s="113"/>
      <c r="I10" s="114"/>
      <c r="J10" s="114"/>
      <c r="K10" s="114"/>
      <c r="L10" s="17" t="s">
        <v>3</v>
      </c>
      <c r="M10" s="17"/>
      <c r="N10" s="18"/>
      <c r="O10" s="113"/>
      <c r="P10" s="114"/>
      <c r="Q10" s="114"/>
      <c r="R10" s="17" t="s">
        <v>4</v>
      </c>
      <c r="S10" s="17"/>
      <c r="T10" s="18"/>
      <c r="U10" s="730" t="s">
        <v>5</v>
      </c>
      <c r="V10" s="730"/>
      <c r="W10" s="730"/>
      <c r="X10" s="730"/>
      <c r="Y10" s="730"/>
      <c r="Z10" s="730"/>
      <c r="AA10" s="113"/>
      <c r="AB10" s="114"/>
      <c r="AC10" s="114"/>
      <c r="AD10" s="17" t="s">
        <v>6</v>
      </c>
      <c r="AE10" s="17"/>
      <c r="AF10" s="18"/>
      <c r="AG10" s="113"/>
      <c r="AH10" s="114"/>
      <c r="AI10" s="114"/>
      <c r="AJ10" s="17" t="s">
        <v>7</v>
      </c>
      <c r="AK10" s="17"/>
      <c r="AL10" s="18"/>
      <c r="AM10" s="19" t="s">
        <v>8</v>
      </c>
      <c r="AN10" s="19" t="s">
        <v>9</v>
      </c>
      <c r="AO10" s="19" t="s">
        <v>10</v>
      </c>
    </row>
    <row r="11" spans="1:41" x14ac:dyDescent="0.45">
      <c r="A11" s="752"/>
      <c r="B11" s="752"/>
      <c r="C11" s="752"/>
      <c r="D11" s="752"/>
      <c r="E11" s="747"/>
      <c r="F11" s="749"/>
      <c r="G11" s="749"/>
      <c r="H11" s="116" t="s">
        <v>49</v>
      </c>
      <c r="I11" s="117" t="s">
        <v>50</v>
      </c>
      <c r="J11" s="117" t="s">
        <v>51</v>
      </c>
      <c r="K11" s="117" t="s">
        <v>52</v>
      </c>
      <c r="L11" s="118" t="s">
        <v>11</v>
      </c>
      <c r="M11" s="117" t="s">
        <v>12</v>
      </c>
      <c r="N11" s="119" t="s">
        <v>9</v>
      </c>
      <c r="O11" s="116" t="s">
        <v>49</v>
      </c>
      <c r="P11" s="117" t="s">
        <v>50</v>
      </c>
      <c r="Q11" s="117" t="s">
        <v>51</v>
      </c>
      <c r="R11" s="118" t="s">
        <v>11</v>
      </c>
      <c r="S11" s="117" t="s">
        <v>12</v>
      </c>
      <c r="T11" s="119" t="s">
        <v>9</v>
      </c>
      <c r="U11" s="116" t="s">
        <v>49</v>
      </c>
      <c r="V11" s="117" t="s">
        <v>50</v>
      </c>
      <c r="W11" s="117" t="s">
        <v>51</v>
      </c>
      <c r="X11" s="118" t="s">
        <v>11</v>
      </c>
      <c r="Y11" s="117" t="s">
        <v>12</v>
      </c>
      <c r="Z11" s="119" t="s">
        <v>9</v>
      </c>
      <c r="AA11" s="116" t="s">
        <v>49</v>
      </c>
      <c r="AB11" s="117" t="s">
        <v>50</v>
      </c>
      <c r="AC11" s="117" t="s">
        <v>51</v>
      </c>
      <c r="AD11" s="118" t="s">
        <v>11</v>
      </c>
      <c r="AE11" s="117" t="s">
        <v>12</v>
      </c>
      <c r="AF11" s="119" t="s">
        <v>9</v>
      </c>
      <c r="AG11" s="116" t="s">
        <v>49</v>
      </c>
      <c r="AH11" s="117" t="s">
        <v>50</v>
      </c>
      <c r="AI11" s="117" t="s">
        <v>51</v>
      </c>
      <c r="AJ11" s="118" t="s">
        <v>11</v>
      </c>
      <c r="AK11" s="117" t="s">
        <v>12</v>
      </c>
      <c r="AL11" s="119" t="s">
        <v>9</v>
      </c>
      <c r="AM11" s="242" t="s">
        <v>11</v>
      </c>
      <c r="AN11" s="243" t="s">
        <v>12</v>
      </c>
      <c r="AO11" s="244" t="s">
        <v>8</v>
      </c>
    </row>
    <row r="12" spans="1:41" ht="12.9" thickBot="1" x14ac:dyDescent="0.5">
      <c r="A12" s="666"/>
      <c r="B12" s="666"/>
      <c r="C12" s="666"/>
      <c r="D12" s="666"/>
      <c r="E12" s="666"/>
      <c r="F12" s="666"/>
      <c r="G12" s="664"/>
      <c r="H12" s="665"/>
      <c r="I12" s="666"/>
      <c r="J12" s="666"/>
      <c r="K12" s="666"/>
      <c r="L12" s="667"/>
      <c r="M12" s="666"/>
      <c r="N12" s="668"/>
      <c r="O12" s="665"/>
      <c r="P12" s="666"/>
      <c r="Q12" s="666"/>
      <c r="R12" s="667"/>
      <c r="S12" s="666"/>
      <c r="T12" s="668"/>
      <c r="U12" s="665"/>
      <c r="V12" s="666"/>
      <c r="W12" s="666"/>
      <c r="X12" s="667"/>
      <c r="Y12" s="666"/>
      <c r="Z12" s="668"/>
      <c r="AA12" s="665"/>
      <c r="AB12" s="666"/>
      <c r="AC12" s="666"/>
      <c r="AD12" s="667"/>
      <c r="AE12" s="666"/>
      <c r="AF12" s="668"/>
      <c r="AG12" s="665"/>
      <c r="AH12" s="666"/>
      <c r="AI12" s="666"/>
      <c r="AJ12" s="667"/>
      <c r="AK12" s="666"/>
      <c r="AL12" s="668"/>
      <c r="AM12" s="669"/>
      <c r="AN12" s="670"/>
      <c r="AO12" s="671"/>
    </row>
    <row r="13" spans="1:41" x14ac:dyDescent="0.45">
      <c r="A13" s="123"/>
      <c r="B13" s="123"/>
      <c r="C13" s="123"/>
      <c r="D13" s="123"/>
      <c r="E13" s="123"/>
      <c r="F13" s="123"/>
      <c r="G13" s="24" t="s">
        <v>13</v>
      </c>
      <c r="H13" s="122"/>
      <c r="I13" s="123"/>
      <c r="J13" s="123"/>
      <c r="K13" s="123"/>
      <c r="L13" s="25"/>
      <c r="M13" s="26"/>
      <c r="N13" s="27"/>
      <c r="O13" s="122"/>
      <c r="P13" s="123"/>
      <c r="Q13" s="123"/>
      <c r="R13" s="25"/>
      <c r="S13" s="26"/>
      <c r="T13" s="27"/>
      <c r="U13" s="122"/>
      <c r="V13" s="123"/>
      <c r="W13" s="123"/>
      <c r="X13" s="25"/>
      <c r="Y13" s="26"/>
      <c r="Z13" s="27"/>
      <c r="AA13" s="122"/>
      <c r="AB13" s="123"/>
      <c r="AC13" s="123"/>
      <c r="AD13" s="25"/>
      <c r="AE13" s="26"/>
      <c r="AF13" s="27"/>
      <c r="AG13" s="122"/>
      <c r="AH13" s="123"/>
      <c r="AI13" s="123"/>
      <c r="AJ13" s="25"/>
      <c r="AK13" s="26"/>
      <c r="AL13" s="27"/>
      <c r="AM13" s="246"/>
      <c r="AN13" s="246"/>
      <c r="AO13" s="555"/>
    </row>
    <row r="14" spans="1:41" x14ac:dyDescent="0.45">
      <c r="A14" s="125"/>
      <c r="B14" s="125"/>
      <c r="C14" s="125"/>
      <c r="D14" s="125"/>
      <c r="E14" s="125"/>
      <c r="F14" s="125"/>
      <c r="G14" s="73" t="s">
        <v>336</v>
      </c>
      <c r="H14" s="124" t="s">
        <v>54</v>
      </c>
      <c r="I14" s="125"/>
      <c r="J14" s="125"/>
      <c r="K14" s="125"/>
      <c r="L14" s="30"/>
      <c r="M14" s="31"/>
      <c r="N14" s="32"/>
      <c r="O14" s="126"/>
      <c r="P14" s="125"/>
      <c r="Q14" s="125"/>
      <c r="R14" s="30"/>
      <c r="S14" s="31"/>
      <c r="T14" s="32"/>
      <c r="U14" s="127"/>
      <c r="V14" s="125"/>
      <c r="W14" s="125"/>
      <c r="X14" s="30"/>
      <c r="Y14" s="31"/>
      <c r="Z14" s="32"/>
      <c r="AA14" s="126"/>
      <c r="AB14" s="125"/>
      <c r="AC14" s="125"/>
      <c r="AD14" s="30"/>
      <c r="AE14" s="31"/>
      <c r="AF14" s="32"/>
      <c r="AG14" s="126"/>
      <c r="AH14" s="125"/>
      <c r="AI14" s="125"/>
      <c r="AJ14" s="30"/>
      <c r="AK14" s="31"/>
      <c r="AL14" s="32"/>
      <c r="AM14" s="247"/>
      <c r="AN14" s="247"/>
      <c r="AO14" s="33"/>
    </row>
    <row r="15" spans="1:41" x14ac:dyDescent="0.45">
      <c r="A15" s="537"/>
      <c r="B15" s="537"/>
      <c r="C15" s="537"/>
      <c r="D15" s="537"/>
      <c r="E15" s="537"/>
      <c r="F15" s="537"/>
      <c r="G15" s="73" t="s">
        <v>337</v>
      </c>
      <c r="H15" s="124"/>
      <c r="I15" s="537"/>
      <c r="J15" s="537"/>
      <c r="K15" s="537"/>
      <c r="L15" s="538"/>
      <c r="N15" s="539"/>
      <c r="O15" s="139"/>
      <c r="P15" s="537"/>
      <c r="Q15" s="537"/>
      <c r="R15" s="538"/>
      <c r="T15" s="539"/>
      <c r="U15" s="601"/>
      <c r="V15" s="537"/>
      <c r="W15" s="537"/>
      <c r="X15" s="538"/>
      <c r="Z15" s="539"/>
      <c r="AA15" s="139"/>
      <c r="AB15" s="537"/>
      <c r="AC15" s="537"/>
      <c r="AD15" s="538"/>
      <c r="AF15" s="539"/>
      <c r="AG15" s="139"/>
      <c r="AH15" s="537"/>
      <c r="AI15" s="537"/>
      <c r="AJ15" s="538"/>
      <c r="AL15" s="539"/>
      <c r="AM15" s="140"/>
      <c r="AN15" s="140"/>
      <c r="AO15" s="82"/>
    </row>
    <row r="16" spans="1:41" x14ac:dyDescent="0.45">
      <c r="A16" s="1" t="s">
        <v>213</v>
      </c>
      <c r="B16" s="710">
        <v>89050</v>
      </c>
      <c r="C16" s="258" t="s">
        <v>65</v>
      </c>
      <c r="D16" s="258" t="s">
        <v>65</v>
      </c>
      <c r="E16" s="1" t="s">
        <v>214</v>
      </c>
      <c r="F16" s="537" t="s">
        <v>514</v>
      </c>
      <c r="G16" s="269" t="s">
        <v>515</v>
      </c>
      <c r="H16" s="601">
        <v>1</v>
      </c>
      <c r="I16" s="37">
        <f>52500/12</f>
        <v>4375</v>
      </c>
      <c r="J16" s="36">
        <v>11</v>
      </c>
      <c r="K16" s="1" t="s">
        <v>59</v>
      </c>
      <c r="L16" s="37">
        <f>J16*I16*H16</f>
        <v>48125</v>
      </c>
      <c r="M16" s="38">
        <v>0</v>
      </c>
      <c r="N16" s="39">
        <f>SUM(L16:M16)</f>
        <v>48125</v>
      </c>
      <c r="O16" s="601">
        <f>H16</f>
        <v>1</v>
      </c>
      <c r="P16" s="38">
        <f>I16*$H$7</f>
        <v>4550</v>
      </c>
      <c r="Q16" s="1">
        <v>12</v>
      </c>
      <c r="R16" s="37">
        <f>O16*P16*Q16</f>
        <v>54600</v>
      </c>
      <c r="S16" s="38">
        <v>0</v>
      </c>
      <c r="T16" s="39">
        <f>SUM(R16:S16)</f>
        <v>54600</v>
      </c>
      <c r="U16" s="601">
        <f>H16</f>
        <v>1</v>
      </c>
      <c r="V16" s="38">
        <f>+I16*$H$7*$H$7</f>
        <v>4732</v>
      </c>
      <c r="W16" s="1">
        <v>12</v>
      </c>
      <c r="X16" s="37">
        <f>U16*V16*W16</f>
        <v>56784</v>
      </c>
      <c r="Y16" s="38">
        <v>0</v>
      </c>
      <c r="Z16" s="39">
        <f>SUM(X16:Y16)</f>
        <v>56784</v>
      </c>
      <c r="AA16" s="601">
        <f>U16</f>
        <v>1</v>
      </c>
      <c r="AB16" s="38">
        <f>+I16*$H$7*$H$7*$H$7</f>
        <v>4921.28</v>
      </c>
      <c r="AC16" s="1">
        <v>12</v>
      </c>
      <c r="AD16" s="37">
        <f>AA16*AB16*AC16</f>
        <v>59055.360000000001</v>
      </c>
      <c r="AE16" s="38">
        <v>0</v>
      </c>
      <c r="AF16" s="39">
        <f>SUM(AD16:AE16)</f>
        <v>59055.360000000001</v>
      </c>
      <c r="AG16" s="601">
        <f>AA16</f>
        <v>1</v>
      </c>
      <c r="AH16" s="38">
        <f>+I16*$H$7*$H$7*$H$7*$H$7</f>
        <v>5118.1311999999998</v>
      </c>
      <c r="AI16" s="1">
        <v>12</v>
      </c>
      <c r="AJ16" s="37">
        <f>AG16*AH16*AI16</f>
        <v>61417.574399999998</v>
      </c>
      <c r="AK16" s="38">
        <v>0</v>
      </c>
      <c r="AL16" s="39">
        <f>SUM(AJ16:AK16)</f>
        <v>61417.574399999998</v>
      </c>
      <c r="AM16" s="270">
        <f>L16+R16+X16+AD16+AJ16</f>
        <v>279981.93439999997</v>
      </c>
      <c r="AN16" s="270">
        <f t="shared" ref="AN16" si="0">M16+S16+Y16+AE16+AK16</f>
        <v>0</v>
      </c>
      <c r="AO16" s="40">
        <f>SUM(AM16:AN16)</f>
        <v>279981.93439999997</v>
      </c>
    </row>
    <row r="17" spans="1:42" x14ac:dyDescent="0.45">
      <c r="A17" s="1" t="s">
        <v>213</v>
      </c>
      <c r="B17" s="710">
        <v>89050</v>
      </c>
      <c r="C17" s="258" t="s">
        <v>65</v>
      </c>
      <c r="D17" s="258" t="s">
        <v>65</v>
      </c>
      <c r="E17" s="1" t="s">
        <v>214</v>
      </c>
      <c r="F17" s="537" t="s">
        <v>514</v>
      </c>
      <c r="G17" s="269" t="s">
        <v>516</v>
      </c>
      <c r="H17" s="601">
        <v>1</v>
      </c>
      <c r="I17" s="37">
        <f>22500/12</f>
        <v>1875</v>
      </c>
      <c r="J17" s="36">
        <v>9</v>
      </c>
      <c r="K17" s="1" t="s">
        <v>59</v>
      </c>
      <c r="L17" s="37">
        <f>J17*I17*H17</f>
        <v>16875</v>
      </c>
      <c r="M17" s="38">
        <v>0</v>
      </c>
      <c r="N17" s="39">
        <f>SUM(L17:M17)</f>
        <v>16875</v>
      </c>
      <c r="O17" s="601">
        <f>H17</f>
        <v>1</v>
      </c>
      <c r="P17" s="38">
        <f>I17*$H$7</f>
        <v>1950</v>
      </c>
      <c r="Q17" s="1">
        <v>12</v>
      </c>
      <c r="R17" s="37">
        <f>O17*P17*Q17</f>
        <v>23400</v>
      </c>
      <c r="S17" s="38">
        <v>0</v>
      </c>
      <c r="T17" s="39">
        <f>SUM(R17:S17)</f>
        <v>23400</v>
      </c>
      <c r="U17" s="601">
        <f>H17</f>
        <v>1</v>
      </c>
      <c r="V17" s="38">
        <f>+I17*$H$7*$H$7</f>
        <v>2028</v>
      </c>
      <c r="W17" s="1">
        <v>12</v>
      </c>
      <c r="X17" s="37">
        <f>U17*V17*W17</f>
        <v>24336</v>
      </c>
      <c r="Y17" s="38">
        <v>0</v>
      </c>
      <c r="Z17" s="39">
        <f>SUM(X17:Y17)</f>
        <v>24336</v>
      </c>
      <c r="AA17" s="601">
        <f>U17</f>
        <v>1</v>
      </c>
      <c r="AB17" s="38">
        <f>+I17*$H$7*$H$7*$H$7</f>
        <v>2109.12</v>
      </c>
      <c r="AC17" s="1">
        <v>12</v>
      </c>
      <c r="AD17" s="37">
        <f>AA17*AB17*AC17</f>
        <v>25309.439999999999</v>
      </c>
      <c r="AE17" s="38">
        <v>0</v>
      </c>
      <c r="AF17" s="39">
        <f>SUM(AD17:AE17)</f>
        <v>25309.439999999999</v>
      </c>
      <c r="AG17" s="601">
        <f>AA17</f>
        <v>1</v>
      </c>
      <c r="AH17" s="38">
        <f>+I17*$H$7*$H$7*$H$7*$H$7</f>
        <v>2193.4848000000002</v>
      </c>
      <c r="AI17" s="1">
        <v>10</v>
      </c>
      <c r="AJ17" s="37">
        <f>AG17*AH17*AI17</f>
        <v>21934.848000000002</v>
      </c>
      <c r="AK17" s="38">
        <v>0</v>
      </c>
      <c r="AL17" s="39">
        <f>SUM(AJ17:AK17)</f>
        <v>21934.848000000002</v>
      </c>
      <c r="AM17" s="270">
        <f>L17+R17+X17+AD17+AJ17</f>
        <v>111855.288</v>
      </c>
      <c r="AN17" s="270">
        <f t="shared" ref="AN17" si="1">M17+S17+Y17+AE17+AK17</f>
        <v>0</v>
      </c>
      <c r="AO17" s="40">
        <f>SUM(AM17:AN17)</f>
        <v>111855.288</v>
      </c>
    </row>
    <row r="18" spans="1:42" x14ac:dyDescent="0.45">
      <c r="A18" s="537"/>
      <c r="B18" s="537"/>
      <c r="C18" s="537"/>
      <c r="D18" s="537"/>
      <c r="E18" s="537"/>
      <c r="F18" s="537"/>
      <c r="G18" s="73" t="s">
        <v>517</v>
      </c>
      <c r="H18" s="601"/>
      <c r="I18" s="38"/>
      <c r="J18" s="36"/>
      <c r="L18" s="37"/>
      <c r="M18" s="38"/>
      <c r="N18" s="39"/>
      <c r="O18" s="601"/>
      <c r="P18" s="38"/>
      <c r="R18" s="37"/>
      <c r="S18" s="38"/>
      <c r="T18" s="39"/>
      <c r="U18" s="601"/>
      <c r="V18" s="38"/>
      <c r="X18" s="37"/>
      <c r="Y18" s="38"/>
      <c r="Z18" s="39"/>
      <c r="AA18" s="601"/>
      <c r="AB18" s="38"/>
      <c r="AD18" s="37"/>
      <c r="AE18" s="38"/>
      <c r="AF18" s="39"/>
      <c r="AG18" s="601"/>
      <c r="AH18" s="38"/>
      <c r="AJ18" s="37"/>
      <c r="AK18" s="38"/>
      <c r="AL18" s="39"/>
      <c r="AM18" s="270"/>
      <c r="AN18" s="270"/>
      <c r="AO18" s="40"/>
    </row>
    <row r="19" spans="1:42" x14ac:dyDescent="0.45">
      <c r="A19" s="1" t="s">
        <v>213</v>
      </c>
      <c r="B19" s="710">
        <v>89050</v>
      </c>
      <c r="C19" s="258" t="s">
        <v>65</v>
      </c>
      <c r="D19" s="258" t="s">
        <v>65</v>
      </c>
      <c r="E19" s="1" t="s">
        <v>214</v>
      </c>
      <c r="F19" s="537" t="s">
        <v>518</v>
      </c>
      <c r="G19" s="269" t="s">
        <v>519</v>
      </c>
      <c r="H19" s="601">
        <v>0.3</v>
      </c>
      <c r="I19" s="35">
        <v>3433</v>
      </c>
      <c r="J19" s="36">
        <v>11</v>
      </c>
      <c r="K19" s="1" t="s">
        <v>59</v>
      </c>
      <c r="L19" s="37">
        <v>0</v>
      </c>
      <c r="M19" s="38">
        <f>+H19*I19*J19</f>
        <v>11328.899999999998</v>
      </c>
      <c r="N19" s="39">
        <f>SUM(L19:M19)</f>
        <v>11328.899999999998</v>
      </c>
      <c r="O19" s="601">
        <f>H19</f>
        <v>0.3</v>
      </c>
      <c r="P19" s="38">
        <f>I19*$H$7</f>
        <v>3570.32</v>
      </c>
      <c r="Q19" s="1">
        <v>12</v>
      </c>
      <c r="R19" s="37">
        <v>0</v>
      </c>
      <c r="S19" s="38">
        <f>+O19*P19*Q19</f>
        <v>12853.152</v>
      </c>
      <c r="T19" s="39">
        <f>SUM(R19:S19)</f>
        <v>12853.152</v>
      </c>
      <c r="U19" s="601">
        <f>H19</f>
        <v>0.3</v>
      </c>
      <c r="V19" s="38">
        <f t="shared" ref="V19:V27" si="2">+I19*$H$7*$H$7</f>
        <v>3713.1328000000003</v>
      </c>
      <c r="W19" s="1">
        <v>12</v>
      </c>
      <c r="X19" s="37">
        <v>0</v>
      </c>
      <c r="Y19" s="38">
        <f>+U19*V19*W19</f>
        <v>13367.27808</v>
      </c>
      <c r="Z19" s="39">
        <f>SUM(X19:Y19)</f>
        <v>13367.27808</v>
      </c>
      <c r="AA19" s="601">
        <f>U19</f>
        <v>0.3</v>
      </c>
      <c r="AB19" s="38">
        <f t="shared" ref="AB19:AB27" si="3">+I19*$H$7*$H$7*$H$7</f>
        <v>3861.6581120000005</v>
      </c>
      <c r="AC19" s="1">
        <v>12</v>
      </c>
      <c r="AD19" s="37">
        <v>0</v>
      </c>
      <c r="AE19" s="38">
        <f>+AA19*AB19*AC19</f>
        <v>13901.9692032</v>
      </c>
      <c r="AF19" s="39">
        <f>SUM(AD19:AE19)</f>
        <v>13901.9692032</v>
      </c>
      <c r="AG19" s="601">
        <f>AA19</f>
        <v>0.3</v>
      </c>
      <c r="AH19" s="38">
        <f t="shared" ref="AH19:AH27" si="4">+I19*$H$7*$H$7*$H$7*$H$7</f>
        <v>4016.1244364800009</v>
      </c>
      <c r="AI19" s="1">
        <v>11</v>
      </c>
      <c r="AJ19" s="37">
        <v>0</v>
      </c>
      <c r="AK19" s="38">
        <f>+AG19*AH19*AI19</f>
        <v>13253.210640384004</v>
      </c>
      <c r="AL19" s="39">
        <f>SUM(AJ19:AK19)</f>
        <v>13253.210640384004</v>
      </c>
      <c r="AM19" s="270">
        <f>L19+R19+X19+AD19+AJ19</f>
        <v>0</v>
      </c>
      <c r="AN19" s="270">
        <f t="shared" ref="AN19" si="5">M19+S19+Y19+AE19+AK19</f>
        <v>64704.509923584003</v>
      </c>
      <c r="AO19" s="40">
        <f>SUM(AM19:AN19)</f>
        <v>64704.509923584003</v>
      </c>
    </row>
    <row r="20" spans="1:42" s="10" customFormat="1" x14ac:dyDescent="0.45">
      <c r="A20" s="537"/>
      <c r="B20" s="537"/>
      <c r="C20" s="537"/>
      <c r="D20" s="537"/>
      <c r="E20" s="537"/>
      <c r="F20" s="537"/>
      <c r="G20" s="41" t="s">
        <v>62</v>
      </c>
      <c r="H20" s="128"/>
      <c r="I20" s="35"/>
      <c r="J20" s="129"/>
      <c r="K20" s="129"/>
      <c r="L20" s="42">
        <f>SUM(L16:L19)</f>
        <v>65000</v>
      </c>
      <c r="M20" s="43">
        <f>SUM(M16:M19)</f>
        <v>11328.899999999998</v>
      </c>
      <c r="N20" s="44">
        <f>SUM(N16:N19)</f>
        <v>76328.899999999994</v>
      </c>
      <c r="O20" s="128"/>
      <c r="P20" s="129"/>
      <c r="Q20" s="129"/>
      <c r="R20" s="42">
        <f>SUM(R16:R19)</f>
        <v>78000</v>
      </c>
      <c r="S20" s="43">
        <f>SUM(S16:S19)</f>
        <v>12853.152</v>
      </c>
      <c r="T20" s="44">
        <f>SUM(T16:T19)</f>
        <v>90853.152000000002</v>
      </c>
      <c r="U20" s="128"/>
      <c r="V20" s="38"/>
      <c r="W20" s="129"/>
      <c r="X20" s="42">
        <f>SUM(X16:X19)</f>
        <v>81120</v>
      </c>
      <c r="Y20" s="43">
        <f>SUM(Y16:Y19)</f>
        <v>13367.27808</v>
      </c>
      <c r="Z20" s="44">
        <f>SUM(Z16:Z19)</f>
        <v>94487.278080000004</v>
      </c>
      <c r="AA20" s="128"/>
      <c r="AB20" s="38">
        <f t="shared" si="3"/>
        <v>0</v>
      </c>
      <c r="AC20" s="129"/>
      <c r="AD20" s="42">
        <f>SUM(AD16:AD19)</f>
        <v>84364.800000000003</v>
      </c>
      <c r="AE20" s="43">
        <f>SUM(AE16:AE19)</f>
        <v>13901.9692032</v>
      </c>
      <c r="AF20" s="44">
        <f>SUM(AF16:AF19)</f>
        <v>98266.769203200005</v>
      </c>
      <c r="AG20" s="128"/>
      <c r="AH20" s="38"/>
      <c r="AI20" s="129"/>
      <c r="AJ20" s="42">
        <f t="shared" ref="AJ20:AO20" si="6">SUM(AJ16:AJ19)</f>
        <v>83352.422399999996</v>
      </c>
      <c r="AK20" s="43">
        <f t="shared" si="6"/>
        <v>13253.210640384004</v>
      </c>
      <c r="AL20" s="44">
        <f t="shared" si="6"/>
        <v>96605.633040383997</v>
      </c>
      <c r="AM20" s="248">
        <f t="shared" si="6"/>
        <v>391837.22239999997</v>
      </c>
      <c r="AN20" s="248">
        <f t="shared" si="6"/>
        <v>64704.509923584003</v>
      </c>
      <c r="AO20" s="45">
        <f t="shared" si="6"/>
        <v>456541.73232358397</v>
      </c>
    </row>
    <row r="21" spans="1:42" x14ac:dyDescent="0.45">
      <c r="A21" s="537"/>
      <c r="B21" s="537"/>
      <c r="C21" s="537"/>
      <c r="D21" s="537"/>
      <c r="E21" s="537"/>
      <c r="F21" s="537"/>
      <c r="G21" s="46"/>
      <c r="H21" s="130"/>
      <c r="I21" s="35"/>
      <c r="J21" s="131"/>
      <c r="K21" s="131"/>
      <c r="L21" s="37"/>
      <c r="M21" s="38"/>
      <c r="N21" s="39"/>
      <c r="O21" s="130"/>
      <c r="P21" s="131"/>
      <c r="Q21" s="131"/>
      <c r="R21" s="37"/>
      <c r="S21" s="38"/>
      <c r="T21" s="39"/>
      <c r="U21" s="130"/>
      <c r="V21" s="38"/>
      <c r="W21" s="131"/>
      <c r="X21" s="37"/>
      <c r="Y21" s="38"/>
      <c r="Z21" s="39"/>
      <c r="AA21" s="130"/>
      <c r="AB21" s="38"/>
      <c r="AC21" s="131"/>
      <c r="AD21" s="37"/>
      <c r="AE21" s="38"/>
      <c r="AF21" s="39"/>
      <c r="AG21" s="130"/>
      <c r="AH21" s="38"/>
      <c r="AI21" s="131"/>
      <c r="AJ21" s="37"/>
      <c r="AK21" s="38"/>
      <c r="AL21" s="39"/>
      <c r="AM21" s="270"/>
      <c r="AN21" s="270"/>
      <c r="AO21" s="40"/>
    </row>
    <row r="22" spans="1:42" x14ac:dyDescent="0.45">
      <c r="A22" s="537"/>
      <c r="B22" s="537"/>
      <c r="C22" s="537"/>
      <c r="D22" s="537"/>
      <c r="E22" s="537"/>
      <c r="F22" s="537"/>
      <c r="G22" s="47" t="s">
        <v>63</v>
      </c>
      <c r="H22" s="124" t="s">
        <v>54</v>
      </c>
      <c r="I22" s="35"/>
      <c r="J22" s="132"/>
      <c r="K22" s="132"/>
      <c r="L22" s="37"/>
      <c r="M22" s="38"/>
      <c r="N22" s="39"/>
      <c r="O22" s="124"/>
      <c r="P22" s="132"/>
      <c r="Q22" s="132"/>
      <c r="R22" s="37"/>
      <c r="S22" s="38"/>
      <c r="T22" s="39"/>
      <c r="U22" s="124"/>
      <c r="V22" s="38"/>
      <c r="W22" s="132"/>
      <c r="X22" s="37"/>
      <c r="Y22" s="38"/>
      <c r="Z22" s="39"/>
      <c r="AA22" s="124"/>
      <c r="AB22" s="38">
        <f t="shared" si="3"/>
        <v>0</v>
      </c>
      <c r="AC22" s="132"/>
      <c r="AD22" s="37"/>
      <c r="AE22" s="38"/>
      <c r="AF22" s="39"/>
      <c r="AG22" s="124"/>
      <c r="AH22" s="38"/>
      <c r="AI22" s="132"/>
      <c r="AJ22" s="37"/>
      <c r="AK22" s="38"/>
      <c r="AL22" s="39"/>
      <c r="AM22" s="270"/>
      <c r="AN22" s="270"/>
      <c r="AO22" s="40"/>
    </row>
    <row r="23" spans="1:42" x14ac:dyDescent="0.45">
      <c r="A23" s="1" t="s">
        <v>213</v>
      </c>
      <c r="B23" s="710">
        <v>89050</v>
      </c>
      <c r="C23" s="258" t="s">
        <v>65</v>
      </c>
      <c r="D23" s="258" t="s">
        <v>65</v>
      </c>
      <c r="E23" s="1" t="s">
        <v>214</v>
      </c>
      <c r="F23" s="537" t="s">
        <v>514</v>
      </c>
      <c r="G23" s="34" t="s">
        <v>520</v>
      </c>
      <c r="H23" s="602">
        <v>1</v>
      </c>
      <c r="I23" s="35">
        <f>31200/12</f>
        <v>2600</v>
      </c>
      <c r="J23" s="1">
        <v>9</v>
      </c>
      <c r="K23" s="1" t="s">
        <v>59</v>
      </c>
      <c r="L23" s="37">
        <f>J23*I23*H23</f>
        <v>23400</v>
      </c>
      <c r="M23" s="38">
        <v>0</v>
      </c>
      <c r="N23" s="39">
        <f>SUM(L23:M23)</f>
        <v>23400</v>
      </c>
      <c r="O23" s="602">
        <f>H23</f>
        <v>1</v>
      </c>
      <c r="P23" s="38">
        <f>I23*$H$7</f>
        <v>2704</v>
      </c>
      <c r="Q23" s="1">
        <v>12</v>
      </c>
      <c r="R23" s="37">
        <f>O23*P23*Q23</f>
        <v>32448</v>
      </c>
      <c r="S23" s="38">
        <v>0</v>
      </c>
      <c r="T23" s="39">
        <f>SUM(R23:S23)</f>
        <v>32448</v>
      </c>
      <c r="U23" s="602">
        <f>O23</f>
        <v>1</v>
      </c>
      <c r="V23" s="38">
        <f>+I23*$H$7*$H$7</f>
        <v>2812.1600000000003</v>
      </c>
      <c r="W23" s="1">
        <v>12</v>
      </c>
      <c r="X23" s="37">
        <f>U23*V23*W23</f>
        <v>33745.920000000006</v>
      </c>
      <c r="Y23" s="38">
        <v>0</v>
      </c>
      <c r="Z23" s="39">
        <f>SUM(X23:Y23)</f>
        <v>33745.920000000006</v>
      </c>
      <c r="AA23" s="602">
        <f>U23</f>
        <v>1</v>
      </c>
      <c r="AB23" s="38">
        <f>+I23*$H$7*$H$7*$H$7</f>
        <v>2924.6464000000005</v>
      </c>
      <c r="AC23" s="1">
        <v>12</v>
      </c>
      <c r="AD23" s="37">
        <f>AA23*AB23*AC23</f>
        <v>35095.756800000003</v>
      </c>
      <c r="AE23" s="38">
        <v>0</v>
      </c>
      <c r="AF23" s="39">
        <f>SUM(AD23:AE23)</f>
        <v>35095.756800000003</v>
      </c>
      <c r="AG23" s="602">
        <f>AA23</f>
        <v>1</v>
      </c>
      <c r="AH23" s="38">
        <f>+I23*$H$7*$H$7*$H$7*$H$7</f>
        <v>3041.6322560000008</v>
      </c>
      <c r="AI23" s="1">
        <v>10</v>
      </c>
      <c r="AJ23" s="37">
        <f>AG23*AH23*AI23</f>
        <v>30416.322560000008</v>
      </c>
      <c r="AK23" s="38">
        <v>0</v>
      </c>
      <c r="AL23" s="39">
        <f t="shared" ref="AL23" si="7">SUM(AJ23:AK23)</f>
        <v>30416.322560000008</v>
      </c>
      <c r="AM23" s="270">
        <f t="shared" ref="AM23:AN24" si="8">L23+R23+X23+AD23+AJ23</f>
        <v>155105.99936000002</v>
      </c>
      <c r="AN23" s="270">
        <f t="shared" si="8"/>
        <v>0</v>
      </c>
      <c r="AO23" s="40">
        <f>SUM(AM23:AN23)</f>
        <v>155105.99936000002</v>
      </c>
    </row>
    <row r="24" spans="1:42" x14ac:dyDescent="0.45">
      <c r="A24" s="1" t="s">
        <v>213</v>
      </c>
      <c r="B24" s="710">
        <v>89050</v>
      </c>
      <c r="C24" s="258" t="s">
        <v>65</v>
      </c>
      <c r="D24" s="258" t="s">
        <v>65</v>
      </c>
      <c r="E24" s="1" t="s">
        <v>214</v>
      </c>
      <c r="F24" s="537" t="s">
        <v>514</v>
      </c>
      <c r="G24" s="34" t="s">
        <v>521</v>
      </c>
      <c r="H24" s="602">
        <v>1</v>
      </c>
      <c r="I24" s="35">
        <f>(15000/12)*3</f>
        <v>3750</v>
      </c>
      <c r="J24" s="1">
        <v>9</v>
      </c>
      <c r="K24" s="1" t="s">
        <v>59</v>
      </c>
      <c r="L24" s="37">
        <f>J24*I24*H24</f>
        <v>33750</v>
      </c>
      <c r="M24" s="38">
        <v>0</v>
      </c>
      <c r="N24" s="39">
        <f t="shared" ref="N24" si="9">SUM(L24:M24)</f>
        <v>33750</v>
      </c>
      <c r="O24" s="601">
        <v>1</v>
      </c>
      <c r="P24" s="38">
        <f>I24*$H$7</f>
        <v>3900</v>
      </c>
      <c r="Q24" s="1">
        <v>12</v>
      </c>
      <c r="R24" s="37">
        <f>P24*Q24*O24</f>
        <v>46800</v>
      </c>
      <c r="S24" s="38">
        <v>0</v>
      </c>
      <c r="T24" s="39">
        <f t="shared" ref="T24" si="10">SUM(R24:S24)</f>
        <v>46800</v>
      </c>
      <c r="U24" s="601">
        <v>1</v>
      </c>
      <c r="V24" s="38">
        <f>+I24*$H$7*$H$7</f>
        <v>4056</v>
      </c>
      <c r="W24" s="1">
        <v>12</v>
      </c>
      <c r="X24" s="37">
        <f>W24*V24*U24</f>
        <v>48672</v>
      </c>
      <c r="Y24" s="38">
        <v>0</v>
      </c>
      <c r="Z24" s="39">
        <f t="shared" ref="Z24" si="11">SUM(X24:Y24)</f>
        <v>48672</v>
      </c>
      <c r="AA24" s="601">
        <v>1</v>
      </c>
      <c r="AB24" s="38">
        <f>+I24*$H$7*$H$7*$H$7</f>
        <v>4218.24</v>
      </c>
      <c r="AC24" s="1">
        <v>12</v>
      </c>
      <c r="AD24" s="37">
        <f>AC24*AB24*AA24</f>
        <v>50618.879999999997</v>
      </c>
      <c r="AE24" s="38">
        <v>0</v>
      </c>
      <c r="AF24" s="39">
        <f t="shared" ref="AF24" si="12">SUM(AD24:AE24)</f>
        <v>50618.879999999997</v>
      </c>
      <c r="AG24" s="601">
        <v>1</v>
      </c>
      <c r="AH24" s="38">
        <f>+I24*$H$7*$H$7*$H$7*$H$7</f>
        <v>4386.9696000000004</v>
      </c>
      <c r="AI24" s="1">
        <v>9</v>
      </c>
      <c r="AJ24" s="37">
        <f>AI24*AH24*AG24</f>
        <v>39482.7264</v>
      </c>
      <c r="AK24" s="38">
        <v>0</v>
      </c>
      <c r="AL24" s="39">
        <f t="shared" ref="AL24" si="13">SUM(AJ24:AK24)</f>
        <v>39482.7264</v>
      </c>
      <c r="AM24" s="270">
        <f t="shared" si="8"/>
        <v>219323.60639999999</v>
      </c>
      <c r="AN24" s="270">
        <f t="shared" si="8"/>
        <v>0</v>
      </c>
      <c r="AO24" s="40">
        <f>SUM(AM24:AN24)</f>
        <v>219323.60639999999</v>
      </c>
    </row>
    <row r="25" spans="1:42" x14ac:dyDescent="0.45">
      <c r="A25" s="1" t="s">
        <v>213</v>
      </c>
      <c r="B25" s="710">
        <v>89050</v>
      </c>
      <c r="C25" s="258" t="s">
        <v>65</v>
      </c>
      <c r="D25" s="258" t="s">
        <v>65</v>
      </c>
      <c r="E25" s="1" t="s">
        <v>214</v>
      </c>
      <c r="F25" s="537" t="s">
        <v>518</v>
      </c>
      <c r="G25" s="34" t="s">
        <v>522</v>
      </c>
      <c r="H25" s="602">
        <v>1</v>
      </c>
      <c r="I25" s="35">
        <v>2000</v>
      </c>
      <c r="J25" s="1">
        <v>4</v>
      </c>
      <c r="K25" s="1" t="s">
        <v>59</v>
      </c>
      <c r="L25" s="37">
        <v>0</v>
      </c>
      <c r="M25" s="38">
        <f>+H25*I25*J25</f>
        <v>8000</v>
      </c>
      <c r="N25" s="39">
        <f t="shared" ref="N25:N27" si="14">SUM(L25:M25)</f>
        <v>8000</v>
      </c>
      <c r="O25" s="601">
        <v>1</v>
      </c>
      <c r="P25" s="38">
        <f t="shared" ref="P25:P27" si="15">I25*$H$7</f>
        <v>2080</v>
      </c>
      <c r="Q25" s="1">
        <v>4</v>
      </c>
      <c r="R25" s="37">
        <v>0</v>
      </c>
      <c r="S25" s="38">
        <f>+O25*P25*Q25</f>
        <v>8320</v>
      </c>
      <c r="T25" s="39">
        <f t="shared" ref="T25:T27" si="16">SUM(R25:S25)</f>
        <v>8320</v>
      </c>
      <c r="U25" s="601">
        <v>1</v>
      </c>
      <c r="V25" s="38">
        <f t="shared" si="2"/>
        <v>2163.2000000000003</v>
      </c>
      <c r="W25" s="1">
        <v>4</v>
      </c>
      <c r="X25" s="37">
        <v>0</v>
      </c>
      <c r="Y25" s="38">
        <f>+U25*V25*W25</f>
        <v>8652.8000000000011</v>
      </c>
      <c r="Z25" s="39">
        <f t="shared" ref="Z25:Z27" si="17">SUM(X25:Y25)</f>
        <v>8652.8000000000011</v>
      </c>
      <c r="AA25" s="601">
        <v>1</v>
      </c>
      <c r="AB25" s="38">
        <f t="shared" si="3"/>
        <v>2249.7280000000005</v>
      </c>
      <c r="AC25" s="1">
        <v>4</v>
      </c>
      <c r="AD25" s="37">
        <v>0</v>
      </c>
      <c r="AE25" s="38">
        <f>+AA25*AB25*AC25</f>
        <v>8998.9120000000021</v>
      </c>
      <c r="AF25" s="39">
        <f t="shared" ref="AF25:AF27" si="18">SUM(AD25:AE25)</f>
        <v>8998.9120000000021</v>
      </c>
      <c r="AG25" s="601">
        <v>1</v>
      </c>
      <c r="AH25" s="38">
        <f t="shared" si="4"/>
        <v>2339.7171200000007</v>
      </c>
      <c r="AI25" s="1">
        <v>4</v>
      </c>
      <c r="AJ25" s="37">
        <v>0</v>
      </c>
      <c r="AK25" s="38">
        <f>+AG25*AH25*AI25</f>
        <v>9358.8684800000028</v>
      </c>
      <c r="AL25" s="39">
        <f t="shared" ref="AL25:AL27" si="19">SUM(AJ25:AK25)</f>
        <v>9358.8684800000028</v>
      </c>
      <c r="AM25" s="270">
        <f t="shared" ref="AM25:AN27" si="20">L25+R25+X25+AD25+AJ25</f>
        <v>0</v>
      </c>
      <c r="AN25" s="270">
        <f t="shared" si="20"/>
        <v>43330.580480000011</v>
      </c>
      <c r="AO25" s="40">
        <f t="shared" ref="AO25:AO27" si="21">SUM(AM25:AN25)</f>
        <v>43330.580480000011</v>
      </c>
    </row>
    <row r="26" spans="1:42" x14ac:dyDescent="0.45">
      <c r="A26" s="1" t="s">
        <v>213</v>
      </c>
      <c r="B26" s="710">
        <v>89050</v>
      </c>
      <c r="C26" s="258" t="s">
        <v>65</v>
      </c>
      <c r="D26" s="258" t="s">
        <v>65</v>
      </c>
      <c r="E26" s="1" t="s">
        <v>214</v>
      </c>
      <c r="F26" s="537" t="s">
        <v>518</v>
      </c>
      <c r="G26" s="34" t="s">
        <v>523</v>
      </c>
      <c r="H26" s="602">
        <v>1</v>
      </c>
      <c r="I26" s="35">
        <v>1030</v>
      </c>
      <c r="J26" s="1">
        <v>3</v>
      </c>
      <c r="K26" s="1" t="s">
        <v>59</v>
      </c>
      <c r="L26" s="37">
        <v>0</v>
      </c>
      <c r="M26" s="38">
        <f t="shared" ref="M26:M27" si="22">+H26*I26*J26</f>
        <v>3090</v>
      </c>
      <c r="N26" s="39">
        <f t="shared" si="14"/>
        <v>3090</v>
      </c>
      <c r="O26" s="601">
        <v>1</v>
      </c>
      <c r="P26" s="38">
        <f t="shared" si="15"/>
        <v>1071.2</v>
      </c>
      <c r="Q26" s="1">
        <v>3</v>
      </c>
      <c r="R26" s="37">
        <v>0</v>
      </c>
      <c r="S26" s="38">
        <f t="shared" ref="S26:S27" si="23">+O26*P26*Q26</f>
        <v>3213.6000000000004</v>
      </c>
      <c r="T26" s="39">
        <f t="shared" si="16"/>
        <v>3213.6000000000004</v>
      </c>
      <c r="U26" s="601">
        <v>1</v>
      </c>
      <c r="V26" s="38">
        <f t="shared" si="2"/>
        <v>1114.048</v>
      </c>
      <c r="W26" s="1">
        <v>3</v>
      </c>
      <c r="X26" s="37">
        <v>0</v>
      </c>
      <c r="Y26" s="38">
        <f t="shared" ref="Y26:Y27" si="24">+U26*V26*W26</f>
        <v>3342.1440000000002</v>
      </c>
      <c r="Z26" s="39">
        <f t="shared" si="17"/>
        <v>3342.1440000000002</v>
      </c>
      <c r="AA26" s="601">
        <v>1</v>
      </c>
      <c r="AB26" s="38">
        <f t="shared" si="3"/>
        <v>1158.6099200000001</v>
      </c>
      <c r="AC26" s="1">
        <v>3</v>
      </c>
      <c r="AD26" s="37">
        <v>0</v>
      </c>
      <c r="AE26" s="38">
        <f t="shared" ref="AE26:AE27" si="25">+AA26*AB26*AC26</f>
        <v>3475.8297600000005</v>
      </c>
      <c r="AF26" s="39">
        <f t="shared" si="18"/>
        <v>3475.8297600000005</v>
      </c>
      <c r="AG26" s="601">
        <v>1</v>
      </c>
      <c r="AH26" s="38">
        <f t="shared" si="4"/>
        <v>1204.9543168000002</v>
      </c>
      <c r="AI26" s="1">
        <v>3</v>
      </c>
      <c r="AJ26" s="37">
        <v>0</v>
      </c>
      <c r="AK26" s="38">
        <f t="shared" ref="AK26:AK27" si="26">+AG26*AH26*AI26</f>
        <v>3614.862950400001</v>
      </c>
      <c r="AL26" s="39">
        <f t="shared" si="19"/>
        <v>3614.862950400001</v>
      </c>
      <c r="AM26" s="270">
        <f t="shared" si="20"/>
        <v>0</v>
      </c>
      <c r="AN26" s="270">
        <f t="shared" si="20"/>
        <v>16736.436710400001</v>
      </c>
      <c r="AO26" s="40">
        <f t="shared" si="21"/>
        <v>16736.436710400001</v>
      </c>
    </row>
    <row r="27" spans="1:42" x14ac:dyDescent="0.45">
      <c r="A27" s="1" t="s">
        <v>213</v>
      </c>
      <c r="B27" s="710">
        <v>89050</v>
      </c>
      <c r="C27" s="258" t="s">
        <v>65</v>
      </c>
      <c r="D27" s="258" t="s">
        <v>65</v>
      </c>
      <c r="E27" s="1" t="s">
        <v>214</v>
      </c>
      <c r="F27" s="537" t="s">
        <v>518</v>
      </c>
      <c r="G27" s="34" t="s">
        <v>524</v>
      </c>
      <c r="H27" s="602">
        <v>1</v>
      </c>
      <c r="I27" s="35">
        <v>1144</v>
      </c>
      <c r="J27" s="1">
        <v>2</v>
      </c>
      <c r="K27" s="1" t="s">
        <v>59</v>
      </c>
      <c r="L27" s="37">
        <v>0</v>
      </c>
      <c r="M27" s="38">
        <f t="shared" si="22"/>
        <v>2288</v>
      </c>
      <c r="N27" s="39">
        <f t="shared" si="14"/>
        <v>2288</v>
      </c>
      <c r="O27" s="601">
        <v>1</v>
      </c>
      <c r="P27" s="38">
        <f t="shared" si="15"/>
        <v>1189.76</v>
      </c>
      <c r="Q27" s="1">
        <v>2</v>
      </c>
      <c r="R27" s="37">
        <v>0</v>
      </c>
      <c r="S27" s="38">
        <f t="shared" si="23"/>
        <v>2379.52</v>
      </c>
      <c r="T27" s="39">
        <f t="shared" si="16"/>
        <v>2379.52</v>
      </c>
      <c r="U27" s="601">
        <v>1</v>
      </c>
      <c r="V27" s="38">
        <f t="shared" si="2"/>
        <v>1237.3504</v>
      </c>
      <c r="W27" s="1">
        <v>2</v>
      </c>
      <c r="X27" s="37">
        <v>0</v>
      </c>
      <c r="Y27" s="38">
        <f t="shared" si="24"/>
        <v>2474.7008000000001</v>
      </c>
      <c r="Z27" s="39">
        <f t="shared" si="17"/>
        <v>2474.7008000000001</v>
      </c>
      <c r="AA27" s="601">
        <v>1</v>
      </c>
      <c r="AB27" s="38">
        <f t="shared" si="3"/>
        <v>1286.8444160000001</v>
      </c>
      <c r="AC27" s="1">
        <v>2</v>
      </c>
      <c r="AD27" s="37">
        <v>0</v>
      </c>
      <c r="AE27" s="38">
        <f t="shared" si="25"/>
        <v>2573.6888320000003</v>
      </c>
      <c r="AF27" s="39">
        <f t="shared" si="18"/>
        <v>2573.6888320000003</v>
      </c>
      <c r="AG27" s="601">
        <v>1</v>
      </c>
      <c r="AH27" s="38">
        <f t="shared" si="4"/>
        <v>1338.3181926400002</v>
      </c>
      <c r="AI27" s="1">
        <v>2</v>
      </c>
      <c r="AJ27" s="37">
        <v>0</v>
      </c>
      <c r="AK27" s="38">
        <f t="shared" si="26"/>
        <v>2676.6363852800005</v>
      </c>
      <c r="AL27" s="39">
        <f t="shared" si="19"/>
        <v>2676.6363852800005</v>
      </c>
      <c r="AM27" s="270">
        <f t="shared" si="20"/>
        <v>0</v>
      </c>
      <c r="AN27" s="270">
        <f t="shared" si="20"/>
        <v>12392.546017280001</v>
      </c>
      <c r="AO27" s="40">
        <f t="shared" si="21"/>
        <v>12392.546017280001</v>
      </c>
    </row>
    <row r="28" spans="1:42" x14ac:dyDescent="0.45">
      <c r="A28" s="1" t="s">
        <v>213</v>
      </c>
      <c r="B28" s="710">
        <v>89050</v>
      </c>
      <c r="C28" s="258" t="s">
        <v>65</v>
      </c>
      <c r="D28" s="258" t="s">
        <v>65</v>
      </c>
      <c r="E28" s="1" t="s">
        <v>214</v>
      </c>
      <c r="F28" s="537" t="s">
        <v>514</v>
      </c>
      <c r="G28" s="34" t="s">
        <v>525</v>
      </c>
      <c r="H28" s="601">
        <v>1</v>
      </c>
      <c r="I28" s="35">
        <f>15000/12</f>
        <v>1250</v>
      </c>
      <c r="J28" s="1">
        <v>6</v>
      </c>
      <c r="K28" s="1" t="s">
        <v>59</v>
      </c>
      <c r="L28" s="37">
        <f t="shared" ref="L28" si="27">J28*I28*H28</f>
        <v>7500</v>
      </c>
      <c r="M28" s="38">
        <v>0</v>
      </c>
      <c r="N28" s="39">
        <f t="shared" ref="N28" si="28">SUM(L28:M28)</f>
        <v>7500</v>
      </c>
      <c r="O28" s="601">
        <v>1</v>
      </c>
      <c r="P28" s="38">
        <f t="shared" ref="P28" si="29">I28*$H$7</f>
        <v>1300</v>
      </c>
      <c r="Q28" s="1">
        <v>0</v>
      </c>
      <c r="R28" s="37">
        <f t="shared" ref="R28" si="30">P28*Q28*O28</f>
        <v>0</v>
      </c>
      <c r="S28" s="38">
        <v>0</v>
      </c>
      <c r="T28" s="39">
        <f t="shared" ref="T28" si="31">SUM(R28:S28)</f>
        <v>0</v>
      </c>
      <c r="U28" s="601">
        <v>1</v>
      </c>
      <c r="V28" s="38">
        <f t="shared" ref="V28" si="32">+I28*$H$7*$H$7</f>
        <v>1352</v>
      </c>
      <c r="W28" s="1">
        <v>0</v>
      </c>
      <c r="X28" s="37">
        <f t="shared" ref="X28" si="33">W28*V28*U28</f>
        <v>0</v>
      </c>
      <c r="Y28" s="38">
        <v>0</v>
      </c>
      <c r="Z28" s="39">
        <f t="shared" ref="Z28" si="34">SUM(X28:Y28)</f>
        <v>0</v>
      </c>
      <c r="AA28" s="601">
        <v>1</v>
      </c>
      <c r="AB28" s="38">
        <f>+I28*$H$7*$H$7*$H$7</f>
        <v>1406.0800000000002</v>
      </c>
      <c r="AC28" s="1">
        <v>0</v>
      </c>
      <c r="AD28" s="37">
        <f>AC28*AB28*AA28</f>
        <v>0</v>
      </c>
      <c r="AE28" s="38">
        <v>0</v>
      </c>
      <c r="AF28" s="39">
        <f t="shared" ref="AF28" si="35">SUM(AD28:AE28)</f>
        <v>0</v>
      </c>
      <c r="AG28" s="601">
        <v>1</v>
      </c>
      <c r="AH28" s="38">
        <f t="shared" ref="AH28" si="36">+I28*$H$7*$H$7*$H$7*$H$7</f>
        <v>1462.3232000000003</v>
      </c>
      <c r="AI28" s="1">
        <v>0</v>
      </c>
      <c r="AJ28" s="37">
        <f>AI28*AH28*AG28</f>
        <v>0</v>
      </c>
      <c r="AK28" s="38">
        <v>0</v>
      </c>
      <c r="AL28" s="39">
        <f t="shared" ref="AL28:AL30" si="37">SUM(AJ28:AK28)</f>
        <v>0</v>
      </c>
      <c r="AM28" s="270">
        <f t="shared" ref="AM28" si="38">L28+R28+X28+AD28+AJ28</f>
        <v>7500</v>
      </c>
      <c r="AN28" s="270">
        <f t="shared" ref="AN28" si="39">M28+S28+Y28+AE28+AK28</f>
        <v>0</v>
      </c>
      <c r="AO28" s="40">
        <f t="shared" ref="AO28" si="40">SUM(AM28:AN28)</f>
        <v>7500</v>
      </c>
    </row>
    <row r="29" spans="1:42" x14ac:dyDescent="0.45">
      <c r="A29" s="1" t="s">
        <v>213</v>
      </c>
      <c r="B29" s="710">
        <v>89050</v>
      </c>
      <c r="C29" s="258" t="s">
        <v>65</v>
      </c>
      <c r="D29" s="258" t="s">
        <v>65</v>
      </c>
      <c r="E29" s="1" t="s">
        <v>214</v>
      </c>
      <c r="F29" s="537" t="s">
        <v>514</v>
      </c>
      <c r="G29" s="269" t="s">
        <v>526</v>
      </c>
      <c r="H29" s="602">
        <v>1</v>
      </c>
      <c r="I29" s="37">
        <f>22500/12</f>
        <v>1875</v>
      </c>
      <c r="J29" s="1">
        <v>9</v>
      </c>
      <c r="K29" s="1" t="s">
        <v>59</v>
      </c>
      <c r="L29" s="37">
        <f>J29*I29*H29</f>
        <v>16875</v>
      </c>
      <c r="M29" s="38">
        <v>0</v>
      </c>
      <c r="N29" s="39">
        <f>SUM(L29:M29)</f>
        <v>16875</v>
      </c>
      <c r="O29" s="602">
        <f>H29</f>
        <v>1</v>
      </c>
      <c r="P29" s="38">
        <f>I29*$H$7</f>
        <v>1950</v>
      </c>
      <c r="Q29" s="1">
        <v>12</v>
      </c>
      <c r="R29" s="37">
        <f>O29*P29*Q29</f>
        <v>23400</v>
      </c>
      <c r="S29" s="38">
        <v>0</v>
      </c>
      <c r="T29" s="39">
        <f>SUM(R29:S29)</f>
        <v>23400</v>
      </c>
      <c r="U29" s="602">
        <f>O29</f>
        <v>1</v>
      </c>
      <c r="V29" s="38">
        <f>+I29*$H$7*$H$7</f>
        <v>2028</v>
      </c>
      <c r="W29" s="1">
        <v>12</v>
      </c>
      <c r="X29" s="37">
        <f>U29*V29*W29</f>
        <v>24336</v>
      </c>
      <c r="Y29" s="38">
        <v>0</v>
      </c>
      <c r="Z29" s="39">
        <f>SUM(X29:Y29)</f>
        <v>24336</v>
      </c>
      <c r="AA29" s="602">
        <f>U29</f>
        <v>1</v>
      </c>
      <c r="AB29" s="38">
        <f>+I29*$H$7*$H$7*$H$7</f>
        <v>2109.12</v>
      </c>
      <c r="AC29" s="1">
        <v>12</v>
      </c>
      <c r="AD29" s="37">
        <f>AA29*AB29*AC29</f>
        <v>25309.439999999999</v>
      </c>
      <c r="AE29" s="38">
        <v>0</v>
      </c>
      <c r="AF29" s="39">
        <f>SUM(AD29:AE29)</f>
        <v>25309.439999999999</v>
      </c>
      <c r="AG29" s="602">
        <f>AA29</f>
        <v>1</v>
      </c>
      <c r="AH29" s="38">
        <f>+I29*$H$7*$H$7*$H$7*$H$7</f>
        <v>2193.4848000000002</v>
      </c>
      <c r="AI29" s="1">
        <v>10</v>
      </c>
      <c r="AJ29" s="37">
        <f>AG29*AH29*AI29</f>
        <v>21934.848000000002</v>
      </c>
      <c r="AK29" s="38">
        <v>0</v>
      </c>
      <c r="AL29" s="39">
        <f t="shared" si="37"/>
        <v>21934.848000000002</v>
      </c>
      <c r="AM29" s="270">
        <f>L29+R29+X29+AD29+AJ29</f>
        <v>111855.288</v>
      </c>
      <c r="AN29" s="270">
        <f>M29+S29+Y29+AE29+AK29</f>
        <v>0</v>
      </c>
      <c r="AO29" s="40">
        <f>SUM(AM29:AN29)</f>
        <v>111855.288</v>
      </c>
    </row>
    <row r="30" spans="1:42" x14ac:dyDescent="0.45">
      <c r="A30" s="1" t="s">
        <v>213</v>
      </c>
      <c r="B30" s="710">
        <v>89050</v>
      </c>
      <c r="C30" s="258" t="s">
        <v>65</v>
      </c>
      <c r="D30" s="258" t="s">
        <v>65</v>
      </c>
      <c r="E30" s="1" t="s">
        <v>214</v>
      </c>
      <c r="F30" s="537" t="s">
        <v>518</v>
      </c>
      <c r="G30" s="34" t="s">
        <v>527</v>
      </c>
      <c r="H30" s="602">
        <v>1</v>
      </c>
      <c r="I30" s="35">
        <v>1000</v>
      </c>
      <c r="J30" s="1">
        <v>5</v>
      </c>
      <c r="K30" s="1" t="s">
        <v>59</v>
      </c>
      <c r="L30" s="37">
        <v>0</v>
      </c>
      <c r="M30" s="38">
        <f>+I30*J30</f>
        <v>5000</v>
      </c>
      <c r="N30" s="39">
        <f>SUM(L30:M30)</f>
        <v>5000</v>
      </c>
      <c r="O30" s="602">
        <v>1</v>
      </c>
      <c r="P30" s="38">
        <f>I30*$H$7</f>
        <v>1040</v>
      </c>
      <c r="Q30" s="1">
        <v>6</v>
      </c>
      <c r="R30" s="37">
        <v>0</v>
      </c>
      <c r="S30" s="38">
        <f>+P30*Q30</f>
        <v>6240</v>
      </c>
      <c r="T30" s="39">
        <f>SUM(R30:S30)</f>
        <v>6240</v>
      </c>
      <c r="U30" s="602">
        <v>1</v>
      </c>
      <c r="V30" s="38">
        <f>+I30*$H$7*$H$7</f>
        <v>1081.6000000000001</v>
      </c>
      <c r="W30" s="1">
        <v>6</v>
      </c>
      <c r="X30" s="37">
        <v>0</v>
      </c>
      <c r="Y30" s="38">
        <f>+V30*W30</f>
        <v>6489.6</v>
      </c>
      <c r="Z30" s="39">
        <f>SUM(X30:Y30)</f>
        <v>6489.6</v>
      </c>
      <c r="AA30" s="602">
        <v>1</v>
      </c>
      <c r="AB30" s="38">
        <f>+I30*$H$7*$H$7*$H$7</f>
        <v>1124.8640000000003</v>
      </c>
      <c r="AC30" s="1">
        <v>6</v>
      </c>
      <c r="AD30" s="37">
        <v>0</v>
      </c>
      <c r="AE30" s="38">
        <f>+AB30*AC30</f>
        <v>6749.1840000000011</v>
      </c>
      <c r="AF30" s="39">
        <f>SUM(AD30:AE30)</f>
        <v>6749.1840000000011</v>
      </c>
      <c r="AG30" s="602">
        <v>1</v>
      </c>
      <c r="AH30" s="38">
        <f>+I30*$H$7*$H$7*$H$7*$H$7</f>
        <v>1169.8585600000004</v>
      </c>
      <c r="AI30" s="1">
        <v>6</v>
      </c>
      <c r="AJ30" s="37">
        <v>0</v>
      </c>
      <c r="AK30" s="38">
        <f>+AH30*AI30</f>
        <v>7019.1513600000017</v>
      </c>
      <c r="AL30" s="39">
        <f t="shared" si="37"/>
        <v>7019.1513600000017</v>
      </c>
      <c r="AM30" s="270">
        <f>L30+R30+X30+AD30+AJ30</f>
        <v>0</v>
      </c>
      <c r="AN30" s="270">
        <f>M30+S30+Y30+AE30+AK30</f>
        <v>31497.935360000003</v>
      </c>
      <c r="AO30" s="40">
        <f>SUM(AM30:AN30)</f>
        <v>31497.935360000003</v>
      </c>
    </row>
    <row r="31" spans="1:42" s="10" customFormat="1" x14ac:dyDescent="0.45">
      <c r="A31" s="129"/>
      <c r="B31" s="129"/>
      <c r="C31" s="129"/>
      <c r="D31" s="129"/>
      <c r="E31" s="129"/>
      <c r="F31" s="129"/>
      <c r="G31" s="41" t="s">
        <v>93</v>
      </c>
      <c r="H31" s="128"/>
      <c r="I31" s="129"/>
      <c r="J31" s="1"/>
      <c r="K31" s="129"/>
      <c r="L31" s="42">
        <f>SUM(L23:L30)</f>
        <v>81525</v>
      </c>
      <c r="M31" s="43">
        <f>SUM(M23:M30)</f>
        <v>18378</v>
      </c>
      <c r="N31" s="44">
        <f>SUM(N23:N30)</f>
        <v>99903</v>
      </c>
      <c r="O31" s="128"/>
      <c r="P31" s="129"/>
      <c r="Q31" s="129"/>
      <c r="R31" s="42">
        <f>SUM(R23:R30)</f>
        <v>102648</v>
      </c>
      <c r="S31" s="43">
        <f>SUM(S23:S30)</f>
        <v>20153.120000000003</v>
      </c>
      <c r="T31" s="44">
        <f>SUM(T23:T30)</f>
        <v>122801.12000000001</v>
      </c>
      <c r="U31" s="128"/>
      <c r="V31" s="129"/>
      <c r="W31" s="129"/>
      <c r="X31" s="42">
        <f>SUM(X23:X30)</f>
        <v>106753.92000000001</v>
      </c>
      <c r="Y31" s="43">
        <f>SUM(Y23:Y30)</f>
        <v>20959.2448</v>
      </c>
      <c r="Z31" s="44">
        <f>SUM(Z23:Z30)</f>
        <v>127713.16480000003</v>
      </c>
      <c r="AA31" s="128"/>
      <c r="AB31" s="129"/>
      <c r="AC31" s="129"/>
      <c r="AD31" s="42">
        <f>SUM(AD23:AD30)</f>
        <v>111024.07680000001</v>
      </c>
      <c r="AE31" s="43">
        <f>SUM(AE23:AE30)</f>
        <v>21797.614592000005</v>
      </c>
      <c r="AF31" s="44">
        <f>SUM(AF23:AF30)</f>
        <v>132821.69139200001</v>
      </c>
      <c r="AG31" s="128"/>
      <c r="AH31" s="129"/>
      <c r="AI31" s="129"/>
      <c r="AJ31" s="42">
        <f t="shared" ref="AJ31:AO31" si="41">SUM(AJ23:AJ30)</f>
        <v>91833.896960000013</v>
      </c>
      <c r="AK31" s="43">
        <f t="shared" si="41"/>
        <v>22669.519175680005</v>
      </c>
      <c r="AL31" s="44">
        <f t="shared" si="41"/>
        <v>114503.41613568002</v>
      </c>
      <c r="AM31" s="248">
        <f t="shared" si="41"/>
        <v>493784.89376000001</v>
      </c>
      <c r="AN31" s="248">
        <f t="shared" si="41"/>
        <v>103957.49856768001</v>
      </c>
      <c r="AO31" s="45">
        <f t="shared" si="41"/>
        <v>597742.39232768002</v>
      </c>
      <c r="AP31" s="1"/>
    </row>
    <row r="32" spans="1:42" x14ac:dyDescent="0.45">
      <c r="A32" s="132"/>
      <c r="B32" s="132"/>
      <c r="C32" s="132"/>
      <c r="D32" s="132"/>
      <c r="E32" s="132"/>
      <c r="F32" s="132"/>
      <c r="G32" s="48"/>
      <c r="H32" s="124"/>
      <c r="I32" s="132"/>
      <c r="J32" s="132"/>
      <c r="K32" s="132"/>
      <c r="L32" s="37"/>
      <c r="M32" s="38"/>
      <c r="N32" s="39"/>
      <c r="O32" s="124"/>
      <c r="P32" s="132"/>
      <c r="Q32" s="132"/>
      <c r="R32" s="37"/>
      <c r="S32" s="38"/>
      <c r="T32" s="39"/>
      <c r="U32" s="124"/>
      <c r="V32" s="132"/>
      <c r="W32" s="132"/>
      <c r="X32" s="37"/>
      <c r="Y32" s="38"/>
      <c r="Z32" s="39"/>
      <c r="AA32" s="124"/>
      <c r="AB32" s="132"/>
      <c r="AC32" s="132"/>
      <c r="AD32" s="37"/>
      <c r="AE32" s="38"/>
      <c r="AF32" s="39"/>
      <c r="AG32" s="124"/>
      <c r="AH32" s="132"/>
      <c r="AI32" s="132"/>
      <c r="AJ32" s="37"/>
      <c r="AK32" s="38"/>
      <c r="AL32" s="39"/>
      <c r="AM32" s="270"/>
      <c r="AN32" s="270"/>
      <c r="AO32" s="40"/>
    </row>
    <row r="33" spans="1:42" x14ac:dyDescent="0.45">
      <c r="A33" s="134"/>
      <c r="B33" s="134"/>
      <c r="C33" s="134"/>
      <c r="D33" s="134"/>
      <c r="E33" s="134"/>
      <c r="F33" s="134"/>
      <c r="G33" s="49" t="s">
        <v>94</v>
      </c>
      <c r="H33" s="133"/>
      <c r="I33" s="134"/>
      <c r="J33" s="134"/>
      <c r="K33" s="134"/>
      <c r="L33" s="50">
        <f>L31+L20</f>
        <v>146525</v>
      </c>
      <c r="M33" s="50">
        <f>M31+M20</f>
        <v>29706.899999999998</v>
      </c>
      <c r="N33" s="50">
        <f>N31+N20</f>
        <v>176231.9</v>
      </c>
      <c r="O33" s="133"/>
      <c r="P33" s="134"/>
      <c r="Q33" s="134"/>
      <c r="R33" s="50">
        <f>R31+R20</f>
        <v>180648</v>
      </c>
      <c r="S33" s="50">
        <f>S31+S20</f>
        <v>33006.272000000004</v>
      </c>
      <c r="T33" s="50">
        <f>T31+T20</f>
        <v>213654.272</v>
      </c>
      <c r="U33" s="133"/>
      <c r="V33" s="134"/>
      <c r="W33" s="134"/>
      <c r="X33" s="50">
        <f>X31+X20</f>
        <v>187873.92000000001</v>
      </c>
      <c r="Y33" s="50">
        <f>Y31+Y20</f>
        <v>34326.522880000004</v>
      </c>
      <c r="Z33" s="50">
        <f>Z31+Z20</f>
        <v>222200.44288000005</v>
      </c>
      <c r="AA33" s="133"/>
      <c r="AB33" s="134"/>
      <c r="AC33" s="134"/>
      <c r="AD33" s="50">
        <f>AD31+AD20</f>
        <v>195388.87680000003</v>
      </c>
      <c r="AE33" s="50">
        <f>AE31+AE20</f>
        <v>35699.583795200007</v>
      </c>
      <c r="AF33" s="50">
        <f>AF31+AF20</f>
        <v>231088.46059520001</v>
      </c>
      <c r="AG33" s="50"/>
      <c r="AH33" s="134"/>
      <c r="AI33" s="134"/>
      <c r="AJ33" s="50">
        <f t="shared" ref="AJ33:AO33" si="42">AJ31+AJ20</f>
        <v>175186.31936000002</v>
      </c>
      <c r="AK33" s="50">
        <f t="shared" si="42"/>
        <v>35922.729816064006</v>
      </c>
      <c r="AL33" s="50">
        <f t="shared" si="42"/>
        <v>211109.04917606403</v>
      </c>
      <c r="AM33" s="50">
        <f t="shared" si="42"/>
        <v>885622.11615999998</v>
      </c>
      <c r="AN33" s="257">
        <f t="shared" si="42"/>
        <v>168662.00849126402</v>
      </c>
      <c r="AO33" s="71">
        <f t="shared" si="42"/>
        <v>1054284.1246512639</v>
      </c>
    </row>
    <row r="34" spans="1:42" x14ac:dyDescent="0.45">
      <c r="A34" s="136"/>
      <c r="B34" s="136"/>
      <c r="C34" s="136"/>
      <c r="D34" s="136"/>
      <c r="E34" s="136"/>
      <c r="F34" s="136"/>
      <c r="G34" s="51"/>
      <c r="H34" s="135"/>
      <c r="I34" s="136"/>
      <c r="J34" s="136"/>
      <c r="K34" s="136"/>
      <c r="L34" s="52"/>
      <c r="M34" s="53"/>
      <c r="N34" s="54"/>
      <c r="O34" s="135"/>
      <c r="P34" s="136"/>
      <c r="Q34" s="136"/>
      <c r="R34" s="52"/>
      <c r="S34" s="53"/>
      <c r="T34" s="54"/>
      <c r="U34" s="135"/>
      <c r="V34" s="136"/>
      <c r="W34" s="136"/>
      <c r="X34" s="52"/>
      <c r="Y34" s="53"/>
      <c r="Z34" s="54"/>
      <c r="AA34" s="135"/>
      <c r="AB34" s="136"/>
      <c r="AC34" s="136"/>
      <c r="AD34" s="52"/>
      <c r="AE34" s="53"/>
      <c r="AF34" s="54"/>
      <c r="AG34" s="135"/>
      <c r="AH34" s="136"/>
      <c r="AI34" s="136"/>
      <c r="AJ34" s="52"/>
      <c r="AK34" s="53"/>
      <c r="AL34" s="54"/>
      <c r="AM34" s="249"/>
      <c r="AN34" s="249"/>
      <c r="AO34" s="55"/>
    </row>
    <row r="35" spans="1:42" x14ac:dyDescent="0.45">
      <c r="A35" s="138"/>
      <c r="B35" s="138"/>
      <c r="C35" s="138"/>
      <c r="D35" s="138"/>
      <c r="E35" s="138"/>
      <c r="F35" s="138"/>
      <c r="G35" s="56" t="s">
        <v>14</v>
      </c>
      <c r="H35" s="137"/>
      <c r="I35" s="138"/>
      <c r="J35" s="138"/>
      <c r="K35" s="138"/>
      <c r="L35" s="58"/>
      <c r="M35" s="58"/>
      <c r="N35" s="59"/>
      <c r="O35" s="137"/>
      <c r="P35" s="138"/>
      <c r="Q35" s="138"/>
      <c r="R35" s="250"/>
      <c r="S35" s="58"/>
      <c r="T35" s="59"/>
      <c r="U35" s="137"/>
      <c r="V35" s="138"/>
      <c r="W35" s="138"/>
      <c r="X35" s="57"/>
      <c r="Y35" s="58"/>
      <c r="Z35" s="59"/>
      <c r="AA35" s="137"/>
      <c r="AB35" s="138"/>
      <c r="AC35" s="138"/>
      <c r="AD35" s="57"/>
      <c r="AE35" s="58"/>
      <c r="AF35" s="59"/>
      <c r="AG35" s="137"/>
      <c r="AH35" s="138"/>
      <c r="AI35" s="138"/>
      <c r="AJ35" s="57"/>
      <c r="AK35" s="58"/>
      <c r="AL35" s="59"/>
      <c r="AM35" s="251"/>
      <c r="AN35" s="251"/>
      <c r="AO35" s="60"/>
    </row>
    <row r="36" spans="1:42" x14ac:dyDescent="0.45">
      <c r="A36" s="1" t="s">
        <v>213</v>
      </c>
      <c r="B36" s="710">
        <v>89050</v>
      </c>
      <c r="C36" s="258" t="s">
        <v>65</v>
      </c>
      <c r="D36" s="258" t="s">
        <v>65</v>
      </c>
      <c r="E36" s="1" t="s">
        <v>214</v>
      </c>
      <c r="F36" s="537" t="s">
        <v>528</v>
      </c>
      <c r="G36" s="429" t="s">
        <v>371</v>
      </c>
      <c r="H36" s="648">
        <v>0.53864000000000001</v>
      </c>
      <c r="I36" s="38"/>
      <c r="L36" s="37">
        <f>$H$36*(L16+L19+L23)</f>
        <v>38526.226000000002</v>
      </c>
      <c r="M36" s="38">
        <f>$H$36*(M16+M19+M23)</f>
        <v>6102.1986959999986</v>
      </c>
      <c r="N36" s="39">
        <f>SUM(L36:M36)</f>
        <v>44628.424696000002</v>
      </c>
      <c r="O36" s="648">
        <f>H36</f>
        <v>0.53864000000000001</v>
      </c>
      <c r="P36" s="38"/>
      <c r="R36" s="37">
        <f>$H$36*(R16+R19+R23)</f>
        <v>46887.534720000003</v>
      </c>
      <c r="S36" s="38">
        <f>$H$36*(S16+S19+S23)</f>
        <v>6923.2217932800004</v>
      </c>
      <c r="T36" s="39">
        <f>+R36+S36</f>
        <v>53810.756513280001</v>
      </c>
      <c r="U36" s="648">
        <f>H36</f>
        <v>0.53864000000000001</v>
      </c>
      <c r="V36" s="38"/>
      <c r="X36" s="37">
        <f>$H$36*(X16+X19+X23)</f>
        <v>48763.036108800006</v>
      </c>
      <c r="Y36" s="38">
        <f>$H$36*(Y16+Y19+Y23)</f>
        <v>7200.1506650112005</v>
      </c>
      <c r="Z36" s="39">
        <f>SUM(X36:Y36)</f>
        <v>55963.186773811205</v>
      </c>
      <c r="AA36" s="648">
        <f>H36</f>
        <v>0.53864000000000001</v>
      </c>
      <c r="AB36" s="38"/>
      <c r="AD36" s="37">
        <f>$H$36*(AD16+AD19+AD23)</f>
        <v>50713.557553152001</v>
      </c>
      <c r="AE36" s="38">
        <f>$H$36*(AE16+AE19+AE23)</f>
        <v>7488.1566916116481</v>
      </c>
      <c r="AF36" s="39">
        <f>SUM(AD36:AE36)</f>
        <v>58201.714244763651</v>
      </c>
      <c r="AG36" s="648">
        <f>H36</f>
        <v>0.53864000000000001</v>
      </c>
      <c r="AH36" s="38"/>
      <c r="AJ36" s="37">
        <f>$H$36*(AJ16+AJ19+AJ23)</f>
        <v>49465.410258534408</v>
      </c>
      <c r="AK36" s="38">
        <f>$H$36*(AK16+AK19+AK23)</f>
        <v>7138.7093793364402</v>
      </c>
      <c r="AL36" s="38">
        <f>SUM(AJ36:AK36)</f>
        <v>56604.119637870848</v>
      </c>
      <c r="AM36" s="270">
        <f>+AJ36+AD36+X36+R36+L36</f>
        <v>234355.76464048642</v>
      </c>
      <c r="AN36" s="270">
        <f>+AK36+AE36+Y36+S36+M36</f>
        <v>34852.437225239286</v>
      </c>
      <c r="AO36" s="40">
        <f>+SUM(AM36:AN36)</f>
        <v>269208.20186572568</v>
      </c>
    </row>
    <row r="37" spans="1:42" x14ac:dyDescent="0.45">
      <c r="A37" s="1" t="s">
        <v>213</v>
      </c>
      <c r="B37" s="710">
        <v>89050</v>
      </c>
      <c r="C37" s="258" t="s">
        <v>65</v>
      </c>
      <c r="D37" s="258" t="s">
        <v>65</v>
      </c>
      <c r="E37" s="1" t="s">
        <v>214</v>
      </c>
      <c r="F37" s="537" t="s">
        <v>528</v>
      </c>
      <c r="G37" s="434" t="s">
        <v>372</v>
      </c>
      <c r="H37" s="648">
        <v>0.40364</v>
      </c>
      <c r="I37" s="38"/>
      <c r="L37" s="37">
        <f>$H$37*(L17+L24+L25+L26+L27+L28+L29+L30)</f>
        <v>30273</v>
      </c>
      <c r="M37" s="38">
        <f>$H$37*(M17+M24+M25+M26+M27+M28+M29+M30)</f>
        <v>7418.0959199999998</v>
      </c>
      <c r="N37" s="39">
        <f>SUM(L37:M37)</f>
        <v>37691.09592</v>
      </c>
      <c r="O37" s="648">
        <f>H37</f>
        <v>0.40364</v>
      </c>
      <c r="P37" s="38"/>
      <c r="R37" s="37">
        <f>$H$37*(R17+R24+R25+R26+R27+R28+R29+R30)</f>
        <v>37780.703999999998</v>
      </c>
      <c r="S37" s="38">
        <f>$H$37*(S17+S24+S25+S26+S27+S28+S29+S30)</f>
        <v>8134.6053568000007</v>
      </c>
      <c r="T37" s="39">
        <f>+R37+S37</f>
        <v>45915.309356799997</v>
      </c>
      <c r="U37" s="648">
        <f>H37</f>
        <v>0.40364</v>
      </c>
      <c r="V37" s="38"/>
      <c r="X37" s="37">
        <f>$H$37*(X17+X24+X25+X26+X27+X28+X29+X30)</f>
        <v>39291.932159999997</v>
      </c>
      <c r="Y37" s="38">
        <f>$H$37*(Y17+Y24+Y25+Y26+Y27+Y28+Y29+Y30)</f>
        <v>8459.9895710719993</v>
      </c>
      <c r="Z37" s="39">
        <f>SUM(X37:Y37)</f>
        <v>47751.921731071998</v>
      </c>
      <c r="AA37" s="648">
        <f>H37</f>
        <v>0.40364</v>
      </c>
      <c r="AB37" s="38"/>
      <c r="AD37" s="37">
        <f>$H$37*(AD17+AD24+AD25+AD26+AD27+AD28+AD29+AD30)</f>
        <v>40863.609446399998</v>
      </c>
      <c r="AE37" s="38">
        <f>$H$37*(AE17+AE24+AE25+AE26+AE27+AE28+AE29+AE30)</f>
        <v>8798.3891539148826</v>
      </c>
      <c r="AF37" s="39">
        <f>SUM(AD37:AE37)</f>
        <v>49661.998600314881</v>
      </c>
      <c r="AG37" s="648">
        <f>H37</f>
        <v>0.40364</v>
      </c>
      <c r="AH37" s="38"/>
      <c r="AJ37" s="37">
        <f>$H$37*(AJ17+AJ24+AJ25+AJ26+AJ27+AJ28+AJ29+AJ30)</f>
        <v>33644.371777535998</v>
      </c>
      <c r="AK37" s="38">
        <f>$H$37*(AK17+AK24+AK25+AK26+AK27+AK28+AK29+AK30)</f>
        <v>9150.3247200714777</v>
      </c>
      <c r="AL37" s="38">
        <f>SUM(AJ37:AK37)</f>
        <v>42794.696497607474</v>
      </c>
      <c r="AM37" s="270">
        <f>+AJ37+AD37+X37+R37+L37</f>
        <v>181853.61738393598</v>
      </c>
      <c r="AN37" s="270">
        <f>+AK37+AE37+Y37+S37+M37</f>
        <v>41961.404721858358</v>
      </c>
      <c r="AO37" s="40">
        <f>+SUM(AM37:AN37)</f>
        <v>223815.02210579434</v>
      </c>
    </row>
    <row r="38" spans="1:42" x14ac:dyDescent="0.45">
      <c r="A38" s="38"/>
      <c r="B38" s="38"/>
      <c r="C38" s="38"/>
      <c r="D38" s="38"/>
      <c r="E38" s="38"/>
      <c r="F38" s="38"/>
      <c r="G38" s="34"/>
      <c r="H38" s="601"/>
      <c r="I38" s="38"/>
      <c r="L38" s="37"/>
      <c r="M38" s="38"/>
      <c r="N38" s="39"/>
      <c r="O38" s="601"/>
      <c r="P38" s="38"/>
      <c r="R38" s="37"/>
      <c r="S38" s="38"/>
      <c r="T38" s="39"/>
      <c r="U38" s="601"/>
      <c r="V38" s="38"/>
      <c r="X38" s="37"/>
      <c r="Y38" s="38"/>
      <c r="Z38" s="39"/>
      <c r="AA38" s="601"/>
      <c r="AB38" s="38"/>
      <c r="AD38" s="37"/>
      <c r="AE38" s="38"/>
      <c r="AF38" s="39"/>
      <c r="AG38" s="601"/>
      <c r="AH38" s="38"/>
      <c r="AJ38" s="37"/>
      <c r="AK38" s="38"/>
      <c r="AL38" s="38"/>
      <c r="AM38" s="270"/>
      <c r="AN38" s="270"/>
      <c r="AO38" s="40"/>
    </row>
    <row r="39" spans="1:42" x14ac:dyDescent="0.45">
      <c r="A39" s="134"/>
      <c r="B39" s="134"/>
      <c r="C39" s="134"/>
      <c r="D39" s="134"/>
      <c r="E39" s="134"/>
      <c r="F39" s="134"/>
      <c r="G39" s="49" t="s">
        <v>118</v>
      </c>
      <c r="H39" s="133"/>
      <c r="I39" s="134"/>
      <c r="J39" s="134"/>
      <c r="K39" s="134"/>
      <c r="L39" s="252">
        <f>SUM(L36:L37)</f>
        <v>68799.225999999995</v>
      </c>
      <c r="M39" s="252">
        <f>SUM(M36:M37)</f>
        <v>13520.294615999999</v>
      </c>
      <c r="N39" s="252">
        <f>SUM(N36:N37)</f>
        <v>82319.520615999994</v>
      </c>
      <c r="O39" s="133"/>
      <c r="P39" s="134"/>
      <c r="Q39" s="134"/>
      <c r="R39" s="252">
        <f>SUM(R36:R37)</f>
        <v>84668.238719999994</v>
      </c>
      <c r="S39" s="252">
        <f>SUM(S36:S37)</f>
        <v>15057.82715008</v>
      </c>
      <c r="T39" s="252">
        <f>SUM(T36:T37)</f>
        <v>99726.065870079998</v>
      </c>
      <c r="U39" s="133"/>
      <c r="V39" s="134"/>
      <c r="W39" s="134"/>
      <c r="X39" s="252">
        <f>SUM(X36:X37)</f>
        <v>88054.968268800003</v>
      </c>
      <c r="Y39" s="252">
        <f>SUM(Y36:Y37)</f>
        <v>15660.1402360832</v>
      </c>
      <c r="Z39" s="252">
        <f>SUM(Z36:Z37)</f>
        <v>103715.1085048832</v>
      </c>
      <c r="AA39" s="133"/>
      <c r="AB39" s="134"/>
      <c r="AC39" s="134"/>
      <c r="AD39" s="252">
        <f>SUM(AD36:AD37)</f>
        <v>91577.166999551991</v>
      </c>
      <c r="AE39" s="252">
        <f>SUM(AE36:AE37)</f>
        <v>16286.545845526531</v>
      </c>
      <c r="AF39" s="252">
        <f>SUM(AF36:AF37)</f>
        <v>107863.71284507852</v>
      </c>
      <c r="AG39" s="133"/>
      <c r="AH39" s="134"/>
      <c r="AI39" s="134"/>
      <c r="AJ39" s="252">
        <f>SUM(AJ36:AJ37)</f>
        <v>83109.782036070406</v>
      </c>
      <c r="AK39" s="252">
        <f>SUM(AK36:AK37)</f>
        <v>16289.034099407918</v>
      </c>
      <c r="AL39" s="252">
        <f>SUM(AL36:AL37)</f>
        <v>99398.816135478322</v>
      </c>
      <c r="AM39" s="252">
        <f>SUM(AM36:AM38)</f>
        <v>416209.3820244224</v>
      </c>
      <c r="AN39" s="50">
        <f>SUM(AN36:AN38)</f>
        <v>76813.841947097651</v>
      </c>
      <c r="AO39" s="71">
        <f>SUM(AM39:AN39)</f>
        <v>493023.22397152008</v>
      </c>
    </row>
    <row r="40" spans="1:42" x14ac:dyDescent="0.45">
      <c r="A40" s="136"/>
      <c r="B40" s="136"/>
      <c r="C40" s="136"/>
      <c r="D40" s="136"/>
      <c r="E40" s="136"/>
      <c r="F40" s="136"/>
      <c r="G40" s="51"/>
      <c r="H40" s="135"/>
      <c r="I40" s="136"/>
      <c r="J40" s="136"/>
      <c r="K40" s="136"/>
      <c r="L40" s="52"/>
      <c r="M40" s="53"/>
      <c r="N40" s="54"/>
      <c r="O40" s="135"/>
      <c r="P40" s="136"/>
      <c r="Q40" s="136"/>
      <c r="R40" s="52"/>
      <c r="S40" s="53"/>
      <c r="T40" s="54"/>
      <c r="U40" s="135"/>
      <c r="V40" s="136"/>
      <c r="W40" s="136"/>
      <c r="X40" s="52"/>
      <c r="Y40" s="53"/>
      <c r="Z40" s="54"/>
      <c r="AA40" s="135"/>
      <c r="AB40" s="136"/>
      <c r="AC40" s="136"/>
      <c r="AD40" s="52"/>
      <c r="AE40" s="53"/>
      <c r="AF40" s="54"/>
      <c r="AG40" s="135"/>
      <c r="AH40" s="136"/>
      <c r="AI40" s="136"/>
      <c r="AJ40" s="52"/>
      <c r="AK40" s="53"/>
      <c r="AL40" s="54"/>
      <c r="AM40" s="249"/>
      <c r="AN40" s="249"/>
      <c r="AO40" s="88"/>
    </row>
    <row r="41" spans="1:42" x14ac:dyDescent="0.45">
      <c r="A41" s="138"/>
      <c r="B41" s="138"/>
      <c r="C41" s="138"/>
      <c r="D41" s="138"/>
      <c r="E41" s="138"/>
      <c r="F41" s="138"/>
      <c r="G41" s="56" t="s">
        <v>119</v>
      </c>
      <c r="H41" s="137"/>
      <c r="I41" s="138"/>
      <c r="J41" s="138"/>
      <c r="K41" s="138"/>
      <c r="L41" s="57"/>
      <c r="M41" s="58"/>
      <c r="N41" s="59"/>
      <c r="O41" s="137"/>
      <c r="P41" s="138"/>
      <c r="Q41" s="138"/>
      <c r="R41" s="57"/>
      <c r="S41" s="58"/>
      <c r="T41" s="59"/>
      <c r="U41" s="137"/>
      <c r="V41" s="138"/>
      <c r="W41" s="138"/>
      <c r="X41" s="57"/>
      <c r="Y41" s="58"/>
      <c r="Z41" s="59"/>
      <c r="AA41" s="137"/>
      <c r="AB41" s="138"/>
      <c r="AC41" s="138"/>
      <c r="AD41" s="57"/>
      <c r="AE41" s="58"/>
      <c r="AF41" s="59"/>
      <c r="AG41" s="137"/>
      <c r="AH41" s="138"/>
      <c r="AI41" s="138"/>
      <c r="AJ41" s="57"/>
      <c r="AK41" s="58"/>
      <c r="AL41" s="59"/>
      <c r="AM41" s="251"/>
      <c r="AN41" s="251"/>
      <c r="AO41" s="60"/>
    </row>
    <row r="42" spans="1:42" x14ac:dyDescent="0.45">
      <c r="A42" s="143"/>
      <c r="B42" s="143"/>
      <c r="C42" s="143"/>
      <c r="D42" s="143"/>
      <c r="E42" s="143"/>
      <c r="F42" s="143"/>
      <c r="G42" s="61"/>
      <c r="H42" s="142"/>
      <c r="I42" s="143"/>
      <c r="J42" s="143"/>
      <c r="K42" s="143"/>
      <c r="L42" s="62"/>
      <c r="M42" s="63"/>
      <c r="N42" s="72"/>
      <c r="O42" s="142"/>
      <c r="P42" s="143"/>
      <c r="Q42" s="143"/>
      <c r="R42" s="62"/>
      <c r="S42" s="63"/>
      <c r="T42" s="72"/>
      <c r="U42" s="142"/>
      <c r="V42" s="143"/>
      <c r="W42" s="143"/>
      <c r="X42" s="62"/>
      <c r="Y42" s="63"/>
      <c r="Z42" s="72"/>
      <c r="AA42" s="142"/>
      <c r="AB42" s="143"/>
      <c r="AC42" s="143"/>
      <c r="AD42" s="62"/>
      <c r="AE42" s="63"/>
      <c r="AF42" s="72"/>
      <c r="AG42" s="142"/>
      <c r="AH42" s="143"/>
      <c r="AI42" s="143"/>
      <c r="AJ42" s="62"/>
      <c r="AK42" s="63"/>
      <c r="AL42" s="72"/>
      <c r="AM42" s="253"/>
      <c r="AN42" s="253"/>
      <c r="AO42" s="64"/>
    </row>
    <row r="43" spans="1:42" x14ac:dyDescent="0.45">
      <c r="A43" s="131"/>
      <c r="B43" s="131"/>
      <c r="C43" s="131"/>
      <c r="D43" s="131"/>
      <c r="E43" s="132"/>
      <c r="F43" s="132"/>
      <c r="G43" s="73" t="s">
        <v>529</v>
      </c>
      <c r="H43" s="130"/>
      <c r="I43" s="131"/>
      <c r="J43" s="131"/>
      <c r="K43" s="131"/>
      <c r="L43" s="37"/>
      <c r="M43" s="38"/>
      <c r="N43" s="39"/>
      <c r="O43" s="130"/>
      <c r="P43" s="131"/>
      <c r="Q43" s="131"/>
      <c r="R43" s="37"/>
      <c r="S43" s="38"/>
      <c r="T43" s="39"/>
      <c r="U43" s="130"/>
      <c r="V43" s="131"/>
      <c r="W43" s="131"/>
      <c r="X43" s="37"/>
      <c r="Y43" s="38"/>
      <c r="Z43" s="39"/>
      <c r="AA43" s="130"/>
      <c r="AB43" s="131"/>
      <c r="AC43" s="131"/>
      <c r="AD43" s="37"/>
      <c r="AE43" s="38"/>
      <c r="AF43" s="39"/>
      <c r="AG43" s="130"/>
      <c r="AH43" s="131"/>
      <c r="AI43" s="131"/>
      <c r="AJ43" s="37"/>
      <c r="AK43" s="38"/>
      <c r="AL43" s="39"/>
      <c r="AM43" s="270"/>
      <c r="AN43" s="270"/>
      <c r="AO43" s="40"/>
    </row>
    <row r="44" spans="1:42" x14ac:dyDescent="0.45">
      <c r="A44" s="1" t="s">
        <v>213</v>
      </c>
      <c r="B44" s="710">
        <v>89050</v>
      </c>
      <c r="C44" s="258" t="s">
        <v>65</v>
      </c>
      <c r="D44" s="258" t="s">
        <v>65</v>
      </c>
      <c r="E44" s="1" t="s">
        <v>214</v>
      </c>
      <c r="F44" s="537" t="s">
        <v>530</v>
      </c>
      <c r="G44" s="74" t="s">
        <v>531</v>
      </c>
      <c r="H44" s="141">
        <v>2</v>
      </c>
      <c r="I44" s="38">
        <v>250</v>
      </c>
      <c r="J44" s="15">
        <v>1</v>
      </c>
      <c r="K44" s="131" t="s">
        <v>124</v>
      </c>
      <c r="L44" s="37">
        <f>J44*I44*H44</f>
        <v>500</v>
      </c>
      <c r="M44" s="38">
        <v>0</v>
      </c>
      <c r="N44" s="39">
        <f>SUM(L44:M44)</f>
        <v>500</v>
      </c>
      <c r="O44" s="141">
        <v>2</v>
      </c>
      <c r="P44" s="38">
        <f>I44*$H$6</f>
        <v>257.5</v>
      </c>
      <c r="Q44" s="15">
        <v>1</v>
      </c>
      <c r="R44" s="37">
        <f>O44*P44*Q44</f>
        <v>515</v>
      </c>
      <c r="S44" s="38">
        <v>0</v>
      </c>
      <c r="T44" s="39">
        <f>SUM(R44:S44)</f>
        <v>515</v>
      </c>
      <c r="U44" s="141">
        <v>2</v>
      </c>
      <c r="V44" s="38">
        <f>I44*$H$6*$H$6</f>
        <v>265.22500000000002</v>
      </c>
      <c r="W44" s="15">
        <v>1</v>
      </c>
      <c r="X44" s="37">
        <f>U44*V44*W44</f>
        <v>530.45000000000005</v>
      </c>
      <c r="Y44" s="38">
        <v>0</v>
      </c>
      <c r="Z44" s="39">
        <f>SUM(X44:Y44)</f>
        <v>530.45000000000005</v>
      </c>
      <c r="AA44" s="141">
        <v>2</v>
      </c>
      <c r="AB44" s="38">
        <f>I44*$H$6*$H$6*$H$6</f>
        <v>273.18175000000002</v>
      </c>
      <c r="AC44" s="15">
        <v>1</v>
      </c>
      <c r="AD44" s="37">
        <f>AA44*AB44*AC44</f>
        <v>546.36350000000004</v>
      </c>
      <c r="AE44" s="38">
        <v>0</v>
      </c>
      <c r="AF44" s="39">
        <f>SUM(AD44:AE44)</f>
        <v>546.36350000000004</v>
      </c>
      <c r="AG44" s="141">
        <v>2</v>
      </c>
      <c r="AH44" s="38">
        <f>I44*$H$6*$H$6*$H$6*$H$6</f>
        <v>281.37720250000001</v>
      </c>
      <c r="AI44" s="15">
        <v>1</v>
      </c>
      <c r="AJ44" s="37">
        <f>AG44*AH44*AI44</f>
        <v>562.75440500000002</v>
      </c>
      <c r="AK44" s="38">
        <v>0</v>
      </c>
      <c r="AL44" s="39">
        <f>SUM(AJ44:AK44)</f>
        <v>562.75440500000002</v>
      </c>
      <c r="AM44" s="270">
        <f t="shared" ref="AM44:AN47" si="43">L44+R44+X44+AD44+AJ44</f>
        <v>2654.5679050000003</v>
      </c>
      <c r="AN44" s="270">
        <f t="shared" si="43"/>
        <v>0</v>
      </c>
      <c r="AO44" s="40">
        <f>SUM(AM44:AN44)</f>
        <v>2654.5679050000003</v>
      </c>
    </row>
    <row r="45" spans="1:42" x14ac:dyDescent="0.45">
      <c r="A45" s="1" t="s">
        <v>213</v>
      </c>
      <c r="B45" s="710">
        <v>89050</v>
      </c>
      <c r="C45" s="258" t="s">
        <v>65</v>
      </c>
      <c r="D45" s="258" t="s">
        <v>65</v>
      </c>
      <c r="E45" s="1" t="s">
        <v>214</v>
      </c>
      <c r="F45" s="537" t="s">
        <v>530</v>
      </c>
      <c r="G45" s="74" t="s">
        <v>532</v>
      </c>
      <c r="H45" s="141">
        <v>2</v>
      </c>
      <c r="I45" s="38">
        <v>40</v>
      </c>
      <c r="J45" s="15">
        <v>5</v>
      </c>
      <c r="K45" s="131" t="s">
        <v>127</v>
      </c>
      <c r="L45" s="37">
        <f>J45*I45*H45</f>
        <v>400</v>
      </c>
      <c r="M45" s="38">
        <v>0</v>
      </c>
      <c r="N45" s="39">
        <f>SUM(L45:M45)</f>
        <v>400</v>
      </c>
      <c r="O45" s="141">
        <v>2</v>
      </c>
      <c r="P45" s="38">
        <f>I45*$H$6</f>
        <v>41.2</v>
      </c>
      <c r="Q45" s="15">
        <v>5</v>
      </c>
      <c r="R45" s="37">
        <f>O45*P45*Q45</f>
        <v>412</v>
      </c>
      <c r="S45" s="38">
        <v>0</v>
      </c>
      <c r="T45" s="39">
        <f>SUM(R45:S45)</f>
        <v>412</v>
      </c>
      <c r="U45" s="141">
        <v>2</v>
      </c>
      <c r="V45" s="38">
        <f>I45*$H$6*$H$6</f>
        <v>42.436000000000007</v>
      </c>
      <c r="W45" s="15">
        <v>5</v>
      </c>
      <c r="X45" s="37">
        <f>U45*V45*W45</f>
        <v>424.36000000000007</v>
      </c>
      <c r="Y45" s="38">
        <v>0</v>
      </c>
      <c r="Z45" s="39">
        <f>SUM(X45:Y45)</f>
        <v>424.36000000000007</v>
      </c>
      <c r="AA45" s="141">
        <v>2</v>
      </c>
      <c r="AB45" s="38">
        <f>I45*$H$6*$H$6*$H$6</f>
        <v>43.709080000000007</v>
      </c>
      <c r="AC45" s="15">
        <v>5</v>
      </c>
      <c r="AD45" s="37">
        <f>AA45*AB45*AC45</f>
        <v>437.09080000000006</v>
      </c>
      <c r="AE45" s="38">
        <v>0</v>
      </c>
      <c r="AF45" s="39">
        <f>SUM(AD45:AE45)</f>
        <v>437.09080000000006</v>
      </c>
      <c r="AG45" s="141">
        <v>2</v>
      </c>
      <c r="AH45" s="38">
        <f>I45*$H$6*$H$6*$H$6*$H$6</f>
        <v>45.020352400000007</v>
      </c>
      <c r="AI45" s="15">
        <v>5</v>
      </c>
      <c r="AJ45" s="37">
        <f>AG45*AH45*AI45</f>
        <v>450.20352400000007</v>
      </c>
      <c r="AK45" s="38">
        <v>0</v>
      </c>
      <c r="AL45" s="39">
        <f>SUM(AJ45:AK45)</f>
        <v>450.20352400000007</v>
      </c>
      <c r="AM45" s="270">
        <f t="shared" si="43"/>
        <v>2123.6543240000001</v>
      </c>
      <c r="AN45" s="270">
        <f t="shared" si="43"/>
        <v>0</v>
      </c>
      <c r="AO45" s="40">
        <f>SUM(AM45:AN45)</f>
        <v>2123.6543240000001</v>
      </c>
    </row>
    <row r="46" spans="1:42" x14ac:dyDescent="0.45">
      <c r="A46" s="1" t="s">
        <v>213</v>
      </c>
      <c r="B46" s="710">
        <v>89050</v>
      </c>
      <c r="C46" s="258" t="s">
        <v>65</v>
      </c>
      <c r="D46" s="258" t="s">
        <v>65</v>
      </c>
      <c r="E46" s="1" t="s">
        <v>214</v>
      </c>
      <c r="F46" s="537" t="s">
        <v>530</v>
      </c>
      <c r="G46" s="74" t="s">
        <v>533</v>
      </c>
      <c r="H46" s="141">
        <v>2</v>
      </c>
      <c r="I46" s="38">
        <v>80</v>
      </c>
      <c r="J46" s="15">
        <v>4</v>
      </c>
      <c r="K46" s="131" t="s">
        <v>127</v>
      </c>
      <c r="L46" s="37">
        <f>J46*I46*H46</f>
        <v>640</v>
      </c>
      <c r="M46" s="38">
        <v>0</v>
      </c>
      <c r="N46" s="39">
        <f>SUM(L46:M46)</f>
        <v>640</v>
      </c>
      <c r="O46" s="141">
        <v>2</v>
      </c>
      <c r="P46" s="38">
        <f>I46*$H$6</f>
        <v>82.4</v>
      </c>
      <c r="Q46" s="15">
        <v>4</v>
      </c>
      <c r="R46" s="37">
        <f>O46*P46*Q46</f>
        <v>659.2</v>
      </c>
      <c r="S46" s="38">
        <v>0</v>
      </c>
      <c r="T46" s="39">
        <f>SUM(R46:S46)</f>
        <v>659.2</v>
      </c>
      <c r="U46" s="141">
        <v>2</v>
      </c>
      <c r="V46" s="38">
        <f>I46*$H$6*$H$6</f>
        <v>84.872000000000014</v>
      </c>
      <c r="W46" s="15">
        <v>4</v>
      </c>
      <c r="X46" s="37">
        <f>U46*V46*W46</f>
        <v>678.97600000000011</v>
      </c>
      <c r="Y46" s="38">
        <v>0</v>
      </c>
      <c r="Z46" s="39">
        <f>SUM(X46:Y46)</f>
        <v>678.97600000000011</v>
      </c>
      <c r="AA46" s="141">
        <v>2</v>
      </c>
      <c r="AB46" s="38">
        <f>I46*$H$6*$H$6*$H$6</f>
        <v>87.418160000000015</v>
      </c>
      <c r="AC46" s="15">
        <v>4</v>
      </c>
      <c r="AD46" s="37">
        <f>AA46*AB46*AC46</f>
        <v>699.34528000000012</v>
      </c>
      <c r="AE46" s="38">
        <v>0</v>
      </c>
      <c r="AF46" s="39">
        <f>SUM(AD46:AE46)</f>
        <v>699.34528000000012</v>
      </c>
      <c r="AG46" s="141">
        <v>2</v>
      </c>
      <c r="AH46" s="38">
        <f>I46*$H$6*$H$6*$H$6*$H$6</f>
        <v>90.040704800000015</v>
      </c>
      <c r="AI46" s="15">
        <v>4</v>
      </c>
      <c r="AJ46" s="37">
        <f>AG46*AH46*AI46</f>
        <v>720.32563840000012</v>
      </c>
      <c r="AK46" s="38">
        <v>0</v>
      </c>
      <c r="AL46" s="39">
        <f>SUM(AJ46:AK46)</f>
        <v>720.32563840000012</v>
      </c>
      <c r="AM46" s="270">
        <f t="shared" si="43"/>
        <v>3397.8469184000005</v>
      </c>
      <c r="AN46" s="270">
        <f t="shared" si="43"/>
        <v>0</v>
      </c>
      <c r="AO46" s="40">
        <f>SUM(AM46:AN46)</f>
        <v>3397.8469184000005</v>
      </c>
    </row>
    <row r="47" spans="1:42" x14ac:dyDescent="0.45">
      <c r="A47" s="1" t="s">
        <v>213</v>
      </c>
      <c r="B47" s="710">
        <v>89050</v>
      </c>
      <c r="C47" s="258" t="s">
        <v>65</v>
      </c>
      <c r="D47" s="258" t="s">
        <v>65</v>
      </c>
      <c r="E47" s="1" t="s">
        <v>214</v>
      </c>
      <c r="F47" s="537" t="s">
        <v>530</v>
      </c>
      <c r="G47" s="74" t="s">
        <v>534</v>
      </c>
      <c r="H47" s="141">
        <v>2</v>
      </c>
      <c r="I47" s="38">
        <v>25</v>
      </c>
      <c r="J47" s="15">
        <v>1</v>
      </c>
      <c r="K47" s="131" t="s">
        <v>124</v>
      </c>
      <c r="L47" s="37">
        <f>J47*I47*H47</f>
        <v>50</v>
      </c>
      <c r="M47" s="38">
        <v>0</v>
      </c>
      <c r="N47" s="39">
        <f>SUM(L47:M47)</f>
        <v>50</v>
      </c>
      <c r="O47" s="141">
        <v>2</v>
      </c>
      <c r="P47" s="38">
        <f>I47*$H$6</f>
        <v>25.75</v>
      </c>
      <c r="Q47" s="15">
        <v>1</v>
      </c>
      <c r="R47" s="37">
        <f>O47*P47*Q47</f>
        <v>51.5</v>
      </c>
      <c r="S47" s="38">
        <v>0</v>
      </c>
      <c r="T47" s="39">
        <f>SUM(R47:S47)</f>
        <v>51.5</v>
      </c>
      <c r="U47" s="141">
        <v>2</v>
      </c>
      <c r="V47" s="38">
        <f>I47*$H$6*$H$6</f>
        <v>26.522500000000001</v>
      </c>
      <c r="W47" s="15">
        <v>1</v>
      </c>
      <c r="X47" s="37">
        <f>U47*V47*W47</f>
        <v>53.045000000000002</v>
      </c>
      <c r="Y47" s="38">
        <v>0</v>
      </c>
      <c r="Z47" s="39">
        <f>SUM(X47:Y47)</f>
        <v>53.045000000000002</v>
      </c>
      <c r="AA47" s="141">
        <v>2</v>
      </c>
      <c r="AB47" s="38">
        <f>I47*$H$6*$H$6*$H$6</f>
        <v>27.318175</v>
      </c>
      <c r="AC47" s="15">
        <v>1</v>
      </c>
      <c r="AD47" s="37">
        <f>AA47*AB47*AC47</f>
        <v>54.63635</v>
      </c>
      <c r="AE47" s="38">
        <v>0</v>
      </c>
      <c r="AF47" s="39">
        <f>SUM(AD47:AE47)</f>
        <v>54.63635</v>
      </c>
      <c r="AG47" s="141">
        <v>2</v>
      </c>
      <c r="AH47" s="38">
        <f>I47*$H$6*$H$6*$H$6*$H$6</f>
        <v>28.137720250000001</v>
      </c>
      <c r="AI47" s="15">
        <v>1</v>
      </c>
      <c r="AJ47" s="37">
        <f>AG47*AH47*AI47</f>
        <v>56.275440500000002</v>
      </c>
      <c r="AK47" s="38">
        <v>0</v>
      </c>
      <c r="AL47" s="39">
        <f>SUM(AJ47:AK47)</f>
        <v>56.275440500000002</v>
      </c>
      <c r="AM47" s="270">
        <f t="shared" si="43"/>
        <v>265.45679050000001</v>
      </c>
      <c r="AN47" s="270">
        <f t="shared" si="43"/>
        <v>0</v>
      </c>
      <c r="AO47" s="40">
        <f>SUM(AM47:AN47)</f>
        <v>265.45679050000001</v>
      </c>
    </row>
    <row r="48" spans="1:42" s="10" customFormat="1" x14ac:dyDescent="0.45">
      <c r="A48" s="129"/>
      <c r="B48" s="129"/>
      <c r="C48" s="258"/>
      <c r="D48" s="258"/>
      <c r="E48" s="129"/>
      <c r="F48" s="129"/>
      <c r="G48" s="75" t="s">
        <v>379</v>
      </c>
      <c r="H48" s="144"/>
      <c r="I48" s="129"/>
      <c r="J48" s="145"/>
      <c r="K48" s="129"/>
      <c r="L48" s="42">
        <f>SUM(L44:L47)</f>
        <v>1590</v>
      </c>
      <c r="M48" s="42">
        <f>SUM(M44:M47)</f>
        <v>0</v>
      </c>
      <c r="N48" s="42">
        <f>SUM(N44:N47)</f>
        <v>1590</v>
      </c>
      <c r="O48" s="144"/>
      <c r="P48" s="38"/>
      <c r="Q48" s="15"/>
      <c r="R48" s="42">
        <f>SUM(R44:R47)</f>
        <v>1637.7</v>
      </c>
      <c r="S48" s="42">
        <f>SUM(S44:S47)</f>
        <v>0</v>
      </c>
      <c r="T48" s="42">
        <f>SUM(T44:T47)</f>
        <v>1637.7</v>
      </c>
      <c r="U48" s="141"/>
      <c r="V48" s="38"/>
      <c r="W48" s="129"/>
      <c r="X48" s="42">
        <f>SUM(X44:X47)</f>
        <v>1686.8310000000004</v>
      </c>
      <c r="Y48" s="42">
        <f>SUM(Y44:Y47)</f>
        <v>0</v>
      </c>
      <c r="Z48" s="42">
        <f>SUM(Z44:Z47)</f>
        <v>1686.8310000000004</v>
      </c>
      <c r="AA48" s="144"/>
      <c r="AB48" s="38"/>
      <c r="AC48" s="129"/>
      <c r="AD48" s="42">
        <f>SUM(AD44:AD47)</f>
        <v>1737.4359300000003</v>
      </c>
      <c r="AE48" s="42">
        <f>SUM(AE44:AE47)</f>
        <v>0</v>
      </c>
      <c r="AF48" s="42">
        <f>SUM(AF44:AF47)</f>
        <v>1737.4359300000003</v>
      </c>
      <c r="AG48" s="141"/>
      <c r="AH48" s="38"/>
      <c r="AI48" s="129"/>
      <c r="AJ48" s="42">
        <f t="shared" ref="AJ48:AO48" si="44">SUM(AJ44:AJ47)</f>
        <v>1789.5590079000003</v>
      </c>
      <c r="AK48" s="42">
        <f t="shared" si="44"/>
        <v>0</v>
      </c>
      <c r="AL48" s="42">
        <f t="shared" si="44"/>
        <v>1789.5590079000003</v>
      </c>
      <c r="AM48" s="42">
        <f t="shared" si="44"/>
        <v>8441.5259379000017</v>
      </c>
      <c r="AN48" s="42">
        <f t="shared" si="44"/>
        <v>0</v>
      </c>
      <c r="AO48" s="45">
        <f t="shared" si="44"/>
        <v>8441.5259379000017</v>
      </c>
      <c r="AP48" s="1"/>
    </row>
    <row r="49" spans="1:45" s="81" customFormat="1" x14ac:dyDescent="0.45">
      <c r="A49" s="147"/>
      <c r="B49" s="147"/>
      <c r="C49" s="258"/>
      <c r="D49" s="258"/>
      <c r="E49" s="147"/>
      <c r="F49" s="147"/>
      <c r="G49" s="76"/>
      <c r="H49" s="146"/>
      <c r="I49" s="147"/>
      <c r="J49" s="148"/>
      <c r="K49" s="147"/>
      <c r="L49" s="77"/>
      <c r="M49" s="78"/>
      <c r="N49" s="79"/>
      <c r="O49" s="146"/>
      <c r="P49" s="38"/>
      <c r="Q49" s="147"/>
      <c r="R49" s="77"/>
      <c r="S49" s="78"/>
      <c r="T49" s="79"/>
      <c r="U49" s="146"/>
      <c r="V49" s="38"/>
      <c r="W49" s="147"/>
      <c r="X49" s="77"/>
      <c r="Y49" s="78"/>
      <c r="Z49" s="79"/>
      <c r="AA49" s="146"/>
      <c r="AB49" s="38"/>
      <c r="AC49" s="147"/>
      <c r="AD49" s="77"/>
      <c r="AE49" s="78"/>
      <c r="AF49" s="79"/>
      <c r="AG49" s="146"/>
      <c r="AH49" s="38"/>
      <c r="AI49" s="147"/>
      <c r="AJ49" s="77"/>
      <c r="AK49" s="78"/>
      <c r="AL49" s="79"/>
      <c r="AM49" s="255"/>
      <c r="AN49" s="255"/>
      <c r="AO49" s="80"/>
      <c r="AP49" s="1"/>
    </row>
    <row r="50" spans="1:45" x14ac:dyDescent="0.45">
      <c r="A50" s="131"/>
      <c r="B50" s="131"/>
      <c r="C50" s="258"/>
      <c r="D50" s="258"/>
      <c r="E50" s="131"/>
      <c r="F50" s="131"/>
      <c r="G50" s="73" t="s">
        <v>135</v>
      </c>
      <c r="H50" s="130"/>
      <c r="I50" s="131"/>
      <c r="J50" s="131"/>
      <c r="K50" s="131"/>
      <c r="L50" s="37"/>
      <c r="M50" s="38"/>
      <c r="N50" s="39"/>
      <c r="O50" s="130"/>
      <c r="P50" s="38"/>
      <c r="Q50" s="131"/>
      <c r="R50" s="37"/>
      <c r="S50" s="38"/>
      <c r="T50" s="39"/>
      <c r="U50" s="130"/>
      <c r="V50" s="38"/>
      <c r="W50" s="131"/>
      <c r="X50" s="37"/>
      <c r="Y50" s="38"/>
      <c r="Z50" s="39"/>
      <c r="AA50" s="130"/>
      <c r="AB50" s="38"/>
      <c r="AC50" s="131"/>
      <c r="AD50" s="37"/>
      <c r="AE50" s="38"/>
      <c r="AF50" s="39"/>
      <c r="AG50" s="130"/>
      <c r="AH50" s="38"/>
      <c r="AI50" s="131"/>
      <c r="AJ50" s="37"/>
      <c r="AK50" s="38"/>
      <c r="AL50" s="39"/>
      <c r="AM50" s="270"/>
      <c r="AN50" s="270"/>
      <c r="AO50" s="40"/>
    </row>
    <row r="51" spans="1:45" x14ac:dyDescent="0.45">
      <c r="A51" s="131"/>
      <c r="B51" s="131"/>
      <c r="C51" s="258"/>
      <c r="D51" s="258"/>
      <c r="E51" s="131"/>
      <c r="F51" s="131"/>
      <c r="G51" s="73" t="s">
        <v>380</v>
      </c>
      <c r="H51" s="130"/>
      <c r="I51" s="131"/>
      <c r="J51" s="571"/>
      <c r="K51" s="522"/>
      <c r="L51" s="37"/>
      <c r="M51" s="38"/>
      <c r="N51" s="39"/>
      <c r="O51" s="130"/>
      <c r="P51" s="131"/>
      <c r="Q51" s="131"/>
      <c r="R51" s="37"/>
      <c r="S51" s="38"/>
      <c r="T51" s="39"/>
      <c r="U51" s="130"/>
      <c r="V51" s="38"/>
      <c r="W51" s="131"/>
      <c r="X51" s="37"/>
      <c r="Y51" s="38"/>
      <c r="Z51" s="39"/>
      <c r="AA51" s="130"/>
      <c r="AB51" s="38"/>
      <c r="AC51" s="131"/>
      <c r="AD51" s="37"/>
      <c r="AE51" s="38"/>
      <c r="AF51" s="39"/>
      <c r="AG51" s="130"/>
      <c r="AH51" s="38"/>
      <c r="AI51" s="131"/>
      <c r="AJ51" s="37"/>
      <c r="AK51" s="38"/>
      <c r="AL51" s="39"/>
      <c r="AM51" s="40"/>
      <c r="AN51" s="270"/>
      <c r="AO51" s="40"/>
    </row>
    <row r="52" spans="1:45" x14ac:dyDescent="0.45">
      <c r="A52" s="1" t="s">
        <v>213</v>
      </c>
      <c r="B52" s="710">
        <v>89050</v>
      </c>
      <c r="C52" s="258" t="s">
        <v>65</v>
      </c>
      <c r="D52" s="258" t="s">
        <v>65</v>
      </c>
      <c r="E52" s="1" t="s">
        <v>214</v>
      </c>
      <c r="F52" s="537" t="s">
        <v>535</v>
      </c>
      <c r="G52" s="254" t="s">
        <v>382</v>
      </c>
      <c r="H52" s="141">
        <v>12</v>
      </c>
      <c r="I52" s="38">
        <v>250</v>
      </c>
      <c r="J52" s="15">
        <v>1</v>
      </c>
      <c r="K52" s="131" t="s">
        <v>124</v>
      </c>
      <c r="L52" s="37">
        <f>J52*I52*H52</f>
        <v>3000</v>
      </c>
      <c r="M52" s="38">
        <v>0</v>
      </c>
      <c r="N52" s="39">
        <f t="shared" ref="N52:N55" si="45">SUM(L52:M52)</f>
        <v>3000</v>
      </c>
      <c r="O52" s="141">
        <v>12</v>
      </c>
      <c r="P52" s="38">
        <f t="shared" ref="P52:P55" si="46">I52*$H$6</f>
        <v>257.5</v>
      </c>
      <c r="Q52" s="15">
        <v>1</v>
      </c>
      <c r="R52" s="37">
        <f>O52*P52*Q52</f>
        <v>3090</v>
      </c>
      <c r="S52" s="38">
        <v>0</v>
      </c>
      <c r="T52" s="39">
        <f t="shared" ref="T52:T55" si="47">SUM(R52:S52)</f>
        <v>3090</v>
      </c>
      <c r="U52" s="141">
        <v>12</v>
      </c>
      <c r="V52" s="38">
        <f t="shared" ref="V52:V55" si="48">I52*$H$6*$H$6</f>
        <v>265.22500000000002</v>
      </c>
      <c r="W52" s="15">
        <v>1</v>
      </c>
      <c r="X52" s="37">
        <f t="shared" ref="X52:X55" si="49">U52*V52*W52</f>
        <v>3182.7000000000003</v>
      </c>
      <c r="Y52" s="38">
        <v>0</v>
      </c>
      <c r="Z52" s="39">
        <f t="shared" ref="Z52:Z55" si="50">SUM(X52:Y52)</f>
        <v>3182.7000000000003</v>
      </c>
      <c r="AA52" s="141">
        <v>12</v>
      </c>
      <c r="AB52" s="38">
        <f t="shared" ref="AB52:AB55" si="51">I52*$H$6*$H$6*$H$6</f>
        <v>273.18175000000002</v>
      </c>
      <c r="AC52" s="15">
        <v>1</v>
      </c>
      <c r="AD52" s="37">
        <f t="shared" ref="AD52:AD55" si="52">AA52*AB52*AC52</f>
        <v>3278.1810000000005</v>
      </c>
      <c r="AE52" s="38">
        <v>0</v>
      </c>
      <c r="AF52" s="39">
        <f t="shared" ref="AF52:AF55" si="53">SUM(AD52:AE52)</f>
        <v>3278.1810000000005</v>
      </c>
      <c r="AG52" s="141">
        <v>12</v>
      </c>
      <c r="AH52" s="38">
        <f t="shared" ref="AH52:AH55" si="54">I52*$H$6*$H$6*$H$6*$H$6</f>
        <v>281.37720250000001</v>
      </c>
      <c r="AI52" s="15">
        <v>1</v>
      </c>
      <c r="AJ52" s="37">
        <f t="shared" ref="AJ52:AJ55" si="55">AG52*AH52*AI52</f>
        <v>3376.5264299999999</v>
      </c>
      <c r="AK52" s="38">
        <v>0</v>
      </c>
      <c r="AL52" s="39">
        <f t="shared" ref="AL52:AL55" si="56">SUM(AJ52:AK52)</f>
        <v>3376.5264299999999</v>
      </c>
      <c r="AM52" s="270">
        <f>L52+R52+X52+AD52+AJ52</f>
        <v>15927.407430000001</v>
      </c>
      <c r="AN52" s="270">
        <f t="shared" ref="AN52:AN55" si="57">M52+S52+Y52+AE52+AK52</f>
        <v>0</v>
      </c>
      <c r="AO52" s="40">
        <f t="shared" ref="AO52:AO55" si="58">SUM(AM52:AN52)</f>
        <v>15927.407430000001</v>
      </c>
    </row>
    <row r="53" spans="1:45" x14ac:dyDescent="0.45">
      <c r="A53" s="1" t="s">
        <v>213</v>
      </c>
      <c r="B53" s="710">
        <v>89050</v>
      </c>
      <c r="C53" s="258" t="s">
        <v>65</v>
      </c>
      <c r="D53" s="258" t="s">
        <v>65</v>
      </c>
      <c r="E53" s="1" t="s">
        <v>214</v>
      </c>
      <c r="F53" s="537" t="s">
        <v>535</v>
      </c>
      <c r="G53" s="74" t="s">
        <v>383</v>
      </c>
      <c r="H53" s="141">
        <v>12</v>
      </c>
      <c r="I53" s="38">
        <v>40</v>
      </c>
      <c r="J53" s="15">
        <v>5</v>
      </c>
      <c r="K53" s="131" t="s">
        <v>127</v>
      </c>
      <c r="L53" s="37">
        <f>J53*I53*H53</f>
        <v>2400</v>
      </c>
      <c r="M53" s="38">
        <v>0</v>
      </c>
      <c r="N53" s="39">
        <f>SUM(L53:M53)</f>
        <v>2400</v>
      </c>
      <c r="O53" s="141">
        <v>12</v>
      </c>
      <c r="P53" s="38">
        <f>I53*$H$6</f>
        <v>41.2</v>
      </c>
      <c r="Q53" s="15">
        <v>5</v>
      </c>
      <c r="R53" s="37">
        <f>O53*P53*Q53</f>
        <v>2472</v>
      </c>
      <c r="S53" s="38">
        <v>0</v>
      </c>
      <c r="T53" s="39">
        <f>SUM(R53:S53)</f>
        <v>2472</v>
      </c>
      <c r="U53" s="141">
        <v>12</v>
      </c>
      <c r="V53" s="38">
        <f>I53*$H$6*$H$6</f>
        <v>42.436000000000007</v>
      </c>
      <c r="W53" s="15">
        <v>5</v>
      </c>
      <c r="X53" s="37">
        <f>U53*V53*W53</f>
        <v>2546.1600000000003</v>
      </c>
      <c r="Y53" s="38">
        <v>0</v>
      </c>
      <c r="Z53" s="39">
        <f>SUM(X53:Y53)</f>
        <v>2546.1600000000003</v>
      </c>
      <c r="AA53" s="141">
        <v>12</v>
      </c>
      <c r="AB53" s="38">
        <f>I53*$H$6*$H$6*$H$6</f>
        <v>43.709080000000007</v>
      </c>
      <c r="AC53" s="15">
        <v>5</v>
      </c>
      <c r="AD53" s="37">
        <f>AA53*AB53*AC53</f>
        <v>2622.5448000000006</v>
      </c>
      <c r="AE53" s="38">
        <v>0</v>
      </c>
      <c r="AF53" s="39">
        <f>SUM(AD53:AE53)</f>
        <v>2622.5448000000006</v>
      </c>
      <c r="AG53" s="141">
        <v>12</v>
      </c>
      <c r="AH53" s="38">
        <f>I53*$H$6*$H$6*$H$6*$H$6</f>
        <v>45.020352400000007</v>
      </c>
      <c r="AI53" s="15">
        <v>5</v>
      </c>
      <c r="AJ53" s="37">
        <f>AG53*AH53*AI53</f>
        <v>2701.2211440000005</v>
      </c>
      <c r="AK53" s="38">
        <v>0</v>
      </c>
      <c r="AL53" s="39">
        <f>SUM(AJ53:AK53)</f>
        <v>2701.2211440000005</v>
      </c>
      <c r="AM53" s="270">
        <f>L53+R53+X53+AD53+AJ53</f>
        <v>12741.925944000001</v>
      </c>
      <c r="AN53" s="270">
        <f>M53+S53+Y53+AE53+AK53</f>
        <v>0</v>
      </c>
      <c r="AO53" s="40">
        <f>SUM(AM53:AN53)</f>
        <v>12741.925944000001</v>
      </c>
    </row>
    <row r="54" spans="1:45" x14ac:dyDescent="0.45">
      <c r="A54" s="1" t="s">
        <v>213</v>
      </c>
      <c r="B54" s="710">
        <v>89050</v>
      </c>
      <c r="C54" s="258" t="s">
        <v>65</v>
      </c>
      <c r="D54" s="258" t="s">
        <v>65</v>
      </c>
      <c r="E54" s="1" t="s">
        <v>214</v>
      </c>
      <c r="F54" s="537" t="s">
        <v>535</v>
      </c>
      <c r="G54" s="74" t="s">
        <v>384</v>
      </c>
      <c r="H54" s="141">
        <v>12</v>
      </c>
      <c r="I54" s="38">
        <v>80</v>
      </c>
      <c r="J54" s="15">
        <v>4</v>
      </c>
      <c r="K54" s="131" t="s">
        <v>127</v>
      </c>
      <c r="L54" s="37">
        <f t="shared" ref="L54:L55" si="59">J54*I54*H54</f>
        <v>3840</v>
      </c>
      <c r="M54" s="38">
        <v>0</v>
      </c>
      <c r="N54" s="39">
        <f t="shared" si="45"/>
        <v>3840</v>
      </c>
      <c r="O54" s="141">
        <v>12</v>
      </c>
      <c r="P54" s="38">
        <f t="shared" si="46"/>
        <v>82.4</v>
      </c>
      <c r="Q54" s="15">
        <v>4</v>
      </c>
      <c r="R54" s="37">
        <f t="shared" ref="R54:R55" si="60">O54*P54*Q54</f>
        <v>3955.2000000000003</v>
      </c>
      <c r="S54" s="38">
        <v>0</v>
      </c>
      <c r="T54" s="39">
        <f t="shared" si="47"/>
        <v>3955.2000000000003</v>
      </c>
      <c r="U54" s="141">
        <v>12</v>
      </c>
      <c r="V54" s="38">
        <f t="shared" si="48"/>
        <v>84.872000000000014</v>
      </c>
      <c r="W54" s="15">
        <v>4</v>
      </c>
      <c r="X54" s="37">
        <f t="shared" si="49"/>
        <v>4073.8560000000007</v>
      </c>
      <c r="Y54" s="38">
        <v>0</v>
      </c>
      <c r="Z54" s="39">
        <f t="shared" si="50"/>
        <v>4073.8560000000007</v>
      </c>
      <c r="AA54" s="141">
        <v>12</v>
      </c>
      <c r="AB54" s="38">
        <f t="shared" si="51"/>
        <v>87.418160000000015</v>
      </c>
      <c r="AC54" s="15">
        <v>4</v>
      </c>
      <c r="AD54" s="37">
        <f t="shared" si="52"/>
        <v>4196.0716800000009</v>
      </c>
      <c r="AE54" s="38">
        <v>0</v>
      </c>
      <c r="AF54" s="39">
        <f t="shared" si="53"/>
        <v>4196.0716800000009</v>
      </c>
      <c r="AG54" s="141">
        <v>12</v>
      </c>
      <c r="AH54" s="38">
        <f t="shared" si="54"/>
        <v>90.040704800000015</v>
      </c>
      <c r="AI54" s="15">
        <v>4</v>
      </c>
      <c r="AJ54" s="37">
        <f t="shared" si="55"/>
        <v>4321.9538304000007</v>
      </c>
      <c r="AK54" s="38">
        <v>0</v>
      </c>
      <c r="AL54" s="39">
        <f t="shared" si="56"/>
        <v>4321.9538304000007</v>
      </c>
      <c r="AM54" s="270">
        <f t="shared" ref="AM54:AM55" si="61">L54+R54+X54+AD54+AJ54</f>
        <v>20387.081510400003</v>
      </c>
      <c r="AN54" s="270">
        <f t="shared" si="57"/>
        <v>0</v>
      </c>
      <c r="AO54" s="40">
        <f t="shared" si="58"/>
        <v>20387.081510400003</v>
      </c>
    </row>
    <row r="55" spans="1:45" x14ac:dyDescent="0.45">
      <c r="A55" s="1" t="s">
        <v>213</v>
      </c>
      <c r="B55" s="710">
        <v>89050</v>
      </c>
      <c r="C55" s="258" t="s">
        <v>65</v>
      </c>
      <c r="D55" s="258" t="s">
        <v>65</v>
      </c>
      <c r="E55" s="1" t="s">
        <v>214</v>
      </c>
      <c r="F55" s="537" t="s">
        <v>535</v>
      </c>
      <c r="G55" s="74" t="s">
        <v>385</v>
      </c>
      <c r="H55" s="141">
        <v>12</v>
      </c>
      <c r="I55" s="38">
        <v>25</v>
      </c>
      <c r="J55" s="15">
        <v>1</v>
      </c>
      <c r="K55" s="131" t="s">
        <v>124</v>
      </c>
      <c r="L55" s="37">
        <f t="shared" si="59"/>
        <v>300</v>
      </c>
      <c r="M55" s="38">
        <v>0</v>
      </c>
      <c r="N55" s="39">
        <f t="shared" si="45"/>
        <v>300</v>
      </c>
      <c r="O55" s="141">
        <v>12</v>
      </c>
      <c r="P55" s="38">
        <f t="shared" si="46"/>
        <v>25.75</v>
      </c>
      <c r="Q55" s="15">
        <v>1</v>
      </c>
      <c r="R55" s="37">
        <f t="shared" si="60"/>
        <v>309</v>
      </c>
      <c r="S55" s="38">
        <v>0</v>
      </c>
      <c r="T55" s="39">
        <f t="shared" si="47"/>
        <v>309</v>
      </c>
      <c r="U55" s="141">
        <v>12</v>
      </c>
      <c r="V55" s="38">
        <f t="shared" si="48"/>
        <v>26.522500000000001</v>
      </c>
      <c r="W55" s="15">
        <v>1</v>
      </c>
      <c r="X55" s="37">
        <f t="shared" si="49"/>
        <v>318.27</v>
      </c>
      <c r="Y55" s="38">
        <v>0</v>
      </c>
      <c r="Z55" s="39">
        <f t="shared" si="50"/>
        <v>318.27</v>
      </c>
      <c r="AA55" s="141">
        <v>12</v>
      </c>
      <c r="AB55" s="38">
        <f t="shared" si="51"/>
        <v>27.318175</v>
      </c>
      <c r="AC55" s="15">
        <v>1</v>
      </c>
      <c r="AD55" s="37">
        <f t="shared" si="52"/>
        <v>327.81810000000002</v>
      </c>
      <c r="AE55" s="38">
        <v>0</v>
      </c>
      <c r="AF55" s="39">
        <f t="shared" si="53"/>
        <v>327.81810000000002</v>
      </c>
      <c r="AG55" s="141">
        <v>12</v>
      </c>
      <c r="AH55" s="38">
        <f t="shared" si="54"/>
        <v>28.137720250000001</v>
      </c>
      <c r="AI55" s="15">
        <v>1</v>
      </c>
      <c r="AJ55" s="37">
        <f t="shared" si="55"/>
        <v>337.65264300000001</v>
      </c>
      <c r="AK55" s="38">
        <v>0</v>
      </c>
      <c r="AL55" s="39">
        <f t="shared" si="56"/>
        <v>337.65264300000001</v>
      </c>
      <c r="AM55" s="270">
        <f t="shared" si="61"/>
        <v>1592.7407429999998</v>
      </c>
      <c r="AN55" s="270">
        <f t="shared" si="57"/>
        <v>0</v>
      </c>
      <c r="AO55" s="40">
        <f t="shared" si="58"/>
        <v>1592.7407429999998</v>
      </c>
    </row>
    <row r="56" spans="1:45" x14ac:dyDescent="0.45">
      <c r="A56" s="15"/>
      <c r="B56" s="15"/>
      <c r="C56" s="258"/>
      <c r="D56" s="258"/>
      <c r="E56" s="15"/>
      <c r="F56" s="15"/>
      <c r="G56" s="74"/>
      <c r="H56" s="141"/>
      <c r="I56" s="15"/>
      <c r="J56" s="15"/>
      <c r="K56" s="131"/>
      <c r="L56" s="37"/>
      <c r="M56" s="38"/>
      <c r="N56" s="39"/>
      <c r="O56" s="141"/>
      <c r="P56" s="38"/>
      <c r="Q56" s="15"/>
      <c r="R56" s="37"/>
      <c r="S56" s="38"/>
      <c r="T56" s="39"/>
      <c r="U56" s="141"/>
      <c r="V56" s="38"/>
      <c r="W56" s="15"/>
      <c r="X56" s="37"/>
      <c r="Y56" s="38"/>
      <c r="Z56" s="39"/>
      <c r="AA56" s="141"/>
      <c r="AB56" s="38"/>
      <c r="AC56" s="15"/>
      <c r="AD56" s="37"/>
      <c r="AE56" s="38"/>
      <c r="AF56" s="39"/>
      <c r="AG56" s="141"/>
      <c r="AH56" s="38"/>
      <c r="AI56" s="15"/>
      <c r="AJ56" s="37"/>
      <c r="AK56" s="38"/>
      <c r="AL56" s="39"/>
      <c r="AM56" s="270"/>
      <c r="AN56" s="270"/>
      <c r="AO56" s="40"/>
    </row>
    <row r="57" spans="1:45" x14ac:dyDescent="0.45">
      <c r="A57" s="15"/>
      <c r="B57" s="15"/>
      <c r="C57" s="258"/>
      <c r="D57" s="258"/>
      <c r="E57" s="15"/>
      <c r="F57" s="15"/>
      <c r="G57" s="47" t="s">
        <v>536</v>
      </c>
      <c r="H57" s="140"/>
      <c r="I57" s="15"/>
      <c r="K57" s="112"/>
      <c r="L57" s="37"/>
      <c r="M57" s="38"/>
      <c r="N57" s="39"/>
      <c r="O57" s="140"/>
      <c r="R57" s="37"/>
      <c r="S57" s="38"/>
      <c r="T57" s="39"/>
      <c r="U57" s="140"/>
      <c r="X57" s="37"/>
      <c r="Y57" s="38"/>
      <c r="Z57" s="39"/>
      <c r="AA57" s="140"/>
      <c r="AD57" s="37"/>
      <c r="AE57" s="38"/>
      <c r="AF57" s="39"/>
      <c r="AG57" s="140"/>
      <c r="AJ57" s="37"/>
      <c r="AK57" s="38"/>
      <c r="AL57" s="39"/>
      <c r="AM57" s="40"/>
      <c r="AN57" s="270"/>
      <c r="AO57" s="40"/>
      <c r="AQ57" s="91"/>
      <c r="AR57" s="91"/>
      <c r="AS57" s="91"/>
    </row>
    <row r="58" spans="1:45" x14ac:dyDescent="0.45">
      <c r="A58" s="1" t="s">
        <v>213</v>
      </c>
      <c r="B58" s="710">
        <v>89050</v>
      </c>
      <c r="C58" s="258" t="s">
        <v>65</v>
      </c>
      <c r="D58" s="258" t="s">
        <v>65</v>
      </c>
      <c r="E58" s="1" t="s">
        <v>214</v>
      </c>
      <c r="F58" s="537" t="s">
        <v>537</v>
      </c>
      <c r="G58" s="74" t="s">
        <v>402</v>
      </c>
      <c r="H58" s="141">
        <v>6</v>
      </c>
      <c r="I58" s="38">
        <f>300</f>
        <v>300</v>
      </c>
      <c r="J58" s="15">
        <v>1</v>
      </c>
      <c r="K58" s="522" t="s">
        <v>107</v>
      </c>
      <c r="L58" s="37">
        <f t="shared" ref="L58" si="62">J58*I58*H58</f>
        <v>1800</v>
      </c>
      <c r="M58" s="38">
        <v>0</v>
      </c>
      <c r="N58" s="39">
        <f t="shared" ref="N58" si="63">SUM(L58:M58)</f>
        <v>1800</v>
      </c>
      <c r="O58" s="141">
        <v>12</v>
      </c>
      <c r="P58" s="38">
        <f t="shared" ref="P58" si="64">I58*$H$7</f>
        <v>312</v>
      </c>
      <c r="Q58" s="15">
        <v>1</v>
      </c>
      <c r="R58" s="37">
        <f t="shared" ref="R58" si="65">O58*P58*Q58</f>
        <v>3744</v>
      </c>
      <c r="S58" s="38">
        <v>0</v>
      </c>
      <c r="T58" s="39">
        <f t="shared" ref="T58" si="66">SUM(R58:S58)</f>
        <v>3744</v>
      </c>
      <c r="U58" s="141">
        <v>12</v>
      </c>
      <c r="V58" s="38">
        <f t="shared" ref="V58" si="67">I58*$H$7*$H$7</f>
        <v>324.48</v>
      </c>
      <c r="W58" s="15">
        <v>1</v>
      </c>
      <c r="X58" s="37">
        <f t="shared" ref="X58" si="68">U58*V58*W58</f>
        <v>3893.76</v>
      </c>
      <c r="Y58" s="38">
        <v>0</v>
      </c>
      <c r="Z58" s="39">
        <f t="shared" ref="Z58" si="69">SUM(X58:Y58)</f>
        <v>3893.76</v>
      </c>
      <c r="AA58" s="141">
        <v>12</v>
      </c>
      <c r="AB58" s="38">
        <f t="shared" ref="AB58" si="70">I58*$H$7*$H$7*$H$7</f>
        <v>337.45920000000001</v>
      </c>
      <c r="AC58" s="15">
        <v>1</v>
      </c>
      <c r="AD58" s="37">
        <f t="shared" ref="AD58" si="71">AA58*AB58*AC58</f>
        <v>4049.5104000000001</v>
      </c>
      <c r="AE58" s="38">
        <v>0</v>
      </c>
      <c r="AF58" s="39">
        <f t="shared" ref="AF58" si="72">SUM(AD58:AE58)</f>
        <v>4049.5104000000001</v>
      </c>
      <c r="AG58" s="141">
        <v>9</v>
      </c>
      <c r="AH58" s="38">
        <f t="shared" ref="AH58" si="73">I58*$H$7*$H$7*$H$7*$H$7</f>
        <v>350.95756800000004</v>
      </c>
      <c r="AI58" s="15">
        <v>1</v>
      </c>
      <c r="AJ58" s="37">
        <f t="shared" ref="AJ58" si="74">AG58*AH58*AI58</f>
        <v>3158.6181120000001</v>
      </c>
      <c r="AK58" s="38">
        <v>0</v>
      </c>
      <c r="AL58" s="39">
        <f t="shared" ref="AL58" si="75">SUM(AJ58:AK58)</f>
        <v>3158.6181120000001</v>
      </c>
      <c r="AM58" s="40">
        <f t="shared" ref="AM58" si="76">L58+R58+X58+AD58+AJ58</f>
        <v>16645.888512000001</v>
      </c>
      <c r="AN58" s="270">
        <f>M58+S58+Y58+AE58+AK58</f>
        <v>0</v>
      </c>
      <c r="AO58" s="40">
        <f t="shared" ref="AO58" si="77">SUM(AM58:AN58)</f>
        <v>16645.888512000001</v>
      </c>
    </row>
    <row r="59" spans="1:45" x14ac:dyDescent="0.45">
      <c r="A59" s="15"/>
      <c r="B59" s="15"/>
      <c r="C59" s="258"/>
      <c r="D59" s="258"/>
      <c r="E59" s="15"/>
      <c r="F59" s="15"/>
      <c r="G59" s="74"/>
      <c r="H59" s="141"/>
      <c r="I59" s="15"/>
      <c r="J59" s="572"/>
      <c r="K59" s="522"/>
      <c r="L59" s="37"/>
      <c r="M59" s="38"/>
      <c r="N59" s="38"/>
      <c r="O59" s="141"/>
      <c r="P59" s="38"/>
      <c r="Q59" s="15"/>
      <c r="R59" s="37"/>
      <c r="S59" s="38"/>
      <c r="T59" s="38"/>
      <c r="U59" s="141"/>
      <c r="V59" s="38"/>
      <c r="W59" s="15"/>
      <c r="X59" s="37"/>
      <c r="Y59" s="38"/>
      <c r="Z59" s="38"/>
      <c r="AA59" s="141"/>
      <c r="AB59" s="38"/>
      <c r="AC59" s="15"/>
      <c r="AD59" s="37"/>
      <c r="AE59" s="38"/>
      <c r="AF59" s="38"/>
      <c r="AG59" s="141"/>
      <c r="AH59" s="38"/>
      <c r="AI59" s="15"/>
      <c r="AJ59" s="37"/>
      <c r="AK59" s="38"/>
      <c r="AL59" s="39"/>
      <c r="AM59" s="40"/>
      <c r="AN59" s="270"/>
      <c r="AO59" s="40"/>
    </row>
    <row r="60" spans="1:45" x14ac:dyDescent="0.45">
      <c r="A60" s="15"/>
      <c r="B60" s="15"/>
      <c r="C60" s="258"/>
      <c r="D60" s="258"/>
      <c r="E60" s="15"/>
      <c r="F60" s="15"/>
      <c r="G60" s="353" t="s">
        <v>538</v>
      </c>
      <c r="H60" s="140"/>
      <c r="I60" s="15"/>
      <c r="K60" s="112"/>
      <c r="L60" s="37"/>
      <c r="M60" s="38"/>
      <c r="N60" s="39"/>
      <c r="O60" s="140"/>
      <c r="R60" s="37"/>
      <c r="S60" s="38"/>
      <c r="T60" s="39"/>
      <c r="U60" s="140"/>
      <c r="X60" s="37"/>
      <c r="Y60" s="38"/>
      <c r="Z60" s="39"/>
      <c r="AA60" s="140"/>
      <c r="AD60" s="37"/>
      <c r="AE60" s="38"/>
      <c r="AF60" s="39"/>
      <c r="AG60" s="140"/>
      <c r="AJ60" s="37"/>
      <c r="AK60" s="38"/>
      <c r="AL60" s="39"/>
      <c r="AM60" s="40"/>
      <c r="AN60" s="270"/>
      <c r="AO60" s="40"/>
      <c r="AQ60" s="91"/>
      <c r="AR60" s="91"/>
      <c r="AS60" s="91"/>
    </row>
    <row r="61" spans="1:45" x14ac:dyDescent="0.45">
      <c r="A61" s="1" t="s">
        <v>213</v>
      </c>
      <c r="B61" s="710">
        <v>89050</v>
      </c>
      <c r="C61" s="258" t="s">
        <v>65</v>
      </c>
      <c r="D61" s="258" t="s">
        <v>65</v>
      </c>
      <c r="E61" s="1" t="s">
        <v>214</v>
      </c>
      <c r="F61" s="537" t="s">
        <v>539</v>
      </c>
      <c r="G61" s="74" t="s">
        <v>404</v>
      </c>
      <c r="H61" s="141">
        <f>2*2</f>
        <v>4</v>
      </c>
      <c r="I61" s="38">
        <v>80</v>
      </c>
      <c r="J61" s="15">
        <v>1</v>
      </c>
      <c r="K61" s="522" t="s">
        <v>124</v>
      </c>
      <c r="L61" s="37">
        <f t="shared" ref="L61" si="78">J61*I61*H61</f>
        <v>320</v>
      </c>
      <c r="M61" s="38">
        <v>0</v>
      </c>
      <c r="N61" s="39">
        <f t="shared" ref="N61:N64" si="79">SUM(L61:M61)</f>
        <v>320</v>
      </c>
      <c r="O61" s="141">
        <v>2</v>
      </c>
      <c r="P61" s="38">
        <f t="shared" ref="P61" si="80">I61*$H$7</f>
        <v>83.2</v>
      </c>
      <c r="Q61" s="15">
        <v>1</v>
      </c>
      <c r="R61" s="37">
        <f t="shared" ref="R61:R64" si="81">O61*P61*Q61</f>
        <v>166.4</v>
      </c>
      <c r="S61" s="38">
        <v>0</v>
      </c>
      <c r="T61" s="39">
        <f t="shared" ref="T61:T64" si="82">SUM(R61:S61)</f>
        <v>166.4</v>
      </c>
      <c r="U61" s="141">
        <f>2*2</f>
        <v>4</v>
      </c>
      <c r="V61" s="38">
        <f>I61*$H$7*$H$7</f>
        <v>86.528000000000006</v>
      </c>
      <c r="W61" s="15">
        <v>1</v>
      </c>
      <c r="X61" s="37">
        <f>U61*V61*W61</f>
        <v>346.11200000000002</v>
      </c>
      <c r="Y61" s="38">
        <v>0</v>
      </c>
      <c r="Z61" s="39">
        <f t="shared" ref="Z61:Z64" si="83">SUM(X61:Y61)</f>
        <v>346.11200000000002</v>
      </c>
      <c r="AA61" s="141">
        <f>2*2</f>
        <v>4</v>
      </c>
      <c r="AB61" s="38">
        <f t="shared" ref="AB61" si="84">I61*$H$7*$H$7*$H$7</f>
        <v>89.989120000000014</v>
      </c>
      <c r="AC61" s="15">
        <v>1</v>
      </c>
      <c r="AD61" s="37">
        <f t="shared" ref="AD61:AD64" si="85">AA61*AB61*AC61</f>
        <v>359.95648000000006</v>
      </c>
      <c r="AE61" s="38">
        <v>0</v>
      </c>
      <c r="AF61" s="39">
        <f t="shared" ref="AF61:AF64" si="86">SUM(AD61:AE61)</f>
        <v>359.95648000000006</v>
      </c>
      <c r="AG61" s="141">
        <f>2*2</f>
        <v>4</v>
      </c>
      <c r="AH61" s="38">
        <f t="shared" ref="AH61" si="87">I61*$H$7*$H$7*$H$7*$H$7</f>
        <v>93.588684800000024</v>
      </c>
      <c r="AI61" s="15">
        <v>1</v>
      </c>
      <c r="AJ61" s="37">
        <f t="shared" ref="AJ61:AJ64" si="88">AG61*AH61*AI61</f>
        <v>374.3547392000001</v>
      </c>
      <c r="AK61" s="38">
        <v>0</v>
      </c>
      <c r="AL61" s="39">
        <f t="shared" ref="AL61:AL64" si="89">SUM(AJ61:AK61)</f>
        <v>374.3547392000001</v>
      </c>
      <c r="AM61" s="40">
        <f t="shared" ref="AM61:AN64" si="90">L61+R61+X61+AD61+AJ61</f>
        <v>1566.8232192</v>
      </c>
      <c r="AN61" s="270">
        <f t="shared" si="90"/>
        <v>0</v>
      </c>
      <c r="AO61" s="40">
        <f>SUM(AM61:AN61)</f>
        <v>1566.8232192</v>
      </c>
    </row>
    <row r="62" spans="1:45" x14ac:dyDescent="0.45">
      <c r="A62" s="1" t="s">
        <v>213</v>
      </c>
      <c r="B62" s="710">
        <v>89050</v>
      </c>
      <c r="C62" s="258" t="s">
        <v>65</v>
      </c>
      <c r="D62" s="258" t="s">
        <v>65</v>
      </c>
      <c r="E62" s="1" t="s">
        <v>214</v>
      </c>
      <c r="F62" s="537" t="s">
        <v>539</v>
      </c>
      <c r="G62" s="74" t="s">
        <v>405</v>
      </c>
      <c r="H62" s="141">
        <f>2*2</f>
        <v>4</v>
      </c>
      <c r="I62" s="38">
        <v>40</v>
      </c>
      <c r="J62" s="15">
        <v>2</v>
      </c>
      <c r="K62" s="522" t="s">
        <v>127</v>
      </c>
      <c r="L62" s="37">
        <f>J62*I62*H62</f>
        <v>320</v>
      </c>
      <c r="M62" s="38">
        <v>0</v>
      </c>
      <c r="N62" s="39">
        <f t="shared" si="79"/>
        <v>320</v>
      </c>
      <c r="O62" s="141">
        <v>2</v>
      </c>
      <c r="P62" s="38">
        <f>I62*$H$7</f>
        <v>41.6</v>
      </c>
      <c r="Q62" s="15">
        <v>2</v>
      </c>
      <c r="R62" s="37">
        <f t="shared" si="81"/>
        <v>166.4</v>
      </c>
      <c r="S62" s="38">
        <v>0</v>
      </c>
      <c r="T62" s="39">
        <f t="shared" si="82"/>
        <v>166.4</v>
      </c>
      <c r="U62" s="141">
        <f>2*2</f>
        <v>4</v>
      </c>
      <c r="V62" s="38">
        <f>I62*$H$7*$H$7</f>
        <v>43.264000000000003</v>
      </c>
      <c r="W62" s="15">
        <v>2</v>
      </c>
      <c r="X62" s="37">
        <f t="shared" ref="X62:X64" si="91">U62*V62*W62</f>
        <v>346.11200000000002</v>
      </c>
      <c r="Y62" s="38">
        <v>0</v>
      </c>
      <c r="Z62" s="39">
        <f t="shared" si="83"/>
        <v>346.11200000000002</v>
      </c>
      <c r="AA62" s="141">
        <f>2*2</f>
        <v>4</v>
      </c>
      <c r="AB62" s="38">
        <f>I62*$H$7*$H$7*$H$7</f>
        <v>44.994560000000007</v>
      </c>
      <c r="AC62" s="15">
        <v>2</v>
      </c>
      <c r="AD62" s="37">
        <f t="shared" si="85"/>
        <v>359.95648000000006</v>
      </c>
      <c r="AE62" s="38">
        <v>0</v>
      </c>
      <c r="AF62" s="39">
        <f t="shared" si="86"/>
        <v>359.95648000000006</v>
      </c>
      <c r="AG62" s="141">
        <f>2*2</f>
        <v>4</v>
      </c>
      <c r="AH62" s="38">
        <f>I62*$H$7*$H$7*$H$7*$H$7</f>
        <v>46.794342400000012</v>
      </c>
      <c r="AI62" s="15">
        <v>2</v>
      </c>
      <c r="AJ62" s="37">
        <f t="shared" si="88"/>
        <v>374.3547392000001</v>
      </c>
      <c r="AK62" s="38">
        <v>0</v>
      </c>
      <c r="AL62" s="39">
        <f t="shared" si="89"/>
        <v>374.3547392000001</v>
      </c>
      <c r="AM62" s="40">
        <f>L62+R62+X62+AD62+AJ62</f>
        <v>1566.8232192</v>
      </c>
      <c r="AN62" s="270">
        <f t="shared" si="90"/>
        <v>0</v>
      </c>
      <c r="AO62" s="40">
        <f t="shared" ref="AO62:AO64" si="92">SUM(AM62:AN62)</f>
        <v>1566.8232192</v>
      </c>
    </row>
    <row r="63" spans="1:45" x14ac:dyDescent="0.45">
      <c r="A63" s="1" t="s">
        <v>213</v>
      </c>
      <c r="B63" s="710">
        <v>89050</v>
      </c>
      <c r="C63" s="258" t="s">
        <v>65</v>
      </c>
      <c r="D63" s="258" t="s">
        <v>65</v>
      </c>
      <c r="E63" s="1" t="s">
        <v>214</v>
      </c>
      <c r="F63" s="537" t="s">
        <v>539</v>
      </c>
      <c r="G63" s="74" t="s">
        <v>406</v>
      </c>
      <c r="H63" s="141">
        <f>2*2</f>
        <v>4</v>
      </c>
      <c r="I63" s="38">
        <v>80</v>
      </c>
      <c r="J63" s="15">
        <v>2</v>
      </c>
      <c r="K63" s="522" t="s">
        <v>127</v>
      </c>
      <c r="L63" s="37">
        <f t="shared" ref="L63:L64" si="93">J63*I63*H63</f>
        <v>640</v>
      </c>
      <c r="M63" s="38">
        <v>0</v>
      </c>
      <c r="N63" s="39">
        <f t="shared" si="79"/>
        <v>640</v>
      </c>
      <c r="O63" s="141">
        <v>2</v>
      </c>
      <c r="P63" s="38">
        <f t="shared" ref="P63:P64" si="94">I63*$H$7</f>
        <v>83.2</v>
      </c>
      <c r="Q63" s="15">
        <v>2</v>
      </c>
      <c r="R63" s="37">
        <f t="shared" si="81"/>
        <v>332.8</v>
      </c>
      <c r="S63" s="38">
        <v>0</v>
      </c>
      <c r="T63" s="39">
        <f t="shared" si="82"/>
        <v>332.8</v>
      </c>
      <c r="U63" s="141">
        <f>2*2</f>
        <v>4</v>
      </c>
      <c r="V63" s="38">
        <f t="shared" ref="V63:V64" si="95">I63*$H$7*$H$7</f>
        <v>86.528000000000006</v>
      </c>
      <c r="W63" s="15">
        <v>2</v>
      </c>
      <c r="X63" s="37">
        <f t="shared" si="91"/>
        <v>692.22400000000005</v>
      </c>
      <c r="Y63" s="38">
        <v>0</v>
      </c>
      <c r="Z63" s="39">
        <f t="shared" si="83"/>
        <v>692.22400000000005</v>
      </c>
      <c r="AA63" s="141">
        <f>2*2</f>
        <v>4</v>
      </c>
      <c r="AB63" s="38">
        <f t="shared" ref="AB63:AB64" si="96">I63*$H$7*$H$7*$H$7</f>
        <v>89.989120000000014</v>
      </c>
      <c r="AC63" s="15">
        <v>2</v>
      </c>
      <c r="AD63" s="37">
        <f t="shared" si="85"/>
        <v>719.91296000000011</v>
      </c>
      <c r="AE63" s="38">
        <v>0</v>
      </c>
      <c r="AF63" s="39">
        <f t="shared" si="86"/>
        <v>719.91296000000011</v>
      </c>
      <c r="AG63" s="141">
        <f>2*2</f>
        <v>4</v>
      </c>
      <c r="AH63" s="38">
        <f t="shared" ref="AH63:AH64" si="97">I63*$H$7*$H$7*$H$7*$H$7</f>
        <v>93.588684800000024</v>
      </c>
      <c r="AI63" s="15">
        <v>2</v>
      </c>
      <c r="AJ63" s="37">
        <f t="shared" si="88"/>
        <v>748.70947840000019</v>
      </c>
      <c r="AK63" s="38">
        <v>0</v>
      </c>
      <c r="AL63" s="39">
        <f t="shared" si="89"/>
        <v>748.70947840000019</v>
      </c>
      <c r="AM63" s="40">
        <f t="shared" ref="AM63:AM64" si="98">L63+R63+X63+AD63+AJ63</f>
        <v>3133.6464384000001</v>
      </c>
      <c r="AN63" s="270">
        <f t="shared" si="90"/>
        <v>0</v>
      </c>
      <c r="AO63" s="40">
        <f t="shared" si="92"/>
        <v>3133.6464384000001</v>
      </c>
    </row>
    <row r="64" spans="1:45" x14ac:dyDescent="0.45">
      <c r="A64" s="1" t="s">
        <v>213</v>
      </c>
      <c r="B64" s="710">
        <v>89050</v>
      </c>
      <c r="C64" s="258" t="s">
        <v>65</v>
      </c>
      <c r="D64" s="258" t="s">
        <v>65</v>
      </c>
      <c r="E64" s="1" t="s">
        <v>214</v>
      </c>
      <c r="F64" s="537" t="s">
        <v>539</v>
      </c>
      <c r="G64" s="74" t="s">
        <v>407</v>
      </c>
      <c r="H64" s="141">
        <f>2*2</f>
        <v>4</v>
      </c>
      <c r="I64" s="38">
        <v>25</v>
      </c>
      <c r="J64" s="15">
        <v>1</v>
      </c>
      <c r="K64" s="522" t="s">
        <v>124</v>
      </c>
      <c r="L64" s="37">
        <f t="shared" si="93"/>
        <v>100</v>
      </c>
      <c r="M64" s="38">
        <v>0</v>
      </c>
      <c r="N64" s="39">
        <f t="shared" si="79"/>
        <v>100</v>
      </c>
      <c r="O64" s="141">
        <v>2</v>
      </c>
      <c r="P64" s="38">
        <f t="shared" si="94"/>
        <v>26</v>
      </c>
      <c r="Q64" s="15">
        <v>1</v>
      </c>
      <c r="R64" s="37">
        <f t="shared" si="81"/>
        <v>52</v>
      </c>
      <c r="S64" s="38">
        <v>0</v>
      </c>
      <c r="T64" s="39">
        <f t="shared" si="82"/>
        <v>52</v>
      </c>
      <c r="U64" s="141">
        <f>2*2</f>
        <v>4</v>
      </c>
      <c r="V64" s="38">
        <f t="shared" si="95"/>
        <v>27.04</v>
      </c>
      <c r="W64" s="15">
        <v>1</v>
      </c>
      <c r="X64" s="37">
        <f t="shared" si="91"/>
        <v>108.16</v>
      </c>
      <c r="Y64" s="38">
        <v>0</v>
      </c>
      <c r="Z64" s="39">
        <f t="shared" si="83"/>
        <v>108.16</v>
      </c>
      <c r="AA64" s="141">
        <f>2*2</f>
        <v>4</v>
      </c>
      <c r="AB64" s="38">
        <f t="shared" si="96"/>
        <v>28.121600000000001</v>
      </c>
      <c r="AC64" s="15">
        <v>1</v>
      </c>
      <c r="AD64" s="37">
        <f t="shared" si="85"/>
        <v>112.4864</v>
      </c>
      <c r="AE64" s="38">
        <v>0</v>
      </c>
      <c r="AF64" s="39">
        <f t="shared" si="86"/>
        <v>112.4864</v>
      </c>
      <c r="AG64" s="141">
        <f>2*2</f>
        <v>4</v>
      </c>
      <c r="AH64" s="38">
        <f t="shared" si="97"/>
        <v>29.246464000000003</v>
      </c>
      <c r="AI64" s="15">
        <v>1</v>
      </c>
      <c r="AJ64" s="37">
        <f t="shared" si="88"/>
        <v>116.98585600000001</v>
      </c>
      <c r="AK64" s="38">
        <v>0</v>
      </c>
      <c r="AL64" s="39">
        <f t="shared" si="89"/>
        <v>116.98585600000001</v>
      </c>
      <c r="AM64" s="40">
        <f t="shared" si="98"/>
        <v>489.63225599999998</v>
      </c>
      <c r="AN64" s="270">
        <f t="shared" si="90"/>
        <v>0</v>
      </c>
      <c r="AO64" s="40">
        <f t="shared" si="92"/>
        <v>489.63225599999998</v>
      </c>
    </row>
    <row r="65" spans="1:45" x14ac:dyDescent="0.45">
      <c r="A65" s="15"/>
      <c r="B65" s="15"/>
      <c r="C65" s="258"/>
      <c r="D65" s="258"/>
      <c r="E65" s="15"/>
      <c r="F65" s="15"/>
      <c r="G65" s="74"/>
      <c r="H65" s="141"/>
      <c r="I65" s="15"/>
      <c r="J65" s="572"/>
      <c r="K65" s="522"/>
      <c r="L65" s="37"/>
      <c r="M65" s="38"/>
      <c r="N65" s="38"/>
      <c r="O65" s="141"/>
      <c r="P65" s="38"/>
      <c r="Q65" s="15"/>
      <c r="R65" s="37"/>
      <c r="S65" s="38"/>
      <c r="T65" s="38"/>
      <c r="U65" s="141"/>
      <c r="V65" s="38"/>
      <c r="W65" s="15"/>
      <c r="X65" s="37"/>
      <c r="Y65" s="38"/>
      <c r="Z65" s="38"/>
      <c r="AA65" s="141"/>
      <c r="AB65" s="38"/>
      <c r="AC65" s="15"/>
      <c r="AD65" s="37"/>
      <c r="AE65" s="38"/>
      <c r="AF65" s="38"/>
      <c r="AG65" s="141"/>
      <c r="AH65" s="38"/>
      <c r="AI65" s="15"/>
      <c r="AJ65" s="37"/>
      <c r="AK65" s="38"/>
      <c r="AL65" s="39"/>
      <c r="AM65" s="40"/>
      <c r="AN65" s="270"/>
      <c r="AO65" s="40"/>
    </row>
    <row r="66" spans="1:45" x14ac:dyDescent="0.45">
      <c r="A66" s="15"/>
      <c r="B66" s="15"/>
      <c r="C66" s="258"/>
      <c r="D66" s="258"/>
      <c r="E66" s="15"/>
      <c r="F66" s="15"/>
      <c r="G66" s="353" t="s">
        <v>540</v>
      </c>
      <c r="H66" s="140"/>
      <c r="I66" s="15"/>
      <c r="K66" s="112"/>
      <c r="L66" s="37"/>
      <c r="M66" s="38"/>
      <c r="N66" s="39"/>
      <c r="O66" s="140"/>
      <c r="R66" s="37"/>
      <c r="S66" s="38"/>
      <c r="T66" s="39"/>
      <c r="U66" s="140"/>
      <c r="X66" s="37"/>
      <c r="Y66" s="38"/>
      <c r="Z66" s="39"/>
      <c r="AA66" s="140"/>
      <c r="AD66" s="37"/>
      <c r="AE66" s="38"/>
      <c r="AF66" s="39"/>
      <c r="AG66" s="140"/>
      <c r="AJ66" s="37"/>
      <c r="AK66" s="38"/>
      <c r="AL66" s="39"/>
      <c r="AM66" s="40"/>
      <c r="AN66" s="270"/>
      <c r="AO66" s="40"/>
      <c r="AQ66" s="91"/>
      <c r="AR66" s="91"/>
      <c r="AS66" s="91"/>
    </row>
    <row r="67" spans="1:45" x14ac:dyDescent="0.45">
      <c r="A67" s="1" t="s">
        <v>213</v>
      </c>
      <c r="B67" s="710">
        <v>89050</v>
      </c>
      <c r="C67" s="258" t="s">
        <v>65</v>
      </c>
      <c r="D67" s="258" t="s">
        <v>65</v>
      </c>
      <c r="E67" s="1" t="s">
        <v>214</v>
      </c>
      <c r="F67" s="537" t="s">
        <v>541</v>
      </c>
      <c r="G67" s="74" t="s">
        <v>410</v>
      </c>
      <c r="H67" s="141">
        <v>2</v>
      </c>
      <c r="I67" s="38">
        <v>50</v>
      </c>
      <c r="J67" s="15">
        <v>1</v>
      </c>
      <c r="K67" s="522" t="s">
        <v>124</v>
      </c>
      <c r="L67" s="37">
        <f t="shared" ref="L67" si="99">J67*I67*H67</f>
        <v>100</v>
      </c>
      <c r="M67" s="38">
        <v>0</v>
      </c>
      <c r="N67" s="39">
        <f t="shared" ref="N67:N70" si="100">SUM(L67:M67)</f>
        <v>100</v>
      </c>
      <c r="O67" s="141">
        <v>0</v>
      </c>
      <c r="P67" s="38">
        <f t="shared" ref="P67" si="101">I67*$H$7</f>
        <v>52</v>
      </c>
      <c r="Q67" s="15">
        <v>1</v>
      </c>
      <c r="R67" s="37">
        <f t="shared" ref="R67:R70" si="102">O67*P67*Q67</f>
        <v>0</v>
      </c>
      <c r="S67" s="38">
        <v>0</v>
      </c>
      <c r="T67" s="39">
        <f t="shared" ref="T67:T70" si="103">SUM(R67:S67)</f>
        <v>0</v>
      </c>
      <c r="U67" s="141">
        <v>2</v>
      </c>
      <c r="V67" s="38">
        <f t="shared" ref="V67" si="104">I67*$H$7*$H$7</f>
        <v>54.08</v>
      </c>
      <c r="W67" s="15">
        <v>1</v>
      </c>
      <c r="X67" s="37">
        <f t="shared" ref="X67:X70" si="105">U67*V67*W67</f>
        <v>108.16</v>
      </c>
      <c r="Y67" s="38">
        <v>0</v>
      </c>
      <c r="Z67" s="39">
        <f t="shared" ref="Z67:Z70" si="106">SUM(X67:Y67)</f>
        <v>108.16</v>
      </c>
      <c r="AA67" s="141">
        <v>0</v>
      </c>
      <c r="AB67" s="38">
        <f t="shared" ref="AB67" si="107">I67*$H$7*$H$7*$H$7</f>
        <v>56.243200000000002</v>
      </c>
      <c r="AC67" s="15">
        <v>1</v>
      </c>
      <c r="AD67" s="37">
        <f t="shared" ref="AD67:AD70" si="108">AA67*AB67*AC67</f>
        <v>0</v>
      </c>
      <c r="AE67" s="38">
        <v>0</v>
      </c>
      <c r="AF67" s="39">
        <f t="shared" ref="AF67:AF70" si="109">SUM(AD67:AE67)</f>
        <v>0</v>
      </c>
      <c r="AG67" s="141">
        <v>0</v>
      </c>
      <c r="AH67" s="38">
        <f t="shared" ref="AH67" si="110">I67*$H$7*$H$7*$H$7*$H$7</f>
        <v>58.492928000000006</v>
      </c>
      <c r="AI67" s="15">
        <v>1</v>
      </c>
      <c r="AJ67" s="37">
        <f t="shared" ref="AJ67:AJ70" si="111">AG67*AH67*AI67</f>
        <v>0</v>
      </c>
      <c r="AK67" s="38">
        <v>0</v>
      </c>
      <c r="AL67" s="39">
        <f t="shared" ref="AL67:AL70" si="112">SUM(AJ67:AK67)</f>
        <v>0</v>
      </c>
      <c r="AM67" s="40">
        <f t="shared" ref="AM67:AN70" si="113">L67+R67+X67+AD67+AJ67</f>
        <v>208.16</v>
      </c>
      <c r="AN67" s="270">
        <f t="shared" si="113"/>
        <v>0</v>
      </c>
      <c r="AO67" s="40">
        <f t="shared" ref="AO67:AO70" si="114">SUM(AM67:AN67)</f>
        <v>208.16</v>
      </c>
    </row>
    <row r="68" spans="1:45" x14ac:dyDescent="0.45">
      <c r="A68" s="1" t="s">
        <v>213</v>
      </c>
      <c r="B68" s="710">
        <v>89050</v>
      </c>
      <c r="C68" s="258" t="s">
        <v>65</v>
      </c>
      <c r="D68" s="258" t="s">
        <v>65</v>
      </c>
      <c r="E68" s="1" t="s">
        <v>214</v>
      </c>
      <c r="F68" s="537" t="s">
        <v>541</v>
      </c>
      <c r="G68" s="74" t="s">
        <v>411</v>
      </c>
      <c r="H68" s="141">
        <v>2</v>
      </c>
      <c r="I68" s="38">
        <v>40</v>
      </c>
      <c r="J68" s="15">
        <v>2</v>
      </c>
      <c r="K68" s="522" t="s">
        <v>127</v>
      </c>
      <c r="L68" s="37">
        <f>J68*I68*H68</f>
        <v>160</v>
      </c>
      <c r="M68" s="38">
        <v>0</v>
      </c>
      <c r="N68" s="39">
        <f t="shared" si="100"/>
        <v>160</v>
      </c>
      <c r="O68" s="141">
        <v>0</v>
      </c>
      <c r="P68" s="38">
        <f>I68*$H$7</f>
        <v>41.6</v>
      </c>
      <c r="Q68" s="15">
        <v>2</v>
      </c>
      <c r="R68" s="37">
        <f t="shared" si="102"/>
        <v>0</v>
      </c>
      <c r="S68" s="38">
        <v>0</v>
      </c>
      <c r="T68" s="39">
        <f t="shared" si="103"/>
        <v>0</v>
      </c>
      <c r="U68" s="141">
        <v>2</v>
      </c>
      <c r="V68" s="38">
        <f>I68*$H$7*$H$7</f>
        <v>43.264000000000003</v>
      </c>
      <c r="W68" s="15">
        <v>2</v>
      </c>
      <c r="X68" s="37">
        <f t="shared" si="105"/>
        <v>173.05600000000001</v>
      </c>
      <c r="Y68" s="38">
        <v>0</v>
      </c>
      <c r="Z68" s="39">
        <f t="shared" si="106"/>
        <v>173.05600000000001</v>
      </c>
      <c r="AA68" s="141">
        <v>0</v>
      </c>
      <c r="AB68" s="38">
        <f>I68*$H$7*$H$7*$H$7</f>
        <v>44.994560000000007</v>
      </c>
      <c r="AC68" s="15">
        <v>2</v>
      </c>
      <c r="AD68" s="37">
        <f t="shared" si="108"/>
        <v>0</v>
      </c>
      <c r="AE68" s="38">
        <v>0</v>
      </c>
      <c r="AF68" s="39">
        <f t="shared" si="109"/>
        <v>0</v>
      </c>
      <c r="AG68" s="141">
        <v>0</v>
      </c>
      <c r="AH68" s="38">
        <f>I68*$H$7*$H$7*$H$7*$H$7</f>
        <v>46.794342400000012</v>
      </c>
      <c r="AI68" s="15">
        <v>2</v>
      </c>
      <c r="AJ68" s="37">
        <f t="shared" si="111"/>
        <v>0</v>
      </c>
      <c r="AK68" s="38">
        <v>0</v>
      </c>
      <c r="AL68" s="39">
        <f t="shared" si="112"/>
        <v>0</v>
      </c>
      <c r="AM68" s="40">
        <f>L68+R68+X68+AD68+AJ68</f>
        <v>333.05600000000004</v>
      </c>
      <c r="AN68" s="270">
        <f t="shared" si="113"/>
        <v>0</v>
      </c>
      <c r="AO68" s="40">
        <f t="shared" si="114"/>
        <v>333.05600000000004</v>
      </c>
    </row>
    <row r="69" spans="1:45" x14ac:dyDescent="0.45">
      <c r="A69" s="1" t="s">
        <v>213</v>
      </c>
      <c r="B69" s="710">
        <v>89050</v>
      </c>
      <c r="C69" s="258" t="s">
        <v>65</v>
      </c>
      <c r="D69" s="258" t="s">
        <v>65</v>
      </c>
      <c r="E69" s="1" t="s">
        <v>214</v>
      </c>
      <c r="F69" s="537" t="s">
        <v>541</v>
      </c>
      <c r="G69" s="74" t="s">
        <v>412</v>
      </c>
      <c r="H69" s="141">
        <v>2</v>
      </c>
      <c r="I69" s="38">
        <v>80</v>
      </c>
      <c r="J69" s="15">
        <v>2</v>
      </c>
      <c r="K69" s="522" t="s">
        <v>127</v>
      </c>
      <c r="L69" s="37">
        <f t="shared" ref="L69:L70" si="115">J69*I69*H69</f>
        <v>320</v>
      </c>
      <c r="M69" s="38">
        <v>0</v>
      </c>
      <c r="N69" s="39">
        <f t="shared" si="100"/>
        <v>320</v>
      </c>
      <c r="O69" s="141">
        <v>0</v>
      </c>
      <c r="P69" s="38">
        <f t="shared" ref="P69:P70" si="116">I69*$H$7</f>
        <v>83.2</v>
      </c>
      <c r="Q69" s="15">
        <v>2</v>
      </c>
      <c r="R69" s="37">
        <f t="shared" si="102"/>
        <v>0</v>
      </c>
      <c r="S69" s="38">
        <v>0</v>
      </c>
      <c r="T69" s="39">
        <f t="shared" si="103"/>
        <v>0</v>
      </c>
      <c r="U69" s="141">
        <v>2</v>
      </c>
      <c r="V69" s="38">
        <f t="shared" ref="V69:V70" si="117">I69*$H$7*$H$7</f>
        <v>86.528000000000006</v>
      </c>
      <c r="W69" s="15">
        <v>2</v>
      </c>
      <c r="X69" s="37">
        <f t="shared" si="105"/>
        <v>346.11200000000002</v>
      </c>
      <c r="Y69" s="38">
        <v>0</v>
      </c>
      <c r="Z69" s="39">
        <f t="shared" si="106"/>
        <v>346.11200000000002</v>
      </c>
      <c r="AA69" s="141">
        <v>0</v>
      </c>
      <c r="AB69" s="38">
        <f t="shared" ref="AB69:AB70" si="118">I69*$H$7*$H$7*$H$7</f>
        <v>89.989120000000014</v>
      </c>
      <c r="AC69" s="15">
        <v>2</v>
      </c>
      <c r="AD69" s="37">
        <f t="shared" si="108"/>
        <v>0</v>
      </c>
      <c r="AE69" s="38">
        <v>0</v>
      </c>
      <c r="AF69" s="39">
        <f t="shared" si="109"/>
        <v>0</v>
      </c>
      <c r="AG69" s="141">
        <v>0</v>
      </c>
      <c r="AH69" s="38">
        <f t="shared" ref="AH69:AH70" si="119">I69*$H$7*$H$7*$H$7*$H$7</f>
        <v>93.588684800000024</v>
      </c>
      <c r="AI69" s="15">
        <v>2</v>
      </c>
      <c r="AJ69" s="37">
        <f t="shared" si="111"/>
        <v>0</v>
      </c>
      <c r="AK69" s="38">
        <v>0</v>
      </c>
      <c r="AL69" s="39">
        <f t="shared" si="112"/>
        <v>0</v>
      </c>
      <c r="AM69" s="40">
        <f t="shared" ref="AM69:AM70" si="120">L69+R69+X69+AD69+AJ69</f>
        <v>666.11200000000008</v>
      </c>
      <c r="AN69" s="270">
        <f t="shared" si="113"/>
        <v>0</v>
      </c>
      <c r="AO69" s="40">
        <f t="shared" si="114"/>
        <v>666.11200000000008</v>
      </c>
    </row>
    <row r="70" spans="1:45" x14ac:dyDescent="0.45">
      <c r="A70" s="1" t="s">
        <v>213</v>
      </c>
      <c r="B70" s="710">
        <v>89050</v>
      </c>
      <c r="C70" s="258" t="s">
        <v>65</v>
      </c>
      <c r="D70" s="258" t="s">
        <v>65</v>
      </c>
      <c r="E70" s="1" t="s">
        <v>214</v>
      </c>
      <c r="F70" s="537" t="s">
        <v>541</v>
      </c>
      <c r="G70" s="74" t="s">
        <v>413</v>
      </c>
      <c r="H70" s="141">
        <v>2</v>
      </c>
      <c r="I70" s="38">
        <v>25</v>
      </c>
      <c r="J70" s="15">
        <v>1</v>
      </c>
      <c r="K70" s="522" t="s">
        <v>124</v>
      </c>
      <c r="L70" s="37">
        <f t="shared" si="115"/>
        <v>50</v>
      </c>
      <c r="M70" s="38">
        <v>0</v>
      </c>
      <c r="N70" s="39">
        <f t="shared" si="100"/>
        <v>50</v>
      </c>
      <c r="O70" s="141">
        <v>0</v>
      </c>
      <c r="P70" s="38">
        <f t="shared" si="116"/>
        <v>26</v>
      </c>
      <c r="Q70" s="15">
        <v>1</v>
      </c>
      <c r="R70" s="37">
        <f t="shared" si="102"/>
        <v>0</v>
      </c>
      <c r="S70" s="38">
        <v>0</v>
      </c>
      <c r="T70" s="39">
        <f t="shared" si="103"/>
        <v>0</v>
      </c>
      <c r="U70" s="141">
        <v>2</v>
      </c>
      <c r="V70" s="38">
        <f t="shared" si="117"/>
        <v>27.04</v>
      </c>
      <c r="W70" s="15">
        <v>1</v>
      </c>
      <c r="X70" s="37">
        <f t="shared" si="105"/>
        <v>54.08</v>
      </c>
      <c r="Y70" s="38">
        <v>0</v>
      </c>
      <c r="Z70" s="39">
        <f t="shared" si="106"/>
        <v>54.08</v>
      </c>
      <c r="AA70" s="141">
        <v>0</v>
      </c>
      <c r="AB70" s="38">
        <f t="shared" si="118"/>
        <v>28.121600000000001</v>
      </c>
      <c r="AC70" s="15">
        <v>1</v>
      </c>
      <c r="AD70" s="37">
        <f t="shared" si="108"/>
        <v>0</v>
      </c>
      <c r="AE70" s="38">
        <v>0</v>
      </c>
      <c r="AF70" s="39">
        <f t="shared" si="109"/>
        <v>0</v>
      </c>
      <c r="AG70" s="141">
        <v>0</v>
      </c>
      <c r="AH70" s="38">
        <f t="shared" si="119"/>
        <v>29.246464000000003</v>
      </c>
      <c r="AI70" s="15">
        <v>1</v>
      </c>
      <c r="AJ70" s="37">
        <f t="shared" si="111"/>
        <v>0</v>
      </c>
      <c r="AK70" s="38">
        <v>0</v>
      </c>
      <c r="AL70" s="39">
        <f t="shared" si="112"/>
        <v>0</v>
      </c>
      <c r="AM70" s="40">
        <f t="shared" si="120"/>
        <v>104.08</v>
      </c>
      <c r="AN70" s="270">
        <f t="shared" si="113"/>
        <v>0</v>
      </c>
      <c r="AO70" s="40">
        <f t="shared" si="114"/>
        <v>104.08</v>
      </c>
    </row>
    <row r="71" spans="1:45" x14ac:dyDescent="0.45">
      <c r="A71" s="15"/>
      <c r="B71" s="15"/>
      <c r="C71" s="258"/>
      <c r="D71" s="258"/>
      <c r="E71" s="15"/>
      <c r="F71" s="15"/>
      <c r="G71" s="74"/>
      <c r="H71" s="141"/>
      <c r="I71" s="15"/>
      <c r="J71" s="572"/>
      <c r="K71" s="522"/>
      <c r="L71" s="37"/>
      <c r="M71" s="38"/>
      <c r="N71" s="38"/>
      <c r="O71" s="141"/>
      <c r="P71" s="38"/>
      <c r="Q71" s="15"/>
      <c r="R71" s="37"/>
      <c r="S71" s="38"/>
      <c r="T71" s="38"/>
      <c r="U71" s="141"/>
      <c r="V71" s="38"/>
      <c r="W71" s="15"/>
      <c r="X71" s="37"/>
      <c r="Y71" s="38"/>
      <c r="Z71" s="38"/>
      <c r="AA71" s="141"/>
      <c r="AB71" s="38"/>
      <c r="AC71" s="15"/>
      <c r="AD71" s="37"/>
      <c r="AE71" s="38"/>
      <c r="AF71" s="38"/>
      <c r="AG71" s="141"/>
      <c r="AH71" s="38"/>
      <c r="AI71" s="15"/>
      <c r="AJ71" s="37"/>
      <c r="AK71" s="38"/>
      <c r="AL71" s="39"/>
      <c r="AM71" s="40"/>
      <c r="AN71" s="270"/>
      <c r="AO71" s="40"/>
    </row>
    <row r="72" spans="1:45" x14ac:dyDescent="0.45">
      <c r="A72" s="15"/>
      <c r="B72" s="15"/>
      <c r="C72" s="258"/>
      <c r="D72" s="258"/>
      <c r="E72" s="15"/>
      <c r="F72" s="15"/>
      <c r="G72" s="47" t="s">
        <v>542</v>
      </c>
      <c r="H72" s="140"/>
      <c r="I72" s="15"/>
      <c r="K72" s="112"/>
      <c r="L72" s="37"/>
      <c r="M72" s="38"/>
      <c r="N72" s="39"/>
      <c r="O72" s="140"/>
      <c r="R72" s="37"/>
      <c r="S72" s="38"/>
      <c r="T72" s="39"/>
      <c r="U72" s="140"/>
      <c r="X72" s="37"/>
      <c r="Y72" s="38"/>
      <c r="Z72" s="39"/>
      <c r="AA72" s="140"/>
      <c r="AD72" s="37"/>
      <c r="AE72" s="38"/>
      <c r="AF72" s="39"/>
      <c r="AG72" s="140"/>
      <c r="AJ72" s="37"/>
      <c r="AK72" s="38"/>
      <c r="AL72" s="39"/>
      <c r="AM72" s="40"/>
      <c r="AN72" s="270"/>
      <c r="AO72" s="40"/>
      <c r="AQ72" s="91"/>
      <c r="AR72" s="91"/>
      <c r="AS72" s="91"/>
    </row>
    <row r="73" spans="1:45" x14ac:dyDescent="0.45">
      <c r="A73" s="1" t="s">
        <v>213</v>
      </c>
      <c r="B73" s="710">
        <v>89050</v>
      </c>
      <c r="C73" s="258" t="s">
        <v>65</v>
      </c>
      <c r="D73" s="258" t="s">
        <v>65</v>
      </c>
      <c r="E73" s="1" t="s">
        <v>214</v>
      </c>
      <c r="F73" s="537" t="s">
        <v>543</v>
      </c>
      <c r="G73" s="74" t="s">
        <v>416</v>
      </c>
      <c r="H73" s="141">
        <v>17</v>
      </c>
      <c r="I73" s="38">
        <v>50</v>
      </c>
      <c r="J73" s="15">
        <v>1</v>
      </c>
      <c r="K73" s="522" t="s">
        <v>124</v>
      </c>
      <c r="L73" s="37">
        <f t="shared" ref="L73" si="121">J73*I73*H73</f>
        <v>850</v>
      </c>
      <c r="M73" s="38">
        <v>0</v>
      </c>
      <c r="N73" s="39">
        <f t="shared" ref="N73:N76" si="122">SUM(L73:M73)</f>
        <v>850</v>
      </c>
      <c r="O73" s="141">
        <v>17</v>
      </c>
      <c r="P73" s="38">
        <f t="shared" ref="P73" si="123">I73*$H$7</f>
        <v>52</v>
      </c>
      <c r="Q73" s="15">
        <v>1</v>
      </c>
      <c r="R73" s="37">
        <f t="shared" ref="R73:R76" si="124">O73*P73*Q73</f>
        <v>884</v>
      </c>
      <c r="S73" s="38">
        <v>0</v>
      </c>
      <c r="T73" s="39">
        <f t="shared" ref="T73:T76" si="125">SUM(R73:S73)</f>
        <v>884</v>
      </c>
      <c r="U73" s="141">
        <v>17</v>
      </c>
      <c r="V73" s="38">
        <f t="shared" ref="V73" si="126">I73*$H$7*$H$7</f>
        <v>54.08</v>
      </c>
      <c r="W73" s="15">
        <v>1</v>
      </c>
      <c r="X73" s="37">
        <f t="shared" ref="X73:X76" si="127">U73*V73*W73</f>
        <v>919.36</v>
      </c>
      <c r="Y73" s="38">
        <v>0</v>
      </c>
      <c r="Z73" s="39">
        <f t="shared" ref="Z73:Z76" si="128">SUM(X73:Y73)</f>
        <v>919.36</v>
      </c>
      <c r="AA73" s="141">
        <v>17</v>
      </c>
      <c r="AB73" s="38">
        <f t="shared" ref="AB73" si="129">I73*$H$7*$H$7*$H$7</f>
        <v>56.243200000000002</v>
      </c>
      <c r="AC73" s="15">
        <v>1</v>
      </c>
      <c r="AD73" s="37">
        <f t="shared" ref="AD73:AD76" si="130">AA73*AB73*AC73</f>
        <v>956.13440000000003</v>
      </c>
      <c r="AE73" s="38">
        <v>0</v>
      </c>
      <c r="AF73" s="39">
        <f t="shared" ref="AF73:AF76" si="131">SUM(AD73:AE73)</f>
        <v>956.13440000000003</v>
      </c>
      <c r="AG73" s="141">
        <v>17</v>
      </c>
      <c r="AH73" s="38">
        <f t="shared" ref="AH73" si="132">I73*$H$7*$H$7*$H$7*$H$7</f>
        <v>58.492928000000006</v>
      </c>
      <c r="AI73" s="15">
        <v>1</v>
      </c>
      <c r="AJ73" s="37">
        <f t="shared" ref="AJ73:AJ76" si="133">AG73*AH73*AI73</f>
        <v>994.37977600000011</v>
      </c>
      <c r="AK73" s="38">
        <v>0</v>
      </c>
      <c r="AL73" s="39">
        <f t="shared" ref="AL73:AL76" si="134">SUM(AJ73:AK73)</f>
        <v>994.37977600000011</v>
      </c>
      <c r="AM73" s="40">
        <f t="shared" ref="AM73:AN76" si="135">L73+R73+X73+AD73+AJ73</f>
        <v>4603.8741760000003</v>
      </c>
      <c r="AN73" s="270">
        <f t="shared" si="135"/>
        <v>0</v>
      </c>
      <c r="AO73" s="40">
        <f t="shared" ref="AO73:AO76" si="136">SUM(AM73:AN73)</f>
        <v>4603.8741760000003</v>
      </c>
    </row>
    <row r="74" spans="1:45" x14ac:dyDescent="0.45">
      <c r="A74" s="1" t="s">
        <v>213</v>
      </c>
      <c r="B74" s="710">
        <v>89050</v>
      </c>
      <c r="C74" s="258" t="s">
        <v>65</v>
      </c>
      <c r="D74" s="258" t="s">
        <v>65</v>
      </c>
      <c r="E74" s="1" t="s">
        <v>214</v>
      </c>
      <c r="F74" s="537" t="s">
        <v>543</v>
      </c>
      <c r="G74" s="74" t="s">
        <v>417</v>
      </c>
      <c r="H74" s="141">
        <v>17</v>
      </c>
      <c r="I74" s="38">
        <v>40</v>
      </c>
      <c r="J74" s="15">
        <v>1</v>
      </c>
      <c r="K74" s="522" t="s">
        <v>127</v>
      </c>
      <c r="L74" s="37">
        <f>J74*I74*H74</f>
        <v>680</v>
      </c>
      <c r="M74" s="38">
        <v>0</v>
      </c>
      <c r="N74" s="39">
        <f t="shared" si="122"/>
        <v>680</v>
      </c>
      <c r="O74" s="141">
        <v>17</v>
      </c>
      <c r="P74" s="38">
        <f>I74*$H$7</f>
        <v>41.6</v>
      </c>
      <c r="Q74" s="15">
        <v>1</v>
      </c>
      <c r="R74" s="37">
        <f t="shared" si="124"/>
        <v>707.2</v>
      </c>
      <c r="S74" s="38">
        <v>0</v>
      </c>
      <c r="T74" s="39">
        <f t="shared" si="125"/>
        <v>707.2</v>
      </c>
      <c r="U74" s="141">
        <v>17</v>
      </c>
      <c r="V74" s="38">
        <f>I74*$H$7*$H$7</f>
        <v>43.264000000000003</v>
      </c>
      <c r="W74" s="15">
        <v>1</v>
      </c>
      <c r="X74" s="37">
        <f t="shared" si="127"/>
        <v>735.48800000000006</v>
      </c>
      <c r="Y74" s="38">
        <v>0</v>
      </c>
      <c r="Z74" s="39">
        <f t="shared" si="128"/>
        <v>735.48800000000006</v>
      </c>
      <c r="AA74" s="141">
        <v>17</v>
      </c>
      <c r="AB74" s="38">
        <f>I74*$H$7*$H$7*$H$7</f>
        <v>44.994560000000007</v>
      </c>
      <c r="AC74" s="15">
        <v>1</v>
      </c>
      <c r="AD74" s="37">
        <f t="shared" si="130"/>
        <v>764.90752000000009</v>
      </c>
      <c r="AE74" s="38">
        <v>0</v>
      </c>
      <c r="AF74" s="39">
        <f t="shared" si="131"/>
        <v>764.90752000000009</v>
      </c>
      <c r="AG74" s="141">
        <v>17</v>
      </c>
      <c r="AH74" s="38">
        <f>I74*$H$7*$H$7*$H$7*$H$7</f>
        <v>46.794342400000012</v>
      </c>
      <c r="AI74" s="15">
        <v>1</v>
      </c>
      <c r="AJ74" s="37">
        <f t="shared" si="133"/>
        <v>795.5038208000002</v>
      </c>
      <c r="AK74" s="38">
        <v>0</v>
      </c>
      <c r="AL74" s="39">
        <f t="shared" si="134"/>
        <v>795.5038208000002</v>
      </c>
      <c r="AM74" s="40">
        <f>L74+R74+X74+AD74+AJ74</f>
        <v>3683.0993408000004</v>
      </c>
      <c r="AN74" s="270">
        <f t="shared" si="135"/>
        <v>0</v>
      </c>
      <c r="AO74" s="40">
        <f t="shared" si="136"/>
        <v>3683.0993408000004</v>
      </c>
    </row>
    <row r="75" spans="1:45" x14ac:dyDescent="0.45">
      <c r="A75" s="1" t="s">
        <v>213</v>
      </c>
      <c r="B75" s="710">
        <v>89050</v>
      </c>
      <c r="C75" s="258" t="s">
        <v>65</v>
      </c>
      <c r="D75" s="258" t="s">
        <v>65</v>
      </c>
      <c r="E75" s="1" t="s">
        <v>214</v>
      </c>
      <c r="F75" s="537" t="s">
        <v>543</v>
      </c>
      <c r="G75" s="74" t="s">
        <v>418</v>
      </c>
      <c r="H75" s="141">
        <v>17</v>
      </c>
      <c r="I75" s="38">
        <v>80</v>
      </c>
      <c r="J75" s="15">
        <v>1</v>
      </c>
      <c r="K75" s="522" t="s">
        <v>127</v>
      </c>
      <c r="L75" s="37">
        <f t="shared" ref="L75:L76" si="137">J75*I75*H75</f>
        <v>1360</v>
      </c>
      <c r="M75" s="38">
        <v>0</v>
      </c>
      <c r="N75" s="39">
        <f t="shared" si="122"/>
        <v>1360</v>
      </c>
      <c r="O75" s="141">
        <v>17</v>
      </c>
      <c r="P75" s="38">
        <f t="shared" ref="P75:P76" si="138">I75*$H$7</f>
        <v>83.2</v>
      </c>
      <c r="Q75" s="15">
        <v>1</v>
      </c>
      <c r="R75" s="37">
        <f t="shared" si="124"/>
        <v>1414.4</v>
      </c>
      <c r="S75" s="38">
        <v>0</v>
      </c>
      <c r="T75" s="39">
        <f t="shared" si="125"/>
        <v>1414.4</v>
      </c>
      <c r="U75" s="141">
        <v>17</v>
      </c>
      <c r="V75" s="38">
        <f t="shared" ref="V75:V76" si="139">I75*$H$7*$H$7</f>
        <v>86.528000000000006</v>
      </c>
      <c r="W75" s="15">
        <v>1</v>
      </c>
      <c r="X75" s="37">
        <f t="shared" si="127"/>
        <v>1470.9760000000001</v>
      </c>
      <c r="Y75" s="38">
        <v>0</v>
      </c>
      <c r="Z75" s="39">
        <f t="shared" si="128"/>
        <v>1470.9760000000001</v>
      </c>
      <c r="AA75" s="141">
        <v>17</v>
      </c>
      <c r="AB75" s="38">
        <f t="shared" ref="AB75:AB76" si="140">I75*$H$7*$H$7*$H$7</f>
        <v>89.989120000000014</v>
      </c>
      <c r="AC75" s="15">
        <v>1</v>
      </c>
      <c r="AD75" s="37">
        <f t="shared" si="130"/>
        <v>1529.8150400000002</v>
      </c>
      <c r="AE75" s="38">
        <v>0</v>
      </c>
      <c r="AF75" s="39">
        <f t="shared" si="131"/>
        <v>1529.8150400000002</v>
      </c>
      <c r="AG75" s="141">
        <v>17</v>
      </c>
      <c r="AH75" s="38">
        <f t="shared" ref="AH75:AH76" si="141">I75*$H$7*$H$7*$H$7*$H$7</f>
        <v>93.588684800000024</v>
      </c>
      <c r="AI75" s="15">
        <v>1</v>
      </c>
      <c r="AJ75" s="37">
        <f>AG75*AH75*AI75</f>
        <v>1591.0076416000004</v>
      </c>
      <c r="AK75" s="38">
        <v>0</v>
      </c>
      <c r="AL75" s="39">
        <f t="shared" si="134"/>
        <v>1591.0076416000004</v>
      </c>
      <c r="AM75" s="40">
        <f t="shared" ref="AM75:AM76" si="142">L75+R75+X75+AD75+AJ75</f>
        <v>7366.1986816000008</v>
      </c>
      <c r="AN75" s="270">
        <f t="shared" si="135"/>
        <v>0</v>
      </c>
      <c r="AO75" s="40">
        <f t="shared" si="136"/>
        <v>7366.1986816000008</v>
      </c>
    </row>
    <row r="76" spans="1:45" x14ac:dyDescent="0.45">
      <c r="A76" s="1" t="s">
        <v>213</v>
      </c>
      <c r="B76" s="710">
        <v>89050</v>
      </c>
      <c r="C76" s="258" t="s">
        <v>65</v>
      </c>
      <c r="D76" s="258" t="s">
        <v>65</v>
      </c>
      <c r="E76" s="1" t="s">
        <v>214</v>
      </c>
      <c r="F76" s="537" t="s">
        <v>543</v>
      </c>
      <c r="G76" s="74" t="s">
        <v>419</v>
      </c>
      <c r="H76" s="141">
        <v>17</v>
      </c>
      <c r="I76" s="38">
        <v>25</v>
      </c>
      <c r="J76" s="15">
        <v>1</v>
      </c>
      <c r="K76" s="522" t="s">
        <v>124</v>
      </c>
      <c r="L76" s="37">
        <f t="shared" si="137"/>
        <v>425</v>
      </c>
      <c r="M76" s="38">
        <v>0</v>
      </c>
      <c r="N76" s="39">
        <f t="shared" si="122"/>
        <v>425</v>
      </c>
      <c r="O76" s="141">
        <v>17</v>
      </c>
      <c r="P76" s="38">
        <f t="shared" si="138"/>
        <v>26</v>
      </c>
      <c r="Q76" s="15">
        <v>1</v>
      </c>
      <c r="R76" s="37">
        <f t="shared" si="124"/>
        <v>442</v>
      </c>
      <c r="S76" s="38">
        <v>0</v>
      </c>
      <c r="T76" s="39">
        <f t="shared" si="125"/>
        <v>442</v>
      </c>
      <c r="U76" s="141">
        <v>17</v>
      </c>
      <c r="V76" s="38">
        <f t="shared" si="139"/>
        <v>27.04</v>
      </c>
      <c r="W76" s="15">
        <v>1</v>
      </c>
      <c r="X76" s="37">
        <f t="shared" si="127"/>
        <v>459.68</v>
      </c>
      <c r="Y76" s="38">
        <v>0</v>
      </c>
      <c r="Z76" s="39">
        <f t="shared" si="128"/>
        <v>459.68</v>
      </c>
      <c r="AA76" s="141">
        <v>17</v>
      </c>
      <c r="AB76" s="38">
        <f t="shared" si="140"/>
        <v>28.121600000000001</v>
      </c>
      <c r="AC76" s="15">
        <v>1</v>
      </c>
      <c r="AD76" s="37">
        <f t="shared" si="130"/>
        <v>478.06720000000001</v>
      </c>
      <c r="AE76" s="38">
        <v>0</v>
      </c>
      <c r="AF76" s="39">
        <f t="shared" si="131"/>
        <v>478.06720000000001</v>
      </c>
      <c r="AG76" s="141">
        <v>17</v>
      </c>
      <c r="AH76" s="38">
        <f t="shared" si="141"/>
        <v>29.246464000000003</v>
      </c>
      <c r="AI76" s="15">
        <v>1</v>
      </c>
      <c r="AJ76" s="37">
        <f t="shared" si="133"/>
        <v>497.18988800000005</v>
      </c>
      <c r="AK76" s="38">
        <v>0</v>
      </c>
      <c r="AL76" s="39">
        <f t="shared" si="134"/>
        <v>497.18988800000005</v>
      </c>
      <c r="AM76" s="40">
        <f t="shared" si="142"/>
        <v>2301.9370880000001</v>
      </c>
      <c r="AN76" s="270">
        <f t="shared" si="135"/>
        <v>0</v>
      </c>
      <c r="AO76" s="40">
        <f t="shared" si="136"/>
        <v>2301.9370880000001</v>
      </c>
    </row>
    <row r="77" spans="1:45" x14ac:dyDescent="0.45">
      <c r="A77" s="15"/>
      <c r="B77" s="15"/>
      <c r="C77" s="258"/>
      <c r="D77" s="258"/>
      <c r="E77" s="15"/>
      <c r="F77" s="15"/>
      <c r="G77" s="74"/>
      <c r="H77" s="141"/>
      <c r="I77" s="15"/>
      <c r="J77" s="572"/>
      <c r="K77" s="522"/>
      <c r="L77" s="37"/>
      <c r="M77" s="38"/>
      <c r="N77" s="38"/>
      <c r="O77" s="141"/>
      <c r="P77" s="38"/>
      <c r="Q77" s="15"/>
      <c r="R77" s="37"/>
      <c r="S77" s="38"/>
      <c r="T77" s="38"/>
      <c r="U77" s="141"/>
      <c r="V77" s="38"/>
      <c r="W77" s="15"/>
      <c r="X77" s="37"/>
      <c r="Y77" s="38"/>
      <c r="Z77" s="38"/>
      <c r="AA77" s="141"/>
      <c r="AB77" s="38"/>
      <c r="AC77" s="15"/>
      <c r="AD77" s="37"/>
      <c r="AE77" s="38"/>
      <c r="AF77" s="38"/>
      <c r="AG77" s="141"/>
      <c r="AH77" s="38"/>
      <c r="AI77" s="15"/>
      <c r="AJ77" s="37"/>
      <c r="AK77" s="38"/>
      <c r="AL77" s="39"/>
      <c r="AM77" s="40"/>
      <c r="AN77" s="270"/>
      <c r="AO77" s="40"/>
    </row>
    <row r="78" spans="1:45" x14ac:dyDescent="0.45">
      <c r="A78" s="15"/>
      <c r="B78" s="15"/>
      <c r="C78" s="258"/>
      <c r="D78" s="258"/>
      <c r="E78" s="15"/>
      <c r="F78" s="15"/>
      <c r="G78" s="353" t="s">
        <v>544</v>
      </c>
      <c r="H78" s="140"/>
      <c r="I78" s="15"/>
      <c r="K78" s="112"/>
      <c r="L78" s="37"/>
      <c r="M78" s="38"/>
      <c r="N78" s="39"/>
      <c r="O78" s="140"/>
      <c r="R78" s="37"/>
      <c r="S78" s="38"/>
      <c r="T78" s="39"/>
      <c r="U78" s="140"/>
      <c r="X78" s="37"/>
      <c r="Y78" s="38"/>
      <c r="Z78" s="39"/>
      <c r="AA78" s="140"/>
      <c r="AD78" s="37"/>
      <c r="AE78" s="38"/>
      <c r="AF78" s="39"/>
      <c r="AG78" s="140"/>
      <c r="AJ78" s="37"/>
      <c r="AK78" s="38"/>
      <c r="AL78" s="39"/>
      <c r="AM78" s="40"/>
      <c r="AN78" s="270"/>
      <c r="AO78" s="40"/>
      <c r="AQ78" s="91"/>
      <c r="AR78" s="91"/>
      <c r="AS78" s="91"/>
    </row>
    <row r="79" spans="1:45" x14ac:dyDescent="0.45">
      <c r="A79" s="1" t="s">
        <v>213</v>
      </c>
      <c r="B79" s="710">
        <v>89050</v>
      </c>
      <c r="C79" s="258" t="s">
        <v>65</v>
      </c>
      <c r="D79" s="258" t="s">
        <v>65</v>
      </c>
      <c r="E79" s="1" t="s">
        <v>214</v>
      </c>
      <c r="F79" s="537" t="s">
        <v>545</v>
      </c>
      <c r="G79" s="74" t="s">
        <v>422</v>
      </c>
      <c r="H79" s="141">
        <v>1</v>
      </c>
      <c r="I79" s="38">
        <v>50</v>
      </c>
      <c r="J79" s="15">
        <v>1</v>
      </c>
      <c r="K79" s="522" t="s">
        <v>124</v>
      </c>
      <c r="L79" s="37">
        <f t="shared" ref="L79" si="143">J79*I79*H79</f>
        <v>50</v>
      </c>
      <c r="M79" s="38">
        <v>0</v>
      </c>
      <c r="N79" s="39">
        <f t="shared" ref="N79:N82" si="144">SUM(L79:M79)</f>
        <v>50</v>
      </c>
      <c r="O79" s="141">
        <v>1</v>
      </c>
      <c r="P79" s="38">
        <f t="shared" ref="P79" si="145">I79*$H$7</f>
        <v>52</v>
      </c>
      <c r="Q79" s="15">
        <v>1</v>
      </c>
      <c r="R79" s="37">
        <f t="shared" ref="R79:R82" si="146">O79*P79*Q79</f>
        <v>52</v>
      </c>
      <c r="S79" s="38">
        <v>0</v>
      </c>
      <c r="T79" s="39">
        <f t="shared" ref="T79:T82" si="147">SUM(R79:S79)</f>
        <v>52</v>
      </c>
      <c r="U79" s="141">
        <v>1</v>
      </c>
      <c r="V79" s="38">
        <f t="shared" ref="V79" si="148">I79*$H$7*$H$7</f>
        <v>54.08</v>
      </c>
      <c r="W79" s="15">
        <v>1</v>
      </c>
      <c r="X79" s="37">
        <f t="shared" ref="X79:X82" si="149">U79*V79*W79</f>
        <v>54.08</v>
      </c>
      <c r="Y79" s="38">
        <v>0</v>
      </c>
      <c r="Z79" s="39">
        <f t="shared" ref="Z79:Z82" si="150">SUM(X79:Y79)</f>
        <v>54.08</v>
      </c>
      <c r="AA79" s="141">
        <v>1</v>
      </c>
      <c r="AB79" s="38">
        <f t="shared" ref="AB79" si="151">I79*$H$7*$H$7*$H$7</f>
        <v>56.243200000000002</v>
      </c>
      <c r="AC79" s="15">
        <v>1</v>
      </c>
      <c r="AD79" s="37">
        <f t="shared" ref="AD79:AD82" si="152">AA79*AB79*AC79</f>
        <v>56.243200000000002</v>
      </c>
      <c r="AE79" s="38">
        <v>0</v>
      </c>
      <c r="AF79" s="39">
        <f t="shared" ref="AF79:AF82" si="153">SUM(AD79:AE79)</f>
        <v>56.243200000000002</v>
      </c>
      <c r="AG79" s="141">
        <v>1</v>
      </c>
      <c r="AH79" s="38">
        <f t="shared" ref="AH79" si="154">I79*$H$7*$H$7*$H$7*$H$7</f>
        <v>58.492928000000006</v>
      </c>
      <c r="AI79" s="15">
        <v>1</v>
      </c>
      <c r="AJ79" s="37">
        <f t="shared" ref="AJ79:AJ82" si="155">AG79*AH79*AI79</f>
        <v>58.492928000000006</v>
      </c>
      <c r="AK79" s="38">
        <v>0</v>
      </c>
      <c r="AL79" s="39">
        <f t="shared" ref="AL79:AL82" si="156">SUM(AJ79:AK79)</f>
        <v>58.492928000000006</v>
      </c>
      <c r="AM79" s="40">
        <f t="shared" ref="AM79:AN82" si="157">L79+R79+X79+AD79+AJ79</f>
        <v>270.81612799999999</v>
      </c>
      <c r="AN79" s="270">
        <f t="shared" si="157"/>
        <v>0</v>
      </c>
      <c r="AO79" s="40">
        <f t="shared" ref="AO79:AO82" si="158">SUM(AM79:AN79)</f>
        <v>270.81612799999999</v>
      </c>
    </row>
    <row r="80" spans="1:45" x14ac:dyDescent="0.45">
      <c r="A80" s="1" t="s">
        <v>213</v>
      </c>
      <c r="B80" s="710">
        <v>89050</v>
      </c>
      <c r="C80" s="258" t="s">
        <v>65</v>
      </c>
      <c r="D80" s="258" t="s">
        <v>65</v>
      </c>
      <c r="E80" s="1" t="s">
        <v>214</v>
      </c>
      <c r="F80" s="537" t="s">
        <v>545</v>
      </c>
      <c r="G80" s="74" t="s">
        <v>423</v>
      </c>
      <c r="H80" s="141">
        <v>1</v>
      </c>
      <c r="I80" s="38">
        <v>40</v>
      </c>
      <c r="J80" s="15">
        <v>2</v>
      </c>
      <c r="K80" s="522" t="s">
        <v>127</v>
      </c>
      <c r="L80" s="37">
        <f>J80*I80*H80</f>
        <v>80</v>
      </c>
      <c r="M80" s="38">
        <v>0</v>
      </c>
      <c r="N80" s="39">
        <f t="shared" si="144"/>
        <v>80</v>
      </c>
      <c r="O80" s="141">
        <v>1</v>
      </c>
      <c r="P80" s="38">
        <f>I80*$H$7</f>
        <v>41.6</v>
      </c>
      <c r="Q80" s="15">
        <v>2</v>
      </c>
      <c r="R80" s="37">
        <f t="shared" si="146"/>
        <v>83.2</v>
      </c>
      <c r="S80" s="38">
        <v>0</v>
      </c>
      <c r="T80" s="39">
        <f t="shared" si="147"/>
        <v>83.2</v>
      </c>
      <c r="U80" s="141">
        <v>1</v>
      </c>
      <c r="V80" s="38">
        <f>I80*$H$7*$H$7</f>
        <v>43.264000000000003</v>
      </c>
      <c r="W80" s="15">
        <v>2</v>
      </c>
      <c r="X80" s="37">
        <f t="shared" si="149"/>
        <v>86.528000000000006</v>
      </c>
      <c r="Y80" s="38">
        <v>0</v>
      </c>
      <c r="Z80" s="39">
        <f t="shared" si="150"/>
        <v>86.528000000000006</v>
      </c>
      <c r="AA80" s="141">
        <v>1</v>
      </c>
      <c r="AB80" s="38">
        <f>I80*$H$7*$H$7*$H$7</f>
        <v>44.994560000000007</v>
      </c>
      <c r="AC80" s="15">
        <v>2</v>
      </c>
      <c r="AD80" s="37">
        <f t="shared" si="152"/>
        <v>89.989120000000014</v>
      </c>
      <c r="AE80" s="38">
        <v>0</v>
      </c>
      <c r="AF80" s="39">
        <f t="shared" si="153"/>
        <v>89.989120000000014</v>
      </c>
      <c r="AG80" s="141">
        <v>1</v>
      </c>
      <c r="AH80" s="38">
        <f>I80*$H$7*$H$7*$H$7*$H$7</f>
        <v>46.794342400000012</v>
      </c>
      <c r="AI80" s="15">
        <v>2</v>
      </c>
      <c r="AJ80" s="37">
        <f t="shared" si="155"/>
        <v>93.588684800000024</v>
      </c>
      <c r="AK80" s="38">
        <v>0</v>
      </c>
      <c r="AL80" s="39">
        <f t="shared" si="156"/>
        <v>93.588684800000024</v>
      </c>
      <c r="AM80" s="40">
        <f>L80+R80+X80+AD80+AJ80</f>
        <v>433.30580480000003</v>
      </c>
      <c r="AN80" s="270">
        <f t="shared" si="157"/>
        <v>0</v>
      </c>
      <c r="AO80" s="40">
        <f t="shared" si="158"/>
        <v>433.30580480000003</v>
      </c>
    </row>
    <row r="81" spans="1:42" x14ac:dyDescent="0.45">
      <c r="A81" s="1" t="s">
        <v>213</v>
      </c>
      <c r="B81" s="710">
        <v>89050</v>
      </c>
      <c r="C81" s="258" t="s">
        <v>65</v>
      </c>
      <c r="D81" s="258" t="s">
        <v>65</v>
      </c>
      <c r="E81" s="1" t="s">
        <v>214</v>
      </c>
      <c r="F81" s="537" t="s">
        <v>545</v>
      </c>
      <c r="G81" s="74" t="s">
        <v>424</v>
      </c>
      <c r="H81" s="141">
        <v>1</v>
      </c>
      <c r="I81" s="38">
        <v>80</v>
      </c>
      <c r="J81" s="15">
        <v>2</v>
      </c>
      <c r="K81" s="522" t="s">
        <v>127</v>
      </c>
      <c r="L81" s="37">
        <f t="shared" ref="L81:L82" si="159">J81*I81*H81</f>
        <v>160</v>
      </c>
      <c r="M81" s="38">
        <v>0</v>
      </c>
      <c r="N81" s="39">
        <f t="shared" si="144"/>
        <v>160</v>
      </c>
      <c r="O81" s="141">
        <v>1</v>
      </c>
      <c r="P81" s="38">
        <f t="shared" ref="P81:P82" si="160">I81*$H$7</f>
        <v>83.2</v>
      </c>
      <c r="Q81" s="15">
        <v>2</v>
      </c>
      <c r="R81" s="37">
        <f t="shared" si="146"/>
        <v>166.4</v>
      </c>
      <c r="S81" s="38">
        <v>0</v>
      </c>
      <c r="T81" s="39">
        <f t="shared" si="147"/>
        <v>166.4</v>
      </c>
      <c r="U81" s="141">
        <v>1</v>
      </c>
      <c r="V81" s="38">
        <f t="shared" ref="V81:V82" si="161">I81*$H$7*$H$7</f>
        <v>86.528000000000006</v>
      </c>
      <c r="W81" s="15">
        <v>2</v>
      </c>
      <c r="X81" s="37">
        <f t="shared" si="149"/>
        <v>173.05600000000001</v>
      </c>
      <c r="Y81" s="38">
        <v>0</v>
      </c>
      <c r="Z81" s="39">
        <f t="shared" si="150"/>
        <v>173.05600000000001</v>
      </c>
      <c r="AA81" s="141">
        <v>1</v>
      </c>
      <c r="AB81" s="38">
        <f t="shared" ref="AB81:AB82" si="162">I81*$H$7*$H$7*$H$7</f>
        <v>89.989120000000014</v>
      </c>
      <c r="AC81" s="15">
        <v>2</v>
      </c>
      <c r="AD81" s="37">
        <f t="shared" si="152"/>
        <v>179.97824000000003</v>
      </c>
      <c r="AE81" s="38">
        <v>0</v>
      </c>
      <c r="AF81" s="39">
        <f t="shared" si="153"/>
        <v>179.97824000000003</v>
      </c>
      <c r="AG81" s="141">
        <v>1</v>
      </c>
      <c r="AH81" s="38">
        <f t="shared" ref="AH81:AH82" si="163">I81*$H$7*$H$7*$H$7*$H$7</f>
        <v>93.588684800000024</v>
      </c>
      <c r="AI81" s="15">
        <v>2</v>
      </c>
      <c r="AJ81" s="37">
        <f t="shared" si="155"/>
        <v>187.17736960000005</v>
      </c>
      <c r="AK81" s="38">
        <v>0</v>
      </c>
      <c r="AL81" s="39">
        <f t="shared" si="156"/>
        <v>187.17736960000005</v>
      </c>
      <c r="AM81" s="40">
        <f t="shared" ref="AM81:AM82" si="164">L81+R81+X81+AD81+AJ81</f>
        <v>866.61160960000007</v>
      </c>
      <c r="AN81" s="270">
        <f t="shared" si="157"/>
        <v>0</v>
      </c>
      <c r="AO81" s="40">
        <f t="shared" si="158"/>
        <v>866.61160960000007</v>
      </c>
    </row>
    <row r="82" spans="1:42" x14ac:dyDescent="0.45">
      <c r="A82" s="1" t="s">
        <v>213</v>
      </c>
      <c r="B82" s="710">
        <v>89050</v>
      </c>
      <c r="C82" s="258" t="s">
        <v>65</v>
      </c>
      <c r="D82" s="258" t="s">
        <v>65</v>
      </c>
      <c r="E82" s="1" t="s">
        <v>214</v>
      </c>
      <c r="F82" s="537" t="s">
        <v>545</v>
      </c>
      <c r="G82" s="74" t="s">
        <v>425</v>
      </c>
      <c r="H82" s="141">
        <v>1</v>
      </c>
      <c r="I82" s="38">
        <v>25</v>
      </c>
      <c r="J82" s="15">
        <v>1</v>
      </c>
      <c r="K82" s="522" t="s">
        <v>124</v>
      </c>
      <c r="L82" s="37">
        <f t="shared" si="159"/>
        <v>25</v>
      </c>
      <c r="M82" s="38">
        <v>0</v>
      </c>
      <c r="N82" s="39">
        <f t="shared" si="144"/>
        <v>25</v>
      </c>
      <c r="O82" s="141">
        <v>1</v>
      </c>
      <c r="P82" s="38">
        <f t="shared" si="160"/>
        <v>26</v>
      </c>
      <c r="Q82" s="15">
        <v>1</v>
      </c>
      <c r="R82" s="37">
        <f t="shared" si="146"/>
        <v>26</v>
      </c>
      <c r="S82" s="38">
        <v>0</v>
      </c>
      <c r="T82" s="39">
        <f t="shared" si="147"/>
        <v>26</v>
      </c>
      <c r="U82" s="141">
        <v>1</v>
      </c>
      <c r="V82" s="38">
        <f t="shared" si="161"/>
        <v>27.04</v>
      </c>
      <c r="W82" s="15">
        <v>1</v>
      </c>
      <c r="X82" s="37">
        <f t="shared" si="149"/>
        <v>27.04</v>
      </c>
      <c r="Y82" s="38">
        <v>0</v>
      </c>
      <c r="Z82" s="39">
        <f t="shared" si="150"/>
        <v>27.04</v>
      </c>
      <c r="AA82" s="141">
        <v>1</v>
      </c>
      <c r="AB82" s="38">
        <f t="shared" si="162"/>
        <v>28.121600000000001</v>
      </c>
      <c r="AC82" s="15">
        <v>1</v>
      </c>
      <c r="AD82" s="37">
        <f t="shared" si="152"/>
        <v>28.121600000000001</v>
      </c>
      <c r="AE82" s="38">
        <v>0</v>
      </c>
      <c r="AF82" s="39">
        <f t="shared" si="153"/>
        <v>28.121600000000001</v>
      </c>
      <c r="AG82" s="141">
        <v>1</v>
      </c>
      <c r="AH82" s="38">
        <f t="shared" si="163"/>
        <v>29.246464000000003</v>
      </c>
      <c r="AI82" s="15">
        <v>1</v>
      </c>
      <c r="AJ82" s="37">
        <f t="shared" si="155"/>
        <v>29.246464000000003</v>
      </c>
      <c r="AK82" s="38">
        <v>0</v>
      </c>
      <c r="AL82" s="39">
        <f t="shared" si="156"/>
        <v>29.246464000000003</v>
      </c>
      <c r="AM82" s="40">
        <f t="shared" si="164"/>
        <v>135.408064</v>
      </c>
      <c r="AN82" s="270">
        <f t="shared" si="157"/>
        <v>0</v>
      </c>
      <c r="AO82" s="40">
        <f t="shared" si="158"/>
        <v>135.408064</v>
      </c>
    </row>
    <row r="83" spans="1:42" s="10" customFormat="1" x14ac:dyDescent="0.45">
      <c r="A83" s="129"/>
      <c r="B83" s="129"/>
      <c r="C83" s="129"/>
      <c r="D83" s="129"/>
      <c r="E83" s="129"/>
      <c r="F83" s="129"/>
      <c r="G83" s="75" t="s">
        <v>173</v>
      </c>
      <c r="H83" s="144"/>
      <c r="I83" s="129"/>
      <c r="J83" s="145"/>
      <c r="K83" s="129"/>
      <c r="L83" s="42">
        <f>SUM(L52:L82)</f>
        <v>16980</v>
      </c>
      <c r="M83" s="42">
        <f>SUM(M52:M82)</f>
        <v>0</v>
      </c>
      <c r="N83" s="42">
        <f>SUM(N52:N82)</f>
        <v>16980</v>
      </c>
      <c r="O83" s="144"/>
      <c r="P83" s="43"/>
      <c r="Q83" s="129"/>
      <c r="R83" s="42">
        <f>SUM(R52:R82)</f>
        <v>18063.000000000004</v>
      </c>
      <c r="S83" s="42">
        <f>SUM(S52:S82)</f>
        <v>0</v>
      </c>
      <c r="T83" s="42">
        <f>SUM(T52:T82)</f>
        <v>18063.000000000004</v>
      </c>
      <c r="U83" s="144"/>
      <c r="V83" s="129"/>
      <c r="W83" s="129"/>
      <c r="X83" s="42">
        <f>SUM(X52:X82)</f>
        <v>20114.97</v>
      </c>
      <c r="Y83" s="42">
        <f>SUM(Y52:Y82)</f>
        <v>0</v>
      </c>
      <c r="Z83" s="42">
        <f>SUM(Z52:Z82)</f>
        <v>20114.97</v>
      </c>
      <c r="AA83" s="144"/>
      <c r="AB83" s="129"/>
      <c r="AC83" s="129"/>
      <c r="AD83" s="42">
        <f>SUM(AD52:AD82)</f>
        <v>20109.694620000002</v>
      </c>
      <c r="AE83" s="42">
        <f>SUM(AE52:AE82)</f>
        <v>0</v>
      </c>
      <c r="AF83" s="42">
        <f>SUM(AF52:AF82)</f>
        <v>20109.694620000002</v>
      </c>
      <c r="AG83" s="144"/>
      <c r="AH83" s="129"/>
      <c r="AI83" s="129"/>
      <c r="AJ83" s="42">
        <f>SUM(AJ52:AJ82)</f>
        <v>19756.963545000006</v>
      </c>
      <c r="AK83" s="42">
        <f>SUM(AK52:AK82)</f>
        <v>0</v>
      </c>
      <c r="AL83" s="42">
        <f>SUM(AL52:AL82)</f>
        <v>19756.963545000006</v>
      </c>
      <c r="AM83" s="45">
        <f t="shared" ref="AM83" si="165">L83+R83+X83+AD83+AJ83</f>
        <v>95024.628165000002</v>
      </c>
      <c r="AN83" s="248">
        <f t="shared" ref="AN83" si="166">M83+S83+Y83+AE83+AK83</f>
        <v>0</v>
      </c>
      <c r="AO83" s="45">
        <f t="shared" ref="AO83" si="167">SUM(AM83:AN83)</f>
        <v>95024.628165000002</v>
      </c>
      <c r="AP83" s="1"/>
    </row>
    <row r="84" spans="1:42" x14ac:dyDescent="0.45">
      <c r="A84" s="131"/>
      <c r="B84" s="131"/>
      <c r="C84" s="131"/>
      <c r="D84" s="131"/>
      <c r="E84" s="131"/>
      <c r="F84" s="131"/>
      <c r="G84" s="82"/>
      <c r="H84" s="130"/>
      <c r="I84" s="131"/>
      <c r="J84" s="131"/>
      <c r="K84" s="131"/>
      <c r="L84" s="37"/>
      <c r="M84" s="38"/>
      <c r="N84" s="39"/>
      <c r="O84" s="149"/>
      <c r="P84" s="131"/>
      <c r="Q84" s="131"/>
      <c r="R84" s="37"/>
      <c r="S84" s="38"/>
      <c r="T84" s="39"/>
      <c r="U84" s="130"/>
      <c r="V84" s="131"/>
      <c r="W84" s="131"/>
      <c r="X84" s="37"/>
      <c r="Y84" s="38"/>
      <c r="Z84" s="39"/>
      <c r="AA84" s="130"/>
      <c r="AB84" s="131"/>
      <c r="AC84" s="131"/>
      <c r="AD84" s="37"/>
      <c r="AE84" s="38"/>
      <c r="AF84" s="39"/>
      <c r="AG84" s="130"/>
      <c r="AH84" s="131"/>
      <c r="AI84" s="131"/>
      <c r="AJ84" s="37"/>
      <c r="AK84" s="38"/>
      <c r="AL84" s="39"/>
      <c r="AM84" s="270"/>
      <c r="AN84" s="270"/>
      <c r="AO84" s="40"/>
    </row>
    <row r="85" spans="1:42" x14ac:dyDescent="0.45">
      <c r="A85" s="134"/>
      <c r="B85" s="134"/>
      <c r="C85" s="134"/>
      <c r="D85" s="134"/>
      <c r="E85" s="134"/>
      <c r="F85" s="134"/>
      <c r="G85" s="49" t="s">
        <v>174</v>
      </c>
      <c r="H85" s="133"/>
      <c r="I85" s="134"/>
      <c r="J85" s="134"/>
      <c r="K85" s="134"/>
      <c r="L85" s="50">
        <f>L83+L48</f>
        <v>18570</v>
      </c>
      <c r="M85" s="50">
        <f>M83+M48</f>
        <v>0</v>
      </c>
      <c r="N85" s="50">
        <f>N83+N48</f>
        <v>18570</v>
      </c>
      <c r="O85" s="133"/>
      <c r="P85" s="134"/>
      <c r="Q85" s="134"/>
      <c r="R85" s="50">
        <f>R83+R48</f>
        <v>19700.700000000004</v>
      </c>
      <c r="S85" s="50">
        <f>S83+S48</f>
        <v>0</v>
      </c>
      <c r="T85" s="50">
        <f>T83+T48</f>
        <v>19700.700000000004</v>
      </c>
      <c r="U85" s="133"/>
      <c r="V85" s="134"/>
      <c r="W85" s="134"/>
      <c r="X85" s="50">
        <f>X83+X48</f>
        <v>21801.801000000003</v>
      </c>
      <c r="Y85" s="50">
        <f>Y83+Y48</f>
        <v>0</v>
      </c>
      <c r="Z85" s="50">
        <f>Z83+Z48</f>
        <v>21801.801000000003</v>
      </c>
      <c r="AA85" s="133"/>
      <c r="AB85" s="134"/>
      <c r="AC85" s="134"/>
      <c r="AD85" s="50">
        <f>AD83+AD48</f>
        <v>21847.130550000002</v>
      </c>
      <c r="AE85" s="50">
        <f>AE83+AE48</f>
        <v>0</v>
      </c>
      <c r="AF85" s="50">
        <f>AF83+AF48</f>
        <v>21847.130550000002</v>
      </c>
      <c r="AG85" s="133"/>
      <c r="AH85" s="134"/>
      <c r="AI85" s="134"/>
      <c r="AJ85" s="50">
        <f t="shared" ref="AJ85:AO85" si="168">AJ83+AJ48</f>
        <v>21546.522552900005</v>
      </c>
      <c r="AK85" s="50">
        <f t="shared" si="168"/>
        <v>0</v>
      </c>
      <c r="AL85" s="50">
        <f t="shared" si="168"/>
        <v>21546.522552900005</v>
      </c>
      <c r="AM85" s="50">
        <f t="shared" si="168"/>
        <v>103466.15410290001</v>
      </c>
      <c r="AN85" s="257">
        <f t="shared" si="168"/>
        <v>0</v>
      </c>
      <c r="AO85" s="71">
        <f t="shared" si="168"/>
        <v>103466.15410290001</v>
      </c>
    </row>
    <row r="86" spans="1:42" x14ac:dyDescent="0.45">
      <c r="A86" s="151"/>
      <c r="B86" s="151"/>
      <c r="C86" s="151"/>
      <c r="D86" s="151"/>
      <c r="E86" s="151"/>
      <c r="F86" s="151"/>
      <c r="G86" s="83"/>
      <c r="H86" s="150"/>
      <c r="I86" s="151"/>
      <c r="J86" s="151"/>
      <c r="K86" s="151"/>
      <c r="L86" s="52"/>
      <c r="M86" s="53"/>
      <c r="N86" s="54"/>
      <c r="O86" s="150"/>
      <c r="P86" s="151"/>
      <c r="Q86" s="151"/>
      <c r="R86" s="52"/>
      <c r="S86" s="53"/>
      <c r="T86" s="54"/>
      <c r="U86" s="150"/>
      <c r="V86" s="151"/>
      <c r="W86" s="151"/>
      <c r="X86" s="52"/>
      <c r="Y86" s="53"/>
      <c r="Z86" s="54"/>
      <c r="AA86" s="150"/>
      <c r="AB86" s="151"/>
      <c r="AC86" s="151"/>
      <c r="AD86" s="52"/>
      <c r="AE86" s="53"/>
      <c r="AF86" s="54"/>
      <c r="AG86" s="150"/>
      <c r="AH86" s="151"/>
      <c r="AI86" s="151"/>
      <c r="AJ86" s="52"/>
      <c r="AK86" s="53"/>
      <c r="AL86" s="54"/>
      <c r="AM86" s="249"/>
      <c r="AN86" s="249"/>
      <c r="AO86" s="55"/>
    </row>
    <row r="87" spans="1:42" x14ac:dyDescent="0.45">
      <c r="A87" s="138"/>
      <c r="B87" s="138"/>
      <c r="C87" s="138"/>
      <c r="D87" s="138"/>
      <c r="E87" s="138"/>
      <c r="F87" s="138"/>
      <c r="G87" s="56" t="s">
        <v>546</v>
      </c>
      <c r="H87" s="137"/>
      <c r="I87" s="138"/>
      <c r="J87" s="138"/>
      <c r="K87" s="138"/>
      <c r="L87" s="57"/>
      <c r="M87" s="58"/>
      <c r="N87" s="59"/>
      <c r="O87" s="137"/>
      <c r="P87" s="138"/>
      <c r="Q87" s="138"/>
      <c r="R87" s="57"/>
      <c r="S87" s="58"/>
      <c r="T87" s="59"/>
      <c r="U87" s="137"/>
      <c r="V87" s="138"/>
      <c r="W87" s="138"/>
      <c r="X87" s="57"/>
      <c r="Y87" s="58"/>
      <c r="Z87" s="59"/>
      <c r="AA87" s="137"/>
      <c r="AB87" s="138"/>
      <c r="AC87" s="138"/>
      <c r="AD87" s="57"/>
      <c r="AE87" s="58"/>
      <c r="AF87" s="59"/>
      <c r="AG87" s="137"/>
      <c r="AH87" s="138"/>
      <c r="AI87" s="138"/>
      <c r="AJ87" s="57"/>
      <c r="AK87" s="58"/>
      <c r="AL87" s="59"/>
      <c r="AM87" s="251"/>
      <c r="AN87" s="251"/>
      <c r="AO87" s="60"/>
    </row>
    <row r="88" spans="1:42" x14ac:dyDescent="0.45">
      <c r="A88" s="152"/>
      <c r="B88" s="152"/>
      <c r="C88" s="152"/>
      <c r="D88" s="152"/>
      <c r="E88" s="152"/>
      <c r="F88" s="152"/>
      <c r="G88" s="61"/>
      <c r="H88" s="141"/>
      <c r="I88" s="152"/>
      <c r="J88" s="152"/>
      <c r="K88" s="152"/>
      <c r="L88" s="30"/>
      <c r="M88" s="63"/>
      <c r="N88" s="72"/>
      <c r="O88" s="153"/>
      <c r="P88" s="152"/>
      <c r="Q88" s="152"/>
      <c r="R88" s="62"/>
      <c r="S88" s="63"/>
      <c r="T88" s="72"/>
      <c r="U88" s="153"/>
      <c r="V88" s="152"/>
      <c r="W88" s="152"/>
      <c r="X88" s="62"/>
      <c r="Y88" s="63"/>
      <c r="Z88" s="72"/>
      <c r="AA88" s="153"/>
      <c r="AB88" s="152"/>
      <c r="AC88" s="152"/>
      <c r="AD88" s="62"/>
      <c r="AE88" s="63"/>
      <c r="AF88" s="72"/>
      <c r="AG88" s="153"/>
      <c r="AH88" s="152"/>
      <c r="AI88" s="152"/>
      <c r="AJ88" s="62"/>
      <c r="AK88" s="63"/>
      <c r="AL88" s="72"/>
      <c r="AM88" s="270"/>
      <c r="AN88" s="253"/>
      <c r="AO88" s="64"/>
    </row>
    <row r="89" spans="1:42" x14ac:dyDescent="0.45">
      <c r="A89" s="1" t="s">
        <v>213</v>
      </c>
      <c r="B89" s="710">
        <v>89050</v>
      </c>
      <c r="C89" s="258" t="s">
        <v>65</v>
      </c>
      <c r="D89" s="258" t="s">
        <v>65</v>
      </c>
      <c r="E89" s="1" t="s">
        <v>214</v>
      </c>
      <c r="F89" s="537" t="s">
        <v>547</v>
      </c>
      <c r="G89" s="140" t="s">
        <v>433</v>
      </c>
      <c r="H89" s="141">
        <v>1</v>
      </c>
      <c r="I89" s="38">
        <v>50000</v>
      </c>
      <c r="J89" s="131">
        <v>0</v>
      </c>
      <c r="K89" s="131" t="s">
        <v>183</v>
      </c>
      <c r="L89" s="37">
        <f>I89*H89</f>
        <v>50000</v>
      </c>
      <c r="M89" s="38">
        <v>0</v>
      </c>
      <c r="N89" s="39">
        <f>SUM(L89:M89)</f>
        <v>50000</v>
      </c>
      <c r="O89" s="141">
        <v>0</v>
      </c>
      <c r="P89" s="38">
        <f>I89</f>
        <v>50000</v>
      </c>
      <c r="Q89" s="132"/>
      <c r="R89" s="37">
        <f>O89*P89</f>
        <v>0</v>
      </c>
      <c r="S89" s="38">
        <v>0</v>
      </c>
      <c r="T89" s="39">
        <f>SUM(R89:S89)</f>
        <v>0</v>
      </c>
      <c r="U89" s="141">
        <v>0</v>
      </c>
      <c r="V89" s="38">
        <f>I89</f>
        <v>50000</v>
      </c>
      <c r="W89" s="132"/>
      <c r="X89" s="37">
        <f>V89*U89</f>
        <v>0</v>
      </c>
      <c r="Y89" s="38">
        <v>0</v>
      </c>
      <c r="Z89" s="39">
        <f>SUM(X89:Y89)</f>
        <v>0</v>
      </c>
      <c r="AA89" s="141">
        <v>0</v>
      </c>
      <c r="AB89" s="38">
        <f>I89</f>
        <v>50000</v>
      </c>
      <c r="AC89" s="132"/>
      <c r="AD89" s="37">
        <f>AA89*AB89</f>
        <v>0</v>
      </c>
      <c r="AE89" s="38">
        <v>0</v>
      </c>
      <c r="AF89" s="39">
        <f>SUM(AD89:AE89)</f>
        <v>0</v>
      </c>
      <c r="AG89" s="141">
        <v>0</v>
      </c>
      <c r="AH89" s="38">
        <f>I89</f>
        <v>50000</v>
      </c>
      <c r="AI89" s="132"/>
      <c r="AJ89" s="37">
        <f>AH89*AG89</f>
        <v>0</v>
      </c>
      <c r="AK89" s="38">
        <v>0</v>
      </c>
      <c r="AL89" s="39">
        <f>SUM(AJ89:AK89)</f>
        <v>0</v>
      </c>
      <c r="AM89" s="270">
        <f>L89+R89+X89+AD89+AJ89</f>
        <v>50000</v>
      </c>
      <c r="AN89" s="270">
        <f t="shared" ref="AN89" si="169">M89+S89+Y89+AE89+AK89</f>
        <v>0</v>
      </c>
      <c r="AO89" s="40">
        <f>SUM(AM89:AN89)</f>
        <v>50000</v>
      </c>
    </row>
    <row r="90" spans="1:42" x14ac:dyDescent="0.45">
      <c r="A90" s="38"/>
      <c r="B90" s="38"/>
      <c r="C90" s="38"/>
      <c r="D90" s="38"/>
      <c r="E90" s="38"/>
      <c r="F90" s="38"/>
      <c r="G90" s="84"/>
      <c r="H90" s="154"/>
      <c r="I90" s="38"/>
      <c r="J90" s="155"/>
      <c r="K90" s="155"/>
      <c r="L90" s="85"/>
      <c r="M90" s="86"/>
      <c r="N90" s="87"/>
      <c r="O90" s="154"/>
      <c r="P90" s="155"/>
      <c r="Q90" s="155"/>
      <c r="R90" s="85"/>
      <c r="S90" s="86"/>
      <c r="T90" s="87"/>
      <c r="U90" s="154"/>
      <c r="V90" s="155"/>
      <c r="W90" s="155"/>
      <c r="X90" s="85"/>
      <c r="Y90" s="86"/>
      <c r="Z90" s="87"/>
      <c r="AA90" s="154"/>
      <c r="AB90" s="155"/>
      <c r="AC90" s="155"/>
      <c r="AD90" s="85"/>
      <c r="AE90" s="86"/>
      <c r="AF90" s="87"/>
      <c r="AG90" s="154"/>
      <c r="AH90" s="155"/>
      <c r="AI90" s="155"/>
      <c r="AJ90" s="85"/>
      <c r="AK90" s="86"/>
      <c r="AL90" s="87"/>
      <c r="AM90" s="256"/>
      <c r="AN90" s="256"/>
      <c r="AO90" s="88"/>
    </row>
    <row r="91" spans="1:42" s="9" customFormat="1" x14ac:dyDescent="0.45">
      <c r="A91" s="134"/>
      <c r="B91" s="134"/>
      <c r="C91" s="134"/>
      <c r="D91" s="134"/>
      <c r="E91" s="134"/>
      <c r="F91" s="134"/>
      <c r="G91" s="49" t="s">
        <v>179</v>
      </c>
      <c r="H91" s="133"/>
      <c r="I91" s="134"/>
      <c r="J91" s="134"/>
      <c r="K91" s="134"/>
      <c r="L91" s="50">
        <f>SUM(L89:L90)</f>
        <v>50000</v>
      </c>
      <c r="M91" s="50">
        <f>SUM(M89:M90)</f>
        <v>0</v>
      </c>
      <c r="N91" s="50">
        <f>SUM(N89:N90)</f>
        <v>50000</v>
      </c>
      <c r="O91" s="133"/>
      <c r="P91" s="134"/>
      <c r="Q91" s="134"/>
      <c r="R91" s="50">
        <f>SUM(R89:R90)</f>
        <v>0</v>
      </c>
      <c r="S91" s="50">
        <f>SUM(S89:S90)</f>
        <v>0</v>
      </c>
      <c r="T91" s="50">
        <f>SUM(T89:T90)</f>
        <v>0</v>
      </c>
      <c r="U91" s="133"/>
      <c r="V91" s="134"/>
      <c r="W91" s="134"/>
      <c r="X91" s="50">
        <f>SUM(X89:X90)</f>
        <v>0</v>
      </c>
      <c r="Y91" s="50">
        <f>SUM(Y89:Y90)</f>
        <v>0</v>
      </c>
      <c r="Z91" s="50">
        <f>SUM(Z89:Z90)</f>
        <v>0</v>
      </c>
      <c r="AA91" s="133"/>
      <c r="AB91" s="134"/>
      <c r="AC91" s="134"/>
      <c r="AD91" s="50">
        <f>SUM(AD89:AD90)</f>
        <v>0</v>
      </c>
      <c r="AE91" s="50">
        <f>SUM(AE89:AE90)</f>
        <v>0</v>
      </c>
      <c r="AF91" s="50">
        <f>SUM(AF89:AF90)</f>
        <v>0</v>
      </c>
      <c r="AG91" s="133"/>
      <c r="AH91" s="134"/>
      <c r="AI91" s="134"/>
      <c r="AJ91" s="50">
        <f t="shared" ref="AJ91:AO91" si="170">SUM(AJ89:AJ90)</f>
        <v>0</v>
      </c>
      <c r="AK91" s="50">
        <f t="shared" si="170"/>
        <v>0</v>
      </c>
      <c r="AL91" s="50">
        <f t="shared" si="170"/>
        <v>0</v>
      </c>
      <c r="AM91" s="257">
        <f t="shared" si="170"/>
        <v>50000</v>
      </c>
      <c r="AN91" s="257">
        <f t="shared" si="170"/>
        <v>0</v>
      </c>
      <c r="AO91" s="71">
        <f t="shared" si="170"/>
        <v>50000</v>
      </c>
      <c r="AP91" s="1"/>
    </row>
    <row r="92" spans="1:42" x14ac:dyDescent="0.45">
      <c r="A92" s="136"/>
      <c r="B92" s="136"/>
      <c r="C92" s="136"/>
      <c r="D92" s="136"/>
      <c r="E92" s="136"/>
      <c r="F92" s="136"/>
      <c r="G92" s="89"/>
      <c r="H92" s="135"/>
      <c r="I92" s="136"/>
      <c r="J92" s="136"/>
      <c r="K92" s="136"/>
      <c r="L92" s="52"/>
      <c r="M92" s="53"/>
      <c r="N92" s="54"/>
      <c r="O92" s="135"/>
      <c r="P92" s="136"/>
      <c r="Q92" s="136"/>
      <c r="R92" s="52"/>
      <c r="S92" s="53"/>
      <c r="T92" s="54"/>
      <c r="U92" s="135"/>
      <c r="V92" s="136"/>
      <c r="W92" s="136"/>
      <c r="X92" s="52"/>
      <c r="Y92" s="53"/>
      <c r="Z92" s="54"/>
      <c r="AA92" s="135"/>
      <c r="AB92" s="136"/>
      <c r="AC92" s="136"/>
      <c r="AD92" s="52"/>
      <c r="AE92" s="53"/>
      <c r="AF92" s="54"/>
      <c r="AG92" s="135"/>
      <c r="AH92" s="136"/>
      <c r="AI92" s="136"/>
      <c r="AJ92" s="52"/>
      <c r="AK92" s="53"/>
      <c r="AL92" s="54"/>
      <c r="AM92" s="249"/>
      <c r="AN92" s="249"/>
      <c r="AO92" s="55"/>
    </row>
    <row r="93" spans="1:42" x14ac:dyDescent="0.45">
      <c r="A93" s="138"/>
      <c r="B93" s="138"/>
      <c r="C93" s="138"/>
      <c r="D93" s="138"/>
      <c r="E93" s="138"/>
      <c r="F93" s="138"/>
      <c r="G93" s="56" t="s">
        <v>434</v>
      </c>
      <c r="H93" s="137"/>
      <c r="I93" s="138"/>
      <c r="J93" s="138"/>
      <c r="K93" s="138"/>
      <c r="L93" s="57"/>
      <c r="M93" s="58"/>
      <c r="N93" s="59"/>
      <c r="O93" s="137"/>
      <c r="P93" s="138"/>
      <c r="Q93" s="138"/>
      <c r="R93" s="57"/>
      <c r="S93" s="58"/>
      <c r="T93" s="59"/>
      <c r="U93" s="137"/>
      <c r="V93" s="138"/>
      <c r="W93" s="138"/>
      <c r="X93" s="57"/>
      <c r="Y93" s="58"/>
      <c r="Z93" s="59"/>
      <c r="AA93" s="137"/>
      <c r="AB93" s="138"/>
      <c r="AC93" s="138"/>
      <c r="AD93" s="57"/>
      <c r="AE93" s="58"/>
      <c r="AF93" s="59"/>
      <c r="AG93" s="137"/>
      <c r="AH93" s="138"/>
      <c r="AI93" s="138"/>
      <c r="AJ93" s="57"/>
      <c r="AK93" s="58"/>
      <c r="AL93" s="59"/>
      <c r="AM93" s="251"/>
      <c r="AN93" s="251"/>
      <c r="AO93" s="60"/>
    </row>
    <row r="94" spans="1:42" x14ac:dyDescent="0.45">
      <c r="A94" s="152"/>
      <c r="B94" s="152"/>
      <c r="C94" s="152"/>
      <c r="D94" s="152"/>
      <c r="E94" s="152"/>
      <c r="F94" s="152"/>
      <c r="G94" s="29"/>
      <c r="H94" s="153"/>
      <c r="I94" s="152"/>
      <c r="J94" s="152"/>
      <c r="K94" s="152"/>
      <c r="L94" s="62"/>
      <c r="M94" s="63"/>
      <c r="N94" s="72"/>
      <c r="O94" s="153"/>
      <c r="P94" s="152"/>
      <c r="Q94" s="152"/>
      <c r="R94" s="62"/>
      <c r="S94" s="63"/>
      <c r="T94" s="72"/>
      <c r="U94" s="153"/>
      <c r="V94" s="152"/>
      <c r="W94" s="152"/>
      <c r="X94" s="62"/>
      <c r="Y94" s="63"/>
      <c r="Z94" s="72"/>
      <c r="AA94" s="153"/>
      <c r="AB94" s="152"/>
      <c r="AC94" s="152"/>
      <c r="AD94" s="62"/>
      <c r="AE94" s="63"/>
      <c r="AF94" s="72"/>
      <c r="AG94" s="153"/>
      <c r="AH94" s="152"/>
      <c r="AI94" s="152"/>
      <c r="AJ94" s="62"/>
      <c r="AK94" s="63"/>
      <c r="AL94" s="72"/>
      <c r="AM94" s="270"/>
      <c r="AN94" s="253"/>
      <c r="AO94" s="64"/>
    </row>
    <row r="95" spans="1:42" x14ac:dyDescent="0.45">
      <c r="A95" s="132"/>
      <c r="B95" s="132"/>
      <c r="C95" s="132"/>
      <c r="D95" s="132"/>
      <c r="E95" s="132"/>
      <c r="F95" s="132"/>
      <c r="G95" s="73" t="s">
        <v>180</v>
      </c>
      <c r="H95" s="124"/>
      <c r="I95" s="132"/>
      <c r="J95" s="132"/>
      <c r="K95" s="132"/>
      <c r="L95" s="37"/>
      <c r="M95" s="38"/>
      <c r="N95" s="39"/>
      <c r="O95" s="141"/>
      <c r="P95" s="38"/>
      <c r="Q95" s="15"/>
      <c r="R95" s="37"/>
      <c r="S95" s="38"/>
      <c r="T95" s="39"/>
      <c r="U95" s="141"/>
      <c r="V95" s="38"/>
      <c r="W95" s="15"/>
      <c r="X95" s="37"/>
      <c r="Y95" s="38"/>
      <c r="Z95" s="39"/>
      <c r="AA95" s="141"/>
      <c r="AB95" s="38"/>
      <c r="AC95" s="15"/>
      <c r="AD95" s="37"/>
      <c r="AE95" s="38"/>
      <c r="AF95" s="39"/>
      <c r="AG95" s="141"/>
      <c r="AH95" s="38"/>
      <c r="AI95" s="15"/>
      <c r="AJ95" s="37"/>
      <c r="AK95" s="38"/>
      <c r="AL95" s="39"/>
      <c r="AM95" s="270"/>
      <c r="AN95" s="270"/>
      <c r="AO95" s="40"/>
    </row>
    <row r="96" spans="1:42" x14ac:dyDescent="0.45">
      <c r="A96" s="1" t="s">
        <v>213</v>
      </c>
      <c r="B96" s="710">
        <v>89050</v>
      </c>
      <c r="C96" s="258" t="s">
        <v>65</v>
      </c>
      <c r="D96" s="258" t="s">
        <v>65</v>
      </c>
      <c r="E96" s="1" t="s">
        <v>214</v>
      </c>
      <c r="F96" s="537" t="s">
        <v>548</v>
      </c>
      <c r="G96" s="258" t="s">
        <v>436</v>
      </c>
      <c r="H96" s="141">
        <v>1</v>
      </c>
      <c r="I96" s="38">
        <f>Supplies!B31</f>
        <v>1204.99</v>
      </c>
      <c r="J96" s="572">
        <v>1</v>
      </c>
      <c r="K96" s="522" t="s">
        <v>183</v>
      </c>
      <c r="L96" s="37">
        <f>I96*H96</f>
        <v>1204.99</v>
      </c>
      <c r="M96" s="38">
        <v>0</v>
      </c>
      <c r="N96" s="39">
        <f>SUM(L96:M96)</f>
        <v>1204.99</v>
      </c>
      <c r="O96" s="141">
        <v>0</v>
      </c>
      <c r="P96" s="38">
        <f>I96*$H$6</f>
        <v>1241.1396999999999</v>
      </c>
      <c r="Q96" s="15">
        <v>1</v>
      </c>
      <c r="R96" s="37">
        <f>O96*P96</f>
        <v>0</v>
      </c>
      <c r="S96" s="38">
        <v>0</v>
      </c>
      <c r="T96" s="39">
        <f>SUM(R96:S96)</f>
        <v>0</v>
      </c>
      <c r="U96" s="37">
        <f>R96*S96*T96</f>
        <v>0</v>
      </c>
      <c r="V96" s="38">
        <f>I96*$H$6*$H$6</f>
        <v>1278.373891</v>
      </c>
      <c r="W96" s="15">
        <v>1</v>
      </c>
      <c r="X96" s="37">
        <f>V96*U96</f>
        <v>0</v>
      </c>
      <c r="Y96" s="38">
        <v>0</v>
      </c>
      <c r="Z96" s="39">
        <f>SUM(X96:Y96)</f>
        <v>0</v>
      </c>
      <c r="AA96" s="37">
        <f>X96*Y96*Z96</f>
        <v>0</v>
      </c>
      <c r="AB96" s="38">
        <f>I96*$H$6*$H$6*$H$6</f>
        <v>1316.72510773</v>
      </c>
      <c r="AC96" s="15">
        <v>1</v>
      </c>
      <c r="AD96" s="37">
        <f>AB96*AA96</f>
        <v>0</v>
      </c>
      <c r="AE96" s="38">
        <v>0</v>
      </c>
      <c r="AF96" s="39">
        <f>SUM(AD96:AE96)</f>
        <v>0</v>
      </c>
      <c r="AG96" s="37">
        <f>AD96*AE96*AF96</f>
        <v>0</v>
      </c>
      <c r="AH96" s="38">
        <f>I96*$H$6*$H$6*$H$6*$H$6</f>
        <v>1356.2268609619</v>
      </c>
      <c r="AI96" s="15">
        <v>1</v>
      </c>
      <c r="AJ96" s="37">
        <f>AH96*AG96</f>
        <v>0</v>
      </c>
      <c r="AK96" s="38">
        <v>0</v>
      </c>
      <c r="AL96" s="39">
        <f>SUM(AJ96:AK96)</f>
        <v>0</v>
      </c>
      <c r="AM96" s="40">
        <f t="shared" ref="AM96:AN97" si="171">L96+R96+X96+AD96+AJ96</f>
        <v>1204.99</v>
      </c>
      <c r="AN96" s="270">
        <f t="shared" si="171"/>
        <v>0</v>
      </c>
      <c r="AO96" s="40">
        <f>SUM(AM96:AN96)</f>
        <v>1204.99</v>
      </c>
    </row>
    <row r="97" spans="1:45" x14ac:dyDescent="0.45">
      <c r="A97" s="1" t="s">
        <v>213</v>
      </c>
      <c r="B97" s="710">
        <v>89050</v>
      </c>
      <c r="C97" s="258" t="s">
        <v>65</v>
      </c>
      <c r="D97" s="258" t="s">
        <v>65</v>
      </c>
      <c r="E97" s="1" t="s">
        <v>214</v>
      </c>
      <c r="F97" s="537" t="s">
        <v>549</v>
      </c>
      <c r="G97" s="258" t="s">
        <v>550</v>
      </c>
      <c r="H97" s="141">
        <v>1</v>
      </c>
      <c r="I97" s="38">
        <v>278</v>
      </c>
      <c r="J97" s="272">
        <v>12</v>
      </c>
      <c r="K97" s="522" t="s">
        <v>107</v>
      </c>
      <c r="L97" s="37">
        <v>0</v>
      </c>
      <c r="M97" s="38">
        <f>+H97*I97*J97</f>
        <v>3336</v>
      </c>
      <c r="N97" s="39">
        <f t="shared" ref="N97" si="172">SUM(L97:M97)</f>
        <v>3336</v>
      </c>
      <c r="O97" s="141">
        <v>1.3</v>
      </c>
      <c r="P97" s="38">
        <f t="shared" ref="P97" si="173">I97*$H$6</f>
        <v>286.34000000000003</v>
      </c>
      <c r="Q97" s="15">
        <v>12</v>
      </c>
      <c r="R97" s="37">
        <v>0</v>
      </c>
      <c r="S97" s="38">
        <f>+O97*P97*Q97</f>
        <v>4466.9040000000005</v>
      </c>
      <c r="T97" s="39">
        <f t="shared" ref="T97" si="174">SUM(R97:S97)</f>
        <v>4466.9040000000005</v>
      </c>
      <c r="U97" s="37">
        <v>1.3</v>
      </c>
      <c r="V97" s="38">
        <f t="shared" ref="V97" si="175">I97*$H$6*$H$6</f>
        <v>294.93020000000001</v>
      </c>
      <c r="W97" s="15">
        <v>12</v>
      </c>
      <c r="X97" s="37">
        <v>0</v>
      </c>
      <c r="Y97" s="38">
        <f>+U97*V97*W97</f>
        <v>4600.9111200000007</v>
      </c>
      <c r="Z97" s="39">
        <f t="shared" ref="Z97" si="176">SUM(X97:Y97)</f>
        <v>4600.9111200000007</v>
      </c>
      <c r="AA97" s="37">
        <v>1.3</v>
      </c>
      <c r="AB97" s="38">
        <f t="shared" ref="AB97" si="177">I97*$H$6*$H$6*$H$6</f>
        <v>303.77810600000004</v>
      </c>
      <c r="AC97" s="15">
        <v>12</v>
      </c>
      <c r="AD97" s="37">
        <v>0</v>
      </c>
      <c r="AE97" s="38">
        <f>+AA97*AB97*AC97</f>
        <v>4738.9384536000007</v>
      </c>
      <c r="AF97" s="39">
        <f t="shared" ref="AF97" si="178">SUM(AD97:AE97)</f>
        <v>4738.9384536000007</v>
      </c>
      <c r="AG97" s="37">
        <v>1.3</v>
      </c>
      <c r="AH97" s="38">
        <f t="shared" ref="AH97" si="179">I97*$H$6*$H$6*$H$6*$H$6</f>
        <v>312.89144918000005</v>
      </c>
      <c r="AI97" s="15">
        <v>12</v>
      </c>
      <c r="AJ97" s="37">
        <v>0</v>
      </c>
      <c r="AK97" s="38">
        <f>+AG97*AH97*AI97</f>
        <v>4881.1066072080012</v>
      </c>
      <c r="AL97" s="39">
        <f>SUM(AJ97:AK97)</f>
        <v>4881.1066072080012</v>
      </c>
      <c r="AM97" s="40">
        <f t="shared" si="171"/>
        <v>0</v>
      </c>
      <c r="AN97" s="270">
        <f t="shared" si="171"/>
        <v>22023.860180808006</v>
      </c>
      <c r="AO97" s="40">
        <f>SUM(AM97:AN97)</f>
        <v>22023.860180808006</v>
      </c>
    </row>
    <row r="98" spans="1:45" s="10" customFormat="1" x14ac:dyDescent="0.45">
      <c r="A98" s="129"/>
      <c r="B98" s="129"/>
      <c r="C98" s="129"/>
      <c r="D98" s="129"/>
      <c r="E98" s="129"/>
      <c r="F98" s="129"/>
      <c r="G98" s="75" t="s">
        <v>192</v>
      </c>
      <c r="H98" s="144"/>
      <c r="I98" s="129"/>
      <c r="J98" s="145"/>
      <c r="K98" s="129"/>
      <c r="L98" s="42">
        <f>SUM(L96:L97)</f>
        <v>1204.99</v>
      </c>
      <c r="M98" s="42">
        <f>SUM(M96:M97)</f>
        <v>3336</v>
      </c>
      <c r="N98" s="42">
        <f>SUM(N96:N97)</f>
        <v>4540.99</v>
      </c>
      <c r="O98" s="144"/>
      <c r="P98" s="43"/>
      <c r="Q98" s="129"/>
      <c r="R98" s="42">
        <f>SUM(R96:R97)</f>
        <v>0</v>
      </c>
      <c r="S98" s="42">
        <f>SUM(S96:S97)</f>
        <v>4466.9040000000005</v>
      </c>
      <c r="T98" s="42">
        <f>SUM(T96:T97)</f>
        <v>4466.9040000000005</v>
      </c>
      <c r="U98" s="144"/>
      <c r="V98" s="38"/>
      <c r="W98" s="129"/>
      <c r="X98" s="42">
        <f>SUM(X96:X97)</f>
        <v>0</v>
      </c>
      <c r="Y98" s="42">
        <f>SUM(Y96:Y97)</f>
        <v>4600.9111200000007</v>
      </c>
      <c r="Z98" s="42">
        <f>SUM(Z96:Z97)</f>
        <v>4600.9111200000007</v>
      </c>
      <c r="AA98" s="144"/>
      <c r="AB98" s="38"/>
      <c r="AC98" s="129"/>
      <c r="AD98" s="42">
        <f>SUM(AD96:AD97)</f>
        <v>0</v>
      </c>
      <c r="AE98" s="42">
        <f>SUM(AE96:AE97)</f>
        <v>4738.9384536000007</v>
      </c>
      <c r="AF98" s="42">
        <f>SUM(AF96:AF97)</f>
        <v>4738.9384536000007</v>
      </c>
      <c r="AG98" s="144"/>
      <c r="AH98" s="38"/>
      <c r="AI98" s="129"/>
      <c r="AJ98" s="42">
        <f t="shared" ref="AJ98:AO98" si="180">SUM(AJ96:AJ97)</f>
        <v>0</v>
      </c>
      <c r="AK98" s="42">
        <f t="shared" si="180"/>
        <v>4881.1066072080012</v>
      </c>
      <c r="AL98" s="42">
        <f t="shared" si="180"/>
        <v>4881.1066072080012</v>
      </c>
      <c r="AM98" s="45">
        <f t="shared" si="180"/>
        <v>1204.99</v>
      </c>
      <c r="AN98" s="248">
        <f t="shared" si="180"/>
        <v>22023.860180808006</v>
      </c>
      <c r="AO98" s="45">
        <f t="shared" si="180"/>
        <v>23228.850180808007</v>
      </c>
      <c r="AP98" s="1"/>
    </row>
    <row r="99" spans="1:45" s="10" customFormat="1" x14ac:dyDescent="0.45">
      <c r="A99" s="129"/>
      <c r="B99" s="129"/>
      <c r="C99" s="129"/>
      <c r="D99" s="129"/>
      <c r="E99" s="129"/>
      <c r="F99" s="129"/>
      <c r="G99" s="75"/>
      <c r="H99" s="144"/>
      <c r="I99" s="129"/>
      <c r="J99" s="145"/>
      <c r="K99" s="129"/>
      <c r="L99" s="42"/>
      <c r="M99" s="43"/>
      <c r="N99" s="43"/>
      <c r="O99" s="144"/>
      <c r="P99" s="43"/>
      <c r="Q99" s="129"/>
      <c r="R99" s="42"/>
      <c r="S99" s="43"/>
      <c r="T99" s="43"/>
      <c r="U99" s="144"/>
      <c r="V99" s="38"/>
      <c r="W99" s="129"/>
      <c r="X99" s="42"/>
      <c r="Y99" s="43"/>
      <c r="Z99" s="43"/>
      <c r="AA99" s="144"/>
      <c r="AB99" s="38"/>
      <c r="AC99" s="129"/>
      <c r="AD99" s="42"/>
      <c r="AE99" s="43"/>
      <c r="AF99" s="43"/>
      <c r="AG99" s="144"/>
      <c r="AH99" s="38"/>
      <c r="AI99" s="129"/>
      <c r="AJ99" s="42"/>
      <c r="AK99" s="43"/>
      <c r="AL99" s="44"/>
      <c r="AM99" s="248"/>
      <c r="AN99" s="248"/>
      <c r="AO99" s="45"/>
      <c r="AP99" s="1"/>
    </row>
    <row r="100" spans="1:45" x14ac:dyDescent="0.45">
      <c r="A100" s="132"/>
      <c r="B100" s="132"/>
      <c r="C100" s="132"/>
      <c r="D100" s="132"/>
      <c r="E100" s="132"/>
      <c r="F100" s="132"/>
      <c r="G100" s="73" t="s">
        <v>193</v>
      </c>
      <c r="H100" s="124"/>
      <c r="I100" s="132"/>
      <c r="J100" s="132"/>
      <c r="K100" s="132"/>
      <c r="L100" s="37"/>
      <c r="M100" s="38"/>
      <c r="N100" s="39"/>
      <c r="O100" s="141"/>
      <c r="P100" s="38"/>
      <c r="Q100" s="15"/>
      <c r="R100" s="37"/>
      <c r="S100" s="38"/>
      <c r="T100" s="39"/>
      <c r="U100" s="141"/>
      <c r="V100" s="38"/>
      <c r="W100" s="15"/>
      <c r="X100" s="37"/>
      <c r="Y100" s="38"/>
      <c r="Z100" s="39"/>
      <c r="AA100" s="141"/>
      <c r="AB100" s="38"/>
      <c r="AC100" s="15"/>
      <c r="AD100" s="37"/>
      <c r="AE100" s="38"/>
      <c r="AF100" s="39"/>
      <c r="AG100" s="141"/>
      <c r="AH100" s="38"/>
      <c r="AI100" s="15"/>
      <c r="AJ100" s="37"/>
      <c r="AK100" s="38"/>
      <c r="AL100" s="39"/>
      <c r="AM100" s="270"/>
      <c r="AN100" s="270"/>
      <c r="AO100" s="40"/>
    </row>
    <row r="101" spans="1:45" x14ac:dyDescent="0.45">
      <c r="A101" s="1" t="s">
        <v>213</v>
      </c>
      <c r="B101" s="710">
        <v>89050</v>
      </c>
      <c r="C101" s="258" t="s">
        <v>65</v>
      </c>
      <c r="D101" s="258" t="s">
        <v>65</v>
      </c>
      <c r="E101" s="1" t="s">
        <v>214</v>
      </c>
      <c r="F101" s="537" t="s">
        <v>551</v>
      </c>
      <c r="G101" s="258" t="s">
        <v>552</v>
      </c>
      <c r="H101" s="141">
        <v>8</v>
      </c>
      <c r="I101" s="38">
        <f>Supplies!B31</f>
        <v>1204.99</v>
      </c>
      <c r="J101" s="572">
        <v>1</v>
      </c>
      <c r="K101" s="522" t="s">
        <v>183</v>
      </c>
      <c r="L101" s="37">
        <f>I101*H101</f>
        <v>9639.92</v>
      </c>
      <c r="M101" s="38">
        <v>0</v>
      </c>
      <c r="N101" s="39">
        <f>SUM(L101:M101)</f>
        <v>9639.92</v>
      </c>
      <c r="O101" s="141">
        <v>0</v>
      </c>
      <c r="P101" s="38">
        <f>I101*$H$6</f>
        <v>1241.1396999999999</v>
      </c>
      <c r="Q101" s="15">
        <v>1</v>
      </c>
      <c r="R101" s="37">
        <f>O101*P101</f>
        <v>0</v>
      </c>
      <c r="S101" s="38">
        <v>0</v>
      </c>
      <c r="T101" s="39">
        <f>SUM(R101:S101)</f>
        <v>0</v>
      </c>
      <c r="U101" s="37">
        <f>R101*S101*T101</f>
        <v>0</v>
      </c>
      <c r="V101" s="38">
        <f>I101*$H$6*$H$6</f>
        <v>1278.373891</v>
      </c>
      <c r="W101" s="15">
        <v>1</v>
      </c>
      <c r="X101" s="37">
        <f>V101*U101</f>
        <v>0</v>
      </c>
      <c r="Y101" s="38">
        <v>0</v>
      </c>
      <c r="Z101" s="39">
        <f>SUM(X101:Y101)</f>
        <v>0</v>
      </c>
      <c r="AA101" s="37">
        <f>X101*Y101*Z101</f>
        <v>0</v>
      </c>
      <c r="AB101" s="38">
        <f>I101*$H$6*$H$6*$H$6</f>
        <v>1316.72510773</v>
      </c>
      <c r="AC101" s="15">
        <v>1</v>
      </c>
      <c r="AD101" s="37">
        <f>AB101*AA101</f>
        <v>0</v>
      </c>
      <c r="AE101" s="38">
        <v>0</v>
      </c>
      <c r="AF101" s="39">
        <f>SUM(AD101:AE101)</f>
        <v>0</v>
      </c>
      <c r="AG101" s="37">
        <f>AD101*AE101*AF101</f>
        <v>0</v>
      </c>
      <c r="AH101" s="38">
        <f>I101*$H$6*$H$6*$H$6*$H$6</f>
        <v>1356.2268609619</v>
      </c>
      <c r="AI101" s="15">
        <v>1</v>
      </c>
      <c r="AJ101" s="37">
        <f>AH101*AG101</f>
        <v>0</v>
      </c>
      <c r="AK101" s="38">
        <v>0</v>
      </c>
      <c r="AL101" s="39">
        <f>SUM(AJ101:AK101)</f>
        <v>0</v>
      </c>
      <c r="AM101" s="40">
        <f>L101+R101+X101+AD101+AJ101</f>
        <v>9639.92</v>
      </c>
      <c r="AN101" s="270">
        <f>M101+S101+Y101+AE101+AK101</f>
        <v>0</v>
      </c>
      <c r="AO101" s="40">
        <f>SUM(AM101:AN101)</f>
        <v>9639.92</v>
      </c>
    </row>
    <row r="102" spans="1:45" x14ac:dyDescent="0.45">
      <c r="A102" s="1" t="s">
        <v>213</v>
      </c>
      <c r="B102" s="710">
        <v>89050</v>
      </c>
      <c r="C102" s="258" t="s">
        <v>65</v>
      </c>
      <c r="D102" s="258" t="s">
        <v>65</v>
      </c>
      <c r="E102" s="1" t="s">
        <v>214</v>
      </c>
      <c r="F102" s="537" t="s">
        <v>553</v>
      </c>
      <c r="G102" s="258" t="s">
        <v>443</v>
      </c>
      <c r="H102" s="141">
        <v>1</v>
      </c>
      <c r="I102" s="38">
        <v>750</v>
      </c>
      <c r="J102" s="572">
        <v>6</v>
      </c>
      <c r="K102" s="131" t="s">
        <v>107</v>
      </c>
      <c r="L102" s="37">
        <f>J102*I102*H102</f>
        <v>4500</v>
      </c>
      <c r="M102" s="38">
        <v>0</v>
      </c>
      <c r="N102" s="39">
        <f t="shared" ref="N102" si="181">SUM(L102:M102)</f>
        <v>4500</v>
      </c>
      <c r="O102" s="141">
        <v>1</v>
      </c>
      <c r="P102" s="38">
        <f>I102*$H$6</f>
        <v>772.5</v>
      </c>
      <c r="Q102" s="15">
        <v>12</v>
      </c>
      <c r="R102" s="37">
        <f>Q102*O102*P102</f>
        <v>9270</v>
      </c>
      <c r="S102" s="38">
        <v>0</v>
      </c>
      <c r="T102" s="39">
        <f t="shared" ref="T102" si="182">SUM(R102:S102)</f>
        <v>9270</v>
      </c>
      <c r="U102" s="37">
        <v>1</v>
      </c>
      <c r="V102" s="38">
        <f>I102*$H$6*$H$6</f>
        <v>795.67500000000007</v>
      </c>
      <c r="W102" s="15">
        <v>12</v>
      </c>
      <c r="X102" s="37">
        <f>V102*W102*U102</f>
        <v>9548.1</v>
      </c>
      <c r="Y102" s="38">
        <v>0</v>
      </c>
      <c r="Z102" s="39">
        <f t="shared" ref="Z102" si="183">SUM(X102:Y102)</f>
        <v>9548.1</v>
      </c>
      <c r="AA102" s="37">
        <v>1</v>
      </c>
      <c r="AB102" s="38">
        <f>I102*$H$6*$H$6*$H$6*0.5</f>
        <v>409.77262500000006</v>
      </c>
      <c r="AC102" s="15">
        <v>12</v>
      </c>
      <c r="AD102" s="37">
        <f>AB102*AA102*AC102</f>
        <v>4917.2715000000007</v>
      </c>
      <c r="AE102" s="38">
        <v>0</v>
      </c>
      <c r="AF102" s="39">
        <f t="shared" ref="AF102" si="184">SUM(AD102:AE102)</f>
        <v>4917.2715000000007</v>
      </c>
      <c r="AG102" s="37">
        <v>1</v>
      </c>
      <c r="AH102" s="38">
        <f>I102*$H$6*$H$6*$H$6*$H$6*0.5</f>
        <v>422.0658037500001</v>
      </c>
      <c r="AI102" s="15">
        <v>9</v>
      </c>
      <c r="AJ102" s="37">
        <f>AH102*AG102*AI102</f>
        <v>3798.592233750001</v>
      </c>
      <c r="AK102" s="38">
        <v>0</v>
      </c>
      <c r="AL102" s="38">
        <f t="shared" ref="AL102" si="185">SUM(AJ102:AK102)</f>
        <v>3798.592233750001</v>
      </c>
      <c r="AM102" s="40">
        <f t="shared" ref="AM102:AN102" si="186">L102+R102+X102+AD102+AJ102</f>
        <v>32033.963733750003</v>
      </c>
      <c r="AN102" s="38">
        <f t="shared" si="186"/>
        <v>0</v>
      </c>
      <c r="AO102" s="40">
        <f t="shared" ref="AO102" si="187">SUM(AM102:AN102)</f>
        <v>32033.963733750003</v>
      </c>
    </row>
    <row r="103" spans="1:45" s="10" customFormat="1" x14ac:dyDescent="0.45">
      <c r="A103" s="129"/>
      <c r="B103" s="129"/>
      <c r="C103" s="129"/>
      <c r="D103" s="129"/>
      <c r="E103" s="129"/>
      <c r="F103" s="129"/>
      <c r="G103" s="75" t="s">
        <v>207</v>
      </c>
      <c r="H103" s="144"/>
      <c r="I103" s="129"/>
      <c r="J103" s="145"/>
      <c r="K103" s="129"/>
      <c r="L103" s="42">
        <f>SUM(L101:L102)</f>
        <v>14139.92</v>
      </c>
      <c r="M103" s="42">
        <f>SUM(M101:M102)</f>
        <v>0</v>
      </c>
      <c r="N103" s="42">
        <f>SUM(N101:N102)</f>
        <v>14139.92</v>
      </c>
      <c r="O103" s="144"/>
      <c r="P103" s="43"/>
      <c r="Q103" s="129"/>
      <c r="R103" s="42">
        <f>SUM(R101:R102)</f>
        <v>9270</v>
      </c>
      <c r="S103" s="42">
        <f>SUM(S101:S102)</f>
        <v>0</v>
      </c>
      <c r="T103" s="42">
        <f>SUM(T101:T102)</f>
        <v>9270</v>
      </c>
      <c r="U103" s="144"/>
      <c r="V103" s="38"/>
      <c r="W103" s="129"/>
      <c r="X103" s="42">
        <f>SUM(X101:X102)</f>
        <v>9548.1</v>
      </c>
      <c r="Y103" s="42">
        <f>SUM(Y101:Y102)</f>
        <v>0</v>
      </c>
      <c r="Z103" s="42">
        <f>SUM(Z101:Z102)</f>
        <v>9548.1</v>
      </c>
      <c r="AA103" s="144"/>
      <c r="AB103" s="38"/>
      <c r="AC103" s="129"/>
      <c r="AD103" s="42">
        <f>SUM(AD101:AD102)</f>
        <v>4917.2715000000007</v>
      </c>
      <c r="AE103" s="42">
        <f>SUM(AE101:AE102)</f>
        <v>0</v>
      </c>
      <c r="AF103" s="42">
        <f>SUM(AF101:AF102)</f>
        <v>4917.2715000000007</v>
      </c>
      <c r="AG103" s="144"/>
      <c r="AH103" s="38"/>
      <c r="AI103" s="129"/>
      <c r="AJ103" s="42">
        <f t="shared" ref="AJ103:AO103" si="188">SUM(AJ101:AJ102)</f>
        <v>3798.592233750001</v>
      </c>
      <c r="AK103" s="42">
        <f t="shared" si="188"/>
        <v>0</v>
      </c>
      <c r="AL103" s="42">
        <f t="shared" si="188"/>
        <v>3798.592233750001</v>
      </c>
      <c r="AM103" s="45">
        <f t="shared" si="188"/>
        <v>41673.883733750001</v>
      </c>
      <c r="AN103" s="248">
        <f t="shared" si="188"/>
        <v>0</v>
      </c>
      <c r="AO103" s="45">
        <f t="shared" si="188"/>
        <v>41673.883733750001</v>
      </c>
      <c r="AP103" s="1"/>
    </row>
    <row r="104" spans="1:45" ht="12.9" thickBot="1" x14ac:dyDescent="0.5">
      <c r="A104" s="155"/>
      <c r="B104" s="155"/>
      <c r="C104" s="155"/>
      <c r="D104" s="155"/>
      <c r="E104" s="155"/>
      <c r="F104" s="155"/>
      <c r="G104" s="84"/>
      <c r="H104" s="154"/>
      <c r="I104" s="155"/>
      <c r="J104" s="155"/>
      <c r="K104" s="155"/>
      <c r="L104" s="85"/>
      <c r="M104" s="86"/>
      <c r="N104" s="86"/>
      <c r="O104" s="154"/>
      <c r="P104" s="155"/>
      <c r="Q104" s="155"/>
      <c r="R104" s="85"/>
      <c r="S104" s="86"/>
      <c r="T104" s="86"/>
      <c r="U104" s="154"/>
      <c r="V104" s="155"/>
      <c r="W104" s="155"/>
      <c r="X104" s="85"/>
      <c r="Y104" s="86"/>
      <c r="Z104" s="86"/>
      <c r="AA104" s="154"/>
      <c r="AB104" s="155"/>
      <c r="AC104" s="155"/>
      <c r="AD104" s="85"/>
      <c r="AE104" s="86"/>
      <c r="AF104" s="86"/>
      <c r="AG104" s="154"/>
      <c r="AH104" s="155"/>
      <c r="AI104" s="155"/>
      <c r="AJ104" s="85"/>
      <c r="AK104" s="86"/>
      <c r="AL104" s="86"/>
      <c r="AM104" s="270"/>
      <c r="AN104" s="270"/>
      <c r="AO104" s="40"/>
    </row>
    <row r="105" spans="1:45" s="9" customFormat="1" ht="12.9" thickBot="1" x14ac:dyDescent="0.5">
      <c r="A105" s="134"/>
      <c r="B105" s="134"/>
      <c r="C105" s="134"/>
      <c r="D105" s="134"/>
      <c r="E105" s="134"/>
      <c r="F105" s="134"/>
      <c r="G105" s="49" t="s">
        <v>208</v>
      </c>
      <c r="H105" s="133"/>
      <c r="I105" s="134"/>
      <c r="J105" s="134"/>
      <c r="K105" s="134"/>
      <c r="L105" s="50">
        <f>L103+L98</f>
        <v>15344.91</v>
      </c>
      <c r="M105" s="50">
        <f>M103+M98</f>
        <v>3336</v>
      </c>
      <c r="N105" s="50">
        <f>N103+N98</f>
        <v>18680.91</v>
      </c>
      <c r="O105" s="133"/>
      <c r="P105" s="134"/>
      <c r="Q105" s="134"/>
      <c r="R105" s="50">
        <f>R103+R98</f>
        <v>9270</v>
      </c>
      <c r="S105" s="50">
        <f>S103+S98</f>
        <v>4466.9040000000005</v>
      </c>
      <c r="T105" s="50">
        <f>T103+T98</f>
        <v>13736.904</v>
      </c>
      <c r="U105" s="133"/>
      <c r="V105" s="134"/>
      <c r="W105" s="134"/>
      <c r="X105" s="50">
        <f>X103+X98</f>
        <v>9548.1</v>
      </c>
      <c r="Y105" s="50">
        <f>Y103+Y98</f>
        <v>4600.9111200000007</v>
      </c>
      <c r="Z105" s="50">
        <f>Z103+Z98</f>
        <v>14149.011120000001</v>
      </c>
      <c r="AA105" s="133"/>
      <c r="AB105" s="134"/>
      <c r="AC105" s="134"/>
      <c r="AD105" s="50">
        <f>AD103+AD98</f>
        <v>4917.2715000000007</v>
      </c>
      <c r="AE105" s="50">
        <f>AE103+AE98</f>
        <v>4738.9384536000007</v>
      </c>
      <c r="AF105" s="50">
        <f>AF103+AF98</f>
        <v>9656.2099536000023</v>
      </c>
      <c r="AG105" s="133"/>
      <c r="AH105" s="134"/>
      <c r="AI105" s="134"/>
      <c r="AJ105" s="50">
        <f t="shared" ref="AJ105:AO105" si="189">AJ103+AJ98</f>
        <v>3798.592233750001</v>
      </c>
      <c r="AK105" s="50">
        <f t="shared" si="189"/>
        <v>4881.1066072080012</v>
      </c>
      <c r="AL105" s="50">
        <f t="shared" si="189"/>
        <v>8679.6988409580026</v>
      </c>
      <c r="AM105" s="672">
        <f t="shared" si="189"/>
        <v>42878.873733749999</v>
      </c>
      <c r="AN105" s="673">
        <f t="shared" si="189"/>
        <v>22023.860180808006</v>
      </c>
      <c r="AO105" s="672">
        <f t="shared" si="189"/>
        <v>64902.733914558004</v>
      </c>
      <c r="AP105" s="1"/>
    </row>
    <row r="106" spans="1:45" x14ac:dyDescent="0.45">
      <c r="A106" s="136"/>
      <c r="B106" s="136"/>
      <c r="C106" s="136"/>
      <c r="D106" s="136"/>
      <c r="E106" s="136"/>
      <c r="F106" s="136"/>
      <c r="G106" s="89"/>
      <c r="H106" s="135"/>
      <c r="I106" s="136"/>
      <c r="J106" s="136"/>
      <c r="K106" s="136"/>
      <c r="L106" s="52"/>
      <c r="M106" s="53"/>
      <c r="N106" s="54"/>
      <c r="O106" s="135"/>
      <c r="P106" s="136"/>
      <c r="Q106" s="136"/>
      <c r="R106" s="52"/>
      <c r="S106" s="53"/>
      <c r="T106" s="54"/>
      <c r="U106" s="135"/>
      <c r="V106" s="136"/>
      <c r="W106" s="136"/>
      <c r="X106" s="52"/>
      <c r="Y106" s="53"/>
      <c r="Z106" s="54"/>
      <c r="AA106" s="135"/>
      <c r="AB106" s="136"/>
      <c r="AC106" s="136"/>
      <c r="AD106" s="52"/>
      <c r="AE106" s="53"/>
      <c r="AF106" s="54"/>
      <c r="AG106" s="135"/>
      <c r="AH106" s="136"/>
      <c r="AI106" s="136"/>
      <c r="AJ106" s="52"/>
      <c r="AK106" s="53"/>
      <c r="AL106" s="54"/>
      <c r="AM106" s="256"/>
      <c r="AN106" s="256"/>
      <c r="AO106" s="88"/>
    </row>
    <row r="107" spans="1:45" ht="12.9" thickBot="1" x14ac:dyDescent="0.5">
      <c r="A107" s="138"/>
      <c r="B107" s="138"/>
      <c r="C107" s="138"/>
      <c r="D107" s="138"/>
      <c r="E107" s="138"/>
      <c r="F107" s="138"/>
      <c r="G107" s="56" t="s">
        <v>18</v>
      </c>
      <c r="H107" s="137"/>
      <c r="I107" s="138"/>
      <c r="J107" s="138"/>
      <c r="K107" s="138"/>
      <c r="L107" s="57"/>
      <c r="M107" s="58"/>
      <c r="N107" s="59"/>
      <c r="O107" s="137"/>
      <c r="P107" s="138"/>
      <c r="Q107" s="138"/>
      <c r="R107" s="57"/>
      <c r="S107" s="58"/>
      <c r="T107" s="59"/>
      <c r="U107" s="137"/>
      <c r="V107" s="138"/>
      <c r="W107" s="138"/>
      <c r="X107" s="57"/>
      <c r="Y107" s="58"/>
      <c r="Z107" s="59"/>
      <c r="AA107" s="137"/>
      <c r="AB107" s="138"/>
      <c r="AC107" s="138"/>
      <c r="AD107" s="57"/>
      <c r="AE107" s="58"/>
      <c r="AF107" s="59"/>
      <c r="AG107" s="137"/>
      <c r="AH107" s="138"/>
      <c r="AI107" s="138"/>
      <c r="AJ107" s="57"/>
      <c r="AK107" s="58"/>
      <c r="AL107" s="59"/>
      <c r="AM107" s="548"/>
      <c r="AN107" s="251"/>
      <c r="AO107" s="60"/>
    </row>
    <row r="108" spans="1:45" x14ac:dyDescent="0.45">
      <c r="A108" s="132"/>
      <c r="B108" s="132"/>
      <c r="C108" s="132"/>
      <c r="D108" s="132"/>
      <c r="E108" s="132"/>
      <c r="F108" s="132"/>
      <c r="G108" s="47"/>
      <c r="H108" s="124"/>
      <c r="I108" s="132"/>
      <c r="J108" s="132"/>
      <c r="K108" s="132"/>
      <c r="L108" s="37"/>
      <c r="M108" s="38"/>
      <c r="N108" s="39"/>
      <c r="O108" s="124"/>
      <c r="P108" s="132"/>
      <c r="Q108" s="132"/>
      <c r="R108" s="37"/>
      <c r="S108" s="38"/>
      <c r="T108" s="39"/>
      <c r="U108" s="124"/>
      <c r="V108" s="132"/>
      <c r="W108" s="132"/>
      <c r="X108" s="37"/>
      <c r="Y108" s="38"/>
      <c r="Z108" s="39"/>
      <c r="AA108" s="124"/>
      <c r="AB108" s="132"/>
      <c r="AC108" s="132"/>
      <c r="AD108" s="37"/>
      <c r="AE108" s="38"/>
      <c r="AF108" s="39"/>
      <c r="AG108" s="124"/>
      <c r="AH108" s="132"/>
      <c r="AI108" s="132"/>
      <c r="AJ108" s="37"/>
      <c r="AK108" s="38"/>
      <c r="AL108" s="38"/>
      <c r="AM108" s="549"/>
      <c r="AN108" s="270"/>
      <c r="AO108" s="40"/>
    </row>
    <row r="109" spans="1:45" x14ac:dyDescent="0.45">
      <c r="A109" s="132"/>
      <c r="B109" s="132"/>
      <c r="C109" s="132"/>
      <c r="D109" s="132"/>
      <c r="E109" s="132"/>
      <c r="F109" s="132"/>
      <c r="G109" s="47" t="s">
        <v>220</v>
      </c>
      <c r="H109" s="124"/>
      <c r="I109" s="132"/>
      <c r="J109" s="132"/>
      <c r="K109" s="132"/>
      <c r="L109" s="37"/>
      <c r="M109" s="38"/>
      <c r="N109" s="39"/>
      <c r="O109" s="124"/>
      <c r="P109" s="132"/>
      <c r="Q109" s="132"/>
      <c r="R109" s="37"/>
      <c r="S109" s="38"/>
      <c r="T109" s="39"/>
      <c r="U109" s="124"/>
      <c r="V109" s="132"/>
      <c r="W109" s="132"/>
      <c r="X109" s="37"/>
      <c r="Y109" s="38"/>
      <c r="Z109" s="39"/>
      <c r="AA109" s="124"/>
      <c r="AB109" s="132"/>
      <c r="AC109" s="132"/>
      <c r="AD109" s="37"/>
      <c r="AE109" s="38"/>
      <c r="AF109" s="39"/>
      <c r="AG109" s="124"/>
      <c r="AH109" s="132"/>
      <c r="AI109" s="132"/>
      <c r="AJ109" s="37"/>
      <c r="AK109" s="38"/>
      <c r="AL109" s="38"/>
      <c r="AM109" s="40"/>
      <c r="AN109" s="270"/>
      <c r="AO109" s="40"/>
    </row>
    <row r="110" spans="1:45" x14ac:dyDescent="0.45">
      <c r="A110" s="1" t="s">
        <v>213</v>
      </c>
      <c r="B110" s="710">
        <v>89050</v>
      </c>
      <c r="C110" s="258" t="s">
        <v>65</v>
      </c>
      <c r="D110" s="258" t="s">
        <v>65</v>
      </c>
      <c r="E110" s="1" t="s">
        <v>214</v>
      </c>
      <c r="F110" s="537" t="s">
        <v>554</v>
      </c>
      <c r="G110" s="259" t="s">
        <v>555</v>
      </c>
      <c r="H110" s="140">
        <v>1</v>
      </c>
      <c r="I110" s="15">
        <v>1950</v>
      </c>
      <c r="J110" s="1">
        <v>3</v>
      </c>
      <c r="K110" s="1" t="s">
        <v>107</v>
      </c>
      <c r="L110" s="37">
        <f>I110*H110*J110</f>
        <v>5850</v>
      </c>
      <c r="M110" s="38">
        <v>0</v>
      </c>
      <c r="N110" s="39">
        <f>SUM(L110:M110)</f>
        <v>5850</v>
      </c>
      <c r="O110" s="140">
        <v>1</v>
      </c>
      <c r="P110" s="15">
        <f>I110</f>
        <v>1950</v>
      </c>
      <c r="Q110" s="1">
        <v>3</v>
      </c>
      <c r="R110" s="37">
        <f>P110*O110*Q110</f>
        <v>5850</v>
      </c>
      <c r="S110" s="38">
        <v>0</v>
      </c>
      <c r="T110" s="39">
        <f>SUM(R110:S110)</f>
        <v>5850</v>
      </c>
      <c r="U110" s="140">
        <v>1</v>
      </c>
      <c r="V110" s="15">
        <f>I110</f>
        <v>1950</v>
      </c>
      <c r="W110" s="1">
        <v>3</v>
      </c>
      <c r="X110" s="37">
        <f>U110*V110*W110</f>
        <v>5850</v>
      </c>
      <c r="Y110" s="38">
        <v>0</v>
      </c>
      <c r="Z110" s="39">
        <f>SUM(X110:Y110)</f>
        <v>5850</v>
      </c>
      <c r="AA110" s="140">
        <v>1</v>
      </c>
      <c r="AB110" s="15">
        <f>I110</f>
        <v>1950</v>
      </c>
      <c r="AC110" s="1">
        <v>3</v>
      </c>
      <c r="AD110" s="37">
        <f>AB110*AA110*AC110</f>
        <v>5850</v>
      </c>
      <c r="AE110" s="38">
        <v>0</v>
      </c>
      <c r="AF110" s="39">
        <f>SUM(AD110:AE110)</f>
        <v>5850</v>
      </c>
      <c r="AG110" s="140">
        <v>1</v>
      </c>
      <c r="AH110" s="15">
        <f>I110</f>
        <v>1950</v>
      </c>
      <c r="AI110" s="1">
        <v>3</v>
      </c>
      <c r="AJ110" s="37">
        <f>AH110*AG110*AI110</f>
        <v>5850</v>
      </c>
      <c r="AK110" s="38">
        <v>0</v>
      </c>
      <c r="AL110" s="38">
        <f>SUM(AJ110:AK110)</f>
        <v>5850</v>
      </c>
      <c r="AM110" s="40">
        <f t="shared" ref="AM110:AN112" si="190">L110+R110+X110+AD110+AJ110</f>
        <v>29250</v>
      </c>
      <c r="AN110" s="270">
        <f t="shared" si="190"/>
        <v>0</v>
      </c>
      <c r="AO110" s="40">
        <f>SUM(AM110:AN110)</f>
        <v>29250</v>
      </c>
      <c r="AR110" s="91"/>
      <c r="AS110" s="91"/>
    </row>
    <row r="111" spans="1:45" x14ac:dyDescent="0.45">
      <c r="A111" s="1" t="s">
        <v>213</v>
      </c>
      <c r="B111" s="710">
        <v>89050</v>
      </c>
      <c r="C111" s="258" t="s">
        <v>65</v>
      </c>
      <c r="D111" s="258" t="s">
        <v>65</v>
      </c>
      <c r="E111" s="1" t="s">
        <v>214</v>
      </c>
      <c r="F111" s="537" t="s">
        <v>556</v>
      </c>
      <c r="G111" s="259" t="s">
        <v>557</v>
      </c>
      <c r="H111" s="140">
        <v>1</v>
      </c>
      <c r="I111" s="15">
        <v>1950</v>
      </c>
      <c r="J111" s="1">
        <v>4</v>
      </c>
      <c r="K111" s="1" t="s">
        <v>107</v>
      </c>
      <c r="L111" s="37">
        <f>I111*H111*J111</f>
        <v>7800</v>
      </c>
      <c r="M111" s="38">
        <v>0</v>
      </c>
      <c r="N111" s="39">
        <f>SUM(L111:M111)</f>
        <v>7800</v>
      </c>
      <c r="O111" s="140">
        <v>1</v>
      </c>
      <c r="P111" s="15">
        <f>I111</f>
        <v>1950</v>
      </c>
      <c r="Q111" s="1">
        <v>4</v>
      </c>
      <c r="R111" s="37">
        <f>P111*O111*Q111</f>
        <v>7800</v>
      </c>
      <c r="S111" s="38">
        <v>0</v>
      </c>
      <c r="T111" s="39">
        <f>SUM(R111:S111)</f>
        <v>7800</v>
      </c>
      <c r="U111" s="140">
        <v>1</v>
      </c>
      <c r="V111" s="15">
        <f>I111</f>
        <v>1950</v>
      </c>
      <c r="W111" s="1">
        <v>4</v>
      </c>
      <c r="X111" s="37">
        <f>U111*V111*W111</f>
        <v>7800</v>
      </c>
      <c r="Y111" s="38">
        <v>0</v>
      </c>
      <c r="Z111" s="39">
        <f>SUM(X111:Y111)</f>
        <v>7800</v>
      </c>
      <c r="AA111" s="140">
        <v>1</v>
      </c>
      <c r="AB111" s="15">
        <f>I111</f>
        <v>1950</v>
      </c>
      <c r="AC111" s="1">
        <v>4</v>
      </c>
      <c r="AD111" s="37">
        <f>AB111*AA111*AC111</f>
        <v>7800</v>
      </c>
      <c r="AE111" s="38">
        <v>0</v>
      </c>
      <c r="AF111" s="39">
        <f>SUM(AD111:AE111)</f>
        <v>7800</v>
      </c>
      <c r="AG111" s="140">
        <v>1</v>
      </c>
      <c r="AH111" s="15">
        <f>I111</f>
        <v>1950</v>
      </c>
      <c r="AI111" s="1">
        <v>4</v>
      </c>
      <c r="AJ111" s="37">
        <f>AH111*AG111*AI111</f>
        <v>7800</v>
      </c>
      <c r="AK111" s="38">
        <v>0</v>
      </c>
      <c r="AL111" s="38">
        <f>SUM(AJ111:AK111)</f>
        <v>7800</v>
      </c>
      <c r="AM111" s="40">
        <f>L111+R111+X111+AD111+AJ111</f>
        <v>39000</v>
      </c>
      <c r="AN111" s="270">
        <f t="shared" si="190"/>
        <v>0</v>
      </c>
      <c r="AO111" s="40">
        <f>+AM111+AN111</f>
        <v>39000</v>
      </c>
      <c r="AR111" s="91"/>
      <c r="AS111" s="91"/>
    </row>
    <row r="112" spans="1:45" x14ac:dyDescent="0.45">
      <c r="A112" s="1" t="s">
        <v>213</v>
      </c>
      <c r="B112" s="710">
        <v>89050</v>
      </c>
      <c r="C112" s="258" t="s">
        <v>65</v>
      </c>
      <c r="D112" s="258" t="s">
        <v>65</v>
      </c>
      <c r="E112" s="1" t="s">
        <v>214</v>
      </c>
      <c r="F112" s="537" t="s">
        <v>558</v>
      </c>
      <c r="G112" s="259" t="s">
        <v>559</v>
      </c>
      <c r="H112" s="140">
        <v>1</v>
      </c>
      <c r="I112" s="15">
        <v>25000</v>
      </c>
      <c r="J112" s="1">
        <v>1</v>
      </c>
      <c r="K112" s="1" t="s">
        <v>183</v>
      </c>
      <c r="L112" s="37">
        <f>I112*H112*J112</f>
        <v>25000</v>
      </c>
      <c r="M112" s="38">
        <v>0</v>
      </c>
      <c r="N112" s="39">
        <f>SUM(L112:M112)</f>
        <v>25000</v>
      </c>
      <c r="O112" s="140">
        <v>1</v>
      </c>
      <c r="P112" s="15">
        <v>25000</v>
      </c>
      <c r="Q112" s="1">
        <v>1</v>
      </c>
      <c r="R112" s="37">
        <f>P112*O112*Q112</f>
        <v>25000</v>
      </c>
      <c r="S112" s="38">
        <v>0</v>
      </c>
      <c r="T112" s="39">
        <f>SUM(R112:S112)</f>
        <v>25000</v>
      </c>
      <c r="U112" s="140">
        <v>0</v>
      </c>
      <c r="V112" s="15">
        <v>25000</v>
      </c>
      <c r="W112" s="1">
        <v>0</v>
      </c>
      <c r="X112" s="37">
        <f>U112*V112*W112</f>
        <v>0</v>
      </c>
      <c r="Y112" s="38">
        <v>0</v>
      </c>
      <c r="Z112" s="39">
        <f>SUM(X112:Y112)</f>
        <v>0</v>
      </c>
      <c r="AA112" s="140">
        <v>0</v>
      </c>
      <c r="AB112" s="15">
        <v>25000</v>
      </c>
      <c r="AC112" s="1">
        <v>0</v>
      </c>
      <c r="AD112" s="37">
        <f>AB112*AA112*AC112</f>
        <v>0</v>
      </c>
      <c r="AE112" s="38">
        <v>0</v>
      </c>
      <c r="AF112" s="39">
        <f>SUM(AD112:AE112)</f>
        <v>0</v>
      </c>
      <c r="AG112" s="140">
        <v>0</v>
      </c>
      <c r="AH112" s="15">
        <v>25000</v>
      </c>
      <c r="AI112" s="1">
        <v>0</v>
      </c>
      <c r="AJ112" s="37">
        <f>AH112*AG112*AI112</f>
        <v>0</v>
      </c>
      <c r="AK112" s="38">
        <v>0</v>
      </c>
      <c r="AL112" s="38">
        <f>SUM(AJ112:AK112)</f>
        <v>0</v>
      </c>
      <c r="AM112" s="40">
        <f>L112+R112+X112+AD112+AJ112</f>
        <v>50000</v>
      </c>
      <c r="AN112" s="270">
        <f t="shared" si="190"/>
        <v>0</v>
      </c>
      <c r="AO112" s="40">
        <f>+AM112+AN112</f>
        <v>50000</v>
      </c>
      <c r="AR112" s="91"/>
      <c r="AS112" s="91"/>
    </row>
    <row r="113" spans="1:45" s="10" customFormat="1" x14ac:dyDescent="0.45">
      <c r="A113" s="129"/>
      <c r="B113" s="129"/>
      <c r="C113" s="129"/>
      <c r="D113" s="129"/>
      <c r="E113" s="129"/>
      <c r="F113" s="129"/>
      <c r="G113" s="75" t="s">
        <v>224</v>
      </c>
      <c r="H113" s="145"/>
      <c r="I113" s="129"/>
      <c r="J113" s="145"/>
      <c r="K113" s="129"/>
      <c r="L113" s="42">
        <f>SUM(L110:L112)</f>
        <v>38650</v>
      </c>
      <c r="M113" s="42">
        <f>SUM(M110:M112)</f>
        <v>0</v>
      </c>
      <c r="N113" s="44">
        <f>SUM(N110:N112)</f>
        <v>38650</v>
      </c>
      <c r="O113" s="145"/>
      <c r="P113" s="43"/>
      <c r="Q113" s="129"/>
      <c r="R113" s="42">
        <f>SUM(R110:R112)</f>
        <v>38650</v>
      </c>
      <c r="S113" s="42">
        <f>SUM(S110:S112)</f>
        <v>0</v>
      </c>
      <c r="T113" s="44">
        <f>SUM(T110:T112)</f>
        <v>38650</v>
      </c>
      <c r="U113" s="145"/>
      <c r="V113" s="129"/>
      <c r="W113" s="129"/>
      <c r="X113" s="42">
        <f>SUM(X110:X112)</f>
        <v>13650</v>
      </c>
      <c r="Y113" s="42">
        <f>SUM(Y110:Y112)</f>
        <v>0</v>
      </c>
      <c r="Z113" s="44">
        <f>SUM(Z110:Z112)</f>
        <v>13650</v>
      </c>
      <c r="AA113" s="145"/>
      <c r="AB113" s="129"/>
      <c r="AC113" s="129"/>
      <c r="AD113" s="42">
        <f>SUM(AD110:AD112)</f>
        <v>13650</v>
      </c>
      <c r="AE113" s="42">
        <f>SUM(AE110:AE112)</f>
        <v>0</v>
      </c>
      <c r="AF113" s="44">
        <f>SUM(AF110:AF112)</f>
        <v>13650</v>
      </c>
      <c r="AG113" s="145"/>
      <c r="AH113" s="129"/>
      <c r="AI113" s="129"/>
      <c r="AJ113" s="42">
        <f t="shared" ref="AJ113:AO113" si="191">SUM(AJ110:AJ112)</f>
        <v>13650</v>
      </c>
      <c r="AK113" s="42">
        <f t="shared" si="191"/>
        <v>0</v>
      </c>
      <c r="AL113" s="44">
        <f t="shared" si="191"/>
        <v>13650</v>
      </c>
      <c r="AM113" s="42">
        <f t="shared" si="191"/>
        <v>118250</v>
      </c>
      <c r="AN113" s="248">
        <f t="shared" si="191"/>
        <v>0</v>
      </c>
      <c r="AO113" s="45">
        <f t="shared" si="191"/>
        <v>118250</v>
      </c>
      <c r="AP113" s="1"/>
    </row>
    <row r="114" spans="1:45" s="10" customFormat="1" x14ac:dyDescent="0.45">
      <c r="A114" s="129"/>
      <c r="B114" s="129"/>
      <c r="C114" s="129"/>
      <c r="D114" s="129"/>
      <c r="E114" s="129"/>
      <c r="F114" s="129"/>
      <c r="G114" s="75"/>
      <c r="H114" s="145"/>
      <c r="I114" s="129"/>
      <c r="J114" s="145"/>
      <c r="K114" s="129"/>
      <c r="L114" s="42"/>
      <c r="M114" s="43"/>
      <c r="N114" s="43"/>
      <c r="O114" s="145"/>
      <c r="P114" s="43"/>
      <c r="Q114" s="129"/>
      <c r="R114" s="42"/>
      <c r="S114" s="43"/>
      <c r="T114" s="43"/>
      <c r="U114" s="145"/>
      <c r="V114" s="129"/>
      <c r="W114" s="129"/>
      <c r="X114" s="42"/>
      <c r="Y114" s="43"/>
      <c r="Z114" s="43"/>
      <c r="AA114" s="145"/>
      <c r="AB114" s="129"/>
      <c r="AC114" s="129"/>
      <c r="AD114" s="42"/>
      <c r="AE114" s="43"/>
      <c r="AF114" s="43"/>
      <c r="AG114" s="145"/>
      <c r="AH114" s="129"/>
      <c r="AI114" s="129"/>
      <c r="AJ114" s="42"/>
      <c r="AK114" s="43"/>
      <c r="AL114" s="43"/>
      <c r="AM114" s="43"/>
      <c r="AN114" s="248"/>
      <c r="AO114" s="45"/>
      <c r="AP114" s="1"/>
    </row>
    <row r="115" spans="1:45" x14ac:dyDescent="0.45">
      <c r="G115" s="47" t="s">
        <v>225</v>
      </c>
      <c r="H115" s="140"/>
      <c r="L115" s="37"/>
      <c r="M115" s="38"/>
      <c r="N115" s="39"/>
      <c r="O115" s="140"/>
      <c r="R115" s="37"/>
      <c r="S115" s="38"/>
      <c r="T115" s="39"/>
      <c r="U115" s="140"/>
      <c r="X115" s="37"/>
      <c r="Y115" s="38"/>
      <c r="Z115" s="39"/>
      <c r="AA115" s="140"/>
      <c r="AD115" s="37"/>
      <c r="AE115" s="38"/>
      <c r="AF115" s="39"/>
      <c r="AG115" s="140"/>
      <c r="AJ115" s="37"/>
      <c r="AK115" s="38"/>
      <c r="AL115" s="38"/>
      <c r="AM115" s="40"/>
      <c r="AN115" s="38"/>
      <c r="AO115" s="40"/>
      <c r="AQ115" s="91"/>
      <c r="AR115" s="91"/>
      <c r="AS115" s="91"/>
    </row>
    <row r="116" spans="1:45" x14ac:dyDescent="0.45">
      <c r="A116" s="1" t="s">
        <v>213</v>
      </c>
      <c r="B116" s="710">
        <v>89050</v>
      </c>
      <c r="C116" s="258" t="s">
        <v>65</v>
      </c>
      <c r="D116" s="258" t="s">
        <v>65</v>
      </c>
      <c r="E116" s="1" t="s">
        <v>214</v>
      </c>
      <c r="F116" s="537" t="s">
        <v>560</v>
      </c>
      <c r="G116" s="65" t="s">
        <v>229</v>
      </c>
      <c r="H116" s="140">
        <v>1</v>
      </c>
      <c r="I116" s="15">
        <v>700</v>
      </c>
      <c r="J116" s="1">
        <v>6</v>
      </c>
      <c r="K116" s="1" t="s">
        <v>107</v>
      </c>
      <c r="L116" s="37">
        <f>J116*I116*H116</f>
        <v>4200</v>
      </c>
      <c r="M116" s="38">
        <v>0</v>
      </c>
      <c r="N116" s="39">
        <f>SUM(L116:M116)</f>
        <v>4200</v>
      </c>
      <c r="O116" s="140">
        <v>1</v>
      </c>
      <c r="P116" s="38">
        <f>I116</f>
        <v>700</v>
      </c>
      <c r="Q116" s="1">
        <v>12</v>
      </c>
      <c r="R116" s="37">
        <f>Q116*P116*O116</f>
        <v>8400</v>
      </c>
      <c r="S116" s="38">
        <v>0</v>
      </c>
      <c r="T116" s="39">
        <f>SUM(R116:S116)</f>
        <v>8400</v>
      </c>
      <c r="U116" s="140">
        <v>1</v>
      </c>
      <c r="V116" s="38">
        <f>I116</f>
        <v>700</v>
      </c>
      <c r="W116" s="1">
        <v>12</v>
      </c>
      <c r="X116" s="37">
        <f>W116*V116*U116</f>
        <v>8400</v>
      </c>
      <c r="Y116" s="38">
        <v>0</v>
      </c>
      <c r="Z116" s="39">
        <f>SUM(X116:Y116)</f>
        <v>8400</v>
      </c>
      <c r="AA116" s="140">
        <v>1</v>
      </c>
      <c r="AB116" s="38">
        <f>I116</f>
        <v>700</v>
      </c>
      <c r="AC116" s="1">
        <v>12</v>
      </c>
      <c r="AD116" s="37">
        <f>AC116*AB116*AA116</f>
        <v>8400</v>
      </c>
      <c r="AE116" s="38">
        <v>0</v>
      </c>
      <c r="AF116" s="39">
        <f>SUM(AD116:AE116)</f>
        <v>8400</v>
      </c>
      <c r="AG116" s="140">
        <v>1</v>
      </c>
      <c r="AH116" s="38">
        <f>I116</f>
        <v>700</v>
      </c>
      <c r="AI116" s="1">
        <v>9</v>
      </c>
      <c r="AJ116" s="37">
        <f>AI116*AG116*AH116</f>
        <v>6300</v>
      </c>
      <c r="AK116" s="38">
        <v>0</v>
      </c>
      <c r="AL116" s="38">
        <f>SUM(AJ116:AK116)</f>
        <v>6300</v>
      </c>
      <c r="AM116" s="40">
        <f t="shared" ref="AM116:AN116" si="192">L116+R116+X116+AD116+AJ116</f>
        <v>35700</v>
      </c>
      <c r="AN116" s="38">
        <f t="shared" si="192"/>
        <v>0</v>
      </c>
      <c r="AO116" s="40">
        <f t="shared" ref="AO116" si="193">SUM(AM116:AN116)</f>
        <v>35700</v>
      </c>
      <c r="AQ116" s="91"/>
      <c r="AR116" s="91"/>
      <c r="AS116" s="91"/>
    </row>
    <row r="117" spans="1:45" s="10" customFormat="1" ht="12.3" x14ac:dyDescent="0.4">
      <c r="A117" s="129"/>
      <c r="B117" s="129"/>
      <c r="C117" s="129"/>
      <c r="D117" s="129"/>
      <c r="E117" s="129"/>
      <c r="F117" s="129"/>
      <c r="G117" s="75" t="s">
        <v>230</v>
      </c>
      <c r="H117" s="144"/>
      <c r="I117" s="129"/>
      <c r="J117" s="145"/>
      <c r="K117" s="129"/>
      <c r="L117" s="42">
        <f>SUM(L116:L116)</f>
        <v>4200</v>
      </c>
      <c r="M117" s="42">
        <f>SUM(M116:M116)</f>
        <v>0</v>
      </c>
      <c r="N117" s="42">
        <f>SUM(N116:N116)</f>
        <v>4200</v>
      </c>
      <c r="O117" s="144"/>
      <c r="P117" s="43"/>
      <c r="Q117" s="129"/>
      <c r="R117" s="42">
        <f>SUM(R116:R116)</f>
        <v>8400</v>
      </c>
      <c r="S117" s="42">
        <f>SUM(S116:S116)</f>
        <v>0</v>
      </c>
      <c r="T117" s="42">
        <f>SUM(T116:T116)</f>
        <v>8400</v>
      </c>
      <c r="U117" s="144"/>
      <c r="V117" s="129"/>
      <c r="W117" s="129"/>
      <c r="X117" s="42">
        <f>SUM(X116:X116)</f>
        <v>8400</v>
      </c>
      <c r="Y117" s="42">
        <f>SUM(Y116:Y116)</f>
        <v>0</v>
      </c>
      <c r="Z117" s="42">
        <f>SUM(Z116:Z116)</f>
        <v>8400</v>
      </c>
      <c r="AA117" s="144"/>
      <c r="AB117" s="129"/>
      <c r="AC117" s="129"/>
      <c r="AD117" s="42">
        <f>SUM(AD116:AD116)</f>
        <v>8400</v>
      </c>
      <c r="AE117" s="42">
        <f>SUM(AE116:AE116)</f>
        <v>0</v>
      </c>
      <c r="AF117" s="42">
        <f>SUM(AF116:AF116)</f>
        <v>8400</v>
      </c>
      <c r="AG117" s="144"/>
      <c r="AH117" s="129"/>
      <c r="AI117" s="129"/>
      <c r="AJ117" s="42">
        <f>SUM(AJ116:AJ116)</f>
        <v>6300</v>
      </c>
      <c r="AK117" s="42">
        <f>SUM(AK116:AK116)</f>
        <v>0</v>
      </c>
      <c r="AL117" s="42">
        <f>SUM(AL116:AL116)</f>
        <v>6300</v>
      </c>
      <c r="AM117" s="45">
        <f>SUM(AM115:AM116)</f>
        <v>35700</v>
      </c>
      <c r="AN117" s="43">
        <f>SUM(AN115:AN116)</f>
        <v>0</v>
      </c>
      <c r="AO117" s="45">
        <f>SUM(AO115:AO116)</f>
        <v>35700</v>
      </c>
    </row>
    <row r="118" spans="1:45" s="10" customFormat="1" ht="12.9" thickBot="1" x14ac:dyDescent="0.5">
      <c r="A118" s="129"/>
      <c r="B118" s="129"/>
      <c r="C118" s="129"/>
      <c r="D118" s="129"/>
      <c r="E118" s="129"/>
      <c r="F118" s="129"/>
      <c r="G118" s="75"/>
      <c r="H118" s="144"/>
      <c r="I118" s="129"/>
      <c r="J118" s="145"/>
      <c r="K118" s="129"/>
      <c r="L118" s="42"/>
      <c r="M118" s="43"/>
      <c r="N118" s="43"/>
      <c r="O118" s="144"/>
      <c r="P118" s="43"/>
      <c r="Q118" s="129"/>
      <c r="R118" s="42"/>
      <c r="S118" s="43"/>
      <c r="T118" s="43"/>
      <c r="U118" s="144"/>
      <c r="V118" s="129"/>
      <c r="W118" s="129"/>
      <c r="X118" s="42"/>
      <c r="Y118" s="43"/>
      <c r="Z118" s="43"/>
      <c r="AA118" s="144"/>
      <c r="AB118" s="129"/>
      <c r="AC118" s="129"/>
      <c r="AD118" s="42"/>
      <c r="AE118" s="43"/>
      <c r="AF118" s="43"/>
      <c r="AG118" s="144"/>
      <c r="AH118" s="129"/>
      <c r="AI118" s="129"/>
      <c r="AJ118" s="42"/>
      <c r="AK118" s="43"/>
      <c r="AL118" s="43"/>
      <c r="AM118" s="550"/>
      <c r="AN118" s="248"/>
      <c r="AO118" s="45"/>
      <c r="AP118" s="1"/>
    </row>
    <row r="119" spans="1:45" s="9" customFormat="1" x14ac:dyDescent="0.45">
      <c r="A119" s="157"/>
      <c r="B119" s="157"/>
      <c r="C119" s="157"/>
      <c r="D119" s="157"/>
      <c r="E119" s="157"/>
      <c r="F119" s="157"/>
      <c r="G119" s="93" t="s">
        <v>245</v>
      </c>
      <c r="H119" s="156"/>
      <c r="I119" s="157"/>
      <c r="J119" s="157"/>
      <c r="K119" s="157"/>
      <c r="L119" s="50">
        <f>L117+L113</f>
        <v>42850</v>
      </c>
      <c r="M119" s="50">
        <f>M117+M113</f>
        <v>0</v>
      </c>
      <c r="N119" s="50">
        <f>N117+N113</f>
        <v>42850</v>
      </c>
      <c r="O119" s="156"/>
      <c r="P119" s="157"/>
      <c r="Q119" s="157"/>
      <c r="R119" s="50">
        <f>R117+R113</f>
        <v>47050</v>
      </c>
      <c r="S119" s="50">
        <f>S117+S113</f>
        <v>0</v>
      </c>
      <c r="T119" s="50">
        <f>T117+T113</f>
        <v>47050</v>
      </c>
      <c r="U119" s="156"/>
      <c r="V119" s="157"/>
      <c r="W119" s="157"/>
      <c r="X119" s="50">
        <f>X117+X113</f>
        <v>22050</v>
      </c>
      <c r="Y119" s="50">
        <f>Y117+Y113</f>
        <v>0</v>
      </c>
      <c r="Z119" s="50">
        <f>Z117+Z113</f>
        <v>22050</v>
      </c>
      <c r="AA119" s="156"/>
      <c r="AB119" s="157"/>
      <c r="AC119" s="157"/>
      <c r="AD119" s="50">
        <f>AD117+AD113</f>
        <v>22050</v>
      </c>
      <c r="AE119" s="50">
        <f>AE117+AE113</f>
        <v>0</v>
      </c>
      <c r="AF119" s="50">
        <f>AF117+AF113</f>
        <v>22050</v>
      </c>
      <c r="AG119" s="156"/>
      <c r="AH119" s="157"/>
      <c r="AI119" s="157"/>
      <c r="AJ119" s="50">
        <f t="shared" ref="AJ119:AO119" si="194">AJ117+AJ113</f>
        <v>19950</v>
      </c>
      <c r="AK119" s="50">
        <f t="shared" si="194"/>
        <v>0</v>
      </c>
      <c r="AL119" s="50">
        <f t="shared" si="194"/>
        <v>19950</v>
      </c>
      <c r="AM119" s="674">
        <f t="shared" si="194"/>
        <v>153950</v>
      </c>
      <c r="AN119" s="50">
        <f t="shared" si="194"/>
        <v>0</v>
      </c>
      <c r="AO119" s="71">
        <f t="shared" si="194"/>
        <v>153950</v>
      </c>
      <c r="AP119" s="1"/>
    </row>
    <row r="120" spans="1:45" s="9" customFormat="1" x14ac:dyDescent="0.45">
      <c r="A120" s="159"/>
      <c r="B120" s="159"/>
      <c r="C120" s="159"/>
      <c r="D120" s="159"/>
      <c r="E120" s="159"/>
      <c r="F120" s="159"/>
      <c r="G120" s="94"/>
      <c r="H120" s="158"/>
      <c r="I120" s="159"/>
      <c r="J120" s="159"/>
      <c r="K120" s="159"/>
      <c r="L120" s="95"/>
      <c r="M120" s="96"/>
      <c r="N120" s="97"/>
      <c r="O120" s="158"/>
      <c r="P120" s="159"/>
      <c r="Q120" s="159"/>
      <c r="R120" s="95"/>
      <c r="S120" s="96"/>
      <c r="T120" s="97"/>
      <c r="U120" s="158"/>
      <c r="V120" s="159"/>
      <c r="W120" s="159"/>
      <c r="X120" s="95"/>
      <c r="Y120" s="96"/>
      <c r="Z120" s="97"/>
      <c r="AA120" s="158"/>
      <c r="AB120" s="159"/>
      <c r="AC120" s="159"/>
      <c r="AD120" s="95"/>
      <c r="AE120" s="96"/>
      <c r="AF120" s="97"/>
      <c r="AG120" s="158"/>
      <c r="AH120" s="159"/>
      <c r="AI120" s="159"/>
      <c r="AJ120" s="95"/>
      <c r="AK120" s="96"/>
      <c r="AL120" s="97"/>
      <c r="AM120" s="260"/>
      <c r="AN120" s="260"/>
      <c r="AO120" s="98"/>
      <c r="AP120" s="1"/>
    </row>
    <row r="121" spans="1:45" x14ac:dyDescent="0.45">
      <c r="A121" s="161"/>
      <c r="B121" s="161"/>
      <c r="C121" s="161"/>
      <c r="D121" s="161"/>
      <c r="E121" s="161"/>
      <c r="F121" s="161"/>
      <c r="G121" s="99" t="s">
        <v>19</v>
      </c>
      <c r="H121" s="160"/>
      <c r="I121" s="161"/>
      <c r="J121" s="161"/>
      <c r="K121" s="161"/>
      <c r="L121" s="57"/>
      <c r="M121" s="58"/>
      <c r="N121" s="59"/>
      <c r="O121" s="160"/>
      <c r="P121" s="161"/>
      <c r="Q121" s="161"/>
      <c r="R121" s="57"/>
      <c r="S121" s="58"/>
      <c r="T121" s="59"/>
      <c r="U121" s="160"/>
      <c r="V121" s="161"/>
      <c r="W121" s="161"/>
      <c r="X121" s="57"/>
      <c r="Y121" s="58"/>
      <c r="Z121" s="59"/>
      <c r="AA121" s="160"/>
      <c r="AB121" s="161"/>
      <c r="AC121" s="161"/>
      <c r="AD121" s="57"/>
      <c r="AE121" s="58"/>
      <c r="AF121" s="59"/>
      <c r="AG121" s="160"/>
      <c r="AH121" s="161"/>
      <c r="AI121" s="161"/>
      <c r="AJ121" s="57"/>
      <c r="AK121" s="58"/>
      <c r="AL121" s="59"/>
      <c r="AM121" s="251"/>
      <c r="AN121" s="251"/>
      <c r="AO121" s="60"/>
    </row>
    <row r="122" spans="1:45" x14ac:dyDescent="0.45">
      <c r="A122" s="152"/>
      <c r="B122" s="152"/>
      <c r="C122" s="152"/>
      <c r="D122" s="152"/>
      <c r="E122" s="152"/>
      <c r="F122" s="152"/>
      <c r="G122" s="29"/>
      <c r="H122" s="153"/>
      <c r="I122" s="152"/>
      <c r="J122" s="152"/>
      <c r="K122" s="152"/>
      <c r="L122" s="62"/>
      <c r="M122" s="63"/>
      <c r="N122" s="72"/>
      <c r="O122" s="153"/>
      <c r="P122" s="152"/>
      <c r="Q122" s="152"/>
      <c r="R122" s="62"/>
      <c r="S122" s="63"/>
      <c r="T122" s="72"/>
      <c r="U122" s="153"/>
      <c r="V122" s="152"/>
      <c r="W122" s="152"/>
      <c r="X122" s="62"/>
      <c r="Y122" s="63"/>
      <c r="Z122" s="72"/>
      <c r="AA122" s="153"/>
      <c r="AB122" s="152"/>
      <c r="AC122" s="152"/>
      <c r="AD122" s="62"/>
      <c r="AE122" s="63"/>
      <c r="AF122" s="72"/>
      <c r="AG122" s="153"/>
      <c r="AH122" s="152"/>
      <c r="AI122" s="152"/>
      <c r="AJ122" s="62"/>
      <c r="AK122" s="63"/>
      <c r="AL122" s="72"/>
      <c r="AM122" s="253"/>
      <c r="AN122" s="253"/>
      <c r="AO122" s="64"/>
    </row>
    <row r="123" spans="1:45" x14ac:dyDescent="0.45">
      <c r="A123" s="15"/>
      <c r="B123" s="15"/>
      <c r="C123" s="15"/>
      <c r="D123" s="15"/>
      <c r="E123" s="15"/>
      <c r="F123" s="15"/>
      <c r="G123" s="47" t="s">
        <v>246</v>
      </c>
      <c r="H123" s="140"/>
      <c r="I123" s="15"/>
      <c r="L123" s="37"/>
      <c r="M123" s="38"/>
      <c r="N123" s="39"/>
      <c r="O123" s="140"/>
      <c r="R123" s="37"/>
      <c r="S123" s="38"/>
      <c r="T123" s="39"/>
      <c r="U123" s="140"/>
      <c r="X123" s="37"/>
      <c r="Y123" s="38"/>
      <c r="Z123" s="39"/>
      <c r="AA123" s="140"/>
      <c r="AD123" s="37"/>
      <c r="AE123" s="38"/>
      <c r="AF123" s="39"/>
      <c r="AG123" s="140"/>
      <c r="AJ123" s="37"/>
      <c r="AK123" s="38"/>
      <c r="AL123" s="39"/>
      <c r="AM123" s="270"/>
      <c r="AN123" s="270"/>
      <c r="AO123" s="40"/>
      <c r="AQ123" s="91"/>
      <c r="AR123" s="91"/>
      <c r="AS123" s="91"/>
    </row>
    <row r="124" spans="1:45" x14ac:dyDescent="0.45">
      <c r="A124" s="1" t="s">
        <v>213</v>
      </c>
      <c r="B124" s="710">
        <v>89050</v>
      </c>
      <c r="C124" s="258" t="s">
        <v>65</v>
      </c>
      <c r="D124" s="258" t="s">
        <v>65</v>
      </c>
      <c r="E124" s="1" t="s">
        <v>214</v>
      </c>
      <c r="F124" s="537" t="s">
        <v>561</v>
      </c>
      <c r="G124" s="259" t="s">
        <v>562</v>
      </c>
      <c r="H124" s="141">
        <v>1</v>
      </c>
      <c r="I124" s="15">
        <v>5556</v>
      </c>
      <c r="J124" s="15">
        <v>1</v>
      </c>
      <c r="K124" s="131" t="s">
        <v>183</v>
      </c>
      <c r="L124" s="37">
        <f>J124*I124*H124</f>
        <v>5556</v>
      </c>
      <c r="M124" s="38">
        <v>0</v>
      </c>
      <c r="N124" s="39">
        <f>SUM(L124:M124)</f>
        <v>5556</v>
      </c>
      <c r="O124" s="141">
        <v>1</v>
      </c>
      <c r="P124" s="38">
        <f t="shared" ref="P124:P126" si="195">I124*$H$6</f>
        <v>5722.68</v>
      </c>
      <c r="Q124" s="15">
        <v>1</v>
      </c>
      <c r="R124" s="37">
        <f>O124*P124*Q124</f>
        <v>5722.68</v>
      </c>
      <c r="S124" s="38">
        <v>0</v>
      </c>
      <c r="T124" s="39">
        <f>SUM(R124:S124)</f>
        <v>5722.68</v>
      </c>
      <c r="U124" s="141">
        <v>0</v>
      </c>
      <c r="V124" s="38">
        <f t="shared" ref="V124:V126" si="196">I124*$H$6*$H$6</f>
        <v>5894.3604000000005</v>
      </c>
      <c r="W124" s="15">
        <v>1</v>
      </c>
      <c r="X124" s="37">
        <f t="shared" ref="X124:X126" si="197">U124*V124*W124</f>
        <v>0</v>
      </c>
      <c r="Y124" s="38">
        <v>0</v>
      </c>
      <c r="Z124" s="39">
        <f>SUM(X124:Y124)</f>
        <v>0</v>
      </c>
      <c r="AA124" s="141">
        <v>0</v>
      </c>
      <c r="AB124" s="38">
        <f t="shared" ref="AB124:AB126" si="198">I124*$H$6*$H$6*$H$6</f>
        <v>6071.1912120000006</v>
      </c>
      <c r="AC124" s="15">
        <v>1</v>
      </c>
      <c r="AD124" s="37">
        <f t="shared" ref="AD124:AD126" si="199">AA124*AB124*AC124</f>
        <v>0</v>
      </c>
      <c r="AE124" s="38">
        <v>0</v>
      </c>
      <c r="AF124" s="39">
        <f t="shared" ref="AF124:AF126" si="200">SUM(AD124:AE124)</f>
        <v>0</v>
      </c>
      <c r="AG124" s="141">
        <v>0</v>
      </c>
      <c r="AH124" s="38">
        <f t="shared" ref="AH124:AH126" si="201">I124*$H$6*$H$6*$H$6*$H$6</f>
        <v>6253.3269483600006</v>
      </c>
      <c r="AI124" s="15">
        <v>0</v>
      </c>
      <c r="AJ124" s="37">
        <f t="shared" ref="AJ124:AJ126" si="202">AG124*AH124*AI124</f>
        <v>0</v>
      </c>
      <c r="AK124" s="38">
        <v>0</v>
      </c>
      <c r="AL124" s="39">
        <f>SUM(AJ124:AK124)</f>
        <v>0</v>
      </c>
      <c r="AM124" s="270">
        <f t="shared" ref="AM124:AN126" si="203">L124+R124+X124+AD124+AJ124</f>
        <v>11278.68</v>
      </c>
      <c r="AN124" s="270">
        <f t="shared" si="203"/>
        <v>0</v>
      </c>
      <c r="AO124" s="40">
        <f>SUM(AM124:AN124)</f>
        <v>11278.68</v>
      </c>
    </row>
    <row r="125" spans="1:45" x14ac:dyDescent="0.45">
      <c r="A125" s="1" t="s">
        <v>213</v>
      </c>
      <c r="B125" s="710">
        <v>89050</v>
      </c>
      <c r="C125" s="258" t="s">
        <v>65</v>
      </c>
      <c r="D125" s="258" t="s">
        <v>65</v>
      </c>
      <c r="E125" s="1" t="s">
        <v>214</v>
      </c>
      <c r="F125" s="537" t="s">
        <v>563</v>
      </c>
      <c r="G125" s="65" t="s">
        <v>564</v>
      </c>
      <c r="H125" s="141">
        <v>30</v>
      </c>
      <c r="I125" s="15">
        <v>925</v>
      </c>
      <c r="J125" s="15">
        <v>0</v>
      </c>
      <c r="K125" s="131" t="s">
        <v>183</v>
      </c>
      <c r="L125" s="37">
        <f t="shared" ref="L125:L126" si="204">J125*I125*H125</f>
        <v>0</v>
      </c>
      <c r="M125" s="38">
        <f>+I125*H125</f>
        <v>27750</v>
      </c>
      <c r="N125" s="39">
        <f>SUM(L125:M125)</f>
        <v>27750</v>
      </c>
      <c r="O125" s="141">
        <v>0</v>
      </c>
      <c r="P125" s="38">
        <f t="shared" si="195"/>
        <v>952.75</v>
      </c>
      <c r="Q125" s="15">
        <v>0</v>
      </c>
      <c r="R125" s="37">
        <f t="shared" ref="R125:R126" si="205">O125*P125*Q125</f>
        <v>0</v>
      </c>
      <c r="S125" s="38">
        <v>0</v>
      </c>
      <c r="T125" s="39">
        <f t="shared" ref="T125:T126" si="206">SUM(R125:S125)</f>
        <v>0</v>
      </c>
      <c r="U125" s="141">
        <v>0</v>
      </c>
      <c r="V125" s="38">
        <f t="shared" si="196"/>
        <v>981.33249999999998</v>
      </c>
      <c r="W125" s="15">
        <v>0</v>
      </c>
      <c r="X125" s="37">
        <f t="shared" si="197"/>
        <v>0</v>
      </c>
      <c r="Y125" s="38">
        <v>0</v>
      </c>
      <c r="Z125" s="39">
        <f>SUM(X125:Y125)</f>
        <v>0</v>
      </c>
      <c r="AA125" s="141">
        <v>0</v>
      </c>
      <c r="AB125" s="38">
        <f t="shared" si="198"/>
        <v>1010.772475</v>
      </c>
      <c r="AC125" s="15">
        <v>0</v>
      </c>
      <c r="AD125" s="37">
        <f t="shared" si="199"/>
        <v>0</v>
      </c>
      <c r="AE125" s="38">
        <v>0</v>
      </c>
      <c r="AF125" s="39">
        <f t="shared" si="200"/>
        <v>0</v>
      </c>
      <c r="AG125" s="141">
        <v>0</v>
      </c>
      <c r="AH125" s="38">
        <f t="shared" si="201"/>
        <v>1041.09564925</v>
      </c>
      <c r="AI125" s="15">
        <v>0</v>
      </c>
      <c r="AJ125" s="37">
        <f t="shared" si="202"/>
        <v>0</v>
      </c>
      <c r="AK125" s="38">
        <v>0</v>
      </c>
      <c r="AL125" s="39">
        <f>SUM(AJ125:AK125)</f>
        <v>0</v>
      </c>
      <c r="AM125" s="270">
        <f t="shared" si="203"/>
        <v>0</v>
      </c>
      <c r="AN125" s="270">
        <f t="shared" si="203"/>
        <v>27750</v>
      </c>
      <c r="AO125" s="40">
        <f>SUM(AM125:AN125)</f>
        <v>27750</v>
      </c>
    </row>
    <row r="126" spans="1:45" x14ac:dyDescent="0.45">
      <c r="A126" s="1" t="s">
        <v>213</v>
      </c>
      <c r="B126" s="710">
        <v>89050</v>
      </c>
      <c r="C126" s="258" t="s">
        <v>65</v>
      </c>
      <c r="D126" s="258" t="s">
        <v>65</v>
      </c>
      <c r="E126" s="1" t="s">
        <v>214</v>
      </c>
      <c r="F126" s="537" t="s">
        <v>565</v>
      </c>
      <c r="G126" s="65" t="s">
        <v>566</v>
      </c>
      <c r="H126" s="141">
        <v>1</v>
      </c>
      <c r="I126" s="15">
        <v>5556</v>
      </c>
      <c r="J126" s="15">
        <v>0</v>
      </c>
      <c r="K126" s="131" t="s">
        <v>183</v>
      </c>
      <c r="L126" s="37">
        <f t="shared" si="204"/>
        <v>0</v>
      </c>
      <c r="M126" s="38">
        <f>+I126*H126</f>
        <v>5556</v>
      </c>
      <c r="N126" s="39">
        <f>SUM(L126:M126)</f>
        <v>5556</v>
      </c>
      <c r="O126" s="141">
        <v>0</v>
      </c>
      <c r="P126" s="38">
        <f t="shared" si="195"/>
        <v>5722.68</v>
      </c>
      <c r="Q126" s="15">
        <v>0</v>
      </c>
      <c r="R126" s="37">
        <f t="shared" si="205"/>
        <v>0</v>
      </c>
      <c r="S126" s="38">
        <v>0</v>
      </c>
      <c r="T126" s="39">
        <f t="shared" si="206"/>
        <v>0</v>
      </c>
      <c r="U126" s="141">
        <v>0</v>
      </c>
      <c r="V126" s="38">
        <f t="shared" si="196"/>
        <v>5894.3604000000005</v>
      </c>
      <c r="W126" s="15">
        <v>0</v>
      </c>
      <c r="X126" s="37">
        <f t="shared" si="197"/>
        <v>0</v>
      </c>
      <c r="Y126" s="38">
        <v>0</v>
      </c>
      <c r="Z126" s="39">
        <f t="shared" ref="Z126" si="207">SUM(X126:Y126)</f>
        <v>0</v>
      </c>
      <c r="AA126" s="141">
        <v>0</v>
      </c>
      <c r="AB126" s="38">
        <f t="shared" si="198"/>
        <v>6071.1912120000006</v>
      </c>
      <c r="AC126" s="15">
        <v>0</v>
      </c>
      <c r="AD126" s="37">
        <f t="shared" si="199"/>
        <v>0</v>
      </c>
      <c r="AE126" s="38">
        <v>0</v>
      </c>
      <c r="AF126" s="39">
        <f t="shared" si="200"/>
        <v>0</v>
      </c>
      <c r="AG126" s="141">
        <v>0</v>
      </c>
      <c r="AH126" s="38">
        <f t="shared" si="201"/>
        <v>6253.3269483600006</v>
      </c>
      <c r="AI126" s="15">
        <v>0</v>
      </c>
      <c r="AJ126" s="37">
        <f t="shared" si="202"/>
        <v>0</v>
      </c>
      <c r="AK126" s="38">
        <v>0</v>
      </c>
      <c r="AL126" s="39">
        <f t="shared" ref="AL126" si="208">SUM(AJ126:AK126)</f>
        <v>0</v>
      </c>
      <c r="AM126" s="270">
        <f t="shared" si="203"/>
        <v>0</v>
      </c>
      <c r="AN126" s="270">
        <f t="shared" si="203"/>
        <v>5556</v>
      </c>
      <c r="AO126" s="40">
        <f>SUM(AM126:AN126)</f>
        <v>5556</v>
      </c>
    </row>
    <row r="127" spans="1:45" s="10" customFormat="1" x14ac:dyDescent="0.45">
      <c r="A127" s="129"/>
      <c r="B127" s="129"/>
      <c r="C127" s="129"/>
      <c r="D127" s="129"/>
      <c r="E127" s="129"/>
      <c r="F127" s="129"/>
      <c r="G127" s="75" t="s">
        <v>258</v>
      </c>
      <c r="H127" s="145"/>
      <c r="I127" s="129"/>
      <c r="J127" s="145"/>
      <c r="K127" s="129"/>
      <c r="L127" s="42">
        <f>SUM(L124:L126)</f>
        <v>5556</v>
      </c>
      <c r="M127" s="42">
        <f>SUM(M124:M126)</f>
        <v>33306</v>
      </c>
      <c r="N127" s="44">
        <f>SUM(N124:N126)</f>
        <v>38862</v>
      </c>
      <c r="O127" s="145"/>
      <c r="P127" s="43"/>
      <c r="Q127" s="129"/>
      <c r="R127" s="42">
        <f>SUM(R124:R126)</f>
        <v>5722.68</v>
      </c>
      <c r="S127" s="42">
        <f>SUM(S124:S126)</f>
        <v>0</v>
      </c>
      <c r="T127" s="44">
        <f>SUM(T124:T126)</f>
        <v>5722.68</v>
      </c>
      <c r="U127" s="145"/>
      <c r="V127" s="129"/>
      <c r="W127" s="129"/>
      <c r="X127" s="42">
        <f>SUM(X124:X126)</f>
        <v>0</v>
      </c>
      <c r="Y127" s="42">
        <f>SUM(Y124:Y126)</f>
        <v>0</v>
      </c>
      <c r="Z127" s="44">
        <f>SUM(Z124:Z126)</f>
        <v>0</v>
      </c>
      <c r="AA127" s="145"/>
      <c r="AB127" s="129"/>
      <c r="AC127" s="129"/>
      <c r="AD127" s="42">
        <f>SUM(AD124:AD126)</f>
        <v>0</v>
      </c>
      <c r="AE127" s="42">
        <f>SUM(AE124:AE126)</f>
        <v>0</v>
      </c>
      <c r="AF127" s="44">
        <f>SUM(AF124:AF126)</f>
        <v>0</v>
      </c>
      <c r="AG127" s="145"/>
      <c r="AH127" s="129"/>
      <c r="AI127" s="129"/>
      <c r="AJ127" s="42">
        <f t="shared" ref="AJ127:AO127" si="209">SUM(AJ124:AJ126)</f>
        <v>0</v>
      </c>
      <c r="AK127" s="42">
        <f t="shared" si="209"/>
        <v>0</v>
      </c>
      <c r="AL127" s="44">
        <f t="shared" si="209"/>
        <v>0</v>
      </c>
      <c r="AM127" s="42">
        <f t="shared" si="209"/>
        <v>11278.68</v>
      </c>
      <c r="AN127" s="248">
        <f t="shared" si="209"/>
        <v>33306</v>
      </c>
      <c r="AO127" s="45">
        <f t="shared" si="209"/>
        <v>44584.68</v>
      </c>
      <c r="AP127" s="1"/>
    </row>
    <row r="128" spans="1:45" x14ac:dyDescent="0.45">
      <c r="A128" s="132"/>
      <c r="B128" s="132"/>
      <c r="C128" s="132"/>
      <c r="D128" s="132"/>
      <c r="E128" s="132"/>
      <c r="F128" s="132"/>
      <c r="G128" s="47"/>
      <c r="H128" s="124"/>
      <c r="I128" s="132"/>
      <c r="J128" s="132"/>
      <c r="K128" s="132"/>
      <c r="L128" s="37"/>
      <c r="M128" s="38"/>
      <c r="N128" s="39"/>
      <c r="O128" s="124"/>
      <c r="P128" s="132"/>
      <c r="Q128" s="132"/>
      <c r="R128" s="37"/>
      <c r="S128" s="38"/>
      <c r="T128" s="39"/>
      <c r="U128" s="124"/>
      <c r="V128" s="132"/>
      <c r="W128" s="132"/>
      <c r="X128" s="37"/>
      <c r="Y128" s="38"/>
      <c r="Z128" s="39"/>
      <c r="AA128" s="124"/>
      <c r="AB128" s="132"/>
      <c r="AC128" s="132"/>
      <c r="AD128" s="37"/>
      <c r="AE128" s="38"/>
      <c r="AF128" s="39"/>
      <c r="AG128" s="124"/>
      <c r="AH128" s="132"/>
      <c r="AI128" s="132"/>
      <c r="AJ128" s="37"/>
      <c r="AK128" s="38"/>
      <c r="AL128" s="39"/>
      <c r="AM128" s="270"/>
      <c r="AN128" s="270"/>
      <c r="AO128" s="40"/>
    </row>
    <row r="129" spans="1:45" x14ac:dyDescent="0.45">
      <c r="A129" s="15"/>
      <c r="B129" s="15"/>
      <c r="C129" s="15"/>
      <c r="D129" s="15"/>
      <c r="E129" s="15"/>
      <c r="F129" s="15"/>
      <c r="G129" s="47" t="s">
        <v>259</v>
      </c>
      <c r="H129" s="140"/>
      <c r="I129" s="15"/>
      <c r="L129" s="37"/>
      <c r="M129" s="38"/>
      <c r="N129" s="39"/>
      <c r="O129" s="140"/>
      <c r="R129" s="37"/>
      <c r="S129" s="38"/>
      <c r="T129" s="39"/>
      <c r="U129" s="140"/>
      <c r="X129" s="37"/>
      <c r="Y129" s="38"/>
      <c r="Z129" s="39"/>
      <c r="AA129" s="140"/>
      <c r="AD129" s="37"/>
      <c r="AE129" s="38"/>
      <c r="AF129" s="39"/>
      <c r="AG129" s="140"/>
      <c r="AJ129" s="37"/>
      <c r="AK129" s="38"/>
      <c r="AL129" s="39"/>
      <c r="AM129" s="270"/>
      <c r="AN129" s="270"/>
      <c r="AO129" s="40"/>
      <c r="AQ129" s="91"/>
      <c r="AR129" s="91"/>
      <c r="AS129" s="91"/>
    </row>
    <row r="130" spans="1:45" x14ac:dyDescent="0.45">
      <c r="A130" s="1" t="s">
        <v>213</v>
      </c>
      <c r="B130" s="710">
        <v>89050</v>
      </c>
      <c r="C130" s="258" t="s">
        <v>65</v>
      </c>
      <c r="D130" s="258" t="s">
        <v>65</v>
      </c>
      <c r="E130" s="1" t="s">
        <v>214</v>
      </c>
      <c r="F130" s="537" t="s">
        <v>567</v>
      </c>
      <c r="G130" s="65" t="s">
        <v>462</v>
      </c>
      <c r="H130" s="141">
        <v>1</v>
      </c>
      <c r="I130" s="15">
        <v>2000</v>
      </c>
      <c r="J130" s="15">
        <v>1</v>
      </c>
      <c r="K130" s="131" t="s">
        <v>249</v>
      </c>
      <c r="L130" s="37">
        <f>J130*I130*H130</f>
        <v>2000</v>
      </c>
      <c r="M130" s="38">
        <v>0</v>
      </c>
      <c r="N130" s="39">
        <f>SUM(L130:M130)</f>
        <v>2000</v>
      </c>
      <c r="O130" s="141">
        <v>1</v>
      </c>
      <c r="P130" s="38">
        <f>I130*$H$6</f>
        <v>2060</v>
      </c>
      <c r="Q130" s="15">
        <v>1</v>
      </c>
      <c r="R130" s="37">
        <f>O130*P130*Q130</f>
        <v>2060</v>
      </c>
      <c r="S130" s="38">
        <v>0</v>
      </c>
      <c r="T130" s="39">
        <f>SUM(R130:S130)</f>
        <v>2060</v>
      </c>
      <c r="U130" s="141">
        <v>1</v>
      </c>
      <c r="V130" s="38">
        <f>I130*$H$6*$H$6</f>
        <v>2121.8000000000002</v>
      </c>
      <c r="W130" s="15">
        <v>1</v>
      </c>
      <c r="X130" s="37">
        <f>U130*V130*W130</f>
        <v>2121.8000000000002</v>
      </c>
      <c r="Y130" s="38">
        <v>0</v>
      </c>
      <c r="Z130" s="39">
        <f>SUM(X130:Y130)</f>
        <v>2121.8000000000002</v>
      </c>
      <c r="AA130" s="141">
        <v>1</v>
      </c>
      <c r="AB130" s="38">
        <f>I130*$H$6*$H$6*$H$6</f>
        <v>2185.4540000000002</v>
      </c>
      <c r="AC130" s="15">
        <v>1</v>
      </c>
      <c r="AD130" s="37">
        <f t="shared" ref="AD130" si="210">AA130*AB130*AC130</f>
        <v>2185.4540000000002</v>
      </c>
      <c r="AE130" s="38">
        <v>0</v>
      </c>
      <c r="AF130" s="39">
        <f t="shared" ref="AF130" si="211">SUM(AD130:AE130)</f>
        <v>2185.4540000000002</v>
      </c>
      <c r="AG130" s="141">
        <v>1</v>
      </c>
      <c r="AH130" s="38">
        <f>I130*$H$6*$H$6*$H$6*$H$6</f>
        <v>2251.0176200000001</v>
      </c>
      <c r="AI130" s="15">
        <v>1</v>
      </c>
      <c r="AJ130" s="37">
        <f t="shared" ref="AJ130" si="212">AG130*AH130*AI130</f>
        <v>2251.0176200000001</v>
      </c>
      <c r="AK130" s="38">
        <v>0</v>
      </c>
      <c r="AL130" s="39">
        <f>SUM(AJ130:AK130)</f>
        <v>2251.0176200000001</v>
      </c>
      <c r="AM130" s="270">
        <f>L130+R130+X130+AD130+AJ130</f>
        <v>10618.271620000001</v>
      </c>
      <c r="AN130" s="270">
        <f t="shared" ref="AN130:AN133" si="213">M130+S130+Y130+AE130+AK130</f>
        <v>0</v>
      </c>
      <c r="AO130" s="40">
        <f>SUM(AM130:AN130)</f>
        <v>10618.271620000001</v>
      </c>
    </row>
    <row r="131" spans="1:45" x14ac:dyDescent="0.45">
      <c r="A131" s="1" t="s">
        <v>213</v>
      </c>
      <c r="B131" s="710">
        <v>89050</v>
      </c>
      <c r="C131" s="258" t="s">
        <v>65</v>
      </c>
      <c r="D131" s="258" t="s">
        <v>65</v>
      </c>
      <c r="E131" s="1" t="s">
        <v>214</v>
      </c>
      <c r="F131" s="537" t="s">
        <v>568</v>
      </c>
      <c r="G131" s="65" t="s">
        <v>464</v>
      </c>
      <c r="H131" s="141">
        <v>1</v>
      </c>
      <c r="I131" s="15">
        <v>25</v>
      </c>
      <c r="J131" s="572">
        <v>6</v>
      </c>
      <c r="K131" s="522" t="s">
        <v>107</v>
      </c>
      <c r="L131" s="37">
        <f t="shared" ref="L131" si="214">J131*I131*H131</f>
        <v>150</v>
      </c>
      <c r="M131" s="38">
        <v>0</v>
      </c>
      <c r="N131" s="39">
        <f t="shared" ref="N131" si="215">SUM(L131:M131)</f>
        <v>150</v>
      </c>
      <c r="O131" s="141">
        <v>1</v>
      </c>
      <c r="P131" s="38">
        <f t="shared" ref="P131:P132" si="216">I131*$H$6</f>
        <v>25.75</v>
      </c>
      <c r="Q131" s="15">
        <v>12</v>
      </c>
      <c r="R131" s="37">
        <f t="shared" ref="R131:R132" si="217">O131*P131*Q131</f>
        <v>309</v>
      </c>
      <c r="S131" s="38">
        <v>0</v>
      </c>
      <c r="T131" s="39">
        <f t="shared" ref="T131:T132" si="218">SUM(R131:S131)</f>
        <v>309</v>
      </c>
      <c r="U131" s="141">
        <v>1</v>
      </c>
      <c r="V131" s="38">
        <f t="shared" ref="V131:V132" si="219">I131*$H$6*$H$6</f>
        <v>26.522500000000001</v>
      </c>
      <c r="W131" s="15">
        <v>12</v>
      </c>
      <c r="X131" s="37">
        <f t="shared" ref="X131:X132" si="220">W131*V131*U131</f>
        <v>318.27</v>
      </c>
      <c r="Y131" s="38">
        <v>0</v>
      </c>
      <c r="Z131" s="39">
        <f t="shared" ref="Z131:Z132" si="221">SUM(X131:Y131)</f>
        <v>318.27</v>
      </c>
      <c r="AA131" s="141">
        <v>1</v>
      </c>
      <c r="AB131" s="38">
        <f t="shared" ref="AB131:AB132" si="222">I131*$H$6*$H$6*$H$6</f>
        <v>27.318175</v>
      </c>
      <c r="AC131" s="15">
        <v>12</v>
      </c>
      <c r="AD131" s="37">
        <f t="shared" ref="AD131:AD132" si="223">AC131*AB131*AA131</f>
        <v>327.81810000000002</v>
      </c>
      <c r="AE131" s="38">
        <v>0</v>
      </c>
      <c r="AF131" s="39">
        <f t="shared" ref="AF131:AF132" si="224">SUM(AD131:AE131)</f>
        <v>327.81810000000002</v>
      </c>
      <c r="AG131" s="141">
        <v>1</v>
      </c>
      <c r="AH131" s="38">
        <f t="shared" ref="AH131:AH132" si="225">I131*$H$6*$H$6*$H$6*$H$6</f>
        <v>28.137720250000001</v>
      </c>
      <c r="AI131" s="15">
        <v>9</v>
      </c>
      <c r="AJ131" s="37">
        <f t="shared" ref="AJ131:AJ132" si="226">AI131*AH131*AG131</f>
        <v>253.23948225000001</v>
      </c>
      <c r="AK131" s="38">
        <v>0</v>
      </c>
      <c r="AL131" s="39">
        <f t="shared" ref="AL131:AL132" si="227">SUM(AJ131:AK131)</f>
        <v>253.23948225000001</v>
      </c>
      <c r="AM131" s="40">
        <f t="shared" ref="AM131:AM132" si="228">L131+R131+X131+AD131+AJ131</f>
        <v>1358.32758225</v>
      </c>
      <c r="AN131" s="270">
        <f t="shared" si="213"/>
        <v>0</v>
      </c>
      <c r="AO131" s="40">
        <f t="shared" ref="AO131:AO133" si="229">SUM(AM131:AN131)</f>
        <v>1358.32758225</v>
      </c>
    </row>
    <row r="132" spans="1:45" s="354" customFormat="1" x14ac:dyDescent="0.45">
      <c r="A132" s="1" t="s">
        <v>213</v>
      </c>
      <c r="B132" s="710">
        <v>89050</v>
      </c>
      <c r="C132" s="258" t="s">
        <v>65</v>
      </c>
      <c r="D132" s="258" t="s">
        <v>65</v>
      </c>
      <c r="E132" s="1" t="s">
        <v>214</v>
      </c>
      <c r="F132" s="537" t="s">
        <v>569</v>
      </c>
      <c r="G132" s="434" t="s">
        <v>466</v>
      </c>
      <c r="H132" s="446">
        <v>1</v>
      </c>
      <c r="I132" s="365">
        <v>300</v>
      </c>
      <c r="J132" s="365">
        <v>6</v>
      </c>
      <c r="K132" s="587" t="s">
        <v>107</v>
      </c>
      <c r="L132" s="400">
        <f>J132*I132*H132</f>
        <v>1800</v>
      </c>
      <c r="M132" s="359">
        <v>0</v>
      </c>
      <c r="N132" s="401">
        <f t="shared" ref="N132" si="230">SUM(L132:M132)</f>
        <v>1800</v>
      </c>
      <c r="O132" s="446">
        <v>1</v>
      </c>
      <c r="P132" s="359">
        <f t="shared" si="216"/>
        <v>309</v>
      </c>
      <c r="Q132" s="365">
        <v>12</v>
      </c>
      <c r="R132" s="400">
        <f t="shared" si="217"/>
        <v>3708</v>
      </c>
      <c r="S132" s="359">
        <v>0</v>
      </c>
      <c r="T132" s="401">
        <f t="shared" si="218"/>
        <v>3708</v>
      </c>
      <c r="U132" s="446">
        <v>1</v>
      </c>
      <c r="V132" s="359">
        <f t="shared" si="219"/>
        <v>318.27</v>
      </c>
      <c r="W132" s="365">
        <v>12</v>
      </c>
      <c r="X132" s="400">
        <f t="shared" si="220"/>
        <v>3819.24</v>
      </c>
      <c r="Y132" s="359">
        <v>0</v>
      </c>
      <c r="Z132" s="401">
        <f t="shared" si="221"/>
        <v>3819.24</v>
      </c>
      <c r="AA132" s="446">
        <v>1</v>
      </c>
      <c r="AB132" s="359">
        <f t="shared" si="222"/>
        <v>327.81810000000002</v>
      </c>
      <c r="AC132" s="365">
        <v>12</v>
      </c>
      <c r="AD132" s="400">
        <f t="shared" si="223"/>
        <v>3933.8172000000004</v>
      </c>
      <c r="AE132" s="359">
        <v>0</v>
      </c>
      <c r="AF132" s="401">
        <f t="shared" si="224"/>
        <v>3933.8172000000004</v>
      </c>
      <c r="AG132" s="446">
        <v>1</v>
      </c>
      <c r="AH132" s="359">
        <f t="shared" si="225"/>
        <v>337.65264300000001</v>
      </c>
      <c r="AI132" s="365">
        <v>9</v>
      </c>
      <c r="AJ132" s="400">
        <f t="shared" si="226"/>
        <v>3038.873787</v>
      </c>
      <c r="AK132" s="359">
        <v>0</v>
      </c>
      <c r="AL132" s="359">
        <f t="shared" si="227"/>
        <v>3038.873787</v>
      </c>
      <c r="AM132" s="402">
        <f t="shared" si="228"/>
        <v>16299.930987</v>
      </c>
      <c r="AN132" s="359">
        <f t="shared" si="213"/>
        <v>0</v>
      </c>
      <c r="AO132" s="402">
        <f t="shared" si="229"/>
        <v>16299.930987</v>
      </c>
    </row>
    <row r="133" spans="1:45" x14ac:dyDescent="0.45">
      <c r="A133" s="1" t="s">
        <v>213</v>
      </c>
      <c r="B133" s="710">
        <v>89050</v>
      </c>
      <c r="C133" s="258" t="s">
        <v>65</v>
      </c>
      <c r="D133" s="258" t="s">
        <v>65</v>
      </c>
      <c r="E133" s="1" t="s">
        <v>214</v>
      </c>
      <c r="F133" s="537" t="s">
        <v>570</v>
      </c>
      <c r="G133" s="65" t="s">
        <v>468</v>
      </c>
      <c r="H133" s="141">
        <v>1</v>
      </c>
      <c r="I133" s="15">
        <v>300</v>
      </c>
      <c r="J133" s="15">
        <v>6</v>
      </c>
      <c r="K133" s="522" t="s">
        <v>107</v>
      </c>
      <c r="L133" s="37">
        <f t="shared" ref="L133" si="231">J133*I133*H133</f>
        <v>1800</v>
      </c>
      <c r="M133" s="38">
        <v>0</v>
      </c>
      <c r="N133" s="39">
        <f t="shared" ref="N133" si="232">SUM(L133:M133)</f>
        <v>1800</v>
      </c>
      <c r="O133" s="141">
        <v>1</v>
      </c>
      <c r="P133" s="38">
        <f>I133*$H$7</f>
        <v>312</v>
      </c>
      <c r="Q133" s="15">
        <v>12</v>
      </c>
      <c r="R133" s="37">
        <f t="shared" ref="R133" si="233">O133*P133*Q133</f>
        <v>3744</v>
      </c>
      <c r="S133" s="38">
        <v>0</v>
      </c>
      <c r="T133" s="39">
        <f t="shared" ref="T133" si="234">SUM(R133:S133)</f>
        <v>3744</v>
      </c>
      <c r="U133" s="141">
        <v>1</v>
      </c>
      <c r="V133" s="38">
        <f t="shared" ref="V133" si="235">I133*$H$7*$H$7</f>
        <v>324.48</v>
      </c>
      <c r="W133" s="15">
        <v>12</v>
      </c>
      <c r="X133" s="37">
        <f t="shared" ref="X133" si="236">W133*V133*U133</f>
        <v>3893.76</v>
      </c>
      <c r="Y133" s="38">
        <v>0</v>
      </c>
      <c r="Z133" s="39">
        <f t="shared" ref="Z133" si="237">SUM(X133:Y133)</f>
        <v>3893.76</v>
      </c>
      <c r="AA133" s="141">
        <v>1</v>
      </c>
      <c r="AB133" s="38">
        <f t="shared" ref="AB133" si="238">I133*$H$7*$H$7*$H$7</f>
        <v>337.45920000000001</v>
      </c>
      <c r="AC133" s="15">
        <v>12</v>
      </c>
      <c r="AD133" s="37">
        <f t="shared" ref="AD133" si="239">AC133*AB133*AA133</f>
        <v>4049.5104000000001</v>
      </c>
      <c r="AE133" s="38">
        <v>0</v>
      </c>
      <c r="AF133" s="39">
        <f t="shared" ref="AF133" si="240">SUM(AD133:AE133)</f>
        <v>4049.5104000000001</v>
      </c>
      <c r="AG133" s="141">
        <v>1</v>
      </c>
      <c r="AH133" s="38">
        <f t="shared" ref="AH133" si="241">I133*$H$7*$H$7*$H$7*$H$7</f>
        <v>350.95756800000004</v>
      </c>
      <c r="AI133" s="15">
        <v>9</v>
      </c>
      <c r="AJ133" s="37">
        <f t="shared" ref="AJ133" si="242">AI133*AH133*AG133</f>
        <v>3158.6181120000001</v>
      </c>
      <c r="AK133" s="38">
        <v>0</v>
      </c>
      <c r="AL133" s="39">
        <f t="shared" ref="AL133" si="243">SUM(AJ133:AK133)</f>
        <v>3158.6181120000001</v>
      </c>
      <c r="AM133" s="40">
        <f t="shared" ref="AM133" si="244">L133+R133+X133+AD133+AJ133</f>
        <v>16645.888512000001</v>
      </c>
      <c r="AN133" s="270">
        <f t="shared" si="213"/>
        <v>0</v>
      </c>
      <c r="AO133" s="40">
        <f t="shared" si="229"/>
        <v>16645.888512000001</v>
      </c>
    </row>
    <row r="134" spans="1:45" x14ac:dyDescent="0.45">
      <c r="A134" s="15"/>
      <c r="B134" s="15"/>
      <c r="C134" s="15"/>
      <c r="D134" s="15"/>
      <c r="E134" s="15"/>
      <c r="F134" s="537"/>
      <c r="G134" s="65"/>
      <c r="H134" s="141"/>
      <c r="I134" s="15"/>
      <c r="J134" s="15"/>
      <c r="K134" s="131"/>
      <c r="L134" s="37"/>
      <c r="M134" s="38"/>
      <c r="N134" s="39"/>
      <c r="O134" s="141"/>
      <c r="P134" s="38"/>
      <c r="Q134" s="15"/>
      <c r="R134" s="37"/>
      <c r="S134" s="38"/>
      <c r="T134" s="39"/>
      <c r="U134" s="272"/>
      <c r="V134" s="38"/>
      <c r="W134" s="15"/>
      <c r="X134" s="37"/>
      <c r="Y134" s="38"/>
      <c r="Z134" s="39"/>
      <c r="AA134" s="272"/>
      <c r="AB134" s="38"/>
      <c r="AC134" s="15"/>
      <c r="AD134" s="37"/>
      <c r="AE134" s="38"/>
      <c r="AF134" s="39"/>
      <c r="AG134" s="272"/>
      <c r="AH134" s="38"/>
      <c r="AI134" s="15"/>
      <c r="AJ134" s="37"/>
      <c r="AK134" s="38"/>
      <c r="AL134" s="39"/>
      <c r="AM134" s="270"/>
      <c r="AN134" s="270"/>
      <c r="AO134" s="40"/>
    </row>
    <row r="135" spans="1:45" x14ac:dyDescent="0.45">
      <c r="A135" s="575"/>
      <c r="B135" s="575"/>
      <c r="C135" s="575"/>
      <c r="D135" s="575"/>
      <c r="E135" s="575"/>
      <c r="F135" s="575"/>
      <c r="G135" s="261" t="s">
        <v>287</v>
      </c>
      <c r="H135" s="262"/>
      <c r="I135" s="575"/>
      <c r="J135" s="575"/>
      <c r="K135" s="581"/>
      <c r="L135" s="263"/>
      <c r="M135" s="276"/>
      <c r="N135" s="264"/>
      <c r="O135" s="262"/>
      <c r="P135" s="276"/>
      <c r="Q135" s="575"/>
      <c r="R135" s="263"/>
      <c r="S135" s="276"/>
      <c r="T135" s="264"/>
      <c r="U135" s="273"/>
      <c r="V135" s="276"/>
      <c r="W135" s="575"/>
      <c r="X135" s="263"/>
      <c r="Y135" s="276"/>
      <c r="Z135" s="264"/>
      <c r="AA135" s="273"/>
      <c r="AB135" s="276"/>
      <c r="AC135" s="575"/>
      <c r="AD135" s="263"/>
      <c r="AE135" s="276"/>
      <c r="AF135" s="264"/>
      <c r="AG135" s="273"/>
      <c r="AH135" s="276"/>
      <c r="AI135" s="575"/>
      <c r="AJ135" s="263"/>
      <c r="AK135" s="276"/>
      <c r="AL135" s="264"/>
      <c r="AM135" s="265"/>
      <c r="AN135" s="265"/>
      <c r="AO135" s="266"/>
    </row>
    <row r="136" spans="1:45" x14ac:dyDescent="0.45">
      <c r="A136" s="1" t="s">
        <v>213</v>
      </c>
      <c r="B136" s="710">
        <v>89050</v>
      </c>
      <c r="C136" s="258" t="s">
        <v>65</v>
      </c>
      <c r="D136" s="258" t="s">
        <v>65</v>
      </c>
      <c r="E136" s="1" t="s">
        <v>214</v>
      </c>
      <c r="F136" s="537" t="s">
        <v>571</v>
      </c>
      <c r="G136" s="65" t="s">
        <v>572</v>
      </c>
      <c r="H136" s="141">
        <v>1000</v>
      </c>
      <c r="I136" s="15">
        <v>25</v>
      </c>
      <c r="J136" s="15">
        <v>1</v>
      </c>
      <c r="K136" s="131" t="s">
        <v>183</v>
      </c>
      <c r="L136" s="37">
        <f>J136*I136*H136</f>
        <v>25000</v>
      </c>
      <c r="M136" s="38">
        <v>0</v>
      </c>
      <c r="N136" s="39">
        <f t="shared" ref="N136:N137" si="245">SUM(L136:M136)</f>
        <v>25000</v>
      </c>
      <c r="O136" s="141">
        <v>1000</v>
      </c>
      <c r="P136" s="38">
        <f>I136*$H$6</f>
        <v>25.75</v>
      </c>
      <c r="Q136" s="15">
        <v>1</v>
      </c>
      <c r="R136" s="37">
        <f t="shared" ref="R136:R137" si="246">O136*P136*Q136</f>
        <v>25750</v>
      </c>
      <c r="S136" s="38">
        <v>0</v>
      </c>
      <c r="T136" s="39">
        <f t="shared" ref="T136:T137" si="247">SUM(R136:S136)</f>
        <v>25750</v>
      </c>
      <c r="U136" s="141">
        <v>1000</v>
      </c>
      <c r="V136" s="38">
        <f>I136*$H$6*$H$6</f>
        <v>26.522500000000001</v>
      </c>
      <c r="W136" s="278">
        <v>1</v>
      </c>
      <c r="X136" s="38">
        <f t="shared" ref="X136:X145" si="248">W136*V136*U136</f>
        <v>26522.5</v>
      </c>
      <c r="Y136" s="38">
        <v>0</v>
      </c>
      <c r="Z136" s="39">
        <f t="shared" ref="Z136:Z145" si="249">SUM(X136:Y136)</f>
        <v>26522.5</v>
      </c>
      <c r="AA136" s="141">
        <v>1000</v>
      </c>
      <c r="AB136" s="38">
        <f>I136*$H$6*$H$6*$H$6</f>
        <v>27.318175</v>
      </c>
      <c r="AC136" s="15">
        <v>1</v>
      </c>
      <c r="AD136" s="37">
        <f t="shared" ref="AD136:AD145" si="250">AC136*AB136*AA136</f>
        <v>27318.174999999999</v>
      </c>
      <c r="AE136" s="38">
        <v>0</v>
      </c>
      <c r="AF136" s="39">
        <f t="shared" ref="AF136:AF145" si="251">SUM(AD136:AE136)</f>
        <v>27318.174999999999</v>
      </c>
      <c r="AG136" s="141">
        <v>0</v>
      </c>
      <c r="AH136" s="38">
        <f t="shared" ref="AH136:AH152" si="252">I136*$H$6*$H$6*$H$6*$H$6</f>
        <v>28.137720250000001</v>
      </c>
      <c r="AI136" s="15">
        <v>0</v>
      </c>
      <c r="AJ136" s="37">
        <f t="shared" ref="AJ136:AJ145" si="253">AI136*AH136*AG136</f>
        <v>0</v>
      </c>
      <c r="AK136" s="38">
        <v>0</v>
      </c>
      <c r="AL136" s="39">
        <f t="shared" ref="AL136:AL145" si="254">SUM(AJ136:AK136)</f>
        <v>0</v>
      </c>
      <c r="AM136" s="270">
        <f>L136+R136+X136+AD136+AJ136</f>
        <v>104590.675</v>
      </c>
      <c r="AN136" s="270">
        <f t="shared" ref="AN136" si="255">M136+S136+Y136+AE136+AK136</f>
        <v>0</v>
      </c>
      <c r="AO136" s="40">
        <f t="shared" ref="AO136:AO137" si="256">SUM(AM136:AN136)</f>
        <v>104590.675</v>
      </c>
    </row>
    <row r="137" spans="1:45" x14ac:dyDescent="0.45">
      <c r="A137" s="1" t="s">
        <v>213</v>
      </c>
      <c r="B137" s="710">
        <v>89050</v>
      </c>
      <c r="C137" s="258" t="s">
        <v>65</v>
      </c>
      <c r="D137" s="258" t="s">
        <v>65</v>
      </c>
      <c r="E137" s="1" t="s">
        <v>214</v>
      </c>
      <c r="F137" s="537" t="s">
        <v>573</v>
      </c>
      <c r="G137" s="259" t="s">
        <v>574</v>
      </c>
      <c r="H137" s="141">
        <v>3</v>
      </c>
      <c r="I137" s="15">
        <v>8000</v>
      </c>
      <c r="J137" s="15">
        <v>1</v>
      </c>
      <c r="K137" s="131" t="s">
        <v>183</v>
      </c>
      <c r="L137" s="37">
        <f t="shared" ref="L137:L144" si="257">J137*I137*H137</f>
        <v>24000</v>
      </c>
      <c r="M137" s="38">
        <v>0</v>
      </c>
      <c r="N137" s="39">
        <f t="shared" si="245"/>
        <v>24000</v>
      </c>
      <c r="O137" s="141">
        <v>2</v>
      </c>
      <c r="P137" s="38">
        <f t="shared" ref="P137:P145" si="258">I137*$H$6</f>
        <v>8240</v>
      </c>
      <c r="Q137" s="15">
        <v>1</v>
      </c>
      <c r="R137" s="37">
        <f t="shared" si="246"/>
        <v>16480</v>
      </c>
      <c r="S137" s="38">
        <v>0</v>
      </c>
      <c r="T137" s="39">
        <f t="shared" si="247"/>
        <v>16480</v>
      </c>
      <c r="U137" s="141">
        <v>0</v>
      </c>
      <c r="V137" s="38">
        <f t="shared" ref="V137:V145" si="259">I137*$H$6*$H$6</f>
        <v>8487.2000000000007</v>
      </c>
      <c r="W137" s="278">
        <v>0</v>
      </c>
      <c r="X137" s="38">
        <f t="shared" si="248"/>
        <v>0</v>
      </c>
      <c r="Y137" s="38">
        <v>0</v>
      </c>
      <c r="Z137" s="39">
        <f t="shared" si="249"/>
        <v>0</v>
      </c>
      <c r="AA137" s="141">
        <v>0</v>
      </c>
      <c r="AB137" s="38">
        <f t="shared" ref="AB137:AB145" si="260">I137*$H$6*$H$6*$H$6</f>
        <v>8741.8160000000007</v>
      </c>
      <c r="AC137" s="15">
        <v>0</v>
      </c>
      <c r="AD137" s="37">
        <f t="shared" si="250"/>
        <v>0</v>
      </c>
      <c r="AE137" s="38">
        <v>0</v>
      </c>
      <c r="AF137" s="39">
        <f t="shared" si="251"/>
        <v>0</v>
      </c>
      <c r="AG137" s="141">
        <v>0</v>
      </c>
      <c r="AH137" s="38">
        <f t="shared" si="252"/>
        <v>9004.0704800000003</v>
      </c>
      <c r="AI137" s="15">
        <v>0</v>
      </c>
      <c r="AJ137" s="37">
        <f t="shared" si="253"/>
        <v>0</v>
      </c>
      <c r="AK137" s="38">
        <v>0</v>
      </c>
      <c r="AL137" s="39">
        <f t="shared" si="254"/>
        <v>0</v>
      </c>
      <c r="AM137" s="270">
        <f t="shared" ref="AM137" si="261">L137+R137+X137+AD137+AJ137</f>
        <v>40480</v>
      </c>
      <c r="AN137" s="270">
        <f>M137+S137+Y137+AE137+AK137</f>
        <v>0</v>
      </c>
      <c r="AO137" s="40">
        <f t="shared" si="256"/>
        <v>40480</v>
      </c>
    </row>
    <row r="138" spans="1:45" x14ac:dyDescent="0.45">
      <c r="A138" s="1" t="s">
        <v>213</v>
      </c>
      <c r="B138" s="710">
        <v>89050</v>
      </c>
      <c r="C138" s="258" t="s">
        <v>65</v>
      </c>
      <c r="D138" s="258" t="s">
        <v>65</v>
      </c>
      <c r="E138" s="1" t="s">
        <v>214</v>
      </c>
      <c r="F138" s="537" t="s">
        <v>575</v>
      </c>
      <c r="G138" s="259" t="s">
        <v>576</v>
      </c>
      <c r="H138" s="141">
        <v>1</v>
      </c>
      <c r="I138" s="15">
        <v>4000</v>
      </c>
      <c r="J138" s="15">
        <v>1</v>
      </c>
      <c r="K138" s="131" t="s">
        <v>183</v>
      </c>
      <c r="L138" s="37">
        <f t="shared" si="257"/>
        <v>4000</v>
      </c>
      <c r="M138" s="38">
        <v>0</v>
      </c>
      <c r="N138" s="39">
        <f>SUM(L138:M138)</f>
        <v>4000</v>
      </c>
      <c r="O138" s="141">
        <v>1</v>
      </c>
      <c r="P138" s="38">
        <f t="shared" si="258"/>
        <v>4120</v>
      </c>
      <c r="Q138" s="15">
        <v>1</v>
      </c>
      <c r="R138" s="37">
        <f>P138*O138*Q138</f>
        <v>4120</v>
      </c>
      <c r="S138" s="38">
        <v>0</v>
      </c>
      <c r="T138" s="39">
        <f>SUM(R138:S138)</f>
        <v>4120</v>
      </c>
      <c r="U138" s="141">
        <v>1</v>
      </c>
      <c r="V138" s="38">
        <f t="shared" si="259"/>
        <v>4243.6000000000004</v>
      </c>
      <c r="W138" s="278">
        <v>1</v>
      </c>
      <c r="X138" s="38">
        <f t="shared" si="248"/>
        <v>4243.6000000000004</v>
      </c>
      <c r="Y138" s="38">
        <v>0</v>
      </c>
      <c r="Z138" s="39">
        <f t="shared" si="249"/>
        <v>4243.6000000000004</v>
      </c>
      <c r="AA138" s="141">
        <v>1</v>
      </c>
      <c r="AB138" s="38">
        <f t="shared" si="260"/>
        <v>4370.9080000000004</v>
      </c>
      <c r="AC138" s="15">
        <v>1</v>
      </c>
      <c r="AD138" s="37">
        <f t="shared" si="250"/>
        <v>4370.9080000000004</v>
      </c>
      <c r="AE138" s="38">
        <v>0</v>
      </c>
      <c r="AF138" s="39">
        <f t="shared" si="251"/>
        <v>4370.9080000000004</v>
      </c>
      <c r="AG138" s="141">
        <v>1</v>
      </c>
      <c r="AH138" s="38">
        <f t="shared" si="252"/>
        <v>4502.0352400000002</v>
      </c>
      <c r="AI138" s="15">
        <v>1</v>
      </c>
      <c r="AJ138" s="37">
        <f t="shared" si="253"/>
        <v>4502.0352400000002</v>
      </c>
      <c r="AK138" s="38">
        <v>0</v>
      </c>
      <c r="AL138" s="39">
        <f t="shared" si="254"/>
        <v>4502.0352400000002</v>
      </c>
      <c r="AM138" s="270">
        <f>L138+R138+X138+AD138+AJ138</f>
        <v>21236.543240000003</v>
      </c>
      <c r="AN138" s="270">
        <f t="shared" ref="AN138:AN145" si="262">M138+S138+Y138+AE138+AK138</f>
        <v>0</v>
      </c>
      <c r="AO138" s="40">
        <f>SUM(AM138:AN138)</f>
        <v>21236.543240000003</v>
      </c>
    </row>
    <row r="139" spans="1:45" x14ac:dyDescent="0.45">
      <c r="A139" s="1" t="s">
        <v>213</v>
      </c>
      <c r="B139" s="710">
        <v>89050</v>
      </c>
      <c r="C139" s="258" t="s">
        <v>65</v>
      </c>
      <c r="D139" s="258" t="s">
        <v>65</v>
      </c>
      <c r="E139" s="1" t="s">
        <v>214</v>
      </c>
      <c r="F139" s="537" t="s">
        <v>577</v>
      </c>
      <c r="G139" s="65" t="s">
        <v>578</v>
      </c>
      <c r="H139" s="141">
        <v>1</v>
      </c>
      <c r="I139" s="15">
        <v>12000</v>
      </c>
      <c r="J139" s="15">
        <v>1</v>
      </c>
      <c r="K139" s="131" t="s">
        <v>183</v>
      </c>
      <c r="L139" s="37">
        <f t="shared" si="257"/>
        <v>12000</v>
      </c>
      <c r="M139" s="38">
        <v>0</v>
      </c>
      <c r="N139" s="39">
        <f t="shared" ref="N139:N145" si="263">SUM(L139:M139)</f>
        <v>12000</v>
      </c>
      <c r="O139" s="141">
        <v>1</v>
      </c>
      <c r="P139" s="38">
        <f t="shared" si="258"/>
        <v>12360</v>
      </c>
      <c r="Q139" s="15">
        <v>1</v>
      </c>
      <c r="R139" s="37">
        <f t="shared" ref="R139:R144" si="264">O139*P139*Q139</f>
        <v>12360</v>
      </c>
      <c r="S139" s="38">
        <v>0</v>
      </c>
      <c r="T139" s="39">
        <f t="shared" ref="T139:T145" si="265">SUM(R139:S139)</f>
        <v>12360</v>
      </c>
      <c r="U139" s="141">
        <v>1</v>
      </c>
      <c r="V139" s="38">
        <f t="shared" si="259"/>
        <v>12730.800000000001</v>
      </c>
      <c r="W139" s="278">
        <v>1</v>
      </c>
      <c r="X139" s="38">
        <f t="shared" si="248"/>
        <v>12730.800000000001</v>
      </c>
      <c r="Y139" s="38">
        <v>0</v>
      </c>
      <c r="Z139" s="39">
        <f t="shared" si="249"/>
        <v>12730.800000000001</v>
      </c>
      <c r="AA139" s="141">
        <v>1</v>
      </c>
      <c r="AB139" s="38">
        <f t="shared" si="260"/>
        <v>13112.724000000002</v>
      </c>
      <c r="AC139" s="15">
        <v>1</v>
      </c>
      <c r="AD139" s="37">
        <f t="shared" si="250"/>
        <v>13112.724000000002</v>
      </c>
      <c r="AE139" s="38">
        <v>0</v>
      </c>
      <c r="AF139" s="39">
        <f t="shared" si="251"/>
        <v>13112.724000000002</v>
      </c>
      <c r="AG139" s="141">
        <v>0</v>
      </c>
      <c r="AH139" s="38">
        <f t="shared" si="252"/>
        <v>13506.105720000003</v>
      </c>
      <c r="AI139" s="15">
        <v>0</v>
      </c>
      <c r="AJ139" s="37">
        <f t="shared" si="253"/>
        <v>0</v>
      </c>
      <c r="AK139" s="38">
        <v>0</v>
      </c>
      <c r="AL139" s="39">
        <f t="shared" si="254"/>
        <v>0</v>
      </c>
      <c r="AM139" s="270">
        <f>L139+R139+X139+AD139+AJ139</f>
        <v>50203.524000000005</v>
      </c>
      <c r="AN139" s="270">
        <f t="shared" si="262"/>
        <v>0</v>
      </c>
      <c r="AO139" s="40">
        <f t="shared" ref="AO139:AO145" si="266">SUM(AM139:AN139)</f>
        <v>50203.524000000005</v>
      </c>
    </row>
    <row r="140" spans="1:45" x14ac:dyDescent="0.45">
      <c r="A140" s="1" t="s">
        <v>213</v>
      </c>
      <c r="B140" s="710">
        <v>89050</v>
      </c>
      <c r="C140" s="258" t="s">
        <v>65</v>
      </c>
      <c r="D140" s="258" t="s">
        <v>65</v>
      </c>
      <c r="E140" s="1" t="s">
        <v>214</v>
      </c>
      <c r="F140" s="537" t="s">
        <v>579</v>
      </c>
      <c r="G140" s="65" t="s">
        <v>580</v>
      </c>
      <c r="H140" s="141">
        <v>30</v>
      </c>
      <c r="I140" s="15">
        <v>42</v>
      </c>
      <c r="J140" s="15">
        <v>1</v>
      </c>
      <c r="K140" s="131" t="s">
        <v>183</v>
      </c>
      <c r="L140" s="37">
        <f t="shared" si="257"/>
        <v>1260</v>
      </c>
      <c r="M140" s="38">
        <v>0</v>
      </c>
      <c r="N140" s="39">
        <f t="shared" si="263"/>
        <v>1260</v>
      </c>
      <c r="O140" s="141">
        <v>30</v>
      </c>
      <c r="P140" s="38">
        <f t="shared" si="258"/>
        <v>43.26</v>
      </c>
      <c r="Q140" s="15">
        <v>1</v>
      </c>
      <c r="R140" s="37">
        <f t="shared" si="264"/>
        <v>1297.8</v>
      </c>
      <c r="S140" s="38">
        <v>0</v>
      </c>
      <c r="T140" s="39">
        <f t="shared" si="265"/>
        <v>1297.8</v>
      </c>
      <c r="U140" s="141">
        <v>30</v>
      </c>
      <c r="V140" s="38">
        <f t="shared" si="259"/>
        <v>44.5578</v>
      </c>
      <c r="W140" s="278">
        <v>1</v>
      </c>
      <c r="X140" s="38">
        <f t="shared" si="248"/>
        <v>1336.7339999999999</v>
      </c>
      <c r="Y140" s="38">
        <v>0</v>
      </c>
      <c r="Z140" s="39">
        <f t="shared" si="249"/>
        <v>1336.7339999999999</v>
      </c>
      <c r="AA140" s="141">
        <v>30</v>
      </c>
      <c r="AB140" s="38">
        <f t="shared" si="260"/>
        <v>45.894534</v>
      </c>
      <c r="AC140" s="15">
        <v>1</v>
      </c>
      <c r="AD140" s="37">
        <f t="shared" si="250"/>
        <v>1376.83602</v>
      </c>
      <c r="AE140" s="38">
        <v>0</v>
      </c>
      <c r="AF140" s="39">
        <f t="shared" si="251"/>
        <v>1376.83602</v>
      </c>
      <c r="AG140" s="141">
        <v>0</v>
      </c>
      <c r="AH140" s="38">
        <f t="shared" si="252"/>
        <v>47.271370019999999</v>
      </c>
      <c r="AI140" s="15">
        <v>0</v>
      </c>
      <c r="AJ140" s="37">
        <f t="shared" si="253"/>
        <v>0</v>
      </c>
      <c r="AK140" s="38">
        <v>0</v>
      </c>
      <c r="AL140" s="39">
        <f t="shared" si="254"/>
        <v>0</v>
      </c>
      <c r="AM140" s="270">
        <f t="shared" ref="AM140:AN152" si="267">L140+R140+X140+AD140+AJ140</f>
        <v>5271.3700200000003</v>
      </c>
      <c r="AN140" s="270">
        <f t="shared" si="262"/>
        <v>0</v>
      </c>
      <c r="AO140" s="40">
        <f t="shared" si="266"/>
        <v>5271.3700200000003</v>
      </c>
    </row>
    <row r="141" spans="1:45" x14ac:dyDescent="0.45">
      <c r="A141" s="1" t="s">
        <v>213</v>
      </c>
      <c r="B141" s="710">
        <v>89050</v>
      </c>
      <c r="C141" s="258" t="s">
        <v>65</v>
      </c>
      <c r="D141" s="258" t="s">
        <v>65</v>
      </c>
      <c r="E141" s="1" t="s">
        <v>214</v>
      </c>
      <c r="F141" s="537" t="s">
        <v>581</v>
      </c>
      <c r="G141" s="65" t="s">
        <v>582</v>
      </c>
      <c r="H141" s="141">
        <v>0</v>
      </c>
      <c r="I141" s="15">
        <v>42</v>
      </c>
      <c r="J141" s="15">
        <v>1</v>
      </c>
      <c r="K141" s="131" t="s">
        <v>183</v>
      </c>
      <c r="L141" s="37">
        <f t="shared" si="257"/>
        <v>0</v>
      </c>
      <c r="M141" s="38">
        <v>0</v>
      </c>
      <c r="N141" s="39">
        <f t="shared" si="263"/>
        <v>0</v>
      </c>
      <c r="O141" s="141">
        <v>200</v>
      </c>
      <c r="P141" s="38">
        <f t="shared" si="258"/>
        <v>43.26</v>
      </c>
      <c r="Q141" s="15">
        <v>1</v>
      </c>
      <c r="R141" s="37">
        <f t="shared" si="264"/>
        <v>8652</v>
      </c>
      <c r="S141" s="38">
        <v>0</v>
      </c>
      <c r="T141" s="39">
        <f t="shared" si="265"/>
        <v>8652</v>
      </c>
      <c r="U141" s="141">
        <v>200</v>
      </c>
      <c r="V141" s="38">
        <f t="shared" si="259"/>
        <v>44.5578</v>
      </c>
      <c r="W141" s="278">
        <v>1</v>
      </c>
      <c r="X141" s="38">
        <f t="shared" si="248"/>
        <v>8911.56</v>
      </c>
      <c r="Y141" s="38">
        <v>0</v>
      </c>
      <c r="Z141" s="39">
        <f t="shared" si="249"/>
        <v>8911.56</v>
      </c>
      <c r="AA141" s="141">
        <v>100</v>
      </c>
      <c r="AB141" s="38">
        <f t="shared" si="260"/>
        <v>45.894534</v>
      </c>
      <c r="AC141" s="15">
        <v>1</v>
      </c>
      <c r="AD141" s="37">
        <f t="shared" si="250"/>
        <v>4589.4534000000003</v>
      </c>
      <c r="AE141" s="38">
        <v>0</v>
      </c>
      <c r="AF141" s="39">
        <f t="shared" si="251"/>
        <v>4589.4534000000003</v>
      </c>
      <c r="AG141" s="141">
        <v>0</v>
      </c>
      <c r="AH141" s="38">
        <f t="shared" si="252"/>
        <v>47.271370019999999</v>
      </c>
      <c r="AI141" s="15">
        <v>0</v>
      </c>
      <c r="AJ141" s="37">
        <f t="shared" si="253"/>
        <v>0</v>
      </c>
      <c r="AK141" s="38">
        <v>0</v>
      </c>
      <c r="AL141" s="39">
        <f t="shared" si="254"/>
        <v>0</v>
      </c>
      <c r="AM141" s="270">
        <f t="shared" si="267"/>
        <v>22153.013399999996</v>
      </c>
      <c r="AN141" s="270">
        <f t="shared" si="262"/>
        <v>0</v>
      </c>
      <c r="AO141" s="40">
        <f t="shared" si="266"/>
        <v>22153.013399999996</v>
      </c>
    </row>
    <row r="142" spans="1:45" x14ac:dyDescent="0.45">
      <c r="A142" s="1" t="s">
        <v>213</v>
      </c>
      <c r="B142" s="710">
        <v>89050</v>
      </c>
      <c r="C142" s="258" t="s">
        <v>65</v>
      </c>
      <c r="D142" s="258" t="s">
        <v>65</v>
      </c>
      <c r="E142" s="1" t="s">
        <v>214</v>
      </c>
      <c r="F142" s="537" t="s">
        <v>583</v>
      </c>
      <c r="G142" s="65" t="s">
        <v>584</v>
      </c>
      <c r="H142" s="141">
        <v>1</v>
      </c>
      <c r="I142" s="15">
        <v>5000</v>
      </c>
      <c r="J142" s="15">
        <v>1</v>
      </c>
      <c r="K142" s="131" t="s">
        <v>183</v>
      </c>
      <c r="L142" s="37">
        <f t="shared" si="257"/>
        <v>5000</v>
      </c>
      <c r="M142" s="38">
        <v>0</v>
      </c>
      <c r="N142" s="39">
        <f t="shared" si="263"/>
        <v>5000</v>
      </c>
      <c r="O142" s="141">
        <v>0</v>
      </c>
      <c r="P142" s="38">
        <f t="shared" si="258"/>
        <v>5150</v>
      </c>
      <c r="Q142" s="15">
        <v>0</v>
      </c>
      <c r="R142" s="37">
        <f t="shared" si="264"/>
        <v>0</v>
      </c>
      <c r="S142" s="38">
        <v>0</v>
      </c>
      <c r="T142" s="39">
        <f t="shared" si="265"/>
        <v>0</v>
      </c>
      <c r="U142" s="141">
        <v>0</v>
      </c>
      <c r="V142" s="38">
        <f t="shared" si="259"/>
        <v>5304.5</v>
      </c>
      <c r="W142" s="278">
        <v>0</v>
      </c>
      <c r="X142" s="38">
        <f t="shared" si="248"/>
        <v>0</v>
      </c>
      <c r="Y142" s="38">
        <v>0</v>
      </c>
      <c r="Z142" s="39">
        <f t="shared" si="249"/>
        <v>0</v>
      </c>
      <c r="AA142" s="141">
        <v>0</v>
      </c>
      <c r="AB142" s="38">
        <f t="shared" si="260"/>
        <v>5463.6350000000002</v>
      </c>
      <c r="AC142" s="15">
        <v>0</v>
      </c>
      <c r="AD142" s="37">
        <f t="shared" si="250"/>
        <v>0</v>
      </c>
      <c r="AE142" s="38">
        <v>0</v>
      </c>
      <c r="AF142" s="39">
        <f t="shared" si="251"/>
        <v>0</v>
      </c>
      <c r="AG142" s="141">
        <v>0</v>
      </c>
      <c r="AH142" s="38">
        <f t="shared" si="252"/>
        <v>5627.5440500000004</v>
      </c>
      <c r="AI142" s="15">
        <v>0</v>
      </c>
      <c r="AJ142" s="37">
        <f t="shared" si="253"/>
        <v>0</v>
      </c>
      <c r="AK142" s="38">
        <v>0</v>
      </c>
      <c r="AL142" s="39">
        <f t="shared" si="254"/>
        <v>0</v>
      </c>
      <c r="AM142" s="270">
        <f t="shared" si="267"/>
        <v>5000</v>
      </c>
      <c r="AN142" s="270">
        <f t="shared" si="262"/>
        <v>0</v>
      </c>
      <c r="AO142" s="40">
        <f t="shared" si="266"/>
        <v>5000</v>
      </c>
    </row>
    <row r="143" spans="1:45" x14ac:dyDescent="0.45">
      <c r="A143" s="1" t="s">
        <v>213</v>
      </c>
      <c r="B143" s="710">
        <v>89050</v>
      </c>
      <c r="C143" s="258" t="s">
        <v>65</v>
      </c>
      <c r="D143" s="258" t="s">
        <v>65</v>
      </c>
      <c r="E143" s="1" t="s">
        <v>214</v>
      </c>
      <c r="F143" s="537" t="s">
        <v>585</v>
      </c>
      <c r="G143" s="65" t="s">
        <v>586</v>
      </c>
      <c r="H143" s="141">
        <v>0</v>
      </c>
      <c r="I143" s="15">
        <v>21</v>
      </c>
      <c r="J143" s="15">
        <v>1</v>
      </c>
      <c r="K143" s="131" t="s">
        <v>183</v>
      </c>
      <c r="L143" s="37">
        <f t="shared" si="257"/>
        <v>0</v>
      </c>
      <c r="M143" s="38">
        <v>0</v>
      </c>
      <c r="N143" s="39">
        <f t="shared" si="263"/>
        <v>0</v>
      </c>
      <c r="O143" s="141">
        <v>0</v>
      </c>
      <c r="P143" s="38">
        <f t="shared" si="258"/>
        <v>21.63</v>
      </c>
      <c r="Q143" s="15">
        <v>0</v>
      </c>
      <c r="R143" s="37">
        <f t="shared" si="264"/>
        <v>0</v>
      </c>
      <c r="S143" s="38">
        <v>0</v>
      </c>
      <c r="T143" s="39">
        <f t="shared" si="265"/>
        <v>0</v>
      </c>
      <c r="U143" s="141">
        <v>0</v>
      </c>
      <c r="V143" s="38">
        <f t="shared" si="259"/>
        <v>22.2789</v>
      </c>
      <c r="W143" s="278">
        <v>0</v>
      </c>
      <c r="X143" s="38">
        <f t="shared" si="248"/>
        <v>0</v>
      </c>
      <c r="Y143" s="38">
        <v>0</v>
      </c>
      <c r="Z143" s="39">
        <f t="shared" si="249"/>
        <v>0</v>
      </c>
      <c r="AA143" s="141">
        <v>1000</v>
      </c>
      <c r="AB143" s="38">
        <f t="shared" si="260"/>
        <v>22.947267</v>
      </c>
      <c r="AC143" s="15">
        <v>1</v>
      </c>
      <c r="AD143" s="37">
        <f t="shared" si="250"/>
        <v>22947.267</v>
      </c>
      <c r="AE143" s="38">
        <v>0</v>
      </c>
      <c r="AF143" s="39">
        <f t="shared" si="251"/>
        <v>22947.267</v>
      </c>
      <c r="AG143" s="141">
        <v>0</v>
      </c>
      <c r="AH143" s="38">
        <f t="shared" si="252"/>
        <v>23.63568501</v>
      </c>
      <c r="AI143" s="15">
        <v>0</v>
      </c>
      <c r="AJ143" s="37">
        <f t="shared" si="253"/>
        <v>0</v>
      </c>
      <c r="AK143" s="38">
        <v>0</v>
      </c>
      <c r="AL143" s="39">
        <f t="shared" si="254"/>
        <v>0</v>
      </c>
      <c r="AM143" s="270">
        <f t="shared" si="267"/>
        <v>22947.267</v>
      </c>
      <c r="AN143" s="270">
        <f t="shared" si="262"/>
        <v>0</v>
      </c>
      <c r="AO143" s="40">
        <f t="shared" si="266"/>
        <v>22947.267</v>
      </c>
    </row>
    <row r="144" spans="1:45" x14ac:dyDescent="0.45">
      <c r="A144" s="1" t="s">
        <v>213</v>
      </c>
      <c r="B144" s="710">
        <v>89050</v>
      </c>
      <c r="C144" s="258" t="s">
        <v>65</v>
      </c>
      <c r="D144" s="258" t="s">
        <v>65</v>
      </c>
      <c r="E144" s="1" t="s">
        <v>214</v>
      </c>
      <c r="F144" s="537" t="s">
        <v>587</v>
      </c>
      <c r="G144" s="65" t="s">
        <v>588</v>
      </c>
      <c r="H144" s="141">
        <v>2</v>
      </c>
      <c r="I144" s="15">
        <v>4000</v>
      </c>
      <c r="J144" s="15">
        <v>1</v>
      </c>
      <c r="K144" s="131" t="s">
        <v>183</v>
      </c>
      <c r="L144" s="37">
        <f t="shared" si="257"/>
        <v>8000</v>
      </c>
      <c r="M144" s="38">
        <v>0</v>
      </c>
      <c r="N144" s="39">
        <f t="shared" si="263"/>
        <v>8000</v>
      </c>
      <c r="O144" s="141">
        <v>1</v>
      </c>
      <c r="P144" s="38">
        <f t="shared" si="258"/>
        <v>4120</v>
      </c>
      <c r="Q144" s="15">
        <v>1</v>
      </c>
      <c r="R144" s="37">
        <f t="shared" si="264"/>
        <v>4120</v>
      </c>
      <c r="S144" s="38">
        <v>0</v>
      </c>
      <c r="T144" s="39">
        <f t="shared" si="265"/>
        <v>4120</v>
      </c>
      <c r="U144" s="141">
        <v>0</v>
      </c>
      <c r="V144" s="38">
        <f t="shared" si="259"/>
        <v>4243.6000000000004</v>
      </c>
      <c r="W144" s="278"/>
      <c r="X144" s="38">
        <f t="shared" si="248"/>
        <v>0</v>
      </c>
      <c r="Y144" s="38">
        <v>0</v>
      </c>
      <c r="Z144" s="39">
        <f t="shared" si="249"/>
        <v>0</v>
      </c>
      <c r="AA144" s="141">
        <v>0</v>
      </c>
      <c r="AB144" s="38">
        <f t="shared" si="260"/>
        <v>4370.9080000000004</v>
      </c>
      <c r="AC144" s="15">
        <v>0</v>
      </c>
      <c r="AD144" s="37">
        <f t="shared" si="250"/>
        <v>0</v>
      </c>
      <c r="AE144" s="38">
        <v>0</v>
      </c>
      <c r="AF144" s="39">
        <f t="shared" si="251"/>
        <v>0</v>
      </c>
      <c r="AG144" s="141">
        <v>0</v>
      </c>
      <c r="AH144" s="38">
        <f t="shared" si="252"/>
        <v>4502.0352400000002</v>
      </c>
      <c r="AI144" s="15">
        <v>0</v>
      </c>
      <c r="AJ144" s="37">
        <f t="shared" si="253"/>
        <v>0</v>
      </c>
      <c r="AK144" s="38">
        <v>0</v>
      </c>
      <c r="AL144" s="39">
        <f t="shared" si="254"/>
        <v>0</v>
      </c>
      <c r="AM144" s="270">
        <f t="shared" si="267"/>
        <v>12120</v>
      </c>
      <c r="AN144" s="270">
        <f t="shared" si="262"/>
        <v>0</v>
      </c>
      <c r="AO144" s="40">
        <f t="shared" si="266"/>
        <v>12120</v>
      </c>
    </row>
    <row r="145" spans="1:45" x14ac:dyDescent="0.45">
      <c r="A145" s="1" t="s">
        <v>213</v>
      </c>
      <c r="B145" s="710">
        <v>89050</v>
      </c>
      <c r="C145" s="258" t="s">
        <v>65</v>
      </c>
      <c r="D145" s="258" t="s">
        <v>65</v>
      </c>
      <c r="E145" s="1" t="s">
        <v>214</v>
      </c>
      <c r="F145" s="537" t="s">
        <v>589</v>
      </c>
      <c r="G145" s="65" t="s">
        <v>590</v>
      </c>
      <c r="H145" s="141">
        <v>0</v>
      </c>
      <c r="I145" s="15">
        <v>17</v>
      </c>
      <c r="J145" s="15">
        <v>1</v>
      </c>
      <c r="K145" s="131" t="s">
        <v>183</v>
      </c>
      <c r="L145" s="37">
        <f t="shared" ref="L145:L152" si="268">J145*I145*H145</f>
        <v>0</v>
      </c>
      <c r="M145" s="38">
        <v>0</v>
      </c>
      <c r="N145" s="39">
        <f t="shared" si="263"/>
        <v>0</v>
      </c>
      <c r="O145" s="141">
        <v>4000</v>
      </c>
      <c r="P145" s="38">
        <f t="shared" si="258"/>
        <v>17.510000000000002</v>
      </c>
      <c r="Q145" s="15">
        <v>1</v>
      </c>
      <c r="R145" s="37">
        <f t="shared" ref="R145:R152" si="269">O145*P145*Q145</f>
        <v>70040</v>
      </c>
      <c r="S145" s="38">
        <v>0</v>
      </c>
      <c r="T145" s="39">
        <f t="shared" si="265"/>
        <v>70040</v>
      </c>
      <c r="U145" s="141">
        <v>0</v>
      </c>
      <c r="V145" s="38">
        <f t="shared" si="259"/>
        <v>18.035300000000003</v>
      </c>
      <c r="W145" s="278">
        <v>0</v>
      </c>
      <c r="X145" s="38">
        <f t="shared" si="248"/>
        <v>0</v>
      </c>
      <c r="Y145" s="38">
        <v>0</v>
      </c>
      <c r="Z145" s="39">
        <f t="shared" si="249"/>
        <v>0</v>
      </c>
      <c r="AA145" s="141">
        <v>0</v>
      </c>
      <c r="AB145" s="38">
        <f t="shared" si="260"/>
        <v>18.576359000000004</v>
      </c>
      <c r="AC145" s="15">
        <v>0</v>
      </c>
      <c r="AD145" s="37">
        <f t="shared" si="250"/>
        <v>0</v>
      </c>
      <c r="AE145" s="38">
        <v>0</v>
      </c>
      <c r="AF145" s="39">
        <f t="shared" si="251"/>
        <v>0</v>
      </c>
      <c r="AG145" s="141">
        <v>0</v>
      </c>
      <c r="AH145" s="38">
        <f t="shared" si="252"/>
        <v>19.133649770000005</v>
      </c>
      <c r="AI145" s="15">
        <v>0</v>
      </c>
      <c r="AJ145" s="37">
        <f t="shared" si="253"/>
        <v>0</v>
      </c>
      <c r="AK145" s="38">
        <v>0</v>
      </c>
      <c r="AL145" s="39">
        <f t="shared" si="254"/>
        <v>0</v>
      </c>
      <c r="AM145" s="270">
        <f t="shared" si="267"/>
        <v>70040</v>
      </c>
      <c r="AN145" s="270">
        <f t="shared" si="262"/>
        <v>0</v>
      </c>
      <c r="AO145" s="40">
        <f t="shared" si="266"/>
        <v>70040</v>
      </c>
    </row>
    <row r="146" spans="1:45" x14ac:dyDescent="0.45">
      <c r="A146" s="575"/>
      <c r="B146" s="575"/>
      <c r="C146" s="575"/>
      <c r="D146" s="575"/>
      <c r="E146" s="575"/>
      <c r="F146" s="575"/>
      <c r="G146" s="261" t="s">
        <v>302</v>
      </c>
      <c r="H146" s="262"/>
      <c r="I146" s="575"/>
      <c r="J146" s="575"/>
      <c r="K146" s="581"/>
      <c r="L146" s="263"/>
      <c r="M146" s="276"/>
      <c r="N146" s="264"/>
      <c r="O146" s="262"/>
      <c r="P146" s="276"/>
      <c r="Q146" s="575"/>
      <c r="R146" s="263"/>
      <c r="S146" s="276"/>
      <c r="T146" s="264"/>
      <c r="U146" s="262"/>
      <c r="V146" s="276"/>
      <c r="W146" s="575"/>
      <c r="X146" s="263"/>
      <c r="Y146" s="276"/>
      <c r="Z146" s="264"/>
      <c r="AA146" s="262"/>
      <c r="AB146" s="276"/>
      <c r="AC146" s="575"/>
      <c r="AD146" s="263"/>
      <c r="AE146" s="276"/>
      <c r="AF146" s="264"/>
      <c r="AG146" s="262"/>
      <c r="AH146" s="276"/>
      <c r="AI146" s="575"/>
      <c r="AJ146" s="263"/>
      <c r="AK146" s="276"/>
      <c r="AL146" s="264"/>
      <c r="AM146" s="265"/>
      <c r="AN146" s="265"/>
      <c r="AO146" s="266"/>
    </row>
    <row r="147" spans="1:45" x14ac:dyDescent="0.45">
      <c r="A147" s="15"/>
      <c r="B147" s="15"/>
      <c r="C147" s="15"/>
      <c r="D147" s="15"/>
      <c r="E147" s="15"/>
      <c r="F147" s="15"/>
      <c r="G147" s="583" t="s">
        <v>591</v>
      </c>
      <c r="H147" s="141"/>
      <c r="I147" s="15"/>
      <c r="J147" s="15"/>
      <c r="K147" s="131"/>
      <c r="L147" s="37"/>
      <c r="M147" s="38"/>
      <c r="N147" s="39"/>
      <c r="O147" s="141"/>
      <c r="P147" s="38"/>
      <c r="Q147" s="15"/>
      <c r="R147" s="37"/>
      <c r="S147" s="38"/>
      <c r="T147" s="39"/>
      <c r="U147" s="141"/>
      <c r="V147" s="38"/>
      <c r="W147" s="15"/>
      <c r="X147" s="37"/>
      <c r="Y147" s="38"/>
      <c r="Z147" s="39"/>
      <c r="AA147" s="141"/>
      <c r="AB147" s="38"/>
      <c r="AC147" s="15"/>
      <c r="AD147" s="37"/>
      <c r="AE147" s="38"/>
      <c r="AF147" s="39"/>
      <c r="AG147" s="141"/>
      <c r="AH147" s="38"/>
      <c r="AI147" s="15"/>
      <c r="AJ147" s="37"/>
      <c r="AK147" s="38"/>
      <c r="AL147" s="39"/>
      <c r="AM147" s="270"/>
      <c r="AN147" s="270"/>
      <c r="AO147" s="40"/>
      <c r="AP147" s="6"/>
    </row>
    <row r="148" spans="1:45" x14ac:dyDescent="0.45">
      <c r="A148" s="1" t="s">
        <v>213</v>
      </c>
      <c r="B148" s="710">
        <v>89050</v>
      </c>
      <c r="C148" s="258" t="s">
        <v>65</v>
      </c>
      <c r="D148" s="258" t="s">
        <v>65</v>
      </c>
      <c r="E148" s="1" t="s">
        <v>214</v>
      </c>
      <c r="F148" s="537" t="s">
        <v>592</v>
      </c>
      <c r="G148" s="584" t="s">
        <v>593</v>
      </c>
      <c r="H148" s="141">
        <v>0</v>
      </c>
      <c r="I148" s="15">
        <v>400</v>
      </c>
      <c r="J148" s="15">
        <v>0</v>
      </c>
      <c r="K148" s="131" t="s">
        <v>299</v>
      </c>
      <c r="L148" s="37">
        <f t="shared" si="268"/>
        <v>0</v>
      </c>
      <c r="M148" s="38">
        <v>0</v>
      </c>
      <c r="N148" s="39">
        <f t="shared" ref="N148:N149" si="270">SUM(L148:M148)</f>
        <v>0</v>
      </c>
      <c r="O148" s="141">
        <v>10</v>
      </c>
      <c r="P148" s="38">
        <f t="shared" ref="P148:P149" si="271">I148*$H$6</f>
        <v>412</v>
      </c>
      <c r="Q148" s="15">
        <v>1</v>
      </c>
      <c r="R148" s="37">
        <f t="shared" si="269"/>
        <v>4120</v>
      </c>
      <c r="S148" s="38">
        <v>0</v>
      </c>
      <c r="T148" s="39">
        <f t="shared" ref="T148:T149" si="272">SUM(R148:S148)</f>
        <v>4120</v>
      </c>
      <c r="U148" s="141">
        <v>9</v>
      </c>
      <c r="V148" s="38">
        <f t="shared" ref="V148:V149" si="273">I148*$H$6*$H$6</f>
        <v>424.36</v>
      </c>
      <c r="W148" s="15">
        <v>1</v>
      </c>
      <c r="X148" s="37">
        <f t="shared" ref="X148:X149" si="274">W148*V148*U148</f>
        <v>3819.2400000000002</v>
      </c>
      <c r="Y148" s="38">
        <v>0</v>
      </c>
      <c r="Z148" s="39">
        <f t="shared" ref="Z148:Z149" si="275">SUM(X148:Y148)</f>
        <v>3819.2400000000002</v>
      </c>
      <c r="AA148" s="141">
        <v>4</v>
      </c>
      <c r="AB148" s="38">
        <f t="shared" ref="AB148:AB149" si="276">I148*$H$6*$H$6*$H$6</f>
        <v>437.0908</v>
      </c>
      <c r="AC148" s="15">
        <v>1</v>
      </c>
      <c r="AD148" s="37">
        <f t="shared" ref="AD148:AD149" si="277">AC148*AB148*AA148</f>
        <v>1748.3632</v>
      </c>
      <c r="AE148" s="38">
        <v>0</v>
      </c>
      <c r="AF148" s="39">
        <f t="shared" ref="AF148:AF149" si="278">SUM(AD148:AE148)</f>
        <v>1748.3632</v>
      </c>
      <c r="AG148" s="141">
        <v>0</v>
      </c>
      <c r="AH148" s="38">
        <f t="shared" si="252"/>
        <v>450.20352400000002</v>
      </c>
      <c r="AI148" s="15">
        <v>0</v>
      </c>
      <c r="AJ148" s="37">
        <f t="shared" ref="AJ148:AJ149" si="279">AI148*AH148*AG148</f>
        <v>0</v>
      </c>
      <c r="AK148" s="38">
        <v>0</v>
      </c>
      <c r="AL148" s="39">
        <f t="shared" ref="AL148:AL149" si="280">SUM(AJ148:AK148)</f>
        <v>0</v>
      </c>
      <c r="AM148" s="270">
        <f t="shared" si="267"/>
        <v>9687.6031999999996</v>
      </c>
      <c r="AN148" s="270">
        <f>M148+S148+Y148+AE148+AK148</f>
        <v>0</v>
      </c>
      <c r="AO148" s="40">
        <f t="shared" ref="AO148:AO149" si="281">SUM(AM148:AN148)</f>
        <v>9687.6031999999996</v>
      </c>
      <c r="AP148" s="6"/>
    </row>
    <row r="149" spans="1:45" x14ac:dyDescent="0.45">
      <c r="A149" s="1" t="s">
        <v>213</v>
      </c>
      <c r="B149" s="710">
        <v>89050</v>
      </c>
      <c r="C149" s="258" t="s">
        <v>65</v>
      </c>
      <c r="D149" s="258" t="s">
        <v>65</v>
      </c>
      <c r="E149" s="1" t="s">
        <v>214</v>
      </c>
      <c r="F149" s="537" t="s">
        <v>594</v>
      </c>
      <c r="G149" s="584" t="s">
        <v>595</v>
      </c>
      <c r="H149" s="141">
        <v>0</v>
      </c>
      <c r="I149" s="15">
        <v>1000</v>
      </c>
      <c r="J149" s="15">
        <v>0</v>
      </c>
      <c r="K149" s="131" t="s">
        <v>299</v>
      </c>
      <c r="L149" s="37">
        <f t="shared" si="268"/>
        <v>0</v>
      </c>
      <c r="M149" s="38">
        <v>0</v>
      </c>
      <c r="N149" s="39">
        <f t="shared" si="270"/>
        <v>0</v>
      </c>
      <c r="O149" s="141">
        <v>10</v>
      </c>
      <c r="P149" s="38">
        <f t="shared" si="271"/>
        <v>1030</v>
      </c>
      <c r="Q149" s="15">
        <v>1</v>
      </c>
      <c r="R149" s="37">
        <f t="shared" si="269"/>
        <v>10300</v>
      </c>
      <c r="S149" s="38">
        <v>0</v>
      </c>
      <c r="T149" s="39">
        <f t="shared" si="272"/>
        <v>10300</v>
      </c>
      <c r="U149" s="141">
        <v>9</v>
      </c>
      <c r="V149" s="38">
        <f t="shared" si="273"/>
        <v>1060.9000000000001</v>
      </c>
      <c r="W149" s="15">
        <v>1</v>
      </c>
      <c r="X149" s="37">
        <f t="shared" si="274"/>
        <v>9548.1</v>
      </c>
      <c r="Y149" s="38">
        <v>0</v>
      </c>
      <c r="Z149" s="39">
        <f t="shared" si="275"/>
        <v>9548.1</v>
      </c>
      <c r="AA149" s="141">
        <v>4</v>
      </c>
      <c r="AB149" s="38">
        <f t="shared" si="276"/>
        <v>1092.7270000000001</v>
      </c>
      <c r="AC149" s="15">
        <v>1</v>
      </c>
      <c r="AD149" s="37">
        <f t="shared" si="277"/>
        <v>4370.9080000000004</v>
      </c>
      <c r="AE149" s="38">
        <v>0</v>
      </c>
      <c r="AF149" s="39">
        <f t="shared" si="278"/>
        <v>4370.9080000000004</v>
      </c>
      <c r="AG149" s="141">
        <v>0</v>
      </c>
      <c r="AH149" s="38">
        <f t="shared" si="252"/>
        <v>1125.50881</v>
      </c>
      <c r="AI149" s="15">
        <v>0</v>
      </c>
      <c r="AJ149" s="37">
        <f t="shared" si="279"/>
        <v>0</v>
      </c>
      <c r="AK149" s="38">
        <v>0</v>
      </c>
      <c r="AL149" s="39">
        <f t="shared" si="280"/>
        <v>0</v>
      </c>
      <c r="AM149" s="270">
        <f t="shared" si="267"/>
        <v>24219.007999999998</v>
      </c>
      <c r="AN149" s="270">
        <f>M149+S149+Y149+AE149+AK149</f>
        <v>0</v>
      </c>
      <c r="AO149" s="40">
        <f t="shared" si="281"/>
        <v>24219.007999999998</v>
      </c>
      <c r="AP149" s="6"/>
    </row>
    <row r="150" spans="1:45" x14ac:dyDescent="0.45">
      <c r="A150" s="575"/>
      <c r="B150" s="575"/>
      <c r="C150" s="575"/>
      <c r="D150" s="575"/>
      <c r="E150" s="575"/>
      <c r="F150" s="575"/>
      <c r="G150" s="261" t="s">
        <v>306</v>
      </c>
      <c r="H150" s="262"/>
      <c r="I150" s="575"/>
      <c r="J150" s="575"/>
      <c r="K150" s="581"/>
      <c r="L150" s="263"/>
      <c r="M150" s="276"/>
      <c r="N150" s="264"/>
      <c r="O150" s="262"/>
      <c r="P150" s="276"/>
      <c r="Q150" s="575"/>
      <c r="R150" s="263"/>
      <c r="S150" s="276"/>
      <c r="T150" s="264"/>
      <c r="U150" s="262"/>
      <c r="V150" s="276"/>
      <c r="W150" s="575"/>
      <c r="X150" s="263"/>
      <c r="Y150" s="276"/>
      <c r="Z150" s="264"/>
      <c r="AA150" s="262"/>
      <c r="AB150" s="276"/>
      <c r="AC150" s="575"/>
      <c r="AD150" s="263"/>
      <c r="AE150" s="276"/>
      <c r="AF150" s="264"/>
      <c r="AG150" s="262"/>
      <c r="AH150" s="276"/>
      <c r="AI150" s="575"/>
      <c r="AJ150" s="263"/>
      <c r="AK150" s="276"/>
      <c r="AL150" s="264"/>
      <c r="AM150" s="265"/>
      <c r="AN150" s="265"/>
      <c r="AO150" s="266"/>
      <c r="AP150" s="6"/>
    </row>
    <row r="151" spans="1:45" x14ac:dyDescent="0.45">
      <c r="A151" s="1" t="s">
        <v>213</v>
      </c>
      <c r="B151" s="710">
        <v>89050</v>
      </c>
      <c r="C151" s="258" t="s">
        <v>65</v>
      </c>
      <c r="D151" s="258" t="s">
        <v>65</v>
      </c>
      <c r="E151" s="1" t="s">
        <v>214</v>
      </c>
      <c r="F151" s="537" t="s">
        <v>596</v>
      </c>
      <c r="G151" s="65" t="s">
        <v>597</v>
      </c>
      <c r="H151" s="141">
        <v>1</v>
      </c>
      <c r="I151" s="15">
        <v>1000</v>
      </c>
      <c r="J151" s="15">
        <v>1</v>
      </c>
      <c r="K151" s="131" t="s">
        <v>183</v>
      </c>
      <c r="L151" s="37">
        <f t="shared" si="268"/>
        <v>1000</v>
      </c>
      <c r="M151" s="38">
        <v>0</v>
      </c>
      <c r="N151" s="39">
        <f t="shared" ref="N151:N152" si="282">SUM(L151:M151)</f>
        <v>1000</v>
      </c>
      <c r="O151" s="141">
        <v>0</v>
      </c>
      <c r="P151" s="38">
        <f t="shared" ref="P151:P152" si="283">I151*$H$6</f>
        <v>1030</v>
      </c>
      <c r="Q151" s="15">
        <v>0</v>
      </c>
      <c r="R151" s="37">
        <f t="shared" si="269"/>
        <v>0</v>
      </c>
      <c r="S151" s="38">
        <v>0</v>
      </c>
      <c r="T151" s="39">
        <f t="shared" ref="T151:T152" si="284">SUM(R151:S151)</f>
        <v>0</v>
      </c>
      <c r="U151" s="141">
        <v>1</v>
      </c>
      <c r="V151" s="38">
        <f t="shared" ref="V151:V152" si="285">I151*$H$6*$H$6</f>
        <v>1060.9000000000001</v>
      </c>
      <c r="W151" s="15">
        <v>1</v>
      </c>
      <c r="X151" s="37">
        <f>W151*V151*U151</f>
        <v>1060.9000000000001</v>
      </c>
      <c r="Y151" s="38">
        <v>0</v>
      </c>
      <c r="Z151" s="39">
        <f t="shared" ref="Z151:Z152" si="286">SUM(X151:Y151)</f>
        <v>1060.9000000000001</v>
      </c>
      <c r="AA151" s="141">
        <v>0</v>
      </c>
      <c r="AB151" s="38">
        <f t="shared" ref="AB151:AB152" si="287">I151*$H$6*$H$6*$H$6</f>
        <v>1092.7270000000001</v>
      </c>
      <c r="AC151" s="15">
        <v>0</v>
      </c>
      <c r="AD151" s="37">
        <f t="shared" ref="AD151:AD152" si="288">AC151*AB151*AA151</f>
        <v>0</v>
      </c>
      <c r="AE151" s="38">
        <v>0</v>
      </c>
      <c r="AF151" s="39">
        <f t="shared" ref="AF151:AF152" si="289">SUM(AD151:AE151)</f>
        <v>0</v>
      </c>
      <c r="AG151" s="141">
        <v>0</v>
      </c>
      <c r="AH151" s="38">
        <f t="shared" si="252"/>
        <v>1125.50881</v>
      </c>
      <c r="AI151" s="15">
        <v>0</v>
      </c>
      <c r="AJ151" s="37">
        <f t="shared" ref="AJ151:AJ152" si="290">AI151*AH151*AG151</f>
        <v>0</v>
      </c>
      <c r="AK151" s="38">
        <v>0</v>
      </c>
      <c r="AL151" s="39">
        <f t="shared" ref="AL151:AL152" si="291">SUM(AJ151:AK151)</f>
        <v>0</v>
      </c>
      <c r="AM151" s="270">
        <f t="shared" si="267"/>
        <v>2060.9</v>
      </c>
      <c r="AN151" s="270">
        <f t="shared" si="267"/>
        <v>0</v>
      </c>
      <c r="AO151" s="40">
        <f t="shared" ref="AO151:AO152" si="292">SUM(AM151:AN151)</f>
        <v>2060.9</v>
      </c>
    </row>
    <row r="152" spans="1:45" x14ac:dyDescent="0.45">
      <c r="A152" s="1" t="s">
        <v>213</v>
      </c>
      <c r="B152" s="710">
        <v>89050</v>
      </c>
      <c r="C152" s="258" t="s">
        <v>65</v>
      </c>
      <c r="D152" s="258" t="s">
        <v>65</v>
      </c>
      <c r="E152" s="1" t="s">
        <v>214</v>
      </c>
      <c r="F152" s="537" t="s">
        <v>598</v>
      </c>
      <c r="G152" s="65" t="s">
        <v>599</v>
      </c>
      <c r="H152" s="141">
        <v>3</v>
      </c>
      <c r="I152" s="15">
        <v>1000</v>
      </c>
      <c r="J152" s="15">
        <v>1</v>
      </c>
      <c r="K152" s="131" t="s">
        <v>183</v>
      </c>
      <c r="L152" s="37">
        <f t="shared" si="268"/>
        <v>3000</v>
      </c>
      <c r="M152" s="38">
        <v>0</v>
      </c>
      <c r="N152" s="39">
        <f t="shared" si="282"/>
        <v>3000</v>
      </c>
      <c r="O152" s="141">
        <v>0</v>
      </c>
      <c r="P152" s="38">
        <f t="shared" si="283"/>
        <v>1030</v>
      </c>
      <c r="Q152" s="15">
        <v>0</v>
      </c>
      <c r="R152" s="37">
        <f t="shared" si="269"/>
        <v>0</v>
      </c>
      <c r="S152" s="38">
        <v>0</v>
      </c>
      <c r="T152" s="39">
        <f t="shared" si="284"/>
        <v>0</v>
      </c>
      <c r="U152" s="141">
        <v>3</v>
      </c>
      <c r="V152" s="38">
        <f t="shared" si="285"/>
        <v>1060.9000000000001</v>
      </c>
      <c r="W152" s="15">
        <v>1</v>
      </c>
      <c r="X152" s="37">
        <f>W152*V152*U152</f>
        <v>3182.7000000000003</v>
      </c>
      <c r="Y152" s="38">
        <v>0</v>
      </c>
      <c r="Z152" s="39">
        <f t="shared" si="286"/>
        <v>3182.7000000000003</v>
      </c>
      <c r="AA152" s="141">
        <v>0</v>
      </c>
      <c r="AB152" s="38">
        <f t="shared" si="287"/>
        <v>1092.7270000000001</v>
      </c>
      <c r="AC152" s="15">
        <v>0</v>
      </c>
      <c r="AD152" s="37">
        <f t="shared" si="288"/>
        <v>0</v>
      </c>
      <c r="AE152" s="38">
        <v>0</v>
      </c>
      <c r="AF152" s="39">
        <f t="shared" si="289"/>
        <v>0</v>
      </c>
      <c r="AG152" s="141">
        <v>3</v>
      </c>
      <c r="AH152" s="38">
        <f t="shared" si="252"/>
        <v>1125.50881</v>
      </c>
      <c r="AI152" s="15">
        <v>1</v>
      </c>
      <c r="AJ152" s="37">
        <f t="shared" si="290"/>
        <v>3376.5264299999999</v>
      </c>
      <c r="AK152" s="38">
        <v>0</v>
      </c>
      <c r="AL152" s="39">
        <f t="shared" si="291"/>
        <v>3376.5264299999999</v>
      </c>
      <c r="AM152" s="270">
        <f t="shared" si="267"/>
        <v>9559.2264300000006</v>
      </c>
      <c r="AN152" s="270">
        <f t="shared" si="267"/>
        <v>0</v>
      </c>
      <c r="AO152" s="40">
        <f t="shared" si="292"/>
        <v>9559.2264300000006</v>
      </c>
    </row>
    <row r="153" spans="1:45" x14ac:dyDescent="0.45">
      <c r="A153" s="575"/>
      <c r="B153" s="575"/>
      <c r="C153" s="575"/>
      <c r="D153" s="575"/>
      <c r="E153" s="575"/>
      <c r="F153" s="575"/>
      <c r="G153" s="261" t="s">
        <v>310</v>
      </c>
      <c r="H153" s="262"/>
      <c r="I153" s="575"/>
      <c r="J153" s="575"/>
      <c r="K153" s="581"/>
      <c r="L153" s="263"/>
      <c r="M153" s="276"/>
      <c r="N153" s="275"/>
      <c r="O153" s="273"/>
      <c r="P153" s="273"/>
      <c r="Q153" s="575"/>
      <c r="R153" s="263"/>
      <c r="S153" s="276"/>
      <c r="T153" s="276"/>
      <c r="U153" s="279"/>
      <c r="V153" s="279"/>
      <c r="W153" s="280"/>
      <c r="X153" s="263"/>
      <c r="Y153" s="276"/>
      <c r="Z153" s="276"/>
      <c r="AA153" s="279"/>
      <c r="AB153" s="559"/>
      <c r="AC153" s="280"/>
      <c r="AD153" s="263"/>
      <c r="AE153" s="276"/>
      <c r="AF153" s="276"/>
      <c r="AG153" s="279"/>
      <c r="AH153" s="276"/>
      <c r="AI153" s="280"/>
      <c r="AJ153" s="263"/>
      <c r="AK153" s="276"/>
      <c r="AL153" s="276"/>
      <c r="AM153" s="284"/>
      <c r="AN153" s="263"/>
      <c r="AO153" s="266"/>
    </row>
    <row r="154" spans="1:45" x14ac:dyDescent="0.45">
      <c r="A154" s="1" t="s">
        <v>213</v>
      </c>
      <c r="B154" s="710">
        <v>89050</v>
      </c>
      <c r="C154" s="258" t="s">
        <v>65</v>
      </c>
      <c r="D154" s="258" t="s">
        <v>65</v>
      </c>
      <c r="E154" s="1" t="s">
        <v>214</v>
      </c>
      <c r="F154" s="38" t="s">
        <v>600</v>
      </c>
      <c r="G154" s="65" t="s">
        <v>504</v>
      </c>
      <c r="H154" s="140">
        <v>1</v>
      </c>
      <c r="I154" s="38">
        <v>2500</v>
      </c>
      <c r="J154" s="15">
        <v>1</v>
      </c>
      <c r="K154" s="131" t="s">
        <v>249</v>
      </c>
      <c r="L154" s="37">
        <f>J154*I154*H154</f>
        <v>2500</v>
      </c>
      <c r="M154" s="38">
        <v>0</v>
      </c>
      <c r="N154" s="39">
        <f>SUM(L154:M154)</f>
        <v>2500</v>
      </c>
      <c r="O154" s="140">
        <v>1</v>
      </c>
      <c r="P154" s="359">
        <f>I154*$H$6</f>
        <v>2575</v>
      </c>
      <c r="Q154" s="15">
        <v>1</v>
      </c>
      <c r="R154" s="37">
        <f>Q154*P154*O154</f>
        <v>2575</v>
      </c>
      <c r="S154" s="38">
        <v>0</v>
      </c>
      <c r="T154" s="39">
        <f>SUM(R154:S154)</f>
        <v>2575</v>
      </c>
      <c r="U154" s="140">
        <v>1</v>
      </c>
      <c r="V154" s="359">
        <f t="shared" ref="V154:V157" si="293">I154*$H$6*$H$6</f>
        <v>2652.25</v>
      </c>
      <c r="W154" s="15">
        <v>1</v>
      </c>
      <c r="X154" s="37">
        <f>W154*V154*U154</f>
        <v>2652.25</v>
      </c>
      <c r="Y154" s="38">
        <v>0</v>
      </c>
      <c r="Z154" s="39">
        <f>SUM(X154:X154)</f>
        <v>2652.25</v>
      </c>
      <c r="AA154" s="140">
        <v>1</v>
      </c>
      <c r="AB154" s="359">
        <f t="shared" ref="AB154:AB157" si="294">I154*$H$6*$H$6*$H$6</f>
        <v>2731.8175000000001</v>
      </c>
      <c r="AC154" s="15">
        <v>1</v>
      </c>
      <c r="AD154" s="37">
        <f>AC154*AB154*AA154</f>
        <v>2731.8175000000001</v>
      </c>
      <c r="AE154" s="38">
        <v>0</v>
      </c>
      <c r="AF154" s="39">
        <f>SUM(AD154:AE154)</f>
        <v>2731.8175000000001</v>
      </c>
      <c r="AG154" s="140">
        <v>1</v>
      </c>
      <c r="AH154" s="359">
        <f t="shared" ref="AH154:AH157" si="295">I154*$H$6*$H$6*$H$6*$H$6</f>
        <v>2813.7720250000002</v>
      </c>
      <c r="AI154" s="15">
        <v>1</v>
      </c>
      <c r="AJ154" s="37">
        <f>AI154*AH154*AG154</f>
        <v>2813.7720250000002</v>
      </c>
      <c r="AK154" s="38">
        <v>0</v>
      </c>
      <c r="AL154" s="39">
        <f>SUM(AJ154:AK154)</f>
        <v>2813.7720250000002</v>
      </c>
      <c r="AM154" s="40">
        <f t="shared" ref="AM154:AN157" si="296">L154+R154+X154+AD154+AJ154</f>
        <v>13272.839525000001</v>
      </c>
      <c r="AN154" s="270">
        <f t="shared" si="296"/>
        <v>0</v>
      </c>
      <c r="AO154" s="40">
        <f t="shared" ref="AO154:AO157" si="297">SUM(AM154:AN154)</f>
        <v>13272.839525000001</v>
      </c>
      <c r="AQ154" s="91"/>
      <c r="AR154" s="91"/>
      <c r="AS154" s="91"/>
    </row>
    <row r="155" spans="1:45" x14ac:dyDescent="0.45">
      <c r="A155" s="1" t="s">
        <v>213</v>
      </c>
      <c r="B155" s="710">
        <v>89050</v>
      </c>
      <c r="C155" s="258" t="s">
        <v>65</v>
      </c>
      <c r="D155" s="258" t="s">
        <v>65</v>
      </c>
      <c r="E155" s="1" t="s">
        <v>214</v>
      </c>
      <c r="F155" s="38" t="s">
        <v>601</v>
      </c>
      <c r="G155" s="65" t="s">
        <v>314</v>
      </c>
      <c r="H155" s="38">
        <v>1</v>
      </c>
      <c r="I155" s="38">
        <v>7500</v>
      </c>
      <c r="J155" s="15">
        <v>1</v>
      </c>
      <c r="K155" s="131" t="s">
        <v>183</v>
      </c>
      <c r="L155" s="37">
        <f t="shared" ref="L155" si="298">I155*H155</f>
        <v>7500</v>
      </c>
      <c r="M155" s="38">
        <v>0</v>
      </c>
      <c r="N155" s="39">
        <f t="shared" ref="N155:N157" si="299">SUM(L155:M155)</f>
        <v>7500</v>
      </c>
      <c r="O155" s="141">
        <v>0</v>
      </c>
      <c r="P155" s="359">
        <f t="shared" ref="P155:P157" si="300">I155*$H$6</f>
        <v>7725</v>
      </c>
      <c r="Q155" s="15">
        <v>1</v>
      </c>
      <c r="R155" s="37">
        <f t="shared" ref="R155:R157" si="301">O155*P155</f>
        <v>0</v>
      </c>
      <c r="S155" s="38">
        <v>0</v>
      </c>
      <c r="T155" s="39">
        <f t="shared" ref="T155:T157" si="302">SUM(R155:S155)</f>
        <v>0</v>
      </c>
      <c r="U155" s="37">
        <v>0</v>
      </c>
      <c r="V155" s="359">
        <f t="shared" si="293"/>
        <v>7956.75</v>
      </c>
      <c r="W155" s="15">
        <v>1</v>
      </c>
      <c r="X155" s="37">
        <f t="shared" ref="X155:X157" si="303">V155*U155</f>
        <v>0</v>
      </c>
      <c r="Y155" s="38">
        <v>0</v>
      </c>
      <c r="Z155" s="39">
        <f t="shared" ref="Z155:Z157" si="304">SUM(X155:Y155)</f>
        <v>0</v>
      </c>
      <c r="AA155" s="37">
        <v>0</v>
      </c>
      <c r="AB155" s="359">
        <f t="shared" si="294"/>
        <v>8195.4524999999994</v>
      </c>
      <c r="AC155" s="15">
        <v>1</v>
      </c>
      <c r="AD155" s="37">
        <f t="shared" ref="AD155:AD157" si="305">AB155*AA155</f>
        <v>0</v>
      </c>
      <c r="AE155" s="38">
        <v>0</v>
      </c>
      <c r="AF155" s="39">
        <f t="shared" ref="AF155:AF157" si="306">SUM(AD155:AE155)</f>
        <v>0</v>
      </c>
      <c r="AG155" s="37">
        <v>0</v>
      </c>
      <c r="AH155" s="359">
        <f t="shared" si="295"/>
        <v>8441.3160749999988</v>
      </c>
      <c r="AI155" s="15">
        <v>1</v>
      </c>
      <c r="AJ155" s="37">
        <f>AH155*AG155</f>
        <v>0</v>
      </c>
      <c r="AK155" s="38">
        <v>0</v>
      </c>
      <c r="AL155" s="39">
        <f t="shared" ref="AL155:AL157" si="307">SUM(AJ155:AK155)</f>
        <v>0</v>
      </c>
      <c r="AM155" s="40">
        <f t="shared" si="296"/>
        <v>7500</v>
      </c>
      <c r="AN155" s="270">
        <f t="shared" si="296"/>
        <v>0</v>
      </c>
      <c r="AO155" s="40">
        <f t="shared" si="297"/>
        <v>7500</v>
      </c>
    </row>
    <row r="156" spans="1:45" x14ac:dyDescent="0.45">
      <c r="A156" s="1" t="s">
        <v>213</v>
      </c>
      <c r="B156" s="710">
        <v>89050</v>
      </c>
      <c r="C156" s="258" t="s">
        <v>65</v>
      </c>
      <c r="D156" s="258" t="s">
        <v>65</v>
      </c>
      <c r="E156" s="1" t="s">
        <v>214</v>
      </c>
      <c r="F156" s="38" t="s">
        <v>602</v>
      </c>
      <c r="G156" s="65" t="s">
        <v>316</v>
      </c>
      <c r="H156" s="141">
        <v>2</v>
      </c>
      <c r="I156" s="38">
        <v>250</v>
      </c>
      <c r="J156" s="15">
        <v>1</v>
      </c>
      <c r="K156" s="131" t="s">
        <v>309</v>
      </c>
      <c r="L156" s="37">
        <f>I156*H156</f>
        <v>500</v>
      </c>
      <c r="M156" s="38">
        <v>0</v>
      </c>
      <c r="N156" s="39">
        <f t="shared" si="299"/>
        <v>500</v>
      </c>
      <c r="O156" s="141">
        <v>2</v>
      </c>
      <c r="P156" s="359">
        <f t="shared" si="300"/>
        <v>257.5</v>
      </c>
      <c r="Q156" s="15">
        <v>1</v>
      </c>
      <c r="R156" s="37">
        <f t="shared" si="301"/>
        <v>515</v>
      </c>
      <c r="S156" s="38">
        <v>0</v>
      </c>
      <c r="T156" s="39">
        <f t="shared" si="302"/>
        <v>515</v>
      </c>
      <c r="U156" s="37">
        <v>2</v>
      </c>
      <c r="V156" s="359">
        <f t="shared" si="293"/>
        <v>265.22500000000002</v>
      </c>
      <c r="W156" s="15">
        <v>1</v>
      </c>
      <c r="X156" s="37">
        <f t="shared" si="303"/>
        <v>530.45000000000005</v>
      </c>
      <c r="Y156" s="38">
        <v>0</v>
      </c>
      <c r="Z156" s="39">
        <f t="shared" si="304"/>
        <v>530.45000000000005</v>
      </c>
      <c r="AA156" s="37">
        <v>2</v>
      </c>
      <c r="AB156" s="359">
        <f t="shared" si="294"/>
        <v>273.18175000000002</v>
      </c>
      <c r="AC156" s="15">
        <v>1</v>
      </c>
      <c r="AD156" s="37">
        <f t="shared" si="305"/>
        <v>546.36350000000004</v>
      </c>
      <c r="AE156" s="38">
        <v>0</v>
      </c>
      <c r="AF156" s="39">
        <f t="shared" si="306"/>
        <v>546.36350000000004</v>
      </c>
      <c r="AG156" s="37">
        <v>2</v>
      </c>
      <c r="AH156" s="359">
        <f t="shared" si="295"/>
        <v>281.37720250000001</v>
      </c>
      <c r="AI156" s="15">
        <v>1</v>
      </c>
      <c r="AJ156" s="37">
        <f>AH156*AG156</f>
        <v>562.75440500000002</v>
      </c>
      <c r="AK156" s="38">
        <v>0</v>
      </c>
      <c r="AL156" s="39">
        <f t="shared" si="307"/>
        <v>562.75440500000002</v>
      </c>
      <c r="AM156" s="40">
        <f t="shared" si="296"/>
        <v>2654.5679050000003</v>
      </c>
      <c r="AN156" s="270">
        <f t="shared" si="296"/>
        <v>0</v>
      </c>
      <c r="AO156" s="40">
        <f t="shared" si="297"/>
        <v>2654.5679050000003</v>
      </c>
    </row>
    <row r="157" spans="1:45" x14ac:dyDescent="0.45">
      <c r="A157" s="1" t="s">
        <v>213</v>
      </c>
      <c r="B157" s="710">
        <v>89050</v>
      </c>
      <c r="C157" s="258" t="s">
        <v>65</v>
      </c>
      <c r="D157" s="258" t="s">
        <v>65</v>
      </c>
      <c r="E157" s="1" t="s">
        <v>214</v>
      </c>
      <c r="F157" s="38" t="s">
        <v>603</v>
      </c>
      <c r="G157" s="65" t="s">
        <v>318</v>
      </c>
      <c r="H157" s="141">
        <v>2</v>
      </c>
      <c r="I157" s="38">
        <v>250</v>
      </c>
      <c r="J157" s="15">
        <v>1</v>
      </c>
      <c r="K157" s="131" t="s">
        <v>309</v>
      </c>
      <c r="L157" s="37">
        <f>I157*H157</f>
        <v>500</v>
      </c>
      <c r="M157" s="38">
        <v>0</v>
      </c>
      <c r="N157" s="39">
        <f t="shared" si="299"/>
        <v>500</v>
      </c>
      <c r="O157" s="141">
        <v>2</v>
      </c>
      <c r="P157" s="359">
        <f t="shared" si="300"/>
        <v>257.5</v>
      </c>
      <c r="Q157" s="15">
        <v>1</v>
      </c>
      <c r="R157" s="37">
        <f t="shared" si="301"/>
        <v>515</v>
      </c>
      <c r="S157" s="38">
        <v>0</v>
      </c>
      <c r="T157" s="39">
        <f t="shared" si="302"/>
        <v>515</v>
      </c>
      <c r="U157" s="37">
        <v>2</v>
      </c>
      <c r="V157" s="359">
        <f t="shared" si="293"/>
        <v>265.22500000000002</v>
      </c>
      <c r="W157" s="15">
        <v>1</v>
      </c>
      <c r="X157" s="37">
        <f t="shared" si="303"/>
        <v>530.45000000000005</v>
      </c>
      <c r="Y157" s="38">
        <v>0</v>
      </c>
      <c r="Z157" s="39">
        <f t="shared" si="304"/>
        <v>530.45000000000005</v>
      </c>
      <c r="AA157" s="37">
        <v>2</v>
      </c>
      <c r="AB157" s="359">
        <f t="shared" si="294"/>
        <v>273.18175000000002</v>
      </c>
      <c r="AC157" s="15">
        <v>1</v>
      </c>
      <c r="AD157" s="37">
        <f t="shared" si="305"/>
        <v>546.36350000000004</v>
      </c>
      <c r="AE157" s="38">
        <v>0</v>
      </c>
      <c r="AF157" s="39">
        <f t="shared" si="306"/>
        <v>546.36350000000004</v>
      </c>
      <c r="AG157" s="37">
        <v>2</v>
      </c>
      <c r="AH157" s="359">
        <f t="shared" si="295"/>
        <v>281.37720250000001</v>
      </c>
      <c r="AI157" s="15">
        <v>1</v>
      </c>
      <c r="AJ157" s="37">
        <f>AH157*AG157</f>
        <v>562.75440500000002</v>
      </c>
      <c r="AK157" s="38">
        <v>0</v>
      </c>
      <c r="AL157" s="39">
        <f t="shared" si="307"/>
        <v>562.75440500000002</v>
      </c>
      <c r="AM157" s="40">
        <f t="shared" si="296"/>
        <v>2654.5679050000003</v>
      </c>
      <c r="AN157" s="270">
        <f t="shared" si="296"/>
        <v>0</v>
      </c>
      <c r="AO157" s="40">
        <f t="shared" si="297"/>
        <v>2654.5679050000003</v>
      </c>
    </row>
    <row r="158" spans="1:45" s="10" customFormat="1" x14ac:dyDescent="0.45">
      <c r="A158" s="129"/>
      <c r="B158" s="129"/>
      <c r="C158" s="129"/>
      <c r="D158" s="129"/>
      <c r="E158" s="129"/>
      <c r="F158" s="129"/>
      <c r="G158" s="75" t="s">
        <v>325</v>
      </c>
      <c r="H158" s="145"/>
      <c r="I158" s="129"/>
      <c r="J158" s="145"/>
      <c r="K158" s="129"/>
      <c r="L158" s="42">
        <f>SUM(L130:L157)</f>
        <v>100010</v>
      </c>
      <c r="M158" s="42">
        <f>SUM(M130:M157)</f>
        <v>0</v>
      </c>
      <c r="N158" s="44">
        <f>SUM(N130:N157)</f>
        <v>100010</v>
      </c>
      <c r="O158" s="145"/>
      <c r="P158" s="43"/>
      <c r="Q158" s="129"/>
      <c r="R158" s="42">
        <f>SUM(R130:R157)</f>
        <v>170665.8</v>
      </c>
      <c r="S158" s="42">
        <f>SUM(S130:S157)</f>
        <v>0</v>
      </c>
      <c r="T158" s="44">
        <f>SUM(T130:T157)</f>
        <v>170665.8</v>
      </c>
      <c r="U158" s="145"/>
      <c r="V158" s="129"/>
      <c r="W158" s="129"/>
      <c r="X158" s="42">
        <f>SUM(X130:X157)</f>
        <v>85222.353999999992</v>
      </c>
      <c r="Y158" s="42">
        <f>SUM(Y130:Y157)</f>
        <v>0</v>
      </c>
      <c r="Z158" s="44">
        <f>SUM(Z130:Z157)</f>
        <v>85222.353999999992</v>
      </c>
      <c r="AA158" s="145"/>
      <c r="AB158" s="129"/>
      <c r="AC158" s="129"/>
      <c r="AD158" s="42">
        <f>SUM(AD130:AD157)</f>
        <v>94155.778820000021</v>
      </c>
      <c r="AE158" s="42">
        <f>SUM(AE130:AE157)</f>
        <v>0</v>
      </c>
      <c r="AF158" s="44">
        <f>SUM(AF130:AF157)</f>
        <v>94155.778820000021</v>
      </c>
      <c r="AG158" s="145"/>
      <c r="AH158" s="129"/>
      <c r="AI158" s="129"/>
      <c r="AJ158" s="42">
        <f>SUM(AJ130:AJ157)</f>
        <v>20519.591506249999</v>
      </c>
      <c r="AK158" s="42">
        <f t="shared" ref="AK158:AO158" si="308">SUM(AK130:AK157)</f>
        <v>0</v>
      </c>
      <c r="AL158" s="42">
        <f t="shared" si="308"/>
        <v>20519.591506249999</v>
      </c>
      <c r="AM158" s="45">
        <f t="shared" si="308"/>
        <v>470573.52432625002</v>
      </c>
      <c r="AN158" s="42">
        <f t="shared" si="308"/>
        <v>0</v>
      </c>
      <c r="AO158" s="45">
        <f t="shared" si="308"/>
        <v>470573.52432625002</v>
      </c>
      <c r="AP158" s="1"/>
    </row>
    <row r="159" spans="1:45" x14ac:dyDescent="0.45">
      <c r="G159" s="82"/>
      <c r="H159" s="140"/>
      <c r="L159" s="37"/>
      <c r="M159" s="38"/>
      <c r="N159" s="39"/>
      <c r="O159" s="140"/>
      <c r="R159" s="37"/>
      <c r="S159" s="38"/>
      <c r="T159" s="39"/>
      <c r="U159" s="140"/>
      <c r="X159" s="37"/>
      <c r="Y159" s="38"/>
      <c r="Z159" s="39"/>
      <c r="AA159" s="140"/>
      <c r="AD159" s="37"/>
      <c r="AE159" s="38"/>
      <c r="AF159" s="39"/>
      <c r="AG159" s="140"/>
      <c r="AJ159" s="37"/>
      <c r="AK159" s="38"/>
      <c r="AL159" s="39"/>
      <c r="AM159" s="270"/>
      <c r="AN159" s="270"/>
      <c r="AO159" s="40"/>
    </row>
    <row r="160" spans="1:45" s="9" customFormat="1" x14ac:dyDescent="0.45">
      <c r="A160" s="157"/>
      <c r="B160" s="157"/>
      <c r="C160" s="157"/>
      <c r="D160" s="157"/>
      <c r="E160" s="157"/>
      <c r="F160" s="157"/>
      <c r="G160" s="93" t="s">
        <v>326</v>
      </c>
      <c r="H160" s="156"/>
      <c r="I160" s="157"/>
      <c r="J160" s="157"/>
      <c r="K160" s="157"/>
      <c r="L160" s="50">
        <f>L158+L127</f>
        <v>105566</v>
      </c>
      <c r="M160" s="50">
        <f>M158+M127</f>
        <v>33306</v>
      </c>
      <c r="N160" s="50">
        <f>N158+N127</f>
        <v>138872</v>
      </c>
      <c r="O160" s="156"/>
      <c r="P160" s="157"/>
      <c r="Q160" s="157"/>
      <c r="R160" s="50">
        <f>R158+R127</f>
        <v>176388.47999999998</v>
      </c>
      <c r="S160" s="50">
        <f>S158+S127</f>
        <v>0</v>
      </c>
      <c r="T160" s="50">
        <f>T158+T127</f>
        <v>176388.47999999998</v>
      </c>
      <c r="U160" s="156"/>
      <c r="V160" s="157"/>
      <c r="W160" s="157"/>
      <c r="X160" s="50">
        <f>X158+X127</f>
        <v>85222.353999999992</v>
      </c>
      <c r="Y160" s="50">
        <f>Y158+Y127</f>
        <v>0</v>
      </c>
      <c r="Z160" s="50">
        <f>Z158+Z127</f>
        <v>85222.353999999992</v>
      </c>
      <c r="AA160" s="156"/>
      <c r="AB160" s="157"/>
      <c r="AC160" s="157"/>
      <c r="AD160" s="50">
        <f>AD158+AD127</f>
        <v>94155.778820000021</v>
      </c>
      <c r="AE160" s="50">
        <f>AE158+AE127</f>
        <v>0</v>
      </c>
      <c r="AF160" s="50">
        <f>AF158+AF127</f>
        <v>94155.778820000021</v>
      </c>
      <c r="AG160" s="156"/>
      <c r="AH160" s="157"/>
      <c r="AI160" s="157"/>
      <c r="AJ160" s="50">
        <f t="shared" ref="AJ160:AO160" si="309">AJ158+AJ127</f>
        <v>20519.591506249999</v>
      </c>
      <c r="AK160" s="50">
        <f t="shared" si="309"/>
        <v>0</v>
      </c>
      <c r="AL160" s="50">
        <f t="shared" si="309"/>
        <v>20519.591506249999</v>
      </c>
      <c r="AM160" s="50">
        <f t="shared" si="309"/>
        <v>481852.20432625001</v>
      </c>
      <c r="AN160" s="50">
        <f t="shared" si="309"/>
        <v>33306</v>
      </c>
      <c r="AO160" s="71">
        <f t="shared" si="309"/>
        <v>515158.20432625001</v>
      </c>
      <c r="AP160" s="1"/>
      <c r="AQ160" s="100"/>
    </row>
    <row r="161" spans="1:44" x14ac:dyDescent="0.45">
      <c r="G161" s="82"/>
      <c r="H161" s="140"/>
      <c r="L161" s="37"/>
      <c r="M161" s="38"/>
      <c r="N161" s="39"/>
      <c r="O161" s="140"/>
      <c r="R161" s="37"/>
      <c r="S161" s="38"/>
      <c r="T161" s="39"/>
      <c r="U161" s="140"/>
      <c r="X161" s="37"/>
      <c r="Y161" s="38"/>
      <c r="Z161" s="39"/>
      <c r="AA161" s="140"/>
      <c r="AD161" s="37"/>
      <c r="AE161" s="38"/>
      <c r="AF161" s="39"/>
      <c r="AG161" s="140"/>
      <c r="AJ161" s="37"/>
      <c r="AK161" s="38"/>
      <c r="AL161" s="39"/>
      <c r="AM161" s="270"/>
      <c r="AN161" s="270"/>
      <c r="AO161" s="40"/>
      <c r="AQ161" s="100"/>
    </row>
    <row r="162" spans="1:44" s="9" customFormat="1" x14ac:dyDescent="0.45">
      <c r="A162" s="163"/>
      <c r="B162" s="163"/>
      <c r="C162" s="163"/>
      <c r="D162" s="163"/>
      <c r="E162" s="163"/>
      <c r="F162" s="163"/>
      <c r="G162" s="101" t="s">
        <v>20</v>
      </c>
      <c r="H162" s="162"/>
      <c r="I162" s="163"/>
      <c r="J162" s="163"/>
      <c r="K162" s="164"/>
      <c r="L162" s="630">
        <f>L160+L119+L105+L91+L85+L39+L33</f>
        <v>447655.136</v>
      </c>
      <c r="M162" s="631">
        <f>M160+M119+M105+M91+M85+M39+M33</f>
        <v>79869.194615999993</v>
      </c>
      <c r="N162" s="632">
        <f>SUM(L162:M162)</f>
        <v>527524.33061599999</v>
      </c>
      <c r="O162" s="162"/>
      <c r="P162" s="163"/>
      <c r="Q162" s="163"/>
      <c r="R162" s="633">
        <f>R160+R119+R105+R91+R85+R39+R33</f>
        <v>517725.41871999996</v>
      </c>
      <c r="S162" s="631">
        <f>S160+S119+S105+S91+S85+S39+S33</f>
        <v>52531.003150080003</v>
      </c>
      <c r="T162" s="632">
        <f>SUM(R162:S162)</f>
        <v>570256.42187007994</v>
      </c>
      <c r="U162" s="162"/>
      <c r="V162" s="163"/>
      <c r="W162" s="163"/>
      <c r="X162" s="634">
        <f>X160+X119+X105+X91+X85+X39+X33</f>
        <v>414551.14326879999</v>
      </c>
      <c r="Y162" s="635">
        <f>Y160+Y119+Y105+Y91+Y85+Y39+Y33</f>
        <v>54587.574236083208</v>
      </c>
      <c r="Z162" s="636">
        <f>Z160+Z119+Z105+Z91+Z85+Z39+Z33</f>
        <v>469138.71750488324</v>
      </c>
      <c r="AA162" s="162"/>
      <c r="AB162" s="163"/>
      <c r="AC162" s="163"/>
      <c r="AD162" s="634">
        <f>AD160+AD119+AD105+AD91+AD85+AD39+AD33</f>
        <v>429936.22466955206</v>
      </c>
      <c r="AE162" s="635">
        <f>AE160+AE119+AE105+AE91+AE85+AE39+AE33</f>
        <v>56725.06809432654</v>
      </c>
      <c r="AF162" s="636">
        <f>AF160+AF119+AF105+AF91+AF85+AF39+AF33</f>
        <v>486661.29276387859</v>
      </c>
      <c r="AG162" s="162"/>
      <c r="AH162" s="163"/>
      <c r="AI162" s="163"/>
      <c r="AJ162" s="636">
        <f>AJ160+AJ119+AJ105+AJ91+AJ85+AJ39+AJ33</f>
        <v>324110.80768897047</v>
      </c>
      <c r="AK162" s="635">
        <f>AK160+AK119+AK105+AK91+AK85+AK39+AK33</f>
        <v>57092.870522679921</v>
      </c>
      <c r="AL162" s="636">
        <f>AL160+AL119+AL105+AL91+AL85+AL39+AL33</f>
        <v>381203.67821165035</v>
      </c>
      <c r="AM162" s="675">
        <f>AJ162+AD162+X162+R162+L162</f>
        <v>2133978.7303473223</v>
      </c>
      <c r="AN162" s="675">
        <f>AK162+AE162+Y162+S162+M162</f>
        <v>300805.71061916964</v>
      </c>
      <c r="AO162" s="102">
        <f>SUM(AM162:AN162)</f>
        <v>2434784.4409664921</v>
      </c>
      <c r="AP162" s="1"/>
      <c r="AQ162" s="103"/>
    </row>
    <row r="163" spans="1:44" s="9" customFormat="1" x14ac:dyDescent="0.45">
      <c r="A163" s="166"/>
      <c r="B163" s="166"/>
      <c r="C163" s="166"/>
      <c r="D163" s="166"/>
      <c r="E163" s="166"/>
      <c r="F163" s="166"/>
      <c r="G163" s="101" t="s">
        <v>604</v>
      </c>
      <c r="H163" s="165">
        <v>0</v>
      </c>
      <c r="I163" s="166"/>
      <c r="J163" s="166"/>
      <c r="K163" s="167"/>
      <c r="L163" s="104">
        <f>L162*$H163</f>
        <v>0</v>
      </c>
      <c r="M163" s="105">
        <v>0</v>
      </c>
      <c r="N163" s="106">
        <f>SUM(L163:M163)</f>
        <v>0</v>
      </c>
      <c r="O163" s="165"/>
      <c r="P163" s="166"/>
      <c r="Q163" s="166"/>
      <c r="R163" s="104">
        <f>R162*$H163</f>
        <v>0</v>
      </c>
      <c r="S163" s="105">
        <v>0</v>
      </c>
      <c r="T163" s="106">
        <f>SUM(R163:S163)</f>
        <v>0</v>
      </c>
      <c r="U163" s="165"/>
      <c r="V163" s="166"/>
      <c r="W163" s="166"/>
      <c r="X163" s="104">
        <f>X162*$H163</f>
        <v>0</v>
      </c>
      <c r="Y163" s="105">
        <v>0</v>
      </c>
      <c r="Z163" s="106">
        <f>SUM(X163:Y163)</f>
        <v>0</v>
      </c>
      <c r="AA163" s="165"/>
      <c r="AB163" s="166"/>
      <c r="AC163" s="166"/>
      <c r="AD163" s="104">
        <f>AD162*$H163</f>
        <v>0</v>
      </c>
      <c r="AE163" s="105">
        <v>0</v>
      </c>
      <c r="AF163" s="106">
        <f>SUM(AD163:AE163)</f>
        <v>0</v>
      </c>
      <c r="AG163" s="165"/>
      <c r="AH163" s="166"/>
      <c r="AI163" s="166"/>
      <c r="AJ163" s="104">
        <f>AJ162*$H163</f>
        <v>0</v>
      </c>
      <c r="AK163" s="105">
        <v>0</v>
      </c>
      <c r="AL163" s="106">
        <f>SUM(AJ163:AK163)</f>
        <v>0</v>
      </c>
      <c r="AM163" s="267">
        <f>AJ163+AD163+X163+R163+L163</f>
        <v>0</v>
      </c>
      <c r="AN163" s="267">
        <f t="shared" ref="AN163" si="310">AK163+AE163+Y163+S163+M163</f>
        <v>0</v>
      </c>
      <c r="AO163" s="107">
        <f>SUM(AM163:AN163)</f>
        <v>0</v>
      </c>
      <c r="AP163" s="1"/>
      <c r="AQ163" s="103"/>
    </row>
    <row r="164" spans="1:44" ht="12.9" thickBot="1" x14ac:dyDescent="0.5">
      <c r="A164" s="169"/>
      <c r="B164" s="169"/>
      <c r="C164" s="169"/>
      <c r="D164" s="169"/>
      <c r="E164" s="169"/>
      <c r="F164" s="169"/>
      <c r="G164" s="582" t="s">
        <v>8</v>
      </c>
      <c r="H164" s="168"/>
      <c r="I164" s="169"/>
      <c r="J164" s="169"/>
      <c r="K164" s="170"/>
      <c r="L164" s="637">
        <f>SUM(L162:L163)</f>
        <v>447655.136</v>
      </c>
      <c r="M164" s="638">
        <f t="shared" ref="M164:AL164" si="311">SUM(M162:M163)</f>
        <v>79869.194615999993</v>
      </c>
      <c r="N164" s="639">
        <f t="shared" si="311"/>
        <v>527524.33061599999</v>
      </c>
      <c r="O164" s="168"/>
      <c r="P164" s="169"/>
      <c r="Q164" s="169"/>
      <c r="R164" s="637">
        <f t="shared" si="311"/>
        <v>517725.41871999996</v>
      </c>
      <c r="S164" s="638">
        <f t="shared" si="311"/>
        <v>52531.003150080003</v>
      </c>
      <c r="T164" s="639">
        <f t="shared" si="311"/>
        <v>570256.42187007994</v>
      </c>
      <c r="U164" s="168"/>
      <c r="V164" s="169"/>
      <c r="W164" s="169"/>
      <c r="X164" s="637">
        <f>SUM(X162:X163)</f>
        <v>414551.14326879999</v>
      </c>
      <c r="Y164" s="638">
        <f t="shared" si="311"/>
        <v>54587.574236083208</v>
      </c>
      <c r="Z164" s="639">
        <f t="shared" si="311"/>
        <v>469138.71750488324</v>
      </c>
      <c r="AA164" s="168"/>
      <c r="AB164" s="169"/>
      <c r="AC164" s="169"/>
      <c r="AD164" s="637">
        <f t="shared" si="311"/>
        <v>429936.22466955206</v>
      </c>
      <c r="AE164" s="638">
        <f t="shared" si="311"/>
        <v>56725.06809432654</v>
      </c>
      <c r="AF164" s="639">
        <f t="shared" si="311"/>
        <v>486661.29276387859</v>
      </c>
      <c r="AG164" s="168"/>
      <c r="AH164" s="169"/>
      <c r="AI164" s="169"/>
      <c r="AJ164" s="637">
        <f>SUM(AJ162:AJ163)</f>
        <v>324110.80768897047</v>
      </c>
      <c r="AK164" s="638">
        <f t="shared" si="311"/>
        <v>57092.870522679921</v>
      </c>
      <c r="AL164" s="639">
        <f t="shared" si="311"/>
        <v>381203.67821165035</v>
      </c>
      <c r="AM164" s="655">
        <f>AJ164+AD164+X164+R164+L164</f>
        <v>2133978.7303473223</v>
      </c>
      <c r="AN164" s="655">
        <f>AK164+AE164+Y164+S164+M164</f>
        <v>300805.71061916964</v>
      </c>
      <c r="AO164" s="109">
        <f>SUM(AM164:AN164)</f>
        <v>2434784.4409664921</v>
      </c>
      <c r="AQ164" s="16"/>
      <c r="AR164" s="38"/>
    </row>
    <row r="165" spans="1:44" x14ac:dyDescent="0.45">
      <c r="L165" s="38"/>
      <c r="M165" s="38"/>
      <c r="N165" s="38"/>
      <c r="R165" s="38"/>
      <c r="S165" s="38"/>
      <c r="T165" s="38"/>
      <c r="X165" s="38"/>
      <c r="Y165" s="38"/>
      <c r="Z165" s="38"/>
      <c r="AD165" s="38"/>
      <c r="AE165" s="38"/>
      <c r="AF165" s="38"/>
      <c r="AJ165" s="38"/>
      <c r="AK165" s="38"/>
      <c r="AL165" s="38"/>
      <c r="AM165" s="38"/>
      <c r="AN165" s="38"/>
      <c r="AO165" s="38"/>
    </row>
    <row r="166" spans="1:44" x14ac:dyDescent="0.45">
      <c r="L166" s="38"/>
      <c r="M166" s="38"/>
      <c r="N166" s="38"/>
      <c r="R166" s="38"/>
      <c r="S166" s="38"/>
      <c r="T166" s="38"/>
      <c r="X166" s="38"/>
      <c r="Y166" s="38"/>
      <c r="Z166" s="38"/>
      <c r="AD166" s="38"/>
      <c r="AE166" s="38"/>
      <c r="AF166" s="38"/>
      <c r="AJ166" s="38"/>
      <c r="AK166" s="38"/>
      <c r="AL166" s="38"/>
      <c r="AM166" s="38"/>
      <c r="AN166" s="38"/>
    </row>
    <row r="167" spans="1:44" x14ac:dyDescent="0.45">
      <c r="AJ167" s="38"/>
      <c r="AK167" s="38"/>
      <c r="AL167" s="38"/>
      <c r="AM167" s="14"/>
      <c r="AN167" s="14"/>
      <c r="AO167" s="14"/>
    </row>
    <row r="168" spans="1:44" x14ac:dyDescent="0.45">
      <c r="AJ168" s="38"/>
      <c r="AK168" s="38"/>
      <c r="AL168" s="38"/>
      <c r="AM168" s="14"/>
      <c r="AN168" s="38"/>
    </row>
    <row r="169" spans="1:44" x14ac:dyDescent="0.45">
      <c r="AJ169" s="38"/>
      <c r="AK169" s="38"/>
      <c r="AL169" s="38"/>
      <c r="AM169" s="38"/>
      <c r="AN169" s="38"/>
      <c r="AO169" s="38"/>
    </row>
    <row r="170" spans="1:44" x14ac:dyDescent="0.45">
      <c r="AM170" s="110"/>
    </row>
    <row r="172" spans="1:44" x14ac:dyDescent="0.45">
      <c r="AJ172" s="1" t="s">
        <v>329</v>
      </c>
      <c r="AM172" s="111"/>
    </row>
  </sheetData>
  <mergeCells count="13">
    <mergeCell ref="A10:A11"/>
    <mergeCell ref="B10:B11"/>
    <mergeCell ref="C10:C11"/>
    <mergeCell ref="D10:D11"/>
    <mergeCell ref="F10:F11"/>
    <mergeCell ref="G10:G11"/>
    <mergeCell ref="E10:E11"/>
    <mergeCell ref="U10:Z10"/>
    <mergeCell ref="H1:AO1"/>
    <mergeCell ref="H2:AO2"/>
    <mergeCell ref="H3:AO3"/>
    <mergeCell ref="H4:AO4"/>
    <mergeCell ref="G8:T8"/>
  </mergeCells>
  <phoneticPr fontId="5" type="noConversion"/>
  <pageMargins left="0.5" right="0.34" top="0.63" bottom="0.41" header="0.5" footer="0.5"/>
  <pageSetup paperSize="17" scale="60" fitToHeight="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D4BA-A27E-4BD3-AEC5-FA9858F9ACFA}">
  <sheetPr>
    <pageSetUpPr fitToPage="1"/>
  </sheetPr>
  <dimension ref="A1:DX41"/>
  <sheetViews>
    <sheetView zoomScale="9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D19" sqref="D19"/>
    </sheetView>
  </sheetViews>
  <sheetFormatPr defaultColWidth="9.5546875" defaultRowHeight="15" customHeight="1" x14ac:dyDescent="0.55000000000000004"/>
  <cols>
    <col min="1" max="1" width="18.71875" style="310" bestFit="1" customWidth="1"/>
    <col min="2" max="2" width="11.1640625" style="310" bestFit="1" customWidth="1"/>
    <col min="3" max="3" width="10" style="310" bestFit="1" customWidth="1"/>
    <col min="4" max="5" width="11.1640625" style="310" bestFit="1" customWidth="1"/>
    <col min="6" max="6" width="10" style="310" bestFit="1" customWidth="1"/>
    <col min="7" max="8" width="11.1640625" style="310" bestFit="1" customWidth="1"/>
    <col min="9" max="9" width="10" style="310" bestFit="1" customWidth="1"/>
    <col min="10" max="11" width="11.1640625" style="310" bestFit="1" customWidth="1"/>
    <col min="12" max="12" width="10" style="310" bestFit="1" customWidth="1"/>
    <col min="13" max="14" width="11.1640625" style="310" bestFit="1" customWidth="1"/>
    <col min="15" max="15" width="10" style="310" bestFit="1" customWidth="1"/>
    <col min="16" max="17" width="11.1640625" style="310" bestFit="1" customWidth="1"/>
    <col min="18" max="18" width="10" style="310" bestFit="1" customWidth="1"/>
    <col min="19" max="19" width="11.1640625" style="310" bestFit="1" customWidth="1"/>
    <col min="20" max="16384" width="9.5546875" style="310"/>
  </cols>
  <sheetData>
    <row r="1" spans="1:19" ht="15" customHeight="1" x14ac:dyDescent="0.55000000000000004">
      <c r="A1" s="309"/>
      <c r="B1" s="739" t="s">
        <v>605</v>
      </c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</row>
    <row r="2" spans="1:19" ht="15" customHeight="1" x14ac:dyDescent="0.55000000000000004">
      <c r="B2" s="740" t="s">
        <v>1</v>
      </c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</row>
    <row r="4" spans="1:19" ht="15" customHeight="1" x14ac:dyDescent="0.55000000000000004">
      <c r="A4" s="315" t="s">
        <v>2</v>
      </c>
      <c r="B4" s="753" t="s">
        <v>3</v>
      </c>
      <c r="C4" s="754"/>
      <c r="D4" s="755"/>
      <c r="E4" s="753" t="s">
        <v>4</v>
      </c>
      <c r="F4" s="754"/>
      <c r="G4" s="755"/>
      <c r="H4" s="753" t="s">
        <v>5</v>
      </c>
      <c r="I4" s="754"/>
      <c r="J4" s="755"/>
      <c r="K4" s="753" t="s">
        <v>6</v>
      </c>
      <c r="L4" s="754"/>
      <c r="M4" s="755"/>
      <c r="N4" s="753" t="s">
        <v>7</v>
      </c>
      <c r="O4" s="754"/>
      <c r="P4" s="755"/>
      <c r="Q4" s="506" t="s">
        <v>8</v>
      </c>
      <c r="R4" s="507" t="s">
        <v>9</v>
      </c>
      <c r="S4" s="507" t="s">
        <v>10</v>
      </c>
    </row>
    <row r="5" spans="1:19" ht="15" customHeight="1" thickBot="1" x14ac:dyDescent="0.6">
      <c r="A5" s="315"/>
      <c r="B5" s="316" t="s">
        <v>11</v>
      </c>
      <c r="C5" s="317" t="s">
        <v>12</v>
      </c>
      <c r="D5" s="318" t="s">
        <v>9</v>
      </c>
      <c r="E5" s="315" t="s">
        <v>11</v>
      </c>
      <c r="F5" s="315" t="s">
        <v>12</v>
      </c>
      <c r="G5" s="315" t="s">
        <v>9</v>
      </c>
      <c r="H5" s="318" t="s">
        <v>11</v>
      </c>
      <c r="I5" s="315" t="s">
        <v>12</v>
      </c>
      <c r="J5" s="315" t="s">
        <v>9</v>
      </c>
      <c r="K5" s="315" t="s">
        <v>11</v>
      </c>
      <c r="L5" s="315" t="s">
        <v>12</v>
      </c>
      <c r="M5" s="315" t="s">
        <v>9</v>
      </c>
      <c r="N5" s="315" t="s">
        <v>11</v>
      </c>
      <c r="O5" s="315" t="s">
        <v>12</v>
      </c>
      <c r="P5" s="315" t="s">
        <v>9</v>
      </c>
      <c r="Q5" s="319" t="s">
        <v>11</v>
      </c>
      <c r="R5" s="315" t="s">
        <v>12</v>
      </c>
      <c r="S5" s="320" t="s">
        <v>8</v>
      </c>
    </row>
    <row r="6" spans="1:19" ht="15" customHeight="1" x14ac:dyDescent="0.55000000000000004">
      <c r="A6" s="321"/>
      <c r="B6" s="322"/>
      <c r="C6" s="323"/>
      <c r="D6" s="324"/>
      <c r="E6" s="325"/>
      <c r="F6" s="326"/>
      <c r="G6" s="324"/>
      <c r="H6" s="326"/>
      <c r="I6" s="326"/>
      <c r="J6" s="324"/>
      <c r="K6" s="325"/>
      <c r="L6" s="326"/>
      <c r="M6" s="324"/>
      <c r="N6" s="325"/>
      <c r="O6" s="326"/>
      <c r="P6" s="324"/>
      <c r="Q6" s="327"/>
      <c r="R6" s="328"/>
      <c r="S6" s="327"/>
    </row>
    <row r="7" spans="1:19" ht="15" customHeight="1" x14ac:dyDescent="0.55000000000000004">
      <c r="A7" s="329" t="s">
        <v>13</v>
      </c>
      <c r="B7" s="614">
        <f>'Budget Fundacion Carvajal'!L43</f>
        <v>533897.91666666663</v>
      </c>
      <c r="C7" s="614">
        <f>'Budget Fundacion Carvajal'!M43</f>
        <v>10570.964285714286</v>
      </c>
      <c r="D7" s="614">
        <f>'Budget Fundacion Carvajal'!N43</f>
        <v>544468.88095238095</v>
      </c>
      <c r="E7" s="614">
        <f>'Budget Fundacion Carvajal'!R43</f>
        <v>642395</v>
      </c>
      <c r="F7" s="614">
        <f>'Budget Fundacion Carvajal'!S43</f>
        <v>13520.16342857143</v>
      </c>
      <c r="G7" s="614">
        <f>'Budget Fundacion Carvajal'!T43</f>
        <v>655915.16342857142</v>
      </c>
      <c r="H7" s="614">
        <f>'Budget Fundacion Carvajal'!X43</f>
        <v>668090.80000000005</v>
      </c>
      <c r="I7" s="614">
        <f>'Budget Fundacion Carvajal'!Y43</f>
        <v>14060.969965714285</v>
      </c>
      <c r="J7" s="614">
        <f>'Budget Fundacion Carvajal'!Z43</f>
        <v>682151.76996571431</v>
      </c>
      <c r="K7" s="614">
        <f>'Budget Fundacion Carvajal'!AD43</f>
        <v>694814.43200000003</v>
      </c>
      <c r="L7" s="614">
        <f>'Budget Fundacion Carvajal'!AE43</f>
        <v>14623.408764342857</v>
      </c>
      <c r="M7" s="614">
        <f>'Budget Fundacion Carvajal'!AF43</f>
        <v>709437.84076434281</v>
      </c>
      <c r="N7" s="614">
        <f>'Budget Fundacion Carvajal'!AJ43</f>
        <v>308478.29764266667</v>
      </c>
      <c r="O7" s="614">
        <f>'Budget Fundacion Carvajal'!AK43</f>
        <v>13376.785306916569</v>
      </c>
      <c r="P7" s="614">
        <f>'Budget Fundacion Carvajal'!AL43</f>
        <v>321855.08294958324</v>
      </c>
      <c r="Q7" s="614">
        <f>'Budget Fundacion Carvajal'!AM43</f>
        <v>2847676.4463093337</v>
      </c>
      <c r="R7" s="614">
        <f>'Budget Fundacion Carvajal'!AN43</f>
        <v>66152.291751259429</v>
      </c>
      <c r="S7" s="614">
        <f>'Budget Fundacion Carvajal'!AO43</f>
        <v>2913828.7380605927</v>
      </c>
    </row>
    <row r="8" spans="1:19" ht="15" customHeight="1" x14ac:dyDescent="0.55000000000000004">
      <c r="A8" s="331"/>
      <c r="B8" s="332"/>
      <c r="C8" s="333"/>
      <c r="D8" s="334"/>
      <c r="E8" s="332"/>
      <c r="F8" s="333"/>
      <c r="G8" s="334"/>
      <c r="H8" s="332"/>
      <c r="I8" s="333"/>
      <c r="J8" s="334"/>
      <c r="K8" s="332"/>
      <c r="L8" s="333"/>
      <c r="M8" s="334"/>
      <c r="N8" s="332"/>
      <c r="O8" s="333"/>
      <c r="P8" s="334"/>
      <c r="Q8" s="335"/>
      <c r="R8" s="335"/>
      <c r="S8" s="335"/>
    </row>
    <row r="9" spans="1:19" ht="15" customHeight="1" x14ac:dyDescent="0.55000000000000004">
      <c r="A9" s="336" t="s">
        <v>14</v>
      </c>
      <c r="B9" s="330">
        <f>'Budget Fundacion Carvajal'!L49</f>
        <v>241720.07670833333</v>
      </c>
      <c r="C9" s="330">
        <f>'Budget Fundacion Carvajal'!M49</f>
        <v>4654.6523407142859</v>
      </c>
      <c r="D9" s="330">
        <f>'Budget Fundacion Carvajal'!N49</f>
        <v>246374.72904904763</v>
      </c>
      <c r="E9" s="330">
        <f>'Budget Fundacion Carvajal'!R49</f>
        <v>291841.54090000002</v>
      </c>
      <c r="F9" s="330">
        <f>'Budget Fundacion Carvajal'!S49</f>
        <v>5939.5285132114295</v>
      </c>
      <c r="G9" s="330">
        <f>'Budget Fundacion Carvajal'!T49</f>
        <v>297781.06941321143</v>
      </c>
      <c r="H9" s="330">
        <f>'Budget Fundacion Carvajal'!X49</f>
        <v>303515.20253600006</v>
      </c>
      <c r="I9" s="330">
        <f>'Budget Fundacion Carvajal'!Y49</f>
        <v>6177.1096537398862</v>
      </c>
      <c r="J9" s="330">
        <f>'Budget Fundacion Carvajal'!Z49</f>
        <v>309692.3121897399</v>
      </c>
      <c r="K9" s="330">
        <f>'Budget Fundacion Carvajal'!AD49</f>
        <v>315655.81063744007</v>
      </c>
      <c r="L9" s="330">
        <f>'Budget Fundacion Carvajal'!AE49</f>
        <v>6424.1940398894812</v>
      </c>
      <c r="M9" s="330">
        <f>'Budget Fundacion Carvajal'!AF49</f>
        <v>322080.0046773295</v>
      </c>
      <c r="N9" s="330">
        <f>'Budget Fundacion Carvajal'!AJ49</f>
        <v>158057.53330839126</v>
      </c>
      <c r="O9" s="330">
        <f>'Budget Fundacion Carvajal'!AK49</f>
        <v>5899.6106643817002</v>
      </c>
      <c r="P9" s="330">
        <f>'Budget Fundacion Carvajal'!AL49</f>
        <v>163957.14397277293</v>
      </c>
      <c r="Q9" s="330">
        <f>'Budget Fundacion Carvajal'!AM49</f>
        <v>1310790.1640901647</v>
      </c>
      <c r="R9" s="330">
        <f>'Budget Fundacion Carvajal'!AN49</f>
        <v>29095.095211936779</v>
      </c>
      <c r="S9" s="330">
        <f>'Budget Fundacion Carvajal'!AO49</f>
        <v>1339885.2593021016</v>
      </c>
    </row>
    <row r="10" spans="1:19" ht="15" customHeight="1" x14ac:dyDescent="0.55000000000000004">
      <c r="A10" s="331"/>
      <c r="B10" s="332"/>
      <c r="C10" s="333"/>
      <c r="D10" s="334"/>
      <c r="E10" s="332"/>
      <c r="F10" s="333"/>
      <c r="G10" s="334"/>
      <c r="H10" s="332"/>
      <c r="I10" s="333"/>
      <c r="J10" s="334"/>
      <c r="K10" s="332"/>
      <c r="L10" s="333"/>
      <c r="M10" s="334"/>
      <c r="N10" s="332"/>
      <c r="O10" s="333"/>
      <c r="P10" s="334"/>
      <c r="Q10" s="335"/>
      <c r="R10" s="335"/>
      <c r="S10" s="335"/>
    </row>
    <row r="11" spans="1:19" ht="15" customHeight="1" x14ac:dyDescent="0.55000000000000004">
      <c r="A11" s="336" t="s">
        <v>15</v>
      </c>
      <c r="B11" s="330">
        <f>'Budget Fundacion Carvajal'!L100</f>
        <v>31565</v>
      </c>
      <c r="C11" s="330">
        <f>'Budget Fundacion Carvajal'!M100</f>
        <v>0</v>
      </c>
      <c r="D11" s="330">
        <f>'Budget Fundacion Carvajal'!N100</f>
        <v>31565</v>
      </c>
      <c r="E11" s="330">
        <f>'Budget Fundacion Carvajal'!R100</f>
        <v>41632.300000000003</v>
      </c>
      <c r="F11" s="330">
        <f>'Budget Fundacion Carvajal'!S100</f>
        <v>0</v>
      </c>
      <c r="G11" s="330">
        <f>'Budget Fundacion Carvajal'!T100</f>
        <v>41632.300000000003</v>
      </c>
      <c r="H11" s="330">
        <f>'Budget Fundacion Carvajal'!X100</f>
        <v>41549.653000000006</v>
      </c>
      <c r="I11" s="330">
        <f>'Budget Fundacion Carvajal'!Y100</f>
        <v>0</v>
      </c>
      <c r="J11" s="330">
        <f>'Budget Fundacion Carvajal'!Z100</f>
        <v>41549.653000000006</v>
      </c>
      <c r="K11" s="330">
        <f>'Budget Fundacion Carvajal'!AD100</f>
        <v>43657.961470000002</v>
      </c>
      <c r="L11" s="330">
        <f>'Budget Fundacion Carvajal'!AE100</f>
        <v>0</v>
      </c>
      <c r="M11" s="330">
        <f>'Budget Fundacion Carvajal'!AF100</f>
        <v>43657.961470000002</v>
      </c>
      <c r="N11" s="330">
        <f>'Budget Fundacion Carvajal'!AJ100</f>
        <v>30004.721260050006</v>
      </c>
      <c r="O11" s="330">
        <f>'Budget Fundacion Carvajal'!AK100</f>
        <v>0</v>
      </c>
      <c r="P11" s="330">
        <f>'Budget Fundacion Carvajal'!AL100</f>
        <v>30004.721260050006</v>
      </c>
      <c r="Q11" s="330">
        <f>'Budget Fundacion Carvajal'!AM100</f>
        <v>188409.63573005004</v>
      </c>
      <c r="R11" s="330">
        <f>'Budget Fundacion Carvajal'!AN100</f>
        <v>0</v>
      </c>
      <c r="S11" s="330">
        <f>'Budget Fundacion Carvajal'!AO100</f>
        <v>188409.63573005004</v>
      </c>
    </row>
    <row r="12" spans="1:19" ht="15" customHeight="1" x14ac:dyDescent="0.55000000000000004">
      <c r="A12" s="337"/>
      <c r="B12" s="332"/>
      <c r="C12" s="333"/>
      <c r="D12" s="334"/>
      <c r="E12" s="332"/>
      <c r="F12" s="333"/>
      <c r="G12" s="334"/>
      <c r="H12" s="332"/>
      <c r="I12" s="333"/>
      <c r="J12" s="334"/>
      <c r="K12" s="332"/>
      <c r="L12" s="333"/>
      <c r="M12" s="334"/>
      <c r="N12" s="332"/>
      <c r="O12" s="333"/>
      <c r="P12" s="334"/>
      <c r="Q12" s="335"/>
      <c r="R12" s="335"/>
      <c r="S12" s="335"/>
    </row>
    <row r="13" spans="1:19" ht="15" customHeight="1" x14ac:dyDescent="0.55000000000000004">
      <c r="A13" s="336" t="s">
        <v>16</v>
      </c>
      <c r="B13" s="330">
        <f>'Budget Fundacion Carvajal'!L106</f>
        <v>50000</v>
      </c>
      <c r="C13" s="330">
        <f>'Budget Fundacion Carvajal'!M106</f>
        <v>0</v>
      </c>
      <c r="D13" s="330">
        <f>'Budget Fundacion Carvajal'!N106</f>
        <v>50000</v>
      </c>
      <c r="E13" s="330">
        <f>'Budget Fundacion Carvajal'!R106</f>
        <v>0</v>
      </c>
      <c r="F13" s="330">
        <f>'Budget Fundacion Carvajal'!S106</f>
        <v>0</v>
      </c>
      <c r="G13" s="330">
        <f>'Budget Fundacion Carvajal'!T106</f>
        <v>0</v>
      </c>
      <c r="H13" s="330">
        <f>'Budget Fundacion Carvajal'!X106</f>
        <v>0</v>
      </c>
      <c r="I13" s="330">
        <f>'Budget Fundacion Carvajal'!Y106</f>
        <v>0</v>
      </c>
      <c r="J13" s="330">
        <f>'Budget Fundacion Carvajal'!Z106</f>
        <v>0</v>
      </c>
      <c r="K13" s="330">
        <f>'Budget Fundacion Carvajal'!AD106</f>
        <v>0</v>
      </c>
      <c r="L13" s="330">
        <f>'Budget Fundacion Carvajal'!AE106</f>
        <v>0</v>
      </c>
      <c r="M13" s="330">
        <f>'Budget Fundacion Carvajal'!AF106</f>
        <v>0</v>
      </c>
      <c r="N13" s="330">
        <f>'Budget Fundacion Carvajal'!AJ106</f>
        <v>0</v>
      </c>
      <c r="O13" s="330">
        <f>'Budget Fundacion Carvajal'!AK106</f>
        <v>0</v>
      </c>
      <c r="P13" s="330">
        <f>'Budget Fundacion Carvajal'!AL106</f>
        <v>0</v>
      </c>
      <c r="Q13" s="330">
        <f>'Budget Fundacion Carvajal'!AM106</f>
        <v>50000</v>
      </c>
      <c r="R13" s="330">
        <f>'Budget Fundacion Carvajal'!AN106</f>
        <v>0</v>
      </c>
      <c r="S13" s="330">
        <f>'Budget Fundacion Carvajal'!AO106</f>
        <v>50000</v>
      </c>
    </row>
    <row r="14" spans="1:19" ht="15" customHeight="1" x14ac:dyDescent="0.55000000000000004">
      <c r="A14" s="338"/>
      <c r="B14" s="332"/>
      <c r="C14" s="333"/>
      <c r="D14" s="334"/>
      <c r="E14" s="332"/>
      <c r="F14" s="333"/>
      <c r="G14" s="334"/>
      <c r="H14" s="332"/>
      <c r="I14" s="333"/>
      <c r="J14" s="334"/>
      <c r="K14" s="332"/>
      <c r="L14" s="333"/>
      <c r="M14" s="334"/>
      <c r="N14" s="332"/>
      <c r="O14" s="333"/>
      <c r="P14" s="334"/>
      <c r="Q14" s="335"/>
      <c r="R14" s="335"/>
      <c r="S14" s="335"/>
    </row>
    <row r="15" spans="1:19" ht="15" customHeight="1" x14ac:dyDescent="0.55000000000000004">
      <c r="A15" s="336" t="s">
        <v>17</v>
      </c>
      <c r="B15" s="330">
        <f>'Budget Fundacion Carvajal'!L114</f>
        <v>41854.69</v>
      </c>
      <c r="C15" s="330">
        <f>'Budget Fundacion Carvajal'!M114</f>
        <v>0</v>
      </c>
      <c r="D15" s="330">
        <f>'Budget Fundacion Carvajal'!N114</f>
        <v>41854.69</v>
      </c>
      <c r="E15" s="330">
        <f>'Budget Fundacion Carvajal'!R114</f>
        <v>9270</v>
      </c>
      <c r="F15" s="330">
        <f>'Budget Fundacion Carvajal'!S114</f>
        <v>0</v>
      </c>
      <c r="G15" s="330">
        <f>'Budget Fundacion Carvajal'!T114</f>
        <v>9270</v>
      </c>
      <c r="H15" s="330">
        <f>'Budget Fundacion Carvajal'!X114</f>
        <v>9548.1</v>
      </c>
      <c r="I15" s="330">
        <f>'Budget Fundacion Carvajal'!Y114</f>
        <v>0</v>
      </c>
      <c r="J15" s="330">
        <f>'Budget Fundacion Carvajal'!Z114</f>
        <v>9548.1</v>
      </c>
      <c r="K15" s="330">
        <f>'Budget Fundacion Carvajal'!AD114</f>
        <v>4917.2715000000007</v>
      </c>
      <c r="L15" s="330">
        <f>'Budget Fundacion Carvajal'!AE114</f>
        <v>0</v>
      </c>
      <c r="M15" s="330">
        <f>'Budget Fundacion Carvajal'!AF114</f>
        <v>4917.2715000000007</v>
      </c>
      <c r="N15" s="330">
        <f>'Budget Fundacion Carvajal'!AJ114</f>
        <v>3798.592233750001</v>
      </c>
      <c r="O15" s="330">
        <f>'Budget Fundacion Carvajal'!AK114</f>
        <v>0</v>
      </c>
      <c r="P15" s="330">
        <f>'Budget Fundacion Carvajal'!AL114</f>
        <v>3798.592233750001</v>
      </c>
      <c r="Q15" s="330">
        <f>'Budget Fundacion Carvajal'!AM114</f>
        <v>69388.653733750005</v>
      </c>
      <c r="R15" s="330">
        <f>'Budget Fundacion Carvajal'!AN114</f>
        <v>0</v>
      </c>
      <c r="S15" s="330">
        <f>'Budget Fundacion Carvajal'!AO114</f>
        <v>69388.653733750005</v>
      </c>
    </row>
    <row r="16" spans="1:19" ht="15" customHeight="1" x14ac:dyDescent="0.55000000000000004">
      <c r="A16" s="338"/>
      <c r="B16" s="332"/>
      <c r="C16" s="333"/>
      <c r="D16" s="334"/>
      <c r="E16" s="332"/>
      <c r="F16" s="333"/>
      <c r="G16" s="334"/>
      <c r="H16" s="332"/>
      <c r="I16" s="333"/>
      <c r="J16" s="334"/>
      <c r="K16" s="332"/>
      <c r="L16" s="333"/>
      <c r="M16" s="334"/>
      <c r="N16" s="332"/>
      <c r="O16" s="333"/>
      <c r="P16" s="334"/>
      <c r="Q16" s="335"/>
      <c r="R16" s="335"/>
      <c r="S16" s="335"/>
    </row>
    <row r="17" spans="1:128" ht="15" customHeight="1" x14ac:dyDescent="0.55000000000000004">
      <c r="A17" s="336" t="s">
        <v>18</v>
      </c>
      <c r="B17" s="330">
        <f>'Budget Fundacion Carvajal'!L131</f>
        <v>304200</v>
      </c>
      <c r="C17" s="330">
        <f>'Budget Fundacion Carvajal'!M131</f>
        <v>0</v>
      </c>
      <c r="D17" s="330">
        <f>'Budget Fundacion Carvajal'!N131</f>
        <v>304200</v>
      </c>
      <c r="E17" s="330">
        <f>'Budget Fundacion Carvajal'!R131</f>
        <v>760805</v>
      </c>
      <c r="F17" s="330">
        <f>'Budget Fundacion Carvajal'!S131</f>
        <v>0</v>
      </c>
      <c r="G17" s="330">
        <f>'Budget Fundacion Carvajal'!T131</f>
        <v>760805</v>
      </c>
      <c r="H17" s="330">
        <f>'Budget Fundacion Carvajal'!X131</f>
        <v>683400</v>
      </c>
      <c r="I17" s="330">
        <f>'Budget Fundacion Carvajal'!Y131</f>
        <v>0</v>
      </c>
      <c r="J17" s="330">
        <f>'Budget Fundacion Carvajal'!Z131</f>
        <v>683400</v>
      </c>
      <c r="K17" s="330">
        <f>'Budget Fundacion Carvajal'!AD131</f>
        <v>683400</v>
      </c>
      <c r="L17" s="330">
        <f>'Budget Fundacion Carvajal'!AE131</f>
        <v>0</v>
      </c>
      <c r="M17" s="330">
        <f>'Budget Fundacion Carvajal'!AF131</f>
        <v>683400</v>
      </c>
      <c r="N17" s="330">
        <f>'Budget Fundacion Carvajal'!AJ131</f>
        <v>681300</v>
      </c>
      <c r="O17" s="330">
        <f>'Budget Fundacion Carvajal'!AK131</f>
        <v>0</v>
      </c>
      <c r="P17" s="330">
        <f>'Budget Fundacion Carvajal'!AL131</f>
        <v>681300</v>
      </c>
      <c r="Q17" s="330">
        <f>'Budget Fundacion Carvajal'!AM131</f>
        <v>3113105</v>
      </c>
      <c r="R17" s="330">
        <f>'Budget Fundacion Carvajal'!AN131</f>
        <v>0</v>
      </c>
      <c r="S17" s="330">
        <f>'Budget Fundacion Carvajal'!AO131</f>
        <v>3113105</v>
      </c>
    </row>
    <row r="18" spans="1:128" ht="15" customHeight="1" x14ac:dyDescent="0.55000000000000004">
      <c r="A18" s="331"/>
      <c r="B18" s="332"/>
      <c r="C18" s="333"/>
      <c r="D18" s="334"/>
      <c r="E18" s="332"/>
      <c r="F18" s="333"/>
      <c r="G18" s="334"/>
      <c r="H18" s="332"/>
      <c r="I18" s="333"/>
      <c r="J18" s="334"/>
      <c r="K18" s="332"/>
      <c r="L18" s="333"/>
      <c r="M18" s="334"/>
      <c r="N18" s="332"/>
      <c r="O18" s="333"/>
      <c r="P18" s="334"/>
      <c r="Q18" s="335"/>
      <c r="R18" s="335"/>
      <c r="S18" s="335"/>
    </row>
    <row r="19" spans="1:128" ht="15" customHeight="1" x14ac:dyDescent="0.55000000000000004">
      <c r="A19" s="339" t="s">
        <v>19</v>
      </c>
      <c r="B19" s="330">
        <f>'Budget Fundacion Carvajal'!L171</f>
        <v>131800</v>
      </c>
      <c r="C19" s="330">
        <f>'Budget Fundacion Carvajal'!M171</f>
        <v>35325</v>
      </c>
      <c r="D19" s="330">
        <f>'Budget Fundacion Carvajal'!N171</f>
        <v>167125</v>
      </c>
      <c r="E19" s="330">
        <f>'Budget Fundacion Carvajal'!R171</f>
        <v>135233.79999999999</v>
      </c>
      <c r="F19" s="330">
        <f>'Budget Fundacion Carvajal'!S171</f>
        <v>43720</v>
      </c>
      <c r="G19" s="330">
        <f>'Budget Fundacion Carvajal'!T171</f>
        <v>178953.8</v>
      </c>
      <c r="H19" s="330">
        <f>'Budget Fundacion Carvajal'!X171</f>
        <v>151369.21200000003</v>
      </c>
      <c r="I19" s="330">
        <f>'Budget Fundacion Carvajal'!Y171</f>
        <v>36542.700500000006</v>
      </c>
      <c r="J19" s="330">
        <f>'Budget Fundacion Carvajal'!Z171</f>
        <v>187911.91250000006</v>
      </c>
      <c r="K19" s="330">
        <f>'Budget Fundacion Carvajal'!AD171</f>
        <v>155975.85198000001</v>
      </c>
      <c r="L19" s="330">
        <f>'Budget Fundacion Carvajal'!AE171</f>
        <v>37638.981515000007</v>
      </c>
      <c r="M19" s="330">
        <f>'Budget Fundacion Carvajal'!AF171</f>
        <v>193614.83349500006</v>
      </c>
      <c r="N19" s="330">
        <f>'Budget Fundacion Carvajal'!AJ171</f>
        <v>20129.725066849998</v>
      </c>
      <c r="O19" s="330">
        <f>'Budget Fundacion Carvajal'!AK171</f>
        <v>38768.150960450002</v>
      </c>
      <c r="P19" s="330">
        <f>'Budget Fundacion Carvajal'!AL171</f>
        <v>58897.876027300001</v>
      </c>
      <c r="Q19" s="330">
        <f>'Budget Fundacion Carvajal'!AM171</f>
        <v>594508.58904684987</v>
      </c>
      <c r="R19" s="330">
        <f>'Budget Fundacion Carvajal'!AN171</f>
        <v>191994.83297545003</v>
      </c>
      <c r="S19" s="330">
        <f>'Budget Fundacion Carvajal'!AO171</f>
        <v>786503.42202229972</v>
      </c>
    </row>
    <row r="20" spans="1:128" ht="15" customHeight="1" x14ac:dyDescent="0.55000000000000004">
      <c r="A20" s="340"/>
      <c r="B20" s="341"/>
      <c r="C20" s="342"/>
      <c r="D20" s="343"/>
      <c r="E20" s="341"/>
      <c r="F20" s="342"/>
      <c r="G20" s="343"/>
      <c r="H20" s="341"/>
      <c r="I20" s="342"/>
      <c r="J20" s="343"/>
      <c r="K20" s="341"/>
      <c r="L20" s="342"/>
      <c r="M20" s="343"/>
      <c r="N20" s="332"/>
      <c r="O20" s="333"/>
      <c r="P20" s="334"/>
      <c r="Q20" s="335"/>
      <c r="R20" s="335"/>
      <c r="S20" s="335"/>
    </row>
    <row r="21" spans="1:128" s="345" customFormat="1" ht="15" customHeight="1" x14ac:dyDescent="0.5">
      <c r="A21" s="344" t="s">
        <v>20</v>
      </c>
      <c r="B21" s="640">
        <f>SUM(B7:B20)</f>
        <v>1335037.683375</v>
      </c>
      <c r="C21" s="640">
        <f t="shared" ref="C21:S21" si="0">SUM(C7:C20)</f>
        <v>50550.616626428571</v>
      </c>
      <c r="D21" s="640">
        <f t="shared" si="0"/>
        <v>1385588.3000014285</v>
      </c>
      <c r="E21" s="640">
        <f t="shared" si="0"/>
        <v>1881177.6409000002</v>
      </c>
      <c r="F21" s="640">
        <f t="shared" si="0"/>
        <v>63179.691941782861</v>
      </c>
      <c r="G21" s="640">
        <f t="shared" si="0"/>
        <v>1944357.3328417831</v>
      </c>
      <c r="H21" s="640">
        <f t="shared" si="0"/>
        <v>1857472.9675360003</v>
      </c>
      <c r="I21" s="640">
        <f t="shared" si="0"/>
        <v>56780.780119454175</v>
      </c>
      <c r="J21" s="640">
        <f t="shared" si="0"/>
        <v>1914253.7476554543</v>
      </c>
      <c r="K21" s="640">
        <f t="shared" si="0"/>
        <v>1898421.3275874401</v>
      </c>
      <c r="L21" s="640">
        <f t="shared" si="0"/>
        <v>58686.584319232345</v>
      </c>
      <c r="M21" s="640">
        <f t="shared" si="0"/>
        <v>1957107.9119066724</v>
      </c>
      <c r="N21" s="640">
        <f t="shared" si="0"/>
        <v>1201768.8695117079</v>
      </c>
      <c r="O21" s="640">
        <f t="shared" si="0"/>
        <v>58044.546931748271</v>
      </c>
      <c r="P21" s="640">
        <f t="shared" si="0"/>
        <v>1259813.4164434562</v>
      </c>
      <c r="Q21" s="640">
        <f t="shared" si="0"/>
        <v>8173878.4889101479</v>
      </c>
      <c r="R21" s="640">
        <f t="shared" si="0"/>
        <v>287242.21993864625</v>
      </c>
      <c r="S21" s="640">
        <f t="shared" si="0"/>
        <v>8461120.7088487931</v>
      </c>
      <c r="T21" s="309"/>
      <c r="U21" s="309"/>
      <c r="V21" s="309"/>
      <c r="W21" s="309"/>
      <c r="X21" s="309"/>
      <c r="Y21" s="309"/>
      <c r="Z21" s="309"/>
      <c r="AA21" s="309"/>
      <c r="AB21" s="309"/>
      <c r="AC21" s="309"/>
      <c r="AD21" s="309"/>
      <c r="AE21" s="309"/>
      <c r="AF21" s="309"/>
      <c r="AG21" s="309"/>
      <c r="AH21" s="309"/>
      <c r="AI21" s="309"/>
      <c r="AJ21" s="309"/>
      <c r="AK21" s="309"/>
      <c r="AL21" s="309"/>
      <c r="AM21" s="309"/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09"/>
      <c r="BK21" s="309"/>
      <c r="BL21" s="309"/>
      <c r="BM21" s="309"/>
      <c r="BN21" s="309"/>
      <c r="BO21" s="309"/>
      <c r="BP21" s="309"/>
      <c r="BQ21" s="309"/>
      <c r="BR21" s="309"/>
      <c r="BS21" s="309"/>
      <c r="BT21" s="309"/>
      <c r="BU21" s="309"/>
      <c r="BV21" s="309"/>
      <c r="BW21" s="309"/>
      <c r="BX21" s="309"/>
      <c r="BY21" s="309"/>
      <c r="BZ21" s="309"/>
      <c r="CA21" s="309"/>
      <c r="CB21" s="309"/>
      <c r="CC21" s="309"/>
      <c r="CD21" s="309"/>
      <c r="CE21" s="309"/>
      <c r="CF21" s="309"/>
      <c r="CG21" s="309"/>
      <c r="CH21" s="309"/>
      <c r="CI21" s="309"/>
      <c r="CJ21" s="309"/>
      <c r="CK21" s="309"/>
      <c r="CL21" s="309"/>
      <c r="CM21" s="309"/>
      <c r="CN21" s="309"/>
      <c r="CO21" s="309"/>
      <c r="CP21" s="309"/>
      <c r="CQ21" s="309"/>
      <c r="CR21" s="309"/>
      <c r="CS21" s="309"/>
      <c r="CT21" s="309"/>
      <c r="CU21" s="309"/>
      <c r="CV21" s="309"/>
      <c r="CW21" s="309"/>
      <c r="CX21" s="309"/>
      <c r="CY21" s="309"/>
      <c r="CZ21" s="309"/>
      <c r="DA21" s="309"/>
      <c r="DB21" s="309"/>
      <c r="DC21" s="309"/>
      <c r="DD21" s="309"/>
      <c r="DE21" s="309"/>
      <c r="DF21" s="309"/>
      <c r="DG21" s="309"/>
      <c r="DH21" s="309"/>
      <c r="DI21" s="309"/>
      <c r="DJ21" s="309"/>
      <c r="DK21" s="309"/>
      <c r="DL21" s="309"/>
      <c r="DM21" s="309"/>
      <c r="DN21" s="309"/>
      <c r="DO21" s="309"/>
      <c r="DP21" s="309"/>
      <c r="DQ21" s="309"/>
      <c r="DR21" s="309"/>
      <c r="DS21" s="309"/>
      <c r="DT21" s="309"/>
      <c r="DU21" s="309"/>
      <c r="DV21" s="309"/>
      <c r="DW21" s="309"/>
      <c r="DX21" s="309"/>
    </row>
    <row r="22" spans="1:128" s="345" customFormat="1" ht="15" customHeight="1" x14ac:dyDescent="0.5">
      <c r="A22" s="345" t="s">
        <v>21</v>
      </c>
      <c r="B22" s="641">
        <f>'Budget Fundacion Carvajal'!L174</f>
        <v>98503.768337500005</v>
      </c>
      <c r="C22" s="641">
        <f>'Budget Fundacion Carvajal'!M174</f>
        <v>5055.0616626428573</v>
      </c>
      <c r="D22" s="641">
        <f>'Budget Fundacion Carvajal'!N174</f>
        <v>103558.83000014286</v>
      </c>
      <c r="E22" s="641">
        <f>'Budget Fundacion Carvajal'!R174</f>
        <v>120617.76409000001</v>
      </c>
      <c r="F22" s="641">
        <f>'Budget Fundacion Carvajal'!S174</f>
        <v>6317.9691941782867</v>
      </c>
      <c r="G22" s="641">
        <f>'Budget Fundacion Carvajal'!T174</f>
        <v>126935.73328417829</v>
      </c>
      <c r="H22" s="641">
        <f>'Budget Fundacion Carvajal'!X174</f>
        <v>118247.29675360004</v>
      </c>
      <c r="I22" s="641">
        <f>'Budget Fundacion Carvajal'!Y174</f>
        <v>5678.0780119454175</v>
      </c>
      <c r="J22" s="641">
        <f>'Budget Fundacion Carvajal'!Z174</f>
        <v>123925.37476554545</v>
      </c>
      <c r="K22" s="641">
        <f>'Budget Fundacion Carvajal'!AD174</f>
        <v>122342.13275874402</v>
      </c>
      <c r="L22" s="641">
        <f>'Budget Fundacion Carvajal'!AE174</f>
        <v>5868.6584319232352</v>
      </c>
      <c r="M22" s="641">
        <f>'Budget Fundacion Carvajal'!AF174</f>
        <v>128210.79119066725</v>
      </c>
      <c r="N22" s="641">
        <f>'Budget Fundacion Carvajal'!AJ174</f>
        <v>52676.886951170796</v>
      </c>
      <c r="O22" s="641">
        <f>'Budget Fundacion Carvajal'!AK174</f>
        <v>5804.4546931748282</v>
      </c>
      <c r="P22" s="641">
        <f>'Budget Fundacion Carvajal'!AL174</f>
        <v>58481.341644345623</v>
      </c>
      <c r="Q22" s="641">
        <f>'Budget Fundacion Carvajal'!AM174</f>
        <v>512387.84889101482</v>
      </c>
      <c r="R22" s="641">
        <f>'Budget Fundacion Carvajal'!AN174</f>
        <v>28724.221993864627</v>
      </c>
      <c r="S22" s="641">
        <f>'Budget Fundacion Carvajal'!AO174</f>
        <v>541112.07088487945</v>
      </c>
      <c r="T22" s="309"/>
      <c r="U22" s="309"/>
      <c r="V22" s="309"/>
      <c r="W22" s="309"/>
      <c r="X22" s="309"/>
      <c r="Y22" s="309"/>
      <c r="Z22" s="309"/>
      <c r="AA22" s="309"/>
      <c r="AB22" s="309"/>
      <c r="AC22" s="309"/>
      <c r="AD22" s="309"/>
      <c r="AE22" s="309"/>
      <c r="AF22" s="309"/>
      <c r="AG22" s="309"/>
      <c r="AH22" s="309"/>
      <c r="AI22" s="309"/>
      <c r="AJ22" s="309"/>
      <c r="AK22" s="309"/>
      <c r="AL22" s="309"/>
      <c r="AM22" s="309"/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09"/>
      <c r="BK22" s="309"/>
      <c r="BL22" s="309"/>
      <c r="BM22" s="309"/>
      <c r="BN22" s="309"/>
      <c r="BO22" s="309"/>
      <c r="BP22" s="309"/>
      <c r="BQ22" s="309"/>
      <c r="BR22" s="309"/>
      <c r="BS22" s="309"/>
      <c r="BT22" s="309"/>
      <c r="BU22" s="309"/>
      <c r="BV22" s="309"/>
      <c r="BW22" s="309"/>
      <c r="BX22" s="309"/>
      <c r="BY22" s="309"/>
      <c r="BZ22" s="309"/>
      <c r="CA22" s="309"/>
      <c r="CB22" s="309"/>
      <c r="CC22" s="309"/>
      <c r="CD22" s="309"/>
      <c r="CE22" s="309"/>
      <c r="CF22" s="309"/>
      <c r="CG22" s="309"/>
      <c r="CH22" s="309"/>
      <c r="CI22" s="309"/>
      <c r="CJ22" s="309"/>
      <c r="CK22" s="309"/>
      <c r="CL22" s="309"/>
      <c r="CM22" s="309"/>
      <c r="CN22" s="309"/>
      <c r="CO22" s="309"/>
      <c r="CP22" s="309"/>
      <c r="CQ22" s="309"/>
      <c r="CR22" s="309"/>
      <c r="CS22" s="309"/>
      <c r="CT22" s="309"/>
      <c r="CU22" s="309"/>
      <c r="CV22" s="309"/>
      <c r="CW22" s="309"/>
      <c r="CX22" s="309"/>
      <c r="CY22" s="309"/>
      <c r="CZ22" s="309"/>
      <c r="DA22" s="309"/>
      <c r="DB22" s="309"/>
      <c r="DC22" s="309"/>
      <c r="DD22" s="309"/>
      <c r="DE22" s="309"/>
      <c r="DF22" s="309"/>
      <c r="DG22" s="309"/>
      <c r="DH22" s="309"/>
      <c r="DI22" s="309"/>
      <c r="DJ22" s="309"/>
      <c r="DK22" s="309"/>
      <c r="DL22" s="309"/>
      <c r="DM22" s="309"/>
      <c r="DN22" s="309"/>
      <c r="DO22" s="309"/>
      <c r="DP22" s="309"/>
      <c r="DQ22" s="309"/>
      <c r="DR22" s="309"/>
      <c r="DS22" s="309"/>
      <c r="DT22" s="309"/>
      <c r="DU22" s="309"/>
      <c r="DV22" s="309"/>
      <c r="DW22" s="309"/>
      <c r="DX22" s="309"/>
    </row>
    <row r="23" spans="1:128" s="346" customFormat="1" ht="15" customHeight="1" x14ac:dyDescent="0.55000000000000004">
      <c r="A23" s="344" t="s">
        <v>8</v>
      </c>
      <c r="B23" s="642">
        <f>B21+B22</f>
        <v>1433541.4517125001</v>
      </c>
      <c r="C23" s="642">
        <f>C21+C22</f>
        <v>55605.678289071431</v>
      </c>
      <c r="D23" s="642">
        <f>D21+D22</f>
        <v>1489147.1300015713</v>
      </c>
      <c r="E23" s="642">
        <f>E21+E22</f>
        <v>2001795.4049900002</v>
      </c>
      <c r="F23" s="642">
        <f t="shared" ref="F23:R23" si="1">F21+F22</f>
        <v>69497.661135961142</v>
      </c>
      <c r="G23" s="642">
        <f t="shared" si="1"/>
        <v>2071293.0661259613</v>
      </c>
      <c r="H23" s="642">
        <f t="shared" si="1"/>
        <v>1975720.2642896003</v>
      </c>
      <c r="I23" s="642">
        <f t="shared" si="1"/>
        <v>62458.858131399596</v>
      </c>
      <c r="J23" s="642">
        <f t="shared" si="1"/>
        <v>2038179.1224209997</v>
      </c>
      <c r="K23" s="642">
        <f t="shared" si="1"/>
        <v>2020763.4603461842</v>
      </c>
      <c r="L23" s="642">
        <f t="shared" si="1"/>
        <v>64555.24275115558</v>
      </c>
      <c r="M23" s="642">
        <f t="shared" si="1"/>
        <v>2085318.7030973397</v>
      </c>
      <c r="N23" s="642">
        <f t="shared" si="1"/>
        <v>1254445.7564628788</v>
      </c>
      <c r="O23" s="642">
        <f t="shared" si="1"/>
        <v>63849.001624923098</v>
      </c>
      <c r="P23" s="642">
        <f t="shared" si="1"/>
        <v>1318294.7580878017</v>
      </c>
      <c r="Q23" s="642">
        <f t="shared" si="1"/>
        <v>8686266.3378011622</v>
      </c>
      <c r="R23" s="642">
        <f t="shared" si="1"/>
        <v>315966.44193251088</v>
      </c>
      <c r="S23" s="642">
        <f>S21+S22</f>
        <v>9002232.7797336727</v>
      </c>
      <c r="T23" s="310"/>
      <c r="U23" s="310"/>
      <c r="V23" s="310"/>
      <c r="W23" s="310"/>
      <c r="X23" s="310"/>
      <c r="Y23" s="310"/>
      <c r="Z23" s="310"/>
      <c r="AA23" s="310"/>
      <c r="AB23" s="310"/>
      <c r="AC23" s="310"/>
      <c r="AD23" s="310"/>
      <c r="AE23" s="310"/>
      <c r="AF23" s="310"/>
      <c r="AG23" s="310"/>
      <c r="AH23" s="310"/>
      <c r="AI23" s="310"/>
      <c r="AJ23" s="310"/>
      <c r="AK23" s="310"/>
      <c r="AL23" s="310"/>
      <c r="AM23" s="310"/>
      <c r="AN23" s="310"/>
      <c r="AO23" s="310"/>
      <c r="AP23" s="310"/>
      <c r="AQ23" s="310"/>
      <c r="AR23" s="310"/>
      <c r="AS23" s="310"/>
      <c r="AT23" s="310"/>
      <c r="AU23" s="310"/>
      <c r="AV23" s="310"/>
      <c r="AW23" s="310"/>
      <c r="AX23" s="310"/>
      <c r="AY23" s="310"/>
      <c r="AZ23" s="310"/>
      <c r="BA23" s="310"/>
      <c r="BB23" s="310"/>
      <c r="BC23" s="310"/>
      <c r="BD23" s="310"/>
      <c r="BE23" s="310"/>
      <c r="BF23" s="310"/>
      <c r="BG23" s="310"/>
      <c r="BH23" s="310"/>
      <c r="BI23" s="310"/>
      <c r="BJ23" s="310"/>
      <c r="BK23" s="310"/>
      <c r="BL23" s="310"/>
      <c r="BM23" s="310"/>
      <c r="BN23" s="310"/>
      <c r="BO23" s="310"/>
      <c r="BP23" s="310"/>
      <c r="BQ23" s="310"/>
      <c r="BR23" s="310"/>
      <c r="BS23" s="310"/>
      <c r="BT23" s="310"/>
      <c r="BU23" s="310"/>
      <c r="BV23" s="310"/>
      <c r="BW23" s="310"/>
      <c r="BX23" s="310"/>
      <c r="BY23" s="310"/>
      <c r="BZ23" s="310"/>
      <c r="CA23" s="310"/>
      <c r="CB23" s="310"/>
      <c r="CC23" s="310"/>
      <c r="CD23" s="310"/>
      <c r="CE23" s="310"/>
      <c r="CF23" s="310"/>
      <c r="CG23" s="310"/>
      <c r="CH23" s="310"/>
      <c r="CI23" s="310"/>
      <c r="CJ23" s="310"/>
      <c r="CK23" s="310"/>
      <c r="CL23" s="310"/>
      <c r="CM23" s="310"/>
      <c r="CN23" s="310"/>
      <c r="CO23" s="310"/>
      <c r="CP23" s="310"/>
      <c r="CQ23" s="310"/>
      <c r="CR23" s="310"/>
      <c r="CS23" s="310"/>
      <c r="CT23" s="310"/>
      <c r="CU23" s="310"/>
      <c r="CV23" s="310"/>
      <c r="CW23" s="310"/>
      <c r="CX23" s="310"/>
      <c r="CY23" s="310"/>
      <c r="CZ23" s="310"/>
      <c r="DA23" s="310"/>
      <c r="DB23" s="310"/>
      <c r="DC23" s="310"/>
      <c r="DD23" s="310"/>
      <c r="DE23" s="310"/>
      <c r="DF23" s="310"/>
      <c r="DG23" s="310"/>
      <c r="DH23" s="310"/>
      <c r="DI23" s="310"/>
      <c r="DJ23" s="310"/>
      <c r="DK23" s="310"/>
      <c r="DL23" s="310"/>
      <c r="DM23" s="310"/>
      <c r="DN23" s="310"/>
      <c r="DO23" s="310"/>
      <c r="DP23" s="310"/>
      <c r="DQ23" s="310"/>
      <c r="DR23" s="310"/>
      <c r="DS23" s="310"/>
      <c r="DT23" s="310"/>
      <c r="DU23" s="310"/>
      <c r="DV23" s="310"/>
      <c r="DW23" s="310"/>
      <c r="DX23" s="310"/>
    </row>
    <row r="24" spans="1:128" s="347" customFormat="1" ht="15" customHeight="1" x14ac:dyDescent="0.55000000000000004">
      <c r="B24" s="348"/>
      <c r="C24" s="348"/>
      <c r="D24" s="348"/>
      <c r="E24" s="348"/>
      <c r="F24" s="348"/>
      <c r="G24" s="348"/>
      <c r="H24" s="348"/>
      <c r="I24" s="348"/>
      <c r="J24" s="348"/>
      <c r="K24" s="348"/>
      <c r="L24" s="348"/>
      <c r="M24" s="348"/>
      <c r="N24" s="348"/>
      <c r="O24" s="348"/>
      <c r="P24" s="348"/>
      <c r="Q24" s="348"/>
      <c r="R24" s="348"/>
      <c r="S24" s="348"/>
      <c r="T24" s="310"/>
      <c r="U24" s="310"/>
      <c r="V24" s="310"/>
      <c r="W24" s="310"/>
      <c r="X24" s="310"/>
      <c r="Y24" s="310"/>
      <c r="Z24" s="310"/>
      <c r="AA24" s="310"/>
      <c r="AB24" s="310"/>
      <c r="AC24" s="310"/>
      <c r="AD24" s="310"/>
      <c r="AE24" s="310"/>
      <c r="AF24" s="310"/>
      <c r="AG24" s="310"/>
      <c r="AH24" s="310"/>
      <c r="AI24" s="310"/>
      <c r="AJ24" s="310"/>
      <c r="AK24" s="310"/>
      <c r="AL24" s="310"/>
      <c r="AM24" s="310"/>
      <c r="AN24" s="310"/>
      <c r="AO24" s="310"/>
      <c r="AP24" s="310"/>
      <c r="AQ24" s="310"/>
      <c r="AR24" s="310"/>
      <c r="AS24" s="310"/>
      <c r="AT24" s="310"/>
      <c r="AU24" s="310"/>
      <c r="AV24" s="310"/>
      <c r="AW24" s="310"/>
      <c r="AX24" s="310"/>
      <c r="AY24" s="310"/>
      <c r="AZ24" s="310"/>
      <c r="BA24" s="310"/>
      <c r="BB24" s="310"/>
      <c r="BC24" s="310"/>
      <c r="BD24" s="310"/>
      <c r="BE24" s="310"/>
      <c r="BF24" s="310"/>
      <c r="BG24" s="310"/>
      <c r="BH24" s="310"/>
      <c r="BI24" s="310"/>
      <c r="BJ24" s="310"/>
      <c r="BK24" s="310"/>
      <c r="BL24" s="310"/>
      <c r="BM24" s="310"/>
      <c r="BN24" s="310"/>
      <c r="BO24" s="310"/>
      <c r="BP24" s="310"/>
      <c r="BQ24" s="310"/>
      <c r="BR24" s="310"/>
      <c r="BS24" s="310"/>
      <c r="BT24" s="310"/>
      <c r="BU24" s="310"/>
      <c r="BV24" s="310"/>
      <c r="BW24" s="310"/>
      <c r="BX24" s="310"/>
      <c r="BY24" s="310"/>
      <c r="BZ24" s="310"/>
      <c r="CA24" s="310"/>
      <c r="CB24" s="310"/>
      <c r="CC24" s="310"/>
      <c r="CD24" s="310"/>
      <c r="CE24" s="310"/>
      <c r="CF24" s="310"/>
      <c r="CG24" s="310"/>
      <c r="CH24" s="310"/>
      <c r="CI24" s="310"/>
      <c r="CJ24" s="310"/>
      <c r="CK24" s="310"/>
      <c r="CL24" s="310"/>
      <c r="CM24" s="310"/>
      <c r="CN24" s="310"/>
      <c r="CO24" s="310"/>
      <c r="CP24" s="310"/>
      <c r="CQ24" s="310"/>
      <c r="CR24" s="310"/>
      <c r="CS24" s="310"/>
      <c r="CT24" s="310"/>
      <c r="CU24" s="310"/>
      <c r="CV24" s="310"/>
      <c r="CW24" s="310"/>
      <c r="CX24" s="310"/>
      <c r="CY24" s="310"/>
      <c r="CZ24" s="310"/>
      <c r="DA24" s="310"/>
      <c r="DB24" s="310"/>
      <c r="DC24" s="310"/>
      <c r="DD24" s="310"/>
      <c r="DE24" s="310"/>
      <c r="DF24" s="310"/>
      <c r="DG24" s="310"/>
      <c r="DH24" s="310"/>
      <c r="DI24" s="310"/>
      <c r="DJ24" s="310"/>
      <c r="DK24" s="310"/>
      <c r="DL24" s="310"/>
      <c r="DM24" s="310"/>
      <c r="DN24" s="310"/>
      <c r="DO24" s="310"/>
      <c r="DP24" s="310"/>
      <c r="DQ24" s="310"/>
      <c r="DR24" s="310"/>
      <c r="DS24" s="310"/>
      <c r="DT24" s="310"/>
      <c r="DU24" s="310"/>
      <c r="DV24" s="310"/>
      <c r="DW24" s="310"/>
      <c r="DX24" s="310"/>
    </row>
    <row r="25" spans="1:128" ht="15" customHeight="1" x14ac:dyDescent="0.55000000000000004">
      <c r="B25" s="333"/>
      <c r="C25" s="333"/>
      <c r="D25" s="333"/>
      <c r="E25" s="333"/>
      <c r="F25" s="333"/>
      <c r="G25" s="333"/>
      <c r="H25" s="333"/>
      <c r="I25" s="333"/>
      <c r="J25" s="333"/>
      <c r="K25" s="333"/>
      <c r="L25" s="333"/>
      <c r="M25" s="333"/>
      <c r="N25" s="333"/>
      <c r="O25" s="333"/>
      <c r="P25" s="333"/>
      <c r="Q25" s="333"/>
      <c r="R25" s="333"/>
      <c r="S25" s="333"/>
    </row>
    <row r="26" spans="1:128" ht="15" customHeight="1" x14ac:dyDescent="0.55000000000000004">
      <c r="B26" s="333"/>
      <c r="C26" s="333"/>
      <c r="D26" s="333"/>
      <c r="E26" s="333"/>
      <c r="F26" s="333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508"/>
      <c r="R26" s="333"/>
    </row>
    <row r="27" spans="1:128" ht="15" customHeight="1" x14ac:dyDescent="0.55000000000000004">
      <c r="B27" s="333"/>
      <c r="C27" s="333"/>
      <c r="D27" s="333"/>
      <c r="E27" s="333"/>
      <c r="F27" s="333"/>
      <c r="G27" s="333"/>
      <c r="H27" s="333"/>
      <c r="I27" s="333"/>
      <c r="J27" s="333"/>
      <c r="K27" s="333"/>
      <c r="L27" s="333"/>
      <c r="M27" s="333"/>
      <c r="N27" s="333"/>
      <c r="O27" s="509"/>
      <c r="P27" s="333"/>
      <c r="Q27" s="333"/>
      <c r="R27" s="333"/>
      <c r="S27" s="333"/>
    </row>
    <row r="28" spans="1:128" ht="15" customHeight="1" x14ac:dyDescent="0.55000000000000004">
      <c r="B28" s="333"/>
      <c r="C28" s="333"/>
      <c r="D28" s="333"/>
      <c r="E28" s="333"/>
      <c r="F28" s="333"/>
      <c r="G28" s="333"/>
      <c r="H28" s="333"/>
      <c r="I28" s="333"/>
      <c r="J28" s="333"/>
      <c r="K28" s="333"/>
      <c r="L28" s="333"/>
      <c r="M28" s="333"/>
      <c r="N28" s="509"/>
      <c r="O28" s="333"/>
      <c r="P28" s="333"/>
      <c r="Q28" s="333"/>
      <c r="R28" s="333"/>
      <c r="S28" s="333"/>
    </row>
    <row r="29" spans="1:128" ht="15" customHeight="1" x14ac:dyDescent="0.55000000000000004">
      <c r="B29" s="333"/>
      <c r="C29" s="333"/>
      <c r="D29" s="333"/>
      <c r="E29" s="333"/>
      <c r="F29" s="333"/>
      <c r="G29" s="333"/>
      <c r="H29" s="333"/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</row>
    <row r="30" spans="1:128" ht="15" customHeight="1" x14ac:dyDescent="0.55000000000000004">
      <c r="B30" s="333"/>
      <c r="C30" s="333"/>
      <c r="D30" s="333"/>
      <c r="E30" s="333"/>
      <c r="F30" s="333"/>
      <c r="G30" s="333"/>
      <c r="H30" s="333"/>
      <c r="I30" s="333"/>
      <c r="J30" s="333"/>
      <c r="K30" s="333"/>
      <c r="L30" s="333"/>
      <c r="M30" s="333"/>
      <c r="N30" s="333"/>
      <c r="O30" s="333"/>
      <c r="P30" s="333"/>
      <c r="Q30" s="333"/>
      <c r="R30" s="333"/>
      <c r="S30" s="333"/>
    </row>
    <row r="31" spans="1:128" ht="15" customHeight="1" x14ac:dyDescent="0.55000000000000004">
      <c r="B31" s="333"/>
      <c r="C31" s="333"/>
      <c r="D31" s="333"/>
      <c r="E31" s="333"/>
      <c r="F31" s="333"/>
      <c r="G31" s="333"/>
      <c r="H31" s="333"/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</row>
    <row r="32" spans="1:128" ht="15" customHeight="1" x14ac:dyDescent="0.55000000000000004">
      <c r="B32" s="333"/>
      <c r="C32" s="333"/>
      <c r="D32" s="333"/>
      <c r="E32" s="333"/>
      <c r="F32" s="333"/>
      <c r="G32" s="333"/>
      <c r="H32" s="333"/>
      <c r="I32" s="333"/>
      <c r="J32" s="333"/>
      <c r="K32" s="333"/>
      <c r="L32" s="333"/>
      <c r="M32" s="333"/>
      <c r="N32" s="333"/>
      <c r="O32" s="333"/>
      <c r="P32" s="333"/>
      <c r="Q32" s="333"/>
      <c r="R32" s="333"/>
      <c r="S32" s="333"/>
    </row>
    <row r="33" spans="2:19" ht="15" customHeight="1" x14ac:dyDescent="0.55000000000000004">
      <c r="B33" s="333"/>
      <c r="C33" s="333"/>
      <c r="D33" s="333"/>
      <c r="E33" s="333"/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</row>
    <row r="34" spans="2:19" ht="15" customHeight="1" x14ac:dyDescent="0.55000000000000004">
      <c r="B34" s="333"/>
      <c r="C34" s="333"/>
      <c r="D34" s="333"/>
      <c r="E34" s="333"/>
      <c r="F34" s="333"/>
      <c r="G34" s="333"/>
      <c r="H34" s="333"/>
      <c r="I34" s="333"/>
      <c r="J34" s="333"/>
      <c r="K34" s="333"/>
      <c r="L34" s="333"/>
      <c r="M34" s="333"/>
      <c r="N34" s="333"/>
      <c r="O34" s="333"/>
      <c r="P34" s="333"/>
      <c r="Q34" s="333"/>
      <c r="R34" s="333"/>
      <c r="S34" s="333"/>
    </row>
    <row r="35" spans="2:19" ht="15" customHeight="1" x14ac:dyDescent="0.55000000000000004">
      <c r="B35" s="333"/>
      <c r="C35" s="333"/>
      <c r="D35" s="333"/>
      <c r="E35" s="333"/>
      <c r="F35" s="333"/>
      <c r="G35" s="333"/>
      <c r="H35" s="333"/>
      <c r="I35" s="333"/>
      <c r="J35" s="333"/>
      <c r="K35" s="333"/>
      <c r="L35" s="333"/>
      <c r="M35" s="333"/>
      <c r="N35" s="333"/>
      <c r="O35" s="333"/>
      <c r="P35" s="333"/>
      <c r="Q35" s="333"/>
      <c r="R35" s="333"/>
      <c r="S35" s="333"/>
    </row>
    <row r="36" spans="2:19" ht="15" customHeight="1" x14ac:dyDescent="0.55000000000000004">
      <c r="B36" s="333"/>
      <c r="C36" s="333"/>
      <c r="D36" s="333"/>
      <c r="E36" s="333"/>
      <c r="F36" s="333"/>
      <c r="G36" s="333"/>
      <c r="H36" s="333"/>
      <c r="I36" s="333"/>
      <c r="J36" s="333"/>
      <c r="K36" s="333"/>
      <c r="L36" s="333"/>
      <c r="M36" s="333"/>
      <c r="N36" s="333"/>
      <c r="O36" s="333"/>
      <c r="P36" s="333"/>
      <c r="Q36" s="333"/>
      <c r="R36" s="333"/>
      <c r="S36" s="333"/>
    </row>
    <row r="37" spans="2:19" ht="15" customHeight="1" x14ac:dyDescent="0.55000000000000004">
      <c r="B37" s="333"/>
      <c r="C37" s="333"/>
      <c r="D37" s="333"/>
      <c r="E37" s="333"/>
      <c r="F37" s="333"/>
      <c r="G37" s="333"/>
      <c r="H37" s="333"/>
      <c r="I37" s="333"/>
      <c r="J37" s="333"/>
      <c r="K37" s="333"/>
      <c r="L37" s="333"/>
      <c r="M37" s="333"/>
      <c r="N37" s="333"/>
      <c r="O37" s="333"/>
      <c r="P37" s="333"/>
      <c r="Q37" s="333"/>
      <c r="R37" s="333"/>
      <c r="S37" s="333"/>
    </row>
    <row r="38" spans="2:19" ht="15" customHeight="1" x14ac:dyDescent="0.55000000000000004">
      <c r="B38" s="333"/>
      <c r="C38" s="333"/>
      <c r="D38" s="333"/>
      <c r="E38" s="333"/>
      <c r="F38" s="333"/>
      <c r="G38" s="333"/>
      <c r="H38" s="333"/>
      <c r="I38" s="333"/>
      <c r="J38" s="333"/>
      <c r="K38" s="333"/>
      <c r="L38" s="333"/>
      <c r="M38" s="333"/>
      <c r="N38" s="333"/>
      <c r="O38" s="333"/>
      <c r="P38" s="333"/>
      <c r="Q38" s="333"/>
      <c r="R38" s="333"/>
      <c r="S38" s="333"/>
    </row>
    <row r="39" spans="2:19" ht="15" customHeight="1" x14ac:dyDescent="0.55000000000000004"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</row>
    <row r="40" spans="2:19" ht="15" customHeight="1" x14ac:dyDescent="0.55000000000000004">
      <c r="B40" s="333"/>
      <c r="C40" s="333"/>
      <c r="D40" s="333"/>
      <c r="E40" s="333"/>
      <c r="F40" s="333"/>
      <c r="G40" s="333"/>
      <c r="H40" s="333"/>
      <c r="I40" s="333"/>
      <c r="J40" s="333"/>
      <c r="K40" s="333"/>
      <c r="L40" s="333"/>
      <c r="M40" s="333"/>
      <c r="N40" s="333"/>
      <c r="O40" s="333"/>
      <c r="P40" s="333"/>
      <c r="Q40" s="333"/>
      <c r="R40" s="333"/>
      <c r="S40" s="333"/>
    </row>
    <row r="41" spans="2:19" ht="15" customHeight="1" x14ac:dyDescent="0.55000000000000004">
      <c r="B41" s="333"/>
      <c r="C41" s="333"/>
      <c r="D41" s="333"/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</row>
  </sheetData>
  <mergeCells count="7">
    <mergeCell ref="B1:S1"/>
    <mergeCell ref="B2:S2"/>
    <mergeCell ref="B4:D4"/>
    <mergeCell ref="E4:G4"/>
    <mergeCell ref="H4:J4"/>
    <mergeCell ref="K4:M4"/>
    <mergeCell ref="N4:P4"/>
  </mergeCells>
  <pageMargins left="0.25" right="0.25" top="0.75" bottom="0.75" header="0.3" footer="0.3"/>
  <pageSetup paperSize="5" scale="86" fitToHeight="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BA79-BC04-4167-B38D-3F516A4D0C7B}">
  <sheetPr>
    <pageSetUpPr fitToPage="1"/>
  </sheetPr>
  <dimension ref="A1:AU183"/>
  <sheetViews>
    <sheetView zoomScale="82" zoomScaleNormal="70" workbookViewId="0">
      <pane xSplit="7" ySplit="12" topLeftCell="H157" activePane="bottomRight" state="frozen"/>
      <selection pane="topRight" activeCell="B1" sqref="B1"/>
      <selection pane="bottomLeft" activeCell="A5" sqref="A5"/>
      <selection pane="bottomRight" activeCell="C166" sqref="C166:D169"/>
    </sheetView>
  </sheetViews>
  <sheetFormatPr defaultColWidth="9.5546875" defaultRowHeight="12.6" outlineLevelCol="1" x14ac:dyDescent="0.45"/>
  <cols>
    <col min="1" max="1" width="15" style="354" customWidth="1"/>
    <col min="2" max="2" width="13.71875" style="354" customWidth="1"/>
    <col min="3" max="3" width="14" style="354" customWidth="1"/>
    <col min="4" max="4" width="14.27734375" style="354" customWidth="1"/>
    <col min="5" max="5" width="11" style="354" customWidth="1"/>
    <col min="6" max="6" width="27.44140625" style="354" bestFit="1" customWidth="1"/>
    <col min="7" max="7" width="69.27734375" style="354" customWidth="1"/>
    <col min="8" max="8" width="7.44140625" style="354" customWidth="1" outlineLevel="1"/>
    <col min="9" max="9" width="7.1640625" style="354" customWidth="1" outlineLevel="1"/>
    <col min="10" max="10" width="8.5546875" style="354" bestFit="1" customWidth="1" outlineLevel="1"/>
    <col min="11" max="11" width="10.1640625" style="354" bestFit="1" customWidth="1" outlineLevel="1"/>
    <col min="12" max="12" width="10" style="354" bestFit="1" customWidth="1" outlineLevel="1"/>
    <col min="13" max="13" width="8.5546875" style="354" bestFit="1" customWidth="1" outlineLevel="1"/>
    <col min="14" max="14" width="10" style="354" bestFit="1" customWidth="1" outlineLevel="1"/>
    <col min="15" max="15" width="7.44140625" style="354" customWidth="1"/>
    <col min="16" max="16" width="6.83203125" style="354" customWidth="1"/>
    <col min="17" max="17" width="8.5546875" style="354" bestFit="1" customWidth="1"/>
    <col min="18" max="18" width="10" style="354" bestFit="1" customWidth="1"/>
    <col min="19" max="19" width="8.5546875" style="354" bestFit="1" customWidth="1"/>
    <col min="20" max="20" width="10" style="354" bestFit="1" customWidth="1"/>
    <col min="21" max="21" width="7.44140625" style="354" customWidth="1"/>
    <col min="22" max="22" width="6.83203125" style="354" customWidth="1"/>
    <col min="23" max="23" width="8.5546875" style="354" bestFit="1" customWidth="1"/>
    <col min="24" max="24" width="8.71875" style="354" bestFit="1" customWidth="1"/>
    <col min="25" max="25" width="8.5546875" style="354" bestFit="1" customWidth="1"/>
    <col min="26" max="26" width="8.71875" style="354" bestFit="1" customWidth="1"/>
    <col min="27" max="27" width="7.44140625" style="354" customWidth="1"/>
    <col min="28" max="28" width="6.83203125" style="354" customWidth="1"/>
    <col min="29" max="29" width="8.5546875" style="354" bestFit="1" customWidth="1"/>
    <col min="30" max="30" width="8.71875" style="354" bestFit="1" customWidth="1"/>
    <col min="31" max="31" width="8.5546875" style="354" bestFit="1" customWidth="1"/>
    <col min="32" max="32" width="8.71875" style="354" bestFit="1" customWidth="1"/>
    <col min="33" max="33" width="7.44140625" style="354" customWidth="1"/>
    <col min="34" max="34" width="6.83203125" style="354" customWidth="1"/>
    <col min="35" max="35" width="8.5546875" style="354" customWidth="1"/>
    <col min="36" max="36" width="8.71875" style="354" bestFit="1" customWidth="1"/>
    <col min="37" max="37" width="8.5546875" style="354" bestFit="1" customWidth="1"/>
    <col min="38" max="38" width="8.71875" style="354" bestFit="1" customWidth="1"/>
    <col min="39" max="39" width="9.44140625" style="354" bestFit="1" customWidth="1"/>
    <col min="40" max="40" width="8.5546875" style="354" bestFit="1" customWidth="1"/>
    <col min="41" max="41" width="9.44140625" style="354" bestFit="1" customWidth="1"/>
    <col min="42" max="42" width="9.5546875" style="354"/>
    <col min="43" max="43" width="11.27734375" style="354" bestFit="1" customWidth="1"/>
    <col min="44" max="16384" width="9.5546875" style="354"/>
  </cols>
  <sheetData>
    <row r="1" spans="1:41" ht="15" x14ac:dyDescent="0.45">
      <c r="H1" s="757" t="s">
        <v>331</v>
      </c>
      <c r="I1" s="757"/>
      <c r="J1" s="757"/>
      <c r="K1" s="757"/>
      <c r="L1" s="757"/>
      <c r="M1" s="757"/>
      <c r="N1" s="757"/>
      <c r="O1" s="757"/>
      <c r="P1" s="757"/>
      <c r="Q1" s="757"/>
      <c r="R1" s="757"/>
      <c r="S1" s="757"/>
      <c r="T1" s="757"/>
      <c r="U1" s="757"/>
      <c r="V1" s="757"/>
      <c r="W1" s="757"/>
      <c r="X1" s="757"/>
      <c r="Y1" s="757"/>
      <c r="Z1" s="757"/>
      <c r="AA1" s="757"/>
      <c r="AB1" s="757"/>
      <c r="AC1" s="757"/>
      <c r="AD1" s="757"/>
      <c r="AE1" s="757"/>
      <c r="AF1" s="757"/>
      <c r="AG1" s="757"/>
      <c r="AH1" s="757"/>
      <c r="AI1" s="757"/>
      <c r="AJ1" s="757"/>
      <c r="AK1" s="757"/>
      <c r="AL1" s="757"/>
      <c r="AM1" s="757"/>
      <c r="AN1" s="757"/>
      <c r="AO1" s="757"/>
    </row>
    <row r="2" spans="1:41" ht="15" x14ac:dyDescent="0.45">
      <c r="H2" s="757" t="s">
        <v>606</v>
      </c>
      <c r="I2" s="757"/>
      <c r="J2" s="757"/>
      <c r="K2" s="757"/>
      <c r="L2" s="757"/>
      <c r="M2" s="757"/>
      <c r="N2" s="757"/>
      <c r="O2" s="757"/>
      <c r="P2" s="757"/>
      <c r="Q2" s="757"/>
      <c r="R2" s="757"/>
      <c r="S2" s="757"/>
      <c r="T2" s="757"/>
      <c r="U2" s="757"/>
      <c r="V2" s="757"/>
      <c r="W2" s="757"/>
      <c r="X2" s="757"/>
      <c r="Y2" s="757"/>
      <c r="Z2" s="757"/>
      <c r="AA2" s="757"/>
      <c r="AB2" s="757"/>
      <c r="AC2" s="757"/>
      <c r="AD2" s="757"/>
      <c r="AE2" s="757"/>
      <c r="AF2" s="757"/>
      <c r="AG2" s="757"/>
      <c r="AH2" s="757"/>
      <c r="AI2" s="757"/>
      <c r="AJ2" s="757"/>
      <c r="AK2" s="757"/>
      <c r="AL2" s="757"/>
      <c r="AM2" s="757"/>
      <c r="AN2" s="757"/>
      <c r="AO2" s="757"/>
    </row>
    <row r="3" spans="1:41" ht="15.3" thickBot="1" x14ac:dyDescent="0.5">
      <c r="H3" s="757" t="s">
        <v>333</v>
      </c>
      <c r="I3" s="757"/>
      <c r="J3" s="757"/>
      <c r="K3" s="757"/>
      <c r="L3" s="757"/>
      <c r="M3" s="757"/>
      <c r="N3" s="757"/>
      <c r="O3" s="757"/>
      <c r="P3" s="757"/>
      <c r="Q3" s="757"/>
      <c r="R3" s="757"/>
      <c r="S3" s="757"/>
      <c r="T3" s="757"/>
      <c r="U3" s="757"/>
      <c r="V3" s="757"/>
      <c r="W3" s="757"/>
      <c r="X3" s="757"/>
      <c r="Y3" s="757"/>
      <c r="Z3" s="757"/>
      <c r="AA3" s="757"/>
      <c r="AB3" s="757"/>
      <c r="AC3" s="757"/>
      <c r="AD3" s="757"/>
      <c r="AE3" s="757"/>
      <c r="AF3" s="757"/>
      <c r="AG3" s="757"/>
      <c r="AH3" s="757"/>
      <c r="AI3" s="757"/>
      <c r="AJ3" s="757"/>
      <c r="AK3" s="757"/>
      <c r="AL3" s="757"/>
      <c r="AM3" s="757"/>
      <c r="AN3" s="757"/>
      <c r="AO3" s="757"/>
    </row>
    <row r="4" spans="1:41" ht="15" x14ac:dyDescent="0.45">
      <c r="A4" s="624" t="s">
        <v>33</v>
      </c>
      <c r="B4" s="625" t="s">
        <v>34</v>
      </c>
      <c r="H4" s="757" t="s">
        <v>32</v>
      </c>
      <c r="I4" s="757"/>
      <c r="J4" s="757"/>
      <c r="K4" s="757"/>
      <c r="L4" s="757"/>
      <c r="M4" s="757"/>
      <c r="N4" s="757"/>
      <c r="O4" s="757"/>
      <c r="P4" s="757"/>
      <c r="Q4" s="757"/>
      <c r="R4" s="757"/>
      <c r="S4" s="757"/>
      <c r="T4" s="757"/>
      <c r="U4" s="757"/>
      <c r="V4" s="757"/>
      <c r="W4" s="757"/>
      <c r="X4" s="757"/>
      <c r="Y4" s="757"/>
      <c r="Z4" s="757"/>
      <c r="AA4" s="757"/>
      <c r="AB4" s="757"/>
      <c r="AC4" s="757"/>
      <c r="AD4" s="757"/>
      <c r="AE4" s="757"/>
      <c r="AF4" s="757"/>
      <c r="AG4" s="757"/>
      <c r="AH4" s="757"/>
      <c r="AI4" s="757"/>
      <c r="AJ4" s="757"/>
      <c r="AK4" s="757"/>
      <c r="AL4" s="757"/>
      <c r="AM4" s="757"/>
      <c r="AN4" s="757"/>
      <c r="AO4" s="757"/>
    </row>
    <row r="5" spans="1:41" x14ac:dyDescent="0.45">
      <c r="A5" s="626" t="s">
        <v>36</v>
      </c>
      <c r="B5" s="627">
        <v>20300</v>
      </c>
      <c r="G5" s="355" t="s">
        <v>35</v>
      </c>
      <c r="H5" s="356"/>
      <c r="I5" s="356"/>
      <c r="J5" s="356"/>
      <c r="K5" s="356"/>
      <c r="L5" s="356"/>
      <c r="M5" s="356"/>
      <c r="N5" s="356"/>
      <c r="O5" s="356"/>
      <c r="P5" s="356"/>
      <c r="Q5" s="356"/>
      <c r="R5" s="356"/>
      <c r="S5" s="356"/>
      <c r="T5" s="356"/>
      <c r="U5" s="356"/>
      <c r="V5" s="356"/>
      <c r="W5" s="356"/>
      <c r="X5" s="356"/>
      <c r="Y5" s="356"/>
      <c r="Z5" s="356"/>
      <c r="AA5" s="356"/>
      <c r="AB5" s="356"/>
    </row>
    <row r="6" spans="1:41" ht="12.9" thickBot="1" x14ac:dyDescent="0.5">
      <c r="A6" s="628" t="s">
        <v>38</v>
      </c>
      <c r="B6" s="629" t="s">
        <v>39</v>
      </c>
      <c r="G6" s="357" t="s">
        <v>334</v>
      </c>
      <c r="H6" s="620">
        <v>1.03</v>
      </c>
      <c r="I6" s="358"/>
      <c r="J6" s="358"/>
      <c r="K6" s="356"/>
      <c r="L6" s="356"/>
      <c r="M6" s="356"/>
      <c r="N6" s="356"/>
      <c r="O6" s="356"/>
      <c r="P6" s="356"/>
      <c r="Q6" s="360"/>
      <c r="R6" s="359"/>
      <c r="S6" s="359"/>
      <c r="T6" s="360"/>
      <c r="U6" s="359"/>
      <c r="V6" s="359"/>
      <c r="W6" s="360"/>
      <c r="X6" s="359"/>
      <c r="Y6" s="359"/>
      <c r="Z6" s="359"/>
      <c r="AA6" s="359"/>
      <c r="AB6" s="359"/>
    </row>
    <row r="7" spans="1:41" x14ac:dyDescent="0.45">
      <c r="G7" s="357" t="s">
        <v>41</v>
      </c>
      <c r="H7" s="620">
        <v>1.04</v>
      </c>
      <c r="I7" s="358"/>
      <c r="J7" s="358"/>
      <c r="K7" s="356"/>
      <c r="L7" s="356"/>
      <c r="M7" s="356"/>
      <c r="N7" s="356"/>
      <c r="O7" s="356"/>
      <c r="P7" s="356"/>
      <c r="Q7" s="360"/>
      <c r="R7" s="359"/>
      <c r="S7" s="359"/>
      <c r="T7" s="360"/>
      <c r="U7" s="359"/>
      <c r="V7" s="359"/>
      <c r="W7" s="360"/>
      <c r="X7" s="359"/>
      <c r="Y7" s="359"/>
      <c r="Z7" s="359"/>
      <c r="AA7" s="359"/>
      <c r="AB7" s="359"/>
    </row>
    <row r="8" spans="1:41" x14ac:dyDescent="0.45">
      <c r="G8" s="758"/>
      <c r="H8" s="758"/>
      <c r="I8" s="758"/>
      <c r="J8" s="758"/>
      <c r="K8" s="758"/>
      <c r="L8" s="758"/>
      <c r="M8" s="758"/>
      <c r="N8" s="758"/>
      <c r="O8" s="758"/>
      <c r="P8" s="758"/>
      <c r="Q8" s="758"/>
      <c r="R8" s="758"/>
      <c r="S8" s="758"/>
      <c r="T8" s="758"/>
      <c r="U8" s="361"/>
      <c r="V8" s="361"/>
      <c r="W8" s="361"/>
      <c r="X8" s="361"/>
      <c r="AA8" s="361"/>
      <c r="AB8" s="361"/>
      <c r="AC8" s="361"/>
      <c r="AG8" s="361"/>
      <c r="AH8" s="361"/>
      <c r="AI8" s="361"/>
    </row>
    <row r="9" spans="1:41" x14ac:dyDescent="0.45">
      <c r="G9" s="362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3"/>
      <c r="U9" s="363"/>
      <c r="V9" s="363"/>
      <c r="W9" s="363"/>
      <c r="X9" s="363"/>
    </row>
    <row r="10" spans="1:41" ht="12.9" thickBot="1" x14ac:dyDescent="0.5">
      <c r="G10" s="407" t="s">
        <v>43</v>
      </c>
      <c r="H10" s="359"/>
      <c r="J10" s="364"/>
      <c r="K10" s="365"/>
      <c r="M10" s="366"/>
    </row>
    <row r="11" spans="1:41" ht="12.9" thickBot="1" x14ac:dyDescent="0.5">
      <c r="A11" s="751" t="s">
        <v>44</v>
      </c>
      <c r="B11" s="751" t="s">
        <v>45</v>
      </c>
      <c r="C11" s="751" t="s">
        <v>46</v>
      </c>
      <c r="D11" s="751" t="s">
        <v>47</v>
      </c>
      <c r="E11" s="746" t="s">
        <v>48</v>
      </c>
      <c r="F11" s="748" t="s">
        <v>335</v>
      </c>
      <c r="G11" s="585" t="s">
        <v>2</v>
      </c>
      <c r="H11" s="367"/>
      <c r="I11" s="368"/>
      <c r="J11" s="368"/>
      <c r="K11" s="368"/>
      <c r="L11" s="369" t="s">
        <v>3</v>
      </c>
      <c r="M11" s="369"/>
      <c r="N11" s="370"/>
      <c r="O11" s="367"/>
      <c r="P11" s="368"/>
      <c r="Q11" s="368"/>
      <c r="R11" s="369" t="s">
        <v>4</v>
      </c>
      <c r="S11" s="369"/>
      <c r="T11" s="370"/>
      <c r="U11" s="756" t="s">
        <v>5</v>
      </c>
      <c r="V11" s="756"/>
      <c r="W11" s="756"/>
      <c r="X11" s="756"/>
      <c r="Y11" s="756"/>
      <c r="Z11" s="756"/>
      <c r="AA11" s="367"/>
      <c r="AB11" s="368"/>
      <c r="AC11" s="368"/>
      <c r="AD11" s="369" t="s">
        <v>6</v>
      </c>
      <c r="AE11" s="369"/>
      <c r="AF11" s="370"/>
      <c r="AG11" s="367"/>
      <c r="AH11" s="368"/>
      <c r="AI11" s="368"/>
      <c r="AJ11" s="369" t="s">
        <v>7</v>
      </c>
      <c r="AK11" s="369"/>
      <c r="AL11" s="370"/>
      <c r="AM11" s="371" t="s">
        <v>8</v>
      </c>
      <c r="AN11" s="371" t="s">
        <v>9</v>
      </c>
      <c r="AO11" s="371" t="s">
        <v>10</v>
      </c>
    </row>
    <row r="12" spans="1:41" ht="12.9" thickBot="1" x14ac:dyDescent="0.5">
      <c r="A12" s="752"/>
      <c r="B12" s="752"/>
      <c r="C12" s="752"/>
      <c r="D12" s="752"/>
      <c r="E12" s="747"/>
      <c r="F12" s="749"/>
      <c r="G12" s="372"/>
      <c r="H12" s="373" t="s">
        <v>49</v>
      </c>
      <c r="I12" s="374" t="s">
        <v>50</v>
      </c>
      <c r="J12" s="374" t="s">
        <v>51</v>
      </c>
      <c r="K12" s="374" t="s">
        <v>52</v>
      </c>
      <c r="L12" s="375" t="s">
        <v>11</v>
      </c>
      <c r="M12" s="374" t="s">
        <v>12</v>
      </c>
      <c r="N12" s="376" t="s">
        <v>9</v>
      </c>
      <c r="O12" s="373" t="s">
        <v>49</v>
      </c>
      <c r="P12" s="374" t="s">
        <v>50</v>
      </c>
      <c r="Q12" s="374" t="s">
        <v>51</v>
      </c>
      <c r="R12" s="375" t="s">
        <v>11</v>
      </c>
      <c r="S12" s="374" t="s">
        <v>12</v>
      </c>
      <c r="T12" s="376" t="s">
        <v>9</v>
      </c>
      <c r="U12" s="373" t="s">
        <v>49</v>
      </c>
      <c r="V12" s="374" t="s">
        <v>50</v>
      </c>
      <c r="W12" s="374" t="s">
        <v>51</v>
      </c>
      <c r="X12" s="375" t="s">
        <v>11</v>
      </c>
      <c r="Y12" s="374" t="s">
        <v>12</v>
      </c>
      <c r="Z12" s="376" t="s">
        <v>9</v>
      </c>
      <c r="AA12" s="373" t="s">
        <v>49</v>
      </c>
      <c r="AB12" s="374" t="s">
        <v>50</v>
      </c>
      <c r="AC12" s="374" t="s">
        <v>51</v>
      </c>
      <c r="AD12" s="375" t="s">
        <v>11</v>
      </c>
      <c r="AE12" s="374" t="s">
        <v>12</v>
      </c>
      <c r="AF12" s="376" t="s">
        <v>9</v>
      </c>
      <c r="AG12" s="373" t="s">
        <v>49</v>
      </c>
      <c r="AH12" s="374" t="s">
        <v>50</v>
      </c>
      <c r="AI12" s="374" t="s">
        <v>51</v>
      </c>
      <c r="AJ12" s="375" t="s">
        <v>11</v>
      </c>
      <c r="AK12" s="374" t="s">
        <v>12</v>
      </c>
      <c r="AL12" s="376" t="s">
        <v>9</v>
      </c>
      <c r="AM12" s="377" t="s">
        <v>11</v>
      </c>
      <c r="AN12" s="372" t="s">
        <v>12</v>
      </c>
      <c r="AO12" s="377" t="s">
        <v>8</v>
      </c>
    </row>
    <row r="13" spans="1:41" x14ac:dyDescent="0.45">
      <c r="A13" s="378"/>
      <c r="B13" s="378"/>
      <c r="C13" s="378"/>
      <c r="D13" s="378"/>
      <c r="E13" s="378"/>
      <c r="F13" s="378"/>
      <c r="G13" s="378"/>
      <c r="H13" s="379"/>
      <c r="I13" s="380"/>
      <c r="J13" s="380"/>
      <c r="K13" s="380"/>
      <c r="L13" s="381"/>
      <c r="M13" s="380"/>
      <c r="N13" s="382"/>
      <c r="O13" s="379"/>
      <c r="P13" s="380"/>
      <c r="Q13" s="380"/>
      <c r="R13" s="381"/>
      <c r="S13" s="380"/>
      <c r="T13" s="382"/>
      <c r="U13" s="379"/>
      <c r="V13" s="380"/>
      <c r="W13" s="380"/>
      <c r="X13" s="381"/>
      <c r="Y13" s="380"/>
      <c r="Z13" s="382"/>
      <c r="AA13" s="379"/>
      <c r="AB13" s="380"/>
      <c r="AC13" s="380"/>
      <c r="AD13" s="381"/>
      <c r="AE13" s="380"/>
      <c r="AF13" s="382"/>
      <c r="AG13" s="379"/>
      <c r="AH13" s="380"/>
      <c r="AI13" s="380"/>
      <c r="AJ13" s="381"/>
      <c r="AK13" s="380"/>
      <c r="AL13" s="380"/>
      <c r="AM13" s="556"/>
      <c r="AN13" s="560"/>
      <c r="AO13" s="556"/>
    </row>
    <row r="14" spans="1:41" x14ac:dyDescent="0.45">
      <c r="A14" s="383"/>
      <c r="B14" s="383"/>
      <c r="C14" s="383"/>
      <c r="D14" s="383"/>
      <c r="E14" s="383"/>
      <c r="F14" s="383"/>
      <c r="G14" s="383" t="s">
        <v>13</v>
      </c>
      <c r="H14" s="384"/>
      <c r="I14" s="385"/>
      <c r="J14" s="385"/>
      <c r="K14" s="385"/>
      <c r="L14" s="386"/>
      <c r="M14" s="387"/>
      <c r="N14" s="388"/>
      <c r="O14" s="384"/>
      <c r="P14" s="385"/>
      <c r="Q14" s="385"/>
      <c r="R14" s="386"/>
      <c r="S14" s="387"/>
      <c r="T14" s="388"/>
      <c r="U14" s="384"/>
      <c r="V14" s="385"/>
      <c r="W14" s="385"/>
      <c r="X14" s="386"/>
      <c r="Y14" s="387"/>
      <c r="Z14" s="388"/>
      <c r="AA14" s="384"/>
      <c r="AB14" s="385"/>
      <c r="AC14" s="385"/>
      <c r="AD14" s="386"/>
      <c r="AE14" s="387"/>
      <c r="AF14" s="388"/>
      <c r="AG14" s="384"/>
      <c r="AH14" s="385"/>
      <c r="AI14" s="385"/>
      <c r="AJ14" s="386"/>
      <c r="AK14" s="387"/>
      <c r="AL14" s="387"/>
      <c r="AM14" s="389"/>
      <c r="AN14" s="387"/>
      <c r="AO14" s="389"/>
    </row>
    <row r="15" spans="1:41" x14ac:dyDescent="0.45">
      <c r="A15" s="390"/>
      <c r="B15" s="390"/>
      <c r="C15" s="390"/>
      <c r="D15" s="390"/>
      <c r="E15" s="390"/>
      <c r="F15" s="390"/>
      <c r="G15" s="390" t="s">
        <v>607</v>
      </c>
      <c r="H15" s="391" t="s">
        <v>54</v>
      </c>
      <c r="I15" s="392"/>
      <c r="J15" s="392"/>
      <c r="K15" s="392"/>
      <c r="L15" s="393"/>
      <c r="M15" s="394"/>
      <c r="N15" s="395"/>
      <c r="O15" s="396"/>
      <c r="P15" s="392"/>
      <c r="Q15" s="392"/>
      <c r="R15" s="393"/>
      <c r="S15" s="394"/>
      <c r="T15" s="395"/>
      <c r="U15" s="397"/>
      <c r="V15" s="392"/>
      <c r="W15" s="392"/>
      <c r="X15" s="393"/>
      <c r="Y15" s="394"/>
      <c r="Z15" s="395"/>
      <c r="AA15" s="396"/>
      <c r="AB15" s="392"/>
      <c r="AC15" s="392"/>
      <c r="AD15" s="393"/>
      <c r="AE15" s="394"/>
      <c r="AF15" s="395"/>
      <c r="AG15" s="396"/>
      <c r="AH15" s="392"/>
      <c r="AI15" s="392"/>
      <c r="AJ15" s="393"/>
      <c r="AK15" s="394"/>
      <c r="AL15" s="394"/>
      <c r="AM15" s="398"/>
      <c r="AN15" s="394"/>
      <c r="AO15" s="398"/>
    </row>
    <row r="16" spans="1:41" x14ac:dyDescent="0.45">
      <c r="A16" s="540"/>
      <c r="B16" s="540"/>
      <c r="C16" s="540"/>
      <c r="D16" s="540"/>
      <c r="E16" s="540"/>
      <c r="F16" s="540"/>
      <c r="G16" s="540" t="s">
        <v>608</v>
      </c>
      <c r="H16" s="391"/>
      <c r="I16" s="534"/>
      <c r="J16" s="534"/>
      <c r="K16" s="534"/>
      <c r="L16" s="535"/>
      <c r="N16" s="536"/>
      <c r="O16" s="430"/>
      <c r="P16" s="534"/>
      <c r="Q16" s="534"/>
      <c r="R16" s="535"/>
      <c r="T16" s="536"/>
      <c r="U16" s="399"/>
      <c r="V16" s="534"/>
      <c r="W16" s="534"/>
      <c r="X16" s="535"/>
      <c r="Z16" s="536"/>
      <c r="AA16" s="430"/>
      <c r="AB16" s="534"/>
      <c r="AC16" s="534"/>
      <c r="AD16" s="535"/>
      <c r="AF16" s="536"/>
      <c r="AG16" s="430"/>
      <c r="AH16" s="534"/>
      <c r="AI16" s="534"/>
      <c r="AJ16" s="535"/>
      <c r="AM16" s="455"/>
      <c r="AO16" s="455"/>
    </row>
    <row r="17" spans="1:47" x14ac:dyDescent="0.45">
      <c r="A17" s="1" t="s">
        <v>210</v>
      </c>
      <c r="B17" s="710">
        <v>89050</v>
      </c>
      <c r="C17" s="258" t="s">
        <v>65</v>
      </c>
      <c r="D17" s="258" t="s">
        <v>65</v>
      </c>
      <c r="E17" s="1" t="s">
        <v>211</v>
      </c>
      <c r="F17" s="702" t="s">
        <v>609</v>
      </c>
      <c r="G17" s="511" t="s">
        <v>610</v>
      </c>
      <c r="H17" s="399">
        <v>1</v>
      </c>
      <c r="I17" s="37">
        <f>52500/12</f>
        <v>4375</v>
      </c>
      <c r="J17" s="354">
        <v>11</v>
      </c>
      <c r="K17" s="354" t="s">
        <v>107</v>
      </c>
      <c r="L17" s="400">
        <f t="shared" ref="L17:L22" si="0">J17*I17*H17</f>
        <v>48125</v>
      </c>
      <c r="M17" s="359">
        <v>0</v>
      </c>
      <c r="N17" s="401">
        <f t="shared" ref="N17:N22" si="1">SUM(L17:M17)</f>
        <v>48125</v>
      </c>
      <c r="O17" s="399">
        <f t="shared" ref="O17:O22" si="2">H17</f>
        <v>1</v>
      </c>
      <c r="P17" s="359">
        <f t="shared" ref="P17:P22" si="3">I17*$H$7</f>
        <v>4550</v>
      </c>
      <c r="Q17" s="354">
        <v>12</v>
      </c>
      <c r="R17" s="400">
        <f t="shared" ref="R17:R22" si="4">O17*P17*Q17</f>
        <v>54600</v>
      </c>
      <c r="S17" s="359">
        <v>0</v>
      </c>
      <c r="T17" s="401">
        <f t="shared" ref="T17:T22" si="5">SUM(R17:S17)</f>
        <v>54600</v>
      </c>
      <c r="U17" s="399">
        <f t="shared" ref="U17:U22" si="6">O17</f>
        <v>1</v>
      </c>
      <c r="V17" s="359">
        <f t="shared" ref="V17:V22" si="7">I17*$H$7*$H$7</f>
        <v>4732</v>
      </c>
      <c r="W17" s="354">
        <v>12</v>
      </c>
      <c r="X17" s="400">
        <f t="shared" ref="X17:X22" si="8">U17*V17*W17</f>
        <v>56784</v>
      </c>
      <c r="Y17" s="359">
        <v>0</v>
      </c>
      <c r="Z17" s="401">
        <f t="shared" ref="Z17:Z22" si="9">SUM(X17:Y17)</f>
        <v>56784</v>
      </c>
      <c r="AA17" s="399">
        <f t="shared" ref="AA17:AA22" si="10">U17</f>
        <v>1</v>
      </c>
      <c r="AB17" s="359">
        <f t="shared" ref="AB17:AB22" si="11">I17*$H$7*$H$7*$H$7</f>
        <v>4921.28</v>
      </c>
      <c r="AC17" s="354">
        <v>12</v>
      </c>
      <c r="AD17" s="400">
        <f t="shared" ref="AD17:AD22" si="12">AA17*AB17*AC17</f>
        <v>59055.360000000001</v>
      </c>
      <c r="AE17" s="359">
        <v>0</v>
      </c>
      <c r="AF17" s="401">
        <f t="shared" ref="AF17:AF22" si="13">SUM(AD17:AE17)</f>
        <v>59055.360000000001</v>
      </c>
      <c r="AG17" s="399">
        <f t="shared" ref="AG17:AG22" si="14">AA17</f>
        <v>1</v>
      </c>
      <c r="AH17" s="359">
        <f t="shared" ref="AH17:AH22" si="15">I17*$H$7*$H$7*$H$7*$H$7</f>
        <v>5118.1311999999998</v>
      </c>
      <c r="AI17" s="354">
        <v>12</v>
      </c>
      <c r="AJ17" s="400">
        <f t="shared" ref="AJ17:AJ22" si="16">AG17*AH17*AI17</f>
        <v>61417.574399999998</v>
      </c>
      <c r="AK17" s="359">
        <v>0</v>
      </c>
      <c r="AL17" s="359">
        <f t="shared" ref="AL17:AL22" si="17">SUM(AJ17:AK17)</f>
        <v>61417.574399999998</v>
      </c>
      <c r="AM17" s="402">
        <f t="shared" ref="AM17:AM22" si="18">L17+R17+X17+AD17+AJ17</f>
        <v>279981.93439999997</v>
      </c>
      <c r="AN17" s="359">
        <f t="shared" ref="AN17:AN22" si="19">M17+S17+Y17+AE17+AK17</f>
        <v>0</v>
      </c>
      <c r="AO17" s="402">
        <f t="shared" ref="AO17:AO22" si="20">SUM(AM17:AN17)</f>
        <v>279981.93439999997</v>
      </c>
    </row>
    <row r="18" spans="1:47" x14ac:dyDescent="0.45">
      <c r="A18" s="1" t="s">
        <v>210</v>
      </c>
      <c r="B18" s="710">
        <v>89050</v>
      </c>
      <c r="C18" s="258" t="s">
        <v>65</v>
      </c>
      <c r="D18" s="258" t="s">
        <v>65</v>
      </c>
      <c r="E18" s="1" t="s">
        <v>211</v>
      </c>
      <c r="F18" s="702" t="s">
        <v>609</v>
      </c>
      <c r="G18" s="511" t="s">
        <v>611</v>
      </c>
      <c r="H18" s="399">
        <v>1</v>
      </c>
      <c r="I18" s="37">
        <f>38000/12</f>
        <v>3166.6666666666665</v>
      </c>
      <c r="J18" s="354">
        <v>10</v>
      </c>
      <c r="K18" s="354" t="s">
        <v>107</v>
      </c>
      <c r="L18" s="400">
        <f t="shared" si="0"/>
        <v>31666.666666666664</v>
      </c>
      <c r="M18" s="359">
        <v>0</v>
      </c>
      <c r="N18" s="401">
        <f t="shared" si="1"/>
        <v>31666.666666666664</v>
      </c>
      <c r="O18" s="399">
        <f t="shared" ref="O18:O21" si="21">H18</f>
        <v>1</v>
      </c>
      <c r="P18" s="359">
        <f t="shared" si="3"/>
        <v>3293.3333333333335</v>
      </c>
      <c r="Q18" s="354">
        <v>12</v>
      </c>
      <c r="R18" s="400">
        <f t="shared" si="4"/>
        <v>39520</v>
      </c>
      <c r="S18" s="359">
        <v>0</v>
      </c>
      <c r="T18" s="401">
        <f t="shared" si="5"/>
        <v>39520</v>
      </c>
      <c r="U18" s="399">
        <f t="shared" ref="U18:U21" si="22">O18</f>
        <v>1</v>
      </c>
      <c r="V18" s="359">
        <f t="shared" si="7"/>
        <v>3425.0666666666671</v>
      </c>
      <c r="W18" s="354">
        <v>12</v>
      </c>
      <c r="X18" s="400">
        <f t="shared" si="8"/>
        <v>41100.800000000003</v>
      </c>
      <c r="Y18" s="359">
        <v>0</v>
      </c>
      <c r="Z18" s="401">
        <f t="shared" si="9"/>
        <v>41100.800000000003</v>
      </c>
      <c r="AA18" s="399">
        <f t="shared" ref="AA18:AA21" si="23">U18</f>
        <v>1</v>
      </c>
      <c r="AB18" s="359">
        <f t="shared" si="11"/>
        <v>3562.0693333333338</v>
      </c>
      <c r="AC18" s="354">
        <v>12</v>
      </c>
      <c r="AD18" s="400">
        <f t="shared" si="12"/>
        <v>42744.832000000009</v>
      </c>
      <c r="AE18" s="359">
        <v>0</v>
      </c>
      <c r="AF18" s="401">
        <f t="shared" si="13"/>
        <v>42744.832000000009</v>
      </c>
      <c r="AG18" s="399">
        <f t="shared" ref="AG18:AG21" si="24">AA18</f>
        <v>1</v>
      </c>
      <c r="AH18" s="359">
        <f t="shared" si="15"/>
        <v>3704.5521066666674</v>
      </c>
      <c r="AI18" s="354">
        <v>10</v>
      </c>
      <c r="AJ18" s="400">
        <f t="shared" si="16"/>
        <v>37045.521066666675</v>
      </c>
      <c r="AK18" s="359">
        <v>0</v>
      </c>
      <c r="AL18" s="359">
        <f t="shared" si="17"/>
        <v>37045.521066666675</v>
      </c>
      <c r="AM18" s="402">
        <f t="shared" ref="AM18:AM21" si="25">L18+R18+X18+AD18+AJ18</f>
        <v>192077.81973333334</v>
      </c>
      <c r="AN18" s="359">
        <f t="shared" si="19"/>
        <v>0</v>
      </c>
      <c r="AO18" s="402">
        <f t="shared" si="20"/>
        <v>192077.81973333334</v>
      </c>
    </row>
    <row r="19" spans="1:47" x14ac:dyDescent="0.45">
      <c r="A19" s="1" t="s">
        <v>210</v>
      </c>
      <c r="B19" s="710">
        <v>89050</v>
      </c>
      <c r="C19" s="258" t="s">
        <v>65</v>
      </c>
      <c r="D19" s="258" t="s">
        <v>65</v>
      </c>
      <c r="E19" s="1" t="s">
        <v>211</v>
      </c>
      <c r="F19" s="702" t="s">
        <v>609</v>
      </c>
      <c r="G19" s="511" t="s">
        <v>612</v>
      </c>
      <c r="H19" s="399">
        <v>1</v>
      </c>
      <c r="I19" s="35">
        <f>31200/12</f>
        <v>2600</v>
      </c>
      <c r="J19" s="354">
        <v>10</v>
      </c>
      <c r="K19" s="354" t="s">
        <v>107</v>
      </c>
      <c r="L19" s="400">
        <f t="shared" si="0"/>
        <v>26000</v>
      </c>
      <c r="M19" s="359">
        <v>0</v>
      </c>
      <c r="N19" s="401">
        <f t="shared" si="1"/>
        <v>26000</v>
      </c>
      <c r="O19" s="399">
        <f t="shared" si="21"/>
        <v>1</v>
      </c>
      <c r="P19" s="359">
        <f t="shared" si="3"/>
        <v>2704</v>
      </c>
      <c r="Q19" s="354">
        <v>12</v>
      </c>
      <c r="R19" s="400">
        <f t="shared" si="4"/>
        <v>32448</v>
      </c>
      <c r="S19" s="359">
        <v>0</v>
      </c>
      <c r="T19" s="401">
        <f t="shared" si="5"/>
        <v>32448</v>
      </c>
      <c r="U19" s="399">
        <f t="shared" si="22"/>
        <v>1</v>
      </c>
      <c r="V19" s="359">
        <f t="shared" si="7"/>
        <v>2812.1600000000003</v>
      </c>
      <c r="W19" s="354">
        <v>12</v>
      </c>
      <c r="X19" s="400">
        <f t="shared" si="8"/>
        <v>33745.920000000006</v>
      </c>
      <c r="Y19" s="359">
        <v>0</v>
      </c>
      <c r="Z19" s="401">
        <f t="shared" si="9"/>
        <v>33745.920000000006</v>
      </c>
      <c r="AA19" s="399">
        <f t="shared" si="23"/>
        <v>1</v>
      </c>
      <c r="AB19" s="359">
        <f t="shared" si="11"/>
        <v>2924.6464000000005</v>
      </c>
      <c r="AC19" s="354">
        <v>12</v>
      </c>
      <c r="AD19" s="400">
        <f t="shared" si="12"/>
        <v>35095.756800000003</v>
      </c>
      <c r="AE19" s="359">
        <v>0</v>
      </c>
      <c r="AF19" s="401">
        <f t="shared" si="13"/>
        <v>35095.756800000003</v>
      </c>
      <c r="AG19" s="399">
        <f t="shared" si="24"/>
        <v>1</v>
      </c>
      <c r="AH19" s="359">
        <f t="shared" si="15"/>
        <v>3041.6322560000008</v>
      </c>
      <c r="AI19" s="354">
        <v>10</v>
      </c>
      <c r="AJ19" s="400">
        <f t="shared" si="16"/>
        <v>30416.322560000008</v>
      </c>
      <c r="AK19" s="359">
        <v>0</v>
      </c>
      <c r="AL19" s="359">
        <f t="shared" si="17"/>
        <v>30416.322560000008</v>
      </c>
      <c r="AM19" s="402">
        <f t="shared" si="25"/>
        <v>157705.99936000002</v>
      </c>
      <c r="AN19" s="359">
        <f t="shared" si="19"/>
        <v>0</v>
      </c>
      <c r="AO19" s="402">
        <f t="shared" si="20"/>
        <v>157705.99936000002</v>
      </c>
    </row>
    <row r="20" spans="1:47" x14ac:dyDescent="0.45">
      <c r="A20" s="1" t="s">
        <v>210</v>
      </c>
      <c r="B20" s="710">
        <v>89050</v>
      </c>
      <c r="C20" s="258" t="s">
        <v>65</v>
      </c>
      <c r="D20" s="258" t="s">
        <v>65</v>
      </c>
      <c r="E20" s="1" t="s">
        <v>211</v>
      </c>
      <c r="F20" s="702" t="s">
        <v>609</v>
      </c>
      <c r="G20" s="511" t="s">
        <v>613</v>
      </c>
      <c r="H20" s="399">
        <v>1</v>
      </c>
      <c r="I20" s="35">
        <f>31200/12</f>
        <v>2600</v>
      </c>
      <c r="J20" s="354">
        <v>10</v>
      </c>
      <c r="K20" s="354" t="s">
        <v>107</v>
      </c>
      <c r="L20" s="400">
        <f t="shared" si="0"/>
        <v>26000</v>
      </c>
      <c r="M20" s="359">
        <v>0</v>
      </c>
      <c r="N20" s="401">
        <f t="shared" si="1"/>
        <v>26000</v>
      </c>
      <c r="O20" s="399">
        <f t="shared" si="21"/>
        <v>1</v>
      </c>
      <c r="P20" s="359">
        <f t="shared" si="3"/>
        <v>2704</v>
      </c>
      <c r="Q20" s="354">
        <v>12</v>
      </c>
      <c r="R20" s="400">
        <f t="shared" si="4"/>
        <v>32448</v>
      </c>
      <c r="S20" s="359">
        <v>0</v>
      </c>
      <c r="T20" s="401">
        <f t="shared" si="5"/>
        <v>32448</v>
      </c>
      <c r="U20" s="399">
        <f t="shared" si="22"/>
        <v>1</v>
      </c>
      <c r="V20" s="359">
        <f t="shared" si="7"/>
        <v>2812.1600000000003</v>
      </c>
      <c r="W20" s="354">
        <v>12</v>
      </c>
      <c r="X20" s="400">
        <f t="shared" si="8"/>
        <v>33745.920000000006</v>
      </c>
      <c r="Y20" s="359">
        <v>0</v>
      </c>
      <c r="Z20" s="401">
        <f t="shared" si="9"/>
        <v>33745.920000000006</v>
      </c>
      <c r="AA20" s="399">
        <f t="shared" si="23"/>
        <v>1</v>
      </c>
      <c r="AB20" s="359">
        <f t="shared" si="11"/>
        <v>2924.6464000000005</v>
      </c>
      <c r="AC20" s="354">
        <v>12</v>
      </c>
      <c r="AD20" s="400">
        <f t="shared" si="12"/>
        <v>35095.756800000003</v>
      </c>
      <c r="AE20" s="359">
        <v>0</v>
      </c>
      <c r="AF20" s="401">
        <f t="shared" si="13"/>
        <v>35095.756800000003</v>
      </c>
      <c r="AG20" s="399">
        <f t="shared" si="24"/>
        <v>1</v>
      </c>
      <c r="AH20" s="359">
        <f t="shared" si="15"/>
        <v>3041.6322560000008</v>
      </c>
      <c r="AI20" s="354">
        <v>10</v>
      </c>
      <c r="AJ20" s="400">
        <f t="shared" si="16"/>
        <v>30416.322560000008</v>
      </c>
      <c r="AK20" s="359">
        <v>0</v>
      </c>
      <c r="AL20" s="359">
        <f t="shared" si="17"/>
        <v>30416.322560000008</v>
      </c>
      <c r="AM20" s="402">
        <f t="shared" si="25"/>
        <v>157705.99936000002</v>
      </c>
      <c r="AN20" s="359">
        <f t="shared" si="19"/>
        <v>0</v>
      </c>
      <c r="AO20" s="402">
        <f t="shared" si="20"/>
        <v>157705.99936000002</v>
      </c>
    </row>
    <row r="21" spans="1:47" x14ac:dyDescent="0.45">
      <c r="A21" s="1" t="s">
        <v>210</v>
      </c>
      <c r="B21" s="710">
        <v>89050</v>
      </c>
      <c r="C21" s="258" t="s">
        <v>65</v>
      </c>
      <c r="D21" s="258" t="s">
        <v>65</v>
      </c>
      <c r="E21" s="1" t="s">
        <v>211</v>
      </c>
      <c r="F21" s="702" t="s">
        <v>609</v>
      </c>
      <c r="G21" s="511" t="s">
        <v>614</v>
      </c>
      <c r="H21" s="399">
        <v>1</v>
      </c>
      <c r="I21" s="35">
        <f>31200/12</f>
        <v>2600</v>
      </c>
      <c r="J21" s="354">
        <v>10</v>
      </c>
      <c r="K21" s="354" t="s">
        <v>107</v>
      </c>
      <c r="L21" s="400">
        <f t="shared" si="0"/>
        <v>26000</v>
      </c>
      <c r="M21" s="359">
        <v>0</v>
      </c>
      <c r="N21" s="401">
        <f t="shared" si="1"/>
        <v>26000</v>
      </c>
      <c r="O21" s="399">
        <f t="shared" si="21"/>
        <v>1</v>
      </c>
      <c r="P21" s="359">
        <f t="shared" si="3"/>
        <v>2704</v>
      </c>
      <c r="Q21" s="354">
        <v>12</v>
      </c>
      <c r="R21" s="400">
        <f t="shared" si="4"/>
        <v>32448</v>
      </c>
      <c r="S21" s="359">
        <v>0</v>
      </c>
      <c r="T21" s="401">
        <f t="shared" si="5"/>
        <v>32448</v>
      </c>
      <c r="U21" s="399">
        <f t="shared" si="22"/>
        <v>1</v>
      </c>
      <c r="V21" s="359">
        <f t="shared" si="7"/>
        <v>2812.1600000000003</v>
      </c>
      <c r="W21" s="354">
        <v>12</v>
      </c>
      <c r="X21" s="400">
        <f t="shared" si="8"/>
        <v>33745.920000000006</v>
      </c>
      <c r="Y21" s="359">
        <v>0</v>
      </c>
      <c r="Z21" s="401">
        <f t="shared" si="9"/>
        <v>33745.920000000006</v>
      </c>
      <c r="AA21" s="399">
        <f t="shared" si="23"/>
        <v>1</v>
      </c>
      <c r="AB21" s="359">
        <f t="shared" si="11"/>
        <v>2924.6464000000005</v>
      </c>
      <c r="AC21" s="354">
        <v>12</v>
      </c>
      <c r="AD21" s="400">
        <f t="shared" si="12"/>
        <v>35095.756800000003</v>
      </c>
      <c r="AE21" s="359">
        <v>0</v>
      </c>
      <c r="AF21" s="401">
        <f t="shared" si="13"/>
        <v>35095.756800000003</v>
      </c>
      <c r="AG21" s="399">
        <f t="shared" si="24"/>
        <v>1</v>
      </c>
      <c r="AH21" s="359">
        <f t="shared" si="15"/>
        <v>3041.6322560000008</v>
      </c>
      <c r="AI21" s="354">
        <v>10</v>
      </c>
      <c r="AJ21" s="400">
        <f t="shared" si="16"/>
        <v>30416.322560000008</v>
      </c>
      <c r="AK21" s="359">
        <v>0</v>
      </c>
      <c r="AL21" s="359">
        <f t="shared" si="17"/>
        <v>30416.322560000008</v>
      </c>
      <c r="AM21" s="402">
        <f t="shared" si="25"/>
        <v>157705.99936000002</v>
      </c>
      <c r="AN21" s="359">
        <f t="shared" si="19"/>
        <v>0</v>
      </c>
      <c r="AO21" s="402">
        <f t="shared" si="20"/>
        <v>157705.99936000002</v>
      </c>
    </row>
    <row r="22" spans="1:47" x14ac:dyDescent="0.45">
      <c r="A22" s="1" t="s">
        <v>210</v>
      </c>
      <c r="B22" s="710">
        <v>89050</v>
      </c>
      <c r="C22" s="258" t="s">
        <v>65</v>
      </c>
      <c r="D22" s="258" t="s">
        <v>65</v>
      </c>
      <c r="E22" s="1" t="s">
        <v>211</v>
      </c>
      <c r="F22" s="702" t="s">
        <v>609</v>
      </c>
      <c r="G22" s="511" t="s">
        <v>615</v>
      </c>
      <c r="H22" s="399">
        <v>1</v>
      </c>
      <c r="I22" s="35">
        <f>31200/12</f>
        <v>2600</v>
      </c>
      <c r="J22" s="354">
        <v>10</v>
      </c>
      <c r="K22" s="354" t="s">
        <v>107</v>
      </c>
      <c r="L22" s="400">
        <f t="shared" si="0"/>
        <v>26000</v>
      </c>
      <c r="M22" s="359">
        <v>0</v>
      </c>
      <c r="N22" s="401">
        <f t="shared" si="1"/>
        <v>26000</v>
      </c>
      <c r="O22" s="399">
        <f t="shared" si="2"/>
        <v>1</v>
      </c>
      <c r="P22" s="359">
        <f t="shared" si="3"/>
        <v>2704</v>
      </c>
      <c r="Q22" s="354">
        <v>12</v>
      </c>
      <c r="R22" s="400">
        <f t="shared" si="4"/>
        <v>32448</v>
      </c>
      <c r="S22" s="359">
        <v>0</v>
      </c>
      <c r="T22" s="401">
        <f t="shared" si="5"/>
        <v>32448</v>
      </c>
      <c r="U22" s="399">
        <f t="shared" si="6"/>
        <v>1</v>
      </c>
      <c r="V22" s="359">
        <f t="shared" si="7"/>
        <v>2812.1600000000003</v>
      </c>
      <c r="W22" s="354">
        <v>12</v>
      </c>
      <c r="X22" s="400">
        <f t="shared" si="8"/>
        <v>33745.920000000006</v>
      </c>
      <c r="Y22" s="359">
        <v>0</v>
      </c>
      <c r="Z22" s="401">
        <f t="shared" si="9"/>
        <v>33745.920000000006</v>
      </c>
      <c r="AA22" s="399">
        <f t="shared" si="10"/>
        <v>1</v>
      </c>
      <c r="AB22" s="359">
        <f t="shared" si="11"/>
        <v>2924.6464000000005</v>
      </c>
      <c r="AC22" s="354">
        <v>12</v>
      </c>
      <c r="AD22" s="400">
        <f t="shared" si="12"/>
        <v>35095.756800000003</v>
      </c>
      <c r="AE22" s="359">
        <v>0</v>
      </c>
      <c r="AF22" s="401">
        <f t="shared" si="13"/>
        <v>35095.756800000003</v>
      </c>
      <c r="AG22" s="399">
        <f t="shared" si="14"/>
        <v>1</v>
      </c>
      <c r="AH22" s="359">
        <f t="shared" si="15"/>
        <v>3041.6322560000008</v>
      </c>
      <c r="AI22" s="354">
        <v>10</v>
      </c>
      <c r="AJ22" s="400">
        <f t="shared" si="16"/>
        <v>30416.322560000008</v>
      </c>
      <c r="AK22" s="359">
        <v>0</v>
      </c>
      <c r="AL22" s="359">
        <f t="shared" si="17"/>
        <v>30416.322560000008</v>
      </c>
      <c r="AM22" s="402">
        <f t="shared" si="18"/>
        <v>157705.99936000002</v>
      </c>
      <c r="AN22" s="359">
        <f t="shared" si="19"/>
        <v>0</v>
      </c>
      <c r="AO22" s="402">
        <f t="shared" si="20"/>
        <v>157705.99936000002</v>
      </c>
      <c r="AQ22" s="359"/>
    </row>
    <row r="23" spans="1:47" x14ac:dyDescent="0.45">
      <c r="A23" s="540"/>
      <c r="B23" s="710"/>
      <c r="C23" s="540"/>
      <c r="D23" s="540"/>
      <c r="E23" s="540"/>
      <c r="F23" s="540"/>
      <c r="G23" s="540" t="s">
        <v>616</v>
      </c>
      <c r="H23" s="391"/>
      <c r="I23" s="534"/>
      <c r="J23" s="534"/>
      <c r="K23" s="534"/>
      <c r="L23" s="535"/>
      <c r="N23" s="536"/>
      <c r="O23" s="430"/>
      <c r="P23" s="534"/>
      <c r="Q23" s="534"/>
      <c r="R23" s="535"/>
      <c r="T23" s="536"/>
      <c r="U23" s="399"/>
      <c r="V23" s="534"/>
      <c r="W23" s="534"/>
      <c r="X23" s="535"/>
      <c r="Z23" s="536"/>
      <c r="AA23" s="430"/>
      <c r="AB23" s="534"/>
      <c r="AC23" s="534"/>
      <c r="AD23" s="535"/>
      <c r="AF23" s="536"/>
      <c r="AG23" s="430"/>
      <c r="AH23" s="534"/>
      <c r="AI23" s="534"/>
      <c r="AJ23" s="535"/>
      <c r="AM23" s="455"/>
      <c r="AO23" s="455"/>
    </row>
    <row r="24" spans="1:47" x14ac:dyDescent="0.45">
      <c r="A24" s="1" t="s">
        <v>210</v>
      </c>
      <c r="B24" s="710">
        <v>89050</v>
      </c>
      <c r="C24" s="258" t="s">
        <v>65</v>
      </c>
      <c r="D24" s="258" t="s">
        <v>65</v>
      </c>
      <c r="E24" s="1" t="s">
        <v>211</v>
      </c>
      <c r="F24" s="702" t="s">
        <v>617</v>
      </c>
      <c r="G24" s="511" t="s">
        <v>58</v>
      </c>
      <c r="H24" s="399">
        <v>0.25</v>
      </c>
      <c r="I24" s="37">
        <f>52500/12</f>
        <v>4375</v>
      </c>
      <c r="J24" s="36">
        <v>10</v>
      </c>
      <c r="K24" s="354" t="s">
        <v>107</v>
      </c>
      <c r="L24" s="400">
        <f>J24*I24*H24*0.7</f>
        <v>7656.2499999999991</v>
      </c>
      <c r="M24" s="359">
        <f>H24*I24*J24*0.3</f>
        <v>3281.25</v>
      </c>
      <c r="N24" s="401">
        <f>SUM(L24:M24)</f>
        <v>10937.5</v>
      </c>
      <c r="O24" s="399">
        <f>H24</f>
        <v>0.25</v>
      </c>
      <c r="P24" s="359">
        <f>I24*$H$7</f>
        <v>4550</v>
      </c>
      <c r="Q24" s="354">
        <v>12</v>
      </c>
      <c r="R24" s="400">
        <f>O24*P24*Q24*0.7</f>
        <v>9555</v>
      </c>
      <c r="S24" s="359">
        <f>O24*P24*Q24*0.3</f>
        <v>4095</v>
      </c>
      <c r="T24" s="401">
        <f>SUM(R24:S24)</f>
        <v>13650</v>
      </c>
      <c r="U24" s="399">
        <f>H24</f>
        <v>0.25</v>
      </c>
      <c r="V24" s="359">
        <f>I24*$H$7*$H$7</f>
        <v>4732</v>
      </c>
      <c r="W24" s="354">
        <v>12</v>
      </c>
      <c r="X24" s="400">
        <f>U24*V24*W24*0.7</f>
        <v>9937.1999999999989</v>
      </c>
      <c r="Y24" s="359">
        <f>U24*V24*W24*0.3</f>
        <v>4258.8</v>
      </c>
      <c r="Z24" s="401">
        <f>SUM(X24:Y24)</f>
        <v>14196</v>
      </c>
      <c r="AA24" s="399">
        <f>U24</f>
        <v>0.25</v>
      </c>
      <c r="AB24" s="359">
        <f>I24*$H$7*$H$7*$H$7</f>
        <v>4921.28</v>
      </c>
      <c r="AC24" s="354">
        <v>12</v>
      </c>
      <c r="AD24" s="400">
        <f>AA24*AB24*AC24*0.7</f>
        <v>10334.688</v>
      </c>
      <c r="AE24" s="359">
        <f>AA24*AB24*AC24*0.3</f>
        <v>4429.152</v>
      </c>
      <c r="AF24" s="401">
        <f>SUM(AD24:AE24)</f>
        <v>14763.84</v>
      </c>
      <c r="AG24" s="399">
        <f>AA24</f>
        <v>0.25</v>
      </c>
      <c r="AH24" s="359">
        <f>I24*$H$7*$H$7*$H$7*$H$7</f>
        <v>5118.1311999999998</v>
      </c>
      <c r="AI24" s="354">
        <v>11</v>
      </c>
      <c r="AJ24" s="400">
        <f>AG24*AH24*AI24*0.7</f>
        <v>9852.4025599999986</v>
      </c>
      <c r="AK24" s="359">
        <f>AG24*AH24*AI24*0.3</f>
        <v>4222.458239999999</v>
      </c>
      <c r="AL24" s="359">
        <f>SUM(AJ24:AK24)</f>
        <v>14074.860799999999</v>
      </c>
      <c r="AM24" s="402">
        <f>L24+R24+X24+AD24+AJ24</f>
        <v>47335.540559999994</v>
      </c>
      <c r="AN24" s="359">
        <f>M24+S24+Y24+AE24+AK24</f>
        <v>20286.660239999997</v>
      </c>
      <c r="AO24" s="402">
        <f>SUM(AM24:AN24)</f>
        <v>67622.200799999991</v>
      </c>
    </row>
    <row r="25" spans="1:47" s="406" customFormat="1" x14ac:dyDescent="0.45">
      <c r="A25" s="403"/>
      <c r="B25" s="403"/>
      <c r="C25" s="403"/>
      <c r="D25" s="403"/>
      <c r="E25" s="403"/>
      <c r="F25" s="403"/>
      <c r="G25" s="403" t="s">
        <v>62</v>
      </c>
      <c r="H25" s="404"/>
      <c r="I25" s="586"/>
      <c r="J25" s="586"/>
      <c r="K25" s="586"/>
      <c r="L25" s="405">
        <f>SUM(L17:L24)</f>
        <v>191447.91666666666</v>
      </c>
      <c r="M25" s="405">
        <f>SUM(M17:M24)</f>
        <v>3281.25</v>
      </c>
      <c r="N25" s="405">
        <f>SUM(N17:N24)</f>
        <v>194729.16666666666</v>
      </c>
      <c r="O25" s="404"/>
      <c r="P25" s="586"/>
      <c r="Q25" s="586"/>
      <c r="R25" s="405">
        <f>SUM(R17:R24)</f>
        <v>233467</v>
      </c>
      <c r="S25" s="405">
        <f>SUM(S17:S24)</f>
        <v>4095</v>
      </c>
      <c r="T25" s="405">
        <f>SUM(T17:T24)</f>
        <v>237562</v>
      </c>
      <c r="U25" s="404"/>
      <c r="V25" s="359"/>
      <c r="W25" s="586"/>
      <c r="X25" s="405">
        <f>SUM(X17:X24)</f>
        <v>242805.68000000005</v>
      </c>
      <c r="Y25" s="405">
        <f>SUM(Y17:Y24)</f>
        <v>4258.8</v>
      </c>
      <c r="Z25" s="405">
        <f>SUM(Z17:Z24)</f>
        <v>247064.48000000004</v>
      </c>
      <c r="AA25" s="404"/>
      <c r="AB25" s="359"/>
      <c r="AC25" s="586"/>
      <c r="AD25" s="405">
        <f>SUM(AD17:AD24)</f>
        <v>252517.90720000002</v>
      </c>
      <c r="AE25" s="405">
        <f>SUM(AE17:AE24)</f>
        <v>4429.152</v>
      </c>
      <c r="AF25" s="405">
        <f>SUM(AF17:AF24)</f>
        <v>256947.05920000002</v>
      </c>
      <c r="AG25" s="404"/>
      <c r="AH25" s="359"/>
      <c r="AI25" s="586"/>
      <c r="AJ25" s="405">
        <f t="shared" ref="AJ25:AO25" si="26">SUM(AJ17:AJ24)</f>
        <v>229980.78826666667</v>
      </c>
      <c r="AK25" s="405">
        <f t="shared" si="26"/>
        <v>4222.458239999999</v>
      </c>
      <c r="AL25" s="405">
        <f t="shared" si="26"/>
        <v>234203.24650666668</v>
      </c>
      <c r="AM25" s="676">
        <f t="shared" si="26"/>
        <v>1150219.2921333336</v>
      </c>
      <c r="AN25" s="557">
        <f t="shared" si="26"/>
        <v>20286.660239999997</v>
      </c>
      <c r="AO25" s="676">
        <f t="shared" si="26"/>
        <v>1170505.9523733335</v>
      </c>
    </row>
    <row r="26" spans="1:47" x14ac:dyDescent="0.45">
      <c r="A26" s="407"/>
      <c r="B26" s="407"/>
      <c r="C26" s="407"/>
      <c r="D26" s="407"/>
      <c r="E26" s="407"/>
      <c r="F26" s="407"/>
      <c r="G26" s="407"/>
      <c r="H26" s="408"/>
      <c r="I26" s="587"/>
      <c r="J26" s="587"/>
      <c r="K26" s="587"/>
      <c r="L26" s="400"/>
      <c r="M26" s="359"/>
      <c r="N26" s="401"/>
      <c r="O26" s="408"/>
      <c r="P26" s="587"/>
      <c r="Q26" s="587"/>
      <c r="R26" s="400"/>
      <c r="S26" s="359"/>
      <c r="T26" s="401"/>
      <c r="U26" s="408"/>
      <c r="V26" s="359"/>
      <c r="W26" s="587"/>
      <c r="X26" s="400"/>
      <c r="Y26" s="359"/>
      <c r="Z26" s="401"/>
      <c r="AA26" s="408"/>
      <c r="AB26" s="359"/>
      <c r="AC26" s="587"/>
      <c r="AD26" s="400"/>
      <c r="AE26" s="359"/>
      <c r="AF26" s="401"/>
      <c r="AG26" s="408"/>
      <c r="AH26" s="359"/>
      <c r="AI26" s="587"/>
      <c r="AJ26" s="400"/>
      <c r="AK26" s="359"/>
      <c r="AL26" s="359"/>
      <c r="AM26" s="402"/>
      <c r="AN26" s="359"/>
      <c r="AO26" s="402"/>
    </row>
    <row r="27" spans="1:47" x14ac:dyDescent="0.45">
      <c r="A27" s="409"/>
      <c r="B27" s="409"/>
      <c r="C27" s="409"/>
      <c r="D27" s="409"/>
      <c r="E27" s="409"/>
      <c r="F27" s="409"/>
      <c r="G27" s="409" t="s">
        <v>618</v>
      </c>
      <c r="H27" s="391" t="s">
        <v>54</v>
      </c>
      <c r="I27" s="510"/>
      <c r="J27" s="510"/>
      <c r="K27" s="510"/>
      <c r="L27" s="400"/>
      <c r="M27" s="359"/>
      <c r="N27" s="401"/>
      <c r="O27" s="391"/>
      <c r="P27" s="359"/>
      <c r="Q27" s="510"/>
      <c r="R27" s="400"/>
      <c r="S27" s="359"/>
      <c r="T27" s="401"/>
      <c r="U27" s="391"/>
      <c r="V27" s="359"/>
      <c r="W27" s="510"/>
      <c r="X27" s="400"/>
      <c r="Y27" s="359"/>
      <c r="Z27" s="401"/>
      <c r="AA27" s="391"/>
      <c r="AB27" s="359"/>
      <c r="AC27" s="510"/>
      <c r="AD27" s="400"/>
      <c r="AE27" s="359"/>
      <c r="AF27" s="401"/>
      <c r="AG27" s="391"/>
      <c r="AH27" s="359"/>
      <c r="AI27" s="510"/>
      <c r="AJ27" s="400"/>
      <c r="AK27" s="359"/>
      <c r="AL27" s="359"/>
      <c r="AM27" s="402"/>
      <c r="AN27" s="359"/>
      <c r="AO27" s="402"/>
      <c r="AP27" s="406"/>
      <c r="AQ27" s="406"/>
      <c r="AR27" s="406"/>
      <c r="AS27" s="406"/>
      <c r="AT27" s="406"/>
      <c r="AU27" s="406"/>
    </row>
    <row r="28" spans="1:47" x14ac:dyDescent="0.45">
      <c r="A28" s="1" t="s">
        <v>210</v>
      </c>
      <c r="B28" s="710">
        <v>89050</v>
      </c>
      <c r="C28" s="258" t="s">
        <v>65</v>
      </c>
      <c r="D28" s="258" t="s">
        <v>65</v>
      </c>
      <c r="E28" s="1" t="s">
        <v>211</v>
      </c>
      <c r="F28" s="702" t="s">
        <v>609</v>
      </c>
      <c r="G28" s="511" t="s">
        <v>619</v>
      </c>
      <c r="H28" s="399">
        <v>1</v>
      </c>
      <c r="I28" s="359">
        <f>(15000/12)*5</f>
        <v>6250</v>
      </c>
      <c r="J28" s="354">
        <v>9</v>
      </c>
      <c r="K28" s="354" t="s">
        <v>620</v>
      </c>
      <c r="L28" s="400">
        <f t="shared" ref="L28:L30" si="27">H28*I28*J28</f>
        <v>56250</v>
      </c>
      <c r="M28" s="359">
        <v>0</v>
      </c>
      <c r="N28" s="401">
        <f t="shared" ref="N28:N30" si="28">SUM(L28:M28)</f>
        <v>56250</v>
      </c>
      <c r="O28" s="399">
        <v>1</v>
      </c>
      <c r="P28" s="359">
        <f t="shared" ref="P28:P30" si="29">I28*$H$7</f>
        <v>6500</v>
      </c>
      <c r="Q28" s="354">
        <v>10</v>
      </c>
      <c r="R28" s="400">
        <f t="shared" ref="R28:R30" si="30">O28*P28*Q28</f>
        <v>65000</v>
      </c>
      <c r="S28" s="359">
        <v>0</v>
      </c>
      <c r="T28" s="39">
        <f t="shared" ref="T28:T30" si="31">SUM(R28:S28)</f>
        <v>65000</v>
      </c>
      <c r="U28" s="399">
        <v>1</v>
      </c>
      <c r="V28" s="359">
        <f t="shared" ref="V28:V30" si="32">P28*$H$7</f>
        <v>6760</v>
      </c>
      <c r="W28" s="354">
        <v>10</v>
      </c>
      <c r="X28" s="400">
        <f t="shared" ref="X28:X29" si="33">U28*V28*W28</f>
        <v>67600</v>
      </c>
      <c r="Y28" s="359">
        <v>0</v>
      </c>
      <c r="Z28" s="401">
        <f t="shared" ref="Z28:Z30" si="34">SUM(X28:Y28)</f>
        <v>67600</v>
      </c>
      <c r="AA28" s="399">
        <v>1</v>
      </c>
      <c r="AB28" s="359">
        <f t="shared" ref="AB28:AB30" si="35">V28*$H$7</f>
        <v>7030.4000000000005</v>
      </c>
      <c r="AC28" s="354">
        <v>10</v>
      </c>
      <c r="AD28" s="400">
        <f t="shared" ref="AD28:AD30" si="36">AA28*AB28*AC28</f>
        <v>70304</v>
      </c>
      <c r="AE28" s="618">
        <v>0</v>
      </c>
      <c r="AF28" s="401">
        <f t="shared" ref="AF28:AF30" si="37">SUM(AD28:AE28)</f>
        <v>70304</v>
      </c>
      <c r="AG28" s="399">
        <v>0</v>
      </c>
      <c r="AH28" s="359">
        <f t="shared" ref="AH28:AH30" si="38">AB28*$H$7</f>
        <v>7311.6160000000009</v>
      </c>
      <c r="AI28" s="354">
        <v>0</v>
      </c>
      <c r="AJ28" s="400">
        <f>AG28*AH28*AI28</f>
        <v>0</v>
      </c>
      <c r="AK28" s="359">
        <v>0</v>
      </c>
      <c r="AL28" s="359">
        <f t="shared" ref="AL28:AL30" si="39">SUM(AJ28:AK28)</f>
        <v>0</v>
      </c>
      <c r="AM28" s="402">
        <f t="shared" ref="AM28:AN30" si="40">L28+R28+X28+AD28+AJ28</f>
        <v>259154</v>
      </c>
      <c r="AN28" s="359">
        <f t="shared" si="40"/>
        <v>0</v>
      </c>
      <c r="AO28" s="402">
        <f t="shared" ref="AO28:AO30" si="41">SUM(AM28:AN28)</f>
        <v>259154</v>
      </c>
      <c r="AP28" s="406"/>
      <c r="AQ28" s="406"/>
      <c r="AR28" s="406"/>
      <c r="AS28" s="406"/>
      <c r="AT28" s="406"/>
      <c r="AU28" s="406"/>
    </row>
    <row r="29" spans="1:47" x14ac:dyDescent="0.45">
      <c r="A29" s="1" t="s">
        <v>210</v>
      </c>
      <c r="B29" s="710">
        <v>89050</v>
      </c>
      <c r="C29" s="258" t="s">
        <v>65</v>
      </c>
      <c r="D29" s="258" t="s">
        <v>65</v>
      </c>
      <c r="E29" s="1" t="s">
        <v>211</v>
      </c>
      <c r="F29" s="702" t="s">
        <v>609</v>
      </c>
      <c r="G29" s="511" t="s">
        <v>621</v>
      </c>
      <c r="H29" s="399">
        <v>1</v>
      </c>
      <c r="I29" s="359">
        <f>15000/12</f>
        <v>1250</v>
      </c>
      <c r="J29" s="354">
        <v>9</v>
      </c>
      <c r="K29" s="354" t="s">
        <v>620</v>
      </c>
      <c r="L29" s="400">
        <f t="shared" si="27"/>
        <v>11250</v>
      </c>
      <c r="M29" s="359">
        <v>0</v>
      </c>
      <c r="N29" s="401">
        <f t="shared" si="28"/>
        <v>11250</v>
      </c>
      <c r="O29" s="399">
        <v>1</v>
      </c>
      <c r="P29" s="359">
        <f t="shared" si="29"/>
        <v>1300</v>
      </c>
      <c r="Q29" s="354">
        <v>10</v>
      </c>
      <c r="R29" s="400">
        <f t="shared" si="30"/>
        <v>13000</v>
      </c>
      <c r="S29" s="359">
        <v>0</v>
      </c>
      <c r="T29" s="39">
        <f t="shared" si="31"/>
        <v>13000</v>
      </c>
      <c r="U29" s="399">
        <v>1</v>
      </c>
      <c r="V29" s="359">
        <f t="shared" si="32"/>
        <v>1352</v>
      </c>
      <c r="W29" s="354">
        <v>10</v>
      </c>
      <c r="X29" s="400">
        <f t="shared" si="33"/>
        <v>13520</v>
      </c>
      <c r="Y29" s="359">
        <v>0</v>
      </c>
      <c r="Z29" s="401">
        <f t="shared" si="34"/>
        <v>13520</v>
      </c>
      <c r="AA29" s="399">
        <v>1</v>
      </c>
      <c r="AB29" s="359">
        <f t="shared" si="35"/>
        <v>1406.0800000000002</v>
      </c>
      <c r="AC29" s="354">
        <v>10</v>
      </c>
      <c r="AD29" s="400">
        <f t="shared" si="36"/>
        <v>14060.800000000001</v>
      </c>
      <c r="AE29" s="359">
        <v>0</v>
      </c>
      <c r="AF29" s="401">
        <f t="shared" si="37"/>
        <v>14060.800000000001</v>
      </c>
      <c r="AG29" s="399">
        <v>0</v>
      </c>
      <c r="AH29" s="359">
        <f t="shared" si="38"/>
        <v>1462.3232000000003</v>
      </c>
      <c r="AI29" s="354">
        <v>0</v>
      </c>
      <c r="AJ29" s="400">
        <f t="shared" ref="AJ29:AJ30" si="42">AG29*AH29*AI29</f>
        <v>0</v>
      </c>
      <c r="AK29" s="359">
        <v>0</v>
      </c>
      <c r="AL29" s="359">
        <f t="shared" si="39"/>
        <v>0</v>
      </c>
      <c r="AM29" s="402">
        <f t="shared" si="40"/>
        <v>51830.8</v>
      </c>
      <c r="AN29" s="359">
        <f t="shared" si="40"/>
        <v>0</v>
      </c>
      <c r="AO29" s="402">
        <f t="shared" si="41"/>
        <v>51830.8</v>
      </c>
      <c r="AP29" s="406"/>
      <c r="AQ29" s="406"/>
      <c r="AR29" s="406"/>
      <c r="AS29" s="406"/>
      <c r="AT29" s="406"/>
      <c r="AU29" s="406"/>
    </row>
    <row r="30" spans="1:47" x14ac:dyDescent="0.45">
      <c r="A30" s="1" t="s">
        <v>210</v>
      </c>
      <c r="B30" s="710">
        <v>89050</v>
      </c>
      <c r="C30" s="258" t="s">
        <v>65</v>
      </c>
      <c r="D30" s="258" t="s">
        <v>65</v>
      </c>
      <c r="E30" s="1" t="s">
        <v>211</v>
      </c>
      <c r="F30" s="702" t="s">
        <v>609</v>
      </c>
      <c r="G30" s="511" t="s">
        <v>622</v>
      </c>
      <c r="H30" s="399">
        <v>1</v>
      </c>
      <c r="I30" s="359">
        <f>15000/12</f>
        <v>1250</v>
      </c>
      <c r="J30" s="354">
        <v>9</v>
      </c>
      <c r="K30" s="354" t="s">
        <v>59</v>
      </c>
      <c r="L30" s="400">
        <f t="shared" si="27"/>
        <v>11250</v>
      </c>
      <c r="M30" s="359">
        <v>0</v>
      </c>
      <c r="N30" s="401">
        <f t="shared" si="28"/>
        <v>11250</v>
      </c>
      <c r="O30" s="399">
        <v>1</v>
      </c>
      <c r="P30" s="359">
        <f t="shared" si="29"/>
        <v>1300</v>
      </c>
      <c r="Q30" s="354">
        <v>10</v>
      </c>
      <c r="R30" s="400">
        <f t="shared" si="30"/>
        <v>13000</v>
      </c>
      <c r="S30" s="359">
        <v>0</v>
      </c>
      <c r="T30" s="39">
        <f t="shared" si="31"/>
        <v>13000</v>
      </c>
      <c r="U30" s="399">
        <v>1</v>
      </c>
      <c r="V30" s="359">
        <f t="shared" si="32"/>
        <v>1352</v>
      </c>
      <c r="W30" s="354">
        <v>10</v>
      </c>
      <c r="X30" s="400">
        <f>U30*V30*W30</f>
        <v>13520</v>
      </c>
      <c r="Y30" s="359">
        <v>0</v>
      </c>
      <c r="Z30" s="401">
        <f t="shared" si="34"/>
        <v>13520</v>
      </c>
      <c r="AA30" s="399">
        <v>1</v>
      </c>
      <c r="AB30" s="359">
        <f t="shared" si="35"/>
        <v>1406.0800000000002</v>
      </c>
      <c r="AC30" s="354">
        <v>10</v>
      </c>
      <c r="AD30" s="400">
        <f t="shared" si="36"/>
        <v>14060.800000000001</v>
      </c>
      <c r="AE30" s="359">
        <v>0</v>
      </c>
      <c r="AF30" s="401">
        <f t="shared" si="37"/>
        <v>14060.800000000001</v>
      </c>
      <c r="AG30" s="399">
        <v>0</v>
      </c>
      <c r="AH30" s="359">
        <f t="shared" si="38"/>
        <v>1462.3232000000003</v>
      </c>
      <c r="AI30" s="354">
        <v>0</v>
      </c>
      <c r="AJ30" s="400">
        <f t="shared" si="42"/>
        <v>0</v>
      </c>
      <c r="AK30" s="359">
        <v>0</v>
      </c>
      <c r="AL30" s="359">
        <f t="shared" si="39"/>
        <v>0</v>
      </c>
      <c r="AM30" s="402">
        <f t="shared" si="40"/>
        <v>51830.8</v>
      </c>
      <c r="AN30" s="359">
        <f t="shared" si="40"/>
        <v>0</v>
      </c>
      <c r="AO30" s="402">
        <f t="shared" si="41"/>
        <v>51830.8</v>
      </c>
      <c r="AP30" s="406"/>
      <c r="AQ30" s="406"/>
      <c r="AR30" s="406"/>
      <c r="AS30" s="406"/>
      <c r="AT30" s="406"/>
      <c r="AU30" s="406"/>
    </row>
    <row r="31" spans="1:47" s="1" customFormat="1" x14ac:dyDescent="0.45">
      <c r="A31" s="1" t="s">
        <v>210</v>
      </c>
      <c r="B31" s="710">
        <v>89050</v>
      </c>
      <c r="C31" s="258" t="s">
        <v>65</v>
      </c>
      <c r="D31" s="258" t="s">
        <v>65</v>
      </c>
      <c r="E31" s="1" t="s">
        <v>211</v>
      </c>
      <c r="F31" s="702" t="s">
        <v>609</v>
      </c>
      <c r="G31" s="34" t="s">
        <v>347</v>
      </c>
      <c r="H31" s="601">
        <v>1</v>
      </c>
      <c r="I31" s="35">
        <f>31200/12</f>
        <v>2600</v>
      </c>
      <c r="J31" s="287">
        <v>9</v>
      </c>
      <c r="K31" s="112" t="s">
        <v>59</v>
      </c>
      <c r="L31" s="37">
        <f t="shared" ref="L31" si="43">J31*I31*H31</f>
        <v>23400</v>
      </c>
      <c r="M31" s="38">
        <v>0</v>
      </c>
      <c r="N31" s="39">
        <f t="shared" ref="N31:N40" si="44">SUM(L31:M31)</f>
        <v>23400</v>
      </c>
      <c r="O31" s="601">
        <v>1</v>
      </c>
      <c r="P31" s="38">
        <f t="shared" ref="P31:P40" si="45">I31*$H$7</f>
        <v>2704</v>
      </c>
      <c r="Q31" s="354">
        <v>12</v>
      </c>
      <c r="R31" s="37">
        <f t="shared" ref="R31" si="46">P31*Q31*O31</f>
        <v>32448</v>
      </c>
      <c r="S31" s="38">
        <v>0</v>
      </c>
      <c r="T31" s="39">
        <f t="shared" ref="T31" si="47">SUM(R31:S31)</f>
        <v>32448</v>
      </c>
      <c r="U31" s="601">
        <v>1</v>
      </c>
      <c r="V31" s="38">
        <f t="shared" ref="V31:V40" si="48">I31*$H$7*$H$7</f>
        <v>2812.1600000000003</v>
      </c>
      <c r="W31" s="354">
        <v>12</v>
      </c>
      <c r="X31" s="37">
        <f t="shared" ref="X31:X40" si="49">W31*V31*U31</f>
        <v>33745.920000000006</v>
      </c>
      <c r="Y31" s="38">
        <v>0</v>
      </c>
      <c r="Z31" s="39">
        <f t="shared" ref="Z31" si="50">SUM(X31:Y31)</f>
        <v>33745.920000000006</v>
      </c>
      <c r="AA31" s="601">
        <v>1</v>
      </c>
      <c r="AB31" s="38">
        <f t="shared" ref="AB31:AB40" si="51">I31*$H$7*$H$7*$H$7</f>
        <v>2924.6464000000005</v>
      </c>
      <c r="AC31" s="354">
        <v>12</v>
      </c>
      <c r="AD31" s="37">
        <f t="shared" ref="AD31:AD40" si="52">AC31*AB31*AA31</f>
        <v>35095.756800000003</v>
      </c>
      <c r="AE31" s="38">
        <v>0</v>
      </c>
      <c r="AF31" s="39">
        <f t="shared" ref="AF31:AF40" si="53">SUM(AD31:AE31)</f>
        <v>35095.756800000003</v>
      </c>
      <c r="AG31" s="601">
        <v>1</v>
      </c>
      <c r="AH31" s="38">
        <f t="shared" ref="AH31:AH40" si="54">I31*$H$7*$H$7*$H$7*$H$7</f>
        <v>3041.6322560000008</v>
      </c>
      <c r="AI31" s="354">
        <v>10</v>
      </c>
      <c r="AJ31" s="37">
        <f t="shared" ref="AJ31" si="55">AI31*AH31*AG31</f>
        <v>30416.322560000008</v>
      </c>
      <c r="AK31" s="38">
        <v>0</v>
      </c>
      <c r="AL31" s="39">
        <f t="shared" ref="AL31" si="56">SUM(AJ31:AK31)</f>
        <v>30416.322560000008</v>
      </c>
      <c r="AM31" s="40">
        <f t="shared" ref="AM31:AM40" si="57">L31+R31+X31+AD31+AJ31</f>
        <v>155105.99936000002</v>
      </c>
      <c r="AN31" s="270">
        <f t="shared" ref="AN31:AN40" si="58">M31+S31+Y31+AE31+AK31</f>
        <v>0</v>
      </c>
      <c r="AO31" s="40">
        <f t="shared" ref="AO31:AO40" si="59">SUM(AM31:AN31)</f>
        <v>155105.99936000002</v>
      </c>
      <c r="AP31" s="406"/>
      <c r="AQ31" s="406"/>
      <c r="AR31" s="406"/>
      <c r="AS31" s="406"/>
      <c r="AT31" s="406"/>
      <c r="AU31" s="406"/>
    </row>
    <row r="32" spans="1:47" x14ac:dyDescent="0.45">
      <c r="A32" s="1" t="s">
        <v>210</v>
      </c>
      <c r="B32" s="710">
        <v>89050</v>
      </c>
      <c r="C32" s="258" t="s">
        <v>65</v>
      </c>
      <c r="D32" s="258" t="s">
        <v>65</v>
      </c>
      <c r="E32" s="1" t="s">
        <v>211</v>
      </c>
      <c r="F32" s="702" t="s">
        <v>623</v>
      </c>
      <c r="G32" s="511" t="s">
        <v>363</v>
      </c>
      <c r="H32" s="399">
        <v>0.3</v>
      </c>
      <c r="I32" s="359">
        <f>13500/12</f>
        <v>1125</v>
      </c>
      <c r="J32" s="354">
        <v>9</v>
      </c>
      <c r="K32" s="603" t="s">
        <v>107</v>
      </c>
      <c r="L32" s="359">
        <v>0</v>
      </c>
      <c r="M32" s="359">
        <f>H32*I32*J32</f>
        <v>3037.5</v>
      </c>
      <c r="N32" s="401">
        <f>SUM(L32:M32)</f>
        <v>3037.5</v>
      </c>
      <c r="O32" s="399">
        <v>0.3</v>
      </c>
      <c r="P32" s="38">
        <f t="shared" si="45"/>
        <v>1170</v>
      </c>
      <c r="Q32" s="354">
        <v>12</v>
      </c>
      <c r="R32" s="400">
        <v>0</v>
      </c>
      <c r="S32" s="359">
        <f>O32*P32*Q32</f>
        <v>4212</v>
      </c>
      <c r="T32" s="359">
        <f t="shared" ref="T32" si="60">SUM(R32:S32)</f>
        <v>4212</v>
      </c>
      <c r="U32" s="399">
        <v>0.3</v>
      </c>
      <c r="V32" s="38">
        <f t="shared" si="48"/>
        <v>1216.8</v>
      </c>
      <c r="W32" s="354">
        <v>12</v>
      </c>
      <c r="X32" s="400">
        <v>0</v>
      </c>
      <c r="Y32" s="359">
        <f>U32*V32*W32</f>
        <v>4380.4799999999996</v>
      </c>
      <c r="Z32" s="401">
        <f t="shared" ref="Z32" si="61">SUM(X32:Y32)</f>
        <v>4380.4799999999996</v>
      </c>
      <c r="AA32" s="399">
        <v>0.3</v>
      </c>
      <c r="AB32" s="38">
        <f t="shared" si="51"/>
        <v>1265.472</v>
      </c>
      <c r="AC32" s="354">
        <v>12</v>
      </c>
      <c r="AD32" s="400">
        <v>0</v>
      </c>
      <c r="AE32" s="359">
        <f>AA32*AB32*AC32</f>
        <v>4555.6992</v>
      </c>
      <c r="AF32" s="401">
        <f t="shared" ref="AF32" si="62">SUM(AD32:AE32)</f>
        <v>4555.6992</v>
      </c>
      <c r="AG32" s="399">
        <v>0.3</v>
      </c>
      <c r="AH32" s="38">
        <f t="shared" si="54"/>
        <v>1316.09088</v>
      </c>
      <c r="AI32" s="354">
        <v>9</v>
      </c>
      <c r="AJ32" s="400">
        <v>0</v>
      </c>
      <c r="AK32" s="359">
        <f>AG32*AH32*AI32</f>
        <v>3553.4453759999997</v>
      </c>
      <c r="AL32" s="359">
        <f t="shared" ref="AL32" si="63">SUM(AJ32:AK32)</f>
        <v>3553.4453759999997</v>
      </c>
      <c r="AM32" s="402">
        <f>L32+R32+X32+AD32+AJ32</f>
        <v>0</v>
      </c>
      <c r="AN32" s="359">
        <f t="shared" ref="AN32" si="64">M32+S32+Y32+AE32+AK32</f>
        <v>19739.124575999998</v>
      </c>
      <c r="AO32" s="402">
        <f t="shared" si="59"/>
        <v>19739.124575999998</v>
      </c>
    </row>
    <row r="33" spans="1:43" x14ac:dyDescent="0.45">
      <c r="A33" s="1" t="s">
        <v>210</v>
      </c>
      <c r="B33" s="710">
        <v>89050</v>
      </c>
      <c r="C33" s="258" t="s">
        <v>65</v>
      </c>
      <c r="D33" s="258" t="s">
        <v>65</v>
      </c>
      <c r="E33" s="1" t="s">
        <v>211</v>
      </c>
      <c r="F33" s="702" t="s">
        <v>609</v>
      </c>
      <c r="G33" s="511" t="s">
        <v>526</v>
      </c>
      <c r="H33" s="399">
        <v>1</v>
      </c>
      <c r="I33" s="37">
        <f>22500/12</f>
        <v>1875</v>
      </c>
      <c r="J33" s="354">
        <v>9</v>
      </c>
      <c r="K33" s="603" t="s">
        <v>107</v>
      </c>
      <c r="L33" s="359">
        <f t="shared" ref="L33" si="65">J33*I33*H33</f>
        <v>16875</v>
      </c>
      <c r="M33" s="359">
        <v>0</v>
      </c>
      <c r="N33" s="401">
        <f t="shared" ref="N33" si="66">SUM(L33:M33)</f>
        <v>16875</v>
      </c>
      <c r="O33" s="399">
        <v>1</v>
      </c>
      <c r="P33" s="38">
        <f t="shared" si="45"/>
        <v>1950</v>
      </c>
      <c r="Q33" s="354">
        <v>12</v>
      </c>
      <c r="R33" s="400">
        <f>P33*Q33*O33</f>
        <v>23400</v>
      </c>
      <c r="S33" s="359">
        <v>0</v>
      </c>
      <c r="T33" s="401">
        <f t="shared" ref="T33" si="67">SUM(R33:S33)</f>
        <v>23400</v>
      </c>
      <c r="U33" s="399">
        <v>1</v>
      </c>
      <c r="V33" s="38">
        <f t="shared" si="48"/>
        <v>2028</v>
      </c>
      <c r="W33" s="354">
        <v>12</v>
      </c>
      <c r="X33" s="400">
        <f t="shared" ref="X33" si="68">W33*V33*U33</f>
        <v>24336</v>
      </c>
      <c r="Y33" s="359">
        <v>0</v>
      </c>
      <c r="Z33" s="401">
        <f>SUM(X33:Y33)</f>
        <v>24336</v>
      </c>
      <c r="AA33" s="399">
        <v>1</v>
      </c>
      <c r="AB33" s="38">
        <f t="shared" si="51"/>
        <v>2109.12</v>
      </c>
      <c r="AC33" s="354">
        <v>12</v>
      </c>
      <c r="AD33" s="400">
        <f t="shared" ref="AD33" si="69">AC33*AB33*AA33</f>
        <v>25309.439999999999</v>
      </c>
      <c r="AE33" s="359">
        <v>0</v>
      </c>
      <c r="AF33" s="401">
        <f t="shared" ref="AF33" si="70">SUM(AD33:AE33)</f>
        <v>25309.439999999999</v>
      </c>
      <c r="AG33" s="399">
        <v>1</v>
      </c>
      <c r="AH33" s="38">
        <f t="shared" si="54"/>
        <v>2193.4848000000002</v>
      </c>
      <c r="AI33" s="354">
        <v>10</v>
      </c>
      <c r="AJ33" s="400">
        <f t="shared" ref="AJ33" si="71">AI33*AH33*AG33</f>
        <v>21934.848000000002</v>
      </c>
      <c r="AK33" s="359">
        <v>0</v>
      </c>
      <c r="AL33" s="359">
        <f t="shared" ref="AL33" si="72">SUM(AJ33:AK33)</f>
        <v>21934.848000000002</v>
      </c>
      <c r="AM33" s="402">
        <f t="shared" ref="AM33:AM37" si="73">L33+R33+X33+AD33+AJ33</f>
        <v>111855.288</v>
      </c>
      <c r="AN33" s="359">
        <f t="shared" ref="AN33:AN37" si="74">M33+S33+Y33+AE33+AK33</f>
        <v>0</v>
      </c>
      <c r="AO33" s="402">
        <f t="shared" ref="AO33:AO37" si="75">SUM(AM33:AN33)</f>
        <v>111855.288</v>
      </c>
    </row>
    <row r="34" spans="1:43" x14ac:dyDescent="0.45">
      <c r="A34" s="1" t="s">
        <v>210</v>
      </c>
      <c r="B34" s="710">
        <v>89050</v>
      </c>
      <c r="C34" s="258" t="s">
        <v>65</v>
      </c>
      <c r="D34" s="258" t="s">
        <v>65</v>
      </c>
      <c r="E34" s="1" t="s">
        <v>211</v>
      </c>
      <c r="F34" s="702" t="s">
        <v>609</v>
      </c>
      <c r="G34" s="511" t="s">
        <v>349</v>
      </c>
      <c r="H34" s="399">
        <v>1</v>
      </c>
      <c r="I34" s="37">
        <f>22500/12</f>
        <v>1875</v>
      </c>
      <c r="J34" s="354">
        <v>9</v>
      </c>
      <c r="K34" s="603" t="s">
        <v>107</v>
      </c>
      <c r="L34" s="359">
        <f t="shared" ref="L34" si="76">J34*I34*H34</f>
        <v>16875</v>
      </c>
      <c r="M34" s="359">
        <v>0</v>
      </c>
      <c r="N34" s="401">
        <f t="shared" ref="N34" si="77">SUM(L34:M34)</f>
        <v>16875</v>
      </c>
      <c r="O34" s="399">
        <v>1</v>
      </c>
      <c r="P34" s="38">
        <f t="shared" ref="P34" si="78">I34*$H$7</f>
        <v>1950</v>
      </c>
      <c r="Q34" s="354">
        <v>12</v>
      </c>
      <c r="R34" s="400">
        <f>P34*Q34*O34</f>
        <v>23400</v>
      </c>
      <c r="S34" s="359">
        <v>0</v>
      </c>
      <c r="T34" s="401">
        <f t="shared" ref="T34" si="79">SUM(R34:S34)</f>
        <v>23400</v>
      </c>
      <c r="U34" s="399">
        <v>1</v>
      </c>
      <c r="V34" s="38">
        <f t="shared" ref="V34" si="80">I34*$H$7*$H$7</f>
        <v>2028</v>
      </c>
      <c r="W34" s="354">
        <v>12</v>
      </c>
      <c r="X34" s="400">
        <f t="shared" ref="X34" si="81">W34*V34*U34</f>
        <v>24336</v>
      </c>
      <c r="Y34" s="359">
        <v>0</v>
      </c>
      <c r="Z34" s="401">
        <f>SUM(X34:Y34)</f>
        <v>24336</v>
      </c>
      <c r="AA34" s="399">
        <v>1</v>
      </c>
      <c r="AB34" s="38">
        <f t="shared" ref="AB34" si="82">I34*$H$7*$H$7*$H$7</f>
        <v>2109.12</v>
      </c>
      <c r="AC34" s="354">
        <v>12</v>
      </c>
      <c r="AD34" s="400">
        <f t="shared" ref="AD34" si="83">AC34*AB34*AA34</f>
        <v>25309.439999999999</v>
      </c>
      <c r="AE34" s="359">
        <v>0</v>
      </c>
      <c r="AF34" s="401">
        <f t="shared" ref="AF34" si="84">SUM(AD34:AE34)</f>
        <v>25309.439999999999</v>
      </c>
      <c r="AG34" s="399">
        <v>1</v>
      </c>
      <c r="AH34" s="38">
        <f t="shared" ref="AH34" si="85">I34*$H$7*$H$7*$H$7*$H$7</f>
        <v>2193.4848000000002</v>
      </c>
      <c r="AI34" s="354">
        <v>10</v>
      </c>
      <c r="AJ34" s="400">
        <f t="shared" ref="AJ34" si="86">AI34*AH34*AG34</f>
        <v>21934.848000000002</v>
      </c>
      <c r="AK34" s="359">
        <v>0</v>
      </c>
      <c r="AL34" s="359">
        <f t="shared" ref="AL34" si="87">SUM(AJ34:AK34)</f>
        <v>21934.848000000002</v>
      </c>
      <c r="AM34" s="402">
        <f t="shared" ref="AM34" si="88">L34+R34+X34+AD34+AJ34</f>
        <v>111855.288</v>
      </c>
      <c r="AN34" s="359">
        <f t="shared" ref="AN34" si="89">M34+S34+Y34+AE34+AK34</f>
        <v>0</v>
      </c>
      <c r="AO34" s="402">
        <f t="shared" ref="AO34" si="90">SUM(AM34:AN34)</f>
        <v>111855.288</v>
      </c>
    </row>
    <row r="35" spans="1:43" x14ac:dyDescent="0.45">
      <c r="A35" s="1" t="s">
        <v>210</v>
      </c>
      <c r="B35" s="710">
        <v>89050</v>
      </c>
      <c r="C35" s="258" t="s">
        <v>65</v>
      </c>
      <c r="D35" s="258" t="s">
        <v>65</v>
      </c>
      <c r="E35" s="1" t="s">
        <v>211</v>
      </c>
      <c r="F35" s="702" t="s">
        <v>623</v>
      </c>
      <c r="G35" s="511" t="s">
        <v>624</v>
      </c>
      <c r="H35" s="399">
        <v>0.1</v>
      </c>
      <c r="I35" s="359">
        <f>2178000/3500</f>
        <v>622.28571428571433</v>
      </c>
      <c r="J35" s="354">
        <v>10</v>
      </c>
      <c r="K35" s="603" t="s">
        <v>107</v>
      </c>
      <c r="L35" s="359">
        <f>H35*I35*J35*0%</f>
        <v>0</v>
      </c>
      <c r="M35" s="359">
        <f>H35*I35*J35</f>
        <v>622.28571428571433</v>
      </c>
      <c r="N35" s="359">
        <f>L35+M35</f>
        <v>622.28571428571433</v>
      </c>
      <c r="O35" s="399">
        <v>0.1</v>
      </c>
      <c r="P35" s="38">
        <f t="shared" si="45"/>
        <v>647.17714285714294</v>
      </c>
      <c r="Q35" s="354">
        <v>12</v>
      </c>
      <c r="R35" s="400">
        <f>O35*P35*Q35*0%</f>
        <v>0</v>
      </c>
      <c r="S35" s="359">
        <f>O35*P35*Q35</f>
        <v>776.61257142857153</v>
      </c>
      <c r="T35" s="39">
        <f>R35+S35</f>
        <v>776.61257142857153</v>
      </c>
      <c r="U35" s="399">
        <v>0.1</v>
      </c>
      <c r="V35" s="38">
        <f t="shared" si="48"/>
        <v>673.06422857142866</v>
      </c>
      <c r="W35" s="354">
        <v>12</v>
      </c>
      <c r="X35" s="400">
        <f>U35*V35*W35*0%</f>
        <v>0</v>
      </c>
      <c r="Y35" s="359">
        <f>U35*V35*W35</f>
        <v>807.6770742857143</v>
      </c>
      <c r="Z35" s="401">
        <f>X35+Y35</f>
        <v>807.6770742857143</v>
      </c>
      <c r="AA35" s="399">
        <v>0.1</v>
      </c>
      <c r="AB35" s="38">
        <f t="shared" si="51"/>
        <v>699.98679771428579</v>
      </c>
      <c r="AC35" s="354">
        <v>12</v>
      </c>
      <c r="AD35" s="400">
        <f>AA35*AB35*AC35*0%</f>
        <v>0</v>
      </c>
      <c r="AE35" s="359">
        <f>AA35*AB35*AC35</f>
        <v>839.98415725714301</v>
      </c>
      <c r="AF35" s="401">
        <f>AD35+AE35</f>
        <v>839.98415725714301</v>
      </c>
      <c r="AG35" s="399">
        <v>0.1</v>
      </c>
      <c r="AH35" s="38">
        <f t="shared" si="54"/>
        <v>727.98626962285721</v>
      </c>
      <c r="AI35" s="354">
        <v>12</v>
      </c>
      <c r="AJ35" s="400">
        <f>AG35*AH35*AI35*0%</f>
        <v>0</v>
      </c>
      <c r="AK35" s="359">
        <f>AG35*AH35*AI35</f>
        <v>873.58352354742874</v>
      </c>
      <c r="AL35" s="401">
        <f>AJ35+AK35</f>
        <v>873.58352354742874</v>
      </c>
      <c r="AM35" s="401">
        <f t="shared" si="73"/>
        <v>0</v>
      </c>
      <c r="AN35" s="401">
        <f t="shared" si="74"/>
        <v>3920.1430408045721</v>
      </c>
      <c r="AO35" s="401">
        <f t="shared" si="75"/>
        <v>3920.1430408045721</v>
      </c>
      <c r="AP35" s="360"/>
    </row>
    <row r="36" spans="1:43" x14ac:dyDescent="0.45">
      <c r="A36" s="1" t="s">
        <v>210</v>
      </c>
      <c r="B36" s="710">
        <v>89050</v>
      </c>
      <c r="C36" s="258" t="s">
        <v>65</v>
      </c>
      <c r="D36" s="258" t="s">
        <v>65</v>
      </c>
      <c r="E36" s="1" t="s">
        <v>211</v>
      </c>
      <c r="F36" s="702" t="s">
        <v>623</v>
      </c>
      <c r="G36" s="511" t="s">
        <v>625</v>
      </c>
      <c r="H36" s="399">
        <v>0.3</v>
      </c>
      <c r="I36" s="359">
        <f>2539000/3500</f>
        <v>725.42857142857144</v>
      </c>
      <c r="J36" s="354">
        <v>10</v>
      </c>
      <c r="K36" s="603" t="s">
        <v>107</v>
      </c>
      <c r="L36" s="359">
        <f>H36*I36*J36*0%</f>
        <v>0</v>
      </c>
      <c r="M36" s="359">
        <f>H36*I36*J36</f>
        <v>2176.2857142857142</v>
      </c>
      <c r="N36" s="359">
        <f>L36+M36</f>
        <v>2176.2857142857142</v>
      </c>
      <c r="O36" s="399">
        <v>0.3</v>
      </c>
      <c r="P36" s="38">
        <f t="shared" si="45"/>
        <v>754.4457142857143</v>
      </c>
      <c r="Q36" s="354">
        <v>12</v>
      </c>
      <c r="R36" s="400">
        <f>O36*P36*Q36*0%</f>
        <v>0</v>
      </c>
      <c r="S36" s="359">
        <f>O36*P36*Q36</f>
        <v>2716.0045714285716</v>
      </c>
      <c r="T36" s="39">
        <f>R36+S36</f>
        <v>2716.0045714285716</v>
      </c>
      <c r="U36" s="399">
        <v>0.3</v>
      </c>
      <c r="V36" s="38">
        <f t="shared" si="48"/>
        <v>784.62354285714287</v>
      </c>
      <c r="W36" s="354">
        <v>12</v>
      </c>
      <c r="X36" s="400">
        <f>U36*V36*W36*0%</f>
        <v>0</v>
      </c>
      <c r="Y36" s="359">
        <f>U36*V36*W36</f>
        <v>2824.644754285714</v>
      </c>
      <c r="Z36" s="401">
        <f>X36+Y36</f>
        <v>2824.644754285714</v>
      </c>
      <c r="AA36" s="399">
        <v>0.3</v>
      </c>
      <c r="AB36" s="38">
        <f t="shared" si="51"/>
        <v>816.00848457142865</v>
      </c>
      <c r="AC36" s="354">
        <v>12</v>
      </c>
      <c r="AD36" s="400">
        <f>AA36*AB36*0%</f>
        <v>0</v>
      </c>
      <c r="AE36" s="359">
        <f>AA36*AB36*AC36</f>
        <v>2937.6305444571431</v>
      </c>
      <c r="AF36" s="401">
        <f>AD36+AE36</f>
        <v>2937.6305444571431</v>
      </c>
      <c r="AG36" s="399">
        <v>0.3</v>
      </c>
      <c r="AH36" s="38">
        <f t="shared" si="54"/>
        <v>848.64882395428583</v>
      </c>
      <c r="AI36" s="354">
        <v>12</v>
      </c>
      <c r="AJ36" s="400">
        <f>AG36*AH36*AI36*0%</f>
        <v>0</v>
      </c>
      <c r="AK36" s="359">
        <f>AG36*AH36*AI36</f>
        <v>3055.1357662354285</v>
      </c>
      <c r="AL36" s="401">
        <f>AJ36+AK36</f>
        <v>3055.1357662354285</v>
      </c>
      <c r="AM36" s="401">
        <f t="shared" si="73"/>
        <v>0</v>
      </c>
      <c r="AN36" s="401">
        <f t="shared" si="74"/>
        <v>13709.701350692572</v>
      </c>
      <c r="AO36" s="401">
        <f t="shared" si="75"/>
        <v>13709.701350692572</v>
      </c>
      <c r="AP36" s="360"/>
    </row>
    <row r="37" spans="1:43" x14ac:dyDescent="0.45">
      <c r="A37" s="1" t="s">
        <v>210</v>
      </c>
      <c r="B37" s="710">
        <v>89050</v>
      </c>
      <c r="C37" s="258" t="s">
        <v>65</v>
      </c>
      <c r="D37" s="258" t="s">
        <v>65</v>
      </c>
      <c r="E37" s="1" t="s">
        <v>211</v>
      </c>
      <c r="F37" s="702" t="s">
        <v>623</v>
      </c>
      <c r="G37" s="511" t="s">
        <v>626</v>
      </c>
      <c r="H37" s="399">
        <v>0.1</v>
      </c>
      <c r="I37" s="359">
        <f>1544000/3500</f>
        <v>441.14285714285717</v>
      </c>
      <c r="J37" s="354">
        <v>10</v>
      </c>
      <c r="K37" s="603" t="s">
        <v>107</v>
      </c>
      <c r="L37" s="359">
        <f>H37*I37*J37*0%</f>
        <v>0</v>
      </c>
      <c r="M37" s="359">
        <f>H37*I37*J37</f>
        <v>441.14285714285722</v>
      </c>
      <c r="N37" s="359">
        <f>L37+M37</f>
        <v>441.14285714285722</v>
      </c>
      <c r="O37" s="399">
        <v>0.1</v>
      </c>
      <c r="P37" s="38">
        <f t="shared" si="45"/>
        <v>458.78857142857146</v>
      </c>
      <c r="Q37" s="354">
        <v>12</v>
      </c>
      <c r="R37" s="400">
        <f>O37*P37*Q37*0%</f>
        <v>0</v>
      </c>
      <c r="S37" s="359">
        <f>O37*P37*Q37</f>
        <v>550.54628571428577</v>
      </c>
      <c r="T37" s="39">
        <f>R37+S37</f>
        <v>550.54628571428577</v>
      </c>
      <c r="U37" s="399">
        <v>0.1</v>
      </c>
      <c r="V37" s="38">
        <f t="shared" si="48"/>
        <v>477.14011428571433</v>
      </c>
      <c r="W37" s="354">
        <v>12</v>
      </c>
      <c r="X37" s="400">
        <f>U37*V37*W37*0%</f>
        <v>0</v>
      </c>
      <c r="Y37" s="359">
        <f>U37*V37*W37</f>
        <v>572.56813714285727</v>
      </c>
      <c r="Z37" s="401">
        <f>X37+Y37</f>
        <v>572.56813714285727</v>
      </c>
      <c r="AA37" s="399">
        <v>0.1</v>
      </c>
      <c r="AB37" s="38">
        <f t="shared" si="51"/>
        <v>496.22571885714291</v>
      </c>
      <c r="AC37" s="354">
        <v>12</v>
      </c>
      <c r="AD37" s="400">
        <f>AA37*AB37*0%</f>
        <v>0</v>
      </c>
      <c r="AE37" s="359">
        <f>AA37*AB37*AC37</f>
        <v>595.47086262857147</v>
      </c>
      <c r="AF37" s="401">
        <f>AD37+AE37</f>
        <v>595.47086262857147</v>
      </c>
      <c r="AG37" s="399">
        <v>0.1</v>
      </c>
      <c r="AH37" s="38">
        <f t="shared" si="54"/>
        <v>516.07474761142862</v>
      </c>
      <c r="AI37" s="354">
        <v>12</v>
      </c>
      <c r="AJ37" s="400">
        <f>AG37*AH37*AI37*0%</f>
        <v>0</v>
      </c>
      <c r="AK37" s="359">
        <f>AG37*AH37*AI37</f>
        <v>619.28969713371441</v>
      </c>
      <c r="AL37" s="401">
        <f>AJ37+AK37</f>
        <v>619.28969713371441</v>
      </c>
      <c r="AM37" s="401">
        <f t="shared" si="73"/>
        <v>0</v>
      </c>
      <c r="AN37" s="401">
        <f t="shared" si="74"/>
        <v>2779.0178397622863</v>
      </c>
      <c r="AO37" s="401">
        <f t="shared" si="75"/>
        <v>2779.0178397622863</v>
      </c>
      <c r="AP37" s="360"/>
    </row>
    <row r="38" spans="1:43" x14ac:dyDescent="0.45">
      <c r="A38" s="1" t="s">
        <v>210</v>
      </c>
      <c r="B38" s="710">
        <v>89050</v>
      </c>
      <c r="C38" s="258" t="s">
        <v>65</v>
      </c>
      <c r="D38" s="258" t="s">
        <v>65</v>
      </c>
      <c r="E38" s="1" t="s">
        <v>211</v>
      </c>
      <c r="F38" s="702" t="s">
        <v>617</v>
      </c>
      <c r="G38" s="511" t="s">
        <v>627</v>
      </c>
      <c r="H38" s="399">
        <v>0.3</v>
      </c>
      <c r="I38" s="37">
        <f>22500/12</f>
        <v>1875</v>
      </c>
      <c r="J38" s="354">
        <v>9</v>
      </c>
      <c r="K38" s="603" t="s">
        <v>107</v>
      </c>
      <c r="L38" s="359">
        <f>J38*I38*H38*0.8</f>
        <v>4050</v>
      </c>
      <c r="M38" s="359">
        <f>H38*I38*J38*0.2</f>
        <v>1012.5</v>
      </c>
      <c r="N38" s="401">
        <f t="shared" si="44"/>
        <v>5062.5</v>
      </c>
      <c r="O38" s="399">
        <v>0.3</v>
      </c>
      <c r="P38" s="38">
        <f t="shared" si="45"/>
        <v>1950</v>
      </c>
      <c r="Q38" s="359">
        <v>10</v>
      </c>
      <c r="R38" s="400">
        <f>P38*Q38*O38*0.8</f>
        <v>4680</v>
      </c>
      <c r="S38" s="359">
        <f>O38*P38*Q38*0.2</f>
        <v>1170</v>
      </c>
      <c r="T38" s="401">
        <f>SUM(R38:S38)</f>
        <v>5850</v>
      </c>
      <c r="U38" s="399">
        <f>O38</f>
        <v>0.3</v>
      </c>
      <c r="V38" s="38">
        <f t="shared" si="48"/>
        <v>2028</v>
      </c>
      <c r="W38" s="359">
        <f>Q38</f>
        <v>10</v>
      </c>
      <c r="X38" s="400">
        <f>W38*V38*U38*0.8</f>
        <v>4867.2</v>
      </c>
      <c r="Y38" s="359">
        <f>U38*V38*W38*0.2</f>
        <v>1216.8</v>
      </c>
      <c r="Z38" s="401">
        <f t="shared" ref="Z38:Z40" si="91">SUM(X38:Y38)</f>
        <v>6084</v>
      </c>
      <c r="AA38" s="399">
        <f>U38</f>
        <v>0.3</v>
      </c>
      <c r="AB38" s="38">
        <f t="shared" si="51"/>
        <v>2109.12</v>
      </c>
      <c r="AC38" s="359">
        <f>W38</f>
        <v>10</v>
      </c>
      <c r="AD38" s="400">
        <f>AC38*AB38*AA38*0.8</f>
        <v>5061.887999999999</v>
      </c>
      <c r="AE38" s="359">
        <f>AA38*AB38*AC38*0.2</f>
        <v>1265.472</v>
      </c>
      <c r="AF38" s="401">
        <f t="shared" si="53"/>
        <v>6327.3599999999988</v>
      </c>
      <c r="AG38" s="399">
        <f>AA38</f>
        <v>0.3</v>
      </c>
      <c r="AH38" s="38">
        <f t="shared" si="54"/>
        <v>2193.4848000000002</v>
      </c>
      <c r="AI38" s="359">
        <v>8</v>
      </c>
      <c r="AJ38" s="400">
        <f>AI38*AH38*AG38*0.8</f>
        <v>4211.4908160000005</v>
      </c>
      <c r="AK38" s="359">
        <f>AG38*AH38*AI38*0.2</f>
        <v>1052.8727040000001</v>
      </c>
      <c r="AL38" s="359">
        <f t="shared" ref="AL38:AL40" si="92">SUM(AJ38:AK38)</f>
        <v>5264.3635200000008</v>
      </c>
      <c r="AM38" s="402">
        <f t="shared" si="57"/>
        <v>22870.578816000001</v>
      </c>
      <c r="AN38" s="359">
        <f t="shared" si="58"/>
        <v>5717.6447040000003</v>
      </c>
      <c r="AO38" s="402">
        <f t="shared" si="59"/>
        <v>28588.22352</v>
      </c>
    </row>
    <row r="39" spans="1:43" x14ac:dyDescent="0.45">
      <c r="A39" s="1" t="s">
        <v>210</v>
      </c>
      <c r="B39" s="710">
        <v>89050</v>
      </c>
      <c r="C39" s="258" t="s">
        <v>65</v>
      </c>
      <c r="D39" s="258" t="s">
        <v>65</v>
      </c>
      <c r="E39" s="1" t="s">
        <v>211</v>
      </c>
      <c r="F39" s="702" t="s">
        <v>609</v>
      </c>
      <c r="G39" s="511" t="s">
        <v>628</v>
      </c>
      <c r="H39" s="399">
        <v>1</v>
      </c>
      <c r="I39" s="400">
        <f>(15000/12)*(8*2)</f>
        <v>20000</v>
      </c>
      <c r="J39" s="354">
        <v>9</v>
      </c>
      <c r="K39" s="603" t="s">
        <v>107</v>
      </c>
      <c r="L39" s="359">
        <f>J39*I39*H39</f>
        <v>180000</v>
      </c>
      <c r="M39" s="359">
        <v>0</v>
      </c>
      <c r="N39" s="401">
        <f t="shared" si="44"/>
        <v>180000</v>
      </c>
      <c r="O39" s="399">
        <v>1</v>
      </c>
      <c r="P39" s="38">
        <f t="shared" si="45"/>
        <v>20800</v>
      </c>
      <c r="Q39" s="354">
        <v>10</v>
      </c>
      <c r="R39" s="400">
        <f t="shared" ref="R39:R40" si="93">P39*Q39*O39</f>
        <v>208000</v>
      </c>
      <c r="S39" s="359">
        <v>0</v>
      </c>
      <c r="T39" s="401">
        <f t="shared" ref="T39:T40" si="94">SUM(R39:S39)</f>
        <v>208000</v>
      </c>
      <c r="U39" s="399">
        <v>1</v>
      </c>
      <c r="V39" s="38">
        <f t="shared" si="48"/>
        <v>21632</v>
      </c>
      <c r="W39" s="354">
        <v>10</v>
      </c>
      <c r="X39" s="400">
        <f t="shared" si="49"/>
        <v>216320</v>
      </c>
      <c r="Y39" s="359">
        <v>0</v>
      </c>
      <c r="Z39" s="401">
        <f t="shared" si="91"/>
        <v>216320</v>
      </c>
      <c r="AA39" s="399">
        <v>1</v>
      </c>
      <c r="AB39" s="38">
        <f t="shared" si="51"/>
        <v>22497.280000000002</v>
      </c>
      <c r="AC39" s="354">
        <v>10</v>
      </c>
      <c r="AD39" s="400">
        <f t="shared" si="52"/>
        <v>224972.80000000002</v>
      </c>
      <c r="AE39" s="359">
        <v>0</v>
      </c>
      <c r="AF39" s="401">
        <f t="shared" si="53"/>
        <v>224972.80000000002</v>
      </c>
      <c r="AG39" s="399">
        <v>0</v>
      </c>
      <c r="AH39" s="38">
        <f t="shared" si="54"/>
        <v>23397.171200000004</v>
      </c>
      <c r="AI39" s="354">
        <v>0</v>
      </c>
      <c r="AJ39" s="400">
        <f>AI39*AH39*AG39</f>
        <v>0</v>
      </c>
      <c r="AK39" s="359">
        <v>0</v>
      </c>
      <c r="AL39" s="359">
        <f t="shared" si="92"/>
        <v>0</v>
      </c>
      <c r="AM39" s="402">
        <f t="shared" si="57"/>
        <v>829292.8</v>
      </c>
      <c r="AN39" s="359">
        <f t="shared" si="58"/>
        <v>0</v>
      </c>
      <c r="AO39" s="402">
        <f t="shared" si="59"/>
        <v>829292.8</v>
      </c>
    </row>
    <row r="40" spans="1:43" x14ac:dyDescent="0.45">
      <c r="A40" s="1" t="s">
        <v>210</v>
      </c>
      <c r="B40" s="710">
        <v>89050</v>
      </c>
      <c r="C40" s="258" t="s">
        <v>65</v>
      </c>
      <c r="D40" s="258" t="s">
        <v>65</v>
      </c>
      <c r="E40" s="1" t="s">
        <v>211</v>
      </c>
      <c r="F40" s="702" t="s">
        <v>609</v>
      </c>
      <c r="G40" s="511" t="s">
        <v>629</v>
      </c>
      <c r="H40" s="399">
        <v>1</v>
      </c>
      <c r="I40" s="400">
        <f>(15000/12)*2</f>
        <v>2500</v>
      </c>
      <c r="J40" s="354">
        <v>9</v>
      </c>
      <c r="K40" s="354" t="s">
        <v>107</v>
      </c>
      <c r="L40" s="400">
        <f>J40*I40*H40</f>
        <v>22500</v>
      </c>
      <c r="M40" s="359">
        <v>0</v>
      </c>
      <c r="N40" s="401">
        <f t="shared" si="44"/>
        <v>22500</v>
      </c>
      <c r="O40" s="399">
        <v>1</v>
      </c>
      <c r="P40" s="38">
        <f t="shared" si="45"/>
        <v>2600</v>
      </c>
      <c r="Q40" s="354">
        <v>10</v>
      </c>
      <c r="R40" s="400">
        <f t="shared" si="93"/>
        <v>26000</v>
      </c>
      <c r="S40" s="359">
        <v>0</v>
      </c>
      <c r="T40" s="401">
        <f t="shared" si="94"/>
        <v>26000</v>
      </c>
      <c r="U40" s="399">
        <v>1</v>
      </c>
      <c r="V40" s="38">
        <f t="shared" si="48"/>
        <v>2704</v>
      </c>
      <c r="W40" s="354">
        <v>10</v>
      </c>
      <c r="X40" s="400">
        <f t="shared" si="49"/>
        <v>27040</v>
      </c>
      <c r="Y40" s="359">
        <v>0</v>
      </c>
      <c r="Z40" s="401">
        <f t="shared" si="91"/>
        <v>27040</v>
      </c>
      <c r="AA40" s="399">
        <v>1</v>
      </c>
      <c r="AB40" s="38">
        <f t="shared" si="51"/>
        <v>2812.1600000000003</v>
      </c>
      <c r="AC40" s="354">
        <v>10</v>
      </c>
      <c r="AD40" s="400">
        <f t="shared" si="52"/>
        <v>28121.600000000002</v>
      </c>
      <c r="AE40" s="359">
        <v>0</v>
      </c>
      <c r="AF40" s="401">
        <f t="shared" si="53"/>
        <v>28121.600000000002</v>
      </c>
      <c r="AG40" s="399">
        <v>0</v>
      </c>
      <c r="AH40" s="38">
        <f t="shared" si="54"/>
        <v>2924.6464000000005</v>
      </c>
      <c r="AI40" s="354">
        <v>0</v>
      </c>
      <c r="AJ40" s="400">
        <f>AI40*AH40*AG40</f>
        <v>0</v>
      </c>
      <c r="AK40" s="359">
        <v>0</v>
      </c>
      <c r="AL40" s="359">
        <f t="shared" si="92"/>
        <v>0</v>
      </c>
      <c r="AM40" s="402">
        <f t="shared" si="57"/>
        <v>103661.6</v>
      </c>
      <c r="AN40" s="359">
        <f t="shared" si="58"/>
        <v>0</v>
      </c>
      <c r="AO40" s="402">
        <f t="shared" si="59"/>
        <v>103661.6</v>
      </c>
    </row>
    <row r="41" spans="1:43" s="406" customFormat="1" x14ac:dyDescent="0.45">
      <c r="A41" s="403"/>
      <c r="B41" s="403"/>
      <c r="C41" s="403"/>
      <c r="D41" s="403"/>
      <c r="E41" s="403"/>
      <c r="F41" s="403"/>
      <c r="G41" s="403" t="s">
        <v>93</v>
      </c>
      <c r="H41" s="404"/>
      <c r="I41" s="586"/>
      <c r="J41" s="354"/>
      <c r="K41" s="586"/>
      <c r="L41" s="405">
        <f>SUM(L28:L40)</f>
        <v>342450</v>
      </c>
      <c r="M41" s="557">
        <f>SUM(M28:M40)</f>
        <v>7289.7142857142853</v>
      </c>
      <c r="N41" s="677">
        <f>SUM(N28:N40)</f>
        <v>349739.71428571432</v>
      </c>
      <c r="O41" s="404"/>
      <c r="P41" s="359"/>
      <c r="Q41" s="586"/>
      <c r="R41" s="405">
        <f>SUM(R28:R40)</f>
        <v>408928</v>
      </c>
      <c r="S41" s="557">
        <f>SUM(S28:S40)</f>
        <v>9425.1634285714299</v>
      </c>
      <c r="T41" s="677">
        <f>SUM(T28:T40)</f>
        <v>418353.16342857142</v>
      </c>
      <c r="U41" s="404"/>
      <c r="V41" s="586"/>
      <c r="W41" s="586"/>
      <c r="X41" s="405">
        <f>SUM(X28:X40)</f>
        <v>425285.12</v>
      </c>
      <c r="Y41" s="557">
        <f>SUM(Y28:Y40)</f>
        <v>9802.1699657142854</v>
      </c>
      <c r="Z41" s="677">
        <f>SUM(Z28:Z40)</f>
        <v>435087.28996571433</v>
      </c>
      <c r="AA41" s="404"/>
      <c r="AB41" s="586"/>
      <c r="AC41" s="586"/>
      <c r="AD41" s="405">
        <f>SUM(AD28:AD40)</f>
        <v>442296.52480000001</v>
      </c>
      <c r="AE41" s="557">
        <f>SUM(AE28:AE40)</f>
        <v>10194.256764342857</v>
      </c>
      <c r="AF41" s="677">
        <f>SUM(AF28:AF40)</f>
        <v>452490.78156434285</v>
      </c>
      <c r="AG41" s="404"/>
      <c r="AH41" s="586"/>
      <c r="AI41" s="586"/>
      <c r="AJ41" s="405">
        <f t="shared" ref="AJ41:AO41" si="95">SUM(AJ28:AJ40)</f>
        <v>78497.509376000016</v>
      </c>
      <c r="AK41" s="557">
        <f t="shared" si="95"/>
        <v>9154.3270669165704</v>
      </c>
      <c r="AL41" s="677">
        <f t="shared" si="95"/>
        <v>87651.836442916567</v>
      </c>
      <c r="AM41" s="676">
        <f t="shared" si="95"/>
        <v>1697457.154176</v>
      </c>
      <c r="AN41" s="557">
        <f t="shared" si="95"/>
        <v>45865.631511259431</v>
      </c>
      <c r="AO41" s="676">
        <f t="shared" si="95"/>
        <v>1743322.7856872594</v>
      </c>
    </row>
    <row r="42" spans="1:43" x14ac:dyDescent="0.45">
      <c r="A42" s="410"/>
      <c r="B42" s="410"/>
      <c r="C42" s="410"/>
      <c r="D42" s="410"/>
      <c r="E42" s="410"/>
      <c r="F42" s="410"/>
      <c r="G42" s="410"/>
      <c r="H42" s="391"/>
      <c r="I42" s="510"/>
      <c r="J42" s="510"/>
      <c r="K42" s="510"/>
      <c r="L42" s="400"/>
      <c r="M42" s="359"/>
      <c r="N42" s="401"/>
      <c r="O42" s="391"/>
      <c r="P42" s="510"/>
      <c r="Q42" s="510"/>
      <c r="R42" s="400"/>
      <c r="S42" s="359"/>
      <c r="T42" s="401"/>
      <c r="U42" s="391"/>
      <c r="V42" s="510"/>
      <c r="W42" s="510"/>
      <c r="X42" s="400"/>
      <c r="Y42" s="359"/>
      <c r="Z42" s="401"/>
      <c r="AA42" s="391"/>
      <c r="AB42" s="510"/>
      <c r="AC42" s="510"/>
      <c r="AD42" s="400"/>
      <c r="AE42" s="359"/>
      <c r="AF42" s="401"/>
      <c r="AG42" s="391"/>
      <c r="AH42" s="510"/>
      <c r="AI42" s="510"/>
      <c r="AJ42" s="400"/>
      <c r="AK42" s="359"/>
      <c r="AL42" s="359"/>
      <c r="AM42" s="402"/>
      <c r="AN42" s="359"/>
      <c r="AO42" s="402"/>
    </row>
    <row r="43" spans="1:43" x14ac:dyDescent="0.45">
      <c r="A43" s="411"/>
      <c r="B43" s="411"/>
      <c r="C43" s="411"/>
      <c r="D43" s="411"/>
      <c r="E43" s="411"/>
      <c r="F43" s="411"/>
      <c r="G43" s="411" t="s">
        <v>94</v>
      </c>
      <c r="H43" s="412"/>
      <c r="I43" s="413"/>
      <c r="J43" s="413"/>
      <c r="K43" s="413"/>
      <c r="L43" s="414">
        <f>L41+L25</f>
        <v>533897.91666666663</v>
      </c>
      <c r="M43" s="414">
        <f>M41+M25</f>
        <v>10570.964285714286</v>
      </c>
      <c r="N43" s="414">
        <f>N41+N25</f>
        <v>544468.88095238095</v>
      </c>
      <c r="O43" s="412"/>
      <c r="P43" s="413"/>
      <c r="Q43" s="413"/>
      <c r="R43" s="414">
        <f>R41+R25</f>
        <v>642395</v>
      </c>
      <c r="S43" s="414">
        <f>S41+S25</f>
        <v>13520.16342857143</v>
      </c>
      <c r="T43" s="414">
        <f>T41+T25</f>
        <v>655915.16342857142</v>
      </c>
      <c r="U43" s="412"/>
      <c r="V43" s="413"/>
      <c r="W43" s="413"/>
      <c r="X43" s="414">
        <f>X41+X25</f>
        <v>668090.80000000005</v>
      </c>
      <c r="Y43" s="414">
        <f>Y41+Y25</f>
        <v>14060.969965714285</v>
      </c>
      <c r="Z43" s="414">
        <f>Z41+Z25</f>
        <v>682151.76996571431</v>
      </c>
      <c r="AA43" s="412"/>
      <c r="AB43" s="413"/>
      <c r="AC43" s="413"/>
      <c r="AD43" s="414">
        <f>AD41+AD25</f>
        <v>694814.43200000003</v>
      </c>
      <c r="AE43" s="414">
        <f>AE41+AE25</f>
        <v>14623.408764342857</v>
      </c>
      <c r="AF43" s="414">
        <f>AF41+AF25</f>
        <v>709437.84076434281</v>
      </c>
      <c r="AG43" s="414"/>
      <c r="AH43" s="413"/>
      <c r="AI43" s="413"/>
      <c r="AJ43" s="414">
        <f t="shared" ref="AJ43:AO43" si="96">AJ41+AJ25</f>
        <v>308478.29764266667</v>
      </c>
      <c r="AK43" s="414">
        <f t="shared" si="96"/>
        <v>13376.785306916569</v>
      </c>
      <c r="AL43" s="414">
        <f t="shared" si="96"/>
        <v>321855.08294958324</v>
      </c>
      <c r="AM43" s="414">
        <f t="shared" si="96"/>
        <v>2847676.4463093337</v>
      </c>
      <c r="AN43" s="561">
        <f t="shared" si="96"/>
        <v>66152.291751259429</v>
      </c>
      <c r="AO43" s="469">
        <f t="shared" si="96"/>
        <v>2913828.7380605927</v>
      </c>
    </row>
    <row r="44" spans="1:43" x14ac:dyDescent="0.45">
      <c r="A44" s="415"/>
      <c r="B44" s="415"/>
      <c r="C44" s="415"/>
      <c r="D44" s="415"/>
      <c r="E44" s="415"/>
      <c r="F44" s="415"/>
      <c r="G44" s="415"/>
      <c r="H44" s="416"/>
      <c r="I44" s="417"/>
      <c r="J44" s="417"/>
      <c r="K44" s="417"/>
      <c r="L44" s="418"/>
      <c r="M44" s="419"/>
      <c r="N44" s="420"/>
      <c r="O44" s="416"/>
      <c r="P44" s="417"/>
      <c r="Q44" s="417"/>
      <c r="R44" s="418"/>
      <c r="S44" s="419"/>
      <c r="T44" s="420"/>
      <c r="U44" s="416"/>
      <c r="V44" s="417"/>
      <c r="W44" s="417"/>
      <c r="X44" s="418"/>
      <c r="Y44" s="419"/>
      <c r="Z44" s="420"/>
      <c r="AA44" s="416"/>
      <c r="AB44" s="417"/>
      <c r="AC44" s="417"/>
      <c r="AD44" s="418"/>
      <c r="AE44" s="419"/>
      <c r="AF44" s="420"/>
      <c r="AG44" s="416"/>
      <c r="AH44" s="417"/>
      <c r="AI44" s="417"/>
      <c r="AJ44" s="418"/>
      <c r="AK44" s="419"/>
      <c r="AL44" s="419"/>
      <c r="AM44" s="421"/>
      <c r="AN44" s="419"/>
      <c r="AO44" s="421"/>
    </row>
    <row r="45" spans="1:43" x14ac:dyDescent="0.45">
      <c r="A45" s="422"/>
      <c r="B45" s="422"/>
      <c r="C45" s="422"/>
      <c r="D45" s="422"/>
      <c r="E45" s="422"/>
      <c r="F45" s="422"/>
      <c r="G45" s="422" t="s">
        <v>14</v>
      </c>
      <c r="H45" s="423"/>
      <c r="I45" s="424"/>
      <c r="J45" s="424"/>
      <c r="K45" s="424"/>
      <c r="L45" s="425"/>
      <c r="M45" s="426"/>
      <c r="N45" s="427"/>
      <c r="O45" s="423"/>
      <c r="P45" s="424"/>
      <c r="Q45" s="424"/>
      <c r="R45" s="425"/>
      <c r="S45" s="426"/>
      <c r="T45" s="427"/>
      <c r="U45" s="423"/>
      <c r="V45" s="424"/>
      <c r="W45" s="424"/>
      <c r="X45" s="425"/>
      <c r="Y45" s="426"/>
      <c r="Z45" s="427"/>
      <c r="AA45" s="423"/>
      <c r="AB45" s="424"/>
      <c r="AC45" s="424"/>
      <c r="AD45" s="425"/>
      <c r="AE45" s="426"/>
      <c r="AF45" s="427"/>
      <c r="AG45" s="423"/>
      <c r="AH45" s="424"/>
      <c r="AI45" s="424"/>
      <c r="AJ45" s="425"/>
      <c r="AK45" s="426"/>
      <c r="AL45" s="426"/>
      <c r="AM45" s="428"/>
      <c r="AN45" s="426"/>
      <c r="AO45" s="428"/>
    </row>
    <row r="46" spans="1:43" x14ac:dyDescent="0.45">
      <c r="A46" s="1" t="s">
        <v>210</v>
      </c>
      <c r="B46" s="710">
        <v>89050</v>
      </c>
      <c r="C46" s="258" t="s">
        <v>65</v>
      </c>
      <c r="D46" s="258" t="s">
        <v>65</v>
      </c>
      <c r="E46" s="1" t="s">
        <v>211</v>
      </c>
      <c r="F46" s="702" t="s">
        <v>630</v>
      </c>
      <c r="G46" s="429" t="s">
        <v>371</v>
      </c>
      <c r="H46" s="678">
        <v>0.53342000000000001</v>
      </c>
      <c r="I46" s="431"/>
      <c r="L46" s="432">
        <f>(L17+L18+L19+L20+L21+L22+L31+L24)*$H$46</f>
        <v>114604.17570833334</v>
      </c>
      <c r="M46" s="432">
        <f>(M17+M18+M19+M20+M21+M22+M31+M24)*$H$46</f>
        <v>1750.284375</v>
      </c>
      <c r="N46" s="401">
        <f>SUM(L46:M46)</f>
        <v>116354.46008333334</v>
      </c>
      <c r="O46" s="679">
        <f>H46</f>
        <v>0.53342000000000001</v>
      </c>
      <c r="P46" s="431"/>
      <c r="R46" s="432">
        <f>(R17+R18+R19+R20+R21+R22+R31+R24)*$H$46</f>
        <v>141844.3793</v>
      </c>
      <c r="S46" s="432">
        <f>(S17+S18+S19+S20+S21+S22+S31+S24)*$H$46</f>
        <v>2184.3548999999998</v>
      </c>
      <c r="T46" s="401">
        <f t="shared" ref="T46:T47" si="97">SUM(R46:S46)</f>
        <v>144028.73420000001</v>
      </c>
      <c r="U46" s="679">
        <f>H46</f>
        <v>0.53342000000000001</v>
      </c>
      <c r="V46" s="431"/>
      <c r="X46" s="432">
        <f>(X17+X18+X19+X20+X21+X22+X31+X24)*$H$46</f>
        <v>147518.15447200002</v>
      </c>
      <c r="Y46" s="432">
        <f>(Y17+Y18+Y19+Y20+Y21+Y22+Y31+Y24)*$H$46</f>
        <v>2271.729096</v>
      </c>
      <c r="Z46" s="401">
        <f t="shared" ref="Z46:Z47" si="98">SUM(X46:Y46)</f>
        <v>149789.88356800002</v>
      </c>
      <c r="AA46" s="679">
        <f>H46</f>
        <v>0.53342000000000001</v>
      </c>
      <c r="AB46" s="431"/>
      <c r="AD46" s="432">
        <f>(AD17+AD18+AD19+AD20+AD21+AD22+AD31+AD24)*$H$46</f>
        <v>153418.88065088002</v>
      </c>
      <c r="AE46" s="432">
        <f>(AE17+AE18+AE19+AE20+AE21+AE22+AE31+AE24)*$H$46</f>
        <v>2362.5982598400001</v>
      </c>
      <c r="AF46" s="401">
        <f>SUM(AD46:AE46)</f>
        <v>155781.47891072</v>
      </c>
      <c r="AG46" s="679">
        <f>H46</f>
        <v>0.53342000000000001</v>
      </c>
      <c r="AH46" s="431"/>
      <c r="AJ46" s="432">
        <f>(AJ17+AJ18+AJ19+AJ20+AJ21+AJ22+AJ31+AJ24)*$H$46</f>
        <v>138901.02685716053</v>
      </c>
      <c r="AK46" s="432">
        <f>(AK17+AK18+AK19+AK20+AK21+AK22+AK31+AK24)*$H$46</f>
        <v>2252.3436743807997</v>
      </c>
      <c r="AL46" s="359">
        <f t="shared" ref="AL46:AL47" si="99">SUM(AJ46:AK46)</f>
        <v>141153.37053154132</v>
      </c>
      <c r="AM46" s="433">
        <f>L46+R46+X46+AD46+AJ46</f>
        <v>696286.61698837392</v>
      </c>
      <c r="AN46" s="431">
        <f>M46+S46+Y46+AE46+AK46</f>
        <v>10821.310305220799</v>
      </c>
      <c r="AO46" s="433">
        <f>SUM(AM46:AN46)</f>
        <v>707107.92729359469</v>
      </c>
      <c r="AQ46" s="359"/>
    </row>
    <row r="47" spans="1:43" x14ac:dyDescent="0.45">
      <c r="A47" s="1" t="s">
        <v>210</v>
      </c>
      <c r="B47" s="710">
        <v>89050</v>
      </c>
      <c r="C47" s="258" t="s">
        <v>65</v>
      </c>
      <c r="D47" s="258" t="s">
        <v>65</v>
      </c>
      <c r="E47" s="1" t="s">
        <v>211</v>
      </c>
      <c r="F47" s="702" t="s">
        <v>630</v>
      </c>
      <c r="G47" s="434" t="s">
        <v>372</v>
      </c>
      <c r="H47" s="678">
        <v>0.39842</v>
      </c>
      <c r="I47" s="359"/>
      <c r="L47" s="400">
        <f>(L28+L29+L30+L32+L33+L34+L35+L36+L37+L38+L39+L40)*$H$47</f>
        <v>127115.901</v>
      </c>
      <c r="M47" s="400">
        <f>(M28+M29+M30+M32+M33+M34+M35+M36+M37+M38+M39+M40)*$H$47</f>
        <v>2904.3679657142857</v>
      </c>
      <c r="N47" s="401">
        <f>SUM(L47:M47)</f>
        <v>130020.26896571429</v>
      </c>
      <c r="O47" s="679">
        <f>H47</f>
        <v>0.39842</v>
      </c>
      <c r="P47" s="359"/>
      <c r="R47" s="400">
        <f>(R28+R29+R30+R32+R33+R34+R35+R36+R37+R38+R39+R40)*$H$47</f>
        <v>149997.16159999999</v>
      </c>
      <c r="S47" s="400">
        <f>(S28+S29+S30+S32+S33+S34+S35+S36+S37+S38+S39+S40)*$H$47</f>
        <v>3755.1736132114293</v>
      </c>
      <c r="T47" s="401">
        <f t="shared" si="97"/>
        <v>153752.33521321142</v>
      </c>
      <c r="U47" s="679">
        <f>H47</f>
        <v>0.39842</v>
      </c>
      <c r="V47" s="359"/>
      <c r="X47" s="400">
        <f>(X28+X29+X30+X32+X33+X34+X35+X36+X37+X38+X39+X40)*$H$47</f>
        <v>155997.048064</v>
      </c>
      <c r="Y47" s="400">
        <f>(Y28+Y29+Y30+Y32+Y33+Y34+Y35+Y36+Y37+Y38+Y39+Y40)*$H$47</f>
        <v>3905.3805577398857</v>
      </c>
      <c r="Z47" s="401">
        <f t="shared" si="98"/>
        <v>159902.42862173988</v>
      </c>
      <c r="AA47" s="679">
        <f>H47</f>
        <v>0.39842</v>
      </c>
      <c r="AB47" s="359"/>
      <c r="AD47" s="400">
        <f>(AD28+AD29+AD30+AD32+AD33+AD34+AD35+AD36+AD37+AD38+AD39+AD40)*$H$47</f>
        <v>162236.92998656002</v>
      </c>
      <c r="AE47" s="400">
        <f>(AE28+AE29+AE30+AE32+AE33+AE34+AE35+AE36+AE37+AE38+AE39+AE40)*$H$47</f>
        <v>4061.5957800494812</v>
      </c>
      <c r="AF47" s="401">
        <f t="shared" ref="AF47" si="100">SUM(AD47:AE47)</f>
        <v>166298.5257666095</v>
      </c>
      <c r="AG47" s="679">
        <f>H47</f>
        <v>0.39842</v>
      </c>
      <c r="AH47" s="359"/>
      <c r="AJ47" s="400">
        <f>(AJ28+AJ29+AJ30+AJ32+AJ33+AJ34+AJ35+AJ36+AJ37+AJ38+AJ39+AJ40)*$H$47</f>
        <v>19156.506451230722</v>
      </c>
      <c r="AK47" s="400">
        <f>(AK28+AK29+AK30+AK32+AK33+AK34+AK35+AK36+AK37+AK38+AK39+AK40)*$H$47</f>
        <v>3647.2669900009</v>
      </c>
      <c r="AL47" s="359">
        <f t="shared" si="99"/>
        <v>22803.77344123162</v>
      </c>
      <c r="AM47" s="402">
        <f t="shared" ref="AM47:AN47" si="101">L47+R47+X47+AD47+AJ47</f>
        <v>614503.54710179078</v>
      </c>
      <c r="AN47" s="359">
        <f t="shared" si="101"/>
        <v>18273.78490671598</v>
      </c>
      <c r="AO47" s="433">
        <f t="shared" ref="AO47" si="102">SUM(AM47:AN47)</f>
        <v>632777.33200850675</v>
      </c>
      <c r="AQ47" s="90"/>
    </row>
    <row r="48" spans="1:43" x14ac:dyDescent="0.45">
      <c r="A48" s="436"/>
      <c r="B48" s="436"/>
      <c r="C48" s="436"/>
      <c r="D48" s="436"/>
      <c r="E48" s="436"/>
      <c r="F48" s="436"/>
      <c r="G48" s="436"/>
      <c r="H48" s="437"/>
      <c r="I48" s="438"/>
      <c r="J48" s="438"/>
      <c r="K48" s="438"/>
      <c r="L48" s="439"/>
      <c r="M48" s="438"/>
      <c r="N48" s="440"/>
      <c r="O48" s="437"/>
      <c r="P48" s="438"/>
      <c r="Q48" s="438"/>
      <c r="R48" s="439"/>
      <c r="S48" s="438"/>
      <c r="T48" s="440"/>
      <c r="U48" s="437"/>
      <c r="V48" s="438"/>
      <c r="W48" s="438"/>
      <c r="X48" s="439"/>
      <c r="Y48" s="438"/>
      <c r="Z48" s="440"/>
      <c r="AA48" s="437"/>
      <c r="AB48" s="438"/>
      <c r="AC48" s="438"/>
      <c r="AD48" s="439"/>
      <c r="AE48" s="438"/>
      <c r="AF48" s="440"/>
      <c r="AG48" s="437"/>
      <c r="AH48" s="438"/>
      <c r="AI48" s="438"/>
      <c r="AJ48" s="439"/>
      <c r="AK48" s="438"/>
      <c r="AL48" s="438"/>
      <c r="AM48" s="436"/>
      <c r="AN48" s="438"/>
      <c r="AO48" s="436"/>
      <c r="AQ48" s="359"/>
    </row>
    <row r="49" spans="1:43" x14ac:dyDescent="0.45">
      <c r="A49" s="411"/>
      <c r="B49" s="411"/>
      <c r="C49" s="411"/>
      <c r="D49" s="411"/>
      <c r="E49" s="411"/>
      <c r="F49" s="411"/>
      <c r="G49" s="411"/>
      <c r="H49" s="412"/>
      <c r="I49" s="413"/>
      <c r="J49" s="413"/>
      <c r="K49" s="413"/>
      <c r="L49" s="414">
        <f>SUM(L46:L48)</f>
        <v>241720.07670833333</v>
      </c>
      <c r="M49" s="414">
        <f t="shared" ref="M49:N49" si="103">SUM(M46:M48)</f>
        <v>4654.6523407142859</v>
      </c>
      <c r="N49" s="414">
        <f t="shared" si="103"/>
        <v>246374.72904904763</v>
      </c>
      <c r="O49" s="412"/>
      <c r="P49" s="413"/>
      <c r="Q49" s="413"/>
      <c r="R49" s="414">
        <f>SUM(R46:R48)</f>
        <v>291841.54090000002</v>
      </c>
      <c r="S49" s="414">
        <f t="shared" ref="S49:T49" si="104">SUM(S46:S48)</f>
        <v>5939.5285132114295</v>
      </c>
      <c r="T49" s="414">
        <f t="shared" si="104"/>
        <v>297781.06941321143</v>
      </c>
      <c r="U49" s="412"/>
      <c r="V49" s="413"/>
      <c r="W49" s="413"/>
      <c r="X49" s="414">
        <f>SUM(X46:X48)</f>
        <v>303515.20253600006</v>
      </c>
      <c r="Y49" s="414">
        <f t="shared" ref="Y49:Z49" si="105">SUM(Y46:Y48)</f>
        <v>6177.1096537398862</v>
      </c>
      <c r="Z49" s="414">
        <f t="shared" si="105"/>
        <v>309692.3121897399</v>
      </c>
      <c r="AA49" s="412"/>
      <c r="AB49" s="413"/>
      <c r="AC49" s="413"/>
      <c r="AD49" s="414">
        <f>SUM(AD46:AD48)</f>
        <v>315655.81063744007</v>
      </c>
      <c r="AE49" s="414">
        <f t="shared" ref="AE49:AF49" si="106">SUM(AE46:AE48)</f>
        <v>6424.1940398894812</v>
      </c>
      <c r="AF49" s="414">
        <f t="shared" si="106"/>
        <v>322080.0046773295</v>
      </c>
      <c r="AG49" s="412"/>
      <c r="AH49" s="413"/>
      <c r="AI49" s="413"/>
      <c r="AJ49" s="414">
        <f>SUM(AJ46:AJ48)</f>
        <v>158057.53330839126</v>
      </c>
      <c r="AK49" s="414">
        <f t="shared" ref="AK49:AL49" si="107">SUM(AK46:AK48)</f>
        <v>5899.6106643817002</v>
      </c>
      <c r="AL49" s="414">
        <f t="shared" si="107"/>
        <v>163957.14397277293</v>
      </c>
      <c r="AM49" s="469">
        <f>SUM(AM46:AM48)</f>
        <v>1310790.1640901647</v>
      </c>
      <c r="AN49" s="561">
        <f>SUM(AN46:AN48)</f>
        <v>29095.095211936779</v>
      </c>
      <c r="AO49" s="469">
        <f t="shared" ref="AO49" si="108">SUM(AO46:AO48)</f>
        <v>1339885.2593021016</v>
      </c>
      <c r="AQ49" s="608"/>
    </row>
    <row r="50" spans="1:43" x14ac:dyDescent="0.45">
      <c r="A50" s="415"/>
      <c r="B50" s="415"/>
      <c r="C50" s="415"/>
      <c r="D50" s="415"/>
      <c r="E50" s="415"/>
      <c r="F50" s="415"/>
      <c r="G50" s="415"/>
      <c r="H50" s="416"/>
      <c r="I50" s="417"/>
      <c r="J50" s="417"/>
      <c r="K50" s="417"/>
      <c r="L50" s="418"/>
      <c r="M50" s="419"/>
      <c r="N50" s="420"/>
      <c r="O50" s="416"/>
      <c r="P50" s="417"/>
      <c r="Q50" s="417"/>
      <c r="R50" s="418"/>
      <c r="S50" s="419"/>
      <c r="T50" s="420"/>
      <c r="U50" s="416"/>
      <c r="V50" s="417"/>
      <c r="W50" s="417"/>
      <c r="X50" s="418"/>
      <c r="Y50" s="419"/>
      <c r="Z50" s="420"/>
      <c r="AA50" s="416"/>
      <c r="AB50" s="417"/>
      <c r="AC50" s="417"/>
      <c r="AD50" s="418"/>
      <c r="AE50" s="419"/>
      <c r="AF50" s="420"/>
      <c r="AG50" s="416"/>
      <c r="AH50" s="417"/>
      <c r="AI50" s="417"/>
      <c r="AJ50" s="418"/>
      <c r="AK50" s="419"/>
      <c r="AL50" s="419"/>
      <c r="AM50" s="421"/>
      <c r="AN50" s="419"/>
      <c r="AO50" s="421"/>
    </row>
    <row r="51" spans="1:43" x14ac:dyDescent="0.45">
      <c r="A51" s="422"/>
      <c r="B51" s="422"/>
      <c r="C51" s="422"/>
      <c r="D51" s="422"/>
      <c r="E51" s="422"/>
      <c r="F51" s="422"/>
      <c r="G51" s="422" t="s">
        <v>119</v>
      </c>
      <c r="H51" s="423"/>
      <c r="I51" s="424"/>
      <c r="J51" s="424"/>
      <c r="K51" s="424"/>
      <c r="L51" s="425"/>
      <c r="M51" s="426"/>
      <c r="N51" s="427"/>
      <c r="O51" s="423"/>
      <c r="P51" s="424"/>
      <c r="Q51" s="424"/>
      <c r="R51" s="425"/>
      <c r="S51" s="426"/>
      <c r="T51" s="427"/>
      <c r="U51" s="423"/>
      <c r="V51" s="424"/>
      <c r="W51" s="424"/>
      <c r="X51" s="425"/>
      <c r="Y51" s="426"/>
      <c r="Z51" s="427"/>
      <c r="AA51" s="423"/>
      <c r="AB51" s="424"/>
      <c r="AC51" s="424"/>
      <c r="AD51" s="425"/>
      <c r="AE51" s="426"/>
      <c r="AF51" s="427"/>
      <c r="AG51" s="423"/>
      <c r="AH51" s="424"/>
      <c r="AI51" s="424"/>
      <c r="AJ51" s="425"/>
      <c r="AK51" s="426"/>
      <c r="AL51" s="426"/>
      <c r="AM51" s="428"/>
      <c r="AN51" s="426"/>
      <c r="AO51" s="428"/>
    </row>
    <row r="52" spans="1:43" x14ac:dyDescent="0.45">
      <c r="A52" s="429"/>
      <c r="B52" s="429"/>
      <c r="C52" s="429"/>
      <c r="D52" s="429"/>
      <c r="E52" s="429"/>
      <c r="F52" s="429"/>
      <c r="G52" s="429"/>
      <c r="H52" s="441"/>
      <c r="I52" s="442"/>
      <c r="J52" s="442"/>
      <c r="K52" s="442"/>
      <c r="L52" s="432"/>
      <c r="M52" s="431"/>
      <c r="N52" s="443"/>
      <c r="O52" s="441"/>
      <c r="P52" s="442"/>
      <c r="Q52" s="442"/>
      <c r="R52" s="432"/>
      <c r="S52" s="431"/>
      <c r="T52" s="443"/>
      <c r="U52" s="441"/>
      <c r="V52" s="442"/>
      <c r="W52" s="442"/>
      <c r="X52" s="432"/>
      <c r="Y52" s="431"/>
      <c r="Z52" s="443"/>
      <c r="AA52" s="441"/>
      <c r="AB52" s="442"/>
      <c r="AC52" s="442"/>
      <c r="AD52" s="432"/>
      <c r="AE52" s="431"/>
      <c r="AF52" s="443"/>
      <c r="AG52" s="441"/>
      <c r="AH52" s="442"/>
      <c r="AI52" s="442"/>
      <c r="AJ52" s="432"/>
      <c r="AK52" s="431"/>
      <c r="AL52" s="431"/>
      <c r="AM52" s="433"/>
      <c r="AN52" s="431"/>
      <c r="AO52" s="433"/>
    </row>
    <row r="53" spans="1:43" x14ac:dyDescent="0.45">
      <c r="A53" s="444"/>
      <c r="B53" s="444"/>
      <c r="C53" s="444"/>
      <c r="D53" s="444"/>
      <c r="E53" s="444"/>
      <c r="F53" s="444"/>
      <c r="G53" s="444" t="s">
        <v>529</v>
      </c>
      <c r="H53" s="408"/>
      <c r="I53" s="587"/>
      <c r="J53" s="587"/>
      <c r="K53" s="587"/>
      <c r="L53" s="400"/>
      <c r="M53" s="359"/>
      <c r="N53" s="401"/>
      <c r="O53" s="408"/>
      <c r="P53" s="587"/>
      <c r="Q53" s="587"/>
      <c r="R53" s="400"/>
      <c r="S53" s="359"/>
      <c r="T53" s="401"/>
      <c r="U53" s="408"/>
      <c r="V53" s="587"/>
      <c r="W53" s="587"/>
      <c r="X53" s="400"/>
      <c r="Y53" s="359"/>
      <c r="Z53" s="401"/>
      <c r="AA53" s="408"/>
      <c r="AB53" s="587"/>
      <c r="AC53" s="587"/>
      <c r="AD53" s="400"/>
      <c r="AE53" s="359"/>
      <c r="AF53" s="401"/>
      <c r="AG53" s="408"/>
      <c r="AH53" s="587"/>
      <c r="AI53" s="587"/>
      <c r="AJ53" s="400"/>
      <c r="AK53" s="359"/>
      <c r="AL53" s="359"/>
      <c r="AM53" s="402"/>
      <c r="AN53" s="359"/>
      <c r="AO53" s="402"/>
    </row>
    <row r="54" spans="1:43" x14ac:dyDescent="0.45">
      <c r="A54" s="1" t="s">
        <v>210</v>
      </c>
      <c r="B54" s="710">
        <v>89050</v>
      </c>
      <c r="C54" s="258" t="s">
        <v>65</v>
      </c>
      <c r="D54" s="258" t="s">
        <v>65</v>
      </c>
      <c r="E54" s="1" t="s">
        <v>211</v>
      </c>
      <c r="F54" s="82" t="s">
        <v>631</v>
      </c>
      <c r="G54" s="445" t="s">
        <v>632</v>
      </c>
      <c r="H54" s="446">
        <v>4</v>
      </c>
      <c r="I54" s="38">
        <v>250</v>
      </c>
      <c r="J54" s="365">
        <v>1</v>
      </c>
      <c r="K54" s="587" t="s">
        <v>124</v>
      </c>
      <c r="L54" s="400">
        <f>J54*I54*H54</f>
        <v>1000</v>
      </c>
      <c r="M54" s="359">
        <v>0</v>
      </c>
      <c r="N54" s="401">
        <f>SUM(L54:M54)</f>
        <v>1000</v>
      </c>
      <c r="O54" s="446">
        <v>4</v>
      </c>
      <c r="P54" s="359">
        <f>I54*$H$6</f>
        <v>257.5</v>
      </c>
      <c r="Q54" s="365">
        <v>1</v>
      </c>
      <c r="R54" s="400">
        <f>O54*P54*Q54</f>
        <v>1030</v>
      </c>
      <c r="S54" s="359">
        <v>0</v>
      </c>
      <c r="T54" s="401">
        <f>SUM(R54:S54)</f>
        <v>1030</v>
      </c>
      <c r="U54" s="446">
        <v>4</v>
      </c>
      <c r="V54" s="359">
        <f>I54*$H$6*$H$6</f>
        <v>265.22500000000002</v>
      </c>
      <c r="W54" s="365">
        <f>Q54</f>
        <v>1</v>
      </c>
      <c r="X54" s="400">
        <f>U54*V54*W54</f>
        <v>1060.9000000000001</v>
      </c>
      <c r="Y54" s="359">
        <v>0</v>
      </c>
      <c r="Z54" s="401">
        <f>SUM(X54:Y54)</f>
        <v>1060.9000000000001</v>
      </c>
      <c r="AA54" s="446">
        <v>4</v>
      </c>
      <c r="AB54" s="359">
        <f>I54*$H$6*$H$6*$H$6</f>
        <v>273.18175000000002</v>
      </c>
      <c r="AC54" s="365">
        <f>W54</f>
        <v>1</v>
      </c>
      <c r="AD54" s="400">
        <f>AA54*AB54*AC54</f>
        <v>1092.7270000000001</v>
      </c>
      <c r="AE54" s="359">
        <v>0</v>
      </c>
      <c r="AF54" s="401">
        <f>SUM(AD54:AE54)</f>
        <v>1092.7270000000001</v>
      </c>
      <c r="AG54" s="446">
        <v>4</v>
      </c>
      <c r="AH54" s="359">
        <f>I54*$H$6*$H$6*$H$6*$H$6</f>
        <v>281.37720250000001</v>
      </c>
      <c r="AI54" s="365">
        <f>AC54</f>
        <v>1</v>
      </c>
      <c r="AJ54" s="400">
        <f>AG54*AH54*AI54</f>
        <v>1125.50881</v>
      </c>
      <c r="AK54" s="359">
        <v>0</v>
      </c>
      <c r="AL54" s="359">
        <f>SUM(AJ54:AK54)</f>
        <v>1125.50881</v>
      </c>
      <c r="AM54" s="402">
        <f>L54+R54+X54+AD54+AJ54</f>
        <v>5309.1358100000007</v>
      </c>
      <c r="AN54" s="359">
        <f>M54+S54+Y54+AE54+AK54</f>
        <v>0</v>
      </c>
      <c r="AO54" s="402">
        <f>SUM(AM54:AN54)</f>
        <v>5309.1358100000007</v>
      </c>
    </row>
    <row r="55" spans="1:43" x14ac:dyDescent="0.45">
      <c r="A55" s="1" t="s">
        <v>210</v>
      </c>
      <c r="B55" s="710">
        <v>89050</v>
      </c>
      <c r="C55" s="258" t="s">
        <v>65</v>
      </c>
      <c r="D55" s="258" t="s">
        <v>65</v>
      </c>
      <c r="E55" s="1" t="s">
        <v>211</v>
      </c>
      <c r="F55" s="82" t="s">
        <v>631</v>
      </c>
      <c r="G55" s="445" t="s">
        <v>633</v>
      </c>
      <c r="H55" s="446">
        <v>4</v>
      </c>
      <c r="I55" s="38">
        <v>40</v>
      </c>
      <c r="J55" s="365">
        <v>3</v>
      </c>
      <c r="K55" s="587" t="s">
        <v>127</v>
      </c>
      <c r="L55" s="400">
        <f>J55*I55*H55</f>
        <v>480</v>
      </c>
      <c r="M55" s="359">
        <v>0</v>
      </c>
      <c r="N55" s="401">
        <f t="shared" ref="N55" si="109">SUM(L55:M55)</f>
        <v>480</v>
      </c>
      <c r="O55" s="446">
        <v>4</v>
      </c>
      <c r="P55" s="359">
        <f t="shared" ref="P55" si="110">I55*$H$6</f>
        <v>41.2</v>
      </c>
      <c r="Q55" s="365">
        <v>3</v>
      </c>
      <c r="R55" s="400">
        <f>O55*P55*Q55</f>
        <v>494.40000000000003</v>
      </c>
      <c r="S55" s="359">
        <v>0</v>
      </c>
      <c r="T55" s="401">
        <f t="shared" ref="T55" si="111">SUM(R55:S55)</f>
        <v>494.40000000000003</v>
      </c>
      <c r="U55" s="446">
        <v>4</v>
      </c>
      <c r="V55" s="359">
        <f t="shared" ref="V55" si="112">I55*$H$6*$H$6</f>
        <v>42.436000000000007</v>
      </c>
      <c r="W55" s="365">
        <f>Q55</f>
        <v>3</v>
      </c>
      <c r="X55" s="400">
        <f t="shared" ref="X55" si="113">U55*V55*W55</f>
        <v>509.23200000000008</v>
      </c>
      <c r="Y55" s="359">
        <v>0</v>
      </c>
      <c r="Z55" s="401">
        <f t="shared" ref="Z55" si="114">SUM(X55:Y55)</f>
        <v>509.23200000000008</v>
      </c>
      <c r="AA55" s="446">
        <v>4</v>
      </c>
      <c r="AB55" s="359">
        <f t="shared" ref="AB55" si="115">I55*$H$6*$H$6*$H$6</f>
        <v>43.709080000000007</v>
      </c>
      <c r="AC55" s="365">
        <f t="shared" ref="AC55" si="116">W55</f>
        <v>3</v>
      </c>
      <c r="AD55" s="400">
        <f t="shared" ref="AD55" si="117">AA55*AB55*AC55</f>
        <v>524.50896000000012</v>
      </c>
      <c r="AE55" s="359">
        <v>0</v>
      </c>
      <c r="AF55" s="401">
        <f t="shared" ref="AF55" si="118">SUM(AD55:AE55)</f>
        <v>524.50896000000012</v>
      </c>
      <c r="AG55" s="446">
        <v>4</v>
      </c>
      <c r="AH55" s="359">
        <f t="shared" ref="AH55" si="119">I55*$H$6*$H$6*$H$6*$H$6</f>
        <v>45.020352400000007</v>
      </c>
      <c r="AI55" s="365">
        <f t="shared" ref="AI55" si="120">AC55</f>
        <v>3</v>
      </c>
      <c r="AJ55" s="400">
        <f t="shared" ref="AJ55" si="121">AG55*AH55*AI55</f>
        <v>540.24422880000009</v>
      </c>
      <c r="AK55" s="359">
        <v>0</v>
      </c>
      <c r="AL55" s="359">
        <f t="shared" ref="AL55" si="122">SUM(AJ55:AK55)</f>
        <v>540.24422880000009</v>
      </c>
      <c r="AM55" s="402">
        <f>L55+R55+X55+AD55+AJ55</f>
        <v>2548.3851888000004</v>
      </c>
      <c r="AN55" s="359">
        <f t="shared" ref="AN55" si="123">M55+S55+Y55+AE55+AK55</f>
        <v>0</v>
      </c>
      <c r="AO55" s="402">
        <f t="shared" ref="AO55" si="124">SUM(AM55:AN55)</f>
        <v>2548.3851888000004</v>
      </c>
    </row>
    <row r="56" spans="1:43" x14ac:dyDescent="0.45">
      <c r="A56" s="1" t="s">
        <v>210</v>
      </c>
      <c r="B56" s="710">
        <v>89050</v>
      </c>
      <c r="C56" s="258" t="s">
        <v>65</v>
      </c>
      <c r="D56" s="258" t="s">
        <v>65</v>
      </c>
      <c r="E56" s="1" t="s">
        <v>211</v>
      </c>
      <c r="F56" s="82" t="s">
        <v>631</v>
      </c>
      <c r="G56" s="445" t="s">
        <v>634</v>
      </c>
      <c r="H56" s="446">
        <v>4</v>
      </c>
      <c r="I56" s="38">
        <v>80</v>
      </c>
      <c r="J56" s="365">
        <v>3</v>
      </c>
      <c r="K56" s="587" t="s">
        <v>127</v>
      </c>
      <c r="L56" s="400">
        <f>J56*I56*H56</f>
        <v>960</v>
      </c>
      <c r="M56" s="359">
        <v>0</v>
      </c>
      <c r="N56" s="401">
        <f t="shared" ref="N56" si="125">SUM(L56:M56)</f>
        <v>960</v>
      </c>
      <c r="O56" s="446">
        <v>4</v>
      </c>
      <c r="P56" s="359">
        <f t="shared" ref="P56:P57" si="126">I56*$H$6</f>
        <v>82.4</v>
      </c>
      <c r="Q56" s="365">
        <v>3</v>
      </c>
      <c r="R56" s="400">
        <f>O56*P56*Q56</f>
        <v>988.80000000000007</v>
      </c>
      <c r="S56" s="359">
        <v>0</v>
      </c>
      <c r="T56" s="401">
        <f t="shared" ref="T56" si="127">SUM(R56:S56)</f>
        <v>988.80000000000007</v>
      </c>
      <c r="U56" s="446">
        <v>4</v>
      </c>
      <c r="V56" s="359">
        <f t="shared" ref="V56:V57" si="128">I56*$H$6*$H$6</f>
        <v>84.872000000000014</v>
      </c>
      <c r="W56" s="365">
        <f>Q56</f>
        <v>3</v>
      </c>
      <c r="X56" s="400">
        <f t="shared" ref="X56:X57" si="129">U56*V56*W56</f>
        <v>1018.4640000000002</v>
      </c>
      <c r="Y56" s="359">
        <v>0</v>
      </c>
      <c r="Z56" s="401">
        <f t="shared" ref="Z56:Z57" si="130">SUM(X56:Y56)</f>
        <v>1018.4640000000002</v>
      </c>
      <c r="AA56" s="446">
        <v>4</v>
      </c>
      <c r="AB56" s="359">
        <f t="shared" ref="AB56:AB57" si="131">I56*$H$6*$H$6*$H$6</f>
        <v>87.418160000000015</v>
      </c>
      <c r="AC56" s="365">
        <f t="shared" ref="AC56:AC57" si="132">W56</f>
        <v>3</v>
      </c>
      <c r="AD56" s="400">
        <f t="shared" ref="AD56:AD57" si="133">AA56*AB56*AC56</f>
        <v>1049.0179200000002</v>
      </c>
      <c r="AE56" s="359">
        <v>0</v>
      </c>
      <c r="AF56" s="401">
        <f t="shared" ref="AF56:AF57" si="134">SUM(AD56:AE56)</f>
        <v>1049.0179200000002</v>
      </c>
      <c r="AG56" s="446">
        <v>4</v>
      </c>
      <c r="AH56" s="359">
        <f t="shared" ref="AH56:AH57" si="135">I56*$H$6*$H$6*$H$6*$H$6</f>
        <v>90.040704800000015</v>
      </c>
      <c r="AI56" s="365">
        <f t="shared" ref="AI56:AI57" si="136">AC56</f>
        <v>3</v>
      </c>
      <c r="AJ56" s="400">
        <f t="shared" ref="AJ56:AJ57" si="137">AG56*AH56*AI56</f>
        <v>1080.4884576000002</v>
      </c>
      <c r="AK56" s="359">
        <v>0</v>
      </c>
      <c r="AL56" s="359">
        <f t="shared" ref="AL56:AL57" si="138">SUM(AJ56:AK56)</f>
        <v>1080.4884576000002</v>
      </c>
      <c r="AM56" s="402">
        <f>L56+R56+X56+AD56+AJ56</f>
        <v>5096.7703776000008</v>
      </c>
      <c r="AN56" s="359">
        <f t="shared" ref="AN56:AN57" si="139">M56+S56+Y56+AE56+AK56</f>
        <v>0</v>
      </c>
      <c r="AO56" s="402">
        <f t="shared" ref="AO56:AO57" si="140">SUM(AM56:AN56)</f>
        <v>5096.7703776000008</v>
      </c>
    </row>
    <row r="57" spans="1:43" x14ac:dyDescent="0.45">
      <c r="A57" s="1" t="s">
        <v>210</v>
      </c>
      <c r="B57" s="710">
        <v>89050</v>
      </c>
      <c r="C57" s="258" t="s">
        <v>65</v>
      </c>
      <c r="D57" s="258" t="s">
        <v>65</v>
      </c>
      <c r="E57" s="1" t="s">
        <v>211</v>
      </c>
      <c r="F57" s="82" t="s">
        <v>631</v>
      </c>
      <c r="G57" s="445" t="s">
        <v>635</v>
      </c>
      <c r="H57" s="446">
        <v>4</v>
      </c>
      <c r="I57" s="38">
        <v>25</v>
      </c>
      <c r="J57" s="365">
        <v>1</v>
      </c>
      <c r="K57" s="587" t="s">
        <v>124</v>
      </c>
      <c r="L57" s="400">
        <f t="shared" ref="L57" si="141">J57*I57*H57</f>
        <v>100</v>
      </c>
      <c r="M57" s="359">
        <v>0</v>
      </c>
      <c r="N57" s="401">
        <f t="shared" ref="N57" si="142">SUM(L57:M57)</f>
        <v>100</v>
      </c>
      <c r="O57" s="446">
        <v>4</v>
      </c>
      <c r="P57" s="359">
        <f t="shared" si="126"/>
        <v>25.75</v>
      </c>
      <c r="Q57" s="365">
        <v>1</v>
      </c>
      <c r="R57" s="400">
        <f t="shared" ref="R57" si="143">O57*P57*Q57</f>
        <v>103</v>
      </c>
      <c r="S57" s="359">
        <v>0</v>
      </c>
      <c r="T57" s="401">
        <f t="shared" ref="T57" si="144">SUM(R57:S57)</f>
        <v>103</v>
      </c>
      <c r="U57" s="446">
        <v>4</v>
      </c>
      <c r="V57" s="359">
        <f t="shared" si="128"/>
        <v>26.522500000000001</v>
      </c>
      <c r="W57" s="365">
        <f t="shared" ref="W57" si="145">Q57</f>
        <v>1</v>
      </c>
      <c r="X57" s="400">
        <f t="shared" si="129"/>
        <v>106.09</v>
      </c>
      <c r="Y57" s="359">
        <v>0</v>
      </c>
      <c r="Z57" s="401">
        <f t="shared" si="130"/>
        <v>106.09</v>
      </c>
      <c r="AA57" s="446">
        <v>4</v>
      </c>
      <c r="AB57" s="359">
        <f t="shared" si="131"/>
        <v>27.318175</v>
      </c>
      <c r="AC57" s="365">
        <f t="shared" si="132"/>
        <v>1</v>
      </c>
      <c r="AD57" s="400">
        <f t="shared" si="133"/>
        <v>109.2727</v>
      </c>
      <c r="AE57" s="359">
        <v>0</v>
      </c>
      <c r="AF57" s="401">
        <f t="shared" si="134"/>
        <v>109.2727</v>
      </c>
      <c r="AG57" s="446">
        <v>4</v>
      </c>
      <c r="AH57" s="359">
        <f t="shared" si="135"/>
        <v>28.137720250000001</v>
      </c>
      <c r="AI57" s="365">
        <f t="shared" si="136"/>
        <v>1</v>
      </c>
      <c r="AJ57" s="400">
        <f t="shared" si="137"/>
        <v>112.550881</v>
      </c>
      <c r="AK57" s="359">
        <v>0</v>
      </c>
      <c r="AL57" s="359">
        <f t="shared" si="138"/>
        <v>112.550881</v>
      </c>
      <c r="AM57" s="402">
        <f t="shared" ref="AM57" si="146">L57+R57+X57+AD57+AJ57</f>
        <v>530.91358100000002</v>
      </c>
      <c r="AN57" s="359">
        <f t="shared" si="139"/>
        <v>0</v>
      </c>
      <c r="AO57" s="402">
        <f t="shared" si="140"/>
        <v>530.91358100000002</v>
      </c>
    </row>
    <row r="58" spans="1:43" s="406" customFormat="1" x14ac:dyDescent="0.45">
      <c r="A58" s="447"/>
      <c r="B58" s="710"/>
      <c r="C58" s="258"/>
      <c r="D58" s="258"/>
      <c r="E58" s="447"/>
      <c r="F58" s="447"/>
      <c r="G58" s="447" t="s">
        <v>379</v>
      </c>
      <c r="H58" s="448"/>
      <c r="I58" s="586"/>
      <c r="J58" s="588"/>
      <c r="K58" s="586"/>
      <c r="L58" s="405">
        <f>SUM(L54:L57)</f>
        <v>2540</v>
      </c>
      <c r="M58" s="405">
        <f>SUM(M54:M57)</f>
        <v>0</v>
      </c>
      <c r="N58" s="405">
        <f>SUM(N54:N57)</f>
        <v>2540</v>
      </c>
      <c r="O58" s="448"/>
      <c r="P58" s="557"/>
      <c r="Q58" s="586"/>
      <c r="R58" s="405">
        <f>SUM(R54:R57)</f>
        <v>2616.2000000000003</v>
      </c>
      <c r="S58" s="405">
        <f>SUM(S54:S57)</f>
        <v>0</v>
      </c>
      <c r="T58" s="405">
        <f>SUM(T54:T57)</f>
        <v>2616.2000000000003</v>
      </c>
      <c r="U58" s="448"/>
      <c r="V58" s="359"/>
      <c r="W58" s="586"/>
      <c r="X58" s="405">
        <f>SUM(X54:X57)</f>
        <v>2694.6860000000006</v>
      </c>
      <c r="Y58" s="405">
        <f>SUM(Y54:Y57)</f>
        <v>0</v>
      </c>
      <c r="Z58" s="405">
        <f>SUM(Z54:Z57)</f>
        <v>2694.6860000000006</v>
      </c>
      <c r="AA58" s="448"/>
      <c r="AB58" s="359"/>
      <c r="AC58" s="586"/>
      <c r="AD58" s="405">
        <f>SUM(AD54:AD57)</f>
        <v>2775.5265800000002</v>
      </c>
      <c r="AE58" s="405">
        <f>SUM(AE54:AE57)</f>
        <v>0</v>
      </c>
      <c r="AF58" s="405">
        <f>SUM(AF54:AF57)</f>
        <v>2775.5265800000002</v>
      </c>
      <c r="AG58" s="448"/>
      <c r="AH58" s="359"/>
      <c r="AI58" s="586"/>
      <c r="AJ58" s="405">
        <f>SUM(AJ54:AJ57)</f>
        <v>2858.7923774000001</v>
      </c>
      <c r="AK58" s="405">
        <f>SUM(AK54:AK57)</f>
        <v>0</v>
      </c>
      <c r="AL58" s="557">
        <f t="shared" ref="AL58" si="147">SUM(AJ58:AK58)</f>
        <v>2858.7923774000001</v>
      </c>
      <c r="AM58" s="676">
        <f t="shared" ref="AM58" si="148">L58+R58+X58+AD58+AJ58</f>
        <v>13485.204957400001</v>
      </c>
      <c r="AN58" s="557">
        <f t="shared" ref="AN58" si="149">M58+S58+Y58+AE58+AK58</f>
        <v>0</v>
      </c>
      <c r="AO58" s="676">
        <f>SUM(AO54:AO57)</f>
        <v>13485.204957400001</v>
      </c>
    </row>
    <row r="59" spans="1:43" s="454" customFormat="1" x14ac:dyDescent="0.45">
      <c r="A59" s="449"/>
      <c r="B59" s="710"/>
      <c r="C59" s="258"/>
      <c r="D59" s="258"/>
      <c r="E59" s="449"/>
      <c r="F59" s="449"/>
      <c r="G59" s="449"/>
      <c r="H59" s="450"/>
      <c r="I59" s="589"/>
      <c r="J59" s="590"/>
      <c r="K59" s="589"/>
      <c r="L59" s="451"/>
      <c r="M59" s="558"/>
      <c r="N59" s="452"/>
      <c r="O59" s="450"/>
      <c r="P59" s="558"/>
      <c r="Q59" s="589"/>
      <c r="R59" s="451"/>
      <c r="S59" s="558"/>
      <c r="T59" s="452"/>
      <c r="U59" s="450"/>
      <c r="V59" s="359"/>
      <c r="W59" s="589"/>
      <c r="X59" s="451"/>
      <c r="Y59" s="558"/>
      <c r="Z59" s="452"/>
      <c r="AA59" s="450"/>
      <c r="AB59" s="359"/>
      <c r="AC59" s="589"/>
      <c r="AD59" s="451"/>
      <c r="AE59" s="558"/>
      <c r="AF59" s="452"/>
      <c r="AG59" s="450"/>
      <c r="AH59" s="359"/>
      <c r="AI59" s="589"/>
      <c r="AJ59" s="451"/>
      <c r="AK59" s="558"/>
      <c r="AL59" s="558"/>
      <c r="AM59" s="453"/>
      <c r="AN59" s="558"/>
      <c r="AO59" s="453"/>
    </row>
    <row r="60" spans="1:43" x14ac:dyDescent="0.45">
      <c r="A60" s="444"/>
      <c r="B60" s="710"/>
      <c r="C60" s="258"/>
      <c r="D60" s="258"/>
      <c r="E60" s="444"/>
      <c r="F60" s="444"/>
      <c r="G60" s="444" t="s">
        <v>135</v>
      </c>
      <c r="H60" s="408"/>
      <c r="I60" s="587"/>
      <c r="J60" s="587"/>
      <c r="K60" s="587"/>
      <c r="L60" s="400"/>
      <c r="M60" s="359"/>
      <c r="N60" s="401"/>
      <c r="O60" s="408"/>
      <c r="P60" s="587"/>
      <c r="Q60" s="587"/>
      <c r="R60" s="400"/>
      <c r="S60" s="359"/>
      <c r="T60" s="401"/>
      <c r="U60" s="408"/>
      <c r="V60" s="359"/>
      <c r="W60" s="587"/>
      <c r="X60" s="400"/>
      <c r="Y60" s="359"/>
      <c r="Z60" s="401"/>
      <c r="AA60" s="408"/>
      <c r="AB60" s="359"/>
      <c r="AC60" s="587"/>
      <c r="AD60" s="400"/>
      <c r="AE60" s="359"/>
      <c r="AF60" s="401"/>
      <c r="AG60" s="408"/>
      <c r="AH60" s="359"/>
      <c r="AI60" s="587"/>
      <c r="AJ60" s="400"/>
      <c r="AK60" s="359"/>
      <c r="AL60" s="359"/>
      <c r="AM60" s="402"/>
      <c r="AN60" s="359"/>
      <c r="AO60" s="402"/>
    </row>
    <row r="61" spans="1:43" s="1" customFormat="1" x14ac:dyDescent="0.45">
      <c r="A61" s="73"/>
      <c r="B61" s="710"/>
      <c r="C61" s="258"/>
      <c r="D61" s="258"/>
      <c r="E61" s="73"/>
      <c r="F61" s="73"/>
      <c r="G61" s="73" t="s">
        <v>380</v>
      </c>
      <c r="H61" s="130"/>
      <c r="I61" s="131"/>
      <c r="J61" s="571"/>
      <c r="K61" s="522"/>
      <c r="L61" s="37"/>
      <c r="M61" s="38"/>
      <c r="N61" s="39"/>
      <c r="O61" s="130"/>
      <c r="P61" s="131"/>
      <c r="Q61" s="131"/>
      <c r="R61" s="37"/>
      <c r="S61" s="38"/>
      <c r="T61" s="39"/>
      <c r="U61" s="130"/>
      <c r="V61" s="38"/>
      <c r="W61" s="131"/>
      <c r="X61" s="37"/>
      <c r="Y61" s="38"/>
      <c r="Z61" s="39"/>
      <c r="AA61" s="130"/>
      <c r="AB61" s="38"/>
      <c r="AC61" s="131"/>
      <c r="AD61" s="37"/>
      <c r="AE61" s="38"/>
      <c r="AF61" s="39"/>
      <c r="AG61" s="130"/>
      <c r="AH61" s="38"/>
      <c r="AI61" s="131"/>
      <c r="AJ61" s="37"/>
      <c r="AK61" s="38"/>
      <c r="AL61" s="38"/>
      <c r="AM61" s="40"/>
      <c r="AN61" s="38"/>
      <c r="AO61" s="40"/>
    </row>
    <row r="62" spans="1:43" x14ac:dyDescent="0.45">
      <c r="A62" s="1" t="s">
        <v>210</v>
      </c>
      <c r="B62" s="710">
        <v>89050</v>
      </c>
      <c r="C62" s="258" t="s">
        <v>65</v>
      </c>
      <c r="D62" s="258" t="s">
        <v>65</v>
      </c>
      <c r="E62" s="1" t="s">
        <v>211</v>
      </c>
      <c r="F62" s="82" t="s">
        <v>636</v>
      </c>
      <c r="G62" s="445" t="s">
        <v>637</v>
      </c>
      <c r="H62" s="446">
        <f>1*9</f>
        <v>9</v>
      </c>
      <c r="I62" s="365">
        <v>250</v>
      </c>
      <c r="J62" s="365">
        <v>1</v>
      </c>
      <c r="K62" s="587" t="s">
        <v>124</v>
      </c>
      <c r="L62" s="400">
        <f>J62*I62*H62</f>
        <v>2250</v>
      </c>
      <c r="M62" s="359">
        <v>0</v>
      </c>
      <c r="N62" s="401">
        <f t="shared" ref="N62" si="150">SUM(L62:M62)</f>
        <v>2250</v>
      </c>
      <c r="O62" s="446">
        <f>2*9</f>
        <v>18</v>
      </c>
      <c r="P62" s="359">
        <f>I62*$H$6</f>
        <v>257.5</v>
      </c>
      <c r="Q62" s="365">
        <v>1</v>
      </c>
      <c r="R62" s="400">
        <f t="shared" ref="R62:R65" si="151">O62*P62*Q62</f>
        <v>4635</v>
      </c>
      <c r="S62" s="359">
        <v>0</v>
      </c>
      <c r="T62" s="401">
        <f t="shared" ref="T62:T65" si="152">SUM(R62:S62)</f>
        <v>4635</v>
      </c>
      <c r="U62" s="446">
        <f>2*9</f>
        <v>18</v>
      </c>
      <c r="V62" s="359">
        <f>I62*$H$6*$H$6</f>
        <v>265.22500000000002</v>
      </c>
      <c r="W62" s="365">
        <v>1</v>
      </c>
      <c r="X62" s="400">
        <f t="shared" ref="X62:X65" si="153">U62*V62*W62</f>
        <v>4774.05</v>
      </c>
      <c r="Y62" s="359">
        <v>0</v>
      </c>
      <c r="Z62" s="401">
        <f t="shared" ref="Z62:Z65" si="154">SUM(X62:Y62)</f>
        <v>4774.05</v>
      </c>
      <c r="AA62" s="446">
        <f>2*9</f>
        <v>18</v>
      </c>
      <c r="AB62" s="359">
        <f>I62*$H$6*$H$6*$H$6</f>
        <v>273.18175000000002</v>
      </c>
      <c r="AC62" s="365">
        <v>1</v>
      </c>
      <c r="AD62" s="400">
        <f t="shared" ref="AD62:AD65" si="155">AA62*AB62*AC62</f>
        <v>4917.2715000000007</v>
      </c>
      <c r="AE62" s="359">
        <v>0</v>
      </c>
      <c r="AF62" s="401">
        <f t="shared" ref="AF62:AF65" si="156">SUM(AD62:AE62)</f>
        <v>4917.2715000000007</v>
      </c>
      <c r="AG62" s="446">
        <f>1*9</f>
        <v>9</v>
      </c>
      <c r="AH62" s="359">
        <f>I62*$H$6*$H$6*$H$6*$H$6</f>
        <v>281.37720250000001</v>
      </c>
      <c r="AI62" s="365">
        <v>1</v>
      </c>
      <c r="AJ62" s="400">
        <f t="shared" ref="AJ62:AJ65" si="157">AG62*AH62*AI62</f>
        <v>2532.3948224999999</v>
      </c>
      <c r="AK62" s="359">
        <v>0</v>
      </c>
      <c r="AL62" s="359">
        <f t="shared" ref="AL62:AL65" si="158">SUM(AJ62:AK62)</f>
        <v>2532.3948224999999</v>
      </c>
      <c r="AM62" s="402">
        <f>L62+R62+X62+AD62+AJ62</f>
        <v>19108.716322499997</v>
      </c>
      <c r="AN62" s="359">
        <f t="shared" ref="AN62:AN65" si="159">M62+S62+Y62+AE62+AK62</f>
        <v>0</v>
      </c>
      <c r="AO62" s="402">
        <f t="shared" ref="AO62:AO65" si="160">SUM(AM62:AN62)</f>
        <v>19108.716322499997</v>
      </c>
    </row>
    <row r="63" spans="1:43" x14ac:dyDescent="0.45">
      <c r="A63" s="1" t="s">
        <v>210</v>
      </c>
      <c r="B63" s="710">
        <v>89050</v>
      </c>
      <c r="C63" s="258" t="s">
        <v>65</v>
      </c>
      <c r="D63" s="258" t="s">
        <v>65</v>
      </c>
      <c r="E63" s="1" t="s">
        <v>211</v>
      </c>
      <c r="F63" s="82" t="s">
        <v>636</v>
      </c>
      <c r="G63" s="680" t="s">
        <v>638</v>
      </c>
      <c r="H63" s="446">
        <f>1*9</f>
        <v>9</v>
      </c>
      <c r="I63" s="365">
        <v>40</v>
      </c>
      <c r="J63" s="365">
        <v>3</v>
      </c>
      <c r="K63" s="587" t="s">
        <v>127</v>
      </c>
      <c r="L63" s="400">
        <f>J63*I63*H63</f>
        <v>1080</v>
      </c>
      <c r="M63" s="359">
        <v>0</v>
      </c>
      <c r="N63" s="401">
        <f t="shared" ref="N63" si="161">SUM(L63:M63)</f>
        <v>1080</v>
      </c>
      <c r="O63" s="446">
        <f>2*9</f>
        <v>18</v>
      </c>
      <c r="P63" s="359">
        <f>I63*$H$6</f>
        <v>41.2</v>
      </c>
      <c r="Q63" s="365">
        <v>3</v>
      </c>
      <c r="R63" s="400">
        <f t="shared" si="151"/>
        <v>2224.8000000000002</v>
      </c>
      <c r="S63" s="359">
        <v>0</v>
      </c>
      <c r="T63" s="401">
        <f t="shared" si="152"/>
        <v>2224.8000000000002</v>
      </c>
      <c r="U63" s="446">
        <f>2*9</f>
        <v>18</v>
      </c>
      <c r="V63" s="359">
        <f>I63*$H$6*$H$6</f>
        <v>42.436000000000007</v>
      </c>
      <c r="W63" s="365">
        <v>3</v>
      </c>
      <c r="X63" s="400">
        <f t="shared" si="153"/>
        <v>2291.5440000000008</v>
      </c>
      <c r="Y63" s="359">
        <v>0</v>
      </c>
      <c r="Z63" s="401">
        <f t="shared" si="154"/>
        <v>2291.5440000000008</v>
      </c>
      <c r="AA63" s="446">
        <f>2*9</f>
        <v>18</v>
      </c>
      <c r="AB63" s="359">
        <f>I63*$H$6*$H$6*$H$6</f>
        <v>43.709080000000007</v>
      </c>
      <c r="AC63" s="365">
        <v>3</v>
      </c>
      <c r="AD63" s="400">
        <f t="shared" si="155"/>
        <v>2360.2903200000005</v>
      </c>
      <c r="AE63" s="359">
        <v>0</v>
      </c>
      <c r="AF63" s="401">
        <f t="shared" si="156"/>
        <v>2360.2903200000005</v>
      </c>
      <c r="AG63" s="446">
        <f>1*9</f>
        <v>9</v>
      </c>
      <c r="AH63" s="359">
        <f>I63*$H$6*$H$6*$H$6*$H$6</f>
        <v>45.020352400000007</v>
      </c>
      <c r="AI63" s="365">
        <v>3</v>
      </c>
      <c r="AJ63" s="400">
        <f t="shared" si="157"/>
        <v>1215.5495148</v>
      </c>
      <c r="AK63" s="359">
        <v>0</v>
      </c>
      <c r="AL63" s="359">
        <f t="shared" si="158"/>
        <v>1215.5495148</v>
      </c>
      <c r="AM63" s="402">
        <f>L63+R63+X63+AD63+AJ63</f>
        <v>9172.1838348000019</v>
      </c>
      <c r="AN63" s="359">
        <f t="shared" si="159"/>
        <v>0</v>
      </c>
      <c r="AO63" s="402">
        <f t="shared" si="160"/>
        <v>9172.1838348000019</v>
      </c>
    </row>
    <row r="64" spans="1:43" x14ac:dyDescent="0.45">
      <c r="A64" s="1" t="s">
        <v>210</v>
      </c>
      <c r="B64" s="710">
        <v>89050</v>
      </c>
      <c r="C64" s="258" t="s">
        <v>65</v>
      </c>
      <c r="D64" s="258" t="s">
        <v>65</v>
      </c>
      <c r="E64" s="1" t="s">
        <v>211</v>
      </c>
      <c r="F64" s="82" t="s">
        <v>636</v>
      </c>
      <c r="G64" s="680" t="s">
        <v>639</v>
      </c>
      <c r="H64" s="446">
        <f>1*9</f>
        <v>9</v>
      </c>
      <c r="I64" s="365">
        <v>80</v>
      </c>
      <c r="J64" s="365">
        <v>3</v>
      </c>
      <c r="K64" s="587" t="s">
        <v>127</v>
      </c>
      <c r="L64" s="400">
        <f>J64*I64*H64</f>
        <v>2160</v>
      </c>
      <c r="M64" s="359">
        <v>0</v>
      </c>
      <c r="N64" s="401">
        <f t="shared" ref="N64:N65" si="162">SUM(L64:M64)</f>
        <v>2160</v>
      </c>
      <c r="O64" s="446">
        <f>2*9</f>
        <v>18</v>
      </c>
      <c r="P64" s="359">
        <f t="shared" ref="P64:P65" si="163">I64*$H$6</f>
        <v>82.4</v>
      </c>
      <c r="Q64" s="365">
        <v>3</v>
      </c>
      <c r="R64" s="400">
        <f t="shared" si="151"/>
        <v>4449.6000000000004</v>
      </c>
      <c r="S64" s="359">
        <v>0</v>
      </c>
      <c r="T64" s="401">
        <f t="shared" si="152"/>
        <v>4449.6000000000004</v>
      </c>
      <c r="U64" s="446">
        <f>2*9</f>
        <v>18</v>
      </c>
      <c r="V64" s="359">
        <f t="shared" ref="V64:V65" si="164">I64*$H$6*$H$6</f>
        <v>84.872000000000014</v>
      </c>
      <c r="W64" s="365">
        <v>3</v>
      </c>
      <c r="X64" s="400">
        <f t="shared" si="153"/>
        <v>4583.0880000000016</v>
      </c>
      <c r="Y64" s="359">
        <v>0</v>
      </c>
      <c r="Z64" s="401">
        <f t="shared" si="154"/>
        <v>4583.0880000000016</v>
      </c>
      <c r="AA64" s="446">
        <f>2*9</f>
        <v>18</v>
      </c>
      <c r="AB64" s="359">
        <f t="shared" ref="AB64:AB65" si="165">I64*$H$6*$H$6*$H$6</f>
        <v>87.418160000000015</v>
      </c>
      <c r="AC64" s="365">
        <v>3</v>
      </c>
      <c r="AD64" s="400">
        <f t="shared" si="155"/>
        <v>4720.580640000001</v>
      </c>
      <c r="AE64" s="359">
        <v>0</v>
      </c>
      <c r="AF64" s="401">
        <f t="shared" si="156"/>
        <v>4720.580640000001</v>
      </c>
      <c r="AG64" s="446">
        <f>1*9</f>
        <v>9</v>
      </c>
      <c r="AH64" s="359">
        <f t="shared" ref="AH64:AH65" si="166">I64*$H$6*$H$6*$H$6*$H$6</f>
        <v>90.040704800000015</v>
      </c>
      <c r="AI64" s="365">
        <v>3</v>
      </c>
      <c r="AJ64" s="400">
        <f t="shared" si="157"/>
        <v>2431.0990296</v>
      </c>
      <c r="AK64" s="359">
        <v>0</v>
      </c>
      <c r="AL64" s="359">
        <f t="shared" si="158"/>
        <v>2431.0990296</v>
      </c>
      <c r="AM64" s="402">
        <f t="shared" ref="AM64:AM65" si="167">L64+R64+X64+AD64+AJ64</f>
        <v>18344.367669600004</v>
      </c>
      <c r="AN64" s="359">
        <f t="shared" si="159"/>
        <v>0</v>
      </c>
      <c r="AO64" s="402">
        <f t="shared" si="160"/>
        <v>18344.367669600004</v>
      </c>
    </row>
    <row r="65" spans="1:43" x14ac:dyDescent="0.45">
      <c r="A65" s="1" t="s">
        <v>210</v>
      </c>
      <c r="B65" s="710">
        <v>89050</v>
      </c>
      <c r="C65" s="258" t="s">
        <v>65</v>
      </c>
      <c r="D65" s="258" t="s">
        <v>65</v>
      </c>
      <c r="E65" s="1" t="s">
        <v>211</v>
      </c>
      <c r="F65" s="82" t="s">
        <v>636</v>
      </c>
      <c r="G65" s="445" t="s">
        <v>640</v>
      </c>
      <c r="H65" s="446">
        <f>1*9</f>
        <v>9</v>
      </c>
      <c r="I65" s="365">
        <v>25</v>
      </c>
      <c r="J65" s="365">
        <v>3</v>
      </c>
      <c r="K65" s="587" t="s">
        <v>124</v>
      </c>
      <c r="L65" s="400">
        <f t="shared" ref="L65" si="168">J65*I65*H65</f>
        <v>675</v>
      </c>
      <c r="M65" s="359">
        <v>0</v>
      </c>
      <c r="N65" s="401">
        <f t="shared" si="162"/>
        <v>675</v>
      </c>
      <c r="O65" s="446">
        <f>2*9</f>
        <v>18</v>
      </c>
      <c r="P65" s="359">
        <f t="shared" si="163"/>
        <v>25.75</v>
      </c>
      <c r="Q65" s="365">
        <v>3</v>
      </c>
      <c r="R65" s="400">
        <f t="shared" si="151"/>
        <v>1390.5</v>
      </c>
      <c r="S65" s="359">
        <v>0</v>
      </c>
      <c r="T65" s="401">
        <f t="shared" si="152"/>
        <v>1390.5</v>
      </c>
      <c r="U65" s="446">
        <f>2*9</f>
        <v>18</v>
      </c>
      <c r="V65" s="359">
        <f t="shared" si="164"/>
        <v>26.522500000000001</v>
      </c>
      <c r="W65" s="365">
        <v>3</v>
      </c>
      <c r="X65" s="400">
        <f t="shared" si="153"/>
        <v>1432.2150000000001</v>
      </c>
      <c r="Y65" s="359">
        <v>0</v>
      </c>
      <c r="Z65" s="401">
        <f t="shared" si="154"/>
        <v>1432.2150000000001</v>
      </c>
      <c r="AA65" s="446">
        <f>2*9</f>
        <v>18</v>
      </c>
      <c r="AB65" s="359">
        <f t="shared" si="165"/>
        <v>27.318175</v>
      </c>
      <c r="AC65" s="365">
        <v>3</v>
      </c>
      <c r="AD65" s="400">
        <f t="shared" si="155"/>
        <v>1475.18145</v>
      </c>
      <c r="AE65" s="359">
        <v>0</v>
      </c>
      <c r="AF65" s="401">
        <f t="shared" si="156"/>
        <v>1475.18145</v>
      </c>
      <c r="AG65" s="446">
        <f>1*9</f>
        <v>9</v>
      </c>
      <c r="AH65" s="359">
        <f t="shared" si="166"/>
        <v>28.137720250000001</v>
      </c>
      <c r="AI65" s="365">
        <v>3</v>
      </c>
      <c r="AJ65" s="400">
        <f t="shared" si="157"/>
        <v>759.71844675</v>
      </c>
      <c r="AK65" s="359">
        <v>0</v>
      </c>
      <c r="AL65" s="359">
        <f t="shared" si="158"/>
        <v>759.71844675</v>
      </c>
      <c r="AM65" s="402">
        <f t="shared" si="167"/>
        <v>5732.6148967500003</v>
      </c>
      <c r="AN65" s="359">
        <f t="shared" si="159"/>
        <v>0</v>
      </c>
      <c r="AO65" s="402">
        <f t="shared" si="160"/>
        <v>5732.6148967500003</v>
      </c>
    </row>
    <row r="66" spans="1:43" x14ac:dyDescent="0.45">
      <c r="A66" s="1" t="s">
        <v>210</v>
      </c>
      <c r="B66" s="710">
        <v>89050</v>
      </c>
      <c r="C66" s="258" t="s">
        <v>65</v>
      </c>
      <c r="D66" s="258" t="s">
        <v>65</v>
      </c>
      <c r="E66" s="1" t="s">
        <v>211</v>
      </c>
      <c r="F66" s="82" t="s">
        <v>636</v>
      </c>
      <c r="G66" s="445" t="s">
        <v>641</v>
      </c>
      <c r="H66" s="446">
        <v>12</v>
      </c>
      <c r="I66" s="365">
        <v>250</v>
      </c>
      <c r="J66" s="365">
        <v>1</v>
      </c>
      <c r="K66" s="587" t="s">
        <v>124</v>
      </c>
      <c r="L66" s="400">
        <f t="shared" ref="L66:L69" si="169">J66*I66*H66</f>
        <v>3000</v>
      </c>
      <c r="M66" s="359">
        <v>0</v>
      </c>
      <c r="N66" s="401">
        <f t="shared" ref="N66:N69" si="170">SUM(L66:M66)</f>
        <v>3000</v>
      </c>
      <c r="O66" s="446">
        <v>12</v>
      </c>
      <c r="P66" s="359">
        <f>I66*$H$6</f>
        <v>257.5</v>
      </c>
      <c r="Q66" s="365">
        <v>1</v>
      </c>
      <c r="R66" s="400">
        <f t="shared" ref="R66:R69" si="171">O66*P66*Q66</f>
        <v>3090</v>
      </c>
      <c r="S66" s="359">
        <v>0</v>
      </c>
      <c r="T66" s="401">
        <f t="shared" ref="T66:T69" si="172">SUM(R66:S66)</f>
        <v>3090</v>
      </c>
      <c r="U66" s="446">
        <v>12</v>
      </c>
      <c r="V66" s="359">
        <f>I66*$H$6*$H$6</f>
        <v>265.22500000000002</v>
      </c>
      <c r="W66" s="365">
        <v>1</v>
      </c>
      <c r="X66" s="400">
        <f t="shared" ref="X66:X69" si="173">U66*V66*W66</f>
        <v>3182.7000000000003</v>
      </c>
      <c r="Y66" s="359">
        <v>0</v>
      </c>
      <c r="Z66" s="401">
        <f t="shared" ref="Z66:Z69" si="174">SUM(X66:Y66)</f>
        <v>3182.7000000000003</v>
      </c>
      <c r="AA66" s="446">
        <v>12</v>
      </c>
      <c r="AB66" s="359">
        <f>I66*$H$6*$H$6*$H$6</f>
        <v>273.18175000000002</v>
      </c>
      <c r="AC66" s="365">
        <v>1</v>
      </c>
      <c r="AD66" s="400">
        <f t="shared" ref="AD66:AD69" si="175">AA66*AB66*AC66</f>
        <v>3278.1810000000005</v>
      </c>
      <c r="AE66" s="359">
        <v>0</v>
      </c>
      <c r="AF66" s="401">
        <f t="shared" ref="AF66:AF69" si="176">SUM(AD66:AE66)</f>
        <v>3278.1810000000005</v>
      </c>
      <c r="AG66" s="446">
        <v>4</v>
      </c>
      <c r="AH66" s="359">
        <f>I66*$H$6*$H$6*$H$6*$H$6</f>
        <v>281.37720250000001</v>
      </c>
      <c r="AI66" s="365">
        <v>1</v>
      </c>
      <c r="AJ66" s="400">
        <f t="shared" ref="AJ66:AJ69" si="177">AG66*AH66*AI66</f>
        <v>1125.50881</v>
      </c>
      <c r="AK66" s="359">
        <v>0</v>
      </c>
      <c r="AL66" s="359">
        <f t="shared" ref="AL66:AL69" si="178">SUM(AJ66:AK66)</f>
        <v>1125.50881</v>
      </c>
      <c r="AM66" s="402">
        <f>L66+R66+X66+AD66+AJ66</f>
        <v>13676.389810000001</v>
      </c>
      <c r="AN66" s="359">
        <f t="shared" ref="AN66:AN69" si="179">M66+S66+Y66+AE66+AK66</f>
        <v>0</v>
      </c>
      <c r="AO66" s="402">
        <f t="shared" ref="AO66:AO69" si="180">SUM(AM66:AN66)</f>
        <v>13676.389810000001</v>
      </c>
    </row>
    <row r="67" spans="1:43" x14ac:dyDescent="0.45">
      <c r="A67" s="1" t="s">
        <v>210</v>
      </c>
      <c r="B67" s="710">
        <v>89050</v>
      </c>
      <c r="C67" s="258" t="s">
        <v>65</v>
      </c>
      <c r="D67" s="258" t="s">
        <v>65</v>
      </c>
      <c r="E67" s="1" t="s">
        <v>211</v>
      </c>
      <c r="F67" s="82" t="s">
        <v>636</v>
      </c>
      <c r="G67" s="445" t="s">
        <v>642</v>
      </c>
      <c r="H67" s="446">
        <v>12</v>
      </c>
      <c r="I67" s="365">
        <v>40</v>
      </c>
      <c r="J67" s="365">
        <v>3</v>
      </c>
      <c r="K67" s="587" t="s">
        <v>127</v>
      </c>
      <c r="L67" s="400">
        <f t="shared" ref="L67" si="181">J67*I67*H67</f>
        <v>1440</v>
      </c>
      <c r="M67" s="359">
        <v>0</v>
      </c>
      <c r="N67" s="401">
        <f t="shared" ref="N67" si="182">SUM(L67:M67)</f>
        <v>1440</v>
      </c>
      <c r="O67" s="446">
        <v>12</v>
      </c>
      <c r="P67" s="359">
        <f t="shared" ref="P67" si="183">I67*$H$6</f>
        <v>41.2</v>
      </c>
      <c r="Q67" s="365">
        <v>3</v>
      </c>
      <c r="R67" s="400">
        <f t="shared" ref="R67" si="184">O67*P67*Q67</f>
        <v>1483.2</v>
      </c>
      <c r="S67" s="359">
        <v>0</v>
      </c>
      <c r="T67" s="401">
        <f t="shared" ref="T67" si="185">SUM(R67:S67)</f>
        <v>1483.2</v>
      </c>
      <c r="U67" s="446">
        <v>12</v>
      </c>
      <c r="V67" s="359">
        <f t="shared" ref="V67" si="186">I67*$H$6*$H$6</f>
        <v>42.436000000000007</v>
      </c>
      <c r="W67" s="365">
        <v>3</v>
      </c>
      <c r="X67" s="400">
        <f t="shared" ref="X67" si="187">U67*V67*W67</f>
        <v>1527.6960000000004</v>
      </c>
      <c r="Y67" s="359">
        <v>0</v>
      </c>
      <c r="Z67" s="401">
        <f t="shared" ref="Z67" si="188">SUM(X67:Y67)</f>
        <v>1527.6960000000004</v>
      </c>
      <c r="AA67" s="446">
        <v>12</v>
      </c>
      <c r="AB67" s="359">
        <f t="shared" ref="AB67" si="189">I67*$H$6*$H$6*$H$6</f>
        <v>43.709080000000007</v>
      </c>
      <c r="AC67" s="365">
        <v>3</v>
      </c>
      <c r="AD67" s="400">
        <f t="shared" ref="AD67" si="190">AA67*AB67*AC67</f>
        <v>1573.5268800000003</v>
      </c>
      <c r="AE67" s="359">
        <v>0</v>
      </c>
      <c r="AF67" s="401">
        <f t="shared" ref="AF67" si="191">SUM(AD67:AE67)</f>
        <v>1573.5268800000003</v>
      </c>
      <c r="AG67" s="446">
        <v>4</v>
      </c>
      <c r="AH67" s="359">
        <f t="shared" ref="AH67" si="192">I67*$H$6*$H$6*$H$6*$H$6</f>
        <v>45.020352400000007</v>
      </c>
      <c r="AI67" s="365">
        <v>3</v>
      </c>
      <c r="AJ67" s="400">
        <f t="shared" ref="AJ67" si="193">AG67*AH67*AI67</f>
        <v>540.24422880000009</v>
      </c>
      <c r="AK67" s="359">
        <v>0</v>
      </c>
      <c r="AL67" s="359">
        <f t="shared" ref="AL67" si="194">SUM(AJ67:AK67)</f>
        <v>540.24422880000009</v>
      </c>
      <c r="AM67" s="402">
        <f t="shared" ref="AM67" si="195">L67+R67+X67+AD67+AJ67</f>
        <v>6564.6671088000012</v>
      </c>
      <c r="AN67" s="359">
        <f t="shared" ref="AN67" si="196">M67+S67+Y67+AE67+AK67</f>
        <v>0</v>
      </c>
      <c r="AO67" s="402">
        <f t="shared" ref="AO67" si="197">SUM(AM67:AN67)</f>
        <v>6564.6671088000012</v>
      </c>
    </row>
    <row r="68" spans="1:43" x14ac:dyDescent="0.45">
      <c r="A68" s="1" t="s">
        <v>210</v>
      </c>
      <c r="B68" s="710">
        <v>89050</v>
      </c>
      <c r="C68" s="258" t="s">
        <v>65</v>
      </c>
      <c r="D68" s="258" t="s">
        <v>65</v>
      </c>
      <c r="E68" s="1" t="s">
        <v>211</v>
      </c>
      <c r="F68" s="82" t="s">
        <v>636</v>
      </c>
      <c r="G68" s="445" t="s">
        <v>643</v>
      </c>
      <c r="H68" s="446">
        <v>12</v>
      </c>
      <c r="I68" s="365">
        <v>80</v>
      </c>
      <c r="J68" s="365">
        <v>3</v>
      </c>
      <c r="K68" s="587" t="s">
        <v>127</v>
      </c>
      <c r="L68" s="400">
        <f t="shared" si="169"/>
        <v>2880</v>
      </c>
      <c r="M68" s="359">
        <v>0</v>
      </c>
      <c r="N68" s="401">
        <f t="shared" si="170"/>
        <v>2880</v>
      </c>
      <c r="O68" s="446">
        <v>12</v>
      </c>
      <c r="P68" s="359">
        <f t="shared" ref="P68:P69" si="198">I68*$H$6</f>
        <v>82.4</v>
      </c>
      <c r="Q68" s="365">
        <v>3</v>
      </c>
      <c r="R68" s="400">
        <f t="shared" si="171"/>
        <v>2966.4</v>
      </c>
      <c r="S68" s="359">
        <v>0</v>
      </c>
      <c r="T68" s="401">
        <f t="shared" si="172"/>
        <v>2966.4</v>
      </c>
      <c r="U68" s="446">
        <v>12</v>
      </c>
      <c r="V68" s="359">
        <f t="shared" ref="V68:V69" si="199">I68*$H$6*$H$6</f>
        <v>84.872000000000014</v>
      </c>
      <c r="W68" s="365">
        <v>3</v>
      </c>
      <c r="X68" s="400">
        <f t="shared" si="173"/>
        <v>3055.3920000000007</v>
      </c>
      <c r="Y68" s="359">
        <v>0</v>
      </c>
      <c r="Z68" s="401">
        <f t="shared" si="174"/>
        <v>3055.3920000000007</v>
      </c>
      <c r="AA68" s="446">
        <v>12</v>
      </c>
      <c r="AB68" s="359">
        <f t="shared" ref="AB68:AB69" si="200">I68*$H$6*$H$6*$H$6</f>
        <v>87.418160000000015</v>
      </c>
      <c r="AC68" s="365">
        <v>3</v>
      </c>
      <c r="AD68" s="400">
        <f t="shared" si="175"/>
        <v>3147.0537600000007</v>
      </c>
      <c r="AE68" s="359">
        <v>0</v>
      </c>
      <c r="AF68" s="401">
        <f t="shared" si="176"/>
        <v>3147.0537600000007</v>
      </c>
      <c r="AG68" s="446">
        <v>4</v>
      </c>
      <c r="AH68" s="359">
        <f t="shared" ref="AH68:AH69" si="201">I68*$H$6*$H$6*$H$6*$H$6</f>
        <v>90.040704800000015</v>
      </c>
      <c r="AI68" s="365">
        <v>3</v>
      </c>
      <c r="AJ68" s="400">
        <f t="shared" si="177"/>
        <v>1080.4884576000002</v>
      </c>
      <c r="AK68" s="359">
        <v>0</v>
      </c>
      <c r="AL68" s="359">
        <f t="shared" si="178"/>
        <v>1080.4884576000002</v>
      </c>
      <c r="AM68" s="402">
        <f t="shared" ref="AM68:AM69" si="202">L68+R68+X68+AD68+AJ68</f>
        <v>13129.334217600002</v>
      </c>
      <c r="AN68" s="359">
        <f t="shared" si="179"/>
        <v>0</v>
      </c>
      <c r="AO68" s="402">
        <f t="shared" si="180"/>
        <v>13129.334217600002</v>
      </c>
    </row>
    <row r="69" spans="1:43" x14ac:dyDescent="0.45">
      <c r="A69" s="1" t="s">
        <v>210</v>
      </c>
      <c r="B69" s="710">
        <v>89050</v>
      </c>
      <c r="C69" s="258" t="s">
        <v>65</v>
      </c>
      <c r="D69" s="258" t="s">
        <v>65</v>
      </c>
      <c r="E69" s="1" t="s">
        <v>211</v>
      </c>
      <c r="F69" s="82" t="s">
        <v>636</v>
      </c>
      <c r="G69" s="445" t="s">
        <v>644</v>
      </c>
      <c r="H69" s="446">
        <v>12</v>
      </c>
      <c r="I69" s="365">
        <v>25</v>
      </c>
      <c r="J69" s="365">
        <v>3</v>
      </c>
      <c r="K69" s="587" t="s">
        <v>124</v>
      </c>
      <c r="L69" s="400">
        <f t="shared" si="169"/>
        <v>900</v>
      </c>
      <c r="M69" s="359">
        <v>0</v>
      </c>
      <c r="N69" s="401">
        <f t="shared" si="170"/>
        <v>900</v>
      </c>
      <c r="O69" s="446">
        <v>12</v>
      </c>
      <c r="P69" s="359">
        <f t="shared" si="198"/>
        <v>25.75</v>
      </c>
      <c r="Q69" s="365">
        <v>3</v>
      </c>
      <c r="R69" s="400">
        <f t="shared" si="171"/>
        <v>927</v>
      </c>
      <c r="S69" s="359">
        <v>0</v>
      </c>
      <c r="T69" s="401">
        <f t="shared" si="172"/>
        <v>927</v>
      </c>
      <c r="U69" s="446">
        <v>12</v>
      </c>
      <c r="V69" s="359">
        <f t="shared" si="199"/>
        <v>26.522500000000001</v>
      </c>
      <c r="W69" s="365">
        <v>3</v>
      </c>
      <c r="X69" s="400">
        <f t="shared" si="173"/>
        <v>954.81</v>
      </c>
      <c r="Y69" s="359">
        <v>0</v>
      </c>
      <c r="Z69" s="401">
        <f t="shared" si="174"/>
        <v>954.81</v>
      </c>
      <c r="AA69" s="446">
        <v>12</v>
      </c>
      <c r="AB69" s="359">
        <f t="shared" si="200"/>
        <v>27.318175</v>
      </c>
      <c r="AC69" s="365">
        <v>3</v>
      </c>
      <c r="AD69" s="400">
        <f t="shared" si="175"/>
        <v>983.4543000000001</v>
      </c>
      <c r="AE69" s="359">
        <v>0</v>
      </c>
      <c r="AF69" s="401">
        <f t="shared" si="176"/>
        <v>983.4543000000001</v>
      </c>
      <c r="AG69" s="446">
        <v>4</v>
      </c>
      <c r="AH69" s="359">
        <f t="shared" si="201"/>
        <v>28.137720250000001</v>
      </c>
      <c r="AI69" s="365">
        <v>3</v>
      </c>
      <c r="AJ69" s="400">
        <f t="shared" si="177"/>
        <v>337.65264300000001</v>
      </c>
      <c r="AK69" s="359">
        <v>0</v>
      </c>
      <c r="AL69" s="359">
        <f t="shared" si="178"/>
        <v>337.65264300000001</v>
      </c>
      <c r="AM69" s="402">
        <f t="shared" si="202"/>
        <v>4102.9169430000002</v>
      </c>
      <c r="AN69" s="359">
        <f t="shared" si="179"/>
        <v>0</v>
      </c>
      <c r="AO69" s="402">
        <f t="shared" si="180"/>
        <v>4102.9169430000002</v>
      </c>
    </row>
    <row r="70" spans="1:43" x14ac:dyDescent="0.45">
      <c r="A70" s="1" t="s">
        <v>210</v>
      </c>
      <c r="B70" s="710">
        <v>89050</v>
      </c>
      <c r="C70" s="258" t="s">
        <v>65</v>
      </c>
      <c r="D70" s="258" t="s">
        <v>65</v>
      </c>
      <c r="E70" s="1" t="s">
        <v>211</v>
      </c>
      <c r="F70" s="82" t="s">
        <v>636</v>
      </c>
      <c r="G70" s="445" t="s">
        <v>645</v>
      </c>
      <c r="H70" s="446">
        <v>16</v>
      </c>
      <c r="I70" s="365">
        <v>50</v>
      </c>
      <c r="J70" s="365">
        <v>9</v>
      </c>
      <c r="K70" s="522" t="s">
        <v>107</v>
      </c>
      <c r="L70" s="400">
        <f>J70*I70*H70</f>
        <v>7200</v>
      </c>
      <c r="M70" s="359">
        <v>0</v>
      </c>
      <c r="N70" s="401">
        <f>SUM(L70:M70)</f>
        <v>7200</v>
      </c>
      <c r="O70" s="446">
        <f>H70</f>
        <v>16</v>
      </c>
      <c r="P70" s="359">
        <f>I70*$H$6</f>
        <v>51.5</v>
      </c>
      <c r="Q70" s="365">
        <v>10</v>
      </c>
      <c r="R70" s="400">
        <f>O70*P70*Q70</f>
        <v>8240</v>
      </c>
      <c r="S70" s="359">
        <v>0</v>
      </c>
      <c r="T70" s="401">
        <f>SUM(R70:S70)</f>
        <v>8240</v>
      </c>
      <c r="U70" s="591">
        <f>O70</f>
        <v>16</v>
      </c>
      <c r="V70" s="359">
        <f>I70*$H$6*$H$6</f>
        <v>53.045000000000002</v>
      </c>
      <c r="W70" s="365">
        <v>10</v>
      </c>
      <c r="X70" s="400">
        <f>W70*V70*U70</f>
        <v>8487.2000000000007</v>
      </c>
      <c r="Y70" s="359">
        <v>0</v>
      </c>
      <c r="Z70" s="401">
        <f>SUM(X70:Y70)</f>
        <v>8487.2000000000007</v>
      </c>
      <c r="AA70" s="591">
        <f>U70</f>
        <v>16</v>
      </c>
      <c r="AB70" s="359">
        <f>I70*$H$6*$H$6*$H$6</f>
        <v>54.63635</v>
      </c>
      <c r="AC70" s="365">
        <v>10</v>
      </c>
      <c r="AD70" s="400">
        <f>AC70*AB70*AA70</f>
        <v>8741.8160000000007</v>
      </c>
      <c r="AE70" s="359">
        <v>0</v>
      </c>
      <c r="AF70" s="401">
        <f>SUM(AD70:AE70)</f>
        <v>8741.8160000000007</v>
      </c>
      <c r="AG70" s="591">
        <v>18</v>
      </c>
      <c r="AH70" s="359">
        <f>I70*$H$6*$H$6*$H$6*$H$6</f>
        <v>56.275440500000002</v>
      </c>
      <c r="AI70" s="365">
        <v>8</v>
      </c>
      <c r="AJ70" s="400">
        <f>AI70*AH70*AG70</f>
        <v>8103.6634320000003</v>
      </c>
      <c r="AK70" s="359">
        <v>0</v>
      </c>
      <c r="AL70" s="359">
        <f>SUM(AJ70:AK70)</f>
        <v>8103.6634320000003</v>
      </c>
      <c r="AM70" s="402">
        <f>L70+R70+X70+AD70+AJ70</f>
        <v>40772.679432000004</v>
      </c>
      <c r="AN70" s="359">
        <f>M70+S70+Y70+AE70+AK70</f>
        <v>0</v>
      </c>
      <c r="AO70" s="402">
        <f>SUM(AM70:AN70)</f>
        <v>40772.679432000004</v>
      </c>
    </row>
    <row r="71" spans="1:43" x14ac:dyDescent="0.45">
      <c r="A71" s="533"/>
      <c r="B71" s="710"/>
      <c r="C71" s="258"/>
      <c r="D71" s="258"/>
      <c r="E71" s="533"/>
      <c r="F71" s="533"/>
      <c r="G71" s="533"/>
      <c r="H71" s="446"/>
      <c r="I71" s="365"/>
      <c r="J71" s="365"/>
      <c r="K71" s="587"/>
      <c r="L71" s="400"/>
      <c r="M71" s="359"/>
      <c r="N71" s="401"/>
      <c r="O71" s="446"/>
      <c r="P71" s="359"/>
      <c r="Q71" s="365"/>
      <c r="R71" s="400"/>
      <c r="S71" s="359"/>
      <c r="T71" s="401"/>
      <c r="U71" s="591"/>
      <c r="V71" s="359"/>
      <c r="W71" s="365"/>
      <c r="X71" s="400"/>
      <c r="Y71" s="359"/>
      <c r="Z71" s="401"/>
      <c r="AA71" s="591"/>
      <c r="AB71" s="359"/>
      <c r="AC71" s="365"/>
      <c r="AD71" s="400"/>
      <c r="AE71" s="359"/>
      <c r="AF71" s="401"/>
      <c r="AG71" s="591"/>
      <c r="AH71" s="359"/>
      <c r="AI71" s="365"/>
      <c r="AJ71" s="400"/>
      <c r="AK71" s="359"/>
      <c r="AL71" s="359"/>
      <c r="AM71" s="402"/>
      <c r="AN71" s="359"/>
      <c r="AO71" s="402"/>
    </row>
    <row r="72" spans="1:43" s="1" customFormat="1" x14ac:dyDescent="0.45">
      <c r="A72" s="47"/>
      <c r="B72" s="710"/>
      <c r="C72" s="258"/>
      <c r="D72" s="258"/>
      <c r="E72" s="47"/>
      <c r="F72" s="47"/>
      <c r="G72" s="47" t="s">
        <v>646</v>
      </c>
      <c r="H72" s="140"/>
      <c r="I72" s="15"/>
      <c r="K72" s="112"/>
      <c r="L72" s="37"/>
      <c r="M72" s="38"/>
      <c r="N72" s="39"/>
      <c r="O72" s="140"/>
      <c r="R72" s="37"/>
      <c r="S72" s="38"/>
      <c r="T72" s="39"/>
      <c r="U72" s="140"/>
      <c r="X72" s="37"/>
      <c r="Y72" s="38"/>
      <c r="Z72" s="39"/>
      <c r="AA72" s="140"/>
      <c r="AD72" s="37"/>
      <c r="AE72" s="38"/>
      <c r="AF72" s="39"/>
      <c r="AG72" s="140"/>
      <c r="AJ72" s="37"/>
      <c r="AK72" s="38"/>
      <c r="AL72" s="38"/>
      <c r="AM72" s="40"/>
      <c r="AN72" s="38"/>
      <c r="AO72" s="40"/>
      <c r="AP72" s="91"/>
      <c r="AQ72" s="91"/>
    </row>
    <row r="73" spans="1:43" s="1" customFormat="1" x14ac:dyDescent="0.45">
      <c r="A73" s="1" t="s">
        <v>210</v>
      </c>
      <c r="B73" s="710">
        <v>89050</v>
      </c>
      <c r="C73" s="258" t="s">
        <v>65</v>
      </c>
      <c r="D73" s="258" t="s">
        <v>65</v>
      </c>
      <c r="E73" s="1" t="s">
        <v>211</v>
      </c>
      <c r="F73" s="82" t="s">
        <v>647</v>
      </c>
      <c r="G73" s="74" t="s">
        <v>402</v>
      </c>
      <c r="H73" s="141">
        <v>6</v>
      </c>
      <c r="I73" s="38">
        <f>300</f>
        <v>300</v>
      </c>
      <c r="J73" s="15">
        <v>1</v>
      </c>
      <c r="K73" s="522" t="s">
        <v>107</v>
      </c>
      <c r="L73" s="37">
        <f t="shared" ref="L73" si="203">J73*I73*H73</f>
        <v>1800</v>
      </c>
      <c r="M73" s="38">
        <v>0</v>
      </c>
      <c r="N73" s="39">
        <f t="shared" ref="N73" si="204">SUM(L73:M73)</f>
        <v>1800</v>
      </c>
      <c r="O73" s="141">
        <v>12</v>
      </c>
      <c r="P73" s="38">
        <f t="shared" ref="P73" si="205">I73*$H$7</f>
        <v>312</v>
      </c>
      <c r="Q73" s="15">
        <v>1</v>
      </c>
      <c r="R73" s="37">
        <f t="shared" ref="R73" si="206">O73*P73*Q73</f>
        <v>3744</v>
      </c>
      <c r="S73" s="38">
        <v>0</v>
      </c>
      <c r="T73" s="39">
        <f t="shared" ref="T73" si="207">SUM(R73:S73)</f>
        <v>3744</v>
      </c>
      <c r="U73" s="141">
        <v>12</v>
      </c>
      <c r="V73" s="38">
        <f t="shared" ref="V73" si="208">I73*$H$7*$H$7</f>
        <v>324.48</v>
      </c>
      <c r="W73" s="15">
        <v>1</v>
      </c>
      <c r="X73" s="37">
        <f t="shared" ref="X73" si="209">U73*V73*W73</f>
        <v>3893.76</v>
      </c>
      <c r="Y73" s="38">
        <v>0</v>
      </c>
      <c r="Z73" s="39">
        <f t="shared" ref="Z73" si="210">SUM(X73:Y73)</f>
        <v>3893.76</v>
      </c>
      <c r="AA73" s="141">
        <v>12</v>
      </c>
      <c r="AB73" s="38">
        <f t="shared" ref="AB73" si="211">I73*$H$7*$H$7*$H$7</f>
        <v>337.45920000000001</v>
      </c>
      <c r="AC73" s="15">
        <v>1</v>
      </c>
      <c r="AD73" s="37">
        <f t="shared" ref="AD73" si="212">AA73*AB73*AC73</f>
        <v>4049.5104000000001</v>
      </c>
      <c r="AE73" s="38">
        <v>0</v>
      </c>
      <c r="AF73" s="39">
        <f t="shared" ref="AF73" si="213">SUM(AD73:AE73)</f>
        <v>4049.5104000000001</v>
      </c>
      <c r="AG73" s="141">
        <v>9</v>
      </c>
      <c r="AH73" s="38">
        <f t="shared" ref="AH73" si="214">I73*$H$7*$H$7*$H$7*$H$7</f>
        <v>350.95756800000004</v>
      </c>
      <c r="AI73" s="15">
        <v>1</v>
      </c>
      <c r="AJ73" s="37">
        <f t="shared" ref="AJ73" si="215">AG73*AH73*AI73</f>
        <v>3158.6181120000001</v>
      </c>
      <c r="AK73" s="38">
        <v>0</v>
      </c>
      <c r="AL73" s="38">
        <f t="shared" ref="AL73" si="216">SUM(AJ73:AK73)</f>
        <v>3158.6181120000001</v>
      </c>
      <c r="AM73" s="40">
        <f t="shared" ref="AM73" si="217">L73+R73+X73+AD73+AJ73</f>
        <v>16645.888512000001</v>
      </c>
      <c r="AN73" s="38"/>
      <c r="AO73" s="40">
        <f t="shared" ref="AO73" si="218">SUM(AM73:AN73)</f>
        <v>16645.888512000001</v>
      </c>
    </row>
    <row r="74" spans="1:43" s="1" customFormat="1" x14ac:dyDescent="0.45">
      <c r="A74" s="74"/>
      <c r="B74" s="710"/>
      <c r="C74" s="258"/>
      <c r="D74" s="258"/>
      <c r="E74" s="74"/>
      <c r="F74" s="74"/>
      <c r="G74" s="74"/>
      <c r="H74" s="141"/>
      <c r="I74" s="15"/>
      <c r="J74" s="572"/>
      <c r="K74" s="522"/>
      <c r="L74" s="37"/>
      <c r="M74" s="38"/>
      <c r="N74" s="38"/>
      <c r="O74" s="141"/>
      <c r="P74" s="38"/>
      <c r="Q74" s="15"/>
      <c r="R74" s="37"/>
      <c r="S74" s="38"/>
      <c r="T74" s="38"/>
      <c r="U74" s="141"/>
      <c r="V74" s="38"/>
      <c r="W74" s="15"/>
      <c r="X74" s="37"/>
      <c r="Y74" s="38"/>
      <c r="Z74" s="38"/>
      <c r="AA74" s="141"/>
      <c r="AB74" s="38"/>
      <c r="AC74" s="15"/>
      <c r="AD74" s="37"/>
      <c r="AE74" s="38"/>
      <c r="AF74" s="38"/>
      <c r="AG74" s="141"/>
      <c r="AH74" s="38"/>
      <c r="AI74" s="15"/>
      <c r="AJ74" s="37"/>
      <c r="AK74" s="38"/>
      <c r="AL74" s="38"/>
      <c r="AM74" s="40"/>
      <c r="AN74" s="38"/>
      <c r="AO74" s="40"/>
    </row>
    <row r="75" spans="1:43" s="1" customFormat="1" x14ac:dyDescent="0.45">
      <c r="A75" s="353"/>
      <c r="B75" s="710"/>
      <c r="C75" s="258"/>
      <c r="D75" s="258"/>
      <c r="E75" s="353"/>
      <c r="F75" s="353"/>
      <c r="G75" s="353" t="s">
        <v>538</v>
      </c>
      <c r="H75" s="140"/>
      <c r="I75" s="15"/>
      <c r="K75" s="112"/>
      <c r="L75" s="37"/>
      <c r="M75" s="38"/>
      <c r="N75" s="39"/>
      <c r="O75" s="140"/>
      <c r="R75" s="37"/>
      <c r="S75" s="38"/>
      <c r="T75" s="39"/>
      <c r="U75" s="140"/>
      <c r="X75" s="37"/>
      <c r="Y75" s="38"/>
      <c r="Z75" s="39"/>
      <c r="AA75" s="140"/>
      <c r="AD75" s="37"/>
      <c r="AE75" s="38"/>
      <c r="AF75" s="39"/>
      <c r="AG75" s="140"/>
      <c r="AJ75" s="37"/>
      <c r="AK75" s="38"/>
      <c r="AL75" s="38"/>
      <c r="AM75" s="40"/>
      <c r="AN75" s="38"/>
      <c r="AO75" s="40"/>
      <c r="AP75" s="91"/>
      <c r="AQ75" s="91"/>
    </row>
    <row r="76" spans="1:43" s="1" customFormat="1" x14ac:dyDescent="0.45">
      <c r="A76" s="1" t="s">
        <v>210</v>
      </c>
      <c r="B76" s="710">
        <v>89050</v>
      </c>
      <c r="C76" s="258" t="s">
        <v>65</v>
      </c>
      <c r="D76" s="258" t="s">
        <v>65</v>
      </c>
      <c r="E76" s="1" t="s">
        <v>211</v>
      </c>
      <c r="F76" s="82" t="s">
        <v>648</v>
      </c>
      <c r="G76" s="74" t="s">
        <v>404</v>
      </c>
      <c r="H76" s="141">
        <f>2*2</f>
        <v>4</v>
      </c>
      <c r="I76" s="38">
        <v>80</v>
      </c>
      <c r="J76" s="15">
        <v>1</v>
      </c>
      <c r="K76" s="522" t="s">
        <v>124</v>
      </c>
      <c r="L76" s="37">
        <f t="shared" ref="L76" si="219">J76*I76*H76</f>
        <v>320</v>
      </c>
      <c r="M76" s="38">
        <v>0</v>
      </c>
      <c r="N76" s="39">
        <f t="shared" ref="N76:N79" si="220">SUM(L76:M76)</f>
        <v>320</v>
      </c>
      <c r="O76" s="141">
        <f>2*2</f>
        <v>4</v>
      </c>
      <c r="P76" s="38">
        <f t="shared" ref="P76" si="221">I76*$H$7</f>
        <v>83.2</v>
      </c>
      <c r="Q76" s="15">
        <v>1</v>
      </c>
      <c r="R76" s="37">
        <f t="shared" ref="R76:R79" si="222">O76*P76*Q76</f>
        <v>332.8</v>
      </c>
      <c r="S76" s="38">
        <v>0</v>
      </c>
      <c r="T76" s="39">
        <f t="shared" ref="T76:T79" si="223">SUM(R76:S76)</f>
        <v>332.8</v>
      </c>
      <c r="U76" s="141">
        <v>2</v>
      </c>
      <c r="V76" s="38">
        <f>I76*$H$7*$H$7</f>
        <v>86.528000000000006</v>
      </c>
      <c r="W76" s="15">
        <v>1</v>
      </c>
      <c r="X76" s="37">
        <f>U76*V76*W76</f>
        <v>173.05600000000001</v>
      </c>
      <c r="Y76" s="38">
        <v>0</v>
      </c>
      <c r="Z76" s="39">
        <f t="shared" ref="Z76:Z79" si="224">SUM(X76:Y76)</f>
        <v>173.05600000000001</v>
      </c>
      <c r="AA76" s="141">
        <f>2*2</f>
        <v>4</v>
      </c>
      <c r="AB76" s="38">
        <f t="shared" ref="AB76" si="225">I76*$H$7*$H$7*$H$7</f>
        <v>89.989120000000014</v>
      </c>
      <c r="AC76" s="15">
        <v>1</v>
      </c>
      <c r="AD76" s="37">
        <f t="shared" ref="AD76:AD79" si="226">AA76*AB76*AC76</f>
        <v>359.95648000000006</v>
      </c>
      <c r="AE76" s="38">
        <v>0</v>
      </c>
      <c r="AF76" s="39">
        <f t="shared" ref="AF76:AF79" si="227">SUM(AD76:AE76)</f>
        <v>359.95648000000006</v>
      </c>
      <c r="AG76" s="141">
        <f>2*2</f>
        <v>4</v>
      </c>
      <c r="AH76" s="38">
        <f t="shared" ref="AH76" si="228">I76*$H$7*$H$7*$H$7*$H$7</f>
        <v>93.588684800000024</v>
      </c>
      <c r="AI76" s="15">
        <v>1</v>
      </c>
      <c r="AJ76" s="37">
        <f t="shared" ref="AJ76:AJ79" si="229">AG76*AH76*AI76</f>
        <v>374.3547392000001</v>
      </c>
      <c r="AK76" s="38">
        <v>0</v>
      </c>
      <c r="AL76" s="38">
        <f t="shared" ref="AL76:AL79" si="230">SUM(AJ76:AK76)</f>
        <v>374.3547392000001</v>
      </c>
      <c r="AM76" s="40">
        <f t="shared" ref="AM76:AN79" si="231">L76+R76+X76+AD76+AJ76</f>
        <v>1560.1672192000001</v>
      </c>
      <c r="AN76" s="38">
        <f t="shared" si="231"/>
        <v>0</v>
      </c>
      <c r="AO76" s="40">
        <f t="shared" ref="AO76:AO79" si="232">SUM(AM76:AN76)</f>
        <v>1560.1672192000001</v>
      </c>
    </row>
    <row r="77" spans="1:43" s="1" customFormat="1" x14ac:dyDescent="0.45">
      <c r="A77" s="1" t="s">
        <v>210</v>
      </c>
      <c r="B77" s="710">
        <v>89050</v>
      </c>
      <c r="C77" s="258" t="s">
        <v>65</v>
      </c>
      <c r="D77" s="258" t="s">
        <v>65</v>
      </c>
      <c r="E77" s="1" t="s">
        <v>211</v>
      </c>
      <c r="F77" s="82" t="s">
        <v>648</v>
      </c>
      <c r="G77" s="74" t="s">
        <v>405</v>
      </c>
      <c r="H77" s="141">
        <f>2*2</f>
        <v>4</v>
      </c>
      <c r="I77" s="38">
        <v>40</v>
      </c>
      <c r="J77" s="15">
        <v>2</v>
      </c>
      <c r="K77" s="522" t="s">
        <v>127</v>
      </c>
      <c r="L77" s="37">
        <f>J77*I77*H77</f>
        <v>320</v>
      </c>
      <c r="M77" s="38">
        <v>0</v>
      </c>
      <c r="N77" s="39">
        <f t="shared" si="220"/>
        <v>320</v>
      </c>
      <c r="O77" s="141">
        <f>2*2</f>
        <v>4</v>
      </c>
      <c r="P77" s="38">
        <f>I77*$H$7</f>
        <v>41.6</v>
      </c>
      <c r="Q77" s="15">
        <v>2</v>
      </c>
      <c r="R77" s="37">
        <f t="shared" si="222"/>
        <v>332.8</v>
      </c>
      <c r="S77" s="38">
        <v>0</v>
      </c>
      <c r="T77" s="39">
        <f t="shared" si="223"/>
        <v>332.8</v>
      </c>
      <c r="U77" s="141">
        <v>2</v>
      </c>
      <c r="V77" s="38">
        <f>I77*$H$7*$H$7</f>
        <v>43.264000000000003</v>
      </c>
      <c r="W77" s="15">
        <v>2</v>
      </c>
      <c r="X77" s="37">
        <f t="shared" ref="X77:X79" si="233">U77*V77*W77</f>
        <v>173.05600000000001</v>
      </c>
      <c r="Y77" s="38">
        <v>0</v>
      </c>
      <c r="Z77" s="39">
        <f t="shared" si="224"/>
        <v>173.05600000000001</v>
      </c>
      <c r="AA77" s="141">
        <f>2*2</f>
        <v>4</v>
      </c>
      <c r="AB77" s="38">
        <f>I77*$H$7*$H$7*$H$7</f>
        <v>44.994560000000007</v>
      </c>
      <c r="AC77" s="15">
        <v>2</v>
      </c>
      <c r="AD77" s="37">
        <f t="shared" si="226"/>
        <v>359.95648000000006</v>
      </c>
      <c r="AE77" s="38">
        <v>0</v>
      </c>
      <c r="AF77" s="39">
        <f t="shared" si="227"/>
        <v>359.95648000000006</v>
      </c>
      <c r="AG77" s="141">
        <f>2*2</f>
        <v>4</v>
      </c>
      <c r="AH77" s="38">
        <f>I77*$H$7*$H$7*$H$7*$H$7</f>
        <v>46.794342400000012</v>
      </c>
      <c r="AI77" s="15">
        <v>2</v>
      </c>
      <c r="AJ77" s="37">
        <f t="shared" si="229"/>
        <v>374.3547392000001</v>
      </c>
      <c r="AK77" s="38">
        <v>0</v>
      </c>
      <c r="AL77" s="38">
        <f t="shared" si="230"/>
        <v>374.3547392000001</v>
      </c>
      <c r="AM77" s="40">
        <f>L77+R77+X77+AD77+AJ77</f>
        <v>1560.1672192000001</v>
      </c>
      <c r="AN77" s="38">
        <f t="shared" si="231"/>
        <v>0</v>
      </c>
      <c r="AO77" s="40">
        <f t="shared" si="232"/>
        <v>1560.1672192000001</v>
      </c>
    </row>
    <row r="78" spans="1:43" s="1" customFormat="1" x14ac:dyDescent="0.45">
      <c r="A78" s="1" t="s">
        <v>210</v>
      </c>
      <c r="B78" s="710">
        <v>89050</v>
      </c>
      <c r="C78" s="258" t="s">
        <v>65</v>
      </c>
      <c r="D78" s="258" t="s">
        <v>65</v>
      </c>
      <c r="E78" s="1" t="s">
        <v>211</v>
      </c>
      <c r="F78" s="82" t="s">
        <v>648</v>
      </c>
      <c r="G78" s="74" t="s">
        <v>406</v>
      </c>
      <c r="H78" s="141">
        <f>2*2</f>
        <v>4</v>
      </c>
      <c r="I78" s="38">
        <v>80</v>
      </c>
      <c r="J78" s="15">
        <v>2</v>
      </c>
      <c r="K78" s="522" t="s">
        <v>127</v>
      </c>
      <c r="L78" s="37">
        <f t="shared" ref="L78:L79" si="234">J78*I78*H78</f>
        <v>640</v>
      </c>
      <c r="M78" s="38">
        <v>0</v>
      </c>
      <c r="N78" s="39">
        <f t="shared" si="220"/>
        <v>640</v>
      </c>
      <c r="O78" s="141">
        <f>2*2</f>
        <v>4</v>
      </c>
      <c r="P78" s="38">
        <f t="shared" ref="P78:P79" si="235">I78*$H$7</f>
        <v>83.2</v>
      </c>
      <c r="Q78" s="15">
        <v>2</v>
      </c>
      <c r="R78" s="37">
        <f t="shared" si="222"/>
        <v>665.6</v>
      </c>
      <c r="S78" s="38">
        <v>0</v>
      </c>
      <c r="T78" s="39">
        <f t="shared" si="223"/>
        <v>665.6</v>
      </c>
      <c r="U78" s="141">
        <v>2</v>
      </c>
      <c r="V78" s="38">
        <f t="shared" ref="V78:V79" si="236">I78*$H$7*$H$7</f>
        <v>86.528000000000006</v>
      </c>
      <c r="W78" s="15">
        <v>2</v>
      </c>
      <c r="X78" s="37">
        <f t="shared" si="233"/>
        <v>346.11200000000002</v>
      </c>
      <c r="Y78" s="38">
        <v>0</v>
      </c>
      <c r="Z78" s="39">
        <f t="shared" si="224"/>
        <v>346.11200000000002</v>
      </c>
      <c r="AA78" s="141">
        <f>2*2</f>
        <v>4</v>
      </c>
      <c r="AB78" s="38">
        <f t="shared" ref="AB78:AB79" si="237">I78*$H$7*$H$7*$H$7</f>
        <v>89.989120000000014</v>
      </c>
      <c r="AC78" s="15">
        <v>2</v>
      </c>
      <c r="AD78" s="37">
        <f t="shared" si="226"/>
        <v>719.91296000000011</v>
      </c>
      <c r="AE78" s="38">
        <v>0</v>
      </c>
      <c r="AF78" s="39">
        <f t="shared" si="227"/>
        <v>719.91296000000011</v>
      </c>
      <c r="AG78" s="141">
        <f>2*2</f>
        <v>4</v>
      </c>
      <c r="AH78" s="38">
        <f t="shared" ref="AH78:AH79" si="238">I78*$H$7*$H$7*$H$7*$H$7</f>
        <v>93.588684800000024</v>
      </c>
      <c r="AI78" s="15">
        <v>2</v>
      </c>
      <c r="AJ78" s="37">
        <f t="shared" si="229"/>
        <v>748.70947840000019</v>
      </c>
      <c r="AK78" s="38">
        <v>0</v>
      </c>
      <c r="AL78" s="38">
        <f t="shared" si="230"/>
        <v>748.70947840000019</v>
      </c>
      <c r="AM78" s="40">
        <f t="shared" ref="AM78:AM79" si="239">L78+R78+X78+AD78+AJ78</f>
        <v>3120.3344384000002</v>
      </c>
      <c r="AN78" s="38">
        <f t="shared" si="231"/>
        <v>0</v>
      </c>
      <c r="AO78" s="40">
        <f t="shared" si="232"/>
        <v>3120.3344384000002</v>
      </c>
    </row>
    <row r="79" spans="1:43" s="1" customFormat="1" x14ac:dyDescent="0.45">
      <c r="A79" s="1" t="s">
        <v>210</v>
      </c>
      <c r="B79" s="710">
        <v>89050</v>
      </c>
      <c r="C79" s="258" t="s">
        <v>65</v>
      </c>
      <c r="D79" s="258" t="s">
        <v>65</v>
      </c>
      <c r="E79" s="1" t="s">
        <v>211</v>
      </c>
      <c r="F79" s="82" t="s">
        <v>648</v>
      </c>
      <c r="G79" s="74" t="s">
        <v>407</v>
      </c>
      <c r="H79" s="141">
        <f>2*2</f>
        <v>4</v>
      </c>
      <c r="I79" s="38">
        <v>25</v>
      </c>
      <c r="J79" s="15">
        <v>1</v>
      </c>
      <c r="K79" s="522" t="s">
        <v>124</v>
      </c>
      <c r="L79" s="37">
        <f t="shared" si="234"/>
        <v>100</v>
      </c>
      <c r="M79" s="38">
        <v>0</v>
      </c>
      <c r="N79" s="39">
        <f t="shared" si="220"/>
        <v>100</v>
      </c>
      <c r="O79" s="141">
        <f>2*2</f>
        <v>4</v>
      </c>
      <c r="P79" s="38">
        <f t="shared" si="235"/>
        <v>26</v>
      </c>
      <c r="Q79" s="15">
        <v>1</v>
      </c>
      <c r="R79" s="37">
        <f t="shared" si="222"/>
        <v>104</v>
      </c>
      <c r="S79" s="38">
        <v>0</v>
      </c>
      <c r="T79" s="39">
        <f t="shared" si="223"/>
        <v>104</v>
      </c>
      <c r="U79" s="141">
        <v>2</v>
      </c>
      <c r="V79" s="38">
        <f t="shared" si="236"/>
        <v>27.04</v>
      </c>
      <c r="W79" s="15">
        <v>1</v>
      </c>
      <c r="X79" s="37">
        <f t="shared" si="233"/>
        <v>54.08</v>
      </c>
      <c r="Y79" s="38">
        <v>0</v>
      </c>
      <c r="Z79" s="39">
        <f t="shared" si="224"/>
        <v>54.08</v>
      </c>
      <c r="AA79" s="141">
        <f>2*2</f>
        <v>4</v>
      </c>
      <c r="AB79" s="38">
        <f t="shared" si="237"/>
        <v>28.121600000000001</v>
      </c>
      <c r="AC79" s="15">
        <v>1</v>
      </c>
      <c r="AD79" s="37">
        <f t="shared" si="226"/>
        <v>112.4864</v>
      </c>
      <c r="AE79" s="38">
        <v>0</v>
      </c>
      <c r="AF79" s="39">
        <f t="shared" si="227"/>
        <v>112.4864</v>
      </c>
      <c r="AG79" s="141">
        <f>2*2</f>
        <v>4</v>
      </c>
      <c r="AH79" s="38">
        <f t="shared" si="238"/>
        <v>29.246464000000003</v>
      </c>
      <c r="AI79" s="15">
        <v>1</v>
      </c>
      <c r="AJ79" s="37">
        <f t="shared" si="229"/>
        <v>116.98585600000001</v>
      </c>
      <c r="AK79" s="38">
        <v>0</v>
      </c>
      <c r="AL79" s="38">
        <f t="shared" si="230"/>
        <v>116.98585600000001</v>
      </c>
      <c r="AM79" s="40">
        <f t="shared" si="239"/>
        <v>487.552256</v>
      </c>
      <c r="AN79" s="38">
        <f t="shared" si="231"/>
        <v>0</v>
      </c>
      <c r="AO79" s="40">
        <f t="shared" si="232"/>
        <v>487.552256</v>
      </c>
    </row>
    <row r="80" spans="1:43" s="1" customFormat="1" x14ac:dyDescent="0.45">
      <c r="A80" s="74"/>
      <c r="B80" s="710"/>
      <c r="C80" s="258"/>
      <c r="D80" s="258"/>
      <c r="E80" s="74"/>
      <c r="F80" s="74"/>
      <c r="G80" s="74"/>
      <c r="H80" s="141"/>
      <c r="I80" s="15"/>
      <c r="J80" s="572"/>
      <c r="K80" s="522"/>
      <c r="L80" s="37"/>
      <c r="M80" s="38"/>
      <c r="N80" s="38"/>
      <c r="O80" s="141"/>
      <c r="P80" s="38"/>
      <c r="Q80" s="15"/>
      <c r="R80" s="37"/>
      <c r="S80" s="38"/>
      <c r="T80" s="38"/>
      <c r="U80" s="141"/>
      <c r="V80" s="38"/>
      <c r="W80" s="15"/>
      <c r="X80" s="37"/>
      <c r="Y80" s="38"/>
      <c r="Z80" s="38"/>
      <c r="AA80" s="141"/>
      <c r="AB80" s="38"/>
      <c r="AC80" s="15"/>
      <c r="AD80" s="37"/>
      <c r="AE80" s="38"/>
      <c r="AF80" s="38"/>
      <c r="AG80" s="141"/>
      <c r="AH80" s="38"/>
      <c r="AI80" s="15"/>
      <c r="AJ80" s="37"/>
      <c r="AK80" s="38"/>
      <c r="AL80" s="38"/>
      <c r="AM80" s="40"/>
      <c r="AN80" s="38"/>
      <c r="AO80" s="40"/>
    </row>
    <row r="81" spans="1:43" s="1" customFormat="1" x14ac:dyDescent="0.45">
      <c r="A81" s="353"/>
      <c r="B81" s="710"/>
      <c r="C81" s="258"/>
      <c r="D81" s="258"/>
      <c r="E81" s="353"/>
      <c r="F81" s="353"/>
      <c r="G81" s="353" t="s">
        <v>540</v>
      </c>
      <c r="H81" s="140"/>
      <c r="I81" s="15"/>
      <c r="K81" s="112"/>
      <c r="L81" s="37"/>
      <c r="M81" s="38"/>
      <c r="N81" s="39"/>
      <c r="O81" s="140"/>
      <c r="R81" s="37"/>
      <c r="S81" s="38"/>
      <c r="T81" s="39"/>
      <c r="U81" s="140"/>
      <c r="X81" s="37"/>
      <c r="Y81" s="38"/>
      <c r="Z81" s="39"/>
      <c r="AA81" s="140"/>
      <c r="AD81" s="37"/>
      <c r="AE81" s="38"/>
      <c r="AF81" s="39"/>
      <c r="AG81" s="140"/>
      <c r="AJ81" s="37"/>
      <c r="AK81" s="38"/>
      <c r="AL81" s="38"/>
      <c r="AM81" s="40"/>
      <c r="AN81" s="38"/>
      <c r="AO81" s="40"/>
      <c r="AP81" s="91"/>
      <c r="AQ81" s="91"/>
    </row>
    <row r="82" spans="1:43" s="1" customFormat="1" x14ac:dyDescent="0.45">
      <c r="A82" s="1" t="s">
        <v>210</v>
      </c>
      <c r="B82" s="710">
        <v>89050</v>
      </c>
      <c r="C82" s="258" t="s">
        <v>65</v>
      </c>
      <c r="D82" s="258" t="s">
        <v>65</v>
      </c>
      <c r="E82" s="1" t="s">
        <v>211</v>
      </c>
      <c r="F82" s="82" t="s">
        <v>649</v>
      </c>
      <c r="G82" s="74" t="s">
        <v>410</v>
      </c>
      <c r="H82" s="141">
        <v>2</v>
      </c>
      <c r="I82" s="38">
        <v>50</v>
      </c>
      <c r="J82" s="15">
        <v>1</v>
      </c>
      <c r="K82" s="522" t="s">
        <v>124</v>
      </c>
      <c r="L82" s="37">
        <f t="shared" ref="L82" si="240">J82*I82*H82</f>
        <v>100</v>
      </c>
      <c r="M82" s="38">
        <v>0</v>
      </c>
      <c r="N82" s="39">
        <f t="shared" ref="N82:N85" si="241">SUM(L82:M82)</f>
        <v>100</v>
      </c>
      <c r="O82" s="141">
        <v>2</v>
      </c>
      <c r="P82" s="38">
        <f t="shared" ref="P82" si="242">I82*$H$7</f>
        <v>52</v>
      </c>
      <c r="Q82" s="15">
        <v>1</v>
      </c>
      <c r="R82" s="37">
        <f t="shared" ref="R82:R85" si="243">O82*P82*Q82</f>
        <v>104</v>
      </c>
      <c r="S82" s="38">
        <v>0</v>
      </c>
      <c r="T82" s="39">
        <f t="shared" ref="T82:T85" si="244">SUM(R82:S82)</f>
        <v>104</v>
      </c>
      <c r="U82" s="141">
        <v>0</v>
      </c>
      <c r="V82" s="38">
        <f t="shared" ref="V82" si="245">I82*$H$7*$H$7</f>
        <v>54.08</v>
      </c>
      <c r="W82" s="15">
        <v>1</v>
      </c>
      <c r="X82" s="37">
        <f t="shared" ref="X82:X85" si="246">U82*V82*W82</f>
        <v>0</v>
      </c>
      <c r="Y82" s="38">
        <v>0</v>
      </c>
      <c r="Z82" s="39">
        <f t="shared" ref="Z82:Z85" si="247">SUM(X82:Y82)</f>
        <v>0</v>
      </c>
      <c r="AA82" s="141">
        <v>0</v>
      </c>
      <c r="AB82" s="38">
        <f t="shared" ref="AB82" si="248">I82*$H$7*$H$7*$H$7</f>
        <v>56.243200000000002</v>
      </c>
      <c r="AC82" s="15">
        <v>1</v>
      </c>
      <c r="AD82" s="37">
        <f t="shared" ref="AD82:AD85" si="249">AA82*AB82*AC82</f>
        <v>0</v>
      </c>
      <c r="AE82" s="38">
        <v>0</v>
      </c>
      <c r="AF82" s="39">
        <f t="shared" ref="AF82:AF85" si="250">SUM(AD82:AE82)</f>
        <v>0</v>
      </c>
      <c r="AG82" s="141">
        <v>0</v>
      </c>
      <c r="AH82" s="38">
        <f t="shared" ref="AH82" si="251">I82*$H$7*$H$7*$H$7*$H$7</f>
        <v>58.492928000000006</v>
      </c>
      <c r="AI82" s="15">
        <v>1</v>
      </c>
      <c r="AJ82" s="37">
        <f t="shared" ref="AJ82:AJ85" si="252">AG82*AH82*AI82</f>
        <v>0</v>
      </c>
      <c r="AK82" s="38">
        <v>0</v>
      </c>
      <c r="AL82" s="38">
        <f t="shared" ref="AL82:AL85" si="253">SUM(AJ82:AK82)</f>
        <v>0</v>
      </c>
      <c r="AM82" s="40">
        <f t="shared" ref="AM82:AN85" si="254">L82+R82+X82+AD82+AJ82</f>
        <v>204</v>
      </c>
      <c r="AN82" s="38">
        <f t="shared" si="254"/>
        <v>0</v>
      </c>
      <c r="AO82" s="40">
        <f t="shared" ref="AO82:AO85" si="255">SUM(AM82:AN82)</f>
        <v>204</v>
      </c>
    </row>
    <row r="83" spans="1:43" s="1" customFormat="1" x14ac:dyDescent="0.45">
      <c r="A83" s="1" t="s">
        <v>210</v>
      </c>
      <c r="B83" s="710">
        <v>89050</v>
      </c>
      <c r="C83" s="258" t="s">
        <v>65</v>
      </c>
      <c r="D83" s="258" t="s">
        <v>65</v>
      </c>
      <c r="E83" s="1" t="s">
        <v>211</v>
      </c>
      <c r="F83" s="82" t="s">
        <v>649</v>
      </c>
      <c r="G83" s="74" t="s">
        <v>411</v>
      </c>
      <c r="H83" s="141">
        <v>2</v>
      </c>
      <c r="I83" s="38">
        <v>40</v>
      </c>
      <c r="J83" s="15">
        <v>2</v>
      </c>
      <c r="K83" s="522" t="s">
        <v>127</v>
      </c>
      <c r="L83" s="37">
        <f>J83*I83*H83</f>
        <v>160</v>
      </c>
      <c r="M83" s="38">
        <v>0</v>
      </c>
      <c r="N83" s="39">
        <f t="shared" si="241"/>
        <v>160</v>
      </c>
      <c r="O83" s="141">
        <v>2</v>
      </c>
      <c r="P83" s="38">
        <f>I83*$H$7</f>
        <v>41.6</v>
      </c>
      <c r="Q83" s="15">
        <v>2</v>
      </c>
      <c r="R83" s="37">
        <f t="shared" si="243"/>
        <v>166.4</v>
      </c>
      <c r="S83" s="38">
        <v>0</v>
      </c>
      <c r="T83" s="39">
        <f t="shared" si="244"/>
        <v>166.4</v>
      </c>
      <c r="U83" s="141">
        <v>0</v>
      </c>
      <c r="V83" s="38">
        <f>I83*$H$7*$H$7</f>
        <v>43.264000000000003</v>
      </c>
      <c r="W83" s="15">
        <v>2</v>
      </c>
      <c r="X83" s="37">
        <f t="shared" si="246"/>
        <v>0</v>
      </c>
      <c r="Y83" s="38">
        <v>0</v>
      </c>
      <c r="Z83" s="39">
        <f t="shared" si="247"/>
        <v>0</v>
      </c>
      <c r="AA83" s="141">
        <v>0</v>
      </c>
      <c r="AB83" s="38">
        <f>I83*$H$7*$H$7*$H$7</f>
        <v>44.994560000000007</v>
      </c>
      <c r="AC83" s="15">
        <v>2</v>
      </c>
      <c r="AD83" s="37">
        <f t="shared" si="249"/>
        <v>0</v>
      </c>
      <c r="AE83" s="38">
        <v>0</v>
      </c>
      <c r="AF83" s="39">
        <f t="shared" si="250"/>
        <v>0</v>
      </c>
      <c r="AG83" s="141">
        <v>0</v>
      </c>
      <c r="AH83" s="38">
        <f>I83*$H$7*$H$7*$H$7*$H$7</f>
        <v>46.794342400000012</v>
      </c>
      <c r="AI83" s="15">
        <v>2</v>
      </c>
      <c r="AJ83" s="37">
        <f t="shared" si="252"/>
        <v>0</v>
      </c>
      <c r="AK83" s="38">
        <v>0</v>
      </c>
      <c r="AL83" s="38">
        <f t="shared" si="253"/>
        <v>0</v>
      </c>
      <c r="AM83" s="40">
        <f>L83+R83+X83+AD83+AJ83</f>
        <v>326.39999999999998</v>
      </c>
      <c r="AN83" s="38">
        <f t="shared" si="254"/>
        <v>0</v>
      </c>
      <c r="AO83" s="40">
        <f t="shared" si="255"/>
        <v>326.39999999999998</v>
      </c>
    </row>
    <row r="84" spans="1:43" s="1" customFormat="1" x14ac:dyDescent="0.45">
      <c r="A84" s="1" t="s">
        <v>210</v>
      </c>
      <c r="B84" s="710">
        <v>89050</v>
      </c>
      <c r="C84" s="258" t="s">
        <v>65</v>
      </c>
      <c r="D84" s="258" t="s">
        <v>65</v>
      </c>
      <c r="E84" s="1" t="s">
        <v>211</v>
      </c>
      <c r="F84" s="82" t="s">
        <v>649</v>
      </c>
      <c r="G84" s="74" t="s">
        <v>412</v>
      </c>
      <c r="H84" s="141">
        <v>2</v>
      </c>
      <c r="I84" s="38">
        <v>80</v>
      </c>
      <c r="J84" s="15">
        <v>2</v>
      </c>
      <c r="K84" s="522" t="s">
        <v>127</v>
      </c>
      <c r="L84" s="37">
        <f t="shared" ref="L84:L85" si="256">J84*I84*H84</f>
        <v>320</v>
      </c>
      <c r="M84" s="38">
        <v>0</v>
      </c>
      <c r="N84" s="39">
        <f t="shared" si="241"/>
        <v>320</v>
      </c>
      <c r="O84" s="141">
        <v>2</v>
      </c>
      <c r="P84" s="38">
        <f t="shared" ref="P84:P85" si="257">I84*$H$7</f>
        <v>83.2</v>
      </c>
      <c r="Q84" s="15">
        <v>2</v>
      </c>
      <c r="R84" s="37">
        <f t="shared" si="243"/>
        <v>332.8</v>
      </c>
      <c r="S84" s="38">
        <v>0</v>
      </c>
      <c r="T84" s="39">
        <f t="shared" si="244"/>
        <v>332.8</v>
      </c>
      <c r="U84" s="141">
        <v>0</v>
      </c>
      <c r="V84" s="38">
        <f t="shared" ref="V84:V85" si="258">I84*$H$7*$H$7</f>
        <v>86.528000000000006</v>
      </c>
      <c r="W84" s="15">
        <v>2</v>
      </c>
      <c r="X84" s="37">
        <f t="shared" si="246"/>
        <v>0</v>
      </c>
      <c r="Y84" s="38">
        <v>0</v>
      </c>
      <c r="Z84" s="39">
        <f t="shared" si="247"/>
        <v>0</v>
      </c>
      <c r="AA84" s="141">
        <v>0</v>
      </c>
      <c r="AB84" s="38">
        <f t="shared" ref="AB84:AB85" si="259">I84*$H$7*$H$7*$H$7</f>
        <v>89.989120000000014</v>
      </c>
      <c r="AC84" s="15">
        <v>2</v>
      </c>
      <c r="AD84" s="37">
        <f t="shared" si="249"/>
        <v>0</v>
      </c>
      <c r="AE84" s="38">
        <v>0</v>
      </c>
      <c r="AF84" s="39">
        <f t="shared" si="250"/>
        <v>0</v>
      </c>
      <c r="AG84" s="141">
        <v>0</v>
      </c>
      <c r="AH84" s="38">
        <f t="shared" ref="AH84:AH85" si="260">I84*$H$7*$H$7*$H$7*$H$7</f>
        <v>93.588684800000024</v>
      </c>
      <c r="AI84" s="15">
        <v>2</v>
      </c>
      <c r="AJ84" s="37">
        <f t="shared" si="252"/>
        <v>0</v>
      </c>
      <c r="AK84" s="38">
        <v>0</v>
      </c>
      <c r="AL84" s="38">
        <f t="shared" si="253"/>
        <v>0</v>
      </c>
      <c r="AM84" s="40">
        <f t="shared" ref="AM84:AM85" si="261">L84+R84+X84+AD84+AJ84</f>
        <v>652.79999999999995</v>
      </c>
      <c r="AN84" s="38">
        <f t="shared" si="254"/>
        <v>0</v>
      </c>
      <c r="AO84" s="40">
        <f t="shared" si="255"/>
        <v>652.79999999999995</v>
      </c>
    </row>
    <row r="85" spans="1:43" s="1" customFormat="1" x14ac:dyDescent="0.45">
      <c r="A85" s="1" t="s">
        <v>210</v>
      </c>
      <c r="B85" s="710">
        <v>89050</v>
      </c>
      <c r="C85" s="258" t="s">
        <v>65</v>
      </c>
      <c r="D85" s="258" t="s">
        <v>65</v>
      </c>
      <c r="E85" s="1" t="s">
        <v>211</v>
      </c>
      <c r="F85" s="82" t="s">
        <v>649</v>
      </c>
      <c r="G85" s="74" t="s">
        <v>413</v>
      </c>
      <c r="H85" s="141">
        <v>2</v>
      </c>
      <c r="I85" s="38">
        <v>25</v>
      </c>
      <c r="J85" s="15">
        <v>1</v>
      </c>
      <c r="K85" s="522" t="s">
        <v>124</v>
      </c>
      <c r="L85" s="37">
        <f t="shared" si="256"/>
        <v>50</v>
      </c>
      <c r="M85" s="38">
        <v>0</v>
      </c>
      <c r="N85" s="39">
        <f t="shared" si="241"/>
        <v>50</v>
      </c>
      <c r="O85" s="141">
        <v>2</v>
      </c>
      <c r="P85" s="38">
        <f t="shared" si="257"/>
        <v>26</v>
      </c>
      <c r="Q85" s="15">
        <v>1</v>
      </c>
      <c r="R85" s="37">
        <f t="shared" si="243"/>
        <v>52</v>
      </c>
      <c r="S85" s="38">
        <v>0</v>
      </c>
      <c r="T85" s="39">
        <f t="shared" si="244"/>
        <v>52</v>
      </c>
      <c r="U85" s="141">
        <v>0</v>
      </c>
      <c r="V85" s="38">
        <f t="shared" si="258"/>
        <v>27.04</v>
      </c>
      <c r="W85" s="15">
        <v>1</v>
      </c>
      <c r="X85" s="37">
        <f t="shared" si="246"/>
        <v>0</v>
      </c>
      <c r="Y85" s="38">
        <v>0</v>
      </c>
      <c r="Z85" s="39">
        <f t="shared" si="247"/>
        <v>0</v>
      </c>
      <c r="AA85" s="141">
        <v>0</v>
      </c>
      <c r="AB85" s="38">
        <f t="shared" si="259"/>
        <v>28.121600000000001</v>
      </c>
      <c r="AC85" s="15">
        <v>1</v>
      </c>
      <c r="AD85" s="37">
        <f t="shared" si="249"/>
        <v>0</v>
      </c>
      <c r="AE85" s="38">
        <v>0</v>
      </c>
      <c r="AF85" s="39">
        <f t="shared" si="250"/>
        <v>0</v>
      </c>
      <c r="AG85" s="141">
        <v>0</v>
      </c>
      <c r="AH85" s="38">
        <f t="shared" si="260"/>
        <v>29.246464000000003</v>
      </c>
      <c r="AI85" s="15">
        <v>1</v>
      </c>
      <c r="AJ85" s="37">
        <f t="shared" si="252"/>
        <v>0</v>
      </c>
      <c r="AK85" s="38">
        <v>0</v>
      </c>
      <c r="AL85" s="38">
        <f t="shared" si="253"/>
        <v>0</v>
      </c>
      <c r="AM85" s="40">
        <f t="shared" si="261"/>
        <v>102</v>
      </c>
      <c r="AN85" s="38">
        <f t="shared" si="254"/>
        <v>0</v>
      </c>
      <c r="AO85" s="40">
        <f t="shared" si="255"/>
        <v>102</v>
      </c>
    </row>
    <row r="86" spans="1:43" s="1" customFormat="1" x14ac:dyDescent="0.45">
      <c r="A86" s="74"/>
      <c r="B86" s="710"/>
      <c r="C86" s="258"/>
      <c r="D86" s="258"/>
      <c r="E86" s="74"/>
      <c r="F86" s="74"/>
      <c r="G86" s="74"/>
      <c r="H86" s="141"/>
      <c r="I86" s="15"/>
      <c r="J86" s="572"/>
      <c r="K86" s="522"/>
      <c r="L86" s="37"/>
      <c r="M86" s="38"/>
      <c r="N86" s="38"/>
      <c r="O86" s="141"/>
      <c r="P86" s="38"/>
      <c r="Q86" s="15"/>
      <c r="R86" s="37"/>
      <c r="S86" s="38"/>
      <c r="T86" s="38"/>
      <c r="U86" s="141"/>
      <c r="V86" s="38"/>
      <c r="W86" s="15"/>
      <c r="X86" s="37"/>
      <c r="Y86" s="38"/>
      <c r="Z86" s="38"/>
      <c r="AA86" s="141"/>
      <c r="AB86" s="38"/>
      <c r="AC86" s="15"/>
      <c r="AD86" s="37"/>
      <c r="AE86" s="38"/>
      <c r="AF86" s="38"/>
      <c r="AG86" s="141"/>
      <c r="AH86" s="38"/>
      <c r="AI86" s="15"/>
      <c r="AJ86" s="37"/>
      <c r="AK86" s="38"/>
      <c r="AL86" s="38"/>
      <c r="AM86" s="40"/>
      <c r="AN86" s="38"/>
      <c r="AO86" s="40"/>
    </row>
    <row r="87" spans="1:43" s="1" customFormat="1" x14ac:dyDescent="0.45">
      <c r="A87" s="47"/>
      <c r="B87" s="710"/>
      <c r="C87" s="258"/>
      <c r="D87" s="258"/>
      <c r="E87" s="47"/>
      <c r="F87" s="47"/>
      <c r="G87" s="47" t="s">
        <v>542</v>
      </c>
      <c r="H87" s="140"/>
      <c r="I87" s="15"/>
      <c r="K87" s="112"/>
      <c r="L87" s="37"/>
      <c r="M87" s="38"/>
      <c r="N87" s="39"/>
      <c r="O87" s="140"/>
      <c r="R87" s="37"/>
      <c r="S87" s="38"/>
      <c r="T87" s="39"/>
      <c r="U87" s="140"/>
      <c r="X87" s="37"/>
      <c r="Y87" s="38"/>
      <c r="Z87" s="39"/>
      <c r="AA87" s="140"/>
      <c r="AD87" s="37"/>
      <c r="AE87" s="38"/>
      <c r="AF87" s="39"/>
      <c r="AG87" s="140"/>
      <c r="AJ87" s="37"/>
      <c r="AK87" s="38"/>
      <c r="AL87" s="38"/>
      <c r="AM87" s="40"/>
      <c r="AN87" s="38"/>
      <c r="AO87" s="40"/>
      <c r="AP87" s="91"/>
      <c r="AQ87" s="91"/>
    </row>
    <row r="88" spans="1:43" s="1" customFormat="1" x14ac:dyDescent="0.45">
      <c r="A88" s="1" t="s">
        <v>210</v>
      </c>
      <c r="B88" s="710">
        <v>89050</v>
      </c>
      <c r="C88" s="258" t="s">
        <v>65</v>
      </c>
      <c r="D88" s="258" t="s">
        <v>65</v>
      </c>
      <c r="E88" s="1" t="s">
        <v>211</v>
      </c>
      <c r="F88" s="82" t="s">
        <v>650</v>
      </c>
      <c r="G88" s="74" t="s">
        <v>416</v>
      </c>
      <c r="H88" s="141">
        <v>17</v>
      </c>
      <c r="I88" s="38">
        <v>50</v>
      </c>
      <c r="J88" s="15">
        <v>1</v>
      </c>
      <c r="K88" s="522" t="s">
        <v>124</v>
      </c>
      <c r="L88" s="37">
        <f t="shared" ref="L88" si="262">J88*I88*H88</f>
        <v>850</v>
      </c>
      <c r="M88" s="38">
        <v>0</v>
      </c>
      <c r="N88" s="39">
        <f t="shared" ref="N88:N91" si="263">SUM(L88:M88)</f>
        <v>850</v>
      </c>
      <c r="O88" s="141">
        <v>17</v>
      </c>
      <c r="P88" s="38">
        <f t="shared" ref="P88" si="264">I88*$H$7</f>
        <v>52</v>
      </c>
      <c r="Q88" s="15">
        <v>1</v>
      </c>
      <c r="R88" s="37">
        <f t="shared" ref="R88:R91" si="265">O88*P88*Q88</f>
        <v>884</v>
      </c>
      <c r="S88" s="38">
        <v>0</v>
      </c>
      <c r="T88" s="39">
        <f t="shared" ref="T88:T91" si="266">SUM(R88:S88)</f>
        <v>884</v>
      </c>
      <c r="U88" s="141">
        <v>17</v>
      </c>
      <c r="V88" s="38">
        <f t="shared" ref="V88" si="267">I88*$H$7*$H$7</f>
        <v>54.08</v>
      </c>
      <c r="W88" s="15">
        <v>1</v>
      </c>
      <c r="X88" s="37">
        <f t="shared" ref="X88:X91" si="268">U88*V88*W88</f>
        <v>919.36</v>
      </c>
      <c r="Y88" s="38">
        <v>0</v>
      </c>
      <c r="Z88" s="39">
        <f t="shared" ref="Z88:Z91" si="269">SUM(X88:Y88)</f>
        <v>919.36</v>
      </c>
      <c r="AA88" s="141">
        <v>17</v>
      </c>
      <c r="AB88" s="38">
        <f t="shared" ref="AB88" si="270">I88*$H$7*$H$7*$H$7</f>
        <v>56.243200000000002</v>
      </c>
      <c r="AC88" s="15">
        <v>1</v>
      </c>
      <c r="AD88" s="37">
        <f t="shared" ref="AD88:AD91" si="271">AA88*AB88*AC88</f>
        <v>956.13440000000003</v>
      </c>
      <c r="AE88" s="38">
        <v>0</v>
      </c>
      <c r="AF88" s="39">
        <f t="shared" ref="AF88:AF91" si="272">SUM(AD88:AE88)</f>
        <v>956.13440000000003</v>
      </c>
      <c r="AG88" s="141">
        <v>17</v>
      </c>
      <c r="AH88" s="38">
        <f t="shared" ref="AH88" si="273">I88*$H$7*$H$7*$H$7*$H$7</f>
        <v>58.492928000000006</v>
      </c>
      <c r="AI88" s="15">
        <v>1</v>
      </c>
      <c r="AJ88" s="37">
        <f t="shared" ref="AJ88:AJ91" si="274">AG88*AH88*AI88</f>
        <v>994.37977600000011</v>
      </c>
      <c r="AK88" s="38">
        <v>0</v>
      </c>
      <c r="AL88" s="38">
        <f t="shared" ref="AL88:AL91" si="275">SUM(AJ88:AK88)</f>
        <v>994.37977600000011</v>
      </c>
      <c r="AM88" s="40">
        <f t="shared" ref="AM88:AN91" si="276">L88+R88+X88+AD88+AJ88</f>
        <v>4603.8741760000003</v>
      </c>
      <c r="AN88" s="38">
        <f t="shared" si="276"/>
        <v>0</v>
      </c>
      <c r="AO88" s="40">
        <f t="shared" ref="AO88:AO91" si="277">SUM(AM88:AN88)</f>
        <v>4603.8741760000003</v>
      </c>
    </row>
    <row r="89" spans="1:43" s="1" customFormat="1" x14ac:dyDescent="0.45">
      <c r="A89" s="1" t="s">
        <v>210</v>
      </c>
      <c r="B89" s="710">
        <v>89050</v>
      </c>
      <c r="C89" s="258" t="s">
        <v>65</v>
      </c>
      <c r="D89" s="258" t="s">
        <v>65</v>
      </c>
      <c r="E89" s="1" t="s">
        <v>211</v>
      </c>
      <c r="F89" s="82" t="s">
        <v>650</v>
      </c>
      <c r="G89" s="74" t="s">
        <v>417</v>
      </c>
      <c r="H89" s="141">
        <v>17</v>
      </c>
      <c r="I89" s="38">
        <v>40</v>
      </c>
      <c r="J89" s="15">
        <v>1</v>
      </c>
      <c r="K89" s="522" t="s">
        <v>127</v>
      </c>
      <c r="L89" s="37">
        <f>J89*I89*H89</f>
        <v>680</v>
      </c>
      <c r="M89" s="38">
        <v>0</v>
      </c>
      <c r="N89" s="39">
        <f t="shared" si="263"/>
        <v>680</v>
      </c>
      <c r="O89" s="141">
        <v>17</v>
      </c>
      <c r="P89" s="38">
        <f>I89*$H$7</f>
        <v>41.6</v>
      </c>
      <c r="Q89" s="15">
        <v>1</v>
      </c>
      <c r="R89" s="37">
        <f t="shared" si="265"/>
        <v>707.2</v>
      </c>
      <c r="S89" s="38">
        <v>0</v>
      </c>
      <c r="T89" s="39">
        <f t="shared" si="266"/>
        <v>707.2</v>
      </c>
      <c r="U89" s="141">
        <v>17</v>
      </c>
      <c r="V89" s="38">
        <f>I89*$H$7*$H$7</f>
        <v>43.264000000000003</v>
      </c>
      <c r="W89" s="15">
        <v>1</v>
      </c>
      <c r="X89" s="37">
        <f t="shared" si="268"/>
        <v>735.48800000000006</v>
      </c>
      <c r="Y89" s="38">
        <v>0</v>
      </c>
      <c r="Z89" s="39">
        <f t="shared" si="269"/>
        <v>735.48800000000006</v>
      </c>
      <c r="AA89" s="141">
        <v>17</v>
      </c>
      <c r="AB89" s="38">
        <f>I89*$H$7*$H$7*$H$7</f>
        <v>44.994560000000007</v>
      </c>
      <c r="AC89" s="15">
        <v>1</v>
      </c>
      <c r="AD89" s="37">
        <f t="shared" si="271"/>
        <v>764.90752000000009</v>
      </c>
      <c r="AE89" s="38">
        <v>0</v>
      </c>
      <c r="AF89" s="39">
        <f t="shared" si="272"/>
        <v>764.90752000000009</v>
      </c>
      <c r="AG89" s="141">
        <v>17</v>
      </c>
      <c r="AH89" s="38">
        <f>I89*$H$7*$H$7*$H$7*$H$7</f>
        <v>46.794342400000012</v>
      </c>
      <c r="AI89" s="15">
        <v>1</v>
      </c>
      <c r="AJ89" s="37">
        <f t="shared" si="274"/>
        <v>795.5038208000002</v>
      </c>
      <c r="AK89" s="38">
        <v>0</v>
      </c>
      <c r="AL89" s="38">
        <f t="shared" si="275"/>
        <v>795.5038208000002</v>
      </c>
      <c r="AM89" s="40">
        <f>L89+R89+X89+AD89+AJ89</f>
        <v>3683.0993408000004</v>
      </c>
      <c r="AN89" s="38">
        <f t="shared" si="276"/>
        <v>0</v>
      </c>
      <c r="AO89" s="40">
        <f t="shared" si="277"/>
        <v>3683.0993408000004</v>
      </c>
    </row>
    <row r="90" spans="1:43" s="1" customFormat="1" x14ac:dyDescent="0.45">
      <c r="A90" s="1" t="s">
        <v>210</v>
      </c>
      <c r="B90" s="710">
        <v>89050</v>
      </c>
      <c r="C90" s="258" t="s">
        <v>65</v>
      </c>
      <c r="D90" s="258" t="s">
        <v>65</v>
      </c>
      <c r="E90" s="1" t="s">
        <v>211</v>
      </c>
      <c r="F90" s="82" t="s">
        <v>650</v>
      </c>
      <c r="G90" s="74" t="s">
        <v>418</v>
      </c>
      <c r="H90" s="141">
        <v>17</v>
      </c>
      <c r="I90" s="38">
        <v>80</v>
      </c>
      <c r="J90" s="15">
        <v>1</v>
      </c>
      <c r="K90" s="522" t="s">
        <v>127</v>
      </c>
      <c r="L90" s="37">
        <f t="shared" ref="L90:L91" si="278">J90*I90*H90</f>
        <v>1360</v>
      </c>
      <c r="M90" s="38">
        <v>0</v>
      </c>
      <c r="N90" s="39">
        <f t="shared" si="263"/>
        <v>1360</v>
      </c>
      <c r="O90" s="141">
        <v>17</v>
      </c>
      <c r="P90" s="38">
        <f t="shared" ref="P90:P91" si="279">I90*$H$7</f>
        <v>83.2</v>
      </c>
      <c r="Q90" s="15">
        <v>1</v>
      </c>
      <c r="R90" s="37">
        <f t="shared" si="265"/>
        <v>1414.4</v>
      </c>
      <c r="S90" s="38">
        <v>0</v>
      </c>
      <c r="T90" s="39">
        <f t="shared" si="266"/>
        <v>1414.4</v>
      </c>
      <c r="U90" s="141">
        <v>17</v>
      </c>
      <c r="V90" s="38">
        <f t="shared" ref="V90:V91" si="280">I90*$H$7*$H$7</f>
        <v>86.528000000000006</v>
      </c>
      <c r="W90" s="15">
        <v>1</v>
      </c>
      <c r="X90" s="37">
        <f t="shared" si="268"/>
        <v>1470.9760000000001</v>
      </c>
      <c r="Y90" s="38">
        <v>0</v>
      </c>
      <c r="Z90" s="39">
        <f t="shared" si="269"/>
        <v>1470.9760000000001</v>
      </c>
      <c r="AA90" s="141">
        <v>17</v>
      </c>
      <c r="AB90" s="38">
        <f t="shared" ref="AB90:AB91" si="281">I90*$H$7*$H$7*$H$7</f>
        <v>89.989120000000014</v>
      </c>
      <c r="AC90" s="15">
        <v>1</v>
      </c>
      <c r="AD90" s="37">
        <f t="shared" si="271"/>
        <v>1529.8150400000002</v>
      </c>
      <c r="AE90" s="38">
        <v>0</v>
      </c>
      <c r="AF90" s="39">
        <f t="shared" si="272"/>
        <v>1529.8150400000002</v>
      </c>
      <c r="AG90" s="141">
        <v>17</v>
      </c>
      <c r="AH90" s="38">
        <f t="shared" ref="AH90:AH91" si="282">I90*$H$7*$H$7*$H$7*$H$7</f>
        <v>93.588684800000024</v>
      </c>
      <c r="AI90" s="15">
        <v>1</v>
      </c>
      <c r="AJ90" s="37">
        <f t="shared" si="274"/>
        <v>1591.0076416000004</v>
      </c>
      <c r="AK90" s="38">
        <v>0</v>
      </c>
      <c r="AL90" s="38">
        <f t="shared" si="275"/>
        <v>1591.0076416000004</v>
      </c>
      <c r="AM90" s="40">
        <f t="shared" ref="AM90:AM91" si="283">L90+R90+X90+AD90+AJ90</f>
        <v>7366.1986816000008</v>
      </c>
      <c r="AN90" s="38">
        <f t="shared" si="276"/>
        <v>0</v>
      </c>
      <c r="AO90" s="40">
        <f t="shared" si="277"/>
        <v>7366.1986816000008</v>
      </c>
    </row>
    <row r="91" spans="1:43" s="1" customFormat="1" x14ac:dyDescent="0.45">
      <c r="A91" s="1" t="s">
        <v>210</v>
      </c>
      <c r="B91" s="710">
        <v>89050</v>
      </c>
      <c r="C91" s="258" t="s">
        <v>65</v>
      </c>
      <c r="D91" s="258" t="s">
        <v>65</v>
      </c>
      <c r="E91" s="1" t="s">
        <v>211</v>
      </c>
      <c r="F91" s="82" t="s">
        <v>650</v>
      </c>
      <c r="G91" s="74" t="s">
        <v>419</v>
      </c>
      <c r="H91" s="141">
        <v>17</v>
      </c>
      <c r="I91" s="38">
        <v>25</v>
      </c>
      <c r="J91" s="15">
        <v>1</v>
      </c>
      <c r="K91" s="522" t="s">
        <v>124</v>
      </c>
      <c r="L91" s="37">
        <f t="shared" si="278"/>
        <v>425</v>
      </c>
      <c r="M91" s="38">
        <v>0</v>
      </c>
      <c r="N91" s="39">
        <f t="shared" si="263"/>
        <v>425</v>
      </c>
      <c r="O91" s="141">
        <v>17</v>
      </c>
      <c r="P91" s="38">
        <f t="shared" si="279"/>
        <v>26</v>
      </c>
      <c r="Q91" s="15">
        <v>1</v>
      </c>
      <c r="R91" s="37">
        <f t="shared" si="265"/>
        <v>442</v>
      </c>
      <c r="S91" s="38">
        <v>0</v>
      </c>
      <c r="T91" s="39">
        <f t="shared" si="266"/>
        <v>442</v>
      </c>
      <c r="U91" s="141">
        <v>17</v>
      </c>
      <c r="V91" s="38">
        <f t="shared" si="280"/>
        <v>27.04</v>
      </c>
      <c r="W91" s="15">
        <v>1</v>
      </c>
      <c r="X91" s="37">
        <f t="shared" si="268"/>
        <v>459.68</v>
      </c>
      <c r="Y91" s="38">
        <v>0</v>
      </c>
      <c r="Z91" s="39">
        <f t="shared" si="269"/>
        <v>459.68</v>
      </c>
      <c r="AA91" s="141">
        <v>17</v>
      </c>
      <c r="AB91" s="38">
        <f t="shared" si="281"/>
        <v>28.121600000000001</v>
      </c>
      <c r="AC91" s="15">
        <v>1</v>
      </c>
      <c r="AD91" s="37">
        <f t="shared" si="271"/>
        <v>478.06720000000001</v>
      </c>
      <c r="AE91" s="38">
        <v>0</v>
      </c>
      <c r="AF91" s="39">
        <f t="shared" si="272"/>
        <v>478.06720000000001</v>
      </c>
      <c r="AG91" s="141">
        <v>17</v>
      </c>
      <c r="AH91" s="38">
        <f t="shared" si="282"/>
        <v>29.246464000000003</v>
      </c>
      <c r="AI91" s="15">
        <v>1</v>
      </c>
      <c r="AJ91" s="37">
        <f t="shared" si="274"/>
        <v>497.18988800000005</v>
      </c>
      <c r="AK91" s="38">
        <v>0</v>
      </c>
      <c r="AL91" s="38">
        <f t="shared" si="275"/>
        <v>497.18988800000005</v>
      </c>
      <c r="AM91" s="40">
        <f t="shared" si="283"/>
        <v>2301.9370880000001</v>
      </c>
      <c r="AN91" s="38">
        <f t="shared" si="276"/>
        <v>0</v>
      </c>
      <c r="AO91" s="40">
        <f t="shared" si="277"/>
        <v>2301.9370880000001</v>
      </c>
    </row>
    <row r="92" spans="1:43" s="1" customFormat="1" x14ac:dyDescent="0.45">
      <c r="A92" s="74"/>
      <c r="B92" s="710"/>
      <c r="C92" s="258"/>
      <c r="D92" s="258"/>
      <c r="E92" s="74"/>
      <c r="F92" s="74"/>
      <c r="G92" s="74"/>
      <c r="H92" s="141"/>
      <c r="I92" s="15"/>
      <c r="J92" s="572"/>
      <c r="K92" s="522"/>
      <c r="L92" s="37"/>
      <c r="M92" s="38"/>
      <c r="N92" s="38"/>
      <c r="O92" s="141"/>
      <c r="P92" s="38"/>
      <c r="Q92" s="15"/>
      <c r="R92" s="37"/>
      <c r="S92" s="38"/>
      <c r="T92" s="38"/>
      <c r="U92" s="141"/>
      <c r="V92" s="38"/>
      <c r="W92" s="15"/>
      <c r="X92" s="37"/>
      <c r="Y92" s="38"/>
      <c r="Z92" s="38"/>
      <c r="AA92" s="141"/>
      <c r="AB92" s="38"/>
      <c r="AC92" s="15"/>
      <c r="AD92" s="37"/>
      <c r="AE92" s="38"/>
      <c r="AF92" s="38"/>
      <c r="AG92" s="141"/>
      <c r="AH92" s="38"/>
      <c r="AI92" s="15"/>
      <c r="AJ92" s="37"/>
      <c r="AK92" s="38"/>
      <c r="AL92" s="38"/>
      <c r="AM92" s="40"/>
      <c r="AN92" s="38"/>
      <c r="AO92" s="40"/>
    </row>
    <row r="93" spans="1:43" s="1" customFormat="1" x14ac:dyDescent="0.45">
      <c r="A93" s="353"/>
      <c r="B93" s="710"/>
      <c r="C93" s="258"/>
      <c r="D93" s="258"/>
      <c r="E93" s="353"/>
      <c r="F93" s="353"/>
      <c r="G93" s="353" t="s">
        <v>544</v>
      </c>
      <c r="H93" s="140"/>
      <c r="I93" s="15"/>
      <c r="K93" s="112"/>
      <c r="L93" s="37"/>
      <c r="M93" s="38"/>
      <c r="N93" s="39"/>
      <c r="O93" s="140"/>
      <c r="R93" s="37"/>
      <c r="S93" s="38"/>
      <c r="T93" s="39"/>
      <c r="U93" s="140"/>
      <c r="X93" s="37"/>
      <c r="Y93" s="38"/>
      <c r="Z93" s="39"/>
      <c r="AA93" s="140"/>
      <c r="AD93" s="37"/>
      <c r="AE93" s="38"/>
      <c r="AF93" s="39"/>
      <c r="AG93" s="140"/>
      <c r="AJ93" s="37"/>
      <c r="AK93" s="38"/>
      <c r="AL93" s="38"/>
      <c r="AM93" s="40"/>
      <c r="AN93" s="38"/>
      <c r="AO93" s="40"/>
      <c r="AP93" s="91"/>
      <c r="AQ93" s="91"/>
    </row>
    <row r="94" spans="1:43" s="1" customFormat="1" x14ac:dyDescent="0.45">
      <c r="A94" s="1" t="s">
        <v>210</v>
      </c>
      <c r="B94" s="710">
        <v>89050</v>
      </c>
      <c r="C94" s="258" t="s">
        <v>65</v>
      </c>
      <c r="D94" s="258" t="s">
        <v>65</v>
      </c>
      <c r="E94" s="1" t="s">
        <v>211</v>
      </c>
      <c r="F94" s="82" t="s">
        <v>651</v>
      </c>
      <c r="G94" s="74" t="s">
        <v>422</v>
      </c>
      <c r="H94" s="141">
        <v>1</v>
      </c>
      <c r="I94" s="38">
        <v>50</v>
      </c>
      <c r="J94" s="15">
        <v>1</v>
      </c>
      <c r="K94" s="522" t="s">
        <v>124</v>
      </c>
      <c r="L94" s="37">
        <f t="shared" ref="L94" si="284">J94*I94*H94</f>
        <v>50</v>
      </c>
      <c r="M94" s="38">
        <v>0</v>
      </c>
      <c r="N94" s="39">
        <f t="shared" ref="N94:N97" si="285">SUM(L94:M94)</f>
        <v>50</v>
      </c>
      <c r="O94" s="141">
        <v>1</v>
      </c>
      <c r="P94" s="38">
        <f t="shared" ref="P94" si="286">I94*$H$7</f>
        <v>52</v>
      </c>
      <c r="Q94" s="15">
        <v>1</v>
      </c>
      <c r="R94" s="37">
        <f t="shared" ref="R94:R97" si="287">O94*P94*Q94</f>
        <v>52</v>
      </c>
      <c r="S94" s="38">
        <v>0</v>
      </c>
      <c r="T94" s="39">
        <f t="shared" ref="T94:T97" si="288">SUM(R94:S94)</f>
        <v>52</v>
      </c>
      <c r="U94" s="141">
        <v>1</v>
      </c>
      <c r="V94" s="38">
        <f t="shared" ref="V94" si="289">I94*$H$7*$H$7</f>
        <v>54.08</v>
      </c>
      <c r="W94" s="15">
        <v>1</v>
      </c>
      <c r="X94" s="37">
        <f t="shared" ref="X94:X97" si="290">U94*V94*W94</f>
        <v>54.08</v>
      </c>
      <c r="Y94" s="38">
        <v>0</v>
      </c>
      <c r="Z94" s="39">
        <f t="shared" ref="Z94:Z97" si="291">SUM(X94:Y94)</f>
        <v>54.08</v>
      </c>
      <c r="AA94" s="141">
        <v>1</v>
      </c>
      <c r="AB94" s="38">
        <f t="shared" ref="AB94" si="292">I94*$H$7*$H$7*$H$7</f>
        <v>56.243200000000002</v>
      </c>
      <c r="AC94" s="15">
        <v>1</v>
      </c>
      <c r="AD94" s="37">
        <f t="shared" ref="AD94:AD97" si="293">AA94*AB94*AC94</f>
        <v>56.243200000000002</v>
      </c>
      <c r="AE94" s="38">
        <v>0</v>
      </c>
      <c r="AF94" s="39">
        <f t="shared" ref="AF94:AF97" si="294">SUM(AD94:AE94)</f>
        <v>56.243200000000002</v>
      </c>
      <c r="AG94" s="141">
        <v>1</v>
      </c>
      <c r="AH94" s="38">
        <f t="shared" ref="AH94" si="295">I94*$H$7*$H$7*$H$7*$H$7</f>
        <v>58.492928000000006</v>
      </c>
      <c r="AI94" s="15">
        <v>1</v>
      </c>
      <c r="AJ94" s="37">
        <f t="shared" ref="AJ94:AJ97" si="296">AG94*AH94*AI94</f>
        <v>58.492928000000006</v>
      </c>
      <c r="AK94" s="38">
        <v>0</v>
      </c>
      <c r="AL94" s="38">
        <f t="shared" ref="AL94:AL97" si="297">SUM(AJ94:AK94)</f>
        <v>58.492928000000006</v>
      </c>
      <c r="AM94" s="40">
        <f t="shared" ref="AM94:AN97" si="298">L94+R94+X94+AD94+AJ94</f>
        <v>270.81612799999999</v>
      </c>
      <c r="AN94" s="38">
        <f t="shared" si="298"/>
        <v>0</v>
      </c>
      <c r="AO94" s="40">
        <f t="shared" ref="AO94:AO97" si="299">SUM(AM94:AN94)</f>
        <v>270.81612799999999</v>
      </c>
    </row>
    <row r="95" spans="1:43" s="1" customFormat="1" x14ac:dyDescent="0.45">
      <c r="A95" s="1" t="s">
        <v>210</v>
      </c>
      <c r="B95" s="710">
        <v>89050</v>
      </c>
      <c r="C95" s="258" t="s">
        <v>65</v>
      </c>
      <c r="D95" s="258" t="s">
        <v>65</v>
      </c>
      <c r="E95" s="1" t="s">
        <v>211</v>
      </c>
      <c r="F95" s="82" t="s">
        <v>651</v>
      </c>
      <c r="G95" s="74" t="s">
        <v>423</v>
      </c>
      <c r="H95" s="141">
        <v>1</v>
      </c>
      <c r="I95" s="38">
        <v>40</v>
      </c>
      <c r="J95" s="15">
        <v>2</v>
      </c>
      <c r="K95" s="522" t="s">
        <v>127</v>
      </c>
      <c r="L95" s="37">
        <f>J95*I95*H95</f>
        <v>80</v>
      </c>
      <c r="M95" s="38">
        <v>0</v>
      </c>
      <c r="N95" s="39">
        <f t="shared" si="285"/>
        <v>80</v>
      </c>
      <c r="O95" s="141">
        <v>1</v>
      </c>
      <c r="P95" s="38">
        <f>I95*$H$7</f>
        <v>41.6</v>
      </c>
      <c r="Q95" s="15">
        <v>2</v>
      </c>
      <c r="R95" s="37">
        <f t="shared" si="287"/>
        <v>83.2</v>
      </c>
      <c r="S95" s="38">
        <v>0</v>
      </c>
      <c r="T95" s="39">
        <f t="shared" si="288"/>
        <v>83.2</v>
      </c>
      <c r="U95" s="141">
        <v>1</v>
      </c>
      <c r="V95" s="38">
        <f>I95*$H$7*$H$7</f>
        <v>43.264000000000003</v>
      </c>
      <c r="W95" s="15">
        <v>2</v>
      </c>
      <c r="X95" s="37">
        <f t="shared" si="290"/>
        <v>86.528000000000006</v>
      </c>
      <c r="Y95" s="38">
        <v>0</v>
      </c>
      <c r="Z95" s="39">
        <f t="shared" si="291"/>
        <v>86.528000000000006</v>
      </c>
      <c r="AA95" s="141">
        <v>1</v>
      </c>
      <c r="AB95" s="38">
        <f>I95*$H$7*$H$7*$H$7</f>
        <v>44.994560000000007</v>
      </c>
      <c r="AC95" s="15">
        <v>2</v>
      </c>
      <c r="AD95" s="37">
        <f t="shared" si="293"/>
        <v>89.989120000000014</v>
      </c>
      <c r="AE95" s="38">
        <v>0</v>
      </c>
      <c r="AF95" s="39">
        <f t="shared" si="294"/>
        <v>89.989120000000014</v>
      </c>
      <c r="AG95" s="141">
        <v>1</v>
      </c>
      <c r="AH95" s="38">
        <f>I95*$H$7*$H$7*$H$7*$H$7</f>
        <v>46.794342400000012</v>
      </c>
      <c r="AI95" s="15">
        <v>2</v>
      </c>
      <c r="AJ95" s="37">
        <f t="shared" si="296"/>
        <v>93.588684800000024</v>
      </c>
      <c r="AK95" s="38">
        <v>0</v>
      </c>
      <c r="AL95" s="38">
        <f t="shared" si="297"/>
        <v>93.588684800000024</v>
      </c>
      <c r="AM95" s="40">
        <f>L95+R95+X95+AD95+AJ95</f>
        <v>433.30580480000003</v>
      </c>
      <c r="AN95" s="38">
        <f t="shared" si="298"/>
        <v>0</v>
      </c>
      <c r="AO95" s="40">
        <f t="shared" si="299"/>
        <v>433.30580480000003</v>
      </c>
    </row>
    <row r="96" spans="1:43" s="1" customFormat="1" x14ac:dyDescent="0.45">
      <c r="A96" s="1" t="s">
        <v>210</v>
      </c>
      <c r="B96" s="710">
        <v>89050</v>
      </c>
      <c r="C96" s="258" t="s">
        <v>65</v>
      </c>
      <c r="D96" s="258" t="s">
        <v>65</v>
      </c>
      <c r="E96" s="1" t="s">
        <v>211</v>
      </c>
      <c r="F96" s="82" t="s">
        <v>651</v>
      </c>
      <c r="G96" s="74" t="s">
        <v>424</v>
      </c>
      <c r="H96" s="141">
        <v>1</v>
      </c>
      <c r="I96" s="38">
        <v>80</v>
      </c>
      <c r="J96" s="15">
        <v>2</v>
      </c>
      <c r="K96" s="522" t="s">
        <v>127</v>
      </c>
      <c r="L96" s="37">
        <f t="shared" ref="L96:L97" si="300">J96*I96*H96</f>
        <v>160</v>
      </c>
      <c r="M96" s="38">
        <v>0</v>
      </c>
      <c r="N96" s="39">
        <f t="shared" si="285"/>
        <v>160</v>
      </c>
      <c r="O96" s="141">
        <v>1</v>
      </c>
      <c r="P96" s="38">
        <f t="shared" ref="P96:P97" si="301">I96*$H$7</f>
        <v>83.2</v>
      </c>
      <c r="Q96" s="15">
        <v>2</v>
      </c>
      <c r="R96" s="37">
        <f t="shared" si="287"/>
        <v>166.4</v>
      </c>
      <c r="S96" s="38">
        <v>0</v>
      </c>
      <c r="T96" s="39">
        <f t="shared" si="288"/>
        <v>166.4</v>
      </c>
      <c r="U96" s="141">
        <v>1</v>
      </c>
      <c r="V96" s="38">
        <f t="shared" ref="V96:V97" si="302">I96*$H$7*$H$7</f>
        <v>86.528000000000006</v>
      </c>
      <c r="W96" s="15">
        <v>2</v>
      </c>
      <c r="X96" s="37">
        <f t="shared" si="290"/>
        <v>173.05600000000001</v>
      </c>
      <c r="Y96" s="38">
        <v>0</v>
      </c>
      <c r="Z96" s="39">
        <f t="shared" si="291"/>
        <v>173.05600000000001</v>
      </c>
      <c r="AA96" s="141">
        <v>1</v>
      </c>
      <c r="AB96" s="38">
        <f t="shared" ref="AB96:AB97" si="303">I96*$H$7*$H$7*$H$7</f>
        <v>89.989120000000014</v>
      </c>
      <c r="AC96" s="15">
        <v>2</v>
      </c>
      <c r="AD96" s="37">
        <f t="shared" si="293"/>
        <v>179.97824000000003</v>
      </c>
      <c r="AE96" s="38">
        <v>0</v>
      </c>
      <c r="AF96" s="39">
        <f t="shared" si="294"/>
        <v>179.97824000000003</v>
      </c>
      <c r="AG96" s="141">
        <v>1</v>
      </c>
      <c r="AH96" s="38">
        <f t="shared" ref="AH96:AH97" si="304">I96*$H$7*$H$7*$H$7*$H$7</f>
        <v>93.588684800000024</v>
      </c>
      <c r="AI96" s="15">
        <v>2</v>
      </c>
      <c r="AJ96" s="37">
        <f t="shared" si="296"/>
        <v>187.17736960000005</v>
      </c>
      <c r="AK96" s="38">
        <v>0</v>
      </c>
      <c r="AL96" s="38">
        <f t="shared" si="297"/>
        <v>187.17736960000005</v>
      </c>
      <c r="AM96" s="40">
        <f t="shared" ref="AM96:AM97" si="305">L96+R96+X96+AD96+AJ96</f>
        <v>866.61160960000007</v>
      </c>
      <c r="AN96" s="38">
        <f t="shared" si="298"/>
        <v>0</v>
      </c>
      <c r="AO96" s="40">
        <f t="shared" si="299"/>
        <v>866.61160960000007</v>
      </c>
    </row>
    <row r="97" spans="1:41" s="1" customFormat="1" x14ac:dyDescent="0.45">
      <c r="A97" s="1" t="s">
        <v>210</v>
      </c>
      <c r="B97" s="710">
        <v>89050</v>
      </c>
      <c r="C97" s="258" t="s">
        <v>65</v>
      </c>
      <c r="D97" s="258" t="s">
        <v>65</v>
      </c>
      <c r="E97" s="1" t="s">
        <v>211</v>
      </c>
      <c r="F97" s="82" t="s">
        <v>651</v>
      </c>
      <c r="G97" s="74" t="s">
        <v>425</v>
      </c>
      <c r="H97" s="141">
        <v>1</v>
      </c>
      <c r="I97" s="38">
        <v>25</v>
      </c>
      <c r="J97" s="15">
        <v>1</v>
      </c>
      <c r="K97" s="522" t="s">
        <v>124</v>
      </c>
      <c r="L97" s="37">
        <f t="shared" si="300"/>
        <v>25</v>
      </c>
      <c r="M97" s="38">
        <v>0</v>
      </c>
      <c r="N97" s="39">
        <f t="shared" si="285"/>
        <v>25</v>
      </c>
      <c r="O97" s="141">
        <v>1</v>
      </c>
      <c r="P97" s="38">
        <f t="shared" si="301"/>
        <v>26</v>
      </c>
      <c r="Q97" s="15">
        <v>1</v>
      </c>
      <c r="R97" s="37">
        <f t="shared" si="287"/>
        <v>26</v>
      </c>
      <c r="S97" s="38">
        <v>0</v>
      </c>
      <c r="T97" s="39">
        <f t="shared" si="288"/>
        <v>26</v>
      </c>
      <c r="U97" s="141">
        <v>1</v>
      </c>
      <c r="V97" s="38">
        <f t="shared" si="302"/>
        <v>27.04</v>
      </c>
      <c r="W97" s="15">
        <v>1</v>
      </c>
      <c r="X97" s="37">
        <f t="shared" si="290"/>
        <v>27.04</v>
      </c>
      <c r="Y97" s="38">
        <v>0</v>
      </c>
      <c r="Z97" s="39">
        <f t="shared" si="291"/>
        <v>27.04</v>
      </c>
      <c r="AA97" s="141">
        <v>1</v>
      </c>
      <c r="AB97" s="38">
        <f t="shared" si="303"/>
        <v>28.121600000000001</v>
      </c>
      <c r="AC97" s="15">
        <v>1</v>
      </c>
      <c r="AD97" s="37">
        <f t="shared" si="293"/>
        <v>28.121600000000001</v>
      </c>
      <c r="AE97" s="38">
        <v>0</v>
      </c>
      <c r="AF97" s="39">
        <f t="shared" si="294"/>
        <v>28.121600000000001</v>
      </c>
      <c r="AG97" s="141">
        <v>1</v>
      </c>
      <c r="AH97" s="38">
        <f t="shared" si="304"/>
        <v>29.246464000000003</v>
      </c>
      <c r="AI97" s="15">
        <v>1</v>
      </c>
      <c r="AJ97" s="37">
        <f t="shared" si="296"/>
        <v>29.246464000000003</v>
      </c>
      <c r="AK97" s="38">
        <v>0</v>
      </c>
      <c r="AL97" s="38">
        <f t="shared" si="297"/>
        <v>29.246464000000003</v>
      </c>
      <c r="AM97" s="40">
        <f t="shared" si="305"/>
        <v>135.408064</v>
      </c>
      <c r="AN97" s="38">
        <f t="shared" si="298"/>
        <v>0</v>
      </c>
      <c r="AO97" s="40">
        <f t="shared" si="299"/>
        <v>135.408064</v>
      </c>
    </row>
    <row r="98" spans="1:41" s="406" customFormat="1" ht="12.3" x14ac:dyDescent="0.4">
      <c r="A98" s="447"/>
      <c r="B98" s="447"/>
      <c r="C98" s="447"/>
      <c r="D98" s="447"/>
      <c r="E98" s="447"/>
      <c r="F98" s="447"/>
      <c r="G98" s="447" t="s">
        <v>173</v>
      </c>
      <c r="H98" s="448"/>
      <c r="I98" s="586"/>
      <c r="J98" s="588"/>
      <c r="K98" s="586"/>
      <c r="L98" s="405">
        <f>SUM(L62:L97)</f>
        <v>29025</v>
      </c>
      <c r="M98" s="405">
        <f>SUM(M62:M97)</f>
        <v>0</v>
      </c>
      <c r="N98" s="405">
        <f>SUM(N62:N97)</f>
        <v>29025</v>
      </c>
      <c r="O98" s="448"/>
      <c r="P98" s="557"/>
      <c r="Q98" s="586"/>
      <c r="R98" s="405">
        <f>SUM(R62:R97)</f>
        <v>39016.100000000006</v>
      </c>
      <c r="S98" s="405">
        <f>SUM(S62:S97)</f>
        <v>0</v>
      </c>
      <c r="T98" s="405">
        <f>SUM(T62:T97)</f>
        <v>39016.100000000006</v>
      </c>
      <c r="U98" s="448"/>
      <c r="V98" s="586"/>
      <c r="W98" s="586"/>
      <c r="X98" s="405">
        <f>SUM(X62:X97)</f>
        <v>38854.967000000004</v>
      </c>
      <c r="Y98" s="405">
        <f>SUM(Y62:Y97)</f>
        <v>0</v>
      </c>
      <c r="Z98" s="405">
        <f>SUM(Z62:Z97)</f>
        <v>38854.967000000004</v>
      </c>
      <c r="AA98" s="448"/>
      <c r="AB98" s="586"/>
      <c r="AC98" s="586"/>
      <c r="AD98" s="405">
        <f>SUM(AD62:AD97)</f>
        <v>40882.434890000004</v>
      </c>
      <c r="AE98" s="405">
        <f>SUM(AE62:AE97)</f>
        <v>0</v>
      </c>
      <c r="AF98" s="405">
        <f>SUM(AF62:AF97)</f>
        <v>40882.434890000004</v>
      </c>
      <c r="AG98" s="448"/>
      <c r="AH98" s="586"/>
      <c r="AI98" s="586"/>
      <c r="AJ98" s="405">
        <f>SUM(AJ62:AJ97)</f>
        <v>27145.928882650005</v>
      </c>
      <c r="AK98" s="405">
        <f>SUM(AK62:AK97)</f>
        <v>0</v>
      </c>
      <c r="AL98" s="405">
        <f>SUM(AL62:AL97)</f>
        <v>27145.928882650005</v>
      </c>
      <c r="AM98" s="681">
        <f t="shared" ref="AM98" si="306">L98+R98+X98+AD98+AJ98</f>
        <v>174924.43077265003</v>
      </c>
      <c r="AN98" s="562">
        <f t="shared" ref="AN98" si="307">M98+S98+Y98+AE98+AK98</f>
        <v>0</v>
      </c>
      <c r="AO98" s="681">
        <f t="shared" ref="AO98" si="308">SUM(AM98:AN98)</f>
        <v>174924.43077265003</v>
      </c>
    </row>
    <row r="99" spans="1:41" x14ac:dyDescent="0.45">
      <c r="A99" s="455"/>
      <c r="B99" s="455"/>
      <c r="C99" s="455"/>
      <c r="D99" s="455"/>
      <c r="E99" s="455"/>
      <c r="F99" s="455"/>
      <c r="G99" s="455"/>
      <c r="H99" s="408"/>
      <c r="I99" s="587"/>
      <c r="J99" s="587"/>
      <c r="K99" s="587"/>
      <c r="L99" s="400"/>
      <c r="M99" s="359"/>
      <c r="N99" s="401"/>
      <c r="O99" s="456"/>
      <c r="P99" s="587"/>
      <c r="Q99" s="587"/>
      <c r="R99" s="400"/>
      <c r="S99" s="359"/>
      <c r="T99" s="401"/>
      <c r="U99" s="408"/>
      <c r="V99" s="587"/>
      <c r="W99" s="587"/>
      <c r="X99" s="400"/>
      <c r="Y99" s="359"/>
      <c r="Z99" s="401"/>
      <c r="AA99" s="408"/>
      <c r="AB99" s="587"/>
      <c r="AC99" s="587"/>
      <c r="AD99" s="400"/>
      <c r="AE99" s="359"/>
      <c r="AF99" s="401"/>
      <c r="AG99" s="408"/>
      <c r="AH99" s="587"/>
      <c r="AI99" s="587"/>
      <c r="AJ99" s="400"/>
      <c r="AK99" s="359"/>
      <c r="AL99" s="359"/>
      <c r="AM99" s="402"/>
      <c r="AN99" s="359"/>
      <c r="AO99" s="402"/>
    </row>
    <row r="100" spans="1:41" x14ac:dyDescent="0.45">
      <c r="A100" s="411"/>
      <c r="B100" s="411"/>
      <c r="C100" s="411"/>
      <c r="D100" s="411"/>
      <c r="E100" s="411"/>
      <c r="F100" s="411"/>
      <c r="G100" s="411" t="s">
        <v>174</v>
      </c>
      <c r="H100" s="412"/>
      <c r="I100" s="413"/>
      <c r="J100" s="413"/>
      <c r="K100" s="413"/>
      <c r="L100" s="414">
        <f>L98+L58</f>
        <v>31565</v>
      </c>
      <c r="M100" s="414">
        <f>M98+M58</f>
        <v>0</v>
      </c>
      <c r="N100" s="414">
        <f>N98+N58</f>
        <v>31565</v>
      </c>
      <c r="O100" s="412"/>
      <c r="P100" s="413"/>
      <c r="Q100" s="413"/>
      <c r="R100" s="414">
        <f>R98+R58</f>
        <v>41632.300000000003</v>
      </c>
      <c r="S100" s="414">
        <f>S98+S58</f>
        <v>0</v>
      </c>
      <c r="T100" s="414">
        <f>T98+T58</f>
        <v>41632.300000000003</v>
      </c>
      <c r="U100" s="412"/>
      <c r="V100" s="413"/>
      <c r="W100" s="413"/>
      <c r="X100" s="414">
        <f>X98+X58</f>
        <v>41549.653000000006</v>
      </c>
      <c r="Y100" s="414">
        <f>Y98+Y58</f>
        <v>0</v>
      </c>
      <c r="Z100" s="414">
        <f>Z98+Z58</f>
        <v>41549.653000000006</v>
      </c>
      <c r="AA100" s="412"/>
      <c r="AB100" s="413"/>
      <c r="AC100" s="413"/>
      <c r="AD100" s="414">
        <f>AD98+AD58</f>
        <v>43657.961470000002</v>
      </c>
      <c r="AE100" s="414">
        <f>AE98+AE58</f>
        <v>0</v>
      </c>
      <c r="AF100" s="414">
        <f>AF98+AF58</f>
        <v>43657.961470000002</v>
      </c>
      <c r="AG100" s="412"/>
      <c r="AH100" s="413"/>
      <c r="AI100" s="413"/>
      <c r="AJ100" s="414">
        <f t="shared" ref="AJ100:AO100" si="309">AJ98+AJ58</f>
        <v>30004.721260050006</v>
      </c>
      <c r="AK100" s="414">
        <f t="shared" si="309"/>
        <v>0</v>
      </c>
      <c r="AL100" s="414">
        <f t="shared" si="309"/>
        <v>30004.721260050006</v>
      </c>
      <c r="AM100" s="469">
        <f t="shared" si="309"/>
        <v>188409.63573005004</v>
      </c>
      <c r="AN100" s="561">
        <f t="shared" si="309"/>
        <v>0</v>
      </c>
      <c r="AO100" s="469">
        <f t="shared" si="309"/>
        <v>188409.63573005004</v>
      </c>
    </row>
    <row r="101" spans="1:41" x14ac:dyDescent="0.45">
      <c r="A101" s="457"/>
      <c r="B101" s="457"/>
      <c r="C101" s="457"/>
      <c r="D101" s="457"/>
      <c r="E101" s="457"/>
      <c r="F101" s="457"/>
      <c r="G101" s="457"/>
      <c r="H101" s="458"/>
      <c r="I101" s="459"/>
      <c r="J101" s="459"/>
      <c r="K101" s="459"/>
      <c r="L101" s="418"/>
      <c r="M101" s="419"/>
      <c r="N101" s="420"/>
      <c r="O101" s="458"/>
      <c r="P101" s="459"/>
      <c r="Q101" s="459"/>
      <c r="R101" s="418"/>
      <c r="S101" s="419"/>
      <c r="T101" s="420"/>
      <c r="U101" s="458"/>
      <c r="V101" s="459"/>
      <c r="W101" s="459"/>
      <c r="X101" s="418"/>
      <c r="Y101" s="419"/>
      <c r="Z101" s="420"/>
      <c r="AA101" s="458"/>
      <c r="AB101" s="459"/>
      <c r="AC101" s="459"/>
      <c r="AD101" s="418"/>
      <c r="AE101" s="419"/>
      <c r="AF101" s="420"/>
      <c r="AG101" s="458"/>
      <c r="AH101" s="459"/>
      <c r="AI101" s="459"/>
      <c r="AJ101" s="418"/>
      <c r="AK101" s="419"/>
      <c r="AL101" s="419"/>
      <c r="AM101" s="421"/>
      <c r="AN101" s="419"/>
      <c r="AO101" s="421"/>
    </row>
    <row r="102" spans="1:41" x14ac:dyDescent="0.45">
      <c r="A102" s="422"/>
      <c r="B102" s="422"/>
      <c r="C102" s="422"/>
      <c r="D102" s="422"/>
      <c r="E102" s="422"/>
      <c r="F102" s="422"/>
      <c r="G102" s="422" t="s">
        <v>546</v>
      </c>
      <c r="H102" s="423"/>
      <c r="I102" s="424"/>
      <c r="J102" s="424"/>
      <c r="K102" s="424"/>
      <c r="L102" s="425"/>
      <c r="M102" s="426"/>
      <c r="N102" s="427"/>
      <c r="O102" s="423"/>
      <c r="P102" s="424"/>
      <c r="Q102" s="424"/>
      <c r="R102" s="425"/>
      <c r="S102" s="426"/>
      <c r="T102" s="427"/>
      <c r="U102" s="423"/>
      <c r="V102" s="424"/>
      <c r="W102" s="424"/>
      <c r="X102" s="425"/>
      <c r="Y102" s="426"/>
      <c r="Z102" s="427"/>
      <c r="AA102" s="423"/>
      <c r="AB102" s="424"/>
      <c r="AC102" s="424"/>
      <c r="AD102" s="425"/>
      <c r="AE102" s="426"/>
      <c r="AF102" s="427"/>
      <c r="AG102" s="423"/>
      <c r="AH102" s="424"/>
      <c r="AI102" s="424"/>
      <c r="AJ102" s="425"/>
      <c r="AK102" s="426"/>
      <c r="AL102" s="426"/>
      <c r="AM102" s="428"/>
      <c r="AN102" s="426"/>
      <c r="AO102" s="428"/>
    </row>
    <row r="103" spans="1:41" x14ac:dyDescent="0.45">
      <c r="A103" s="429"/>
      <c r="B103" s="429"/>
      <c r="C103" s="429"/>
      <c r="D103" s="429"/>
      <c r="E103" s="429"/>
      <c r="F103" s="429"/>
      <c r="G103" s="429"/>
      <c r="H103" s="446"/>
      <c r="I103" s="460"/>
      <c r="J103" s="460"/>
      <c r="K103" s="460"/>
      <c r="L103" s="393"/>
      <c r="M103" s="431"/>
      <c r="N103" s="443"/>
      <c r="O103" s="461"/>
      <c r="P103" s="460"/>
      <c r="Q103" s="460"/>
      <c r="R103" s="432"/>
      <c r="S103" s="431"/>
      <c r="T103" s="443"/>
      <c r="U103" s="461"/>
      <c r="V103" s="460"/>
      <c r="W103" s="460"/>
      <c r="X103" s="432"/>
      <c r="Y103" s="431"/>
      <c r="Z103" s="443"/>
      <c r="AA103" s="461"/>
      <c r="AB103" s="460"/>
      <c r="AC103" s="460"/>
      <c r="AD103" s="432"/>
      <c r="AE103" s="431"/>
      <c r="AF103" s="443"/>
      <c r="AG103" s="461"/>
      <c r="AH103" s="460"/>
      <c r="AI103" s="460"/>
      <c r="AJ103" s="432"/>
      <c r="AK103" s="431"/>
      <c r="AL103" s="431"/>
      <c r="AM103" s="402"/>
      <c r="AN103" s="431"/>
      <c r="AO103" s="433"/>
    </row>
    <row r="104" spans="1:41" s="1" customFormat="1" x14ac:dyDescent="0.45">
      <c r="A104" s="1" t="s">
        <v>210</v>
      </c>
      <c r="B104" s="710">
        <v>89050</v>
      </c>
      <c r="C104" s="258" t="s">
        <v>65</v>
      </c>
      <c r="D104" s="258" t="s">
        <v>65</v>
      </c>
      <c r="E104" s="1" t="s">
        <v>211</v>
      </c>
      <c r="F104" s="82" t="s">
        <v>652</v>
      </c>
      <c r="G104" s="140" t="s">
        <v>433</v>
      </c>
      <c r="H104" s="141">
        <v>1</v>
      </c>
      <c r="I104" s="38">
        <v>50000</v>
      </c>
      <c r="J104" s="131">
        <v>0</v>
      </c>
      <c r="K104" s="131" t="s">
        <v>183</v>
      </c>
      <c r="L104" s="37">
        <f>I104*H104</f>
        <v>50000</v>
      </c>
      <c r="M104" s="38">
        <v>0</v>
      </c>
      <c r="N104" s="39">
        <f>SUM(L104:M104)</f>
        <v>50000</v>
      </c>
      <c r="O104" s="141">
        <v>0</v>
      </c>
      <c r="P104" s="38">
        <f>I104</f>
        <v>50000</v>
      </c>
      <c r="Q104" s="132"/>
      <c r="R104" s="37">
        <f>O104*P104</f>
        <v>0</v>
      </c>
      <c r="S104" s="38">
        <v>0</v>
      </c>
      <c r="T104" s="39">
        <f>SUM(R104:S104)</f>
        <v>0</v>
      </c>
      <c r="U104" s="141">
        <v>0</v>
      </c>
      <c r="V104" s="38">
        <f>I104</f>
        <v>50000</v>
      </c>
      <c r="W104" s="132"/>
      <c r="X104" s="37">
        <f>V104*U104</f>
        <v>0</v>
      </c>
      <c r="Y104" s="38">
        <v>0</v>
      </c>
      <c r="Z104" s="39">
        <f>SUM(X104:Y104)</f>
        <v>0</v>
      </c>
      <c r="AA104" s="141">
        <v>0</v>
      </c>
      <c r="AB104" s="38">
        <f>I104</f>
        <v>50000</v>
      </c>
      <c r="AC104" s="132"/>
      <c r="AD104" s="37">
        <f>AA104*AB104</f>
        <v>0</v>
      </c>
      <c r="AE104" s="38">
        <v>0</v>
      </c>
      <c r="AF104" s="39">
        <f>SUM(AD104:AE104)</f>
        <v>0</v>
      </c>
      <c r="AG104" s="141">
        <v>0</v>
      </c>
      <c r="AH104" s="38">
        <f>I104</f>
        <v>50000</v>
      </c>
      <c r="AI104" s="132"/>
      <c r="AJ104" s="37">
        <f>AH104*AG104</f>
        <v>0</v>
      </c>
      <c r="AK104" s="38">
        <v>0</v>
      </c>
      <c r="AL104" s="38">
        <f>SUM(AJ104:AK104)</f>
        <v>0</v>
      </c>
      <c r="AM104" s="40">
        <f>L104+R104+X104+AD104+AJ104</f>
        <v>50000</v>
      </c>
      <c r="AN104" s="38">
        <f t="shared" ref="AN104" si="310">M104+S104+Y104+AE104+AK104</f>
        <v>0</v>
      </c>
      <c r="AO104" s="40">
        <f>SUM(AM104:AN104)</f>
        <v>50000</v>
      </c>
    </row>
    <row r="105" spans="1:41" x14ac:dyDescent="0.45">
      <c r="A105" s="462"/>
      <c r="B105" s="462"/>
      <c r="C105" s="447"/>
      <c r="D105" s="447"/>
      <c r="E105" s="462"/>
      <c r="F105" s="462"/>
      <c r="G105" s="462"/>
      <c r="H105" s="463"/>
      <c r="I105" s="359"/>
      <c r="J105" s="464"/>
      <c r="K105" s="464"/>
      <c r="L105" s="465"/>
      <c r="M105" s="466"/>
      <c r="N105" s="467"/>
      <c r="O105" s="463"/>
      <c r="P105" s="464"/>
      <c r="Q105" s="464"/>
      <c r="R105" s="465"/>
      <c r="S105" s="466"/>
      <c r="T105" s="467"/>
      <c r="U105" s="463"/>
      <c r="V105" s="464"/>
      <c r="W105" s="464"/>
      <c r="X105" s="465"/>
      <c r="Y105" s="466"/>
      <c r="Z105" s="467"/>
      <c r="AA105" s="463"/>
      <c r="AB105" s="464"/>
      <c r="AC105" s="464"/>
      <c r="AD105" s="465"/>
      <c r="AE105" s="466"/>
      <c r="AF105" s="467"/>
      <c r="AG105" s="463"/>
      <c r="AH105" s="464"/>
      <c r="AI105" s="464"/>
      <c r="AJ105" s="465"/>
      <c r="AK105" s="466"/>
      <c r="AL105" s="466"/>
      <c r="AM105" s="468"/>
      <c r="AN105" s="466"/>
      <c r="AO105" s="468"/>
    </row>
    <row r="106" spans="1:41" s="361" customFormat="1" ht="12.3" x14ac:dyDescent="0.4">
      <c r="A106" s="411"/>
      <c r="B106" s="411"/>
      <c r="C106" s="411"/>
      <c r="D106" s="411"/>
      <c r="E106" s="411"/>
      <c r="F106" s="411"/>
      <c r="G106" s="411" t="s">
        <v>179</v>
      </c>
      <c r="H106" s="412"/>
      <c r="I106" s="413"/>
      <c r="J106" s="413"/>
      <c r="K106" s="413"/>
      <c r="L106" s="414">
        <f>SUM(L104:L105)</f>
        <v>50000</v>
      </c>
      <c r="M106" s="414">
        <f>SUM(M104:M105)</f>
        <v>0</v>
      </c>
      <c r="N106" s="414">
        <f>SUM(N104:N105)</f>
        <v>50000</v>
      </c>
      <c r="O106" s="412"/>
      <c r="P106" s="413"/>
      <c r="Q106" s="413"/>
      <c r="R106" s="414">
        <f>SUM(R104:R105)</f>
        <v>0</v>
      </c>
      <c r="S106" s="414">
        <f>SUM(S104:S105)</f>
        <v>0</v>
      </c>
      <c r="T106" s="414">
        <f>SUM(T104:T105)</f>
        <v>0</v>
      </c>
      <c r="U106" s="412"/>
      <c r="V106" s="413"/>
      <c r="W106" s="413"/>
      <c r="X106" s="414">
        <f>SUM(X104:X105)</f>
        <v>0</v>
      </c>
      <c r="Y106" s="414">
        <f>SUM(Y104:Y105)</f>
        <v>0</v>
      </c>
      <c r="Z106" s="414">
        <f>SUM(Z104:Z105)</f>
        <v>0</v>
      </c>
      <c r="AA106" s="412"/>
      <c r="AB106" s="413"/>
      <c r="AC106" s="413"/>
      <c r="AD106" s="414">
        <f>SUM(AD104:AD105)</f>
        <v>0</v>
      </c>
      <c r="AE106" s="414">
        <f>SUM(AE104:AE105)</f>
        <v>0</v>
      </c>
      <c r="AF106" s="414">
        <f>SUM(AF104:AF105)</f>
        <v>0</v>
      </c>
      <c r="AG106" s="412"/>
      <c r="AH106" s="413"/>
      <c r="AI106" s="413"/>
      <c r="AJ106" s="414">
        <f t="shared" ref="AJ106:AO106" si="311">SUM(AJ104:AJ105)</f>
        <v>0</v>
      </c>
      <c r="AK106" s="414">
        <f t="shared" si="311"/>
        <v>0</v>
      </c>
      <c r="AL106" s="414">
        <f t="shared" si="311"/>
        <v>0</v>
      </c>
      <c r="AM106" s="469">
        <f t="shared" si="311"/>
        <v>50000</v>
      </c>
      <c r="AN106" s="561">
        <f t="shared" si="311"/>
        <v>0</v>
      </c>
      <c r="AO106" s="469">
        <f t="shared" si="311"/>
        <v>50000</v>
      </c>
    </row>
    <row r="107" spans="1:41" x14ac:dyDescent="0.45">
      <c r="A107" s="470"/>
      <c r="B107" s="470"/>
      <c r="C107" s="470"/>
      <c r="D107" s="470"/>
      <c r="E107" s="470"/>
      <c r="F107" s="470"/>
      <c r="G107" s="470"/>
      <c r="H107" s="416"/>
      <c r="I107" s="417"/>
      <c r="J107" s="417"/>
      <c r="K107" s="417"/>
      <c r="L107" s="418"/>
      <c r="M107" s="419"/>
      <c r="N107" s="420"/>
      <c r="O107" s="416"/>
      <c r="P107" s="417"/>
      <c r="Q107" s="417"/>
      <c r="R107" s="418"/>
      <c r="S107" s="419"/>
      <c r="T107" s="420"/>
      <c r="U107" s="416"/>
      <c r="V107" s="417"/>
      <c r="W107" s="417"/>
      <c r="X107" s="418"/>
      <c r="Y107" s="419"/>
      <c r="Z107" s="420"/>
      <c r="AA107" s="416"/>
      <c r="AB107" s="417"/>
      <c r="AC107" s="417"/>
      <c r="AD107" s="418"/>
      <c r="AE107" s="419"/>
      <c r="AF107" s="420"/>
      <c r="AG107" s="416"/>
      <c r="AH107" s="417"/>
      <c r="AI107" s="417"/>
      <c r="AJ107" s="418"/>
      <c r="AK107" s="419"/>
      <c r="AL107" s="419"/>
      <c r="AM107" s="421"/>
      <c r="AN107" s="419"/>
      <c r="AO107" s="421"/>
    </row>
    <row r="108" spans="1:41" x14ac:dyDescent="0.45">
      <c r="A108" s="422"/>
      <c r="B108" s="422"/>
      <c r="C108" s="422"/>
      <c r="D108" s="422"/>
      <c r="E108" s="422"/>
      <c r="F108" s="422"/>
      <c r="G108" s="422" t="s">
        <v>434</v>
      </c>
      <c r="H108" s="423"/>
      <c r="I108" s="424"/>
      <c r="J108" s="424"/>
      <c r="K108" s="424"/>
      <c r="L108" s="425"/>
      <c r="M108" s="426"/>
      <c r="N108" s="427"/>
      <c r="O108" s="423"/>
      <c r="P108" s="424"/>
      <c r="Q108" s="424"/>
      <c r="R108" s="425"/>
      <c r="S108" s="426"/>
      <c r="T108" s="427"/>
      <c r="U108" s="423"/>
      <c r="V108" s="424"/>
      <c r="W108" s="424"/>
      <c r="X108" s="425"/>
      <c r="Y108" s="426"/>
      <c r="Z108" s="427"/>
      <c r="AA108" s="423"/>
      <c r="AB108" s="424"/>
      <c r="AC108" s="424"/>
      <c r="AD108" s="425"/>
      <c r="AE108" s="426"/>
      <c r="AF108" s="427"/>
      <c r="AG108" s="423"/>
      <c r="AH108" s="424"/>
      <c r="AI108" s="424"/>
      <c r="AJ108" s="425"/>
      <c r="AK108" s="426"/>
      <c r="AL108" s="426"/>
      <c r="AM108" s="428"/>
      <c r="AN108" s="426"/>
      <c r="AO108" s="428"/>
    </row>
    <row r="109" spans="1:41" x14ac:dyDescent="0.45">
      <c r="A109" s="390"/>
      <c r="B109" s="390"/>
      <c r="C109" s="390"/>
      <c r="D109" s="390"/>
      <c r="E109" s="390"/>
      <c r="F109" s="390"/>
      <c r="G109" s="390"/>
      <c r="H109" s="461"/>
      <c r="I109" s="460"/>
      <c r="J109" s="460"/>
      <c r="K109" s="460"/>
      <c r="L109" s="432"/>
      <c r="M109" s="431"/>
      <c r="N109" s="443"/>
      <c r="O109" s="461"/>
      <c r="P109" s="460"/>
      <c r="Q109" s="460"/>
      <c r="R109" s="432"/>
      <c r="S109" s="431"/>
      <c r="T109" s="443"/>
      <c r="U109" s="461"/>
      <c r="V109" s="460"/>
      <c r="W109" s="460"/>
      <c r="X109" s="432"/>
      <c r="Y109" s="431"/>
      <c r="Z109" s="443"/>
      <c r="AA109" s="461"/>
      <c r="AB109" s="460"/>
      <c r="AC109" s="460"/>
      <c r="AD109" s="432"/>
      <c r="AE109" s="431"/>
      <c r="AF109" s="443"/>
      <c r="AG109" s="461"/>
      <c r="AH109" s="460"/>
      <c r="AI109" s="460"/>
      <c r="AJ109" s="432"/>
      <c r="AK109" s="431"/>
      <c r="AL109" s="431"/>
      <c r="AM109" s="402"/>
      <c r="AN109" s="431"/>
      <c r="AO109" s="433"/>
    </row>
    <row r="110" spans="1:41" x14ac:dyDescent="0.45">
      <c r="A110" s="444"/>
      <c r="B110" s="444"/>
      <c r="C110" s="444"/>
      <c r="D110" s="444"/>
      <c r="E110" s="444"/>
      <c r="F110" s="444"/>
      <c r="G110" s="444" t="s">
        <v>193</v>
      </c>
      <c r="H110" s="391"/>
      <c r="I110" s="510"/>
      <c r="J110" s="510"/>
      <c r="K110" s="510"/>
      <c r="L110" s="400"/>
      <c r="M110" s="359"/>
      <c r="N110" s="401"/>
      <c r="O110" s="391"/>
      <c r="P110" s="359"/>
      <c r="Q110" s="365"/>
      <c r="R110" s="400"/>
      <c r="S110" s="359"/>
      <c r="T110" s="401"/>
      <c r="U110" s="400"/>
      <c r="V110" s="359"/>
      <c r="W110" s="510"/>
      <c r="X110" s="400"/>
      <c r="Y110" s="359"/>
      <c r="Z110" s="401"/>
      <c r="AA110" s="400"/>
      <c r="AB110" s="359"/>
      <c r="AC110" s="510"/>
      <c r="AD110" s="400"/>
      <c r="AE110" s="359"/>
      <c r="AF110" s="401"/>
      <c r="AG110" s="400"/>
      <c r="AH110" s="359"/>
      <c r="AI110" s="510"/>
      <c r="AJ110" s="400"/>
      <c r="AK110" s="359"/>
      <c r="AL110" s="359"/>
      <c r="AM110" s="402"/>
      <c r="AN110" s="359"/>
      <c r="AO110" s="402"/>
    </row>
    <row r="111" spans="1:41" x14ac:dyDescent="0.45">
      <c r="A111" s="1" t="s">
        <v>210</v>
      </c>
      <c r="B111" s="710">
        <v>89050</v>
      </c>
      <c r="C111" s="258" t="s">
        <v>65</v>
      </c>
      <c r="D111" s="258" t="s">
        <v>65</v>
      </c>
      <c r="E111" s="1" t="s">
        <v>211</v>
      </c>
      <c r="F111" s="82" t="s">
        <v>653</v>
      </c>
      <c r="G111" s="258" t="s">
        <v>654</v>
      </c>
      <c r="H111" s="446">
        <v>31</v>
      </c>
      <c r="I111" s="38">
        <f>Supplies!B31</f>
        <v>1204.99</v>
      </c>
      <c r="J111" s="365">
        <v>1</v>
      </c>
      <c r="K111" s="1" t="s">
        <v>183</v>
      </c>
      <c r="L111" s="400">
        <f>J111*I111*H111</f>
        <v>37354.69</v>
      </c>
      <c r="M111" s="359">
        <v>0</v>
      </c>
      <c r="N111" s="401">
        <f>SUM(L111:M111)</f>
        <v>37354.69</v>
      </c>
      <c r="O111" s="446">
        <v>0</v>
      </c>
      <c r="P111" s="359">
        <f>I111*$H$6</f>
        <v>1241.1396999999999</v>
      </c>
      <c r="Q111" s="365">
        <v>1</v>
      </c>
      <c r="R111" s="400">
        <f>O111*P111*Q111</f>
        <v>0</v>
      </c>
      <c r="S111" s="359">
        <v>0</v>
      </c>
      <c r="T111" s="401">
        <f>SUM(R111:S111)</f>
        <v>0</v>
      </c>
      <c r="U111" s="591">
        <v>0</v>
      </c>
      <c r="V111" s="359">
        <f>I111*$H$6*$H$6</f>
        <v>1278.373891</v>
      </c>
      <c r="W111" s="365">
        <v>1</v>
      </c>
      <c r="X111" s="400">
        <f>W111*V111*U111</f>
        <v>0</v>
      </c>
      <c r="Y111" s="359">
        <v>0</v>
      </c>
      <c r="Z111" s="401">
        <f>SUM(X111:Y111)</f>
        <v>0</v>
      </c>
      <c r="AA111" s="591">
        <v>0</v>
      </c>
      <c r="AB111" s="359">
        <f>I111*$H$6*$H$6*$H$6</f>
        <v>1316.72510773</v>
      </c>
      <c r="AC111" s="365">
        <v>1</v>
      </c>
      <c r="AD111" s="400">
        <f>AC111*AB111*AA111</f>
        <v>0</v>
      </c>
      <c r="AE111" s="359">
        <v>0</v>
      </c>
      <c r="AF111" s="401">
        <f>SUM(AD111:AE111)</f>
        <v>0</v>
      </c>
      <c r="AG111" s="591">
        <v>0</v>
      </c>
      <c r="AH111" s="359">
        <f>I111*$H$6*$H$6*$H$6*$H$6</f>
        <v>1356.2268609619</v>
      </c>
      <c r="AI111" s="365">
        <v>1</v>
      </c>
      <c r="AJ111" s="400">
        <f>AI111*AH111*AG111</f>
        <v>0</v>
      </c>
      <c r="AK111" s="359">
        <v>0</v>
      </c>
      <c r="AL111" s="359">
        <f>SUM(AJ111:AK111)</f>
        <v>0</v>
      </c>
      <c r="AM111" s="402">
        <f>L111+R111+X111+AD111+AJ111</f>
        <v>37354.69</v>
      </c>
      <c r="AN111" s="359">
        <f>M111+S111+Y111+AE111+AK111</f>
        <v>0</v>
      </c>
      <c r="AO111" s="402">
        <f>SUM(AM111:AN111)</f>
        <v>37354.69</v>
      </c>
    </row>
    <row r="112" spans="1:41" s="1" customFormat="1" x14ac:dyDescent="0.45">
      <c r="A112" s="1" t="s">
        <v>210</v>
      </c>
      <c r="B112" s="710">
        <v>89050</v>
      </c>
      <c r="C112" s="258" t="s">
        <v>65</v>
      </c>
      <c r="D112" s="258" t="s">
        <v>65</v>
      </c>
      <c r="E112" s="1" t="s">
        <v>211</v>
      </c>
      <c r="F112" s="82" t="s">
        <v>655</v>
      </c>
      <c r="G112" s="258" t="s">
        <v>443</v>
      </c>
      <c r="H112" s="141">
        <v>1</v>
      </c>
      <c r="I112" s="38">
        <v>750</v>
      </c>
      <c r="J112" s="572">
        <v>6</v>
      </c>
      <c r="K112" s="1" t="s">
        <v>107</v>
      </c>
      <c r="L112" s="37">
        <f>J112*I112*H112</f>
        <v>4500</v>
      </c>
      <c r="M112" s="38">
        <v>0</v>
      </c>
      <c r="N112" s="39">
        <f t="shared" ref="N112" si="312">SUM(L112:M112)</f>
        <v>4500</v>
      </c>
      <c r="O112" s="141">
        <v>1</v>
      </c>
      <c r="P112" s="359">
        <f>I112*$H$6</f>
        <v>772.5</v>
      </c>
      <c r="Q112" s="15">
        <v>12</v>
      </c>
      <c r="R112" s="37">
        <f>Q112*O112*P112</f>
        <v>9270</v>
      </c>
      <c r="S112" s="38">
        <v>0</v>
      </c>
      <c r="T112" s="39">
        <f t="shared" ref="T112" si="313">SUM(R112:S112)</f>
        <v>9270</v>
      </c>
      <c r="U112" s="37">
        <v>1</v>
      </c>
      <c r="V112" s="38">
        <f>I112*$H$6*$H$6</f>
        <v>795.67500000000007</v>
      </c>
      <c r="W112" s="15">
        <v>12</v>
      </c>
      <c r="X112" s="37">
        <f>V112*W112*U112</f>
        <v>9548.1</v>
      </c>
      <c r="Y112" s="38">
        <v>0</v>
      </c>
      <c r="Z112" s="39">
        <f t="shared" ref="Z112" si="314">SUM(X112:Y112)</f>
        <v>9548.1</v>
      </c>
      <c r="AA112" s="37">
        <v>1</v>
      </c>
      <c r="AB112" s="38">
        <f>I112*$H$6*$H$6*$H$6*0.5</f>
        <v>409.77262500000006</v>
      </c>
      <c r="AC112" s="15">
        <v>12</v>
      </c>
      <c r="AD112" s="37">
        <f>AB112*AA112*AC112</f>
        <v>4917.2715000000007</v>
      </c>
      <c r="AE112" s="38">
        <v>0</v>
      </c>
      <c r="AF112" s="39">
        <f t="shared" ref="AF112" si="315">SUM(AD112:AE112)</f>
        <v>4917.2715000000007</v>
      </c>
      <c r="AG112" s="37">
        <v>1</v>
      </c>
      <c r="AH112" s="38">
        <f>I112*$H$6*$H$6*$H$6*$H$6*0.5</f>
        <v>422.0658037500001</v>
      </c>
      <c r="AI112" s="15">
        <v>9</v>
      </c>
      <c r="AJ112" s="37">
        <f>AH112*AG112*AI112</f>
        <v>3798.592233750001</v>
      </c>
      <c r="AK112" s="38">
        <v>0</v>
      </c>
      <c r="AL112" s="38">
        <f t="shared" ref="AL112" si="316">SUM(AJ112:AK112)</f>
        <v>3798.592233750001</v>
      </c>
      <c r="AM112" s="40">
        <f t="shared" ref="AM112:AN112" si="317">L112+R112+X112+AD112+AJ112</f>
        <v>32033.963733750003</v>
      </c>
      <c r="AN112" s="38">
        <f t="shared" si="317"/>
        <v>0</v>
      </c>
      <c r="AO112" s="40">
        <f t="shared" ref="AO112" si="318">SUM(AM112:AN112)</f>
        <v>32033.963733750003</v>
      </c>
    </row>
    <row r="113" spans="1:45" x14ac:dyDescent="0.45">
      <c r="A113" s="462"/>
      <c r="B113" s="462"/>
      <c r="C113" s="447"/>
      <c r="D113" s="447"/>
      <c r="E113" s="462"/>
      <c r="F113" s="462"/>
      <c r="G113" s="462"/>
      <c r="H113" s="463"/>
      <c r="I113" s="464"/>
      <c r="J113" s="464"/>
      <c r="K113" s="464"/>
      <c r="L113" s="465"/>
      <c r="M113" s="466"/>
      <c r="N113" s="467"/>
      <c r="O113" s="463"/>
      <c r="P113" s="464"/>
      <c r="Q113" s="464"/>
      <c r="R113" s="465"/>
      <c r="S113" s="466"/>
      <c r="T113" s="467"/>
      <c r="U113" s="463"/>
      <c r="V113" s="464"/>
      <c r="W113" s="464"/>
      <c r="X113" s="465"/>
      <c r="Y113" s="466"/>
      <c r="Z113" s="467"/>
      <c r="AA113" s="463"/>
      <c r="AB113" s="464"/>
      <c r="AC113" s="464"/>
      <c r="AD113" s="465"/>
      <c r="AE113" s="466"/>
      <c r="AF113" s="467"/>
      <c r="AG113" s="463"/>
      <c r="AH113" s="464"/>
      <c r="AI113" s="464"/>
      <c r="AJ113" s="465"/>
      <c r="AK113" s="466"/>
      <c r="AL113" s="466"/>
      <c r="AM113" s="468"/>
      <c r="AN113" s="466"/>
      <c r="AO113" s="468"/>
    </row>
    <row r="114" spans="1:45" s="361" customFormat="1" ht="12.3" x14ac:dyDescent="0.4">
      <c r="A114" s="411"/>
      <c r="B114" s="411"/>
      <c r="C114" s="411"/>
      <c r="D114" s="411"/>
      <c r="E114" s="411"/>
      <c r="F114" s="411"/>
      <c r="G114" s="411" t="s">
        <v>208</v>
      </c>
      <c r="H114" s="412"/>
      <c r="I114" s="413"/>
      <c r="J114" s="413"/>
      <c r="K114" s="413"/>
      <c r="L114" s="414">
        <f>SUM(L111:L112)</f>
        <v>41854.69</v>
      </c>
      <c r="M114" s="414">
        <f>SUM(M111:M112)</f>
        <v>0</v>
      </c>
      <c r="N114" s="414">
        <f>SUM(N111:N112)</f>
        <v>41854.69</v>
      </c>
      <c r="O114" s="412"/>
      <c r="P114" s="413"/>
      <c r="Q114" s="413"/>
      <c r="R114" s="414">
        <f>SUM(R111:R112)</f>
        <v>9270</v>
      </c>
      <c r="S114" s="414">
        <f>SUM(S111:S112)</f>
        <v>0</v>
      </c>
      <c r="T114" s="414">
        <f>SUM(T111:T112)</f>
        <v>9270</v>
      </c>
      <c r="U114" s="412"/>
      <c r="V114" s="413"/>
      <c r="W114" s="413"/>
      <c r="X114" s="414">
        <f>SUM(X111:X112)</f>
        <v>9548.1</v>
      </c>
      <c r="Y114" s="414">
        <f>SUM(Y111:Y112)</f>
        <v>0</v>
      </c>
      <c r="Z114" s="414">
        <f>SUM(Z111:Z112)</f>
        <v>9548.1</v>
      </c>
      <c r="AA114" s="412"/>
      <c r="AB114" s="413"/>
      <c r="AC114" s="413"/>
      <c r="AD114" s="414">
        <f>SUM(AD111:AD112)</f>
        <v>4917.2715000000007</v>
      </c>
      <c r="AE114" s="414">
        <f>SUM(AE111:AE112)</f>
        <v>0</v>
      </c>
      <c r="AF114" s="414">
        <f>SUM(AF111:AF112)</f>
        <v>4917.2715000000007</v>
      </c>
      <c r="AG114" s="412"/>
      <c r="AH114" s="413"/>
      <c r="AI114" s="413"/>
      <c r="AJ114" s="414">
        <f t="shared" ref="AJ114:AO114" si="319">SUM(AJ111:AJ112)</f>
        <v>3798.592233750001</v>
      </c>
      <c r="AK114" s="414">
        <f t="shared" si="319"/>
        <v>0</v>
      </c>
      <c r="AL114" s="414">
        <f t="shared" si="319"/>
        <v>3798.592233750001</v>
      </c>
      <c r="AM114" s="414">
        <f t="shared" si="319"/>
        <v>69388.653733750005</v>
      </c>
      <c r="AN114" s="414">
        <f t="shared" si="319"/>
        <v>0</v>
      </c>
      <c r="AO114" s="414">
        <f t="shared" si="319"/>
        <v>69388.653733750005</v>
      </c>
    </row>
    <row r="115" spans="1:45" x14ac:dyDescent="0.45">
      <c r="A115" s="470"/>
      <c r="B115" s="470"/>
      <c r="C115" s="470"/>
      <c r="D115" s="470"/>
      <c r="E115" s="470"/>
      <c r="F115" s="470"/>
      <c r="G115" s="470"/>
      <c r="H115" s="416"/>
      <c r="I115" s="417"/>
      <c r="J115" s="417"/>
      <c r="K115" s="417"/>
      <c r="L115" s="418"/>
      <c r="M115" s="419"/>
      <c r="N115" s="420"/>
      <c r="O115" s="416"/>
      <c r="P115" s="417"/>
      <c r="Q115" s="417"/>
      <c r="R115" s="418"/>
      <c r="S115" s="419"/>
      <c r="T115" s="420"/>
      <c r="U115" s="416"/>
      <c r="V115" s="417"/>
      <c r="W115" s="417"/>
      <c r="X115" s="418"/>
      <c r="Y115" s="419"/>
      <c r="Z115" s="420"/>
      <c r="AA115" s="416"/>
      <c r="AB115" s="417"/>
      <c r="AC115" s="417"/>
      <c r="AD115" s="418"/>
      <c r="AE115" s="419"/>
      <c r="AF115" s="420"/>
      <c r="AG115" s="416"/>
      <c r="AH115" s="417"/>
      <c r="AI115" s="417"/>
      <c r="AJ115" s="418"/>
      <c r="AK115" s="419"/>
      <c r="AL115" s="419"/>
      <c r="AM115" s="421"/>
      <c r="AN115" s="419"/>
      <c r="AO115" s="421"/>
    </row>
    <row r="116" spans="1:45" x14ac:dyDescent="0.45">
      <c r="A116" s="422"/>
      <c r="B116" s="422"/>
      <c r="C116" s="422"/>
      <c r="D116" s="422"/>
      <c r="E116" s="422"/>
      <c r="F116" s="422"/>
      <c r="G116" s="422" t="s">
        <v>18</v>
      </c>
      <c r="H116" s="423"/>
      <c r="I116" s="424"/>
      <c r="J116" s="424"/>
      <c r="K116" s="424"/>
      <c r="L116" s="425"/>
      <c r="M116" s="426"/>
      <c r="N116" s="427"/>
      <c r="O116" s="423"/>
      <c r="P116" s="424"/>
      <c r="Q116" s="424"/>
      <c r="R116" s="425"/>
      <c r="S116" s="426"/>
      <c r="T116" s="427"/>
      <c r="U116" s="423"/>
      <c r="V116" s="424"/>
      <c r="W116" s="424"/>
      <c r="X116" s="425"/>
      <c r="Y116" s="426"/>
      <c r="Z116" s="427"/>
      <c r="AA116" s="423"/>
      <c r="AB116" s="424"/>
      <c r="AC116" s="424"/>
      <c r="AD116" s="425"/>
      <c r="AE116" s="426"/>
      <c r="AF116" s="427"/>
      <c r="AG116" s="423"/>
      <c r="AH116" s="424"/>
      <c r="AI116" s="424"/>
      <c r="AJ116" s="425"/>
      <c r="AK116" s="426"/>
      <c r="AL116" s="426"/>
      <c r="AM116" s="428"/>
      <c r="AN116" s="426"/>
      <c r="AO116" s="428"/>
    </row>
    <row r="117" spans="1:45" x14ac:dyDescent="0.45">
      <c r="A117" s="409"/>
      <c r="B117" s="409"/>
      <c r="C117" s="409"/>
      <c r="D117" s="409"/>
      <c r="E117" s="409"/>
      <c r="F117" s="409"/>
      <c r="G117" s="409"/>
      <c r="H117" s="391"/>
      <c r="I117" s="510"/>
      <c r="J117" s="510"/>
      <c r="K117" s="510"/>
      <c r="L117" s="400"/>
      <c r="M117" s="359"/>
      <c r="N117" s="401"/>
      <c r="O117" s="391"/>
      <c r="P117" s="510"/>
      <c r="Q117" s="510"/>
      <c r="R117" s="400"/>
      <c r="S117" s="359"/>
      <c r="T117" s="401"/>
      <c r="U117" s="391"/>
      <c r="V117" s="510"/>
      <c r="W117" s="510"/>
      <c r="X117" s="400"/>
      <c r="Y117" s="359"/>
      <c r="Z117" s="401"/>
      <c r="AA117" s="391"/>
      <c r="AB117" s="510"/>
      <c r="AC117" s="510"/>
      <c r="AD117" s="400"/>
      <c r="AE117" s="359"/>
      <c r="AF117" s="401"/>
      <c r="AG117" s="391"/>
      <c r="AH117" s="510"/>
      <c r="AI117" s="510"/>
      <c r="AJ117" s="400"/>
      <c r="AK117" s="359"/>
      <c r="AL117" s="359"/>
      <c r="AM117" s="402"/>
      <c r="AN117" s="359"/>
      <c r="AO117" s="402"/>
    </row>
    <row r="118" spans="1:45" x14ac:dyDescent="0.45">
      <c r="A118" s="409"/>
      <c r="B118" s="409"/>
      <c r="C118" s="409"/>
      <c r="D118" s="409"/>
      <c r="E118" s="409"/>
      <c r="F118" s="409"/>
      <c r="G118" s="409" t="s">
        <v>209</v>
      </c>
      <c r="H118" s="435"/>
      <c r="L118" s="400"/>
      <c r="M118" s="359"/>
      <c r="N118" s="401"/>
      <c r="O118" s="435"/>
      <c r="R118" s="400"/>
      <c r="S118" s="359"/>
      <c r="T118" s="401"/>
      <c r="U118" s="435"/>
      <c r="X118" s="400"/>
      <c r="Y118" s="359"/>
      <c r="Z118" s="401"/>
      <c r="AA118" s="435"/>
      <c r="AD118" s="400"/>
      <c r="AE118" s="359"/>
      <c r="AF118" s="401"/>
      <c r="AG118" s="435"/>
      <c r="AJ118" s="400"/>
      <c r="AK118" s="359"/>
      <c r="AL118" s="359"/>
      <c r="AM118" s="402"/>
      <c r="AN118" s="359"/>
      <c r="AO118" s="402"/>
      <c r="AP118" s="471"/>
      <c r="AQ118" s="471"/>
    </row>
    <row r="119" spans="1:45" s="1" customFormat="1" x14ac:dyDescent="0.45">
      <c r="A119" s="1" t="s">
        <v>210</v>
      </c>
      <c r="B119" s="710">
        <v>89050</v>
      </c>
      <c r="C119" s="258" t="s">
        <v>65</v>
      </c>
      <c r="D119" s="258" t="s">
        <v>65</v>
      </c>
      <c r="E119" s="1" t="s">
        <v>211</v>
      </c>
      <c r="F119" s="82" t="s">
        <v>656</v>
      </c>
      <c r="G119" s="65" t="s">
        <v>445</v>
      </c>
      <c r="H119" s="140">
        <v>1</v>
      </c>
      <c r="I119" s="38">
        <v>300000</v>
      </c>
      <c r="J119" s="1">
        <v>1</v>
      </c>
      <c r="K119" s="1" t="s">
        <v>183</v>
      </c>
      <c r="L119" s="37">
        <v>300000</v>
      </c>
      <c r="M119" s="38">
        <v>0</v>
      </c>
      <c r="N119" s="39">
        <f>SUM(L119:M119)</f>
        <v>300000</v>
      </c>
      <c r="O119" s="140">
        <v>1</v>
      </c>
      <c r="P119" s="38">
        <v>675000</v>
      </c>
      <c r="Q119" s="1">
        <v>1</v>
      </c>
      <c r="R119" s="37">
        <f>P119*O119</f>
        <v>675000</v>
      </c>
      <c r="S119" s="38">
        <v>0</v>
      </c>
      <c r="T119" s="39">
        <f>SUM(R119:S119)</f>
        <v>675000</v>
      </c>
      <c r="U119" s="140">
        <v>1</v>
      </c>
      <c r="V119" s="38">
        <f>P119</f>
        <v>675000</v>
      </c>
      <c r="W119" s="1">
        <v>1</v>
      </c>
      <c r="X119" s="37">
        <f>U119*V119</f>
        <v>675000</v>
      </c>
      <c r="Y119" s="38">
        <v>0</v>
      </c>
      <c r="Z119" s="39">
        <f>SUM(X119:Y119)</f>
        <v>675000</v>
      </c>
      <c r="AA119" s="140">
        <v>1</v>
      </c>
      <c r="AB119" s="38">
        <f>P119</f>
        <v>675000</v>
      </c>
      <c r="AC119" s="1">
        <v>1</v>
      </c>
      <c r="AD119" s="37">
        <f>AB119*AA119*AC119</f>
        <v>675000</v>
      </c>
      <c r="AE119" s="38">
        <v>0</v>
      </c>
      <c r="AF119" s="39">
        <f>SUM(AD119:AE119)</f>
        <v>675000</v>
      </c>
      <c r="AG119" s="140">
        <v>1</v>
      </c>
      <c r="AH119" s="38">
        <f>P119</f>
        <v>675000</v>
      </c>
      <c r="AI119" s="1">
        <v>1</v>
      </c>
      <c r="AJ119" s="37">
        <f>AH119*AG119*AI119</f>
        <v>675000</v>
      </c>
      <c r="AK119" s="38">
        <v>0</v>
      </c>
      <c r="AL119" s="38">
        <f>SUM(AJ119:AK119)</f>
        <v>675000</v>
      </c>
      <c r="AM119" s="40">
        <f t="shared" ref="AM119:AN119" si="320">L119+R119+X119+AD119+AJ119</f>
        <v>3000000</v>
      </c>
      <c r="AN119" s="38">
        <f t="shared" si="320"/>
        <v>0</v>
      </c>
      <c r="AO119" s="40">
        <f t="shared" ref="AO119" si="321">SUM(AM119:AN119)</f>
        <v>3000000</v>
      </c>
      <c r="AP119" s="613"/>
      <c r="AR119" s="91"/>
      <c r="AS119" s="91"/>
    </row>
    <row r="120" spans="1:45" s="10" customFormat="1" ht="12.3" x14ac:dyDescent="0.4">
      <c r="A120" s="75"/>
      <c r="B120" s="75"/>
      <c r="C120" s="75"/>
      <c r="D120" s="75"/>
      <c r="E120" s="75"/>
      <c r="F120" s="75"/>
      <c r="G120" s="75" t="s">
        <v>219</v>
      </c>
      <c r="H120" s="144"/>
      <c r="I120" s="129"/>
      <c r="J120" s="145"/>
      <c r="K120" s="129"/>
      <c r="L120" s="42">
        <f>SUM(L119:L119)</f>
        <v>300000</v>
      </c>
      <c r="M120" s="42">
        <f>SUM(M119:M119)</f>
        <v>0</v>
      </c>
      <c r="N120" s="42">
        <f>SUM(N119:N119)</f>
        <v>300000</v>
      </c>
      <c r="O120" s="144"/>
      <c r="P120" s="43"/>
      <c r="Q120" s="129"/>
      <c r="R120" s="42">
        <f>SUM(R119:R119)</f>
        <v>675000</v>
      </c>
      <c r="S120" s="42">
        <f>SUM(S119:S119)</f>
        <v>0</v>
      </c>
      <c r="T120" s="42">
        <f>SUM(T119:T119)</f>
        <v>675000</v>
      </c>
      <c r="U120" s="144"/>
      <c r="V120" s="129"/>
      <c r="W120" s="129"/>
      <c r="X120" s="42">
        <f>SUM(X119:X119)</f>
        <v>675000</v>
      </c>
      <c r="Y120" s="42">
        <f>SUM(Y119:Y119)</f>
        <v>0</v>
      </c>
      <c r="Z120" s="42">
        <f>SUM(Z119:Z119)</f>
        <v>675000</v>
      </c>
      <c r="AA120" s="144"/>
      <c r="AB120" s="129"/>
      <c r="AC120" s="129"/>
      <c r="AD120" s="42">
        <f>SUM(AD119:AD119)</f>
        <v>675000</v>
      </c>
      <c r="AE120" s="42">
        <f>SUM(AE119:AE119)</f>
        <v>0</v>
      </c>
      <c r="AF120" s="42">
        <f>SUM(AF119:AF119)</f>
        <v>675000</v>
      </c>
      <c r="AG120" s="144"/>
      <c r="AH120" s="129"/>
      <c r="AI120" s="129"/>
      <c r="AJ120" s="42">
        <f>SUM(AJ119:AJ119)</f>
        <v>675000</v>
      </c>
      <c r="AK120" s="42">
        <f>SUM(AK119:AK119)</f>
        <v>0</v>
      </c>
      <c r="AL120" s="42">
        <f>SUM(AL119:AL119)</f>
        <v>675000</v>
      </c>
      <c r="AM120" s="45">
        <f>SUM(AM119)</f>
        <v>3000000</v>
      </c>
      <c r="AN120" s="43">
        <f>SUM(AN119)</f>
        <v>0</v>
      </c>
      <c r="AO120" s="45">
        <f>SUM(AO119)</f>
        <v>3000000</v>
      </c>
    </row>
    <row r="121" spans="1:45" x14ac:dyDescent="0.45">
      <c r="A121" s="409"/>
      <c r="B121" s="409"/>
      <c r="C121" s="409"/>
      <c r="D121" s="409"/>
      <c r="E121" s="409"/>
      <c r="F121" s="409"/>
      <c r="G121" s="409"/>
      <c r="H121" s="391"/>
      <c r="I121" s="510"/>
      <c r="J121" s="510"/>
      <c r="K121" s="510"/>
      <c r="L121" s="400"/>
      <c r="M121" s="359"/>
      <c r="N121" s="401"/>
      <c r="O121" s="391"/>
      <c r="P121" s="510"/>
      <c r="Q121" s="510"/>
      <c r="R121" s="400"/>
      <c r="S121" s="359"/>
      <c r="T121" s="401"/>
      <c r="U121" s="391"/>
      <c r="V121" s="510"/>
      <c r="W121" s="510"/>
      <c r="X121" s="400"/>
      <c r="Y121" s="359"/>
      <c r="Z121" s="401"/>
      <c r="AA121" s="391"/>
      <c r="AB121" s="510"/>
      <c r="AC121" s="510"/>
      <c r="AD121" s="400"/>
      <c r="AE121" s="359"/>
      <c r="AF121" s="401"/>
      <c r="AG121" s="391"/>
      <c r="AH121" s="510"/>
      <c r="AI121" s="510"/>
      <c r="AJ121" s="400"/>
      <c r="AK121" s="359"/>
      <c r="AL121" s="359"/>
      <c r="AM121" s="402"/>
      <c r="AN121" s="359"/>
      <c r="AO121" s="402"/>
    </row>
    <row r="122" spans="1:45" x14ac:dyDescent="0.45">
      <c r="A122" s="409"/>
      <c r="B122" s="409"/>
      <c r="C122" s="409"/>
      <c r="D122" s="409"/>
      <c r="E122" s="409"/>
      <c r="F122" s="409"/>
      <c r="G122" s="409" t="s">
        <v>220</v>
      </c>
      <c r="H122" s="435"/>
      <c r="L122" s="400"/>
      <c r="M122" s="359"/>
      <c r="N122" s="401"/>
      <c r="O122" s="435"/>
      <c r="R122" s="400"/>
      <c r="S122" s="359"/>
      <c r="T122" s="401"/>
      <c r="U122" s="435"/>
      <c r="X122" s="400"/>
      <c r="Y122" s="359"/>
      <c r="Z122" s="401"/>
      <c r="AA122" s="435"/>
      <c r="AD122" s="400"/>
      <c r="AE122" s="359"/>
      <c r="AF122" s="401"/>
      <c r="AG122" s="435"/>
      <c r="AJ122" s="400"/>
      <c r="AK122" s="359"/>
      <c r="AL122" s="359"/>
      <c r="AM122" s="402"/>
      <c r="AN122" s="359"/>
      <c r="AO122" s="402"/>
      <c r="AP122" s="471"/>
      <c r="AQ122" s="471"/>
    </row>
    <row r="123" spans="1:45" x14ac:dyDescent="0.45">
      <c r="A123" s="1" t="s">
        <v>210</v>
      </c>
      <c r="B123" s="710">
        <v>89050</v>
      </c>
      <c r="C123" s="258" t="s">
        <v>65</v>
      </c>
      <c r="D123" s="258" t="s">
        <v>65</v>
      </c>
      <c r="E123" s="1" t="s">
        <v>211</v>
      </c>
      <c r="F123" s="82" t="s">
        <v>657</v>
      </c>
      <c r="G123" s="472" t="s">
        <v>658</v>
      </c>
      <c r="H123" s="435">
        <v>0</v>
      </c>
      <c r="I123" s="365">
        <v>685</v>
      </c>
      <c r="J123" s="354">
        <v>0</v>
      </c>
      <c r="K123" s="354" t="s">
        <v>107</v>
      </c>
      <c r="L123" s="400">
        <f t="shared" ref="L123:L124" si="322">J123*I123*H123</f>
        <v>0</v>
      </c>
      <c r="M123" s="359">
        <v>0</v>
      </c>
      <c r="N123" s="359">
        <f>SUM(L123:M123)</f>
        <v>0</v>
      </c>
      <c r="O123" s="435">
        <v>13</v>
      </c>
      <c r="P123" s="365">
        <f t="shared" ref="P123:P124" si="323">I123</f>
        <v>685</v>
      </c>
      <c r="Q123" s="354">
        <v>5</v>
      </c>
      <c r="R123" s="400">
        <f t="shared" ref="R123:R124" si="324">Q123*P123*O123</f>
        <v>44525</v>
      </c>
      <c r="S123" s="359">
        <v>0</v>
      </c>
      <c r="T123" s="401">
        <f t="shared" ref="T123:T124" si="325">SUM(R123:S123)</f>
        <v>44525</v>
      </c>
      <c r="U123" s="435">
        <v>0</v>
      </c>
      <c r="V123" s="365">
        <f t="shared" ref="V123:V124" si="326">I123</f>
        <v>685</v>
      </c>
      <c r="W123" s="354">
        <v>0</v>
      </c>
      <c r="X123" s="400">
        <f t="shared" ref="X123:X124" si="327">W123*V123*U123</f>
        <v>0</v>
      </c>
      <c r="Y123" s="359">
        <v>0</v>
      </c>
      <c r="Z123" s="401">
        <f>SUM(X123:Y123)</f>
        <v>0</v>
      </c>
      <c r="AA123" s="435">
        <v>0</v>
      </c>
      <c r="AB123" s="365">
        <f t="shared" ref="AB123:AB124" si="328">I123</f>
        <v>685</v>
      </c>
      <c r="AC123" s="354">
        <v>0</v>
      </c>
      <c r="AD123" s="400">
        <v>0</v>
      </c>
      <c r="AE123" s="359">
        <v>0</v>
      </c>
      <c r="AF123" s="401">
        <f t="shared" ref="AF123" si="329">SUM(AD123:AE123)</f>
        <v>0</v>
      </c>
      <c r="AG123" s="435">
        <v>0</v>
      </c>
      <c r="AH123" s="365">
        <f t="shared" ref="AH123:AH124" si="330">I123</f>
        <v>685</v>
      </c>
      <c r="AI123" s="354">
        <v>0</v>
      </c>
      <c r="AJ123" s="400">
        <v>0</v>
      </c>
      <c r="AK123" s="359">
        <v>0</v>
      </c>
      <c r="AL123" s="359">
        <f t="shared" ref="AL123:AL124" si="331">SUM(AJ123:AK123)</f>
        <v>0</v>
      </c>
      <c r="AM123" s="402">
        <f t="shared" ref="AM123:AM124" si="332">L123+R123+X123+AD123+AJ123</f>
        <v>44525</v>
      </c>
      <c r="AN123" s="359">
        <f>M123+S123+Y123+AE123+AK123</f>
        <v>0</v>
      </c>
      <c r="AO123" s="402">
        <f t="shared" ref="AO123:AO124" si="333">SUM(AM123:AN123)</f>
        <v>44525</v>
      </c>
      <c r="AP123" s="471"/>
      <c r="AQ123" s="471"/>
    </row>
    <row r="124" spans="1:45" x14ac:dyDescent="0.45">
      <c r="A124" s="1" t="s">
        <v>210</v>
      </c>
      <c r="B124" s="710">
        <v>89050</v>
      </c>
      <c r="C124" s="258" t="s">
        <v>65</v>
      </c>
      <c r="D124" s="258" t="s">
        <v>65</v>
      </c>
      <c r="E124" s="1" t="s">
        <v>211</v>
      </c>
      <c r="F124" s="82" t="s">
        <v>659</v>
      </c>
      <c r="G124" s="472" t="s">
        <v>660</v>
      </c>
      <c r="H124" s="435">
        <v>0</v>
      </c>
      <c r="I124" s="365">
        <v>685</v>
      </c>
      <c r="J124" s="354">
        <v>0</v>
      </c>
      <c r="K124" s="354" t="s">
        <v>107</v>
      </c>
      <c r="L124" s="400">
        <f t="shared" si="322"/>
        <v>0</v>
      </c>
      <c r="M124" s="359">
        <v>0</v>
      </c>
      <c r="N124" s="359">
        <f>SUM(L124:M124)</f>
        <v>0</v>
      </c>
      <c r="O124" s="435">
        <v>12</v>
      </c>
      <c r="P124" s="365">
        <f t="shared" si="323"/>
        <v>685</v>
      </c>
      <c r="Q124" s="354">
        <v>4</v>
      </c>
      <c r="R124" s="400">
        <f t="shared" si="324"/>
        <v>32880</v>
      </c>
      <c r="S124" s="359">
        <v>0</v>
      </c>
      <c r="T124" s="359">
        <f t="shared" si="325"/>
        <v>32880</v>
      </c>
      <c r="U124" s="435">
        <v>0</v>
      </c>
      <c r="V124" s="365">
        <f t="shared" si="326"/>
        <v>685</v>
      </c>
      <c r="W124" s="354">
        <v>0</v>
      </c>
      <c r="X124" s="400">
        <f t="shared" si="327"/>
        <v>0</v>
      </c>
      <c r="Y124" s="359">
        <v>0</v>
      </c>
      <c r="Z124" s="401">
        <f>SUM(X124:Y124)</f>
        <v>0</v>
      </c>
      <c r="AA124" s="435">
        <v>0</v>
      </c>
      <c r="AB124" s="365">
        <f t="shared" si="328"/>
        <v>685</v>
      </c>
      <c r="AC124" s="354">
        <v>0</v>
      </c>
      <c r="AD124" s="400">
        <v>0</v>
      </c>
      <c r="AE124" s="359">
        <v>0</v>
      </c>
      <c r="AF124" s="401">
        <f>SUM(AD124:AE124)</f>
        <v>0</v>
      </c>
      <c r="AG124" s="435">
        <v>0</v>
      </c>
      <c r="AH124" s="365">
        <f t="shared" si="330"/>
        <v>685</v>
      </c>
      <c r="AI124" s="354">
        <v>0</v>
      </c>
      <c r="AJ124" s="400">
        <v>0</v>
      </c>
      <c r="AK124" s="359">
        <v>0</v>
      </c>
      <c r="AL124" s="359">
        <f t="shared" si="331"/>
        <v>0</v>
      </c>
      <c r="AM124" s="402">
        <f t="shared" si="332"/>
        <v>32880</v>
      </c>
      <c r="AN124" s="359">
        <f>M124+S124+Y124+AE124+AK124</f>
        <v>0</v>
      </c>
      <c r="AO124" s="402">
        <f t="shared" si="333"/>
        <v>32880</v>
      </c>
      <c r="AP124" s="471"/>
      <c r="AQ124" s="471"/>
    </row>
    <row r="125" spans="1:45" s="10" customFormat="1" x14ac:dyDescent="0.45">
      <c r="A125" s="75"/>
      <c r="B125" s="75"/>
      <c r="C125" s="75"/>
      <c r="D125" s="75"/>
      <c r="E125" s="75"/>
      <c r="F125" s="75"/>
      <c r="G125" s="75" t="s">
        <v>224</v>
      </c>
      <c r="H125" s="145"/>
      <c r="I125" s="129"/>
      <c r="J125" s="145"/>
      <c r="K125" s="129"/>
      <c r="L125" s="42">
        <f>SUM(L122:L124)</f>
        <v>0</v>
      </c>
      <c r="M125" s="42">
        <f>SUM(M122:M124)</f>
        <v>0</v>
      </c>
      <c r="N125" s="44">
        <f>SUM(N122:N124)</f>
        <v>0</v>
      </c>
      <c r="O125" s="145"/>
      <c r="P125" s="43"/>
      <c r="Q125" s="129"/>
      <c r="R125" s="42">
        <f>SUM(R122:R124)</f>
        <v>77405</v>
      </c>
      <c r="S125" s="42">
        <f>SUM(S122:S124)</f>
        <v>0</v>
      </c>
      <c r="T125" s="44">
        <f>SUM(T122:T124)</f>
        <v>77405</v>
      </c>
      <c r="U125" s="145"/>
      <c r="V125" s="129"/>
      <c r="W125" s="129"/>
      <c r="X125" s="42">
        <f>SUM(X122:X124)</f>
        <v>0</v>
      </c>
      <c r="Y125" s="42">
        <f>SUM(Y122:Y124)</f>
        <v>0</v>
      </c>
      <c r="Z125" s="44">
        <f>SUM(Z122:Z124)</f>
        <v>0</v>
      </c>
      <c r="AA125" s="145"/>
      <c r="AB125" s="129"/>
      <c r="AC125" s="129"/>
      <c r="AD125" s="42">
        <f>SUM(AD122:AD124)</f>
        <v>0</v>
      </c>
      <c r="AE125" s="42">
        <f>SUM(AE122:AE124)</f>
        <v>0</v>
      </c>
      <c r="AF125" s="44">
        <f>SUM(AF122:AF124)</f>
        <v>0</v>
      </c>
      <c r="AG125" s="145"/>
      <c r="AH125" s="129"/>
      <c r="AI125" s="129"/>
      <c r="AJ125" s="42">
        <f t="shared" ref="AJ125:AO125" si="334">SUM(AJ122:AJ124)</f>
        <v>0</v>
      </c>
      <c r="AK125" s="42">
        <f t="shared" si="334"/>
        <v>0</v>
      </c>
      <c r="AL125" s="44">
        <f t="shared" si="334"/>
        <v>0</v>
      </c>
      <c r="AM125" s="42">
        <f t="shared" si="334"/>
        <v>77405</v>
      </c>
      <c r="AN125" s="248">
        <f t="shared" si="334"/>
        <v>0</v>
      </c>
      <c r="AO125" s="45">
        <f t="shared" si="334"/>
        <v>77405</v>
      </c>
      <c r="AP125" s="1"/>
    </row>
    <row r="126" spans="1:45" s="10" customFormat="1" x14ac:dyDescent="0.45">
      <c r="A126" s="75"/>
      <c r="B126" s="75"/>
      <c r="C126" s="75"/>
      <c r="D126" s="75"/>
      <c r="E126" s="75"/>
      <c r="F126" s="75"/>
      <c r="G126" s="75"/>
      <c r="H126" s="145"/>
      <c r="I126" s="129"/>
      <c r="J126" s="145"/>
      <c r="K126" s="129"/>
      <c r="L126" s="42"/>
      <c r="M126" s="43"/>
      <c r="N126" s="44"/>
      <c r="O126" s="145"/>
      <c r="P126" s="43"/>
      <c r="Q126" s="129"/>
      <c r="R126" s="42"/>
      <c r="S126" s="43"/>
      <c r="T126" s="44"/>
      <c r="U126" s="145"/>
      <c r="V126" s="129"/>
      <c r="W126" s="129"/>
      <c r="X126" s="42"/>
      <c r="Y126" s="43"/>
      <c r="Z126" s="44"/>
      <c r="AA126" s="145"/>
      <c r="AB126" s="129"/>
      <c r="AC126" s="129"/>
      <c r="AD126" s="42"/>
      <c r="AE126" s="43"/>
      <c r="AF126" s="44"/>
      <c r="AG126" s="145"/>
      <c r="AH126" s="129"/>
      <c r="AI126" s="129"/>
      <c r="AJ126" s="42"/>
      <c r="AK126" s="43"/>
      <c r="AL126" s="43"/>
      <c r="AM126" s="402"/>
      <c r="AN126" s="43"/>
      <c r="AO126" s="45"/>
      <c r="AP126" s="1"/>
    </row>
    <row r="127" spans="1:45" s="1" customFormat="1" x14ac:dyDescent="0.45">
      <c r="A127" s="47"/>
      <c r="B127" s="47"/>
      <c r="C127" s="47"/>
      <c r="D127" s="47"/>
      <c r="E127" s="47"/>
      <c r="F127" s="47"/>
      <c r="G127" s="47" t="s">
        <v>225</v>
      </c>
      <c r="H127" s="140"/>
      <c r="L127" s="37"/>
      <c r="M127" s="38"/>
      <c r="N127" s="39"/>
      <c r="O127" s="140"/>
      <c r="R127" s="37"/>
      <c r="S127" s="38"/>
      <c r="T127" s="39"/>
      <c r="U127" s="140"/>
      <c r="X127" s="37"/>
      <c r="Y127" s="38"/>
      <c r="Z127" s="39"/>
      <c r="AA127" s="140"/>
      <c r="AD127" s="37"/>
      <c r="AE127" s="38"/>
      <c r="AF127" s="39"/>
      <c r="AG127" s="140"/>
      <c r="AJ127" s="37"/>
      <c r="AK127" s="38"/>
      <c r="AL127" s="38"/>
      <c r="AM127" s="40"/>
      <c r="AN127" s="38"/>
      <c r="AO127" s="40"/>
      <c r="AQ127" s="91"/>
      <c r="AR127" s="91"/>
      <c r="AS127" s="91"/>
    </row>
    <row r="128" spans="1:45" s="1" customFormat="1" x14ac:dyDescent="0.45">
      <c r="A128" s="1" t="s">
        <v>210</v>
      </c>
      <c r="B128" s="710">
        <v>89050</v>
      </c>
      <c r="C128" s="258" t="s">
        <v>65</v>
      </c>
      <c r="D128" s="258" t="s">
        <v>65</v>
      </c>
      <c r="E128" s="1" t="s">
        <v>211</v>
      </c>
      <c r="F128" s="82" t="s">
        <v>661</v>
      </c>
      <c r="G128" s="65" t="s">
        <v>229</v>
      </c>
      <c r="H128" s="140">
        <v>1</v>
      </c>
      <c r="I128" s="15">
        <v>700</v>
      </c>
      <c r="J128" s="1">
        <v>6</v>
      </c>
      <c r="K128" s="1" t="s">
        <v>107</v>
      </c>
      <c r="L128" s="37">
        <f>J128*I128*H128</f>
        <v>4200</v>
      </c>
      <c r="M128" s="38">
        <v>0</v>
      </c>
      <c r="N128" s="39">
        <f>SUM(L128:M128)</f>
        <v>4200</v>
      </c>
      <c r="O128" s="140">
        <v>1</v>
      </c>
      <c r="P128" s="38">
        <f>I128</f>
        <v>700</v>
      </c>
      <c r="Q128" s="1">
        <v>12</v>
      </c>
      <c r="R128" s="37">
        <f>Q128*P128*O128</f>
        <v>8400</v>
      </c>
      <c r="S128" s="38">
        <v>0</v>
      </c>
      <c r="T128" s="39">
        <f>SUM(R128:S128)</f>
        <v>8400</v>
      </c>
      <c r="U128" s="140">
        <v>1</v>
      </c>
      <c r="V128" s="38">
        <f>I128</f>
        <v>700</v>
      </c>
      <c r="W128" s="1">
        <v>12</v>
      </c>
      <c r="X128" s="37">
        <f>W128*V128*U128</f>
        <v>8400</v>
      </c>
      <c r="Y128" s="38">
        <v>0</v>
      </c>
      <c r="Z128" s="39">
        <f>SUM(X128:Y128)</f>
        <v>8400</v>
      </c>
      <c r="AA128" s="140">
        <v>1</v>
      </c>
      <c r="AB128" s="38">
        <f>I128</f>
        <v>700</v>
      </c>
      <c r="AC128" s="1">
        <v>12</v>
      </c>
      <c r="AD128" s="37">
        <f>AC128*AB128*AA128</f>
        <v>8400</v>
      </c>
      <c r="AE128" s="38">
        <v>0</v>
      </c>
      <c r="AF128" s="39">
        <f>SUM(AD128:AE128)</f>
        <v>8400</v>
      </c>
      <c r="AG128" s="140">
        <v>1</v>
      </c>
      <c r="AH128" s="38">
        <f>I128</f>
        <v>700</v>
      </c>
      <c r="AI128" s="1">
        <v>9</v>
      </c>
      <c r="AJ128" s="37">
        <f>AI128*AG128*AH128</f>
        <v>6300</v>
      </c>
      <c r="AK128" s="38">
        <v>0</v>
      </c>
      <c r="AL128" s="38">
        <f>SUM(AJ128:AK128)</f>
        <v>6300</v>
      </c>
      <c r="AM128" s="40">
        <f t="shared" ref="AM128:AN128" si="335">L128+R128+X128+AD128+AJ128</f>
        <v>35700</v>
      </c>
      <c r="AN128" s="38">
        <f t="shared" si="335"/>
        <v>0</v>
      </c>
      <c r="AO128" s="40">
        <f t="shared" ref="AO128" si="336">SUM(AM128:AN128)</f>
        <v>35700</v>
      </c>
      <c r="AQ128" s="91"/>
      <c r="AR128" s="91"/>
      <c r="AS128" s="91"/>
    </row>
    <row r="129" spans="1:43" s="10" customFormat="1" ht="12.3" x14ac:dyDescent="0.4">
      <c r="A129" s="75"/>
      <c r="B129" s="75"/>
      <c r="C129" s="75"/>
      <c r="D129" s="75"/>
      <c r="E129" s="75"/>
      <c r="F129" s="75"/>
      <c r="G129" s="75" t="s">
        <v>230</v>
      </c>
      <c r="H129" s="144"/>
      <c r="I129" s="129"/>
      <c r="J129" s="145"/>
      <c r="K129" s="129"/>
      <c r="L129" s="42">
        <f>SUM(L128:L128)</f>
        <v>4200</v>
      </c>
      <c r="M129" s="42">
        <f>SUM(M128:M128)</f>
        <v>0</v>
      </c>
      <c r="N129" s="42">
        <f>SUM(N128:N128)</f>
        <v>4200</v>
      </c>
      <c r="O129" s="144"/>
      <c r="P129" s="43"/>
      <c r="Q129" s="129"/>
      <c r="R129" s="42">
        <f>SUM(R128:R128)</f>
        <v>8400</v>
      </c>
      <c r="S129" s="42">
        <f>SUM(S128:S128)</f>
        <v>0</v>
      </c>
      <c r="T129" s="42">
        <f>SUM(T128:T128)</f>
        <v>8400</v>
      </c>
      <c r="U129" s="144"/>
      <c r="V129" s="129"/>
      <c r="W129" s="129"/>
      <c r="X129" s="42">
        <f>SUM(X128:X128)</f>
        <v>8400</v>
      </c>
      <c r="Y129" s="42">
        <f>SUM(Y128:Y128)</f>
        <v>0</v>
      </c>
      <c r="Z129" s="42">
        <f>SUM(Z128:Z128)</f>
        <v>8400</v>
      </c>
      <c r="AA129" s="144"/>
      <c r="AB129" s="129"/>
      <c r="AC129" s="129"/>
      <c r="AD129" s="42">
        <f>SUM(AD128:AD128)</f>
        <v>8400</v>
      </c>
      <c r="AE129" s="42">
        <f>SUM(AE128:AE128)</f>
        <v>0</v>
      </c>
      <c r="AF129" s="42">
        <f>SUM(AF128:AF128)</f>
        <v>8400</v>
      </c>
      <c r="AG129" s="144"/>
      <c r="AH129" s="129"/>
      <c r="AI129" s="129"/>
      <c r="AJ129" s="42">
        <f>SUM(AJ128:AJ128)</f>
        <v>6300</v>
      </c>
      <c r="AK129" s="42">
        <f>SUM(AK128:AK128)</f>
        <v>0</v>
      </c>
      <c r="AL129" s="42">
        <f>SUM(AL128:AL128)</f>
        <v>6300</v>
      </c>
      <c r="AM129" s="45">
        <f>SUM(AM127:AM128)</f>
        <v>35700</v>
      </c>
      <c r="AN129" s="43">
        <f>SUM(AN127:AN128)</f>
        <v>0</v>
      </c>
      <c r="AO129" s="45">
        <f>SUM(AO127:AO128)</f>
        <v>35700</v>
      </c>
    </row>
    <row r="130" spans="1:43" x14ac:dyDescent="0.45">
      <c r="A130" s="436"/>
      <c r="B130" s="436"/>
      <c r="C130" s="436"/>
      <c r="D130" s="436"/>
      <c r="E130" s="436"/>
      <c r="F130" s="436"/>
      <c r="G130" s="436"/>
      <c r="H130" s="437"/>
      <c r="I130" s="438"/>
      <c r="J130" s="438"/>
      <c r="K130" s="438"/>
      <c r="L130" s="465"/>
      <c r="M130" s="466"/>
      <c r="N130" s="467"/>
      <c r="O130" s="437"/>
      <c r="P130" s="438"/>
      <c r="Q130" s="438"/>
      <c r="R130" s="465"/>
      <c r="S130" s="466"/>
      <c r="T130" s="467"/>
      <c r="U130" s="437"/>
      <c r="V130" s="438"/>
      <c r="W130" s="438"/>
      <c r="X130" s="465"/>
      <c r="Y130" s="466"/>
      <c r="Z130" s="467"/>
      <c r="AA130" s="437"/>
      <c r="AB130" s="438"/>
      <c r="AC130" s="438"/>
      <c r="AD130" s="465"/>
      <c r="AE130" s="466"/>
      <c r="AF130" s="467"/>
      <c r="AG130" s="437"/>
      <c r="AH130" s="438"/>
      <c r="AI130" s="438"/>
      <c r="AJ130" s="465"/>
      <c r="AK130" s="466"/>
      <c r="AL130" s="466"/>
      <c r="AM130" s="468"/>
      <c r="AN130" s="466"/>
      <c r="AO130" s="402"/>
      <c r="AP130" s="471"/>
    </row>
    <row r="131" spans="1:43" s="361" customFormat="1" x14ac:dyDescent="0.45">
      <c r="A131" s="473"/>
      <c r="B131" s="473"/>
      <c r="C131" s="473"/>
      <c r="D131" s="473"/>
      <c r="E131" s="473"/>
      <c r="F131" s="473"/>
      <c r="G131" s="473" t="s">
        <v>245</v>
      </c>
      <c r="H131" s="474"/>
      <c r="I131" s="475"/>
      <c r="J131" s="475"/>
      <c r="K131" s="475"/>
      <c r="L131" s="414">
        <f>L129+L125+L120</f>
        <v>304200</v>
      </c>
      <c r="M131" s="414">
        <f>M129+M125+M120</f>
        <v>0</v>
      </c>
      <c r="N131" s="414">
        <f>N129+N125+N120</f>
        <v>304200</v>
      </c>
      <c r="O131" s="474"/>
      <c r="P131" s="475"/>
      <c r="Q131" s="475"/>
      <c r="R131" s="414">
        <f>R129+R125+R120</f>
        <v>760805</v>
      </c>
      <c r="S131" s="414">
        <f>S129+S125+S120</f>
        <v>0</v>
      </c>
      <c r="T131" s="414">
        <f>T129+T125+T120</f>
        <v>760805</v>
      </c>
      <c r="U131" s="474"/>
      <c r="V131" s="475"/>
      <c r="W131" s="475"/>
      <c r="X131" s="414">
        <f>X129+X125+X120</f>
        <v>683400</v>
      </c>
      <c r="Y131" s="414">
        <f>Y129+Y125+Y120</f>
        <v>0</v>
      </c>
      <c r="Z131" s="414">
        <f>Z129+Z125+Z120</f>
        <v>683400</v>
      </c>
      <c r="AA131" s="474"/>
      <c r="AB131" s="475"/>
      <c r="AC131" s="475"/>
      <c r="AD131" s="414">
        <f>AD129+AD125+AD120</f>
        <v>683400</v>
      </c>
      <c r="AE131" s="414">
        <f>AE129+AE125+AE120</f>
        <v>0</v>
      </c>
      <c r="AF131" s="414">
        <f>AF129+AF125+AF120</f>
        <v>683400</v>
      </c>
      <c r="AG131" s="474"/>
      <c r="AH131" s="475"/>
      <c r="AI131" s="475"/>
      <c r="AJ131" s="414">
        <f t="shared" ref="AJ131:AO131" si="337">AJ129+AJ125+AJ120</f>
        <v>681300</v>
      </c>
      <c r="AK131" s="414">
        <f t="shared" si="337"/>
        <v>0</v>
      </c>
      <c r="AL131" s="414">
        <f t="shared" si="337"/>
        <v>681300</v>
      </c>
      <c r="AM131" s="414">
        <f t="shared" si="337"/>
        <v>3113105</v>
      </c>
      <c r="AN131" s="414">
        <f t="shared" si="337"/>
        <v>0</v>
      </c>
      <c r="AO131" s="682">
        <f t="shared" si="337"/>
        <v>3113105</v>
      </c>
      <c r="AP131" s="354"/>
    </row>
    <row r="132" spans="1:43" s="361" customFormat="1" ht="12.3" x14ac:dyDescent="0.4">
      <c r="A132" s="476"/>
      <c r="B132" s="476"/>
      <c r="C132" s="476"/>
      <c r="D132" s="476"/>
      <c r="E132" s="476"/>
      <c r="F132" s="476"/>
      <c r="G132" s="476"/>
      <c r="H132" s="477"/>
      <c r="I132" s="478"/>
      <c r="J132" s="478"/>
      <c r="K132" s="478"/>
      <c r="L132" s="479"/>
      <c r="M132" s="480"/>
      <c r="N132" s="481"/>
      <c r="O132" s="477"/>
      <c r="P132" s="478"/>
      <c r="Q132" s="478"/>
      <c r="R132" s="479"/>
      <c r="S132" s="480"/>
      <c r="T132" s="481"/>
      <c r="U132" s="477"/>
      <c r="V132" s="478"/>
      <c r="W132" s="478"/>
      <c r="X132" s="479"/>
      <c r="Y132" s="480"/>
      <c r="Z132" s="481"/>
      <c r="AA132" s="477"/>
      <c r="AB132" s="478"/>
      <c r="AC132" s="478"/>
      <c r="AD132" s="479"/>
      <c r="AE132" s="480"/>
      <c r="AF132" s="481"/>
      <c r="AG132" s="477"/>
      <c r="AH132" s="478"/>
      <c r="AI132" s="478"/>
      <c r="AJ132" s="479"/>
      <c r="AK132" s="480"/>
      <c r="AL132" s="480"/>
      <c r="AM132" s="482"/>
      <c r="AN132" s="480"/>
      <c r="AO132" s="482"/>
    </row>
    <row r="133" spans="1:43" x14ac:dyDescent="0.45">
      <c r="A133" s="483"/>
      <c r="B133" s="483"/>
      <c r="C133" s="483"/>
      <c r="D133" s="483"/>
      <c r="E133" s="483"/>
      <c r="F133" s="483"/>
      <c r="G133" s="483" t="s">
        <v>19</v>
      </c>
      <c r="H133" s="484"/>
      <c r="I133" s="485"/>
      <c r="J133" s="485"/>
      <c r="K133" s="485"/>
      <c r="L133" s="425"/>
      <c r="M133" s="426"/>
      <c r="N133" s="427"/>
      <c r="O133" s="484"/>
      <c r="P133" s="485"/>
      <c r="Q133" s="485"/>
      <c r="R133" s="425"/>
      <c r="S133" s="426"/>
      <c r="T133" s="427"/>
      <c r="U133" s="484"/>
      <c r="V133" s="485"/>
      <c r="W133" s="485"/>
      <c r="X133" s="425"/>
      <c r="Y133" s="426"/>
      <c r="Z133" s="427"/>
      <c r="AA133" s="484"/>
      <c r="AB133" s="485"/>
      <c r="AC133" s="485"/>
      <c r="AD133" s="425"/>
      <c r="AE133" s="426"/>
      <c r="AF133" s="427"/>
      <c r="AG133" s="484"/>
      <c r="AH133" s="485"/>
      <c r="AI133" s="485"/>
      <c r="AJ133" s="425"/>
      <c r="AK133" s="426"/>
      <c r="AL133" s="426"/>
      <c r="AM133" s="428"/>
      <c r="AN133" s="426"/>
      <c r="AO133" s="428"/>
    </row>
    <row r="134" spans="1:43" x14ac:dyDescent="0.45">
      <c r="A134" s="390"/>
      <c r="B134" s="390"/>
      <c r="C134" s="390"/>
      <c r="D134" s="390"/>
      <c r="E134" s="390"/>
      <c r="F134" s="390"/>
      <c r="G134" s="390"/>
      <c r="H134" s="461"/>
      <c r="I134" s="460"/>
      <c r="J134" s="460"/>
      <c r="K134" s="460"/>
      <c r="L134" s="432"/>
      <c r="M134" s="431"/>
      <c r="N134" s="443"/>
      <c r="O134" s="461"/>
      <c r="P134" s="460"/>
      <c r="Q134" s="460"/>
      <c r="R134" s="432"/>
      <c r="S134" s="431"/>
      <c r="T134" s="443"/>
      <c r="U134" s="461"/>
      <c r="V134" s="460"/>
      <c r="W134" s="460"/>
      <c r="X134" s="432"/>
      <c r="Y134" s="431"/>
      <c r="Z134" s="443"/>
      <c r="AA134" s="461"/>
      <c r="AB134" s="460"/>
      <c r="AC134" s="460"/>
      <c r="AD134" s="432"/>
      <c r="AE134" s="431"/>
      <c r="AF134" s="443"/>
      <c r="AG134" s="461"/>
      <c r="AH134" s="460"/>
      <c r="AI134" s="460"/>
      <c r="AJ134" s="432"/>
      <c r="AK134" s="431"/>
      <c r="AL134" s="431"/>
      <c r="AM134" s="433"/>
      <c r="AN134" s="431"/>
      <c r="AO134" s="433"/>
    </row>
    <row r="135" spans="1:43" x14ac:dyDescent="0.45">
      <c r="A135" s="409"/>
      <c r="B135" s="409"/>
      <c r="C135" s="409"/>
      <c r="D135" s="409"/>
      <c r="E135" s="409"/>
      <c r="F135" s="409"/>
      <c r="G135" s="409" t="s">
        <v>259</v>
      </c>
      <c r="H135" s="435"/>
      <c r="I135" s="365"/>
      <c r="L135" s="400"/>
      <c r="M135" s="359"/>
      <c r="N135" s="401"/>
      <c r="O135" s="435"/>
      <c r="R135" s="400"/>
      <c r="S135" s="359"/>
      <c r="T135" s="401"/>
      <c r="U135" s="435"/>
      <c r="X135" s="400"/>
      <c r="Y135" s="359"/>
      <c r="Z135" s="401"/>
      <c r="AA135" s="435"/>
      <c r="AD135" s="400"/>
      <c r="AE135" s="359"/>
      <c r="AF135" s="401"/>
      <c r="AG135" s="435"/>
      <c r="AJ135" s="400"/>
      <c r="AK135" s="359"/>
      <c r="AL135" s="359"/>
      <c r="AM135" s="402"/>
      <c r="AN135" s="359"/>
      <c r="AO135" s="402"/>
      <c r="AP135" s="471"/>
      <c r="AQ135" s="471"/>
    </row>
    <row r="136" spans="1:43" x14ac:dyDescent="0.45">
      <c r="A136" s="1" t="s">
        <v>210</v>
      </c>
      <c r="B136" s="710">
        <v>89050</v>
      </c>
      <c r="C136" s="258" t="s">
        <v>65</v>
      </c>
      <c r="D136" s="258" t="s">
        <v>65</v>
      </c>
      <c r="E136" s="1" t="s">
        <v>211</v>
      </c>
      <c r="F136" s="140" t="s">
        <v>662</v>
      </c>
      <c r="G136" s="434" t="s">
        <v>460</v>
      </c>
      <c r="H136" s="446">
        <v>1</v>
      </c>
      <c r="I136" s="365">
        <v>2500</v>
      </c>
      <c r="J136" s="365">
        <v>1</v>
      </c>
      <c r="K136" s="587" t="s">
        <v>249</v>
      </c>
      <c r="L136" s="400">
        <f>J136*I136*H136</f>
        <v>2500</v>
      </c>
      <c r="M136" s="359">
        <v>0</v>
      </c>
      <c r="N136" s="401">
        <f t="shared" ref="N136" si="338">SUM(L136:M136)</f>
        <v>2500</v>
      </c>
      <c r="O136" s="446">
        <v>1</v>
      </c>
      <c r="P136" s="359">
        <f>I136*$H$6</f>
        <v>2575</v>
      </c>
      <c r="Q136" s="365">
        <v>1</v>
      </c>
      <c r="R136" s="400">
        <f>O136*P136*Q136</f>
        <v>2575</v>
      </c>
      <c r="S136" s="359">
        <v>0</v>
      </c>
      <c r="T136" s="401">
        <f t="shared" ref="T136" si="339">SUM(R136:S136)</f>
        <v>2575</v>
      </c>
      <c r="U136" s="446">
        <v>1</v>
      </c>
      <c r="V136" s="359">
        <f>I136*$H$6*$H$6</f>
        <v>2652.25</v>
      </c>
      <c r="W136" s="365">
        <v>1</v>
      </c>
      <c r="X136" s="400">
        <f>W136*V136*U136</f>
        <v>2652.25</v>
      </c>
      <c r="Y136" s="359">
        <v>0</v>
      </c>
      <c r="Z136" s="401">
        <f t="shared" ref="Z136" si="340">SUM(X136:Y136)</f>
        <v>2652.25</v>
      </c>
      <c r="AA136" s="446">
        <v>1</v>
      </c>
      <c r="AB136" s="359">
        <f>I136*$H$6*$H$6*$H$6</f>
        <v>2731.8175000000001</v>
      </c>
      <c r="AC136" s="365">
        <v>1</v>
      </c>
      <c r="AD136" s="400">
        <f>AC136*AB136*AA136</f>
        <v>2731.8175000000001</v>
      </c>
      <c r="AE136" s="359">
        <v>0</v>
      </c>
      <c r="AF136" s="401">
        <f t="shared" ref="AF136" si="341">SUM(AD136:AE136)</f>
        <v>2731.8175000000001</v>
      </c>
      <c r="AG136" s="446">
        <v>1</v>
      </c>
      <c r="AH136" s="359">
        <f>I136*$H$6*$H$6*$H$6*$H$6</f>
        <v>2813.7720250000002</v>
      </c>
      <c r="AI136" s="365">
        <v>1</v>
      </c>
      <c r="AJ136" s="400">
        <f>AI136*AH136*AG136</f>
        <v>2813.7720250000002</v>
      </c>
      <c r="AK136" s="359">
        <v>0</v>
      </c>
      <c r="AL136" s="359">
        <f t="shared" ref="AL136" si="342">SUM(AJ136:AK136)</f>
        <v>2813.7720250000002</v>
      </c>
      <c r="AM136" s="402">
        <f>L136+R136+X136+AD136+AJ136</f>
        <v>13272.839525000001</v>
      </c>
      <c r="AN136" s="359">
        <f t="shared" ref="AN136:AN144" si="343">M136+S136+Y136+AE136+AK136</f>
        <v>0</v>
      </c>
      <c r="AO136" s="402">
        <f t="shared" ref="AO136:AO144" si="344">SUM(AM136:AN136)</f>
        <v>13272.839525000001</v>
      </c>
    </row>
    <row r="137" spans="1:43" s="1" customFormat="1" x14ac:dyDescent="0.45">
      <c r="A137" s="1" t="s">
        <v>210</v>
      </c>
      <c r="B137" s="710">
        <v>89050</v>
      </c>
      <c r="C137" s="258" t="s">
        <v>65</v>
      </c>
      <c r="D137" s="258" t="s">
        <v>65</v>
      </c>
      <c r="E137" s="1" t="s">
        <v>211</v>
      </c>
      <c r="F137" s="140" t="s">
        <v>663</v>
      </c>
      <c r="G137" s="65" t="s">
        <v>462</v>
      </c>
      <c r="H137" s="141">
        <v>1</v>
      </c>
      <c r="I137" s="15">
        <v>2000</v>
      </c>
      <c r="J137" s="15">
        <v>1</v>
      </c>
      <c r="K137" s="131" t="s">
        <v>249</v>
      </c>
      <c r="L137" s="37">
        <f>J137*I137*H137</f>
        <v>2000</v>
      </c>
      <c r="M137" s="38">
        <v>0</v>
      </c>
      <c r="N137" s="39">
        <f>SUM(L137:M137)</f>
        <v>2000</v>
      </c>
      <c r="O137" s="141">
        <v>1</v>
      </c>
      <c r="P137" s="38">
        <f>I137*$H$6</f>
        <v>2060</v>
      </c>
      <c r="Q137" s="15">
        <v>1</v>
      </c>
      <c r="R137" s="37">
        <f>O137*P137*Q137</f>
        <v>2060</v>
      </c>
      <c r="S137" s="38">
        <v>0</v>
      </c>
      <c r="T137" s="39">
        <f>SUM(R137:S137)</f>
        <v>2060</v>
      </c>
      <c r="U137" s="141">
        <v>1</v>
      </c>
      <c r="V137" s="38">
        <f>I137*$H$6*$H$6</f>
        <v>2121.8000000000002</v>
      </c>
      <c r="W137" s="15">
        <v>1</v>
      </c>
      <c r="X137" s="37">
        <f>U137*V137*W137</f>
        <v>2121.8000000000002</v>
      </c>
      <c r="Y137" s="38">
        <v>0</v>
      </c>
      <c r="Z137" s="39">
        <f>SUM(X137:Y137)</f>
        <v>2121.8000000000002</v>
      </c>
      <c r="AA137" s="141">
        <v>1</v>
      </c>
      <c r="AB137" s="38">
        <f>I137*$H$6*$H$6*$H$6</f>
        <v>2185.4540000000002</v>
      </c>
      <c r="AC137" s="15">
        <v>1</v>
      </c>
      <c r="AD137" s="37">
        <f t="shared" ref="AD137" si="345">AA137*AB137*AC137</f>
        <v>2185.4540000000002</v>
      </c>
      <c r="AE137" s="38">
        <v>0</v>
      </c>
      <c r="AF137" s="39">
        <f t="shared" ref="AF137:AF139" si="346">SUM(AD137:AE137)</f>
        <v>2185.4540000000002</v>
      </c>
      <c r="AG137" s="141">
        <v>1</v>
      </c>
      <c r="AH137" s="38">
        <f>I137*$H$6*$H$6*$H$6*$H$6</f>
        <v>2251.0176200000001</v>
      </c>
      <c r="AI137" s="15">
        <v>1</v>
      </c>
      <c r="AJ137" s="37">
        <f t="shared" ref="AJ137" si="347">AG137*AH137*AI137</f>
        <v>2251.0176200000001</v>
      </c>
      <c r="AK137" s="38">
        <v>0</v>
      </c>
      <c r="AL137" s="39">
        <f>SUM(AJ137:AK137)</f>
        <v>2251.0176200000001</v>
      </c>
      <c r="AM137" s="270">
        <f>L137+R137+X137+AD137+AJ137</f>
        <v>10618.271620000001</v>
      </c>
      <c r="AN137" s="270">
        <f t="shared" si="343"/>
        <v>0</v>
      </c>
      <c r="AO137" s="40">
        <f>SUM(AM137:AN137)</f>
        <v>10618.271620000001</v>
      </c>
    </row>
    <row r="138" spans="1:43" x14ac:dyDescent="0.45">
      <c r="A138" s="1" t="s">
        <v>210</v>
      </c>
      <c r="B138" s="710">
        <v>89050</v>
      </c>
      <c r="C138" s="258" t="s">
        <v>65</v>
      </c>
      <c r="D138" s="258" t="s">
        <v>65</v>
      </c>
      <c r="E138" s="1" t="s">
        <v>211</v>
      </c>
      <c r="F138" s="140" t="s">
        <v>664</v>
      </c>
      <c r="G138" s="434" t="s">
        <v>464</v>
      </c>
      <c r="H138" s="446">
        <v>1</v>
      </c>
      <c r="I138" s="365">
        <v>25</v>
      </c>
      <c r="J138" s="365">
        <v>6</v>
      </c>
      <c r="K138" s="587" t="s">
        <v>107</v>
      </c>
      <c r="L138" s="400">
        <f t="shared" ref="L138" si="348">J138*I138*H138</f>
        <v>150</v>
      </c>
      <c r="M138" s="359">
        <v>0</v>
      </c>
      <c r="N138" s="401">
        <f t="shared" ref="N138:N139" si="349">SUM(L138:M138)</f>
        <v>150</v>
      </c>
      <c r="O138" s="446">
        <v>1</v>
      </c>
      <c r="P138" s="359">
        <f t="shared" ref="P138:P139" si="350">I138*$H$6</f>
        <v>25.75</v>
      </c>
      <c r="Q138" s="365">
        <v>12</v>
      </c>
      <c r="R138" s="400">
        <f t="shared" ref="R138:R139" si="351">O138*P138*Q138</f>
        <v>309</v>
      </c>
      <c r="S138" s="359">
        <v>0</v>
      </c>
      <c r="T138" s="401">
        <f t="shared" ref="T138:T139" si="352">SUM(R138:S138)</f>
        <v>309</v>
      </c>
      <c r="U138" s="446">
        <v>1</v>
      </c>
      <c r="V138" s="359">
        <f t="shared" ref="V138:V143" si="353">I138*$H$6*$H$6</f>
        <v>26.522500000000001</v>
      </c>
      <c r="W138" s="365">
        <v>12</v>
      </c>
      <c r="X138" s="400">
        <f t="shared" ref="X138:X139" si="354">W138*V138*U138</f>
        <v>318.27</v>
      </c>
      <c r="Y138" s="359">
        <v>0</v>
      </c>
      <c r="Z138" s="401">
        <f t="shared" ref="Z138:Z139" si="355">SUM(X138:Y138)</f>
        <v>318.27</v>
      </c>
      <c r="AA138" s="446">
        <v>1</v>
      </c>
      <c r="AB138" s="359">
        <f t="shared" ref="AB138:AB143" si="356">I138*$H$6*$H$6*$H$6</f>
        <v>27.318175</v>
      </c>
      <c r="AC138" s="365">
        <v>12</v>
      </c>
      <c r="AD138" s="400">
        <f t="shared" ref="AD138:AD139" si="357">AC138*AB138*AA138</f>
        <v>327.81810000000002</v>
      </c>
      <c r="AE138" s="359">
        <v>0</v>
      </c>
      <c r="AF138" s="401">
        <f t="shared" si="346"/>
        <v>327.81810000000002</v>
      </c>
      <c r="AG138" s="446">
        <v>1</v>
      </c>
      <c r="AH138" s="359">
        <f t="shared" ref="AH138:AH143" si="358">I138*$H$6*$H$6*$H$6*$H$6</f>
        <v>28.137720250000001</v>
      </c>
      <c r="AI138" s="365">
        <v>9</v>
      </c>
      <c r="AJ138" s="400">
        <f t="shared" ref="AJ138:AJ139" si="359">AI138*AH138*AG138</f>
        <v>253.23948225000001</v>
      </c>
      <c r="AK138" s="359">
        <v>0</v>
      </c>
      <c r="AL138" s="359">
        <f t="shared" ref="AL138:AL139" si="360">SUM(AJ138:AK138)</f>
        <v>253.23948225000001</v>
      </c>
      <c r="AM138" s="402">
        <f t="shared" ref="AM138:AM139" si="361">L138+R138+X138+AD138+AJ138</f>
        <v>1358.32758225</v>
      </c>
      <c r="AN138" s="359">
        <f t="shared" ref="AN138:AN139" si="362">M138+S138+Y138+AE138+AK138</f>
        <v>0</v>
      </c>
      <c r="AO138" s="402">
        <f t="shared" ref="AO138:AO139" si="363">SUM(AM138:AN138)</f>
        <v>1358.32758225</v>
      </c>
    </row>
    <row r="139" spans="1:43" x14ac:dyDescent="0.45">
      <c r="A139" s="1" t="s">
        <v>210</v>
      </c>
      <c r="B139" s="710">
        <v>89050</v>
      </c>
      <c r="C139" s="258" t="s">
        <v>65</v>
      </c>
      <c r="D139" s="258" t="s">
        <v>65</v>
      </c>
      <c r="E139" s="1" t="s">
        <v>211</v>
      </c>
      <c r="F139" s="140" t="s">
        <v>665</v>
      </c>
      <c r="G139" s="434" t="s">
        <v>466</v>
      </c>
      <c r="H139" s="446">
        <v>1</v>
      </c>
      <c r="I139" s="365">
        <v>500</v>
      </c>
      <c r="J139" s="365">
        <v>6</v>
      </c>
      <c r="K139" s="587" t="s">
        <v>107</v>
      </c>
      <c r="L139" s="400">
        <f>J139*I139*H139</f>
        <v>3000</v>
      </c>
      <c r="M139" s="359">
        <v>0</v>
      </c>
      <c r="N139" s="401">
        <f t="shared" si="349"/>
        <v>3000</v>
      </c>
      <c r="O139" s="446">
        <v>1</v>
      </c>
      <c r="P139" s="359">
        <f t="shared" si="350"/>
        <v>515</v>
      </c>
      <c r="Q139" s="365">
        <v>12</v>
      </c>
      <c r="R139" s="400">
        <f t="shared" si="351"/>
        <v>6180</v>
      </c>
      <c r="S139" s="359">
        <v>0</v>
      </c>
      <c r="T139" s="401">
        <f t="shared" si="352"/>
        <v>6180</v>
      </c>
      <c r="U139" s="446">
        <v>1</v>
      </c>
      <c r="V139" s="359">
        <f t="shared" si="353"/>
        <v>530.45000000000005</v>
      </c>
      <c r="W139" s="365">
        <v>12</v>
      </c>
      <c r="X139" s="400">
        <f t="shared" si="354"/>
        <v>6365.4000000000005</v>
      </c>
      <c r="Y139" s="359">
        <v>0</v>
      </c>
      <c r="Z139" s="401">
        <f t="shared" si="355"/>
        <v>6365.4000000000005</v>
      </c>
      <c r="AA139" s="446">
        <v>1</v>
      </c>
      <c r="AB139" s="359">
        <f t="shared" si="356"/>
        <v>546.36350000000004</v>
      </c>
      <c r="AC139" s="365">
        <v>12</v>
      </c>
      <c r="AD139" s="400">
        <f t="shared" si="357"/>
        <v>6556.362000000001</v>
      </c>
      <c r="AE139" s="359">
        <v>0</v>
      </c>
      <c r="AF139" s="401">
        <f t="shared" si="346"/>
        <v>6556.362000000001</v>
      </c>
      <c r="AG139" s="446">
        <v>1</v>
      </c>
      <c r="AH139" s="359">
        <f t="shared" si="358"/>
        <v>562.75440500000002</v>
      </c>
      <c r="AI139" s="365">
        <v>9</v>
      </c>
      <c r="AJ139" s="400">
        <f t="shared" si="359"/>
        <v>5064.7896449999998</v>
      </c>
      <c r="AK139" s="359">
        <v>0</v>
      </c>
      <c r="AL139" s="359">
        <f t="shared" si="360"/>
        <v>5064.7896449999998</v>
      </c>
      <c r="AM139" s="402">
        <f t="shared" si="361"/>
        <v>27166.551645000003</v>
      </c>
      <c r="AN139" s="359">
        <f t="shared" si="362"/>
        <v>0</v>
      </c>
      <c r="AO139" s="402">
        <f t="shared" si="363"/>
        <v>27166.551645000003</v>
      </c>
    </row>
    <row r="140" spans="1:43" s="1" customFormat="1" x14ac:dyDescent="0.45">
      <c r="A140" s="1" t="s">
        <v>210</v>
      </c>
      <c r="B140" s="710">
        <v>89050</v>
      </c>
      <c r="C140" s="258" t="s">
        <v>65</v>
      </c>
      <c r="D140" s="258" t="s">
        <v>65</v>
      </c>
      <c r="E140" s="1" t="s">
        <v>211</v>
      </c>
      <c r="F140" s="140" t="s">
        <v>666</v>
      </c>
      <c r="G140" s="65" t="s">
        <v>468</v>
      </c>
      <c r="H140" s="141">
        <v>1</v>
      </c>
      <c r="I140" s="15">
        <v>300</v>
      </c>
      <c r="J140" s="15">
        <v>6</v>
      </c>
      <c r="K140" s="522" t="s">
        <v>107</v>
      </c>
      <c r="L140" s="37">
        <f t="shared" ref="L140" si="364">J140*I140*H140</f>
        <v>1800</v>
      </c>
      <c r="M140" s="38">
        <v>0</v>
      </c>
      <c r="N140" s="39">
        <f t="shared" ref="N140" si="365">SUM(L140:M140)</f>
        <v>1800</v>
      </c>
      <c r="O140" s="141">
        <v>1</v>
      </c>
      <c r="P140" s="38">
        <f>I140*$H$7</f>
        <v>312</v>
      </c>
      <c r="Q140" s="15">
        <v>12</v>
      </c>
      <c r="R140" s="37">
        <f>O140*P140*Q140</f>
        <v>3744</v>
      </c>
      <c r="S140" s="38">
        <v>0</v>
      </c>
      <c r="T140" s="39">
        <f t="shared" ref="T140" si="366">SUM(R140:S140)</f>
        <v>3744</v>
      </c>
      <c r="U140" s="141">
        <v>1</v>
      </c>
      <c r="V140" s="359">
        <f t="shared" si="353"/>
        <v>318.27</v>
      </c>
      <c r="W140" s="15">
        <v>12</v>
      </c>
      <c r="X140" s="37">
        <f t="shared" ref="X140" si="367">W140*V140*U140</f>
        <v>3819.24</v>
      </c>
      <c r="Y140" s="38">
        <v>0</v>
      </c>
      <c r="Z140" s="39">
        <f t="shared" ref="Z140" si="368">SUM(X140:Y140)</f>
        <v>3819.24</v>
      </c>
      <c r="AA140" s="141">
        <v>1</v>
      </c>
      <c r="AB140" s="359">
        <f t="shared" si="356"/>
        <v>327.81810000000002</v>
      </c>
      <c r="AC140" s="15">
        <v>12</v>
      </c>
      <c r="AD140" s="37">
        <f t="shared" ref="AD140" si="369">AC140*AB140*AA140</f>
        <v>3933.8172000000004</v>
      </c>
      <c r="AE140" s="38">
        <v>0</v>
      </c>
      <c r="AF140" s="39">
        <f t="shared" ref="AF140" si="370">SUM(AD140:AE140)</f>
        <v>3933.8172000000004</v>
      </c>
      <c r="AG140" s="141">
        <v>1</v>
      </c>
      <c r="AH140" s="359">
        <f t="shared" si="358"/>
        <v>337.65264300000001</v>
      </c>
      <c r="AI140" s="15">
        <v>9</v>
      </c>
      <c r="AJ140" s="37">
        <f t="shared" ref="AJ140" si="371">AI140*AH140*AG140</f>
        <v>3038.873787</v>
      </c>
      <c r="AK140" s="38">
        <v>0</v>
      </c>
      <c r="AL140" s="38">
        <f t="shared" ref="AL140" si="372">SUM(AJ140:AK140)</f>
        <v>3038.873787</v>
      </c>
      <c r="AM140" s="40">
        <f t="shared" ref="AM140:AM144" si="373">L140+R140+X140+AD140+AJ140</f>
        <v>16335.930987</v>
      </c>
      <c r="AN140" s="359">
        <f t="shared" si="343"/>
        <v>0</v>
      </c>
      <c r="AO140" s="402">
        <f t="shared" si="344"/>
        <v>16335.930987</v>
      </c>
    </row>
    <row r="141" spans="1:43" x14ac:dyDescent="0.45">
      <c r="A141" s="1" t="s">
        <v>210</v>
      </c>
      <c r="B141" s="710">
        <v>89050</v>
      </c>
      <c r="C141" s="258" t="s">
        <v>65</v>
      </c>
      <c r="D141" s="258" t="s">
        <v>65</v>
      </c>
      <c r="E141" s="1" t="s">
        <v>211</v>
      </c>
      <c r="F141" s="82" t="s">
        <v>667</v>
      </c>
      <c r="G141" s="434" t="s">
        <v>668</v>
      </c>
      <c r="H141" s="446">
        <v>1</v>
      </c>
      <c r="I141" s="365">
        <v>34</v>
      </c>
      <c r="J141" s="365">
        <f>12*20</f>
        <v>240</v>
      </c>
      <c r="K141" s="587" t="s">
        <v>669</v>
      </c>
      <c r="L141" s="400">
        <f>H141*I141*J141*0%</f>
        <v>0</v>
      </c>
      <c r="M141" s="359">
        <f>H141*I141*J141</f>
        <v>8160</v>
      </c>
      <c r="N141" s="401">
        <f>L141+M141</f>
        <v>8160</v>
      </c>
      <c r="O141" s="141">
        <v>1</v>
      </c>
      <c r="P141" s="38">
        <f t="shared" ref="P141:P143" si="374">I141*$H$7</f>
        <v>35.36</v>
      </c>
      <c r="Q141" s="365">
        <f>J141</f>
        <v>240</v>
      </c>
      <c r="R141" s="400">
        <f>O141*P141*Q141*0%</f>
        <v>0</v>
      </c>
      <c r="S141" s="359">
        <f>O141*P141*Q141</f>
        <v>8486.4</v>
      </c>
      <c r="T141" s="401">
        <f>R141+S141</f>
        <v>8486.4</v>
      </c>
      <c r="U141" s="141">
        <v>1</v>
      </c>
      <c r="V141" s="359">
        <f t="shared" si="353"/>
        <v>36.070600000000006</v>
      </c>
      <c r="W141" s="365">
        <f>Q141</f>
        <v>240</v>
      </c>
      <c r="X141" s="400">
        <f>U141*V141*W141*0%</f>
        <v>0</v>
      </c>
      <c r="Y141" s="359">
        <f>U141*V141*W141</f>
        <v>8656.9440000000013</v>
      </c>
      <c r="Z141" s="401">
        <f>X141+Y141</f>
        <v>8656.9440000000013</v>
      </c>
      <c r="AA141" s="141">
        <v>1</v>
      </c>
      <c r="AB141" s="359">
        <f t="shared" si="356"/>
        <v>37.152718000000007</v>
      </c>
      <c r="AC141" s="365">
        <f>W141</f>
        <v>240</v>
      </c>
      <c r="AD141" s="400">
        <f>AA141*AB141*AC141*0%</f>
        <v>0</v>
      </c>
      <c r="AE141" s="359">
        <f>AA141*AB141*AC141</f>
        <v>8916.6523200000011</v>
      </c>
      <c r="AF141" s="401">
        <f>AD141+AE141</f>
        <v>8916.6523200000011</v>
      </c>
      <c r="AG141" s="141">
        <v>1</v>
      </c>
      <c r="AH141" s="359">
        <f t="shared" si="358"/>
        <v>38.26729954000001</v>
      </c>
      <c r="AI141" s="365">
        <f>AC141</f>
        <v>240</v>
      </c>
      <c r="AJ141" s="400">
        <f>AG141*AH141*AI141*0%</f>
        <v>0</v>
      </c>
      <c r="AK141" s="359">
        <f>AG141*AH141*AI141</f>
        <v>9184.1518896000016</v>
      </c>
      <c r="AL141" s="359">
        <f>AJ141+AK141</f>
        <v>9184.1518896000016</v>
      </c>
      <c r="AM141" s="40">
        <f t="shared" si="373"/>
        <v>0</v>
      </c>
      <c r="AN141" s="359">
        <f t="shared" si="343"/>
        <v>43404.148209600011</v>
      </c>
      <c r="AO141" s="402">
        <f t="shared" si="344"/>
        <v>43404.148209600011</v>
      </c>
      <c r="AP141" s="360"/>
    </row>
    <row r="142" spans="1:43" x14ac:dyDescent="0.45">
      <c r="A142" s="1" t="s">
        <v>210</v>
      </c>
      <c r="B142" s="710">
        <v>89050</v>
      </c>
      <c r="C142" s="258" t="s">
        <v>65</v>
      </c>
      <c r="D142" s="258" t="s">
        <v>65</v>
      </c>
      <c r="E142" s="1" t="s">
        <v>211</v>
      </c>
      <c r="F142" s="82" t="s">
        <v>670</v>
      </c>
      <c r="G142" s="434" t="s">
        <v>671</v>
      </c>
      <c r="H142" s="446">
        <v>1</v>
      </c>
      <c r="I142" s="365">
        <v>1000</v>
      </c>
      <c r="J142" s="365">
        <v>10</v>
      </c>
      <c r="K142" s="587" t="s">
        <v>672</v>
      </c>
      <c r="L142" s="400">
        <f>H142*I142*J142*0%</f>
        <v>0</v>
      </c>
      <c r="M142" s="359">
        <f>H142*I142*J142</f>
        <v>10000</v>
      </c>
      <c r="N142" s="401">
        <f>L142+M142</f>
        <v>10000</v>
      </c>
      <c r="O142" s="141">
        <v>1</v>
      </c>
      <c r="P142" s="38">
        <f t="shared" si="374"/>
        <v>1040</v>
      </c>
      <c r="Q142" s="365">
        <v>12</v>
      </c>
      <c r="R142" s="400">
        <f>O142*P142*Q142*0%</f>
        <v>0</v>
      </c>
      <c r="S142" s="359">
        <f>O142*P142*Q142</f>
        <v>12480</v>
      </c>
      <c r="T142" s="401">
        <f>R142+S142</f>
        <v>12480</v>
      </c>
      <c r="U142" s="141">
        <v>1</v>
      </c>
      <c r="V142" s="359">
        <f t="shared" si="353"/>
        <v>1060.9000000000001</v>
      </c>
      <c r="W142" s="365">
        <v>12</v>
      </c>
      <c r="X142" s="400">
        <f>U142*V142*W142*0%</f>
        <v>0</v>
      </c>
      <c r="Y142" s="359">
        <f>U142*V142*W142</f>
        <v>12730.800000000001</v>
      </c>
      <c r="Z142" s="401">
        <f>X142+Y142</f>
        <v>12730.800000000001</v>
      </c>
      <c r="AA142" s="141">
        <v>1</v>
      </c>
      <c r="AB142" s="359">
        <f t="shared" si="356"/>
        <v>1092.7270000000001</v>
      </c>
      <c r="AC142" s="365">
        <v>12</v>
      </c>
      <c r="AD142" s="400">
        <f>AA142*AB142*AC142*0%</f>
        <v>0</v>
      </c>
      <c r="AE142" s="359">
        <f>AA142*AB142*AC142</f>
        <v>13112.724000000002</v>
      </c>
      <c r="AF142" s="401">
        <f>AD142+AE142</f>
        <v>13112.724000000002</v>
      </c>
      <c r="AG142" s="141">
        <v>1</v>
      </c>
      <c r="AH142" s="359">
        <f t="shared" si="358"/>
        <v>1125.50881</v>
      </c>
      <c r="AI142" s="365">
        <v>12</v>
      </c>
      <c r="AJ142" s="400">
        <f>AG142*AH142*AI142*0%</f>
        <v>0</v>
      </c>
      <c r="AK142" s="359">
        <f>AG142*AH142*AI142</f>
        <v>13506.10572</v>
      </c>
      <c r="AL142" s="359">
        <f>AJ142+AK142</f>
        <v>13506.10572</v>
      </c>
      <c r="AM142" s="40">
        <f t="shared" si="373"/>
        <v>0</v>
      </c>
      <c r="AN142" s="359">
        <f t="shared" si="343"/>
        <v>61829.629720000004</v>
      </c>
      <c r="AO142" s="402">
        <f t="shared" si="344"/>
        <v>61829.629720000004</v>
      </c>
      <c r="AP142" s="360"/>
    </row>
    <row r="143" spans="1:43" x14ac:dyDescent="0.45">
      <c r="A143" s="1" t="s">
        <v>210</v>
      </c>
      <c r="B143" s="710">
        <v>89050</v>
      </c>
      <c r="C143" s="258" t="s">
        <v>65</v>
      </c>
      <c r="D143" s="258" t="s">
        <v>65</v>
      </c>
      <c r="E143" s="1" t="s">
        <v>211</v>
      </c>
      <c r="F143" s="82" t="s">
        <v>673</v>
      </c>
      <c r="G143" s="434" t="s">
        <v>674</v>
      </c>
      <c r="H143" s="446">
        <v>1</v>
      </c>
      <c r="I143" s="365">
        <v>5715</v>
      </c>
      <c r="J143" s="365">
        <v>1</v>
      </c>
      <c r="K143" s="587" t="s">
        <v>49</v>
      </c>
      <c r="L143" s="400">
        <f>H143*I143*J143*0%</f>
        <v>0</v>
      </c>
      <c r="M143" s="359">
        <f>H143*I143*J143</f>
        <v>5715</v>
      </c>
      <c r="N143" s="401">
        <f>L143+M143</f>
        <v>5715</v>
      </c>
      <c r="O143" s="141">
        <v>1</v>
      </c>
      <c r="P143" s="38">
        <f t="shared" si="374"/>
        <v>5943.6</v>
      </c>
      <c r="Q143" s="365">
        <v>1</v>
      </c>
      <c r="R143" s="400">
        <f>O143*P143*Q143*0%</f>
        <v>0</v>
      </c>
      <c r="S143" s="359">
        <f>O143*P143*Q143</f>
        <v>5943.6</v>
      </c>
      <c r="T143" s="401">
        <f>R143+S143</f>
        <v>5943.6</v>
      </c>
      <c r="U143" s="141">
        <v>1</v>
      </c>
      <c r="V143" s="359">
        <f t="shared" si="353"/>
        <v>6063.0434999999998</v>
      </c>
      <c r="W143" s="365">
        <v>1</v>
      </c>
      <c r="X143" s="400">
        <f>U143*V143*W143*0%</f>
        <v>0</v>
      </c>
      <c r="Y143" s="359">
        <f>U143*V143*W143</f>
        <v>6063.0434999999998</v>
      </c>
      <c r="Z143" s="401">
        <f>X143+Y143</f>
        <v>6063.0434999999998</v>
      </c>
      <c r="AA143" s="141">
        <v>1</v>
      </c>
      <c r="AB143" s="359">
        <f t="shared" si="356"/>
        <v>6244.9348049999999</v>
      </c>
      <c r="AC143" s="365">
        <v>1</v>
      </c>
      <c r="AD143" s="400">
        <f>AA143*AB143*AC143*0%</f>
        <v>0</v>
      </c>
      <c r="AE143" s="359">
        <f>AA143*AB143*AC143</f>
        <v>6244.9348049999999</v>
      </c>
      <c r="AF143" s="401">
        <f>AD143+AE143</f>
        <v>6244.9348049999999</v>
      </c>
      <c r="AG143" s="141">
        <v>1</v>
      </c>
      <c r="AH143" s="359">
        <f t="shared" si="358"/>
        <v>6432.2828491500004</v>
      </c>
      <c r="AI143" s="365">
        <v>1</v>
      </c>
      <c r="AJ143" s="400">
        <f>AG143*AH143*AI143*0%</f>
        <v>0</v>
      </c>
      <c r="AK143" s="359">
        <f t="shared" ref="AK143:AK144" si="375">AG143*AH143*AI143</f>
        <v>6432.2828491500004</v>
      </c>
      <c r="AL143" s="359">
        <f>AJ143+AK143</f>
        <v>6432.2828491500004</v>
      </c>
      <c r="AM143" s="40">
        <f t="shared" si="373"/>
        <v>0</v>
      </c>
      <c r="AN143" s="359">
        <f t="shared" si="343"/>
        <v>30398.861154149999</v>
      </c>
      <c r="AO143" s="402">
        <f t="shared" si="344"/>
        <v>30398.861154149999</v>
      </c>
      <c r="AP143" s="360"/>
    </row>
    <row r="144" spans="1:43" x14ac:dyDescent="0.45">
      <c r="A144" s="1" t="s">
        <v>210</v>
      </c>
      <c r="B144" s="710">
        <v>89050</v>
      </c>
      <c r="C144" s="258" t="s">
        <v>65</v>
      </c>
      <c r="D144" s="258" t="s">
        <v>65</v>
      </c>
      <c r="E144" s="1" t="s">
        <v>211</v>
      </c>
      <c r="F144" s="82" t="s">
        <v>675</v>
      </c>
      <c r="G144" s="434" t="s">
        <v>676</v>
      </c>
      <c r="H144" s="446">
        <v>1</v>
      </c>
      <c r="I144" s="365">
        <v>11450</v>
      </c>
      <c r="J144" s="365">
        <v>1</v>
      </c>
      <c r="K144" s="587" t="s">
        <v>677</v>
      </c>
      <c r="L144" s="400">
        <f>H144*I144*J144*0%</f>
        <v>0</v>
      </c>
      <c r="M144" s="359">
        <f>H144*I144*J144</f>
        <v>11450</v>
      </c>
      <c r="N144" s="401">
        <f>L144+M144</f>
        <v>11450</v>
      </c>
      <c r="O144" s="141">
        <v>1</v>
      </c>
      <c r="P144" s="38">
        <v>8570</v>
      </c>
      <c r="Q144" s="365">
        <v>1</v>
      </c>
      <c r="R144" s="400">
        <f>O144*P144*Q144*0%</f>
        <v>0</v>
      </c>
      <c r="S144" s="359">
        <f>O144*P144*Q144</f>
        <v>8570</v>
      </c>
      <c r="T144" s="401">
        <f>R144+S144</f>
        <v>8570</v>
      </c>
      <c r="U144" s="141">
        <v>1</v>
      </c>
      <c r="V144" s="359">
        <f>P144*$H$6*$H$6</f>
        <v>9091.9130000000005</v>
      </c>
      <c r="W144" s="365">
        <v>1</v>
      </c>
      <c r="X144" s="400">
        <f>U144*V144*W144*0%</f>
        <v>0</v>
      </c>
      <c r="Y144" s="359">
        <f>U144*V144*W144</f>
        <v>9091.9130000000005</v>
      </c>
      <c r="Z144" s="401">
        <f>X144+Y144</f>
        <v>9091.9130000000005</v>
      </c>
      <c r="AA144" s="141">
        <v>1</v>
      </c>
      <c r="AB144" s="359">
        <f>P144*$H$6*$H$6*$H$6</f>
        <v>9364.6703900000011</v>
      </c>
      <c r="AC144" s="365">
        <v>1</v>
      </c>
      <c r="AD144" s="400">
        <f>AA144*AB144*AC144*0%</f>
        <v>0</v>
      </c>
      <c r="AE144" s="359">
        <f>AA144*AB144*AC144</f>
        <v>9364.6703900000011</v>
      </c>
      <c r="AF144" s="401">
        <f>AD144+AE144</f>
        <v>9364.6703900000011</v>
      </c>
      <c r="AG144" s="141">
        <v>1</v>
      </c>
      <c r="AH144" s="359">
        <f>P144*$H$6*$H$6*$H$6*$H$6</f>
        <v>9645.6105017000009</v>
      </c>
      <c r="AI144" s="365">
        <v>1</v>
      </c>
      <c r="AJ144" s="400">
        <f>AG144*AH144*AI144*0%</f>
        <v>0</v>
      </c>
      <c r="AK144" s="359">
        <f t="shared" si="375"/>
        <v>9645.6105017000009</v>
      </c>
      <c r="AL144" s="359">
        <f>AJ144+AK144</f>
        <v>9645.6105017000009</v>
      </c>
      <c r="AM144" s="40">
        <f t="shared" si="373"/>
        <v>0</v>
      </c>
      <c r="AN144" s="359">
        <f t="shared" si="343"/>
        <v>48122.193891700001</v>
      </c>
      <c r="AO144" s="402">
        <f t="shared" si="344"/>
        <v>48122.193891700001</v>
      </c>
      <c r="AP144" s="360"/>
    </row>
    <row r="145" spans="1:44" x14ac:dyDescent="0.45">
      <c r="A145" s="409"/>
      <c r="B145" s="409"/>
      <c r="C145" s="258"/>
      <c r="D145" s="258"/>
      <c r="E145" s="409"/>
      <c r="F145" s="409"/>
      <c r="G145" s="409"/>
      <c r="H145" s="391"/>
      <c r="I145" s="510"/>
      <c r="J145" s="510"/>
      <c r="K145" s="510"/>
      <c r="L145" s="400"/>
      <c r="M145" s="359"/>
      <c r="N145" s="401"/>
      <c r="O145" s="141"/>
      <c r="P145" s="510"/>
      <c r="Q145" s="510"/>
      <c r="R145" s="400"/>
      <c r="S145" s="359"/>
      <c r="T145" s="401"/>
      <c r="U145" s="391"/>
      <c r="V145" s="510"/>
      <c r="W145" s="510"/>
      <c r="X145" s="400"/>
      <c r="Y145" s="359"/>
      <c r="Z145" s="401"/>
      <c r="AA145" s="391"/>
      <c r="AB145" s="510"/>
      <c r="AC145" s="510"/>
      <c r="AD145" s="400"/>
      <c r="AE145" s="359"/>
      <c r="AF145" s="401"/>
      <c r="AG145" s="391"/>
      <c r="AH145" s="510"/>
      <c r="AI145" s="510"/>
      <c r="AJ145" s="400"/>
      <c r="AK145" s="359"/>
      <c r="AL145" s="359"/>
      <c r="AM145" s="402"/>
      <c r="AN145" s="359"/>
      <c r="AO145" s="402"/>
    </row>
    <row r="146" spans="1:44" ht="24.9" x14ac:dyDescent="0.45">
      <c r="A146" s="487"/>
      <c r="B146" s="487"/>
      <c r="C146" s="487"/>
      <c r="D146" s="487"/>
      <c r="E146" s="487"/>
      <c r="F146" s="487"/>
      <c r="G146" s="487" t="s">
        <v>287</v>
      </c>
      <c r="H146" s="488"/>
      <c r="I146" s="592"/>
      <c r="J146" s="592"/>
      <c r="K146" s="593"/>
      <c r="L146" s="489"/>
      <c r="M146" s="559"/>
      <c r="N146" s="490"/>
      <c r="O146" s="488"/>
      <c r="P146" s="559"/>
      <c r="Q146" s="592"/>
      <c r="R146" s="489"/>
      <c r="S146" s="559"/>
      <c r="T146" s="490"/>
      <c r="U146" s="594"/>
      <c r="V146" s="559"/>
      <c r="W146" s="592"/>
      <c r="X146" s="489"/>
      <c r="Y146" s="559"/>
      <c r="Z146" s="490"/>
      <c r="AA146" s="594"/>
      <c r="AB146" s="559"/>
      <c r="AC146" s="592"/>
      <c r="AD146" s="489"/>
      <c r="AE146" s="559"/>
      <c r="AF146" s="490"/>
      <c r="AG146" s="594"/>
      <c r="AH146" s="559"/>
      <c r="AI146" s="592"/>
      <c r="AJ146" s="489"/>
      <c r="AK146" s="559"/>
      <c r="AL146" s="559"/>
      <c r="AM146" s="491"/>
      <c r="AN146" s="559"/>
      <c r="AO146" s="491"/>
    </row>
    <row r="147" spans="1:44" x14ac:dyDescent="0.45">
      <c r="A147" s="1" t="s">
        <v>210</v>
      </c>
      <c r="B147" s="710">
        <v>89050</v>
      </c>
      <c r="C147" s="258" t="s">
        <v>65</v>
      </c>
      <c r="D147" s="258" t="s">
        <v>65</v>
      </c>
      <c r="E147" s="1" t="s">
        <v>211</v>
      </c>
      <c r="F147" s="82" t="s">
        <v>678</v>
      </c>
      <c r="G147" s="434" t="s">
        <v>679</v>
      </c>
      <c r="H147" s="446">
        <v>160</v>
      </c>
      <c r="I147" s="365">
        <v>6</v>
      </c>
      <c r="J147" s="365">
        <v>4</v>
      </c>
      <c r="K147" s="587" t="s">
        <v>127</v>
      </c>
      <c r="L147" s="400">
        <f t="shared" ref="L147:L156" si="376">J147*I147*H147</f>
        <v>3840</v>
      </c>
      <c r="M147" s="359">
        <v>0</v>
      </c>
      <c r="N147" s="401">
        <f t="shared" ref="N147:N164" si="377">SUM(L147:M147)</f>
        <v>3840</v>
      </c>
      <c r="O147" s="446">
        <v>160</v>
      </c>
      <c r="P147" s="359">
        <f t="shared" ref="P147:P169" si="378">I147*$H$6</f>
        <v>6.18</v>
      </c>
      <c r="Q147" s="365">
        <f>J147</f>
        <v>4</v>
      </c>
      <c r="R147" s="400">
        <f t="shared" ref="R147:R155" si="379">O147*P147*Q147</f>
        <v>3955.2</v>
      </c>
      <c r="S147" s="359">
        <v>0</v>
      </c>
      <c r="T147" s="401">
        <f t="shared" ref="T147:T156" si="380">SUM(R147:S147)</f>
        <v>3955.2</v>
      </c>
      <c r="U147" s="446">
        <f>O147</f>
        <v>160</v>
      </c>
      <c r="V147" s="359">
        <f t="shared" ref="V147:V169" si="381">I147*$H$6*$H$6</f>
        <v>6.3654000000000002</v>
      </c>
      <c r="W147" s="365">
        <f>Q147</f>
        <v>4</v>
      </c>
      <c r="X147" s="400">
        <f t="shared" ref="X147:X149" si="382">W147*V147*U147</f>
        <v>4073.8560000000002</v>
      </c>
      <c r="Y147" s="359">
        <v>0</v>
      </c>
      <c r="Z147" s="401">
        <f t="shared" ref="Z147:Z156" si="383">SUM(X147:Y147)</f>
        <v>4073.8560000000002</v>
      </c>
      <c r="AA147" s="446">
        <f>U147</f>
        <v>160</v>
      </c>
      <c r="AB147" s="359">
        <f t="shared" ref="AB147:AB169" si="384">I147*$H$6*$H$6*$H$6</f>
        <v>6.556362</v>
      </c>
      <c r="AC147" s="365">
        <f>W147</f>
        <v>4</v>
      </c>
      <c r="AD147" s="400">
        <f t="shared" ref="AD147:AD164" si="385">AC147*AB147*AA147</f>
        <v>4196.07168</v>
      </c>
      <c r="AE147" s="359">
        <v>0</v>
      </c>
      <c r="AF147" s="401">
        <f t="shared" ref="AF147:AF156" si="386">SUM(AD147:AE147)</f>
        <v>4196.07168</v>
      </c>
      <c r="AG147" s="446">
        <v>0</v>
      </c>
      <c r="AH147" s="359">
        <f t="shared" ref="AH147:AH169" si="387">I147*$H$6*$H$6*$H$6*$H$6</f>
        <v>6.7530528600000004</v>
      </c>
      <c r="AI147" s="365">
        <f t="shared" ref="AI147:AI151" si="388">AC147</f>
        <v>4</v>
      </c>
      <c r="AJ147" s="400">
        <f t="shared" ref="AJ147:AJ164" si="389">AI147*AH147*AG147</f>
        <v>0</v>
      </c>
      <c r="AK147" s="359">
        <v>0</v>
      </c>
      <c r="AL147" s="359">
        <f t="shared" ref="AL147:AL164" si="390">SUM(AJ147:AK147)</f>
        <v>0</v>
      </c>
      <c r="AM147" s="402">
        <f t="shared" ref="AM147:AN164" si="391">L147+R147+X147+AD147+AJ147</f>
        <v>16065.127680000001</v>
      </c>
      <c r="AN147" s="359">
        <f t="shared" si="391"/>
        <v>0</v>
      </c>
      <c r="AO147" s="402">
        <f t="shared" ref="AO147:AO164" si="392">SUM(AM147:AN147)</f>
        <v>16065.127680000001</v>
      </c>
    </row>
    <row r="148" spans="1:44" x14ac:dyDescent="0.45">
      <c r="A148" s="1" t="s">
        <v>210</v>
      </c>
      <c r="B148" s="710">
        <v>89050</v>
      </c>
      <c r="C148" s="258" t="s">
        <v>65</v>
      </c>
      <c r="D148" s="258" t="s">
        <v>65</v>
      </c>
      <c r="E148" s="1" t="s">
        <v>211</v>
      </c>
      <c r="F148" s="82" t="s">
        <v>680</v>
      </c>
      <c r="G148" s="434" t="s">
        <v>681</v>
      </c>
      <c r="H148" s="446">
        <v>160</v>
      </c>
      <c r="I148" s="365">
        <v>2</v>
      </c>
      <c r="J148" s="365">
        <v>4</v>
      </c>
      <c r="K148" s="587" t="s">
        <v>127</v>
      </c>
      <c r="L148" s="400">
        <f t="shared" si="376"/>
        <v>1280</v>
      </c>
      <c r="M148" s="359">
        <v>0</v>
      </c>
      <c r="N148" s="401">
        <f t="shared" si="377"/>
        <v>1280</v>
      </c>
      <c r="O148" s="446">
        <v>160</v>
      </c>
      <c r="P148" s="359">
        <f t="shared" si="378"/>
        <v>2.06</v>
      </c>
      <c r="Q148" s="365">
        <f t="shared" ref="Q148" si="393">J148</f>
        <v>4</v>
      </c>
      <c r="R148" s="400">
        <f t="shared" si="379"/>
        <v>1318.4</v>
      </c>
      <c r="S148" s="359">
        <v>0</v>
      </c>
      <c r="T148" s="401">
        <f t="shared" si="380"/>
        <v>1318.4</v>
      </c>
      <c r="U148" s="446">
        <f t="shared" ref="U148" si="394">O148</f>
        <v>160</v>
      </c>
      <c r="V148" s="359">
        <f t="shared" si="381"/>
        <v>2.1217999999999999</v>
      </c>
      <c r="W148" s="365">
        <f t="shared" ref="W148" si="395">Q148</f>
        <v>4</v>
      </c>
      <c r="X148" s="400">
        <f t="shared" si="382"/>
        <v>1357.952</v>
      </c>
      <c r="Y148" s="359">
        <v>0</v>
      </c>
      <c r="Z148" s="401">
        <f t="shared" si="383"/>
        <v>1357.952</v>
      </c>
      <c r="AA148" s="446">
        <f t="shared" ref="AA148" si="396">U148</f>
        <v>160</v>
      </c>
      <c r="AB148" s="359">
        <f t="shared" si="384"/>
        <v>2.185454</v>
      </c>
      <c r="AC148" s="365">
        <f t="shared" ref="AC148" si="397">W148</f>
        <v>4</v>
      </c>
      <c r="AD148" s="400">
        <f t="shared" si="385"/>
        <v>1398.69056</v>
      </c>
      <c r="AE148" s="359">
        <v>0</v>
      </c>
      <c r="AF148" s="401">
        <f t="shared" si="386"/>
        <v>1398.69056</v>
      </c>
      <c r="AG148" s="446">
        <v>0</v>
      </c>
      <c r="AH148" s="359">
        <f t="shared" si="387"/>
        <v>2.2510176200000003</v>
      </c>
      <c r="AI148" s="365">
        <f t="shared" si="388"/>
        <v>4</v>
      </c>
      <c r="AJ148" s="400">
        <f t="shared" ref="AJ148:AJ156" si="398">AI148*AH148*AG148</f>
        <v>0</v>
      </c>
      <c r="AK148" s="359">
        <v>0</v>
      </c>
      <c r="AL148" s="359">
        <f t="shared" si="390"/>
        <v>0</v>
      </c>
      <c r="AM148" s="402">
        <f t="shared" si="391"/>
        <v>5355.0425599999999</v>
      </c>
      <c r="AN148" s="359">
        <f t="shared" si="391"/>
        <v>0</v>
      </c>
      <c r="AO148" s="402">
        <f t="shared" si="392"/>
        <v>5355.0425599999999</v>
      </c>
    </row>
    <row r="149" spans="1:44" x14ac:dyDescent="0.45">
      <c r="A149" s="1" t="s">
        <v>210</v>
      </c>
      <c r="B149" s="710">
        <v>89050</v>
      </c>
      <c r="C149" s="258" t="s">
        <v>65</v>
      </c>
      <c r="D149" s="258" t="s">
        <v>65</v>
      </c>
      <c r="E149" s="1" t="s">
        <v>211</v>
      </c>
      <c r="F149" s="82" t="s">
        <v>682</v>
      </c>
      <c r="G149" s="434" t="s">
        <v>683</v>
      </c>
      <c r="H149" s="446">
        <v>160</v>
      </c>
      <c r="I149" s="365">
        <v>14</v>
      </c>
      <c r="J149" s="365">
        <v>2</v>
      </c>
      <c r="K149" s="587" t="s">
        <v>684</v>
      </c>
      <c r="L149" s="400">
        <f t="shared" si="376"/>
        <v>4480</v>
      </c>
      <c r="M149" s="359">
        <v>0</v>
      </c>
      <c r="N149" s="401">
        <f t="shared" si="377"/>
        <v>4480</v>
      </c>
      <c r="O149" s="446">
        <v>160</v>
      </c>
      <c r="P149" s="359">
        <f t="shared" si="378"/>
        <v>14.42</v>
      </c>
      <c r="Q149" s="365">
        <f>J149</f>
        <v>2</v>
      </c>
      <c r="R149" s="400">
        <f t="shared" si="379"/>
        <v>4614.3999999999996</v>
      </c>
      <c r="S149" s="359">
        <v>0</v>
      </c>
      <c r="T149" s="401">
        <f t="shared" si="380"/>
        <v>4614.3999999999996</v>
      </c>
      <c r="U149" s="446">
        <f>O149</f>
        <v>160</v>
      </c>
      <c r="V149" s="359">
        <f t="shared" si="381"/>
        <v>14.852600000000001</v>
      </c>
      <c r="W149" s="365">
        <f>Q149</f>
        <v>2</v>
      </c>
      <c r="X149" s="400">
        <f t="shared" si="382"/>
        <v>4752.8320000000003</v>
      </c>
      <c r="Y149" s="359">
        <v>0</v>
      </c>
      <c r="Z149" s="401">
        <f t="shared" si="383"/>
        <v>4752.8320000000003</v>
      </c>
      <c r="AA149" s="446">
        <f>U149</f>
        <v>160</v>
      </c>
      <c r="AB149" s="359">
        <f t="shared" si="384"/>
        <v>15.298178000000002</v>
      </c>
      <c r="AC149" s="365">
        <f>W149</f>
        <v>2</v>
      </c>
      <c r="AD149" s="400">
        <f t="shared" si="385"/>
        <v>4895.4169600000005</v>
      </c>
      <c r="AE149" s="359">
        <v>0</v>
      </c>
      <c r="AF149" s="401">
        <f t="shared" si="386"/>
        <v>4895.4169600000005</v>
      </c>
      <c r="AG149" s="446">
        <v>0</v>
      </c>
      <c r="AH149" s="359">
        <f t="shared" si="387"/>
        <v>15.757123340000001</v>
      </c>
      <c r="AI149" s="365">
        <f t="shared" si="388"/>
        <v>2</v>
      </c>
      <c r="AJ149" s="400">
        <f t="shared" si="398"/>
        <v>0</v>
      </c>
      <c r="AK149" s="359">
        <v>0</v>
      </c>
      <c r="AL149" s="359">
        <f t="shared" si="390"/>
        <v>0</v>
      </c>
      <c r="AM149" s="402">
        <f t="shared" si="391"/>
        <v>18742.648959999999</v>
      </c>
      <c r="AN149" s="359">
        <f t="shared" si="391"/>
        <v>0</v>
      </c>
      <c r="AO149" s="402">
        <f t="shared" si="392"/>
        <v>18742.648959999999</v>
      </c>
    </row>
    <row r="150" spans="1:44" x14ac:dyDescent="0.45">
      <c r="A150" s="1" t="s">
        <v>210</v>
      </c>
      <c r="B150" s="710">
        <v>89050</v>
      </c>
      <c r="C150" s="258" t="s">
        <v>65</v>
      </c>
      <c r="D150" s="258" t="s">
        <v>65</v>
      </c>
      <c r="E150" s="1" t="s">
        <v>211</v>
      </c>
      <c r="F150" s="82" t="s">
        <v>685</v>
      </c>
      <c r="G150" s="434" t="s">
        <v>686</v>
      </c>
      <c r="H150" s="446">
        <v>160</v>
      </c>
      <c r="I150" s="365">
        <v>300</v>
      </c>
      <c r="J150" s="365">
        <v>1</v>
      </c>
      <c r="K150" s="131" t="s">
        <v>687</v>
      </c>
      <c r="L150" s="400">
        <f t="shared" si="376"/>
        <v>48000</v>
      </c>
      <c r="M150" s="359">
        <v>0</v>
      </c>
      <c r="N150" s="401">
        <f t="shared" si="377"/>
        <v>48000</v>
      </c>
      <c r="O150" s="446">
        <v>160</v>
      </c>
      <c r="P150" s="359">
        <f t="shared" si="378"/>
        <v>309</v>
      </c>
      <c r="Q150" s="365">
        <f>J150</f>
        <v>1</v>
      </c>
      <c r="R150" s="400">
        <f t="shared" si="379"/>
        <v>49440</v>
      </c>
      <c r="S150" s="359">
        <v>0</v>
      </c>
      <c r="T150" s="401">
        <f t="shared" si="380"/>
        <v>49440</v>
      </c>
      <c r="U150" s="446">
        <f>O150</f>
        <v>160</v>
      </c>
      <c r="V150" s="359">
        <f t="shared" si="381"/>
        <v>318.27</v>
      </c>
      <c r="W150" s="365">
        <f>Q150</f>
        <v>1</v>
      </c>
      <c r="X150" s="400">
        <f t="shared" ref="X150:X156" si="399">W150*V150*U150</f>
        <v>50923.199999999997</v>
      </c>
      <c r="Y150" s="359">
        <v>0</v>
      </c>
      <c r="Z150" s="401">
        <f t="shared" si="383"/>
        <v>50923.199999999997</v>
      </c>
      <c r="AA150" s="446">
        <f>U150</f>
        <v>160</v>
      </c>
      <c r="AB150" s="359">
        <f t="shared" si="384"/>
        <v>327.81810000000002</v>
      </c>
      <c r="AC150" s="365">
        <f>W150</f>
        <v>1</v>
      </c>
      <c r="AD150" s="400">
        <f t="shared" si="385"/>
        <v>52450.896000000001</v>
      </c>
      <c r="AE150" s="359">
        <v>0</v>
      </c>
      <c r="AF150" s="401">
        <f t="shared" si="386"/>
        <v>52450.896000000001</v>
      </c>
      <c r="AG150" s="446">
        <v>0</v>
      </c>
      <c r="AH150" s="359">
        <f t="shared" si="387"/>
        <v>337.65264300000001</v>
      </c>
      <c r="AI150" s="365">
        <f t="shared" si="388"/>
        <v>1</v>
      </c>
      <c r="AJ150" s="400">
        <f t="shared" si="398"/>
        <v>0</v>
      </c>
      <c r="AK150" s="359">
        <v>0</v>
      </c>
      <c r="AL150" s="359">
        <f t="shared" si="390"/>
        <v>0</v>
      </c>
      <c r="AM150" s="402">
        <f t="shared" si="391"/>
        <v>200814.09600000002</v>
      </c>
      <c r="AN150" s="359">
        <f t="shared" si="391"/>
        <v>0</v>
      </c>
      <c r="AO150" s="402">
        <f t="shared" si="392"/>
        <v>200814.09600000002</v>
      </c>
    </row>
    <row r="151" spans="1:44" x14ac:dyDescent="0.45">
      <c r="A151" s="1" t="s">
        <v>210</v>
      </c>
      <c r="B151" s="710">
        <v>89050</v>
      </c>
      <c r="C151" s="258" t="s">
        <v>65</v>
      </c>
      <c r="D151" s="258" t="s">
        <v>65</v>
      </c>
      <c r="E151" s="1" t="s">
        <v>211</v>
      </c>
      <c r="F151" s="82" t="s">
        <v>688</v>
      </c>
      <c r="G151" s="434" t="s">
        <v>689</v>
      </c>
      <c r="H151" s="446">
        <v>1005</v>
      </c>
      <c r="I151" s="365">
        <v>2</v>
      </c>
      <c r="J151" s="365">
        <v>2</v>
      </c>
      <c r="K151" s="587" t="s">
        <v>127</v>
      </c>
      <c r="L151" s="400">
        <f t="shared" si="376"/>
        <v>4020</v>
      </c>
      <c r="M151" s="359">
        <v>0</v>
      </c>
      <c r="N151" s="401">
        <f t="shared" si="377"/>
        <v>4020</v>
      </c>
      <c r="O151" s="446">
        <v>1005</v>
      </c>
      <c r="P151" s="359">
        <f t="shared" si="378"/>
        <v>2.06</v>
      </c>
      <c r="Q151" s="365">
        <f>J151</f>
        <v>2</v>
      </c>
      <c r="R151" s="400">
        <f t="shared" si="379"/>
        <v>4140.6000000000004</v>
      </c>
      <c r="S151" s="359">
        <v>0</v>
      </c>
      <c r="T151" s="401">
        <f t="shared" si="380"/>
        <v>4140.6000000000004</v>
      </c>
      <c r="U151" s="446">
        <v>1005</v>
      </c>
      <c r="V151" s="359">
        <f t="shared" si="381"/>
        <v>2.1217999999999999</v>
      </c>
      <c r="W151" s="365">
        <f>Q151</f>
        <v>2</v>
      </c>
      <c r="X151" s="400">
        <f t="shared" si="399"/>
        <v>4264.8180000000002</v>
      </c>
      <c r="Y151" s="359">
        <v>0</v>
      </c>
      <c r="Z151" s="401">
        <f t="shared" si="383"/>
        <v>4264.8180000000002</v>
      </c>
      <c r="AA151" s="446">
        <v>1005</v>
      </c>
      <c r="AB151" s="359">
        <f t="shared" si="384"/>
        <v>2.185454</v>
      </c>
      <c r="AC151" s="365">
        <f>W151</f>
        <v>2</v>
      </c>
      <c r="AD151" s="400">
        <f t="shared" ref="AD151:AD156" si="400">AC151*AB151*AA151</f>
        <v>4392.7625399999997</v>
      </c>
      <c r="AE151" s="359">
        <v>0</v>
      </c>
      <c r="AF151" s="401">
        <f t="shared" si="386"/>
        <v>4392.7625399999997</v>
      </c>
      <c r="AG151" s="446">
        <v>0</v>
      </c>
      <c r="AH151" s="359">
        <f t="shared" si="387"/>
        <v>2.2510176200000003</v>
      </c>
      <c r="AI151" s="365">
        <f t="shared" si="388"/>
        <v>2</v>
      </c>
      <c r="AJ151" s="400">
        <f t="shared" si="398"/>
        <v>0</v>
      </c>
      <c r="AK151" s="359">
        <v>0</v>
      </c>
      <c r="AL151" s="359">
        <f>SUM(AJ151:AK151)</f>
        <v>0</v>
      </c>
      <c r="AM151" s="402">
        <f t="shared" si="391"/>
        <v>16818.180540000001</v>
      </c>
      <c r="AN151" s="359">
        <f t="shared" si="391"/>
        <v>0</v>
      </c>
      <c r="AO151" s="402">
        <f t="shared" si="392"/>
        <v>16818.180540000001</v>
      </c>
    </row>
    <row r="152" spans="1:44" x14ac:dyDescent="0.45">
      <c r="A152" s="1" t="s">
        <v>210</v>
      </c>
      <c r="B152" s="710">
        <v>89050</v>
      </c>
      <c r="C152" s="258" t="s">
        <v>65</v>
      </c>
      <c r="D152" s="258" t="s">
        <v>65</v>
      </c>
      <c r="E152" s="1" t="s">
        <v>211</v>
      </c>
      <c r="F152" s="82" t="s">
        <v>690</v>
      </c>
      <c r="G152" s="434" t="s">
        <v>691</v>
      </c>
      <c r="H152" s="446">
        <v>14</v>
      </c>
      <c r="I152" s="365">
        <v>15</v>
      </c>
      <c r="J152" s="365">
        <v>1</v>
      </c>
      <c r="K152" s="587" t="s">
        <v>299</v>
      </c>
      <c r="L152" s="400">
        <f t="shared" si="376"/>
        <v>210</v>
      </c>
      <c r="M152" s="359">
        <v>0</v>
      </c>
      <c r="N152" s="401">
        <f t="shared" si="377"/>
        <v>210</v>
      </c>
      <c r="O152" s="446">
        <v>16</v>
      </c>
      <c r="P152" s="359">
        <f t="shared" si="378"/>
        <v>15.450000000000001</v>
      </c>
      <c r="Q152" s="365">
        <v>1</v>
      </c>
      <c r="R152" s="400">
        <f t="shared" si="379"/>
        <v>247.20000000000002</v>
      </c>
      <c r="S152" s="359">
        <v>0</v>
      </c>
      <c r="T152" s="401">
        <f t="shared" si="380"/>
        <v>247.20000000000002</v>
      </c>
      <c r="U152" s="446">
        <v>16</v>
      </c>
      <c r="V152" s="359">
        <f t="shared" si="381"/>
        <v>15.913500000000001</v>
      </c>
      <c r="W152" s="365">
        <v>1</v>
      </c>
      <c r="X152" s="400">
        <f t="shared" si="399"/>
        <v>254.61600000000001</v>
      </c>
      <c r="Y152" s="359">
        <v>0</v>
      </c>
      <c r="Z152" s="401">
        <f t="shared" si="383"/>
        <v>254.61600000000001</v>
      </c>
      <c r="AA152" s="446">
        <v>16</v>
      </c>
      <c r="AB152" s="359">
        <f t="shared" si="384"/>
        <v>16.390905</v>
      </c>
      <c r="AC152" s="365">
        <v>1</v>
      </c>
      <c r="AD152" s="400">
        <f t="shared" si="400"/>
        <v>262.25448</v>
      </c>
      <c r="AE152" s="359">
        <v>0</v>
      </c>
      <c r="AF152" s="401">
        <f>SUM(AD152:AE152)</f>
        <v>262.25448</v>
      </c>
      <c r="AG152" s="446">
        <v>0</v>
      </c>
      <c r="AH152" s="359">
        <f t="shared" si="387"/>
        <v>16.882632149999999</v>
      </c>
      <c r="AI152" s="365">
        <v>1</v>
      </c>
      <c r="AJ152" s="400">
        <f t="shared" si="398"/>
        <v>0</v>
      </c>
      <c r="AK152" s="359">
        <v>0</v>
      </c>
      <c r="AL152" s="359">
        <f>SUM(AJ152:AK152)</f>
        <v>0</v>
      </c>
      <c r="AM152" s="402">
        <f t="shared" si="391"/>
        <v>974.07048000000009</v>
      </c>
      <c r="AN152" s="359">
        <f t="shared" si="391"/>
        <v>0</v>
      </c>
      <c r="AO152" s="402">
        <f t="shared" si="392"/>
        <v>974.07048000000009</v>
      </c>
    </row>
    <row r="153" spans="1:44" x14ac:dyDescent="0.45">
      <c r="A153" s="1" t="s">
        <v>210</v>
      </c>
      <c r="B153" s="710">
        <v>89050</v>
      </c>
      <c r="C153" s="258" t="s">
        <v>65</v>
      </c>
      <c r="D153" s="258" t="s">
        <v>65</v>
      </c>
      <c r="E153" s="1" t="s">
        <v>211</v>
      </c>
      <c r="F153" s="82" t="s">
        <v>692</v>
      </c>
      <c r="G153" s="434" t="s">
        <v>693</v>
      </c>
      <c r="H153" s="446">
        <v>700</v>
      </c>
      <c r="I153" s="365">
        <v>20</v>
      </c>
      <c r="J153" s="365">
        <v>1</v>
      </c>
      <c r="K153" s="587" t="s">
        <v>299</v>
      </c>
      <c r="L153" s="400">
        <f t="shared" si="376"/>
        <v>14000</v>
      </c>
      <c r="M153" s="359">
        <v>0</v>
      </c>
      <c r="N153" s="401">
        <f t="shared" si="377"/>
        <v>14000</v>
      </c>
      <c r="O153" s="446">
        <v>800</v>
      </c>
      <c r="P153" s="359">
        <f t="shared" si="378"/>
        <v>20.6</v>
      </c>
      <c r="Q153" s="365">
        <v>1</v>
      </c>
      <c r="R153" s="400">
        <f t="shared" si="379"/>
        <v>16480</v>
      </c>
      <c r="S153" s="359">
        <v>0</v>
      </c>
      <c r="T153" s="401">
        <f t="shared" si="380"/>
        <v>16480</v>
      </c>
      <c r="U153" s="446">
        <v>800</v>
      </c>
      <c r="V153" s="359">
        <f t="shared" si="381"/>
        <v>21.218000000000004</v>
      </c>
      <c r="W153" s="365">
        <v>1</v>
      </c>
      <c r="X153" s="400">
        <f t="shared" si="399"/>
        <v>16974.400000000001</v>
      </c>
      <c r="Y153" s="359">
        <v>0</v>
      </c>
      <c r="Z153" s="401">
        <f t="shared" si="383"/>
        <v>16974.400000000001</v>
      </c>
      <c r="AA153" s="446">
        <v>800</v>
      </c>
      <c r="AB153" s="359">
        <f t="shared" si="384"/>
        <v>21.854540000000004</v>
      </c>
      <c r="AC153" s="365">
        <v>1</v>
      </c>
      <c r="AD153" s="400">
        <f t="shared" si="400"/>
        <v>17483.632000000001</v>
      </c>
      <c r="AE153" s="359">
        <v>0</v>
      </c>
      <c r="AF153" s="401">
        <f>SUM(AD153:AE153)</f>
        <v>17483.632000000001</v>
      </c>
      <c r="AG153" s="446">
        <v>0</v>
      </c>
      <c r="AH153" s="359">
        <f t="shared" si="387"/>
        <v>22.510176200000004</v>
      </c>
      <c r="AI153" s="365">
        <v>1</v>
      </c>
      <c r="AJ153" s="400">
        <f t="shared" si="398"/>
        <v>0</v>
      </c>
      <c r="AK153" s="359">
        <v>0</v>
      </c>
      <c r="AL153" s="359">
        <f>SUM(AJ153:AK153)</f>
        <v>0</v>
      </c>
      <c r="AM153" s="402">
        <f t="shared" si="391"/>
        <v>64938.032000000007</v>
      </c>
      <c r="AN153" s="359">
        <f t="shared" si="391"/>
        <v>0</v>
      </c>
      <c r="AO153" s="402">
        <f t="shared" si="392"/>
        <v>64938.032000000007</v>
      </c>
    </row>
    <row r="154" spans="1:44" x14ac:dyDescent="0.45">
      <c r="A154" s="1" t="s">
        <v>210</v>
      </c>
      <c r="B154" s="710">
        <v>89050</v>
      </c>
      <c r="C154" s="258" t="s">
        <v>65</v>
      </c>
      <c r="D154" s="258" t="s">
        <v>65</v>
      </c>
      <c r="E154" s="1" t="s">
        <v>211</v>
      </c>
      <c r="F154" s="82" t="s">
        <v>694</v>
      </c>
      <c r="G154" s="434" t="s">
        <v>695</v>
      </c>
      <c r="H154" s="446">
        <v>1400</v>
      </c>
      <c r="I154" s="365">
        <v>4</v>
      </c>
      <c r="J154" s="365">
        <v>1</v>
      </c>
      <c r="K154" s="587" t="s">
        <v>183</v>
      </c>
      <c r="L154" s="400">
        <f t="shared" si="376"/>
        <v>5600</v>
      </c>
      <c r="M154" s="359">
        <v>0</v>
      </c>
      <c r="N154" s="401">
        <f t="shared" si="377"/>
        <v>5600</v>
      </c>
      <c r="O154" s="446">
        <f>800*2</f>
        <v>1600</v>
      </c>
      <c r="P154" s="359">
        <f t="shared" si="378"/>
        <v>4.12</v>
      </c>
      <c r="Q154" s="365">
        <v>1</v>
      </c>
      <c r="R154" s="400">
        <f t="shared" si="379"/>
        <v>6592</v>
      </c>
      <c r="S154" s="359">
        <v>0</v>
      </c>
      <c r="T154" s="401">
        <f t="shared" si="380"/>
        <v>6592</v>
      </c>
      <c r="U154" s="446">
        <f>800*2</f>
        <v>1600</v>
      </c>
      <c r="V154" s="359">
        <f t="shared" si="381"/>
        <v>4.2435999999999998</v>
      </c>
      <c r="W154" s="365">
        <v>1</v>
      </c>
      <c r="X154" s="400">
        <f t="shared" si="399"/>
        <v>6789.7599999999993</v>
      </c>
      <c r="Y154" s="359">
        <v>0</v>
      </c>
      <c r="Z154" s="401">
        <f t="shared" si="383"/>
        <v>6789.7599999999993</v>
      </c>
      <c r="AA154" s="446">
        <f>800*2</f>
        <v>1600</v>
      </c>
      <c r="AB154" s="359">
        <f t="shared" si="384"/>
        <v>4.370908</v>
      </c>
      <c r="AC154" s="365">
        <v>1</v>
      </c>
      <c r="AD154" s="400">
        <f t="shared" si="400"/>
        <v>6993.4528</v>
      </c>
      <c r="AE154" s="359">
        <v>0</v>
      </c>
      <c r="AF154" s="401">
        <f t="shared" si="386"/>
        <v>6993.4528</v>
      </c>
      <c r="AG154" s="446">
        <v>0</v>
      </c>
      <c r="AH154" s="359">
        <f t="shared" si="387"/>
        <v>4.5020352400000005</v>
      </c>
      <c r="AI154" s="365">
        <v>1</v>
      </c>
      <c r="AJ154" s="400">
        <f t="shared" si="398"/>
        <v>0</v>
      </c>
      <c r="AK154" s="359">
        <v>0</v>
      </c>
      <c r="AL154" s="359">
        <f t="shared" si="390"/>
        <v>0</v>
      </c>
      <c r="AM154" s="402">
        <f t="shared" si="391"/>
        <v>25975.212799999998</v>
      </c>
      <c r="AN154" s="359">
        <f t="shared" si="391"/>
        <v>0</v>
      </c>
      <c r="AO154" s="402">
        <f t="shared" si="392"/>
        <v>25975.212799999998</v>
      </c>
    </row>
    <row r="155" spans="1:44" x14ac:dyDescent="0.45">
      <c r="A155" s="1" t="s">
        <v>210</v>
      </c>
      <c r="B155" s="710">
        <v>89050</v>
      </c>
      <c r="C155" s="258" t="s">
        <v>65</v>
      </c>
      <c r="D155" s="258" t="s">
        <v>65</v>
      </c>
      <c r="E155" s="1" t="s">
        <v>211</v>
      </c>
      <c r="F155" s="82" t="s">
        <v>696</v>
      </c>
      <c r="G155" s="434" t="s">
        <v>697</v>
      </c>
      <c r="H155" s="446">
        <v>42</v>
      </c>
      <c r="I155" s="365">
        <v>200</v>
      </c>
      <c r="J155" s="365">
        <v>1</v>
      </c>
      <c r="K155" s="587" t="s">
        <v>299</v>
      </c>
      <c r="L155" s="400">
        <f t="shared" si="376"/>
        <v>8400</v>
      </c>
      <c r="M155" s="359">
        <v>0</v>
      </c>
      <c r="N155" s="401">
        <f t="shared" si="377"/>
        <v>8400</v>
      </c>
      <c r="O155" s="446">
        <f>16*3</f>
        <v>48</v>
      </c>
      <c r="P155" s="359">
        <f t="shared" si="378"/>
        <v>206</v>
      </c>
      <c r="Q155" s="365">
        <v>1</v>
      </c>
      <c r="R155" s="400">
        <f t="shared" si="379"/>
        <v>9888</v>
      </c>
      <c r="S155" s="359">
        <v>0</v>
      </c>
      <c r="T155" s="401">
        <f t="shared" si="380"/>
        <v>9888</v>
      </c>
      <c r="U155" s="446">
        <f>16*3</f>
        <v>48</v>
      </c>
      <c r="V155" s="359">
        <f t="shared" si="381"/>
        <v>212.18</v>
      </c>
      <c r="W155" s="365">
        <v>1</v>
      </c>
      <c r="X155" s="400">
        <f t="shared" si="399"/>
        <v>10184.64</v>
      </c>
      <c r="Y155" s="359">
        <v>0</v>
      </c>
      <c r="Z155" s="401">
        <f t="shared" si="383"/>
        <v>10184.64</v>
      </c>
      <c r="AA155" s="446">
        <f>16*3</f>
        <v>48</v>
      </c>
      <c r="AB155" s="359">
        <f t="shared" si="384"/>
        <v>218.5454</v>
      </c>
      <c r="AC155" s="365">
        <v>1</v>
      </c>
      <c r="AD155" s="400">
        <f t="shared" si="400"/>
        <v>10490.1792</v>
      </c>
      <c r="AE155" s="359">
        <v>0</v>
      </c>
      <c r="AF155" s="401">
        <f t="shared" si="386"/>
        <v>10490.1792</v>
      </c>
      <c r="AG155" s="446">
        <v>0</v>
      </c>
      <c r="AH155" s="359">
        <f t="shared" si="387"/>
        <v>225.10176200000001</v>
      </c>
      <c r="AI155" s="365">
        <v>1</v>
      </c>
      <c r="AJ155" s="400">
        <f t="shared" si="398"/>
        <v>0</v>
      </c>
      <c r="AK155" s="359">
        <v>0</v>
      </c>
      <c r="AL155" s="359">
        <f t="shared" si="390"/>
        <v>0</v>
      </c>
      <c r="AM155" s="402">
        <f t="shared" si="391"/>
        <v>38962.819199999998</v>
      </c>
      <c r="AN155" s="359">
        <f t="shared" si="391"/>
        <v>0</v>
      </c>
      <c r="AO155" s="402">
        <f t="shared" si="392"/>
        <v>38962.819199999998</v>
      </c>
    </row>
    <row r="156" spans="1:44" x14ac:dyDescent="0.45">
      <c r="A156" s="1" t="s">
        <v>210</v>
      </c>
      <c r="B156" s="710">
        <v>89050</v>
      </c>
      <c r="C156" s="258" t="s">
        <v>65</v>
      </c>
      <c r="D156" s="258" t="s">
        <v>65</v>
      </c>
      <c r="E156" s="1" t="s">
        <v>211</v>
      </c>
      <c r="F156" s="82" t="s">
        <v>698</v>
      </c>
      <c r="G156" s="434" t="s">
        <v>699</v>
      </c>
      <c r="H156" s="446">
        <v>700</v>
      </c>
      <c r="I156" s="365">
        <v>10</v>
      </c>
      <c r="J156" s="365">
        <v>1</v>
      </c>
      <c r="K156" s="587" t="s">
        <v>700</v>
      </c>
      <c r="L156" s="400">
        <f t="shared" si="376"/>
        <v>7000</v>
      </c>
      <c r="M156" s="359">
        <v>0</v>
      </c>
      <c r="N156" s="401">
        <f t="shared" si="377"/>
        <v>7000</v>
      </c>
      <c r="O156" s="446">
        <v>800</v>
      </c>
      <c r="P156" s="359">
        <f t="shared" si="378"/>
        <v>10.3</v>
      </c>
      <c r="Q156" s="365">
        <v>1</v>
      </c>
      <c r="R156" s="400">
        <v>0</v>
      </c>
      <c r="S156" s="359">
        <f>O156*P156*Q156</f>
        <v>8240</v>
      </c>
      <c r="T156" s="401">
        <f t="shared" si="380"/>
        <v>8240</v>
      </c>
      <c r="U156" s="446">
        <v>800</v>
      </c>
      <c r="V156" s="359">
        <f t="shared" si="381"/>
        <v>10.609000000000002</v>
      </c>
      <c r="W156" s="365">
        <v>1</v>
      </c>
      <c r="X156" s="400">
        <f t="shared" si="399"/>
        <v>8487.2000000000007</v>
      </c>
      <c r="Y156" s="359">
        <v>0</v>
      </c>
      <c r="Z156" s="401">
        <f t="shared" si="383"/>
        <v>8487.2000000000007</v>
      </c>
      <c r="AA156" s="446">
        <v>800</v>
      </c>
      <c r="AB156" s="359">
        <f t="shared" si="384"/>
        <v>10.927270000000002</v>
      </c>
      <c r="AC156" s="365">
        <v>1</v>
      </c>
      <c r="AD156" s="400">
        <f t="shared" si="400"/>
        <v>8741.8160000000007</v>
      </c>
      <c r="AE156" s="359">
        <v>0</v>
      </c>
      <c r="AF156" s="401">
        <f t="shared" si="386"/>
        <v>8741.8160000000007</v>
      </c>
      <c r="AG156" s="446">
        <v>0</v>
      </c>
      <c r="AH156" s="359">
        <f t="shared" si="387"/>
        <v>11.255088100000002</v>
      </c>
      <c r="AI156" s="365">
        <v>1</v>
      </c>
      <c r="AJ156" s="400">
        <f t="shared" si="398"/>
        <v>0</v>
      </c>
      <c r="AK156" s="359">
        <v>0</v>
      </c>
      <c r="AL156" s="359">
        <f t="shared" si="390"/>
        <v>0</v>
      </c>
      <c r="AM156" s="402">
        <f t="shared" si="391"/>
        <v>24229.016000000003</v>
      </c>
      <c r="AN156" s="359">
        <f t="shared" si="391"/>
        <v>8240</v>
      </c>
      <c r="AO156" s="402">
        <f t="shared" si="392"/>
        <v>32469.016000000003</v>
      </c>
    </row>
    <row r="157" spans="1:44" ht="24.9" x14ac:dyDescent="0.45">
      <c r="A157" s="487"/>
      <c r="B157" s="487"/>
      <c r="C157" s="487"/>
      <c r="D157" s="487"/>
      <c r="E157" s="487"/>
      <c r="F157" s="487"/>
      <c r="G157" s="487" t="s">
        <v>302</v>
      </c>
      <c r="H157" s="488"/>
      <c r="I157" s="592"/>
      <c r="J157" s="592"/>
      <c r="K157" s="593"/>
      <c r="L157" s="489"/>
      <c r="M157" s="559"/>
      <c r="N157" s="490"/>
      <c r="O157" s="488"/>
      <c r="P157" s="273"/>
      <c r="Q157" s="592"/>
      <c r="R157" s="489"/>
      <c r="S157" s="559"/>
      <c r="T157" s="490"/>
      <c r="U157" s="488"/>
      <c r="V157" s="279"/>
      <c r="W157" s="592"/>
      <c r="X157" s="489"/>
      <c r="Y157" s="559"/>
      <c r="Z157" s="490"/>
      <c r="AA157" s="488"/>
      <c r="AB157" s="559"/>
      <c r="AC157" s="592"/>
      <c r="AD157" s="489"/>
      <c r="AE157" s="559"/>
      <c r="AF157" s="490"/>
      <c r="AG157" s="488"/>
      <c r="AH157" s="276"/>
      <c r="AI157" s="592"/>
      <c r="AJ157" s="489"/>
      <c r="AK157" s="559"/>
      <c r="AL157" s="559"/>
      <c r="AM157" s="491"/>
      <c r="AN157" s="559"/>
      <c r="AO157" s="491"/>
    </row>
    <row r="158" spans="1:44" x14ac:dyDescent="0.45">
      <c r="A158" s="1" t="s">
        <v>210</v>
      </c>
      <c r="B158" s="710">
        <v>89050</v>
      </c>
      <c r="C158" s="258" t="s">
        <v>65</v>
      </c>
      <c r="D158" s="258" t="s">
        <v>65</v>
      </c>
      <c r="E158" s="1" t="s">
        <v>211</v>
      </c>
      <c r="F158" s="82" t="s">
        <v>701</v>
      </c>
      <c r="G158" s="472" t="s">
        <v>702</v>
      </c>
      <c r="H158" s="446">
        <v>60</v>
      </c>
      <c r="I158" s="365">
        <v>80</v>
      </c>
      <c r="J158" s="365">
        <v>1</v>
      </c>
      <c r="K158" s="131" t="s">
        <v>687</v>
      </c>
      <c r="L158" s="400">
        <f>J158*I158*H158</f>
        <v>4800</v>
      </c>
      <c r="M158" s="359">
        <v>0</v>
      </c>
      <c r="N158" s="401">
        <f>SUM(L158:M158)</f>
        <v>4800</v>
      </c>
      <c r="O158" s="446">
        <v>60</v>
      </c>
      <c r="P158" s="359">
        <f t="shared" ref="P158:P159" si="401">I158*$H$6</f>
        <v>82.4</v>
      </c>
      <c r="Q158" s="365">
        <f>J158</f>
        <v>1</v>
      </c>
      <c r="R158" s="400">
        <f>O158*P158*Q158</f>
        <v>4944</v>
      </c>
      <c r="S158" s="359">
        <v>0</v>
      </c>
      <c r="T158" s="401">
        <f>SUM(R158:S158)</f>
        <v>4944</v>
      </c>
      <c r="U158" s="446">
        <v>60</v>
      </c>
      <c r="V158" s="359">
        <f t="shared" ref="V158:V159" si="402">I158*$H$6*$H$6</f>
        <v>84.872000000000014</v>
      </c>
      <c r="W158" s="365">
        <f>Q158</f>
        <v>1</v>
      </c>
      <c r="X158" s="400">
        <f>W158*V158*U158</f>
        <v>5092.3200000000006</v>
      </c>
      <c r="Y158" s="359">
        <v>0</v>
      </c>
      <c r="Z158" s="401">
        <f>SUM(X158:Y158)</f>
        <v>5092.3200000000006</v>
      </c>
      <c r="AA158" s="446">
        <v>60</v>
      </c>
      <c r="AB158" s="359">
        <f t="shared" ref="AB158:AB159" si="403">I158*$H$6*$H$6*$H$6</f>
        <v>87.418160000000015</v>
      </c>
      <c r="AC158" s="365">
        <f>W158</f>
        <v>1</v>
      </c>
      <c r="AD158" s="400">
        <f>AC158*AB158*AA158</f>
        <v>5245.0896000000012</v>
      </c>
      <c r="AE158" s="359">
        <v>0</v>
      </c>
      <c r="AF158" s="401">
        <f>SUM(AD158:AE158)</f>
        <v>5245.0896000000012</v>
      </c>
      <c r="AG158" s="446">
        <v>0</v>
      </c>
      <c r="AH158" s="359">
        <f t="shared" ref="AH158:AH160" si="404">I158*$H$6*$H$6*$H$6*$H$6</f>
        <v>90.040704800000015</v>
      </c>
      <c r="AI158" s="365">
        <v>0</v>
      </c>
      <c r="AJ158" s="400">
        <f>AI158*AH158*AG158</f>
        <v>0</v>
      </c>
      <c r="AK158" s="359">
        <v>0</v>
      </c>
      <c r="AL158" s="359">
        <f>SUM(AJ158:AK158)</f>
        <v>0</v>
      </c>
      <c r="AM158" s="402">
        <f>L158+R158+X158+AD158+AJ158</f>
        <v>20081.409599999999</v>
      </c>
      <c r="AN158" s="359">
        <f>M158+S158+Y158+AE158+AK158</f>
        <v>0</v>
      </c>
      <c r="AO158" s="402">
        <f>SUM(AM158:AN158)</f>
        <v>20081.409599999999</v>
      </c>
      <c r="AP158" s="360"/>
    </row>
    <row r="159" spans="1:44" x14ac:dyDescent="0.45">
      <c r="A159" s="1" t="s">
        <v>210</v>
      </c>
      <c r="B159" s="710">
        <v>89050</v>
      </c>
      <c r="C159" s="258" t="s">
        <v>65</v>
      </c>
      <c r="D159" s="258" t="s">
        <v>65</v>
      </c>
      <c r="E159" s="1" t="s">
        <v>211</v>
      </c>
      <c r="F159" s="82" t="s">
        <v>703</v>
      </c>
      <c r="G159" s="472" t="s">
        <v>704</v>
      </c>
      <c r="H159" s="446">
        <v>120</v>
      </c>
      <c r="I159" s="365">
        <v>45</v>
      </c>
      <c r="J159" s="365">
        <v>1</v>
      </c>
      <c r="K159" s="131" t="s">
        <v>687</v>
      </c>
      <c r="L159" s="400">
        <f>J159*I159*H159</f>
        <v>5400</v>
      </c>
      <c r="M159" s="359">
        <v>0</v>
      </c>
      <c r="N159" s="401">
        <f>SUM(L159:M159)</f>
        <v>5400</v>
      </c>
      <c r="O159" s="446">
        <v>120</v>
      </c>
      <c r="P159" s="359">
        <f t="shared" si="401"/>
        <v>46.35</v>
      </c>
      <c r="Q159" s="365">
        <f>J159</f>
        <v>1</v>
      </c>
      <c r="R159" s="400">
        <f>O159*P159*Q159</f>
        <v>5562</v>
      </c>
      <c r="S159" s="359">
        <v>0</v>
      </c>
      <c r="T159" s="401">
        <f>SUM(R159:S159)</f>
        <v>5562</v>
      </c>
      <c r="U159" s="446">
        <v>120</v>
      </c>
      <c r="V159" s="359">
        <f t="shared" si="402"/>
        <v>47.740500000000004</v>
      </c>
      <c r="W159" s="365">
        <f>Q159</f>
        <v>1</v>
      </c>
      <c r="X159" s="400">
        <f>W159*V159*U159</f>
        <v>5728.8600000000006</v>
      </c>
      <c r="Y159" s="359">
        <v>0</v>
      </c>
      <c r="Z159" s="401">
        <f>SUM(X159:Y159)</f>
        <v>5728.8600000000006</v>
      </c>
      <c r="AA159" s="446">
        <v>120</v>
      </c>
      <c r="AB159" s="359">
        <f t="shared" si="403"/>
        <v>49.172715000000004</v>
      </c>
      <c r="AC159" s="365">
        <f>W159</f>
        <v>1</v>
      </c>
      <c r="AD159" s="400">
        <f>AC159*AB159*AA159</f>
        <v>5900.7258000000002</v>
      </c>
      <c r="AE159" s="359">
        <v>0</v>
      </c>
      <c r="AF159" s="401">
        <f>SUM(AD159:AE159)</f>
        <v>5900.7258000000002</v>
      </c>
      <c r="AG159" s="446">
        <v>0</v>
      </c>
      <c r="AH159" s="359">
        <f t="shared" si="404"/>
        <v>50.647896450000005</v>
      </c>
      <c r="AI159" s="365">
        <v>0</v>
      </c>
      <c r="AJ159" s="400">
        <f>AI159*AH159*AG159</f>
        <v>0</v>
      </c>
      <c r="AK159" s="359">
        <v>0</v>
      </c>
      <c r="AL159" s="359">
        <f>SUM(AJ159:AK159)</f>
        <v>0</v>
      </c>
      <c r="AM159" s="402">
        <f>L159+R159+X159+AD159+AJ159</f>
        <v>22591.585800000001</v>
      </c>
      <c r="AN159" s="359">
        <f>M159+S159+Y159+AE159+AK159</f>
        <v>0</v>
      </c>
      <c r="AO159" s="402">
        <f>SUM(AM159:AN159)</f>
        <v>22591.585800000001</v>
      </c>
      <c r="AP159" s="360"/>
    </row>
    <row r="160" spans="1:44" x14ac:dyDescent="0.45">
      <c r="A160" s="1" t="s">
        <v>210</v>
      </c>
      <c r="B160" s="710">
        <v>89050</v>
      </c>
      <c r="C160" s="258" t="s">
        <v>65</v>
      </c>
      <c r="D160" s="258" t="s">
        <v>65</v>
      </c>
      <c r="E160" s="1" t="s">
        <v>211</v>
      </c>
      <c r="F160" s="82" t="s">
        <v>705</v>
      </c>
      <c r="G160" s="472" t="s">
        <v>706</v>
      </c>
      <c r="H160" s="446">
        <v>180</v>
      </c>
      <c r="I160" s="365">
        <v>6</v>
      </c>
      <c r="J160" s="365">
        <v>4</v>
      </c>
      <c r="K160" s="131" t="s">
        <v>707</v>
      </c>
      <c r="L160" s="400">
        <f t="shared" ref="L160" si="405">J160*I160*H160</f>
        <v>4320</v>
      </c>
      <c r="M160" s="359">
        <v>0</v>
      </c>
      <c r="N160" s="401">
        <f t="shared" ref="N160" si="406">SUM(L160:M160)</f>
        <v>4320</v>
      </c>
      <c r="O160" s="446">
        <v>180</v>
      </c>
      <c r="P160" s="359">
        <f>I160*$H$6</f>
        <v>6.18</v>
      </c>
      <c r="Q160" s="365">
        <v>6</v>
      </c>
      <c r="R160" s="400">
        <f t="shared" ref="R160" si="407">O160*P160*Q160</f>
        <v>6674.4</v>
      </c>
      <c r="S160" s="359">
        <v>0</v>
      </c>
      <c r="T160" s="401">
        <f t="shared" ref="T160" si="408">SUM(R160:S160)</f>
        <v>6674.4</v>
      </c>
      <c r="U160" s="446">
        <v>180</v>
      </c>
      <c r="V160" s="359">
        <f>I160*$H$6*$H$6</f>
        <v>6.3654000000000002</v>
      </c>
      <c r="W160" s="365">
        <f>Q160</f>
        <v>6</v>
      </c>
      <c r="X160" s="400">
        <f>W160*V160*U160</f>
        <v>6874.6319999999996</v>
      </c>
      <c r="Y160" s="359">
        <v>0</v>
      </c>
      <c r="Z160" s="401">
        <f t="shared" ref="Z160" si="409">SUM(X160:Y160)</f>
        <v>6874.6319999999996</v>
      </c>
      <c r="AA160" s="446">
        <v>180</v>
      </c>
      <c r="AB160" s="359">
        <f>I160*$H$6*$H$6*$H$6</f>
        <v>6.556362</v>
      </c>
      <c r="AC160" s="365">
        <v>6</v>
      </c>
      <c r="AD160" s="400">
        <f t="shared" ref="AD160" si="410">AC160*AB160*AA160</f>
        <v>7080.8709600000002</v>
      </c>
      <c r="AE160" s="359">
        <v>0</v>
      </c>
      <c r="AF160" s="401">
        <f t="shared" ref="AF160" si="411">SUM(AD160:AE160)</f>
        <v>7080.8709600000002</v>
      </c>
      <c r="AG160" s="446">
        <v>0</v>
      </c>
      <c r="AH160" s="359">
        <f t="shared" si="404"/>
        <v>6.7530528600000004</v>
      </c>
      <c r="AI160" s="365">
        <v>0</v>
      </c>
      <c r="AJ160" s="400">
        <v>0</v>
      </c>
      <c r="AK160" s="359">
        <v>0</v>
      </c>
      <c r="AL160" s="359">
        <f>SUM(AJ160:AK160)</f>
        <v>0</v>
      </c>
      <c r="AM160" s="402">
        <f t="shared" ref="AM160" si="412">L160+R160+X160+AD160+AJ160</f>
        <v>24949.902959999999</v>
      </c>
      <c r="AN160" s="359">
        <v>0</v>
      </c>
      <c r="AO160" s="402">
        <f t="shared" ref="AO160" si="413">SUM(AM160:AN160)</f>
        <v>24949.902959999999</v>
      </c>
      <c r="AP160" s="360"/>
      <c r="AR160" s="359"/>
    </row>
    <row r="161" spans="1:43" x14ac:dyDescent="0.45">
      <c r="A161" s="487"/>
      <c r="B161" s="487"/>
      <c r="C161" s="487"/>
      <c r="D161" s="487"/>
      <c r="E161" s="487"/>
      <c r="F161" s="487"/>
      <c r="G161" s="487" t="s">
        <v>306</v>
      </c>
      <c r="H161" s="488"/>
      <c r="I161" s="592"/>
      <c r="J161" s="592"/>
      <c r="K161" s="593"/>
      <c r="L161" s="489"/>
      <c r="M161" s="559"/>
      <c r="N161" s="490"/>
      <c r="O161" s="488"/>
      <c r="P161" s="273"/>
      <c r="Q161" s="592"/>
      <c r="R161" s="489"/>
      <c r="S161" s="559"/>
      <c r="T161" s="490"/>
      <c r="U161" s="488"/>
      <c r="V161" s="279"/>
      <c r="W161" s="592"/>
      <c r="X161" s="489"/>
      <c r="Y161" s="559"/>
      <c r="Z161" s="490"/>
      <c r="AA161" s="488"/>
      <c r="AB161" s="559"/>
      <c r="AC161" s="592"/>
      <c r="AD161" s="489"/>
      <c r="AE161" s="559"/>
      <c r="AF161" s="490"/>
      <c r="AG161" s="488"/>
      <c r="AH161" s="276"/>
      <c r="AI161" s="592"/>
      <c r="AJ161" s="489"/>
      <c r="AK161" s="559"/>
      <c r="AL161" s="559"/>
      <c r="AM161" s="491"/>
      <c r="AN161" s="559"/>
      <c r="AO161" s="491"/>
    </row>
    <row r="162" spans="1:43" s="1" customFormat="1" ht="25.2" x14ac:dyDescent="0.45">
      <c r="A162" s="1" t="s">
        <v>210</v>
      </c>
      <c r="B162" s="710">
        <v>89050</v>
      </c>
      <c r="C162" s="258" t="s">
        <v>65</v>
      </c>
      <c r="D162" s="258" t="s">
        <v>65</v>
      </c>
      <c r="E162" s="1" t="s">
        <v>211</v>
      </c>
      <c r="F162" s="82" t="s">
        <v>708</v>
      </c>
      <c r="G162" s="472" t="s">
        <v>709</v>
      </c>
      <c r="H162" s="141">
        <v>0</v>
      </c>
      <c r="I162" s="15">
        <v>180</v>
      </c>
      <c r="J162" s="572">
        <v>1</v>
      </c>
      <c r="K162" s="522" t="s">
        <v>299</v>
      </c>
      <c r="L162" s="37">
        <f t="shared" ref="L162:L163" si="414">I162*H162*J162</f>
        <v>0</v>
      </c>
      <c r="M162" s="38">
        <v>0</v>
      </c>
      <c r="N162" s="39">
        <f t="shared" ref="N162:N163" si="415">SUM(L162:M162)</f>
        <v>0</v>
      </c>
      <c r="O162" s="272">
        <v>4</v>
      </c>
      <c r="P162" s="38">
        <f t="shared" ref="P162:P163" si="416">I162*$H$6</f>
        <v>185.4</v>
      </c>
      <c r="Q162" s="15">
        <v>1</v>
      </c>
      <c r="R162" s="37">
        <f t="shared" ref="R162:R163" si="417">P162*O162*Q162</f>
        <v>741.6</v>
      </c>
      <c r="S162" s="38">
        <v>0</v>
      </c>
      <c r="T162" s="39">
        <f t="shared" ref="T162:T163" si="418">SUM(R162:S162)</f>
        <v>741.6</v>
      </c>
      <c r="U162" s="272">
        <v>8</v>
      </c>
      <c r="V162" s="38">
        <f t="shared" ref="V162:V163" si="419">I162*$H$6*$H$6</f>
        <v>190.96200000000002</v>
      </c>
      <c r="W162" s="15">
        <v>1</v>
      </c>
      <c r="X162" s="37">
        <f t="shared" ref="X162:X163" si="420">U162*V162*W162</f>
        <v>1527.6960000000001</v>
      </c>
      <c r="Y162" s="38">
        <v>0</v>
      </c>
      <c r="Z162" s="39">
        <f t="shared" ref="Z162:Z163" si="421">SUM(X162:Y162)</f>
        <v>1527.6960000000001</v>
      </c>
      <c r="AA162" s="272">
        <v>10</v>
      </c>
      <c r="AB162" s="38">
        <f t="shared" ref="AB162:AB163" si="422">I162*$H$6*$H$6*$H$6</f>
        <v>196.69086000000001</v>
      </c>
      <c r="AC162" s="15">
        <v>1</v>
      </c>
      <c r="AD162" s="37">
        <f t="shared" ref="AD162:AD163" si="423">AA162*AB162*AC162</f>
        <v>1966.9086000000002</v>
      </c>
      <c r="AE162" s="38">
        <v>0</v>
      </c>
      <c r="AF162" s="39">
        <f t="shared" ref="AF162:AF163" si="424">SUM(AD162:AE162)</f>
        <v>1966.9086000000002</v>
      </c>
      <c r="AG162" s="272">
        <v>2</v>
      </c>
      <c r="AH162" s="38">
        <f t="shared" ref="AH162:AH163" si="425">I162*$H$6*$H$6*$H$6*$H$6</f>
        <v>202.59158580000002</v>
      </c>
      <c r="AI162" s="15">
        <v>1</v>
      </c>
      <c r="AJ162" s="37">
        <f t="shared" ref="AJ162:AJ163" si="426">AG162*AH162*AI162</f>
        <v>405.18317160000004</v>
      </c>
      <c r="AK162" s="37">
        <v>0</v>
      </c>
      <c r="AL162" s="38">
        <f t="shared" ref="AL162:AL163" si="427">SUM(AJ162:AK162)</f>
        <v>405.18317160000004</v>
      </c>
      <c r="AM162" s="40">
        <f t="shared" ref="AM162:AN163" si="428">L162+R162+X162+AD162+AJ162</f>
        <v>4641.3877716000006</v>
      </c>
      <c r="AN162" s="38">
        <f t="shared" si="428"/>
        <v>0</v>
      </c>
      <c r="AO162" s="40">
        <f t="shared" ref="AO162:AO163" si="429">SUM(AM162:AN162)</f>
        <v>4641.3877716000006</v>
      </c>
    </row>
    <row r="163" spans="1:43" s="1" customFormat="1" x14ac:dyDescent="0.45">
      <c r="A163" s="1" t="s">
        <v>210</v>
      </c>
      <c r="B163" s="710">
        <v>89050</v>
      </c>
      <c r="C163" s="258" t="s">
        <v>65</v>
      </c>
      <c r="D163" s="258" t="s">
        <v>65</v>
      </c>
      <c r="E163" s="1" t="s">
        <v>211</v>
      </c>
      <c r="F163" s="82" t="s">
        <v>710</v>
      </c>
      <c r="G163" s="472" t="s">
        <v>502</v>
      </c>
      <c r="H163" s="141">
        <v>0</v>
      </c>
      <c r="I163" s="15">
        <v>300</v>
      </c>
      <c r="J163" s="572">
        <v>1</v>
      </c>
      <c r="K163" s="522" t="s">
        <v>183</v>
      </c>
      <c r="L163" s="37">
        <f t="shared" si="414"/>
        <v>0</v>
      </c>
      <c r="M163" s="38">
        <v>0</v>
      </c>
      <c r="N163" s="39">
        <f t="shared" si="415"/>
        <v>0</v>
      </c>
      <c r="O163" s="272">
        <v>2</v>
      </c>
      <c r="P163" s="38">
        <f t="shared" si="416"/>
        <v>309</v>
      </c>
      <c r="Q163" s="15">
        <v>1</v>
      </c>
      <c r="R163" s="37">
        <f t="shared" si="417"/>
        <v>618</v>
      </c>
      <c r="S163" s="38">
        <v>0</v>
      </c>
      <c r="T163" s="39">
        <f t="shared" si="418"/>
        <v>618</v>
      </c>
      <c r="U163" s="272">
        <v>6</v>
      </c>
      <c r="V163" s="38">
        <f t="shared" si="419"/>
        <v>318.27</v>
      </c>
      <c r="W163" s="15">
        <v>1</v>
      </c>
      <c r="X163" s="37">
        <f t="shared" si="420"/>
        <v>1909.62</v>
      </c>
      <c r="Y163" s="38">
        <v>0</v>
      </c>
      <c r="Z163" s="39">
        <f t="shared" si="421"/>
        <v>1909.62</v>
      </c>
      <c r="AA163" s="272">
        <v>5</v>
      </c>
      <c r="AB163" s="38">
        <f t="shared" si="422"/>
        <v>327.81810000000002</v>
      </c>
      <c r="AC163" s="15">
        <v>1</v>
      </c>
      <c r="AD163" s="37">
        <f t="shared" si="423"/>
        <v>1639.0905</v>
      </c>
      <c r="AE163" s="38">
        <v>0</v>
      </c>
      <c r="AF163" s="39">
        <f t="shared" si="424"/>
        <v>1639.0905</v>
      </c>
      <c r="AG163" s="272">
        <v>2</v>
      </c>
      <c r="AH163" s="38">
        <f t="shared" si="425"/>
        <v>337.65264300000001</v>
      </c>
      <c r="AI163" s="15">
        <v>1</v>
      </c>
      <c r="AJ163" s="37">
        <f t="shared" si="426"/>
        <v>675.30528600000002</v>
      </c>
      <c r="AK163" s="37">
        <v>0</v>
      </c>
      <c r="AL163" s="38">
        <f t="shared" si="427"/>
        <v>675.30528600000002</v>
      </c>
      <c r="AM163" s="40">
        <f t="shared" si="428"/>
        <v>4842.0157859999999</v>
      </c>
      <c r="AN163" s="38">
        <f t="shared" si="428"/>
        <v>0</v>
      </c>
      <c r="AO163" s="40">
        <f t="shared" si="429"/>
        <v>4842.0157859999999</v>
      </c>
    </row>
    <row r="164" spans="1:43" ht="25.2" x14ac:dyDescent="0.45">
      <c r="A164" s="1" t="s">
        <v>210</v>
      </c>
      <c r="B164" s="710">
        <v>89050</v>
      </c>
      <c r="C164" s="258" t="s">
        <v>65</v>
      </c>
      <c r="D164" s="258" t="s">
        <v>65</v>
      </c>
      <c r="E164" s="1" t="s">
        <v>211</v>
      </c>
      <c r="F164" s="82" t="s">
        <v>711</v>
      </c>
      <c r="G164" s="472" t="s">
        <v>712</v>
      </c>
      <c r="H164" s="446">
        <v>0</v>
      </c>
      <c r="I164" s="365">
        <v>300</v>
      </c>
      <c r="J164" s="365">
        <v>1</v>
      </c>
      <c r="K164" s="587" t="s">
        <v>309</v>
      </c>
      <c r="L164" s="400">
        <f t="shared" ref="L164" si="430">J164*I164*H164</f>
        <v>0</v>
      </c>
      <c r="M164" s="359">
        <v>0</v>
      </c>
      <c r="N164" s="401">
        <f t="shared" si="377"/>
        <v>0</v>
      </c>
      <c r="O164" s="446">
        <v>5</v>
      </c>
      <c r="P164" s="359">
        <f t="shared" si="378"/>
        <v>309</v>
      </c>
      <c r="Q164" s="365">
        <v>1</v>
      </c>
      <c r="R164" s="400">
        <f>O164*P164*Q164</f>
        <v>1545</v>
      </c>
      <c r="S164" s="359">
        <v>0</v>
      </c>
      <c r="T164" s="401">
        <f t="shared" ref="T164" si="431">SUM(R164:S164)</f>
        <v>1545</v>
      </c>
      <c r="U164" s="446">
        <v>10</v>
      </c>
      <c r="V164" s="359">
        <f t="shared" si="381"/>
        <v>318.27</v>
      </c>
      <c r="W164" s="365">
        <v>1</v>
      </c>
      <c r="X164" s="400">
        <f t="shared" ref="X164" si="432">W164*V164*U164</f>
        <v>3182.7</v>
      </c>
      <c r="Y164" s="359">
        <v>0</v>
      </c>
      <c r="Z164" s="401">
        <f t="shared" ref="Z164" si="433">SUM(X164:Y164)</f>
        <v>3182.7</v>
      </c>
      <c r="AA164" s="446">
        <v>10</v>
      </c>
      <c r="AB164" s="359">
        <f t="shared" si="384"/>
        <v>327.81810000000002</v>
      </c>
      <c r="AC164" s="365">
        <v>1</v>
      </c>
      <c r="AD164" s="400">
        <f t="shared" si="385"/>
        <v>3278.181</v>
      </c>
      <c r="AE164" s="359">
        <v>0</v>
      </c>
      <c r="AF164" s="401">
        <f t="shared" ref="AF164" si="434">SUM(AD164:AE164)</f>
        <v>3278.181</v>
      </c>
      <c r="AG164" s="446">
        <v>5</v>
      </c>
      <c r="AH164" s="359">
        <f t="shared" si="387"/>
        <v>337.65264300000001</v>
      </c>
      <c r="AI164" s="365">
        <v>1</v>
      </c>
      <c r="AJ164" s="400">
        <f t="shared" si="389"/>
        <v>1688.2632149999999</v>
      </c>
      <c r="AK164" s="359">
        <v>0</v>
      </c>
      <c r="AL164" s="359">
        <f t="shared" si="390"/>
        <v>1688.2632149999999</v>
      </c>
      <c r="AM164" s="402">
        <f t="shared" si="391"/>
        <v>9694.1442150000003</v>
      </c>
      <c r="AN164" s="359">
        <f t="shared" si="391"/>
        <v>0</v>
      </c>
      <c r="AO164" s="402">
        <f t="shared" si="392"/>
        <v>9694.1442150000003</v>
      </c>
    </row>
    <row r="165" spans="1:43" s="1" customFormat="1" x14ac:dyDescent="0.45">
      <c r="A165" s="261"/>
      <c r="B165" s="261"/>
      <c r="C165" s="261"/>
      <c r="D165" s="261"/>
      <c r="E165" s="261"/>
      <c r="F165" s="261"/>
      <c r="G165" s="261" t="s">
        <v>310</v>
      </c>
      <c r="H165" s="262"/>
      <c r="I165" s="575"/>
      <c r="J165" s="575"/>
      <c r="K165" s="581"/>
      <c r="L165" s="263"/>
      <c r="M165" s="276"/>
      <c r="N165" s="275"/>
      <c r="O165" s="273"/>
      <c r="P165" s="273"/>
      <c r="Q165" s="575"/>
      <c r="R165" s="263"/>
      <c r="S165" s="276"/>
      <c r="T165" s="276"/>
      <c r="U165" s="279"/>
      <c r="V165" s="279"/>
      <c r="W165" s="280"/>
      <c r="X165" s="263"/>
      <c r="Y165" s="276"/>
      <c r="Z165" s="276"/>
      <c r="AA165" s="279"/>
      <c r="AB165" s="559"/>
      <c r="AC165" s="280"/>
      <c r="AD165" s="263"/>
      <c r="AE165" s="276"/>
      <c r="AF165" s="276"/>
      <c r="AG165" s="279"/>
      <c r="AH165" s="276"/>
      <c r="AI165" s="280"/>
      <c r="AJ165" s="263"/>
      <c r="AK165" s="276"/>
      <c r="AL165" s="276"/>
      <c r="AM165" s="266"/>
      <c r="AN165" s="276"/>
      <c r="AO165" s="266"/>
    </row>
    <row r="166" spans="1:43" s="1" customFormat="1" x14ac:dyDescent="0.45">
      <c r="A166" s="1" t="s">
        <v>210</v>
      </c>
      <c r="B166" s="710">
        <v>89050</v>
      </c>
      <c r="C166" s="258" t="s">
        <v>65</v>
      </c>
      <c r="D166" s="258" t="s">
        <v>65</v>
      </c>
      <c r="E166" s="1" t="s">
        <v>211</v>
      </c>
      <c r="F166" s="140" t="s">
        <v>713</v>
      </c>
      <c r="G166" s="65" t="s">
        <v>504</v>
      </c>
      <c r="H166" s="140">
        <v>1</v>
      </c>
      <c r="I166" s="38">
        <v>2500</v>
      </c>
      <c r="J166" s="15">
        <v>1</v>
      </c>
      <c r="K166" s="131" t="s">
        <v>249</v>
      </c>
      <c r="L166" s="37">
        <f>J166*I166*H166</f>
        <v>2500</v>
      </c>
      <c r="M166" s="38">
        <v>0</v>
      </c>
      <c r="N166" s="39">
        <f>SUM(L166:M166)</f>
        <v>2500</v>
      </c>
      <c r="O166" s="140">
        <v>1</v>
      </c>
      <c r="P166" s="359">
        <f t="shared" si="378"/>
        <v>2575</v>
      </c>
      <c r="Q166" s="15">
        <v>1</v>
      </c>
      <c r="R166" s="37">
        <f>Q166*P166*O166</f>
        <v>2575</v>
      </c>
      <c r="S166" s="38">
        <v>0</v>
      </c>
      <c r="T166" s="39">
        <f>SUM(R166:S166)</f>
        <v>2575</v>
      </c>
      <c r="U166" s="140">
        <v>1</v>
      </c>
      <c r="V166" s="359">
        <f t="shared" si="381"/>
        <v>2652.25</v>
      </c>
      <c r="W166" s="15">
        <v>1</v>
      </c>
      <c r="X166" s="37">
        <f>W166*V166*U166</f>
        <v>2652.25</v>
      </c>
      <c r="Y166" s="38">
        <v>0</v>
      </c>
      <c r="Z166" s="39">
        <f>SUM(X166:X166)</f>
        <v>2652.25</v>
      </c>
      <c r="AA166" s="140">
        <v>1</v>
      </c>
      <c r="AB166" s="359">
        <f t="shared" si="384"/>
        <v>2731.8175000000001</v>
      </c>
      <c r="AC166" s="15">
        <v>1</v>
      </c>
      <c r="AD166" s="37">
        <f>AC166*AB166*AA166</f>
        <v>2731.8175000000001</v>
      </c>
      <c r="AE166" s="38">
        <v>0</v>
      </c>
      <c r="AF166" s="39">
        <f>SUM(AD166:AE166)</f>
        <v>2731.8175000000001</v>
      </c>
      <c r="AG166" s="140">
        <v>1</v>
      </c>
      <c r="AH166" s="359">
        <f t="shared" si="387"/>
        <v>2813.7720250000002</v>
      </c>
      <c r="AI166" s="15">
        <v>1</v>
      </c>
      <c r="AJ166" s="37">
        <f>AI166*AH166*AG166</f>
        <v>2813.7720250000002</v>
      </c>
      <c r="AK166" s="38">
        <v>0</v>
      </c>
      <c r="AL166" s="38">
        <f>SUM(AJ166:AK166)</f>
        <v>2813.7720250000002</v>
      </c>
      <c r="AM166" s="40">
        <f t="shared" ref="AM166:AN169" si="435">L166+R166+X166+AD166+AJ166</f>
        <v>13272.839525000001</v>
      </c>
      <c r="AN166" s="38">
        <f t="shared" si="435"/>
        <v>0</v>
      </c>
      <c r="AO166" s="40">
        <f t="shared" ref="AO166:AO169" si="436">SUM(AM166:AN166)</f>
        <v>13272.839525000001</v>
      </c>
      <c r="AP166" s="91"/>
      <c r="AQ166" s="91"/>
    </row>
    <row r="167" spans="1:43" s="1" customFormat="1" x14ac:dyDescent="0.45">
      <c r="A167" s="1" t="s">
        <v>210</v>
      </c>
      <c r="B167" s="710">
        <v>89050</v>
      </c>
      <c r="C167" s="258" t="s">
        <v>65</v>
      </c>
      <c r="D167" s="258" t="s">
        <v>65</v>
      </c>
      <c r="E167" s="1" t="s">
        <v>211</v>
      </c>
      <c r="F167" s="140" t="s">
        <v>714</v>
      </c>
      <c r="G167" s="65" t="s">
        <v>314</v>
      </c>
      <c r="H167" s="38">
        <v>1</v>
      </c>
      <c r="I167" s="38">
        <v>7500</v>
      </c>
      <c r="J167" s="15">
        <v>1</v>
      </c>
      <c r="K167" s="131" t="s">
        <v>183</v>
      </c>
      <c r="L167" s="37">
        <f t="shared" ref="L167" si="437">I167*H167</f>
        <v>7500</v>
      </c>
      <c r="M167" s="38">
        <v>0</v>
      </c>
      <c r="N167" s="39">
        <f t="shared" ref="N167:N169" si="438">SUM(L167:M167)</f>
        <v>7500</v>
      </c>
      <c r="O167" s="141">
        <v>0</v>
      </c>
      <c r="P167" s="359">
        <f t="shared" si="378"/>
        <v>7725</v>
      </c>
      <c r="Q167" s="15">
        <v>1</v>
      </c>
      <c r="R167" s="37">
        <f t="shared" ref="R167:R169" si="439">O167*P167</f>
        <v>0</v>
      </c>
      <c r="S167" s="38">
        <v>0</v>
      </c>
      <c r="T167" s="39">
        <f t="shared" ref="T167:T169" si="440">SUM(R167:S167)</f>
        <v>0</v>
      </c>
      <c r="U167" s="37">
        <v>0</v>
      </c>
      <c r="V167" s="359">
        <f t="shared" si="381"/>
        <v>7956.75</v>
      </c>
      <c r="W167" s="15">
        <v>1</v>
      </c>
      <c r="X167" s="37">
        <f t="shared" ref="X167:X169" si="441">V167*U167</f>
        <v>0</v>
      </c>
      <c r="Y167" s="38">
        <v>0</v>
      </c>
      <c r="Z167" s="39">
        <f t="shared" ref="Z167:Z169" si="442">SUM(X167:Y167)</f>
        <v>0</v>
      </c>
      <c r="AA167" s="37">
        <v>0</v>
      </c>
      <c r="AB167" s="359">
        <f t="shared" si="384"/>
        <v>8195.4524999999994</v>
      </c>
      <c r="AC167" s="15">
        <v>1</v>
      </c>
      <c r="AD167" s="37">
        <f t="shared" ref="AD167:AD169" si="443">AB167*AA167</f>
        <v>0</v>
      </c>
      <c r="AE167" s="38">
        <v>0</v>
      </c>
      <c r="AF167" s="39">
        <f t="shared" ref="AF167:AF169" si="444">SUM(AD167:AE167)</f>
        <v>0</v>
      </c>
      <c r="AG167" s="37">
        <v>0</v>
      </c>
      <c r="AH167" s="359">
        <f t="shared" si="387"/>
        <v>8441.3160749999988</v>
      </c>
      <c r="AI167" s="15">
        <v>1</v>
      </c>
      <c r="AJ167" s="37">
        <f>AH167*AG167</f>
        <v>0</v>
      </c>
      <c r="AK167" s="38">
        <v>0</v>
      </c>
      <c r="AL167" s="38">
        <f t="shared" ref="AL167:AL169" si="445">SUM(AJ167:AK167)</f>
        <v>0</v>
      </c>
      <c r="AM167" s="40">
        <f t="shared" si="435"/>
        <v>7500</v>
      </c>
      <c r="AN167" s="38">
        <f t="shared" si="435"/>
        <v>0</v>
      </c>
      <c r="AO167" s="40">
        <f t="shared" si="436"/>
        <v>7500</v>
      </c>
    </row>
    <row r="168" spans="1:43" s="1" customFormat="1" x14ac:dyDescent="0.45">
      <c r="A168" s="1" t="s">
        <v>210</v>
      </c>
      <c r="B168" s="710">
        <v>89050</v>
      </c>
      <c r="C168" s="258" t="s">
        <v>65</v>
      </c>
      <c r="D168" s="258" t="s">
        <v>65</v>
      </c>
      <c r="E168" s="1" t="s">
        <v>211</v>
      </c>
      <c r="F168" s="140" t="s">
        <v>715</v>
      </c>
      <c r="G168" s="65" t="s">
        <v>316</v>
      </c>
      <c r="H168" s="141">
        <v>2</v>
      </c>
      <c r="I168" s="38">
        <v>250</v>
      </c>
      <c r="J168" s="15">
        <v>1</v>
      </c>
      <c r="K168" s="131" t="s">
        <v>309</v>
      </c>
      <c r="L168" s="37">
        <f>I168*H168</f>
        <v>500</v>
      </c>
      <c r="M168" s="38">
        <v>0</v>
      </c>
      <c r="N168" s="39">
        <f t="shared" si="438"/>
        <v>500</v>
      </c>
      <c r="O168" s="141">
        <v>2</v>
      </c>
      <c r="P168" s="359">
        <f t="shared" si="378"/>
        <v>257.5</v>
      </c>
      <c r="Q168" s="15">
        <v>1</v>
      </c>
      <c r="R168" s="37">
        <f t="shared" si="439"/>
        <v>515</v>
      </c>
      <c r="S168" s="38">
        <v>0</v>
      </c>
      <c r="T168" s="39">
        <f t="shared" si="440"/>
        <v>515</v>
      </c>
      <c r="U168" s="37">
        <v>2</v>
      </c>
      <c r="V168" s="359">
        <f t="shared" si="381"/>
        <v>265.22500000000002</v>
      </c>
      <c r="W168" s="15">
        <v>1</v>
      </c>
      <c r="X168" s="37">
        <f t="shared" si="441"/>
        <v>530.45000000000005</v>
      </c>
      <c r="Y168" s="38">
        <v>0</v>
      </c>
      <c r="Z168" s="39">
        <f t="shared" si="442"/>
        <v>530.45000000000005</v>
      </c>
      <c r="AA168" s="37">
        <v>2</v>
      </c>
      <c r="AB168" s="359">
        <f t="shared" si="384"/>
        <v>273.18175000000002</v>
      </c>
      <c r="AC168" s="15">
        <v>1</v>
      </c>
      <c r="AD168" s="37">
        <f t="shared" si="443"/>
        <v>546.36350000000004</v>
      </c>
      <c r="AE168" s="38">
        <v>0</v>
      </c>
      <c r="AF168" s="39">
        <f t="shared" si="444"/>
        <v>546.36350000000004</v>
      </c>
      <c r="AG168" s="37">
        <v>2</v>
      </c>
      <c r="AH168" s="359">
        <f t="shared" si="387"/>
        <v>281.37720250000001</v>
      </c>
      <c r="AI168" s="15">
        <v>1</v>
      </c>
      <c r="AJ168" s="37">
        <f>AH168*AG168</f>
        <v>562.75440500000002</v>
      </c>
      <c r="AK168" s="38">
        <v>0</v>
      </c>
      <c r="AL168" s="38">
        <f t="shared" si="445"/>
        <v>562.75440500000002</v>
      </c>
      <c r="AM168" s="40">
        <f t="shared" si="435"/>
        <v>2654.5679050000003</v>
      </c>
      <c r="AN168" s="38">
        <f t="shared" si="435"/>
        <v>0</v>
      </c>
      <c r="AO168" s="40">
        <f t="shared" si="436"/>
        <v>2654.5679050000003</v>
      </c>
    </row>
    <row r="169" spans="1:43" s="1" customFormat="1" x14ac:dyDescent="0.45">
      <c r="A169" s="1" t="s">
        <v>210</v>
      </c>
      <c r="B169" s="710">
        <v>89050</v>
      </c>
      <c r="C169" s="258" t="s">
        <v>65</v>
      </c>
      <c r="D169" s="258" t="s">
        <v>65</v>
      </c>
      <c r="E169" s="1" t="s">
        <v>211</v>
      </c>
      <c r="F169" s="140" t="s">
        <v>716</v>
      </c>
      <c r="G169" s="65" t="s">
        <v>318</v>
      </c>
      <c r="H169" s="141">
        <v>2</v>
      </c>
      <c r="I169" s="38">
        <v>250</v>
      </c>
      <c r="J169" s="15">
        <v>1</v>
      </c>
      <c r="K169" s="131" t="s">
        <v>309</v>
      </c>
      <c r="L169" s="37">
        <f>I169*H169</f>
        <v>500</v>
      </c>
      <c r="M169" s="38">
        <v>0</v>
      </c>
      <c r="N169" s="39">
        <f t="shared" si="438"/>
        <v>500</v>
      </c>
      <c r="O169" s="141">
        <v>2</v>
      </c>
      <c r="P169" s="359">
        <f t="shared" si="378"/>
        <v>257.5</v>
      </c>
      <c r="Q169" s="15">
        <v>1</v>
      </c>
      <c r="R169" s="37">
        <f t="shared" si="439"/>
        <v>515</v>
      </c>
      <c r="S169" s="38">
        <v>0</v>
      </c>
      <c r="T169" s="39">
        <f t="shared" si="440"/>
        <v>515</v>
      </c>
      <c r="U169" s="37">
        <v>2</v>
      </c>
      <c r="V169" s="359">
        <f t="shared" si="381"/>
        <v>265.22500000000002</v>
      </c>
      <c r="W169" s="15">
        <v>1</v>
      </c>
      <c r="X169" s="37">
        <f t="shared" si="441"/>
        <v>530.45000000000005</v>
      </c>
      <c r="Y169" s="38">
        <v>0</v>
      </c>
      <c r="Z169" s="39">
        <f t="shared" si="442"/>
        <v>530.45000000000005</v>
      </c>
      <c r="AA169" s="37">
        <v>2</v>
      </c>
      <c r="AB169" s="359">
        <f t="shared" si="384"/>
        <v>273.18175000000002</v>
      </c>
      <c r="AC169" s="15">
        <v>1</v>
      </c>
      <c r="AD169" s="37">
        <f t="shared" si="443"/>
        <v>546.36350000000004</v>
      </c>
      <c r="AE169" s="38">
        <v>0</v>
      </c>
      <c r="AF169" s="39">
        <f t="shared" si="444"/>
        <v>546.36350000000004</v>
      </c>
      <c r="AG169" s="37">
        <v>2</v>
      </c>
      <c r="AH169" s="359">
        <f t="shared" si="387"/>
        <v>281.37720250000001</v>
      </c>
      <c r="AI169" s="15">
        <v>1</v>
      </c>
      <c r="AJ169" s="37">
        <f>AH169*AG169</f>
        <v>562.75440500000002</v>
      </c>
      <c r="AK169" s="38">
        <v>0</v>
      </c>
      <c r="AL169" s="38">
        <f t="shared" si="445"/>
        <v>562.75440500000002</v>
      </c>
      <c r="AM169" s="40">
        <f t="shared" si="435"/>
        <v>2654.5679050000003</v>
      </c>
      <c r="AN169" s="38">
        <f t="shared" si="435"/>
        <v>0</v>
      </c>
      <c r="AO169" s="40">
        <f t="shared" si="436"/>
        <v>2654.5679050000003</v>
      </c>
    </row>
    <row r="170" spans="1:43" x14ac:dyDescent="0.45">
      <c r="A170" s="455"/>
      <c r="B170" s="455"/>
      <c r="C170" s="455"/>
      <c r="D170" s="455"/>
      <c r="E170" s="455"/>
      <c r="F170" s="455"/>
      <c r="G170" s="455"/>
      <c r="H170" s="435"/>
      <c r="L170" s="400"/>
      <c r="M170" s="359"/>
      <c r="N170" s="401"/>
      <c r="O170" s="435"/>
      <c r="R170" s="400"/>
      <c r="S170" s="359"/>
      <c r="T170" s="401"/>
      <c r="U170" s="435"/>
      <c r="X170" s="400"/>
      <c r="Y170" s="359"/>
      <c r="Z170" s="401"/>
      <c r="AA170" s="435"/>
      <c r="AD170" s="400"/>
      <c r="AE170" s="359"/>
      <c r="AF170" s="401"/>
      <c r="AG170" s="435"/>
      <c r="AJ170" s="400"/>
      <c r="AK170" s="359"/>
      <c r="AL170" s="359"/>
      <c r="AM170" s="402"/>
      <c r="AN170" s="359"/>
      <c r="AO170" s="402"/>
    </row>
    <row r="171" spans="1:43" s="361" customFormat="1" ht="12.3" x14ac:dyDescent="0.4">
      <c r="A171" s="473"/>
      <c r="B171" s="473"/>
      <c r="C171" s="473"/>
      <c r="D171" s="473"/>
      <c r="E171" s="473"/>
      <c r="F171" s="473"/>
      <c r="G171" s="473" t="s">
        <v>326</v>
      </c>
      <c r="H171" s="474"/>
      <c r="I171" s="475"/>
      <c r="J171" s="475"/>
      <c r="K171" s="475"/>
      <c r="L171" s="414">
        <f>SUM(L136:L169)</f>
        <v>131800</v>
      </c>
      <c r="M171" s="414">
        <f>SUM(M136:M169)</f>
        <v>35325</v>
      </c>
      <c r="N171" s="414">
        <f>SUM(N136:N169)</f>
        <v>167125</v>
      </c>
      <c r="O171" s="474"/>
      <c r="P171" s="475"/>
      <c r="Q171" s="475"/>
      <c r="R171" s="414">
        <f>SUM(R136:R169)</f>
        <v>135233.79999999999</v>
      </c>
      <c r="S171" s="414">
        <f>SUM(S136:S169)</f>
        <v>43720</v>
      </c>
      <c r="T171" s="414">
        <f>SUM(T136:T169)</f>
        <v>178953.8</v>
      </c>
      <c r="U171" s="474"/>
      <c r="V171" s="475"/>
      <c r="W171" s="475"/>
      <c r="X171" s="414">
        <f>SUM(X136:X169)</f>
        <v>151369.21200000003</v>
      </c>
      <c r="Y171" s="414">
        <f>SUM(Y136:Y169)</f>
        <v>36542.700500000006</v>
      </c>
      <c r="Z171" s="414">
        <f>SUM(Z136:Z169)</f>
        <v>187911.91250000006</v>
      </c>
      <c r="AA171" s="474"/>
      <c r="AB171" s="475"/>
      <c r="AC171" s="475"/>
      <c r="AD171" s="414">
        <f>SUM(AD136:AD169)</f>
        <v>155975.85198000001</v>
      </c>
      <c r="AE171" s="414">
        <f>SUM(AE136:AE169)</f>
        <v>37638.981515000007</v>
      </c>
      <c r="AF171" s="414">
        <f>SUM(AF136:AF169)</f>
        <v>193614.83349500006</v>
      </c>
      <c r="AG171" s="474"/>
      <c r="AH171" s="475"/>
      <c r="AI171" s="475"/>
      <c r="AJ171" s="414">
        <f t="shared" ref="AJ171:AO171" si="446">SUM(AJ136:AJ169)</f>
        <v>20129.725066849998</v>
      </c>
      <c r="AK171" s="414">
        <f t="shared" si="446"/>
        <v>38768.150960450002</v>
      </c>
      <c r="AL171" s="414">
        <f t="shared" si="446"/>
        <v>58897.876027300001</v>
      </c>
      <c r="AM171" s="469">
        <f t="shared" si="446"/>
        <v>594508.58904684987</v>
      </c>
      <c r="AN171" s="561">
        <f t="shared" si="446"/>
        <v>191994.83297545003</v>
      </c>
      <c r="AO171" s="469">
        <f t="shared" si="446"/>
        <v>786503.42202229972</v>
      </c>
    </row>
    <row r="172" spans="1:43" x14ac:dyDescent="0.45">
      <c r="A172" s="455"/>
      <c r="B172" s="455"/>
      <c r="C172" s="455"/>
      <c r="D172" s="455"/>
      <c r="E172" s="455"/>
      <c r="F172" s="455"/>
      <c r="G172" s="455"/>
      <c r="H172" s="435"/>
      <c r="L172" s="400"/>
      <c r="M172" s="359"/>
      <c r="N172" s="401"/>
      <c r="O172" s="435"/>
      <c r="R172" s="400"/>
      <c r="S172" s="359"/>
      <c r="T172" s="401"/>
      <c r="U172" s="435"/>
      <c r="X172" s="400"/>
      <c r="Y172" s="359"/>
      <c r="Z172" s="401"/>
      <c r="AA172" s="435"/>
      <c r="AD172" s="400"/>
      <c r="AE172" s="359"/>
      <c r="AF172" s="401"/>
      <c r="AG172" s="435"/>
      <c r="AJ172" s="400"/>
      <c r="AK172" s="359"/>
      <c r="AL172" s="359"/>
      <c r="AM172" s="402"/>
      <c r="AN172" s="359"/>
      <c r="AO172" s="402"/>
    </row>
    <row r="173" spans="1:43" s="361" customFormat="1" ht="12.3" x14ac:dyDescent="0.4">
      <c r="A173" s="492"/>
      <c r="B173" s="492"/>
      <c r="C173" s="492"/>
      <c r="D173" s="492"/>
      <c r="E173" s="492"/>
      <c r="F173" s="492"/>
      <c r="G173" s="492" t="s">
        <v>20</v>
      </c>
      <c r="H173" s="493"/>
      <c r="I173" s="494"/>
      <c r="J173" s="494"/>
      <c r="K173" s="495"/>
      <c r="L173" s="683">
        <f>L171+L131+L114+L106+L100+L49+L43</f>
        <v>1335037.683375</v>
      </c>
      <c r="M173" s="684">
        <f>M171+M131+M114+M106+M100+M49+M43</f>
        <v>50550.616626428571</v>
      </c>
      <c r="N173" s="685">
        <f>SUM(L173:M173)</f>
        <v>1385588.3000014287</v>
      </c>
      <c r="O173" s="493"/>
      <c r="P173" s="494"/>
      <c r="Q173" s="494"/>
      <c r="R173" s="686">
        <f>R171+R131+R114+R106+R100+R49+R43</f>
        <v>1881177.6409</v>
      </c>
      <c r="S173" s="684">
        <f>S171+S131+S114+S106+S100+S49+S43</f>
        <v>63179.691941782861</v>
      </c>
      <c r="T173" s="685">
        <f>SUM(R173:S173)</f>
        <v>1944357.3328417828</v>
      </c>
      <c r="U173" s="493"/>
      <c r="V173" s="494"/>
      <c r="W173" s="494"/>
      <c r="X173" s="687">
        <f>X171+X131+X114+X106+X100+X49+X43</f>
        <v>1857472.9675360003</v>
      </c>
      <c r="Y173" s="688">
        <f>Y171+Y131+Y114+Y106+Y100+Y49+Y43</f>
        <v>56780.780119454175</v>
      </c>
      <c r="Z173" s="689">
        <f>Z171+Z131+Z114+Z106+Z100+Z49+Z43</f>
        <v>1914253.7476554543</v>
      </c>
      <c r="AA173" s="493"/>
      <c r="AB173" s="494"/>
      <c r="AC173" s="494"/>
      <c r="AD173" s="687">
        <f>AD171+AD131+AD114+AD106+AD100+AD49+AD43</f>
        <v>1898421.3275874401</v>
      </c>
      <c r="AE173" s="688">
        <f>AE171+AE131+AE114+AE106+AE100+AE49+AE43</f>
        <v>58686.584319232345</v>
      </c>
      <c r="AF173" s="689">
        <f>AF171+AF131+AF114+AF106+AF100+AF49+AF43</f>
        <v>1957107.9119066724</v>
      </c>
      <c r="AG173" s="493"/>
      <c r="AH173" s="494"/>
      <c r="AI173" s="494"/>
      <c r="AJ173" s="689">
        <f>AJ171+AJ131+AJ114+AJ106+AJ100+AJ49+AJ43</f>
        <v>1201768.8695117079</v>
      </c>
      <c r="AK173" s="688">
        <f>AK171+AK131+AK114+AK106+AK100+AK49+AK43</f>
        <v>58044.546931748278</v>
      </c>
      <c r="AL173" s="688">
        <f>AL171+AL131+AL114+AL106+AL100+AL49+AL43</f>
        <v>1259813.4164434562</v>
      </c>
      <c r="AM173" s="690">
        <f>AJ173+AD173+X173+R173+L173</f>
        <v>8173878.4889101489</v>
      </c>
      <c r="AN173" s="688">
        <f>AK173+AE173+Y173+S173+M173</f>
        <v>287242.21993864625</v>
      </c>
      <c r="AO173" s="690">
        <f>SUM(AM173:AN173)</f>
        <v>8461120.7088487949</v>
      </c>
    </row>
    <row r="174" spans="1:43" s="361" customFormat="1" x14ac:dyDescent="0.45">
      <c r="A174" s="101" t="s">
        <v>210</v>
      </c>
      <c r="B174" s="711">
        <v>89050</v>
      </c>
      <c r="C174" s="101" t="s">
        <v>65</v>
      </c>
      <c r="D174" s="101" t="s">
        <v>65</v>
      </c>
      <c r="E174" s="101" t="s">
        <v>211</v>
      </c>
      <c r="F174" s="101" t="s">
        <v>717</v>
      </c>
      <c r="G174" s="101" t="s">
        <v>510</v>
      </c>
      <c r="H174" s="496">
        <v>0.1</v>
      </c>
      <c r="I174" s="497"/>
      <c r="J174" s="497"/>
      <c r="K174" s="498"/>
      <c r="L174" s="691">
        <f>(L173-L106-L120)*$H174</f>
        <v>98503.768337500005</v>
      </c>
      <c r="M174" s="691">
        <f>(M173-M106-M120)*$H174</f>
        <v>5055.0616626428573</v>
      </c>
      <c r="N174" s="692">
        <f>SUM(L174:M174)</f>
        <v>103558.83000014286</v>
      </c>
      <c r="O174" s="496"/>
      <c r="P174" s="497"/>
      <c r="Q174" s="497"/>
      <c r="R174" s="691">
        <f>(R173-R106-R120)*$H174</f>
        <v>120617.76409000001</v>
      </c>
      <c r="S174" s="691">
        <f>(S173-S106-S120)*$H174</f>
        <v>6317.9691941782867</v>
      </c>
      <c r="T174" s="692">
        <f>SUM(R174:S174)</f>
        <v>126935.73328417829</v>
      </c>
      <c r="U174" s="496"/>
      <c r="V174" s="497"/>
      <c r="W174" s="497"/>
      <c r="X174" s="691">
        <f>(X173-X106-X120)*$H174</f>
        <v>118247.29675360004</v>
      </c>
      <c r="Y174" s="691">
        <f>(Y173-Y106-Y120)*$H174</f>
        <v>5678.0780119454175</v>
      </c>
      <c r="Z174" s="692">
        <f>SUM(X174:Y174)</f>
        <v>123925.37476554545</v>
      </c>
      <c r="AA174" s="496"/>
      <c r="AB174" s="497"/>
      <c r="AC174" s="497"/>
      <c r="AD174" s="691">
        <f>(AD173-AD106-AD120)*$H174</f>
        <v>122342.13275874402</v>
      </c>
      <c r="AE174" s="691">
        <f>(AE173-AE106-AE120)*$H174</f>
        <v>5868.6584319232352</v>
      </c>
      <c r="AF174" s="692">
        <f>SUM(AD174:AE174)</f>
        <v>128210.79119066725</v>
      </c>
      <c r="AG174" s="496"/>
      <c r="AH174" s="497"/>
      <c r="AI174" s="497"/>
      <c r="AJ174" s="691">
        <f>(AJ173-AJ106-AJ120)*$H174</f>
        <v>52676.886951170796</v>
      </c>
      <c r="AK174" s="691">
        <f>(AK173-AK106-AK120)*$H174</f>
        <v>5804.4546931748282</v>
      </c>
      <c r="AL174" s="693">
        <f>SUM(AJ174:AK174)</f>
        <v>58481.341644345623</v>
      </c>
      <c r="AM174" s="694">
        <f>AJ174+AD174+X174+R174+L174</f>
        <v>512387.84889101482</v>
      </c>
      <c r="AN174" s="693">
        <f>AK174+AE174+Y174+S174+M174</f>
        <v>28724.221993864627</v>
      </c>
      <c r="AO174" s="694">
        <f>SUM(AM174:AN174)</f>
        <v>541112.07088487945</v>
      </c>
    </row>
    <row r="175" spans="1:43" ht="12.9" thickBot="1" x14ac:dyDescent="0.5">
      <c r="A175" s="595"/>
      <c r="B175" s="595"/>
      <c r="C175" s="595"/>
      <c r="D175" s="595"/>
      <c r="E175" s="595"/>
      <c r="F175" s="595"/>
      <c r="G175" s="595" t="s">
        <v>8</v>
      </c>
      <c r="H175" s="499"/>
      <c r="I175" s="500"/>
      <c r="J175" s="500"/>
      <c r="K175" s="501"/>
      <c r="L175" s="695">
        <f>SUM(L173:L174)</f>
        <v>1433541.4517125001</v>
      </c>
      <c r="M175" s="696">
        <f t="shared" ref="M175:AL175" si="447">SUM(M173:M174)</f>
        <v>55605.678289071431</v>
      </c>
      <c r="N175" s="697">
        <f t="shared" si="447"/>
        <v>1489147.1300015715</v>
      </c>
      <c r="O175" s="499"/>
      <c r="P175" s="500"/>
      <c r="Q175" s="500"/>
      <c r="R175" s="695">
        <f t="shared" si="447"/>
        <v>2001795.40499</v>
      </c>
      <c r="S175" s="696">
        <f t="shared" si="447"/>
        <v>69497.661135961142</v>
      </c>
      <c r="T175" s="697">
        <f t="shared" si="447"/>
        <v>2071293.066125961</v>
      </c>
      <c r="U175" s="499"/>
      <c r="V175" s="500"/>
      <c r="W175" s="500"/>
      <c r="X175" s="695">
        <f>SUM(X173:X174)</f>
        <v>1975720.2642896003</v>
      </c>
      <c r="Y175" s="696">
        <f t="shared" si="447"/>
        <v>62458.858131399596</v>
      </c>
      <c r="Z175" s="697">
        <f t="shared" si="447"/>
        <v>2038179.1224209997</v>
      </c>
      <c r="AA175" s="499"/>
      <c r="AB175" s="500"/>
      <c r="AC175" s="500"/>
      <c r="AD175" s="695">
        <f t="shared" si="447"/>
        <v>2020763.4603461842</v>
      </c>
      <c r="AE175" s="696">
        <f t="shared" si="447"/>
        <v>64555.24275115558</v>
      </c>
      <c r="AF175" s="697">
        <f t="shared" si="447"/>
        <v>2085318.7030973397</v>
      </c>
      <c r="AG175" s="499"/>
      <c r="AH175" s="500"/>
      <c r="AI175" s="500"/>
      <c r="AJ175" s="695">
        <f>SUM(AJ173:AJ174)</f>
        <v>1254445.7564628788</v>
      </c>
      <c r="AK175" s="696">
        <f t="shared" si="447"/>
        <v>63849.001624923105</v>
      </c>
      <c r="AL175" s="696">
        <f t="shared" si="447"/>
        <v>1318294.7580878017</v>
      </c>
      <c r="AM175" s="698">
        <f>ROUNDDOWN(AJ175+AD175+X175+R175+L175,2)</f>
        <v>8686266.3300000001</v>
      </c>
      <c r="AN175" s="696">
        <f t="shared" ref="AN175" si="448">AK175+AE175+Y175+S175+M175</f>
        <v>315966.44193251082</v>
      </c>
      <c r="AO175" s="698">
        <f>SUM(AM175:AN175)</f>
        <v>9002232.7719325107</v>
      </c>
      <c r="AP175" s="359"/>
    </row>
    <row r="176" spans="1:43" x14ac:dyDescent="0.45">
      <c r="L176" s="359"/>
      <c r="M176" s="359"/>
      <c r="N176" s="359"/>
      <c r="R176" s="359"/>
      <c r="S176" s="359"/>
      <c r="T176" s="359"/>
      <c r="X176" s="359"/>
      <c r="Y176" s="359"/>
      <c r="Z176" s="359"/>
      <c r="AD176" s="359"/>
      <c r="AE176" s="359"/>
      <c r="AF176" s="359"/>
      <c r="AJ176" s="359"/>
      <c r="AK176" s="359"/>
      <c r="AL176" s="359"/>
      <c r="AN176" s="502"/>
      <c r="AO176" s="359"/>
    </row>
    <row r="177" spans="1:41" x14ac:dyDescent="0.45">
      <c r="A177" s="503"/>
      <c r="B177" s="503"/>
      <c r="C177" s="503"/>
      <c r="D177" s="503"/>
      <c r="E177" s="503"/>
      <c r="F177" s="503"/>
      <c r="G177" s="503"/>
      <c r="L177" s="359"/>
      <c r="M177" s="359"/>
      <c r="N177" s="359"/>
      <c r="R177" s="359"/>
      <c r="S177" s="359"/>
      <c r="T177" s="359"/>
      <c r="X177" s="359"/>
      <c r="Y177" s="359"/>
      <c r="Z177" s="359"/>
      <c r="AD177" s="359"/>
      <c r="AE177" s="359"/>
      <c r="AF177" s="359"/>
      <c r="AJ177" s="359"/>
      <c r="AK177" s="359"/>
      <c r="AL177" s="359"/>
      <c r="AM177" s="609"/>
      <c r="AN177" s="359"/>
      <c r="AO177" s="486"/>
    </row>
    <row r="178" spans="1:41" x14ac:dyDescent="0.45">
      <c r="AJ178" s="359"/>
      <c r="AK178" s="359"/>
      <c r="AL178" s="359"/>
      <c r="AM178" s="364"/>
      <c r="AN178" s="359"/>
    </row>
    <row r="179" spans="1:41" x14ac:dyDescent="0.45">
      <c r="AJ179" s="359"/>
      <c r="AK179" s="359"/>
      <c r="AL179" s="359"/>
      <c r="AM179" s="364"/>
      <c r="AN179" s="359"/>
    </row>
    <row r="180" spans="1:41" x14ac:dyDescent="0.45">
      <c r="AJ180" s="359"/>
      <c r="AK180" s="359"/>
      <c r="AL180" s="359"/>
      <c r="AM180" s="359"/>
      <c r="AN180" s="359"/>
      <c r="AO180" s="359"/>
    </row>
    <row r="181" spans="1:41" x14ac:dyDescent="0.45">
      <c r="AM181" s="504"/>
    </row>
    <row r="183" spans="1:41" x14ac:dyDescent="0.45">
      <c r="AJ183" s="354" t="s">
        <v>329</v>
      </c>
      <c r="AM183" s="505"/>
    </row>
  </sheetData>
  <mergeCells count="12">
    <mergeCell ref="F11:F12"/>
    <mergeCell ref="A11:A12"/>
    <mergeCell ref="B11:B12"/>
    <mergeCell ref="C11:C12"/>
    <mergeCell ref="D11:D12"/>
    <mergeCell ref="E11:E12"/>
    <mergeCell ref="U11:Z11"/>
    <mergeCell ref="H1:AO1"/>
    <mergeCell ref="H2:AO2"/>
    <mergeCell ref="H3:AO3"/>
    <mergeCell ref="H4:AO4"/>
    <mergeCell ref="G8:T8"/>
  </mergeCells>
  <phoneticPr fontId="5" type="noConversion"/>
  <pageMargins left="0.5" right="0.34" top="0.63" bottom="0.41" header="0.5" footer="0.5"/>
  <pageSetup paperSize="17" scale="60" fitToHeight="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4"/>
  <sheetViews>
    <sheetView topLeftCell="A50" zoomScaleNormal="100" workbookViewId="0">
      <selection activeCell="A72" sqref="A72"/>
    </sheetView>
  </sheetViews>
  <sheetFormatPr defaultColWidth="8.83203125" defaultRowHeight="12.6" x14ac:dyDescent="0.45"/>
  <cols>
    <col min="1" max="1" width="61.5546875" style="1" bestFit="1" customWidth="1"/>
    <col min="2" max="2" width="7.44140625" style="177" customWidth="1"/>
    <col min="3" max="3" width="6.44140625" style="1" bestFit="1" customWidth="1"/>
    <col min="4" max="4" width="9.1640625" style="177"/>
    <col min="5" max="5" width="6.1640625" style="1" customWidth="1"/>
    <col min="6" max="6" width="54.44140625" style="1" bestFit="1" customWidth="1"/>
    <col min="7" max="7" width="6.44140625" style="177" bestFit="1" customWidth="1"/>
    <col min="8" max="8" width="9.5546875" style="1" bestFit="1" customWidth="1"/>
    <col min="9" max="16384" width="8.83203125" style="1"/>
  </cols>
  <sheetData>
    <row r="1" spans="1:4" s="9" customFormat="1" ht="15" customHeight="1" x14ac:dyDescent="0.4">
      <c r="A1" s="171" t="s">
        <v>17</v>
      </c>
      <c r="B1" s="187"/>
      <c r="C1" s="188"/>
      <c r="D1" s="187"/>
    </row>
    <row r="2" spans="1:4" s="9" customFormat="1" ht="15" customHeight="1" x14ac:dyDescent="0.4">
      <c r="A2" s="188"/>
      <c r="B2" s="187" t="s">
        <v>718</v>
      </c>
      <c r="C2" s="188" t="s">
        <v>49</v>
      </c>
      <c r="D2" s="187" t="s">
        <v>8</v>
      </c>
    </row>
    <row r="3" spans="1:4" s="9" customFormat="1" ht="15" customHeight="1" x14ac:dyDescent="0.45">
      <c r="A3" s="172"/>
      <c r="B3" s="173"/>
      <c r="C3" s="172"/>
      <c r="D3" s="173"/>
    </row>
    <row r="4" spans="1:4" ht="15" customHeight="1" x14ac:dyDescent="0.45">
      <c r="A4" s="174" t="s">
        <v>719</v>
      </c>
      <c r="B4" s="175"/>
      <c r="C4" s="176"/>
      <c r="D4" s="175"/>
    </row>
    <row r="5" spans="1:4" ht="15" customHeight="1" x14ac:dyDescent="0.45">
      <c r="A5" s="172" t="s">
        <v>720</v>
      </c>
      <c r="B5" s="173">
        <f>B31</f>
        <v>1204.99</v>
      </c>
      <c r="C5" s="271">
        <f>'Budget Partners'!G117</f>
        <v>3</v>
      </c>
      <c r="D5" s="173">
        <f>B5*C5</f>
        <v>3614.9700000000003</v>
      </c>
    </row>
    <row r="6" spans="1:4" ht="15" customHeight="1" x14ac:dyDescent="0.45">
      <c r="A6" s="172" t="s">
        <v>185</v>
      </c>
      <c r="B6" s="173">
        <f>B39</f>
        <v>469.95</v>
      </c>
      <c r="C6" s="271">
        <f>'Budget Partners'!G118</f>
        <v>1</v>
      </c>
      <c r="D6" s="173">
        <f>B6*C6</f>
        <v>469.95</v>
      </c>
    </row>
    <row r="7" spans="1:4" ht="15" customHeight="1" x14ac:dyDescent="0.45">
      <c r="A7" s="172" t="s">
        <v>187</v>
      </c>
      <c r="B7" s="173">
        <f>B45</f>
        <v>854</v>
      </c>
      <c r="C7" s="271">
        <f>'Budget Partners'!G119</f>
        <v>1</v>
      </c>
      <c r="D7" s="173">
        <f>B7*C7</f>
        <v>854</v>
      </c>
    </row>
    <row r="8" spans="1:4" ht="15" customHeight="1" x14ac:dyDescent="0.45">
      <c r="A8" s="172" t="s">
        <v>189</v>
      </c>
      <c r="B8" s="173">
        <f>B69</f>
        <v>2790</v>
      </c>
      <c r="C8" s="271">
        <f>'Budget Partners'!G120</f>
        <v>3</v>
      </c>
      <c r="D8" s="173">
        <f>B8*C8</f>
        <v>8370</v>
      </c>
    </row>
    <row r="9" spans="1:4" ht="15" customHeight="1" x14ac:dyDescent="0.45">
      <c r="A9" s="178" t="s">
        <v>721</v>
      </c>
      <c r="B9" s="173"/>
      <c r="C9" s="172"/>
      <c r="D9" s="179">
        <f>SUM(D5:D8)</f>
        <v>13308.92</v>
      </c>
    </row>
    <row r="10" spans="1:4" ht="15" customHeight="1" x14ac:dyDescent="0.45">
      <c r="A10" s="172"/>
      <c r="B10" s="173"/>
      <c r="C10" s="172"/>
      <c r="D10" s="173"/>
    </row>
    <row r="11" spans="1:4" ht="15" customHeight="1" x14ac:dyDescent="0.45">
      <c r="A11" s="174" t="s">
        <v>722</v>
      </c>
      <c r="B11" s="175"/>
      <c r="C11" s="176"/>
      <c r="D11" s="175"/>
    </row>
    <row r="12" spans="1:4" ht="15" customHeight="1" x14ac:dyDescent="0.45">
      <c r="A12" s="180" t="s">
        <v>723</v>
      </c>
      <c r="B12" s="173"/>
      <c r="C12" s="172"/>
      <c r="D12" s="173"/>
    </row>
    <row r="13" spans="1:4" ht="15" customHeight="1" x14ac:dyDescent="0.45">
      <c r="A13" s="172" t="s">
        <v>724</v>
      </c>
      <c r="B13" s="173">
        <f>B31</f>
        <v>1204.99</v>
      </c>
      <c r="C13" s="271">
        <f>'Budget Partners'!G125</f>
        <v>14</v>
      </c>
      <c r="D13" s="173">
        <f t="shared" ref="D13:D18" si="0">B13*C13</f>
        <v>16869.86</v>
      </c>
    </row>
    <row r="14" spans="1:4" ht="15" customHeight="1" x14ac:dyDescent="0.45">
      <c r="A14" s="172" t="s">
        <v>196</v>
      </c>
      <c r="B14" s="173">
        <f>B51</f>
        <v>839</v>
      </c>
      <c r="C14" s="271">
        <f>'Budget Partners'!G126</f>
        <v>6</v>
      </c>
      <c r="D14" s="173">
        <f t="shared" si="0"/>
        <v>5034</v>
      </c>
    </row>
    <row r="15" spans="1:4" ht="15" customHeight="1" x14ac:dyDescent="0.45">
      <c r="A15" s="172" t="s">
        <v>197</v>
      </c>
      <c r="B15" s="173">
        <f>B39</f>
        <v>469.95</v>
      </c>
      <c r="C15" s="271">
        <f>'Budget Partners'!G127</f>
        <v>6</v>
      </c>
      <c r="D15" s="173">
        <f t="shared" si="0"/>
        <v>2819.7</v>
      </c>
    </row>
    <row r="16" spans="1:4" ht="15" customHeight="1" x14ac:dyDescent="0.45">
      <c r="A16" s="172" t="s">
        <v>198</v>
      </c>
      <c r="B16" s="173">
        <f>B59</f>
        <v>346.95</v>
      </c>
      <c r="C16" s="271">
        <f>'Budget Partners'!G128</f>
        <v>6</v>
      </c>
      <c r="D16" s="173">
        <f t="shared" si="0"/>
        <v>2081.6999999999998</v>
      </c>
    </row>
    <row r="17" spans="1:7" ht="15" customHeight="1" x14ac:dyDescent="0.45">
      <c r="A17" s="172" t="s">
        <v>199</v>
      </c>
      <c r="B17" s="173">
        <f>B45</f>
        <v>854</v>
      </c>
      <c r="C17" s="271">
        <f>'Budget Partners'!G129</f>
        <v>6</v>
      </c>
      <c r="D17" s="173">
        <f t="shared" si="0"/>
        <v>5124</v>
      </c>
    </row>
    <row r="18" spans="1:7" ht="15" customHeight="1" x14ac:dyDescent="0.45">
      <c r="A18" s="172" t="s">
        <v>725</v>
      </c>
      <c r="B18" s="173">
        <f>B74</f>
        <v>720</v>
      </c>
      <c r="C18" s="271">
        <f>'Budget Partners'!G130</f>
        <v>3</v>
      </c>
      <c r="D18" s="173">
        <f t="shared" si="0"/>
        <v>2160</v>
      </c>
    </row>
    <row r="19" spans="1:7" ht="15" customHeight="1" x14ac:dyDescent="0.45">
      <c r="A19" s="178" t="s">
        <v>726</v>
      </c>
      <c r="B19" s="173"/>
      <c r="C19" s="172"/>
      <c r="D19" s="179">
        <f>SUM(D13:D18)</f>
        <v>34089.26</v>
      </c>
    </row>
    <row r="20" spans="1:7" ht="15" customHeight="1" x14ac:dyDescent="0.45">
      <c r="A20" s="178"/>
      <c r="B20" s="173"/>
      <c r="C20" s="172"/>
      <c r="D20" s="179"/>
    </row>
    <row r="21" spans="1:7" ht="15" customHeight="1" x14ac:dyDescent="0.45">
      <c r="A21" s="181" t="s">
        <v>727</v>
      </c>
      <c r="B21" s="182"/>
      <c r="C21" s="183"/>
      <c r="D21" s="184">
        <f>D19+D9</f>
        <v>47398.18</v>
      </c>
    </row>
    <row r="22" spans="1:7" ht="15" customHeight="1" x14ac:dyDescent="0.45"/>
    <row r="23" spans="1:7" ht="15" customHeight="1" x14ac:dyDescent="0.45">
      <c r="E23" s="185"/>
    </row>
    <row r="24" spans="1:7" ht="15" customHeight="1" x14ac:dyDescent="0.45">
      <c r="A24" s="189" t="s">
        <v>728</v>
      </c>
      <c r="B24" s="190"/>
      <c r="C24" s="177"/>
      <c r="D24" s="185"/>
      <c r="F24" s="177"/>
      <c r="G24" s="1"/>
    </row>
    <row r="25" spans="1:7" ht="15" customHeight="1" x14ac:dyDescent="0.45">
      <c r="A25" s="191" t="s">
        <v>729</v>
      </c>
      <c r="B25" s="192" t="s">
        <v>730</v>
      </c>
      <c r="C25" s="177"/>
      <c r="D25" s="1"/>
      <c r="F25" s="177"/>
      <c r="G25" s="1"/>
    </row>
    <row r="26" spans="1:7" ht="15" customHeight="1" x14ac:dyDescent="0.45">
      <c r="A26" s="193"/>
      <c r="B26" s="194"/>
      <c r="C26" s="177"/>
      <c r="D26" s="1"/>
      <c r="F26" s="177"/>
      <c r="G26" s="1"/>
    </row>
    <row r="27" spans="1:7" ht="15" customHeight="1" x14ac:dyDescent="0.45">
      <c r="A27" s="180" t="s">
        <v>731</v>
      </c>
      <c r="B27" s="179"/>
      <c r="C27" s="177"/>
      <c r="D27" s="1"/>
      <c r="F27" s="177"/>
      <c r="G27" s="1"/>
    </row>
    <row r="28" spans="1:7" x14ac:dyDescent="0.45">
      <c r="A28" s="172" t="s">
        <v>732</v>
      </c>
      <c r="B28" s="173">
        <v>1150</v>
      </c>
      <c r="C28" s="177"/>
      <c r="D28" s="1"/>
      <c r="F28" s="177"/>
      <c r="G28" s="1"/>
    </row>
    <row r="29" spans="1:7" x14ac:dyDescent="0.45">
      <c r="A29" s="172" t="s">
        <v>733</v>
      </c>
      <c r="B29" s="173">
        <v>35</v>
      </c>
      <c r="C29" s="177"/>
      <c r="D29" s="1"/>
      <c r="F29" s="177"/>
      <c r="G29" s="1"/>
    </row>
    <row r="30" spans="1:7" x14ac:dyDescent="0.45">
      <c r="A30" s="172" t="s">
        <v>734</v>
      </c>
      <c r="B30" s="173">
        <v>19.989999999999998</v>
      </c>
      <c r="C30" s="177"/>
      <c r="D30" s="1"/>
      <c r="F30" s="177"/>
      <c r="G30" s="1"/>
    </row>
    <row r="31" spans="1:7" x14ac:dyDescent="0.45">
      <c r="A31" s="172"/>
      <c r="B31" s="179">
        <f>SUM(B28:B30)</f>
        <v>1204.99</v>
      </c>
      <c r="C31" s="177"/>
      <c r="D31" s="1"/>
      <c r="F31" s="177"/>
      <c r="G31" s="1"/>
    </row>
    <row r="32" spans="1:7" x14ac:dyDescent="0.45">
      <c r="A32" s="193"/>
      <c r="B32" s="194"/>
      <c r="C32" s="177"/>
      <c r="D32" s="1"/>
      <c r="F32" s="177"/>
      <c r="G32" s="1"/>
    </row>
    <row r="33" spans="1:7" x14ac:dyDescent="0.45">
      <c r="A33" s="180" t="s">
        <v>735</v>
      </c>
      <c r="B33" s="179"/>
      <c r="C33" s="177"/>
      <c r="D33" s="1"/>
      <c r="F33" s="177"/>
      <c r="G33" s="1"/>
    </row>
    <row r="34" spans="1:7" x14ac:dyDescent="0.45">
      <c r="A34" s="172" t="s">
        <v>736</v>
      </c>
      <c r="B34" s="173">
        <v>380</v>
      </c>
      <c r="C34" s="177"/>
      <c r="D34" s="1"/>
      <c r="F34" s="177"/>
      <c r="G34" s="1"/>
    </row>
    <row r="35" spans="1:7" x14ac:dyDescent="0.45">
      <c r="A35" s="172" t="s">
        <v>737</v>
      </c>
      <c r="B35" s="173">
        <v>21.95</v>
      </c>
      <c r="C35" s="177"/>
      <c r="D35" s="1"/>
      <c r="F35" s="177"/>
      <c r="G35" s="1"/>
    </row>
    <row r="36" spans="1:7" x14ac:dyDescent="0.45">
      <c r="A36" s="172" t="s">
        <v>738</v>
      </c>
      <c r="B36" s="173">
        <v>33</v>
      </c>
      <c r="C36" s="177"/>
      <c r="D36" s="1"/>
      <c r="F36" s="177"/>
      <c r="G36" s="1"/>
    </row>
    <row r="37" spans="1:7" x14ac:dyDescent="0.45">
      <c r="A37" s="172" t="s">
        <v>739</v>
      </c>
      <c r="B37" s="173">
        <v>15</v>
      </c>
      <c r="C37" s="177"/>
      <c r="D37" s="1"/>
      <c r="F37" s="177"/>
      <c r="G37" s="1"/>
    </row>
    <row r="38" spans="1:7" x14ac:dyDescent="0.45">
      <c r="A38" s="172" t="s">
        <v>740</v>
      </c>
      <c r="B38" s="173">
        <v>20</v>
      </c>
      <c r="C38" s="177"/>
      <c r="D38" s="1"/>
      <c r="F38" s="177"/>
      <c r="G38" s="1"/>
    </row>
    <row r="39" spans="1:7" x14ac:dyDescent="0.45">
      <c r="A39" s="172"/>
      <c r="B39" s="179">
        <f>SUM(B34:B38)</f>
        <v>469.95</v>
      </c>
      <c r="C39" s="177"/>
      <c r="D39" s="1"/>
      <c r="F39" s="177"/>
      <c r="G39" s="1"/>
    </row>
    <row r="40" spans="1:7" x14ac:dyDescent="0.45">
      <c r="A40" s="172"/>
      <c r="B40" s="179"/>
      <c r="C40" s="177"/>
      <c r="D40" s="1"/>
      <c r="F40" s="177"/>
      <c r="G40" s="1"/>
    </row>
    <row r="41" spans="1:7" x14ac:dyDescent="0.45">
      <c r="A41" s="180" t="s">
        <v>741</v>
      </c>
      <c r="B41" s="173"/>
      <c r="C41" s="177"/>
      <c r="D41" s="1"/>
      <c r="E41" s="9"/>
      <c r="F41" s="177"/>
      <c r="G41" s="1"/>
    </row>
    <row r="42" spans="1:7" x14ac:dyDescent="0.45">
      <c r="A42" s="172" t="s">
        <v>742</v>
      </c>
      <c r="B42" s="173">
        <v>699</v>
      </c>
      <c r="C42" s="177"/>
      <c r="D42" s="1"/>
      <c r="F42" s="177"/>
      <c r="G42" s="1"/>
    </row>
    <row r="43" spans="1:7" x14ac:dyDescent="0.45">
      <c r="A43" s="172" t="s">
        <v>743</v>
      </c>
      <c r="B43" s="173">
        <v>135</v>
      </c>
      <c r="C43" s="177"/>
      <c r="D43" s="1"/>
      <c r="F43" s="177"/>
      <c r="G43" s="1"/>
    </row>
    <row r="44" spans="1:7" x14ac:dyDescent="0.45">
      <c r="A44" s="172" t="s">
        <v>740</v>
      </c>
      <c r="B44" s="173">
        <v>20</v>
      </c>
      <c r="C44" s="177"/>
      <c r="D44" s="1"/>
      <c r="F44" s="177"/>
      <c r="G44" s="1"/>
    </row>
    <row r="45" spans="1:7" x14ac:dyDescent="0.45">
      <c r="A45" s="172"/>
      <c r="B45" s="179">
        <f>SUM(B42:B44)</f>
        <v>854</v>
      </c>
      <c r="C45" s="177"/>
      <c r="D45" s="1"/>
      <c r="F45" s="177"/>
      <c r="G45" s="1"/>
    </row>
    <row r="46" spans="1:7" x14ac:dyDescent="0.45">
      <c r="A46" s="193"/>
      <c r="B46" s="194"/>
      <c r="C46" s="177"/>
      <c r="D46" s="1"/>
      <c r="F46" s="186"/>
      <c r="G46" s="1"/>
    </row>
    <row r="47" spans="1:7" x14ac:dyDescent="0.45">
      <c r="A47" s="180" t="s">
        <v>744</v>
      </c>
      <c r="B47" s="173"/>
      <c r="C47" s="177"/>
      <c r="D47" s="1"/>
      <c r="F47" s="177"/>
      <c r="G47" s="1"/>
    </row>
    <row r="48" spans="1:7" x14ac:dyDescent="0.45">
      <c r="A48" s="172" t="s">
        <v>745</v>
      </c>
      <c r="B48" s="173">
        <v>319</v>
      </c>
      <c r="C48" s="177"/>
      <c r="D48" s="1"/>
      <c r="F48" s="177"/>
      <c r="G48" s="1"/>
    </row>
    <row r="49" spans="1:7" x14ac:dyDescent="0.45">
      <c r="A49" s="172" t="s">
        <v>746</v>
      </c>
      <c r="B49" s="173">
        <v>500</v>
      </c>
      <c r="C49" s="177"/>
      <c r="D49" s="1"/>
      <c r="F49" s="177"/>
      <c r="G49" s="1"/>
    </row>
    <row r="50" spans="1:7" x14ac:dyDescent="0.45">
      <c r="A50" s="172" t="s">
        <v>740</v>
      </c>
      <c r="B50" s="173">
        <v>20</v>
      </c>
      <c r="C50" s="177"/>
      <c r="D50" s="1"/>
      <c r="F50" s="177"/>
      <c r="G50" s="1"/>
    </row>
    <row r="51" spans="1:7" x14ac:dyDescent="0.45">
      <c r="A51" s="172"/>
      <c r="B51" s="179">
        <f>SUM(B47:B50)</f>
        <v>839</v>
      </c>
      <c r="C51" s="177"/>
      <c r="D51" s="1"/>
      <c r="F51" s="177"/>
      <c r="G51" s="1"/>
    </row>
    <row r="52" spans="1:7" x14ac:dyDescent="0.45">
      <c r="A52" s="172"/>
      <c r="B52" s="179"/>
      <c r="C52" s="177"/>
      <c r="D52" s="1"/>
      <c r="F52" s="177"/>
      <c r="G52" s="1"/>
    </row>
    <row r="53" spans="1:7" x14ac:dyDescent="0.45">
      <c r="A53" s="180" t="s">
        <v>747</v>
      </c>
      <c r="B53" s="173"/>
      <c r="C53" s="177"/>
      <c r="D53" s="1"/>
      <c r="F53" s="177"/>
      <c r="G53" s="1"/>
    </row>
    <row r="54" spans="1:7" x14ac:dyDescent="0.45">
      <c r="A54" s="172" t="s">
        <v>748</v>
      </c>
      <c r="B54" s="173">
        <v>249</v>
      </c>
      <c r="C54" s="177"/>
      <c r="D54" s="1"/>
      <c r="F54" s="177"/>
      <c r="G54" s="1"/>
    </row>
    <row r="55" spans="1:7" x14ac:dyDescent="0.45">
      <c r="A55" s="172" t="s">
        <v>737</v>
      </c>
      <c r="B55" s="173">
        <v>14.95</v>
      </c>
      <c r="C55" s="177"/>
      <c r="D55" s="1"/>
      <c r="F55" s="177"/>
      <c r="G55" s="1"/>
    </row>
    <row r="56" spans="1:7" x14ac:dyDescent="0.45">
      <c r="A56" s="172" t="s">
        <v>749</v>
      </c>
      <c r="B56" s="173">
        <v>30</v>
      </c>
      <c r="C56" s="177"/>
      <c r="D56" s="1"/>
      <c r="F56" s="177"/>
      <c r="G56" s="1"/>
    </row>
    <row r="57" spans="1:7" x14ac:dyDescent="0.45">
      <c r="A57" s="172" t="s">
        <v>738</v>
      </c>
      <c r="B57" s="173">
        <v>33</v>
      </c>
      <c r="C57" s="177"/>
      <c r="D57" s="1"/>
      <c r="F57" s="177"/>
      <c r="G57" s="1"/>
    </row>
    <row r="58" spans="1:7" x14ac:dyDescent="0.45">
      <c r="A58" s="172" t="s">
        <v>740</v>
      </c>
      <c r="B58" s="173">
        <v>20</v>
      </c>
      <c r="C58" s="177"/>
      <c r="D58" s="1"/>
      <c r="F58" s="177"/>
      <c r="G58" s="1"/>
    </row>
    <row r="59" spans="1:7" x14ac:dyDescent="0.45">
      <c r="A59" s="172"/>
      <c r="B59" s="179">
        <f>SUM(B54:B58)</f>
        <v>346.95</v>
      </c>
      <c r="C59" s="177"/>
      <c r="D59" s="1"/>
      <c r="F59" s="177"/>
      <c r="G59" s="1"/>
    </row>
    <row r="61" spans="1:7" x14ac:dyDescent="0.45">
      <c r="A61" s="180" t="s">
        <v>750</v>
      </c>
      <c r="B61" s="173"/>
    </row>
    <row r="62" spans="1:7" x14ac:dyDescent="0.45">
      <c r="A62" s="172" t="s">
        <v>751</v>
      </c>
      <c r="B62" s="173">
        <v>1349</v>
      </c>
      <c r="C62" s="177"/>
    </row>
    <row r="63" spans="1:7" x14ac:dyDescent="0.45">
      <c r="A63" s="172" t="s">
        <v>752</v>
      </c>
      <c r="B63" s="173">
        <v>269</v>
      </c>
      <c r="C63" s="177"/>
    </row>
    <row r="64" spans="1:7" x14ac:dyDescent="0.45">
      <c r="A64" s="172" t="s">
        <v>753</v>
      </c>
      <c r="B64" s="173">
        <v>148</v>
      </c>
      <c r="C64" s="177"/>
    </row>
    <row r="65" spans="1:7" x14ac:dyDescent="0.45">
      <c r="A65" s="172" t="s">
        <v>754</v>
      </c>
      <c r="B65" s="173">
        <v>300</v>
      </c>
      <c r="C65" s="177"/>
    </row>
    <row r="66" spans="1:7" x14ac:dyDescent="0.45">
      <c r="A66" s="172" t="s">
        <v>755</v>
      </c>
      <c r="B66" s="173">
        <v>175</v>
      </c>
      <c r="C66" s="177"/>
    </row>
    <row r="67" spans="1:7" x14ac:dyDescent="0.45">
      <c r="A67" s="172" t="s">
        <v>756</v>
      </c>
      <c r="B67" s="173">
        <v>299</v>
      </c>
      <c r="C67" s="177"/>
    </row>
    <row r="68" spans="1:7" x14ac:dyDescent="0.45">
      <c r="A68" s="172" t="s">
        <v>757</v>
      </c>
      <c r="B68" s="173">
        <v>250</v>
      </c>
      <c r="C68" s="177"/>
    </row>
    <row r="69" spans="1:7" x14ac:dyDescent="0.45">
      <c r="A69" s="172"/>
      <c r="B69" s="179">
        <f>SUM(B62:B68)</f>
        <v>2790</v>
      </c>
      <c r="C69" s="177"/>
    </row>
    <row r="70" spans="1:7" x14ac:dyDescent="0.45">
      <c r="A70" s="172"/>
      <c r="B70" s="172"/>
    </row>
    <row r="71" spans="1:7" x14ac:dyDescent="0.45">
      <c r="A71" s="180" t="s">
        <v>725</v>
      </c>
      <c r="B71" s="172"/>
    </row>
    <row r="72" spans="1:7" x14ac:dyDescent="0.45">
      <c r="A72" s="172" t="s">
        <v>758</v>
      </c>
      <c r="B72" s="173">
        <v>700</v>
      </c>
    </row>
    <row r="73" spans="1:7" x14ac:dyDescent="0.45">
      <c r="A73" s="172" t="s">
        <v>740</v>
      </c>
      <c r="B73" s="173">
        <v>20</v>
      </c>
      <c r="C73" s="177"/>
      <c r="D73" s="1"/>
      <c r="F73" s="177"/>
      <c r="G73" s="1"/>
    </row>
    <row r="74" spans="1:7" x14ac:dyDescent="0.45">
      <c r="A74" s="172"/>
      <c r="B74" s="179">
        <f>SUM(B72:B73)</f>
        <v>720</v>
      </c>
    </row>
  </sheetData>
  <phoneticPr fontId="5" type="noConversion"/>
  <pageMargins left="0.44" right="0.42" top="1.01" bottom="0.76" header="0.5" footer="0.5"/>
  <pageSetup scale="56" orientation="portrait" r:id="rId1"/>
  <headerFooter alignWithMargins="0">
    <oddHeader>&amp;LPartners of the Americas F2F Caribbean Basin Program Budget: Equipment Costs
USAID RFA No. SOL-OAA-13-00006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9EC06F-D666-4BD8-958B-374EE4D434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A062DA-8B62-4BA9-8C72-E2D6C7D3E80D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customXml/itemProps3.xml><?xml version="1.0" encoding="utf-8"?>
<ds:datastoreItem xmlns:ds="http://schemas.openxmlformats.org/officeDocument/2006/customXml" ds:itemID="{3265D0CE-9F9E-47CE-B07F-6963EA46C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Budget Summary Partners</vt:lpstr>
      <vt:lpstr>Budget Partners</vt:lpstr>
      <vt:lpstr>Budget Summary Parque Explora</vt:lpstr>
      <vt:lpstr>Budget Parque Explora</vt:lpstr>
      <vt:lpstr>Budget Summary ProAntioquia</vt:lpstr>
      <vt:lpstr>Budget ProAntioquia</vt:lpstr>
      <vt:lpstr>Budget Summary Fund. Carvajal</vt:lpstr>
      <vt:lpstr>Budget Fundacion Carvajal</vt:lpstr>
      <vt:lpstr>Supplies</vt:lpstr>
      <vt:lpstr>'Budget Fundacion Carvajal'!Print_Area</vt:lpstr>
      <vt:lpstr>'Budget Parque Explora'!Print_Area</vt:lpstr>
      <vt:lpstr>'Budget Partners'!Print_Area</vt:lpstr>
      <vt:lpstr>'Budget ProAntioquia'!Print_Area</vt:lpstr>
      <vt:lpstr>'Budget Summary Fund. Carvajal'!Print_Area</vt:lpstr>
      <vt:lpstr>'Budget Summary Parque Explora'!Print_Area</vt:lpstr>
      <vt:lpstr>'Budget Summary Partners'!Print_Area</vt:lpstr>
      <vt:lpstr>'Budget Summary ProAntioquia'!Print_Area</vt:lpstr>
      <vt:lpstr>Supplies!Print_Area</vt:lpstr>
    </vt:vector>
  </TitlesOfParts>
  <Manager/>
  <Company>POA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POA USER</dc:creator>
  <cp:keywords/>
  <dc:description/>
  <cp:lastModifiedBy>Danielle Martin</cp:lastModifiedBy>
  <cp:revision/>
  <dcterms:created xsi:type="dcterms:W3CDTF">2008-05-05T21:17:49Z</dcterms:created>
  <dcterms:modified xsi:type="dcterms:W3CDTF">2024-10-24T21:43:22Z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7450200</vt:r8>
  </property>
  <property fmtid="{D5CDD505-2E9C-101B-9397-08002B2CF9AE}" pid="3" name="ContentTypeId">
    <vt:lpwstr>0x0101003206C8355D678A459F2EF8957171B231</vt:lpwstr>
  </property>
  <property fmtid="{D5CDD505-2E9C-101B-9397-08002B2CF9AE}" pid="4" name="WorkbookGuid">
    <vt:lpwstr>81c244d2-920e-47a5-9d96-672fb778abcb</vt:lpwstr>
  </property>
  <property fmtid="{D5CDD505-2E9C-101B-9397-08002B2CF9AE}" pid="5" name="MediaServiceImageTags">
    <vt:lpwstr/>
  </property>
</Properties>
</file>