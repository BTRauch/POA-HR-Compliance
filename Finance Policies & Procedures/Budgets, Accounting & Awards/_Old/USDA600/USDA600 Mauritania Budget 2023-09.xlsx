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https://partnersnet107.sharepoint.com/sites/FA/Organizational FA/Finance Policies &amp; Procedures/Budgets, Accounting &amp; Awards/USDA600/"/>
    </mc:Choice>
  </mc:AlternateContent>
  <xr:revisionPtr revIDLastSave="103" documentId="13_ncr:1_{0E2F0311-88F6-4B40-9CDE-D6B031DEEED8}" xr6:coauthVersionLast="47" xr6:coauthVersionMax="47" xr10:uidLastSave="{D2A4BDF1-CB4D-44C7-AEC7-D605D9247153}"/>
  <bookViews>
    <workbookView xWindow="-96" yWindow="-96" windowWidth="23232" windowHeight="12552" tabRatio="842" firstSheet="2" activeTab="7" xr2:uid="{00000000-000D-0000-FFFF-FFFF00000000}"/>
  </bookViews>
  <sheets>
    <sheet name="USDA Budget Summary" sheetId="28" r:id="rId1"/>
    <sheet name="Detailed Budget" sheetId="42" r:id="rId2"/>
    <sheet name="Admin" sheetId="43" r:id="rId3"/>
    <sheet name="Activity 1" sheetId="44" r:id="rId4"/>
    <sheet name="Activity 2" sheetId="45" r:id="rId5"/>
    <sheet name="Activity 3" sheetId="46" r:id="rId6"/>
    <sheet name="Activity 4" sheetId="47" r:id="rId7"/>
    <sheet name="Program Budget" sheetId="4" r:id="rId8"/>
    <sheet name="Indirect Calculations" sheetId="41" r:id="rId9"/>
    <sheet name="LOE Breakdown by Year" sheetId="30" r:id="rId10"/>
    <sheet name="Personnel &amp; LOE Summary" sheetId="39" r:id="rId11"/>
    <sheet name="Education Worksheet " sheetId="17" state="hidden" r:id="rId12"/>
  </sheets>
  <definedNames>
    <definedName name="\A">#REF!</definedName>
    <definedName name="\P">#REF!</definedName>
    <definedName name="\S">#REF!</definedName>
    <definedName name="_" hidden="1">#REF!</definedName>
    <definedName name="__" hidden="1">#REF!</definedName>
    <definedName name="___" hidden="1">#REF!</definedName>
    <definedName name="_______sho1">#REF!</definedName>
    <definedName name="__1_0__123Grap" localSheetId="3" hidden="1">#REF!</definedName>
    <definedName name="__1_0__123Grap" localSheetId="4" hidden="1">#REF!</definedName>
    <definedName name="__1_0__123Grap" localSheetId="5" hidden="1">#REF!</definedName>
    <definedName name="__1_0__123Grap" localSheetId="6" hidden="1">#REF!</definedName>
    <definedName name="__1_0__123Grap" localSheetId="2" hidden="1">#REF!</definedName>
    <definedName name="__1_0__123Grap" localSheetId="1" hidden="1">#REF!</definedName>
    <definedName name="__1_0__123Grap" hidden="1">#REF!</definedName>
    <definedName name="__123Graph_A" hidden="1">#REF!</definedName>
    <definedName name="__123Graph_B" hidden="1">#REF!</definedName>
    <definedName name="__123Graph_C" hidden="1">#REF!</definedName>
    <definedName name="__2DAI_1">#N/A</definedName>
    <definedName name="__3FEE">#N/A</definedName>
    <definedName name="__AFP1">#N/A</definedName>
    <definedName name="__AFP2">#N/A</definedName>
    <definedName name="__AFP3">#N/A</definedName>
    <definedName name="__AFP4">#N/A</definedName>
    <definedName name="__AMP1">#N/A</definedName>
    <definedName name="__AMP2">#N/A</definedName>
    <definedName name="__AMP3">#N/A</definedName>
    <definedName name="__AMP4">#N/A</definedName>
    <definedName name="__B" hidden="1">#REF!</definedName>
    <definedName name="__C" hidden="1">#REF!</definedName>
    <definedName name="__DAI4">#N/A</definedName>
    <definedName name="__EES1">#N/A</definedName>
    <definedName name="__EES2">#N/A</definedName>
    <definedName name="__EES3">#N/A</definedName>
    <definedName name="__EES4">#N/A</definedName>
    <definedName name="__EXT1">#N/A</definedName>
    <definedName name="__EXT2">#N/A</definedName>
    <definedName name="__EXT3">#N/A</definedName>
    <definedName name="__EXT4">#N/A</definedName>
    <definedName name="__FCP1">#N/A</definedName>
    <definedName name="__FCP2">#N/A</definedName>
    <definedName name="__FCP3">#N/A</definedName>
    <definedName name="__FCP4">#N/A</definedName>
    <definedName name="__FRI1">#N/A</definedName>
    <definedName name="__FRI4">#N/A</definedName>
    <definedName name="__HRA1">#N/A</definedName>
    <definedName name="__HRA2">#N/A</definedName>
    <definedName name="__HRA3">#N/A</definedName>
    <definedName name="__HRA4">#N/A</definedName>
    <definedName name="__inf1">#REF!</definedName>
    <definedName name="__KEY2" localSheetId="3" hidden="1">#REF!</definedName>
    <definedName name="__KEY2" localSheetId="4" hidden="1">#REF!</definedName>
    <definedName name="__KEY2" localSheetId="5" hidden="1">#REF!</definedName>
    <definedName name="__KEY2" localSheetId="6" hidden="1">#REF!</definedName>
    <definedName name="__KEY2" localSheetId="2" hidden="1">#REF!</definedName>
    <definedName name="__KEY2" localSheetId="1" hidden="1">#REF!</definedName>
    <definedName name="__KEY2" hidden="1">#REF!</definedName>
    <definedName name="__LT4">#REF!</definedName>
    <definedName name="__ODC1">#N/A</definedName>
    <definedName name="__ODC2">#N/A</definedName>
    <definedName name="__POL1">#N/A</definedName>
    <definedName name="__POL2">#N/A</definedName>
    <definedName name="__POL3">#N/A</definedName>
    <definedName name="__POL4">#N/A</definedName>
    <definedName name="__TOT1">#N/A</definedName>
    <definedName name="__TOT2">#N/A</definedName>
    <definedName name="__TRV1">#N/A</definedName>
    <definedName name="__TRV2">#N/A</definedName>
    <definedName name="_060">#REF!</definedName>
    <definedName name="_1_0__123Grap" localSheetId="3" hidden="1">#REF!</definedName>
    <definedName name="_1_0__123Grap" localSheetId="4" hidden="1">#REF!</definedName>
    <definedName name="_1_0__123Grap" localSheetId="5" hidden="1">#REF!</definedName>
    <definedName name="_1_0__123Grap" localSheetId="6" hidden="1">#REF!</definedName>
    <definedName name="_1_0__123Grap" localSheetId="2" hidden="1">#REF!</definedName>
    <definedName name="_1_0__123Grap" localSheetId="1" hidden="1">#REF!</definedName>
    <definedName name="_1_0__123Grap" hidden="1">#REF!</definedName>
    <definedName name="_1_1">#REF!</definedName>
    <definedName name="_13th_and_14th_month">#REF!</definedName>
    <definedName name="_2__123Graph_ACHART_3" hidden="1">#REF!</definedName>
    <definedName name="_2_0__123Grap" hidden="1">#REF!</definedName>
    <definedName name="_2_1034">#REF!</definedName>
    <definedName name="_2DAI_1">#N/A</definedName>
    <definedName name="_3_0__123Grap" hidden="1">#REF!</definedName>
    <definedName name="_3_1440">#REF!</definedName>
    <definedName name="_3FEE">#N/A</definedName>
    <definedName name="_4__123Graph_BCHART_3" hidden="1">#REF!</definedName>
    <definedName name="_4_0__123Grap" hidden="1">#REF!</definedName>
    <definedName name="_4_2">#REF!</definedName>
    <definedName name="_5_3">#REF!</definedName>
    <definedName name="_6__123Graph_XCHART_3" hidden="1">#REF!</definedName>
    <definedName name="_8_0__123Grap" hidden="1">#REF!</definedName>
    <definedName name="_AFP1">#N/A</definedName>
    <definedName name="_AFP2">#N/A</definedName>
    <definedName name="_AFP3">#N/A</definedName>
    <definedName name="_AFP4">#N/A</definedName>
    <definedName name="_AMP1">#N/A</definedName>
    <definedName name="_AMP2">#N/A</definedName>
    <definedName name="_AMP3">#N/A</definedName>
    <definedName name="_AMP4">#N/A</definedName>
    <definedName name="_DAI4">#N/A</definedName>
    <definedName name="_EES1">#N/A</definedName>
    <definedName name="_EES2">#N/A</definedName>
    <definedName name="_EES3">#N/A</definedName>
    <definedName name="_EES4">#N/A</definedName>
    <definedName name="_EXT1">#N/A</definedName>
    <definedName name="_EXT2">#N/A</definedName>
    <definedName name="_EXT3">#N/A</definedName>
    <definedName name="_EXT4">#N/A</definedName>
    <definedName name="_FCP1">#N/A</definedName>
    <definedName name="_FCP2">#N/A</definedName>
    <definedName name="_FCP3">#N/A</definedName>
    <definedName name="_FCP4">#N/A</definedName>
    <definedName name="_FRI1">#N/A</definedName>
    <definedName name="_FRI4">#N/A</definedName>
    <definedName name="_hos1">#REF!</definedName>
    <definedName name="_hos10">#REF!</definedName>
    <definedName name="_hos11">#REF!</definedName>
    <definedName name="_hos12">#REF!</definedName>
    <definedName name="_hos13">#REF!</definedName>
    <definedName name="_hos14">#REF!</definedName>
    <definedName name="_hos15">#REF!</definedName>
    <definedName name="_hos16">#REF!</definedName>
    <definedName name="_hos17">#REF!</definedName>
    <definedName name="_hos18">#REF!</definedName>
    <definedName name="_hos19">#REF!</definedName>
    <definedName name="_hos2">#REF!</definedName>
    <definedName name="_hos20">#REF!</definedName>
    <definedName name="_hos21">#REF!</definedName>
    <definedName name="_hos3">#REF!</definedName>
    <definedName name="_hos4">#REF!</definedName>
    <definedName name="_hos5">#REF!</definedName>
    <definedName name="_hos6">#REF!</definedName>
    <definedName name="_hos7">#REF!</definedName>
    <definedName name="_hos8">#REF!</definedName>
    <definedName name="_hos9">#REF!</definedName>
    <definedName name="_HRA1">#N/A</definedName>
    <definedName name="_HRA2">#N/A</definedName>
    <definedName name="_HRA3">#N/A</definedName>
    <definedName name="_HRA4">#N/A</definedName>
    <definedName name="_inf1">#REF!</definedName>
    <definedName name="_Key1" localSheetId="3" hidden="1">#REF!</definedName>
    <definedName name="_Key1" localSheetId="4" hidden="1">#REF!</definedName>
    <definedName name="_Key1" localSheetId="5" hidden="1">#REF!</definedName>
    <definedName name="_Key1" localSheetId="6" hidden="1">#REF!</definedName>
    <definedName name="_Key1" localSheetId="2" hidden="1">#REF!</definedName>
    <definedName name="_Key1" localSheetId="1" hidden="1">#REF!</definedName>
    <definedName name="_Key1" hidden="1">#REF!</definedName>
    <definedName name="_key2" hidden="1">#REF!</definedName>
    <definedName name="_ldfkjañsdl" hidden="1">#REF!</definedName>
    <definedName name="_LT4">#REF!</definedName>
    <definedName name="_no1" localSheetId="3" hidden="1">{#N/A,#N/A,FALSE,"ManLoading"}</definedName>
    <definedName name="_no1" localSheetId="4" hidden="1">{#N/A,#N/A,FALSE,"ManLoading"}</definedName>
    <definedName name="_no1" localSheetId="5" hidden="1">{#N/A,#N/A,FALSE,"ManLoading"}</definedName>
    <definedName name="_no1" localSheetId="6" hidden="1">{#N/A,#N/A,FALSE,"ManLoading"}</definedName>
    <definedName name="_no1" localSheetId="2" hidden="1">{#N/A,#N/A,FALSE,"ManLoading"}</definedName>
    <definedName name="_no1" hidden="1">{#N/A,#N/A,FALSE,"ManLoading"}</definedName>
    <definedName name="_odc1" localSheetId="3" hidden="1">{#N/A,#N/A,FALSE,"ManLoading"}</definedName>
    <definedName name="_odc1" localSheetId="4" hidden="1">{#N/A,#N/A,FALSE,"ManLoading"}</definedName>
    <definedName name="_odc1" localSheetId="5" hidden="1">{#N/A,#N/A,FALSE,"ManLoading"}</definedName>
    <definedName name="_odc1" localSheetId="6" hidden="1">{#N/A,#N/A,FALSE,"ManLoading"}</definedName>
    <definedName name="_odc1" localSheetId="2" hidden="1">{#N/A,#N/A,FALSE,"ManLoading"}</definedName>
    <definedName name="_odc1" localSheetId="1" hidden="1">{#N/A,#N/A,FALSE,"ManLoading"}</definedName>
    <definedName name="_odc1" hidden="1">{#N/A,#N/A,FALSE,"ManLoading"}</definedName>
    <definedName name="_odc2" localSheetId="3" hidden="1">{#N/A,#N/A,FALSE,"ManLoading"}</definedName>
    <definedName name="_odc2" localSheetId="4" hidden="1">{#N/A,#N/A,FALSE,"ManLoading"}</definedName>
    <definedName name="_odc2" localSheetId="5" hidden="1">{#N/A,#N/A,FALSE,"ManLoading"}</definedName>
    <definedName name="_odc2" localSheetId="6" hidden="1">{#N/A,#N/A,FALSE,"ManLoading"}</definedName>
    <definedName name="_odc2" localSheetId="2" hidden="1">{#N/A,#N/A,FALSE,"ManLoading"}</definedName>
    <definedName name="_odc2" localSheetId="1" hidden="1">{#N/A,#N/A,FALSE,"ManLoading"}</definedName>
    <definedName name="_odc2" hidden="1">{#N/A,#N/A,FALSE,"ManLoading"}</definedName>
    <definedName name="_Order1" hidden="1">255</definedName>
    <definedName name="_Order2" hidden="1">255</definedName>
    <definedName name="_POL1">#N/A</definedName>
    <definedName name="_POL2">#N/A</definedName>
    <definedName name="_POL3">#N/A</definedName>
    <definedName name="_POL4">#N/A</definedName>
    <definedName name="_sho1">#REF!</definedName>
    <definedName name="_Sort" localSheetId="3" hidden="1">#REF!</definedName>
    <definedName name="_Sort" localSheetId="4" hidden="1">#REF!</definedName>
    <definedName name="_Sort" localSheetId="5" hidden="1">#REF!</definedName>
    <definedName name="_Sort" localSheetId="6" hidden="1">#REF!</definedName>
    <definedName name="_Sort" localSheetId="2" hidden="1">#REF!</definedName>
    <definedName name="_Sort" localSheetId="1" hidden="1">#REF!</definedName>
    <definedName name="_Sort" hidden="1">#REF!</definedName>
    <definedName name="_sort1" localSheetId="3" hidden="1">#REF!</definedName>
    <definedName name="_sort1" localSheetId="4" hidden="1">#REF!</definedName>
    <definedName name="_sort1" localSheetId="5" hidden="1">#REF!</definedName>
    <definedName name="_sort1" localSheetId="6" hidden="1">#REF!</definedName>
    <definedName name="_sort1" localSheetId="2" hidden="1">#REF!</definedName>
    <definedName name="_sort1" localSheetId="1" hidden="1">#REF!</definedName>
    <definedName name="_sort1" hidden="1">#REF!</definedName>
    <definedName name="_sub10">#REF!</definedName>
    <definedName name="_tcn1">#REF!</definedName>
    <definedName name="_tcn10">#REF!</definedName>
    <definedName name="_tcn2">#REF!</definedName>
    <definedName name="_tcn3">#REF!</definedName>
    <definedName name="_tcn4">#REF!</definedName>
    <definedName name="_tcn5">#REF!</definedName>
    <definedName name="_tcn6">#REF!</definedName>
    <definedName name="_tcn7">#REF!</definedName>
    <definedName name="_tcn8">#REF!</definedName>
    <definedName name="_tcn9">#REF!</definedName>
    <definedName name="_TOT1">#N/A</definedName>
    <definedName name="_TOT2">#N/A</definedName>
    <definedName name="_TRV1">#N/A</definedName>
    <definedName name="_TRV2">#N/A</definedName>
    <definedName name="_us1">#REF!</definedName>
    <definedName name="_us10">#REF!</definedName>
    <definedName name="_us11">#REF!</definedName>
    <definedName name="_us12">#REF!</definedName>
    <definedName name="_us13">#REF!</definedName>
    <definedName name="_us14">#REF!</definedName>
    <definedName name="_us15">#REF!</definedName>
    <definedName name="_us16">#REF!</definedName>
    <definedName name="_us17">#REF!</definedName>
    <definedName name="_us18">#REF!</definedName>
    <definedName name="_us19">#REF!</definedName>
    <definedName name="_us2">#REF!</definedName>
    <definedName name="_us20">#REF!</definedName>
    <definedName name="_us21">#REF!</definedName>
    <definedName name="_us22">#REF!</definedName>
    <definedName name="_us23">#REF!</definedName>
    <definedName name="_us24">#REF!</definedName>
    <definedName name="_us25">#REF!</definedName>
    <definedName name="_us26">#REF!</definedName>
    <definedName name="_us27">#REF!</definedName>
    <definedName name="_us28">#REF!</definedName>
    <definedName name="_us29">#REF!</definedName>
    <definedName name="_us3">#REF!</definedName>
    <definedName name="_us30">#REF!</definedName>
    <definedName name="_us31">#REF!</definedName>
    <definedName name="_us32">#REF!</definedName>
    <definedName name="_us33">#REF!</definedName>
    <definedName name="_us34">#REF!</definedName>
    <definedName name="_us35">#REF!</definedName>
    <definedName name="_us36">#REF!</definedName>
    <definedName name="_us37">#REF!</definedName>
    <definedName name="_us38">#REF!</definedName>
    <definedName name="_us39">#REF!</definedName>
    <definedName name="_us4">#REF!</definedName>
    <definedName name="_us40">#REF!</definedName>
    <definedName name="_us41">#REF!</definedName>
    <definedName name="_us42">#REF!</definedName>
    <definedName name="_us43">#REF!</definedName>
    <definedName name="_us44">#REF!</definedName>
    <definedName name="_us45">#REF!</definedName>
    <definedName name="_us46">#REF!</definedName>
    <definedName name="_us47">#REF!</definedName>
    <definedName name="_us48">#REF!</definedName>
    <definedName name="_us49">#REF!</definedName>
    <definedName name="_us5">#REF!</definedName>
    <definedName name="_us50">#REF!</definedName>
    <definedName name="_us51">#REF!</definedName>
    <definedName name="_us52">#REF!</definedName>
    <definedName name="_us53">#REF!</definedName>
    <definedName name="_us54">#REF!</definedName>
    <definedName name="_us55">#REF!</definedName>
    <definedName name="_us56">#REF!</definedName>
    <definedName name="_us57">#REF!</definedName>
    <definedName name="_us58">#REF!</definedName>
    <definedName name="_us59">#REF!</definedName>
    <definedName name="_us6">#REF!</definedName>
    <definedName name="_us60">#REF!</definedName>
    <definedName name="_us61">#REF!</definedName>
    <definedName name="_us62">#REF!</definedName>
    <definedName name="_us63">#REF!</definedName>
    <definedName name="_us64">#REF!</definedName>
    <definedName name="_us65">#REF!</definedName>
    <definedName name="_us66">#REF!</definedName>
    <definedName name="_us67">#REF!</definedName>
    <definedName name="_us68">#REF!</definedName>
    <definedName name="_us69">#REF!</definedName>
    <definedName name="_us7">#REF!</definedName>
    <definedName name="_us70">#REF!</definedName>
    <definedName name="_us71">#REF!</definedName>
    <definedName name="_us72">#REF!</definedName>
    <definedName name="_us73">#REF!</definedName>
    <definedName name="_us74">#REF!</definedName>
    <definedName name="_us75">#REF!</definedName>
    <definedName name="_us8">#REF!</definedName>
    <definedName name="_us9">#REF!</definedName>
    <definedName name="a">#REF!</definedName>
    <definedName name="Abbiz51">#REF!</definedName>
    <definedName name="Abbiz52">#REF!</definedName>
    <definedName name="ABT">#N/A</definedName>
    <definedName name="ACC">#REF!</definedName>
    <definedName name="Access_Button" hidden="1">"FIGBUS_FIGBUS_List"</definedName>
    <definedName name="AccessDatabase" hidden="1">"W:\WPFILES\GB759\EXCEL\FIGBUS.mdb"</definedName>
    <definedName name="ACT">#N/A</definedName>
    <definedName name="adf" localSheetId="3" hidden="1">{"PAGE1",#N/A,FALSE,"CPFFMSTR";"PAGE2",#N/A,FALSE,"CPFFMSTR"}</definedName>
    <definedName name="adf" localSheetId="4" hidden="1">{"PAGE1",#N/A,FALSE,"CPFFMSTR";"PAGE2",#N/A,FALSE,"CPFFMSTR"}</definedName>
    <definedName name="adf" localSheetId="5" hidden="1">{"PAGE1",#N/A,FALSE,"CPFFMSTR";"PAGE2",#N/A,FALSE,"CPFFMSTR"}</definedName>
    <definedName name="adf" localSheetId="6" hidden="1">{"PAGE1",#N/A,FALSE,"CPFFMSTR";"PAGE2",#N/A,FALSE,"CPFFMSTR"}</definedName>
    <definedName name="adf" localSheetId="2" hidden="1">{"PAGE1",#N/A,FALSE,"CPFFMSTR";"PAGE2",#N/A,FALSE,"CPFFMSTR"}</definedName>
    <definedName name="adf" localSheetId="1" hidden="1">{"PAGE1",#N/A,FALSE,"CPFFMSTR";"PAGE2",#N/A,FALSE,"CPFFMSTR"}</definedName>
    <definedName name="adf" hidden="1">{"PAGE1",#N/A,FALSE,"CPFFMSTR";"PAGE2",#N/A,FALSE,"CPFFMSTR"}</definedName>
    <definedName name="adfsdaf" localSheetId="3" hidden="1">{"PAGE1",#N/A,FALSE,"CPFFMSTR";"PAGE2",#N/A,FALSE,"CPFFMSTR"}</definedName>
    <definedName name="adfsdaf" localSheetId="4" hidden="1">{"PAGE1",#N/A,FALSE,"CPFFMSTR";"PAGE2",#N/A,FALSE,"CPFFMSTR"}</definedName>
    <definedName name="adfsdaf" localSheetId="5" hidden="1">{"PAGE1",#N/A,FALSE,"CPFFMSTR";"PAGE2",#N/A,FALSE,"CPFFMSTR"}</definedName>
    <definedName name="adfsdaf" localSheetId="6" hidden="1">{"PAGE1",#N/A,FALSE,"CPFFMSTR";"PAGE2",#N/A,FALSE,"CPFFMSTR"}</definedName>
    <definedName name="adfsdaf" localSheetId="2" hidden="1">{"PAGE1",#N/A,FALSE,"CPFFMSTR";"PAGE2",#N/A,FALSE,"CPFFMSTR"}</definedName>
    <definedName name="adfsdaf" localSheetId="1" hidden="1">{"PAGE1",#N/A,FALSE,"CPFFMSTR";"PAGE2",#N/A,FALSE,"CPFFMSTR"}</definedName>
    <definedName name="adfsdaf" hidden="1">{"PAGE1",#N/A,FALSE,"CPFFMSTR";"PAGE2",#N/A,FALSE,"CPFFMSTR"}</definedName>
    <definedName name="aer" localSheetId="3" hidden="1">{"PAGE1",#N/A,FALSE,"CPFFMSTR";"PAGE2",#N/A,FALSE,"CPFFMSTR"}</definedName>
    <definedName name="aer" localSheetId="4" hidden="1">{"PAGE1",#N/A,FALSE,"CPFFMSTR";"PAGE2",#N/A,FALSE,"CPFFMSTR"}</definedName>
    <definedName name="aer" localSheetId="5" hidden="1">{"PAGE1",#N/A,FALSE,"CPFFMSTR";"PAGE2",#N/A,FALSE,"CPFFMSTR"}</definedName>
    <definedName name="aer" localSheetId="6" hidden="1">{"PAGE1",#N/A,FALSE,"CPFFMSTR";"PAGE2",#N/A,FALSE,"CPFFMSTR"}</definedName>
    <definedName name="aer" localSheetId="2" hidden="1">{"PAGE1",#N/A,FALSE,"CPFFMSTR";"PAGE2",#N/A,FALSE,"CPFFMSTR"}</definedName>
    <definedName name="aer" localSheetId="1" hidden="1">{"PAGE1",#N/A,FALSE,"CPFFMSTR";"PAGE2",#N/A,FALSE,"CPFFMSTR"}</definedName>
    <definedName name="aer" hidden="1">{"PAGE1",#N/A,FALSE,"CPFFMSTR";"PAGE2",#N/A,FALSE,"CPFFMSTR"}</definedName>
    <definedName name="aer3e" localSheetId="3" hidden="1">{"PAGE1",#N/A,FALSE,"CPFFMSTR";"PAGE2",#N/A,FALSE,"CPFFMSTR"}</definedName>
    <definedName name="aer3e" localSheetId="4" hidden="1">{"PAGE1",#N/A,FALSE,"CPFFMSTR";"PAGE2",#N/A,FALSE,"CPFFMSTR"}</definedName>
    <definedName name="aer3e" localSheetId="5" hidden="1">{"PAGE1",#N/A,FALSE,"CPFFMSTR";"PAGE2",#N/A,FALSE,"CPFFMSTR"}</definedName>
    <definedName name="aer3e" localSheetId="6" hidden="1">{"PAGE1",#N/A,FALSE,"CPFFMSTR";"PAGE2",#N/A,FALSE,"CPFFMSTR"}</definedName>
    <definedName name="aer3e" localSheetId="2" hidden="1">{"PAGE1",#N/A,FALSE,"CPFFMSTR";"PAGE2",#N/A,FALSE,"CPFFMSTR"}</definedName>
    <definedName name="aer3e" localSheetId="1" hidden="1">{"PAGE1",#N/A,FALSE,"CPFFMSTR";"PAGE2",#N/A,FALSE,"CPFFMSTR"}</definedName>
    <definedName name="aer3e" hidden="1">{"PAGE1",#N/A,FALSE,"CPFFMSTR";"PAGE2",#N/A,FALSE,"CPFFMSTR"}</definedName>
    <definedName name="aere" localSheetId="3" hidden="1">{"PAGE1",#N/A,FALSE,"CPFFMSTR";"PAGE2",#N/A,FALSE,"CPFFMSTR"}</definedName>
    <definedName name="aere" localSheetId="4" hidden="1">{"PAGE1",#N/A,FALSE,"CPFFMSTR";"PAGE2",#N/A,FALSE,"CPFFMSTR"}</definedName>
    <definedName name="aere" localSheetId="5" hidden="1">{"PAGE1",#N/A,FALSE,"CPFFMSTR";"PAGE2",#N/A,FALSE,"CPFFMSTR"}</definedName>
    <definedName name="aere" localSheetId="6" hidden="1">{"PAGE1",#N/A,FALSE,"CPFFMSTR";"PAGE2",#N/A,FALSE,"CPFFMSTR"}</definedName>
    <definedName name="aere" localSheetId="2" hidden="1">{"PAGE1",#N/A,FALSE,"CPFFMSTR";"PAGE2",#N/A,FALSE,"CPFFMSTR"}</definedName>
    <definedName name="aere" localSheetId="1" hidden="1">{"PAGE1",#N/A,FALSE,"CPFFMSTR";"PAGE2",#N/A,FALSE,"CPFFMSTR"}</definedName>
    <definedName name="aere" hidden="1">{"PAGE1",#N/A,FALSE,"CPFFMSTR";"PAGE2",#N/A,FALSE,"CPFFMSTR"}</definedName>
    <definedName name="aesre" localSheetId="3" hidden="1">{"PAGE1",#N/A,FALSE,"CPFFMSTR";"PAGE2",#N/A,FALSE,"CPFFMSTR"}</definedName>
    <definedName name="aesre" localSheetId="4" hidden="1">{"PAGE1",#N/A,FALSE,"CPFFMSTR";"PAGE2",#N/A,FALSE,"CPFFMSTR"}</definedName>
    <definedName name="aesre" localSheetId="5" hidden="1">{"PAGE1",#N/A,FALSE,"CPFFMSTR";"PAGE2",#N/A,FALSE,"CPFFMSTR"}</definedName>
    <definedName name="aesre" localSheetId="6" hidden="1">{"PAGE1",#N/A,FALSE,"CPFFMSTR";"PAGE2",#N/A,FALSE,"CPFFMSTR"}</definedName>
    <definedName name="aesre" localSheetId="2" hidden="1">{"PAGE1",#N/A,FALSE,"CPFFMSTR";"PAGE2",#N/A,FALSE,"CPFFMSTR"}</definedName>
    <definedName name="aesre" localSheetId="1" hidden="1">{"PAGE1",#N/A,FALSE,"CPFFMSTR";"PAGE2",#N/A,FALSE,"CPFFMSTR"}</definedName>
    <definedName name="aesre" hidden="1">{"PAGE1",#N/A,FALSE,"CPFFMSTR";"PAGE2",#N/A,FALSE,"CPFFMSTR"}</definedName>
    <definedName name="Agbiz11">#REF!</definedName>
    <definedName name="Agbiz12">#REF!</definedName>
    <definedName name="Agbiz13">#REF!</definedName>
    <definedName name="Agbiz41">#REF!</definedName>
    <definedName name="Agbiz42">#REF!</definedName>
    <definedName name="Agbiz43">#REF!</definedName>
    <definedName name="Agbiz51">#REF!</definedName>
    <definedName name="Agbiz52">#REF!</definedName>
    <definedName name="Agbiz53">#REF!</definedName>
    <definedName name="AGCOSTS">#REF!</definedName>
    <definedName name="aidmax">#REF!</definedName>
    <definedName name="Airfare_Consultants">#REF!</definedName>
    <definedName name="Airfare_Homeleave">#REF!</definedName>
    <definedName name="airshipment">#REF!</definedName>
    <definedName name="ALL">#REF!</definedName>
    <definedName name="Allowances">#REF!</definedName>
    <definedName name="ANAL">#REF!</definedName>
    <definedName name="Appointments">IF(LEN(#REF!),COUNTIFS(#REF!,#REF!,#REF!,"&gt;0"),0)</definedName>
    <definedName name="asd" hidden="1">#REF!</definedName>
    <definedName name="asdf" localSheetId="3" hidden="1">{"PAGE1",#N/A,FALSE,"CPFFMSTR";"PAGE2",#N/A,FALSE,"CPFFMSTR"}</definedName>
    <definedName name="asdf" localSheetId="4" hidden="1">{"PAGE1",#N/A,FALSE,"CPFFMSTR";"PAGE2",#N/A,FALSE,"CPFFMSTR"}</definedName>
    <definedName name="asdf" localSheetId="5" hidden="1">{"PAGE1",#N/A,FALSE,"CPFFMSTR";"PAGE2",#N/A,FALSE,"CPFFMSTR"}</definedName>
    <definedName name="asdf" localSheetId="6" hidden="1">{"PAGE1",#N/A,FALSE,"CPFFMSTR";"PAGE2",#N/A,FALSE,"CPFFMSTR"}</definedName>
    <definedName name="asdf" localSheetId="2" hidden="1">{"PAGE1",#N/A,FALSE,"CPFFMSTR";"PAGE2",#N/A,FALSE,"CPFFMSTR"}</definedName>
    <definedName name="asdf" localSheetId="1" hidden="1">{"PAGE1",#N/A,FALSE,"CPFFMSTR";"PAGE2",#N/A,FALSE,"CPFFMSTR"}</definedName>
    <definedName name="asdf" hidden="1">{"PAGE1",#N/A,FALSE,"CPFFMSTR";"PAGE2",#N/A,FALSE,"CPFFMSTR"}</definedName>
    <definedName name="asf">#REF!</definedName>
    <definedName name="ASI_Dec_1">#REF!</definedName>
    <definedName name="ASI_Dec_2">#REF!</definedName>
    <definedName name="ASI_Dec_3">#REF!</definedName>
    <definedName name="ASI_Dec_4">#REF!</definedName>
    <definedName name="ASI_Dec_5">#REF!</definedName>
    <definedName name="ASI_May_1">#REF!</definedName>
    <definedName name="ASI_May_2">#REF!</definedName>
    <definedName name="ASI_May_3">#REF!</definedName>
    <definedName name="ASI_May_4">#REF!</definedName>
    <definedName name="ASI_May_5">#REF!</definedName>
    <definedName name="ASI_Nov_1">#REF!</definedName>
    <definedName name="ASI_Nov_2">#REF!</definedName>
    <definedName name="ASI_nov_3">#REF!</definedName>
    <definedName name="ASI_Nov_4">#REF!</definedName>
    <definedName name="ASI_Nov_5">#REF!</definedName>
    <definedName name="ASU">#N/A</definedName>
    <definedName name="awardfee">#REF!</definedName>
    <definedName name="AWI_FACTOR_OPTION_YR1">#REF!</definedName>
    <definedName name="AWI_FACTOR_OPTION_YR2">#REF!</definedName>
    <definedName name="AWI_FACTOR_OPTION_YR3">#REF!</definedName>
    <definedName name="AWI_FACTOR_OPTION_YR4">#REF!</definedName>
    <definedName name="AWI_FACTOR_TABLE">#REF!</definedName>
    <definedName name="AWU_FACTOR_OPTION_YR1B">#REF!</definedName>
    <definedName name="bank_transfer">#REF!</definedName>
    <definedName name="BASA">#REF!</definedName>
    <definedName name="BASA1">#REF!</definedName>
    <definedName name="basefee">#REF!</definedName>
    <definedName name="BI">#REF!</definedName>
    <definedName name="big">#REF!</definedName>
    <definedName name="bkodc">#REF!</definedName>
    <definedName name="BRANTRAV">#REF!</definedName>
    <definedName name="budget">#REF!</definedName>
    <definedName name="Budget_years">#REF!</definedName>
    <definedName name="bver" localSheetId="3" hidden="1">{"PAGE1",#N/A,FALSE,"CPFFMSTR";"PAGE2",#N/A,FALSE,"CPFFMSTR"}</definedName>
    <definedName name="bver" localSheetId="4" hidden="1">{"PAGE1",#N/A,FALSE,"CPFFMSTR";"PAGE2",#N/A,FALSE,"CPFFMSTR"}</definedName>
    <definedName name="bver" localSheetId="5" hidden="1">{"PAGE1",#N/A,FALSE,"CPFFMSTR";"PAGE2",#N/A,FALSE,"CPFFMSTR"}</definedName>
    <definedName name="bver" localSheetId="6" hidden="1">{"PAGE1",#N/A,FALSE,"CPFFMSTR";"PAGE2",#N/A,FALSE,"CPFFMSTR"}</definedName>
    <definedName name="bver" localSheetId="2" hidden="1">{"PAGE1",#N/A,FALSE,"CPFFMSTR";"PAGE2",#N/A,FALSE,"CPFFMSTR"}</definedName>
    <definedName name="bver" localSheetId="1" hidden="1">{"PAGE1",#N/A,FALSE,"CPFFMSTR";"PAGE2",#N/A,FALSE,"CPFFMSTR"}</definedName>
    <definedName name="bver" hidden="1">{"PAGE1",#N/A,FALSE,"CPFFMSTR";"PAGE2",#N/A,FALSE,"CPFFMSTR"}</definedName>
    <definedName name="capital">#REF!</definedName>
    <definedName name="Cash_Table">#REF!</definedName>
    <definedName name="CCN">#N/A</definedName>
    <definedName name="CCN_Disount">#REF!</definedName>
    <definedName name="CGHY" localSheetId="3" hidden="1">{"PAGE1",#N/A,FALSE,"CPFFMSTR";"PAGE2",#N/A,FALSE,"CPFFMSTR"}</definedName>
    <definedName name="CGHY" localSheetId="4" hidden="1">{"PAGE1",#N/A,FALSE,"CPFFMSTR";"PAGE2",#N/A,FALSE,"CPFFMSTR"}</definedName>
    <definedName name="CGHY" localSheetId="5" hidden="1">{"PAGE1",#N/A,FALSE,"CPFFMSTR";"PAGE2",#N/A,FALSE,"CPFFMSTR"}</definedName>
    <definedName name="CGHY" localSheetId="6" hidden="1">{"PAGE1",#N/A,FALSE,"CPFFMSTR";"PAGE2",#N/A,FALSE,"CPFFMSTR"}</definedName>
    <definedName name="CGHY" localSheetId="2" hidden="1">{"PAGE1",#N/A,FALSE,"CPFFMSTR";"PAGE2",#N/A,FALSE,"CPFFMSTR"}</definedName>
    <definedName name="CGHY" localSheetId="1" hidden="1">{"PAGE1",#N/A,FALSE,"CPFFMSTR";"PAGE2",#N/A,FALSE,"CPFFMSTR"}</definedName>
    <definedName name="CGHY" hidden="1">{"PAGE1",#N/A,FALSE,"CPFFMSTR";"PAGE2",#N/A,FALSE,"CPFFMSTR"}</definedName>
    <definedName name="Chart_of_accounts">#REF!</definedName>
    <definedName name="ci">#REF!</definedName>
    <definedName name="CII">#REF!</definedName>
    <definedName name="CLASS">#REF!</definedName>
    <definedName name="clin1">#REF!</definedName>
    <definedName name="clin1base">#REF!</definedName>
    <definedName name="clin1factor">#REF!</definedName>
    <definedName name="clin1oy1">#REF!</definedName>
    <definedName name="clin1oy2">#REF!</definedName>
    <definedName name="clin1oy3">#REF!</definedName>
    <definedName name="clin1oy4">#REF!</definedName>
    <definedName name="clin2">#REF!</definedName>
    <definedName name="clin2base">#REF!</definedName>
    <definedName name="clin2factor">#REF!</definedName>
    <definedName name="clin2oy1">#REF!</definedName>
    <definedName name="clin2oy2">#REF!</definedName>
    <definedName name="clin2oy3">#REF!</definedName>
    <definedName name="clin2oy4">#REF!</definedName>
    <definedName name="clin3">#REF!</definedName>
    <definedName name="clin3base">#REF!</definedName>
    <definedName name="clin3factor">#REF!</definedName>
    <definedName name="clin3oy1">#REF!</definedName>
    <definedName name="clin3oy2">#REF!</definedName>
    <definedName name="clin3oy3">#REF!</definedName>
    <definedName name="clin3oy4">#REF!</definedName>
    <definedName name="clin4">#REF!</definedName>
    <definedName name="clin5">#REF!</definedName>
    <definedName name="CoLA">#REF!</definedName>
    <definedName name="comm">#REF!</definedName>
    <definedName name="Composite_Indirect_Rates_Year_1">#REF!</definedName>
    <definedName name="Composite_Indirect_Rates_Year_2">#REF!</definedName>
    <definedName name="Composite_Indirect_Rates_Year_3">#REF!</definedName>
    <definedName name="Composite_Indirect_Rates_Year_4">#REF!</definedName>
    <definedName name="Composite_Indirect_Rates_Year_5">#REF!</definedName>
    <definedName name="COMSO" localSheetId="3" hidden="1">{#N/A,#N/A,FALSE,"Proposal"}</definedName>
    <definedName name="COMSO" localSheetId="4" hidden="1">{#N/A,#N/A,FALSE,"Proposal"}</definedName>
    <definedName name="COMSO" localSheetId="5" hidden="1">{#N/A,#N/A,FALSE,"Proposal"}</definedName>
    <definedName name="COMSO" localSheetId="6" hidden="1">{#N/A,#N/A,FALSE,"Proposal"}</definedName>
    <definedName name="COMSO" localSheetId="2" hidden="1">{#N/A,#N/A,FALSE,"Proposal"}</definedName>
    <definedName name="COMSO" hidden="1">{#N/A,#N/A,FALSE,"Proposal"}</definedName>
    <definedName name="confperdiem">#REF!</definedName>
    <definedName name="Connscenario">#REF!</definedName>
    <definedName name="Connscenariodata">#REF!</definedName>
    <definedName name="Cons">#REF!</definedName>
    <definedName name="ConsolidatedOld">#REF!</definedName>
    <definedName name="CONST">#REF!</definedName>
    <definedName name="CONSULT">#N/A</definedName>
    <definedName name="consumables">#REF!</definedName>
    <definedName name="COOPERATIVE_LEAGUE_OF_THE_USA">#REF!</definedName>
    <definedName name="coptrip">#REF!</definedName>
    <definedName name="coptriplength">#REF!</definedName>
    <definedName name="Cost_Elements">#REF!</definedName>
    <definedName name="COSTS">#N/A</definedName>
    <definedName name="COUNTRY">#N/A</definedName>
    <definedName name="countryinf">#REF!</definedName>
    <definedName name="cts">#REF!</definedName>
    <definedName name="currency2">#REF!</definedName>
    <definedName name="CurrencyCode">#REF!</definedName>
    <definedName name="Cut">#REF!</definedName>
    <definedName name="DAI">#N/A</definedName>
    <definedName name="daiInd">1.4*1.5*1.09</definedName>
    <definedName name="danger">#REF!</definedName>
    <definedName name="dangerpay">#REF!</definedName>
    <definedName name="Dartotalpd">#REF!</definedName>
    <definedName name="DATA">#REF!</definedName>
    <definedName name="_xlnm.Database">#REF!</definedName>
    <definedName name="dataI3R">#REF!</definedName>
    <definedName name="Date">#REF!</definedName>
    <definedName name="Days">#REF!</definedName>
    <definedName name="daysinKabul">#REF!</definedName>
    <definedName name="daysinPeshawar">#REF!</definedName>
    <definedName name="daysinTravel">#REF!</definedName>
    <definedName name="daysoutKabul">#REF!</definedName>
    <definedName name="dayspertrip">#REF!</definedName>
    <definedName name="dba">#REF!</definedName>
    <definedName name="ddd">#REF!</definedName>
    <definedName name="dereje">#REF!</definedName>
    <definedName name="Dereje_123">#REF!</definedName>
    <definedName name="DETAIL">#REF!</definedName>
    <definedName name="DFTY" localSheetId="3" hidden="1">{"PAGE1",#N/A,FALSE,"CPFFMSTR";"PAGE2",#N/A,FALSE,"CPFFMSTR"}</definedName>
    <definedName name="DFTY" localSheetId="4" hidden="1">{"PAGE1",#N/A,FALSE,"CPFFMSTR";"PAGE2",#N/A,FALSE,"CPFFMSTR"}</definedName>
    <definedName name="DFTY" localSheetId="5" hidden="1">{"PAGE1",#N/A,FALSE,"CPFFMSTR";"PAGE2",#N/A,FALSE,"CPFFMSTR"}</definedName>
    <definedName name="DFTY" localSheetId="6" hidden="1">{"PAGE1",#N/A,FALSE,"CPFFMSTR";"PAGE2",#N/A,FALSE,"CPFFMSTR"}</definedName>
    <definedName name="DFTY" localSheetId="2" hidden="1">{"PAGE1",#N/A,FALSE,"CPFFMSTR";"PAGE2",#N/A,FALSE,"CPFFMSTR"}</definedName>
    <definedName name="DFTY" localSheetId="1" hidden="1">{"PAGE1",#N/A,FALSE,"CPFFMSTR";"PAGE2",#N/A,FALSE,"CPFFMSTR"}</definedName>
    <definedName name="DFTY" hidden="1">{"PAGE1",#N/A,FALSE,"CPFFMSTR";"PAGE2",#N/A,FALSE,"CPFFMSTR"}</definedName>
    <definedName name="differential">#REF!</definedName>
    <definedName name="Dinominator">#REF!</definedName>
    <definedName name="discCCN">0.77</definedName>
    <definedName name="discCCNLT">(1-0)</definedName>
    <definedName name="discCCNst">(1-0.75)</definedName>
    <definedName name="discExpat">0.15</definedName>
    <definedName name="DON">#N/A</definedName>
    <definedName name="dpt">#REF!</definedName>
    <definedName name="dsfa" localSheetId="3" hidden="1">{"PAGE1",#N/A,FALSE,"CPFFMSTR";"PAGE2",#N/A,FALSE,"CPFFMSTR"}</definedName>
    <definedName name="dsfa" localSheetId="4" hidden="1">{"PAGE1",#N/A,FALSE,"CPFFMSTR";"PAGE2",#N/A,FALSE,"CPFFMSTR"}</definedName>
    <definedName name="dsfa" localSheetId="5" hidden="1">{"PAGE1",#N/A,FALSE,"CPFFMSTR";"PAGE2",#N/A,FALSE,"CPFFMSTR"}</definedName>
    <definedName name="dsfa" localSheetId="6" hidden="1">{"PAGE1",#N/A,FALSE,"CPFFMSTR";"PAGE2",#N/A,FALSE,"CPFFMSTR"}</definedName>
    <definedName name="dsfa" localSheetId="2" hidden="1">{"PAGE1",#N/A,FALSE,"CPFFMSTR";"PAGE2",#N/A,FALSE,"CPFFMSTR"}</definedName>
    <definedName name="dsfa" localSheetId="1" hidden="1">{"PAGE1",#N/A,FALSE,"CPFFMSTR";"PAGE2",#N/A,FALSE,"CPFFMSTR"}</definedName>
    <definedName name="dsfa" hidden="1">{"PAGE1",#N/A,FALSE,"CPFFMSTR";"PAGE2",#N/A,FALSE,"CPFFMSTR"}</definedName>
    <definedName name="dtys" localSheetId="3" hidden="1">{"PAGE1",#N/A,FALSE,"CPFFMSTR";"PAGE2",#N/A,FALSE,"CPFFMSTR"}</definedName>
    <definedName name="dtys" localSheetId="4" hidden="1">{"PAGE1",#N/A,FALSE,"CPFFMSTR";"PAGE2",#N/A,FALSE,"CPFFMSTR"}</definedName>
    <definedName name="dtys" localSheetId="5" hidden="1">{"PAGE1",#N/A,FALSE,"CPFFMSTR";"PAGE2",#N/A,FALSE,"CPFFMSTR"}</definedName>
    <definedName name="dtys" localSheetId="6" hidden="1">{"PAGE1",#N/A,FALSE,"CPFFMSTR";"PAGE2",#N/A,FALSE,"CPFFMSTR"}</definedName>
    <definedName name="dtys" localSheetId="2" hidden="1">{"PAGE1",#N/A,FALSE,"CPFFMSTR";"PAGE2",#N/A,FALSE,"CPFFMSTR"}</definedName>
    <definedName name="dtys" localSheetId="1" hidden="1">{"PAGE1",#N/A,FALSE,"CPFFMSTR";"PAGE2",#N/A,FALSE,"CPFFMSTR"}</definedName>
    <definedName name="dtys" hidden="1">{"PAGE1",#N/A,FALSE,"CPFFMSTR";"PAGE2",#N/A,FALSE,"CPFFMSTR"}</definedName>
    <definedName name="eafo" localSheetId="3" hidden="1">{"ACC_Cars_125K_PA",#N/A,FALSE,"ACC Cars Co1 125K ";"ACC_Cars_125K_Prop",#N/A,FALSE,"ACC Cars Co1 125K "}</definedName>
    <definedName name="eafo" localSheetId="4" hidden="1">{"ACC_Cars_125K_PA",#N/A,FALSE,"ACC Cars Co1 125K ";"ACC_Cars_125K_Prop",#N/A,FALSE,"ACC Cars Co1 125K "}</definedName>
    <definedName name="eafo" localSheetId="5" hidden="1">{"ACC_Cars_125K_PA",#N/A,FALSE,"ACC Cars Co1 125K ";"ACC_Cars_125K_Prop",#N/A,FALSE,"ACC Cars Co1 125K "}</definedName>
    <definedName name="eafo" localSheetId="6" hidden="1">{"ACC_Cars_125K_PA",#N/A,FALSE,"ACC Cars Co1 125K ";"ACC_Cars_125K_Prop",#N/A,FALSE,"ACC Cars Co1 125K "}</definedName>
    <definedName name="eafo" localSheetId="2" hidden="1">{"ACC_Cars_125K_PA",#N/A,FALSE,"ACC Cars Co1 125K ";"ACC_Cars_125K_Prop",#N/A,FALSE,"ACC Cars Co1 125K "}</definedName>
    <definedName name="eafo" localSheetId="1" hidden="1">{"ACC_Cars_125K_PA",#N/A,FALSE,"ACC Cars Co1 125K ";"ACC_Cars_125K_Prop",#N/A,FALSE,"ACC Cars Co1 125K "}</definedName>
    <definedName name="eafo" hidden="1">{"ACC_Cars_125K_PA",#N/A,FALSE,"ACC Cars Co1 125K ";"ACC_Cars_125K_Prop",#N/A,FALSE,"ACC Cars Co1 125K "}</definedName>
    <definedName name="eafo1" localSheetId="3" hidden="1">{"ACC_Cars_400K_PA",#N/A,FALSE,"ACC Cars Co1 400K";"ACC_Cars_400K_Prop",#N/A,FALSE,"ACC Cars Co1 400K"}</definedName>
    <definedName name="eafo1" localSheetId="4" hidden="1">{"ACC_Cars_400K_PA",#N/A,FALSE,"ACC Cars Co1 400K";"ACC_Cars_400K_Prop",#N/A,FALSE,"ACC Cars Co1 400K"}</definedName>
    <definedName name="eafo1" localSheetId="5" hidden="1">{"ACC_Cars_400K_PA",#N/A,FALSE,"ACC Cars Co1 400K";"ACC_Cars_400K_Prop",#N/A,FALSE,"ACC Cars Co1 400K"}</definedName>
    <definedName name="eafo1" localSheetId="6" hidden="1">{"ACC_Cars_400K_PA",#N/A,FALSE,"ACC Cars Co1 400K";"ACC_Cars_400K_Prop",#N/A,FALSE,"ACC Cars Co1 400K"}</definedName>
    <definedName name="eafo1" localSheetId="2" hidden="1">{"ACC_Cars_400K_PA",#N/A,FALSE,"ACC Cars Co1 400K";"ACC_Cars_400K_Prop",#N/A,FALSE,"ACC Cars Co1 400K"}</definedName>
    <definedName name="eafo1" localSheetId="1" hidden="1">{"ACC_Cars_400K_PA",#N/A,FALSE,"ACC Cars Co1 400K";"ACC_Cars_400K_Prop",#N/A,FALSE,"ACC Cars Co1 400K"}</definedName>
    <definedName name="eafo1" hidden="1">{"ACC_Cars_400K_PA",#N/A,FALSE,"ACC Cars Co1 400K";"ACC_Cars_400K_Prop",#N/A,FALSE,"ACC Cars Co1 400K"}</definedName>
    <definedName name="eafo10" localSheetId="3" hidden="1">{"PearsonCo1_Prop",#N/A,FALSE,"Pearsons Task Co1";"PearsonCo1_PA",#N/A,FALSE,"Pearsons Task Co1"}</definedName>
    <definedName name="eafo10" localSheetId="4" hidden="1">{"PearsonCo1_Prop",#N/A,FALSE,"Pearsons Task Co1";"PearsonCo1_PA",#N/A,FALSE,"Pearsons Task Co1"}</definedName>
    <definedName name="eafo10" localSheetId="5" hidden="1">{"PearsonCo1_Prop",#N/A,FALSE,"Pearsons Task Co1";"PearsonCo1_PA",#N/A,FALSE,"Pearsons Task Co1"}</definedName>
    <definedName name="eafo10" localSheetId="6" hidden="1">{"PearsonCo1_Prop",#N/A,FALSE,"Pearsons Task Co1";"PearsonCo1_PA",#N/A,FALSE,"Pearsons Task Co1"}</definedName>
    <definedName name="eafo10" localSheetId="2" hidden="1">{"PearsonCo1_Prop",#N/A,FALSE,"Pearsons Task Co1";"PearsonCo1_PA",#N/A,FALSE,"Pearsons Task Co1"}</definedName>
    <definedName name="eafo10" localSheetId="1" hidden="1">{"PearsonCo1_Prop",#N/A,FALSE,"Pearsons Task Co1";"PearsonCo1_PA",#N/A,FALSE,"Pearsons Task Co1"}</definedName>
    <definedName name="eafo10" hidden="1">{"PearsonCo1_Prop",#N/A,FALSE,"Pearsons Task Co1";"PearsonCo1_PA",#N/A,FALSE,"Pearsons Task Co1"}</definedName>
    <definedName name="eafo11" localSheetId="3" hidden="1">{"PearsonCo5_Prop",#N/A,FALSE,"Pearsons Task Co5";"PearsonCo5_PA",#N/A,FALSE,"Pearsons Task Co5"}</definedName>
    <definedName name="eafo11" localSheetId="4" hidden="1">{"PearsonCo5_Prop",#N/A,FALSE,"Pearsons Task Co5";"PearsonCo5_PA",#N/A,FALSE,"Pearsons Task Co5"}</definedName>
    <definedName name="eafo11" localSheetId="5" hidden="1">{"PearsonCo5_Prop",#N/A,FALSE,"Pearsons Task Co5";"PearsonCo5_PA",#N/A,FALSE,"Pearsons Task Co5"}</definedName>
    <definedName name="eafo11" localSheetId="6" hidden="1">{"PearsonCo5_Prop",#N/A,FALSE,"Pearsons Task Co5";"PearsonCo5_PA",#N/A,FALSE,"Pearsons Task Co5"}</definedName>
    <definedName name="eafo11" localSheetId="2" hidden="1">{"PearsonCo5_Prop",#N/A,FALSE,"Pearsons Task Co5";"PearsonCo5_PA",#N/A,FALSE,"Pearsons Task Co5"}</definedName>
    <definedName name="eafo11" localSheetId="1" hidden="1">{"PearsonCo5_Prop",#N/A,FALSE,"Pearsons Task Co5";"PearsonCo5_PA",#N/A,FALSE,"Pearsons Task Co5"}</definedName>
    <definedName name="eafo11" hidden="1">{"PearsonCo5_Prop",#N/A,FALSE,"Pearsons Task Co5";"PearsonCo5_PA",#N/A,FALSE,"Pearsons Task Co5"}</definedName>
    <definedName name="eafo12" localSheetId="3" hidden="1">{"Seal Team J6 Sum",#N/A,FALSE,"Seal Team Summary";"Seal Team J6",#N/A,FALSE,"Seal Team ";"Seal Team ODC J6",#N/A,FALSE,"Seal Team ODCs";"Seal Team Trvl J6",#N/A,FALSE," Seal Team Trvl"}</definedName>
    <definedName name="eafo12" localSheetId="4" hidden="1">{"Seal Team J6 Sum",#N/A,FALSE,"Seal Team Summary";"Seal Team J6",#N/A,FALSE,"Seal Team ";"Seal Team ODC J6",#N/A,FALSE,"Seal Team ODCs";"Seal Team Trvl J6",#N/A,FALSE," Seal Team Trvl"}</definedName>
    <definedName name="eafo12" localSheetId="5" hidden="1">{"Seal Team J6 Sum",#N/A,FALSE,"Seal Team Summary";"Seal Team J6",#N/A,FALSE,"Seal Team ";"Seal Team ODC J6",#N/A,FALSE,"Seal Team ODCs";"Seal Team Trvl J6",#N/A,FALSE," Seal Team Trvl"}</definedName>
    <definedName name="eafo12" localSheetId="6" hidden="1">{"Seal Team J6 Sum",#N/A,FALSE,"Seal Team Summary";"Seal Team J6",#N/A,FALSE,"Seal Team ";"Seal Team ODC J6",#N/A,FALSE,"Seal Team ODCs";"Seal Team Trvl J6",#N/A,FALSE," Seal Team Trvl"}</definedName>
    <definedName name="eafo12" localSheetId="2" hidden="1">{"Seal Team J6 Sum",#N/A,FALSE,"Seal Team Summary";"Seal Team J6",#N/A,FALSE,"Seal Team ";"Seal Team ODC J6",#N/A,FALSE,"Seal Team ODCs";"Seal Team Trvl J6",#N/A,FALSE," Seal Team Trvl"}</definedName>
    <definedName name="eafo12" localSheetId="1" hidden="1">{"Seal Team J6 Sum",#N/A,FALSE,"Seal Team Summary";"Seal Team J6",#N/A,FALSE,"Seal Team ";"Seal Team ODC J6",#N/A,FALSE,"Seal Team ODCs";"Seal Team Trvl J6",#N/A,FALSE," Seal Team Trvl"}</definedName>
    <definedName name="eafo12" hidden="1">{"Seal Team J6 Sum",#N/A,FALSE,"Seal Team Summary";"Seal Team J6",#N/A,FALSE,"Seal Team ";"Seal Team ODC J6",#N/A,FALSE,"Seal Team ODCs";"Seal Team Trvl J6",#N/A,FALSE," Seal Team Trvl"}</definedName>
    <definedName name="eafo15" localSheetId="3" hidden="1">{"ACC_Cars_125K_PA",#N/A,FALSE,"ACC Cars Co1 125K ";"ACC_Cars_125K_Prop",#N/A,FALSE,"ACC Cars Co1 125K "}</definedName>
    <definedName name="eafo15" localSheetId="4" hidden="1">{"ACC_Cars_125K_PA",#N/A,FALSE,"ACC Cars Co1 125K ";"ACC_Cars_125K_Prop",#N/A,FALSE,"ACC Cars Co1 125K "}</definedName>
    <definedName name="eafo15" localSheetId="5" hidden="1">{"ACC_Cars_125K_PA",#N/A,FALSE,"ACC Cars Co1 125K ";"ACC_Cars_125K_Prop",#N/A,FALSE,"ACC Cars Co1 125K "}</definedName>
    <definedName name="eafo15" localSheetId="6" hidden="1">{"ACC_Cars_125K_PA",#N/A,FALSE,"ACC Cars Co1 125K ";"ACC_Cars_125K_Prop",#N/A,FALSE,"ACC Cars Co1 125K "}</definedName>
    <definedName name="eafo15" localSheetId="2" hidden="1">{"ACC_Cars_125K_PA",#N/A,FALSE,"ACC Cars Co1 125K ";"ACC_Cars_125K_Prop",#N/A,FALSE,"ACC Cars Co1 125K "}</definedName>
    <definedName name="eafo15" localSheetId="1" hidden="1">{"ACC_Cars_125K_PA",#N/A,FALSE,"ACC Cars Co1 125K ";"ACC_Cars_125K_Prop",#N/A,FALSE,"ACC Cars Co1 125K "}</definedName>
    <definedName name="eafo15" hidden="1">{"ACC_Cars_125K_PA",#N/A,FALSE,"ACC Cars Co1 125K ";"ACC_Cars_125K_Prop",#N/A,FALSE,"ACC Cars Co1 125K "}</definedName>
    <definedName name="eafo16" localSheetId="3" hidden="1">{"ACC_Cars_400K_PA",#N/A,FALSE,"ACC Cars Co1 400K";"ACC_Cars_400K_Prop",#N/A,FALSE,"ACC Cars Co1 400K"}</definedName>
    <definedName name="eafo16" localSheetId="4" hidden="1">{"ACC_Cars_400K_PA",#N/A,FALSE,"ACC Cars Co1 400K";"ACC_Cars_400K_Prop",#N/A,FALSE,"ACC Cars Co1 400K"}</definedName>
    <definedName name="eafo16" localSheetId="5" hidden="1">{"ACC_Cars_400K_PA",#N/A,FALSE,"ACC Cars Co1 400K";"ACC_Cars_400K_Prop",#N/A,FALSE,"ACC Cars Co1 400K"}</definedName>
    <definedName name="eafo16" localSheetId="6" hidden="1">{"ACC_Cars_400K_PA",#N/A,FALSE,"ACC Cars Co1 400K";"ACC_Cars_400K_Prop",#N/A,FALSE,"ACC Cars Co1 400K"}</definedName>
    <definedName name="eafo16" localSheetId="2" hidden="1">{"ACC_Cars_400K_PA",#N/A,FALSE,"ACC Cars Co1 400K";"ACC_Cars_400K_Prop",#N/A,FALSE,"ACC Cars Co1 400K"}</definedName>
    <definedName name="eafo16" localSheetId="1" hidden="1">{"ACC_Cars_400K_PA",#N/A,FALSE,"ACC Cars Co1 400K";"ACC_Cars_400K_Prop",#N/A,FALSE,"ACC Cars Co1 400K"}</definedName>
    <definedName name="eafo16" hidden="1">{"ACC_Cars_400K_PA",#N/A,FALSE,"ACC Cars Co1 400K";"ACC_Cars_400K_Prop",#N/A,FALSE,"ACC Cars Co1 400K"}</definedName>
    <definedName name="eafo17" localSheetId="3" hidden="1">{"PAGE1",#N/A,FALSE,"ACC_CARS Travel 125K";"PAGE2",#N/A,FALSE,"ACC_CARS Travel 125K"}</definedName>
    <definedName name="eafo17" localSheetId="4" hidden="1">{"PAGE1",#N/A,FALSE,"ACC_CARS Travel 125K";"PAGE2",#N/A,FALSE,"ACC_CARS Travel 125K"}</definedName>
    <definedName name="eafo17" localSheetId="5" hidden="1">{"PAGE1",#N/A,FALSE,"ACC_CARS Travel 125K";"PAGE2",#N/A,FALSE,"ACC_CARS Travel 125K"}</definedName>
    <definedName name="eafo17" localSheetId="6" hidden="1">{"PAGE1",#N/A,FALSE,"ACC_CARS Travel 125K";"PAGE2",#N/A,FALSE,"ACC_CARS Travel 125K"}</definedName>
    <definedName name="eafo17" localSheetId="2" hidden="1">{"PAGE1",#N/A,FALSE,"ACC_CARS Travel 125K";"PAGE2",#N/A,FALSE,"ACC_CARS Travel 125K"}</definedName>
    <definedName name="eafo17" localSheetId="1" hidden="1">{"PAGE1",#N/A,FALSE,"ACC_CARS Travel 125K";"PAGE2",#N/A,FALSE,"ACC_CARS Travel 125K"}</definedName>
    <definedName name="eafo17" hidden="1">{"PAGE1",#N/A,FALSE,"ACC_CARS Travel 125K";"PAGE2",#N/A,FALSE,"ACC_CARS Travel 125K"}</definedName>
    <definedName name="eafo18" localSheetId="3" hidden="1">{"Page1",#N/A,FALSE,"ACC_CARS Travel 400K";"Page2",#N/A,FALSE,"ACC_CARS Travel 400K"}</definedName>
    <definedName name="eafo18" localSheetId="4" hidden="1">{"Page1",#N/A,FALSE,"ACC_CARS Travel 400K";"Page2",#N/A,FALSE,"ACC_CARS Travel 400K"}</definedName>
    <definedName name="eafo18" localSheetId="5" hidden="1">{"Page1",#N/A,FALSE,"ACC_CARS Travel 400K";"Page2",#N/A,FALSE,"ACC_CARS Travel 400K"}</definedName>
    <definedName name="eafo18" localSheetId="6" hidden="1">{"Page1",#N/A,FALSE,"ACC_CARS Travel 400K";"Page2",#N/A,FALSE,"ACC_CARS Travel 400K"}</definedName>
    <definedName name="eafo18" localSheetId="2" hidden="1">{"Page1",#N/A,FALSE,"ACC_CARS Travel 400K";"Page2",#N/A,FALSE,"ACC_CARS Travel 400K"}</definedName>
    <definedName name="eafo18" localSheetId="1" hidden="1">{"Page1",#N/A,FALSE,"ACC_CARS Travel 400K";"Page2",#N/A,FALSE,"ACC_CARS Travel 400K"}</definedName>
    <definedName name="eafo18" hidden="1">{"Page1",#N/A,FALSE,"ACC_CARS Travel 400K";"Page2",#N/A,FALSE,"ACC_CARS Travel 400K"}</definedName>
    <definedName name="eafo19" localSheetId="3" hidden="1">{"Pre_CCB",#N/A,FALSE,"Pre CCB Pkg ";"CCB_Memb_Notbk",#N/A,FALSE,"CCB_Memb_Notebk";"CCB_Handouts",#N/A,FALSE,"Handouts";"JDISS_Brochure",#N/A,FALSE,"JDISS_Brochure";"JDISS_Minutes",#N/A,FALSE,"JDISS_Minutes";"Total_JDISS",#N/A,FALSE,"Total JDISS"}</definedName>
    <definedName name="eafo19" localSheetId="4" hidden="1">{"Pre_CCB",#N/A,FALSE,"Pre CCB Pkg ";"CCB_Memb_Notbk",#N/A,FALSE,"CCB_Memb_Notebk";"CCB_Handouts",#N/A,FALSE,"Handouts";"JDISS_Brochure",#N/A,FALSE,"JDISS_Brochure";"JDISS_Minutes",#N/A,FALSE,"JDISS_Minutes";"Total_JDISS",#N/A,FALSE,"Total JDISS"}</definedName>
    <definedName name="eafo19" localSheetId="5" hidden="1">{"Pre_CCB",#N/A,FALSE,"Pre CCB Pkg ";"CCB_Memb_Notbk",#N/A,FALSE,"CCB_Memb_Notebk";"CCB_Handouts",#N/A,FALSE,"Handouts";"JDISS_Brochure",#N/A,FALSE,"JDISS_Brochure";"JDISS_Minutes",#N/A,FALSE,"JDISS_Minutes";"Total_JDISS",#N/A,FALSE,"Total JDISS"}</definedName>
    <definedName name="eafo19" localSheetId="6" hidden="1">{"Pre_CCB",#N/A,FALSE,"Pre CCB Pkg ";"CCB_Memb_Notbk",#N/A,FALSE,"CCB_Memb_Notebk";"CCB_Handouts",#N/A,FALSE,"Handouts";"JDISS_Brochure",#N/A,FALSE,"JDISS_Brochure";"JDISS_Minutes",#N/A,FALSE,"JDISS_Minutes";"Total_JDISS",#N/A,FALSE,"Total JDISS"}</definedName>
    <definedName name="eafo19" localSheetId="2" hidden="1">{"Pre_CCB",#N/A,FALSE,"Pre CCB Pkg ";"CCB_Memb_Notbk",#N/A,FALSE,"CCB_Memb_Notebk";"CCB_Handouts",#N/A,FALSE,"Handouts";"JDISS_Brochure",#N/A,FALSE,"JDISS_Brochure";"JDISS_Minutes",#N/A,FALSE,"JDISS_Minutes";"Total_JDISS",#N/A,FALSE,"Total JDISS"}</definedName>
    <definedName name="eafo19" localSheetId="1" hidden="1">{"Pre_CCB",#N/A,FALSE,"Pre CCB Pkg ";"CCB_Memb_Notbk",#N/A,FALSE,"CCB_Memb_Notebk";"CCB_Handouts",#N/A,FALSE,"Handouts";"JDISS_Brochure",#N/A,FALSE,"JDISS_Brochure";"JDISS_Minutes",#N/A,FALSE,"JDISS_Minutes";"Total_JDISS",#N/A,FALSE,"Total JDISS"}</definedName>
    <definedName name="eafo19" hidden="1">{"Pre_CCB",#N/A,FALSE,"Pre CCB Pkg ";"CCB_Memb_Notbk",#N/A,FALSE,"CCB_Memb_Notebk";"CCB_Handouts",#N/A,FALSE,"Handouts";"JDISS_Brochure",#N/A,FALSE,"JDISS_Brochure";"JDISS_Minutes",#N/A,FALSE,"JDISS_Minutes";"Total_JDISS",#N/A,FALSE,"Total JDISS"}</definedName>
    <definedName name="eafo2" localSheetId="3" hidden="1">{"PAGE1",#N/A,FALSE,"ACC_CARS Travel 125K";"PAGE2",#N/A,FALSE,"ACC_CARS Travel 125K"}</definedName>
    <definedName name="eafo2" localSheetId="4" hidden="1">{"PAGE1",#N/A,FALSE,"ACC_CARS Travel 125K";"PAGE2",#N/A,FALSE,"ACC_CARS Travel 125K"}</definedName>
    <definedName name="eafo2" localSheetId="5" hidden="1">{"PAGE1",#N/A,FALSE,"ACC_CARS Travel 125K";"PAGE2",#N/A,FALSE,"ACC_CARS Travel 125K"}</definedName>
    <definedName name="eafo2" localSheetId="6" hidden="1">{"PAGE1",#N/A,FALSE,"ACC_CARS Travel 125K";"PAGE2",#N/A,FALSE,"ACC_CARS Travel 125K"}</definedName>
    <definedName name="eafo2" localSheetId="2" hidden="1">{"PAGE1",#N/A,FALSE,"ACC_CARS Travel 125K";"PAGE2",#N/A,FALSE,"ACC_CARS Travel 125K"}</definedName>
    <definedName name="eafo2" localSheetId="1" hidden="1">{"PAGE1",#N/A,FALSE,"ACC_CARS Travel 125K";"PAGE2",#N/A,FALSE,"ACC_CARS Travel 125K"}</definedName>
    <definedName name="eafo2" hidden="1">{"PAGE1",#N/A,FALSE,"ACC_CARS Travel 125K";"PAGE2",#N/A,FALSE,"ACC_CARS Travel 125K"}</definedName>
    <definedName name="eafo20" localSheetId="3" hidden="1">{"DolanCo1_PA",#N/A,FALSE,"Tina Dolan";"DolanCo1_Prop",#N/A,FALSE,"Tina Dolan"}</definedName>
    <definedName name="eafo20" localSheetId="4" hidden="1">{"DolanCo1_PA",#N/A,FALSE,"Tina Dolan";"DolanCo1_Prop",#N/A,FALSE,"Tina Dolan"}</definedName>
    <definedName name="eafo20" localSheetId="5" hidden="1">{"DolanCo1_PA",#N/A,FALSE,"Tina Dolan";"DolanCo1_Prop",#N/A,FALSE,"Tina Dolan"}</definedName>
    <definedName name="eafo20" localSheetId="6" hidden="1">{"DolanCo1_PA",#N/A,FALSE,"Tina Dolan";"DolanCo1_Prop",#N/A,FALSE,"Tina Dolan"}</definedName>
    <definedName name="eafo20" localSheetId="2" hidden="1">{"DolanCo1_PA",#N/A,FALSE,"Tina Dolan";"DolanCo1_Prop",#N/A,FALSE,"Tina Dolan"}</definedName>
    <definedName name="eafo20" localSheetId="1" hidden="1">{"DolanCo1_PA",#N/A,FALSE,"Tina Dolan";"DolanCo1_Prop",#N/A,FALSE,"Tina Dolan"}</definedName>
    <definedName name="eafo20" hidden="1">{"DolanCo1_PA",#N/A,FALSE,"Tina Dolan";"DolanCo1_Prop",#N/A,FALSE,"Tina Dolan"}</definedName>
    <definedName name="eafo21" localSheetId="3" hidden="1">{"Prop_350K",#N/A,FALSE,"Ebron-350K";"PA_350K",#N/A,FALSE,"Ebron-350K";"Ebron350KTrvl",#N/A,FALSE,"Ebrons Travel 350k"}</definedName>
    <definedName name="eafo21" localSheetId="4" hidden="1">{"Prop_350K",#N/A,FALSE,"Ebron-350K";"PA_350K",#N/A,FALSE,"Ebron-350K";"Ebron350KTrvl",#N/A,FALSE,"Ebrons Travel 350k"}</definedName>
    <definedName name="eafo21" localSheetId="5" hidden="1">{"Prop_350K",#N/A,FALSE,"Ebron-350K";"PA_350K",#N/A,FALSE,"Ebron-350K";"Ebron350KTrvl",#N/A,FALSE,"Ebrons Travel 350k"}</definedName>
    <definedName name="eafo21" localSheetId="6" hidden="1">{"Prop_350K",#N/A,FALSE,"Ebron-350K";"PA_350K",#N/A,FALSE,"Ebron-350K";"Ebron350KTrvl",#N/A,FALSE,"Ebrons Travel 350k"}</definedName>
    <definedName name="eafo21" localSheetId="2" hidden="1">{"Prop_350K",#N/A,FALSE,"Ebron-350K";"PA_350K",#N/A,FALSE,"Ebron-350K";"Ebron350KTrvl",#N/A,FALSE,"Ebrons Travel 350k"}</definedName>
    <definedName name="eafo21" localSheetId="1" hidden="1">{"Prop_350K",#N/A,FALSE,"Ebron-350K";"PA_350K",#N/A,FALSE,"Ebron-350K";"Ebron350KTrvl",#N/A,FALSE,"Ebrons Travel 350k"}</definedName>
    <definedName name="eafo21" hidden="1">{"Prop_350K",#N/A,FALSE,"Ebron-350K";"PA_350K",#N/A,FALSE,"Ebron-350K";"Ebron350KTrvl",#N/A,FALSE,"Ebrons Travel 350k"}</definedName>
    <definedName name="eafo22" localSheetId="3" hidden="1">{"EbronCo1_PA",#N/A,FALSE,"Ebrons Task Co1";"EbronCo1_Prop",#N/A,FALSE,"Ebrons Task Co1";"Ebron316KTrvl",#N/A,FALSE,"Ebrons Travel 316k"}</definedName>
    <definedName name="eafo22" localSheetId="4" hidden="1">{"EbronCo1_PA",#N/A,FALSE,"Ebrons Task Co1";"EbronCo1_Prop",#N/A,FALSE,"Ebrons Task Co1";"Ebron316KTrvl",#N/A,FALSE,"Ebrons Travel 316k"}</definedName>
    <definedName name="eafo22" localSheetId="5" hidden="1">{"EbronCo1_PA",#N/A,FALSE,"Ebrons Task Co1";"EbronCo1_Prop",#N/A,FALSE,"Ebrons Task Co1";"Ebron316KTrvl",#N/A,FALSE,"Ebrons Travel 316k"}</definedName>
    <definedName name="eafo22" localSheetId="6" hidden="1">{"EbronCo1_PA",#N/A,FALSE,"Ebrons Task Co1";"EbronCo1_Prop",#N/A,FALSE,"Ebrons Task Co1";"Ebron316KTrvl",#N/A,FALSE,"Ebrons Travel 316k"}</definedName>
    <definedName name="eafo22" localSheetId="2" hidden="1">{"EbronCo1_PA",#N/A,FALSE,"Ebrons Task Co1";"EbronCo1_Prop",#N/A,FALSE,"Ebrons Task Co1";"Ebron316KTrvl",#N/A,FALSE,"Ebrons Travel 316k"}</definedName>
    <definedName name="eafo22" localSheetId="1" hidden="1">{"EbronCo1_PA",#N/A,FALSE,"Ebrons Task Co1";"EbronCo1_Prop",#N/A,FALSE,"Ebrons Task Co1";"Ebron316KTrvl",#N/A,FALSE,"Ebrons Travel 316k"}</definedName>
    <definedName name="eafo22" hidden="1">{"EbronCo1_PA",#N/A,FALSE,"Ebrons Task Co1";"EbronCo1_Prop",#N/A,FALSE,"Ebrons Task Co1";"Ebron316KTrvl",#N/A,FALSE,"Ebrons Travel 316k"}</definedName>
    <definedName name="eafo23" localSheetId="3" hidden="1">{"EbronCo5_PA",#N/A,FALSE,"Ebrons Task Co5";"EbronCo5_Prop",#N/A,FALSE,"Ebrons Task Co5"}</definedName>
    <definedName name="eafo23" localSheetId="4" hidden="1">{"EbronCo5_PA",#N/A,FALSE,"Ebrons Task Co5";"EbronCo5_Prop",#N/A,FALSE,"Ebrons Task Co5"}</definedName>
    <definedName name="eafo23" localSheetId="5" hidden="1">{"EbronCo5_PA",#N/A,FALSE,"Ebrons Task Co5";"EbronCo5_Prop",#N/A,FALSE,"Ebrons Task Co5"}</definedName>
    <definedName name="eafo23" localSheetId="6" hidden="1">{"EbronCo5_PA",#N/A,FALSE,"Ebrons Task Co5";"EbronCo5_Prop",#N/A,FALSE,"Ebrons Task Co5"}</definedName>
    <definedName name="eafo23" localSheetId="2" hidden="1">{"EbronCo5_PA",#N/A,FALSE,"Ebrons Task Co5";"EbronCo5_Prop",#N/A,FALSE,"Ebrons Task Co5"}</definedName>
    <definedName name="eafo23" localSheetId="1" hidden="1">{"EbronCo5_PA",#N/A,FALSE,"Ebrons Task Co5";"EbronCo5_Prop",#N/A,FALSE,"Ebrons Task Co5"}</definedName>
    <definedName name="eafo23" hidden="1">{"EbronCo5_PA",#N/A,FALSE,"Ebrons Task Co5";"EbronCo5_Prop",#N/A,FALSE,"Ebrons Task Co5"}</definedName>
    <definedName name="eafo24" localSheetId="3" hidden="1">{"JDISS_Co1",#N/A,FALSE,"JDISS_Co1";"JDISSCo1_PA",#N/A,FALSE,"JDISS_Co1"}</definedName>
    <definedName name="eafo24" localSheetId="4" hidden="1">{"JDISS_Co1",#N/A,FALSE,"JDISS_Co1";"JDISSCo1_PA",#N/A,FALSE,"JDISS_Co1"}</definedName>
    <definedName name="eafo24" localSheetId="5" hidden="1">{"JDISS_Co1",#N/A,FALSE,"JDISS_Co1";"JDISSCo1_PA",#N/A,FALSE,"JDISS_Co1"}</definedName>
    <definedName name="eafo24" localSheetId="6" hidden="1">{"JDISS_Co1",#N/A,FALSE,"JDISS_Co1";"JDISSCo1_PA",#N/A,FALSE,"JDISS_Co1"}</definedName>
    <definedName name="eafo24" localSheetId="2" hidden="1">{"JDISS_Co1",#N/A,FALSE,"JDISS_Co1";"JDISSCo1_PA",#N/A,FALSE,"JDISS_Co1"}</definedName>
    <definedName name="eafo24" localSheetId="1" hidden="1">{"JDISS_Co1",#N/A,FALSE,"JDISS_Co1";"JDISSCo1_PA",#N/A,FALSE,"JDISS_Co1"}</definedName>
    <definedName name="eafo24" hidden="1">{"JDISS_Co1",#N/A,FALSE,"JDISS_Co1";"JDISSCo1_PA",#N/A,FALSE,"JDISS_Co1"}</definedName>
    <definedName name="eafo26" localSheetId="3" hidden="1">{"PearsonCo5_Prop",#N/A,FALSE,"Pearsons Task Co5";"PearsonCo5_PA",#N/A,FALSE,"Pearsons Task Co5"}</definedName>
    <definedName name="eafo26" localSheetId="4" hidden="1">{"PearsonCo5_Prop",#N/A,FALSE,"Pearsons Task Co5";"PearsonCo5_PA",#N/A,FALSE,"Pearsons Task Co5"}</definedName>
    <definedName name="eafo26" localSheetId="5" hidden="1">{"PearsonCo5_Prop",#N/A,FALSE,"Pearsons Task Co5";"PearsonCo5_PA",#N/A,FALSE,"Pearsons Task Co5"}</definedName>
    <definedName name="eafo26" localSheetId="6" hidden="1">{"PearsonCo5_Prop",#N/A,FALSE,"Pearsons Task Co5";"PearsonCo5_PA",#N/A,FALSE,"Pearsons Task Co5"}</definedName>
    <definedName name="eafo26" localSheetId="2" hidden="1">{"PearsonCo5_Prop",#N/A,FALSE,"Pearsons Task Co5";"PearsonCo5_PA",#N/A,FALSE,"Pearsons Task Co5"}</definedName>
    <definedName name="eafo26" localSheetId="1" hidden="1">{"PearsonCo5_Prop",#N/A,FALSE,"Pearsons Task Co5";"PearsonCo5_PA",#N/A,FALSE,"Pearsons Task Co5"}</definedName>
    <definedName name="eafo26" hidden="1">{"PearsonCo5_Prop",#N/A,FALSE,"Pearsons Task Co5";"PearsonCo5_PA",#N/A,FALSE,"Pearsons Task Co5"}</definedName>
    <definedName name="eafo27" localSheetId="3" hidden="1">{"Seal Team J6 Sum",#N/A,FALSE,"Seal Team Summary";"Seal Team J6",#N/A,FALSE,"Seal Team ";"Seal Team ODC J6",#N/A,FALSE,"Seal Team ODCs";"Seal Team Trvl J6",#N/A,FALSE," Seal Team Trvl"}</definedName>
    <definedName name="eafo27" localSheetId="4" hidden="1">{"Seal Team J6 Sum",#N/A,FALSE,"Seal Team Summary";"Seal Team J6",#N/A,FALSE,"Seal Team ";"Seal Team ODC J6",#N/A,FALSE,"Seal Team ODCs";"Seal Team Trvl J6",#N/A,FALSE," Seal Team Trvl"}</definedName>
    <definedName name="eafo27" localSheetId="5" hidden="1">{"Seal Team J6 Sum",#N/A,FALSE,"Seal Team Summary";"Seal Team J6",#N/A,FALSE,"Seal Team ";"Seal Team ODC J6",#N/A,FALSE,"Seal Team ODCs";"Seal Team Trvl J6",#N/A,FALSE," Seal Team Trvl"}</definedName>
    <definedName name="eafo27" localSheetId="6" hidden="1">{"Seal Team J6 Sum",#N/A,FALSE,"Seal Team Summary";"Seal Team J6",#N/A,FALSE,"Seal Team ";"Seal Team ODC J6",#N/A,FALSE,"Seal Team ODCs";"Seal Team Trvl J6",#N/A,FALSE," Seal Team Trvl"}</definedName>
    <definedName name="eafo27" localSheetId="2" hidden="1">{"Seal Team J6 Sum",#N/A,FALSE,"Seal Team Summary";"Seal Team J6",#N/A,FALSE,"Seal Team ";"Seal Team ODC J6",#N/A,FALSE,"Seal Team ODCs";"Seal Team Trvl J6",#N/A,FALSE," Seal Team Trvl"}</definedName>
    <definedName name="eafo27" localSheetId="1" hidden="1">{"Seal Team J6 Sum",#N/A,FALSE,"Seal Team Summary";"Seal Team J6",#N/A,FALSE,"Seal Team ";"Seal Team ODC J6",#N/A,FALSE,"Seal Team ODCs";"Seal Team Trvl J6",#N/A,FALSE," Seal Team Trvl"}</definedName>
    <definedName name="eafo27" hidden="1">{"Seal Team J6 Sum",#N/A,FALSE,"Seal Team Summary";"Seal Team J6",#N/A,FALSE,"Seal Team ";"Seal Team ODC J6",#N/A,FALSE,"Seal Team ODCs";"Seal Team Trvl J6",#N/A,FALSE," Seal Team Trvl"}</definedName>
    <definedName name="eafo3" localSheetId="3" hidden="1">{"Page1",#N/A,FALSE,"ACC_CARS Travel 400K";"Page2",#N/A,FALSE,"ACC_CARS Travel 400K"}</definedName>
    <definedName name="eafo3" localSheetId="4" hidden="1">{"Page1",#N/A,FALSE,"ACC_CARS Travel 400K";"Page2",#N/A,FALSE,"ACC_CARS Travel 400K"}</definedName>
    <definedName name="eafo3" localSheetId="5" hidden="1">{"Page1",#N/A,FALSE,"ACC_CARS Travel 400K";"Page2",#N/A,FALSE,"ACC_CARS Travel 400K"}</definedName>
    <definedName name="eafo3" localSheetId="6" hidden="1">{"Page1",#N/A,FALSE,"ACC_CARS Travel 400K";"Page2",#N/A,FALSE,"ACC_CARS Travel 400K"}</definedName>
    <definedName name="eafo3" localSheetId="2" hidden="1">{"Page1",#N/A,FALSE,"ACC_CARS Travel 400K";"Page2",#N/A,FALSE,"ACC_CARS Travel 400K"}</definedName>
    <definedName name="eafo3" localSheetId="1" hidden="1">{"Page1",#N/A,FALSE,"ACC_CARS Travel 400K";"Page2",#N/A,FALSE,"ACC_CARS Travel 400K"}</definedName>
    <definedName name="eafo3" hidden="1">{"Page1",#N/A,FALSE,"ACC_CARS Travel 400K";"Page2",#N/A,FALSE,"ACC_CARS Travel 400K"}</definedName>
    <definedName name="eafo4" localSheetId="3" hidden="1">{"Pre_CCB",#N/A,FALSE,"Pre CCB Pkg ";"CCB_Memb_Notbk",#N/A,FALSE,"CCB_Memb_Notebk";"CCB_Handouts",#N/A,FALSE,"Handouts";"JDISS_Brochure",#N/A,FALSE,"JDISS_Brochure";"JDISS_Minutes",#N/A,FALSE,"JDISS_Minutes";"Total_JDISS",#N/A,FALSE,"Total JDISS"}</definedName>
    <definedName name="eafo4" localSheetId="4" hidden="1">{"Pre_CCB",#N/A,FALSE,"Pre CCB Pkg ";"CCB_Memb_Notbk",#N/A,FALSE,"CCB_Memb_Notebk";"CCB_Handouts",#N/A,FALSE,"Handouts";"JDISS_Brochure",#N/A,FALSE,"JDISS_Brochure";"JDISS_Minutes",#N/A,FALSE,"JDISS_Minutes";"Total_JDISS",#N/A,FALSE,"Total JDISS"}</definedName>
    <definedName name="eafo4" localSheetId="5" hidden="1">{"Pre_CCB",#N/A,FALSE,"Pre CCB Pkg ";"CCB_Memb_Notbk",#N/A,FALSE,"CCB_Memb_Notebk";"CCB_Handouts",#N/A,FALSE,"Handouts";"JDISS_Brochure",#N/A,FALSE,"JDISS_Brochure";"JDISS_Minutes",#N/A,FALSE,"JDISS_Minutes";"Total_JDISS",#N/A,FALSE,"Total JDISS"}</definedName>
    <definedName name="eafo4" localSheetId="6" hidden="1">{"Pre_CCB",#N/A,FALSE,"Pre CCB Pkg ";"CCB_Memb_Notbk",#N/A,FALSE,"CCB_Memb_Notebk";"CCB_Handouts",#N/A,FALSE,"Handouts";"JDISS_Brochure",#N/A,FALSE,"JDISS_Brochure";"JDISS_Minutes",#N/A,FALSE,"JDISS_Minutes";"Total_JDISS",#N/A,FALSE,"Total JDISS"}</definedName>
    <definedName name="eafo4" localSheetId="2" hidden="1">{"Pre_CCB",#N/A,FALSE,"Pre CCB Pkg ";"CCB_Memb_Notbk",#N/A,FALSE,"CCB_Memb_Notebk";"CCB_Handouts",#N/A,FALSE,"Handouts";"JDISS_Brochure",#N/A,FALSE,"JDISS_Brochure";"JDISS_Minutes",#N/A,FALSE,"JDISS_Minutes";"Total_JDISS",#N/A,FALSE,"Total JDISS"}</definedName>
    <definedName name="eafo4" localSheetId="1" hidden="1">{"Pre_CCB",#N/A,FALSE,"Pre CCB Pkg ";"CCB_Memb_Notbk",#N/A,FALSE,"CCB_Memb_Notebk";"CCB_Handouts",#N/A,FALSE,"Handouts";"JDISS_Brochure",#N/A,FALSE,"JDISS_Brochure";"JDISS_Minutes",#N/A,FALSE,"JDISS_Minutes";"Total_JDISS",#N/A,FALSE,"Total JDISS"}</definedName>
    <definedName name="eafo4" hidden="1">{"Pre_CCB",#N/A,FALSE,"Pre CCB Pkg ";"CCB_Memb_Notbk",#N/A,FALSE,"CCB_Memb_Notebk";"CCB_Handouts",#N/A,FALSE,"Handouts";"JDISS_Brochure",#N/A,FALSE,"JDISS_Brochure";"JDISS_Minutes",#N/A,FALSE,"JDISS_Minutes";"Total_JDISS",#N/A,FALSE,"Total JDISS"}</definedName>
    <definedName name="eafo5" localSheetId="3" hidden="1">{"DolanCo1_PA",#N/A,FALSE,"Tina Dolan";"DolanCo1_Prop",#N/A,FALSE,"Tina Dolan"}</definedName>
    <definedName name="eafo5" localSheetId="4" hidden="1">{"DolanCo1_PA",#N/A,FALSE,"Tina Dolan";"DolanCo1_Prop",#N/A,FALSE,"Tina Dolan"}</definedName>
    <definedName name="eafo5" localSheetId="5" hidden="1">{"DolanCo1_PA",#N/A,FALSE,"Tina Dolan";"DolanCo1_Prop",#N/A,FALSE,"Tina Dolan"}</definedName>
    <definedName name="eafo5" localSheetId="6" hidden="1">{"DolanCo1_PA",#N/A,FALSE,"Tina Dolan";"DolanCo1_Prop",#N/A,FALSE,"Tina Dolan"}</definedName>
    <definedName name="eafo5" localSheetId="2" hidden="1">{"DolanCo1_PA",#N/A,FALSE,"Tina Dolan";"DolanCo1_Prop",#N/A,FALSE,"Tina Dolan"}</definedName>
    <definedName name="eafo5" localSheetId="1" hidden="1">{"DolanCo1_PA",#N/A,FALSE,"Tina Dolan";"DolanCo1_Prop",#N/A,FALSE,"Tina Dolan"}</definedName>
    <definedName name="eafo5" hidden="1">{"DolanCo1_PA",#N/A,FALSE,"Tina Dolan";"DolanCo1_Prop",#N/A,FALSE,"Tina Dolan"}</definedName>
    <definedName name="eafo6" localSheetId="3" hidden="1">{"Prop_350K",#N/A,FALSE,"Ebron-350K";"PA_350K",#N/A,FALSE,"Ebron-350K";"Ebron350KTrvl",#N/A,FALSE,"Ebrons Travel 350k"}</definedName>
    <definedName name="eafo6" localSheetId="4" hidden="1">{"Prop_350K",#N/A,FALSE,"Ebron-350K";"PA_350K",#N/A,FALSE,"Ebron-350K";"Ebron350KTrvl",#N/A,FALSE,"Ebrons Travel 350k"}</definedName>
    <definedName name="eafo6" localSheetId="5" hidden="1">{"Prop_350K",#N/A,FALSE,"Ebron-350K";"PA_350K",#N/A,FALSE,"Ebron-350K";"Ebron350KTrvl",#N/A,FALSE,"Ebrons Travel 350k"}</definedName>
    <definedName name="eafo6" localSheetId="6" hidden="1">{"Prop_350K",#N/A,FALSE,"Ebron-350K";"PA_350K",#N/A,FALSE,"Ebron-350K";"Ebron350KTrvl",#N/A,FALSE,"Ebrons Travel 350k"}</definedName>
    <definedName name="eafo6" localSheetId="2" hidden="1">{"Prop_350K",#N/A,FALSE,"Ebron-350K";"PA_350K",#N/A,FALSE,"Ebron-350K";"Ebron350KTrvl",#N/A,FALSE,"Ebrons Travel 350k"}</definedName>
    <definedName name="eafo6" localSheetId="1" hidden="1">{"Prop_350K",#N/A,FALSE,"Ebron-350K";"PA_350K",#N/A,FALSE,"Ebron-350K";"Ebron350KTrvl",#N/A,FALSE,"Ebrons Travel 350k"}</definedName>
    <definedName name="eafo6" hidden="1">{"Prop_350K",#N/A,FALSE,"Ebron-350K";"PA_350K",#N/A,FALSE,"Ebron-350K";"Ebron350KTrvl",#N/A,FALSE,"Ebrons Travel 350k"}</definedName>
    <definedName name="eafo7" localSheetId="3" hidden="1">{"EbronCo1_PA",#N/A,FALSE,"Ebrons Task Co1";"EbronCo1_Prop",#N/A,FALSE,"Ebrons Task Co1";"Ebron316KTrvl",#N/A,FALSE,"Ebrons Travel 316k"}</definedName>
    <definedName name="eafo7" localSheetId="4" hidden="1">{"EbronCo1_PA",#N/A,FALSE,"Ebrons Task Co1";"EbronCo1_Prop",#N/A,FALSE,"Ebrons Task Co1";"Ebron316KTrvl",#N/A,FALSE,"Ebrons Travel 316k"}</definedName>
    <definedName name="eafo7" localSheetId="5" hidden="1">{"EbronCo1_PA",#N/A,FALSE,"Ebrons Task Co1";"EbronCo1_Prop",#N/A,FALSE,"Ebrons Task Co1";"Ebron316KTrvl",#N/A,FALSE,"Ebrons Travel 316k"}</definedName>
    <definedName name="eafo7" localSheetId="6" hidden="1">{"EbronCo1_PA",#N/A,FALSE,"Ebrons Task Co1";"EbronCo1_Prop",#N/A,FALSE,"Ebrons Task Co1";"Ebron316KTrvl",#N/A,FALSE,"Ebrons Travel 316k"}</definedName>
    <definedName name="eafo7" localSheetId="2" hidden="1">{"EbronCo1_PA",#N/A,FALSE,"Ebrons Task Co1";"EbronCo1_Prop",#N/A,FALSE,"Ebrons Task Co1";"Ebron316KTrvl",#N/A,FALSE,"Ebrons Travel 316k"}</definedName>
    <definedName name="eafo7" localSheetId="1" hidden="1">{"EbronCo1_PA",#N/A,FALSE,"Ebrons Task Co1";"EbronCo1_Prop",#N/A,FALSE,"Ebrons Task Co1";"Ebron316KTrvl",#N/A,FALSE,"Ebrons Travel 316k"}</definedName>
    <definedName name="eafo7" hidden="1">{"EbronCo1_PA",#N/A,FALSE,"Ebrons Task Co1";"EbronCo1_Prop",#N/A,FALSE,"Ebrons Task Co1";"Ebron316KTrvl",#N/A,FALSE,"Ebrons Travel 316k"}</definedName>
    <definedName name="eafo8" localSheetId="3" hidden="1">{"EbronCo5_PA",#N/A,FALSE,"Ebrons Task Co5";"EbronCo5_Prop",#N/A,FALSE,"Ebrons Task Co5"}</definedName>
    <definedName name="eafo8" localSheetId="4" hidden="1">{"EbronCo5_PA",#N/A,FALSE,"Ebrons Task Co5";"EbronCo5_Prop",#N/A,FALSE,"Ebrons Task Co5"}</definedName>
    <definedName name="eafo8" localSheetId="5" hidden="1">{"EbronCo5_PA",#N/A,FALSE,"Ebrons Task Co5";"EbronCo5_Prop",#N/A,FALSE,"Ebrons Task Co5"}</definedName>
    <definedName name="eafo8" localSheetId="6" hidden="1">{"EbronCo5_PA",#N/A,FALSE,"Ebrons Task Co5";"EbronCo5_Prop",#N/A,FALSE,"Ebrons Task Co5"}</definedName>
    <definedName name="eafo8" localSheetId="2" hidden="1">{"EbronCo5_PA",#N/A,FALSE,"Ebrons Task Co5";"EbronCo5_Prop",#N/A,FALSE,"Ebrons Task Co5"}</definedName>
    <definedName name="eafo8" localSheetId="1" hidden="1">{"EbronCo5_PA",#N/A,FALSE,"Ebrons Task Co5";"EbronCo5_Prop",#N/A,FALSE,"Ebrons Task Co5"}</definedName>
    <definedName name="eafo8" hidden="1">{"EbronCo5_PA",#N/A,FALSE,"Ebrons Task Co5";"EbronCo5_Prop",#N/A,FALSE,"Ebrons Task Co5"}</definedName>
    <definedName name="eafo9" localSheetId="3" hidden="1">{"JDISS_Co1",#N/A,FALSE,"JDISS_Co1";"JDISSCo1_PA",#N/A,FALSE,"JDISS_Co1"}</definedName>
    <definedName name="eafo9" localSheetId="4" hidden="1">{"JDISS_Co1",#N/A,FALSE,"JDISS_Co1";"JDISSCo1_PA",#N/A,FALSE,"JDISS_Co1"}</definedName>
    <definedName name="eafo9" localSheetId="5" hidden="1">{"JDISS_Co1",#N/A,FALSE,"JDISS_Co1";"JDISSCo1_PA",#N/A,FALSE,"JDISS_Co1"}</definedName>
    <definedName name="eafo9" localSheetId="6" hidden="1">{"JDISS_Co1",#N/A,FALSE,"JDISS_Co1";"JDISSCo1_PA",#N/A,FALSE,"JDISS_Co1"}</definedName>
    <definedName name="eafo9" localSheetId="2" hidden="1">{"JDISS_Co1",#N/A,FALSE,"JDISS_Co1";"JDISSCo1_PA",#N/A,FALSE,"JDISS_Co1"}</definedName>
    <definedName name="eafo9" localSheetId="1" hidden="1">{"JDISS_Co1",#N/A,FALSE,"JDISS_Co1";"JDISSCo1_PA",#N/A,FALSE,"JDISS_Co1"}</definedName>
    <definedName name="eafo9" hidden="1">{"JDISS_Co1",#N/A,FALSE,"JDISS_Co1";"JDISSCo1_PA",#N/A,FALSE,"JDISS_Co1"}</definedName>
    <definedName name="earo25" localSheetId="3" hidden="1">{"PearsonCo1_Prop",#N/A,FALSE,"Pearsons Task Co1";"PearsonCo1_PA",#N/A,FALSE,"Pearsons Task Co1"}</definedName>
    <definedName name="earo25" localSheetId="4" hidden="1">{"PearsonCo1_Prop",#N/A,FALSE,"Pearsons Task Co1";"PearsonCo1_PA",#N/A,FALSE,"Pearsons Task Co1"}</definedName>
    <definedName name="earo25" localSheetId="5" hidden="1">{"PearsonCo1_Prop",#N/A,FALSE,"Pearsons Task Co1";"PearsonCo1_PA",#N/A,FALSE,"Pearsons Task Co1"}</definedName>
    <definedName name="earo25" localSheetId="6" hidden="1">{"PearsonCo1_Prop",#N/A,FALSE,"Pearsons Task Co1";"PearsonCo1_PA",#N/A,FALSE,"Pearsons Task Co1"}</definedName>
    <definedName name="earo25" localSheetId="2" hidden="1">{"PearsonCo1_Prop",#N/A,FALSE,"Pearsons Task Co1";"PearsonCo1_PA",#N/A,FALSE,"Pearsons Task Co1"}</definedName>
    <definedName name="earo25" localSheetId="1" hidden="1">{"PearsonCo1_Prop",#N/A,FALSE,"Pearsons Task Co1";"PearsonCo1_PA",#N/A,FALSE,"Pearsons Task Co1"}</definedName>
    <definedName name="earo25" hidden="1">{"PearsonCo1_Prop",#N/A,FALSE,"Pearsons Task Co1";"PearsonCo1_PA",#N/A,FALSE,"Pearsons Task Co1"}</definedName>
    <definedName name="ed6_8">#REF!</definedName>
    <definedName name="ed9_12">#REF!</definedName>
    <definedName name="edk_5">#REF!</definedName>
    <definedName name="EETYPE">#REF!</definedName>
    <definedName name="EEwithAmounts">#REF!</definedName>
    <definedName name="EMPLOYEECURRENTSTATUS">#REF!</definedName>
    <definedName name="END">#N/A</definedName>
    <definedName name="eras" localSheetId="3" hidden="1">{"PAGE1",#N/A,FALSE,"CPFFMSTR";"PAGE2",#N/A,FALSE,"CPFFMSTR"}</definedName>
    <definedName name="eras" localSheetId="4" hidden="1">{"PAGE1",#N/A,FALSE,"CPFFMSTR";"PAGE2",#N/A,FALSE,"CPFFMSTR"}</definedName>
    <definedName name="eras" localSheetId="5" hidden="1">{"PAGE1",#N/A,FALSE,"CPFFMSTR";"PAGE2",#N/A,FALSE,"CPFFMSTR"}</definedName>
    <definedName name="eras" localSheetId="6" hidden="1">{"PAGE1",#N/A,FALSE,"CPFFMSTR";"PAGE2",#N/A,FALSE,"CPFFMSTR"}</definedName>
    <definedName name="eras" localSheetId="2" hidden="1">{"PAGE1",#N/A,FALSE,"CPFFMSTR";"PAGE2",#N/A,FALSE,"CPFFMSTR"}</definedName>
    <definedName name="eras" localSheetId="1" hidden="1">{"PAGE1",#N/A,FALSE,"CPFFMSTR";"PAGE2",#N/A,FALSE,"CPFFMSTR"}</definedName>
    <definedName name="eras" hidden="1">{"PAGE1",#N/A,FALSE,"CPFFMSTR";"PAGE2",#N/A,FALSE,"CPFFMSTR"}</definedName>
    <definedName name="erwe" localSheetId="3" hidden="1">{"PAGE1",#N/A,FALSE,"CPFFMSTR";"PAGE2",#N/A,FALSE,"CPFFMSTR"}</definedName>
    <definedName name="erwe" localSheetId="4" hidden="1">{"PAGE1",#N/A,FALSE,"CPFFMSTR";"PAGE2",#N/A,FALSE,"CPFFMSTR"}</definedName>
    <definedName name="erwe" localSheetId="5" hidden="1">{"PAGE1",#N/A,FALSE,"CPFFMSTR";"PAGE2",#N/A,FALSE,"CPFFMSTR"}</definedName>
    <definedName name="erwe" localSheetId="6" hidden="1">{"PAGE1",#N/A,FALSE,"CPFFMSTR";"PAGE2",#N/A,FALSE,"CPFFMSTR"}</definedName>
    <definedName name="erwe" localSheetId="2" hidden="1">{"PAGE1",#N/A,FALSE,"CPFFMSTR";"PAGE2",#N/A,FALSE,"CPFFMSTR"}</definedName>
    <definedName name="erwe" localSheetId="1" hidden="1">{"PAGE1",#N/A,FALSE,"CPFFMSTR";"PAGE2",#N/A,FALSE,"CPFFMSTR"}</definedName>
    <definedName name="erwe" hidden="1">{"PAGE1",#N/A,FALSE,"CPFFMSTR";"PAGE2",#N/A,FALSE,"CPFFMSTR"}</definedName>
    <definedName name="esc">0.035</definedName>
    <definedName name="ETHNICID">#REF!</definedName>
    <definedName name="EXC">#REF!</definedName>
    <definedName name="exch">#REF!</definedName>
    <definedName name="Exchange">#REF!</definedName>
    <definedName name="ExchangeRate">#REF!</definedName>
    <definedName name="Expat_Discount">#REF!</definedName>
    <definedName name="Expat_Fringe">#REF!</definedName>
    <definedName name="expatsalinc">#REF!</definedName>
    <definedName name="expatsttasal">#REF!</definedName>
    <definedName name="Expense">#REF!</definedName>
    <definedName name="fasdf" localSheetId="3" hidden="1">{"PAGE1",#N/A,FALSE,"CPFFMSTR";"PAGE2",#N/A,FALSE,"CPFFMSTR"}</definedName>
    <definedName name="fasdf" localSheetId="4" hidden="1">{"PAGE1",#N/A,FALSE,"CPFFMSTR";"PAGE2",#N/A,FALSE,"CPFFMSTR"}</definedName>
    <definedName name="fasdf" localSheetId="5" hidden="1">{"PAGE1",#N/A,FALSE,"CPFFMSTR";"PAGE2",#N/A,FALSE,"CPFFMSTR"}</definedName>
    <definedName name="fasdf" localSheetId="6" hidden="1">{"PAGE1",#N/A,FALSE,"CPFFMSTR";"PAGE2",#N/A,FALSE,"CPFFMSTR"}</definedName>
    <definedName name="fasdf" localSheetId="2" hidden="1">{"PAGE1",#N/A,FALSE,"CPFFMSTR";"PAGE2",#N/A,FALSE,"CPFFMSTR"}</definedName>
    <definedName name="fasdf" localSheetId="1" hidden="1">{"PAGE1",#N/A,FALSE,"CPFFMSTR";"PAGE2",#N/A,FALSE,"CPFFMSTR"}</definedName>
    <definedName name="fasdf" hidden="1">{"PAGE1",#N/A,FALSE,"CPFFMSTR";"PAGE2",#N/A,FALSE,"CPFFMSTR"}</definedName>
    <definedName name="fasfas" hidden="1">#REF!</definedName>
    <definedName name="FB">#REF!</definedName>
    <definedName name="FB_T">#REF!</definedName>
    <definedName name="FCCM_GA">#REF!</definedName>
    <definedName name="FCCM_lab">#REF!</definedName>
    <definedName name="FCCM_MSE">#REF!</definedName>
    <definedName name="FCCM_Office">#REF!</definedName>
    <definedName name="FCCM_OfficeOther">#REF!</definedName>
    <definedName name="fdfdf" hidden="1">#REF!</definedName>
    <definedName name="fdfdfdfddfdfdfdf">#REF!</definedName>
    <definedName name="fdfdfdfdf">#REF!</definedName>
    <definedName name="fdfdfdfdfd" hidden="1">#REF!</definedName>
    <definedName name="FDRs">#REF!</definedName>
    <definedName name="FEDEX">#REF!</definedName>
    <definedName name="fee">#REF!</definedName>
    <definedName name="FGH" localSheetId="3" hidden="1">{"PAGE1",#N/A,FALSE,"CPFFMSTR";"PAGE2",#N/A,FALSE,"CPFFMSTR"}</definedName>
    <definedName name="FGH" localSheetId="4" hidden="1">{"PAGE1",#N/A,FALSE,"CPFFMSTR";"PAGE2",#N/A,FALSE,"CPFFMSTR"}</definedName>
    <definedName name="FGH" localSheetId="5" hidden="1">{"PAGE1",#N/A,FALSE,"CPFFMSTR";"PAGE2",#N/A,FALSE,"CPFFMSTR"}</definedName>
    <definedName name="FGH" localSheetId="6" hidden="1">{"PAGE1",#N/A,FALSE,"CPFFMSTR";"PAGE2",#N/A,FALSE,"CPFFMSTR"}</definedName>
    <definedName name="FGH" localSheetId="2" hidden="1">{"PAGE1",#N/A,FALSE,"CPFFMSTR";"PAGE2",#N/A,FALSE,"CPFFMSTR"}</definedName>
    <definedName name="FGH" localSheetId="1" hidden="1">{"PAGE1",#N/A,FALSE,"CPFFMSTR";"PAGE2",#N/A,FALSE,"CPFFMSTR"}</definedName>
    <definedName name="FGH" hidden="1">{"PAGE1",#N/A,FALSE,"CPFFMSTR";"PAGE2",#N/A,FALSE,"CPFFMSTR"}</definedName>
    <definedName name="field_fringe">#REF!</definedName>
    <definedName name="fieldfringe">#REF!</definedName>
    <definedName name="Firms">#REF!</definedName>
    <definedName name="Fixed_Fee">#REF!</definedName>
    <definedName name="FMI">#N/A</definedName>
    <definedName name="fo">#REF!</definedName>
    <definedName name="fooh">#REF!</definedName>
    <definedName name="FORM">#REF!</definedName>
    <definedName name="FORM1">#REF!</definedName>
    <definedName name="FORM3">#REF!</definedName>
    <definedName name="FPMSA">#N/A</definedName>
    <definedName name="fr">#REF!</definedName>
    <definedName name="fringe">0.405</definedName>
    <definedName name="fringedir">#REF!</definedName>
    <definedName name="fsnmax">#REF!</definedName>
    <definedName name="FTE_All">#REF!</definedName>
    <definedName name="FTE_M">#REF!</definedName>
    <definedName name="FTE_Y">#REF!</definedName>
    <definedName name="FTE_Year1">#REF!</definedName>
    <definedName name="FTE_Year2">#REF!</definedName>
    <definedName name="FTE_Year3">#REF!</definedName>
    <definedName name="FTE_Year4">#REF!</definedName>
    <definedName name="FTE_Year5">#REF!</definedName>
    <definedName name="Full_time_Regular_Query">#REF!</definedName>
    <definedName name="FULLORPARTTIME">#REF!</definedName>
    <definedName name="g_a">#REF!</definedName>
    <definedName name="ga">#REF!</definedName>
    <definedName name="GandA_by_firm">#REF!</definedName>
    <definedName name="gandamult">#REF!</definedName>
    <definedName name="GENDER">#REF!</definedName>
    <definedName name="ghghghtghg" hidden="1">#REF!</definedName>
    <definedName name="GR">#REF!</definedName>
    <definedName name="Grand_Total">#REF!</definedName>
    <definedName name="grantfee">0.02</definedName>
    <definedName name="GRP">#REF!</definedName>
    <definedName name="GSDFG" localSheetId="3" hidden="1">{"PAGE1",#N/A,FALSE,"CPFFMSTR";"PAGE2",#N/A,FALSE,"CPFFMSTR"}</definedName>
    <definedName name="GSDFG" localSheetId="4" hidden="1">{"PAGE1",#N/A,FALSE,"CPFFMSTR";"PAGE2",#N/A,FALSE,"CPFFMSTR"}</definedName>
    <definedName name="GSDFG" localSheetId="5" hidden="1">{"PAGE1",#N/A,FALSE,"CPFFMSTR";"PAGE2",#N/A,FALSE,"CPFFMSTR"}</definedName>
    <definedName name="GSDFG" localSheetId="6" hidden="1">{"PAGE1",#N/A,FALSE,"CPFFMSTR";"PAGE2",#N/A,FALSE,"CPFFMSTR"}</definedName>
    <definedName name="GSDFG" localSheetId="2" hidden="1">{"PAGE1",#N/A,FALSE,"CPFFMSTR";"PAGE2",#N/A,FALSE,"CPFFMSTR"}</definedName>
    <definedName name="GSDFG" localSheetId="1" hidden="1">{"PAGE1",#N/A,FALSE,"CPFFMSTR";"PAGE2",#N/A,FALSE,"CPFFMSTR"}</definedName>
    <definedName name="GSDFG" hidden="1">{"PAGE1",#N/A,FALSE,"CPFFMSTR";"PAGE2",#N/A,FALSE,"CPFFMSTR"}</definedName>
    <definedName name="guard">#REF!</definedName>
    <definedName name="guatemala">#REF!</definedName>
    <definedName name="HEAD">#REF!</definedName>
    <definedName name="heading">#N/A</definedName>
    <definedName name="health_insurance">#REF!</definedName>
    <definedName name="HGJ" localSheetId="3" hidden="1">{"PAGE1",#N/A,FALSE,"CPFFMSTR";"PAGE2",#N/A,FALSE,"CPFFMSTR"}</definedName>
    <definedName name="HGJ" localSheetId="4" hidden="1">{"PAGE1",#N/A,FALSE,"CPFFMSTR";"PAGE2",#N/A,FALSE,"CPFFMSTR"}</definedName>
    <definedName name="HGJ" localSheetId="5" hidden="1">{"PAGE1",#N/A,FALSE,"CPFFMSTR";"PAGE2",#N/A,FALSE,"CPFFMSTR"}</definedName>
    <definedName name="HGJ" localSheetId="6" hidden="1">{"PAGE1",#N/A,FALSE,"CPFFMSTR";"PAGE2",#N/A,FALSE,"CPFFMSTR"}</definedName>
    <definedName name="HGJ" localSheetId="2" hidden="1">{"PAGE1",#N/A,FALSE,"CPFFMSTR";"PAGE2",#N/A,FALSE,"CPFFMSTR"}</definedName>
    <definedName name="HGJ" localSheetId="1" hidden="1">{"PAGE1",#N/A,FALSE,"CPFFMSTR";"PAGE2",#N/A,FALSE,"CPFFMSTR"}</definedName>
    <definedName name="HGJ" hidden="1">{"PAGE1",#N/A,FALSE,"CPFFMSTR";"PAGE2",#N/A,FALSE,"CPFFMSTR"}</definedName>
    <definedName name="hhehandling">#REF!</definedName>
    <definedName name="hheorigin">#REF!</definedName>
    <definedName name="hheshipment">#REF!</definedName>
    <definedName name="hhestorage">#REF!</definedName>
    <definedName name="HIID1">#N/A</definedName>
    <definedName name="HIID4">#N/A</definedName>
    <definedName name="HISTORY">#REF!</definedName>
    <definedName name="ho">#REF!</definedName>
    <definedName name="hofa">#REF!</definedName>
    <definedName name="Hola" hidden="1">#REF!</definedName>
    <definedName name="hooh">#REF!</definedName>
    <definedName name="Horas">#REF!</definedName>
    <definedName name="hos10co">#REF!</definedName>
    <definedName name="hos10name">#REF!</definedName>
    <definedName name="hos10sal1">#REF!</definedName>
    <definedName name="hos1co">#REF!</definedName>
    <definedName name="hos1name">#REF!</definedName>
    <definedName name="hos1sal1">#REF!</definedName>
    <definedName name="hos2co">#REF!</definedName>
    <definedName name="hos2name">#REF!</definedName>
    <definedName name="hos2sal1">#REF!</definedName>
    <definedName name="hos3co">#REF!</definedName>
    <definedName name="hos3name">#REF!</definedName>
    <definedName name="hos3sal1">#REF!</definedName>
    <definedName name="hos4co">#REF!</definedName>
    <definedName name="hos4name">#REF!</definedName>
    <definedName name="hos4sal1">#REF!</definedName>
    <definedName name="hos5co">#REF!</definedName>
    <definedName name="hos5name">#REF!</definedName>
    <definedName name="hos5sal1">#REF!</definedName>
    <definedName name="hos6co">#REF!</definedName>
    <definedName name="hos6name">#REF!</definedName>
    <definedName name="hos6sal1">#REF!</definedName>
    <definedName name="hos7co">#REF!</definedName>
    <definedName name="hos7name">#REF!</definedName>
    <definedName name="hos7sal1">#REF!</definedName>
    <definedName name="hos8co">#REF!</definedName>
    <definedName name="hos8name">#REF!</definedName>
    <definedName name="hos8sal1">#REF!</definedName>
    <definedName name="hos9co">#REF!</definedName>
    <definedName name="hos9name">#REF!</definedName>
    <definedName name="hos9sal1">#REF!</definedName>
    <definedName name="hosco11">#REF!</definedName>
    <definedName name="hosco12">#REF!</definedName>
    <definedName name="hosco13">#REF!</definedName>
    <definedName name="hosco14">#REF!</definedName>
    <definedName name="hosco15">#REF!</definedName>
    <definedName name="hosco16">#REF!</definedName>
    <definedName name="hosco17">#REF!</definedName>
    <definedName name="hosco18">#REF!</definedName>
    <definedName name="hosco19">#REF!</definedName>
    <definedName name="hosco20">#REF!</definedName>
    <definedName name="hosco21">#REF!</definedName>
    <definedName name="hosjob1">#REF!</definedName>
    <definedName name="hosjob10">#REF!</definedName>
    <definedName name="hosjob2">#REF!</definedName>
    <definedName name="hosjob3">#REF!</definedName>
    <definedName name="hosjob4">#REF!</definedName>
    <definedName name="hosjob5">#REF!</definedName>
    <definedName name="hosjob6">#REF!</definedName>
    <definedName name="hosjob7">#REF!</definedName>
    <definedName name="hosjob8">#REF!</definedName>
    <definedName name="hosjob9">#REF!</definedName>
    <definedName name="hosname11">#REF!</definedName>
    <definedName name="hosname12">#REF!</definedName>
    <definedName name="hosname13">#REF!</definedName>
    <definedName name="hosname14">#REF!</definedName>
    <definedName name="hosname15">#REF!</definedName>
    <definedName name="hosname16">#REF!</definedName>
    <definedName name="hosname17">#REF!</definedName>
    <definedName name="hosname18">#REF!</definedName>
    <definedName name="hosname19">#REF!</definedName>
    <definedName name="hosname20">#REF!</definedName>
    <definedName name="hosname21">#REF!</definedName>
    <definedName name="hossal11">#REF!</definedName>
    <definedName name="hossal12">#REF!</definedName>
    <definedName name="hossal13">#REF!</definedName>
    <definedName name="hossal14">#REF!</definedName>
    <definedName name="hossal15">#REF!</definedName>
    <definedName name="hossal16">#REF!</definedName>
    <definedName name="hossal17">#REF!</definedName>
    <definedName name="hossal18">#REF!</definedName>
    <definedName name="hossal19">#REF!</definedName>
    <definedName name="hossal20">#REF!</definedName>
    <definedName name="hossal21">#REF!</definedName>
    <definedName name="hours_m">166.67</definedName>
    <definedName name="hours_y">1833</definedName>
    <definedName name="HQ_Fringe">#REF!</definedName>
    <definedName name="huehuetenango">#REF!</definedName>
    <definedName name="iff">0.0075</definedName>
    <definedName name="IIEclin1">#REF!</definedName>
    <definedName name="iieclin2">#REF!</definedName>
    <definedName name="iieclin3">#REF!</definedName>
    <definedName name="IMCC">#N/A</definedName>
    <definedName name="IN">#REF!</definedName>
    <definedName name="Indirect1">#REF!</definedName>
    <definedName name="inf" localSheetId="3">#REF!</definedName>
    <definedName name="inf" localSheetId="4">#REF!</definedName>
    <definedName name="inf" localSheetId="5">#REF!</definedName>
    <definedName name="inf" localSheetId="6">#REF!</definedName>
    <definedName name="inf" localSheetId="2">#REF!</definedName>
    <definedName name="inf" localSheetId="1">#REF!</definedName>
    <definedName name="inf">#REF!</definedName>
    <definedName name="infl">#REF!</definedName>
    <definedName name="INFLATE">#REF!</definedName>
    <definedName name="Inflation">#REF!</definedName>
    <definedName name="Inflation_factor_year_1">#REF!</definedName>
    <definedName name="Inflation_factor_year_2">#REF!</definedName>
    <definedName name="Inflation_factor_year_3">#REF!</definedName>
    <definedName name="Inflation_factor_year_4">#REF!</definedName>
    <definedName name="Inflation_factor_year_5">#REF!</definedName>
    <definedName name="INODC">#REF!</definedName>
    <definedName name="Insti11">#REF!</definedName>
    <definedName name="Insti12">#REF!</definedName>
    <definedName name="Insti13">#REF!</definedName>
    <definedName name="Insti41">#REF!</definedName>
    <definedName name="Insti42">#REF!</definedName>
    <definedName name="Insti43">#REF!</definedName>
    <definedName name="Insti51">#REF!</definedName>
    <definedName name="Insti52">#REF!</definedName>
    <definedName name="Insti53">#REF!</definedName>
    <definedName name="INSTRUCT">#REF!</definedName>
    <definedName name="INTERMIT">#N/A</definedName>
    <definedName name="interregion">#REF!</definedName>
    <definedName name="intlrtecon">#REF!</definedName>
    <definedName name="intraregion">#REF!</definedName>
    <definedName name="ird">#REF!</definedName>
    <definedName name="ISTI1">#N/A</definedName>
    <definedName name="ISTI4">#N/A</definedName>
    <definedName name="ITE_Client">#REF!</definedName>
    <definedName name="ITE_Int">#REF!</definedName>
    <definedName name="ITE_lab">#REF!</definedName>
    <definedName name="ITE_Off">#REF!</definedName>
    <definedName name="ITE_OffOther">#REF!</definedName>
    <definedName name="ITE_on">#REF!</definedName>
    <definedName name="ITE_OnOther">#REF!</definedName>
    <definedName name="ITSH">#REF!</definedName>
    <definedName name="JAAscenariodata">#REF!</definedName>
    <definedName name="jea" localSheetId="3" hidden="1">{#N/A,#N/A,FALSE,"ManLoading"}</definedName>
    <definedName name="jea" localSheetId="4" hidden="1">{#N/A,#N/A,FALSE,"ManLoading"}</definedName>
    <definedName name="jea" localSheetId="5" hidden="1">{#N/A,#N/A,FALSE,"ManLoading"}</definedName>
    <definedName name="jea" localSheetId="6" hidden="1">{#N/A,#N/A,FALSE,"ManLoading"}</definedName>
    <definedName name="jea" localSheetId="2" hidden="1">{#N/A,#N/A,FALSE,"ManLoading"}</definedName>
    <definedName name="jea" hidden="1">{#N/A,#N/A,FALSE,"ManLoading"}</definedName>
    <definedName name="JH" localSheetId="3" hidden="1">{"PAGE1",#N/A,FALSE,"CPFFMSTR";"PAGE2",#N/A,FALSE,"CPFFMSTR"}</definedName>
    <definedName name="JH" localSheetId="4" hidden="1">{"PAGE1",#N/A,FALSE,"CPFFMSTR";"PAGE2",#N/A,FALSE,"CPFFMSTR"}</definedName>
    <definedName name="JH" localSheetId="5" hidden="1">{"PAGE1",#N/A,FALSE,"CPFFMSTR";"PAGE2",#N/A,FALSE,"CPFFMSTR"}</definedName>
    <definedName name="JH" localSheetId="6" hidden="1">{"PAGE1",#N/A,FALSE,"CPFFMSTR";"PAGE2",#N/A,FALSE,"CPFFMSTR"}</definedName>
    <definedName name="JH" localSheetId="2" hidden="1">{"PAGE1",#N/A,FALSE,"CPFFMSTR";"PAGE2",#N/A,FALSE,"CPFFMSTR"}</definedName>
    <definedName name="JH" localSheetId="1" hidden="1">{"PAGE1",#N/A,FALSE,"CPFFMSTR";"PAGE2",#N/A,FALSE,"CPFFMSTR"}</definedName>
    <definedName name="JH" hidden="1">{"PAGE1",#N/A,FALSE,"CPFFMSTR";"PAGE2",#N/A,FALSE,"CPFFMSTR"}</definedName>
    <definedName name="JKHJ" localSheetId="3" hidden="1">{"PAGE1",#N/A,FALSE,"CPFFMSTR";"PAGE2",#N/A,FALSE,"CPFFMSTR"}</definedName>
    <definedName name="JKHJ" localSheetId="4" hidden="1">{"PAGE1",#N/A,FALSE,"CPFFMSTR";"PAGE2",#N/A,FALSE,"CPFFMSTR"}</definedName>
    <definedName name="JKHJ" localSheetId="5" hidden="1">{"PAGE1",#N/A,FALSE,"CPFFMSTR";"PAGE2",#N/A,FALSE,"CPFFMSTR"}</definedName>
    <definedName name="JKHJ" localSheetId="6" hidden="1">{"PAGE1",#N/A,FALSE,"CPFFMSTR";"PAGE2",#N/A,FALSE,"CPFFMSTR"}</definedName>
    <definedName name="JKHJ" localSheetId="2" hidden="1">{"PAGE1",#N/A,FALSE,"CPFFMSTR";"PAGE2",#N/A,FALSE,"CPFFMSTR"}</definedName>
    <definedName name="JKHJ" localSheetId="1" hidden="1">{"PAGE1",#N/A,FALSE,"CPFFMSTR";"PAGE2",#N/A,FALSE,"CPFFMSTR"}</definedName>
    <definedName name="JKHJ" hidden="1">{"PAGE1",#N/A,FALSE,"CPFFMSTR";"PAGE2",#N/A,FALSE,"CPFFMSTR"}</definedName>
    <definedName name="kkk">#REF!</definedName>
    <definedName name="Labor">#REF!</definedName>
    <definedName name="Labor_Categories">#REF!</definedName>
    <definedName name="Labor_categories_and_levels">#REF!</definedName>
    <definedName name="Labor_category_and_level">#REF!</definedName>
    <definedName name="Labor_Escalation">#REF!</definedName>
    <definedName name="Labor_Escalation_DPK">#REF!</definedName>
    <definedName name="LABOR1">#N/A</definedName>
    <definedName name="LABOR2">#N/A</definedName>
    <definedName name="LBI">#REF!</definedName>
    <definedName name="Lease" hidden="1">#REF!</definedName>
    <definedName name="lieclin4">#REF!</definedName>
    <definedName name="limaregion">#REF!</definedName>
    <definedName name="Local_Fringe">#REF!</definedName>
    <definedName name="Localclin1">#REF!</definedName>
    <definedName name="localclin2">#REF!</definedName>
    <definedName name="localclin3">#REF!</definedName>
    <definedName name="localfr">#REF!</definedName>
    <definedName name="localperdiem">#REF!</definedName>
    <definedName name="localsalinc">#REF!</definedName>
    <definedName name="localsalincrease">#REF!</definedName>
    <definedName name="localsstpercent">#REF!</definedName>
    <definedName name="localsttrip">#REF!</definedName>
    <definedName name="localtravel">#REF!</definedName>
    <definedName name="localtripfactor">#REF!</definedName>
    <definedName name="LOE">#N/A</definedName>
    <definedName name="lqa">#REF!</definedName>
    <definedName name="LQA2wf">#REF!</definedName>
    <definedName name="LRA">#REF!</definedName>
    <definedName name="ltlp">#REF!</definedName>
    <definedName name="ltlp1">#REF!</definedName>
    <definedName name="ltlp10">#REF!</definedName>
    <definedName name="ltlp10co">#REF!</definedName>
    <definedName name="ltlp10name">#REF!</definedName>
    <definedName name="ltlp10sal1">#REF!</definedName>
    <definedName name="ltlp11">#REF!</definedName>
    <definedName name="ltlp11co">#REF!</definedName>
    <definedName name="ltlp11name">#REF!</definedName>
    <definedName name="ltlp11sal1">#REF!</definedName>
    <definedName name="ltlp12">#REF!</definedName>
    <definedName name="ltlp12co">#REF!</definedName>
    <definedName name="ltlp12name">#REF!</definedName>
    <definedName name="ltlp12sal1">#REF!</definedName>
    <definedName name="ltlp13">#REF!</definedName>
    <definedName name="ltlp13co">#REF!</definedName>
    <definedName name="ltlp13name">#REF!</definedName>
    <definedName name="ltlp13sal1">#REF!</definedName>
    <definedName name="ltlp14">#REF!</definedName>
    <definedName name="ltlp14co">#REF!</definedName>
    <definedName name="ltlp14name">#REF!</definedName>
    <definedName name="ltlp14sal1">#REF!</definedName>
    <definedName name="ltlp15">#REF!</definedName>
    <definedName name="ltlp15co">#REF!</definedName>
    <definedName name="ltlp15name">#REF!</definedName>
    <definedName name="ltlp15sal1">#REF!</definedName>
    <definedName name="ltlp16">#REF!</definedName>
    <definedName name="ltlp16co">#REF!</definedName>
    <definedName name="ltlp16name">#REF!</definedName>
    <definedName name="ltlp16sal1">#REF!</definedName>
    <definedName name="ltlp17">#REF!</definedName>
    <definedName name="ltlp17co">#REF!</definedName>
    <definedName name="ltlp17name">#REF!</definedName>
    <definedName name="ltlp17sal1">#REF!</definedName>
    <definedName name="ltlp18">#REF!</definedName>
    <definedName name="ltlp18co">#REF!</definedName>
    <definedName name="ltlp18name">#REF!</definedName>
    <definedName name="ltlp18sal1">#REF!</definedName>
    <definedName name="ltlp19">#REF!</definedName>
    <definedName name="ltlp19co">#REF!</definedName>
    <definedName name="ltlp19name">#REF!</definedName>
    <definedName name="ltlp19sal1">#REF!</definedName>
    <definedName name="ltlp1co">#REF!</definedName>
    <definedName name="ltlp1name">#REF!</definedName>
    <definedName name="ltlp1sal1">#REF!</definedName>
    <definedName name="ltlp2">#REF!</definedName>
    <definedName name="ltlp20">#REF!</definedName>
    <definedName name="ltlp20co">#REF!</definedName>
    <definedName name="ltlp20name">#REF!</definedName>
    <definedName name="ltlp20sal1">#REF!</definedName>
    <definedName name="ltlp21">#REF!</definedName>
    <definedName name="ltlp21co">#REF!</definedName>
    <definedName name="ltlp21name">#REF!</definedName>
    <definedName name="ltlp21sal1">#REF!</definedName>
    <definedName name="ltlp22">#REF!</definedName>
    <definedName name="ltlp22co">#REF!</definedName>
    <definedName name="ltlp22name">#REF!</definedName>
    <definedName name="ltlp22sal1">#REF!</definedName>
    <definedName name="ltlp23">#REF!</definedName>
    <definedName name="ltlp23co">#REF!</definedName>
    <definedName name="ltlp23name">#REF!</definedName>
    <definedName name="ltlp23sal1">#REF!</definedName>
    <definedName name="ltlp24">#REF!</definedName>
    <definedName name="ltlp24co">#REF!</definedName>
    <definedName name="ltlp24name">#REF!</definedName>
    <definedName name="ltlp24sal1">#REF!</definedName>
    <definedName name="ltlp25">#REF!</definedName>
    <definedName name="ltlp26">#REF!</definedName>
    <definedName name="ltlp27">#REF!</definedName>
    <definedName name="ltlp28">#REF!</definedName>
    <definedName name="ltlp29">#REF!</definedName>
    <definedName name="ltlp2co">#REF!</definedName>
    <definedName name="ltlp2name">#REF!</definedName>
    <definedName name="ltlp2sal1">#REF!</definedName>
    <definedName name="ltlp3">#REF!</definedName>
    <definedName name="ltlp30">#REF!</definedName>
    <definedName name="ltlp31">#REF!</definedName>
    <definedName name="ltlp32">#REF!</definedName>
    <definedName name="ltlp33">#REF!</definedName>
    <definedName name="ltlp34">#REF!</definedName>
    <definedName name="ltlp35">#REF!</definedName>
    <definedName name="ltlp36">#REF!</definedName>
    <definedName name="ltlp37">#REF!</definedName>
    <definedName name="ltlp38">#REF!</definedName>
    <definedName name="ltlp39">#REF!</definedName>
    <definedName name="ltlp3co">#REF!</definedName>
    <definedName name="ltlp3name">#REF!</definedName>
    <definedName name="ltlp3sal1">#REF!</definedName>
    <definedName name="ltlp4">#REF!</definedName>
    <definedName name="ltlp40">#REF!</definedName>
    <definedName name="ltlp41">#REF!</definedName>
    <definedName name="ltlp42">#REF!</definedName>
    <definedName name="ltlp43">#REF!</definedName>
    <definedName name="ltlp44">#REF!</definedName>
    <definedName name="ltlp45">#REF!</definedName>
    <definedName name="ltlp46">#REF!</definedName>
    <definedName name="ltlp47">#REF!</definedName>
    <definedName name="ltlp48">#REF!</definedName>
    <definedName name="ltlp49">#REF!</definedName>
    <definedName name="ltlp4co">#REF!</definedName>
    <definedName name="ltlp4name">#REF!</definedName>
    <definedName name="ltlp4sal1">#REF!</definedName>
    <definedName name="ltlp5">#REF!</definedName>
    <definedName name="ltlp50">#REF!</definedName>
    <definedName name="ltlp51">#REF!</definedName>
    <definedName name="ltlp52">#REF!</definedName>
    <definedName name="ltlp53">#REF!</definedName>
    <definedName name="ltlp54">#REF!</definedName>
    <definedName name="ltlp55">#REF!</definedName>
    <definedName name="ltlp56">#REF!</definedName>
    <definedName name="ltlp57">#REF!</definedName>
    <definedName name="ltlp58">#REF!</definedName>
    <definedName name="ltlp59">#REF!</definedName>
    <definedName name="ltlp5co">#REF!</definedName>
    <definedName name="ltlp5name">#REF!</definedName>
    <definedName name="ltlp5sal1">#REF!</definedName>
    <definedName name="ltlp6">#REF!</definedName>
    <definedName name="ltlp60">#REF!</definedName>
    <definedName name="ltlp61">#REF!</definedName>
    <definedName name="ltlp62">#REF!</definedName>
    <definedName name="ltlp63">#REF!</definedName>
    <definedName name="ltlp64">#REF!</definedName>
    <definedName name="ltlp65">#REF!</definedName>
    <definedName name="ltlp66">#REF!</definedName>
    <definedName name="ltlp67">#REF!</definedName>
    <definedName name="ltlp68">#REF!</definedName>
    <definedName name="ltlp69">#REF!</definedName>
    <definedName name="ltlp6co">#REF!</definedName>
    <definedName name="ltlp6name">#REF!</definedName>
    <definedName name="ltlp6sal1">#REF!</definedName>
    <definedName name="ltlp7">#REF!</definedName>
    <definedName name="ltlp70">#REF!</definedName>
    <definedName name="ltlp71">#REF!</definedName>
    <definedName name="ltlp72">#REF!</definedName>
    <definedName name="ltlp73">#REF!</definedName>
    <definedName name="ltlp74">#REF!</definedName>
    <definedName name="ltlp75">#REF!</definedName>
    <definedName name="ltlp76">#REF!</definedName>
    <definedName name="ltlp7co">#REF!</definedName>
    <definedName name="ltlp7name">#REF!</definedName>
    <definedName name="ltlp7sal1">#REF!</definedName>
    <definedName name="ltlp8">#REF!</definedName>
    <definedName name="ltlp8co">#REF!</definedName>
    <definedName name="ltlp8name">#REF!</definedName>
    <definedName name="ltlp8sal1">#REF!</definedName>
    <definedName name="ltlp9">#REF!</definedName>
    <definedName name="ltlp9co">#REF!</definedName>
    <definedName name="ltlp9name">#REF!</definedName>
    <definedName name="ltlp9sal1">#REF!</definedName>
    <definedName name="ltlpco25">#REF!</definedName>
    <definedName name="ltlpco26">#REF!</definedName>
    <definedName name="ltlpco27">#REF!</definedName>
    <definedName name="ltlpco28">#REF!</definedName>
    <definedName name="ltlpco29">#REF!</definedName>
    <definedName name="ltlpco30">#REF!</definedName>
    <definedName name="ltlpco31">#REF!</definedName>
    <definedName name="ltlpco32">#REF!</definedName>
    <definedName name="ltlpco33">#REF!</definedName>
    <definedName name="ltlpco34">#REF!</definedName>
    <definedName name="ltlpco35">#REF!</definedName>
    <definedName name="ltlpco36">#REF!</definedName>
    <definedName name="ltlpco37">#REF!</definedName>
    <definedName name="ltlpco38">#REF!</definedName>
    <definedName name="ltlpco39">#REF!</definedName>
    <definedName name="ltlpco40">#REF!</definedName>
    <definedName name="ltlpco41">#REF!</definedName>
    <definedName name="ltlpco42">#REF!</definedName>
    <definedName name="ltlpco43">#REF!</definedName>
    <definedName name="ltlpco44">#REF!</definedName>
    <definedName name="ltlpco45">#REF!</definedName>
    <definedName name="ltlpco46">#REF!</definedName>
    <definedName name="ltlpco47">#REF!</definedName>
    <definedName name="ltlpco48">#REF!</definedName>
    <definedName name="ltlpco49">#REF!</definedName>
    <definedName name="ltlpco50">#REF!</definedName>
    <definedName name="ltlpco51">#REF!</definedName>
    <definedName name="ltlpco52">#REF!</definedName>
    <definedName name="ltlpco53">#REF!</definedName>
    <definedName name="ltlpco54">#REF!</definedName>
    <definedName name="ltlpco55">#REF!</definedName>
    <definedName name="ltlpco56">#REF!</definedName>
    <definedName name="ltlpco57">#REF!</definedName>
    <definedName name="ltlpco58">#REF!</definedName>
    <definedName name="ltlpco59">#REF!</definedName>
    <definedName name="ltlpco60">#REF!</definedName>
    <definedName name="ltlpco61">#REF!</definedName>
    <definedName name="ltlpco62">#REF!</definedName>
    <definedName name="ltlpco63">#REF!</definedName>
    <definedName name="ltlpco64">#REF!</definedName>
    <definedName name="ltlpco65">#REF!</definedName>
    <definedName name="ltlpco66">#REF!</definedName>
    <definedName name="ltlpco67">#REF!</definedName>
    <definedName name="ltlpco68">#REF!</definedName>
    <definedName name="ltlpco69">#REF!</definedName>
    <definedName name="ltlpco70">#REF!</definedName>
    <definedName name="ltlpco71">#REF!</definedName>
    <definedName name="ltlpco72">#REF!</definedName>
    <definedName name="ltlpco73">#REF!</definedName>
    <definedName name="ltlpco74">#REF!</definedName>
    <definedName name="ltlpco75">#REF!</definedName>
    <definedName name="ltlpjob1">#REF!</definedName>
    <definedName name="ltlpjob10">#REF!</definedName>
    <definedName name="ltlpjob11">#REF!</definedName>
    <definedName name="ltlpjob12">#REF!</definedName>
    <definedName name="ltlpjob13">#REF!</definedName>
    <definedName name="ltlpjob14">#REF!</definedName>
    <definedName name="ltlpjob15">#REF!</definedName>
    <definedName name="ltlpjob16">#REF!</definedName>
    <definedName name="ltlpjob17">#REF!</definedName>
    <definedName name="ltlpjob18">#REF!</definedName>
    <definedName name="ltlpjob19">#REF!</definedName>
    <definedName name="ltlpjob2">#REF!</definedName>
    <definedName name="ltlpjob20">#REF!</definedName>
    <definedName name="ltlpjob21">#REF!</definedName>
    <definedName name="ltlpjob22">#REF!</definedName>
    <definedName name="ltlpjob23">#REF!</definedName>
    <definedName name="ltlpjob24">#REF!</definedName>
    <definedName name="ltlpjob25">#REF!</definedName>
    <definedName name="ltlpjob26">#REF!</definedName>
    <definedName name="ltlpjob27">#REF!</definedName>
    <definedName name="ltlpjob28">#REF!</definedName>
    <definedName name="ltlpjob29">#REF!</definedName>
    <definedName name="ltlpjob3">#REF!</definedName>
    <definedName name="ltlpjob30">#REF!</definedName>
    <definedName name="ltlpjob31">#REF!</definedName>
    <definedName name="ltlpjob32">#REF!</definedName>
    <definedName name="ltlpjob33">#REF!</definedName>
    <definedName name="ltlpjob34">#REF!</definedName>
    <definedName name="ltlpjob35">#REF!</definedName>
    <definedName name="ltlpjob36">#REF!</definedName>
    <definedName name="ltlpjob37">#REF!</definedName>
    <definedName name="ltlpjob38">#REF!</definedName>
    <definedName name="ltlpjob39">#REF!</definedName>
    <definedName name="ltlpjob4">#REF!</definedName>
    <definedName name="ltlpjob40">#REF!</definedName>
    <definedName name="ltlpjob41">#REF!</definedName>
    <definedName name="ltlpjob42">#REF!</definedName>
    <definedName name="ltlpjob43">#REF!</definedName>
    <definedName name="ltlpjob44">#REF!</definedName>
    <definedName name="ltlpjob45">#REF!</definedName>
    <definedName name="ltlpjob46">#REF!</definedName>
    <definedName name="ltlpjob47">#REF!</definedName>
    <definedName name="ltlpjob48">#REF!</definedName>
    <definedName name="ltlpjob49">#REF!</definedName>
    <definedName name="ltlpjob5">#REF!</definedName>
    <definedName name="ltlpjob50">#REF!</definedName>
    <definedName name="ltlpjob51">#REF!</definedName>
    <definedName name="ltlpjob52">#REF!</definedName>
    <definedName name="ltlpjob53">#REF!</definedName>
    <definedName name="ltlpjob54">#REF!</definedName>
    <definedName name="ltlpjob55">#REF!</definedName>
    <definedName name="ltlpjob56">#REF!</definedName>
    <definedName name="ltlpjob57">#REF!</definedName>
    <definedName name="ltlpjob58">#REF!</definedName>
    <definedName name="ltlpjob59">#REF!</definedName>
    <definedName name="ltlpjob6">#REF!</definedName>
    <definedName name="ltlpjob60">#REF!</definedName>
    <definedName name="ltlpjob61">#REF!</definedName>
    <definedName name="ltlpjob62">#REF!</definedName>
    <definedName name="ltlpjob63">#REF!</definedName>
    <definedName name="ltlpjob64">#REF!</definedName>
    <definedName name="ltlpjob65">#REF!</definedName>
    <definedName name="ltlpjob66">#REF!</definedName>
    <definedName name="ltlpjob67">#REF!</definedName>
    <definedName name="ltlpjob68">#REF!</definedName>
    <definedName name="ltlpjob69">#REF!</definedName>
    <definedName name="ltlpjob7">#REF!</definedName>
    <definedName name="ltlpjob70">#REF!</definedName>
    <definedName name="ltlpjob71">#REF!</definedName>
    <definedName name="ltlpjob72">#REF!</definedName>
    <definedName name="ltlpjob73">#REF!</definedName>
    <definedName name="ltlpjob74">#REF!</definedName>
    <definedName name="ltlpjob75">#REF!</definedName>
    <definedName name="ltlpjob8">#REF!</definedName>
    <definedName name="ltlpjob9">#REF!</definedName>
    <definedName name="ltlpname25">#REF!</definedName>
    <definedName name="ltlpname26">#REF!</definedName>
    <definedName name="ltlpname27">#REF!</definedName>
    <definedName name="ltlpname28">#REF!</definedName>
    <definedName name="ltlpname29">#REF!</definedName>
    <definedName name="ltlpname30">#REF!</definedName>
    <definedName name="ltlpname31">#REF!</definedName>
    <definedName name="ltlpname32">#REF!</definedName>
    <definedName name="ltlpname33">#REF!</definedName>
    <definedName name="ltlpname34">#REF!</definedName>
    <definedName name="ltlpname35">#REF!</definedName>
    <definedName name="ltlpname36">#REF!</definedName>
    <definedName name="ltlpname37">#REF!</definedName>
    <definedName name="ltlpname38">#REF!</definedName>
    <definedName name="ltlpname39">#REF!</definedName>
    <definedName name="ltlpname40">#REF!</definedName>
    <definedName name="ltlpname41">#REF!</definedName>
    <definedName name="ltlpname42">#REF!</definedName>
    <definedName name="ltlpname43">#REF!</definedName>
    <definedName name="ltlpname44">#REF!</definedName>
    <definedName name="ltlpname45">#REF!</definedName>
    <definedName name="ltlpname46">#REF!</definedName>
    <definedName name="ltlpname47">#REF!</definedName>
    <definedName name="ltlpname48">#REF!</definedName>
    <definedName name="ltlpname49">#REF!</definedName>
    <definedName name="ltlpname50">#REF!</definedName>
    <definedName name="ltlpname51">#REF!</definedName>
    <definedName name="ltlpname52">#REF!</definedName>
    <definedName name="ltlpname53">#REF!</definedName>
    <definedName name="ltlpname54">#REF!</definedName>
    <definedName name="ltlpname55">#REF!</definedName>
    <definedName name="ltlpname56">#REF!</definedName>
    <definedName name="ltlpname57">#REF!</definedName>
    <definedName name="ltlpname58">#REF!</definedName>
    <definedName name="ltlpname59">#REF!</definedName>
    <definedName name="ltlpname60">#REF!</definedName>
    <definedName name="ltlpname61">#REF!</definedName>
    <definedName name="ltlpname62">#REF!</definedName>
    <definedName name="ltlpname63">#REF!</definedName>
    <definedName name="ltlpname64">#REF!</definedName>
    <definedName name="ltlpname65">#REF!</definedName>
    <definedName name="ltlpname66">#REF!</definedName>
    <definedName name="ltlpname67">#REF!</definedName>
    <definedName name="ltlpname68">#REF!</definedName>
    <definedName name="ltlpname69">#REF!</definedName>
    <definedName name="ltlpname70">#REF!</definedName>
    <definedName name="ltlpname71">#REF!</definedName>
    <definedName name="ltlpname72">#REF!</definedName>
    <definedName name="ltlpname73">#REF!</definedName>
    <definedName name="ltlpname74">#REF!</definedName>
    <definedName name="ltlpname75">#REF!</definedName>
    <definedName name="ltlpsal25">#REF!</definedName>
    <definedName name="ltlpsal26">#REF!</definedName>
    <definedName name="ltlpsal27">#REF!</definedName>
    <definedName name="ltlpsal28">#REF!</definedName>
    <definedName name="ltlpsal29">#REF!</definedName>
    <definedName name="ltlpsal30">#REF!</definedName>
    <definedName name="ltlpsal31">#REF!</definedName>
    <definedName name="ltlpsal32">#REF!</definedName>
    <definedName name="ltlpsal33">#REF!</definedName>
    <definedName name="ltlpsal34">#REF!</definedName>
    <definedName name="ltlpsal35">#REF!</definedName>
    <definedName name="ltlpsal36">#REF!</definedName>
    <definedName name="ltlpsal37">#REF!</definedName>
    <definedName name="ltlpsal38">#REF!</definedName>
    <definedName name="ltlpsal39">#REF!</definedName>
    <definedName name="ltlpsal40">#REF!</definedName>
    <definedName name="ltlpsal41">#REF!</definedName>
    <definedName name="ltlpsal42">#REF!</definedName>
    <definedName name="ltlpsal43">#REF!</definedName>
    <definedName name="ltlpsal44">#REF!</definedName>
    <definedName name="ltlpsal45">#REF!</definedName>
    <definedName name="ltlpsal46">#REF!</definedName>
    <definedName name="ltlpsal47">#REF!</definedName>
    <definedName name="ltlpsal48">#REF!</definedName>
    <definedName name="ltlpsal49">#REF!</definedName>
    <definedName name="ltlpsal50">#REF!</definedName>
    <definedName name="ltlpsal51">#REF!</definedName>
    <definedName name="ltlpsal52">#REF!</definedName>
    <definedName name="ltlpsal53">#REF!</definedName>
    <definedName name="ltlpsal54">#REF!</definedName>
    <definedName name="ltlpsal55">#REF!</definedName>
    <definedName name="ltlpsal56">#REF!</definedName>
    <definedName name="ltlpsal57">#REF!</definedName>
    <definedName name="ltlpsal58">#REF!</definedName>
    <definedName name="ltlpsal59">#REF!</definedName>
    <definedName name="ltlpsal60">#REF!</definedName>
    <definedName name="ltlpsal61">#REF!</definedName>
    <definedName name="ltlpsal62">#REF!</definedName>
    <definedName name="ltlpsal63">#REF!</definedName>
    <definedName name="ltlpsal64">#REF!</definedName>
    <definedName name="ltlpsal65">#REF!</definedName>
    <definedName name="ltlpsal66">#REF!</definedName>
    <definedName name="ltlpsal67">#REF!</definedName>
    <definedName name="ltlpsal68">#REF!</definedName>
    <definedName name="ltlpsal69">#REF!</definedName>
    <definedName name="ltlpsal70">#REF!</definedName>
    <definedName name="ltlpsal71">#REF!</definedName>
    <definedName name="ltlpsal72">#REF!</definedName>
    <definedName name="ltlpsal73">#REF!</definedName>
    <definedName name="ltlpsal74">#REF!</definedName>
    <definedName name="ltlpsal75">#REF!</definedName>
    <definedName name="ltls">#REF!</definedName>
    <definedName name="ltls1">#REF!</definedName>
    <definedName name="ltls10">#REF!</definedName>
    <definedName name="ltls10co">#REF!</definedName>
    <definedName name="ltls10name">#REF!</definedName>
    <definedName name="ltls10sal1">#REF!</definedName>
    <definedName name="ltls11">#REF!</definedName>
    <definedName name="ltls11co">#REF!</definedName>
    <definedName name="ltls11name">#REF!</definedName>
    <definedName name="ltls11sal1">#REF!</definedName>
    <definedName name="ltls12">#REF!</definedName>
    <definedName name="ltls12co">#REF!</definedName>
    <definedName name="ltls12name">#REF!</definedName>
    <definedName name="ltls12sal1">#REF!</definedName>
    <definedName name="ltls13">#REF!</definedName>
    <definedName name="ltls13co">#REF!</definedName>
    <definedName name="ltls13name">#REF!</definedName>
    <definedName name="ltls13sal1">#REF!</definedName>
    <definedName name="ltls14">#REF!</definedName>
    <definedName name="ltls14co">#REF!</definedName>
    <definedName name="ltls14name">#REF!</definedName>
    <definedName name="ltls14sal1">#REF!</definedName>
    <definedName name="ltls15">#REF!</definedName>
    <definedName name="ltls16">#REF!</definedName>
    <definedName name="ltls17">#REF!</definedName>
    <definedName name="ltls18">#REF!</definedName>
    <definedName name="ltls19">#REF!</definedName>
    <definedName name="ltls1co">#REF!</definedName>
    <definedName name="ltls1name">#REF!</definedName>
    <definedName name="ltls1sal1">#REF!</definedName>
    <definedName name="ltls2">#REF!</definedName>
    <definedName name="ltls20">#REF!</definedName>
    <definedName name="ltls21">#REF!</definedName>
    <definedName name="ltls22">#REF!</definedName>
    <definedName name="ltls23">#REF!</definedName>
    <definedName name="ltls24">#REF!</definedName>
    <definedName name="ltls25">#REF!</definedName>
    <definedName name="ltls26">#REF!</definedName>
    <definedName name="ltls27">#REF!</definedName>
    <definedName name="ltls28">#REF!</definedName>
    <definedName name="ltls29">#REF!</definedName>
    <definedName name="ltls2co">#REF!</definedName>
    <definedName name="ltls2name">#REF!</definedName>
    <definedName name="ltls2sal1">#REF!</definedName>
    <definedName name="ltls3">#REF!</definedName>
    <definedName name="ltls30">#REF!</definedName>
    <definedName name="ltls31">#REF!</definedName>
    <definedName name="ltls32">#REF!</definedName>
    <definedName name="ltls33">#REF!</definedName>
    <definedName name="ltls34">#REF!</definedName>
    <definedName name="ltls35">#REF!</definedName>
    <definedName name="ltls36">#REF!</definedName>
    <definedName name="ltls37">#REF!</definedName>
    <definedName name="ltls38">#REF!</definedName>
    <definedName name="ltls39">#REF!</definedName>
    <definedName name="ltls3co">#REF!</definedName>
    <definedName name="ltls3name">#REF!</definedName>
    <definedName name="ltls3sal1">#REF!</definedName>
    <definedName name="ltls4">#REF!</definedName>
    <definedName name="ltls40">#REF!</definedName>
    <definedName name="ltls41">#REF!</definedName>
    <definedName name="ltls42">#REF!</definedName>
    <definedName name="ltls43">#REF!</definedName>
    <definedName name="ltls44">#REF!</definedName>
    <definedName name="ltls45">#REF!</definedName>
    <definedName name="ltls46">#REF!</definedName>
    <definedName name="ltls47">#REF!</definedName>
    <definedName name="ltls48">#REF!</definedName>
    <definedName name="ltls49">#REF!</definedName>
    <definedName name="ltls4co">#REF!</definedName>
    <definedName name="ltls4name">#REF!</definedName>
    <definedName name="ltls4sal1">#REF!</definedName>
    <definedName name="ltls5">#REF!</definedName>
    <definedName name="ltls50">#REF!</definedName>
    <definedName name="ltls51">#REF!</definedName>
    <definedName name="ltls52">#REF!</definedName>
    <definedName name="ltls5co">#REF!</definedName>
    <definedName name="ltls5name">#REF!</definedName>
    <definedName name="ltls5sal1">#REF!</definedName>
    <definedName name="ltls6">#REF!</definedName>
    <definedName name="ltls6co">#REF!</definedName>
    <definedName name="ltls6name">#REF!</definedName>
    <definedName name="ltls6sal1">#REF!</definedName>
    <definedName name="ltls7">#REF!</definedName>
    <definedName name="ltls7co">#REF!</definedName>
    <definedName name="ltls7name">#REF!</definedName>
    <definedName name="ltls7sal1">#REF!</definedName>
    <definedName name="ltls8">#REF!</definedName>
    <definedName name="ltls8co">#REF!</definedName>
    <definedName name="ltls8name">#REF!</definedName>
    <definedName name="ltls8sal1">#REF!</definedName>
    <definedName name="ltls9">#REF!</definedName>
    <definedName name="ltls9co">#REF!</definedName>
    <definedName name="ltls9name">#REF!</definedName>
    <definedName name="ltls9sal1">#REF!</definedName>
    <definedName name="ltlsco15">#REF!</definedName>
    <definedName name="ltlsco16">#REF!</definedName>
    <definedName name="ltlsco17">#REF!</definedName>
    <definedName name="ltlsco18">#REF!</definedName>
    <definedName name="ltlsco19">#REF!</definedName>
    <definedName name="ltlsco20">#REF!</definedName>
    <definedName name="ltlsco21">#REF!</definedName>
    <definedName name="ltlsco22">#REF!</definedName>
    <definedName name="ltlsco23">#REF!</definedName>
    <definedName name="ltlsco24">#REF!</definedName>
    <definedName name="ltlsco25">#REF!</definedName>
    <definedName name="ltlsco26">#REF!</definedName>
    <definedName name="ltlsco27">#REF!</definedName>
    <definedName name="ltlsco28">#REF!</definedName>
    <definedName name="ltlsco29">#REF!</definedName>
    <definedName name="ltlsco30">#REF!</definedName>
    <definedName name="ltlsco31">#REF!</definedName>
    <definedName name="ltlsco32">#REF!</definedName>
    <definedName name="ltlsco33">#REF!</definedName>
    <definedName name="ltlsco34">#REF!</definedName>
    <definedName name="ltlsco35">#REF!</definedName>
    <definedName name="ltlsco36">#REF!</definedName>
    <definedName name="ltlsco37">#REF!</definedName>
    <definedName name="ltlsco38">#REF!</definedName>
    <definedName name="ltlsco39">#REF!</definedName>
    <definedName name="ltlsco40">#REF!</definedName>
    <definedName name="ltlsco41">#REF!</definedName>
    <definedName name="ltlsco42">#REF!</definedName>
    <definedName name="ltlsco43">#REF!</definedName>
    <definedName name="ltlsco44">#REF!</definedName>
    <definedName name="ltlsco45">#REF!</definedName>
    <definedName name="ltlsco46">#REF!</definedName>
    <definedName name="ltlsco47">#REF!</definedName>
    <definedName name="ltlsco48">#REF!</definedName>
    <definedName name="ltlsco49">#REF!</definedName>
    <definedName name="ltlsco50">#REF!</definedName>
    <definedName name="ltlsco51">#REF!</definedName>
    <definedName name="ltlsjob1">#REF!</definedName>
    <definedName name="ltlsjob10">#REF!</definedName>
    <definedName name="ltlsjob11">#REF!</definedName>
    <definedName name="ltlsjob12">#REF!</definedName>
    <definedName name="ltlsjob13">#REF!</definedName>
    <definedName name="ltlsjob14">#REF!</definedName>
    <definedName name="ltlsjob15">#REF!</definedName>
    <definedName name="ltlsjob16">#REF!</definedName>
    <definedName name="ltlsjob17">#REF!</definedName>
    <definedName name="ltlsjob18">#REF!</definedName>
    <definedName name="ltlsjob19">#REF!</definedName>
    <definedName name="ltlsjob2">#REF!</definedName>
    <definedName name="ltlsjob20">#REF!</definedName>
    <definedName name="ltlsjob21">#REF!</definedName>
    <definedName name="ltlsjob22">#REF!</definedName>
    <definedName name="ltlsjob23">#REF!</definedName>
    <definedName name="ltlsjob24">#REF!</definedName>
    <definedName name="ltlsjob25">#REF!</definedName>
    <definedName name="ltlsjob26">#REF!</definedName>
    <definedName name="ltlsjob27">#REF!</definedName>
    <definedName name="ltlsjob28">#REF!</definedName>
    <definedName name="ltlsjob29">#REF!</definedName>
    <definedName name="ltlsjob3">#REF!</definedName>
    <definedName name="ltlsjob30">#REF!</definedName>
    <definedName name="ltlsjob31">#REF!</definedName>
    <definedName name="ltlsjob32">#REF!</definedName>
    <definedName name="ltlsjob33">#REF!</definedName>
    <definedName name="ltlsjob34">#REF!</definedName>
    <definedName name="ltlsjob35">#REF!</definedName>
    <definedName name="ltlsjob36">#REF!</definedName>
    <definedName name="ltlsjob37">#REF!</definedName>
    <definedName name="ltlsjob38">#REF!</definedName>
    <definedName name="ltlsjob39">#REF!</definedName>
    <definedName name="ltlsjob4">#REF!</definedName>
    <definedName name="ltlsjob40">#REF!</definedName>
    <definedName name="ltlsjob41">#REF!</definedName>
    <definedName name="ltlsjob42">#REF!</definedName>
    <definedName name="ltlsjob43">#REF!</definedName>
    <definedName name="ltlsjob44">#REF!</definedName>
    <definedName name="ltlsjob45">#REF!</definedName>
    <definedName name="ltlsjob46">#REF!</definedName>
    <definedName name="ltlsjob47">#REF!</definedName>
    <definedName name="ltlsjob48">#REF!</definedName>
    <definedName name="ltlsjob49">#REF!</definedName>
    <definedName name="ltlsjob5">#REF!</definedName>
    <definedName name="ltlsjob50">#REF!</definedName>
    <definedName name="ltlsjob51">#REF!</definedName>
    <definedName name="ltlsjob6">#REF!</definedName>
    <definedName name="ltlsjob7">#REF!</definedName>
    <definedName name="ltlsjob8">#REF!</definedName>
    <definedName name="ltlsjob9">#REF!</definedName>
    <definedName name="ltlsname15">#REF!</definedName>
    <definedName name="ltlsname16">#REF!</definedName>
    <definedName name="ltlsname17">#REF!</definedName>
    <definedName name="ltlsname18">#REF!</definedName>
    <definedName name="ltlsname19">#REF!</definedName>
    <definedName name="ltlsname20">#REF!</definedName>
    <definedName name="ltlsname21">#REF!</definedName>
    <definedName name="ltlsname22">#REF!</definedName>
    <definedName name="ltlsname23">#REF!</definedName>
    <definedName name="ltlsname24">#REF!</definedName>
    <definedName name="ltlsname25">#REF!</definedName>
    <definedName name="ltlsname26">#REF!</definedName>
    <definedName name="ltlsname27">#REF!</definedName>
    <definedName name="ltlsname28">#REF!</definedName>
    <definedName name="ltlsname29">#REF!</definedName>
    <definedName name="ltlsname30">#REF!</definedName>
    <definedName name="ltlsname31">#REF!</definedName>
    <definedName name="ltlsname32">#REF!</definedName>
    <definedName name="ltlsname33">#REF!</definedName>
    <definedName name="ltlsname34">#REF!</definedName>
    <definedName name="ltlsname35">#REF!</definedName>
    <definedName name="ltlsname36">#REF!</definedName>
    <definedName name="ltlsname37">#REF!</definedName>
    <definedName name="ltlsname38">#REF!</definedName>
    <definedName name="ltlsname39">#REF!</definedName>
    <definedName name="ltlsname40">#REF!</definedName>
    <definedName name="ltlsname41">#REF!</definedName>
    <definedName name="ltlsname42">#REF!</definedName>
    <definedName name="ltlsname43">#REF!</definedName>
    <definedName name="ltlsname44">#REF!</definedName>
    <definedName name="ltlsname45">#REF!</definedName>
    <definedName name="ltlsname46">#REF!</definedName>
    <definedName name="ltlsname47">#REF!</definedName>
    <definedName name="ltlsname48">#REF!</definedName>
    <definedName name="ltlsname49">#REF!</definedName>
    <definedName name="ltlsname50">#REF!</definedName>
    <definedName name="ltlsname51">#REF!</definedName>
    <definedName name="ltlssal15">#REF!</definedName>
    <definedName name="ltlssal16">#REF!</definedName>
    <definedName name="ltlssal17">#REF!</definedName>
    <definedName name="ltlssal18">#REF!</definedName>
    <definedName name="ltlssal19">#REF!</definedName>
    <definedName name="ltlssal20">#REF!</definedName>
    <definedName name="ltlssal21">#REF!</definedName>
    <definedName name="ltlssal22">#REF!</definedName>
    <definedName name="ltlssal23">#REF!</definedName>
    <definedName name="ltlssal24">#REF!</definedName>
    <definedName name="ltlssal25">#REF!</definedName>
    <definedName name="ltlssal26">#REF!</definedName>
    <definedName name="ltlssal27">#REF!</definedName>
    <definedName name="ltlssal28">#REF!</definedName>
    <definedName name="ltlssal29">#REF!</definedName>
    <definedName name="ltlssal30">#REF!</definedName>
    <definedName name="ltlssal31">#REF!</definedName>
    <definedName name="ltlssal32">#REF!</definedName>
    <definedName name="ltlssal33">#REF!</definedName>
    <definedName name="ltlssal34">#REF!</definedName>
    <definedName name="ltlssal35">#REF!</definedName>
    <definedName name="ltlssal36">#REF!</definedName>
    <definedName name="ltlssal37">#REF!</definedName>
    <definedName name="ltlssal38">#REF!</definedName>
    <definedName name="ltlssal39">#REF!</definedName>
    <definedName name="ltlssal40">#REF!</definedName>
    <definedName name="ltlssal41">#REF!</definedName>
    <definedName name="ltlssal42">#REF!</definedName>
    <definedName name="ltlssal43">#REF!</definedName>
    <definedName name="ltlssal44">#REF!</definedName>
    <definedName name="ltlssal45">#REF!</definedName>
    <definedName name="ltlssal46">#REF!</definedName>
    <definedName name="ltlssal47">#REF!</definedName>
    <definedName name="ltlssal48">#REF!</definedName>
    <definedName name="ltlssal49">#REF!</definedName>
    <definedName name="ltlssal50">#REF!</definedName>
    <definedName name="ltlssal51">#REF!</definedName>
    <definedName name="ltstravel">#REF!</definedName>
    <definedName name="LTTA">#REF!</definedName>
    <definedName name="lttravel">#REF!</definedName>
    <definedName name="Lttripfactor">#REF!</definedName>
    <definedName name="mac_lg_UI_List">#REF!</definedName>
    <definedName name="MACROS">#REF!</definedName>
    <definedName name="MADAC">#REF!</definedName>
    <definedName name="makeready">#REF!</definedName>
    <definedName name="maliinflation">#REF!</definedName>
    <definedName name="malitravel">#REF!</definedName>
    <definedName name="mapping">#REF!</definedName>
    <definedName name="MaritalStatus">#REF!</definedName>
    <definedName name="match">#REF!</definedName>
    <definedName name="maybe" localSheetId="3" hidden="1">{#N/A,#N/A,FALSE,"ManLoading"}</definedName>
    <definedName name="maybe" localSheetId="4" hidden="1">{#N/A,#N/A,FALSE,"ManLoading"}</definedName>
    <definedName name="maybe" localSheetId="5" hidden="1">{#N/A,#N/A,FALSE,"ManLoading"}</definedName>
    <definedName name="maybe" localSheetId="6" hidden="1">{#N/A,#N/A,FALSE,"ManLoading"}</definedName>
    <definedName name="maybe" localSheetId="2" hidden="1">{#N/A,#N/A,FALSE,"ManLoading"}</definedName>
    <definedName name="maybe" hidden="1">{#N/A,#N/A,FALSE,"ManLoading"}</definedName>
    <definedName name="ME">#REF!</definedName>
    <definedName name="med">#REF!</definedName>
    <definedName name="medevac">#REF!</definedName>
    <definedName name="medex">232</definedName>
    <definedName name="Merit">#REF!</definedName>
    <definedName name="mh">#REF!</definedName>
    <definedName name="Mid_Level_CCNRate">#REF!</definedName>
    <definedName name="Mid_Level_TCNRate">#REF!</definedName>
    <definedName name="mie">#REF!</definedName>
    <definedName name="mielima">#REF!</definedName>
    <definedName name="mieother">#REF!</definedName>
    <definedName name="MOBIS_Schedule">#REF!</definedName>
    <definedName name="Moldova">#REF!</definedName>
    <definedName name="Moldova_F2F">#REF!</definedName>
    <definedName name="MonthHeader_Values" localSheetId="3">EOMONTH(DATE(#REF!,8,1),{0,1,2,3,4,5,6,7,8,9,10,11})+1</definedName>
    <definedName name="MonthHeader_Values" localSheetId="4">EOMONTH(DATE(#REF!,8,1),{0,1,2,3,4,5,6,7,8,9,10,11})+1</definedName>
    <definedName name="MonthHeader_Values" localSheetId="5">EOMONTH(DATE(#REF!,8,1),{0,1,2,3,4,5,6,7,8,9,10,11})+1</definedName>
    <definedName name="MonthHeader_Values" localSheetId="6">EOMONTH(DATE(#REF!,8,1),{0,1,2,3,4,5,6,7,8,9,10,11})+1</definedName>
    <definedName name="MonthHeader_Values" localSheetId="2">EOMONTH(DATE(#REF!,8,1),{0,1,2,3,4,5,6,7,8,9,10,11})+1</definedName>
    <definedName name="MonthHeader_Values" localSheetId="1">EOMONTH(DATE(#REF!,8,1),{0,1,2,3,4,5,6,7,8,9,10,11})+1</definedName>
    <definedName name="MonthHeader_Values">EOMONTH(DATE(#REF!,8,1),{0,1,2,3,4,5,6,7,8,9,10,11})+1</definedName>
    <definedName name="MSE">#REF!</definedName>
    <definedName name="msicoreclin1">#REF!</definedName>
    <definedName name="msicoreclin2">#REF!</definedName>
    <definedName name="msicoreclin3">#REF!</definedName>
    <definedName name="msitaclin1">#REF!</definedName>
    <definedName name="msitaclin2">#REF!</definedName>
    <definedName name="msitaclin3">#REF!</definedName>
    <definedName name="Mult_Yr1to3">#REF!</definedName>
    <definedName name="Mult_Yr4">#REF!</definedName>
    <definedName name="Mult_Yr5">#REF!</definedName>
    <definedName name="Multipliers_by_AMAP_year">#REF!</definedName>
    <definedName name="Multiply4">#REF!</definedName>
    <definedName name="Multiply5">#REF!</definedName>
    <definedName name="name" localSheetId="3" hidden="1">{#N/A,#N/A,FALSE,"ManLoading"}</definedName>
    <definedName name="name" localSheetId="4" hidden="1">{#N/A,#N/A,FALSE,"ManLoading"}</definedName>
    <definedName name="name" localSheetId="5" hidden="1">{#N/A,#N/A,FALSE,"ManLoading"}</definedName>
    <definedName name="name" localSheetId="6" hidden="1">{#N/A,#N/A,FALSE,"ManLoading"}</definedName>
    <definedName name="name" localSheetId="2" hidden="1">{#N/A,#N/A,FALSE,"ManLoading"}</definedName>
    <definedName name="name" hidden="1">{#N/A,#N/A,FALSE,"ManLoading"}</definedName>
    <definedName name="NAMEA">#REF!</definedName>
    <definedName name="napsa">#REF!</definedName>
    <definedName name="National_factor_year1">#REF!</definedName>
    <definedName name="National_factor_year2">#REF!</definedName>
    <definedName name="National_factor_year3">#REF!</definedName>
    <definedName name="National_factor_year4">#REF!</definedName>
    <definedName name="National_factor_year5">#REF!</definedName>
    <definedName name="NativeTimeline_Date">#N/A</definedName>
    <definedName name="NativeTimeline_Date1">#N/A</definedName>
    <definedName name="NatRes11">#REF!</definedName>
    <definedName name="NAWGA">#N/A</definedName>
    <definedName name="New">#REF!</definedName>
    <definedName name="NFPA">#N/A</definedName>
    <definedName name="NICRA_GA">#REF!</definedName>
    <definedName name="NICRA_Overhead">#REF!</definedName>
    <definedName name="no" localSheetId="3" hidden="1">{#N/A,#N/A,FALSE,"ManLoading"}</definedName>
    <definedName name="no" localSheetId="4" hidden="1">{#N/A,#N/A,FALSE,"ManLoading"}</definedName>
    <definedName name="no" localSheetId="5" hidden="1">{#N/A,#N/A,FALSE,"ManLoading"}</definedName>
    <definedName name="no" localSheetId="6" hidden="1">{#N/A,#N/A,FALSE,"ManLoading"}</definedName>
    <definedName name="no" localSheetId="2" hidden="1">{#N/A,#N/A,FALSE,"ManLoading"}</definedName>
    <definedName name="no" hidden="1">{#N/A,#N/A,FALSE,"ManLoading"}</definedName>
    <definedName name="none" localSheetId="3" hidden="1">{#N/A,#N/A,FALSE,"ManLoading"}</definedName>
    <definedName name="none" localSheetId="4" hidden="1">{#N/A,#N/A,FALSE,"ManLoading"}</definedName>
    <definedName name="none" localSheetId="5" hidden="1">{#N/A,#N/A,FALSE,"ManLoading"}</definedName>
    <definedName name="none" localSheetId="6" hidden="1">{#N/A,#N/A,FALSE,"ManLoading"}</definedName>
    <definedName name="none" localSheetId="2" hidden="1">{#N/A,#N/A,FALSE,"ManLoading"}</definedName>
    <definedName name="none" localSheetId="1" hidden="1">{#N/A,#N/A,FALSE,"ManLoading"}</definedName>
    <definedName name="none" hidden="1">{#N/A,#N/A,FALSE,"ManLoading"}</definedName>
    <definedName name="none1" localSheetId="3" hidden="1">{#N/A,#N/A,FALSE,"ManLoading"}</definedName>
    <definedName name="none1" localSheetId="4" hidden="1">{#N/A,#N/A,FALSE,"ManLoading"}</definedName>
    <definedName name="none1" localSheetId="5" hidden="1">{#N/A,#N/A,FALSE,"ManLoading"}</definedName>
    <definedName name="none1" localSheetId="6" hidden="1">{#N/A,#N/A,FALSE,"ManLoading"}</definedName>
    <definedName name="none1" localSheetId="2" hidden="1">{#N/A,#N/A,FALSE,"ManLoading"}</definedName>
    <definedName name="none1" hidden="1">{#N/A,#N/A,FALSE,"ManLoading"}</definedName>
    <definedName name="ODC">#REF!</definedName>
    <definedName name="ODC_Escalation">#REF!</definedName>
    <definedName name="ODC_Escalation_DPK">#REF!</definedName>
    <definedName name="ODCesc">#REF!</definedName>
    <definedName name="OH">#REF!</definedName>
    <definedName name="OnCNFA">#REF!</definedName>
    <definedName name="Other_Direct_Costs">#REF!</definedName>
    <definedName name="Other11">#REF!</definedName>
    <definedName name="Other13">#REF!</definedName>
    <definedName name="Othertotalpd">#REF!</definedName>
    <definedName name="overhead">#REF!</definedName>
    <definedName name="PAGE4" localSheetId="3" hidden="1">{"actuals_1",#N/A,FALSE,"CO 1 YRS";"burden_1",#N/A,FALSE,"CO 1 YRS";"input",#N/A,FALSE,"INPUT"}</definedName>
    <definedName name="PAGE4" localSheetId="4" hidden="1">{"actuals_1",#N/A,FALSE,"CO 1 YRS";"burden_1",#N/A,FALSE,"CO 1 YRS";"input",#N/A,FALSE,"INPUT"}</definedName>
    <definedName name="PAGE4" localSheetId="5" hidden="1">{"actuals_1",#N/A,FALSE,"CO 1 YRS";"burden_1",#N/A,FALSE,"CO 1 YRS";"input",#N/A,FALSE,"INPUT"}</definedName>
    <definedName name="PAGE4" localSheetId="6" hidden="1">{"actuals_1",#N/A,FALSE,"CO 1 YRS";"burden_1",#N/A,FALSE,"CO 1 YRS";"input",#N/A,FALSE,"INPUT"}</definedName>
    <definedName name="PAGE4" localSheetId="2" hidden="1">{"actuals_1",#N/A,FALSE,"CO 1 YRS";"burden_1",#N/A,FALSE,"CO 1 YRS";"input",#N/A,FALSE,"INPUT"}</definedName>
    <definedName name="PAGE4" localSheetId="1" hidden="1">{"actuals_1",#N/A,FALSE,"CO 1 YRS";"burden_1",#N/A,FALSE,"CO 1 YRS";"input",#N/A,FALSE,"INPUT"}</definedName>
    <definedName name="PAGE4" hidden="1">{"actuals_1",#N/A,FALSE,"CO 1 YRS";"burden_1",#N/A,FALSE,"CO 1 YRS";"input",#N/A,FALSE,"INPUT"}</definedName>
    <definedName name="PATTA">#REF!</definedName>
    <definedName name="paye">#REF!</definedName>
    <definedName name="payroll">#REF!</definedName>
    <definedName name="payslips">#REF!</definedName>
    <definedName name="pd">#REF!</definedName>
    <definedName name="PDDAYS">#N/A</definedName>
    <definedName name="pdintl">#REF!</definedName>
    <definedName name="pdloc">#REF!</definedName>
    <definedName name="pdother">#REF!</definedName>
    <definedName name="pdotherdos">#REF!</definedName>
    <definedName name="pdpesh">#REF!</definedName>
    <definedName name="Per_Diem1">#REF!</definedName>
    <definedName name="Per_Diem2">#REF!</definedName>
    <definedName name="Per_Diem3">#REF!</definedName>
    <definedName name="Perdiem">#REF!</definedName>
    <definedName name="perdiembko">#REF!</definedName>
    <definedName name="perdiemdays">#REF!</definedName>
    <definedName name="perdieme">#REF!</definedName>
    <definedName name="perdiemfactor">#REF!</definedName>
    <definedName name="perdiemintl">#REF!</definedName>
    <definedName name="perdiemoth">#REF!</definedName>
    <definedName name="Person_Days">#REF!</definedName>
    <definedName name="Person_Year">#REF!</definedName>
    <definedName name="PIP">#N/A</definedName>
    <definedName name="PM">#REF!</definedName>
    <definedName name="pmperdiem">#REF!</definedName>
    <definedName name="Policy11">#REF!</definedName>
    <definedName name="Policy12">#REF!</definedName>
    <definedName name="Policy13">#REF!</definedName>
    <definedName name="Post_Differential">#REF!</definedName>
    <definedName name="postdiff">#REF!</definedName>
    <definedName name="_xlnm.Print_Area" localSheetId="3">'Activity 1'!$A$2:$W$86</definedName>
    <definedName name="_xlnm.Print_Area" localSheetId="4">'Activity 2'!$A$2:$W$83</definedName>
    <definedName name="_xlnm.Print_Area" localSheetId="5">'Activity 3'!$A$2:$W$92</definedName>
    <definedName name="_xlnm.Print_Area" localSheetId="6">'Activity 4'!$A$2:$W$90</definedName>
    <definedName name="_xlnm.Print_Area" localSheetId="2">Admin!$A$2:$W$145</definedName>
    <definedName name="_xlnm.Print_Area" localSheetId="1">'Detailed Budget'!$A$2:$W$194</definedName>
    <definedName name="_xlnm.Print_Area" localSheetId="8">'Indirect Calculations'!$B$6:$I$62</definedName>
    <definedName name="_xlnm.Print_Area" localSheetId="7">'Program Budget'!$D$6:$X$416</definedName>
    <definedName name="_xlnm.Print_Area" localSheetId="0">'USDA Budget Summary'!$A$1:$F$63</definedName>
    <definedName name="_xlnm.Print_Area">#REF!</definedName>
    <definedName name="Print_Area_MI" localSheetId="3">#REF!</definedName>
    <definedName name="Print_Area_MI" localSheetId="4">#REF!</definedName>
    <definedName name="Print_Area_MI" localSheetId="5">#REF!</definedName>
    <definedName name="Print_Area_MI" localSheetId="6">#REF!</definedName>
    <definedName name="Print_Area_MI" localSheetId="2">#REF!</definedName>
    <definedName name="Print_Area_MI" localSheetId="1">#REF!</definedName>
    <definedName name="Print_Area_MI">#REF!</definedName>
    <definedName name="Print_Area2">#REF!</definedName>
    <definedName name="_xlnm.Print_Titles" localSheetId="3">'Activity 1'!$2:$3</definedName>
    <definedName name="_xlnm.Print_Titles" localSheetId="4">'Activity 2'!$2:$3</definedName>
    <definedName name="_xlnm.Print_Titles" localSheetId="5">'Activity 3'!$2:$3</definedName>
    <definedName name="_xlnm.Print_Titles" localSheetId="6">'Activity 4'!$2:$3</definedName>
    <definedName name="_xlnm.Print_Titles" localSheetId="2">Admin!$2:$3</definedName>
    <definedName name="_xlnm.Print_Titles" localSheetId="1">'Detailed Budget'!$2:$3</definedName>
    <definedName name="_xlnm.Print_Titles">#N/A</definedName>
    <definedName name="Print_Titles_MI" localSheetId="3">#REF!</definedName>
    <definedName name="Print_Titles_MI" localSheetId="4">#REF!</definedName>
    <definedName name="Print_Titles_MI" localSheetId="5">#REF!</definedName>
    <definedName name="Print_Titles_MI" localSheetId="6">#REF!</definedName>
    <definedName name="Print_Titles_MI" localSheetId="2">#REF!</definedName>
    <definedName name="Print_Titles_MI" localSheetId="1">#REF!</definedName>
    <definedName name="Print_Titles_MI">#REF!</definedName>
    <definedName name="Profit">#REF!</definedName>
    <definedName name="project">#REF!</definedName>
    <definedName name="Project_support_costs">#REF!</definedName>
    <definedName name="proposed" localSheetId="3" hidden="1">{#N/A,#N/A,FALSE,"ManLoading"}</definedName>
    <definedName name="proposed" localSheetId="4" hidden="1">{#N/A,#N/A,FALSE,"ManLoading"}</definedName>
    <definedName name="proposed" localSheetId="5" hidden="1">{#N/A,#N/A,FALSE,"ManLoading"}</definedName>
    <definedName name="proposed" localSheetId="6" hidden="1">{#N/A,#N/A,FALSE,"ManLoading"}</definedName>
    <definedName name="proposed" localSheetId="2" hidden="1">{#N/A,#N/A,FALSE,"ManLoading"}</definedName>
    <definedName name="proposed" localSheetId="1" hidden="1">{#N/A,#N/A,FALSE,"ManLoading"}</definedName>
    <definedName name="proposed" hidden="1">{#N/A,#N/A,FALSE,"ManLoading"}</definedName>
    <definedName name="PURD">#N/A</definedName>
    <definedName name="PURD1">#N/A</definedName>
    <definedName name="PURD4">#N/A</definedName>
    <definedName name="q">#REF!</definedName>
    <definedName name="quetzaltenango">#REF!</definedName>
    <definedName name="quiche">#REF!</definedName>
    <definedName name="Raises_Expat">#REF!</definedName>
    <definedName name="Raises_HCN">#REF!</definedName>
    <definedName name="Raises_TCN">#REF!</definedName>
    <definedName name="Rate1">#REF!</definedName>
    <definedName name="Rate2">#REF!</definedName>
    <definedName name="rate3">#REF!</definedName>
    <definedName name="Rate4">#REF!</definedName>
    <definedName name="Rate5">#REF!</definedName>
    <definedName name="Rate6">#REF!</definedName>
    <definedName name="Rate7">#REF!</definedName>
    <definedName name="Rate8">#REF!</definedName>
    <definedName name="Rate9">#REF!</definedName>
    <definedName name="ratecos">#REF!</definedName>
    <definedName name="regina" hidden="1">#REF!</definedName>
    <definedName name="Regional_Offices">#REF!</definedName>
    <definedName name="remit_zra">#REF!</definedName>
    <definedName name="RETdirectdeposit">#REF!</definedName>
    <definedName name="rfp">#REF!</definedName>
    <definedName name="RFPNo">#REF!</definedName>
    <definedName name="room">#REF!</definedName>
    <definedName name="rovercost">#REF!</definedName>
    <definedName name="rr">#REF!</definedName>
    <definedName name="rrair">#REF!</definedName>
    <definedName name="rrrrr">#REF!</definedName>
    <definedName name="rsa_inflation">#REF!</definedName>
    <definedName name="rtecon">#REF!</definedName>
    <definedName name="RYUK" localSheetId="3" hidden="1">{"PAGE1",#N/A,FALSE,"CPFFMSTR";"PAGE2",#N/A,FALSE,"CPFFMSTR"}</definedName>
    <definedName name="RYUK" localSheetId="4" hidden="1">{"PAGE1",#N/A,FALSE,"CPFFMSTR";"PAGE2",#N/A,FALSE,"CPFFMSTR"}</definedName>
    <definedName name="RYUK" localSheetId="5" hidden="1">{"PAGE1",#N/A,FALSE,"CPFFMSTR";"PAGE2",#N/A,FALSE,"CPFFMSTR"}</definedName>
    <definedName name="RYUK" localSheetId="6" hidden="1">{"PAGE1",#N/A,FALSE,"CPFFMSTR";"PAGE2",#N/A,FALSE,"CPFFMSTR"}</definedName>
    <definedName name="RYUK" localSheetId="2" hidden="1">{"PAGE1",#N/A,FALSE,"CPFFMSTR";"PAGE2",#N/A,FALSE,"CPFFMSTR"}</definedName>
    <definedName name="RYUK" localSheetId="1" hidden="1">{"PAGE1",#N/A,FALSE,"CPFFMSTR";"PAGE2",#N/A,FALSE,"CPFFMSTR"}</definedName>
    <definedName name="RYUK" hidden="1">{"PAGE1",#N/A,FALSE,"CPFFMSTR";"PAGE2",#N/A,FALSE,"CPFFMSTR"}</definedName>
    <definedName name="sa">#REF!</definedName>
    <definedName name="SAL">#REF!</definedName>
    <definedName name="salary_inflation">#REF!</definedName>
    <definedName name="SALARYORHOURLY">#REF!</definedName>
    <definedName name="salesc">0.05</definedName>
    <definedName name="salinc">#REF!</definedName>
    <definedName name="salincr">#REF!</definedName>
    <definedName name="salincrease">#REF!</definedName>
    <definedName name="salincrloc">#REF!</definedName>
    <definedName name="salmaxes6">#REF!</definedName>
    <definedName name="salmaxfsn">#REF!</definedName>
    <definedName name="sanmarcos">#REF!</definedName>
    <definedName name="sc">#REF!</definedName>
    <definedName name="sda" localSheetId="3" hidden="1">{#N/A,#N/A,FALSE,"ManLoading"}</definedName>
    <definedName name="sda" localSheetId="4" hidden="1">{#N/A,#N/A,FALSE,"ManLoading"}</definedName>
    <definedName name="sda" localSheetId="5" hidden="1">{#N/A,#N/A,FALSE,"ManLoading"}</definedName>
    <definedName name="sda" localSheetId="6" hidden="1">{#N/A,#N/A,FALSE,"ManLoading"}</definedName>
    <definedName name="sda" localSheetId="2" hidden="1">{#N/A,#N/A,FALSE,"ManLoading"}</definedName>
    <definedName name="sda" hidden="1">{#N/A,#N/A,FALSE,"ManLoading"}</definedName>
    <definedName name="sdfg" localSheetId="3" hidden="1">{"PAGE1",#N/A,FALSE,"CPFFMSTR";"PAGE2",#N/A,FALSE,"CPFFMSTR"}</definedName>
    <definedName name="sdfg" localSheetId="4" hidden="1">{"PAGE1",#N/A,FALSE,"CPFFMSTR";"PAGE2",#N/A,FALSE,"CPFFMSTR"}</definedName>
    <definedName name="sdfg" localSheetId="5" hidden="1">{"PAGE1",#N/A,FALSE,"CPFFMSTR";"PAGE2",#N/A,FALSE,"CPFFMSTR"}</definedName>
    <definedName name="sdfg" localSheetId="6" hidden="1">{"PAGE1",#N/A,FALSE,"CPFFMSTR";"PAGE2",#N/A,FALSE,"CPFFMSTR"}</definedName>
    <definedName name="sdfg" localSheetId="2" hidden="1">{"PAGE1",#N/A,FALSE,"CPFFMSTR";"PAGE2",#N/A,FALSE,"CPFFMSTR"}</definedName>
    <definedName name="sdfg" localSheetId="1" hidden="1">{"PAGE1",#N/A,FALSE,"CPFFMSTR";"PAGE2",#N/A,FALSE,"CPFFMSTR"}</definedName>
    <definedName name="sdfg" hidden="1">{"PAGE1",#N/A,FALSE,"CPFFMSTR";"PAGE2",#N/A,FALSE,"CPFFMSTR"}</definedName>
    <definedName name="Senior_CCNRate">#REF!</definedName>
    <definedName name="Senior_TCNRate">#REF!</definedName>
    <definedName name="SEV">#REF!</definedName>
    <definedName name="severance">#REF!</definedName>
    <definedName name="severancedata">#REF!</definedName>
    <definedName name="SEVPA">#REF!</definedName>
    <definedName name="SFG" localSheetId="3" hidden="1">{"PAGE1",#N/A,FALSE,"CPFFMSTR";"PAGE2",#N/A,FALSE,"CPFFMSTR"}</definedName>
    <definedName name="SFG" localSheetId="4" hidden="1">{"PAGE1",#N/A,FALSE,"CPFFMSTR";"PAGE2",#N/A,FALSE,"CPFFMSTR"}</definedName>
    <definedName name="SFG" localSheetId="5" hidden="1">{"PAGE1",#N/A,FALSE,"CPFFMSTR";"PAGE2",#N/A,FALSE,"CPFFMSTR"}</definedName>
    <definedName name="SFG" localSheetId="6" hidden="1">{"PAGE1",#N/A,FALSE,"CPFFMSTR";"PAGE2",#N/A,FALSE,"CPFFMSTR"}</definedName>
    <definedName name="SFG" localSheetId="2" hidden="1">{"PAGE1",#N/A,FALSE,"CPFFMSTR";"PAGE2",#N/A,FALSE,"CPFFMSTR"}</definedName>
    <definedName name="SFG" localSheetId="1" hidden="1">{"PAGE1",#N/A,FALSE,"CPFFMSTR";"PAGE2",#N/A,FALSE,"CPFFMSTR"}</definedName>
    <definedName name="SFG" hidden="1">{"PAGE1",#N/A,FALSE,"CPFFMSTR";"PAGE2",#N/A,FALSE,"CPFFMSTR"}</definedName>
    <definedName name="sho">#REF!</definedName>
    <definedName name="Site">#REF!</definedName>
    <definedName name="small">#REF!</definedName>
    <definedName name="staff">#REF!</definedName>
    <definedName name="staff_fringe">#REF!</definedName>
    <definedName name="stafffringe">#REF!</definedName>
    <definedName name="staffperdiem">#REF!</definedName>
    <definedName name="START">#N/A</definedName>
    <definedName name="startdate">#REF!</definedName>
    <definedName name="stexpercent">#REF!</definedName>
    <definedName name="stlp">#REF!</definedName>
    <definedName name="stlp1">#REF!</definedName>
    <definedName name="stlp10">#REF!</definedName>
    <definedName name="stlp10co">#REF!</definedName>
    <definedName name="stlp10name">#REF!</definedName>
    <definedName name="stlp10sal1">#REF!</definedName>
    <definedName name="stlp11">#REF!</definedName>
    <definedName name="stlp12">#REF!</definedName>
    <definedName name="stlp13">#REF!</definedName>
    <definedName name="stlp14">#REF!</definedName>
    <definedName name="stlp15">#REF!</definedName>
    <definedName name="stlp16">#REF!</definedName>
    <definedName name="stlp17">#REF!</definedName>
    <definedName name="stlp18">#REF!</definedName>
    <definedName name="stlp19">#REF!</definedName>
    <definedName name="stlp1co">#REF!</definedName>
    <definedName name="stlp1name">#REF!</definedName>
    <definedName name="stlp1sal1">#REF!</definedName>
    <definedName name="stlp2">#REF!</definedName>
    <definedName name="stlp20">#REF!</definedName>
    <definedName name="stlp21">#REF!</definedName>
    <definedName name="stlp22">#REF!</definedName>
    <definedName name="stlp23">#REF!</definedName>
    <definedName name="stlp24">#REF!</definedName>
    <definedName name="stlp25">#REF!</definedName>
    <definedName name="stlp26">#REF!</definedName>
    <definedName name="stlp27">#REF!</definedName>
    <definedName name="stlp28">#REF!</definedName>
    <definedName name="stlp29">#REF!</definedName>
    <definedName name="stlp2co">#REF!</definedName>
    <definedName name="stlp2name">#REF!</definedName>
    <definedName name="stlp2sal1">#REF!</definedName>
    <definedName name="stlp3">#REF!</definedName>
    <definedName name="stlp30">#REF!</definedName>
    <definedName name="stlp31">#REF!</definedName>
    <definedName name="stlp32">#REF!</definedName>
    <definedName name="stlp33">#REF!</definedName>
    <definedName name="stlp34">#REF!</definedName>
    <definedName name="stlp35">#REF!</definedName>
    <definedName name="stlp36">#REF!</definedName>
    <definedName name="stlp37">#REF!</definedName>
    <definedName name="stlp38">#REF!</definedName>
    <definedName name="stlp39">#REF!</definedName>
    <definedName name="stlp3co">#REF!</definedName>
    <definedName name="stlp3name">#REF!</definedName>
    <definedName name="stlp3sal1">#REF!</definedName>
    <definedName name="stlp4">#REF!</definedName>
    <definedName name="stlp40">#REF!</definedName>
    <definedName name="stlp41">#REF!</definedName>
    <definedName name="stlp42">#REF!</definedName>
    <definedName name="stlp43">#REF!</definedName>
    <definedName name="stlp44">#REF!</definedName>
    <definedName name="stlp45">#REF!</definedName>
    <definedName name="stlp46">#REF!</definedName>
    <definedName name="stlp47">#REF!</definedName>
    <definedName name="stlp48">#REF!</definedName>
    <definedName name="stlp49">#REF!</definedName>
    <definedName name="stlp4co">#REF!</definedName>
    <definedName name="stlp4name">#REF!</definedName>
    <definedName name="stlp4sal1">#REF!</definedName>
    <definedName name="stlp5">#REF!</definedName>
    <definedName name="stlp50">#REF!</definedName>
    <definedName name="stlp51">#REF!</definedName>
    <definedName name="stlp52">#REF!</definedName>
    <definedName name="stlp53">#REF!</definedName>
    <definedName name="stlp54">#REF!</definedName>
    <definedName name="stlp55">#REF!</definedName>
    <definedName name="stlp56">#REF!</definedName>
    <definedName name="stlp57">#REF!</definedName>
    <definedName name="stlp58">#REF!</definedName>
    <definedName name="stlp59">#REF!</definedName>
    <definedName name="stlp5co">#REF!</definedName>
    <definedName name="stlp5name">#REF!</definedName>
    <definedName name="stlp5sal1">#REF!</definedName>
    <definedName name="stlp6">#REF!</definedName>
    <definedName name="stlp60">#REF!</definedName>
    <definedName name="stlp61">#REF!</definedName>
    <definedName name="stlp62">#REF!</definedName>
    <definedName name="stlp63">#REF!</definedName>
    <definedName name="stlp64">#REF!</definedName>
    <definedName name="stlp65">#REF!</definedName>
    <definedName name="stlp66">#REF!</definedName>
    <definedName name="stlp67">#REF!</definedName>
    <definedName name="stlp68">#REF!</definedName>
    <definedName name="stlp69">#REF!</definedName>
    <definedName name="stlp6co">#REF!</definedName>
    <definedName name="stlp6name">#REF!</definedName>
    <definedName name="stlp6sal1">#REF!</definedName>
    <definedName name="stlp7">#REF!</definedName>
    <definedName name="stlp70">#REF!</definedName>
    <definedName name="stlp71">#REF!</definedName>
    <definedName name="stlp72">#REF!</definedName>
    <definedName name="stlp73">#REF!</definedName>
    <definedName name="stlp74">#REF!</definedName>
    <definedName name="stlp75">#REF!</definedName>
    <definedName name="stlp7co">#REF!</definedName>
    <definedName name="stlp7name">#REF!</definedName>
    <definedName name="stlp7sal1">#REF!</definedName>
    <definedName name="stlp8">#REF!</definedName>
    <definedName name="stlp8co">#REF!</definedName>
    <definedName name="stlp8name">#REF!</definedName>
    <definedName name="stlp8sal1">#REF!</definedName>
    <definedName name="stlp9">#REF!</definedName>
    <definedName name="stlp9co">#REF!</definedName>
    <definedName name="stlp9name">#REF!</definedName>
    <definedName name="stlp9sal1">#REF!</definedName>
    <definedName name="stlpco11">#REF!</definedName>
    <definedName name="stlpco12">#REF!</definedName>
    <definedName name="stlpco13">#REF!</definedName>
    <definedName name="stlpco14">#REF!</definedName>
    <definedName name="stlpco15">#REF!</definedName>
    <definedName name="stlpco16">#REF!</definedName>
    <definedName name="stlpco17">#REF!</definedName>
    <definedName name="stlpco18">#REF!</definedName>
    <definedName name="stlpco19">#REF!</definedName>
    <definedName name="stlpco20">#REF!</definedName>
    <definedName name="stlpco21">#REF!</definedName>
    <definedName name="stlpco22">#REF!</definedName>
    <definedName name="stlpco23">#REF!</definedName>
    <definedName name="stlpco24">#REF!</definedName>
    <definedName name="stlpco25">#REF!</definedName>
    <definedName name="stlpco26">#REF!</definedName>
    <definedName name="stlpco27">#REF!</definedName>
    <definedName name="stlpco28">#REF!</definedName>
    <definedName name="stlpco29">#REF!</definedName>
    <definedName name="stlpco30">#REF!</definedName>
    <definedName name="stlpco31">#REF!</definedName>
    <definedName name="stlpco32">#REF!</definedName>
    <definedName name="stlpco33">#REF!</definedName>
    <definedName name="stlpco34">#REF!</definedName>
    <definedName name="stlpco35">#REF!</definedName>
    <definedName name="stlpco36">#REF!</definedName>
    <definedName name="stlpco37">#REF!</definedName>
    <definedName name="stlpco38">#REF!</definedName>
    <definedName name="stlpco39">#REF!</definedName>
    <definedName name="stlpco40">#REF!</definedName>
    <definedName name="stlpco41">#REF!</definedName>
    <definedName name="stlpco42">#REF!</definedName>
    <definedName name="stlpco43">#REF!</definedName>
    <definedName name="stlpco44">#REF!</definedName>
    <definedName name="stlpco45">#REF!</definedName>
    <definedName name="stlpco46">#REF!</definedName>
    <definedName name="stlpco47">#REF!</definedName>
    <definedName name="stlpco48">#REF!</definedName>
    <definedName name="stlpco49">#REF!</definedName>
    <definedName name="stlpco50">#REF!</definedName>
    <definedName name="stlpco51">#REF!</definedName>
    <definedName name="stlpco52">#REF!</definedName>
    <definedName name="stlpco53">#REF!</definedName>
    <definedName name="stlpco54">#REF!</definedName>
    <definedName name="stlpco55">#REF!</definedName>
    <definedName name="stlpco56">#REF!</definedName>
    <definedName name="stlpco57">#REF!</definedName>
    <definedName name="stlpco58">#REF!</definedName>
    <definedName name="stlpco59">#REF!</definedName>
    <definedName name="stlpco60">#REF!</definedName>
    <definedName name="stlpco61">#REF!</definedName>
    <definedName name="stlpco62">#REF!</definedName>
    <definedName name="stlpco63">#REF!</definedName>
    <definedName name="stlpco64">#REF!</definedName>
    <definedName name="stlpco65">#REF!</definedName>
    <definedName name="stlpco66">#REF!</definedName>
    <definedName name="stlpco67">#REF!</definedName>
    <definedName name="stlpco68">#REF!</definedName>
    <definedName name="stlpco69">#REF!</definedName>
    <definedName name="stlpco70">#REF!</definedName>
    <definedName name="stlpco71">#REF!</definedName>
    <definedName name="stlpco72">#REF!</definedName>
    <definedName name="stlpco73">#REF!</definedName>
    <definedName name="stlpco74">#REF!</definedName>
    <definedName name="stlpco75">#REF!</definedName>
    <definedName name="stlpjob1">#REF!</definedName>
    <definedName name="stlpjob10">#REF!</definedName>
    <definedName name="stlpjob11">#REF!</definedName>
    <definedName name="stlpjob12">#REF!</definedName>
    <definedName name="stlpjob13">#REF!</definedName>
    <definedName name="stlpjob14">#REF!</definedName>
    <definedName name="stlpjob15">#REF!</definedName>
    <definedName name="stlpjob16">#REF!</definedName>
    <definedName name="stlpjob17">#REF!</definedName>
    <definedName name="stlpjob18">#REF!</definedName>
    <definedName name="stlpjob19">#REF!</definedName>
    <definedName name="stlpjob2">#REF!</definedName>
    <definedName name="stlpjob20">#REF!</definedName>
    <definedName name="stlpjob21">#REF!</definedName>
    <definedName name="stlpjob22">#REF!</definedName>
    <definedName name="stlpjob23">#REF!</definedName>
    <definedName name="stlpjob24">#REF!</definedName>
    <definedName name="stlpjob25">#REF!</definedName>
    <definedName name="stlpjob26">#REF!</definedName>
    <definedName name="stlpjob27">#REF!</definedName>
    <definedName name="stlpjob28">#REF!</definedName>
    <definedName name="stlpjob29">#REF!</definedName>
    <definedName name="stlpjob3">#REF!</definedName>
    <definedName name="stlpjob30">#REF!</definedName>
    <definedName name="stlpjob31">#REF!</definedName>
    <definedName name="stlpjob32">#REF!</definedName>
    <definedName name="stlpjob33">#REF!</definedName>
    <definedName name="stlpjob34">#REF!</definedName>
    <definedName name="stlpjob35">#REF!</definedName>
    <definedName name="stlpjob36">#REF!</definedName>
    <definedName name="stlpjob37">#REF!</definedName>
    <definedName name="stlpjob38">#REF!</definedName>
    <definedName name="stlpjob39">#REF!</definedName>
    <definedName name="stlpjob4">#REF!</definedName>
    <definedName name="stlpjob40">#REF!</definedName>
    <definedName name="stlpjob41">#REF!</definedName>
    <definedName name="stlpjob42">#REF!</definedName>
    <definedName name="stlpjob43">#REF!</definedName>
    <definedName name="stlpjob44">#REF!</definedName>
    <definedName name="stlpjob45">#REF!</definedName>
    <definedName name="stlpjob46">#REF!</definedName>
    <definedName name="stlpjob47">#REF!</definedName>
    <definedName name="stlpjob48">#REF!</definedName>
    <definedName name="stlpjob49">#REF!</definedName>
    <definedName name="stlpjob5">#REF!</definedName>
    <definedName name="stlpjob50">#REF!</definedName>
    <definedName name="stlpjob51">#REF!</definedName>
    <definedName name="stlpjob52">#REF!</definedName>
    <definedName name="stlpjob53">#REF!</definedName>
    <definedName name="stlpjob54">#REF!</definedName>
    <definedName name="stlpjob55">#REF!</definedName>
    <definedName name="stlpjob56">#REF!</definedName>
    <definedName name="stlpjob57">#REF!</definedName>
    <definedName name="stlpjob58">#REF!</definedName>
    <definedName name="stlpjob59">#REF!</definedName>
    <definedName name="stlpjob6">#REF!</definedName>
    <definedName name="stlpjob60">#REF!</definedName>
    <definedName name="stlpjob61">#REF!</definedName>
    <definedName name="stlpjob62">#REF!</definedName>
    <definedName name="stlpjob63">#REF!</definedName>
    <definedName name="stlpjob64">#REF!</definedName>
    <definedName name="stlpjob65">#REF!</definedName>
    <definedName name="stlpjob66">#REF!</definedName>
    <definedName name="stlpjob67">#REF!</definedName>
    <definedName name="stlpjob68">#REF!</definedName>
    <definedName name="stlpjob69">#REF!</definedName>
    <definedName name="stlpjob7">#REF!</definedName>
    <definedName name="stlpjob70">#REF!</definedName>
    <definedName name="stlpjob71">#REF!</definedName>
    <definedName name="stlpjob72">#REF!</definedName>
    <definedName name="stlpjob73">#REF!</definedName>
    <definedName name="stlpjob74">#REF!</definedName>
    <definedName name="stlpjob75">#REF!</definedName>
    <definedName name="stlpjob8">#REF!</definedName>
    <definedName name="stlpjob9">#REF!</definedName>
    <definedName name="stlpname11">#REF!</definedName>
    <definedName name="stlpname12">#REF!</definedName>
    <definedName name="stlpname13">#REF!</definedName>
    <definedName name="stlpname14">#REF!</definedName>
    <definedName name="stlpname15">#REF!</definedName>
    <definedName name="stlpname16">#REF!</definedName>
    <definedName name="stlpname17">#REF!</definedName>
    <definedName name="stlpname18">#REF!</definedName>
    <definedName name="stlpname19">#REF!</definedName>
    <definedName name="stlpname20">#REF!</definedName>
    <definedName name="stlpname21">#REF!</definedName>
    <definedName name="stlpname22">#REF!</definedName>
    <definedName name="stlpname23">#REF!</definedName>
    <definedName name="stlpname24">#REF!</definedName>
    <definedName name="stlpname25">#REF!</definedName>
    <definedName name="stlpname26">#REF!</definedName>
    <definedName name="stlpname27">#REF!</definedName>
    <definedName name="stlpname28">#REF!</definedName>
    <definedName name="stlpname29">#REF!</definedName>
    <definedName name="stlpname30">#REF!</definedName>
    <definedName name="stlpname31">#REF!</definedName>
    <definedName name="stlpname32">#REF!</definedName>
    <definedName name="stlpname33">#REF!</definedName>
    <definedName name="stlpname34">#REF!</definedName>
    <definedName name="stlpname35">#REF!</definedName>
    <definedName name="stlpname36">#REF!</definedName>
    <definedName name="stlpname37">#REF!</definedName>
    <definedName name="stlpname38">#REF!</definedName>
    <definedName name="stlpname39">#REF!</definedName>
    <definedName name="stlpname40">#REF!</definedName>
    <definedName name="stlpname41">#REF!</definedName>
    <definedName name="stlpname42">#REF!</definedName>
    <definedName name="stlpname43">#REF!</definedName>
    <definedName name="stlpname44">#REF!</definedName>
    <definedName name="stlpname45">#REF!</definedName>
    <definedName name="stlpname46">#REF!</definedName>
    <definedName name="stlpname47">#REF!</definedName>
    <definedName name="stlpname48">#REF!</definedName>
    <definedName name="stlpname49">#REF!</definedName>
    <definedName name="stlpname50">#REF!</definedName>
    <definedName name="stlpname51">#REF!</definedName>
    <definedName name="stlpname52">#REF!</definedName>
    <definedName name="stlpname53">#REF!</definedName>
    <definedName name="stlpname54">#REF!</definedName>
    <definedName name="stlpname55">#REF!</definedName>
    <definedName name="stlpname56">#REF!</definedName>
    <definedName name="stlpname57">#REF!</definedName>
    <definedName name="stlpname58">#REF!</definedName>
    <definedName name="stlpname59">#REF!</definedName>
    <definedName name="stlpname60">#REF!</definedName>
    <definedName name="stlpname61">#REF!</definedName>
    <definedName name="stlpname62">#REF!</definedName>
    <definedName name="stlpname63">#REF!</definedName>
    <definedName name="stlpname64">#REF!</definedName>
    <definedName name="stlpname65">#REF!</definedName>
    <definedName name="stlpname66">#REF!</definedName>
    <definedName name="stlpname67">#REF!</definedName>
    <definedName name="stlpname68">#REF!</definedName>
    <definedName name="stlpname69">#REF!</definedName>
    <definedName name="stlpname70">#REF!</definedName>
    <definedName name="stlpname71">#REF!</definedName>
    <definedName name="stlpname72">#REF!</definedName>
    <definedName name="stlpname73">#REF!</definedName>
    <definedName name="stlpname74">#REF!</definedName>
    <definedName name="stlpname75">#REF!</definedName>
    <definedName name="stlpsal11">#REF!</definedName>
    <definedName name="stlpsal12">#REF!</definedName>
    <definedName name="stlpsal13">#REF!</definedName>
    <definedName name="stlpsal14">#REF!</definedName>
    <definedName name="stlpsal15">#REF!</definedName>
    <definedName name="stlpsal16">#REF!</definedName>
    <definedName name="stlpsal17">#REF!</definedName>
    <definedName name="stlpsal18">#REF!</definedName>
    <definedName name="stlpsal19">#REF!</definedName>
    <definedName name="stlpsal20">#REF!</definedName>
    <definedName name="stlpsal21">#REF!</definedName>
    <definedName name="stlpsal22">#REF!</definedName>
    <definedName name="stlpsal23">#REF!</definedName>
    <definedName name="stlpsal24">#REF!</definedName>
    <definedName name="stlpsal25">#REF!</definedName>
    <definedName name="stlpsal26">#REF!</definedName>
    <definedName name="stlpsal27">#REF!</definedName>
    <definedName name="stlpsal28">#REF!</definedName>
    <definedName name="stlpsal29">#REF!</definedName>
    <definedName name="stlpsal30">#REF!</definedName>
    <definedName name="stlpsal31">#REF!</definedName>
    <definedName name="stlpsal32">#REF!</definedName>
    <definedName name="stlpsal33">#REF!</definedName>
    <definedName name="stlpsal34">#REF!</definedName>
    <definedName name="stlpsal35">#REF!</definedName>
    <definedName name="stlpsal36">#REF!</definedName>
    <definedName name="stlpsal37">#REF!</definedName>
    <definedName name="stlpsal38">#REF!</definedName>
    <definedName name="stlpsal39">#REF!</definedName>
    <definedName name="stlpsal40">#REF!</definedName>
    <definedName name="stlpsal41">#REF!</definedName>
    <definedName name="stlpsal42">#REF!</definedName>
    <definedName name="stlpsal43">#REF!</definedName>
    <definedName name="stlpsal44">#REF!</definedName>
    <definedName name="stlpsal45">#REF!</definedName>
    <definedName name="stlpsal46">#REF!</definedName>
    <definedName name="stlpsal47">#REF!</definedName>
    <definedName name="stlpsal48">#REF!</definedName>
    <definedName name="stlpsal49">#REF!</definedName>
    <definedName name="stlpsal50">#REF!</definedName>
    <definedName name="stlpsal51">#REF!</definedName>
    <definedName name="stlpsal52">#REF!</definedName>
    <definedName name="stlpsal53">#REF!</definedName>
    <definedName name="stlpsal54">#REF!</definedName>
    <definedName name="stlpsal55">#REF!</definedName>
    <definedName name="stlpsal56">#REF!</definedName>
    <definedName name="stlpsal57">#REF!</definedName>
    <definedName name="stlpsal58">#REF!</definedName>
    <definedName name="stlpsal59">#REF!</definedName>
    <definedName name="stlpsal60">#REF!</definedName>
    <definedName name="stlpsal61">#REF!</definedName>
    <definedName name="stlpsal62">#REF!</definedName>
    <definedName name="stlpsal63">#REF!</definedName>
    <definedName name="stlpsal64">#REF!</definedName>
    <definedName name="stlpsal65">#REF!</definedName>
    <definedName name="stlpsal66">#REF!</definedName>
    <definedName name="stlpsal67">#REF!</definedName>
    <definedName name="stlpsal68">#REF!</definedName>
    <definedName name="stlpsal69">#REF!</definedName>
    <definedName name="stlpsal70">#REF!</definedName>
    <definedName name="stlpsal71">#REF!</definedName>
    <definedName name="stlpsal72">#REF!</definedName>
    <definedName name="stlpsal73">#REF!</definedName>
    <definedName name="stlpsal74">#REF!</definedName>
    <definedName name="stlpsal75">#REF!</definedName>
    <definedName name="stmedevac">#REF!</definedName>
    <definedName name="STTA_Accra">#REF!</definedName>
    <definedName name="STTA_Dayspertrip">#REF!</definedName>
    <definedName name="STTA_Field">#REF!</definedName>
    <definedName name="sttaperdiembam">#REF!</definedName>
    <definedName name="sttaperdiemother">#REF!</definedName>
    <definedName name="sttcn">#REF!</definedName>
    <definedName name="sttcn1">#REF!</definedName>
    <definedName name="sttcn10">#REF!</definedName>
    <definedName name="sttcn10co">#REF!</definedName>
    <definedName name="sttcn10name">#REF!</definedName>
    <definedName name="sttcn10sal1">#REF!</definedName>
    <definedName name="sttcn1co">#REF!</definedName>
    <definedName name="sttcn1name">#REF!</definedName>
    <definedName name="sttcn1sal1">#REF!</definedName>
    <definedName name="sttcn2">#REF!</definedName>
    <definedName name="sttcn2co">#REF!</definedName>
    <definedName name="sttcn2name">#REF!</definedName>
    <definedName name="sttcn2sal1">#REF!</definedName>
    <definedName name="sttcn3">#REF!</definedName>
    <definedName name="sttcn3co">#REF!</definedName>
    <definedName name="sttcn3name">#REF!</definedName>
    <definedName name="sttcn3sal1">#REF!</definedName>
    <definedName name="sttcn4">#REF!</definedName>
    <definedName name="sttcn4co">#REF!</definedName>
    <definedName name="sttcn4name">#REF!</definedName>
    <definedName name="sttcn4sal1">#REF!</definedName>
    <definedName name="sttcn5">#REF!</definedName>
    <definedName name="sttcn5co">#REF!</definedName>
    <definedName name="sttcn5name">#REF!</definedName>
    <definedName name="sttcn5sal1">#REF!</definedName>
    <definedName name="sttcn6">#REF!</definedName>
    <definedName name="sttcn6co">#REF!</definedName>
    <definedName name="sttcn6name">#REF!</definedName>
    <definedName name="sttcn6sal1">#REF!</definedName>
    <definedName name="sttcn7">#REF!</definedName>
    <definedName name="sttcn7co">#REF!</definedName>
    <definedName name="sttcn7name">#REF!</definedName>
    <definedName name="sttcn7sal1">#REF!</definedName>
    <definedName name="sttcn8">#REF!</definedName>
    <definedName name="sttcn8co">#REF!</definedName>
    <definedName name="sttcn8name">#REF!</definedName>
    <definedName name="sttcn8sal1">#REF!</definedName>
    <definedName name="sttcn9">#REF!</definedName>
    <definedName name="sttcn9co">#REF!</definedName>
    <definedName name="sttcn9name">#REF!</definedName>
    <definedName name="sttcn9sal1">#REF!</definedName>
    <definedName name="sttcnjob1">#REF!</definedName>
    <definedName name="sttcnjob10">#REF!</definedName>
    <definedName name="sttcnjob2">#REF!</definedName>
    <definedName name="sttcnjob3">#REF!</definedName>
    <definedName name="sttcnjob4">#REF!</definedName>
    <definedName name="sttcnjob5">#REF!</definedName>
    <definedName name="sttcnjob6">#REF!</definedName>
    <definedName name="sttcnjob7">#REF!</definedName>
    <definedName name="sttcnjob8">#REF!</definedName>
    <definedName name="sttcnjob9">#REF!</definedName>
    <definedName name="sttrip">#REF!</definedName>
    <definedName name="Sttripfactor">#REF!</definedName>
    <definedName name="stus">#REF!</definedName>
    <definedName name="stus1">#REF!</definedName>
    <definedName name="stus10">#REF!</definedName>
    <definedName name="stus10co">#REF!</definedName>
    <definedName name="stus10name">#REF!</definedName>
    <definedName name="stus10sal1">#REF!</definedName>
    <definedName name="stus11">#REF!</definedName>
    <definedName name="stus12">#REF!</definedName>
    <definedName name="stus13">#REF!</definedName>
    <definedName name="stus14">#REF!</definedName>
    <definedName name="stus15">#REF!</definedName>
    <definedName name="stus16">#REF!</definedName>
    <definedName name="stus17">#REF!</definedName>
    <definedName name="stus18">#REF!</definedName>
    <definedName name="stus19">#REF!</definedName>
    <definedName name="stus1co">#REF!</definedName>
    <definedName name="stus1name">#REF!</definedName>
    <definedName name="stus1sal1">#REF!</definedName>
    <definedName name="stus2">#REF!</definedName>
    <definedName name="stus20">#REF!</definedName>
    <definedName name="stus21">#REF!</definedName>
    <definedName name="stus22">#REF!</definedName>
    <definedName name="stus23">#REF!</definedName>
    <definedName name="stus24">#REF!</definedName>
    <definedName name="stus25">#REF!</definedName>
    <definedName name="stus26">#REF!</definedName>
    <definedName name="stus27">#REF!</definedName>
    <definedName name="stus28">#REF!</definedName>
    <definedName name="stus29">#REF!</definedName>
    <definedName name="stus2co">#REF!</definedName>
    <definedName name="stus2name">#REF!</definedName>
    <definedName name="stus2sal1">#REF!</definedName>
    <definedName name="stus3">#REF!</definedName>
    <definedName name="stus30">#REF!</definedName>
    <definedName name="stus31">#REF!</definedName>
    <definedName name="stus32">#REF!</definedName>
    <definedName name="stus33">#REF!</definedName>
    <definedName name="stus34">#REF!</definedName>
    <definedName name="stus35">#REF!</definedName>
    <definedName name="stus36">#REF!</definedName>
    <definedName name="stus37">#REF!</definedName>
    <definedName name="stus38">#REF!</definedName>
    <definedName name="stus39">#REF!</definedName>
    <definedName name="stus3co">#REF!</definedName>
    <definedName name="stus3name">#REF!</definedName>
    <definedName name="stus3sal1">#REF!</definedName>
    <definedName name="stus4">#REF!</definedName>
    <definedName name="stus40">#REF!</definedName>
    <definedName name="stus41">#REF!</definedName>
    <definedName name="stus42">#REF!</definedName>
    <definedName name="stus43">#REF!</definedName>
    <definedName name="stus44">#REF!</definedName>
    <definedName name="stus45">#REF!</definedName>
    <definedName name="stus46">#REF!</definedName>
    <definedName name="stus47">#REF!</definedName>
    <definedName name="stus48">#REF!</definedName>
    <definedName name="stus49">#REF!</definedName>
    <definedName name="stus4co">#REF!</definedName>
    <definedName name="stus4name">#REF!</definedName>
    <definedName name="stus4sal1">#REF!</definedName>
    <definedName name="stus5">#REF!</definedName>
    <definedName name="stus50">#REF!</definedName>
    <definedName name="stus51">#REF!</definedName>
    <definedName name="stus52">#REF!</definedName>
    <definedName name="stus53">#REF!</definedName>
    <definedName name="stus54">#REF!</definedName>
    <definedName name="stus55">#REF!</definedName>
    <definedName name="stus56">#REF!</definedName>
    <definedName name="stus57">#REF!</definedName>
    <definedName name="stus58">#REF!</definedName>
    <definedName name="stus59">#REF!</definedName>
    <definedName name="stus5co">#REF!</definedName>
    <definedName name="stus5name">#REF!</definedName>
    <definedName name="stus5sal1">#REF!</definedName>
    <definedName name="stus6">#REF!</definedName>
    <definedName name="stus60">#REF!</definedName>
    <definedName name="stus61">#REF!</definedName>
    <definedName name="stus62">#REF!</definedName>
    <definedName name="stus63">#REF!</definedName>
    <definedName name="stus64">#REF!</definedName>
    <definedName name="stus65">#REF!</definedName>
    <definedName name="stus66">#REF!</definedName>
    <definedName name="stus67">#REF!</definedName>
    <definedName name="stus68">#REF!</definedName>
    <definedName name="stus69">#REF!</definedName>
    <definedName name="stus6co">#REF!</definedName>
    <definedName name="stus6name">#REF!</definedName>
    <definedName name="stus6sal1">#REF!</definedName>
    <definedName name="stus7">#REF!</definedName>
    <definedName name="stus70">#REF!</definedName>
    <definedName name="stus71">#REF!</definedName>
    <definedName name="stus72">#REF!</definedName>
    <definedName name="stus73">#REF!</definedName>
    <definedName name="stus74">#REF!</definedName>
    <definedName name="stus75">#REF!</definedName>
    <definedName name="stus7co">#REF!</definedName>
    <definedName name="stus7name">#REF!</definedName>
    <definedName name="stus7sal1">#REF!</definedName>
    <definedName name="stus8">#REF!</definedName>
    <definedName name="stus8co">#REF!</definedName>
    <definedName name="stus8name">#REF!</definedName>
    <definedName name="stus8sal1">#REF!</definedName>
    <definedName name="stus9">#REF!</definedName>
    <definedName name="stus9co">#REF!</definedName>
    <definedName name="stus9name">#REF!</definedName>
    <definedName name="stus9sal1">#REF!</definedName>
    <definedName name="stusco11">#REF!</definedName>
    <definedName name="stusco12">#REF!</definedName>
    <definedName name="stusco13">#REF!</definedName>
    <definedName name="stusco14">#REF!</definedName>
    <definedName name="stusco15">#REF!</definedName>
    <definedName name="stusco16">#REF!</definedName>
    <definedName name="stusco17">#REF!</definedName>
    <definedName name="stusco18">#REF!</definedName>
    <definedName name="stusco19">#REF!</definedName>
    <definedName name="stusco20">#REF!</definedName>
    <definedName name="stusco21">#REF!</definedName>
    <definedName name="stusco22">#REF!</definedName>
    <definedName name="stusco23">#REF!</definedName>
    <definedName name="stusco24">#REF!</definedName>
    <definedName name="stusco25">#REF!</definedName>
    <definedName name="stusco26">#REF!</definedName>
    <definedName name="stusco27">#REF!</definedName>
    <definedName name="stusco28">#REF!</definedName>
    <definedName name="stusco29">#REF!</definedName>
    <definedName name="stusco30">#REF!</definedName>
    <definedName name="stusco31">#REF!</definedName>
    <definedName name="stusco32">#REF!</definedName>
    <definedName name="stusco33">#REF!</definedName>
    <definedName name="stusco34">#REF!</definedName>
    <definedName name="stusco35">#REF!</definedName>
    <definedName name="stusco36">#REF!</definedName>
    <definedName name="stusco37">#REF!</definedName>
    <definedName name="stusco38">#REF!</definedName>
    <definedName name="stusco39">#REF!</definedName>
    <definedName name="stusco40">#REF!</definedName>
    <definedName name="stusco41">#REF!</definedName>
    <definedName name="stusco42">#REF!</definedName>
    <definedName name="stusco43">#REF!</definedName>
    <definedName name="stusco44">#REF!</definedName>
    <definedName name="stusco45">#REF!</definedName>
    <definedName name="stusco46">#REF!</definedName>
    <definedName name="stusco47">#REF!</definedName>
    <definedName name="stusco48">#REF!</definedName>
    <definedName name="stusco49">#REF!</definedName>
    <definedName name="stusco50">#REF!</definedName>
    <definedName name="stusco51">#REF!</definedName>
    <definedName name="stusco52">#REF!</definedName>
    <definedName name="stusco53">#REF!</definedName>
    <definedName name="stusco54">#REF!</definedName>
    <definedName name="stusco55">#REF!</definedName>
    <definedName name="stusco56">#REF!</definedName>
    <definedName name="stusco57">#REF!</definedName>
    <definedName name="stusco58">#REF!</definedName>
    <definedName name="stusco59">#REF!</definedName>
    <definedName name="stusco60">#REF!</definedName>
    <definedName name="stusco61">#REF!</definedName>
    <definedName name="stusco62">#REF!</definedName>
    <definedName name="stusco63">#REF!</definedName>
    <definedName name="stusco64">#REF!</definedName>
    <definedName name="stusco65">#REF!</definedName>
    <definedName name="stusco66">#REF!</definedName>
    <definedName name="stusco67">#REF!</definedName>
    <definedName name="stusco68">#REF!</definedName>
    <definedName name="stusco69">#REF!</definedName>
    <definedName name="stusco70">#REF!</definedName>
    <definedName name="stusco71">#REF!</definedName>
    <definedName name="stusco72">#REF!</definedName>
    <definedName name="stusco73">#REF!</definedName>
    <definedName name="stusco74">#REF!</definedName>
    <definedName name="stusco75">#REF!</definedName>
    <definedName name="stusjob1">#REF!</definedName>
    <definedName name="stusjob10">#REF!</definedName>
    <definedName name="stusjob11">#REF!</definedName>
    <definedName name="stusjob12">#REF!</definedName>
    <definedName name="stusjob13">#REF!</definedName>
    <definedName name="stusjob14">#REF!</definedName>
    <definedName name="stusjob15">#REF!</definedName>
    <definedName name="stusjob16">#REF!</definedName>
    <definedName name="stusjob17">#REF!</definedName>
    <definedName name="stusjob18">#REF!</definedName>
    <definedName name="stusjob19">#REF!</definedName>
    <definedName name="stusjob2">#REF!</definedName>
    <definedName name="stusjob20">#REF!</definedName>
    <definedName name="stusjob21">#REF!</definedName>
    <definedName name="stusjob22">#REF!</definedName>
    <definedName name="stusjob23">#REF!</definedName>
    <definedName name="stusjob24">#REF!</definedName>
    <definedName name="stusjob25">#REF!</definedName>
    <definedName name="stusjob26">#REF!</definedName>
    <definedName name="stusjob27">#REF!</definedName>
    <definedName name="stusjob28">#REF!</definedName>
    <definedName name="stusjob29">#REF!</definedName>
    <definedName name="stusjob3">#REF!</definedName>
    <definedName name="stusjob30">#REF!</definedName>
    <definedName name="stusjob31">#REF!</definedName>
    <definedName name="stusjob32">#REF!</definedName>
    <definedName name="stusjob33">#REF!</definedName>
    <definedName name="stusjob34">#REF!</definedName>
    <definedName name="stusjob35">#REF!</definedName>
    <definedName name="stusjob36">#REF!</definedName>
    <definedName name="stusjob37">#REF!</definedName>
    <definedName name="stusjob38">#REF!</definedName>
    <definedName name="stusjob39">#REF!</definedName>
    <definedName name="stusjob4">#REF!</definedName>
    <definedName name="stusjob40">#REF!</definedName>
    <definedName name="stusjob41">#REF!</definedName>
    <definedName name="stusjob42">#REF!</definedName>
    <definedName name="stusjob43">#REF!</definedName>
    <definedName name="stusjob44">#REF!</definedName>
    <definedName name="stusjob45">#REF!</definedName>
    <definedName name="stusjob46">#REF!</definedName>
    <definedName name="stusjob47">#REF!</definedName>
    <definedName name="stusjob48">#REF!</definedName>
    <definedName name="stusjob49">#REF!</definedName>
    <definedName name="stusjob5">#REF!</definedName>
    <definedName name="stusjob51">#REF!</definedName>
    <definedName name="stusjob52">#REF!</definedName>
    <definedName name="stusjob53">#REF!</definedName>
    <definedName name="stusjob54">#REF!</definedName>
    <definedName name="stusjob55">#REF!</definedName>
    <definedName name="stusjob56">#REF!</definedName>
    <definedName name="stusjob57">#REF!</definedName>
    <definedName name="stusjob58">#REF!</definedName>
    <definedName name="stusjob59">#REF!</definedName>
    <definedName name="stusjob6">#REF!</definedName>
    <definedName name="stusjob60">#REF!</definedName>
    <definedName name="stusjob61">#REF!</definedName>
    <definedName name="stusjob62">#REF!</definedName>
    <definedName name="stusjob63">#REF!</definedName>
    <definedName name="stusjob64">#REF!</definedName>
    <definedName name="stusjob65">#REF!</definedName>
    <definedName name="stusjob66">#REF!</definedName>
    <definedName name="stusjob67">#REF!</definedName>
    <definedName name="stusjob68">#REF!</definedName>
    <definedName name="stusjob69">#REF!</definedName>
    <definedName name="stusjob7">#REF!</definedName>
    <definedName name="stusjob70">#REF!</definedName>
    <definedName name="stusjob71">#REF!</definedName>
    <definedName name="stusjob72">#REF!</definedName>
    <definedName name="stusjob73">#REF!</definedName>
    <definedName name="stusjob74">#REF!</definedName>
    <definedName name="stusjob75">#REF!</definedName>
    <definedName name="stusjob8">#REF!</definedName>
    <definedName name="stusjob9">#REF!</definedName>
    <definedName name="stusname11">#REF!</definedName>
    <definedName name="stusname12">#REF!</definedName>
    <definedName name="stusname13">#REF!</definedName>
    <definedName name="stusname14">#REF!</definedName>
    <definedName name="stusname15">#REF!</definedName>
    <definedName name="stusname16">#REF!</definedName>
    <definedName name="stusname17">#REF!</definedName>
    <definedName name="stusname18">#REF!</definedName>
    <definedName name="stusname19">#REF!</definedName>
    <definedName name="stusname20">#REF!</definedName>
    <definedName name="stusname21">#REF!</definedName>
    <definedName name="stusname22">#REF!</definedName>
    <definedName name="stusname23">#REF!</definedName>
    <definedName name="stusname24">#REF!</definedName>
    <definedName name="stusname25">#REF!</definedName>
    <definedName name="stusname26">#REF!</definedName>
    <definedName name="stusname27">#REF!</definedName>
    <definedName name="stusname28">#REF!</definedName>
    <definedName name="stusname29">#REF!</definedName>
    <definedName name="stusname30">#REF!</definedName>
    <definedName name="stusname31">#REF!</definedName>
    <definedName name="stusname32">#REF!</definedName>
    <definedName name="stusname33">#REF!</definedName>
    <definedName name="stusname34">#REF!</definedName>
    <definedName name="stusname35">#REF!</definedName>
    <definedName name="stusname36">#REF!</definedName>
    <definedName name="stusname37">#REF!</definedName>
    <definedName name="stusname38">#REF!</definedName>
    <definedName name="stusname39">#REF!</definedName>
    <definedName name="stusname40">#REF!</definedName>
    <definedName name="stusname41">#REF!</definedName>
    <definedName name="stusname42">#REF!</definedName>
    <definedName name="stusname43">#REF!</definedName>
    <definedName name="stusname44">#REF!</definedName>
    <definedName name="stusname45">#REF!</definedName>
    <definedName name="stusname46">#REF!</definedName>
    <definedName name="stusname47">#REF!</definedName>
    <definedName name="stusname48">#REF!</definedName>
    <definedName name="stusname49">#REF!</definedName>
    <definedName name="stusname50">#REF!</definedName>
    <definedName name="stusname51">#REF!</definedName>
    <definedName name="stusname52">#REF!</definedName>
    <definedName name="stusname53">#REF!</definedName>
    <definedName name="stusname54">#REF!</definedName>
    <definedName name="stusname55">#REF!</definedName>
    <definedName name="stusname56">#REF!</definedName>
    <definedName name="stusname57">#REF!</definedName>
    <definedName name="stusname58">#REF!</definedName>
    <definedName name="stusname59">#REF!</definedName>
    <definedName name="stusname60">#REF!</definedName>
    <definedName name="stusname61">#REF!</definedName>
    <definedName name="stusname62">#REF!</definedName>
    <definedName name="stusname63">#REF!</definedName>
    <definedName name="stusname64">#REF!</definedName>
    <definedName name="stusname65">#REF!</definedName>
    <definedName name="stusname66">#REF!</definedName>
    <definedName name="stusname67">#REF!</definedName>
    <definedName name="stusname68">#REF!</definedName>
    <definedName name="stusname69">#REF!</definedName>
    <definedName name="stusname70">#REF!</definedName>
    <definedName name="stusname71">#REF!</definedName>
    <definedName name="stusname72">#REF!</definedName>
    <definedName name="stusname73">#REF!</definedName>
    <definedName name="stusname74">#REF!</definedName>
    <definedName name="stusname75">#REF!</definedName>
    <definedName name="stussal11">#REF!</definedName>
    <definedName name="stussal12">#REF!</definedName>
    <definedName name="stussal13">#REF!</definedName>
    <definedName name="stussal14">#REF!</definedName>
    <definedName name="stussal15">#REF!</definedName>
    <definedName name="stussal16">#REF!</definedName>
    <definedName name="stussal17">#REF!</definedName>
    <definedName name="stussal18">#REF!</definedName>
    <definedName name="stussal19">#REF!</definedName>
    <definedName name="stussal20">#REF!</definedName>
    <definedName name="stussal21">#REF!</definedName>
    <definedName name="stussal22">#REF!</definedName>
    <definedName name="stussal23">#REF!</definedName>
    <definedName name="stussal24">#REF!</definedName>
    <definedName name="stussal25">#REF!</definedName>
    <definedName name="stussal26">#REF!</definedName>
    <definedName name="stussal27">#REF!</definedName>
    <definedName name="stussal28">#REF!</definedName>
    <definedName name="stussal29">#REF!</definedName>
    <definedName name="stussal30">#REF!</definedName>
    <definedName name="stussal31">#REF!</definedName>
    <definedName name="stussal32">#REF!</definedName>
    <definedName name="stussal33">#REF!</definedName>
    <definedName name="stussal34">#REF!</definedName>
    <definedName name="stussal35">#REF!</definedName>
    <definedName name="stussal36">#REF!</definedName>
    <definedName name="stussal37">#REF!</definedName>
    <definedName name="stussal38">#REF!</definedName>
    <definedName name="stussal39">#REF!</definedName>
    <definedName name="stussal40">#REF!</definedName>
    <definedName name="stussal41">#REF!</definedName>
    <definedName name="stussal42">#REF!</definedName>
    <definedName name="stussal43">#REF!</definedName>
    <definedName name="stussal44">#REF!</definedName>
    <definedName name="stussal45">#REF!</definedName>
    <definedName name="stussal46">#REF!</definedName>
    <definedName name="stussal47">#REF!</definedName>
    <definedName name="stussal48">#REF!</definedName>
    <definedName name="stussal49">#REF!</definedName>
    <definedName name="stussal50">#REF!</definedName>
    <definedName name="stussal51">#REF!</definedName>
    <definedName name="stussal52">#REF!</definedName>
    <definedName name="stussal53">#REF!</definedName>
    <definedName name="stussal54">#REF!</definedName>
    <definedName name="stussal55">#REF!</definedName>
    <definedName name="stussal56">#REF!</definedName>
    <definedName name="stussal57">#REF!</definedName>
    <definedName name="stussal58">#REF!</definedName>
    <definedName name="stussal59">#REF!</definedName>
    <definedName name="stussal60">#REF!</definedName>
    <definedName name="stussal61">#REF!</definedName>
    <definedName name="stussal62">#REF!</definedName>
    <definedName name="stussal63">#REF!</definedName>
    <definedName name="stussal64">#REF!</definedName>
    <definedName name="stussal65">#REF!</definedName>
    <definedName name="stussal66">#REF!</definedName>
    <definedName name="stussal67">#REF!</definedName>
    <definedName name="stussal68">#REF!</definedName>
    <definedName name="stussal69">#REF!</definedName>
    <definedName name="stussal70">#REF!</definedName>
    <definedName name="stussal71">#REF!</definedName>
    <definedName name="stussal72">#REF!</definedName>
    <definedName name="stussal73">#REF!</definedName>
    <definedName name="stussal74">#REF!</definedName>
    <definedName name="stussal75">#REF!</definedName>
    <definedName name="Sub">#REF!</definedName>
    <definedName name="sub10fee">#REF!</definedName>
    <definedName name="sub10fringeexp">#REF!</definedName>
    <definedName name="sub10fringeloc">#REF!</definedName>
    <definedName name="sub10ga">#REF!</definedName>
    <definedName name="sub10ohfo">#REF!</definedName>
    <definedName name="sub1name">#REF!</definedName>
    <definedName name="sub2name">#REF!</definedName>
    <definedName name="sub3name">#REF!</definedName>
    <definedName name="sub4name">#REF!</definedName>
    <definedName name="sub5name">#REF!</definedName>
    <definedName name="SUBCONTRACOR_IDs">#REF!</definedName>
    <definedName name="subcontractor">#REF!</definedName>
    <definedName name="subfee">#REF!</definedName>
    <definedName name="subho">#REF!</definedName>
    <definedName name="subho1">#REF!</definedName>
    <definedName name="subho10">#REF!</definedName>
    <definedName name="subho10co">#REF!</definedName>
    <definedName name="subho10name">#REF!</definedName>
    <definedName name="subho10sal1">#REF!</definedName>
    <definedName name="subho1co">#REF!</definedName>
    <definedName name="subho1name">#REF!</definedName>
    <definedName name="subho1sal1">#REF!</definedName>
    <definedName name="subho2">#REF!</definedName>
    <definedName name="subho2co">#REF!</definedName>
    <definedName name="subho2name">#REF!</definedName>
    <definedName name="subho2sal1">#REF!</definedName>
    <definedName name="subho3">#REF!</definedName>
    <definedName name="subho3co">#REF!</definedName>
    <definedName name="subho3name">#REF!</definedName>
    <definedName name="subho3sal1">#REF!</definedName>
    <definedName name="subho4">#REF!</definedName>
    <definedName name="subho4co">#REF!</definedName>
    <definedName name="subho4name">#REF!</definedName>
    <definedName name="subho4sal1">#REF!</definedName>
    <definedName name="subho5">#REF!</definedName>
    <definedName name="subho5co">#REF!</definedName>
    <definedName name="subho5name">#REF!</definedName>
    <definedName name="subho5sal1">#REF!</definedName>
    <definedName name="subho6">#REF!</definedName>
    <definedName name="subho6co">#REF!</definedName>
    <definedName name="subho6name">#REF!</definedName>
    <definedName name="subho6sal1">#REF!</definedName>
    <definedName name="subho7">#REF!</definedName>
    <definedName name="subho7co">#REF!</definedName>
    <definedName name="subho7name">#REF!</definedName>
    <definedName name="subho7sal1">#REF!</definedName>
    <definedName name="subho8">#REF!</definedName>
    <definedName name="subho8co">#REF!</definedName>
    <definedName name="subho8name">#REF!</definedName>
    <definedName name="subho8sal1">#REF!</definedName>
    <definedName name="subho9">#REF!</definedName>
    <definedName name="subho9co">#REF!</definedName>
    <definedName name="subho9name">#REF!</definedName>
    <definedName name="subho9sal1">#REF!</definedName>
    <definedName name="subhojob1">#REF!</definedName>
    <definedName name="subhojob10">#REF!</definedName>
    <definedName name="subhojob2">#REF!</definedName>
    <definedName name="subhojob3">#REF!</definedName>
    <definedName name="subhojob4">#REF!</definedName>
    <definedName name="subhojob5">#REF!</definedName>
    <definedName name="subhojob6">#REF!</definedName>
    <definedName name="subhojob7">#REF!</definedName>
    <definedName name="subhojob8">#REF!</definedName>
    <definedName name="subhojob9">#REF!</definedName>
    <definedName name="submulti">1.09*1.12</definedName>
    <definedName name="subname10">#REF!</definedName>
    <definedName name="subname11">#REF!</definedName>
    <definedName name="subname12">#REF!</definedName>
    <definedName name="subname13">#REF!</definedName>
    <definedName name="subname14">#REF!</definedName>
    <definedName name="subname15">#REF!</definedName>
    <definedName name="subname6">#REF!</definedName>
    <definedName name="subname7">#REF!</definedName>
    <definedName name="subname8">#REF!</definedName>
    <definedName name="subname9">#REF!</definedName>
    <definedName name="SUMMARY">#REF!</definedName>
    <definedName name="SUMSHELL">#REF!</definedName>
    <definedName name="SV">#REF!</definedName>
    <definedName name="tcn">#REF!</definedName>
    <definedName name="TCN_CCN">#REF!</definedName>
    <definedName name="TCN_Fringe">#REF!</definedName>
    <definedName name="tcn10co">#REF!</definedName>
    <definedName name="tcn10name">#REF!</definedName>
    <definedName name="tcn10sal1">#REF!</definedName>
    <definedName name="tcn1co">#REF!</definedName>
    <definedName name="tcn1name">#REF!</definedName>
    <definedName name="tcn1sal1">#REF!</definedName>
    <definedName name="tcn2co">#REF!</definedName>
    <definedName name="tcn2name">#REF!</definedName>
    <definedName name="tcn2sal1">#REF!</definedName>
    <definedName name="tcn3co">#REF!</definedName>
    <definedName name="tcn3name">#REF!</definedName>
    <definedName name="tcn3sal1">#REF!</definedName>
    <definedName name="tcn4co">#REF!</definedName>
    <definedName name="tcn4name">#REF!</definedName>
    <definedName name="tcn4sal1">#REF!</definedName>
    <definedName name="tcn5co">#REF!</definedName>
    <definedName name="tcn5name">#REF!</definedName>
    <definedName name="tcn5sal1">#REF!</definedName>
    <definedName name="tcn6co">#REF!</definedName>
    <definedName name="tcn6name">#REF!</definedName>
    <definedName name="tcn6sal1">#REF!</definedName>
    <definedName name="tcn7co">#REF!</definedName>
    <definedName name="tcn7name">#REF!</definedName>
    <definedName name="tcn7sal1">#REF!</definedName>
    <definedName name="tcn8co">#REF!</definedName>
    <definedName name="tcn8name">#REF!</definedName>
    <definedName name="tcn8sal1">#REF!</definedName>
    <definedName name="tcn9co">#REF!</definedName>
    <definedName name="tcn9name">#REF!</definedName>
    <definedName name="tcn9sal1">#REF!</definedName>
    <definedName name="TCNCCNSTTA_DaysYr1">#REF!</definedName>
    <definedName name="TCNCCNSTTA_DaysYr2">#REF!</definedName>
    <definedName name="TCNCCNSTTA_DaysYr3">#REF!</definedName>
    <definedName name="TCNCCNSTTA_DaysYr4">#REF!</definedName>
    <definedName name="TCNCCNSTTA_DaysYr5">#REF!</definedName>
    <definedName name="tcnjob1">#REF!</definedName>
    <definedName name="tcnjob10">#REF!</definedName>
    <definedName name="tcnjob2">#REF!</definedName>
    <definedName name="tcnjob3">#REF!</definedName>
    <definedName name="tcnjob4">#REF!</definedName>
    <definedName name="tcnjob5">#REF!</definedName>
    <definedName name="tcnjob6">#REF!</definedName>
    <definedName name="tcnjob7">#REF!</definedName>
    <definedName name="tcnjob8">#REF!</definedName>
    <definedName name="tcnjob9">#REF!</definedName>
    <definedName name="Telephone">#REF!</definedName>
    <definedName name="Temp" localSheetId="3" hidden="1">{#N/A,#N/A,FALSE,"ManLoading"}</definedName>
    <definedName name="Temp" localSheetId="4" hidden="1">{#N/A,#N/A,FALSE,"ManLoading"}</definedName>
    <definedName name="Temp" localSheetId="5" hidden="1">{#N/A,#N/A,FALSE,"ManLoading"}</definedName>
    <definedName name="Temp" localSheetId="6" hidden="1">{#N/A,#N/A,FALSE,"ManLoading"}</definedName>
    <definedName name="Temp" localSheetId="2" hidden="1">{#N/A,#N/A,FALSE,"ManLoading"}</definedName>
    <definedName name="Temp" localSheetId="1" hidden="1">{#N/A,#N/A,FALSE,"ManLoading"}</definedName>
    <definedName name="Temp" hidden="1">{#N/A,#N/A,FALSE,"ManLoading"}</definedName>
    <definedName name="Test">#REF!</definedName>
    <definedName name="Title">#REF!</definedName>
    <definedName name="TOPA">#REF!</definedName>
    <definedName name="topost">#REF!</definedName>
    <definedName name="totonicapan">#REF!</definedName>
    <definedName name="Trade11">#REF!</definedName>
    <definedName name="Trade12">#REF!</definedName>
    <definedName name="Trade13">#REF!</definedName>
    <definedName name="Trade41">#REF!</definedName>
    <definedName name="Trade42">#REF!</definedName>
    <definedName name="Trade43">#REF!</definedName>
    <definedName name="Trade51">#REF!</definedName>
    <definedName name="Trade52">#REF!</definedName>
    <definedName name="Trade53">#REF!</definedName>
    <definedName name="Transit">#REF!</definedName>
    <definedName name="TRAVEL">#REF!</definedName>
    <definedName name="traveldays">#REF!</definedName>
    <definedName name="TRG">#N/A</definedName>
    <definedName name="TRIPS">#N/A</definedName>
    <definedName name="TRM">#REF!</definedName>
    <definedName name="trsty" localSheetId="3" hidden="1">{"PAGE1",#N/A,FALSE,"CPFFMSTR";"PAGE2",#N/A,FALSE,"CPFFMSTR"}</definedName>
    <definedName name="trsty" localSheetId="4" hidden="1">{"PAGE1",#N/A,FALSE,"CPFFMSTR";"PAGE2",#N/A,FALSE,"CPFFMSTR"}</definedName>
    <definedName name="trsty" localSheetId="5" hidden="1">{"PAGE1",#N/A,FALSE,"CPFFMSTR";"PAGE2",#N/A,FALSE,"CPFFMSTR"}</definedName>
    <definedName name="trsty" localSheetId="6" hidden="1">{"PAGE1",#N/A,FALSE,"CPFFMSTR";"PAGE2",#N/A,FALSE,"CPFFMSTR"}</definedName>
    <definedName name="trsty" localSheetId="2" hidden="1">{"PAGE1",#N/A,FALSE,"CPFFMSTR";"PAGE2",#N/A,FALSE,"CPFFMSTR"}</definedName>
    <definedName name="trsty" localSheetId="1" hidden="1">{"PAGE1",#N/A,FALSE,"CPFFMSTR";"PAGE2",#N/A,FALSE,"CPFFMSTR"}</definedName>
    <definedName name="trsty" hidden="1">{"PAGE1",#N/A,FALSE,"CPFFMSTR";"PAGE2",#N/A,FALSE,"CPFFMSTR"}</definedName>
    <definedName name="Tulaneclin1">#REF!</definedName>
    <definedName name="tulaneclin2">#REF!</definedName>
    <definedName name="tulaneclin3">#REF!</definedName>
    <definedName name="UFFVA">#N/A</definedName>
    <definedName name="ULAB">#N/A</definedName>
    <definedName name="UNITS">#REF!</definedName>
    <definedName name="Unsure" localSheetId="3" hidden="1">{#N/A,#N/A,FALSE,"ManLoading"}</definedName>
    <definedName name="Unsure" localSheetId="4" hidden="1">{#N/A,#N/A,FALSE,"ManLoading"}</definedName>
    <definedName name="Unsure" localSheetId="5" hidden="1">{#N/A,#N/A,FALSE,"ManLoading"}</definedName>
    <definedName name="Unsure" localSheetId="6" hidden="1">{#N/A,#N/A,FALSE,"ManLoading"}</definedName>
    <definedName name="Unsure" localSheetId="2" hidden="1">{#N/A,#N/A,FALSE,"ManLoading"}</definedName>
    <definedName name="Unsure" hidden="1">{#N/A,#N/A,FALSE,"ManLoading"}</definedName>
    <definedName name="UODC">#N/A</definedName>
    <definedName name="us">#REF!</definedName>
    <definedName name="us10co">#REF!</definedName>
    <definedName name="us10name">#REF!</definedName>
    <definedName name="us10sal1">#REF!</definedName>
    <definedName name="us1co">#REF!</definedName>
    <definedName name="us1name">#REF!</definedName>
    <definedName name="us1sal1">#REF!</definedName>
    <definedName name="us2co">#REF!</definedName>
    <definedName name="us2name">#REF!</definedName>
    <definedName name="us2sal1">#REF!</definedName>
    <definedName name="us3co">#REF!</definedName>
    <definedName name="us3name">#REF!</definedName>
    <definedName name="us3sal1">#REF!</definedName>
    <definedName name="us4co">#REF!</definedName>
    <definedName name="us4name">#REF!</definedName>
    <definedName name="us4sal1">#REF!</definedName>
    <definedName name="us5co">#REF!</definedName>
    <definedName name="us5name">#REF!</definedName>
    <definedName name="us5sal1">#REF!</definedName>
    <definedName name="us6co">#REF!</definedName>
    <definedName name="us6name">#REF!</definedName>
    <definedName name="us6sal1">#REF!</definedName>
    <definedName name="us7co">#REF!</definedName>
    <definedName name="us7name">#REF!</definedName>
    <definedName name="us7sal1">#REF!</definedName>
    <definedName name="us8co">#REF!</definedName>
    <definedName name="us8name">#REF!</definedName>
    <definedName name="us8sal1">#REF!</definedName>
    <definedName name="us9co">#REF!</definedName>
    <definedName name="us9name">#REF!</definedName>
    <definedName name="us9sal1">#REF!</definedName>
    <definedName name="usco11">#REF!</definedName>
    <definedName name="usco12">#REF!</definedName>
    <definedName name="usco13">#REF!</definedName>
    <definedName name="usco14">#REF!</definedName>
    <definedName name="usco15">#REF!</definedName>
    <definedName name="usco16">#REF!</definedName>
    <definedName name="usco17">#REF!</definedName>
    <definedName name="usco18">#REF!</definedName>
    <definedName name="usco19">#REF!</definedName>
    <definedName name="usco20">#REF!</definedName>
    <definedName name="usco21">#REF!</definedName>
    <definedName name="usco22">#REF!</definedName>
    <definedName name="usco23">#REF!</definedName>
    <definedName name="usco24">#REF!</definedName>
    <definedName name="usco25">#REF!</definedName>
    <definedName name="usco26">#REF!</definedName>
    <definedName name="usco27">#REF!</definedName>
    <definedName name="usco28">#REF!</definedName>
    <definedName name="usco29">#REF!</definedName>
    <definedName name="usco30">#REF!</definedName>
    <definedName name="usco31">#REF!</definedName>
    <definedName name="usco32">#REF!</definedName>
    <definedName name="usco33">#REF!</definedName>
    <definedName name="usco34">#REF!</definedName>
    <definedName name="usco35">#REF!</definedName>
    <definedName name="usco36">#REF!</definedName>
    <definedName name="usco37">#REF!</definedName>
    <definedName name="usco38">#REF!</definedName>
    <definedName name="usco39">#REF!</definedName>
    <definedName name="usco40">#REF!</definedName>
    <definedName name="usco41">#REF!</definedName>
    <definedName name="usco42">#REF!</definedName>
    <definedName name="usco43">#REF!</definedName>
    <definedName name="usco44">#REF!</definedName>
    <definedName name="usco45">#REF!</definedName>
    <definedName name="usco46">#REF!</definedName>
    <definedName name="usco47">#REF!</definedName>
    <definedName name="usco48">#REF!</definedName>
    <definedName name="usco49">#REF!</definedName>
    <definedName name="usco50">#REF!</definedName>
    <definedName name="usco51">#REF!</definedName>
    <definedName name="usco52">#REF!</definedName>
    <definedName name="usco53">#REF!</definedName>
    <definedName name="usco54">#REF!</definedName>
    <definedName name="usco55">#REF!</definedName>
    <definedName name="usco56">#REF!</definedName>
    <definedName name="usco57">#REF!</definedName>
    <definedName name="usco58">#REF!</definedName>
    <definedName name="usco59">#REF!</definedName>
    <definedName name="usco60">#REF!</definedName>
    <definedName name="usco61">#REF!</definedName>
    <definedName name="usco62">#REF!</definedName>
    <definedName name="usco63">#REF!</definedName>
    <definedName name="usco64">#REF!</definedName>
    <definedName name="usco65">#REF!</definedName>
    <definedName name="usco66">#REF!</definedName>
    <definedName name="usco67">#REF!</definedName>
    <definedName name="usco68">#REF!</definedName>
    <definedName name="usco69">#REF!</definedName>
    <definedName name="usco70">#REF!</definedName>
    <definedName name="usco71">#REF!</definedName>
    <definedName name="usco72">#REF!</definedName>
    <definedName name="usco73">#REF!</definedName>
    <definedName name="usco74">#REF!</definedName>
    <definedName name="usco75">#REF!</definedName>
    <definedName name="usd">#REF!</definedName>
    <definedName name="usinf">0.035</definedName>
    <definedName name="usjob1">#REF!</definedName>
    <definedName name="usjob10">#REF!</definedName>
    <definedName name="usjob11">#REF!</definedName>
    <definedName name="usjob12">#REF!</definedName>
    <definedName name="usjob13">#REF!</definedName>
    <definedName name="usjob14">#REF!</definedName>
    <definedName name="usjob15">#REF!</definedName>
    <definedName name="usjob16">#REF!</definedName>
    <definedName name="usjob17">#REF!</definedName>
    <definedName name="usjob18">#REF!</definedName>
    <definedName name="usjob19">#REF!</definedName>
    <definedName name="usjob2">#REF!</definedName>
    <definedName name="usjob20">#REF!</definedName>
    <definedName name="usjob21">#REF!</definedName>
    <definedName name="usjob22">#REF!</definedName>
    <definedName name="usjob23">#REF!</definedName>
    <definedName name="usjob24">#REF!</definedName>
    <definedName name="usjob25">#REF!</definedName>
    <definedName name="usjob26">#REF!</definedName>
    <definedName name="usjob27">#REF!</definedName>
    <definedName name="usjob28">#REF!</definedName>
    <definedName name="usjob29">#REF!</definedName>
    <definedName name="usjob3">#REF!</definedName>
    <definedName name="usjob30">#REF!</definedName>
    <definedName name="usjob31">#REF!</definedName>
    <definedName name="usjob32">#REF!</definedName>
    <definedName name="usjob33">#REF!</definedName>
    <definedName name="usjob34">#REF!</definedName>
    <definedName name="usjob35">#REF!</definedName>
    <definedName name="usjob36">#REF!</definedName>
    <definedName name="usjob37">#REF!</definedName>
    <definedName name="usjob38">#REF!</definedName>
    <definedName name="usjob39">#REF!</definedName>
    <definedName name="usjob4">#REF!</definedName>
    <definedName name="usjob40">#REF!</definedName>
    <definedName name="usjob41">#REF!</definedName>
    <definedName name="usjob42">#REF!</definedName>
    <definedName name="usjob43">#REF!</definedName>
    <definedName name="usjob44">#REF!</definedName>
    <definedName name="usjob45">#REF!</definedName>
    <definedName name="usjob46">#REF!</definedName>
    <definedName name="usjob47">#REF!</definedName>
    <definedName name="usjob48">#REF!</definedName>
    <definedName name="usjob49">#REF!</definedName>
    <definedName name="usjob5">#REF!</definedName>
    <definedName name="usjob50">#REF!</definedName>
    <definedName name="usjob51">#REF!</definedName>
    <definedName name="usjob52">#REF!</definedName>
    <definedName name="usjob53">#REF!</definedName>
    <definedName name="usjob54">#REF!</definedName>
    <definedName name="usjob55">#REF!</definedName>
    <definedName name="usjob56">#REF!</definedName>
    <definedName name="usjob57">#REF!</definedName>
    <definedName name="usjob58">#REF!</definedName>
    <definedName name="usjob59">#REF!</definedName>
    <definedName name="usjob6">#REF!</definedName>
    <definedName name="usjob60">#REF!</definedName>
    <definedName name="usjob61">#REF!</definedName>
    <definedName name="usjob62">#REF!</definedName>
    <definedName name="usjob63">#REF!</definedName>
    <definedName name="usjob64">#REF!</definedName>
    <definedName name="usjob65">#REF!</definedName>
    <definedName name="usjob66">#REF!</definedName>
    <definedName name="usjob67">#REF!</definedName>
    <definedName name="usjob68">#REF!</definedName>
    <definedName name="usjob69">#REF!</definedName>
    <definedName name="usjob7">#REF!</definedName>
    <definedName name="usjob70">#REF!</definedName>
    <definedName name="usjob71">#REF!</definedName>
    <definedName name="usjob72">#REF!</definedName>
    <definedName name="usjob73">#REF!</definedName>
    <definedName name="usjob74">#REF!</definedName>
    <definedName name="usjob75">#REF!</definedName>
    <definedName name="usjob8">#REF!</definedName>
    <definedName name="usjob9">#REF!</definedName>
    <definedName name="usname11">#REF!</definedName>
    <definedName name="usname12">#REF!</definedName>
    <definedName name="usname13">#REF!</definedName>
    <definedName name="usname14">#REF!</definedName>
    <definedName name="usname15">#REF!</definedName>
    <definedName name="usname16">#REF!</definedName>
    <definedName name="usname17">#REF!</definedName>
    <definedName name="usname18">#REF!</definedName>
    <definedName name="usname19">#REF!</definedName>
    <definedName name="usname20">#REF!</definedName>
    <definedName name="usname21">#REF!</definedName>
    <definedName name="usname22">#REF!</definedName>
    <definedName name="usname23">#REF!</definedName>
    <definedName name="usname24">#REF!</definedName>
    <definedName name="usname25">#REF!</definedName>
    <definedName name="usname26">#REF!</definedName>
    <definedName name="usname27">#REF!</definedName>
    <definedName name="usname28">#REF!</definedName>
    <definedName name="usname29">#REF!</definedName>
    <definedName name="usname30">#REF!</definedName>
    <definedName name="usname31">#REF!</definedName>
    <definedName name="usname32">#REF!</definedName>
    <definedName name="usname33">#REF!</definedName>
    <definedName name="usname34">#REF!</definedName>
    <definedName name="usname35">#REF!</definedName>
    <definedName name="usname36">#REF!</definedName>
    <definedName name="usname37">#REF!</definedName>
    <definedName name="usname38">#REF!</definedName>
    <definedName name="usname39">#REF!</definedName>
    <definedName name="usname40">#REF!</definedName>
    <definedName name="usname41">#REF!</definedName>
    <definedName name="usname42">#REF!</definedName>
    <definedName name="usname43">#REF!</definedName>
    <definedName name="usname44">#REF!</definedName>
    <definedName name="usname45">#REF!</definedName>
    <definedName name="usname46">#REF!</definedName>
    <definedName name="usname47">#REF!</definedName>
    <definedName name="usname48">#REF!</definedName>
    <definedName name="usname49">#REF!</definedName>
    <definedName name="usname50">#REF!</definedName>
    <definedName name="usname51">#REF!</definedName>
    <definedName name="usname52">#REF!</definedName>
    <definedName name="usname53">#REF!</definedName>
    <definedName name="usname54">#REF!</definedName>
    <definedName name="usname55">#REF!</definedName>
    <definedName name="usname56">#REF!</definedName>
    <definedName name="usname57">#REF!</definedName>
    <definedName name="usname58">#REF!</definedName>
    <definedName name="usname59">#REF!</definedName>
    <definedName name="usname60">#REF!</definedName>
    <definedName name="usname61">#REF!</definedName>
    <definedName name="usname62">#REF!</definedName>
    <definedName name="usname63">#REF!</definedName>
    <definedName name="usname64">#REF!</definedName>
    <definedName name="usname65">#REF!</definedName>
    <definedName name="usname66">#REF!</definedName>
    <definedName name="usname67">#REF!</definedName>
    <definedName name="usname68">#REF!</definedName>
    <definedName name="usname69">#REF!</definedName>
    <definedName name="usname70">#REF!</definedName>
    <definedName name="usname71">#REF!</definedName>
    <definedName name="usname72">#REF!</definedName>
    <definedName name="usname73">#REF!</definedName>
    <definedName name="usname74">#REF!</definedName>
    <definedName name="usname75">#REF!</definedName>
    <definedName name="USperdiem">#REF!</definedName>
    <definedName name="ussal11">#REF!</definedName>
    <definedName name="ussal12">#REF!</definedName>
    <definedName name="ussal13">#REF!</definedName>
    <definedName name="ussal14">#REF!</definedName>
    <definedName name="ussal15">#REF!</definedName>
    <definedName name="ussal16">#REF!</definedName>
    <definedName name="ussal17">#REF!</definedName>
    <definedName name="ussal18">#REF!</definedName>
    <definedName name="ussal19">#REF!</definedName>
    <definedName name="ussal20">#REF!</definedName>
    <definedName name="ussal21">#REF!</definedName>
    <definedName name="ussal22">#REF!</definedName>
    <definedName name="ussal23">#REF!</definedName>
    <definedName name="ussal24">#REF!</definedName>
    <definedName name="ussal25">#REF!</definedName>
    <definedName name="ussal26">#REF!</definedName>
    <definedName name="ussal27">#REF!</definedName>
    <definedName name="ussal28">#REF!</definedName>
    <definedName name="ussal29">#REF!</definedName>
    <definedName name="ussal30">#REF!</definedName>
    <definedName name="ussal31">#REF!</definedName>
    <definedName name="ussal32">#REF!</definedName>
    <definedName name="ussal33">#REF!</definedName>
    <definedName name="ussal34">#REF!</definedName>
    <definedName name="ussal35">#REF!</definedName>
    <definedName name="ussal36">#REF!</definedName>
    <definedName name="ussal37">#REF!</definedName>
    <definedName name="ussal38">#REF!</definedName>
    <definedName name="ussal39">#REF!</definedName>
    <definedName name="ussal40">#REF!</definedName>
    <definedName name="ussal41">#REF!</definedName>
    <definedName name="ussal42">#REF!</definedName>
    <definedName name="ussal43">#REF!</definedName>
    <definedName name="ussal44">#REF!</definedName>
    <definedName name="ussal45">#REF!</definedName>
    <definedName name="ussal46">#REF!</definedName>
    <definedName name="ussal47">#REF!</definedName>
    <definedName name="ussal48">#REF!</definedName>
    <definedName name="ussal49">#REF!</definedName>
    <definedName name="ussal50">#REF!</definedName>
    <definedName name="ussal51">#REF!</definedName>
    <definedName name="ussal52">#REF!</definedName>
    <definedName name="ussal53">#REF!</definedName>
    <definedName name="ussal54">#REF!</definedName>
    <definedName name="ussal55">#REF!</definedName>
    <definedName name="ussal56">#REF!</definedName>
    <definedName name="ussal57">#REF!</definedName>
    <definedName name="ussal58">#REF!</definedName>
    <definedName name="ussal59">#REF!</definedName>
    <definedName name="ussal60">#REF!</definedName>
    <definedName name="ussal61">#REF!</definedName>
    <definedName name="ussal62">#REF!</definedName>
    <definedName name="ussal63">#REF!</definedName>
    <definedName name="ussal64">#REF!</definedName>
    <definedName name="ussal65">#REF!</definedName>
    <definedName name="ussal66">#REF!</definedName>
    <definedName name="ussal67">#REF!</definedName>
    <definedName name="ussal68">#REF!</definedName>
    <definedName name="ussal69">#REF!</definedName>
    <definedName name="ussal70">#REF!</definedName>
    <definedName name="ussal71">#REF!</definedName>
    <definedName name="ussal72">#REF!</definedName>
    <definedName name="ussal73">#REF!</definedName>
    <definedName name="ussal74">#REF!</definedName>
    <definedName name="ussal75">#REF!</definedName>
    <definedName name="ustaxi">#REF!</definedName>
    <definedName name="UTOT">#N/A</definedName>
    <definedName name="Vc_Days">#REF!</definedName>
    <definedName name="WD">#REF!</definedName>
    <definedName name="WDA">#N/A</definedName>
    <definedName name="WERT" localSheetId="3" hidden="1">{"PAGE1",#N/A,FALSE,"CPFFMSTR";"PAGE2",#N/A,FALSE,"CPFFMSTR"}</definedName>
    <definedName name="WERT" localSheetId="4" hidden="1">{"PAGE1",#N/A,FALSE,"CPFFMSTR";"PAGE2",#N/A,FALSE,"CPFFMSTR"}</definedName>
    <definedName name="WERT" localSheetId="5" hidden="1">{"PAGE1",#N/A,FALSE,"CPFFMSTR";"PAGE2",#N/A,FALSE,"CPFFMSTR"}</definedName>
    <definedName name="WERT" localSheetId="6" hidden="1">{"PAGE1",#N/A,FALSE,"CPFFMSTR";"PAGE2",#N/A,FALSE,"CPFFMSTR"}</definedName>
    <definedName name="WERT" localSheetId="2" hidden="1">{"PAGE1",#N/A,FALSE,"CPFFMSTR";"PAGE2",#N/A,FALSE,"CPFFMSTR"}</definedName>
    <definedName name="WERT" localSheetId="1" hidden="1">{"PAGE1",#N/A,FALSE,"CPFFMSTR";"PAGE2",#N/A,FALSE,"CPFFMSTR"}</definedName>
    <definedName name="WERT" hidden="1">{"PAGE1",#N/A,FALSE,"CPFFMSTR";"PAGE2",#N/A,FALSE,"CPFFMSTR"}</definedName>
    <definedName name="Wk_Days">#REF!</definedName>
    <definedName name="workdaysLT">#REF!</definedName>
    <definedName name="workdaysST">#REF!</definedName>
    <definedName name="Works">#REF!</definedName>
    <definedName name="WORKSHEET">#REF!</definedName>
    <definedName name="WORTH">#N/A</definedName>
    <definedName name="wrn.ACC_Cars_125K_Co1." localSheetId="3" hidden="1">{"ACC_Cars_125K_PA",#N/A,FALSE,"ACC Cars Co1 125K ";"ACC_Cars_125K_Prop",#N/A,FALSE,"ACC Cars Co1 125K "}</definedName>
    <definedName name="wrn.ACC_Cars_125K_Co1." localSheetId="4" hidden="1">{"ACC_Cars_125K_PA",#N/A,FALSE,"ACC Cars Co1 125K ";"ACC_Cars_125K_Prop",#N/A,FALSE,"ACC Cars Co1 125K "}</definedName>
    <definedName name="wrn.ACC_Cars_125K_Co1." localSheetId="5" hidden="1">{"ACC_Cars_125K_PA",#N/A,FALSE,"ACC Cars Co1 125K ";"ACC_Cars_125K_Prop",#N/A,FALSE,"ACC Cars Co1 125K "}</definedName>
    <definedName name="wrn.ACC_Cars_125K_Co1." localSheetId="6" hidden="1">{"ACC_Cars_125K_PA",#N/A,FALSE,"ACC Cars Co1 125K ";"ACC_Cars_125K_Prop",#N/A,FALSE,"ACC Cars Co1 125K "}</definedName>
    <definedName name="wrn.ACC_Cars_125K_Co1." localSheetId="2" hidden="1">{"ACC_Cars_125K_PA",#N/A,FALSE,"ACC Cars Co1 125K ";"ACC_Cars_125K_Prop",#N/A,FALSE,"ACC Cars Co1 125K "}</definedName>
    <definedName name="wrn.ACC_Cars_125K_Co1." localSheetId="1" hidden="1">{"ACC_Cars_125K_PA",#N/A,FALSE,"ACC Cars Co1 125K ";"ACC_Cars_125K_Prop",#N/A,FALSE,"ACC Cars Co1 125K "}</definedName>
    <definedName name="wrn.ACC_Cars_125K_Co1." hidden="1">{"ACC_Cars_125K_PA",#N/A,FALSE,"ACC Cars Co1 125K ";"ACC_Cars_125K_Prop",#N/A,FALSE,"ACC Cars Co1 125K "}</definedName>
    <definedName name="wrn.ACC_Cars_400K_Co1." localSheetId="3" hidden="1">{"ACC_Cars_400K_PA",#N/A,FALSE,"ACC Cars Co1 400K";"ACC_Cars_400K_Prop",#N/A,FALSE,"ACC Cars Co1 400K"}</definedName>
    <definedName name="wrn.ACC_Cars_400K_Co1." localSheetId="4" hidden="1">{"ACC_Cars_400K_PA",#N/A,FALSE,"ACC Cars Co1 400K";"ACC_Cars_400K_Prop",#N/A,FALSE,"ACC Cars Co1 400K"}</definedName>
    <definedName name="wrn.ACC_Cars_400K_Co1." localSheetId="5" hidden="1">{"ACC_Cars_400K_PA",#N/A,FALSE,"ACC Cars Co1 400K";"ACC_Cars_400K_Prop",#N/A,FALSE,"ACC Cars Co1 400K"}</definedName>
    <definedName name="wrn.ACC_Cars_400K_Co1." localSheetId="6" hidden="1">{"ACC_Cars_400K_PA",#N/A,FALSE,"ACC Cars Co1 400K";"ACC_Cars_400K_Prop",#N/A,FALSE,"ACC Cars Co1 400K"}</definedName>
    <definedName name="wrn.ACC_Cars_400K_Co1." localSheetId="2" hidden="1">{"ACC_Cars_400K_PA",#N/A,FALSE,"ACC Cars Co1 400K";"ACC_Cars_400K_Prop",#N/A,FALSE,"ACC Cars Co1 400K"}</definedName>
    <definedName name="wrn.ACC_Cars_400K_Co1." localSheetId="1" hidden="1">{"ACC_Cars_400K_PA",#N/A,FALSE,"ACC Cars Co1 400K";"ACC_Cars_400K_Prop",#N/A,FALSE,"ACC Cars Co1 400K"}</definedName>
    <definedName name="wrn.ACC_Cars_400K_Co1." hidden="1">{"ACC_Cars_400K_PA",#N/A,FALSE,"ACC Cars Co1 400K";"ACC_Cars_400K_Prop",#N/A,FALSE,"ACC Cars Co1 400K"}</definedName>
    <definedName name="wrn.ACC_Cars_Travel_125K." localSheetId="3" hidden="1">{"PAGE1",#N/A,FALSE,"ACC_CARS Travel 125K";"PAGE2",#N/A,FALSE,"ACC_CARS Travel 125K"}</definedName>
    <definedName name="wrn.ACC_Cars_Travel_125K." localSheetId="4" hidden="1">{"PAGE1",#N/A,FALSE,"ACC_CARS Travel 125K";"PAGE2",#N/A,FALSE,"ACC_CARS Travel 125K"}</definedName>
    <definedName name="wrn.ACC_Cars_Travel_125K." localSheetId="5" hidden="1">{"PAGE1",#N/A,FALSE,"ACC_CARS Travel 125K";"PAGE2",#N/A,FALSE,"ACC_CARS Travel 125K"}</definedName>
    <definedName name="wrn.ACC_Cars_Travel_125K." localSheetId="6" hidden="1">{"PAGE1",#N/A,FALSE,"ACC_CARS Travel 125K";"PAGE2",#N/A,FALSE,"ACC_CARS Travel 125K"}</definedName>
    <definedName name="wrn.ACC_Cars_Travel_125K." localSheetId="2" hidden="1">{"PAGE1",#N/A,FALSE,"ACC_CARS Travel 125K";"PAGE2",#N/A,FALSE,"ACC_CARS Travel 125K"}</definedName>
    <definedName name="wrn.ACC_Cars_Travel_125K." localSheetId="1" hidden="1">{"PAGE1",#N/A,FALSE,"ACC_CARS Travel 125K";"PAGE2",#N/A,FALSE,"ACC_CARS Travel 125K"}</definedName>
    <definedName name="wrn.ACC_Cars_Travel_125K." hidden="1">{"PAGE1",#N/A,FALSE,"ACC_CARS Travel 125K";"PAGE2",#N/A,FALSE,"ACC_CARS Travel 125K"}</definedName>
    <definedName name="wrn.ACC_CARS_Travel_400K." localSheetId="3" hidden="1">{"Page1",#N/A,FALSE,"ACC_CARS Travel 400K";"Page2",#N/A,FALSE,"ACC_CARS Travel 400K"}</definedName>
    <definedName name="wrn.ACC_CARS_Travel_400K." localSheetId="4" hidden="1">{"Page1",#N/A,FALSE,"ACC_CARS Travel 400K";"Page2",#N/A,FALSE,"ACC_CARS Travel 400K"}</definedName>
    <definedName name="wrn.ACC_CARS_Travel_400K." localSheetId="5" hidden="1">{"Page1",#N/A,FALSE,"ACC_CARS Travel 400K";"Page2",#N/A,FALSE,"ACC_CARS Travel 400K"}</definedName>
    <definedName name="wrn.ACC_CARS_Travel_400K." localSheetId="6" hidden="1">{"Page1",#N/A,FALSE,"ACC_CARS Travel 400K";"Page2",#N/A,FALSE,"ACC_CARS Travel 400K"}</definedName>
    <definedName name="wrn.ACC_CARS_Travel_400K." localSheetId="2" hidden="1">{"Page1",#N/A,FALSE,"ACC_CARS Travel 400K";"Page2",#N/A,FALSE,"ACC_CARS Travel 400K"}</definedName>
    <definedName name="wrn.ACC_CARS_Travel_400K." localSheetId="1" hidden="1">{"Page1",#N/A,FALSE,"ACC_CARS Travel 400K";"Page2",#N/A,FALSE,"ACC_CARS Travel 400K"}</definedName>
    <definedName name="wrn.ACC_CARS_Travel_400K." hidden="1">{"Page1",#N/A,FALSE,"ACC_CARS Travel 400K";"Page2",#N/A,FALSE,"ACC_CARS Travel 400K"}</definedName>
    <definedName name="wrn.All._.Grant._.Forms." localSheetId="3" hidden="1">{"Form DD",#N/A,FALSE,"DD";"EE",#N/A,FALSE,"EE";"Indirects",#N/A,FALSE,"DD"}</definedName>
    <definedName name="wrn.All._.Grant._.Forms." localSheetId="4" hidden="1">{"Form DD",#N/A,FALSE,"DD";"EE",#N/A,FALSE,"EE";"Indirects",#N/A,FALSE,"DD"}</definedName>
    <definedName name="wrn.All._.Grant._.Forms." localSheetId="5" hidden="1">{"Form DD",#N/A,FALSE,"DD";"EE",#N/A,FALSE,"EE";"Indirects",#N/A,FALSE,"DD"}</definedName>
    <definedName name="wrn.All._.Grant._.Forms." localSheetId="6" hidden="1">{"Form DD",#N/A,FALSE,"DD";"EE",#N/A,FALSE,"EE";"Indirects",#N/A,FALSE,"DD"}</definedName>
    <definedName name="wrn.All._.Grant._.Forms." localSheetId="2" hidden="1">{"Form DD",#N/A,FALSE,"DD";"EE",#N/A,FALSE,"EE";"Indirects",#N/A,FALSE,"DD"}</definedName>
    <definedName name="wrn.All._.Grant._.Forms." localSheetId="1" hidden="1">{"Form DD",#N/A,FALSE,"DD";"EE",#N/A,FALSE,"EE";"Indirects",#N/A,FALSE,"DD"}</definedName>
    <definedName name="wrn.All._.Grant._.Forms." hidden="1">{"Form DD",#N/A,FALSE,"DD";"EE",#N/A,FALSE,"EE";"Indirects",#N/A,FALSE,"DD"}</definedName>
    <definedName name="wrn.BACKUP." localSheetId="3" hidden="1">{"actuals_1",#N/A,FALSE,"CO 1 YRS";"burden_1",#N/A,FALSE,"CO 1 YRS";"input",#N/A,FALSE,"INPUT"}</definedName>
    <definedName name="wrn.BACKUP." localSheetId="4" hidden="1">{"actuals_1",#N/A,FALSE,"CO 1 YRS";"burden_1",#N/A,FALSE,"CO 1 YRS";"input",#N/A,FALSE,"INPUT"}</definedName>
    <definedName name="wrn.BACKUP." localSheetId="5" hidden="1">{"actuals_1",#N/A,FALSE,"CO 1 YRS";"burden_1",#N/A,FALSE,"CO 1 YRS";"input",#N/A,FALSE,"INPUT"}</definedName>
    <definedName name="wrn.BACKUP." localSheetId="6" hidden="1">{"actuals_1",#N/A,FALSE,"CO 1 YRS";"burden_1",#N/A,FALSE,"CO 1 YRS";"input",#N/A,FALSE,"INPUT"}</definedName>
    <definedName name="wrn.BACKUP." localSheetId="2" hidden="1">{"actuals_1",#N/A,FALSE,"CO 1 YRS";"burden_1",#N/A,FALSE,"CO 1 YRS";"input",#N/A,FALSE,"INPUT"}</definedName>
    <definedName name="wrn.BACKUP." localSheetId="1" hidden="1">{"actuals_1",#N/A,FALSE,"CO 1 YRS";"burden_1",#N/A,FALSE,"CO 1 YRS";"input",#N/A,FALSE,"INPUT"}</definedName>
    <definedName name="wrn.BACKUP." hidden="1">{"actuals_1",#N/A,FALSE,"CO 1 YRS";"burden_1",#N/A,FALSE,"CO 1 YRS";"input",#N/A,FALSE,"INPUT"}</definedName>
    <definedName name="wrn.BTables." localSheetId="3" hidden="1">{#N/A,#N/A,FALSE,"Proposal"}</definedName>
    <definedName name="wrn.BTables." localSheetId="4" hidden="1">{#N/A,#N/A,FALSE,"Proposal"}</definedName>
    <definedName name="wrn.BTables." localSheetId="5" hidden="1">{#N/A,#N/A,FALSE,"Proposal"}</definedName>
    <definedName name="wrn.BTables." localSheetId="6" hidden="1">{#N/A,#N/A,FALSE,"Proposal"}</definedName>
    <definedName name="wrn.BTables." localSheetId="2" hidden="1">{#N/A,#N/A,FALSE,"Proposal"}</definedName>
    <definedName name="wrn.BTables." hidden="1">{#N/A,#N/A,FALSE,"Proposal"}</definedName>
    <definedName name="wrn.CCB_JDISS." localSheetId="3" hidden="1">{"Pre_CCB",#N/A,FALSE,"Pre CCB Pkg ";"CCB_Memb_Notbk",#N/A,FALSE,"CCB_Memb_Notebk";"CCB_Handouts",#N/A,FALSE,"Handouts";"JDISS_Brochure",#N/A,FALSE,"JDISS_Brochure";"JDISS_Minutes",#N/A,FALSE,"JDISS_Minutes";"Total_JDISS",#N/A,FALSE,"Total JDISS"}</definedName>
    <definedName name="wrn.CCB_JDISS." localSheetId="4" hidden="1">{"Pre_CCB",#N/A,FALSE,"Pre CCB Pkg ";"CCB_Memb_Notbk",#N/A,FALSE,"CCB_Memb_Notebk";"CCB_Handouts",#N/A,FALSE,"Handouts";"JDISS_Brochure",#N/A,FALSE,"JDISS_Brochure";"JDISS_Minutes",#N/A,FALSE,"JDISS_Minutes";"Total_JDISS",#N/A,FALSE,"Total JDISS"}</definedName>
    <definedName name="wrn.CCB_JDISS." localSheetId="5" hidden="1">{"Pre_CCB",#N/A,FALSE,"Pre CCB Pkg ";"CCB_Memb_Notbk",#N/A,FALSE,"CCB_Memb_Notebk";"CCB_Handouts",#N/A,FALSE,"Handouts";"JDISS_Brochure",#N/A,FALSE,"JDISS_Brochure";"JDISS_Minutes",#N/A,FALSE,"JDISS_Minutes";"Total_JDISS",#N/A,FALSE,"Total JDISS"}</definedName>
    <definedName name="wrn.CCB_JDISS." localSheetId="6" hidden="1">{"Pre_CCB",#N/A,FALSE,"Pre CCB Pkg ";"CCB_Memb_Notbk",#N/A,FALSE,"CCB_Memb_Notebk";"CCB_Handouts",#N/A,FALSE,"Handouts";"JDISS_Brochure",#N/A,FALSE,"JDISS_Brochure";"JDISS_Minutes",#N/A,FALSE,"JDISS_Minutes";"Total_JDISS",#N/A,FALSE,"Total JDISS"}</definedName>
    <definedName name="wrn.CCB_JDISS." localSheetId="2" hidden="1">{"Pre_CCB",#N/A,FALSE,"Pre CCB Pkg ";"CCB_Memb_Notbk",#N/A,FALSE,"CCB_Memb_Notebk";"CCB_Handouts",#N/A,FALSE,"Handouts";"JDISS_Brochure",#N/A,FALSE,"JDISS_Brochure";"JDISS_Minutes",#N/A,FALSE,"JDISS_Minutes";"Total_JDISS",#N/A,FALSE,"Total JDISS"}</definedName>
    <definedName name="wrn.CCB_JDISS." localSheetId="1" hidden="1">{"Pre_CCB",#N/A,FALSE,"Pre CCB Pkg ";"CCB_Memb_Notbk",#N/A,FALSE,"CCB_Memb_Notebk";"CCB_Handouts",#N/A,FALSE,"Handouts";"JDISS_Brochure",#N/A,FALSE,"JDISS_Brochure";"JDISS_Minutes",#N/A,FALSE,"JDISS_Minutes";"Total_JDISS",#N/A,FALSE,"Total JDISS"}</definedName>
    <definedName name="wrn.CCB_JDISS." hidden="1">{"Pre_CCB",#N/A,FALSE,"Pre CCB Pkg ";"CCB_Memb_Notbk",#N/A,FALSE,"CCB_Memb_Notebk";"CCB_Handouts",#N/A,FALSE,"Handouts";"JDISS_Brochure",#N/A,FALSE,"JDISS_Brochure";"JDISS_Minutes",#N/A,FALSE,"JDISS_Minutes";"Total_JDISS",#N/A,FALSE,"Total JDISS"}</definedName>
    <definedName name="wrn.Dolan_Co1." localSheetId="3" hidden="1">{"DolanCo1_PA",#N/A,FALSE,"Tina Dolan";"DolanCo1_Prop",#N/A,FALSE,"Tina Dolan"}</definedName>
    <definedName name="wrn.Dolan_Co1." localSheetId="4" hidden="1">{"DolanCo1_PA",#N/A,FALSE,"Tina Dolan";"DolanCo1_Prop",#N/A,FALSE,"Tina Dolan"}</definedName>
    <definedName name="wrn.Dolan_Co1." localSheetId="5" hidden="1">{"DolanCo1_PA",#N/A,FALSE,"Tina Dolan";"DolanCo1_Prop",#N/A,FALSE,"Tina Dolan"}</definedName>
    <definedName name="wrn.Dolan_Co1." localSheetId="6" hidden="1">{"DolanCo1_PA",#N/A,FALSE,"Tina Dolan";"DolanCo1_Prop",#N/A,FALSE,"Tina Dolan"}</definedName>
    <definedName name="wrn.Dolan_Co1." localSheetId="2" hidden="1">{"DolanCo1_PA",#N/A,FALSE,"Tina Dolan";"DolanCo1_Prop",#N/A,FALSE,"Tina Dolan"}</definedName>
    <definedName name="wrn.Dolan_Co1." localSheetId="1" hidden="1">{"DolanCo1_PA",#N/A,FALSE,"Tina Dolan";"DolanCo1_Prop",#N/A,FALSE,"Tina Dolan"}</definedName>
    <definedName name="wrn.Dolan_Co1." hidden="1">{"DolanCo1_PA",#N/A,FALSE,"Tina Dolan";"DolanCo1_Prop",#N/A,FALSE,"Tina Dolan"}</definedName>
    <definedName name="wrn.Ebron_350K." localSheetId="3" hidden="1">{"Prop_350K",#N/A,FALSE,"Ebron-350K";"PA_350K",#N/A,FALSE,"Ebron-350K";"Ebron350KTrvl",#N/A,FALSE,"Ebrons Travel 350k"}</definedName>
    <definedName name="wrn.Ebron_350K." localSheetId="4" hidden="1">{"Prop_350K",#N/A,FALSE,"Ebron-350K";"PA_350K",#N/A,FALSE,"Ebron-350K";"Ebron350KTrvl",#N/A,FALSE,"Ebrons Travel 350k"}</definedName>
    <definedName name="wrn.Ebron_350K." localSheetId="5" hidden="1">{"Prop_350K",#N/A,FALSE,"Ebron-350K";"PA_350K",#N/A,FALSE,"Ebron-350K";"Ebron350KTrvl",#N/A,FALSE,"Ebrons Travel 350k"}</definedName>
    <definedName name="wrn.Ebron_350K." localSheetId="6" hidden="1">{"Prop_350K",#N/A,FALSE,"Ebron-350K";"PA_350K",#N/A,FALSE,"Ebron-350K";"Ebron350KTrvl",#N/A,FALSE,"Ebrons Travel 350k"}</definedName>
    <definedName name="wrn.Ebron_350K." localSheetId="2" hidden="1">{"Prop_350K",#N/A,FALSE,"Ebron-350K";"PA_350K",#N/A,FALSE,"Ebron-350K";"Ebron350KTrvl",#N/A,FALSE,"Ebrons Travel 350k"}</definedName>
    <definedName name="wrn.Ebron_350K." localSheetId="1" hidden="1">{"Prop_350K",#N/A,FALSE,"Ebron-350K";"PA_350K",#N/A,FALSE,"Ebron-350K";"Ebron350KTrvl",#N/A,FALSE,"Ebrons Travel 350k"}</definedName>
    <definedName name="wrn.Ebron_350K." hidden="1">{"Prop_350K",#N/A,FALSE,"Ebron-350K";"PA_350K",#N/A,FALSE,"Ebron-350K";"Ebron350KTrvl",#N/A,FALSE,"Ebrons Travel 350k"}</definedName>
    <definedName name="wrn.Ebron_Co1." localSheetId="3" hidden="1">{"EbronCo1_PA",#N/A,FALSE,"Ebrons Task Co1";"EbronCo1_Prop",#N/A,FALSE,"Ebrons Task Co1";"Ebron316KTrvl",#N/A,FALSE,"Ebrons Travel 316k"}</definedName>
    <definedName name="wrn.Ebron_Co1." localSheetId="4" hidden="1">{"EbronCo1_PA",#N/A,FALSE,"Ebrons Task Co1";"EbronCo1_Prop",#N/A,FALSE,"Ebrons Task Co1";"Ebron316KTrvl",#N/A,FALSE,"Ebrons Travel 316k"}</definedName>
    <definedName name="wrn.Ebron_Co1." localSheetId="5" hidden="1">{"EbronCo1_PA",#N/A,FALSE,"Ebrons Task Co1";"EbronCo1_Prop",#N/A,FALSE,"Ebrons Task Co1";"Ebron316KTrvl",#N/A,FALSE,"Ebrons Travel 316k"}</definedName>
    <definedName name="wrn.Ebron_Co1." localSheetId="6" hidden="1">{"EbronCo1_PA",#N/A,FALSE,"Ebrons Task Co1";"EbronCo1_Prop",#N/A,FALSE,"Ebrons Task Co1";"Ebron316KTrvl",#N/A,FALSE,"Ebrons Travel 316k"}</definedName>
    <definedName name="wrn.Ebron_Co1." localSheetId="2" hidden="1">{"EbronCo1_PA",#N/A,FALSE,"Ebrons Task Co1";"EbronCo1_Prop",#N/A,FALSE,"Ebrons Task Co1";"Ebron316KTrvl",#N/A,FALSE,"Ebrons Travel 316k"}</definedName>
    <definedName name="wrn.Ebron_Co1." localSheetId="1" hidden="1">{"EbronCo1_PA",#N/A,FALSE,"Ebrons Task Co1";"EbronCo1_Prop",#N/A,FALSE,"Ebrons Task Co1";"Ebron316KTrvl",#N/A,FALSE,"Ebrons Travel 316k"}</definedName>
    <definedName name="wrn.Ebron_Co1." hidden="1">{"EbronCo1_PA",#N/A,FALSE,"Ebrons Task Co1";"EbronCo1_Prop",#N/A,FALSE,"Ebrons Task Co1";"Ebron316KTrvl",#N/A,FALSE,"Ebrons Travel 316k"}</definedName>
    <definedName name="wrn.Ebron_Co5." localSheetId="3" hidden="1">{"EbronCo5_PA",#N/A,FALSE,"Ebrons Task Co5";"EbronCo5_Prop",#N/A,FALSE,"Ebrons Task Co5"}</definedName>
    <definedName name="wrn.Ebron_Co5." localSheetId="4" hidden="1">{"EbronCo5_PA",#N/A,FALSE,"Ebrons Task Co5";"EbronCo5_Prop",#N/A,FALSE,"Ebrons Task Co5"}</definedName>
    <definedName name="wrn.Ebron_Co5." localSheetId="5" hidden="1">{"EbronCo5_PA",#N/A,FALSE,"Ebrons Task Co5";"EbronCo5_Prop",#N/A,FALSE,"Ebrons Task Co5"}</definedName>
    <definedName name="wrn.Ebron_Co5." localSheetId="6" hidden="1">{"EbronCo5_PA",#N/A,FALSE,"Ebrons Task Co5";"EbronCo5_Prop",#N/A,FALSE,"Ebrons Task Co5"}</definedName>
    <definedName name="wrn.Ebron_Co5." localSheetId="2" hidden="1">{"EbronCo5_PA",#N/A,FALSE,"Ebrons Task Co5";"EbronCo5_Prop",#N/A,FALSE,"Ebrons Task Co5"}</definedName>
    <definedName name="wrn.Ebron_Co5." localSheetId="1" hidden="1">{"EbronCo5_PA",#N/A,FALSE,"Ebrons Task Co5";"EbronCo5_Prop",#N/A,FALSE,"Ebrons Task Co5"}</definedName>
    <definedName name="wrn.Ebron_Co5." hidden="1">{"EbronCo5_PA",#N/A,FALSE,"Ebrons Task Co5";"EbronCo5_Prop",#N/A,FALSE,"Ebrons Task Co5"}</definedName>
    <definedName name="wrn.INVOICE." localSheetId="3" hidden="1">{"SF1034",#N/A,FALSE,"SF1034";"PAGE1",#N/A,FALSE,"SF1035-CO1-PG1";"PAGE2",#N/A,FALSE,"SF1035-CO1-PG2"}</definedName>
    <definedName name="wrn.INVOICE." localSheetId="4" hidden="1">{"SF1034",#N/A,FALSE,"SF1034";"PAGE1",#N/A,FALSE,"SF1035-CO1-PG1";"PAGE2",#N/A,FALSE,"SF1035-CO1-PG2"}</definedName>
    <definedName name="wrn.INVOICE." localSheetId="5" hidden="1">{"SF1034",#N/A,FALSE,"SF1034";"PAGE1",#N/A,FALSE,"SF1035-CO1-PG1";"PAGE2",#N/A,FALSE,"SF1035-CO1-PG2"}</definedName>
    <definedName name="wrn.INVOICE." localSheetId="6" hidden="1">{"SF1034",#N/A,FALSE,"SF1034";"PAGE1",#N/A,FALSE,"SF1035-CO1-PG1";"PAGE2",#N/A,FALSE,"SF1035-CO1-PG2"}</definedName>
    <definedName name="wrn.INVOICE." localSheetId="2" hidden="1">{"SF1034",#N/A,FALSE,"SF1034";"PAGE1",#N/A,FALSE,"SF1035-CO1-PG1";"PAGE2",#N/A,FALSE,"SF1035-CO1-PG2"}</definedName>
    <definedName name="wrn.INVOICE." localSheetId="1" hidden="1">{"SF1034",#N/A,FALSE,"SF1034";"PAGE1",#N/A,FALSE,"SF1035-CO1-PG1";"PAGE2",#N/A,FALSE,"SF1035-CO1-PG2"}</definedName>
    <definedName name="wrn.INVOICE." hidden="1">{"SF1034",#N/A,FALSE,"SF1034";"PAGE1",#N/A,FALSE,"SF1035-CO1-PG1";"PAGE2",#N/A,FALSE,"SF1035-CO1-PG2"}</definedName>
    <definedName name="wrn.JDISS_Co1." localSheetId="3" hidden="1">{"JDISS_Co1",#N/A,FALSE,"JDISS_Co1";"JDISSCo1_PA",#N/A,FALSE,"JDISS_Co1"}</definedName>
    <definedName name="wrn.JDISS_Co1." localSheetId="4" hidden="1">{"JDISS_Co1",#N/A,FALSE,"JDISS_Co1";"JDISSCo1_PA",#N/A,FALSE,"JDISS_Co1"}</definedName>
    <definedName name="wrn.JDISS_Co1." localSheetId="5" hidden="1">{"JDISS_Co1",#N/A,FALSE,"JDISS_Co1";"JDISSCo1_PA",#N/A,FALSE,"JDISS_Co1"}</definedName>
    <definedName name="wrn.JDISS_Co1." localSheetId="6" hidden="1">{"JDISS_Co1",#N/A,FALSE,"JDISS_Co1";"JDISSCo1_PA",#N/A,FALSE,"JDISS_Co1"}</definedName>
    <definedName name="wrn.JDISS_Co1." localSheetId="2" hidden="1">{"JDISS_Co1",#N/A,FALSE,"JDISS_Co1";"JDISSCo1_PA",#N/A,FALSE,"JDISS_Co1"}</definedName>
    <definedName name="wrn.JDISS_Co1." localSheetId="1" hidden="1">{"JDISS_Co1",#N/A,FALSE,"JDISS_Co1";"JDISSCo1_PA",#N/A,FALSE,"JDISS_Co1"}</definedName>
    <definedName name="wrn.JDISS_Co1." hidden="1">{"JDISS_Co1",#N/A,FALSE,"JDISS_Co1";"JDISSCo1_PA",#N/A,FALSE,"JDISS_Co1"}</definedName>
    <definedName name="wrn.Man._.Loading._.Sheet." localSheetId="3" hidden="1">{#N/A,#N/A,FALSE,"ManLoading"}</definedName>
    <definedName name="wrn.Man._.Loading._.Sheet." localSheetId="4" hidden="1">{#N/A,#N/A,FALSE,"ManLoading"}</definedName>
    <definedName name="wrn.Man._.Loading._.Sheet." localSheetId="5" hidden="1">{#N/A,#N/A,FALSE,"ManLoading"}</definedName>
    <definedName name="wrn.Man._.Loading._.Sheet." localSheetId="6" hidden="1">{#N/A,#N/A,FALSE,"ManLoading"}</definedName>
    <definedName name="wrn.Man._.Loading._.Sheet." localSheetId="2" hidden="1">{#N/A,#N/A,FALSE,"ManLoading"}</definedName>
    <definedName name="wrn.Man._.Loading._.Sheet." localSheetId="1" hidden="1">{#N/A,#N/A,FALSE,"ManLoading"}</definedName>
    <definedName name="wrn.Man._.Loading._.Sheet." hidden="1">{#N/A,#N/A,FALSE,"ManLoading"}</definedName>
    <definedName name="wrn.Pearson_Co1." localSheetId="3" hidden="1">{"PearsonCo1_Prop",#N/A,FALSE,"Pearsons Task Co1";"PearsonCo1_PA",#N/A,FALSE,"Pearsons Task Co1"}</definedName>
    <definedName name="wrn.Pearson_Co1." localSheetId="4" hidden="1">{"PearsonCo1_Prop",#N/A,FALSE,"Pearsons Task Co1";"PearsonCo1_PA",#N/A,FALSE,"Pearsons Task Co1"}</definedName>
    <definedName name="wrn.Pearson_Co1." localSheetId="5" hidden="1">{"PearsonCo1_Prop",#N/A,FALSE,"Pearsons Task Co1";"PearsonCo1_PA",#N/A,FALSE,"Pearsons Task Co1"}</definedName>
    <definedName name="wrn.Pearson_Co1." localSheetId="6" hidden="1">{"PearsonCo1_Prop",#N/A,FALSE,"Pearsons Task Co1";"PearsonCo1_PA",#N/A,FALSE,"Pearsons Task Co1"}</definedName>
    <definedName name="wrn.Pearson_Co1." localSheetId="2" hidden="1">{"PearsonCo1_Prop",#N/A,FALSE,"Pearsons Task Co1";"PearsonCo1_PA",#N/A,FALSE,"Pearsons Task Co1"}</definedName>
    <definedName name="wrn.Pearson_Co1." localSheetId="1" hidden="1">{"PearsonCo1_Prop",#N/A,FALSE,"Pearsons Task Co1";"PearsonCo1_PA",#N/A,FALSE,"Pearsons Task Co1"}</definedName>
    <definedName name="wrn.Pearson_Co1." hidden="1">{"PearsonCo1_Prop",#N/A,FALSE,"Pearsons Task Co1";"PearsonCo1_PA",#N/A,FALSE,"Pearsons Task Co1"}</definedName>
    <definedName name="wrn.Pearson_Co5." localSheetId="3" hidden="1">{"PearsonCo5_Prop",#N/A,FALSE,"Pearsons Task Co5";"PearsonCo5_PA",#N/A,FALSE,"Pearsons Task Co5"}</definedName>
    <definedName name="wrn.Pearson_Co5." localSheetId="4" hidden="1">{"PearsonCo5_Prop",#N/A,FALSE,"Pearsons Task Co5";"PearsonCo5_PA",#N/A,FALSE,"Pearsons Task Co5"}</definedName>
    <definedName name="wrn.Pearson_Co5." localSheetId="5" hidden="1">{"PearsonCo5_Prop",#N/A,FALSE,"Pearsons Task Co5";"PearsonCo5_PA",#N/A,FALSE,"Pearsons Task Co5"}</definedName>
    <definedName name="wrn.Pearson_Co5." localSheetId="6" hidden="1">{"PearsonCo5_Prop",#N/A,FALSE,"Pearsons Task Co5";"PearsonCo5_PA",#N/A,FALSE,"Pearsons Task Co5"}</definedName>
    <definedName name="wrn.Pearson_Co5." localSheetId="2" hidden="1">{"PearsonCo5_Prop",#N/A,FALSE,"Pearsons Task Co5";"PearsonCo5_PA",#N/A,FALSE,"Pearsons Task Co5"}</definedName>
    <definedName name="wrn.Pearson_Co5." localSheetId="1" hidden="1">{"PearsonCo5_Prop",#N/A,FALSE,"Pearsons Task Co5";"PearsonCo5_PA",#N/A,FALSE,"Pearsons Task Co5"}</definedName>
    <definedName name="wrn.Pearson_Co5." hidden="1">{"PearsonCo5_Prop",#N/A,FALSE,"Pearsons Task Co5";"PearsonCo5_PA",#N/A,FALSE,"Pearsons Task Co5"}</definedName>
    <definedName name="wrn.price." localSheetId="3" hidden="1">{"PAGE1",#N/A,FALSE,"CPFFMSTR";"PAGE2",#N/A,FALSE,"CPFFMSTR"}</definedName>
    <definedName name="wrn.price." localSheetId="4" hidden="1">{"PAGE1",#N/A,FALSE,"CPFFMSTR";"PAGE2",#N/A,FALSE,"CPFFMSTR"}</definedName>
    <definedName name="wrn.price." localSheetId="5" hidden="1">{"PAGE1",#N/A,FALSE,"CPFFMSTR";"PAGE2",#N/A,FALSE,"CPFFMSTR"}</definedName>
    <definedName name="wrn.price." localSheetId="6" hidden="1">{"PAGE1",#N/A,FALSE,"CPFFMSTR";"PAGE2",#N/A,FALSE,"CPFFMSTR"}</definedName>
    <definedName name="wrn.price." localSheetId="2" hidden="1">{"PAGE1",#N/A,FALSE,"CPFFMSTR";"PAGE2",#N/A,FALSE,"CPFFMSTR"}</definedName>
    <definedName name="wrn.price." localSheetId="1" hidden="1">{"PAGE1",#N/A,FALSE,"CPFFMSTR";"PAGE2",#N/A,FALSE,"CPFFMSTR"}</definedName>
    <definedName name="wrn.price." hidden="1">{"PAGE1",#N/A,FALSE,"CPFFMSTR";"PAGE2",#N/A,FALSE,"CPFFMSTR"}</definedName>
    <definedName name="wrn.PRINT._.ALL." localSheetId="3" hidden="1">{"ORIG",#N/A,FALSE,"Sheet1";"GOVT LABOR",#N/A,FALSE,"Sheet1";"INT LABOR",#N/A,FALSE,"Sheet1"}</definedName>
    <definedName name="wrn.PRINT._.ALL." localSheetId="4" hidden="1">{"ORIG",#N/A,FALSE,"Sheet1";"GOVT LABOR",#N/A,FALSE,"Sheet1";"INT LABOR",#N/A,FALSE,"Sheet1"}</definedName>
    <definedName name="wrn.PRINT._.ALL." localSheetId="5" hidden="1">{"ORIG",#N/A,FALSE,"Sheet1";"GOVT LABOR",#N/A,FALSE,"Sheet1";"INT LABOR",#N/A,FALSE,"Sheet1"}</definedName>
    <definedName name="wrn.PRINT._.ALL." localSheetId="6" hidden="1">{"ORIG",#N/A,FALSE,"Sheet1";"GOVT LABOR",#N/A,FALSE,"Sheet1";"INT LABOR",#N/A,FALSE,"Sheet1"}</definedName>
    <definedName name="wrn.PRINT._.ALL." localSheetId="2" hidden="1">{"ORIG",#N/A,FALSE,"Sheet1";"GOVT LABOR",#N/A,FALSE,"Sheet1";"INT LABOR",#N/A,FALSE,"Sheet1"}</definedName>
    <definedName name="wrn.PRINT._.ALL." localSheetId="1" hidden="1">{"ORIG",#N/A,FALSE,"Sheet1";"GOVT LABOR",#N/A,FALSE,"Sheet1";"INT LABOR",#N/A,FALSE,"Sheet1"}</definedName>
    <definedName name="wrn.PRINT._.ALL." hidden="1">{"ORIG",#N/A,FALSE,"Sheet1";"GOVT LABOR",#N/A,FALSE,"Sheet1";"INT LABOR",#N/A,FALSE,"Sheet1"}</definedName>
    <definedName name="wrn.Print_Detail_And_Summary." localSheetId="3" hidden="1">{"ViewPreCalc",#N/A,TRUE,"PreCalc";"ViewSummary",#N/A,TRUE,"Summary "}</definedName>
    <definedName name="wrn.Print_Detail_And_Summary." localSheetId="4" hidden="1">{"ViewPreCalc",#N/A,TRUE,"PreCalc";"ViewSummary",#N/A,TRUE,"Summary "}</definedName>
    <definedName name="wrn.Print_Detail_And_Summary." localSheetId="5" hidden="1">{"ViewPreCalc",#N/A,TRUE,"PreCalc";"ViewSummary",#N/A,TRUE,"Summary "}</definedName>
    <definedName name="wrn.Print_Detail_And_Summary." localSheetId="6" hidden="1">{"ViewPreCalc",#N/A,TRUE,"PreCalc";"ViewSummary",#N/A,TRUE,"Summary "}</definedName>
    <definedName name="wrn.Print_Detail_And_Summary." localSheetId="2" hidden="1">{"ViewPreCalc",#N/A,TRUE,"PreCalc";"ViewSummary",#N/A,TRUE,"Summary "}</definedName>
    <definedName name="wrn.Print_Detail_And_Summary." localSheetId="1" hidden="1">{"ViewPreCalc",#N/A,TRUE,"PreCalc";"ViewSummary",#N/A,TRUE,"Summary "}</definedName>
    <definedName name="wrn.Print_Detail_And_Summary." hidden="1">{"ViewPreCalc",#N/A,TRUE,"PreCalc";"ViewSummary",#N/A,TRUE,"Summary "}</definedName>
    <definedName name="wrn.Seal._.Team._.J6." localSheetId="3" hidden="1">{"Seal Team J6 Sum",#N/A,FALSE,"Seal Team Summary";"Seal Team J6",#N/A,FALSE,"Seal Team ";"Seal Team ODC J6",#N/A,FALSE,"Seal Team ODCs";"Seal Team Trvl J6",#N/A,FALSE," Seal Team Trvl"}</definedName>
    <definedName name="wrn.Seal._.Team._.J6." localSheetId="4" hidden="1">{"Seal Team J6 Sum",#N/A,FALSE,"Seal Team Summary";"Seal Team J6",#N/A,FALSE,"Seal Team ";"Seal Team ODC J6",#N/A,FALSE,"Seal Team ODCs";"Seal Team Trvl J6",#N/A,FALSE," Seal Team Trvl"}</definedName>
    <definedName name="wrn.Seal._.Team._.J6." localSheetId="5" hidden="1">{"Seal Team J6 Sum",#N/A,FALSE,"Seal Team Summary";"Seal Team J6",#N/A,FALSE,"Seal Team ";"Seal Team ODC J6",#N/A,FALSE,"Seal Team ODCs";"Seal Team Trvl J6",#N/A,FALSE," Seal Team Trvl"}</definedName>
    <definedName name="wrn.Seal._.Team._.J6." localSheetId="6" hidden="1">{"Seal Team J6 Sum",#N/A,FALSE,"Seal Team Summary";"Seal Team J6",#N/A,FALSE,"Seal Team ";"Seal Team ODC J6",#N/A,FALSE,"Seal Team ODCs";"Seal Team Trvl J6",#N/A,FALSE," Seal Team Trvl"}</definedName>
    <definedName name="wrn.Seal._.Team._.J6." localSheetId="2" hidden="1">{"Seal Team J6 Sum",#N/A,FALSE,"Seal Team Summary";"Seal Team J6",#N/A,FALSE,"Seal Team ";"Seal Team ODC J6",#N/A,FALSE,"Seal Team ODCs";"Seal Team Trvl J6",#N/A,FALSE," Seal Team Trvl"}</definedName>
    <definedName name="wrn.Seal._.Team._.J6." localSheetId="1" hidden="1">{"Seal Team J6 Sum",#N/A,FALSE,"Seal Team Summary";"Seal Team J6",#N/A,FALSE,"Seal Team ";"Seal Team ODC J6",#N/A,FALSE,"Seal Team ODCs";"Seal Team Trvl J6",#N/A,FALSE," Seal Team Trvl"}</definedName>
    <definedName name="wrn.Seal._.Team._.J6." hidden="1">{"Seal Team J6 Sum",#N/A,FALSE,"Seal Team Summary";"Seal Team J6",#N/A,FALSE,"Seal Team ";"Seal Team ODC J6",#N/A,FALSE,"Seal Team ODCs";"Seal Team Trvl J6",#N/A,FALSE," Seal Team Trvl"}</definedName>
    <definedName name="wrn.Summary._.1._.Year." localSheetId="3" hidden="1">{"One Year",#N/A,FALSE,"Summary"}</definedName>
    <definedName name="wrn.Summary._.1._.Year." localSheetId="4" hidden="1">{"One Year",#N/A,FALSE,"Summary"}</definedName>
    <definedName name="wrn.Summary._.1._.Year." localSheetId="5" hidden="1">{"One Year",#N/A,FALSE,"Summary"}</definedName>
    <definedName name="wrn.Summary._.1._.Year." localSheetId="6" hidden="1">{"One Year",#N/A,FALSE,"Summary"}</definedName>
    <definedName name="wrn.Summary._.1._.Year." localSheetId="2" hidden="1">{"One Year",#N/A,FALSE,"Summary"}</definedName>
    <definedName name="wrn.Summary._.1._.Year." localSheetId="1" hidden="1">{"One Year",#N/A,FALSE,"Summary"}</definedName>
    <definedName name="wrn.Summary._.1._.Year." hidden="1">{"One Year",#N/A,FALSE,"Summary"}</definedName>
    <definedName name="wrn.workpapers." localSheetId="3" hidden="1">{"dl",#N/A,FALSE,"Core";"indirects",#N/A,FALSE,"Core";"profit",#N/A,FALSE,"Core"}</definedName>
    <definedName name="wrn.workpapers." localSheetId="4" hidden="1">{"dl",#N/A,FALSE,"Core";"indirects",#N/A,FALSE,"Core";"profit",#N/A,FALSE,"Core"}</definedName>
    <definedName name="wrn.workpapers." localSheetId="5" hidden="1">{"dl",#N/A,FALSE,"Core";"indirects",#N/A,FALSE,"Core";"profit",#N/A,FALSE,"Core"}</definedName>
    <definedName name="wrn.workpapers." localSheetId="6" hidden="1">{"dl",#N/A,FALSE,"Core";"indirects",#N/A,FALSE,"Core";"profit",#N/A,FALSE,"Core"}</definedName>
    <definedName name="wrn.workpapers." localSheetId="2" hidden="1">{"dl",#N/A,FALSE,"Core";"indirects",#N/A,FALSE,"Core";"profit",#N/A,FALSE,"Core"}</definedName>
    <definedName name="wrn.workpapers." hidden="1">{"dl",#N/A,FALSE,"Core";"indirects",#N/A,FALSE,"Core";"profit",#N/A,FALSE,"Core"}</definedName>
    <definedName name="wrn1.price." localSheetId="3" hidden="1">{"PAGE1",#N/A,FALSE,"CPFFMSTR";"PAGE2",#N/A,FALSE,"CPFFMSTR"}</definedName>
    <definedName name="wrn1.price." localSheetId="4" hidden="1">{"PAGE1",#N/A,FALSE,"CPFFMSTR";"PAGE2",#N/A,FALSE,"CPFFMSTR"}</definedName>
    <definedName name="wrn1.price." localSheetId="5" hidden="1">{"PAGE1",#N/A,FALSE,"CPFFMSTR";"PAGE2",#N/A,FALSE,"CPFFMSTR"}</definedName>
    <definedName name="wrn1.price." localSheetId="6" hidden="1">{"PAGE1",#N/A,FALSE,"CPFFMSTR";"PAGE2",#N/A,FALSE,"CPFFMSTR"}</definedName>
    <definedName name="wrn1.price." localSheetId="2" hidden="1">{"PAGE1",#N/A,FALSE,"CPFFMSTR";"PAGE2",#N/A,FALSE,"CPFFMSTR"}</definedName>
    <definedName name="wrn1.price." localSheetId="1" hidden="1">{"PAGE1",#N/A,FALSE,"CPFFMSTR";"PAGE2",#N/A,FALSE,"CPFFMSTR"}</definedName>
    <definedName name="wrn1.price." hidden="1">{"PAGE1",#N/A,FALSE,"CPFFMSTR";"PAGE2",#N/A,FALSE,"CPFFMSTR"}</definedName>
    <definedName name="www">#REF!</definedName>
    <definedName name="x">#REF!</definedName>
    <definedName name="XC">#REF!</definedName>
    <definedName name="XFDTGH" localSheetId="3" hidden="1">{"PAGE1",#N/A,FALSE,"CPFFMSTR";"PAGE2",#N/A,FALSE,"CPFFMSTR"}</definedName>
    <definedName name="XFDTGH" localSheetId="4" hidden="1">{"PAGE1",#N/A,FALSE,"CPFFMSTR";"PAGE2",#N/A,FALSE,"CPFFMSTR"}</definedName>
    <definedName name="XFDTGH" localSheetId="5" hidden="1">{"PAGE1",#N/A,FALSE,"CPFFMSTR";"PAGE2",#N/A,FALSE,"CPFFMSTR"}</definedName>
    <definedName name="XFDTGH" localSheetId="6" hidden="1">{"PAGE1",#N/A,FALSE,"CPFFMSTR";"PAGE2",#N/A,FALSE,"CPFFMSTR"}</definedName>
    <definedName name="XFDTGH" localSheetId="2" hidden="1">{"PAGE1",#N/A,FALSE,"CPFFMSTR";"PAGE2",#N/A,FALSE,"CPFFMSTR"}</definedName>
    <definedName name="XFDTGH" localSheetId="1" hidden="1">{"PAGE1",#N/A,FALSE,"CPFFMSTR";"PAGE2",#N/A,FALSE,"CPFFMSTR"}</definedName>
    <definedName name="XFDTGH" hidden="1">{"PAGE1",#N/A,FALSE,"CPFFMSTR";"PAGE2",#N/A,FALSE,"CPFFMSTR"}</definedName>
    <definedName name="XGH" localSheetId="3" hidden="1">{"PAGE1",#N/A,FALSE,"CPFFMSTR";"PAGE2",#N/A,FALSE,"CPFFMSTR"}</definedName>
    <definedName name="XGH" localSheetId="4" hidden="1">{"PAGE1",#N/A,FALSE,"CPFFMSTR";"PAGE2",#N/A,FALSE,"CPFFMSTR"}</definedName>
    <definedName name="XGH" localSheetId="5" hidden="1">{"PAGE1",#N/A,FALSE,"CPFFMSTR";"PAGE2",#N/A,FALSE,"CPFFMSTR"}</definedName>
    <definedName name="XGH" localSheetId="6" hidden="1">{"PAGE1",#N/A,FALSE,"CPFFMSTR";"PAGE2",#N/A,FALSE,"CPFFMSTR"}</definedName>
    <definedName name="XGH" localSheetId="2" hidden="1">{"PAGE1",#N/A,FALSE,"CPFFMSTR";"PAGE2",#N/A,FALSE,"CPFFMSTR"}</definedName>
    <definedName name="XGH" localSheetId="1" hidden="1">{"PAGE1",#N/A,FALSE,"CPFFMSTR";"PAGE2",#N/A,FALSE,"CPFFMSTR"}</definedName>
    <definedName name="XGH" hidden="1">{"PAGE1",#N/A,FALSE,"CPFFMSTR";"PAGE2",#N/A,FALSE,"CPFFMSTR"}</definedName>
    <definedName name="XGHXF" localSheetId="3" hidden="1">{"PAGE1",#N/A,FALSE,"CPFFMSTR";"PAGE2",#N/A,FALSE,"CPFFMSTR"}</definedName>
    <definedName name="XGHXF" localSheetId="4" hidden="1">{"PAGE1",#N/A,FALSE,"CPFFMSTR";"PAGE2",#N/A,FALSE,"CPFFMSTR"}</definedName>
    <definedName name="XGHXF" localSheetId="5" hidden="1">{"PAGE1",#N/A,FALSE,"CPFFMSTR";"PAGE2",#N/A,FALSE,"CPFFMSTR"}</definedName>
    <definedName name="XGHXF" localSheetId="6" hidden="1">{"PAGE1",#N/A,FALSE,"CPFFMSTR";"PAGE2",#N/A,FALSE,"CPFFMSTR"}</definedName>
    <definedName name="XGHXF" localSheetId="2" hidden="1">{"PAGE1",#N/A,FALSE,"CPFFMSTR";"PAGE2",#N/A,FALSE,"CPFFMSTR"}</definedName>
    <definedName name="XGHXF" localSheetId="1" hidden="1">{"PAGE1",#N/A,FALSE,"CPFFMSTR";"PAGE2",#N/A,FALSE,"CPFFMSTR"}</definedName>
    <definedName name="XGHXF" hidden="1">{"PAGE1",#N/A,FALSE,"CPFFMSTR";"PAGE2",#N/A,FALSE,"CPFFMSTR"}</definedName>
    <definedName name="xvcb" localSheetId="3" hidden="1">{"PAGE1",#N/A,FALSE,"CPFFMSTR";"PAGE2",#N/A,FALSE,"CPFFMSTR"}</definedName>
    <definedName name="xvcb" localSheetId="4" hidden="1">{"PAGE1",#N/A,FALSE,"CPFFMSTR";"PAGE2",#N/A,FALSE,"CPFFMSTR"}</definedName>
    <definedName name="xvcb" localSheetId="5" hidden="1">{"PAGE1",#N/A,FALSE,"CPFFMSTR";"PAGE2",#N/A,FALSE,"CPFFMSTR"}</definedName>
    <definedName name="xvcb" localSheetId="6" hidden="1">{"PAGE1",#N/A,FALSE,"CPFFMSTR";"PAGE2",#N/A,FALSE,"CPFFMSTR"}</definedName>
    <definedName name="xvcb" localSheetId="2" hidden="1">{"PAGE1",#N/A,FALSE,"CPFFMSTR";"PAGE2",#N/A,FALSE,"CPFFMSTR"}</definedName>
    <definedName name="xvcb" localSheetId="1" hidden="1">{"PAGE1",#N/A,FALSE,"CPFFMSTR";"PAGE2",#N/A,FALSE,"CPFFMSTR"}</definedName>
    <definedName name="xvcb" hidden="1">{"PAGE1",#N/A,FALSE,"CPFFMSTR";"PAGE2",#N/A,FALSE,"CPFFMSTR"}</definedName>
    <definedName name="xxx" localSheetId="3" hidden="1">{"ACC_Cars_125K_PA",#N/A,FALSE,"ACC Cars Co1 125K ";"ACC_Cars_125K_Prop",#N/A,FALSE,"ACC Cars Co1 125K "}</definedName>
    <definedName name="xxx" localSheetId="4" hidden="1">{"ACC_Cars_125K_PA",#N/A,FALSE,"ACC Cars Co1 125K ";"ACC_Cars_125K_Prop",#N/A,FALSE,"ACC Cars Co1 125K "}</definedName>
    <definedName name="xxx" localSheetId="5" hidden="1">{"ACC_Cars_125K_PA",#N/A,FALSE,"ACC Cars Co1 125K ";"ACC_Cars_125K_Prop",#N/A,FALSE,"ACC Cars Co1 125K "}</definedName>
    <definedName name="xxx" localSheetId="6" hidden="1">{"ACC_Cars_125K_PA",#N/A,FALSE,"ACC Cars Co1 125K ";"ACC_Cars_125K_Prop",#N/A,FALSE,"ACC Cars Co1 125K "}</definedName>
    <definedName name="xxx" localSheetId="2" hidden="1">{"ACC_Cars_125K_PA",#N/A,FALSE,"ACC Cars Co1 125K ";"ACC_Cars_125K_Prop",#N/A,FALSE,"ACC Cars Co1 125K "}</definedName>
    <definedName name="xxx" localSheetId="1" hidden="1">{"ACC_Cars_125K_PA",#N/A,FALSE,"ACC Cars Co1 125K ";"ACC_Cars_125K_Prop",#N/A,FALSE,"ACC Cars Co1 125K "}</definedName>
    <definedName name="xxx" hidden="1">{"ACC_Cars_125K_PA",#N/A,FALSE,"ACC Cars Co1 125K ";"ACC_Cars_125K_Prop",#N/A,FALSE,"ACC Cars Co1 125K "}</definedName>
    <definedName name="xxx1" localSheetId="3" hidden="1">{"ACC_Cars_400K_PA",#N/A,FALSE,"ACC Cars Co1 400K";"ACC_Cars_400K_Prop",#N/A,FALSE,"ACC Cars Co1 400K"}</definedName>
    <definedName name="xxx1" localSheetId="4" hidden="1">{"ACC_Cars_400K_PA",#N/A,FALSE,"ACC Cars Co1 400K";"ACC_Cars_400K_Prop",#N/A,FALSE,"ACC Cars Co1 400K"}</definedName>
    <definedName name="xxx1" localSheetId="5" hidden="1">{"ACC_Cars_400K_PA",#N/A,FALSE,"ACC Cars Co1 400K";"ACC_Cars_400K_Prop",#N/A,FALSE,"ACC Cars Co1 400K"}</definedName>
    <definedName name="xxx1" localSheetId="6" hidden="1">{"ACC_Cars_400K_PA",#N/A,FALSE,"ACC Cars Co1 400K";"ACC_Cars_400K_Prop",#N/A,FALSE,"ACC Cars Co1 400K"}</definedName>
    <definedName name="xxx1" localSheetId="2" hidden="1">{"ACC_Cars_400K_PA",#N/A,FALSE,"ACC Cars Co1 400K";"ACC_Cars_400K_Prop",#N/A,FALSE,"ACC Cars Co1 400K"}</definedName>
    <definedName name="xxx1" localSheetId="1" hidden="1">{"ACC_Cars_400K_PA",#N/A,FALSE,"ACC Cars Co1 400K";"ACC_Cars_400K_Prop",#N/A,FALSE,"ACC Cars Co1 400K"}</definedName>
    <definedName name="xxx1" hidden="1">{"ACC_Cars_400K_PA",#N/A,FALSE,"ACC Cars Co1 400K";"ACC_Cars_400K_Prop",#N/A,FALSE,"ACC Cars Co1 400K"}</definedName>
    <definedName name="Year_1_Cost_Centers">#REF!</definedName>
    <definedName name="Year_2_BAH_Fee">#REF!</definedName>
    <definedName name="Year_2_Cost_Centers">#REF!</definedName>
    <definedName name="Year_2_Subcontractor_Fee">#REF!</definedName>
    <definedName name="Year_3_BAH_Fee">#REF!</definedName>
    <definedName name="Year_3_Cost_Centers">#REF!</definedName>
    <definedName name="Year_3_Subcontractor_Fee">#REF!</definedName>
    <definedName name="Year_4_BAH_Fee">#REF!</definedName>
    <definedName name="Year_4_Cost_Centers">#REF!</definedName>
    <definedName name="Year_4_Subcontractor_Fee">#REF!</definedName>
    <definedName name="Year_5_BAH_Fee">#REF!</definedName>
    <definedName name="Year_5_Cost_Centers">#REF!</definedName>
    <definedName name="Year_5_Subcontractor_Fee">#REF!</definedName>
    <definedName name="YEARS">#REF!</definedName>
    <definedName name="yes" localSheetId="3" hidden="1">{#N/A,#N/A,FALSE,"ManLoading"}</definedName>
    <definedName name="yes" localSheetId="4" hidden="1">{#N/A,#N/A,FALSE,"ManLoading"}</definedName>
    <definedName name="yes" localSheetId="5" hidden="1">{#N/A,#N/A,FALSE,"ManLoading"}</definedName>
    <definedName name="yes" localSheetId="6" hidden="1">{#N/A,#N/A,FALSE,"ManLoading"}</definedName>
    <definedName name="yes" localSheetId="2" hidden="1">{#N/A,#N/A,FALSE,"ManLoading"}</definedName>
    <definedName name="yes" localSheetId="1" hidden="1">{#N/A,#N/A,FALSE,"ManLoading"}</definedName>
    <definedName name="yes" hidden="1">{#N/A,#N/A,FALSE,"ManLoading"}</definedName>
    <definedName name="yes1" localSheetId="3" hidden="1">{#N/A,#N/A,FALSE,"ManLoading"}</definedName>
    <definedName name="yes1" localSheetId="4" hidden="1">{#N/A,#N/A,FALSE,"ManLoading"}</definedName>
    <definedName name="yes1" localSheetId="5" hidden="1">{#N/A,#N/A,FALSE,"ManLoading"}</definedName>
    <definedName name="yes1" localSheetId="6" hidden="1">{#N/A,#N/A,FALSE,"ManLoading"}</definedName>
    <definedName name="yes1" localSheetId="2" hidden="1">{#N/A,#N/A,FALSE,"ManLoading"}</definedName>
    <definedName name="yes1" hidden="1">{#N/A,#N/A,FALSE,"ManLoading"}</definedName>
    <definedName name="YORN">#REF!</definedName>
    <definedName name="Yr1Consult">#REF!</definedName>
    <definedName name="Yr1FI">#REF!</definedName>
    <definedName name="Yr1ODC">#REF!</definedName>
    <definedName name="Yr1Sal">#REF!</definedName>
    <definedName name="Yr1Travel">#REF!</definedName>
    <definedName name="Yr1Travel_Air">#REF!</definedName>
    <definedName name="Yr2Consult">#REF!</definedName>
    <definedName name="Yr2FI">#REF!</definedName>
    <definedName name="Yr2FIfk">#REF!</definedName>
    <definedName name="Yr2ODC">#REF!</definedName>
    <definedName name="Yr2ODCfk">#REF!</definedName>
    <definedName name="Yr2Sal">#REF!</definedName>
    <definedName name="Yr2Travel">#REF!</definedName>
    <definedName name="Yr2Travel_Air">#REF!</definedName>
    <definedName name="Yr2travelfk">#REF!</definedName>
    <definedName name="Yr3Consult">#REF!</definedName>
    <definedName name="Yr3FI">#REF!</definedName>
    <definedName name="Yr3FIfk">#REF!</definedName>
    <definedName name="Yr3ODC">#REF!</definedName>
    <definedName name="Yr3ODCfk">#REF!</definedName>
    <definedName name="Yr3Sal">#REF!</definedName>
    <definedName name="Yr3Travel">#REF!</definedName>
    <definedName name="Yr3Travel_Air">#REF!</definedName>
    <definedName name="Yr4Consult">#REF!</definedName>
    <definedName name="Yr4FI">#REF!</definedName>
    <definedName name="Yr4FIfk">#REF!</definedName>
    <definedName name="Yr4ODC">#REF!</definedName>
    <definedName name="Yr4ODCfk">#REF!</definedName>
    <definedName name="Yr4Sal">#REF!</definedName>
    <definedName name="Yr4Salfk">#REF!</definedName>
    <definedName name="Yr4Travel">#REF!</definedName>
    <definedName name="Yr4Travel_Air">#REF!</definedName>
    <definedName name="Yr5Consult">#REF!</definedName>
    <definedName name="Yr5FI">#REF!</definedName>
    <definedName name="Yr5FIfk">#REF!</definedName>
    <definedName name="Yr5ODC">#REF!</definedName>
    <definedName name="Yr5ODCfk">#REF!</definedName>
    <definedName name="Yr5Sal">#REF!</definedName>
    <definedName name="Yr5Salfk">#REF!</definedName>
    <definedName name="Yr5Travel">#REF!</definedName>
    <definedName name="Yr5Travel_Air">#REF!</definedName>
    <definedName name="z">#REF!</definedName>
    <definedName name="ZDFR" localSheetId="3" hidden="1">{"PAGE1",#N/A,FALSE,"CPFFMSTR";"PAGE2",#N/A,FALSE,"CPFFMSTR"}</definedName>
    <definedName name="ZDFR" localSheetId="4" hidden="1">{"PAGE1",#N/A,FALSE,"CPFFMSTR";"PAGE2",#N/A,FALSE,"CPFFMSTR"}</definedName>
    <definedName name="ZDFR" localSheetId="5" hidden="1">{"PAGE1",#N/A,FALSE,"CPFFMSTR";"PAGE2",#N/A,FALSE,"CPFFMSTR"}</definedName>
    <definedName name="ZDFR" localSheetId="6" hidden="1">{"PAGE1",#N/A,FALSE,"CPFFMSTR";"PAGE2",#N/A,FALSE,"CPFFMSTR"}</definedName>
    <definedName name="ZDFR" localSheetId="2" hidden="1">{"PAGE1",#N/A,FALSE,"CPFFMSTR";"PAGE2",#N/A,FALSE,"CPFFMSTR"}</definedName>
    <definedName name="ZDFR" localSheetId="1" hidden="1">{"PAGE1",#N/A,FALSE,"CPFFMSTR";"PAGE2",#N/A,FALSE,"CPFFMSTR"}</definedName>
    <definedName name="ZDFR" hidden="1">{"PAGE1",#N/A,FALSE,"CPFFMSTR";"PAGE2",#N/A,FALSE,"CPFFMSTR"}</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66" i="28" l="1"/>
  <c r="I22" i="4"/>
  <c r="H29" i="4"/>
  <c r="I24" i="4"/>
  <c r="I29" i="4"/>
  <c r="L111" i="4" l="1"/>
  <c r="D22" i="42"/>
  <c r="C26" i="42"/>
  <c r="D26" i="42"/>
  <c r="D24" i="42"/>
  <c r="D18" i="42"/>
  <c r="L26" i="4"/>
  <c r="I39" i="4"/>
  <c r="I28" i="4"/>
  <c r="H24" i="4"/>
  <c r="H340" i="4"/>
  <c r="I340" i="4"/>
  <c r="I342" i="4"/>
  <c r="D346" i="4"/>
  <c r="A115" i="43"/>
  <c r="A45" i="42"/>
  <c r="B45" i="42"/>
  <c r="C45" i="42"/>
  <c r="D45" i="42"/>
  <c r="H45" i="42"/>
  <c r="L45" i="42"/>
  <c r="P45" i="42"/>
  <c r="T45" i="42"/>
  <c r="A46" i="42"/>
  <c r="B46" i="42"/>
  <c r="D46" i="42"/>
  <c r="H46" i="42"/>
  <c r="L46" i="42"/>
  <c r="P46" i="42"/>
  <c r="T46" i="42"/>
  <c r="A47" i="42"/>
  <c r="B47" i="42"/>
  <c r="D47" i="42"/>
  <c r="H47" i="42"/>
  <c r="L47" i="42"/>
  <c r="P47" i="42"/>
  <c r="T47" i="42"/>
  <c r="B45" i="43"/>
  <c r="C45" i="43"/>
  <c r="D45" i="43"/>
  <c r="H45" i="43"/>
  <c r="L45" i="43"/>
  <c r="P45" i="43"/>
  <c r="T45" i="43"/>
  <c r="B46" i="43"/>
  <c r="D46" i="43"/>
  <c r="H46" i="43"/>
  <c r="L46" i="43"/>
  <c r="P46" i="43"/>
  <c r="T46" i="43"/>
  <c r="B47" i="43"/>
  <c r="D47" i="43"/>
  <c r="H47" i="43"/>
  <c r="L47" i="43"/>
  <c r="P47" i="43"/>
  <c r="T47" i="43"/>
  <c r="A45" i="43"/>
  <c r="A46" i="43"/>
  <c r="A47" i="43"/>
  <c r="A44" i="43"/>
  <c r="B44" i="43"/>
  <c r="C44" i="43"/>
  <c r="D44" i="43"/>
  <c r="T44" i="43"/>
  <c r="A48" i="43"/>
  <c r="B48" i="43"/>
  <c r="C48" i="43"/>
  <c r="G48" i="43" s="1"/>
  <c r="D48" i="43"/>
  <c r="H48" i="43"/>
  <c r="I48" i="43"/>
  <c r="M48" i="43" s="1"/>
  <c r="Q48" i="43" s="1"/>
  <c r="U48" i="43" s="1"/>
  <c r="L48" i="43"/>
  <c r="P48" i="43"/>
  <c r="T48" i="43"/>
  <c r="H45" i="4"/>
  <c r="H46" i="4" s="1"/>
  <c r="C47" i="42" s="1"/>
  <c r="U44" i="4"/>
  <c r="R44" i="4"/>
  <c r="O44" i="4"/>
  <c r="L44" i="4"/>
  <c r="I44" i="4"/>
  <c r="U43" i="4"/>
  <c r="Q43" i="4"/>
  <c r="P44" i="43" s="1"/>
  <c r="N43" i="4"/>
  <c r="O43" i="4" s="1"/>
  <c r="K43" i="4"/>
  <c r="L43" i="4" s="1"/>
  <c r="I43" i="4"/>
  <c r="H399" i="4"/>
  <c r="H400" i="4"/>
  <c r="C53" i="28"/>
  <c r="F44" i="43" l="1"/>
  <c r="J48" i="43"/>
  <c r="F45" i="43"/>
  <c r="F45" i="42"/>
  <c r="H44" i="43"/>
  <c r="C47" i="43"/>
  <c r="G47" i="43" s="1"/>
  <c r="J47" i="43" s="1"/>
  <c r="V44" i="4"/>
  <c r="X44" i="4" s="1"/>
  <c r="F47" i="42"/>
  <c r="G47" i="42"/>
  <c r="J47" i="42" s="1"/>
  <c r="L44" i="43"/>
  <c r="C46" i="43"/>
  <c r="F46" i="43" s="1"/>
  <c r="G44" i="43"/>
  <c r="R43" i="4"/>
  <c r="V43" i="4" s="1"/>
  <c r="X43" i="4" s="1"/>
  <c r="O45" i="4"/>
  <c r="F48" i="43"/>
  <c r="C46" i="42"/>
  <c r="G45" i="43"/>
  <c r="G45" i="42"/>
  <c r="K48" i="43"/>
  <c r="I46" i="4"/>
  <c r="U46" i="4"/>
  <c r="R46" i="4"/>
  <c r="L46" i="4"/>
  <c r="O46" i="4"/>
  <c r="R45" i="4"/>
  <c r="U45" i="4"/>
  <c r="I45" i="4"/>
  <c r="L45" i="4"/>
  <c r="B133" i="42"/>
  <c r="D133" i="42"/>
  <c r="H133" i="42"/>
  <c r="L133" i="42"/>
  <c r="P133" i="42"/>
  <c r="T133" i="42"/>
  <c r="B134" i="42"/>
  <c r="H134" i="42"/>
  <c r="L134" i="42"/>
  <c r="P134" i="42"/>
  <c r="T134" i="42"/>
  <c r="B135" i="42"/>
  <c r="D135" i="42"/>
  <c r="H135" i="42"/>
  <c r="L135" i="42"/>
  <c r="P135" i="42"/>
  <c r="T135" i="42"/>
  <c r="B136" i="42"/>
  <c r="H136" i="42"/>
  <c r="L136" i="42"/>
  <c r="P136" i="42"/>
  <c r="T136" i="42"/>
  <c r="B137" i="42"/>
  <c r="D137" i="42"/>
  <c r="H137" i="42"/>
  <c r="L137" i="42"/>
  <c r="P137" i="42"/>
  <c r="T137" i="42"/>
  <c r="B138" i="42"/>
  <c r="D138" i="42"/>
  <c r="H138" i="42"/>
  <c r="L138" i="42"/>
  <c r="P138" i="42"/>
  <c r="T138" i="42"/>
  <c r="A140" i="42"/>
  <c r="A133" i="42"/>
  <c r="A134" i="42"/>
  <c r="A135" i="42"/>
  <c r="A136" i="42"/>
  <c r="A137" i="42"/>
  <c r="A138" i="42"/>
  <c r="A139" i="42"/>
  <c r="T118" i="43"/>
  <c r="P118" i="43"/>
  <c r="L118" i="43"/>
  <c r="H118" i="43"/>
  <c r="D118" i="43"/>
  <c r="C118" i="43"/>
  <c r="G118" i="43" s="1"/>
  <c r="B118" i="43"/>
  <c r="A118" i="43"/>
  <c r="T117" i="43"/>
  <c r="P117" i="43"/>
  <c r="L117" i="43"/>
  <c r="H117" i="43"/>
  <c r="D117" i="43"/>
  <c r="C117" i="43"/>
  <c r="G117" i="43" s="1"/>
  <c r="B117" i="43"/>
  <c r="A117" i="43"/>
  <c r="T116" i="43"/>
  <c r="P116" i="43"/>
  <c r="L116" i="43"/>
  <c r="H116" i="43"/>
  <c r="C116" i="43"/>
  <c r="G116" i="43" s="1"/>
  <c r="B116" i="43"/>
  <c r="A116" i="43"/>
  <c r="T115" i="43"/>
  <c r="P115" i="43"/>
  <c r="L115" i="43"/>
  <c r="H115" i="43"/>
  <c r="D115" i="43"/>
  <c r="C115" i="43"/>
  <c r="G115" i="43" s="1"/>
  <c r="B115" i="43"/>
  <c r="T114" i="43"/>
  <c r="P114" i="43"/>
  <c r="L114" i="43"/>
  <c r="H114" i="43"/>
  <c r="C114" i="43"/>
  <c r="G114" i="43" s="1"/>
  <c r="B114" i="43"/>
  <c r="A114" i="43"/>
  <c r="T113" i="43"/>
  <c r="P113" i="43"/>
  <c r="L113" i="43"/>
  <c r="H113" i="43"/>
  <c r="D113" i="43"/>
  <c r="C113" i="43"/>
  <c r="C133" i="42" s="1"/>
  <c r="G133" i="42" s="1"/>
  <c r="B113" i="43"/>
  <c r="A113" i="43"/>
  <c r="A119" i="43"/>
  <c r="B119" i="43"/>
  <c r="C119" i="43"/>
  <c r="D119" i="43"/>
  <c r="H119" i="43"/>
  <c r="L119" i="43"/>
  <c r="P119" i="43"/>
  <c r="T119" i="43"/>
  <c r="A120" i="43"/>
  <c r="B120" i="43"/>
  <c r="C120" i="43"/>
  <c r="G120" i="43" s="1"/>
  <c r="D120" i="43"/>
  <c r="H120" i="43"/>
  <c r="L120" i="43"/>
  <c r="P120" i="43"/>
  <c r="T120" i="43"/>
  <c r="T149" i="42"/>
  <c r="T148" i="42"/>
  <c r="P149" i="42"/>
  <c r="P148" i="42"/>
  <c r="L149" i="42"/>
  <c r="L148" i="42"/>
  <c r="H149" i="42"/>
  <c r="H148" i="42"/>
  <c r="D149" i="42"/>
  <c r="D148" i="42"/>
  <c r="C149" i="42"/>
  <c r="G149" i="42" s="1"/>
  <c r="C148" i="42"/>
  <c r="G148" i="42" s="1"/>
  <c r="B149" i="42"/>
  <c r="B148" i="42"/>
  <c r="T70" i="46"/>
  <c r="P70" i="46"/>
  <c r="L70" i="46"/>
  <c r="H70" i="46"/>
  <c r="D70" i="46"/>
  <c r="C70" i="46"/>
  <c r="G70" i="46" s="1"/>
  <c r="B70" i="46"/>
  <c r="A70" i="46"/>
  <c r="A149" i="42" s="1"/>
  <c r="T69" i="46"/>
  <c r="P69" i="46"/>
  <c r="L69" i="46"/>
  <c r="H69" i="46"/>
  <c r="D69" i="46"/>
  <c r="C69" i="46"/>
  <c r="G69" i="46" s="1"/>
  <c r="B69" i="46"/>
  <c r="A69" i="46"/>
  <c r="A148" i="42" s="1"/>
  <c r="W324" i="4"/>
  <c r="U313" i="4"/>
  <c r="R313" i="4"/>
  <c r="O313" i="4"/>
  <c r="L313" i="4"/>
  <c r="I313" i="4"/>
  <c r="U312" i="4"/>
  <c r="R312" i="4"/>
  <c r="O312" i="4"/>
  <c r="L312" i="4"/>
  <c r="I312" i="4"/>
  <c r="G121" i="4"/>
  <c r="D134" i="42" s="1"/>
  <c r="G123" i="4"/>
  <c r="I123" i="4" s="1"/>
  <c r="U125" i="4"/>
  <c r="R125" i="4"/>
  <c r="O125" i="4"/>
  <c r="L125" i="4"/>
  <c r="I125" i="4"/>
  <c r="U124" i="4"/>
  <c r="R124" i="4"/>
  <c r="O124" i="4"/>
  <c r="L124" i="4"/>
  <c r="I124" i="4"/>
  <c r="U123" i="4"/>
  <c r="R123" i="4"/>
  <c r="O123" i="4"/>
  <c r="L123" i="4"/>
  <c r="U122" i="4"/>
  <c r="R122" i="4"/>
  <c r="O122" i="4"/>
  <c r="L122" i="4"/>
  <c r="I122" i="4"/>
  <c r="U121" i="4"/>
  <c r="R121" i="4"/>
  <c r="O121" i="4"/>
  <c r="L121" i="4"/>
  <c r="U120" i="4"/>
  <c r="R120" i="4"/>
  <c r="O120" i="4"/>
  <c r="L120" i="4"/>
  <c r="I120" i="4"/>
  <c r="C70" i="43"/>
  <c r="J44" i="43" l="1"/>
  <c r="K44" i="43"/>
  <c r="O44" i="43" s="1"/>
  <c r="F47" i="43"/>
  <c r="K47" i="43"/>
  <c r="O47" i="43" s="1"/>
  <c r="K47" i="42"/>
  <c r="D114" i="43"/>
  <c r="F114" i="43" s="1"/>
  <c r="I121" i="4"/>
  <c r="V121" i="4" s="1"/>
  <c r="X121" i="4" s="1"/>
  <c r="J120" i="43"/>
  <c r="G46" i="43"/>
  <c r="K46" i="43" s="1"/>
  <c r="K45" i="43"/>
  <c r="J45" i="43"/>
  <c r="G46" i="42"/>
  <c r="F46" i="42"/>
  <c r="J45" i="42"/>
  <c r="K45" i="42"/>
  <c r="N47" i="42"/>
  <c r="O47" i="42"/>
  <c r="N44" i="43"/>
  <c r="C138" i="42"/>
  <c r="G138" i="42" s="1"/>
  <c r="J138" i="42" s="1"/>
  <c r="N48" i="43"/>
  <c r="O48" i="43"/>
  <c r="F120" i="43"/>
  <c r="C137" i="42"/>
  <c r="F137" i="42" s="1"/>
  <c r="C134" i="42"/>
  <c r="F134" i="42" s="1"/>
  <c r="F119" i="43"/>
  <c r="V45" i="4"/>
  <c r="X45" i="4" s="1"/>
  <c r="V46" i="4"/>
  <c r="X46" i="4" s="1"/>
  <c r="J133" i="42"/>
  <c r="K133" i="42"/>
  <c r="N133" i="42" s="1"/>
  <c r="D116" i="43"/>
  <c r="F116" i="43" s="1"/>
  <c r="C136" i="42"/>
  <c r="C135" i="42"/>
  <c r="F133" i="42"/>
  <c r="D136" i="42"/>
  <c r="F113" i="43"/>
  <c r="G119" i="43"/>
  <c r="K119" i="43" s="1"/>
  <c r="N119" i="43" s="1"/>
  <c r="F117" i="43"/>
  <c r="G113" i="43"/>
  <c r="K116" i="43"/>
  <c r="J116" i="43"/>
  <c r="J115" i="43"/>
  <c r="K115" i="43"/>
  <c r="K118" i="43"/>
  <c r="J118" i="43"/>
  <c r="K114" i="43"/>
  <c r="J114" i="43"/>
  <c r="K117" i="43"/>
  <c r="J117" i="43"/>
  <c r="F118" i="43"/>
  <c r="F115" i="43"/>
  <c r="K120" i="43"/>
  <c r="F148" i="42"/>
  <c r="K149" i="42"/>
  <c r="J149" i="42"/>
  <c r="J148" i="42"/>
  <c r="K148" i="42"/>
  <c r="F149" i="42"/>
  <c r="K70" i="46"/>
  <c r="J70" i="46"/>
  <c r="F70" i="46"/>
  <c r="V312" i="4"/>
  <c r="V313" i="4"/>
  <c r="X313" i="4" s="1"/>
  <c r="K69" i="46"/>
  <c r="J69" i="46"/>
  <c r="F69" i="46"/>
  <c r="V125" i="4"/>
  <c r="X125" i="4" s="1"/>
  <c r="V123" i="4"/>
  <c r="X123" i="4" s="1"/>
  <c r="V120" i="4"/>
  <c r="X120" i="4" s="1"/>
  <c r="V122" i="4"/>
  <c r="X122" i="4" s="1"/>
  <c r="V124" i="4"/>
  <c r="X124" i="4" s="1"/>
  <c r="C25" i="28"/>
  <c r="L69" i="4"/>
  <c r="I69" i="4"/>
  <c r="H12" i="4"/>
  <c r="A14" i="43"/>
  <c r="B14" i="43"/>
  <c r="D14" i="43"/>
  <c r="H14" i="43"/>
  <c r="L14" i="43"/>
  <c r="P14" i="43"/>
  <c r="T14" i="43"/>
  <c r="A15" i="43"/>
  <c r="B15" i="43"/>
  <c r="D15" i="43"/>
  <c r="H15" i="43"/>
  <c r="L15" i="43"/>
  <c r="P15" i="43"/>
  <c r="T15" i="43"/>
  <c r="A16" i="43"/>
  <c r="B16" i="43"/>
  <c r="D16" i="43"/>
  <c r="H16" i="43"/>
  <c r="L16" i="43"/>
  <c r="P16" i="43"/>
  <c r="T16" i="43"/>
  <c r="A17" i="43"/>
  <c r="B17" i="43"/>
  <c r="D17" i="43"/>
  <c r="H17" i="43"/>
  <c r="L17" i="43"/>
  <c r="P17" i="43"/>
  <c r="T17" i="43"/>
  <c r="A18" i="43"/>
  <c r="B18" i="43"/>
  <c r="D18" i="43"/>
  <c r="H18" i="43"/>
  <c r="L18" i="43"/>
  <c r="P18" i="43"/>
  <c r="T18" i="43"/>
  <c r="A19" i="43"/>
  <c r="B19" i="43"/>
  <c r="D19" i="43"/>
  <c r="H19" i="43"/>
  <c r="L19" i="43"/>
  <c r="P19" i="43"/>
  <c r="T19" i="43"/>
  <c r="A20" i="43"/>
  <c r="B20" i="43"/>
  <c r="D20" i="43"/>
  <c r="H20" i="43"/>
  <c r="L20" i="43"/>
  <c r="P20" i="43"/>
  <c r="T20" i="43"/>
  <c r="A21" i="43"/>
  <c r="B21" i="43"/>
  <c r="D21" i="43"/>
  <c r="H21" i="43"/>
  <c r="L21" i="43"/>
  <c r="P21" i="43"/>
  <c r="T21" i="43"/>
  <c r="A21" i="42"/>
  <c r="B21" i="42"/>
  <c r="D21" i="42"/>
  <c r="H21" i="42"/>
  <c r="L21" i="42"/>
  <c r="P21" i="42"/>
  <c r="T21" i="42"/>
  <c r="A14" i="42"/>
  <c r="B14" i="42"/>
  <c r="D14" i="42"/>
  <c r="H14" i="42"/>
  <c r="L14" i="42"/>
  <c r="P14" i="42"/>
  <c r="T14" i="42"/>
  <c r="A15" i="42"/>
  <c r="B15" i="42"/>
  <c r="D15" i="42"/>
  <c r="H15" i="42"/>
  <c r="L15" i="42"/>
  <c r="P15" i="42"/>
  <c r="T15" i="42"/>
  <c r="A16" i="42"/>
  <c r="B16" i="42"/>
  <c r="D16" i="42"/>
  <c r="H16" i="42"/>
  <c r="L16" i="42"/>
  <c r="P16" i="42"/>
  <c r="T16" i="42"/>
  <c r="B14" i="44"/>
  <c r="B15" i="44"/>
  <c r="B16" i="44"/>
  <c r="B17" i="44"/>
  <c r="B18" i="44"/>
  <c r="B19" i="44"/>
  <c r="B20" i="44"/>
  <c r="B21" i="44"/>
  <c r="B14" i="45"/>
  <c r="B15" i="45"/>
  <c r="B16" i="45"/>
  <c r="B17" i="45"/>
  <c r="B18" i="45"/>
  <c r="B19" i="45"/>
  <c r="B20" i="45"/>
  <c r="B21" i="45"/>
  <c r="B14" i="46"/>
  <c r="B15" i="46"/>
  <c r="B16" i="46"/>
  <c r="B17" i="46"/>
  <c r="B18" i="46"/>
  <c r="B19" i="46"/>
  <c r="B20" i="46"/>
  <c r="B21" i="46"/>
  <c r="B14" i="47"/>
  <c r="B15" i="47"/>
  <c r="B16" i="47"/>
  <c r="B17" i="47"/>
  <c r="B18" i="47"/>
  <c r="B19" i="47"/>
  <c r="B20" i="47"/>
  <c r="B21" i="47"/>
  <c r="H32" i="4"/>
  <c r="H13" i="4"/>
  <c r="H19" i="4"/>
  <c r="C16" i="42" s="1"/>
  <c r="H18" i="4"/>
  <c r="C15" i="42" s="1"/>
  <c r="G15" i="42" s="1"/>
  <c r="H17" i="4"/>
  <c r="H269" i="4" s="1"/>
  <c r="C14" i="46" s="1"/>
  <c r="B23" i="39"/>
  <c r="C23" i="39"/>
  <c r="F23" i="39"/>
  <c r="I23" i="39"/>
  <c r="L23" i="39"/>
  <c r="O23" i="39"/>
  <c r="D343" i="4"/>
  <c r="A21" i="47" s="1"/>
  <c r="E343" i="4"/>
  <c r="E21" i="47" s="1"/>
  <c r="G343" i="4"/>
  <c r="D21" i="47" s="1"/>
  <c r="J343" i="4"/>
  <c r="I21" i="47" s="1"/>
  <c r="K343" i="4"/>
  <c r="H21" i="47" s="1"/>
  <c r="M343" i="4"/>
  <c r="M21" i="47" s="1"/>
  <c r="N343" i="4"/>
  <c r="L21" i="47" s="1"/>
  <c r="P343" i="4"/>
  <c r="Q21" i="47" s="1"/>
  <c r="Q343" i="4"/>
  <c r="P21" i="47" s="1"/>
  <c r="S343" i="4"/>
  <c r="U21" i="47" s="1"/>
  <c r="T343" i="4"/>
  <c r="T21" i="47" s="1"/>
  <c r="D276" i="4"/>
  <c r="A21" i="46" s="1"/>
  <c r="E276" i="4"/>
  <c r="E21" i="46" s="1"/>
  <c r="G276" i="4"/>
  <c r="D21" i="46" s="1"/>
  <c r="J276" i="4"/>
  <c r="I21" i="46" s="1"/>
  <c r="K276" i="4"/>
  <c r="H21" i="46" s="1"/>
  <c r="M276" i="4"/>
  <c r="M21" i="46" s="1"/>
  <c r="N276" i="4"/>
  <c r="L21" i="46" s="1"/>
  <c r="P276" i="4"/>
  <c r="Q21" i="46" s="1"/>
  <c r="Q276" i="4"/>
  <c r="P21" i="46" s="1"/>
  <c r="S276" i="4"/>
  <c r="U21" i="46" s="1"/>
  <c r="T276" i="4"/>
  <c r="T21" i="46" s="1"/>
  <c r="D218" i="4"/>
  <c r="A21" i="45" s="1"/>
  <c r="E218" i="4"/>
  <c r="E21" i="45" s="1"/>
  <c r="G218" i="4"/>
  <c r="D21" i="45" s="1"/>
  <c r="J218" i="4"/>
  <c r="I21" i="45" s="1"/>
  <c r="K218" i="4"/>
  <c r="H21" i="45" s="1"/>
  <c r="M218" i="4"/>
  <c r="M21" i="45" s="1"/>
  <c r="N218" i="4"/>
  <c r="L21" i="45" s="1"/>
  <c r="P218" i="4"/>
  <c r="Q21" i="45" s="1"/>
  <c r="Q218" i="4"/>
  <c r="P21" i="45" s="1"/>
  <c r="S218" i="4"/>
  <c r="U21" i="45" s="1"/>
  <c r="T218" i="4"/>
  <c r="T21" i="45" s="1"/>
  <c r="D158" i="4"/>
  <c r="A21" i="44" s="1"/>
  <c r="E158" i="4"/>
  <c r="E21" i="44" s="1"/>
  <c r="G158" i="4"/>
  <c r="D21" i="44" s="1"/>
  <c r="J158" i="4"/>
  <c r="I21" i="44" s="1"/>
  <c r="K158" i="4"/>
  <c r="H21" i="44" s="1"/>
  <c r="M158" i="4"/>
  <c r="M21" i="44" s="1"/>
  <c r="N158" i="4"/>
  <c r="L21" i="44" s="1"/>
  <c r="P158" i="4"/>
  <c r="Q21" i="44" s="1"/>
  <c r="Q158" i="4"/>
  <c r="P21" i="44" s="1"/>
  <c r="S158" i="4"/>
  <c r="U21" i="44" s="1"/>
  <c r="T158" i="4"/>
  <c r="T21" i="44" s="1"/>
  <c r="H218" i="4"/>
  <c r="E24" i="4"/>
  <c r="E21" i="43" s="1"/>
  <c r="J24" i="4"/>
  <c r="M24" i="4"/>
  <c r="P24" i="4"/>
  <c r="S24" i="4"/>
  <c r="B131" i="30"/>
  <c r="I131" i="30"/>
  <c r="B104" i="30"/>
  <c r="I104" i="30"/>
  <c r="B77" i="30"/>
  <c r="I77" i="30"/>
  <c r="B50" i="30"/>
  <c r="I50" i="30"/>
  <c r="I23" i="30"/>
  <c r="B23" i="30"/>
  <c r="B16" i="39"/>
  <c r="C16" i="39"/>
  <c r="F16" i="39"/>
  <c r="I16" i="39"/>
  <c r="L16" i="39"/>
  <c r="O16" i="39"/>
  <c r="B17" i="39"/>
  <c r="C17" i="39"/>
  <c r="F17" i="39"/>
  <c r="I17" i="39"/>
  <c r="L17" i="39"/>
  <c r="O17" i="39"/>
  <c r="B18" i="39"/>
  <c r="C18" i="39"/>
  <c r="F18" i="39"/>
  <c r="I18" i="39"/>
  <c r="L18" i="39"/>
  <c r="O18" i="39"/>
  <c r="D336" i="4"/>
  <c r="A14" i="47" s="1"/>
  <c r="E336" i="4"/>
  <c r="E14" i="47" s="1"/>
  <c r="G336" i="4"/>
  <c r="D14" i="47" s="1"/>
  <c r="J336" i="4"/>
  <c r="I14" i="47" s="1"/>
  <c r="K336" i="4"/>
  <c r="H14" i="47" s="1"/>
  <c r="M336" i="4"/>
  <c r="M14" i="47" s="1"/>
  <c r="N336" i="4"/>
  <c r="L14" i="47" s="1"/>
  <c r="P336" i="4"/>
  <c r="Q14" i="47" s="1"/>
  <c r="Q336" i="4"/>
  <c r="P14" i="47" s="1"/>
  <c r="S336" i="4"/>
  <c r="U14" i="47" s="1"/>
  <c r="T336" i="4"/>
  <c r="T14" i="47" s="1"/>
  <c r="D337" i="4"/>
  <c r="A15" i="47" s="1"/>
  <c r="E337" i="4"/>
  <c r="E15" i="47" s="1"/>
  <c r="G337" i="4"/>
  <c r="D15" i="47" s="1"/>
  <c r="J337" i="4"/>
  <c r="I15" i="47" s="1"/>
  <c r="K337" i="4"/>
  <c r="H15" i="47" s="1"/>
  <c r="M337" i="4"/>
  <c r="M15" i="47" s="1"/>
  <c r="N337" i="4"/>
  <c r="L15" i="47" s="1"/>
  <c r="P337" i="4"/>
  <c r="Q15" i="47" s="1"/>
  <c r="Q337" i="4"/>
  <c r="P15" i="47" s="1"/>
  <c r="S337" i="4"/>
  <c r="U15" i="47" s="1"/>
  <c r="T337" i="4"/>
  <c r="T15" i="47" s="1"/>
  <c r="D338" i="4"/>
  <c r="A16" i="47" s="1"/>
  <c r="E338" i="4"/>
  <c r="E16" i="47" s="1"/>
  <c r="G338" i="4"/>
  <c r="D16" i="47" s="1"/>
  <c r="J338" i="4"/>
  <c r="I16" i="47" s="1"/>
  <c r="K338" i="4"/>
  <c r="H16" i="47" s="1"/>
  <c r="M338" i="4"/>
  <c r="M16" i="47" s="1"/>
  <c r="N338" i="4"/>
  <c r="L16" i="47" s="1"/>
  <c r="P338" i="4"/>
  <c r="Q16" i="47" s="1"/>
  <c r="Q338" i="4"/>
  <c r="P16" i="47" s="1"/>
  <c r="S338" i="4"/>
  <c r="U16" i="47" s="1"/>
  <c r="T338" i="4"/>
  <c r="T16" i="47" s="1"/>
  <c r="D339" i="4"/>
  <c r="A17" i="47" s="1"/>
  <c r="E339" i="4"/>
  <c r="E17" i="47" s="1"/>
  <c r="G339" i="4"/>
  <c r="D17" i="47" s="1"/>
  <c r="J339" i="4"/>
  <c r="I17" i="47" s="1"/>
  <c r="K339" i="4"/>
  <c r="H17" i="47" s="1"/>
  <c r="M339" i="4"/>
  <c r="M17" i="47" s="1"/>
  <c r="N339" i="4"/>
  <c r="L17" i="47" s="1"/>
  <c r="P339" i="4"/>
  <c r="Q17" i="47" s="1"/>
  <c r="Q339" i="4"/>
  <c r="P17" i="47" s="1"/>
  <c r="S339" i="4"/>
  <c r="U17" i="47" s="1"/>
  <c r="T339" i="4"/>
  <c r="T17" i="47" s="1"/>
  <c r="D269" i="4"/>
  <c r="A14" i="46" s="1"/>
  <c r="E269" i="4"/>
  <c r="E14" i="46" s="1"/>
  <c r="G269" i="4"/>
  <c r="D14" i="46" s="1"/>
  <c r="J269" i="4"/>
  <c r="I14" i="46" s="1"/>
  <c r="K269" i="4"/>
  <c r="H14" i="46" s="1"/>
  <c r="M269" i="4"/>
  <c r="M14" i="46" s="1"/>
  <c r="N269" i="4"/>
  <c r="L14" i="46" s="1"/>
  <c r="P269" i="4"/>
  <c r="Q14" i="46" s="1"/>
  <c r="Q269" i="4"/>
  <c r="P14" i="46" s="1"/>
  <c r="S269" i="4"/>
  <c r="U14" i="46" s="1"/>
  <c r="T269" i="4"/>
  <c r="T14" i="46" s="1"/>
  <c r="D270" i="4"/>
  <c r="A15" i="46" s="1"/>
  <c r="E270" i="4"/>
  <c r="E15" i="46" s="1"/>
  <c r="G270" i="4"/>
  <c r="D15" i="46" s="1"/>
  <c r="J270" i="4"/>
  <c r="I15" i="46" s="1"/>
  <c r="K270" i="4"/>
  <c r="H15" i="46" s="1"/>
  <c r="M270" i="4"/>
  <c r="M15" i="46" s="1"/>
  <c r="N270" i="4"/>
  <c r="L15" i="46" s="1"/>
  <c r="P270" i="4"/>
  <c r="Q15" i="46" s="1"/>
  <c r="Q270" i="4"/>
  <c r="P15" i="46" s="1"/>
  <c r="S270" i="4"/>
  <c r="U15" i="46" s="1"/>
  <c r="T270" i="4"/>
  <c r="T15" i="46" s="1"/>
  <c r="D271" i="4"/>
  <c r="A16" i="46" s="1"/>
  <c r="E271" i="4"/>
  <c r="E16" i="46" s="1"/>
  <c r="G271" i="4"/>
  <c r="D16" i="46" s="1"/>
  <c r="J271" i="4"/>
  <c r="I16" i="46" s="1"/>
  <c r="K271" i="4"/>
  <c r="H16" i="46" s="1"/>
  <c r="M271" i="4"/>
  <c r="M16" i="46" s="1"/>
  <c r="N271" i="4"/>
  <c r="L16" i="46" s="1"/>
  <c r="P271" i="4"/>
  <c r="Q16" i="46" s="1"/>
  <c r="Q271" i="4"/>
  <c r="P16" i="46" s="1"/>
  <c r="S271" i="4"/>
  <c r="U16" i="46" s="1"/>
  <c r="T271" i="4"/>
  <c r="T16" i="46" s="1"/>
  <c r="D211" i="4"/>
  <c r="A14" i="45" s="1"/>
  <c r="E211" i="4"/>
  <c r="E14" i="45" s="1"/>
  <c r="G211" i="4"/>
  <c r="D14" i="45" s="1"/>
  <c r="J211" i="4"/>
  <c r="I14" i="45" s="1"/>
  <c r="K211" i="4"/>
  <c r="H14" i="45" s="1"/>
  <c r="M211" i="4"/>
  <c r="M14" i="45" s="1"/>
  <c r="N211" i="4"/>
  <c r="L14" i="45" s="1"/>
  <c r="P211" i="4"/>
  <c r="Q14" i="45" s="1"/>
  <c r="Q211" i="4"/>
  <c r="P14" i="45" s="1"/>
  <c r="S211" i="4"/>
  <c r="U14" i="45" s="1"/>
  <c r="T211" i="4"/>
  <c r="T14" i="45" s="1"/>
  <c r="D212" i="4"/>
  <c r="A15" i="45" s="1"/>
  <c r="E212" i="4"/>
  <c r="E15" i="45" s="1"/>
  <c r="G212" i="4"/>
  <c r="D15" i="45" s="1"/>
  <c r="J212" i="4"/>
  <c r="I15" i="45" s="1"/>
  <c r="K212" i="4"/>
  <c r="H15" i="45" s="1"/>
  <c r="M212" i="4"/>
  <c r="M15" i="45" s="1"/>
  <c r="N212" i="4"/>
  <c r="L15" i="45" s="1"/>
  <c r="P212" i="4"/>
  <c r="Q15" i="45" s="1"/>
  <c r="Q212" i="4"/>
  <c r="P15" i="45" s="1"/>
  <c r="S212" i="4"/>
  <c r="U15" i="45" s="1"/>
  <c r="T212" i="4"/>
  <c r="T15" i="45" s="1"/>
  <c r="D213" i="4"/>
  <c r="A16" i="45" s="1"/>
  <c r="E213" i="4"/>
  <c r="E16" i="45" s="1"/>
  <c r="G213" i="4"/>
  <c r="D16" i="45" s="1"/>
  <c r="J213" i="4"/>
  <c r="I16" i="45" s="1"/>
  <c r="K213" i="4"/>
  <c r="H16" i="45" s="1"/>
  <c r="M213" i="4"/>
  <c r="M16" i="45" s="1"/>
  <c r="N213" i="4"/>
  <c r="L16" i="45" s="1"/>
  <c r="P213" i="4"/>
  <c r="Q16" i="45" s="1"/>
  <c r="Q213" i="4"/>
  <c r="P16" i="45" s="1"/>
  <c r="S213" i="4"/>
  <c r="U16" i="45" s="1"/>
  <c r="T213" i="4"/>
  <c r="T16" i="45" s="1"/>
  <c r="D151" i="4"/>
  <c r="A14" i="44" s="1"/>
  <c r="E151" i="4"/>
  <c r="E14" i="44" s="1"/>
  <c r="G151" i="4"/>
  <c r="D14" i="44" s="1"/>
  <c r="J151" i="4"/>
  <c r="I14" i="44" s="1"/>
  <c r="K151" i="4"/>
  <c r="H14" i="44" s="1"/>
  <c r="M151" i="4"/>
  <c r="M14" i="44" s="1"/>
  <c r="N151" i="4"/>
  <c r="L14" i="44" s="1"/>
  <c r="P151" i="4"/>
  <c r="Q14" i="44" s="1"/>
  <c r="Q151" i="4"/>
  <c r="P14" i="44" s="1"/>
  <c r="S151" i="4"/>
  <c r="U14" i="44" s="1"/>
  <c r="T151" i="4"/>
  <c r="T14" i="44" s="1"/>
  <c r="D152" i="4"/>
  <c r="A15" i="44" s="1"/>
  <c r="E152" i="4"/>
  <c r="E15" i="44" s="1"/>
  <c r="G152" i="4"/>
  <c r="D15" i="44" s="1"/>
  <c r="J152" i="4"/>
  <c r="I15" i="44" s="1"/>
  <c r="K152" i="4"/>
  <c r="H15" i="44" s="1"/>
  <c r="M152" i="4"/>
  <c r="M15" i="44" s="1"/>
  <c r="N152" i="4"/>
  <c r="L15" i="44" s="1"/>
  <c r="P152" i="4"/>
  <c r="Q15" i="44" s="1"/>
  <c r="Q152" i="4"/>
  <c r="P15" i="44" s="1"/>
  <c r="S152" i="4"/>
  <c r="U15" i="44" s="1"/>
  <c r="T152" i="4"/>
  <c r="T15" i="44" s="1"/>
  <c r="D153" i="4"/>
  <c r="A16" i="44" s="1"/>
  <c r="E153" i="4"/>
  <c r="E16" i="44" s="1"/>
  <c r="G153" i="4"/>
  <c r="D16" i="44" s="1"/>
  <c r="J153" i="4"/>
  <c r="I16" i="44" s="1"/>
  <c r="K153" i="4"/>
  <c r="H16" i="44" s="1"/>
  <c r="M153" i="4"/>
  <c r="M16" i="44" s="1"/>
  <c r="N153" i="4"/>
  <c r="L16" i="44" s="1"/>
  <c r="P153" i="4"/>
  <c r="Q16" i="44" s="1"/>
  <c r="Q153" i="4"/>
  <c r="P16" i="44" s="1"/>
  <c r="S153" i="4"/>
  <c r="U16" i="44" s="1"/>
  <c r="T153" i="4"/>
  <c r="T16" i="44" s="1"/>
  <c r="E20" i="4"/>
  <c r="E17" i="43" s="1"/>
  <c r="H20" i="4"/>
  <c r="H339" i="4" s="1"/>
  <c r="C17" i="47" s="1"/>
  <c r="J20" i="4"/>
  <c r="I17" i="43" s="1"/>
  <c r="M20" i="4"/>
  <c r="M17" i="43" s="1"/>
  <c r="P20" i="4"/>
  <c r="Q17" i="43" s="1"/>
  <c r="S20" i="4"/>
  <c r="U17" i="43" s="1"/>
  <c r="E17" i="4"/>
  <c r="E14" i="43" s="1"/>
  <c r="J17" i="4"/>
  <c r="I14" i="43" s="1"/>
  <c r="M17" i="4"/>
  <c r="M14" i="43" s="1"/>
  <c r="P17" i="4"/>
  <c r="Q14" i="43" s="1"/>
  <c r="S17" i="4"/>
  <c r="U14" i="43" s="1"/>
  <c r="E18" i="4"/>
  <c r="E15" i="43" s="1"/>
  <c r="J18" i="4"/>
  <c r="I15" i="43" s="1"/>
  <c r="M18" i="4"/>
  <c r="M15" i="43" s="1"/>
  <c r="P18" i="4"/>
  <c r="Q15" i="43" s="1"/>
  <c r="S18" i="4"/>
  <c r="U15" i="43" s="1"/>
  <c r="E19" i="4"/>
  <c r="E16" i="43" s="1"/>
  <c r="J19" i="4"/>
  <c r="I16" i="43" s="1"/>
  <c r="M19" i="4"/>
  <c r="M16" i="43" s="1"/>
  <c r="P19" i="4"/>
  <c r="Q16" i="43" s="1"/>
  <c r="S19" i="4"/>
  <c r="U16" i="43" s="1"/>
  <c r="I126" i="30"/>
  <c r="I127" i="30"/>
  <c r="I128" i="30"/>
  <c r="I124" i="30"/>
  <c r="I125" i="30"/>
  <c r="B123" i="30"/>
  <c r="B124" i="30"/>
  <c r="B125" i="30"/>
  <c r="B126" i="30"/>
  <c r="I96" i="30"/>
  <c r="I97" i="30"/>
  <c r="I98" i="30"/>
  <c r="I99" i="30"/>
  <c r="I100" i="30"/>
  <c r="B97" i="30"/>
  <c r="B98" i="30"/>
  <c r="B99" i="30"/>
  <c r="I69" i="30"/>
  <c r="I70" i="30"/>
  <c r="I71" i="30"/>
  <c r="I72" i="30"/>
  <c r="I73" i="30"/>
  <c r="I74" i="30"/>
  <c r="I75" i="30"/>
  <c r="B70" i="30"/>
  <c r="B71" i="30"/>
  <c r="B72" i="30"/>
  <c r="I43" i="30"/>
  <c r="I44" i="30"/>
  <c r="I45" i="30"/>
  <c r="I46" i="30"/>
  <c r="B43" i="30"/>
  <c r="B44" i="30"/>
  <c r="B45" i="30"/>
  <c r="I16" i="30"/>
  <c r="I17" i="30"/>
  <c r="I18" i="30"/>
  <c r="B16" i="30"/>
  <c r="B17" i="30"/>
  <c r="B18" i="30"/>
  <c r="B19" i="30"/>
  <c r="H285" i="4"/>
  <c r="U84" i="42"/>
  <c r="Q84" i="42"/>
  <c r="M84" i="42"/>
  <c r="I84" i="42"/>
  <c r="E84" i="42"/>
  <c r="C84" i="42"/>
  <c r="A84" i="42"/>
  <c r="B84" i="42"/>
  <c r="D84" i="42"/>
  <c r="C52" i="47"/>
  <c r="A52" i="47"/>
  <c r="B52" i="47"/>
  <c r="D52" i="47"/>
  <c r="H52" i="47"/>
  <c r="L52" i="47"/>
  <c r="P52" i="47"/>
  <c r="T52" i="47"/>
  <c r="W363" i="4"/>
  <c r="H362" i="4"/>
  <c r="U362" i="4" s="1"/>
  <c r="C53" i="46"/>
  <c r="G53" i="46" s="1"/>
  <c r="K53" i="46" s="1"/>
  <c r="A53" i="46"/>
  <c r="B53" i="46"/>
  <c r="D53" i="46"/>
  <c r="H53" i="46"/>
  <c r="L53" i="46"/>
  <c r="P53" i="46"/>
  <c r="T53" i="46"/>
  <c r="C55" i="45"/>
  <c r="A55" i="45"/>
  <c r="B55" i="45"/>
  <c r="D55" i="45"/>
  <c r="H55" i="45"/>
  <c r="L55" i="45"/>
  <c r="P55" i="45"/>
  <c r="T55" i="45"/>
  <c r="C54" i="44"/>
  <c r="G54" i="44" s="1"/>
  <c r="K54" i="44" s="1"/>
  <c r="A54" i="44"/>
  <c r="B54" i="44"/>
  <c r="D54" i="44"/>
  <c r="H54" i="44"/>
  <c r="L54" i="44"/>
  <c r="P54" i="44"/>
  <c r="T54" i="44"/>
  <c r="C77" i="43"/>
  <c r="A77" i="43"/>
  <c r="B77" i="43"/>
  <c r="D77" i="43"/>
  <c r="H77" i="43"/>
  <c r="L77" i="43"/>
  <c r="P77" i="43"/>
  <c r="T77" i="43"/>
  <c r="T10" i="47"/>
  <c r="P10" i="47"/>
  <c r="L10" i="47"/>
  <c r="H10" i="47"/>
  <c r="D10" i="47"/>
  <c r="B10" i="47"/>
  <c r="A10" i="47"/>
  <c r="T7" i="47"/>
  <c r="P7" i="47"/>
  <c r="L7" i="47"/>
  <c r="H7" i="47"/>
  <c r="D7" i="47"/>
  <c r="B7" i="47"/>
  <c r="A7" i="47"/>
  <c r="T10" i="46"/>
  <c r="P10" i="46"/>
  <c r="L10" i="46"/>
  <c r="H10" i="46"/>
  <c r="D10" i="46"/>
  <c r="B10" i="46"/>
  <c r="A10" i="46"/>
  <c r="T7" i="46"/>
  <c r="P7" i="46"/>
  <c r="L7" i="46"/>
  <c r="H7" i="46"/>
  <c r="D7" i="46"/>
  <c r="B7" i="46"/>
  <c r="A7" i="46"/>
  <c r="T10" i="45"/>
  <c r="P10" i="45"/>
  <c r="L10" i="45"/>
  <c r="H10" i="45"/>
  <c r="D10" i="45"/>
  <c r="B10" i="45"/>
  <c r="A10" i="45"/>
  <c r="T7" i="45"/>
  <c r="P7" i="45"/>
  <c r="L7" i="45"/>
  <c r="H7" i="45"/>
  <c r="D7" i="45"/>
  <c r="B7" i="45"/>
  <c r="A7" i="45"/>
  <c r="T10" i="44"/>
  <c r="P10" i="44"/>
  <c r="L10" i="44"/>
  <c r="H10" i="44"/>
  <c r="D10" i="44"/>
  <c r="B10" i="44"/>
  <c r="A10" i="44"/>
  <c r="T7" i="44"/>
  <c r="P7" i="44"/>
  <c r="L7" i="44"/>
  <c r="H7" i="44"/>
  <c r="D7" i="44"/>
  <c r="B7" i="44"/>
  <c r="A7" i="44"/>
  <c r="D355" i="4"/>
  <c r="D354" i="4"/>
  <c r="D353" i="4"/>
  <c r="D352" i="4"/>
  <c r="D288" i="4"/>
  <c r="D287" i="4"/>
  <c r="D286" i="4"/>
  <c r="D285" i="4"/>
  <c r="D230" i="4"/>
  <c r="D229" i="4"/>
  <c r="D228" i="4"/>
  <c r="D227" i="4"/>
  <c r="D170" i="4"/>
  <c r="D169" i="4"/>
  <c r="D168" i="4"/>
  <c r="D167" i="4"/>
  <c r="W370" i="4"/>
  <c r="W296" i="4"/>
  <c r="H295" i="4"/>
  <c r="U295" i="4" s="1"/>
  <c r="W241" i="4"/>
  <c r="H240" i="4"/>
  <c r="R240" i="4" s="1"/>
  <c r="W179" i="4"/>
  <c r="H178" i="4"/>
  <c r="U178" i="4" s="1"/>
  <c r="H76" i="4"/>
  <c r="N47" i="43" l="1"/>
  <c r="J46" i="43"/>
  <c r="H152" i="4"/>
  <c r="C15" i="44" s="1"/>
  <c r="F15" i="44" s="1"/>
  <c r="K46" i="42"/>
  <c r="J46" i="42"/>
  <c r="N45" i="43"/>
  <c r="O45" i="43"/>
  <c r="G134" i="42"/>
  <c r="J134" i="42" s="1"/>
  <c r="R47" i="42"/>
  <c r="S47" i="42"/>
  <c r="V47" i="42" s="1"/>
  <c r="N45" i="42"/>
  <c r="O45" i="42"/>
  <c r="F138" i="42"/>
  <c r="K138" i="42"/>
  <c r="O138" i="42" s="1"/>
  <c r="R47" i="43"/>
  <c r="S47" i="43"/>
  <c r="V47" i="43" s="1"/>
  <c r="N46" i="43"/>
  <c r="O46" i="43"/>
  <c r="R44" i="43"/>
  <c r="S44" i="43"/>
  <c r="V44" i="43" s="1"/>
  <c r="G137" i="42"/>
  <c r="R48" i="43"/>
  <c r="S48" i="43"/>
  <c r="V48" i="43" s="1"/>
  <c r="O133" i="42"/>
  <c r="R133" i="42" s="1"/>
  <c r="F135" i="42"/>
  <c r="G135" i="42"/>
  <c r="F136" i="42"/>
  <c r="G136" i="42"/>
  <c r="J119" i="43"/>
  <c r="O119" i="43"/>
  <c r="R119" i="43" s="1"/>
  <c r="K113" i="43"/>
  <c r="J113" i="43"/>
  <c r="O118" i="43"/>
  <c r="N118" i="43"/>
  <c r="O115" i="43"/>
  <c r="N115" i="43"/>
  <c r="O117" i="43"/>
  <c r="N117" i="43"/>
  <c r="N114" i="43"/>
  <c r="O114" i="43"/>
  <c r="O116" i="43"/>
  <c r="N116" i="43"/>
  <c r="N120" i="43"/>
  <c r="O120" i="43"/>
  <c r="O148" i="42"/>
  <c r="N148" i="42"/>
  <c r="O149" i="42"/>
  <c r="N149" i="42"/>
  <c r="N70" i="46"/>
  <c r="O70" i="46"/>
  <c r="X312" i="4"/>
  <c r="O69" i="46"/>
  <c r="N69" i="46"/>
  <c r="H153" i="4"/>
  <c r="C16" i="44" s="1"/>
  <c r="G16" i="44" s="1"/>
  <c r="M15" i="42"/>
  <c r="U218" i="4"/>
  <c r="U16" i="42"/>
  <c r="I16" i="42"/>
  <c r="Q14" i="42"/>
  <c r="E16" i="42"/>
  <c r="F16" i="42" s="1"/>
  <c r="G23" i="39"/>
  <c r="I15" i="42"/>
  <c r="J15" i="42" s="1"/>
  <c r="M14" i="42"/>
  <c r="Q16" i="42"/>
  <c r="E15" i="42"/>
  <c r="F15" i="42" s="1"/>
  <c r="F17" i="47"/>
  <c r="G17" i="47"/>
  <c r="M16" i="42"/>
  <c r="U14" i="42"/>
  <c r="F14" i="46"/>
  <c r="G14" i="46"/>
  <c r="J14" i="46" s="1"/>
  <c r="U15" i="42"/>
  <c r="I14" i="42"/>
  <c r="Q15" i="42"/>
  <c r="E14" i="42"/>
  <c r="E21" i="42"/>
  <c r="C14" i="42"/>
  <c r="P23" i="39"/>
  <c r="U21" i="43"/>
  <c r="U21" i="42" s="1"/>
  <c r="C17" i="43"/>
  <c r="G17" i="43" s="1"/>
  <c r="J17" i="43" s="1"/>
  <c r="C14" i="43"/>
  <c r="M23" i="39"/>
  <c r="J23" i="39"/>
  <c r="Q21" i="43"/>
  <c r="Q21" i="42" s="1"/>
  <c r="C15" i="43"/>
  <c r="F15" i="43" s="1"/>
  <c r="C21" i="45"/>
  <c r="C21" i="43"/>
  <c r="F21" i="43" s="1"/>
  <c r="D23" i="39"/>
  <c r="M21" i="43"/>
  <c r="M21" i="42" s="1"/>
  <c r="C21" i="42"/>
  <c r="G21" i="42" s="1"/>
  <c r="C16" i="43"/>
  <c r="F16" i="43" s="1"/>
  <c r="I21" i="43"/>
  <c r="I21" i="42" s="1"/>
  <c r="K15" i="42"/>
  <c r="G16" i="42"/>
  <c r="G15" i="44"/>
  <c r="H343" i="4"/>
  <c r="U343" i="4" s="1"/>
  <c r="R218" i="4"/>
  <c r="L218" i="4"/>
  <c r="H276" i="4"/>
  <c r="O218" i="4"/>
  <c r="I218" i="4"/>
  <c r="L24" i="4"/>
  <c r="U24" i="4"/>
  <c r="H158" i="4"/>
  <c r="R24" i="4"/>
  <c r="D16" i="39"/>
  <c r="O24" i="4"/>
  <c r="M18" i="39"/>
  <c r="H271" i="4"/>
  <c r="L271" i="4" s="1"/>
  <c r="H338" i="4"/>
  <c r="H336" i="4"/>
  <c r="H337" i="4"/>
  <c r="P17" i="39"/>
  <c r="D17" i="39"/>
  <c r="J18" i="39"/>
  <c r="G18" i="39"/>
  <c r="G16" i="39"/>
  <c r="M17" i="39"/>
  <c r="P16" i="39"/>
  <c r="M16" i="39"/>
  <c r="L339" i="4"/>
  <c r="D18" i="39"/>
  <c r="J16" i="39"/>
  <c r="J17" i="39"/>
  <c r="P18" i="39"/>
  <c r="G17" i="39"/>
  <c r="U339" i="4"/>
  <c r="I339" i="4"/>
  <c r="I269" i="4"/>
  <c r="R339" i="4"/>
  <c r="O339" i="4"/>
  <c r="L269" i="4"/>
  <c r="U269" i="4"/>
  <c r="R269" i="4"/>
  <c r="R17" i="4"/>
  <c r="H270" i="4"/>
  <c r="O269" i="4"/>
  <c r="I18" i="4"/>
  <c r="H213" i="4"/>
  <c r="I213" i="4" s="1"/>
  <c r="U152" i="4"/>
  <c r="H211" i="4"/>
  <c r="O19" i="4"/>
  <c r="H212" i="4"/>
  <c r="I152" i="4"/>
  <c r="O152" i="4"/>
  <c r="R20" i="4"/>
  <c r="F54" i="44"/>
  <c r="L152" i="4"/>
  <c r="H151" i="4"/>
  <c r="L18" i="4"/>
  <c r="R152" i="4"/>
  <c r="U20" i="4"/>
  <c r="O18" i="4"/>
  <c r="O20" i="4"/>
  <c r="U18" i="4"/>
  <c r="R18" i="4"/>
  <c r="L20" i="4"/>
  <c r="I20" i="4"/>
  <c r="L19" i="4"/>
  <c r="O17" i="4"/>
  <c r="U19" i="4"/>
  <c r="I19" i="4"/>
  <c r="L17" i="4"/>
  <c r="R19" i="4"/>
  <c r="U17" i="4"/>
  <c r="I17" i="4"/>
  <c r="F53" i="46"/>
  <c r="J54" i="44"/>
  <c r="O362" i="4"/>
  <c r="F52" i="47"/>
  <c r="F84" i="42"/>
  <c r="I362" i="4"/>
  <c r="L362" i="4"/>
  <c r="R362" i="4"/>
  <c r="F77" i="43"/>
  <c r="G84" i="42"/>
  <c r="G52" i="47"/>
  <c r="F55" i="45"/>
  <c r="N53" i="46"/>
  <c r="O53" i="46"/>
  <c r="J53" i="46"/>
  <c r="G55" i="45"/>
  <c r="N54" i="44"/>
  <c r="O54" i="44"/>
  <c r="G77" i="43"/>
  <c r="K77" i="43" s="1"/>
  <c r="N77" i="43" s="1"/>
  <c r="O295" i="4"/>
  <c r="L240" i="4"/>
  <c r="U240" i="4"/>
  <c r="L295" i="4"/>
  <c r="I295" i="4"/>
  <c r="R295" i="4"/>
  <c r="I240" i="4"/>
  <c r="O240" i="4"/>
  <c r="I178" i="4"/>
  <c r="L178" i="4"/>
  <c r="O178" i="4"/>
  <c r="R178" i="4"/>
  <c r="U76" i="4"/>
  <c r="R76" i="4"/>
  <c r="O76" i="4"/>
  <c r="L76" i="4"/>
  <c r="I76" i="4"/>
  <c r="E37" i="42"/>
  <c r="I37" i="42" s="1"/>
  <c r="B37" i="42"/>
  <c r="E36" i="42"/>
  <c r="I36" i="42" s="1"/>
  <c r="M36" i="42" s="1"/>
  <c r="B36" i="42"/>
  <c r="B35" i="42"/>
  <c r="T48" i="42"/>
  <c r="P48" i="42"/>
  <c r="L48" i="42"/>
  <c r="I48" i="42"/>
  <c r="M48" i="42" s="1"/>
  <c r="Q48" i="42" s="1"/>
  <c r="U48" i="42" s="1"/>
  <c r="H48" i="42"/>
  <c r="D48" i="42"/>
  <c r="C48" i="42"/>
  <c r="B48" i="42"/>
  <c r="A48" i="42"/>
  <c r="T44" i="42"/>
  <c r="D44" i="42"/>
  <c r="C44" i="42"/>
  <c r="G44" i="42" s="1"/>
  <c r="K44" i="42" s="1"/>
  <c r="B44" i="42"/>
  <c r="A44" i="42"/>
  <c r="I43" i="42"/>
  <c r="M43" i="42" s="1"/>
  <c r="Q43" i="42" s="1"/>
  <c r="U43" i="42" s="1"/>
  <c r="B43" i="42"/>
  <c r="A43" i="42"/>
  <c r="E42" i="42"/>
  <c r="I42" i="42" s="1"/>
  <c r="M42" i="42" s="1"/>
  <c r="Q42" i="42" s="1"/>
  <c r="B42" i="42"/>
  <c r="A42" i="42"/>
  <c r="E41" i="42"/>
  <c r="I41" i="42" s="1"/>
  <c r="B41" i="42"/>
  <c r="A41" i="42"/>
  <c r="T10" i="42"/>
  <c r="P10" i="42"/>
  <c r="L10" i="42"/>
  <c r="H10" i="42"/>
  <c r="D10" i="42"/>
  <c r="B10" i="42"/>
  <c r="A10" i="42"/>
  <c r="T7" i="42"/>
  <c r="P7" i="42"/>
  <c r="L7" i="42"/>
  <c r="H7" i="42"/>
  <c r="D7" i="42"/>
  <c r="B7" i="42"/>
  <c r="A7" i="42"/>
  <c r="T10" i="43"/>
  <c r="P10" i="43"/>
  <c r="L10" i="43"/>
  <c r="H10" i="43"/>
  <c r="D10" i="43"/>
  <c r="A10" i="43"/>
  <c r="T7" i="43"/>
  <c r="P7" i="43"/>
  <c r="L7" i="43"/>
  <c r="H7" i="43"/>
  <c r="D7" i="43"/>
  <c r="A7" i="43"/>
  <c r="B7" i="43"/>
  <c r="E42" i="43"/>
  <c r="I42" i="43" s="1"/>
  <c r="M42" i="43" s="1"/>
  <c r="Q42" i="43" s="1"/>
  <c r="U42" i="43" s="1"/>
  <c r="I43" i="43"/>
  <c r="M43" i="43" s="1"/>
  <c r="Q43" i="43" s="1"/>
  <c r="U43" i="43" s="1"/>
  <c r="B42" i="43"/>
  <c r="B43" i="43"/>
  <c r="A42" i="43"/>
  <c r="A43" i="43"/>
  <c r="T42" i="4"/>
  <c r="Q42" i="4"/>
  <c r="N42" i="4"/>
  <c r="L43" i="43" s="1"/>
  <c r="K42" i="4"/>
  <c r="H43" i="42" s="1"/>
  <c r="G42" i="4"/>
  <c r="D43" i="43" s="1"/>
  <c r="H42" i="4"/>
  <c r="C43" i="42" s="1"/>
  <c r="G43" i="42" s="1"/>
  <c r="U47" i="4"/>
  <c r="R47" i="4"/>
  <c r="O47" i="4"/>
  <c r="L47" i="4"/>
  <c r="I47" i="4"/>
  <c r="L44" i="42"/>
  <c r="W48" i="43" l="1"/>
  <c r="N138" i="42"/>
  <c r="K134" i="42"/>
  <c r="O134" i="42" s="1"/>
  <c r="S45" i="43"/>
  <c r="V45" i="43" s="1"/>
  <c r="R45" i="43"/>
  <c r="N46" i="42"/>
  <c r="O46" i="42"/>
  <c r="W47" i="42"/>
  <c r="R45" i="42"/>
  <c r="S45" i="42"/>
  <c r="V45" i="42" s="1"/>
  <c r="W44" i="43"/>
  <c r="W47" i="43"/>
  <c r="R46" i="43"/>
  <c r="S46" i="43"/>
  <c r="V46" i="43" s="1"/>
  <c r="S133" i="42"/>
  <c r="V133" i="42" s="1"/>
  <c r="W133" i="42" s="1"/>
  <c r="S119" i="43"/>
  <c r="V119" i="43" s="1"/>
  <c r="W119" i="43" s="1"/>
  <c r="J137" i="42"/>
  <c r="K137" i="42"/>
  <c r="J136" i="42"/>
  <c r="K136" i="42"/>
  <c r="K135" i="42"/>
  <c r="J135" i="42"/>
  <c r="R138" i="42"/>
  <c r="S138" i="42"/>
  <c r="V138" i="42" s="1"/>
  <c r="N113" i="43"/>
  <c r="O113" i="43"/>
  <c r="S117" i="43"/>
  <c r="V117" i="43" s="1"/>
  <c r="R117" i="43"/>
  <c r="R116" i="43"/>
  <c r="S116" i="43"/>
  <c r="V116" i="43" s="1"/>
  <c r="S115" i="43"/>
  <c r="V115" i="43" s="1"/>
  <c r="R115" i="43"/>
  <c r="S114" i="43"/>
  <c r="V114" i="43" s="1"/>
  <c r="R114" i="43"/>
  <c r="S118" i="43"/>
  <c r="V118" i="43" s="1"/>
  <c r="R118" i="43"/>
  <c r="R120" i="43"/>
  <c r="S120" i="43"/>
  <c r="V120" i="43" s="1"/>
  <c r="R149" i="42"/>
  <c r="S149" i="42"/>
  <c r="V149" i="42" s="1"/>
  <c r="S148" i="42"/>
  <c r="V148" i="42" s="1"/>
  <c r="R148" i="42"/>
  <c r="S70" i="46"/>
  <c r="V70" i="46" s="1"/>
  <c r="R70" i="46"/>
  <c r="O153" i="4"/>
  <c r="S69" i="46"/>
  <c r="V69" i="46" s="1"/>
  <c r="R69" i="46"/>
  <c r="F16" i="44"/>
  <c r="L153" i="4"/>
  <c r="U153" i="4"/>
  <c r="I153" i="4"/>
  <c r="R153" i="4"/>
  <c r="K17" i="43"/>
  <c r="N17" i="43" s="1"/>
  <c r="F14" i="42"/>
  <c r="O271" i="4"/>
  <c r="G15" i="43"/>
  <c r="J15" i="43" s="1"/>
  <c r="L343" i="4"/>
  <c r="C21" i="47"/>
  <c r="K14" i="46"/>
  <c r="O14" i="46" s="1"/>
  <c r="O151" i="4"/>
  <c r="C14" i="44"/>
  <c r="U212" i="4"/>
  <c r="C15" i="45"/>
  <c r="G14" i="42"/>
  <c r="J14" i="42" s="1"/>
  <c r="K17" i="47"/>
  <c r="J17" i="47"/>
  <c r="U338" i="4"/>
  <c r="C16" i="47"/>
  <c r="I270" i="4"/>
  <c r="C15" i="46"/>
  <c r="L276" i="4"/>
  <c r="C21" i="46"/>
  <c r="G16" i="43"/>
  <c r="K16" i="43" s="1"/>
  <c r="G21" i="43"/>
  <c r="L158" i="4"/>
  <c r="C21" i="44"/>
  <c r="O343" i="4"/>
  <c r="I211" i="4"/>
  <c r="C14" i="45"/>
  <c r="G21" i="45"/>
  <c r="F21" i="45"/>
  <c r="L337" i="4"/>
  <c r="C15" i="47"/>
  <c r="F17" i="43"/>
  <c r="L336" i="4"/>
  <c r="C14" i="47"/>
  <c r="F21" i="42"/>
  <c r="L213" i="4"/>
  <c r="C16" i="45"/>
  <c r="I271" i="4"/>
  <c r="C16" i="46"/>
  <c r="R343" i="4"/>
  <c r="F14" i="43"/>
  <c r="G14" i="43"/>
  <c r="K16" i="42"/>
  <c r="J16" i="42"/>
  <c r="N15" i="42"/>
  <c r="O15" i="42"/>
  <c r="J15" i="44"/>
  <c r="K15" i="44"/>
  <c r="K16" i="44"/>
  <c r="J16" i="44"/>
  <c r="O276" i="4"/>
  <c r="I343" i="4"/>
  <c r="R336" i="4"/>
  <c r="I276" i="4"/>
  <c r="V218" i="4"/>
  <c r="X218" i="4" s="1"/>
  <c r="V24" i="4"/>
  <c r="X24" i="4" s="1"/>
  <c r="R271" i="4"/>
  <c r="O336" i="4"/>
  <c r="R337" i="4"/>
  <c r="U276" i="4"/>
  <c r="R276" i="4"/>
  <c r="U336" i="4"/>
  <c r="I336" i="4"/>
  <c r="U271" i="4"/>
  <c r="R212" i="4"/>
  <c r="O337" i="4"/>
  <c r="U337" i="4"/>
  <c r="R158" i="4"/>
  <c r="O338" i="4"/>
  <c r="I337" i="4"/>
  <c r="U158" i="4"/>
  <c r="R338" i="4"/>
  <c r="I338" i="4"/>
  <c r="I158" i="4"/>
  <c r="L338" i="4"/>
  <c r="L212" i="4"/>
  <c r="O158" i="4"/>
  <c r="R270" i="4"/>
  <c r="O211" i="4"/>
  <c r="L270" i="4"/>
  <c r="V269" i="4"/>
  <c r="X269" i="4" s="1"/>
  <c r="V339" i="4"/>
  <c r="X339" i="4" s="1"/>
  <c r="R213" i="4"/>
  <c r="U213" i="4"/>
  <c r="R151" i="4"/>
  <c r="O270" i="4"/>
  <c r="O213" i="4"/>
  <c r="U270" i="4"/>
  <c r="I151" i="4"/>
  <c r="L211" i="4"/>
  <c r="R211" i="4"/>
  <c r="V152" i="4"/>
  <c r="X152" i="4" s="1"/>
  <c r="U151" i="4"/>
  <c r="V18" i="4"/>
  <c r="X18" i="4" s="1"/>
  <c r="O212" i="4"/>
  <c r="I212" i="4"/>
  <c r="U211" i="4"/>
  <c r="O77" i="43"/>
  <c r="S77" i="43" s="1"/>
  <c r="V77" i="43" s="1"/>
  <c r="L151" i="4"/>
  <c r="V20" i="4"/>
  <c r="X20" i="4" s="1"/>
  <c r="V17" i="4"/>
  <c r="X17" i="4" s="1"/>
  <c r="V19" i="4"/>
  <c r="X19" i="4" s="1"/>
  <c r="V362" i="4"/>
  <c r="X362" i="4" s="1"/>
  <c r="K84" i="42"/>
  <c r="J84" i="42"/>
  <c r="K52" i="47"/>
  <c r="J52" i="47"/>
  <c r="S53" i="46"/>
  <c r="V53" i="46" s="1"/>
  <c r="R53" i="46"/>
  <c r="K55" i="45"/>
  <c r="J55" i="45"/>
  <c r="S54" i="44"/>
  <c r="V54" i="44" s="1"/>
  <c r="R54" i="44"/>
  <c r="J77" i="43"/>
  <c r="F48" i="42"/>
  <c r="V240" i="4"/>
  <c r="X240" i="4" s="1"/>
  <c r="V295" i="4"/>
  <c r="X295" i="4" s="1"/>
  <c r="V178" i="4"/>
  <c r="X178" i="4" s="1"/>
  <c r="F44" i="42"/>
  <c r="V76" i="4"/>
  <c r="X76" i="4" s="1"/>
  <c r="D43" i="42"/>
  <c r="F43" i="42" s="1"/>
  <c r="H44" i="42"/>
  <c r="J44" i="42" s="1"/>
  <c r="P44" i="42"/>
  <c r="L42" i="4"/>
  <c r="L43" i="42"/>
  <c r="R42" i="4"/>
  <c r="C43" i="43"/>
  <c r="G43" i="43" s="1"/>
  <c r="K43" i="43" s="1"/>
  <c r="O43" i="43" s="1"/>
  <c r="S43" i="43" s="1"/>
  <c r="P43" i="43"/>
  <c r="U42" i="4"/>
  <c r="P43" i="42"/>
  <c r="H43" i="43"/>
  <c r="T43" i="42"/>
  <c r="T43" i="43"/>
  <c r="G48" i="42"/>
  <c r="K48" i="42" s="1"/>
  <c r="N48" i="42" s="1"/>
  <c r="I42" i="4"/>
  <c r="Q36" i="42"/>
  <c r="U36" i="42" s="1"/>
  <c r="M37" i="42"/>
  <c r="K43" i="42"/>
  <c r="J43" i="42"/>
  <c r="U42" i="42"/>
  <c r="O44" i="42"/>
  <c r="N44" i="42"/>
  <c r="M41" i="42"/>
  <c r="Q41" i="42" s="1"/>
  <c r="V47" i="4"/>
  <c r="X47" i="4" s="1"/>
  <c r="O42" i="4"/>
  <c r="N134" i="42" l="1"/>
  <c r="W70" i="46"/>
  <c r="W115" i="43"/>
  <c r="W45" i="43"/>
  <c r="S46" i="42"/>
  <c r="V46" i="42" s="1"/>
  <c r="R46" i="42"/>
  <c r="W45" i="42"/>
  <c r="W46" i="43"/>
  <c r="O137" i="42"/>
  <c r="N137" i="42"/>
  <c r="W114" i="43"/>
  <c r="W120" i="43"/>
  <c r="N135" i="42"/>
  <c r="O135" i="42"/>
  <c r="N136" i="42"/>
  <c r="O136" i="42"/>
  <c r="W138" i="42"/>
  <c r="S134" i="42"/>
  <c r="V134" i="42" s="1"/>
  <c r="R134" i="42"/>
  <c r="R113" i="43"/>
  <c r="S113" i="43"/>
  <c r="V113" i="43" s="1"/>
  <c r="W117" i="43"/>
  <c r="W116" i="43"/>
  <c r="W118" i="43"/>
  <c r="K15" i="43"/>
  <c r="O15" i="43" s="1"/>
  <c r="W148" i="42"/>
  <c r="W149" i="42"/>
  <c r="W69" i="46"/>
  <c r="V153" i="4"/>
  <c r="X153" i="4" s="1"/>
  <c r="K14" i="42"/>
  <c r="O14" i="42" s="1"/>
  <c r="O17" i="43"/>
  <c r="R17" i="43" s="1"/>
  <c r="J16" i="43"/>
  <c r="V343" i="4"/>
  <c r="X343" i="4" s="1"/>
  <c r="Q18" i="39"/>
  <c r="E23" i="39"/>
  <c r="E18" i="39"/>
  <c r="N23" i="39"/>
  <c r="H18" i="39"/>
  <c r="N14" i="46"/>
  <c r="K16" i="39"/>
  <c r="H23" i="39"/>
  <c r="K23" i="39"/>
  <c r="V276" i="4"/>
  <c r="X276" i="4" s="1"/>
  <c r="J14" i="43"/>
  <c r="K14" i="43"/>
  <c r="F14" i="45"/>
  <c r="G14" i="45"/>
  <c r="G21" i="46"/>
  <c r="F21" i="46"/>
  <c r="F15" i="45"/>
  <c r="G15" i="45"/>
  <c r="F15" i="46"/>
  <c r="G15" i="46"/>
  <c r="F14" i="47"/>
  <c r="G14" i="47"/>
  <c r="F16" i="46"/>
  <c r="G16" i="46"/>
  <c r="F21" i="44"/>
  <c r="G21" i="44"/>
  <c r="G14" i="44"/>
  <c r="F14" i="44"/>
  <c r="G15" i="47"/>
  <c r="F15" i="47"/>
  <c r="G16" i="47"/>
  <c r="F16" i="47"/>
  <c r="F16" i="45"/>
  <c r="G16" i="45"/>
  <c r="Q23" i="39"/>
  <c r="K21" i="43"/>
  <c r="J21" i="43"/>
  <c r="F21" i="47"/>
  <c r="G21" i="47"/>
  <c r="K21" i="42"/>
  <c r="J21" i="42"/>
  <c r="J21" i="45"/>
  <c r="K21" i="45"/>
  <c r="N17" i="47"/>
  <c r="O17" i="47"/>
  <c r="N16" i="43"/>
  <c r="O16" i="43"/>
  <c r="R15" i="42"/>
  <c r="S15" i="42"/>
  <c r="V15" i="42" s="1"/>
  <c r="N16" i="42"/>
  <c r="O16" i="42"/>
  <c r="N15" i="44"/>
  <c r="O15" i="44"/>
  <c r="N16" i="44"/>
  <c r="O16" i="44"/>
  <c r="R14" i="46"/>
  <c r="S14" i="46"/>
  <c r="V14" i="46" s="1"/>
  <c r="E16" i="39"/>
  <c r="K17" i="39"/>
  <c r="K18" i="39"/>
  <c r="V271" i="4"/>
  <c r="X271" i="4" s="1"/>
  <c r="V336" i="4"/>
  <c r="X336" i="4" s="1"/>
  <c r="N18" i="39"/>
  <c r="N17" i="39"/>
  <c r="V337" i="4"/>
  <c r="X337" i="4" s="1"/>
  <c r="V338" i="4"/>
  <c r="X338" i="4" s="1"/>
  <c r="E17" i="39"/>
  <c r="Q17" i="39"/>
  <c r="V158" i="4"/>
  <c r="X158" i="4" s="1"/>
  <c r="Q16" i="39"/>
  <c r="H17" i="39"/>
  <c r="H16" i="39"/>
  <c r="N16" i="39"/>
  <c r="V270" i="4"/>
  <c r="X270" i="4" s="1"/>
  <c r="V212" i="4"/>
  <c r="X212" i="4" s="1"/>
  <c r="R77" i="43"/>
  <c r="W77" i="43" s="1"/>
  <c r="V151" i="4"/>
  <c r="X151" i="4" s="1"/>
  <c r="V211" i="4"/>
  <c r="X211" i="4" s="1"/>
  <c r="V213" i="4"/>
  <c r="X213" i="4" s="1"/>
  <c r="N84" i="42"/>
  <c r="O84" i="42"/>
  <c r="N52" i="47"/>
  <c r="O52" i="47"/>
  <c r="W53" i="46"/>
  <c r="N55" i="45"/>
  <c r="O55" i="45"/>
  <c r="W54" i="44"/>
  <c r="V42" i="4"/>
  <c r="X42" i="4" s="1"/>
  <c r="O48" i="42"/>
  <c r="S48" i="42" s="1"/>
  <c r="V48" i="42" s="1"/>
  <c r="J48" i="42"/>
  <c r="Q37" i="42"/>
  <c r="S44" i="42"/>
  <c r="V44" i="42" s="1"/>
  <c r="R44" i="42"/>
  <c r="N43" i="42"/>
  <c r="O43" i="42"/>
  <c r="U41" i="42"/>
  <c r="A44" i="44"/>
  <c r="T76" i="43"/>
  <c r="P76" i="43"/>
  <c r="L76" i="43"/>
  <c r="H76" i="43"/>
  <c r="D76" i="43"/>
  <c r="C76" i="43"/>
  <c r="G76" i="43" s="1"/>
  <c r="K76" i="43" s="1"/>
  <c r="B76" i="43"/>
  <c r="A76" i="43"/>
  <c r="T83" i="42"/>
  <c r="P83" i="42"/>
  <c r="L83" i="42"/>
  <c r="H83" i="42"/>
  <c r="D83" i="42"/>
  <c r="C83" i="42"/>
  <c r="G83" i="42" s="1"/>
  <c r="B83" i="42"/>
  <c r="A83" i="42"/>
  <c r="D60" i="43"/>
  <c r="U378" i="4"/>
  <c r="R378" i="4"/>
  <c r="O378" i="4"/>
  <c r="L378" i="4"/>
  <c r="I378" i="4"/>
  <c r="U304" i="4"/>
  <c r="R304" i="4"/>
  <c r="O304" i="4"/>
  <c r="L304" i="4"/>
  <c r="I304" i="4"/>
  <c r="U249" i="4"/>
  <c r="R249" i="4"/>
  <c r="O249" i="4"/>
  <c r="L249" i="4"/>
  <c r="I249" i="4"/>
  <c r="R75" i="4"/>
  <c r="G64" i="4"/>
  <c r="N15" i="43" l="1"/>
  <c r="W46" i="42"/>
  <c r="R137" i="42"/>
  <c r="S137" i="42"/>
  <c r="V137" i="42" s="1"/>
  <c r="W134" i="42"/>
  <c r="S136" i="42"/>
  <c r="V136" i="42" s="1"/>
  <c r="R136" i="42"/>
  <c r="S135" i="42"/>
  <c r="V135" i="42" s="1"/>
  <c r="R135" i="42"/>
  <c r="W113" i="43"/>
  <c r="S17" i="43"/>
  <c r="V17" i="43" s="1"/>
  <c r="W17" i="43" s="1"/>
  <c r="N14" i="42"/>
  <c r="R23" i="39"/>
  <c r="O21" i="42"/>
  <c r="N21" i="42"/>
  <c r="K16" i="46"/>
  <c r="J16" i="46"/>
  <c r="K21" i="47"/>
  <c r="J21" i="47"/>
  <c r="J16" i="47"/>
  <c r="K16" i="47"/>
  <c r="J21" i="46"/>
  <c r="K21" i="46"/>
  <c r="R18" i="39"/>
  <c r="W14" i="46"/>
  <c r="J14" i="47"/>
  <c r="K14" i="47"/>
  <c r="J14" i="45"/>
  <c r="K14" i="45"/>
  <c r="R17" i="47"/>
  <c r="S17" i="47"/>
  <c r="V17" i="47" s="1"/>
  <c r="K15" i="47"/>
  <c r="J15" i="47"/>
  <c r="N21" i="43"/>
  <c r="O21" i="43"/>
  <c r="J15" i="46"/>
  <c r="K15" i="46"/>
  <c r="O14" i="43"/>
  <c r="N14" i="43"/>
  <c r="O21" i="45"/>
  <c r="N21" i="45"/>
  <c r="J14" i="44"/>
  <c r="K14" i="44"/>
  <c r="K16" i="45"/>
  <c r="J16" i="45"/>
  <c r="J21" i="44"/>
  <c r="K21" i="44"/>
  <c r="J15" i="45"/>
  <c r="K15" i="45"/>
  <c r="S16" i="43"/>
  <c r="V16" i="43" s="1"/>
  <c r="R16" i="43"/>
  <c r="R15" i="43"/>
  <c r="S15" i="43"/>
  <c r="V15" i="43" s="1"/>
  <c r="W15" i="42"/>
  <c r="R14" i="42"/>
  <c r="S14" i="42"/>
  <c r="V14" i="42" s="1"/>
  <c r="S16" i="42"/>
  <c r="V16" i="42" s="1"/>
  <c r="R16" i="42"/>
  <c r="S16" i="44"/>
  <c r="V16" i="44" s="1"/>
  <c r="R16" i="44"/>
  <c r="R15" i="44"/>
  <c r="S15" i="44"/>
  <c r="V15" i="44" s="1"/>
  <c r="R16" i="39"/>
  <c r="R17" i="39"/>
  <c r="S84" i="42"/>
  <c r="V84" i="42" s="1"/>
  <c r="R84" i="42"/>
  <c r="S52" i="47"/>
  <c r="V52" i="47" s="1"/>
  <c r="R52" i="47"/>
  <c r="C7" i="47"/>
  <c r="C7" i="44"/>
  <c r="C7" i="46"/>
  <c r="C7" i="45"/>
  <c r="S55" i="45"/>
  <c r="V55" i="45" s="1"/>
  <c r="R55" i="45"/>
  <c r="W44" i="42"/>
  <c r="C7" i="42"/>
  <c r="G7" i="42" s="1"/>
  <c r="C7" i="43"/>
  <c r="R48" i="42"/>
  <c r="W48" i="42" s="1"/>
  <c r="U37" i="42"/>
  <c r="S43" i="42"/>
  <c r="V43" i="42" s="1"/>
  <c r="R43" i="42"/>
  <c r="F76" i="43"/>
  <c r="V304" i="4"/>
  <c r="X304" i="4" s="1"/>
  <c r="V249" i="4"/>
  <c r="X249" i="4" s="1"/>
  <c r="V378" i="4"/>
  <c r="X378" i="4" s="1"/>
  <c r="O76" i="43"/>
  <c r="N76" i="43"/>
  <c r="J76" i="43"/>
  <c r="J83" i="42"/>
  <c r="K83" i="42"/>
  <c r="F83" i="42"/>
  <c r="I75" i="4"/>
  <c r="U75" i="4"/>
  <c r="L75" i="4"/>
  <c r="O75" i="4"/>
  <c r="A196" i="42"/>
  <c r="B196" i="42"/>
  <c r="D196" i="42"/>
  <c r="H196" i="42"/>
  <c r="L196" i="42"/>
  <c r="P196" i="42"/>
  <c r="T196" i="42"/>
  <c r="A197" i="42"/>
  <c r="B197" i="42"/>
  <c r="D197" i="42"/>
  <c r="P197" i="42"/>
  <c r="T197" i="42"/>
  <c r="A198" i="42"/>
  <c r="B198" i="42"/>
  <c r="D198" i="42"/>
  <c r="H198" i="42"/>
  <c r="L198" i="42"/>
  <c r="P198" i="42"/>
  <c r="T198" i="42"/>
  <c r="T195" i="42"/>
  <c r="P195" i="42"/>
  <c r="L195" i="42"/>
  <c r="H195" i="42"/>
  <c r="D195" i="42"/>
  <c r="C195" i="42"/>
  <c r="G195" i="42" s="1"/>
  <c r="K195" i="42" s="1"/>
  <c r="B195" i="42"/>
  <c r="A195" i="42"/>
  <c r="C112" i="43"/>
  <c r="C132" i="42" s="1"/>
  <c r="T143" i="42"/>
  <c r="T142" i="42"/>
  <c r="P143" i="42"/>
  <c r="P142" i="42"/>
  <c r="H143" i="42"/>
  <c r="H142" i="42"/>
  <c r="D143" i="42"/>
  <c r="D142" i="42"/>
  <c r="A142" i="42"/>
  <c r="B142" i="42"/>
  <c r="C142" i="42"/>
  <c r="A143" i="42"/>
  <c r="B143" i="42"/>
  <c r="C143" i="42"/>
  <c r="G143" i="42" s="1"/>
  <c r="T141" i="42"/>
  <c r="P141" i="42"/>
  <c r="L141" i="42"/>
  <c r="H141" i="42"/>
  <c r="D141" i="42"/>
  <c r="C141" i="42"/>
  <c r="G141" i="42" s="1"/>
  <c r="B141" i="42"/>
  <c r="A141" i="42"/>
  <c r="A131" i="42"/>
  <c r="B131" i="42"/>
  <c r="C131" i="42"/>
  <c r="D131" i="42"/>
  <c r="H131" i="42"/>
  <c r="L131" i="42"/>
  <c r="P131" i="42"/>
  <c r="T131" i="42"/>
  <c r="A132" i="42"/>
  <c r="B132" i="42"/>
  <c r="D132" i="42"/>
  <c r="H132" i="42"/>
  <c r="L132" i="42"/>
  <c r="P132" i="42"/>
  <c r="T132" i="42"/>
  <c r="B139" i="42"/>
  <c r="C139" i="42"/>
  <c r="G139" i="42" s="1"/>
  <c r="D139" i="42"/>
  <c r="H139" i="42"/>
  <c r="L139" i="42"/>
  <c r="P139" i="42"/>
  <c r="T139" i="42"/>
  <c r="B140" i="42"/>
  <c r="C140" i="42"/>
  <c r="D140" i="42"/>
  <c r="H140" i="42"/>
  <c r="L140" i="42"/>
  <c r="P140" i="42"/>
  <c r="T140" i="42"/>
  <c r="T130" i="42"/>
  <c r="P130" i="42"/>
  <c r="L130" i="42"/>
  <c r="H130" i="42"/>
  <c r="D130" i="42"/>
  <c r="C130" i="42"/>
  <c r="G130" i="42" s="1"/>
  <c r="B130" i="42"/>
  <c r="A130" i="42"/>
  <c r="T168" i="42"/>
  <c r="P168" i="42"/>
  <c r="L168" i="42"/>
  <c r="H168" i="42"/>
  <c r="D168" i="42"/>
  <c r="C168" i="42"/>
  <c r="B168" i="42"/>
  <c r="A168" i="42"/>
  <c r="T163" i="42"/>
  <c r="P163" i="42"/>
  <c r="L163" i="42"/>
  <c r="H163" i="42"/>
  <c r="D163" i="42"/>
  <c r="C163" i="42"/>
  <c r="G163" i="42" s="1"/>
  <c r="B163" i="42"/>
  <c r="A163" i="42"/>
  <c r="T162" i="42"/>
  <c r="P162" i="42"/>
  <c r="L162" i="42"/>
  <c r="H162" i="42"/>
  <c r="D162" i="42"/>
  <c r="C162" i="42"/>
  <c r="G162" i="42" s="1"/>
  <c r="B162" i="42"/>
  <c r="A162" i="42"/>
  <c r="T171" i="42"/>
  <c r="P171" i="42"/>
  <c r="L171" i="42"/>
  <c r="H171" i="42"/>
  <c r="D171" i="42"/>
  <c r="C171" i="42"/>
  <c r="G171" i="42" s="1"/>
  <c r="B171" i="42"/>
  <c r="A171" i="42"/>
  <c r="T174" i="42"/>
  <c r="P174" i="42"/>
  <c r="L174" i="42"/>
  <c r="H174" i="42"/>
  <c r="D174" i="42"/>
  <c r="C174" i="42"/>
  <c r="G174" i="42" s="1"/>
  <c r="B174" i="42"/>
  <c r="A174" i="42"/>
  <c r="A170" i="42"/>
  <c r="T173" i="42"/>
  <c r="P173" i="42"/>
  <c r="L173" i="42"/>
  <c r="H173" i="42"/>
  <c r="D173" i="42"/>
  <c r="C173" i="42"/>
  <c r="G173" i="42" s="1"/>
  <c r="B173" i="42"/>
  <c r="A173" i="42"/>
  <c r="A165" i="42"/>
  <c r="B165" i="42"/>
  <c r="C165" i="42"/>
  <c r="G165" i="42" s="1"/>
  <c r="K165" i="42" s="1"/>
  <c r="D165" i="42"/>
  <c r="H165" i="42"/>
  <c r="L165" i="42"/>
  <c r="P165" i="42"/>
  <c r="T165" i="42"/>
  <c r="A166" i="42"/>
  <c r="B166" i="42"/>
  <c r="C166" i="42"/>
  <c r="D166" i="42"/>
  <c r="H166" i="42"/>
  <c r="L166" i="42"/>
  <c r="P166" i="42"/>
  <c r="T166" i="42"/>
  <c r="A167" i="42"/>
  <c r="B167" i="42"/>
  <c r="C167" i="42"/>
  <c r="D167" i="42"/>
  <c r="H167" i="42"/>
  <c r="L167" i="42"/>
  <c r="P167" i="42"/>
  <c r="T167" i="42"/>
  <c r="B170" i="42"/>
  <c r="C170" i="42"/>
  <c r="G170" i="42" s="1"/>
  <c r="D170" i="42"/>
  <c r="H170" i="42"/>
  <c r="L170" i="42"/>
  <c r="P170" i="42"/>
  <c r="T170" i="42"/>
  <c r="A157" i="42"/>
  <c r="B157" i="42"/>
  <c r="C157" i="42"/>
  <c r="D157" i="42"/>
  <c r="P157" i="42"/>
  <c r="T157" i="42"/>
  <c r="A158" i="42"/>
  <c r="B158" i="42"/>
  <c r="C158" i="42"/>
  <c r="G158" i="42" s="1"/>
  <c r="D158" i="42"/>
  <c r="P158" i="42"/>
  <c r="T158" i="42"/>
  <c r="A159" i="42"/>
  <c r="B159" i="42"/>
  <c r="C159" i="42"/>
  <c r="D159" i="42"/>
  <c r="H159" i="42"/>
  <c r="L159" i="42"/>
  <c r="P159" i="42"/>
  <c r="T159" i="42"/>
  <c r="A160" i="42"/>
  <c r="B160" i="42"/>
  <c r="C160" i="42"/>
  <c r="D160" i="42"/>
  <c r="H160" i="42"/>
  <c r="L160" i="42"/>
  <c r="P160" i="42"/>
  <c r="T160" i="42"/>
  <c r="A161" i="42"/>
  <c r="B161" i="42"/>
  <c r="C161" i="42"/>
  <c r="G161" i="42" s="1"/>
  <c r="K161" i="42" s="1"/>
  <c r="D161" i="42"/>
  <c r="H161" i="42"/>
  <c r="L161" i="42"/>
  <c r="P161" i="42"/>
  <c r="T161" i="42"/>
  <c r="T156" i="42"/>
  <c r="P156" i="42"/>
  <c r="L156" i="42"/>
  <c r="H156" i="42"/>
  <c r="D156" i="42"/>
  <c r="C156" i="42"/>
  <c r="G156" i="42" s="1"/>
  <c r="K156" i="42" s="1"/>
  <c r="B156" i="42"/>
  <c r="A156" i="42"/>
  <c r="A153" i="42"/>
  <c r="B153" i="42"/>
  <c r="C153" i="42"/>
  <c r="G153" i="42" s="1"/>
  <c r="K153" i="42" s="1"/>
  <c r="D153" i="42"/>
  <c r="H153" i="42"/>
  <c r="L153" i="42"/>
  <c r="P153" i="42"/>
  <c r="T153" i="42"/>
  <c r="A154" i="42"/>
  <c r="B154" i="42"/>
  <c r="C154" i="42"/>
  <c r="G154" i="42" s="1"/>
  <c r="K154" i="42" s="1"/>
  <c r="D154" i="42"/>
  <c r="H154" i="42"/>
  <c r="L154" i="42"/>
  <c r="P154" i="42"/>
  <c r="T154" i="42"/>
  <c r="A155" i="42"/>
  <c r="B155" i="42"/>
  <c r="C155" i="42"/>
  <c r="D155" i="42"/>
  <c r="H155" i="42"/>
  <c r="L155" i="42"/>
  <c r="P155" i="42"/>
  <c r="T155" i="42"/>
  <c r="T152" i="42"/>
  <c r="P152" i="42"/>
  <c r="L152" i="42"/>
  <c r="H152" i="42"/>
  <c r="D152" i="42"/>
  <c r="C152" i="42"/>
  <c r="B152" i="42"/>
  <c r="A152" i="42"/>
  <c r="A176" i="42"/>
  <c r="B176" i="42"/>
  <c r="C176" i="42"/>
  <c r="G176" i="42" s="1"/>
  <c r="K176" i="42" s="1"/>
  <c r="O176" i="42" s="1"/>
  <c r="S176" i="42" s="1"/>
  <c r="D176" i="42"/>
  <c r="H176" i="42"/>
  <c r="L176" i="42"/>
  <c r="P176" i="42"/>
  <c r="T176" i="42"/>
  <c r="A177" i="42"/>
  <c r="B177" i="42"/>
  <c r="C177" i="42"/>
  <c r="D177" i="42"/>
  <c r="H177" i="42"/>
  <c r="L177" i="42"/>
  <c r="P177" i="42"/>
  <c r="T177" i="42"/>
  <c r="A178" i="42"/>
  <c r="B178" i="42"/>
  <c r="C178" i="42"/>
  <c r="G178" i="42" s="1"/>
  <c r="D178" i="42"/>
  <c r="H178" i="42"/>
  <c r="L178" i="42"/>
  <c r="P178" i="42"/>
  <c r="T178" i="42"/>
  <c r="A180" i="42"/>
  <c r="B180" i="42"/>
  <c r="C180" i="42"/>
  <c r="G180" i="42" s="1"/>
  <c r="D180" i="42"/>
  <c r="H180" i="42"/>
  <c r="L180" i="42"/>
  <c r="P180" i="42"/>
  <c r="T180" i="42"/>
  <c r="A181" i="42"/>
  <c r="B181" i="42"/>
  <c r="C181" i="42"/>
  <c r="D181" i="42"/>
  <c r="H181" i="42"/>
  <c r="L181" i="42"/>
  <c r="P181" i="42"/>
  <c r="T181" i="42"/>
  <c r="A182" i="42"/>
  <c r="B182" i="42"/>
  <c r="C182" i="42"/>
  <c r="G182" i="42" s="1"/>
  <c r="T151" i="42"/>
  <c r="P151" i="42"/>
  <c r="L151" i="42"/>
  <c r="H151" i="42"/>
  <c r="D151" i="42"/>
  <c r="C151" i="42"/>
  <c r="G151" i="42" s="1"/>
  <c r="K151" i="42" s="1"/>
  <c r="O151" i="42" s="1"/>
  <c r="S151" i="42" s="1"/>
  <c r="B151" i="42"/>
  <c r="A151" i="42"/>
  <c r="A118" i="42"/>
  <c r="B118" i="42"/>
  <c r="C118" i="42"/>
  <c r="D118" i="42"/>
  <c r="H118" i="42"/>
  <c r="L118" i="42"/>
  <c r="P118" i="42"/>
  <c r="T118" i="42"/>
  <c r="A119" i="42"/>
  <c r="B119" i="42"/>
  <c r="C119" i="42"/>
  <c r="G119" i="42" s="1"/>
  <c r="D119" i="42"/>
  <c r="H119" i="42"/>
  <c r="L119" i="42"/>
  <c r="P119" i="42"/>
  <c r="T119" i="42"/>
  <c r="A120" i="42"/>
  <c r="B120" i="42"/>
  <c r="C120" i="42"/>
  <c r="G120" i="42" s="1"/>
  <c r="D120" i="42"/>
  <c r="H120" i="42"/>
  <c r="L120" i="42"/>
  <c r="P120" i="42"/>
  <c r="T120" i="42"/>
  <c r="A121" i="42"/>
  <c r="B121" i="42"/>
  <c r="C121" i="42"/>
  <c r="D121" i="42"/>
  <c r="H121" i="42"/>
  <c r="L121" i="42"/>
  <c r="P121" i="42"/>
  <c r="T121" i="42"/>
  <c r="A122" i="42"/>
  <c r="B122" i="42"/>
  <c r="C122" i="42"/>
  <c r="G122" i="42" s="1"/>
  <c r="D122" i="42"/>
  <c r="H122" i="42"/>
  <c r="L122" i="42"/>
  <c r="P122" i="42"/>
  <c r="T122" i="42"/>
  <c r="A123" i="42"/>
  <c r="B123" i="42"/>
  <c r="C123" i="42"/>
  <c r="D123" i="42"/>
  <c r="H123" i="42"/>
  <c r="L123" i="42"/>
  <c r="P123" i="42"/>
  <c r="T123" i="42"/>
  <c r="A124" i="42"/>
  <c r="B124" i="42"/>
  <c r="C124" i="42"/>
  <c r="D124" i="42"/>
  <c r="H124" i="42"/>
  <c r="L124" i="42"/>
  <c r="P124" i="42"/>
  <c r="T124" i="42"/>
  <c r="A125" i="42"/>
  <c r="B125" i="42"/>
  <c r="C125" i="42"/>
  <c r="G125" i="42" s="1"/>
  <c r="D125" i="42"/>
  <c r="H125" i="42"/>
  <c r="L125" i="42"/>
  <c r="P125" i="42"/>
  <c r="T125" i="42"/>
  <c r="A126" i="42"/>
  <c r="B126" i="42"/>
  <c r="C126" i="42"/>
  <c r="G126" i="42" s="1"/>
  <c r="D126" i="42"/>
  <c r="H126" i="42"/>
  <c r="L126" i="42"/>
  <c r="P126" i="42"/>
  <c r="T126" i="42"/>
  <c r="T117" i="42"/>
  <c r="P117" i="42"/>
  <c r="L117" i="42"/>
  <c r="H117" i="42"/>
  <c r="D117" i="42"/>
  <c r="C117" i="42"/>
  <c r="G117" i="42" s="1"/>
  <c r="B117" i="42"/>
  <c r="A117" i="42"/>
  <c r="A111" i="42"/>
  <c r="B111" i="42"/>
  <c r="C111" i="42"/>
  <c r="G111" i="42" s="1"/>
  <c r="K111" i="42" s="1"/>
  <c r="D111" i="42"/>
  <c r="H111" i="42"/>
  <c r="L111" i="42"/>
  <c r="P111" i="42"/>
  <c r="T111" i="42"/>
  <c r="A112" i="42"/>
  <c r="B112" i="42"/>
  <c r="C112" i="42"/>
  <c r="G112" i="42" s="1"/>
  <c r="D112" i="42"/>
  <c r="H112" i="42"/>
  <c r="L112" i="42"/>
  <c r="P112" i="42"/>
  <c r="T112" i="42"/>
  <c r="A113" i="42"/>
  <c r="B113" i="42"/>
  <c r="C113" i="42"/>
  <c r="D113" i="42"/>
  <c r="H113" i="42"/>
  <c r="L113" i="42"/>
  <c r="P113" i="42"/>
  <c r="T113" i="42"/>
  <c r="T110" i="42"/>
  <c r="P110" i="42"/>
  <c r="L110" i="42"/>
  <c r="H110" i="42"/>
  <c r="D110" i="42"/>
  <c r="C110" i="42"/>
  <c r="G110" i="42" s="1"/>
  <c r="B110" i="42"/>
  <c r="A110" i="42"/>
  <c r="A109" i="42"/>
  <c r="T109" i="42"/>
  <c r="P109" i="42"/>
  <c r="L109" i="42"/>
  <c r="H109" i="42"/>
  <c r="D109" i="42"/>
  <c r="C109" i="42"/>
  <c r="G109" i="42" s="1"/>
  <c r="B109" i="42"/>
  <c r="T92" i="42"/>
  <c r="P92" i="42"/>
  <c r="L92" i="42"/>
  <c r="H92" i="42"/>
  <c r="D92" i="42"/>
  <c r="C92" i="42"/>
  <c r="G92" i="42" s="1"/>
  <c r="B92" i="42"/>
  <c r="A92" i="42"/>
  <c r="T91" i="42"/>
  <c r="P91" i="42"/>
  <c r="L91" i="42"/>
  <c r="H91" i="42"/>
  <c r="D91" i="42"/>
  <c r="C91" i="42"/>
  <c r="G91" i="42" s="1"/>
  <c r="B91" i="42"/>
  <c r="A91" i="42"/>
  <c r="A88" i="42"/>
  <c r="B88" i="42"/>
  <c r="C88" i="42"/>
  <c r="G88" i="42" s="1"/>
  <c r="D88" i="42"/>
  <c r="H88" i="42"/>
  <c r="L88" i="42"/>
  <c r="P88" i="42"/>
  <c r="T88" i="42"/>
  <c r="A89" i="42"/>
  <c r="B89" i="42"/>
  <c r="C89" i="42"/>
  <c r="D89" i="42"/>
  <c r="H89" i="42"/>
  <c r="L89" i="42"/>
  <c r="P89" i="42"/>
  <c r="T89" i="42"/>
  <c r="A90" i="42"/>
  <c r="B90" i="42"/>
  <c r="C90" i="42"/>
  <c r="G90" i="42" s="1"/>
  <c r="D90" i="42"/>
  <c r="H90" i="42"/>
  <c r="L90" i="42"/>
  <c r="P90" i="42"/>
  <c r="T90" i="42"/>
  <c r="T87" i="42"/>
  <c r="P87" i="42"/>
  <c r="L87" i="42"/>
  <c r="H87" i="42"/>
  <c r="D87" i="42"/>
  <c r="C87" i="42"/>
  <c r="G87" i="42" s="1"/>
  <c r="B87" i="42"/>
  <c r="A87" i="42"/>
  <c r="A86" i="42"/>
  <c r="B86" i="42"/>
  <c r="C86" i="42"/>
  <c r="H86" i="42"/>
  <c r="L86" i="42"/>
  <c r="P86" i="42"/>
  <c r="T86" i="42"/>
  <c r="T85" i="42"/>
  <c r="P85" i="42"/>
  <c r="L85" i="42"/>
  <c r="H85" i="42"/>
  <c r="D85" i="42"/>
  <c r="C85" i="42"/>
  <c r="G85" i="42" s="1"/>
  <c r="B85" i="42"/>
  <c r="A85" i="42"/>
  <c r="A79" i="42"/>
  <c r="B79" i="42"/>
  <c r="C79" i="42"/>
  <c r="D79" i="42"/>
  <c r="H79" i="42"/>
  <c r="L79" i="42"/>
  <c r="P79" i="42"/>
  <c r="T79" i="42"/>
  <c r="A80" i="42"/>
  <c r="B80" i="42"/>
  <c r="C80" i="42"/>
  <c r="G80" i="42" s="1"/>
  <c r="D80" i="42"/>
  <c r="H80" i="42"/>
  <c r="L80" i="42"/>
  <c r="P80" i="42"/>
  <c r="T80" i="42"/>
  <c r="A81" i="42"/>
  <c r="B81" i="42"/>
  <c r="D81" i="42"/>
  <c r="H81" i="42"/>
  <c r="L81" i="42"/>
  <c r="P81" i="42"/>
  <c r="T81" i="42"/>
  <c r="A82" i="42"/>
  <c r="B82" i="42"/>
  <c r="D82" i="42"/>
  <c r="H82" i="42"/>
  <c r="L82" i="42"/>
  <c r="P82" i="42"/>
  <c r="T82" i="42"/>
  <c r="A93" i="42"/>
  <c r="A94" i="42"/>
  <c r="A95" i="42"/>
  <c r="B95" i="42"/>
  <c r="C95" i="42"/>
  <c r="D95" i="42"/>
  <c r="H95" i="42"/>
  <c r="L95" i="42"/>
  <c r="P95" i="42"/>
  <c r="T95" i="42"/>
  <c r="A96" i="42"/>
  <c r="B96" i="42"/>
  <c r="C96" i="42"/>
  <c r="D96" i="42"/>
  <c r="H96" i="42"/>
  <c r="L96" i="42"/>
  <c r="P96" i="42"/>
  <c r="T96" i="42"/>
  <c r="A97" i="42"/>
  <c r="B97" i="42"/>
  <c r="C97" i="42"/>
  <c r="D97" i="42"/>
  <c r="H97" i="42"/>
  <c r="L97" i="42"/>
  <c r="P97" i="42"/>
  <c r="T97" i="42"/>
  <c r="A98" i="42"/>
  <c r="B98" i="42"/>
  <c r="C98" i="42"/>
  <c r="G98" i="42" s="1"/>
  <c r="D98" i="42"/>
  <c r="H98" i="42"/>
  <c r="L98" i="42"/>
  <c r="P98" i="42"/>
  <c r="T98" i="42"/>
  <c r="A99" i="42"/>
  <c r="B99" i="42"/>
  <c r="C99" i="42"/>
  <c r="D99" i="42"/>
  <c r="H99" i="42"/>
  <c r="L99" i="42"/>
  <c r="P99" i="42"/>
  <c r="T99" i="42"/>
  <c r="A100" i="42"/>
  <c r="A101" i="42"/>
  <c r="B101" i="42"/>
  <c r="C101" i="42"/>
  <c r="D101" i="42"/>
  <c r="H101" i="42"/>
  <c r="L101" i="42"/>
  <c r="P101" i="42"/>
  <c r="T101" i="42"/>
  <c r="A102" i="42"/>
  <c r="B102" i="42"/>
  <c r="C102" i="42"/>
  <c r="G102" i="42" s="1"/>
  <c r="D102" i="42"/>
  <c r="H102" i="42"/>
  <c r="L102" i="42"/>
  <c r="P102" i="42"/>
  <c r="T102" i="42"/>
  <c r="A103" i="42"/>
  <c r="B103" i="42"/>
  <c r="C103" i="42"/>
  <c r="D103" i="42"/>
  <c r="H103" i="42"/>
  <c r="L103" i="42"/>
  <c r="P103" i="42"/>
  <c r="T103" i="42"/>
  <c r="A104" i="42"/>
  <c r="A105" i="42"/>
  <c r="B105" i="42"/>
  <c r="C105" i="42"/>
  <c r="D105" i="42"/>
  <c r="H105" i="42"/>
  <c r="L105" i="42"/>
  <c r="P105" i="42"/>
  <c r="T105" i="42"/>
  <c r="T78" i="42"/>
  <c r="P78" i="42"/>
  <c r="L78" i="42"/>
  <c r="H78" i="42"/>
  <c r="D78" i="42"/>
  <c r="C78" i="42"/>
  <c r="G78" i="42" s="1"/>
  <c r="B78" i="42"/>
  <c r="A78" i="42"/>
  <c r="T77" i="42"/>
  <c r="P77" i="42"/>
  <c r="L77" i="42"/>
  <c r="B77" i="42"/>
  <c r="A77" i="42"/>
  <c r="C71" i="42"/>
  <c r="G71" i="42" s="1"/>
  <c r="B71" i="42"/>
  <c r="A71" i="42"/>
  <c r="T64" i="42"/>
  <c r="P64" i="42"/>
  <c r="H64" i="42"/>
  <c r="B64" i="42"/>
  <c r="C73" i="42"/>
  <c r="B73" i="42"/>
  <c r="A73" i="42"/>
  <c r="C62" i="42"/>
  <c r="G62" i="42" s="1"/>
  <c r="B62" i="42"/>
  <c r="A62" i="42"/>
  <c r="T72" i="42"/>
  <c r="D72" i="42"/>
  <c r="C72" i="42"/>
  <c r="G72" i="42" s="1"/>
  <c r="B72" i="42"/>
  <c r="A72" i="42"/>
  <c r="T61" i="42"/>
  <c r="P61" i="42"/>
  <c r="L61" i="42"/>
  <c r="H61" i="42"/>
  <c r="D61" i="42"/>
  <c r="C61" i="42"/>
  <c r="B61" i="42"/>
  <c r="A61" i="42"/>
  <c r="A60" i="42"/>
  <c r="B60" i="42"/>
  <c r="C60" i="42"/>
  <c r="D60" i="42"/>
  <c r="H60" i="42"/>
  <c r="L60" i="42"/>
  <c r="P60" i="42"/>
  <c r="T60" i="42"/>
  <c r="C59" i="42"/>
  <c r="G59" i="42" s="1"/>
  <c r="K59" i="42" s="1"/>
  <c r="B59" i="42"/>
  <c r="A59" i="42"/>
  <c r="C70" i="42"/>
  <c r="G70" i="42" s="1"/>
  <c r="B70" i="42"/>
  <c r="A70" i="42"/>
  <c r="C69" i="42"/>
  <c r="G69" i="42" s="1"/>
  <c r="B69" i="42"/>
  <c r="A69" i="42"/>
  <c r="C68" i="42"/>
  <c r="G68" i="42" s="1"/>
  <c r="B68" i="42"/>
  <c r="A68" i="42"/>
  <c r="C67" i="42"/>
  <c r="B67" i="42"/>
  <c r="A67" i="42"/>
  <c r="C66" i="42"/>
  <c r="G66" i="42" s="1"/>
  <c r="B66" i="42"/>
  <c r="A66" i="42"/>
  <c r="D58" i="42"/>
  <c r="C58" i="42"/>
  <c r="G58" i="42" s="1"/>
  <c r="B58" i="42"/>
  <c r="A58" i="42"/>
  <c r="C57" i="42"/>
  <c r="B57" i="42"/>
  <c r="A57" i="42"/>
  <c r="C56" i="42"/>
  <c r="B56" i="42"/>
  <c r="A56" i="42"/>
  <c r="T54" i="42"/>
  <c r="P54" i="42"/>
  <c r="L54" i="42"/>
  <c r="H54" i="42"/>
  <c r="D54" i="42"/>
  <c r="C54" i="42"/>
  <c r="G54" i="42" s="1"/>
  <c r="K54" i="42" s="1"/>
  <c r="B54" i="42"/>
  <c r="A54" i="42"/>
  <c r="T53" i="42"/>
  <c r="P53" i="42"/>
  <c r="L53" i="42"/>
  <c r="H53" i="42"/>
  <c r="D53" i="42"/>
  <c r="C53" i="42"/>
  <c r="G53" i="42" s="1"/>
  <c r="B53" i="42"/>
  <c r="A53" i="42"/>
  <c r="A67" i="47"/>
  <c r="B67" i="47"/>
  <c r="C67" i="47"/>
  <c r="D67" i="47"/>
  <c r="H67" i="47"/>
  <c r="L67" i="47"/>
  <c r="P67" i="47"/>
  <c r="T67" i="47"/>
  <c r="T66" i="47"/>
  <c r="P66" i="47"/>
  <c r="L66" i="47"/>
  <c r="H66" i="47"/>
  <c r="D66" i="47"/>
  <c r="C66" i="47"/>
  <c r="G66" i="47" s="1"/>
  <c r="B66" i="47"/>
  <c r="A66" i="47"/>
  <c r="A50" i="47"/>
  <c r="B50" i="47"/>
  <c r="C50" i="47"/>
  <c r="D50" i="47"/>
  <c r="H50" i="47"/>
  <c r="L50" i="47"/>
  <c r="P50" i="47"/>
  <c r="T50" i="47"/>
  <c r="A51" i="47"/>
  <c r="B51" i="47"/>
  <c r="C51" i="47"/>
  <c r="G51" i="47" s="1"/>
  <c r="D51" i="47"/>
  <c r="H51" i="47"/>
  <c r="L51" i="47"/>
  <c r="P51" i="47"/>
  <c r="T51" i="47"/>
  <c r="A64" i="46"/>
  <c r="B64" i="46"/>
  <c r="C64" i="46"/>
  <c r="D64" i="46"/>
  <c r="H64" i="46"/>
  <c r="L64" i="46"/>
  <c r="P64" i="46"/>
  <c r="T64" i="46"/>
  <c r="T63" i="46"/>
  <c r="P63" i="46"/>
  <c r="L63" i="46"/>
  <c r="H63" i="46"/>
  <c r="D63" i="46"/>
  <c r="C63" i="46"/>
  <c r="B63" i="46"/>
  <c r="A63" i="46"/>
  <c r="A51" i="46"/>
  <c r="B51" i="46"/>
  <c r="C51" i="46"/>
  <c r="G51" i="46" s="1"/>
  <c r="K51" i="46" s="1"/>
  <c r="D51" i="46"/>
  <c r="H51" i="46"/>
  <c r="L51" i="46"/>
  <c r="P51" i="46"/>
  <c r="T51" i="46"/>
  <c r="A52" i="46"/>
  <c r="B52" i="46"/>
  <c r="C52" i="46"/>
  <c r="D52" i="46"/>
  <c r="H52" i="46"/>
  <c r="L52" i="46"/>
  <c r="P52" i="46"/>
  <c r="T52" i="46"/>
  <c r="A53" i="45"/>
  <c r="B53" i="45"/>
  <c r="C53" i="45"/>
  <c r="G53" i="45" s="1"/>
  <c r="K53" i="45" s="1"/>
  <c r="D53" i="45"/>
  <c r="H53" i="45"/>
  <c r="L53" i="45"/>
  <c r="P53" i="45"/>
  <c r="T53" i="45"/>
  <c r="A54" i="45"/>
  <c r="B54" i="45"/>
  <c r="C54" i="45"/>
  <c r="D54" i="45"/>
  <c r="H54" i="45"/>
  <c r="L54" i="45"/>
  <c r="P54" i="45"/>
  <c r="T54" i="45"/>
  <c r="A66" i="45"/>
  <c r="B66" i="45"/>
  <c r="C66" i="45"/>
  <c r="D66" i="45"/>
  <c r="H66" i="45"/>
  <c r="L66" i="45"/>
  <c r="P66" i="45"/>
  <c r="T66" i="45"/>
  <c r="T65" i="45"/>
  <c r="P65" i="45"/>
  <c r="L65" i="45"/>
  <c r="H65" i="45"/>
  <c r="D65" i="45"/>
  <c r="C65" i="45"/>
  <c r="G65" i="45" s="1"/>
  <c r="B65" i="45"/>
  <c r="A65" i="45"/>
  <c r="A65" i="44"/>
  <c r="B65" i="44"/>
  <c r="C65" i="44"/>
  <c r="D65" i="44"/>
  <c r="H65" i="44"/>
  <c r="L65" i="44"/>
  <c r="P65" i="44"/>
  <c r="T65" i="44"/>
  <c r="A66" i="44"/>
  <c r="B66" i="44"/>
  <c r="C66" i="44"/>
  <c r="G66" i="44" s="1"/>
  <c r="D66" i="44"/>
  <c r="H66" i="44"/>
  <c r="L66" i="44"/>
  <c r="P66" i="44"/>
  <c r="T66" i="44"/>
  <c r="A52" i="44"/>
  <c r="A53" i="44"/>
  <c r="B53" i="44"/>
  <c r="C53" i="44"/>
  <c r="D53" i="44"/>
  <c r="H53" i="44"/>
  <c r="L53" i="44"/>
  <c r="P53" i="44"/>
  <c r="T53" i="44"/>
  <c r="T59" i="4"/>
  <c r="T68" i="42" s="1"/>
  <c r="Q59" i="4"/>
  <c r="P68" i="42" s="1"/>
  <c r="N59" i="4"/>
  <c r="L68" i="42" s="1"/>
  <c r="K59" i="4"/>
  <c r="H68" i="42" s="1"/>
  <c r="G59" i="4"/>
  <c r="D68" i="42" s="1"/>
  <c r="C198" i="42"/>
  <c r="C196" i="42"/>
  <c r="G196" i="42" s="1"/>
  <c r="K196" i="42" s="1"/>
  <c r="W375" i="4"/>
  <c r="U374" i="4"/>
  <c r="R374" i="4"/>
  <c r="O374" i="4"/>
  <c r="L374" i="4"/>
  <c r="I374" i="4"/>
  <c r="U373" i="4"/>
  <c r="R373" i="4"/>
  <c r="O373" i="4"/>
  <c r="L373" i="4"/>
  <c r="I373" i="4"/>
  <c r="W301" i="4"/>
  <c r="U300" i="4"/>
  <c r="R300" i="4"/>
  <c r="O300" i="4"/>
  <c r="L300" i="4"/>
  <c r="I300" i="4"/>
  <c r="U299" i="4"/>
  <c r="R299" i="4"/>
  <c r="O299" i="4"/>
  <c r="L299" i="4"/>
  <c r="I299" i="4"/>
  <c r="W246" i="4"/>
  <c r="U245" i="4"/>
  <c r="R245" i="4"/>
  <c r="O245" i="4"/>
  <c r="L245" i="4"/>
  <c r="I245" i="4"/>
  <c r="U244" i="4"/>
  <c r="R244" i="4"/>
  <c r="O244" i="4"/>
  <c r="L244" i="4"/>
  <c r="I244" i="4"/>
  <c r="W185" i="4"/>
  <c r="U184" i="4"/>
  <c r="R184" i="4"/>
  <c r="O184" i="4"/>
  <c r="L184" i="4"/>
  <c r="I184" i="4"/>
  <c r="U183" i="4"/>
  <c r="R183" i="4"/>
  <c r="O183" i="4"/>
  <c r="L183" i="4"/>
  <c r="I183" i="4"/>
  <c r="U361" i="4"/>
  <c r="R361" i="4"/>
  <c r="O361" i="4"/>
  <c r="L361" i="4"/>
  <c r="I361" i="4"/>
  <c r="U360" i="4"/>
  <c r="R360" i="4"/>
  <c r="O360" i="4"/>
  <c r="L360" i="4"/>
  <c r="I360" i="4"/>
  <c r="W356" i="4"/>
  <c r="U294" i="4"/>
  <c r="R294" i="4"/>
  <c r="O294" i="4"/>
  <c r="L294" i="4"/>
  <c r="I294" i="4"/>
  <c r="U293" i="4"/>
  <c r="R293" i="4"/>
  <c r="O293" i="4"/>
  <c r="L293" i="4"/>
  <c r="I293" i="4"/>
  <c r="W289" i="4"/>
  <c r="U239" i="4"/>
  <c r="R239" i="4"/>
  <c r="O239" i="4"/>
  <c r="L239" i="4"/>
  <c r="I239" i="4"/>
  <c r="U238" i="4"/>
  <c r="R238" i="4"/>
  <c r="O238" i="4"/>
  <c r="L238" i="4"/>
  <c r="I238" i="4"/>
  <c r="U177" i="4"/>
  <c r="R177" i="4"/>
  <c r="O177" i="4"/>
  <c r="L177" i="4"/>
  <c r="I177" i="4"/>
  <c r="W137" i="42" l="1"/>
  <c r="W135" i="42"/>
  <c r="W136" i="42"/>
  <c r="W17" i="47"/>
  <c r="N14" i="47"/>
  <c r="O14" i="47"/>
  <c r="O21" i="44"/>
  <c r="N21" i="44"/>
  <c r="R21" i="45"/>
  <c r="S21" i="45"/>
  <c r="V21" i="45" s="1"/>
  <c r="W16" i="44"/>
  <c r="N15" i="47"/>
  <c r="O15" i="47"/>
  <c r="O21" i="47"/>
  <c r="N21" i="47"/>
  <c r="R14" i="43"/>
  <c r="S14" i="43"/>
  <c r="V14" i="43" s="1"/>
  <c r="N16" i="45"/>
  <c r="O16" i="45"/>
  <c r="O15" i="46"/>
  <c r="N15" i="46"/>
  <c r="O16" i="46"/>
  <c r="N16" i="46"/>
  <c r="O21" i="46"/>
  <c r="N21" i="46"/>
  <c r="N14" i="44"/>
  <c r="O14" i="44"/>
  <c r="S21" i="43"/>
  <c r="V21" i="43" s="1"/>
  <c r="R21" i="43"/>
  <c r="O14" i="45"/>
  <c r="N14" i="45"/>
  <c r="S21" i="42"/>
  <c r="V21" i="42" s="1"/>
  <c r="R21" i="42"/>
  <c r="N15" i="45"/>
  <c r="O15" i="45"/>
  <c r="O16" i="47"/>
  <c r="N16" i="47"/>
  <c r="W15" i="43"/>
  <c r="W16" i="42"/>
  <c r="W16" i="43"/>
  <c r="W14" i="42"/>
  <c r="W15" i="44"/>
  <c r="W84" i="42"/>
  <c r="W52" i="47"/>
  <c r="G7" i="45"/>
  <c r="G7" i="46"/>
  <c r="G7" i="44"/>
  <c r="G7" i="47"/>
  <c r="W55" i="45"/>
  <c r="W43" i="42"/>
  <c r="G7" i="43"/>
  <c r="K7" i="42"/>
  <c r="F66" i="45"/>
  <c r="F54" i="45"/>
  <c r="F53" i="45"/>
  <c r="S76" i="43"/>
  <c r="V76" i="43" s="1"/>
  <c r="R76" i="43"/>
  <c r="O83" i="42"/>
  <c r="N83" i="42"/>
  <c r="V75" i="4"/>
  <c r="X75" i="4" s="1"/>
  <c r="U375" i="4"/>
  <c r="F51" i="47"/>
  <c r="F67" i="47"/>
  <c r="F66" i="44"/>
  <c r="L143" i="42"/>
  <c r="F51" i="46"/>
  <c r="F50" i="47"/>
  <c r="C77" i="42"/>
  <c r="F77" i="42" s="1"/>
  <c r="L142" i="42"/>
  <c r="F64" i="46"/>
  <c r="U246" i="4"/>
  <c r="J51" i="47"/>
  <c r="G66" i="45"/>
  <c r="K66" i="45" s="1"/>
  <c r="N66" i="45" s="1"/>
  <c r="O375" i="4"/>
  <c r="G54" i="45"/>
  <c r="J54" i="45" s="1"/>
  <c r="G64" i="46"/>
  <c r="G67" i="47"/>
  <c r="F195" i="42"/>
  <c r="F53" i="44"/>
  <c r="G53" i="44"/>
  <c r="J53" i="44" s="1"/>
  <c r="J53" i="45"/>
  <c r="G50" i="47"/>
  <c r="F52" i="44"/>
  <c r="F65" i="44"/>
  <c r="F52" i="46"/>
  <c r="F198" i="42"/>
  <c r="J196" i="42"/>
  <c r="K122" i="42"/>
  <c r="O122" i="42" s="1"/>
  <c r="R122" i="42" s="1"/>
  <c r="F196" i="42"/>
  <c r="N196" i="42"/>
  <c r="O196" i="42"/>
  <c r="G198" i="42"/>
  <c r="O195" i="42"/>
  <c r="N195" i="42"/>
  <c r="J195" i="42"/>
  <c r="F132" i="42"/>
  <c r="F131" i="42"/>
  <c r="F141" i="42"/>
  <c r="F142" i="42"/>
  <c r="F140" i="42"/>
  <c r="F139" i="42"/>
  <c r="G132" i="42"/>
  <c r="J132" i="42" s="1"/>
  <c r="G140" i="42"/>
  <c r="K140" i="42" s="1"/>
  <c r="G131" i="42"/>
  <c r="J139" i="42"/>
  <c r="K139" i="42"/>
  <c r="F143" i="42"/>
  <c r="J143" i="42"/>
  <c r="K143" i="42"/>
  <c r="G142" i="42"/>
  <c r="K141" i="42"/>
  <c r="J141" i="42"/>
  <c r="K130" i="42"/>
  <c r="J130" i="42"/>
  <c r="F130" i="42"/>
  <c r="F162" i="42"/>
  <c r="F163" i="42"/>
  <c r="J174" i="42"/>
  <c r="K163" i="42"/>
  <c r="J163" i="42"/>
  <c r="K162" i="42"/>
  <c r="J162" i="42"/>
  <c r="K171" i="42"/>
  <c r="J171" i="42"/>
  <c r="F171" i="42"/>
  <c r="F174" i="42"/>
  <c r="K174" i="42"/>
  <c r="F165" i="42"/>
  <c r="F152" i="42"/>
  <c r="F155" i="42"/>
  <c r="F157" i="42"/>
  <c r="F176" i="42"/>
  <c r="F153" i="42"/>
  <c r="F166" i="42"/>
  <c r="F158" i="42"/>
  <c r="F170" i="42"/>
  <c r="K173" i="42"/>
  <c r="J173" i="42"/>
  <c r="F168" i="42"/>
  <c r="F167" i="42"/>
  <c r="G157" i="42"/>
  <c r="K157" i="42" s="1"/>
  <c r="F173" i="42"/>
  <c r="G166" i="42"/>
  <c r="K166" i="42" s="1"/>
  <c r="O166" i="42" s="1"/>
  <c r="J170" i="42"/>
  <c r="K170" i="42"/>
  <c r="G168" i="42"/>
  <c r="G152" i="42"/>
  <c r="K152" i="42" s="1"/>
  <c r="O152" i="42" s="1"/>
  <c r="N165" i="42"/>
  <c r="O165" i="42"/>
  <c r="J165" i="42"/>
  <c r="G167" i="42"/>
  <c r="N154" i="42"/>
  <c r="O154" i="42"/>
  <c r="S154" i="42" s="1"/>
  <c r="V154" i="42" s="1"/>
  <c r="F154" i="42"/>
  <c r="F161" i="42"/>
  <c r="F160" i="42"/>
  <c r="F159" i="42"/>
  <c r="J154" i="42"/>
  <c r="K158" i="42"/>
  <c r="N161" i="42"/>
  <c r="O161" i="42"/>
  <c r="J161" i="42"/>
  <c r="G160" i="42"/>
  <c r="G159" i="42"/>
  <c r="F156" i="42"/>
  <c r="J156" i="42"/>
  <c r="N156" i="42"/>
  <c r="O156" i="42"/>
  <c r="N153" i="42"/>
  <c r="O153" i="42"/>
  <c r="J153" i="42"/>
  <c r="G155" i="42"/>
  <c r="F89" i="42"/>
  <c r="F177" i="42"/>
  <c r="J180" i="42"/>
  <c r="K180" i="42"/>
  <c r="O180" i="42" s="1"/>
  <c r="S180" i="42" s="1"/>
  <c r="K178" i="42"/>
  <c r="J178" i="42"/>
  <c r="F181" i="42"/>
  <c r="F180" i="42"/>
  <c r="F178" i="42"/>
  <c r="G181" i="42"/>
  <c r="K181" i="42" s="1"/>
  <c r="O181" i="42" s="1"/>
  <c r="S181" i="42" s="1"/>
  <c r="J176" i="42"/>
  <c r="G177" i="42"/>
  <c r="K177" i="42" s="1"/>
  <c r="O177" i="42" s="1"/>
  <c r="S177" i="42" s="1"/>
  <c r="K182" i="42"/>
  <c r="O182" i="42" s="1"/>
  <c r="S182" i="42" s="1"/>
  <c r="F111" i="42"/>
  <c r="J125" i="42"/>
  <c r="F121" i="42"/>
  <c r="F118" i="42"/>
  <c r="F151" i="42"/>
  <c r="F126" i="42"/>
  <c r="J122" i="42"/>
  <c r="F125" i="42"/>
  <c r="F123" i="42"/>
  <c r="F122" i="42"/>
  <c r="F120" i="42"/>
  <c r="G118" i="42"/>
  <c r="J119" i="42"/>
  <c r="K119" i="42"/>
  <c r="G121" i="42"/>
  <c r="J121" i="42" s="1"/>
  <c r="G123" i="42"/>
  <c r="J123" i="42" s="1"/>
  <c r="F124" i="42"/>
  <c r="F119" i="42"/>
  <c r="J126" i="42"/>
  <c r="K126" i="42"/>
  <c r="J120" i="42"/>
  <c r="K120" i="42"/>
  <c r="G124" i="42"/>
  <c r="K125" i="42"/>
  <c r="F113" i="42"/>
  <c r="K117" i="42"/>
  <c r="J117" i="42"/>
  <c r="F117" i="42"/>
  <c r="F105" i="42"/>
  <c r="F112" i="42"/>
  <c r="N111" i="42"/>
  <c r="O111" i="42"/>
  <c r="J112" i="42"/>
  <c r="K112" i="42"/>
  <c r="J111" i="42"/>
  <c r="G113" i="42"/>
  <c r="F110" i="42"/>
  <c r="J110" i="42"/>
  <c r="K110" i="42"/>
  <c r="F101" i="42"/>
  <c r="F109" i="42"/>
  <c r="J109" i="42"/>
  <c r="K109" i="42"/>
  <c r="G101" i="42"/>
  <c r="K101" i="42" s="1"/>
  <c r="O101" i="42" s="1"/>
  <c r="J91" i="42"/>
  <c r="K91" i="42"/>
  <c r="O91" i="42" s="1"/>
  <c r="S91" i="42" s="1"/>
  <c r="V91" i="42" s="1"/>
  <c r="J90" i="42"/>
  <c r="K90" i="42"/>
  <c r="O90" i="42" s="1"/>
  <c r="S90" i="42" s="1"/>
  <c r="V90" i="42" s="1"/>
  <c r="F91" i="42"/>
  <c r="F90" i="42"/>
  <c r="F88" i="42"/>
  <c r="J92" i="42"/>
  <c r="K92" i="42"/>
  <c r="F92" i="42"/>
  <c r="K88" i="42"/>
  <c r="J88" i="42"/>
  <c r="G89" i="42"/>
  <c r="K87" i="42"/>
  <c r="J87" i="42"/>
  <c r="F87" i="42"/>
  <c r="G86" i="42"/>
  <c r="K85" i="42"/>
  <c r="J85" i="42"/>
  <c r="F80" i="42"/>
  <c r="F85" i="42"/>
  <c r="F103" i="42"/>
  <c r="F79" i="42"/>
  <c r="F98" i="42"/>
  <c r="F97" i="42"/>
  <c r="F96" i="42"/>
  <c r="F95" i="42"/>
  <c r="G105" i="42"/>
  <c r="K105" i="42" s="1"/>
  <c r="O105" i="42" s="1"/>
  <c r="G96" i="42"/>
  <c r="G79" i="42"/>
  <c r="K79" i="42" s="1"/>
  <c r="N79" i="42" s="1"/>
  <c r="F99" i="42"/>
  <c r="G97" i="42"/>
  <c r="K97" i="42" s="1"/>
  <c r="N97" i="42" s="1"/>
  <c r="F102" i="42"/>
  <c r="K102" i="42"/>
  <c r="J102" i="42"/>
  <c r="K80" i="42"/>
  <c r="J80" i="42"/>
  <c r="J98" i="42"/>
  <c r="K98" i="42"/>
  <c r="G103" i="42"/>
  <c r="G99" i="42"/>
  <c r="G95" i="42"/>
  <c r="K78" i="42"/>
  <c r="J78" i="42"/>
  <c r="F78" i="42"/>
  <c r="G73" i="42"/>
  <c r="K62" i="42"/>
  <c r="F60" i="42"/>
  <c r="F61" i="42"/>
  <c r="K72" i="42"/>
  <c r="F72" i="42"/>
  <c r="G61" i="42"/>
  <c r="K61" i="42" s="1"/>
  <c r="O61" i="42" s="1"/>
  <c r="G60" i="42"/>
  <c r="K60" i="42" s="1"/>
  <c r="K71" i="42"/>
  <c r="O59" i="42"/>
  <c r="F54" i="42"/>
  <c r="K66" i="42"/>
  <c r="J68" i="42"/>
  <c r="K68" i="42"/>
  <c r="K58" i="42"/>
  <c r="K70" i="42"/>
  <c r="K53" i="42"/>
  <c r="J53" i="42"/>
  <c r="O54" i="42"/>
  <c r="N54" i="42"/>
  <c r="J54" i="42"/>
  <c r="G56" i="42"/>
  <c r="K69" i="42"/>
  <c r="G57" i="42"/>
  <c r="G67" i="42"/>
  <c r="F58" i="42"/>
  <c r="F68" i="42"/>
  <c r="F53" i="42"/>
  <c r="J66" i="47"/>
  <c r="K66" i="47"/>
  <c r="F66" i="47"/>
  <c r="K51" i="47"/>
  <c r="F63" i="46"/>
  <c r="G63" i="46"/>
  <c r="G52" i="46"/>
  <c r="J52" i="46" s="1"/>
  <c r="J51" i="46"/>
  <c r="O51" i="46"/>
  <c r="N51" i="46"/>
  <c r="O53" i="45"/>
  <c r="N53" i="45"/>
  <c r="K65" i="45"/>
  <c r="J65" i="45"/>
  <c r="F65" i="45"/>
  <c r="J66" i="44"/>
  <c r="K66" i="44"/>
  <c r="G65" i="44"/>
  <c r="G52" i="44"/>
  <c r="I301" i="4"/>
  <c r="L375" i="4"/>
  <c r="U301" i="4"/>
  <c r="V374" i="4"/>
  <c r="X374" i="4" s="1"/>
  <c r="I375" i="4"/>
  <c r="V373" i="4"/>
  <c r="L301" i="4"/>
  <c r="V300" i="4"/>
  <c r="X300" i="4" s="1"/>
  <c r="O301" i="4"/>
  <c r="R301" i="4"/>
  <c r="R375" i="4"/>
  <c r="I246" i="4"/>
  <c r="V299" i="4"/>
  <c r="R246" i="4"/>
  <c r="O246" i="4"/>
  <c r="V245" i="4"/>
  <c r="X245" i="4" s="1"/>
  <c r="V244" i="4"/>
  <c r="X244" i="4" s="1"/>
  <c r="L246" i="4"/>
  <c r="V184" i="4"/>
  <c r="X184" i="4" s="1"/>
  <c r="V361" i="4"/>
  <c r="X361" i="4" s="1"/>
  <c r="V360" i="4"/>
  <c r="X360" i="4" s="1"/>
  <c r="V183" i="4"/>
  <c r="X183" i="4" s="1"/>
  <c r="V293" i="4"/>
  <c r="X293" i="4" s="1"/>
  <c r="V239" i="4"/>
  <c r="X239" i="4" s="1"/>
  <c r="V177" i="4"/>
  <c r="X177" i="4" s="1"/>
  <c r="V238" i="4"/>
  <c r="X238" i="4" s="1"/>
  <c r="V294" i="4"/>
  <c r="X294" i="4" s="1"/>
  <c r="T30" i="42"/>
  <c r="P30" i="42"/>
  <c r="L30" i="42"/>
  <c r="H30" i="42"/>
  <c r="D30" i="42"/>
  <c r="B30" i="42"/>
  <c r="A30" i="42"/>
  <c r="T29" i="42"/>
  <c r="P29" i="42"/>
  <c r="L29" i="42"/>
  <c r="H29" i="42"/>
  <c r="D29" i="42"/>
  <c r="B29" i="42"/>
  <c r="A29" i="42"/>
  <c r="T26" i="42"/>
  <c r="P26" i="42"/>
  <c r="L26" i="42"/>
  <c r="H26" i="42"/>
  <c r="B26" i="42"/>
  <c r="A26" i="42"/>
  <c r="T25" i="42"/>
  <c r="P25" i="42"/>
  <c r="L25" i="42"/>
  <c r="H25" i="42"/>
  <c r="D25" i="42"/>
  <c r="B25" i="42"/>
  <c r="A25" i="42"/>
  <c r="T24" i="42"/>
  <c r="P24" i="42"/>
  <c r="L24" i="42"/>
  <c r="H24" i="42"/>
  <c r="B24" i="42"/>
  <c r="A24" i="42"/>
  <c r="T23" i="42"/>
  <c r="P23" i="42"/>
  <c r="L23" i="42"/>
  <c r="H23" i="42"/>
  <c r="B23" i="42"/>
  <c r="A23" i="42"/>
  <c r="T22" i="42"/>
  <c r="P22" i="42"/>
  <c r="L22" i="42"/>
  <c r="H22" i="42"/>
  <c r="B22" i="42"/>
  <c r="A22" i="42"/>
  <c r="T20" i="42"/>
  <c r="P20" i="42"/>
  <c r="L20" i="42"/>
  <c r="H20" i="42"/>
  <c r="D20" i="42"/>
  <c r="B20" i="42"/>
  <c r="A20" i="42"/>
  <c r="T19" i="42"/>
  <c r="P19" i="42"/>
  <c r="L19" i="42"/>
  <c r="H19" i="42"/>
  <c r="D19" i="42"/>
  <c r="B19" i="42"/>
  <c r="A19" i="42"/>
  <c r="T18" i="42"/>
  <c r="P18" i="42"/>
  <c r="L18" i="42"/>
  <c r="H18" i="42"/>
  <c r="B18" i="42"/>
  <c r="A18" i="42"/>
  <c r="T17" i="42"/>
  <c r="P17" i="42"/>
  <c r="L17" i="42"/>
  <c r="H17" i="42"/>
  <c r="D17" i="42"/>
  <c r="B17" i="42"/>
  <c r="A17" i="42"/>
  <c r="T13" i="42"/>
  <c r="P13" i="42"/>
  <c r="L13" i="42"/>
  <c r="H13" i="42"/>
  <c r="D13" i="42"/>
  <c r="B13" i="42"/>
  <c r="A13" i="42"/>
  <c r="T12" i="42"/>
  <c r="P12" i="42"/>
  <c r="L12" i="42"/>
  <c r="H12" i="42"/>
  <c r="D12" i="42"/>
  <c r="B12" i="42"/>
  <c r="A12" i="42"/>
  <c r="T11" i="42"/>
  <c r="P11" i="42"/>
  <c r="L11" i="42"/>
  <c r="H11" i="42"/>
  <c r="D11" i="42"/>
  <c r="B11" i="42"/>
  <c r="A11" i="42"/>
  <c r="A57" i="47"/>
  <c r="A58" i="47"/>
  <c r="A59" i="47"/>
  <c r="B57" i="47"/>
  <c r="C57" i="47"/>
  <c r="D57" i="47"/>
  <c r="H57" i="47"/>
  <c r="L57" i="47"/>
  <c r="P57" i="47"/>
  <c r="T57" i="47"/>
  <c r="B58" i="47"/>
  <c r="C58" i="47"/>
  <c r="D58" i="47"/>
  <c r="H58" i="47"/>
  <c r="L58" i="47"/>
  <c r="P58" i="47"/>
  <c r="T58" i="47"/>
  <c r="B59" i="47"/>
  <c r="C59" i="47"/>
  <c r="D59" i="47"/>
  <c r="H59" i="47"/>
  <c r="L59" i="47"/>
  <c r="P59" i="47"/>
  <c r="T59" i="47"/>
  <c r="T56" i="47"/>
  <c r="P56" i="47"/>
  <c r="L56" i="47"/>
  <c r="H56" i="47"/>
  <c r="D56" i="47"/>
  <c r="C56" i="47"/>
  <c r="G56" i="47" s="1"/>
  <c r="B56" i="47"/>
  <c r="A56" i="47"/>
  <c r="B73" i="47"/>
  <c r="C73" i="47"/>
  <c r="G73" i="47" s="1"/>
  <c r="D73" i="47"/>
  <c r="H73" i="47"/>
  <c r="L73" i="47"/>
  <c r="P73" i="47"/>
  <c r="T73" i="47"/>
  <c r="B74" i="47"/>
  <c r="C74" i="47"/>
  <c r="G74" i="47" s="1"/>
  <c r="K74" i="47" s="1"/>
  <c r="D74" i="47"/>
  <c r="H74" i="47"/>
  <c r="L74" i="47"/>
  <c r="P74" i="47"/>
  <c r="T74" i="47"/>
  <c r="B75" i="47"/>
  <c r="C75" i="47"/>
  <c r="G75" i="47" s="1"/>
  <c r="D75" i="47"/>
  <c r="H75" i="47"/>
  <c r="L75" i="47"/>
  <c r="P75" i="47"/>
  <c r="T75" i="47"/>
  <c r="B76" i="47"/>
  <c r="C76" i="47"/>
  <c r="D76" i="47"/>
  <c r="H76" i="47"/>
  <c r="L76" i="47"/>
  <c r="P76" i="47"/>
  <c r="T76" i="47"/>
  <c r="B77" i="47"/>
  <c r="C77" i="47"/>
  <c r="G77" i="47" s="1"/>
  <c r="D77" i="47"/>
  <c r="H77" i="47"/>
  <c r="L77" i="47"/>
  <c r="P77" i="47"/>
  <c r="T77" i="47"/>
  <c r="B78" i="47"/>
  <c r="C78" i="47"/>
  <c r="G78" i="47" s="1"/>
  <c r="K78" i="47" s="1"/>
  <c r="D78" i="47"/>
  <c r="H78" i="47"/>
  <c r="L78" i="47"/>
  <c r="P78" i="47"/>
  <c r="T78" i="47"/>
  <c r="T72" i="47"/>
  <c r="P72" i="47"/>
  <c r="L72" i="47"/>
  <c r="H72" i="47"/>
  <c r="D72" i="47"/>
  <c r="C72" i="47"/>
  <c r="G72" i="47" s="1"/>
  <c r="B72" i="47"/>
  <c r="A72" i="47"/>
  <c r="A73" i="47"/>
  <c r="A74" i="47"/>
  <c r="A75" i="47"/>
  <c r="A76" i="47"/>
  <c r="A77" i="47"/>
  <c r="A78" i="47"/>
  <c r="T42" i="47"/>
  <c r="P42" i="47"/>
  <c r="C42" i="47"/>
  <c r="B45" i="47"/>
  <c r="C45" i="47"/>
  <c r="G45" i="47" s="1"/>
  <c r="C44" i="47"/>
  <c r="G44" i="47" s="1"/>
  <c r="B44" i="47"/>
  <c r="A44" i="47"/>
  <c r="A45" i="47"/>
  <c r="B42" i="47"/>
  <c r="A42" i="47"/>
  <c r="A40" i="47"/>
  <c r="B40" i="47"/>
  <c r="C40" i="47"/>
  <c r="T39" i="47"/>
  <c r="P39" i="47"/>
  <c r="L39" i="47"/>
  <c r="H39" i="47"/>
  <c r="D39" i="47"/>
  <c r="C39" i="47"/>
  <c r="G39" i="47" s="1"/>
  <c r="B39" i="47"/>
  <c r="A39" i="47"/>
  <c r="F145" i="42" l="1"/>
  <c r="W21" i="43"/>
  <c r="W21" i="45"/>
  <c r="W14" i="43"/>
  <c r="R21" i="46"/>
  <c r="S21" i="46"/>
  <c r="V21" i="46" s="1"/>
  <c r="R21" i="44"/>
  <c r="S21" i="44"/>
  <c r="V21" i="44" s="1"/>
  <c r="R14" i="45"/>
  <c r="S14" i="45"/>
  <c r="V14" i="45" s="1"/>
  <c r="S16" i="46"/>
  <c r="V16" i="46" s="1"/>
  <c r="R16" i="46"/>
  <c r="R21" i="47"/>
  <c r="S21" i="47"/>
  <c r="V21" i="47" s="1"/>
  <c r="R16" i="47"/>
  <c r="S16" i="47"/>
  <c r="V16" i="47" s="1"/>
  <c r="R15" i="47"/>
  <c r="S15" i="47"/>
  <c r="V15" i="47" s="1"/>
  <c r="R14" i="47"/>
  <c r="S14" i="47"/>
  <c r="V14" i="47" s="1"/>
  <c r="R15" i="46"/>
  <c r="S15" i="46"/>
  <c r="V15" i="46" s="1"/>
  <c r="R15" i="45"/>
  <c r="S15" i="45"/>
  <c r="V15" i="45" s="1"/>
  <c r="R14" i="44"/>
  <c r="S14" i="44"/>
  <c r="V14" i="44" s="1"/>
  <c r="S16" i="45"/>
  <c r="V16" i="45" s="1"/>
  <c r="R16" i="45"/>
  <c r="W21" i="42"/>
  <c r="K7" i="47"/>
  <c r="K7" i="44"/>
  <c r="K7" i="46"/>
  <c r="K7" i="45"/>
  <c r="F69" i="47"/>
  <c r="O7" i="42"/>
  <c r="F68" i="45"/>
  <c r="K7" i="43"/>
  <c r="W76" i="43"/>
  <c r="O66" i="45"/>
  <c r="R66" i="45" s="1"/>
  <c r="K54" i="45"/>
  <c r="N54" i="45" s="1"/>
  <c r="G77" i="42"/>
  <c r="J77" i="42" s="1"/>
  <c r="N122" i="42"/>
  <c r="S83" i="42"/>
  <c r="V83" i="42" s="1"/>
  <c r="R83" i="42"/>
  <c r="K53" i="44"/>
  <c r="N53" i="44" s="1"/>
  <c r="F66" i="46"/>
  <c r="J66" i="45"/>
  <c r="J68" i="45" s="1"/>
  <c r="K67" i="47"/>
  <c r="J67" i="47"/>
  <c r="J69" i="47" s="1"/>
  <c r="K52" i="46"/>
  <c r="N52" i="46" s="1"/>
  <c r="K64" i="46"/>
  <c r="J64" i="46"/>
  <c r="K50" i="47"/>
  <c r="J50" i="47"/>
  <c r="S196" i="42"/>
  <c r="V196" i="42" s="1"/>
  <c r="R196" i="42"/>
  <c r="J198" i="42"/>
  <c r="K198" i="42"/>
  <c r="S195" i="42"/>
  <c r="V195" i="42" s="1"/>
  <c r="R195" i="42"/>
  <c r="K132" i="42"/>
  <c r="N132" i="42" s="1"/>
  <c r="J140" i="42"/>
  <c r="N139" i="42"/>
  <c r="O139" i="42"/>
  <c r="J131" i="42"/>
  <c r="K131" i="42"/>
  <c r="O140" i="42"/>
  <c r="S140" i="42" s="1"/>
  <c r="V140" i="42" s="1"/>
  <c r="N140" i="42"/>
  <c r="K142" i="42"/>
  <c r="J142" i="42"/>
  <c r="N143" i="42"/>
  <c r="O143" i="42"/>
  <c r="N141" i="42"/>
  <c r="O141" i="42"/>
  <c r="O130" i="42"/>
  <c r="N130" i="42"/>
  <c r="O163" i="42"/>
  <c r="N163" i="42"/>
  <c r="O162" i="42"/>
  <c r="N162" i="42"/>
  <c r="O171" i="42"/>
  <c r="N171" i="42"/>
  <c r="N174" i="42"/>
  <c r="O174" i="42"/>
  <c r="J166" i="42"/>
  <c r="O157" i="42"/>
  <c r="S157" i="42" s="1"/>
  <c r="V157" i="42" s="1"/>
  <c r="S166" i="42"/>
  <c r="V166" i="42" s="1"/>
  <c r="R166" i="42"/>
  <c r="N166" i="42"/>
  <c r="O173" i="42"/>
  <c r="N173" i="42"/>
  <c r="R154" i="42"/>
  <c r="W154" i="42" s="1"/>
  <c r="J168" i="42"/>
  <c r="K168" i="42"/>
  <c r="J152" i="42"/>
  <c r="N152" i="42"/>
  <c r="N170" i="42"/>
  <c r="O170" i="42"/>
  <c r="S165" i="42"/>
  <c r="V165" i="42" s="1"/>
  <c r="R165" i="42"/>
  <c r="J167" i="42"/>
  <c r="K167" i="42"/>
  <c r="S161" i="42"/>
  <c r="V161" i="42" s="1"/>
  <c r="R161" i="42"/>
  <c r="K160" i="42"/>
  <c r="J160" i="42"/>
  <c r="J159" i="42"/>
  <c r="K159" i="42"/>
  <c r="O158" i="42"/>
  <c r="R156" i="42"/>
  <c r="S156" i="42"/>
  <c r="V156" i="42" s="1"/>
  <c r="J155" i="42"/>
  <c r="K155" i="42"/>
  <c r="S153" i="42"/>
  <c r="V153" i="42" s="1"/>
  <c r="R153" i="42"/>
  <c r="S152" i="42"/>
  <c r="V152" i="42" s="1"/>
  <c r="R152" i="42"/>
  <c r="N178" i="42"/>
  <c r="O178" i="42"/>
  <c r="S178" i="42" s="1"/>
  <c r="V178" i="42" s="1"/>
  <c r="J181" i="42"/>
  <c r="N176" i="42"/>
  <c r="N180" i="42"/>
  <c r="J177" i="42"/>
  <c r="J151" i="42"/>
  <c r="F128" i="42"/>
  <c r="K118" i="42"/>
  <c r="J118" i="42"/>
  <c r="K123" i="42"/>
  <c r="N123" i="42" s="1"/>
  <c r="K121" i="42"/>
  <c r="N121" i="42" s="1"/>
  <c r="S122" i="42"/>
  <c r="V122" i="42" s="1"/>
  <c r="N119" i="42"/>
  <c r="O119" i="42"/>
  <c r="N120" i="42"/>
  <c r="O120" i="42"/>
  <c r="K124" i="42"/>
  <c r="J124" i="42"/>
  <c r="N125" i="42"/>
  <c r="O125" i="42"/>
  <c r="O126" i="42"/>
  <c r="N126" i="42"/>
  <c r="R91" i="42"/>
  <c r="N91" i="42"/>
  <c r="O117" i="42"/>
  <c r="N117" i="42"/>
  <c r="O97" i="42"/>
  <c r="S97" i="42" s="1"/>
  <c r="V97" i="42" s="1"/>
  <c r="J113" i="42"/>
  <c r="K113" i="42"/>
  <c r="N112" i="42"/>
  <c r="O112" i="42"/>
  <c r="R111" i="42"/>
  <c r="S111" i="42"/>
  <c r="V111" i="42" s="1"/>
  <c r="O110" i="42"/>
  <c r="N110" i="42"/>
  <c r="N101" i="42"/>
  <c r="J101" i="42"/>
  <c r="O109" i="42"/>
  <c r="N109" i="42"/>
  <c r="R90" i="42"/>
  <c r="N90" i="42"/>
  <c r="O92" i="42"/>
  <c r="N92" i="42"/>
  <c r="J89" i="42"/>
  <c r="K89" i="42"/>
  <c r="N88" i="42"/>
  <c r="O88" i="42"/>
  <c r="N87" i="42"/>
  <c r="O87" i="42"/>
  <c r="K86" i="42"/>
  <c r="J86" i="42"/>
  <c r="N105" i="42"/>
  <c r="O85" i="42"/>
  <c r="N85" i="42"/>
  <c r="J105" i="42"/>
  <c r="O79" i="42"/>
  <c r="R79" i="42" s="1"/>
  <c r="K96" i="42"/>
  <c r="J96" i="42"/>
  <c r="J79" i="42"/>
  <c r="J97" i="42"/>
  <c r="J95" i="42"/>
  <c r="K95" i="42"/>
  <c r="J99" i="42"/>
  <c r="K99" i="42"/>
  <c r="R105" i="42"/>
  <c r="S105" i="42"/>
  <c r="V105" i="42" s="1"/>
  <c r="J103" i="42"/>
  <c r="K103" i="42"/>
  <c r="N102" i="42"/>
  <c r="O102" i="42"/>
  <c r="N80" i="42"/>
  <c r="O80" i="42"/>
  <c r="N98" i="42"/>
  <c r="O98" i="42"/>
  <c r="R101" i="42"/>
  <c r="S101" i="42"/>
  <c r="V101" i="42" s="1"/>
  <c r="O78" i="42"/>
  <c r="N78" i="42"/>
  <c r="J60" i="42"/>
  <c r="J61" i="42"/>
  <c r="K73" i="42"/>
  <c r="N61" i="42"/>
  <c r="O62" i="42"/>
  <c r="O72" i="42"/>
  <c r="S61" i="42"/>
  <c r="V61" i="42" s="1"/>
  <c r="R61" i="42"/>
  <c r="O71" i="42"/>
  <c r="N60" i="42"/>
  <c r="O60" i="42"/>
  <c r="S59" i="42"/>
  <c r="K56" i="42"/>
  <c r="N68" i="42"/>
  <c r="O68" i="42"/>
  <c r="K67" i="42"/>
  <c r="R54" i="42"/>
  <c r="S54" i="42"/>
  <c r="V54" i="42" s="1"/>
  <c r="K57" i="42"/>
  <c r="O58" i="42"/>
  <c r="O66" i="42"/>
  <c r="O70" i="42"/>
  <c r="O69" i="42"/>
  <c r="N53" i="42"/>
  <c r="O53" i="42"/>
  <c r="O66" i="47"/>
  <c r="N66" i="47"/>
  <c r="N51" i="47"/>
  <c r="O51" i="47"/>
  <c r="K63" i="46"/>
  <c r="J63" i="46"/>
  <c r="R51" i="46"/>
  <c r="S51" i="46"/>
  <c r="V51" i="46" s="1"/>
  <c r="R53" i="45"/>
  <c r="S53" i="45"/>
  <c r="V53" i="45" s="1"/>
  <c r="N65" i="45"/>
  <c r="N68" i="45" s="1"/>
  <c r="O65" i="45"/>
  <c r="J65" i="44"/>
  <c r="K65" i="44"/>
  <c r="N66" i="44"/>
  <c r="O66" i="44"/>
  <c r="K52" i="44"/>
  <c r="J52" i="44"/>
  <c r="V375" i="4"/>
  <c r="X373" i="4"/>
  <c r="X375" i="4" s="1"/>
  <c r="V301" i="4"/>
  <c r="X299" i="4"/>
  <c r="X301" i="4" s="1"/>
  <c r="X246" i="4"/>
  <c r="V246" i="4"/>
  <c r="F59" i="47"/>
  <c r="F57" i="47"/>
  <c r="F74" i="47"/>
  <c r="G59" i="47"/>
  <c r="K59" i="47" s="1"/>
  <c r="F75" i="47"/>
  <c r="F78" i="47"/>
  <c r="F58" i="47"/>
  <c r="G57" i="47"/>
  <c r="G58" i="47"/>
  <c r="J56" i="47"/>
  <c r="K56" i="47"/>
  <c r="F56" i="47"/>
  <c r="N78" i="47"/>
  <c r="J78" i="47"/>
  <c r="F76" i="47"/>
  <c r="J73" i="47"/>
  <c r="F73" i="47"/>
  <c r="N74" i="47"/>
  <c r="O74" i="47"/>
  <c r="J75" i="47"/>
  <c r="K75" i="47"/>
  <c r="J77" i="47"/>
  <c r="K77" i="47"/>
  <c r="O78" i="47"/>
  <c r="F77" i="47"/>
  <c r="G76" i="47"/>
  <c r="J74" i="47"/>
  <c r="K73" i="47"/>
  <c r="F72" i="47"/>
  <c r="K72" i="47"/>
  <c r="J72" i="47"/>
  <c r="K45" i="47"/>
  <c r="G42" i="47"/>
  <c r="K42" i="47" s="1"/>
  <c r="G40" i="47"/>
  <c r="F39" i="47"/>
  <c r="K44" i="47"/>
  <c r="K39" i="47"/>
  <c r="J39" i="47"/>
  <c r="F70" i="43"/>
  <c r="W14" i="47" l="1"/>
  <c r="W14" i="44"/>
  <c r="W15" i="47"/>
  <c r="W14" i="45"/>
  <c r="W15" i="45"/>
  <c r="W16" i="47"/>
  <c r="W21" i="44"/>
  <c r="W21" i="47"/>
  <c r="W15" i="46"/>
  <c r="W21" i="46"/>
  <c r="W16" i="45"/>
  <c r="W16" i="46"/>
  <c r="O7" i="45"/>
  <c r="O7" i="46"/>
  <c r="O7" i="44"/>
  <c r="O7" i="47"/>
  <c r="K77" i="42"/>
  <c r="O77" i="42" s="1"/>
  <c r="S66" i="45"/>
  <c r="V66" i="45" s="1"/>
  <c r="W66" i="45" s="1"/>
  <c r="O7" i="43"/>
  <c r="S7" i="43" s="1"/>
  <c r="O54" i="45"/>
  <c r="S54" i="45" s="1"/>
  <c r="V54" i="45" s="1"/>
  <c r="S7" i="42"/>
  <c r="W83" i="42"/>
  <c r="W122" i="42"/>
  <c r="O53" i="44"/>
  <c r="R53" i="44" s="1"/>
  <c r="O52" i="46"/>
  <c r="S52" i="46" s="1"/>
  <c r="V52" i="46" s="1"/>
  <c r="N50" i="47"/>
  <c r="O50" i="47"/>
  <c r="J66" i="46"/>
  <c r="N64" i="46"/>
  <c r="O64" i="46"/>
  <c r="W51" i="46"/>
  <c r="O67" i="47"/>
  <c r="N67" i="47"/>
  <c r="N69" i="47" s="1"/>
  <c r="W196" i="42"/>
  <c r="N198" i="42"/>
  <c r="O198" i="42"/>
  <c r="W195" i="42"/>
  <c r="O132" i="42"/>
  <c r="S132" i="42" s="1"/>
  <c r="V132" i="42" s="1"/>
  <c r="J145" i="42"/>
  <c r="N131" i="42"/>
  <c r="O131" i="42"/>
  <c r="R139" i="42"/>
  <c r="S139" i="42"/>
  <c r="V139" i="42" s="1"/>
  <c r="R140" i="42"/>
  <c r="W140" i="42" s="1"/>
  <c r="S143" i="42"/>
  <c r="V143" i="42" s="1"/>
  <c r="R143" i="42"/>
  <c r="N142" i="42"/>
  <c r="O142" i="42"/>
  <c r="R141" i="42"/>
  <c r="S141" i="42"/>
  <c r="V141" i="42" s="1"/>
  <c r="S130" i="42"/>
  <c r="V130" i="42" s="1"/>
  <c r="R130" i="42"/>
  <c r="R157" i="42"/>
  <c r="W165" i="42"/>
  <c r="S163" i="42"/>
  <c r="V163" i="42" s="1"/>
  <c r="R163" i="42"/>
  <c r="S162" i="42"/>
  <c r="V162" i="42" s="1"/>
  <c r="R162" i="42"/>
  <c r="S171" i="42"/>
  <c r="V171" i="42" s="1"/>
  <c r="R171" i="42"/>
  <c r="S174" i="42"/>
  <c r="V174" i="42" s="1"/>
  <c r="R174" i="42"/>
  <c r="W161" i="42"/>
  <c r="W166" i="42"/>
  <c r="S173" i="42"/>
  <c r="V173" i="42" s="1"/>
  <c r="R173" i="42"/>
  <c r="S170" i="42"/>
  <c r="V170" i="42" s="1"/>
  <c r="R170" i="42"/>
  <c r="N168" i="42"/>
  <c r="O168" i="42"/>
  <c r="N167" i="42"/>
  <c r="O167" i="42"/>
  <c r="W153" i="42"/>
  <c r="S158" i="42"/>
  <c r="V158" i="42" s="1"/>
  <c r="R158" i="42"/>
  <c r="N159" i="42"/>
  <c r="O159" i="42"/>
  <c r="N160" i="42"/>
  <c r="O160" i="42"/>
  <c r="W152" i="42"/>
  <c r="W156" i="42"/>
  <c r="O155" i="42"/>
  <c r="N155" i="42"/>
  <c r="W91" i="42"/>
  <c r="R178" i="42"/>
  <c r="W178" i="42" s="1"/>
  <c r="N177" i="42"/>
  <c r="N181" i="42"/>
  <c r="V180" i="42"/>
  <c r="R180" i="42"/>
  <c r="V176" i="42"/>
  <c r="R176" i="42"/>
  <c r="J128" i="42"/>
  <c r="N151" i="42"/>
  <c r="O121" i="42"/>
  <c r="R121" i="42" s="1"/>
  <c r="O123" i="42"/>
  <c r="S123" i="42" s="1"/>
  <c r="V123" i="42" s="1"/>
  <c r="R97" i="42"/>
  <c r="W97" i="42" s="1"/>
  <c r="N118" i="42"/>
  <c r="O118" i="42"/>
  <c r="R119" i="42"/>
  <c r="S119" i="42"/>
  <c r="V119" i="42" s="1"/>
  <c r="S125" i="42"/>
  <c r="V125" i="42" s="1"/>
  <c r="R125" i="42"/>
  <c r="R120" i="42"/>
  <c r="S120" i="42"/>
  <c r="V120" i="42" s="1"/>
  <c r="N124" i="42"/>
  <c r="O124" i="42"/>
  <c r="R126" i="42"/>
  <c r="S126" i="42"/>
  <c r="V126" i="42" s="1"/>
  <c r="S117" i="42"/>
  <c r="V117" i="42" s="1"/>
  <c r="R117" i="42"/>
  <c r="W111" i="42"/>
  <c r="S112" i="42"/>
  <c r="V112" i="42" s="1"/>
  <c r="R112" i="42"/>
  <c r="N113" i="42"/>
  <c r="N115" i="42" s="1"/>
  <c r="O113" i="42"/>
  <c r="S110" i="42"/>
  <c r="V110" i="42" s="1"/>
  <c r="R110" i="42"/>
  <c r="S79" i="42"/>
  <c r="V79" i="42" s="1"/>
  <c r="W79" i="42" s="1"/>
  <c r="W90" i="42"/>
  <c r="S109" i="42"/>
  <c r="V109" i="42" s="1"/>
  <c r="R109" i="42"/>
  <c r="S92" i="42"/>
  <c r="V92" i="42" s="1"/>
  <c r="R92" i="42"/>
  <c r="R88" i="42"/>
  <c r="S88" i="42"/>
  <c r="V88" i="42" s="1"/>
  <c r="N89" i="42"/>
  <c r="O89" i="42"/>
  <c r="S87" i="42"/>
  <c r="V87" i="42" s="1"/>
  <c r="R87" i="42"/>
  <c r="N86" i="42"/>
  <c r="O86" i="42"/>
  <c r="W105" i="42"/>
  <c r="S85" i="42"/>
  <c r="V85" i="42" s="1"/>
  <c r="R85" i="42"/>
  <c r="W101" i="42"/>
  <c r="N96" i="42"/>
  <c r="O96" i="42"/>
  <c r="N99" i="42"/>
  <c r="O99" i="42"/>
  <c r="S102" i="42"/>
  <c r="V102" i="42" s="1"/>
  <c r="R102" i="42"/>
  <c r="N95" i="42"/>
  <c r="O95" i="42"/>
  <c r="N103" i="42"/>
  <c r="O103" i="42"/>
  <c r="S80" i="42"/>
  <c r="V80" i="42" s="1"/>
  <c r="R80" i="42"/>
  <c r="S98" i="42"/>
  <c r="V98" i="42" s="1"/>
  <c r="R98" i="42"/>
  <c r="S78" i="42"/>
  <c r="V78" i="42" s="1"/>
  <c r="R78" i="42"/>
  <c r="O73" i="42"/>
  <c r="S62" i="42"/>
  <c r="S72" i="42"/>
  <c r="V72" i="42" s="1"/>
  <c r="W61" i="42"/>
  <c r="S71" i="42"/>
  <c r="S60" i="42"/>
  <c r="V60" i="42" s="1"/>
  <c r="R60" i="42"/>
  <c r="W54" i="42"/>
  <c r="R53" i="42"/>
  <c r="S53" i="42"/>
  <c r="V53" i="42" s="1"/>
  <c r="S58" i="42"/>
  <c r="O67" i="42"/>
  <c r="O56" i="42"/>
  <c r="S69" i="42"/>
  <c r="S70" i="42"/>
  <c r="S66" i="42"/>
  <c r="O57" i="42"/>
  <c r="R68" i="42"/>
  <c r="S68" i="42"/>
  <c r="V68" i="42" s="1"/>
  <c r="R66" i="47"/>
  <c r="S66" i="47"/>
  <c r="V66" i="47" s="1"/>
  <c r="S51" i="47"/>
  <c r="V51" i="47" s="1"/>
  <c r="R51" i="47"/>
  <c r="O63" i="46"/>
  <c r="N63" i="46"/>
  <c r="W53" i="45"/>
  <c r="S65" i="45"/>
  <c r="V65" i="45" s="1"/>
  <c r="R65" i="45"/>
  <c r="R68" i="45" s="1"/>
  <c r="N65" i="44"/>
  <c r="O65" i="44"/>
  <c r="R66" i="44"/>
  <c r="S66" i="44"/>
  <c r="V66" i="44" s="1"/>
  <c r="N52" i="44"/>
  <c r="O52" i="44"/>
  <c r="F61" i="47"/>
  <c r="J59" i="47"/>
  <c r="J57" i="47"/>
  <c r="K57" i="47"/>
  <c r="N59" i="47"/>
  <c r="O59" i="47"/>
  <c r="K58" i="47"/>
  <c r="J58" i="47"/>
  <c r="O56" i="47"/>
  <c r="N56" i="47"/>
  <c r="N75" i="47"/>
  <c r="O75" i="47"/>
  <c r="J76" i="47"/>
  <c r="K76" i="47"/>
  <c r="R74" i="47"/>
  <c r="S74" i="47"/>
  <c r="V74" i="47" s="1"/>
  <c r="R78" i="47"/>
  <c r="S78" i="47"/>
  <c r="V78" i="47" s="1"/>
  <c r="N73" i="47"/>
  <c r="O73" i="47"/>
  <c r="O77" i="47"/>
  <c r="N77" i="47"/>
  <c r="O72" i="47"/>
  <c r="N72" i="47"/>
  <c r="O45" i="47"/>
  <c r="O42" i="47"/>
  <c r="S42" i="47" s="1"/>
  <c r="V42" i="47" s="1"/>
  <c r="K40" i="47"/>
  <c r="O39" i="47"/>
  <c r="N39" i="47"/>
  <c r="O44" i="47"/>
  <c r="T49" i="47"/>
  <c r="P49" i="47"/>
  <c r="L49" i="47"/>
  <c r="H49" i="47"/>
  <c r="D49" i="47"/>
  <c r="C49" i="47"/>
  <c r="G49" i="47" s="1"/>
  <c r="A49" i="47"/>
  <c r="B49" i="47"/>
  <c r="A35" i="47"/>
  <c r="A34" i="47"/>
  <c r="B35" i="47"/>
  <c r="B34" i="47"/>
  <c r="B31" i="47"/>
  <c r="B30" i="47"/>
  <c r="W33" i="47"/>
  <c r="B11" i="47"/>
  <c r="B12" i="47"/>
  <c r="B13" i="47"/>
  <c r="B22" i="47"/>
  <c r="B23" i="47"/>
  <c r="B24" i="47"/>
  <c r="B25" i="47"/>
  <c r="B26" i="47"/>
  <c r="V85" i="47"/>
  <c r="R85" i="47"/>
  <c r="N85" i="47"/>
  <c r="J85" i="47"/>
  <c r="F85" i="47"/>
  <c r="B92" i="47"/>
  <c r="D92" i="47"/>
  <c r="H92" i="47"/>
  <c r="L92" i="47"/>
  <c r="P92" i="47"/>
  <c r="T92" i="47"/>
  <c r="B93" i="47"/>
  <c r="D93" i="47"/>
  <c r="P93" i="47"/>
  <c r="T93" i="47"/>
  <c r="B94" i="47"/>
  <c r="D94" i="47"/>
  <c r="H94" i="47"/>
  <c r="L94" i="47"/>
  <c r="P94" i="47"/>
  <c r="T94" i="47"/>
  <c r="T91" i="47"/>
  <c r="P91" i="47"/>
  <c r="L91" i="47"/>
  <c r="H91" i="47"/>
  <c r="D91" i="47"/>
  <c r="C91" i="47"/>
  <c r="G91" i="47" s="1"/>
  <c r="B91" i="47"/>
  <c r="A91" i="47"/>
  <c r="A92" i="47"/>
  <c r="A93" i="47"/>
  <c r="A94" i="47"/>
  <c r="B74" i="46"/>
  <c r="C74" i="46"/>
  <c r="D74" i="46"/>
  <c r="P74" i="46"/>
  <c r="T74" i="46"/>
  <c r="B75" i="46"/>
  <c r="C75" i="46"/>
  <c r="D75" i="46"/>
  <c r="P75" i="46"/>
  <c r="T75" i="46"/>
  <c r="B76" i="46"/>
  <c r="C76" i="46"/>
  <c r="G76" i="46" s="1"/>
  <c r="D76" i="46"/>
  <c r="H76" i="46"/>
  <c r="L76" i="46"/>
  <c r="P76" i="46"/>
  <c r="T76" i="46"/>
  <c r="B77" i="46"/>
  <c r="C77" i="46"/>
  <c r="G77" i="46" s="1"/>
  <c r="D77" i="46"/>
  <c r="H77" i="46"/>
  <c r="L77" i="46"/>
  <c r="P77" i="46"/>
  <c r="T77" i="46"/>
  <c r="B78" i="46"/>
  <c r="C78" i="46"/>
  <c r="D78" i="46"/>
  <c r="H78" i="46"/>
  <c r="L78" i="46"/>
  <c r="P78" i="46"/>
  <c r="T78" i="46"/>
  <c r="B79" i="46"/>
  <c r="C79" i="46"/>
  <c r="G79" i="46" s="1"/>
  <c r="D79" i="46"/>
  <c r="H79" i="46"/>
  <c r="L79" i="46"/>
  <c r="P79" i="46"/>
  <c r="T79" i="46"/>
  <c r="B80" i="46"/>
  <c r="C80" i="46"/>
  <c r="D80" i="46"/>
  <c r="H80" i="46"/>
  <c r="L80" i="46"/>
  <c r="P80" i="46"/>
  <c r="T80" i="46"/>
  <c r="T72" i="46"/>
  <c r="P72" i="46"/>
  <c r="L72" i="46"/>
  <c r="H72" i="46"/>
  <c r="D72" i="46"/>
  <c r="C72" i="46"/>
  <c r="G72" i="46" s="1"/>
  <c r="B72" i="46"/>
  <c r="A72" i="46"/>
  <c r="A74" i="46"/>
  <c r="A75" i="46"/>
  <c r="A76" i="46"/>
  <c r="A77" i="46"/>
  <c r="A78" i="46"/>
  <c r="A79" i="46"/>
  <c r="A80" i="46"/>
  <c r="T50" i="46"/>
  <c r="P50" i="46"/>
  <c r="L50" i="46"/>
  <c r="H50" i="46"/>
  <c r="D50" i="46"/>
  <c r="C50" i="46"/>
  <c r="G50" i="46" s="1"/>
  <c r="B50" i="46"/>
  <c r="A50" i="46"/>
  <c r="A46" i="46"/>
  <c r="B46" i="46"/>
  <c r="C46" i="46"/>
  <c r="G46" i="46" s="1"/>
  <c r="D46" i="46"/>
  <c r="T46" i="46"/>
  <c r="C45" i="46"/>
  <c r="G45" i="46" s="1"/>
  <c r="B45" i="46"/>
  <c r="A45" i="46"/>
  <c r="T43" i="46"/>
  <c r="P43" i="46"/>
  <c r="C43" i="46"/>
  <c r="G43" i="46" s="1"/>
  <c r="B43" i="46"/>
  <c r="A43" i="46"/>
  <c r="T41" i="46"/>
  <c r="P41" i="46"/>
  <c r="L41" i="46"/>
  <c r="H41" i="46"/>
  <c r="D41" i="46"/>
  <c r="C41" i="46"/>
  <c r="G41" i="46" s="1"/>
  <c r="K41" i="46" s="1"/>
  <c r="B41" i="46"/>
  <c r="A41" i="46"/>
  <c r="A36" i="46"/>
  <c r="A35" i="46"/>
  <c r="B36" i="46"/>
  <c r="B35" i="46"/>
  <c r="W34" i="46"/>
  <c r="B32" i="46"/>
  <c r="B31" i="46"/>
  <c r="B11" i="46"/>
  <c r="B12" i="46"/>
  <c r="B13" i="46"/>
  <c r="B22" i="46"/>
  <c r="B23" i="46"/>
  <c r="B24" i="46"/>
  <c r="B25" i="46"/>
  <c r="B26" i="46"/>
  <c r="V87" i="46"/>
  <c r="R87" i="46"/>
  <c r="N87" i="46"/>
  <c r="J87" i="46"/>
  <c r="F87" i="46"/>
  <c r="V62" i="45"/>
  <c r="R62" i="45"/>
  <c r="N62" i="45"/>
  <c r="J62" i="45"/>
  <c r="F62" i="45"/>
  <c r="C45" i="45"/>
  <c r="G45" i="45" s="1"/>
  <c r="B45" i="45"/>
  <c r="A45" i="45"/>
  <c r="T43" i="45"/>
  <c r="P43" i="45"/>
  <c r="C43" i="45"/>
  <c r="B43" i="45"/>
  <c r="A43" i="45"/>
  <c r="B41" i="45"/>
  <c r="C41" i="45"/>
  <c r="D41" i="45"/>
  <c r="H41" i="45"/>
  <c r="L41" i="45"/>
  <c r="P41" i="45"/>
  <c r="T41" i="45"/>
  <c r="T40" i="45"/>
  <c r="P40" i="45"/>
  <c r="L40" i="45"/>
  <c r="H40" i="45"/>
  <c r="D40" i="45"/>
  <c r="C40" i="45"/>
  <c r="G40" i="45" s="1"/>
  <c r="K40" i="45" s="1"/>
  <c r="B40" i="45"/>
  <c r="A40" i="45"/>
  <c r="A41" i="45"/>
  <c r="V44" i="45"/>
  <c r="R44" i="45"/>
  <c r="N44" i="45"/>
  <c r="J44" i="45"/>
  <c r="F44" i="45"/>
  <c r="T71" i="45"/>
  <c r="P71" i="45"/>
  <c r="L71" i="45"/>
  <c r="H71" i="45"/>
  <c r="D71" i="45"/>
  <c r="C71" i="45"/>
  <c r="G71" i="45" s="1"/>
  <c r="B71" i="45"/>
  <c r="A71" i="45"/>
  <c r="B50" i="45"/>
  <c r="C50" i="45"/>
  <c r="D50" i="45"/>
  <c r="H50" i="45"/>
  <c r="L50" i="45"/>
  <c r="P50" i="45"/>
  <c r="T50" i="45"/>
  <c r="B51" i="45"/>
  <c r="C51" i="45"/>
  <c r="G51" i="45" s="1"/>
  <c r="D51" i="45"/>
  <c r="H51" i="45"/>
  <c r="L51" i="45"/>
  <c r="P51" i="45"/>
  <c r="T51" i="45"/>
  <c r="B52" i="45"/>
  <c r="C52" i="45"/>
  <c r="D52" i="45"/>
  <c r="H52" i="45"/>
  <c r="L52" i="45"/>
  <c r="P52" i="45"/>
  <c r="T52" i="45"/>
  <c r="T49" i="45"/>
  <c r="P49" i="45"/>
  <c r="L49" i="45"/>
  <c r="H49" i="45"/>
  <c r="D49" i="45"/>
  <c r="C49" i="45"/>
  <c r="G49" i="45" s="1"/>
  <c r="K49" i="45" s="1"/>
  <c r="B49" i="45"/>
  <c r="A49" i="45"/>
  <c r="A50" i="45"/>
  <c r="A51" i="45"/>
  <c r="A52" i="45"/>
  <c r="B36" i="45"/>
  <c r="A36" i="45"/>
  <c r="B35" i="45"/>
  <c r="A35" i="45"/>
  <c r="W34" i="45"/>
  <c r="B32" i="45"/>
  <c r="B31" i="45"/>
  <c r="B11" i="45"/>
  <c r="B12" i="45"/>
  <c r="B13" i="45"/>
  <c r="B22" i="45"/>
  <c r="B23" i="45"/>
  <c r="B24" i="45"/>
  <c r="B25" i="45"/>
  <c r="B26" i="45"/>
  <c r="V78" i="45"/>
  <c r="R78" i="45"/>
  <c r="N78" i="45"/>
  <c r="J78" i="45"/>
  <c r="F78" i="45"/>
  <c r="G70" i="43"/>
  <c r="T71" i="43"/>
  <c r="P71" i="43"/>
  <c r="L71" i="43"/>
  <c r="H71" i="43"/>
  <c r="D71" i="43"/>
  <c r="C71" i="43"/>
  <c r="G71" i="43" s="1"/>
  <c r="K71" i="43" s="1"/>
  <c r="B71" i="43"/>
  <c r="A71" i="43"/>
  <c r="T70" i="43"/>
  <c r="P70" i="43"/>
  <c r="L70" i="43"/>
  <c r="B70" i="43"/>
  <c r="A70" i="43"/>
  <c r="W92" i="4"/>
  <c r="U70" i="4"/>
  <c r="R70" i="4"/>
  <c r="O70" i="4"/>
  <c r="L70" i="4"/>
  <c r="I70" i="4"/>
  <c r="U69" i="4"/>
  <c r="R69" i="4"/>
  <c r="O69" i="4"/>
  <c r="C46" i="44"/>
  <c r="G46" i="44" s="1"/>
  <c r="B46" i="44"/>
  <c r="A46" i="44"/>
  <c r="T44" i="44"/>
  <c r="P44" i="44"/>
  <c r="C44" i="44"/>
  <c r="B44" i="44"/>
  <c r="T42" i="44"/>
  <c r="P42" i="44"/>
  <c r="L42" i="44"/>
  <c r="H42" i="44"/>
  <c r="D42" i="44"/>
  <c r="C42" i="44"/>
  <c r="G42" i="44" s="1"/>
  <c r="B42" i="44"/>
  <c r="A42" i="44"/>
  <c r="T41" i="44"/>
  <c r="P41" i="44"/>
  <c r="L41" i="44"/>
  <c r="H41" i="44"/>
  <c r="D41" i="44"/>
  <c r="C41" i="44"/>
  <c r="G41" i="44" s="1"/>
  <c r="B41" i="44"/>
  <c r="A41" i="44"/>
  <c r="B72" i="44"/>
  <c r="C72" i="44"/>
  <c r="G72" i="44" s="1"/>
  <c r="D72" i="44"/>
  <c r="H72" i="44"/>
  <c r="L72" i="44"/>
  <c r="P72" i="44"/>
  <c r="T72" i="44"/>
  <c r="B73" i="44"/>
  <c r="C73" i="44"/>
  <c r="G73" i="44" s="1"/>
  <c r="D73" i="44"/>
  <c r="H73" i="44"/>
  <c r="L73" i="44"/>
  <c r="P73" i="44"/>
  <c r="T73" i="44"/>
  <c r="B74" i="44"/>
  <c r="C74" i="44"/>
  <c r="D74" i="44"/>
  <c r="H74" i="44"/>
  <c r="L74" i="44"/>
  <c r="P74" i="44"/>
  <c r="T74" i="44"/>
  <c r="T71" i="44"/>
  <c r="P71" i="44"/>
  <c r="L71" i="44"/>
  <c r="H71" i="44"/>
  <c r="D71" i="44"/>
  <c r="C71" i="44"/>
  <c r="B71" i="44"/>
  <c r="A72" i="44"/>
  <c r="A73" i="44"/>
  <c r="A74" i="44"/>
  <c r="A71" i="44"/>
  <c r="U321" i="4"/>
  <c r="R321" i="4"/>
  <c r="O321" i="4"/>
  <c r="L321" i="4"/>
  <c r="I321" i="4"/>
  <c r="T64" i="44"/>
  <c r="P64" i="44"/>
  <c r="L64" i="44"/>
  <c r="H64" i="44"/>
  <c r="D64" i="44"/>
  <c r="C64" i="44"/>
  <c r="G64" i="44" s="1"/>
  <c r="K64" i="44" s="1"/>
  <c r="O64" i="44" s="1"/>
  <c r="S64" i="44" s="1"/>
  <c r="B64" i="44"/>
  <c r="A64" i="44"/>
  <c r="U198" i="4"/>
  <c r="R198" i="4"/>
  <c r="O198" i="4"/>
  <c r="L198" i="4"/>
  <c r="I198" i="4"/>
  <c r="U197" i="4"/>
  <c r="R197" i="4"/>
  <c r="O197" i="4"/>
  <c r="L197" i="4"/>
  <c r="I197" i="4"/>
  <c r="U196" i="4"/>
  <c r="R196" i="4"/>
  <c r="O196" i="4"/>
  <c r="L196" i="4"/>
  <c r="I196" i="4"/>
  <c r="U195" i="4"/>
  <c r="R195" i="4"/>
  <c r="O195" i="4"/>
  <c r="L195" i="4"/>
  <c r="I195" i="4"/>
  <c r="W199" i="4"/>
  <c r="B51" i="44"/>
  <c r="C51" i="44"/>
  <c r="G51" i="44" s="1"/>
  <c r="H51" i="44"/>
  <c r="L51" i="44"/>
  <c r="P51" i="44"/>
  <c r="T51" i="44"/>
  <c r="T50" i="44"/>
  <c r="P50" i="44"/>
  <c r="L50" i="44"/>
  <c r="H50" i="44"/>
  <c r="D50" i="44"/>
  <c r="C50" i="44"/>
  <c r="G50" i="44" s="1"/>
  <c r="B50" i="44"/>
  <c r="A50" i="44"/>
  <c r="A51" i="44"/>
  <c r="A36" i="44"/>
  <c r="A35" i="44"/>
  <c r="B36" i="44"/>
  <c r="B35" i="44"/>
  <c r="B32" i="44"/>
  <c r="B31" i="44"/>
  <c r="B12" i="44"/>
  <c r="B13" i="44"/>
  <c r="B22" i="44"/>
  <c r="B23" i="44"/>
  <c r="B24" i="44"/>
  <c r="B25" i="44"/>
  <c r="B26" i="44"/>
  <c r="B11" i="44"/>
  <c r="H26" i="4"/>
  <c r="W85" i="42" l="1"/>
  <c r="V68" i="45"/>
  <c r="R54" i="45"/>
  <c r="W54" i="45" s="1"/>
  <c r="N77" i="42"/>
  <c r="S7" i="44"/>
  <c r="S7" i="46"/>
  <c r="S7" i="47"/>
  <c r="S7" i="45"/>
  <c r="R52" i="46"/>
  <c r="W52" i="46" s="1"/>
  <c r="S53" i="44"/>
  <c r="V53" i="44" s="1"/>
  <c r="W53" i="44" s="1"/>
  <c r="G43" i="45"/>
  <c r="K43" i="45" s="1"/>
  <c r="H59" i="42"/>
  <c r="J59" i="42" s="1"/>
  <c r="W139" i="42"/>
  <c r="W51" i="47"/>
  <c r="T59" i="42"/>
  <c r="V59" i="42" s="1"/>
  <c r="P59" i="42"/>
  <c r="R59" i="42" s="1"/>
  <c r="D59" i="42"/>
  <c r="F59" i="42" s="1"/>
  <c r="R64" i="46"/>
  <c r="S64" i="46"/>
  <c r="V64" i="46" s="1"/>
  <c r="L59" i="42"/>
  <c r="N59" i="42" s="1"/>
  <c r="N66" i="46"/>
  <c r="C23" i="42"/>
  <c r="S50" i="47"/>
  <c r="V50" i="47" s="1"/>
  <c r="R50" i="47"/>
  <c r="S67" i="47"/>
  <c r="V67" i="47" s="1"/>
  <c r="V69" i="47" s="1"/>
  <c r="R67" i="47"/>
  <c r="R132" i="42"/>
  <c r="W132" i="42" s="1"/>
  <c r="R198" i="42"/>
  <c r="S198" i="42"/>
  <c r="V198" i="42" s="1"/>
  <c r="N145" i="42"/>
  <c r="R131" i="42"/>
  <c r="S131" i="42"/>
  <c r="V131" i="42" s="1"/>
  <c r="W130" i="42"/>
  <c r="W143" i="42"/>
  <c r="S142" i="42"/>
  <c r="V142" i="42" s="1"/>
  <c r="R142" i="42"/>
  <c r="W141" i="42"/>
  <c r="W163" i="42"/>
  <c r="W162" i="42"/>
  <c r="W171" i="42"/>
  <c r="W174" i="42"/>
  <c r="W173" i="42"/>
  <c r="W170" i="42"/>
  <c r="R168" i="42"/>
  <c r="S168" i="42"/>
  <c r="V168" i="42" s="1"/>
  <c r="R167" i="42"/>
  <c r="S167" i="42"/>
  <c r="V167" i="42" s="1"/>
  <c r="W180" i="42"/>
  <c r="R160" i="42"/>
  <c r="S160" i="42"/>
  <c r="V160" i="42" s="1"/>
  <c r="R159" i="42"/>
  <c r="S159" i="42"/>
  <c r="V159" i="42" s="1"/>
  <c r="R155" i="42"/>
  <c r="S155" i="42"/>
  <c r="V155" i="42" s="1"/>
  <c r="R123" i="42"/>
  <c r="W123" i="42" s="1"/>
  <c r="S121" i="42"/>
  <c r="V121" i="42" s="1"/>
  <c r="W121" i="42" s="1"/>
  <c r="W176" i="42"/>
  <c r="R181" i="42"/>
  <c r="V181" i="42"/>
  <c r="R177" i="42"/>
  <c r="V177" i="42"/>
  <c r="N128" i="42"/>
  <c r="R151" i="42"/>
  <c r="V151" i="42"/>
  <c r="W119" i="42"/>
  <c r="W125" i="42"/>
  <c r="W126" i="42"/>
  <c r="W120" i="42"/>
  <c r="S118" i="42"/>
  <c r="V118" i="42" s="1"/>
  <c r="R118" i="42"/>
  <c r="R124" i="42"/>
  <c r="S124" i="42"/>
  <c r="V124" i="42" s="1"/>
  <c r="W117" i="42"/>
  <c r="W112" i="42"/>
  <c r="R113" i="42"/>
  <c r="S113" i="42"/>
  <c r="V113" i="42" s="1"/>
  <c r="W110" i="42"/>
  <c r="W109" i="42"/>
  <c r="W88" i="42"/>
  <c r="W92" i="42"/>
  <c r="S89" i="42"/>
  <c r="V89" i="42" s="1"/>
  <c r="R89" i="42"/>
  <c r="W87" i="42"/>
  <c r="S86" i="42"/>
  <c r="V86" i="42" s="1"/>
  <c r="R86" i="42"/>
  <c r="W102" i="42"/>
  <c r="W80" i="42"/>
  <c r="R96" i="42"/>
  <c r="S96" i="42"/>
  <c r="V96" i="42" s="1"/>
  <c r="R99" i="42"/>
  <c r="S99" i="42"/>
  <c r="V99" i="42" s="1"/>
  <c r="W98" i="42"/>
  <c r="S95" i="42"/>
  <c r="V95" i="42" s="1"/>
  <c r="R95" i="42"/>
  <c r="S103" i="42"/>
  <c r="V103" i="42" s="1"/>
  <c r="R103" i="42"/>
  <c r="W78" i="42"/>
  <c r="R77" i="42"/>
  <c r="S77" i="42"/>
  <c r="V77" i="42" s="1"/>
  <c r="S73" i="42"/>
  <c r="W60" i="42"/>
  <c r="W68" i="42"/>
  <c r="S57" i="42"/>
  <c r="W53" i="42"/>
  <c r="S56" i="42"/>
  <c r="S67" i="42"/>
  <c r="W66" i="47"/>
  <c r="R63" i="46"/>
  <c r="S63" i="46"/>
  <c r="V63" i="46" s="1"/>
  <c r="W65" i="45"/>
  <c r="W68" i="45" s="1"/>
  <c r="W66" i="44"/>
  <c r="S65" i="44"/>
  <c r="V65" i="44" s="1"/>
  <c r="R65" i="44"/>
  <c r="R52" i="44"/>
  <c r="S52" i="44"/>
  <c r="V52" i="44" s="1"/>
  <c r="J61" i="47"/>
  <c r="F76" i="46"/>
  <c r="N57" i="47"/>
  <c r="O57" i="47"/>
  <c r="N58" i="47"/>
  <c r="O58" i="47"/>
  <c r="S59" i="47"/>
  <c r="V59" i="47" s="1"/>
  <c r="R59" i="47"/>
  <c r="R56" i="47"/>
  <c r="S56" i="47"/>
  <c r="V56" i="47" s="1"/>
  <c r="V70" i="4"/>
  <c r="X70" i="4" s="1"/>
  <c r="F71" i="43"/>
  <c r="F74" i="46"/>
  <c r="W74" i="47"/>
  <c r="R77" i="47"/>
  <c r="S77" i="47"/>
  <c r="V77" i="47" s="1"/>
  <c r="R75" i="47"/>
  <c r="S75" i="47"/>
  <c r="V75" i="47" s="1"/>
  <c r="O76" i="47"/>
  <c r="N76" i="47"/>
  <c r="R73" i="47"/>
  <c r="S73" i="47"/>
  <c r="V73" i="47" s="1"/>
  <c r="W78" i="47"/>
  <c r="F78" i="46"/>
  <c r="F75" i="46"/>
  <c r="J76" i="46"/>
  <c r="J72" i="46"/>
  <c r="G78" i="46"/>
  <c r="K78" i="46" s="1"/>
  <c r="O78" i="46" s="1"/>
  <c r="F77" i="46"/>
  <c r="F80" i="46"/>
  <c r="S72" i="47"/>
  <c r="V72" i="47" s="1"/>
  <c r="R72" i="47"/>
  <c r="R42" i="47"/>
  <c r="S45" i="47"/>
  <c r="O40" i="47"/>
  <c r="S44" i="47"/>
  <c r="S39" i="47"/>
  <c r="V39" i="47" s="1"/>
  <c r="R39" i="47"/>
  <c r="G80" i="46"/>
  <c r="J80" i="46" s="1"/>
  <c r="K49" i="47"/>
  <c r="J49" i="47"/>
  <c r="J54" i="47" s="1"/>
  <c r="F49" i="47"/>
  <c r="F54" i="47" s="1"/>
  <c r="W85" i="47"/>
  <c r="K91" i="47"/>
  <c r="N91" i="47" s="1"/>
  <c r="J91" i="47"/>
  <c r="F91" i="47"/>
  <c r="J79" i="46"/>
  <c r="K79" i="46"/>
  <c r="J77" i="46"/>
  <c r="K77" i="46"/>
  <c r="F79" i="46"/>
  <c r="G75" i="46"/>
  <c r="G74" i="46"/>
  <c r="K76" i="46"/>
  <c r="F72" i="46"/>
  <c r="K72" i="46"/>
  <c r="O72" i="46" s="1"/>
  <c r="R72" i="46" s="1"/>
  <c r="V69" i="4"/>
  <c r="F46" i="46"/>
  <c r="K50" i="46"/>
  <c r="J50" i="46"/>
  <c r="J55" i="46" s="1"/>
  <c r="F50" i="46"/>
  <c r="F55" i="46" s="1"/>
  <c r="K46" i="46"/>
  <c r="K45" i="46"/>
  <c r="F41" i="46"/>
  <c r="O41" i="46"/>
  <c r="N41" i="46"/>
  <c r="K43" i="46"/>
  <c r="J41" i="46"/>
  <c r="W87" i="46"/>
  <c r="F51" i="45"/>
  <c r="F50" i="45"/>
  <c r="F41" i="45"/>
  <c r="W62" i="45"/>
  <c r="G41" i="45"/>
  <c r="K41" i="45" s="1"/>
  <c r="N41" i="45" s="1"/>
  <c r="F52" i="45"/>
  <c r="F40" i="45"/>
  <c r="F49" i="45"/>
  <c r="G52" i="45"/>
  <c r="J52" i="45" s="1"/>
  <c r="W44" i="45"/>
  <c r="O40" i="45"/>
  <c r="N40" i="45"/>
  <c r="K45" i="45"/>
  <c r="J40" i="45"/>
  <c r="K71" i="45"/>
  <c r="J71" i="45"/>
  <c r="J73" i="45" s="1"/>
  <c r="F71" i="45"/>
  <c r="F73" i="45" s="1"/>
  <c r="K51" i="45"/>
  <c r="J51" i="45"/>
  <c r="G50" i="45"/>
  <c r="O49" i="45"/>
  <c r="N49" i="45"/>
  <c r="J49" i="45"/>
  <c r="W78" i="45"/>
  <c r="J70" i="43"/>
  <c r="K70" i="43"/>
  <c r="O70" i="43" s="1"/>
  <c r="S70" i="43" s="1"/>
  <c r="V70" i="43" s="1"/>
  <c r="O71" i="43"/>
  <c r="N71" i="43"/>
  <c r="J71" i="43"/>
  <c r="F74" i="44"/>
  <c r="F72" i="44"/>
  <c r="V321" i="4"/>
  <c r="X321" i="4" s="1"/>
  <c r="J72" i="44"/>
  <c r="K42" i="44"/>
  <c r="J42" i="44"/>
  <c r="F42" i="44"/>
  <c r="G74" i="44"/>
  <c r="J74" i="44" s="1"/>
  <c r="J41" i="44"/>
  <c r="F41" i="44"/>
  <c r="K41" i="44"/>
  <c r="O41" i="44" s="1"/>
  <c r="R41" i="44" s="1"/>
  <c r="G44" i="44"/>
  <c r="K46" i="44"/>
  <c r="J73" i="44"/>
  <c r="K73" i="44"/>
  <c r="N73" i="44" s="1"/>
  <c r="K72" i="44"/>
  <c r="N72" i="44" s="1"/>
  <c r="F73" i="44"/>
  <c r="F71" i="44"/>
  <c r="G71" i="44"/>
  <c r="K71" i="44" s="1"/>
  <c r="O71" i="44" s="1"/>
  <c r="V198" i="4"/>
  <c r="X198" i="4" s="1"/>
  <c r="U199" i="4"/>
  <c r="I199" i="4"/>
  <c r="V196" i="4"/>
  <c r="X196" i="4" s="1"/>
  <c r="R199" i="4"/>
  <c r="V195" i="4"/>
  <c r="L199" i="4"/>
  <c r="V197" i="4"/>
  <c r="X197" i="4" s="1"/>
  <c r="O199" i="4"/>
  <c r="J64" i="44"/>
  <c r="J68" i="44" s="1"/>
  <c r="F64" i="44"/>
  <c r="F68" i="44" s="1"/>
  <c r="K51" i="44"/>
  <c r="N51" i="44" s="1"/>
  <c r="J51" i="44"/>
  <c r="J50" i="44"/>
  <c r="K50" i="44"/>
  <c r="F50" i="44"/>
  <c r="V141" i="43"/>
  <c r="R141" i="43"/>
  <c r="N141" i="43"/>
  <c r="J141" i="43"/>
  <c r="F141" i="43"/>
  <c r="U135" i="4"/>
  <c r="U136" i="4"/>
  <c r="R135" i="4"/>
  <c r="R136" i="4"/>
  <c r="O135" i="4"/>
  <c r="O136" i="4"/>
  <c r="L135" i="4"/>
  <c r="L136" i="4"/>
  <c r="A133" i="43"/>
  <c r="B133" i="43"/>
  <c r="C133" i="43"/>
  <c r="G133" i="43" s="1"/>
  <c r="A132" i="43"/>
  <c r="B132" i="43"/>
  <c r="C132" i="43"/>
  <c r="G132" i="43" s="1"/>
  <c r="A129" i="43"/>
  <c r="B129" i="43"/>
  <c r="C129" i="43"/>
  <c r="G129" i="43" s="1"/>
  <c r="K129" i="43" s="1"/>
  <c r="D129" i="43"/>
  <c r="H129" i="43"/>
  <c r="L129" i="43"/>
  <c r="P129" i="43"/>
  <c r="T129" i="43"/>
  <c r="A130" i="43"/>
  <c r="A131" i="43"/>
  <c r="B131" i="43"/>
  <c r="C131" i="43"/>
  <c r="G131" i="43" s="1"/>
  <c r="D131" i="43"/>
  <c r="H131" i="43"/>
  <c r="L131" i="43"/>
  <c r="P131" i="43"/>
  <c r="T131" i="43"/>
  <c r="B125" i="43"/>
  <c r="C125" i="43"/>
  <c r="G125" i="43" s="1"/>
  <c r="K125" i="43" s="1"/>
  <c r="O125" i="43" s="1"/>
  <c r="S125" i="43" s="1"/>
  <c r="D125" i="43"/>
  <c r="H125" i="43"/>
  <c r="L125" i="43"/>
  <c r="P125" i="43"/>
  <c r="T125" i="43"/>
  <c r="B127" i="43"/>
  <c r="C127" i="43"/>
  <c r="G127" i="43" s="1"/>
  <c r="D127" i="43"/>
  <c r="H127" i="43"/>
  <c r="L127" i="43"/>
  <c r="P127" i="43"/>
  <c r="T127" i="43"/>
  <c r="B128" i="43"/>
  <c r="C128" i="43"/>
  <c r="D128" i="43"/>
  <c r="H128" i="43"/>
  <c r="L128" i="43"/>
  <c r="P128" i="43"/>
  <c r="T128" i="43"/>
  <c r="A125" i="43"/>
  <c r="A127" i="43"/>
  <c r="A128" i="43"/>
  <c r="A110" i="43"/>
  <c r="B110" i="43"/>
  <c r="D110" i="43"/>
  <c r="H110" i="43"/>
  <c r="L110" i="43"/>
  <c r="P110" i="43"/>
  <c r="T110" i="43"/>
  <c r="A111" i="43"/>
  <c r="B111" i="43"/>
  <c r="C111" i="43"/>
  <c r="D111" i="43"/>
  <c r="H111" i="43"/>
  <c r="L111" i="43"/>
  <c r="P111" i="43"/>
  <c r="T111" i="43"/>
  <c r="A112" i="43"/>
  <c r="B112" i="43"/>
  <c r="D112" i="43"/>
  <c r="H112" i="43"/>
  <c r="L112" i="43"/>
  <c r="P112" i="43"/>
  <c r="T112" i="43"/>
  <c r="B101" i="43"/>
  <c r="C101" i="43"/>
  <c r="G101" i="43" s="1"/>
  <c r="K101" i="43" s="1"/>
  <c r="D101" i="43"/>
  <c r="H101" i="43"/>
  <c r="L101" i="43"/>
  <c r="P101" i="43"/>
  <c r="T101" i="43"/>
  <c r="B102" i="43"/>
  <c r="C102" i="43"/>
  <c r="G102" i="43" s="1"/>
  <c r="D102" i="43"/>
  <c r="H102" i="43"/>
  <c r="L102" i="43"/>
  <c r="P102" i="43"/>
  <c r="T102" i="43"/>
  <c r="B103" i="43"/>
  <c r="C103" i="43"/>
  <c r="D103" i="43"/>
  <c r="H103" i="43"/>
  <c r="L103" i="43"/>
  <c r="P103" i="43"/>
  <c r="T103" i="43"/>
  <c r="B104" i="43"/>
  <c r="C104" i="43"/>
  <c r="G104" i="43" s="1"/>
  <c r="D104" i="43"/>
  <c r="H104" i="43"/>
  <c r="L104" i="43"/>
  <c r="P104" i="43"/>
  <c r="T104" i="43"/>
  <c r="B105" i="43"/>
  <c r="C105" i="43"/>
  <c r="D105" i="43"/>
  <c r="H105" i="43"/>
  <c r="L105" i="43"/>
  <c r="P105" i="43"/>
  <c r="T105" i="43"/>
  <c r="B106" i="43"/>
  <c r="C106" i="43"/>
  <c r="D106" i="43"/>
  <c r="H106" i="43"/>
  <c r="L106" i="43"/>
  <c r="P106" i="43"/>
  <c r="T106" i="43"/>
  <c r="A101" i="43"/>
  <c r="A102" i="43"/>
  <c r="A103" i="43"/>
  <c r="A104" i="43"/>
  <c r="A105" i="43"/>
  <c r="A106" i="43"/>
  <c r="A98" i="43"/>
  <c r="A99" i="43"/>
  <c r="A100" i="43"/>
  <c r="B100" i="43"/>
  <c r="C100" i="43"/>
  <c r="D100" i="43"/>
  <c r="H100" i="43"/>
  <c r="L100" i="43"/>
  <c r="P100" i="43"/>
  <c r="T100" i="43"/>
  <c r="B98" i="43"/>
  <c r="C98" i="43"/>
  <c r="G98" i="43" s="1"/>
  <c r="D98" i="43"/>
  <c r="H98" i="43"/>
  <c r="L98" i="43"/>
  <c r="P98" i="43"/>
  <c r="T98" i="43"/>
  <c r="B99" i="43"/>
  <c r="C99" i="43"/>
  <c r="G99" i="43" s="1"/>
  <c r="D99" i="43"/>
  <c r="H99" i="43"/>
  <c r="L99" i="43"/>
  <c r="P99" i="43"/>
  <c r="T99" i="43"/>
  <c r="T97" i="43"/>
  <c r="P97" i="43"/>
  <c r="L97" i="43"/>
  <c r="H97" i="43"/>
  <c r="D97" i="43"/>
  <c r="C97" i="43"/>
  <c r="G97" i="43" s="1"/>
  <c r="K97" i="43" s="1"/>
  <c r="O97" i="43" s="1"/>
  <c r="S97" i="43" s="1"/>
  <c r="B97" i="43"/>
  <c r="A97" i="43"/>
  <c r="T93" i="43"/>
  <c r="P93" i="43"/>
  <c r="L93" i="43"/>
  <c r="H93" i="43"/>
  <c r="D93" i="43"/>
  <c r="C93" i="43"/>
  <c r="G93" i="43" s="1"/>
  <c r="B93" i="43"/>
  <c r="A93" i="43"/>
  <c r="T89" i="43"/>
  <c r="P89" i="43"/>
  <c r="L89" i="43"/>
  <c r="H89" i="43"/>
  <c r="D89" i="43"/>
  <c r="C89" i="43"/>
  <c r="G89" i="43" s="1"/>
  <c r="B89" i="43"/>
  <c r="A89" i="43"/>
  <c r="A88" i="43"/>
  <c r="T87" i="43"/>
  <c r="P87" i="43"/>
  <c r="L87" i="43"/>
  <c r="H87" i="43"/>
  <c r="D87" i="43"/>
  <c r="C87" i="43"/>
  <c r="G87" i="43" s="1"/>
  <c r="B87" i="43"/>
  <c r="A87" i="43"/>
  <c r="T86" i="43"/>
  <c r="P86" i="43"/>
  <c r="L86" i="43"/>
  <c r="H86" i="43"/>
  <c r="D86" i="43"/>
  <c r="C86" i="43"/>
  <c r="G86" i="43" s="1"/>
  <c r="B86" i="43"/>
  <c r="A86" i="43"/>
  <c r="T85" i="43"/>
  <c r="P85" i="43"/>
  <c r="L85" i="43"/>
  <c r="H85" i="43"/>
  <c r="D85" i="43"/>
  <c r="C85" i="43"/>
  <c r="G85" i="43" s="1"/>
  <c r="B85" i="43"/>
  <c r="A85" i="43"/>
  <c r="A84" i="43"/>
  <c r="T83" i="43"/>
  <c r="P83" i="43"/>
  <c r="L83" i="43"/>
  <c r="H83" i="43"/>
  <c r="D83" i="43"/>
  <c r="C83" i="43"/>
  <c r="G83" i="43" s="1"/>
  <c r="B83" i="43"/>
  <c r="A83" i="43"/>
  <c r="T82" i="43"/>
  <c r="P82" i="43"/>
  <c r="L82" i="43"/>
  <c r="H82" i="43"/>
  <c r="D82" i="43"/>
  <c r="C82" i="43"/>
  <c r="G82" i="43" s="1"/>
  <c r="B82" i="43"/>
  <c r="A82" i="43"/>
  <c r="T81" i="43"/>
  <c r="P81" i="43"/>
  <c r="L81" i="43"/>
  <c r="H81" i="43"/>
  <c r="D81" i="43"/>
  <c r="C81" i="43"/>
  <c r="G81" i="43" s="1"/>
  <c r="B81" i="43"/>
  <c r="A81" i="43"/>
  <c r="T80" i="43"/>
  <c r="P80" i="43"/>
  <c r="L80" i="43"/>
  <c r="H80" i="43"/>
  <c r="D80" i="43"/>
  <c r="C80" i="43"/>
  <c r="G80" i="43" s="1"/>
  <c r="B80" i="43"/>
  <c r="A80" i="43"/>
  <c r="T79" i="43"/>
  <c r="P79" i="43"/>
  <c r="L79" i="43"/>
  <c r="H79" i="43"/>
  <c r="D79" i="43"/>
  <c r="C79" i="43"/>
  <c r="G79" i="43" s="1"/>
  <c r="K79" i="43" s="1"/>
  <c r="B79" i="43"/>
  <c r="A79" i="43"/>
  <c r="A78" i="43"/>
  <c r="B73" i="43"/>
  <c r="C73" i="43"/>
  <c r="D73" i="43"/>
  <c r="H73" i="43"/>
  <c r="L73" i="43"/>
  <c r="P73" i="43"/>
  <c r="T73" i="43"/>
  <c r="B74" i="43"/>
  <c r="C74" i="43"/>
  <c r="C81" i="42" s="1"/>
  <c r="D74" i="43"/>
  <c r="H74" i="43"/>
  <c r="L74" i="43"/>
  <c r="P74" i="43"/>
  <c r="T74" i="43"/>
  <c r="B75" i="43"/>
  <c r="C75" i="43"/>
  <c r="D75" i="43"/>
  <c r="H75" i="43"/>
  <c r="L75" i="43"/>
  <c r="P75" i="43"/>
  <c r="T75" i="43"/>
  <c r="C72" i="43"/>
  <c r="G72" i="43" s="1"/>
  <c r="K72" i="43" s="1"/>
  <c r="O72" i="43" s="1"/>
  <c r="S72" i="43" s="1"/>
  <c r="A73" i="43"/>
  <c r="A74" i="43"/>
  <c r="A75" i="43"/>
  <c r="A72" i="43"/>
  <c r="T72" i="43"/>
  <c r="P72" i="43"/>
  <c r="L72" i="43"/>
  <c r="H72" i="43"/>
  <c r="D72" i="43"/>
  <c r="B72" i="43"/>
  <c r="U63" i="4"/>
  <c r="U58" i="4"/>
  <c r="U53" i="4"/>
  <c r="R63" i="4"/>
  <c r="R58" i="4"/>
  <c r="R53" i="4"/>
  <c r="O63" i="4"/>
  <c r="O58" i="4"/>
  <c r="O53" i="4"/>
  <c r="L63" i="4"/>
  <c r="L58" i="4"/>
  <c r="L53" i="4"/>
  <c r="T60" i="43"/>
  <c r="P60" i="43"/>
  <c r="L60" i="43"/>
  <c r="H60" i="43"/>
  <c r="C60" i="43"/>
  <c r="G60" i="43" s="1"/>
  <c r="K60" i="43" s="1"/>
  <c r="O60" i="43" s="1"/>
  <c r="S60" i="43" s="1"/>
  <c r="B60" i="43"/>
  <c r="A60" i="43"/>
  <c r="A64" i="42" s="1"/>
  <c r="C66" i="43"/>
  <c r="G66" i="43" s="1"/>
  <c r="K66" i="43" s="1"/>
  <c r="O66" i="43" s="1"/>
  <c r="S66" i="43" s="1"/>
  <c r="B66" i="43"/>
  <c r="A66" i="43"/>
  <c r="C65" i="43"/>
  <c r="G65" i="43" s="1"/>
  <c r="K65" i="43" s="1"/>
  <c r="O65" i="43" s="1"/>
  <c r="S65" i="43" s="1"/>
  <c r="B65" i="43"/>
  <c r="A65" i="43"/>
  <c r="C64" i="43"/>
  <c r="G64" i="43" s="1"/>
  <c r="K64" i="43" s="1"/>
  <c r="O64" i="43" s="1"/>
  <c r="S64" i="43" s="1"/>
  <c r="B64" i="43"/>
  <c r="A64" i="43"/>
  <c r="C57" i="43"/>
  <c r="G57" i="43" s="1"/>
  <c r="K57" i="43" s="1"/>
  <c r="O57" i="43" s="1"/>
  <c r="S57" i="43" s="1"/>
  <c r="A57" i="43"/>
  <c r="B57" i="43"/>
  <c r="C58" i="43"/>
  <c r="G58" i="43" s="1"/>
  <c r="K58" i="43" s="1"/>
  <c r="O58" i="43" s="1"/>
  <c r="S58" i="43" s="1"/>
  <c r="B58" i="43"/>
  <c r="A58" i="43"/>
  <c r="C63" i="43"/>
  <c r="G63" i="43" s="1"/>
  <c r="K63" i="43" s="1"/>
  <c r="O63" i="43" s="1"/>
  <c r="S63" i="43" s="1"/>
  <c r="B63" i="43"/>
  <c r="A63" i="43"/>
  <c r="C62" i="43"/>
  <c r="G62" i="43" s="1"/>
  <c r="K62" i="43" s="1"/>
  <c r="O62" i="43" s="1"/>
  <c r="S62" i="43" s="1"/>
  <c r="B62" i="43"/>
  <c r="A62" i="43"/>
  <c r="C56" i="43"/>
  <c r="G56" i="43" s="1"/>
  <c r="K56" i="43" s="1"/>
  <c r="O56" i="43" s="1"/>
  <c r="S56" i="43" s="1"/>
  <c r="B56" i="43"/>
  <c r="A56" i="43"/>
  <c r="A54" i="43"/>
  <c r="T54" i="43"/>
  <c r="P54" i="43"/>
  <c r="L54" i="43"/>
  <c r="H54" i="43"/>
  <c r="D54" i="43"/>
  <c r="C54" i="43"/>
  <c r="G54" i="43" s="1"/>
  <c r="K54" i="43" s="1"/>
  <c r="O54" i="43" s="1"/>
  <c r="S54" i="43" s="1"/>
  <c r="B54" i="43"/>
  <c r="N54" i="4"/>
  <c r="T53" i="43"/>
  <c r="P53" i="43"/>
  <c r="L53" i="43"/>
  <c r="H53" i="43"/>
  <c r="D53" i="43"/>
  <c r="C53" i="43"/>
  <c r="G53" i="43" s="1"/>
  <c r="K53" i="43" s="1"/>
  <c r="O53" i="43" s="1"/>
  <c r="S53" i="43" s="1"/>
  <c r="B53" i="43"/>
  <c r="A53" i="43"/>
  <c r="E41" i="43"/>
  <c r="I41" i="43" s="1"/>
  <c r="M41" i="43" s="1"/>
  <c r="B41" i="43"/>
  <c r="A41" i="43"/>
  <c r="H354" i="4"/>
  <c r="E34" i="47" s="1"/>
  <c r="I34" i="47" s="1"/>
  <c r="M34" i="47" s="1"/>
  <c r="Q34" i="47" s="1"/>
  <c r="U34" i="47" s="1"/>
  <c r="H355" i="4"/>
  <c r="E35" i="47" s="1"/>
  <c r="I35" i="47" s="1"/>
  <c r="M35" i="47" s="1"/>
  <c r="Q35" i="47" s="1"/>
  <c r="U35" i="47" s="1"/>
  <c r="H287" i="4"/>
  <c r="E35" i="46" s="1"/>
  <c r="I35" i="46" s="1"/>
  <c r="M35" i="46" s="1"/>
  <c r="Q35" i="46" s="1"/>
  <c r="U35" i="46" s="1"/>
  <c r="H288" i="4"/>
  <c r="E36" i="46" s="1"/>
  <c r="I36" i="46" s="1"/>
  <c r="M36" i="46" s="1"/>
  <c r="Q36" i="46" s="1"/>
  <c r="U36" i="46" s="1"/>
  <c r="W231" i="4"/>
  <c r="H229" i="4"/>
  <c r="E35" i="45" s="1"/>
  <c r="I35" i="45" s="1"/>
  <c r="M35" i="45" s="1"/>
  <c r="H230" i="4"/>
  <c r="E36" i="45" s="1"/>
  <c r="I36" i="45" s="1"/>
  <c r="M36" i="45" s="1"/>
  <c r="Q36" i="45" s="1"/>
  <c r="W171" i="4"/>
  <c r="H169" i="4"/>
  <c r="E35" i="44" s="1"/>
  <c r="I35" i="44" s="1"/>
  <c r="M35" i="44" s="1"/>
  <c r="Q35" i="44" s="1"/>
  <c r="U35" i="44" s="1"/>
  <c r="H170" i="4"/>
  <c r="E36" i="44" s="1"/>
  <c r="I36" i="44" s="1"/>
  <c r="M36" i="44" s="1"/>
  <c r="Q36" i="44" s="1"/>
  <c r="U36" i="44" s="1"/>
  <c r="H39" i="4"/>
  <c r="E35" i="42" s="1"/>
  <c r="E37" i="43"/>
  <c r="I37" i="43" s="1"/>
  <c r="M37" i="43" s="1"/>
  <c r="Q37" i="43" s="1"/>
  <c r="U37" i="43" s="1"/>
  <c r="E36" i="43"/>
  <c r="I36" i="43" s="1"/>
  <c r="M36" i="43" s="1"/>
  <c r="Q36" i="43" s="1"/>
  <c r="U36" i="43" s="1"/>
  <c r="B36" i="43"/>
  <c r="B37" i="43"/>
  <c r="B35" i="43"/>
  <c r="B12" i="43"/>
  <c r="D12" i="43"/>
  <c r="H12" i="43"/>
  <c r="L12" i="43"/>
  <c r="P12" i="43"/>
  <c r="T12" i="43"/>
  <c r="B13" i="43"/>
  <c r="D13" i="43"/>
  <c r="H13" i="43"/>
  <c r="L13" i="43"/>
  <c r="P13" i="43"/>
  <c r="T13" i="43"/>
  <c r="B22" i="43"/>
  <c r="D22" i="43"/>
  <c r="H22" i="43"/>
  <c r="L22" i="43"/>
  <c r="P22" i="43"/>
  <c r="T22" i="43"/>
  <c r="B23" i="43"/>
  <c r="D23" i="43"/>
  <c r="H23" i="43"/>
  <c r="L23" i="43"/>
  <c r="P23" i="43"/>
  <c r="T23" i="43"/>
  <c r="B24" i="43"/>
  <c r="D24" i="43"/>
  <c r="H24" i="43"/>
  <c r="L24" i="43"/>
  <c r="P24" i="43"/>
  <c r="T24" i="43"/>
  <c r="B25" i="43"/>
  <c r="D25" i="43"/>
  <c r="H25" i="43"/>
  <c r="L25" i="43"/>
  <c r="P25" i="43"/>
  <c r="T25" i="43"/>
  <c r="B26" i="43"/>
  <c r="D26" i="43"/>
  <c r="H26" i="43"/>
  <c r="L26" i="43"/>
  <c r="P26" i="43"/>
  <c r="T26" i="43"/>
  <c r="T11" i="43"/>
  <c r="P11" i="43"/>
  <c r="L11" i="43"/>
  <c r="H11" i="43"/>
  <c r="D11" i="43"/>
  <c r="B11" i="43"/>
  <c r="A12" i="43"/>
  <c r="A13" i="43"/>
  <c r="A22" i="43"/>
  <c r="A23" i="43"/>
  <c r="A24" i="43"/>
  <c r="A25" i="43"/>
  <c r="A26" i="43"/>
  <c r="A11" i="43"/>
  <c r="B10" i="43"/>
  <c r="T30" i="43"/>
  <c r="T29" i="43"/>
  <c r="P30" i="43"/>
  <c r="P29" i="43"/>
  <c r="L30" i="43"/>
  <c r="L29" i="43"/>
  <c r="H30" i="43"/>
  <c r="H29" i="43"/>
  <c r="D30" i="43"/>
  <c r="D29" i="43"/>
  <c r="B30" i="43"/>
  <c r="B29" i="43"/>
  <c r="A30" i="43"/>
  <c r="A29" i="43"/>
  <c r="G23" i="42" l="1"/>
  <c r="F82" i="46"/>
  <c r="F57" i="45"/>
  <c r="J56" i="44"/>
  <c r="I35" i="42"/>
  <c r="M35" i="42" s="1"/>
  <c r="Q35" i="42" s="1"/>
  <c r="U35" i="42" s="1"/>
  <c r="C64" i="42"/>
  <c r="G64" i="42" s="1"/>
  <c r="K64" i="42" s="1"/>
  <c r="W67" i="47"/>
  <c r="W69" i="47" s="1"/>
  <c r="F81" i="42"/>
  <c r="G81" i="42"/>
  <c r="W52" i="44"/>
  <c r="G75" i="43"/>
  <c r="K75" i="43" s="1"/>
  <c r="C82" i="42"/>
  <c r="R69" i="47"/>
  <c r="V66" i="46"/>
  <c r="R66" i="46"/>
  <c r="W64" i="46"/>
  <c r="L62" i="43"/>
  <c r="L66" i="42"/>
  <c r="N66" i="42" s="1"/>
  <c r="W50" i="47"/>
  <c r="W59" i="42"/>
  <c r="W198" i="42"/>
  <c r="W142" i="42"/>
  <c r="V145" i="42"/>
  <c r="R145" i="42"/>
  <c r="W131" i="42"/>
  <c r="W167" i="42"/>
  <c r="W168" i="42"/>
  <c r="W159" i="42"/>
  <c r="W160" i="42"/>
  <c r="W155" i="42"/>
  <c r="R128" i="42"/>
  <c r="W177" i="42"/>
  <c r="W181" i="42"/>
  <c r="V128" i="42"/>
  <c r="W151" i="42"/>
  <c r="W118" i="42"/>
  <c r="W124" i="42"/>
  <c r="W113" i="42"/>
  <c r="W89" i="42"/>
  <c r="W95" i="42"/>
  <c r="W103" i="42"/>
  <c r="W99" i="42"/>
  <c r="W96" i="42"/>
  <c r="W77" i="42"/>
  <c r="W63" i="46"/>
  <c r="W65" i="44"/>
  <c r="W59" i="47"/>
  <c r="N61" i="47"/>
  <c r="K23" i="42"/>
  <c r="S57" i="47"/>
  <c r="V57" i="47" s="1"/>
  <c r="R57" i="47"/>
  <c r="S58" i="47"/>
  <c r="V58" i="47" s="1"/>
  <c r="R58" i="47"/>
  <c r="W56" i="47"/>
  <c r="W73" i="47"/>
  <c r="W75" i="47"/>
  <c r="W77" i="47"/>
  <c r="S76" i="47"/>
  <c r="V76" i="47" s="1"/>
  <c r="V80" i="47" s="1"/>
  <c r="R76" i="47"/>
  <c r="W72" i="47"/>
  <c r="K80" i="46"/>
  <c r="N80" i="46" s="1"/>
  <c r="N78" i="46"/>
  <c r="J78" i="46"/>
  <c r="S40" i="47"/>
  <c r="W39" i="47"/>
  <c r="N49" i="47"/>
  <c r="N54" i="47" s="1"/>
  <c r="O49" i="47"/>
  <c r="O91" i="47"/>
  <c r="K74" i="46"/>
  <c r="R78" i="46"/>
  <c r="S78" i="46"/>
  <c r="V78" i="46" s="1"/>
  <c r="K75" i="46"/>
  <c r="N77" i="46"/>
  <c r="O77" i="46"/>
  <c r="N79" i="46"/>
  <c r="O79" i="46"/>
  <c r="N76" i="46"/>
  <c r="O76" i="46"/>
  <c r="N72" i="46"/>
  <c r="S72" i="46"/>
  <c r="V72" i="46" s="1"/>
  <c r="X69" i="4"/>
  <c r="O50" i="46"/>
  <c r="N50" i="46"/>
  <c r="N55" i="46" s="1"/>
  <c r="O46" i="46"/>
  <c r="O45" i="46"/>
  <c r="R41" i="46"/>
  <c r="S41" i="46"/>
  <c r="V41" i="46" s="1"/>
  <c r="O43" i="46"/>
  <c r="J41" i="45"/>
  <c r="K52" i="45"/>
  <c r="N52" i="45" s="1"/>
  <c r="O41" i="45"/>
  <c r="R41" i="45" s="1"/>
  <c r="O43" i="45"/>
  <c r="O45" i="45"/>
  <c r="R40" i="45"/>
  <c r="S40" i="45"/>
  <c r="V40" i="45" s="1"/>
  <c r="O71" i="45"/>
  <c r="N71" i="45"/>
  <c r="N73" i="45" s="1"/>
  <c r="J50" i="45"/>
  <c r="J57" i="45" s="1"/>
  <c r="K50" i="45"/>
  <c r="N51" i="45"/>
  <c r="O51" i="45"/>
  <c r="R49" i="45"/>
  <c r="S49" i="45"/>
  <c r="V49" i="45" s="1"/>
  <c r="U36" i="45"/>
  <c r="Q35" i="45"/>
  <c r="N70" i="43"/>
  <c r="R70" i="43"/>
  <c r="S71" i="43"/>
  <c r="V71" i="43" s="1"/>
  <c r="R71" i="43"/>
  <c r="K74" i="44"/>
  <c r="N74" i="44" s="1"/>
  <c r="O42" i="44"/>
  <c r="N42" i="44"/>
  <c r="N41" i="44"/>
  <c r="S41" i="44"/>
  <c r="V41" i="44" s="1"/>
  <c r="K44" i="44"/>
  <c r="O72" i="44"/>
  <c r="R72" i="44" s="1"/>
  <c r="O73" i="44"/>
  <c r="S73" i="44" s="1"/>
  <c r="V73" i="44" s="1"/>
  <c r="O46" i="44"/>
  <c r="F76" i="44"/>
  <c r="N71" i="44"/>
  <c r="J71" i="44"/>
  <c r="J76" i="44" s="1"/>
  <c r="R71" i="44"/>
  <c r="S71" i="44"/>
  <c r="V71" i="44" s="1"/>
  <c r="V199" i="4"/>
  <c r="X195" i="4"/>
  <c r="X199" i="4" s="1"/>
  <c r="O54" i="4"/>
  <c r="O51" i="44"/>
  <c r="S51" i="44" s="1"/>
  <c r="V51" i="44" s="1"/>
  <c r="N64" i="44"/>
  <c r="N68" i="44" s="1"/>
  <c r="N50" i="44"/>
  <c r="N56" i="44" s="1"/>
  <c r="O50" i="44"/>
  <c r="W141" i="43"/>
  <c r="K133" i="43"/>
  <c r="O133" i="43" s="1"/>
  <c r="F128" i="43"/>
  <c r="F127" i="43"/>
  <c r="J127" i="43"/>
  <c r="J131" i="43"/>
  <c r="G128" i="43"/>
  <c r="J128" i="43" s="1"/>
  <c r="J125" i="43"/>
  <c r="N125" i="43"/>
  <c r="F129" i="43"/>
  <c r="F125" i="43"/>
  <c r="F131" i="43"/>
  <c r="K132" i="43"/>
  <c r="N129" i="43"/>
  <c r="O129" i="43"/>
  <c r="J129" i="43"/>
  <c r="K131" i="43"/>
  <c r="K127" i="43"/>
  <c r="F111" i="43"/>
  <c r="G111" i="43"/>
  <c r="J111" i="43" s="1"/>
  <c r="F112" i="43"/>
  <c r="G112" i="43"/>
  <c r="F101" i="43"/>
  <c r="F105" i="43"/>
  <c r="F103" i="43"/>
  <c r="J98" i="43"/>
  <c r="F104" i="43"/>
  <c r="G103" i="43"/>
  <c r="J103" i="43" s="1"/>
  <c r="F102" i="43"/>
  <c r="F98" i="43"/>
  <c r="F106" i="43"/>
  <c r="J104" i="43"/>
  <c r="K104" i="43"/>
  <c r="J102" i="43"/>
  <c r="K102" i="43"/>
  <c r="N101" i="43"/>
  <c r="O101" i="43"/>
  <c r="J101" i="43"/>
  <c r="G106" i="43"/>
  <c r="G105" i="43"/>
  <c r="F99" i="43"/>
  <c r="J99" i="43"/>
  <c r="F100" i="43"/>
  <c r="K98" i="43"/>
  <c r="N98" i="43" s="1"/>
  <c r="G100" i="43"/>
  <c r="K99" i="43"/>
  <c r="J97" i="43"/>
  <c r="F97" i="43"/>
  <c r="F93" i="43"/>
  <c r="F79" i="43"/>
  <c r="F82" i="43"/>
  <c r="F87" i="43"/>
  <c r="F74" i="43"/>
  <c r="K89" i="43"/>
  <c r="J89" i="43"/>
  <c r="F89" i="43"/>
  <c r="K86" i="43"/>
  <c r="J86" i="43"/>
  <c r="K87" i="43"/>
  <c r="O87" i="43" s="1"/>
  <c r="S87" i="43" s="1"/>
  <c r="V87" i="43" s="1"/>
  <c r="J87" i="43"/>
  <c r="F85" i="43"/>
  <c r="F86" i="43"/>
  <c r="F73" i="43"/>
  <c r="K85" i="43"/>
  <c r="J85" i="43"/>
  <c r="K82" i="43"/>
  <c r="J82" i="43"/>
  <c r="K83" i="43"/>
  <c r="J83" i="43"/>
  <c r="F83" i="43"/>
  <c r="K80" i="43"/>
  <c r="J80" i="43"/>
  <c r="K81" i="43"/>
  <c r="J81" i="43"/>
  <c r="F80" i="43"/>
  <c r="F81" i="43"/>
  <c r="O79" i="43"/>
  <c r="N79" i="43"/>
  <c r="J79" i="43"/>
  <c r="F75" i="43"/>
  <c r="G74" i="43"/>
  <c r="J74" i="43" s="1"/>
  <c r="G73" i="43"/>
  <c r="J72" i="43"/>
  <c r="F72" i="43"/>
  <c r="R54" i="43"/>
  <c r="J60" i="43"/>
  <c r="F60" i="43"/>
  <c r="F54" i="43"/>
  <c r="J54" i="43"/>
  <c r="V54" i="43"/>
  <c r="N53" i="43"/>
  <c r="J53" i="43"/>
  <c r="F53" i="43"/>
  <c r="Q41" i="43"/>
  <c r="V93" i="46"/>
  <c r="R93" i="46"/>
  <c r="N93" i="46"/>
  <c r="J93" i="46"/>
  <c r="F93" i="46"/>
  <c r="V60" i="46"/>
  <c r="R60" i="46"/>
  <c r="N60" i="46"/>
  <c r="J60" i="46"/>
  <c r="F60" i="46"/>
  <c r="V57" i="46"/>
  <c r="R57" i="46"/>
  <c r="N57" i="46"/>
  <c r="J57" i="46"/>
  <c r="F57" i="46"/>
  <c r="V84" i="45"/>
  <c r="R84" i="45"/>
  <c r="N84" i="45"/>
  <c r="J84" i="45"/>
  <c r="F84" i="45"/>
  <c r="V59" i="45"/>
  <c r="R59" i="45"/>
  <c r="N59" i="45"/>
  <c r="J59" i="45"/>
  <c r="F59" i="45"/>
  <c r="V87" i="44"/>
  <c r="R87" i="44"/>
  <c r="N87" i="44"/>
  <c r="J87" i="44"/>
  <c r="F87" i="44"/>
  <c r="V61" i="44"/>
  <c r="R61" i="44"/>
  <c r="N61" i="44"/>
  <c r="J61" i="44"/>
  <c r="F61" i="44"/>
  <c r="V58" i="44"/>
  <c r="R58" i="44"/>
  <c r="N58" i="44"/>
  <c r="J58" i="44"/>
  <c r="F58" i="44"/>
  <c r="F62" i="44" s="1"/>
  <c r="W34" i="44"/>
  <c r="V146" i="43"/>
  <c r="R146" i="43"/>
  <c r="N146" i="43"/>
  <c r="J146" i="43"/>
  <c r="F146" i="43"/>
  <c r="W142" i="43"/>
  <c r="W193" i="42"/>
  <c r="F91" i="43" l="1"/>
  <c r="J64" i="42"/>
  <c r="J75" i="43"/>
  <c r="O64" i="42"/>
  <c r="G82" i="42"/>
  <c r="F82" i="42"/>
  <c r="W66" i="46"/>
  <c r="J81" i="42"/>
  <c r="K81" i="42"/>
  <c r="W145" i="42"/>
  <c r="W128" i="42"/>
  <c r="S41" i="45"/>
  <c r="V41" i="45" s="1"/>
  <c r="W41" i="45" s="1"/>
  <c r="O80" i="46"/>
  <c r="R80" i="46" s="1"/>
  <c r="O52" i="45"/>
  <c r="S52" i="45" s="1"/>
  <c r="V52" i="45" s="1"/>
  <c r="R61" i="47"/>
  <c r="O23" i="42"/>
  <c r="W58" i="47"/>
  <c r="W57" i="47"/>
  <c r="F115" i="42"/>
  <c r="V61" i="47"/>
  <c r="W72" i="46"/>
  <c r="W76" i="47"/>
  <c r="W78" i="46"/>
  <c r="S49" i="47"/>
  <c r="V49" i="47" s="1"/>
  <c r="V54" i="47" s="1"/>
  <c r="R49" i="47"/>
  <c r="F64" i="47"/>
  <c r="J64" i="47"/>
  <c r="V64" i="47"/>
  <c r="F80" i="47"/>
  <c r="R80" i="47"/>
  <c r="J80" i="47"/>
  <c r="N80" i="47"/>
  <c r="S91" i="47"/>
  <c r="V91" i="47" s="1"/>
  <c r="R91" i="47"/>
  <c r="R76" i="46"/>
  <c r="S76" i="46"/>
  <c r="V76" i="46" s="1"/>
  <c r="S79" i="46"/>
  <c r="V79" i="46" s="1"/>
  <c r="R79" i="46"/>
  <c r="S77" i="46"/>
  <c r="V77" i="46" s="1"/>
  <c r="R77" i="46"/>
  <c r="O75" i="46"/>
  <c r="O74" i="46"/>
  <c r="W71" i="43"/>
  <c r="S50" i="46"/>
  <c r="V50" i="46" s="1"/>
  <c r="V55" i="46" s="1"/>
  <c r="R50" i="46"/>
  <c r="R55" i="46" s="1"/>
  <c r="S46" i="46"/>
  <c r="V46" i="46" s="1"/>
  <c r="S45" i="46"/>
  <c r="W41" i="46"/>
  <c r="S43" i="46"/>
  <c r="V43" i="46" s="1"/>
  <c r="R43" i="46"/>
  <c r="V58" i="46"/>
  <c r="F61" i="46"/>
  <c r="N61" i="46"/>
  <c r="R58" i="46"/>
  <c r="V61" i="46"/>
  <c r="J61" i="46"/>
  <c r="N58" i="46"/>
  <c r="W60" i="46"/>
  <c r="W93" i="46"/>
  <c r="W40" i="45"/>
  <c r="S45" i="45"/>
  <c r="S43" i="45"/>
  <c r="V43" i="45" s="1"/>
  <c r="R43" i="45"/>
  <c r="S71" i="45"/>
  <c r="V71" i="45" s="1"/>
  <c r="V73" i="45" s="1"/>
  <c r="R71" i="45"/>
  <c r="R73" i="45" s="1"/>
  <c r="S51" i="45"/>
  <c r="V51" i="45" s="1"/>
  <c r="R51" i="45"/>
  <c r="N50" i="45"/>
  <c r="N57" i="45" s="1"/>
  <c r="O50" i="45"/>
  <c r="W49" i="45"/>
  <c r="U35" i="45"/>
  <c r="R63" i="45"/>
  <c r="V60" i="45"/>
  <c r="W84" i="45"/>
  <c r="J63" i="45"/>
  <c r="N63" i="45"/>
  <c r="F63" i="45"/>
  <c r="V63" i="45"/>
  <c r="N60" i="45"/>
  <c r="R60" i="45"/>
  <c r="W70" i="43"/>
  <c r="O74" i="44"/>
  <c r="S74" i="44" s="1"/>
  <c r="V74" i="44" s="1"/>
  <c r="N76" i="44"/>
  <c r="S42" i="44"/>
  <c r="V42" i="44" s="1"/>
  <c r="R42" i="44"/>
  <c r="W41" i="44"/>
  <c r="S72" i="44"/>
  <c r="V72" i="44" s="1"/>
  <c r="O44" i="44"/>
  <c r="R73" i="44"/>
  <c r="S46" i="44"/>
  <c r="W71" i="44"/>
  <c r="R51" i="44"/>
  <c r="V64" i="44"/>
  <c r="V68" i="44" s="1"/>
  <c r="R64" i="44"/>
  <c r="R68" i="44" s="1"/>
  <c r="S50" i="44"/>
  <c r="V50" i="44" s="1"/>
  <c r="V56" i="44" s="1"/>
  <c r="R50" i="44"/>
  <c r="N59" i="44"/>
  <c r="W87" i="44"/>
  <c r="V62" i="44"/>
  <c r="J62" i="44"/>
  <c r="V59" i="44"/>
  <c r="W61" i="44"/>
  <c r="N62" i="44"/>
  <c r="R59" i="44"/>
  <c r="K128" i="43"/>
  <c r="N128" i="43" s="1"/>
  <c r="S133" i="43"/>
  <c r="O132" i="43"/>
  <c r="N131" i="43"/>
  <c r="O131" i="43"/>
  <c r="R129" i="43"/>
  <c r="S129" i="43"/>
  <c r="V129" i="43" s="1"/>
  <c r="N127" i="43"/>
  <c r="O127" i="43"/>
  <c r="R125" i="43"/>
  <c r="V125" i="43"/>
  <c r="K111" i="43"/>
  <c r="N111" i="43" s="1"/>
  <c r="J112" i="43"/>
  <c r="K112" i="43"/>
  <c r="F108" i="43"/>
  <c r="K103" i="43"/>
  <c r="N103" i="43" s="1"/>
  <c r="K106" i="43"/>
  <c r="J106" i="43"/>
  <c r="N102" i="43"/>
  <c r="O102" i="43"/>
  <c r="R101" i="43"/>
  <c r="S101" i="43"/>
  <c r="V101" i="43" s="1"/>
  <c r="N104" i="43"/>
  <c r="O104" i="43"/>
  <c r="J105" i="43"/>
  <c r="K105" i="43"/>
  <c r="O98" i="43"/>
  <c r="R98" i="43" s="1"/>
  <c r="J100" i="43"/>
  <c r="K100" i="43"/>
  <c r="N99" i="43"/>
  <c r="O99" i="43"/>
  <c r="N97" i="43"/>
  <c r="K93" i="43"/>
  <c r="J93" i="43"/>
  <c r="J95" i="43" s="1"/>
  <c r="N87" i="43"/>
  <c r="R87" i="43"/>
  <c r="O89" i="43"/>
  <c r="N89" i="43"/>
  <c r="K74" i="43"/>
  <c r="N74" i="43" s="1"/>
  <c r="N86" i="43"/>
  <c r="O86" i="43"/>
  <c r="O85" i="43"/>
  <c r="N85" i="43"/>
  <c r="O83" i="43"/>
  <c r="N83" i="43"/>
  <c r="O82" i="43"/>
  <c r="N82" i="43"/>
  <c r="O81" i="43"/>
  <c r="N81" i="43"/>
  <c r="O80" i="43"/>
  <c r="N80" i="43"/>
  <c r="S79" i="43"/>
  <c r="V79" i="43" s="1"/>
  <c r="R79" i="43"/>
  <c r="O75" i="43"/>
  <c r="N75" i="43"/>
  <c r="K73" i="43"/>
  <c r="J73" i="43"/>
  <c r="N72" i="43"/>
  <c r="N54" i="43"/>
  <c r="W54" i="43" s="1"/>
  <c r="N60" i="43"/>
  <c r="V53" i="43"/>
  <c r="R53" i="43"/>
  <c r="U41" i="43"/>
  <c r="W146" i="43"/>
  <c r="N64" i="47"/>
  <c r="R64" i="47"/>
  <c r="F58" i="46"/>
  <c r="W57" i="46"/>
  <c r="J58" i="46"/>
  <c r="R61" i="46"/>
  <c r="F60" i="45"/>
  <c r="W59" i="45"/>
  <c r="J60" i="45"/>
  <c r="R62" i="44"/>
  <c r="F59" i="44"/>
  <c r="W58" i="44"/>
  <c r="J59" i="44"/>
  <c r="F95" i="43"/>
  <c r="J115" i="42"/>
  <c r="R115" i="42"/>
  <c r="V115" i="42"/>
  <c r="J91" i="43" l="1"/>
  <c r="R56" i="44"/>
  <c r="W73" i="45"/>
  <c r="N81" i="42"/>
  <c r="O81" i="42"/>
  <c r="K82" i="42"/>
  <c r="J82" i="42"/>
  <c r="J107" i="42" s="1"/>
  <c r="S64" i="42"/>
  <c r="V64" i="42" s="1"/>
  <c r="R64" i="42"/>
  <c r="R52" i="45"/>
  <c r="W52" i="45" s="1"/>
  <c r="S80" i="46"/>
  <c r="V80" i="46" s="1"/>
  <c r="W80" i="46" s="1"/>
  <c r="S23" i="42"/>
  <c r="W79" i="46"/>
  <c r="W49" i="47"/>
  <c r="R54" i="47"/>
  <c r="W54" i="47" s="1"/>
  <c r="W80" i="47"/>
  <c r="W64" i="47"/>
  <c r="W91" i="47"/>
  <c r="W115" i="42"/>
  <c r="W77" i="46"/>
  <c r="W76" i="46"/>
  <c r="R74" i="46"/>
  <c r="S74" i="46"/>
  <c r="V74" i="46" s="1"/>
  <c r="S75" i="46"/>
  <c r="V75" i="46" s="1"/>
  <c r="R75" i="46"/>
  <c r="R74" i="44"/>
  <c r="R76" i="44" s="1"/>
  <c r="W50" i="46"/>
  <c r="W61" i="46"/>
  <c r="W55" i="46"/>
  <c r="W71" i="45"/>
  <c r="W51" i="45"/>
  <c r="R50" i="45"/>
  <c r="S50" i="45"/>
  <c r="V50" i="45" s="1"/>
  <c r="V57" i="45" s="1"/>
  <c r="W63" i="45"/>
  <c r="W42" i="44"/>
  <c r="V76" i="44"/>
  <c r="W73" i="44"/>
  <c r="S44" i="44"/>
  <c r="V44" i="44" s="1"/>
  <c r="R44" i="44"/>
  <c r="W72" i="44"/>
  <c r="O128" i="43"/>
  <c r="R128" i="43" s="1"/>
  <c r="W64" i="44"/>
  <c r="W50" i="44"/>
  <c r="W62" i="44"/>
  <c r="W68" i="44"/>
  <c r="W125" i="43"/>
  <c r="W129" i="43"/>
  <c r="S132" i="43"/>
  <c r="R131" i="43"/>
  <c r="S131" i="43"/>
  <c r="V131" i="43" s="1"/>
  <c r="R127" i="43"/>
  <c r="S127" i="43"/>
  <c r="V127" i="43" s="1"/>
  <c r="O111" i="43"/>
  <c r="S111" i="43" s="1"/>
  <c r="V111" i="43" s="1"/>
  <c r="O112" i="43"/>
  <c r="N112" i="43"/>
  <c r="J108" i="43"/>
  <c r="O103" i="43"/>
  <c r="S103" i="43" s="1"/>
  <c r="V103" i="43" s="1"/>
  <c r="W101" i="43"/>
  <c r="W87" i="43"/>
  <c r="S98" i="43"/>
  <c r="V98" i="43" s="1"/>
  <c r="W98" i="43" s="1"/>
  <c r="R102" i="43"/>
  <c r="S102" i="43"/>
  <c r="V102" i="43" s="1"/>
  <c r="O106" i="43"/>
  <c r="N106" i="43"/>
  <c r="N105" i="43"/>
  <c r="O105" i="43"/>
  <c r="R104" i="43"/>
  <c r="S104" i="43"/>
  <c r="V104" i="43" s="1"/>
  <c r="N100" i="43"/>
  <c r="O100" i="43"/>
  <c r="R99" i="43"/>
  <c r="S99" i="43"/>
  <c r="V99" i="43" s="1"/>
  <c r="V97" i="43"/>
  <c r="R97" i="43"/>
  <c r="O93" i="43"/>
  <c r="S93" i="43" s="1"/>
  <c r="N93" i="43"/>
  <c r="O74" i="43"/>
  <c r="R74" i="43" s="1"/>
  <c r="S89" i="43"/>
  <c r="V89" i="43" s="1"/>
  <c r="R89" i="43"/>
  <c r="S86" i="43"/>
  <c r="V86" i="43" s="1"/>
  <c r="R86" i="43"/>
  <c r="W79" i="43"/>
  <c r="S85" i="43"/>
  <c r="V85" i="43" s="1"/>
  <c r="R85" i="43"/>
  <c r="S83" i="43"/>
  <c r="V83" i="43" s="1"/>
  <c r="R83" i="43"/>
  <c r="S82" i="43"/>
  <c r="V82" i="43" s="1"/>
  <c r="R82" i="43"/>
  <c r="S81" i="43"/>
  <c r="V81" i="43" s="1"/>
  <c r="R81" i="43"/>
  <c r="S80" i="43"/>
  <c r="V80" i="43" s="1"/>
  <c r="R80" i="43"/>
  <c r="N73" i="43"/>
  <c r="N91" i="43" s="1"/>
  <c r="O73" i="43"/>
  <c r="R75" i="43"/>
  <c r="S75" i="43"/>
  <c r="V75" i="43" s="1"/>
  <c r="V72" i="43"/>
  <c r="R72" i="43"/>
  <c r="R60" i="43"/>
  <c r="V60" i="43"/>
  <c r="N62" i="43"/>
  <c r="W53" i="43"/>
  <c r="W61" i="47"/>
  <c r="W58" i="46"/>
  <c r="W60" i="45"/>
  <c r="W59" i="44"/>
  <c r="R82" i="46" l="1"/>
  <c r="V82" i="46"/>
  <c r="R57" i="45"/>
  <c r="N82" i="42"/>
  <c r="N107" i="42" s="1"/>
  <c r="O82" i="42"/>
  <c r="R81" i="42"/>
  <c r="S81" i="42"/>
  <c r="V81" i="42" s="1"/>
  <c r="W74" i="44"/>
  <c r="W50" i="45"/>
  <c r="W57" i="45" s="1"/>
  <c r="S128" i="43"/>
  <c r="V128" i="43" s="1"/>
  <c r="W128" i="43" s="1"/>
  <c r="W76" i="44"/>
  <c r="W127" i="43"/>
  <c r="W131" i="43"/>
  <c r="R111" i="43"/>
  <c r="W111" i="43" s="1"/>
  <c r="R112" i="43"/>
  <c r="S112" i="43"/>
  <c r="V112" i="43" s="1"/>
  <c r="N108" i="43"/>
  <c r="W104" i="43"/>
  <c r="S74" i="43"/>
  <c r="V74" i="43" s="1"/>
  <c r="W74" i="43" s="1"/>
  <c r="R103" i="43"/>
  <c r="W103" i="43" s="1"/>
  <c r="W102" i="43"/>
  <c r="R105" i="43"/>
  <c r="S105" i="43"/>
  <c r="V105" i="43" s="1"/>
  <c r="R106" i="43"/>
  <c r="S106" i="43"/>
  <c r="V106" i="43" s="1"/>
  <c r="W99" i="43"/>
  <c r="R100" i="43"/>
  <c r="S100" i="43"/>
  <c r="V100" i="43" s="1"/>
  <c r="W97" i="43"/>
  <c r="W85" i="43"/>
  <c r="V93" i="43"/>
  <c r="R93" i="43"/>
  <c r="N95" i="43"/>
  <c r="W75" i="43"/>
  <c r="W89" i="43"/>
  <c r="W81" i="43"/>
  <c r="W83" i="43"/>
  <c r="W86" i="43"/>
  <c r="W82" i="43"/>
  <c r="W80" i="43"/>
  <c r="S73" i="43"/>
  <c r="V73" i="43" s="1"/>
  <c r="R73" i="43"/>
  <c r="R91" i="43" s="1"/>
  <c r="W72" i="43"/>
  <c r="W60" i="43"/>
  <c r="V91" i="43" l="1"/>
  <c r="W91" i="43" s="1"/>
  <c r="B20" i="28" s="1"/>
  <c r="W81" i="42"/>
  <c r="S82" i="42"/>
  <c r="V82" i="42" s="1"/>
  <c r="V107" i="42" s="1"/>
  <c r="R82" i="42"/>
  <c r="R107" i="42" s="1"/>
  <c r="W112" i="43"/>
  <c r="R108" i="43"/>
  <c r="V108" i="43"/>
  <c r="W105" i="43"/>
  <c r="W106" i="43"/>
  <c r="W100" i="43"/>
  <c r="W93" i="43"/>
  <c r="W73" i="43"/>
  <c r="R95" i="43"/>
  <c r="V95" i="43"/>
  <c r="W82" i="42" l="1"/>
  <c r="W95" i="43"/>
  <c r="B21" i="28" s="1"/>
  <c r="W108" i="43"/>
  <c r="B22" i="28" s="1"/>
  <c r="G190" i="4"/>
  <c r="L191" i="4"/>
  <c r="T380" i="4"/>
  <c r="T44" i="47" s="1"/>
  <c r="V44" i="47" s="1"/>
  <c r="Q380" i="4"/>
  <c r="N380" i="4"/>
  <c r="L44" i="47" s="1"/>
  <c r="N44" i="47" s="1"/>
  <c r="K380" i="4"/>
  <c r="G380" i="4"/>
  <c r="U379" i="4"/>
  <c r="R379" i="4"/>
  <c r="O379" i="4"/>
  <c r="L379" i="4"/>
  <c r="I379" i="4"/>
  <c r="T306" i="4"/>
  <c r="Q306" i="4"/>
  <c r="N306" i="4"/>
  <c r="L45" i="46" s="1"/>
  <c r="N45" i="46" s="1"/>
  <c r="K306" i="4"/>
  <c r="G306" i="4"/>
  <c r="U305" i="4"/>
  <c r="R305" i="4"/>
  <c r="O305" i="4"/>
  <c r="L305" i="4"/>
  <c r="I305" i="4"/>
  <c r="T251" i="4"/>
  <c r="Q251" i="4"/>
  <c r="P45" i="45" s="1"/>
  <c r="R45" i="45" s="1"/>
  <c r="R47" i="45" s="1"/>
  <c r="N251" i="4"/>
  <c r="K251" i="4"/>
  <c r="G251" i="4"/>
  <c r="U250" i="4"/>
  <c r="R250" i="4"/>
  <c r="O250" i="4"/>
  <c r="L250" i="4"/>
  <c r="I250" i="4"/>
  <c r="K190" i="4"/>
  <c r="H46" i="44" s="1"/>
  <c r="T190" i="4"/>
  <c r="Q190" i="4"/>
  <c r="N190" i="4"/>
  <c r="W192" i="4"/>
  <c r="U191" i="4"/>
  <c r="R191" i="4"/>
  <c r="O191" i="4"/>
  <c r="I191" i="4"/>
  <c r="R252" i="4"/>
  <c r="O252" i="4"/>
  <c r="L182" i="4"/>
  <c r="L185" i="4" s="1"/>
  <c r="P154" i="4"/>
  <c r="Q17" i="44" s="1"/>
  <c r="E154" i="4"/>
  <c r="E17" i="44" s="1"/>
  <c r="G154" i="4"/>
  <c r="D17" i="44" s="1"/>
  <c r="J154" i="4"/>
  <c r="I17" i="44" s="1"/>
  <c r="K154" i="4"/>
  <c r="H17" i="44" s="1"/>
  <c r="M154" i="4"/>
  <c r="M17" i="44" s="1"/>
  <c r="N154" i="4"/>
  <c r="L17" i="44" s="1"/>
  <c r="Q154" i="4"/>
  <c r="P17" i="44" s="1"/>
  <c r="S154" i="4"/>
  <c r="U17" i="44" s="1"/>
  <c r="T154" i="4"/>
  <c r="T17" i="44" s="1"/>
  <c r="E155" i="4"/>
  <c r="E18" i="44" s="1"/>
  <c r="G155" i="4"/>
  <c r="D18" i="44" s="1"/>
  <c r="J155" i="4"/>
  <c r="I18" i="44" s="1"/>
  <c r="K155" i="4"/>
  <c r="H18" i="44" s="1"/>
  <c r="M155" i="4"/>
  <c r="M18" i="44" s="1"/>
  <c r="N155" i="4"/>
  <c r="L18" i="44" s="1"/>
  <c r="P155" i="4"/>
  <c r="Q18" i="44" s="1"/>
  <c r="Q155" i="4"/>
  <c r="P18" i="44" s="1"/>
  <c r="S155" i="4"/>
  <c r="U18" i="44" s="1"/>
  <c r="T155" i="4"/>
  <c r="T18" i="44" s="1"/>
  <c r="I174" i="4"/>
  <c r="C94" i="47"/>
  <c r="B13" i="30"/>
  <c r="G382" i="4"/>
  <c r="D62" i="42" s="1"/>
  <c r="F62" i="42" s="1"/>
  <c r="L402" i="4"/>
  <c r="K400" i="4"/>
  <c r="N400" i="4"/>
  <c r="V400" i="4"/>
  <c r="V399" i="4"/>
  <c r="I402" i="4"/>
  <c r="L64" i="42"/>
  <c r="N64" i="42" s="1"/>
  <c r="D44" i="44"/>
  <c r="D64" i="42" s="1"/>
  <c r="E35" i="43"/>
  <c r="I35" i="43" s="1"/>
  <c r="M35" i="43" s="1"/>
  <c r="Q35" i="43" s="1"/>
  <c r="U35" i="43" s="1"/>
  <c r="H21" i="4"/>
  <c r="H16" i="4"/>
  <c r="H15" i="4"/>
  <c r="H14" i="4"/>
  <c r="W384" i="4"/>
  <c r="W395" i="4"/>
  <c r="U402" i="4"/>
  <c r="R402" i="4"/>
  <c r="O402" i="4"/>
  <c r="U368" i="4"/>
  <c r="R368" i="4"/>
  <c r="O368" i="4"/>
  <c r="L368" i="4"/>
  <c r="I368" i="4"/>
  <c r="U391" i="4"/>
  <c r="R391" i="4"/>
  <c r="O391" i="4"/>
  <c r="L391" i="4"/>
  <c r="I391" i="4"/>
  <c r="T382" i="4"/>
  <c r="T62" i="42" s="1"/>
  <c r="V62" i="42" s="1"/>
  <c r="Q382" i="4"/>
  <c r="P62" i="42" s="1"/>
  <c r="R62" i="42" s="1"/>
  <c r="N382" i="4"/>
  <c r="L62" i="42" s="1"/>
  <c r="N62" i="42" s="1"/>
  <c r="K382" i="4"/>
  <c r="H62" i="42" s="1"/>
  <c r="J62" i="42" s="1"/>
  <c r="T383" i="4"/>
  <c r="T73" i="42" s="1"/>
  <c r="V73" i="42" s="1"/>
  <c r="Q383" i="4"/>
  <c r="P73" i="42" s="1"/>
  <c r="R73" i="42" s="1"/>
  <c r="N383" i="4"/>
  <c r="L73" i="42" s="1"/>
  <c r="N73" i="42" s="1"/>
  <c r="K383" i="4"/>
  <c r="H73" i="42" s="1"/>
  <c r="J73" i="42" s="1"/>
  <c r="G383" i="4"/>
  <c r="D73" i="42" s="1"/>
  <c r="F73" i="42" s="1"/>
  <c r="U394" i="4"/>
  <c r="R394" i="4"/>
  <c r="O394" i="4"/>
  <c r="L394" i="4"/>
  <c r="I394" i="4"/>
  <c r="I388" i="4"/>
  <c r="L388" i="4"/>
  <c r="O388" i="4"/>
  <c r="R388" i="4"/>
  <c r="U388" i="4"/>
  <c r="U369" i="4"/>
  <c r="R369" i="4"/>
  <c r="O369" i="4"/>
  <c r="L369" i="4"/>
  <c r="I369" i="4"/>
  <c r="U389" i="4"/>
  <c r="R389" i="4"/>
  <c r="O389" i="4"/>
  <c r="L389" i="4"/>
  <c r="I389" i="4"/>
  <c r="U359" i="4"/>
  <c r="U363" i="4" s="1"/>
  <c r="R359" i="4"/>
  <c r="R363" i="4" s="1"/>
  <c r="O359" i="4"/>
  <c r="O363" i="4" s="1"/>
  <c r="L359" i="4"/>
  <c r="L363" i="4" s="1"/>
  <c r="I359" i="4"/>
  <c r="I363" i="4" s="1"/>
  <c r="U393" i="4"/>
  <c r="R393" i="4"/>
  <c r="O393" i="4"/>
  <c r="L393" i="4"/>
  <c r="I393" i="4"/>
  <c r="U367" i="4"/>
  <c r="R367" i="4"/>
  <c r="O367" i="4"/>
  <c r="L367" i="4"/>
  <c r="I367" i="4"/>
  <c r="V398" i="4"/>
  <c r="W398" i="4"/>
  <c r="U366" i="4"/>
  <c r="R366" i="4"/>
  <c r="O366" i="4"/>
  <c r="L366" i="4"/>
  <c r="I366" i="4"/>
  <c r="I392" i="4"/>
  <c r="U390" i="4"/>
  <c r="R390" i="4"/>
  <c r="O390" i="4"/>
  <c r="L390" i="4"/>
  <c r="I390" i="4"/>
  <c r="W308" i="4"/>
  <c r="U322" i="4"/>
  <c r="R322" i="4"/>
  <c r="O322" i="4"/>
  <c r="L322" i="4"/>
  <c r="I322" i="4"/>
  <c r="U323" i="4"/>
  <c r="R323" i="4"/>
  <c r="O323" i="4"/>
  <c r="L323" i="4"/>
  <c r="I323" i="4"/>
  <c r="U319" i="4"/>
  <c r="R319" i="4"/>
  <c r="O319" i="4"/>
  <c r="L319" i="4"/>
  <c r="I319" i="4"/>
  <c r="U320" i="4"/>
  <c r="R320" i="4"/>
  <c r="O320" i="4"/>
  <c r="L320" i="4"/>
  <c r="I320" i="4"/>
  <c r="Q307" i="4"/>
  <c r="P72" i="42" s="1"/>
  <c r="R72" i="42" s="1"/>
  <c r="N307" i="4"/>
  <c r="L72" i="42" s="1"/>
  <c r="N72" i="42" s="1"/>
  <c r="K307" i="4"/>
  <c r="H72" i="42" s="1"/>
  <c r="J72" i="42" s="1"/>
  <c r="U292" i="4"/>
  <c r="U296" i="4" s="1"/>
  <c r="R292" i="4"/>
  <c r="R296" i="4" s="1"/>
  <c r="O292" i="4"/>
  <c r="O296" i="4" s="1"/>
  <c r="L292" i="4"/>
  <c r="L296" i="4" s="1"/>
  <c r="I292" i="4"/>
  <c r="I296" i="4" s="1"/>
  <c r="N318" i="4"/>
  <c r="L158" i="42" s="1"/>
  <c r="N158" i="42" s="1"/>
  <c r="K318" i="4"/>
  <c r="H158" i="42" s="1"/>
  <c r="J158" i="42" s="1"/>
  <c r="U317" i="4"/>
  <c r="R317" i="4"/>
  <c r="N317" i="4"/>
  <c r="L157" i="42" s="1"/>
  <c r="N157" i="42" s="1"/>
  <c r="K317" i="4"/>
  <c r="H157" i="42" s="1"/>
  <c r="J157" i="42" s="1"/>
  <c r="I317" i="4"/>
  <c r="U318" i="4"/>
  <c r="R318" i="4"/>
  <c r="I318" i="4"/>
  <c r="U315" i="4"/>
  <c r="R315" i="4"/>
  <c r="O315" i="4"/>
  <c r="L315" i="4"/>
  <c r="I315" i="4"/>
  <c r="U236" i="4"/>
  <c r="R236" i="4"/>
  <c r="O236" i="4"/>
  <c r="L236" i="4"/>
  <c r="I236" i="4"/>
  <c r="U307" i="4"/>
  <c r="I307" i="4"/>
  <c r="W253" i="4"/>
  <c r="U252" i="4"/>
  <c r="L252" i="4"/>
  <c r="I252" i="4"/>
  <c r="U189" i="4"/>
  <c r="R189" i="4"/>
  <c r="O189" i="4"/>
  <c r="L189" i="4"/>
  <c r="I189" i="4"/>
  <c r="W257" i="4"/>
  <c r="U256" i="4"/>
  <c r="U257" i="4" s="1"/>
  <c r="R256" i="4"/>
  <c r="R257" i="4" s="1"/>
  <c r="O256" i="4"/>
  <c r="O257" i="4" s="1"/>
  <c r="L256" i="4"/>
  <c r="I256" i="4"/>
  <c r="I257" i="4" s="1"/>
  <c r="U237" i="4"/>
  <c r="R237" i="4"/>
  <c r="O237" i="4"/>
  <c r="L237" i="4"/>
  <c r="I237" i="4"/>
  <c r="U234" i="4"/>
  <c r="R234" i="4"/>
  <c r="O234" i="4"/>
  <c r="L234" i="4"/>
  <c r="I234" i="4"/>
  <c r="U235" i="4"/>
  <c r="R235" i="4"/>
  <c r="O235" i="4"/>
  <c r="L235" i="4"/>
  <c r="I235" i="4"/>
  <c r="R324" i="4" l="1"/>
  <c r="U324" i="4"/>
  <c r="I324" i="4"/>
  <c r="C18" i="42"/>
  <c r="C18" i="43"/>
  <c r="I370" i="4"/>
  <c r="I395" i="4"/>
  <c r="O370" i="4"/>
  <c r="R370" i="4"/>
  <c r="L370" i="4"/>
  <c r="U370" i="4"/>
  <c r="I241" i="4"/>
  <c r="U241" i="4"/>
  <c r="L241" i="4"/>
  <c r="O241" i="4"/>
  <c r="R241" i="4"/>
  <c r="W72" i="42"/>
  <c r="W158" i="42"/>
  <c r="J46" i="44"/>
  <c r="C93" i="47"/>
  <c r="F93" i="47" s="1"/>
  <c r="C197" i="42"/>
  <c r="W157" i="42"/>
  <c r="L93" i="47"/>
  <c r="L197" i="42"/>
  <c r="H93" i="47"/>
  <c r="H197" i="42"/>
  <c r="W73" i="42"/>
  <c r="F44" i="44"/>
  <c r="F64" i="42"/>
  <c r="W64" i="42" s="1"/>
  <c r="W62" i="42"/>
  <c r="C11" i="43"/>
  <c r="G11" i="43" s="1"/>
  <c r="C11" i="42"/>
  <c r="G11" i="42" s="1"/>
  <c r="C12" i="43"/>
  <c r="G12" i="43" s="1"/>
  <c r="C12" i="42"/>
  <c r="G12" i="42" s="1"/>
  <c r="C13" i="43"/>
  <c r="G13" i="43" s="1"/>
  <c r="C13" i="42"/>
  <c r="G13" i="42" s="1"/>
  <c r="G18" i="42"/>
  <c r="K18" i="42" s="1"/>
  <c r="O18" i="42" s="1"/>
  <c r="S18" i="42" s="1"/>
  <c r="C26" i="43"/>
  <c r="G26" i="43" s="1"/>
  <c r="G26" i="42"/>
  <c r="K26" i="42" s="1"/>
  <c r="O26" i="42" s="1"/>
  <c r="S26" i="42" s="1"/>
  <c r="L317" i="4"/>
  <c r="L324" i="4" s="1"/>
  <c r="H74" i="46"/>
  <c r="J74" i="46" s="1"/>
  <c r="O317" i="4"/>
  <c r="L74" i="46"/>
  <c r="N74" i="46" s="1"/>
  <c r="L318" i="4"/>
  <c r="H75" i="46"/>
  <c r="J75" i="46" s="1"/>
  <c r="O318" i="4"/>
  <c r="L75" i="46"/>
  <c r="N75" i="46" s="1"/>
  <c r="I383" i="4"/>
  <c r="D45" i="47"/>
  <c r="F45" i="47" s="1"/>
  <c r="L383" i="4"/>
  <c r="H45" i="47"/>
  <c r="J45" i="47" s="1"/>
  <c r="O383" i="4"/>
  <c r="L45" i="47"/>
  <c r="N45" i="47" s="1"/>
  <c r="R383" i="4"/>
  <c r="P45" i="47"/>
  <c r="R45" i="47" s="1"/>
  <c r="U383" i="4"/>
  <c r="T45" i="47"/>
  <c r="V45" i="47" s="1"/>
  <c r="L382" i="4"/>
  <c r="H40" i="47"/>
  <c r="J40" i="47" s="1"/>
  <c r="O382" i="4"/>
  <c r="L40" i="47"/>
  <c r="N40" i="47" s="1"/>
  <c r="R382" i="4"/>
  <c r="P40" i="47"/>
  <c r="R40" i="47" s="1"/>
  <c r="U382" i="4"/>
  <c r="T40" i="47"/>
  <c r="V40" i="47" s="1"/>
  <c r="D42" i="47"/>
  <c r="F42" i="47" s="1"/>
  <c r="H42" i="47"/>
  <c r="J42" i="47" s="1"/>
  <c r="L42" i="47"/>
  <c r="N42" i="47" s="1"/>
  <c r="I382" i="4"/>
  <c r="D40" i="47"/>
  <c r="F40" i="47" s="1"/>
  <c r="W399" i="4"/>
  <c r="X399" i="4" s="1"/>
  <c r="C92" i="47"/>
  <c r="F94" i="47"/>
  <c r="G94" i="47"/>
  <c r="I380" i="4"/>
  <c r="D44" i="47"/>
  <c r="F44" i="47" s="1"/>
  <c r="L380" i="4"/>
  <c r="H44" i="47"/>
  <c r="J44" i="47" s="1"/>
  <c r="R380" i="4"/>
  <c r="P44" i="47"/>
  <c r="R44" i="47" s="1"/>
  <c r="H43" i="46"/>
  <c r="J43" i="46" s="1"/>
  <c r="U306" i="4"/>
  <c r="U308" i="4" s="1"/>
  <c r="T45" i="46"/>
  <c r="V45" i="46" s="1"/>
  <c r="V48" i="46" s="1"/>
  <c r="L43" i="46"/>
  <c r="N43" i="46" s="1"/>
  <c r="D43" i="45"/>
  <c r="F43" i="45" s="1"/>
  <c r="I251" i="4"/>
  <c r="D45" i="45"/>
  <c r="F45" i="45" s="1"/>
  <c r="L307" i="4"/>
  <c r="H46" i="46"/>
  <c r="J46" i="46" s="1"/>
  <c r="O307" i="4"/>
  <c r="L46" i="46"/>
  <c r="N46" i="46" s="1"/>
  <c r="H43" i="45"/>
  <c r="J43" i="45" s="1"/>
  <c r="L251" i="4"/>
  <c r="H45" i="45"/>
  <c r="J45" i="45" s="1"/>
  <c r="O251" i="4"/>
  <c r="L45" i="45"/>
  <c r="N45" i="45" s="1"/>
  <c r="I306" i="4"/>
  <c r="D45" i="46"/>
  <c r="F45" i="46" s="1"/>
  <c r="R307" i="4"/>
  <c r="P46" i="46"/>
  <c r="R46" i="46" s="1"/>
  <c r="L43" i="45"/>
  <c r="N43" i="45" s="1"/>
  <c r="L306" i="4"/>
  <c r="H45" i="46"/>
  <c r="J45" i="46" s="1"/>
  <c r="U251" i="4"/>
  <c r="U253" i="4" s="1"/>
  <c r="T45" i="45"/>
  <c r="V45" i="45" s="1"/>
  <c r="V47" i="45" s="1"/>
  <c r="D43" i="46"/>
  <c r="F43" i="46" s="1"/>
  <c r="R306" i="4"/>
  <c r="P45" i="46"/>
  <c r="R45" i="46" s="1"/>
  <c r="R190" i="4"/>
  <c r="P46" i="44"/>
  <c r="U190" i="4"/>
  <c r="T46" i="44"/>
  <c r="I190" i="4"/>
  <c r="D46" i="44"/>
  <c r="L188" i="4"/>
  <c r="H44" i="44"/>
  <c r="J44" i="44" s="1"/>
  <c r="O188" i="4"/>
  <c r="L44" i="44"/>
  <c r="N44" i="44" s="1"/>
  <c r="O190" i="4"/>
  <c r="L46" i="44"/>
  <c r="H155" i="4"/>
  <c r="C18" i="44" s="1"/>
  <c r="G18" i="44" s="1"/>
  <c r="V250" i="4"/>
  <c r="X250" i="4" s="1"/>
  <c r="V305" i="4"/>
  <c r="X305" i="4" s="1"/>
  <c r="V379" i="4"/>
  <c r="X379" i="4" s="1"/>
  <c r="O380" i="4"/>
  <c r="U380" i="4"/>
  <c r="O306" i="4"/>
  <c r="R251" i="4"/>
  <c r="L190" i="4"/>
  <c r="V191" i="4"/>
  <c r="X191" i="4" s="1"/>
  <c r="W400" i="4"/>
  <c r="X400" i="4" s="1"/>
  <c r="V368" i="4"/>
  <c r="X368" i="4" s="1"/>
  <c r="V391" i="4"/>
  <c r="X391" i="4" s="1"/>
  <c r="X398" i="4"/>
  <c r="V292" i="4"/>
  <c r="V296" i="4" s="1"/>
  <c r="V394" i="4"/>
  <c r="X394" i="4" s="1"/>
  <c r="V388" i="4"/>
  <c r="V390" i="4"/>
  <c r="X390" i="4" s="1"/>
  <c r="V389" i="4"/>
  <c r="X389" i="4" s="1"/>
  <c r="V369" i="4"/>
  <c r="X369" i="4" s="1"/>
  <c r="V319" i="4"/>
  <c r="X319" i="4" s="1"/>
  <c r="V323" i="4"/>
  <c r="X323" i="4" s="1"/>
  <c r="V393" i="4"/>
  <c r="X393" i="4" s="1"/>
  <c r="V322" i="4"/>
  <c r="X322" i="4" s="1"/>
  <c r="V366" i="4"/>
  <c r="V367" i="4"/>
  <c r="X367" i="4" s="1"/>
  <c r="V320" i="4"/>
  <c r="X320" i="4" s="1"/>
  <c r="V359" i="4"/>
  <c r="V363" i="4" s="1"/>
  <c r="V315" i="4"/>
  <c r="V236" i="4"/>
  <c r="X236" i="4" s="1"/>
  <c r="R188" i="4"/>
  <c r="U188" i="4"/>
  <c r="V252" i="4"/>
  <c r="X252" i="4" s="1"/>
  <c r="V189" i="4"/>
  <c r="X189" i="4" s="1"/>
  <c r="I188" i="4"/>
  <c r="V256" i="4"/>
  <c r="X256" i="4" s="1"/>
  <c r="L257" i="4"/>
  <c r="V237" i="4"/>
  <c r="X237" i="4" s="1"/>
  <c r="V234" i="4"/>
  <c r="V235" i="4"/>
  <c r="X235" i="4" s="1"/>
  <c r="J82" i="46" l="1"/>
  <c r="N82" i="46"/>
  <c r="O324" i="4"/>
  <c r="I384" i="4"/>
  <c r="J18" i="44"/>
  <c r="K18" i="44"/>
  <c r="G18" i="43"/>
  <c r="F18" i="44"/>
  <c r="V241" i="4"/>
  <c r="V370" i="4"/>
  <c r="J48" i="44"/>
  <c r="F46" i="44"/>
  <c r="F48" i="44" s="1"/>
  <c r="D71" i="42"/>
  <c r="F71" i="42" s="1"/>
  <c r="F197" i="42"/>
  <c r="G197" i="42"/>
  <c r="N46" i="44"/>
  <c r="L71" i="42"/>
  <c r="N71" i="42" s="1"/>
  <c r="V46" i="44"/>
  <c r="V48" i="44" s="1"/>
  <c r="T71" i="42"/>
  <c r="V71" i="42" s="1"/>
  <c r="H71" i="42"/>
  <c r="J71" i="42" s="1"/>
  <c r="R46" i="44"/>
  <c r="R48" i="44" s="1"/>
  <c r="P71" i="42"/>
  <c r="R71" i="42" s="1"/>
  <c r="G93" i="47"/>
  <c r="K93" i="47" s="1"/>
  <c r="V47" i="47"/>
  <c r="V318" i="4"/>
  <c r="X318" i="4" s="1"/>
  <c r="R384" i="4"/>
  <c r="X292" i="4"/>
  <c r="X296" i="4" s="1"/>
  <c r="L308" i="4"/>
  <c r="L384" i="4"/>
  <c r="V382" i="4"/>
  <c r="X382" i="4" s="1"/>
  <c r="V383" i="4"/>
  <c r="X383" i="4" s="1"/>
  <c r="U384" i="4"/>
  <c r="O384" i="4"/>
  <c r="K13" i="42"/>
  <c r="V317" i="4"/>
  <c r="X317" i="4" s="1"/>
  <c r="O308" i="4"/>
  <c r="N47" i="45"/>
  <c r="K12" i="42"/>
  <c r="R308" i="4"/>
  <c r="O253" i="4"/>
  <c r="K11" i="42"/>
  <c r="I308" i="4"/>
  <c r="V307" i="4"/>
  <c r="X307" i="4" s="1"/>
  <c r="O192" i="4"/>
  <c r="L253" i="4"/>
  <c r="I253" i="4"/>
  <c r="W44" i="47"/>
  <c r="J94" i="47"/>
  <c r="K94" i="47"/>
  <c r="F92" i="47"/>
  <c r="G92" i="47"/>
  <c r="F47" i="47"/>
  <c r="W40" i="47"/>
  <c r="W42" i="47"/>
  <c r="R47" i="47"/>
  <c r="N47" i="47"/>
  <c r="J47" i="47"/>
  <c r="W45" i="47"/>
  <c r="W75" i="46"/>
  <c r="W74" i="46"/>
  <c r="W45" i="46"/>
  <c r="R48" i="46"/>
  <c r="U192" i="4"/>
  <c r="V251" i="4"/>
  <c r="X251" i="4" s="1"/>
  <c r="F48" i="46"/>
  <c r="W43" i="46"/>
  <c r="J47" i="45"/>
  <c r="F47" i="45"/>
  <c r="W43" i="45"/>
  <c r="N48" i="46"/>
  <c r="W46" i="46"/>
  <c r="W45" i="45"/>
  <c r="J48" i="46"/>
  <c r="R192" i="4"/>
  <c r="W44" i="44"/>
  <c r="V190" i="4"/>
  <c r="X190" i="4" s="1"/>
  <c r="U155" i="4"/>
  <c r="O155" i="4"/>
  <c r="L155" i="4"/>
  <c r="L192" i="4"/>
  <c r="I155" i="4"/>
  <c r="R155" i="4"/>
  <c r="R253" i="4"/>
  <c r="K26" i="43"/>
  <c r="K13" i="43"/>
  <c r="I192" i="4"/>
  <c r="K11" i="43"/>
  <c r="K12" i="43"/>
  <c r="V380" i="4"/>
  <c r="X380" i="4" s="1"/>
  <c r="V306" i="4"/>
  <c r="X306" i="4" s="1"/>
  <c r="X359" i="4"/>
  <c r="X363" i="4" s="1"/>
  <c r="X388" i="4"/>
  <c r="X366" i="4"/>
  <c r="X370" i="4" s="1"/>
  <c r="X315" i="4"/>
  <c r="V188" i="4"/>
  <c r="X234" i="4"/>
  <c r="X241" i="4" s="1"/>
  <c r="X257" i="4"/>
  <c r="V257" i="4"/>
  <c r="W82" i="46" l="1"/>
  <c r="V324" i="4"/>
  <c r="X324" i="4"/>
  <c r="K18" i="43"/>
  <c r="N18" i="44"/>
  <c r="O18" i="44"/>
  <c r="J93" i="47"/>
  <c r="W46" i="44"/>
  <c r="N48" i="44"/>
  <c r="W48" i="44" s="1"/>
  <c r="W71" i="42"/>
  <c r="J197" i="42"/>
  <c r="K197" i="42"/>
  <c r="X253" i="4"/>
  <c r="O12" i="42"/>
  <c r="O11" i="42"/>
  <c r="O13" i="42"/>
  <c r="N93" i="47"/>
  <c r="O93" i="47"/>
  <c r="W47" i="47"/>
  <c r="J92" i="47"/>
  <c r="K92" i="47"/>
  <c r="N94" i="47"/>
  <c r="O94" i="47"/>
  <c r="W47" i="45"/>
  <c r="W48" i="46"/>
  <c r="V155" i="4"/>
  <c r="X155" i="4" s="1"/>
  <c r="O12" i="43"/>
  <c r="O11" i="43"/>
  <c r="O13" i="43"/>
  <c r="O26" i="43"/>
  <c r="V384" i="4"/>
  <c r="X384" i="4"/>
  <c r="V308" i="4"/>
  <c r="X188" i="4"/>
  <c r="X192" i="4" s="1"/>
  <c r="V192" i="4"/>
  <c r="V253" i="4"/>
  <c r="X308" i="4"/>
  <c r="G175" i="4"/>
  <c r="D86" i="42" s="1"/>
  <c r="F86" i="42" s="1"/>
  <c r="U175" i="4"/>
  <c r="R175" i="4"/>
  <c r="O175" i="4"/>
  <c r="L175" i="4"/>
  <c r="I182" i="4"/>
  <c r="I185" i="4" s="1"/>
  <c r="U182" i="4"/>
  <c r="U185" i="4" s="1"/>
  <c r="R182" i="4"/>
  <c r="R185" i="4" s="1"/>
  <c r="O182" i="4"/>
  <c r="O185" i="4" s="1"/>
  <c r="R18" i="44" l="1"/>
  <c r="S18" i="44"/>
  <c r="V18" i="44" s="1"/>
  <c r="O18" i="43"/>
  <c r="O197" i="42"/>
  <c r="N197" i="42"/>
  <c r="W86" i="42"/>
  <c r="W107" i="42" s="1"/>
  <c r="F107" i="42"/>
  <c r="S13" i="42"/>
  <c r="S11" i="42"/>
  <c r="S12" i="42"/>
  <c r="S94" i="47"/>
  <c r="V94" i="47" s="1"/>
  <c r="R94" i="47"/>
  <c r="N92" i="47"/>
  <c r="O92" i="47"/>
  <c r="S93" i="47"/>
  <c r="V93" i="47" s="1"/>
  <c r="R93" i="47"/>
  <c r="I175" i="4"/>
  <c r="I179" i="4" s="1"/>
  <c r="D51" i="44"/>
  <c r="F51" i="44" s="1"/>
  <c r="F56" i="44" s="1"/>
  <c r="S11" i="43"/>
  <c r="S12" i="43"/>
  <c r="S26" i="43"/>
  <c r="S13" i="43"/>
  <c r="V182" i="4"/>
  <c r="S18" i="43" l="1"/>
  <c r="W18" i="44"/>
  <c r="S197" i="42"/>
  <c r="V197" i="42" s="1"/>
  <c r="R197" i="42"/>
  <c r="X182" i="4"/>
  <c r="X185" i="4" s="1"/>
  <c r="V185" i="4"/>
  <c r="V175" i="4"/>
  <c r="X175" i="4" s="1"/>
  <c r="W93" i="47"/>
  <c r="W94" i="47"/>
  <c r="R92" i="47"/>
  <c r="S92" i="47"/>
  <c r="V92" i="47" s="1"/>
  <c r="W51" i="44"/>
  <c r="W56" i="44" s="1"/>
  <c r="W197" i="42" l="1"/>
  <c r="W92" i="47"/>
  <c r="D31" i="28" s="1"/>
  <c r="U174" i="4"/>
  <c r="U179" i="4" s="1"/>
  <c r="R174" i="4"/>
  <c r="R179" i="4" s="1"/>
  <c r="O174" i="4"/>
  <c r="O179" i="4" s="1"/>
  <c r="L174" i="4"/>
  <c r="L179" i="4" s="1"/>
  <c r="O12" i="39"/>
  <c r="O13" i="39"/>
  <c r="O14" i="39"/>
  <c r="O15" i="39"/>
  <c r="O19" i="39"/>
  <c r="O20" i="39"/>
  <c r="O21" i="39"/>
  <c r="O22" i="39"/>
  <c r="O24" i="39"/>
  <c r="O25" i="39"/>
  <c r="O26" i="39"/>
  <c r="O27" i="39"/>
  <c r="O28" i="39"/>
  <c r="L12" i="39"/>
  <c r="L13" i="39"/>
  <c r="L14" i="39"/>
  <c r="L15" i="39"/>
  <c r="L19" i="39"/>
  <c r="L20" i="39"/>
  <c r="L21" i="39"/>
  <c r="L22" i="39"/>
  <c r="L24" i="39"/>
  <c r="L25" i="39"/>
  <c r="L26" i="39"/>
  <c r="L27" i="39"/>
  <c r="L28" i="39"/>
  <c r="I12" i="39"/>
  <c r="I13" i="39"/>
  <c r="I14" i="39"/>
  <c r="I15" i="39"/>
  <c r="I19" i="39"/>
  <c r="I20" i="39"/>
  <c r="I21" i="39"/>
  <c r="I22" i="39"/>
  <c r="I24" i="39"/>
  <c r="I25" i="39"/>
  <c r="I26" i="39"/>
  <c r="I27" i="39"/>
  <c r="I28" i="39"/>
  <c r="F12" i="39"/>
  <c r="F13" i="39"/>
  <c r="F14" i="39"/>
  <c r="F15" i="39"/>
  <c r="F19" i="39"/>
  <c r="F20" i="39"/>
  <c r="F21" i="39"/>
  <c r="F22" i="39"/>
  <c r="F24" i="39"/>
  <c r="F25" i="39"/>
  <c r="F26" i="39"/>
  <c r="F27" i="39"/>
  <c r="F28" i="39"/>
  <c r="B12" i="39"/>
  <c r="C12" i="39"/>
  <c r="B13" i="39"/>
  <c r="C13" i="39"/>
  <c r="B14" i="39"/>
  <c r="C14" i="39"/>
  <c r="B15" i="39"/>
  <c r="C15" i="39"/>
  <c r="B19" i="39"/>
  <c r="C19" i="39"/>
  <c r="B20" i="39"/>
  <c r="C20" i="39"/>
  <c r="B21" i="39"/>
  <c r="C21" i="39"/>
  <c r="B22" i="39"/>
  <c r="C22" i="39"/>
  <c r="B24" i="39"/>
  <c r="C24" i="39"/>
  <c r="B25" i="39"/>
  <c r="C25" i="39"/>
  <c r="B26" i="39"/>
  <c r="C26" i="39"/>
  <c r="B27" i="39"/>
  <c r="C27" i="39"/>
  <c r="B28" i="39"/>
  <c r="C28" i="39"/>
  <c r="H27" i="4"/>
  <c r="D58" i="43"/>
  <c r="F58" i="43" s="1"/>
  <c r="K54" i="4"/>
  <c r="H66" i="42" s="1"/>
  <c r="J66" i="42" s="1"/>
  <c r="D332" i="4"/>
  <c r="E332" i="4"/>
  <c r="E10" i="47" s="1"/>
  <c r="G332" i="4"/>
  <c r="J332" i="4"/>
  <c r="I10" i="47" s="1"/>
  <c r="K332" i="4"/>
  <c r="M332" i="4"/>
  <c r="M10" i="47" s="1"/>
  <c r="N332" i="4"/>
  <c r="P332" i="4"/>
  <c r="Q10" i="47" s="1"/>
  <c r="Q332" i="4"/>
  <c r="S332" i="4"/>
  <c r="U10" i="47" s="1"/>
  <c r="T332" i="4"/>
  <c r="D333" i="4"/>
  <c r="A11" i="47" s="1"/>
  <c r="E333" i="4"/>
  <c r="E11" i="47" s="1"/>
  <c r="G333" i="4"/>
  <c r="D11" i="47" s="1"/>
  <c r="J333" i="4"/>
  <c r="I11" i="47" s="1"/>
  <c r="K333" i="4"/>
  <c r="H11" i="47" s="1"/>
  <c r="M333" i="4"/>
  <c r="M11" i="47" s="1"/>
  <c r="N333" i="4"/>
  <c r="L11" i="47" s="1"/>
  <c r="P333" i="4"/>
  <c r="Q11" i="47" s="1"/>
  <c r="Q333" i="4"/>
  <c r="P11" i="47" s="1"/>
  <c r="S333" i="4"/>
  <c r="U11" i="47" s="1"/>
  <c r="T333" i="4"/>
  <c r="T11" i="47" s="1"/>
  <c r="D334" i="4"/>
  <c r="A12" i="47" s="1"/>
  <c r="E334" i="4"/>
  <c r="E12" i="47" s="1"/>
  <c r="G334" i="4"/>
  <c r="D12" i="47" s="1"/>
  <c r="J334" i="4"/>
  <c r="I12" i="47" s="1"/>
  <c r="K334" i="4"/>
  <c r="H12" i="47" s="1"/>
  <c r="M334" i="4"/>
  <c r="M12" i="47" s="1"/>
  <c r="N334" i="4"/>
  <c r="L12" i="47" s="1"/>
  <c r="P334" i="4"/>
  <c r="Q12" i="47" s="1"/>
  <c r="Q334" i="4"/>
  <c r="P12" i="47" s="1"/>
  <c r="S334" i="4"/>
  <c r="U12" i="47" s="1"/>
  <c r="T334" i="4"/>
  <c r="T12" i="47" s="1"/>
  <c r="D335" i="4"/>
  <c r="A13" i="47" s="1"/>
  <c r="E335" i="4"/>
  <c r="E13" i="47" s="1"/>
  <c r="G335" i="4"/>
  <c r="D13" i="47" s="1"/>
  <c r="J335" i="4"/>
  <c r="I13" i="47" s="1"/>
  <c r="K335" i="4"/>
  <c r="H13" i="47" s="1"/>
  <c r="M335" i="4"/>
  <c r="M13" i="47" s="1"/>
  <c r="N335" i="4"/>
  <c r="L13" i="47" s="1"/>
  <c r="P335" i="4"/>
  <c r="Q13" i="47" s="1"/>
  <c r="Q335" i="4"/>
  <c r="P13" i="47" s="1"/>
  <c r="S335" i="4"/>
  <c r="U13" i="47" s="1"/>
  <c r="T335" i="4"/>
  <c r="T13" i="47" s="1"/>
  <c r="D340" i="4"/>
  <c r="A18" i="47" s="1"/>
  <c r="E340" i="4"/>
  <c r="E18" i="47" s="1"/>
  <c r="G340" i="4"/>
  <c r="D18" i="47" s="1"/>
  <c r="J340" i="4"/>
  <c r="I18" i="47" s="1"/>
  <c r="K340" i="4"/>
  <c r="H18" i="47" s="1"/>
  <c r="M340" i="4"/>
  <c r="M18" i="47" s="1"/>
  <c r="N340" i="4"/>
  <c r="L18" i="47" s="1"/>
  <c r="P340" i="4"/>
  <c r="Q18" i="47" s="1"/>
  <c r="Q340" i="4"/>
  <c r="P18" i="47" s="1"/>
  <c r="S340" i="4"/>
  <c r="U18" i="47" s="1"/>
  <c r="T340" i="4"/>
  <c r="T18" i="47" s="1"/>
  <c r="D341" i="4"/>
  <c r="A19" i="47" s="1"/>
  <c r="E341" i="4"/>
  <c r="E19" i="47" s="1"/>
  <c r="G341" i="4"/>
  <c r="D19" i="47" s="1"/>
  <c r="J341" i="4"/>
  <c r="I19" i="47" s="1"/>
  <c r="K341" i="4"/>
  <c r="H19" i="47" s="1"/>
  <c r="M341" i="4"/>
  <c r="M19" i="47" s="1"/>
  <c r="N341" i="4"/>
  <c r="L19" i="47" s="1"/>
  <c r="P341" i="4"/>
  <c r="Q19" i="47" s="1"/>
  <c r="Q341" i="4"/>
  <c r="P19" i="47" s="1"/>
  <c r="S341" i="4"/>
  <c r="U19" i="47" s="1"/>
  <c r="T341" i="4"/>
  <c r="T19" i="47" s="1"/>
  <c r="D342" i="4"/>
  <c r="A20" i="47" s="1"/>
  <c r="E342" i="4"/>
  <c r="E20" i="47" s="1"/>
  <c r="G342" i="4"/>
  <c r="D20" i="47" s="1"/>
  <c r="J342" i="4"/>
  <c r="I20" i="47" s="1"/>
  <c r="K342" i="4"/>
  <c r="H20" i="47" s="1"/>
  <c r="M342" i="4"/>
  <c r="M20" i="47" s="1"/>
  <c r="N342" i="4"/>
  <c r="L20" i="47" s="1"/>
  <c r="P342" i="4"/>
  <c r="Q20" i="47" s="1"/>
  <c r="Q342" i="4"/>
  <c r="P20" i="47" s="1"/>
  <c r="S342" i="4"/>
  <c r="U20" i="47" s="1"/>
  <c r="T342" i="4"/>
  <c r="T20" i="47" s="1"/>
  <c r="D344" i="4"/>
  <c r="A22" i="47" s="1"/>
  <c r="E344" i="4"/>
  <c r="E22" i="47" s="1"/>
  <c r="G344" i="4"/>
  <c r="D22" i="47" s="1"/>
  <c r="J344" i="4"/>
  <c r="I22" i="47" s="1"/>
  <c r="K344" i="4"/>
  <c r="H22" i="47" s="1"/>
  <c r="M344" i="4"/>
  <c r="M22" i="47" s="1"/>
  <c r="N344" i="4"/>
  <c r="L22" i="47" s="1"/>
  <c r="P344" i="4"/>
  <c r="Q22" i="47" s="1"/>
  <c r="Q344" i="4"/>
  <c r="P22" i="47" s="1"/>
  <c r="S344" i="4"/>
  <c r="U22" i="47" s="1"/>
  <c r="T344" i="4"/>
  <c r="T22" i="47" s="1"/>
  <c r="D345" i="4"/>
  <c r="A23" i="47" s="1"/>
  <c r="E345" i="4"/>
  <c r="E23" i="47" s="1"/>
  <c r="G345" i="4"/>
  <c r="D23" i="47" s="1"/>
  <c r="J345" i="4"/>
  <c r="I23" i="47" s="1"/>
  <c r="K345" i="4"/>
  <c r="H23" i="47" s="1"/>
  <c r="M345" i="4"/>
  <c r="M23" i="47" s="1"/>
  <c r="N345" i="4"/>
  <c r="L23" i="47" s="1"/>
  <c r="P345" i="4"/>
  <c r="Q23" i="47" s="1"/>
  <c r="Q345" i="4"/>
  <c r="P23" i="47" s="1"/>
  <c r="S345" i="4"/>
  <c r="U23" i="47" s="1"/>
  <c r="T345" i="4"/>
  <c r="T23" i="47" s="1"/>
  <c r="A24" i="47"/>
  <c r="E346" i="4"/>
  <c r="E24" i="47" s="1"/>
  <c r="G346" i="4"/>
  <c r="D24" i="47" s="1"/>
  <c r="J346" i="4"/>
  <c r="I24" i="47" s="1"/>
  <c r="K346" i="4"/>
  <c r="H24" i="47" s="1"/>
  <c r="M346" i="4"/>
  <c r="M24" i="47" s="1"/>
  <c r="N346" i="4"/>
  <c r="L24" i="47" s="1"/>
  <c r="P346" i="4"/>
  <c r="Q24" i="47" s="1"/>
  <c r="Q346" i="4"/>
  <c r="P24" i="47" s="1"/>
  <c r="S346" i="4"/>
  <c r="U24" i="47" s="1"/>
  <c r="T346" i="4"/>
  <c r="T24" i="47" s="1"/>
  <c r="D347" i="4"/>
  <c r="A25" i="47" s="1"/>
  <c r="E347" i="4"/>
  <c r="E25" i="47" s="1"/>
  <c r="G347" i="4"/>
  <c r="D25" i="47" s="1"/>
  <c r="J347" i="4"/>
  <c r="I25" i="47" s="1"/>
  <c r="K347" i="4"/>
  <c r="H25" i="47" s="1"/>
  <c r="M347" i="4"/>
  <c r="M25" i="47" s="1"/>
  <c r="N347" i="4"/>
  <c r="L25" i="47" s="1"/>
  <c r="P347" i="4"/>
  <c r="Q25" i="47" s="1"/>
  <c r="Q347" i="4"/>
  <c r="P25" i="47" s="1"/>
  <c r="S347" i="4"/>
  <c r="U25" i="47" s="1"/>
  <c r="T347" i="4"/>
  <c r="T25" i="47" s="1"/>
  <c r="D348" i="4"/>
  <c r="A26" i="47" s="1"/>
  <c r="E348" i="4"/>
  <c r="E26" i="47" s="1"/>
  <c r="G348" i="4"/>
  <c r="D26" i="47" s="1"/>
  <c r="J348" i="4"/>
  <c r="I26" i="47" s="1"/>
  <c r="K348" i="4"/>
  <c r="H26" i="47" s="1"/>
  <c r="M348" i="4"/>
  <c r="M26" i="47" s="1"/>
  <c r="N348" i="4"/>
  <c r="L26" i="47" s="1"/>
  <c r="P348" i="4"/>
  <c r="Q26" i="47" s="1"/>
  <c r="Q348" i="4"/>
  <c r="P26" i="47" s="1"/>
  <c r="S348" i="4"/>
  <c r="U26" i="47" s="1"/>
  <c r="T348" i="4"/>
  <c r="T26" i="47" s="1"/>
  <c r="D265" i="4"/>
  <c r="E265" i="4"/>
  <c r="E10" i="46" s="1"/>
  <c r="G265" i="4"/>
  <c r="J265" i="4"/>
  <c r="I10" i="46" s="1"/>
  <c r="K265" i="4"/>
  <c r="M265" i="4"/>
  <c r="M10" i="46" s="1"/>
  <c r="N265" i="4"/>
  <c r="P265" i="4"/>
  <c r="Q10" i="46" s="1"/>
  <c r="Q265" i="4"/>
  <c r="S265" i="4"/>
  <c r="U10" i="46" s="1"/>
  <c r="T265" i="4"/>
  <c r="D266" i="4"/>
  <c r="A11" i="46" s="1"/>
  <c r="E266" i="4"/>
  <c r="E11" i="46" s="1"/>
  <c r="G266" i="4"/>
  <c r="D11" i="46" s="1"/>
  <c r="J266" i="4"/>
  <c r="I11" i="46" s="1"/>
  <c r="K266" i="4"/>
  <c r="H11" i="46" s="1"/>
  <c r="M266" i="4"/>
  <c r="M11" i="46" s="1"/>
  <c r="N266" i="4"/>
  <c r="L11" i="46" s="1"/>
  <c r="P266" i="4"/>
  <c r="Q11" i="46" s="1"/>
  <c r="Q266" i="4"/>
  <c r="P11" i="46" s="1"/>
  <c r="S266" i="4"/>
  <c r="U11" i="46" s="1"/>
  <c r="T266" i="4"/>
  <c r="T11" i="46" s="1"/>
  <c r="D267" i="4"/>
  <c r="A12" i="46" s="1"/>
  <c r="E267" i="4"/>
  <c r="E12" i="46" s="1"/>
  <c r="G267" i="4"/>
  <c r="D12" i="46" s="1"/>
  <c r="J267" i="4"/>
  <c r="I12" i="46" s="1"/>
  <c r="K267" i="4"/>
  <c r="H12" i="46" s="1"/>
  <c r="M267" i="4"/>
  <c r="M12" i="46" s="1"/>
  <c r="N267" i="4"/>
  <c r="L12" i="46" s="1"/>
  <c r="P267" i="4"/>
  <c r="Q12" i="46" s="1"/>
  <c r="Q267" i="4"/>
  <c r="P12" i="46" s="1"/>
  <c r="S267" i="4"/>
  <c r="U12" i="46" s="1"/>
  <c r="T267" i="4"/>
  <c r="T12" i="46" s="1"/>
  <c r="D268" i="4"/>
  <c r="A13" i="46" s="1"/>
  <c r="E268" i="4"/>
  <c r="E13" i="46" s="1"/>
  <c r="G268" i="4"/>
  <c r="D13" i="46" s="1"/>
  <c r="J268" i="4"/>
  <c r="I13" i="46" s="1"/>
  <c r="K268" i="4"/>
  <c r="H13" i="46" s="1"/>
  <c r="M268" i="4"/>
  <c r="M13" i="46" s="1"/>
  <c r="N268" i="4"/>
  <c r="L13" i="46" s="1"/>
  <c r="P268" i="4"/>
  <c r="Q13" i="46" s="1"/>
  <c r="Q268" i="4"/>
  <c r="P13" i="46" s="1"/>
  <c r="S268" i="4"/>
  <c r="U13" i="46" s="1"/>
  <c r="T268" i="4"/>
  <c r="T13" i="46" s="1"/>
  <c r="D272" i="4"/>
  <c r="A17" i="46" s="1"/>
  <c r="E272" i="4"/>
  <c r="E17" i="46" s="1"/>
  <c r="G272" i="4"/>
  <c r="D17" i="46" s="1"/>
  <c r="J272" i="4"/>
  <c r="I17" i="46" s="1"/>
  <c r="K272" i="4"/>
  <c r="H17" i="46" s="1"/>
  <c r="M272" i="4"/>
  <c r="M17" i="46" s="1"/>
  <c r="N272" i="4"/>
  <c r="L17" i="46" s="1"/>
  <c r="P272" i="4"/>
  <c r="Q17" i="46" s="1"/>
  <c r="Q272" i="4"/>
  <c r="P17" i="46" s="1"/>
  <c r="S272" i="4"/>
  <c r="U17" i="46" s="1"/>
  <c r="T272" i="4"/>
  <c r="T17" i="46" s="1"/>
  <c r="D273" i="4"/>
  <c r="A18" i="46" s="1"/>
  <c r="E273" i="4"/>
  <c r="E18" i="46" s="1"/>
  <c r="G273" i="4"/>
  <c r="D18" i="46" s="1"/>
  <c r="J273" i="4"/>
  <c r="I18" i="46" s="1"/>
  <c r="K273" i="4"/>
  <c r="H18" i="46" s="1"/>
  <c r="M273" i="4"/>
  <c r="M18" i="46" s="1"/>
  <c r="N273" i="4"/>
  <c r="L18" i="46" s="1"/>
  <c r="P273" i="4"/>
  <c r="Q18" i="46" s="1"/>
  <c r="Q273" i="4"/>
  <c r="P18" i="46" s="1"/>
  <c r="S273" i="4"/>
  <c r="U18" i="46" s="1"/>
  <c r="T273" i="4"/>
  <c r="T18" i="46" s="1"/>
  <c r="D274" i="4"/>
  <c r="A19" i="46" s="1"/>
  <c r="E274" i="4"/>
  <c r="E19" i="46" s="1"/>
  <c r="G274" i="4"/>
  <c r="D19" i="46" s="1"/>
  <c r="J274" i="4"/>
  <c r="I19" i="46" s="1"/>
  <c r="K274" i="4"/>
  <c r="H19" i="46" s="1"/>
  <c r="M274" i="4"/>
  <c r="M19" i="46" s="1"/>
  <c r="N274" i="4"/>
  <c r="L19" i="46" s="1"/>
  <c r="P274" i="4"/>
  <c r="Q19" i="46" s="1"/>
  <c r="Q274" i="4"/>
  <c r="P19" i="46" s="1"/>
  <c r="S274" i="4"/>
  <c r="U19" i="46" s="1"/>
  <c r="T274" i="4"/>
  <c r="T19" i="46" s="1"/>
  <c r="D275" i="4"/>
  <c r="A20" i="46" s="1"/>
  <c r="E275" i="4"/>
  <c r="E20" i="46" s="1"/>
  <c r="G275" i="4"/>
  <c r="D20" i="46" s="1"/>
  <c r="J275" i="4"/>
  <c r="I20" i="46" s="1"/>
  <c r="K275" i="4"/>
  <c r="H20" i="46" s="1"/>
  <c r="M275" i="4"/>
  <c r="M20" i="46" s="1"/>
  <c r="N275" i="4"/>
  <c r="L20" i="46" s="1"/>
  <c r="P275" i="4"/>
  <c r="Q20" i="46" s="1"/>
  <c r="Q275" i="4"/>
  <c r="P20" i="46" s="1"/>
  <c r="S275" i="4"/>
  <c r="U20" i="46" s="1"/>
  <c r="T275" i="4"/>
  <c r="T20" i="46" s="1"/>
  <c r="D277" i="4"/>
  <c r="A22" i="46" s="1"/>
  <c r="E277" i="4"/>
  <c r="E22" i="46" s="1"/>
  <c r="G277" i="4"/>
  <c r="D22" i="46" s="1"/>
  <c r="J277" i="4"/>
  <c r="I22" i="46" s="1"/>
  <c r="K277" i="4"/>
  <c r="H22" i="46" s="1"/>
  <c r="M277" i="4"/>
  <c r="M22" i="46" s="1"/>
  <c r="N277" i="4"/>
  <c r="L22" i="46" s="1"/>
  <c r="P277" i="4"/>
  <c r="Q22" i="46" s="1"/>
  <c r="Q277" i="4"/>
  <c r="P22" i="46" s="1"/>
  <c r="S277" i="4"/>
  <c r="U22" i="46" s="1"/>
  <c r="T277" i="4"/>
  <c r="T22" i="46" s="1"/>
  <c r="D278" i="4"/>
  <c r="A23" i="46" s="1"/>
  <c r="E278" i="4"/>
  <c r="E23" i="46" s="1"/>
  <c r="G278" i="4"/>
  <c r="D23" i="46" s="1"/>
  <c r="J278" i="4"/>
  <c r="I23" i="46" s="1"/>
  <c r="K278" i="4"/>
  <c r="H23" i="46" s="1"/>
  <c r="M278" i="4"/>
  <c r="M23" i="46" s="1"/>
  <c r="N278" i="4"/>
  <c r="L23" i="46" s="1"/>
  <c r="P278" i="4"/>
  <c r="Q23" i="46" s="1"/>
  <c r="Q278" i="4"/>
  <c r="P23" i="46" s="1"/>
  <c r="S278" i="4"/>
  <c r="U23" i="46" s="1"/>
  <c r="T278" i="4"/>
  <c r="T23" i="46" s="1"/>
  <c r="D279" i="4"/>
  <c r="A24" i="46" s="1"/>
  <c r="E279" i="4"/>
  <c r="E24" i="46" s="1"/>
  <c r="G279" i="4"/>
  <c r="D24" i="46" s="1"/>
  <c r="J279" i="4"/>
  <c r="I24" i="46" s="1"/>
  <c r="K279" i="4"/>
  <c r="H24" i="46" s="1"/>
  <c r="M279" i="4"/>
  <c r="M24" i="46" s="1"/>
  <c r="N279" i="4"/>
  <c r="L24" i="46" s="1"/>
  <c r="P279" i="4"/>
  <c r="Q24" i="46" s="1"/>
  <c r="Q279" i="4"/>
  <c r="P24" i="46" s="1"/>
  <c r="S279" i="4"/>
  <c r="U24" i="46" s="1"/>
  <c r="T279" i="4"/>
  <c r="T24" i="46" s="1"/>
  <c r="D280" i="4"/>
  <c r="A25" i="46" s="1"/>
  <c r="E280" i="4"/>
  <c r="E25" i="46" s="1"/>
  <c r="G280" i="4"/>
  <c r="D25" i="46" s="1"/>
  <c r="J280" i="4"/>
  <c r="I25" i="46" s="1"/>
  <c r="K280" i="4"/>
  <c r="H25" i="46" s="1"/>
  <c r="M280" i="4"/>
  <c r="M25" i="46" s="1"/>
  <c r="N280" i="4"/>
  <c r="L25" i="46" s="1"/>
  <c r="P280" i="4"/>
  <c r="Q25" i="46" s="1"/>
  <c r="Q280" i="4"/>
  <c r="P25" i="46" s="1"/>
  <c r="S280" i="4"/>
  <c r="U25" i="46" s="1"/>
  <c r="T280" i="4"/>
  <c r="T25" i="46" s="1"/>
  <c r="D281" i="4"/>
  <c r="A26" i="46" s="1"/>
  <c r="E281" i="4"/>
  <c r="E26" i="46" s="1"/>
  <c r="G281" i="4"/>
  <c r="D26" i="46" s="1"/>
  <c r="J281" i="4"/>
  <c r="I26" i="46" s="1"/>
  <c r="K281" i="4"/>
  <c r="H26" i="46" s="1"/>
  <c r="M281" i="4"/>
  <c r="M26" i="46" s="1"/>
  <c r="N281" i="4"/>
  <c r="L26" i="46" s="1"/>
  <c r="P281" i="4"/>
  <c r="Q26" i="46" s="1"/>
  <c r="Q281" i="4"/>
  <c r="P26" i="46" s="1"/>
  <c r="S281" i="4"/>
  <c r="U26" i="46" s="1"/>
  <c r="T281" i="4"/>
  <c r="T26" i="46" s="1"/>
  <c r="D223" i="4"/>
  <c r="A26" i="45" s="1"/>
  <c r="E223" i="4"/>
  <c r="E26" i="45" s="1"/>
  <c r="G223" i="4"/>
  <c r="D26" i="45" s="1"/>
  <c r="J223" i="4"/>
  <c r="I26" i="45" s="1"/>
  <c r="K223" i="4"/>
  <c r="H26" i="45" s="1"/>
  <c r="M223" i="4"/>
  <c r="M26" i="45" s="1"/>
  <c r="N223" i="4"/>
  <c r="L26" i="45" s="1"/>
  <c r="P223" i="4"/>
  <c r="Q26" i="45" s="1"/>
  <c r="Q223" i="4"/>
  <c r="P26" i="45" s="1"/>
  <c r="S223" i="4"/>
  <c r="U26" i="45" s="1"/>
  <c r="T223" i="4"/>
  <c r="T26" i="45" s="1"/>
  <c r="D207" i="4"/>
  <c r="E207" i="4"/>
  <c r="E10" i="45" s="1"/>
  <c r="G207" i="4"/>
  <c r="J207" i="4"/>
  <c r="I10" i="45" s="1"/>
  <c r="K207" i="4"/>
  <c r="M207" i="4"/>
  <c r="M10" i="45" s="1"/>
  <c r="N207" i="4"/>
  <c r="P207" i="4"/>
  <c r="Q10" i="45" s="1"/>
  <c r="Q207" i="4"/>
  <c r="S207" i="4"/>
  <c r="U10" i="45" s="1"/>
  <c r="T207" i="4"/>
  <c r="D208" i="4"/>
  <c r="A11" i="45" s="1"/>
  <c r="E208" i="4"/>
  <c r="E11" i="45" s="1"/>
  <c r="G208" i="4"/>
  <c r="D11" i="45" s="1"/>
  <c r="J208" i="4"/>
  <c r="I11" i="45" s="1"/>
  <c r="K208" i="4"/>
  <c r="H11" i="45" s="1"/>
  <c r="M208" i="4"/>
  <c r="M11" i="45" s="1"/>
  <c r="N208" i="4"/>
  <c r="L11" i="45" s="1"/>
  <c r="P208" i="4"/>
  <c r="Q11" i="45" s="1"/>
  <c r="Q208" i="4"/>
  <c r="P11" i="45" s="1"/>
  <c r="S208" i="4"/>
  <c r="U11" i="45" s="1"/>
  <c r="T208" i="4"/>
  <c r="T11" i="45" s="1"/>
  <c r="D209" i="4"/>
  <c r="A12" i="45" s="1"/>
  <c r="E209" i="4"/>
  <c r="E12" i="45" s="1"/>
  <c r="G209" i="4"/>
  <c r="D12" i="45" s="1"/>
  <c r="J209" i="4"/>
  <c r="I12" i="45" s="1"/>
  <c r="K209" i="4"/>
  <c r="H12" i="45" s="1"/>
  <c r="M209" i="4"/>
  <c r="M12" i="45" s="1"/>
  <c r="N209" i="4"/>
  <c r="L12" i="45" s="1"/>
  <c r="P209" i="4"/>
  <c r="Q12" i="45" s="1"/>
  <c r="Q209" i="4"/>
  <c r="P12" i="45" s="1"/>
  <c r="S209" i="4"/>
  <c r="U12" i="45" s="1"/>
  <c r="T209" i="4"/>
  <c r="T12" i="45" s="1"/>
  <c r="D210" i="4"/>
  <c r="A13" i="45" s="1"/>
  <c r="E210" i="4"/>
  <c r="E13" i="45" s="1"/>
  <c r="G210" i="4"/>
  <c r="D13" i="45" s="1"/>
  <c r="J210" i="4"/>
  <c r="I13" i="45" s="1"/>
  <c r="K210" i="4"/>
  <c r="H13" i="45" s="1"/>
  <c r="M210" i="4"/>
  <c r="M13" i="45" s="1"/>
  <c r="N210" i="4"/>
  <c r="L13" i="45" s="1"/>
  <c r="P210" i="4"/>
  <c r="Q13" i="45" s="1"/>
  <c r="Q210" i="4"/>
  <c r="P13" i="45" s="1"/>
  <c r="S210" i="4"/>
  <c r="U13" i="45" s="1"/>
  <c r="T210" i="4"/>
  <c r="T13" i="45" s="1"/>
  <c r="D214" i="4"/>
  <c r="A17" i="45" s="1"/>
  <c r="E214" i="4"/>
  <c r="E17" i="45" s="1"/>
  <c r="G214" i="4"/>
  <c r="D17" i="45" s="1"/>
  <c r="J214" i="4"/>
  <c r="I17" i="45" s="1"/>
  <c r="K214" i="4"/>
  <c r="H17" i="45" s="1"/>
  <c r="M214" i="4"/>
  <c r="M17" i="45" s="1"/>
  <c r="N214" i="4"/>
  <c r="L17" i="45" s="1"/>
  <c r="P214" i="4"/>
  <c r="Q17" i="45" s="1"/>
  <c r="Q214" i="4"/>
  <c r="P17" i="45" s="1"/>
  <c r="S214" i="4"/>
  <c r="U17" i="45" s="1"/>
  <c r="T214" i="4"/>
  <c r="T17" i="45" s="1"/>
  <c r="D215" i="4"/>
  <c r="A18" i="45" s="1"/>
  <c r="E215" i="4"/>
  <c r="E18" i="45" s="1"/>
  <c r="G215" i="4"/>
  <c r="D18" i="45" s="1"/>
  <c r="J215" i="4"/>
  <c r="I18" i="45" s="1"/>
  <c r="K215" i="4"/>
  <c r="H18" i="45" s="1"/>
  <c r="M215" i="4"/>
  <c r="M18" i="45" s="1"/>
  <c r="N215" i="4"/>
  <c r="L18" i="45" s="1"/>
  <c r="P215" i="4"/>
  <c r="Q18" i="45" s="1"/>
  <c r="Q215" i="4"/>
  <c r="P18" i="45" s="1"/>
  <c r="S215" i="4"/>
  <c r="U18" i="45" s="1"/>
  <c r="T215" i="4"/>
  <c r="T18" i="45" s="1"/>
  <c r="D216" i="4"/>
  <c r="A19" i="45" s="1"/>
  <c r="E216" i="4"/>
  <c r="E19" i="45" s="1"/>
  <c r="G216" i="4"/>
  <c r="D19" i="45" s="1"/>
  <c r="J216" i="4"/>
  <c r="I19" i="45" s="1"/>
  <c r="K216" i="4"/>
  <c r="H19" i="45" s="1"/>
  <c r="M216" i="4"/>
  <c r="M19" i="45" s="1"/>
  <c r="N216" i="4"/>
  <c r="L19" i="45" s="1"/>
  <c r="P216" i="4"/>
  <c r="Q19" i="45" s="1"/>
  <c r="Q216" i="4"/>
  <c r="P19" i="45" s="1"/>
  <c r="S216" i="4"/>
  <c r="U19" i="45" s="1"/>
  <c r="T216" i="4"/>
  <c r="T19" i="45" s="1"/>
  <c r="D217" i="4"/>
  <c r="A20" i="45" s="1"/>
  <c r="E217" i="4"/>
  <c r="E20" i="45" s="1"/>
  <c r="G217" i="4"/>
  <c r="D20" i="45" s="1"/>
  <c r="J217" i="4"/>
  <c r="I20" i="45" s="1"/>
  <c r="K217" i="4"/>
  <c r="H20" i="45" s="1"/>
  <c r="M217" i="4"/>
  <c r="M20" i="45" s="1"/>
  <c r="N217" i="4"/>
  <c r="L20" i="45" s="1"/>
  <c r="P217" i="4"/>
  <c r="Q20" i="45" s="1"/>
  <c r="Q217" i="4"/>
  <c r="P20" i="45" s="1"/>
  <c r="S217" i="4"/>
  <c r="U20" i="45" s="1"/>
  <c r="T217" i="4"/>
  <c r="T20" i="45" s="1"/>
  <c r="D219" i="4"/>
  <c r="A22" i="45" s="1"/>
  <c r="E219" i="4"/>
  <c r="E22" i="45" s="1"/>
  <c r="G219" i="4"/>
  <c r="D22" i="45" s="1"/>
  <c r="J219" i="4"/>
  <c r="I22" i="45" s="1"/>
  <c r="K219" i="4"/>
  <c r="H22" i="45" s="1"/>
  <c r="M219" i="4"/>
  <c r="M22" i="45" s="1"/>
  <c r="N219" i="4"/>
  <c r="L22" i="45" s="1"/>
  <c r="P219" i="4"/>
  <c r="Q22" i="45" s="1"/>
  <c r="Q219" i="4"/>
  <c r="P22" i="45" s="1"/>
  <c r="S219" i="4"/>
  <c r="U22" i="45" s="1"/>
  <c r="T219" i="4"/>
  <c r="T22" i="45" s="1"/>
  <c r="D220" i="4"/>
  <c r="A23" i="45" s="1"/>
  <c r="E220" i="4"/>
  <c r="E23" i="45" s="1"/>
  <c r="G220" i="4"/>
  <c r="D23" i="45" s="1"/>
  <c r="J220" i="4"/>
  <c r="I23" i="45" s="1"/>
  <c r="K220" i="4"/>
  <c r="H23" i="45" s="1"/>
  <c r="M220" i="4"/>
  <c r="M23" i="45" s="1"/>
  <c r="N220" i="4"/>
  <c r="L23" i="45" s="1"/>
  <c r="P220" i="4"/>
  <c r="Q23" i="45" s="1"/>
  <c r="Q220" i="4"/>
  <c r="P23" i="45" s="1"/>
  <c r="S220" i="4"/>
  <c r="U23" i="45" s="1"/>
  <c r="T220" i="4"/>
  <c r="T23" i="45" s="1"/>
  <c r="D221" i="4"/>
  <c r="A24" i="45" s="1"/>
  <c r="E221" i="4"/>
  <c r="E24" i="45" s="1"/>
  <c r="G221" i="4"/>
  <c r="D24" i="45" s="1"/>
  <c r="J221" i="4"/>
  <c r="I24" i="45" s="1"/>
  <c r="K221" i="4"/>
  <c r="H24" i="45" s="1"/>
  <c r="M221" i="4"/>
  <c r="M24" i="45" s="1"/>
  <c r="N221" i="4"/>
  <c r="L24" i="45" s="1"/>
  <c r="P221" i="4"/>
  <c r="Q24" i="45" s="1"/>
  <c r="Q221" i="4"/>
  <c r="P24" i="45" s="1"/>
  <c r="S221" i="4"/>
  <c r="U24" i="45" s="1"/>
  <c r="T221" i="4"/>
  <c r="T24" i="45" s="1"/>
  <c r="D222" i="4"/>
  <c r="A25" i="45" s="1"/>
  <c r="E222" i="4"/>
  <c r="E25" i="45" s="1"/>
  <c r="G222" i="4"/>
  <c r="D25" i="45" s="1"/>
  <c r="J222" i="4"/>
  <c r="I25" i="45" s="1"/>
  <c r="K222" i="4"/>
  <c r="H25" i="45" s="1"/>
  <c r="M222" i="4"/>
  <c r="M25" i="45" s="1"/>
  <c r="N222" i="4"/>
  <c r="L25" i="45" s="1"/>
  <c r="P222" i="4"/>
  <c r="Q25" i="45" s="1"/>
  <c r="Q222" i="4"/>
  <c r="P25" i="45" s="1"/>
  <c r="S222" i="4"/>
  <c r="U25" i="45" s="1"/>
  <c r="T222" i="4"/>
  <c r="T25" i="45" s="1"/>
  <c r="D147" i="4"/>
  <c r="E147" i="4"/>
  <c r="E10" i="44" s="1"/>
  <c r="G147" i="4"/>
  <c r="J147" i="4"/>
  <c r="I10" i="44" s="1"/>
  <c r="K147" i="4"/>
  <c r="M147" i="4"/>
  <c r="M10" i="44" s="1"/>
  <c r="N147" i="4"/>
  <c r="P147" i="4"/>
  <c r="Q10" i="44" s="1"/>
  <c r="Q147" i="4"/>
  <c r="S147" i="4"/>
  <c r="U10" i="44" s="1"/>
  <c r="T147" i="4"/>
  <c r="D148" i="4"/>
  <c r="A11" i="44" s="1"/>
  <c r="E148" i="4"/>
  <c r="E11" i="44" s="1"/>
  <c r="G148" i="4"/>
  <c r="D11" i="44" s="1"/>
  <c r="J148" i="4"/>
  <c r="I11" i="44" s="1"/>
  <c r="K148" i="4"/>
  <c r="H11" i="44" s="1"/>
  <c r="M148" i="4"/>
  <c r="M11" i="44" s="1"/>
  <c r="N148" i="4"/>
  <c r="L11" i="44" s="1"/>
  <c r="P148" i="4"/>
  <c r="Q11" i="44" s="1"/>
  <c r="Q148" i="4"/>
  <c r="P11" i="44" s="1"/>
  <c r="S148" i="4"/>
  <c r="U11" i="44" s="1"/>
  <c r="T148" i="4"/>
  <c r="T11" i="44" s="1"/>
  <c r="D149" i="4"/>
  <c r="A12" i="44" s="1"/>
  <c r="E149" i="4"/>
  <c r="E12" i="44" s="1"/>
  <c r="G149" i="4"/>
  <c r="D12" i="44" s="1"/>
  <c r="J149" i="4"/>
  <c r="I12" i="44" s="1"/>
  <c r="K149" i="4"/>
  <c r="H12" i="44" s="1"/>
  <c r="M149" i="4"/>
  <c r="M12" i="44" s="1"/>
  <c r="N149" i="4"/>
  <c r="L12" i="44" s="1"/>
  <c r="P149" i="4"/>
  <c r="Q12" i="44" s="1"/>
  <c r="Q149" i="4"/>
  <c r="P12" i="44" s="1"/>
  <c r="S149" i="4"/>
  <c r="U12" i="44" s="1"/>
  <c r="T149" i="4"/>
  <c r="T12" i="44" s="1"/>
  <c r="D150" i="4"/>
  <c r="A13" i="44" s="1"/>
  <c r="E150" i="4"/>
  <c r="E13" i="44" s="1"/>
  <c r="G150" i="4"/>
  <c r="D13" i="44" s="1"/>
  <c r="J150" i="4"/>
  <c r="I13" i="44" s="1"/>
  <c r="K150" i="4"/>
  <c r="H13" i="44" s="1"/>
  <c r="M150" i="4"/>
  <c r="M13" i="44" s="1"/>
  <c r="N150" i="4"/>
  <c r="L13" i="44" s="1"/>
  <c r="P150" i="4"/>
  <c r="Q13" i="44" s="1"/>
  <c r="Q150" i="4"/>
  <c r="P13" i="44" s="1"/>
  <c r="S150" i="4"/>
  <c r="U13" i="44" s="1"/>
  <c r="T150" i="4"/>
  <c r="T13" i="44" s="1"/>
  <c r="D154" i="4"/>
  <c r="A17" i="44" s="1"/>
  <c r="D155" i="4"/>
  <c r="A18" i="44" s="1"/>
  <c r="D156" i="4"/>
  <c r="A19" i="44" s="1"/>
  <c r="E156" i="4"/>
  <c r="E19" i="44" s="1"/>
  <c r="G156" i="4"/>
  <c r="D19" i="44" s="1"/>
  <c r="J156" i="4"/>
  <c r="I19" i="44" s="1"/>
  <c r="K156" i="4"/>
  <c r="H19" i="44" s="1"/>
  <c r="M156" i="4"/>
  <c r="M19" i="44" s="1"/>
  <c r="N156" i="4"/>
  <c r="L19" i="44" s="1"/>
  <c r="P156" i="4"/>
  <c r="Q19" i="44" s="1"/>
  <c r="Q156" i="4"/>
  <c r="P19" i="44" s="1"/>
  <c r="S156" i="4"/>
  <c r="U19" i="44" s="1"/>
  <c r="T156" i="4"/>
  <c r="T19" i="44" s="1"/>
  <c r="D157" i="4"/>
  <c r="A20" i="44" s="1"/>
  <c r="E157" i="4"/>
  <c r="E20" i="44" s="1"/>
  <c r="G157" i="4"/>
  <c r="D20" i="44" s="1"/>
  <c r="J157" i="4"/>
  <c r="I20" i="44" s="1"/>
  <c r="K157" i="4"/>
  <c r="H20" i="44" s="1"/>
  <c r="M157" i="4"/>
  <c r="M20" i="44" s="1"/>
  <c r="N157" i="4"/>
  <c r="L20" i="44" s="1"/>
  <c r="P157" i="4"/>
  <c r="Q20" i="44" s="1"/>
  <c r="Q157" i="4"/>
  <c r="P20" i="44" s="1"/>
  <c r="S157" i="4"/>
  <c r="U20" i="44" s="1"/>
  <c r="T157" i="4"/>
  <c r="T20" i="44" s="1"/>
  <c r="D159" i="4"/>
  <c r="A22" i="44" s="1"/>
  <c r="E159" i="4"/>
  <c r="E22" i="44" s="1"/>
  <c r="G159" i="4"/>
  <c r="D22" i="44" s="1"/>
  <c r="J159" i="4"/>
  <c r="I22" i="44" s="1"/>
  <c r="K159" i="4"/>
  <c r="H22" i="44" s="1"/>
  <c r="M159" i="4"/>
  <c r="M22" i="44" s="1"/>
  <c r="N159" i="4"/>
  <c r="L22" i="44" s="1"/>
  <c r="P159" i="4"/>
  <c r="Q22" i="44" s="1"/>
  <c r="Q159" i="4"/>
  <c r="P22" i="44" s="1"/>
  <c r="S159" i="4"/>
  <c r="U22" i="44" s="1"/>
  <c r="T159" i="4"/>
  <c r="T22" i="44" s="1"/>
  <c r="D160" i="4"/>
  <c r="A23" i="44" s="1"/>
  <c r="E160" i="4"/>
  <c r="E23" i="44" s="1"/>
  <c r="G160" i="4"/>
  <c r="D23" i="44" s="1"/>
  <c r="J160" i="4"/>
  <c r="I23" i="44" s="1"/>
  <c r="K160" i="4"/>
  <c r="H23" i="44" s="1"/>
  <c r="M160" i="4"/>
  <c r="M23" i="44" s="1"/>
  <c r="N160" i="4"/>
  <c r="L23" i="44" s="1"/>
  <c r="P160" i="4"/>
  <c r="Q23" i="44" s="1"/>
  <c r="Q160" i="4"/>
  <c r="P23" i="44" s="1"/>
  <c r="S160" i="4"/>
  <c r="U23" i="44" s="1"/>
  <c r="T160" i="4"/>
  <c r="T23" i="44" s="1"/>
  <c r="D161" i="4"/>
  <c r="A24" i="44" s="1"/>
  <c r="E161" i="4"/>
  <c r="E24" i="44" s="1"/>
  <c r="G161" i="4"/>
  <c r="D24" i="44" s="1"/>
  <c r="J161" i="4"/>
  <c r="I24" i="44" s="1"/>
  <c r="K161" i="4"/>
  <c r="H24" i="44" s="1"/>
  <c r="M161" i="4"/>
  <c r="M24" i="44" s="1"/>
  <c r="N161" i="4"/>
  <c r="L24" i="44" s="1"/>
  <c r="P161" i="4"/>
  <c r="Q24" i="44" s="1"/>
  <c r="Q161" i="4"/>
  <c r="P24" i="44" s="1"/>
  <c r="S161" i="4"/>
  <c r="U24" i="44" s="1"/>
  <c r="T161" i="4"/>
  <c r="T24" i="44" s="1"/>
  <c r="D162" i="4"/>
  <c r="A25" i="44" s="1"/>
  <c r="E162" i="4"/>
  <c r="E25" i="44" s="1"/>
  <c r="G162" i="4"/>
  <c r="D25" i="44" s="1"/>
  <c r="J162" i="4"/>
  <c r="I25" i="44" s="1"/>
  <c r="K162" i="4"/>
  <c r="H25" i="44" s="1"/>
  <c r="M162" i="4"/>
  <c r="M25" i="44" s="1"/>
  <c r="N162" i="4"/>
  <c r="L25" i="44" s="1"/>
  <c r="P162" i="4"/>
  <c r="Q25" i="44" s="1"/>
  <c r="Q162" i="4"/>
  <c r="P25" i="44" s="1"/>
  <c r="S162" i="4"/>
  <c r="U25" i="44" s="1"/>
  <c r="T162" i="4"/>
  <c r="T25" i="44" s="1"/>
  <c r="D163" i="4"/>
  <c r="A26" i="44" s="1"/>
  <c r="E163" i="4"/>
  <c r="E26" i="44" s="1"/>
  <c r="G163" i="4"/>
  <c r="D26" i="44" s="1"/>
  <c r="J163" i="4"/>
  <c r="I26" i="44" s="1"/>
  <c r="K163" i="4"/>
  <c r="H26" i="44" s="1"/>
  <c r="M163" i="4"/>
  <c r="M26" i="44" s="1"/>
  <c r="N163" i="4"/>
  <c r="L26" i="44" s="1"/>
  <c r="P163" i="4"/>
  <c r="Q26" i="44" s="1"/>
  <c r="Q163" i="4"/>
  <c r="P26" i="44" s="1"/>
  <c r="S163" i="4"/>
  <c r="U26" i="44" s="1"/>
  <c r="T163" i="4"/>
  <c r="T26" i="44" s="1"/>
  <c r="I12" i="30"/>
  <c r="H281" i="4"/>
  <c r="C26" i="46" s="1"/>
  <c r="H28" i="4"/>
  <c r="C25" i="42" s="1"/>
  <c r="G25" i="42" s="1"/>
  <c r="K25" i="42" s="1"/>
  <c r="O25" i="42" s="1"/>
  <c r="S25" i="42" s="1"/>
  <c r="H25" i="4"/>
  <c r="C22" i="42" s="1"/>
  <c r="G22" i="42" s="1"/>
  <c r="K22" i="42" s="1"/>
  <c r="O22" i="42" s="1"/>
  <c r="S22" i="42" s="1"/>
  <c r="S27" i="4"/>
  <c r="U24" i="43" s="1"/>
  <c r="P27" i="4"/>
  <c r="Q24" i="43" s="1"/>
  <c r="M27" i="4"/>
  <c r="M24" i="43" s="1"/>
  <c r="J27" i="4"/>
  <c r="I24" i="43" s="1"/>
  <c r="E27" i="4"/>
  <c r="E24" i="43" s="1"/>
  <c r="S26" i="4"/>
  <c r="U23" i="43" s="1"/>
  <c r="P26" i="4"/>
  <c r="Q23" i="43" s="1"/>
  <c r="M26" i="4"/>
  <c r="M23" i="43" s="1"/>
  <c r="J26" i="4"/>
  <c r="I23" i="43" s="1"/>
  <c r="E26" i="4"/>
  <c r="E23" i="43" s="1"/>
  <c r="S25" i="4"/>
  <c r="U22" i="43" s="1"/>
  <c r="P25" i="4"/>
  <c r="Q22" i="43" s="1"/>
  <c r="M25" i="4"/>
  <c r="M22" i="43" s="1"/>
  <c r="J25" i="4"/>
  <c r="I22" i="43" s="1"/>
  <c r="E25" i="4"/>
  <c r="E22" i="43" s="1"/>
  <c r="H23" i="4"/>
  <c r="S23" i="4"/>
  <c r="U20" i="43" s="1"/>
  <c r="P23" i="4"/>
  <c r="Q20" i="43" s="1"/>
  <c r="M23" i="4"/>
  <c r="M20" i="43" s="1"/>
  <c r="J23" i="4"/>
  <c r="I20" i="43" s="1"/>
  <c r="E23" i="4"/>
  <c r="E20" i="43" s="1"/>
  <c r="H22" i="4"/>
  <c r="H273" i="4"/>
  <c r="C18" i="46" s="1"/>
  <c r="S22" i="4"/>
  <c r="U19" i="43" s="1"/>
  <c r="P22" i="4"/>
  <c r="Q19" i="43" s="1"/>
  <c r="M22" i="4"/>
  <c r="M19" i="43" s="1"/>
  <c r="J22" i="4"/>
  <c r="I19" i="43" s="1"/>
  <c r="E22" i="4"/>
  <c r="E19" i="43" s="1"/>
  <c r="S21" i="4"/>
  <c r="U18" i="43" s="1"/>
  <c r="V18" i="43" s="1"/>
  <c r="P21" i="4"/>
  <c r="Q18" i="43" s="1"/>
  <c r="R18" i="43" s="1"/>
  <c r="M21" i="4"/>
  <c r="M18" i="43" s="1"/>
  <c r="N18" i="43" s="1"/>
  <c r="J21" i="4"/>
  <c r="I18" i="43" s="1"/>
  <c r="J18" i="43" s="1"/>
  <c r="E21" i="4"/>
  <c r="E18" i="43" s="1"/>
  <c r="F18" i="43" s="1"/>
  <c r="H267" i="4"/>
  <c r="C12" i="46" s="1"/>
  <c r="H150" i="4"/>
  <c r="C13" i="44" s="1"/>
  <c r="H208" i="4"/>
  <c r="C11" i="45" s="1"/>
  <c r="I83" i="4"/>
  <c r="U81" i="4"/>
  <c r="R81" i="4"/>
  <c r="O81" i="4"/>
  <c r="L81" i="4"/>
  <c r="I81" i="4"/>
  <c r="U80" i="4"/>
  <c r="R80" i="4"/>
  <c r="O80" i="4"/>
  <c r="L80" i="4"/>
  <c r="I80" i="4"/>
  <c r="U79" i="4"/>
  <c r="R79" i="4"/>
  <c r="O79" i="4"/>
  <c r="L79" i="4"/>
  <c r="I79" i="4"/>
  <c r="U86" i="4"/>
  <c r="R86" i="4"/>
  <c r="O86" i="4"/>
  <c r="L86" i="4"/>
  <c r="I86" i="4"/>
  <c r="H352" i="4"/>
  <c r="E31" i="47" s="1"/>
  <c r="I31" i="47" s="1"/>
  <c r="M31" i="47" s="1"/>
  <c r="Q31" i="47" s="1"/>
  <c r="U31" i="47" s="1"/>
  <c r="C56" i="28"/>
  <c r="U73" i="4"/>
  <c r="R73" i="4"/>
  <c r="O73" i="4"/>
  <c r="L73" i="4"/>
  <c r="I73" i="4"/>
  <c r="W114" i="4"/>
  <c r="U105" i="4"/>
  <c r="R105" i="4"/>
  <c r="O105" i="4"/>
  <c r="L105" i="4"/>
  <c r="I105" i="4"/>
  <c r="U104" i="4"/>
  <c r="R104" i="4"/>
  <c r="O104" i="4"/>
  <c r="L104" i="4"/>
  <c r="I104" i="4"/>
  <c r="U111" i="4"/>
  <c r="R111" i="4"/>
  <c r="O111" i="4"/>
  <c r="I111" i="4"/>
  <c r="U107" i="4"/>
  <c r="R107" i="4"/>
  <c r="O107" i="4"/>
  <c r="L107" i="4"/>
  <c r="I107" i="4"/>
  <c r="U108" i="4"/>
  <c r="R108" i="4"/>
  <c r="O108" i="4"/>
  <c r="L108" i="4"/>
  <c r="I108" i="4"/>
  <c r="C19" i="42" l="1"/>
  <c r="G19" i="42" s="1"/>
  <c r="K19" i="42" s="1"/>
  <c r="O19" i="42" s="1"/>
  <c r="S19" i="42" s="1"/>
  <c r="C19" i="43"/>
  <c r="F18" i="46"/>
  <c r="G18" i="46"/>
  <c r="W18" i="43"/>
  <c r="C20" i="42"/>
  <c r="G20" i="42" s="1"/>
  <c r="K20" i="42" s="1"/>
  <c r="O20" i="42" s="1"/>
  <c r="S20" i="42" s="1"/>
  <c r="C20" i="43"/>
  <c r="G20" i="43" s="1"/>
  <c r="C10" i="44"/>
  <c r="C10" i="47"/>
  <c r="C10" i="46"/>
  <c r="C10" i="45"/>
  <c r="C10" i="43"/>
  <c r="G10" i="43" s="1"/>
  <c r="K10" i="43" s="1"/>
  <c r="O10" i="43" s="1"/>
  <c r="S10" i="43" s="1"/>
  <c r="C10" i="42"/>
  <c r="C24" i="42"/>
  <c r="G24" i="42" s="1"/>
  <c r="K24" i="42" s="1"/>
  <c r="O24" i="42" s="1"/>
  <c r="S24" i="42" s="1"/>
  <c r="U22" i="42"/>
  <c r="V22" i="42" s="1"/>
  <c r="I20" i="42"/>
  <c r="I24" i="42"/>
  <c r="Q23" i="42"/>
  <c r="R23" i="42" s="1"/>
  <c r="M19" i="42"/>
  <c r="E23" i="42"/>
  <c r="F23" i="42" s="1"/>
  <c r="U19" i="42"/>
  <c r="U24" i="42"/>
  <c r="I22" i="42"/>
  <c r="J22" i="42" s="1"/>
  <c r="E19" i="42"/>
  <c r="E18" i="42"/>
  <c r="F18" i="42" s="1"/>
  <c r="U20" i="42"/>
  <c r="I23" i="42"/>
  <c r="J23" i="42" s="1"/>
  <c r="C30" i="43"/>
  <c r="G30" i="43" s="1"/>
  <c r="C30" i="42"/>
  <c r="M23" i="42"/>
  <c r="N23" i="42" s="1"/>
  <c r="C17" i="42"/>
  <c r="G17" i="42" s="1"/>
  <c r="U23" i="42"/>
  <c r="V23" i="42" s="1"/>
  <c r="E20" i="42"/>
  <c r="M22" i="42"/>
  <c r="N22" i="42" s="1"/>
  <c r="M20" i="42"/>
  <c r="Q20" i="42"/>
  <c r="U18" i="42"/>
  <c r="V18" i="42" s="1"/>
  <c r="Q19" i="42"/>
  <c r="Q18" i="42"/>
  <c r="R18" i="42" s="1"/>
  <c r="M18" i="42"/>
  <c r="N18" i="42" s="1"/>
  <c r="I19" i="42"/>
  <c r="I18" i="42"/>
  <c r="J18" i="42" s="1"/>
  <c r="Q24" i="42"/>
  <c r="M24" i="42"/>
  <c r="E24" i="42"/>
  <c r="Q22" i="42"/>
  <c r="R22" i="42" s="1"/>
  <c r="E22" i="42"/>
  <c r="F22" i="42" s="1"/>
  <c r="F12" i="46"/>
  <c r="G12" i="46"/>
  <c r="G26" i="46"/>
  <c r="F26" i="46"/>
  <c r="G11" i="45"/>
  <c r="F11" i="45"/>
  <c r="F13" i="44"/>
  <c r="G13" i="44"/>
  <c r="L54" i="4"/>
  <c r="H62" i="43"/>
  <c r="J62" i="43" s="1"/>
  <c r="H219" i="4"/>
  <c r="C22" i="43"/>
  <c r="G22" i="43" s="1"/>
  <c r="H222" i="4"/>
  <c r="C25" i="43"/>
  <c r="H346" i="4"/>
  <c r="C24" i="43"/>
  <c r="H332" i="4"/>
  <c r="H274" i="4"/>
  <c r="C19" i="46" s="1"/>
  <c r="H278" i="4"/>
  <c r="C23" i="43"/>
  <c r="H275" i="4"/>
  <c r="C20" i="46" s="1"/>
  <c r="H154" i="4"/>
  <c r="C17" i="44" s="1"/>
  <c r="L208" i="4"/>
  <c r="P20" i="39"/>
  <c r="G20" i="39"/>
  <c r="M25" i="39"/>
  <c r="D22" i="39"/>
  <c r="D24" i="39"/>
  <c r="V174" i="4"/>
  <c r="V179" i="4" s="1"/>
  <c r="M21" i="39"/>
  <c r="P26" i="39"/>
  <c r="P21" i="39"/>
  <c r="J20" i="39"/>
  <c r="G24" i="39"/>
  <c r="J24" i="39"/>
  <c r="M20" i="39"/>
  <c r="P25" i="39"/>
  <c r="D26" i="39"/>
  <c r="G25" i="39"/>
  <c r="G26" i="39"/>
  <c r="G22" i="39"/>
  <c r="J22" i="39"/>
  <c r="P24" i="39"/>
  <c r="J26" i="39"/>
  <c r="D21" i="39"/>
  <c r="M24" i="39"/>
  <c r="G21" i="39"/>
  <c r="J21" i="39"/>
  <c r="M22" i="39"/>
  <c r="D25" i="39"/>
  <c r="M26" i="39"/>
  <c r="P22" i="39"/>
  <c r="J25" i="39"/>
  <c r="D20" i="39"/>
  <c r="U267" i="4"/>
  <c r="R26" i="4"/>
  <c r="H162" i="4"/>
  <c r="U26" i="4"/>
  <c r="L281" i="4"/>
  <c r="O25" i="4"/>
  <c r="H347" i="4"/>
  <c r="H147" i="4"/>
  <c r="H265" i="4"/>
  <c r="H214" i="4"/>
  <c r="C17" i="45" s="1"/>
  <c r="G17" i="45" s="1"/>
  <c r="V80" i="4"/>
  <c r="X80" i="4" s="1"/>
  <c r="H334" i="4"/>
  <c r="L273" i="4"/>
  <c r="O150" i="4"/>
  <c r="R150" i="4"/>
  <c r="I273" i="4"/>
  <c r="U273" i="4"/>
  <c r="I208" i="4"/>
  <c r="R267" i="4"/>
  <c r="H268" i="4"/>
  <c r="H159" i="4"/>
  <c r="H344" i="4"/>
  <c r="O273" i="4"/>
  <c r="H148" i="4"/>
  <c r="C11" i="44" s="1"/>
  <c r="H221" i="4"/>
  <c r="H209" i="4"/>
  <c r="O208" i="4"/>
  <c r="H223" i="4"/>
  <c r="H279" i="4"/>
  <c r="H272" i="4"/>
  <c r="C17" i="46" s="1"/>
  <c r="O267" i="4"/>
  <c r="H163" i="4"/>
  <c r="H160" i="4"/>
  <c r="H266" i="4"/>
  <c r="H345" i="4"/>
  <c r="C18" i="47"/>
  <c r="H335" i="4"/>
  <c r="R208" i="4"/>
  <c r="L23" i="4"/>
  <c r="H215" i="4"/>
  <c r="C18" i="45" s="1"/>
  <c r="H207" i="4"/>
  <c r="H280" i="4"/>
  <c r="H277" i="4"/>
  <c r="L267" i="4"/>
  <c r="H348" i="4"/>
  <c r="R281" i="4"/>
  <c r="L150" i="4"/>
  <c r="H149" i="4"/>
  <c r="H217" i="4"/>
  <c r="C20" i="45" s="1"/>
  <c r="H216" i="4"/>
  <c r="C19" i="45" s="1"/>
  <c r="H210" i="4"/>
  <c r="H341" i="4"/>
  <c r="C19" i="47" s="1"/>
  <c r="L27" i="4"/>
  <c r="H161" i="4"/>
  <c r="H156" i="4"/>
  <c r="C19" i="44" s="1"/>
  <c r="U150" i="4"/>
  <c r="U208" i="4"/>
  <c r="U281" i="4"/>
  <c r="R273" i="4"/>
  <c r="H333" i="4"/>
  <c r="I150" i="4"/>
  <c r="H157" i="4"/>
  <c r="C20" i="44" s="1"/>
  <c r="H220" i="4"/>
  <c r="I281" i="4"/>
  <c r="I267" i="4"/>
  <c r="H342" i="4"/>
  <c r="C20" i="47" s="1"/>
  <c r="G20" i="47" s="1"/>
  <c r="O281" i="4"/>
  <c r="L21" i="4"/>
  <c r="I26" i="4"/>
  <c r="R23" i="4"/>
  <c r="V81" i="4"/>
  <c r="X81" i="4" s="1"/>
  <c r="L22" i="4"/>
  <c r="V86" i="4"/>
  <c r="X86" i="4" s="1"/>
  <c r="V79" i="4"/>
  <c r="X79" i="4" s="1"/>
  <c r="O22" i="4"/>
  <c r="O27" i="4"/>
  <c r="R25" i="4"/>
  <c r="I25" i="4"/>
  <c r="U25" i="4"/>
  <c r="R27" i="4"/>
  <c r="O26" i="4"/>
  <c r="L25" i="4"/>
  <c r="I27" i="4"/>
  <c r="U27" i="4"/>
  <c r="O23" i="4"/>
  <c r="I23" i="4"/>
  <c r="U23" i="4"/>
  <c r="O21" i="4"/>
  <c r="U21" i="4"/>
  <c r="I21" i="4"/>
  <c r="R21" i="4"/>
  <c r="R22" i="4"/>
  <c r="U22" i="4"/>
  <c r="V73" i="4"/>
  <c r="X73" i="4" s="1"/>
  <c r="V105" i="4"/>
  <c r="X105" i="4" s="1"/>
  <c r="V111" i="4"/>
  <c r="X111" i="4" s="1"/>
  <c r="V104" i="4"/>
  <c r="X104" i="4" s="1"/>
  <c r="V108" i="4"/>
  <c r="X108" i="4" s="1"/>
  <c r="V107" i="4"/>
  <c r="X107" i="4" s="1"/>
  <c r="W23" i="42" l="1"/>
  <c r="F19" i="42"/>
  <c r="F19" i="44"/>
  <c r="G19" i="44"/>
  <c r="G20" i="46"/>
  <c r="F20" i="46"/>
  <c r="J18" i="46"/>
  <c r="K18" i="46"/>
  <c r="G19" i="47"/>
  <c r="F19" i="47"/>
  <c r="F18" i="47"/>
  <c r="G18" i="47"/>
  <c r="F19" i="46"/>
  <c r="G19" i="46"/>
  <c r="F20" i="42"/>
  <c r="F17" i="45"/>
  <c r="F18" i="45"/>
  <c r="G18" i="45"/>
  <c r="F19" i="45"/>
  <c r="G19" i="45"/>
  <c r="J17" i="45"/>
  <c r="K17" i="45"/>
  <c r="F20" i="47"/>
  <c r="J20" i="47"/>
  <c r="K20" i="47"/>
  <c r="G20" i="45"/>
  <c r="F20" i="45"/>
  <c r="F17" i="44"/>
  <c r="G17" i="44"/>
  <c r="J20" i="43"/>
  <c r="K20" i="43"/>
  <c r="F20" i="43"/>
  <c r="G19" i="43"/>
  <c r="F19" i="43"/>
  <c r="G20" i="44"/>
  <c r="F20" i="44"/>
  <c r="G17" i="46"/>
  <c r="F17" i="46"/>
  <c r="F24" i="42"/>
  <c r="G10" i="45"/>
  <c r="F10" i="45"/>
  <c r="G10" i="46"/>
  <c r="F10" i="46"/>
  <c r="G10" i="47"/>
  <c r="F10" i="47"/>
  <c r="G10" i="44"/>
  <c r="F10" i="44"/>
  <c r="V24" i="42"/>
  <c r="N24" i="42"/>
  <c r="G10" i="42"/>
  <c r="J24" i="42"/>
  <c r="R24" i="42"/>
  <c r="J20" i="42"/>
  <c r="J19" i="42"/>
  <c r="V19" i="42"/>
  <c r="R20" i="42"/>
  <c r="N20" i="42"/>
  <c r="N19" i="42"/>
  <c r="R19" i="42"/>
  <c r="V20" i="42"/>
  <c r="G30" i="42"/>
  <c r="K17" i="42"/>
  <c r="W18" i="42"/>
  <c r="W22" i="42"/>
  <c r="O342" i="4"/>
  <c r="U333" i="4"/>
  <c r="C11" i="47"/>
  <c r="O341" i="4"/>
  <c r="I348" i="4"/>
  <c r="C26" i="47"/>
  <c r="O335" i="4"/>
  <c r="C13" i="47"/>
  <c r="U340" i="4"/>
  <c r="R345" i="4"/>
  <c r="C23" i="47"/>
  <c r="I344" i="4"/>
  <c r="C22" i="47"/>
  <c r="U334" i="4"/>
  <c r="C12" i="47"/>
  <c r="O347" i="4"/>
  <c r="C25" i="47"/>
  <c r="I332" i="4"/>
  <c r="U346" i="4"/>
  <c r="C24" i="47"/>
  <c r="O272" i="4"/>
  <c r="L279" i="4"/>
  <c r="C24" i="46"/>
  <c r="I275" i="4"/>
  <c r="J26" i="46"/>
  <c r="K26" i="46"/>
  <c r="L220" i="4"/>
  <c r="C23" i="45"/>
  <c r="I223" i="4"/>
  <c r="C26" i="45"/>
  <c r="R210" i="4"/>
  <c r="C13" i="45"/>
  <c r="U277" i="4"/>
  <c r="C22" i="46"/>
  <c r="O278" i="4"/>
  <c r="C23" i="46"/>
  <c r="O222" i="4"/>
  <c r="C25" i="45"/>
  <c r="U216" i="4"/>
  <c r="U280" i="4"/>
  <c r="C25" i="46"/>
  <c r="L266" i="4"/>
  <c r="C11" i="46"/>
  <c r="U209" i="4"/>
  <c r="C12" i="45"/>
  <c r="U214" i="4"/>
  <c r="K11" i="45"/>
  <c r="J11" i="45"/>
  <c r="U268" i="4"/>
  <c r="C13" i="46"/>
  <c r="O217" i="4"/>
  <c r="L207" i="4"/>
  <c r="U221" i="4"/>
  <c r="C24" i="45"/>
  <c r="I265" i="4"/>
  <c r="U274" i="4"/>
  <c r="I219" i="4"/>
  <c r="C22" i="45"/>
  <c r="J12" i="46"/>
  <c r="K12" i="46"/>
  <c r="R215" i="4"/>
  <c r="U160" i="4"/>
  <c r="C23" i="44"/>
  <c r="O162" i="4"/>
  <c r="C25" i="44"/>
  <c r="O149" i="4"/>
  <c r="C12" i="44"/>
  <c r="U163" i="4"/>
  <c r="C26" i="44"/>
  <c r="G11" i="44"/>
  <c r="F11" i="44"/>
  <c r="L147" i="4"/>
  <c r="U161" i="4"/>
  <c r="C24" i="44"/>
  <c r="U157" i="4"/>
  <c r="U159" i="4"/>
  <c r="C22" i="44"/>
  <c r="I156" i="4"/>
  <c r="J13" i="44"/>
  <c r="K13" i="44"/>
  <c r="O332" i="4"/>
  <c r="I274" i="4"/>
  <c r="L274" i="4"/>
  <c r="R275" i="4"/>
  <c r="O274" i="4"/>
  <c r="R219" i="4"/>
  <c r="L346" i="4"/>
  <c r="O219" i="4"/>
  <c r="R346" i="4"/>
  <c r="I346" i="4"/>
  <c r="R274" i="4"/>
  <c r="L219" i="4"/>
  <c r="L278" i="4"/>
  <c r="R278" i="4"/>
  <c r="U222" i="4"/>
  <c r="L222" i="4"/>
  <c r="O346" i="4"/>
  <c r="R222" i="4"/>
  <c r="I278" i="4"/>
  <c r="I222" i="4"/>
  <c r="U278" i="4"/>
  <c r="U275" i="4"/>
  <c r="G23" i="43"/>
  <c r="F23" i="43"/>
  <c r="U332" i="4"/>
  <c r="F24" i="43"/>
  <c r="G24" i="43"/>
  <c r="J22" i="43"/>
  <c r="K22" i="43"/>
  <c r="L275" i="4"/>
  <c r="L332" i="4"/>
  <c r="K30" i="43"/>
  <c r="R332" i="4"/>
  <c r="O275" i="4"/>
  <c r="G25" i="43"/>
  <c r="U219" i="4"/>
  <c r="F22" i="43"/>
  <c r="R154" i="4"/>
  <c r="U154" i="4"/>
  <c r="O154" i="4"/>
  <c r="L154" i="4"/>
  <c r="I154" i="4"/>
  <c r="X174" i="4"/>
  <c r="X179" i="4" s="1"/>
  <c r="I347" i="4"/>
  <c r="L347" i="4"/>
  <c r="O344" i="4"/>
  <c r="L223" i="4"/>
  <c r="O334" i="4"/>
  <c r="L272" i="4"/>
  <c r="L162" i="4"/>
  <c r="I214" i="4"/>
  <c r="O221" i="4"/>
  <c r="O147" i="4"/>
  <c r="O159" i="4"/>
  <c r="O215" i="4"/>
  <c r="R221" i="4"/>
  <c r="I221" i="4"/>
  <c r="R347" i="4"/>
  <c r="I334" i="4"/>
  <c r="O209" i="4"/>
  <c r="I217" i="4"/>
  <c r="L334" i="4"/>
  <c r="R344" i="4"/>
  <c r="I210" i="4"/>
  <c r="R265" i="4"/>
  <c r="L221" i="4"/>
  <c r="O340" i="4"/>
  <c r="L265" i="4"/>
  <c r="V267" i="4"/>
  <c r="X267" i="4" s="1"/>
  <c r="I149" i="4"/>
  <c r="I162" i="4"/>
  <c r="O265" i="4"/>
  <c r="U265" i="4"/>
  <c r="U162" i="4"/>
  <c r="O223" i="4"/>
  <c r="R162" i="4"/>
  <c r="I333" i="4"/>
  <c r="R342" i="4"/>
  <c r="I161" i="4"/>
  <c r="R348" i="4"/>
  <c r="O277" i="4"/>
  <c r="R334" i="4"/>
  <c r="O214" i="4"/>
  <c r="R333" i="4"/>
  <c r="R214" i="4"/>
  <c r="U347" i="4"/>
  <c r="I279" i="4"/>
  <c r="O345" i="4"/>
  <c r="R341" i="4"/>
  <c r="I147" i="4"/>
  <c r="O207" i="4"/>
  <c r="L214" i="4"/>
  <c r="R277" i="4"/>
  <c r="L210" i="4"/>
  <c r="V150" i="4"/>
  <c r="X150" i="4" s="1"/>
  <c r="R217" i="4"/>
  <c r="I157" i="4"/>
  <c r="U344" i="4"/>
  <c r="I207" i="4"/>
  <c r="R272" i="4"/>
  <c r="U272" i="4"/>
  <c r="O333" i="4"/>
  <c r="O279" i="4"/>
  <c r="R207" i="4"/>
  <c r="O266" i="4"/>
  <c r="V281" i="4"/>
  <c r="X281" i="4" s="1"/>
  <c r="I341" i="4"/>
  <c r="U147" i="4"/>
  <c r="R147" i="4"/>
  <c r="O163" i="4"/>
  <c r="I272" i="4"/>
  <c r="R216" i="4"/>
  <c r="V273" i="4"/>
  <c r="X273" i="4" s="1"/>
  <c r="U148" i="4"/>
  <c r="I148" i="4"/>
  <c r="L163" i="4"/>
  <c r="L348" i="4"/>
  <c r="R149" i="4"/>
  <c r="U149" i="4"/>
  <c r="L333" i="4"/>
  <c r="R161" i="4"/>
  <c r="L342" i="4"/>
  <c r="R335" i="4"/>
  <c r="L148" i="4"/>
  <c r="R160" i="4"/>
  <c r="U266" i="4"/>
  <c r="I266" i="4"/>
  <c r="I220" i="4"/>
  <c r="L157" i="4"/>
  <c r="O157" i="4"/>
  <c r="L268" i="4"/>
  <c r="R163" i="4"/>
  <c r="R266" i="4"/>
  <c r="R209" i="4"/>
  <c r="L161" i="4"/>
  <c r="R148" i="4"/>
  <c r="R220" i="4"/>
  <c r="O161" i="4"/>
  <c r="I159" i="4"/>
  <c r="L159" i="4"/>
  <c r="O280" i="4"/>
  <c r="R280" i="4"/>
  <c r="U335" i="4"/>
  <c r="R157" i="4"/>
  <c r="R156" i="4"/>
  <c r="O156" i="4"/>
  <c r="U342" i="4"/>
  <c r="U210" i="4"/>
  <c r="I163" i="4"/>
  <c r="L341" i="4"/>
  <c r="L149" i="4"/>
  <c r="L216" i="4"/>
  <c r="R159" i="4"/>
  <c r="L160" i="4"/>
  <c r="R223" i="4"/>
  <c r="L217" i="4"/>
  <c r="L344" i="4"/>
  <c r="O268" i="4"/>
  <c r="R268" i="4"/>
  <c r="U220" i="4"/>
  <c r="O160" i="4"/>
  <c r="I215" i="4"/>
  <c r="L215" i="4"/>
  <c r="U215" i="4"/>
  <c r="U341" i="4"/>
  <c r="R279" i="4"/>
  <c r="U279" i="4"/>
  <c r="U217" i="4"/>
  <c r="O348" i="4"/>
  <c r="L335" i="4"/>
  <c r="I268" i="4"/>
  <c r="R340" i="4"/>
  <c r="U348" i="4"/>
  <c r="V208" i="4"/>
  <c r="X208" i="4" s="1"/>
  <c r="U207" i="4"/>
  <c r="L156" i="4"/>
  <c r="L280" i="4"/>
  <c r="O220" i="4"/>
  <c r="U223" i="4"/>
  <c r="I216" i="4"/>
  <c r="I280" i="4"/>
  <c r="O148" i="4"/>
  <c r="I335" i="4"/>
  <c r="I277" i="4"/>
  <c r="L277" i="4"/>
  <c r="I345" i="4"/>
  <c r="U345" i="4"/>
  <c r="I209" i="4"/>
  <c r="U156" i="4"/>
  <c r="L209" i="4"/>
  <c r="L340" i="4"/>
  <c r="O210" i="4"/>
  <c r="L345" i="4"/>
  <c r="I160" i="4"/>
  <c r="O216" i="4"/>
  <c r="V22" i="4"/>
  <c r="X22" i="4" s="1"/>
  <c r="V26" i="4"/>
  <c r="X26" i="4" s="1"/>
  <c r="V21" i="4"/>
  <c r="X21" i="4" s="1"/>
  <c r="V23" i="4"/>
  <c r="X23" i="4" s="1"/>
  <c r="V25" i="4"/>
  <c r="X25" i="4" s="1"/>
  <c r="V27" i="4"/>
  <c r="X27" i="4" s="1"/>
  <c r="U102" i="4"/>
  <c r="R102" i="4"/>
  <c r="O102" i="4"/>
  <c r="L102" i="4"/>
  <c r="I102" i="4"/>
  <c r="U87" i="4"/>
  <c r="U85" i="4"/>
  <c r="I82" i="4"/>
  <c r="U71" i="4"/>
  <c r="T54" i="4"/>
  <c r="T66" i="42" s="1"/>
  <c r="V66" i="42" s="1"/>
  <c r="Q54" i="4"/>
  <c r="P66" i="42" s="1"/>
  <c r="R66" i="42" s="1"/>
  <c r="G54" i="4"/>
  <c r="S31" i="4"/>
  <c r="P31" i="4"/>
  <c r="M31" i="4"/>
  <c r="J31" i="4"/>
  <c r="E31" i="4"/>
  <c r="H31" i="4"/>
  <c r="U83" i="4"/>
  <c r="J20" i="45" l="1"/>
  <c r="K20" i="45"/>
  <c r="J18" i="45"/>
  <c r="K18" i="45"/>
  <c r="J19" i="43"/>
  <c r="K19" i="43"/>
  <c r="N20" i="47"/>
  <c r="O20" i="47"/>
  <c r="J19" i="47"/>
  <c r="K19" i="47"/>
  <c r="N18" i="46"/>
  <c r="O18" i="46"/>
  <c r="O20" i="43"/>
  <c r="N20" i="43"/>
  <c r="J19" i="46"/>
  <c r="K19" i="46"/>
  <c r="O17" i="45"/>
  <c r="N17" i="45"/>
  <c r="K17" i="46"/>
  <c r="J17" i="46"/>
  <c r="J17" i="44"/>
  <c r="K17" i="44"/>
  <c r="J20" i="46"/>
  <c r="K20" i="46"/>
  <c r="J19" i="45"/>
  <c r="K19" i="45"/>
  <c r="J18" i="47"/>
  <c r="K18" i="47"/>
  <c r="J19" i="44"/>
  <c r="K19" i="44"/>
  <c r="J20" i="44"/>
  <c r="K20" i="44"/>
  <c r="L352" i="4"/>
  <c r="I285" i="4"/>
  <c r="L285" i="4"/>
  <c r="R285" i="4"/>
  <c r="O285" i="4"/>
  <c r="I352" i="4"/>
  <c r="U285" i="4"/>
  <c r="O352" i="4"/>
  <c r="R352" i="4"/>
  <c r="U352" i="4"/>
  <c r="K10" i="44"/>
  <c r="J10" i="44"/>
  <c r="K10" i="47"/>
  <c r="J10" i="47"/>
  <c r="J10" i="46"/>
  <c r="K10" i="46"/>
  <c r="K10" i="45"/>
  <c r="J10" i="45"/>
  <c r="K10" i="42"/>
  <c r="W24" i="42"/>
  <c r="D62" i="43"/>
  <c r="F62" i="43" s="1"/>
  <c r="D66" i="42"/>
  <c r="F66" i="42" s="1"/>
  <c r="W66" i="42" s="1"/>
  <c r="W19" i="42"/>
  <c r="W20" i="42"/>
  <c r="M29" i="43"/>
  <c r="M29" i="42"/>
  <c r="I29" i="43"/>
  <c r="I29" i="42"/>
  <c r="U29" i="43"/>
  <c r="U29" i="42"/>
  <c r="Q29" i="43"/>
  <c r="Q29" i="42"/>
  <c r="O17" i="42"/>
  <c r="C29" i="43"/>
  <c r="G29" i="43" s="1"/>
  <c r="C29" i="42"/>
  <c r="E29" i="43"/>
  <c r="E29" i="42"/>
  <c r="K30" i="42"/>
  <c r="F24" i="47"/>
  <c r="G24" i="47"/>
  <c r="F25" i="47"/>
  <c r="G25" i="47"/>
  <c r="F12" i="47"/>
  <c r="G12" i="47"/>
  <c r="G22" i="47"/>
  <c r="F22" i="47"/>
  <c r="F23" i="47"/>
  <c r="G23" i="47"/>
  <c r="F13" i="47"/>
  <c r="G13" i="47"/>
  <c r="G26" i="47"/>
  <c r="F26" i="47"/>
  <c r="F11" i="47"/>
  <c r="G11" i="47"/>
  <c r="G13" i="45"/>
  <c r="F13" i="45"/>
  <c r="G13" i="46"/>
  <c r="F13" i="46"/>
  <c r="G12" i="45"/>
  <c r="F12" i="45"/>
  <c r="G25" i="45"/>
  <c r="F25" i="45"/>
  <c r="F26" i="45"/>
  <c r="G26" i="45"/>
  <c r="G24" i="46"/>
  <c r="F24" i="46"/>
  <c r="N12" i="46"/>
  <c r="O12" i="46"/>
  <c r="F24" i="45"/>
  <c r="G24" i="45"/>
  <c r="F11" i="46"/>
  <c r="G11" i="46"/>
  <c r="G23" i="46"/>
  <c r="F23" i="46"/>
  <c r="G23" i="45"/>
  <c r="F23" i="45"/>
  <c r="N11" i="45"/>
  <c r="O11" i="45"/>
  <c r="G22" i="45"/>
  <c r="F22" i="45"/>
  <c r="G25" i="46"/>
  <c r="F25" i="46"/>
  <c r="G22" i="46"/>
  <c r="F22" i="46"/>
  <c r="N26" i="46"/>
  <c r="O26" i="46"/>
  <c r="N13" i="44"/>
  <c r="O13" i="44"/>
  <c r="G24" i="44"/>
  <c r="F24" i="44"/>
  <c r="G26" i="44"/>
  <c r="F26" i="44"/>
  <c r="F12" i="44"/>
  <c r="G12" i="44"/>
  <c r="G22" i="44"/>
  <c r="F22" i="44"/>
  <c r="F25" i="44"/>
  <c r="G25" i="44"/>
  <c r="G23" i="44"/>
  <c r="F23" i="44"/>
  <c r="K11" i="44"/>
  <c r="J11" i="44"/>
  <c r="R54" i="4"/>
  <c r="P62" i="43"/>
  <c r="R62" i="43" s="1"/>
  <c r="T62" i="43"/>
  <c r="V62" i="43" s="1"/>
  <c r="U54" i="4"/>
  <c r="V278" i="4"/>
  <c r="X278" i="4" s="1"/>
  <c r="V274" i="4"/>
  <c r="X274" i="4" s="1"/>
  <c r="K22" i="39"/>
  <c r="V219" i="4"/>
  <c r="X219" i="4" s="1"/>
  <c r="V346" i="4"/>
  <c r="X346" i="4" s="1"/>
  <c r="Q24" i="39"/>
  <c r="V222" i="4"/>
  <c r="X222" i="4" s="1"/>
  <c r="V332" i="4"/>
  <c r="X332" i="4" s="1"/>
  <c r="V275" i="4"/>
  <c r="X275" i="4" s="1"/>
  <c r="J24" i="43"/>
  <c r="K24" i="43"/>
  <c r="O30" i="43"/>
  <c r="K25" i="43"/>
  <c r="N22" i="43"/>
  <c r="O22" i="43"/>
  <c r="J23" i="43"/>
  <c r="K23" i="43"/>
  <c r="V154" i="4"/>
  <c r="X154" i="4" s="1"/>
  <c r="K24" i="39"/>
  <c r="H26" i="39"/>
  <c r="E22" i="39"/>
  <c r="E21" i="39"/>
  <c r="V347" i="4"/>
  <c r="X347" i="4" s="1"/>
  <c r="V334" i="4"/>
  <c r="X334" i="4" s="1"/>
  <c r="V221" i="4"/>
  <c r="X221" i="4" s="1"/>
  <c r="K20" i="39"/>
  <c r="E25" i="39"/>
  <c r="N25" i="39"/>
  <c r="V265" i="4"/>
  <c r="X265" i="4" s="1"/>
  <c r="V162" i="4"/>
  <c r="X162" i="4" s="1"/>
  <c r="H21" i="39"/>
  <c r="H25" i="39"/>
  <c r="Q22" i="39"/>
  <c r="E24" i="39"/>
  <c r="K21" i="39"/>
  <c r="E20" i="39"/>
  <c r="V344" i="4"/>
  <c r="X344" i="4" s="1"/>
  <c r="N22" i="39"/>
  <c r="Q20" i="39"/>
  <c r="H22" i="39"/>
  <c r="H20" i="39"/>
  <c r="H24" i="39"/>
  <c r="K25" i="39"/>
  <c r="N24" i="39"/>
  <c r="E26" i="39"/>
  <c r="N26" i="39"/>
  <c r="Q21" i="39"/>
  <c r="Q25" i="39"/>
  <c r="N21" i="39"/>
  <c r="N20" i="39"/>
  <c r="V214" i="4"/>
  <c r="X214" i="4" s="1"/>
  <c r="V268" i="4"/>
  <c r="X268" i="4" s="1"/>
  <c r="V340" i="4"/>
  <c r="X340" i="4" s="1"/>
  <c r="V147" i="4"/>
  <c r="X147" i="4" s="1"/>
  <c r="V223" i="4"/>
  <c r="X223" i="4" s="1"/>
  <c r="V163" i="4"/>
  <c r="X163" i="4" s="1"/>
  <c r="V342" i="4"/>
  <c r="X342" i="4" s="1"/>
  <c r="K26" i="39"/>
  <c r="V207" i="4"/>
  <c r="X207" i="4" s="1"/>
  <c r="V333" i="4"/>
  <c r="X333" i="4" s="1"/>
  <c r="Q26" i="39"/>
  <c r="V272" i="4"/>
  <c r="X272" i="4" s="1"/>
  <c r="V277" i="4"/>
  <c r="X277" i="4" s="1"/>
  <c r="V216" i="4"/>
  <c r="X216" i="4" s="1"/>
  <c r="V348" i="4"/>
  <c r="X348" i="4" s="1"/>
  <c r="V341" i="4"/>
  <c r="X341" i="4" s="1"/>
  <c r="V215" i="4"/>
  <c r="X215" i="4" s="1"/>
  <c r="V217" i="4"/>
  <c r="X217" i="4" s="1"/>
  <c r="V266" i="4"/>
  <c r="X266" i="4" s="1"/>
  <c r="V335" i="4"/>
  <c r="X335" i="4" s="1"/>
  <c r="V279" i="4"/>
  <c r="X279" i="4" s="1"/>
  <c r="V159" i="4"/>
  <c r="X159" i="4" s="1"/>
  <c r="V345" i="4"/>
  <c r="X345" i="4" s="1"/>
  <c r="V156" i="4"/>
  <c r="X156" i="4" s="1"/>
  <c r="V161" i="4"/>
  <c r="X161" i="4" s="1"/>
  <c r="V157" i="4"/>
  <c r="X157" i="4" s="1"/>
  <c r="V220" i="4"/>
  <c r="X220" i="4" s="1"/>
  <c r="V210" i="4"/>
  <c r="X210" i="4" s="1"/>
  <c r="V148" i="4"/>
  <c r="X148" i="4" s="1"/>
  <c r="V149" i="4"/>
  <c r="X149" i="4" s="1"/>
  <c r="V280" i="4"/>
  <c r="X280" i="4" s="1"/>
  <c r="V209" i="4"/>
  <c r="X209" i="4" s="1"/>
  <c r="V160" i="4"/>
  <c r="X160" i="4" s="1"/>
  <c r="V102" i="4"/>
  <c r="X102" i="4" s="1"/>
  <c r="R83" i="4"/>
  <c r="L83" i="4"/>
  <c r="O83" i="4"/>
  <c r="L127" i="4"/>
  <c r="L109" i="4"/>
  <c r="N19" i="46" l="1"/>
  <c r="O19" i="46"/>
  <c r="N19" i="45"/>
  <c r="O19" i="45"/>
  <c r="N17" i="46"/>
  <c r="O17" i="46"/>
  <c r="S18" i="46"/>
  <c r="V18" i="46" s="1"/>
  <c r="R18" i="46"/>
  <c r="R20" i="43"/>
  <c r="S20" i="43"/>
  <c r="V20" i="43" s="1"/>
  <c r="N20" i="44"/>
  <c r="O20" i="44"/>
  <c r="O18" i="45"/>
  <c r="N18" i="45"/>
  <c r="N19" i="43"/>
  <c r="O19" i="43"/>
  <c r="O20" i="46"/>
  <c r="N20" i="46"/>
  <c r="S17" i="45"/>
  <c r="V17" i="45" s="1"/>
  <c r="R17" i="45"/>
  <c r="N19" i="44"/>
  <c r="O19" i="44"/>
  <c r="O20" i="45"/>
  <c r="N20" i="45"/>
  <c r="N19" i="47"/>
  <c r="O19" i="47"/>
  <c r="N18" i="47"/>
  <c r="O18" i="47"/>
  <c r="N17" i="44"/>
  <c r="O17" i="44"/>
  <c r="R20" i="47"/>
  <c r="S20" i="47"/>
  <c r="V20" i="47" s="1"/>
  <c r="N10" i="44"/>
  <c r="O10" i="44"/>
  <c r="O10" i="45"/>
  <c r="N10" i="45"/>
  <c r="F27" i="44"/>
  <c r="C32" i="44" s="1"/>
  <c r="O10" i="46"/>
  <c r="N10" i="46"/>
  <c r="O10" i="47"/>
  <c r="N10" i="47"/>
  <c r="O10" i="42"/>
  <c r="F29" i="43"/>
  <c r="O30" i="42"/>
  <c r="G29" i="42"/>
  <c r="F29" i="42"/>
  <c r="S17" i="42"/>
  <c r="J11" i="47"/>
  <c r="K11" i="47"/>
  <c r="J26" i="47"/>
  <c r="K26" i="47"/>
  <c r="J13" i="47"/>
  <c r="K13" i="47"/>
  <c r="J23" i="47"/>
  <c r="K23" i="47"/>
  <c r="J22" i="47"/>
  <c r="K22" i="47"/>
  <c r="K12" i="47"/>
  <c r="J12" i="47"/>
  <c r="K25" i="47"/>
  <c r="J25" i="47"/>
  <c r="K24" i="47"/>
  <c r="J24" i="47"/>
  <c r="J22" i="45"/>
  <c r="K22" i="45"/>
  <c r="K23" i="46"/>
  <c r="J23" i="46"/>
  <c r="K12" i="45"/>
  <c r="J12" i="45"/>
  <c r="R11" i="45"/>
  <c r="S11" i="45"/>
  <c r="V11" i="45" s="1"/>
  <c r="J11" i="46"/>
  <c r="K11" i="46"/>
  <c r="K22" i="46"/>
  <c r="J22" i="46"/>
  <c r="K24" i="46"/>
  <c r="J24" i="46"/>
  <c r="J13" i="46"/>
  <c r="K13" i="46"/>
  <c r="K13" i="45"/>
  <c r="J13" i="45"/>
  <c r="J24" i="45"/>
  <c r="K24" i="45"/>
  <c r="J26" i="45"/>
  <c r="K26" i="45"/>
  <c r="K25" i="46"/>
  <c r="J25" i="46"/>
  <c r="R12" i="46"/>
  <c r="S12" i="46"/>
  <c r="V12" i="46" s="1"/>
  <c r="K23" i="45"/>
  <c r="J23" i="45"/>
  <c r="K25" i="45"/>
  <c r="J25" i="45"/>
  <c r="R26" i="46"/>
  <c r="S26" i="46"/>
  <c r="V26" i="46" s="1"/>
  <c r="J23" i="44"/>
  <c r="K23" i="44"/>
  <c r="K22" i="44"/>
  <c r="J22" i="44"/>
  <c r="K26" i="44"/>
  <c r="J26" i="44"/>
  <c r="J25" i="44"/>
  <c r="K25" i="44"/>
  <c r="K12" i="44"/>
  <c r="J12" i="44"/>
  <c r="K24" i="44"/>
  <c r="J24" i="44"/>
  <c r="R13" i="44"/>
  <c r="S13" i="44"/>
  <c r="V13" i="44" s="1"/>
  <c r="O11" i="44"/>
  <c r="R11" i="44" s="1"/>
  <c r="N11" i="44"/>
  <c r="W62" i="43"/>
  <c r="R22" i="43"/>
  <c r="S22" i="43"/>
  <c r="V22" i="43" s="1"/>
  <c r="O25" i="43"/>
  <c r="K29" i="43"/>
  <c r="J29" i="43"/>
  <c r="N24" i="43"/>
  <c r="O24" i="43"/>
  <c r="O23" i="43"/>
  <c r="N23" i="43"/>
  <c r="S30" i="43"/>
  <c r="V83" i="4"/>
  <c r="X83" i="4" s="1"/>
  <c r="U126" i="4"/>
  <c r="R126" i="4"/>
  <c r="O126" i="4"/>
  <c r="L126" i="4"/>
  <c r="I126" i="4"/>
  <c r="W18" i="46" l="1"/>
  <c r="W17" i="45"/>
  <c r="W20" i="43"/>
  <c r="W20" i="47"/>
  <c r="S18" i="45"/>
  <c r="V18" i="45" s="1"/>
  <c r="R18" i="45"/>
  <c r="R18" i="47"/>
  <c r="S18" i="47"/>
  <c r="V18" i="47" s="1"/>
  <c r="R20" i="44"/>
  <c r="S20" i="44"/>
  <c r="V20" i="44" s="1"/>
  <c r="R19" i="45"/>
  <c r="S19" i="45"/>
  <c r="V19" i="45" s="1"/>
  <c r="R20" i="46"/>
  <c r="S20" i="46"/>
  <c r="V20" i="46" s="1"/>
  <c r="R19" i="43"/>
  <c r="S19" i="43"/>
  <c r="V19" i="43" s="1"/>
  <c r="R19" i="47"/>
  <c r="S19" i="47"/>
  <c r="V19" i="47" s="1"/>
  <c r="S19" i="46"/>
  <c r="V19" i="46" s="1"/>
  <c r="R19" i="46"/>
  <c r="S20" i="45"/>
  <c r="V20" i="45" s="1"/>
  <c r="R20" i="45"/>
  <c r="R17" i="44"/>
  <c r="S17" i="44"/>
  <c r="V17" i="44" s="1"/>
  <c r="S19" i="44"/>
  <c r="V19" i="44" s="1"/>
  <c r="R19" i="44"/>
  <c r="S17" i="46"/>
  <c r="V17" i="46" s="1"/>
  <c r="R17" i="46"/>
  <c r="S10" i="45"/>
  <c r="V10" i="45" s="1"/>
  <c r="R10" i="45"/>
  <c r="S10" i="44"/>
  <c r="V10" i="44" s="1"/>
  <c r="R10" i="44"/>
  <c r="S10" i="47"/>
  <c r="V10" i="47" s="1"/>
  <c r="R10" i="47"/>
  <c r="R10" i="46"/>
  <c r="S10" i="46"/>
  <c r="V10" i="46" s="1"/>
  <c r="S10" i="42"/>
  <c r="W11" i="45"/>
  <c r="K29" i="42"/>
  <c r="J29" i="42"/>
  <c r="S30" i="42"/>
  <c r="N24" i="47"/>
  <c r="O24" i="47"/>
  <c r="N25" i="47"/>
  <c r="O25" i="47"/>
  <c r="N12" i="47"/>
  <c r="O12" i="47"/>
  <c r="N22" i="47"/>
  <c r="O22" i="47"/>
  <c r="N23" i="47"/>
  <c r="O23" i="47"/>
  <c r="N13" i="47"/>
  <c r="O13" i="47"/>
  <c r="O26" i="47"/>
  <c r="N26" i="47"/>
  <c r="N11" i="47"/>
  <c r="O11" i="47"/>
  <c r="W26" i="46"/>
  <c r="W12" i="46"/>
  <c r="N25" i="45"/>
  <c r="O25" i="45"/>
  <c r="N24" i="46"/>
  <c r="O24" i="46"/>
  <c r="N11" i="46"/>
  <c r="O11" i="46"/>
  <c r="O25" i="46"/>
  <c r="N25" i="46"/>
  <c r="N13" i="46"/>
  <c r="O13" i="46"/>
  <c r="N23" i="45"/>
  <c r="O23" i="45"/>
  <c r="N26" i="45"/>
  <c r="O26" i="45"/>
  <c r="N23" i="46"/>
  <c r="O23" i="46"/>
  <c r="N24" i="45"/>
  <c r="O24" i="45"/>
  <c r="O12" i="45"/>
  <c r="N12" i="45"/>
  <c r="N13" i="45"/>
  <c r="O13" i="45"/>
  <c r="N22" i="46"/>
  <c r="O22" i="46"/>
  <c r="O22" i="45"/>
  <c r="N22" i="45"/>
  <c r="W13" i="44"/>
  <c r="S11" i="44"/>
  <c r="V11" i="44" s="1"/>
  <c r="O12" i="44"/>
  <c r="N12" i="44"/>
  <c r="N25" i="44"/>
  <c r="O25" i="44"/>
  <c r="O23" i="44"/>
  <c r="N23" i="44"/>
  <c r="N24" i="44"/>
  <c r="O24" i="44"/>
  <c r="O22" i="44"/>
  <c r="N22" i="44"/>
  <c r="N26" i="44"/>
  <c r="O26" i="44"/>
  <c r="S25" i="43"/>
  <c r="O29" i="43"/>
  <c r="N29" i="43"/>
  <c r="R24" i="43"/>
  <c r="S24" i="43"/>
  <c r="V24" i="43" s="1"/>
  <c r="R23" i="43"/>
  <c r="S23" i="43"/>
  <c r="V23" i="43" s="1"/>
  <c r="W22" i="43"/>
  <c r="V126" i="4"/>
  <c r="X126" i="4" s="1"/>
  <c r="W19" i="46" l="1"/>
  <c r="W20" i="45"/>
  <c r="W17" i="44"/>
  <c r="W19" i="43"/>
  <c r="W18" i="45"/>
  <c r="W19" i="45"/>
  <c r="W18" i="47"/>
  <c r="W20" i="44"/>
  <c r="W17" i="46"/>
  <c r="W20" i="46"/>
  <c r="W19" i="44"/>
  <c r="W19" i="47"/>
  <c r="W10" i="44"/>
  <c r="W10" i="47"/>
  <c r="W10" i="45"/>
  <c r="W10" i="46"/>
  <c r="N29" i="42"/>
  <c r="O29" i="42"/>
  <c r="R11" i="47"/>
  <c r="S11" i="47"/>
  <c r="V11" i="47" s="1"/>
  <c r="R26" i="47"/>
  <c r="S26" i="47"/>
  <c r="V26" i="47" s="1"/>
  <c r="R13" i="47"/>
  <c r="S13" i="47"/>
  <c r="V13" i="47" s="1"/>
  <c r="R23" i="47"/>
  <c r="S23" i="47"/>
  <c r="V23" i="47" s="1"/>
  <c r="R22" i="47"/>
  <c r="S22" i="47"/>
  <c r="V22" i="47" s="1"/>
  <c r="S12" i="47"/>
  <c r="V12" i="47" s="1"/>
  <c r="R12" i="47"/>
  <c r="R25" i="47"/>
  <c r="S25" i="47"/>
  <c r="V25" i="47" s="1"/>
  <c r="S24" i="47"/>
  <c r="V24" i="47" s="1"/>
  <c r="R24" i="47"/>
  <c r="S23" i="46"/>
  <c r="V23" i="46" s="1"/>
  <c r="R23" i="46"/>
  <c r="R22" i="46"/>
  <c r="S22" i="46"/>
  <c r="V22" i="46" s="1"/>
  <c r="S25" i="45"/>
  <c r="V25" i="45" s="1"/>
  <c r="R25" i="45"/>
  <c r="R11" i="46"/>
  <c r="S11" i="46"/>
  <c r="V11" i="46" s="1"/>
  <c r="R12" i="45"/>
  <c r="S12" i="45"/>
  <c r="V12" i="45" s="1"/>
  <c r="S26" i="45"/>
  <c r="V26" i="45" s="1"/>
  <c r="R26" i="45"/>
  <c r="S23" i="45"/>
  <c r="V23" i="45" s="1"/>
  <c r="R23" i="45"/>
  <c r="R22" i="45"/>
  <c r="S22" i="45"/>
  <c r="V22" i="45" s="1"/>
  <c r="R24" i="46"/>
  <c r="S24" i="46"/>
  <c r="V24" i="46" s="1"/>
  <c r="R24" i="45"/>
  <c r="S24" i="45"/>
  <c r="V24" i="45" s="1"/>
  <c r="R13" i="46"/>
  <c r="S13" i="46"/>
  <c r="V13" i="46" s="1"/>
  <c r="S13" i="45"/>
  <c r="V13" i="45" s="1"/>
  <c r="R13" i="45"/>
  <c r="R25" i="46"/>
  <c r="S25" i="46"/>
  <c r="V25" i="46" s="1"/>
  <c r="W11" i="44"/>
  <c r="S12" i="44"/>
  <c r="V12" i="44" s="1"/>
  <c r="R12" i="44"/>
  <c r="R22" i="44"/>
  <c r="S22" i="44"/>
  <c r="V22" i="44" s="1"/>
  <c r="R23" i="44"/>
  <c r="S23" i="44"/>
  <c r="V23" i="44" s="1"/>
  <c r="R26" i="44"/>
  <c r="S26" i="44"/>
  <c r="V26" i="44" s="1"/>
  <c r="S24" i="44"/>
  <c r="V24" i="44" s="1"/>
  <c r="R24" i="44"/>
  <c r="S25" i="44"/>
  <c r="V25" i="44" s="1"/>
  <c r="R25" i="44"/>
  <c r="W24" i="43"/>
  <c r="S29" i="43"/>
  <c r="V29" i="43" s="1"/>
  <c r="R29" i="43"/>
  <c r="W23" i="43"/>
  <c r="M331" i="4"/>
  <c r="M7" i="47" s="1"/>
  <c r="N7" i="47" s="1"/>
  <c r="N8" i="47" s="1"/>
  <c r="M264" i="4"/>
  <c r="M7" i="46" s="1"/>
  <c r="N7" i="46" s="1"/>
  <c r="N8" i="46" s="1"/>
  <c r="K36" i="46" s="1"/>
  <c r="N36" i="46" s="1"/>
  <c r="M206" i="4"/>
  <c r="M7" i="45" s="1"/>
  <c r="N7" i="45" s="1"/>
  <c r="N8" i="45" s="1"/>
  <c r="K31" i="45" s="1"/>
  <c r="M146" i="4"/>
  <c r="M7" i="44" s="1"/>
  <c r="N7" i="44" s="1"/>
  <c r="N8" i="44" s="1"/>
  <c r="M13" i="4"/>
  <c r="M14" i="4"/>
  <c r="M15" i="4"/>
  <c r="M16" i="4"/>
  <c r="M28" i="4"/>
  <c r="M29" i="4"/>
  <c r="M12" i="4"/>
  <c r="I66" i="30"/>
  <c r="I67" i="30"/>
  <c r="I68" i="30"/>
  <c r="I76" i="30"/>
  <c r="I78" i="30"/>
  <c r="I79" i="30"/>
  <c r="I81" i="30"/>
  <c r="I82" i="30"/>
  <c r="I65" i="30"/>
  <c r="W401" i="4"/>
  <c r="W402" i="4" s="1"/>
  <c r="K36" i="45" l="1"/>
  <c r="N36" i="45" s="1"/>
  <c r="K35" i="46"/>
  <c r="N35" i="46" s="1"/>
  <c r="N37" i="46" s="1"/>
  <c r="K30" i="47"/>
  <c r="K35" i="45"/>
  <c r="N35" i="45" s="1"/>
  <c r="K31" i="46"/>
  <c r="K34" i="47"/>
  <c r="N34" i="47" s="1"/>
  <c r="K35" i="47"/>
  <c r="N35" i="47" s="1"/>
  <c r="M7" i="43"/>
  <c r="M10" i="43"/>
  <c r="W13" i="45"/>
  <c r="W12" i="47"/>
  <c r="W13" i="47"/>
  <c r="W24" i="46"/>
  <c r="W24" i="45"/>
  <c r="W12" i="45"/>
  <c r="R29" i="42"/>
  <c r="S29" i="42"/>
  <c r="V29" i="42" s="1"/>
  <c r="W11" i="47"/>
  <c r="W25" i="45"/>
  <c r="W26" i="45"/>
  <c r="W22" i="46"/>
  <c r="W24" i="47"/>
  <c r="W23" i="47"/>
  <c r="W25" i="47"/>
  <c r="W22" i="45"/>
  <c r="W22" i="47"/>
  <c r="W26" i="47"/>
  <c r="W11" i="46"/>
  <c r="W23" i="46"/>
  <c r="W13" i="46"/>
  <c r="W23" i="45"/>
  <c r="W25" i="46"/>
  <c r="W12" i="44"/>
  <c r="W24" i="44"/>
  <c r="W25" i="44"/>
  <c r="W23" i="44"/>
  <c r="W22" i="44"/>
  <c r="W26" i="44"/>
  <c r="K36" i="44"/>
  <c r="N36" i="44" s="1"/>
  <c r="K35" i="44"/>
  <c r="N35" i="44" s="1"/>
  <c r="K31" i="44"/>
  <c r="W29" i="43"/>
  <c r="J19" i="39"/>
  <c r="J15" i="39"/>
  <c r="M13" i="43"/>
  <c r="J14" i="39"/>
  <c r="M12" i="43"/>
  <c r="J13" i="39"/>
  <c r="M11" i="43"/>
  <c r="J12" i="39"/>
  <c r="J28" i="39"/>
  <c r="M26" i="43"/>
  <c r="J27" i="39"/>
  <c r="M25" i="43"/>
  <c r="J11" i="39"/>
  <c r="N36" i="47" l="1"/>
  <c r="N37" i="45"/>
  <c r="N10" i="43"/>
  <c r="N43" i="43" s="1"/>
  <c r="M10" i="42"/>
  <c r="N10" i="42" s="1"/>
  <c r="N7" i="43"/>
  <c r="K42" i="43" s="1"/>
  <c r="N42" i="43" s="1"/>
  <c r="M7" i="42"/>
  <c r="N7" i="42" s="1"/>
  <c r="K42" i="42" s="1"/>
  <c r="N42" i="42" s="1"/>
  <c r="M17" i="42"/>
  <c r="N17" i="42" s="1"/>
  <c r="N11" i="43"/>
  <c r="M11" i="42"/>
  <c r="N11" i="42" s="1"/>
  <c r="N12" i="43"/>
  <c r="M12" i="42"/>
  <c r="N12" i="42" s="1"/>
  <c r="N13" i="43"/>
  <c r="M13" i="42"/>
  <c r="N13" i="42" s="1"/>
  <c r="W29" i="42"/>
  <c r="N25" i="43"/>
  <c r="M25" i="42"/>
  <c r="N25" i="42" s="1"/>
  <c r="N26" i="43"/>
  <c r="M26" i="42"/>
  <c r="N26" i="42" s="1"/>
  <c r="N37" i="44"/>
  <c r="O392" i="4"/>
  <c r="O395" i="4" s="1"/>
  <c r="N8" i="42" l="1"/>
  <c r="N8" i="43"/>
  <c r="N27" i="42"/>
  <c r="K36" i="42" s="1"/>
  <c r="N27" i="43"/>
  <c r="K36" i="43" s="1"/>
  <c r="N36" i="43" s="1"/>
  <c r="K35" i="42" l="1"/>
  <c r="N35" i="42" s="1"/>
  <c r="K41" i="42"/>
  <c r="N41" i="42" s="1"/>
  <c r="N49" i="42" s="1"/>
  <c r="N36" i="42"/>
  <c r="K35" i="43"/>
  <c r="N35" i="43" s="1"/>
  <c r="K41" i="43"/>
  <c r="N41" i="43" s="1"/>
  <c r="N49" i="43" s="1"/>
  <c r="I135" i="4"/>
  <c r="V135" i="4" l="1"/>
  <c r="X135" i="4" s="1"/>
  <c r="V401" i="4" l="1"/>
  <c r="V402" i="4" s="1"/>
  <c r="X401" i="4" l="1"/>
  <c r="X402" i="4" s="1"/>
  <c r="U392" i="4" l="1"/>
  <c r="U395" i="4" s="1"/>
  <c r="R392" i="4"/>
  <c r="R395" i="4" s="1"/>
  <c r="L392" i="4"/>
  <c r="L395" i="4" s="1"/>
  <c r="V392" i="4" l="1"/>
  <c r="V395" i="4" s="1"/>
  <c r="X392" i="4" l="1"/>
  <c r="X395" i="4" s="1"/>
  <c r="T64" i="4" l="1"/>
  <c r="T58" i="42" s="1"/>
  <c r="V58" i="42" s="1"/>
  <c r="Q64" i="4"/>
  <c r="P58" i="42" s="1"/>
  <c r="R58" i="42" s="1"/>
  <c r="N64" i="4"/>
  <c r="L58" i="42" s="1"/>
  <c r="N58" i="42" s="1"/>
  <c r="K64" i="4"/>
  <c r="H58" i="42" s="1"/>
  <c r="J58" i="42" s="1"/>
  <c r="G65" i="4"/>
  <c r="D64" i="43"/>
  <c r="F64" i="43" s="1"/>
  <c r="T140" i="4"/>
  <c r="T182" i="42" s="1"/>
  <c r="V182" i="42" s="1"/>
  <c r="V184" i="42" s="1"/>
  <c r="Q140" i="4"/>
  <c r="P182" i="42" s="1"/>
  <c r="R182" i="42" s="1"/>
  <c r="R184" i="42" s="1"/>
  <c r="N140" i="4"/>
  <c r="L182" i="42" s="1"/>
  <c r="N182" i="42" s="1"/>
  <c r="N184" i="42" s="1"/>
  <c r="K140" i="4"/>
  <c r="H182" i="42" s="1"/>
  <c r="J182" i="42" s="1"/>
  <c r="J184" i="42" s="1"/>
  <c r="G140" i="4"/>
  <c r="D182" i="42" s="1"/>
  <c r="F182" i="42" s="1"/>
  <c r="F184" i="42" s="1"/>
  <c r="W141" i="4"/>
  <c r="I136" i="4"/>
  <c r="U132" i="4"/>
  <c r="R132" i="4"/>
  <c r="O132" i="4"/>
  <c r="L132" i="4"/>
  <c r="I132" i="4"/>
  <c r="U138" i="4"/>
  <c r="R138" i="4"/>
  <c r="O138" i="4"/>
  <c r="L138" i="4"/>
  <c r="I138" i="4"/>
  <c r="U134" i="4"/>
  <c r="R134" i="4"/>
  <c r="O134" i="4"/>
  <c r="L134" i="4"/>
  <c r="I134" i="4"/>
  <c r="W58" i="42" l="1"/>
  <c r="D66" i="43"/>
  <c r="F66" i="43" s="1"/>
  <c r="D70" i="42"/>
  <c r="F70" i="42" s="1"/>
  <c r="W182" i="42"/>
  <c r="W184" i="42" s="1"/>
  <c r="U139" i="4"/>
  <c r="T132" i="43"/>
  <c r="V132" i="43" s="1"/>
  <c r="I140" i="4"/>
  <c r="D133" i="43"/>
  <c r="F133" i="43" s="1"/>
  <c r="L140" i="4"/>
  <c r="H133" i="43"/>
  <c r="J133" i="43" s="1"/>
  <c r="I139" i="4"/>
  <c r="D132" i="43"/>
  <c r="F132" i="43" s="1"/>
  <c r="R140" i="4"/>
  <c r="P133" i="43"/>
  <c r="R133" i="43" s="1"/>
  <c r="O140" i="4"/>
  <c r="L133" i="43"/>
  <c r="N133" i="43" s="1"/>
  <c r="L139" i="4"/>
  <c r="L141" i="4" s="1"/>
  <c r="H132" i="43"/>
  <c r="J132" i="43" s="1"/>
  <c r="U140" i="4"/>
  <c r="T133" i="43"/>
  <c r="V133" i="43" s="1"/>
  <c r="O139" i="4"/>
  <c r="L132" i="43"/>
  <c r="N132" i="43" s="1"/>
  <c r="R139" i="4"/>
  <c r="P132" i="43"/>
  <c r="R132" i="43" s="1"/>
  <c r="T64" i="43"/>
  <c r="V64" i="43" s="1"/>
  <c r="U59" i="4"/>
  <c r="R59" i="4"/>
  <c r="P64" i="43"/>
  <c r="R64" i="43" s="1"/>
  <c r="L64" i="4"/>
  <c r="H58" i="43"/>
  <c r="J58" i="43" s="1"/>
  <c r="L58" i="43"/>
  <c r="N58" i="43" s="1"/>
  <c r="O64" i="4"/>
  <c r="P58" i="43"/>
  <c r="R58" i="43" s="1"/>
  <c r="R64" i="4"/>
  <c r="O59" i="4"/>
  <c r="L64" i="43"/>
  <c r="N64" i="43" s="1"/>
  <c r="H64" i="43"/>
  <c r="J64" i="43" s="1"/>
  <c r="L59" i="4"/>
  <c r="U64" i="4"/>
  <c r="T58" i="43"/>
  <c r="V58" i="43" s="1"/>
  <c r="V134" i="4"/>
  <c r="X134" i="4" s="1"/>
  <c r="V136" i="4"/>
  <c r="X136" i="4" s="1"/>
  <c r="V138" i="4"/>
  <c r="X138" i="4" s="1"/>
  <c r="V132" i="4"/>
  <c r="X132" i="4" s="1"/>
  <c r="I141" i="4" l="1"/>
  <c r="D43" i="41" s="1"/>
  <c r="O141" i="4"/>
  <c r="F43" i="41" s="1"/>
  <c r="J135" i="43"/>
  <c r="R141" i="4"/>
  <c r="G43" i="41" s="1"/>
  <c r="U141" i="4"/>
  <c r="H43" i="41" s="1"/>
  <c r="V140" i="4"/>
  <c r="X140" i="4" s="1"/>
  <c r="R135" i="43"/>
  <c r="V139" i="4"/>
  <c r="X139" i="4" s="1"/>
  <c r="N135" i="43"/>
  <c r="F135" i="43"/>
  <c r="W132" i="43"/>
  <c r="W133" i="43"/>
  <c r="V135" i="43"/>
  <c r="W64" i="43"/>
  <c r="W58" i="43"/>
  <c r="E43" i="41"/>
  <c r="W164" i="4"/>
  <c r="W201" i="4" s="1"/>
  <c r="W224" i="4"/>
  <c r="W259" i="4" s="1"/>
  <c r="W282" i="4"/>
  <c r="W326" i="4" s="1"/>
  <c r="W349" i="4"/>
  <c r="W404" i="4" s="1"/>
  <c r="V141" i="4" l="1"/>
  <c r="I43" i="41"/>
  <c r="W135" i="43"/>
  <c r="B24" i="28" s="1"/>
  <c r="I80" i="30"/>
  <c r="X141" i="4"/>
  <c r="G264" i="4" l="1"/>
  <c r="E264" i="4"/>
  <c r="E7" i="46" s="1"/>
  <c r="F7" i="46" s="1"/>
  <c r="F8" i="46" s="1"/>
  <c r="H264" i="4"/>
  <c r="I53" i="4"/>
  <c r="I54" i="4"/>
  <c r="Q55" i="4"/>
  <c r="P56" i="42" s="1"/>
  <c r="R56" i="42" s="1"/>
  <c r="N55" i="4"/>
  <c r="L56" i="42" s="1"/>
  <c r="N56" i="42" s="1"/>
  <c r="K55" i="4"/>
  <c r="H56" i="42" s="1"/>
  <c r="J56" i="42" s="1"/>
  <c r="G55" i="4"/>
  <c r="D56" i="42" s="1"/>
  <c r="F56" i="42" s="1"/>
  <c r="T55" i="4"/>
  <c r="T56" i="42" s="1"/>
  <c r="V56" i="42" s="1"/>
  <c r="Q56" i="4"/>
  <c r="P67" i="42" s="1"/>
  <c r="R67" i="42" s="1"/>
  <c r="N56" i="4"/>
  <c r="L67" i="42" s="1"/>
  <c r="N67" i="42" s="1"/>
  <c r="K56" i="4"/>
  <c r="H67" i="42" s="1"/>
  <c r="J67" i="42" s="1"/>
  <c r="G56" i="4"/>
  <c r="D67" i="42" s="1"/>
  <c r="F67" i="42" s="1"/>
  <c r="T56" i="4"/>
  <c r="T67" i="42" s="1"/>
  <c r="V67" i="42" s="1"/>
  <c r="I58" i="4"/>
  <c r="I59" i="4"/>
  <c r="Q60" i="4"/>
  <c r="P57" i="42" s="1"/>
  <c r="R57" i="42" s="1"/>
  <c r="N60" i="4"/>
  <c r="L57" i="42" s="1"/>
  <c r="N57" i="42" s="1"/>
  <c r="K60" i="4"/>
  <c r="H57" i="42" s="1"/>
  <c r="J57" i="42" s="1"/>
  <c r="G60" i="4"/>
  <c r="D57" i="42" s="1"/>
  <c r="F57" i="42" s="1"/>
  <c r="T60" i="4"/>
  <c r="T57" i="42" s="1"/>
  <c r="V57" i="42" s="1"/>
  <c r="Q61" i="4"/>
  <c r="P69" i="42" s="1"/>
  <c r="R69" i="42" s="1"/>
  <c r="N61" i="4"/>
  <c r="L69" i="42" s="1"/>
  <c r="N69" i="42" s="1"/>
  <c r="K61" i="4"/>
  <c r="H69" i="42" s="1"/>
  <c r="J69" i="42" s="1"/>
  <c r="G61" i="4"/>
  <c r="D69" i="42" s="1"/>
  <c r="F69" i="42" s="1"/>
  <c r="T61" i="4"/>
  <c r="T69" i="42" s="1"/>
  <c r="V69" i="42" s="1"/>
  <c r="I63" i="4"/>
  <c r="N65" i="4"/>
  <c r="L70" i="42" s="1"/>
  <c r="N70" i="42" s="1"/>
  <c r="R101" i="4"/>
  <c r="O101" i="4"/>
  <c r="L101" i="4"/>
  <c r="I101" i="4"/>
  <c r="U101" i="4"/>
  <c r="R109" i="4"/>
  <c r="O109" i="4"/>
  <c r="I109" i="4"/>
  <c r="U109" i="4"/>
  <c r="R110" i="4"/>
  <c r="O110" i="4"/>
  <c r="L110" i="4"/>
  <c r="I110" i="4"/>
  <c r="U110" i="4"/>
  <c r="R112" i="4"/>
  <c r="O112" i="4"/>
  <c r="L112" i="4"/>
  <c r="I112" i="4"/>
  <c r="U112" i="4"/>
  <c r="R95" i="4"/>
  <c r="R97" i="4" s="1"/>
  <c r="G37" i="41" s="1"/>
  <c r="O95" i="4"/>
  <c r="O97" i="4" s="1"/>
  <c r="F37" i="41" s="1"/>
  <c r="L95" i="4"/>
  <c r="L97" i="4" s="1"/>
  <c r="E37" i="41" s="1"/>
  <c r="I95" i="4"/>
  <c r="I97" i="4" s="1"/>
  <c r="D37" i="41" s="1"/>
  <c r="U95" i="4"/>
  <c r="U97" i="4" s="1"/>
  <c r="H37" i="41" s="1"/>
  <c r="W97" i="4"/>
  <c r="D21" i="28" s="1"/>
  <c r="R71" i="4"/>
  <c r="O71" i="4"/>
  <c r="L71" i="4"/>
  <c r="I71" i="4"/>
  <c r="R72" i="4"/>
  <c r="O72" i="4"/>
  <c r="L72" i="4"/>
  <c r="I72" i="4"/>
  <c r="U72" i="4"/>
  <c r="R74" i="4"/>
  <c r="O74" i="4"/>
  <c r="L74" i="4"/>
  <c r="I74" i="4"/>
  <c r="U74" i="4"/>
  <c r="R85" i="4"/>
  <c r="O85" i="4"/>
  <c r="L85" i="4"/>
  <c r="I85" i="4"/>
  <c r="R87" i="4"/>
  <c r="O87" i="4"/>
  <c r="L87" i="4"/>
  <c r="I87" i="4"/>
  <c r="R89" i="4"/>
  <c r="O89" i="4"/>
  <c r="L89" i="4"/>
  <c r="I89" i="4"/>
  <c r="U89" i="4"/>
  <c r="W34" i="4"/>
  <c r="D17" i="28" s="1"/>
  <c r="W49" i="4"/>
  <c r="D18" i="28" s="1"/>
  <c r="W66" i="4"/>
  <c r="D19" i="28" s="1"/>
  <c r="D22" i="28"/>
  <c r="W129" i="4"/>
  <c r="D23" i="28" s="1"/>
  <c r="E12" i="4"/>
  <c r="E13" i="4"/>
  <c r="E10" i="43" s="1"/>
  <c r="E14" i="4"/>
  <c r="E15" i="4"/>
  <c r="E16" i="4"/>
  <c r="E28" i="4"/>
  <c r="E29" i="4"/>
  <c r="I31" i="4"/>
  <c r="E30" i="39" s="1"/>
  <c r="E32" i="4"/>
  <c r="E30" i="42" s="1"/>
  <c r="F30" i="42" s="1"/>
  <c r="J12" i="4"/>
  <c r="J13" i="4"/>
  <c r="J14" i="4"/>
  <c r="J15" i="4"/>
  <c r="J16" i="4"/>
  <c r="J28" i="4"/>
  <c r="J29" i="4"/>
  <c r="J32" i="4"/>
  <c r="I30" i="42" s="1"/>
  <c r="J30" i="42" s="1"/>
  <c r="J31" i="42" s="1"/>
  <c r="G37" i="42" s="1"/>
  <c r="M32" i="4"/>
  <c r="M30" i="42" s="1"/>
  <c r="N30" i="42" s="1"/>
  <c r="N31" i="42" s="1"/>
  <c r="K37" i="42" s="1"/>
  <c r="P12" i="4"/>
  <c r="P13" i="4"/>
  <c r="P14" i="4"/>
  <c r="P15" i="4"/>
  <c r="P16" i="4"/>
  <c r="P28" i="4"/>
  <c r="P29" i="4"/>
  <c r="P32" i="4"/>
  <c r="Q30" i="42" s="1"/>
  <c r="R30" i="42" s="1"/>
  <c r="R31" i="42" s="1"/>
  <c r="O37" i="42" s="1"/>
  <c r="S12" i="4"/>
  <c r="S13" i="4"/>
  <c r="S14" i="4"/>
  <c r="S15" i="4"/>
  <c r="S16" i="4"/>
  <c r="S28" i="4"/>
  <c r="S29" i="4"/>
  <c r="S32" i="4"/>
  <c r="U30" i="42" s="1"/>
  <c r="V30" i="42" s="1"/>
  <c r="V31" i="42" s="1"/>
  <c r="S37" i="42" s="1"/>
  <c r="R118" i="4"/>
  <c r="R119" i="4"/>
  <c r="I127" i="4"/>
  <c r="O127" i="4"/>
  <c r="R127" i="4"/>
  <c r="U117" i="4"/>
  <c r="U118" i="4"/>
  <c r="U119" i="4"/>
  <c r="U127" i="4"/>
  <c r="H167" i="4"/>
  <c r="Q146" i="4"/>
  <c r="P146" i="4"/>
  <c r="Q7" i="44" s="1"/>
  <c r="R7" i="44" s="1"/>
  <c r="R8" i="44" s="1"/>
  <c r="N146" i="4"/>
  <c r="K146" i="4"/>
  <c r="J146" i="4"/>
  <c r="I7" i="44" s="1"/>
  <c r="J7" i="44" s="1"/>
  <c r="J8" i="44" s="1"/>
  <c r="G146" i="4"/>
  <c r="E146" i="4"/>
  <c r="E7" i="44" s="1"/>
  <c r="F7" i="44" s="1"/>
  <c r="T146" i="4"/>
  <c r="S146" i="4"/>
  <c r="U7" i="44" s="1"/>
  <c r="V7" i="44" s="1"/>
  <c r="V8" i="44" s="1"/>
  <c r="H168" i="4"/>
  <c r="E31" i="44" s="1"/>
  <c r="H227" i="4"/>
  <c r="Q206" i="4"/>
  <c r="P206" i="4"/>
  <c r="Q7" i="45" s="1"/>
  <c r="R7" i="45" s="1"/>
  <c r="R8" i="45" s="1"/>
  <c r="N206" i="4"/>
  <c r="K206" i="4"/>
  <c r="J206" i="4"/>
  <c r="I7" i="45" s="1"/>
  <c r="J7" i="45" s="1"/>
  <c r="J8" i="45" s="1"/>
  <c r="G206" i="4"/>
  <c r="E206" i="4"/>
  <c r="E7" i="45" s="1"/>
  <c r="F7" i="45" s="1"/>
  <c r="T206" i="4"/>
  <c r="S206" i="4"/>
  <c r="U7" i="45" s="1"/>
  <c r="V7" i="45" s="1"/>
  <c r="V8" i="45" s="1"/>
  <c r="E32" i="46"/>
  <c r="I32" i="46" s="1"/>
  <c r="M32" i="46" s="1"/>
  <c r="Q32" i="46" s="1"/>
  <c r="U32" i="46" s="1"/>
  <c r="Q264" i="4"/>
  <c r="P264" i="4"/>
  <c r="Q7" i="46" s="1"/>
  <c r="R7" i="46" s="1"/>
  <c r="N264" i="4"/>
  <c r="K264" i="4"/>
  <c r="J264" i="4"/>
  <c r="I7" i="46" s="1"/>
  <c r="J7" i="46" s="1"/>
  <c r="J8" i="46" s="1"/>
  <c r="G35" i="46" s="1"/>
  <c r="T264" i="4"/>
  <c r="S264" i="4"/>
  <c r="U7" i="46" s="1"/>
  <c r="V7" i="46" s="1"/>
  <c r="V8" i="46" s="1"/>
  <c r="Q331" i="4"/>
  <c r="P331" i="4"/>
  <c r="Q7" i="47" s="1"/>
  <c r="R7" i="47" s="1"/>
  <c r="N331" i="4"/>
  <c r="K331" i="4"/>
  <c r="J331" i="4"/>
  <c r="I7" i="47" s="1"/>
  <c r="J7" i="47" s="1"/>
  <c r="G331" i="4"/>
  <c r="E331" i="4"/>
  <c r="E7" i="47" s="1"/>
  <c r="F7" i="47" s="1"/>
  <c r="C30" i="47" s="1"/>
  <c r="T331" i="4"/>
  <c r="S331" i="4"/>
  <c r="U7" i="47" s="1"/>
  <c r="V7" i="47" s="1"/>
  <c r="S30" i="47" s="1"/>
  <c r="H353" i="4"/>
  <c r="E30" i="47" s="1"/>
  <c r="I408" i="4"/>
  <c r="I410" i="4" s="1"/>
  <c r="L410" i="4"/>
  <c r="O410" i="4"/>
  <c r="R410" i="4"/>
  <c r="U410" i="4"/>
  <c r="W410" i="4"/>
  <c r="F12" i="28"/>
  <c r="D44" i="28"/>
  <c r="F44" i="28" s="1"/>
  <c r="D38" i="28"/>
  <c r="B38" i="28"/>
  <c r="B48" i="28"/>
  <c r="B56" i="28" s="1"/>
  <c r="E56" i="28" s="1"/>
  <c r="C32" i="28"/>
  <c r="C54" i="28" s="1"/>
  <c r="C38" i="28"/>
  <c r="C55" i="28" s="1"/>
  <c r="B28" i="30"/>
  <c r="I28" i="30"/>
  <c r="B55" i="30"/>
  <c r="I55" i="30"/>
  <c r="B136" i="30"/>
  <c r="I136" i="30"/>
  <c r="B109" i="30"/>
  <c r="I109" i="30"/>
  <c r="B82" i="30"/>
  <c r="E24" i="28"/>
  <c r="E35" i="28"/>
  <c r="E38" i="28" s="1"/>
  <c r="E41" i="28"/>
  <c r="E42" i="28"/>
  <c r="E43" i="28"/>
  <c r="E44" i="28"/>
  <c r="E45" i="28"/>
  <c r="E46" i="28"/>
  <c r="E47" i="28"/>
  <c r="F24" i="28"/>
  <c r="F35" i="28"/>
  <c r="F38" i="28" s="1"/>
  <c r="F41" i="28"/>
  <c r="F42" i="28"/>
  <c r="F43" i="28"/>
  <c r="F45" i="28"/>
  <c r="F46" i="28"/>
  <c r="F47" i="28"/>
  <c r="B128" i="30"/>
  <c r="O11" i="39"/>
  <c r="O31" i="39"/>
  <c r="O30" i="39"/>
  <c r="L31" i="39"/>
  <c r="L30" i="39"/>
  <c r="L11" i="39"/>
  <c r="I31" i="39"/>
  <c r="I30" i="39"/>
  <c r="I11" i="39"/>
  <c r="F31" i="39"/>
  <c r="F30" i="39"/>
  <c r="F11" i="39"/>
  <c r="C31" i="39"/>
  <c r="C30" i="39"/>
  <c r="C11" i="39"/>
  <c r="B25" i="30"/>
  <c r="I138" i="30"/>
  <c r="B138" i="30"/>
  <c r="I111" i="30"/>
  <c r="B111" i="30"/>
  <c r="I84" i="30"/>
  <c r="B84" i="30"/>
  <c r="I57" i="30"/>
  <c r="B57" i="30"/>
  <c r="I30" i="30"/>
  <c r="B30" i="30"/>
  <c r="D30" i="39"/>
  <c r="B30" i="39"/>
  <c r="C10" i="41"/>
  <c r="C11" i="41"/>
  <c r="E11" i="41" s="1"/>
  <c r="C12" i="41"/>
  <c r="C13" i="41"/>
  <c r="C14" i="41"/>
  <c r="C15" i="41"/>
  <c r="C16" i="41"/>
  <c r="C17" i="41"/>
  <c r="C18" i="41"/>
  <c r="C19" i="41"/>
  <c r="D19" i="41" s="1"/>
  <c r="C20" i="41"/>
  <c r="C21" i="41"/>
  <c r="C22" i="41"/>
  <c r="C23" i="41"/>
  <c r="C24" i="41"/>
  <c r="C27" i="41"/>
  <c r="B56" i="41"/>
  <c r="B54" i="41"/>
  <c r="B52" i="41"/>
  <c r="B50" i="41"/>
  <c r="H22" i="41"/>
  <c r="H14" i="41"/>
  <c r="D24" i="41"/>
  <c r="D17" i="41"/>
  <c r="D21" i="41"/>
  <c r="D27" i="41"/>
  <c r="E20" i="41"/>
  <c r="F12" i="41"/>
  <c r="G15" i="41"/>
  <c r="H13" i="41"/>
  <c r="F16" i="41"/>
  <c r="H17" i="41"/>
  <c r="F20" i="41"/>
  <c r="H21" i="41"/>
  <c r="H27" i="41"/>
  <c r="E15" i="41"/>
  <c r="D13" i="41"/>
  <c r="H16" i="41"/>
  <c r="H20" i="41"/>
  <c r="G19" i="41"/>
  <c r="I19" i="41" s="1"/>
  <c r="F10" i="41"/>
  <c r="D12" i="41"/>
  <c r="H24" i="41"/>
  <c r="H23" i="41"/>
  <c r="G23" i="41"/>
  <c r="E24" i="41"/>
  <c r="E12" i="41"/>
  <c r="D16" i="41"/>
  <c r="H12" i="41"/>
  <c r="E16" i="41"/>
  <c r="D20" i="41"/>
  <c r="E23" i="41"/>
  <c r="F24" i="41"/>
  <c r="G12" i="41"/>
  <c r="I12" i="41"/>
  <c r="G13" i="41"/>
  <c r="F13" i="41"/>
  <c r="G16" i="41"/>
  <c r="I16" i="41"/>
  <c r="G17" i="41"/>
  <c r="F17" i="41"/>
  <c r="G20" i="41"/>
  <c r="I20" i="41"/>
  <c r="G21" i="41"/>
  <c r="I21" i="41"/>
  <c r="F21" i="41"/>
  <c r="G24" i="41"/>
  <c r="I24" i="41" s="1"/>
  <c r="G27" i="41"/>
  <c r="F27" i="41"/>
  <c r="H10" i="41"/>
  <c r="D14" i="41"/>
  <c r="F14" i="41"/>
  <c r="D18" i="41"/>
  <c r="F18" i="41"/>
  <c r="H18" i="41"/>
  <c r="D22" i="41"/>
  <c r="F22" i="41"/>
  <c r="D10" i="41"/>
  <c r="E13" i="41"/>
  <c r="D15" i="41"/>
  <c r="F15" i="41"/>
  <c r="H15" i="41"/>
  <c r="E17" i="41"/>
  <c r="E21" i="41"/>
  <c r="D23" i="41"/>
  <c r="F23" i="41"/>
  <c r="E27" i="41"/>
  <c r="E10" i="41"/>
  <c r="G10" i="41"/>
  <c r="E14" i="41"/>
  <c r="G14" i="41"/>
  <c r="E18" i="41"/>
  <c r="G18" i="41"/>
  <c r="E22" i="41"/>
  <c r="G22" i="41"/>
  <c r="I15" i="41"/>
  <c r="I13" i="41"/>
  <c r="I23" i="41"/>
  <c r="I17" i="41"/>
  <c r="I14" i="41"/>
  <c r="I27" i="41"/>
  <c r="I18" i="41"/>
  <c r="I10" i="41"/>
  <c r="I22" i="41"/>
  <c r="B31" i="39"/>
  <c r="B11" i="39"/>
  <c r="D264" i="4"/>
  <c r="D206" i="4"/>
  <c r="D146" i="4"/>
  <c r="B120" i="30"/>
  <c r="B121" i="30"/>
  <c r="B122" i="30"/>
  <c r="B127" i="30"/>
  <c r="B129" i="30"/>
  <c r="B130" i="30"/>
  <c r="B132" i="30"/>
  <c r="B133" i="30"/>
  <c r="B134" i="30"/>
  <c r="B135" i="30"/>
  <c r="B119" i="30"/>
  <c r="I133" i="30"/>
  <c r="I129" i="30"/>
  <c r="B93" i="30"/>
  <c r="B94" i="30"/>
  <c r="B95" i="30"/>
  <c r="B96" i="30"/>
  <c r="B100" i="30"/>
  <c r="B101" i="30"/>
  <c r="B102" i="30"/>
  <c r="B103" i="30"/>
  <c r="B105" i="30"/>
  <c r="B106" i="30"/>
  <c r="B107" i="30"/>
  <c r="B108" i="30"/>
  <c r="B92" i="30"/>
  <c r="I106" i="30"/>
  <c r="I102" i="30"/>
  <c r="B66" i="30"/>
  <c r="B67" i="30"/>
  <c r="B68" i="30"/>
  <c r="B69" i="30"/>
  <c r="B73" i="30"/>
  <c r="B74" i="30"/>
  <c r="B75" i="30"/>
  <c r="B76" i="30"/>
  <c r="B78" i="30"/>
  <c r="B79" i="30"/>
  <c r="B80" i="30"/>
  <c r="B81" i="30"/>
  <c r="B65" i="30"/>
  <c r="B39" i="30"/>
  <c r="B40" i="30"/>
  <c r="B41" i="30"/>
  <c r="B42" i="30"/>
  <c r="B46" i="30"/>
  <c r="B47" i="30"/>
  <c r="B48" i="30"/>
  <c r="B49" i="30"/>
  <c r="B51" i="30"/>
  <c r="B52" i="30"/>
  <c r="B53" i="30"/>
  <c r="B54" i="30"/>
  <c r="B38" i="30"/>
  <c r="I52" i="30"/>
  <c r="I48" i="30"/>
  <c r="B12" i="30"/>
  <c r="B14" i="30"/>
  <c r="B15" i="30"/>
  <c r="B20" i="30"/>
  <c r="B21" i="30"/>
  <c r="B22" i="30"/>
  <c r="B24" i="30"/>
  <c r="B26" i="30"/>
  <c r="B27" i="30"/>
  <c r="B11" i="30"/>
  <c r="I25" i="30"/>
  <c r="I21" i="30"/>
  <c r="B139" i="30"/>
  <c r="I139" i="30"/>
  <c r="I135" i="30"/>
  <c r="I134" i="30"/>
  <c r="I132" i="30"/>
  <c r="I130" i="30"/>
  <c r="I123" i="30"/>
  <c r="I122" i="30"/>
  <c r="I121" i="30"/>
  <c r="I120" i="30"/>
  <c r="I119" i="30"/>
  <c r="B112" i="30"/>
  <c r="B85" i="30"/>
  <c r="B58" i="30"/>
  <c r="I112" i="30"/>
  <c r="I108" i="30"/>
  <c r="I107" i="30"/>
  <c r="I105" i="30"/>
  <c r="I103" i="30"/>
  <c r="I101" i="30"/>
  <c r="I95" i="30"/>
  <c r="I94" i="30"/>
  <c r="I93" i="30"/>
  <c r="I92" i="30"/>
  <c r="I85" i="30"/>
  <c r="I38" i="30"/>
  <c r="I58" i="30"/>
  <c r="I54" i="30"/>
  <c r="I53" i="30"/>
  <c r="I51" i="30"/>
  <c r="I49" i="30"/>
  <c r="I47" i="30"/>
  <c r="I42" i="30"/>
  <c r="I41" i="30"/>
  <c r="I40" i="30"/>
  <c r="I39" i="30"/>
  <c r="D203" i="4"/>
  <c r="D261" i="4"/>
  <c r="D328" i="4"/>
  <c r="D331" i="4"/>
  <c r="I19" i="30"/>
  <c r="I20" i="30"/>
  <c r="I22" i="30"/>
  <c r="I27" i="30"/>
  <c r="B31" i="30"/>
  <c r="I31" i="30"/>
  <c r="I13" i="30"/>
  <c r="I14" i="30"/>
  <c r="I15" i="30"/>
  <c r="I24" i="30"/>
  <c r="I26" i="30"/>
  <c r="I11" i="30"/>
  <c r="D143" i="4"/>
  <c r="H4" i="17"/>
  <c r="I4" i="17"/>
  <c r="J8" i="17"/>
  <c r="H5" i="17"/>
  <c r="H6" i="17"/>
  <c r="H11" i="17"/>
  <c r="I11" i="17"/>
  <c r="H12" i="17"/>
  <c r="H13" i="17"/>
  <c r="B18" i="17"/>
  <c r="C18" i="17"/>
  <c r="D18" i="17"/>
  <c r="E18" i="17"/>
  <c r="F18" i="17"/>
  <c r="G18" i="17"/>
  <c r="H18" i="17"/>
  <c r="B19" i="17"/>
  <c r="C19" i="17"/>
  <c r="E19" i="17"/>
  <c r="H19" i="17"/>
  <c r="I18" i="17"/>
  <c r="B20" i="17"/>
  <c r="C20" i="17"/>
  <c r="E20" i="17"/>
  <c r="H20" i="17"/>
  <c r="B21" i="17"/>
  <c r="C21" i="17"/>
  <c r="K18" i="17"/>
  <c r="D19" i="17"/>
  <c r="F19" i="17"/>
  <c r="F21" i="17"/>
  <c r="N35" i="17"/>
  <c r="G19" i="17"/>
  <c r="D20" i="17"/>
  <c r="D21" i="17"/>
  <c r="L35" i="17"/>
  <c r="F20" i="17"/>
  <c r="G20" i="17"/>
  <c r="E21" i="17"/>
  <c r="G21" i="17"/>
  <c r="C26" i="17"/>
  <c r="E26" i="17"/>
  <c r="H26" i="17"/>
  <c r="I26" i="17"/>
  <c r="G26" i="17"/>
  <c r="C27" i="17"/>
  <c r="E27" i="17"/>
  <c r="G27" i="17"/>
  <c r="H27" i="17"/>
  <c r="C28" i="17"/>
  <c r="E28" i="17"/>
  <c r="G28" i="17"/>
  <c r="H28" i="17"/>
  <c r="L22" i="17"/>
  <c r="C29" i="17"/>
  <c r="E29" i="17"/>
  <c r="G29" i="17"/>
  <c r="H35" i="17"/>
  <c r="I35" i="17"/>
  <c r="O35" i="17"/>
  <c r="J35" i="17"/>
  <c r="K35" i="17"/>
  <c r="M35" i="17"/>
  <c r="H41" i="17"/>
  <c r="K41" i="17"/>
  <c r="H42" i="17"/>
  <c r="C45" i="17"/>
  <c r="E45" i="17"/>
  <c r="C46" i="17"/>
  <c r="E46" i="17"/>
  <c r="C50" i="17"/>
  <c r="E50" i="17"/>
  <c r="C51" i="17"/>
  <c r="E51" i="17"/>
  <c r="C59" i="17"/>
  <c r="E59" i="17"/>
  <c r="J22" i="17"/>
  <c r="O41" i="17"/>
  <c r="H36" i="17"/>
  <c r="M41" i="17"/>
  <c r="C55" i="17"/>
  <c r="E55" i="17"/>
  <c r="I90" i="4" l="1"/>
  <c r="S35" i="46"/>
  <c r="S31" i="46"/>
  <c r="F30" i="47"/>
  <c r="I92" i="4"/>
  <c r="I227" i="4"/>
  <c r="O227" i="4"/>
  <c r="I167" i="4"/>
  <c r="O167" i="4"/>
  <c r="L167" i="4"/>
  <c r="R167" i="4"/>
  <c r="U167" i="4"/>
  <c r="U227" i="4"/>
  <c r="L227" i="4"/>
  <c r="R227" i="4"/>
  <c r="G36" i="46"/>
  <c r="J36" i="46" s="1"/>
  <c r="G31" i="46"/>
  <c r="J35" i="46"/>
  <c r="W7" i="45"/>
  <c r="F8" i="45"/>
  <c r="O35" i="44"/>
  <c r="R35" i="44" s="1"/>
  <c r="O36" i="44"/>
  <c r="R36" i="44" s="1"/>
  <c r="O31" i="44"/>
  <c r="G34" i="47"/>
  <c r="J34" i="47" s="1"/>
  <c r="G35" i="47"/>
  <c r="J35" i="47" s="1"/>
  <c r="J8" i="47"/>
  <c r="G30" i="47"/>
  <c r="S31" i="44"/>
  <c r="S35" i="44"/>
  <c r="V35" i="44" s="1"/>
  <c r="S36" i="44"/>
  <c r="V36" i="44" s="1"/>
  <c r="G35" i="45"/>
  <c r="J35" i="45" s="1"/>
  <c r="G31" i="45"/>
  <c r="G36" i="45"/>
  <c r="J36" i="45" s="1"/>
  <c r="E32" i="44"/>
  <c r="I32" i="44" s="1"/>
  <c r="M32" i="44" s="1"/>
  <c r="Q32" i="44" s="1"/>
  <c r="U32" i="44" s="1"/>
  <c r="W7" i="46"/>
  <c r="R8" i="46"/>
  <c r="W8" i="46" s="1"/>
  <c r="W7" i="44"/>
  <c r="F8" i="44"/>
  <c r="C31" i="44" s="1"/>
  <c r="R8" i="47"/>
  <c r="O35" i="47"/>
  <c r="R35" i="47" s="1"/>
  <c r="O34" i="47"/>
  <c r="R34" i="47" s="1"/>
  <c r="O30" i="47"/>
  <c r="V37" i="42"/>
  <c r="S34" i="47"/>
  <c r="V34" i="47" s="1"/>
  <c r="V8" i="47"/>
  <c r="S35" i="47"/>
  <c r="V35" i="47" s="1"/>
  <c r="O36" i="45"/>
  <c r="R36" i="45" s="1"/>
  <c r="O35" i="45"/>
  <c r="R35" i="45" s="1"/>
  <c r="O31" i="45"/>
  <c r="G36" i="44"/>
  <c r="J36" i="44" s="1"/>
  <c r="G35" i="44"/>
  <c r="J35" i="44" s="1"/>
  <c r="G31" i="44"/>
  <c r="R37" i="42"/>
  <c r="S36" i="46"/>
  <c r="V36" i="46" s="1"/>
  <c r="V35" i="46"/>
  <c r="S36" i="45"/>
  <c r="V36" i="45" s="1"/>
  <c r="S35" i="45"/>
  <c r="V35" i="45" s="1"/>
  <c r="S31" i="45"/>
  <c r="N37" i="42"/>
  <c r="C31" i="46"/>
  <c r="C35" i="46"/>
  <c r="F35" i="46" s="1"/>
  <c r="C36" i="46"/>
  <c r="F36" i="46" s="1"/>
  <c r="W7" i="47"/>
  <c r="F8" i="47"/>
  <c r="C34" i="47"/>
  <c r="F34" i="47" s="1"/>
  <c r="C35" i="47"/>
  <c r="F35" i="47" s="1"/>
  <c r="E32" i="45"/>
  <c r="I32" i="45" s="1"/>
  <c r="M32" i="45" s="1"/>
  <c r="Q32" i="45" s="1"/>
  <c r="U32" i="45" s="1"/>
  <c r="J37" i="42"/>
  <c r="E7" i="43"/>
  <c r="U7" i="43"/>
  <c r="Q10" i="43"/>
  <c r="E10" i="42"/>
  <c r="F10" i="42" s="1"/>
  <c r="U10" i="43"/>
  <c r="Q7" i="43"/>
  <c r="I10" i="43"/>
  <c r="I7" i="43"/>
  <c r="B55" i="28"/>
  <c r="E55" i="28" s="1"/>
  <c r="E48" i="28"/>
  <c r="D48" i="28"/>
  <c r="W57" i="42"/>
  <c r="N75" i="42"/>
  <c r="W67" i="42"/>
  <c r="W69" i="42"/>
  <c r="F75" i="42"/>
  <c r="W56" i="42"/>
  <c r="F10" i="43"/>
  <c r="F43" i="43" s="1"/>
  <c r="W30" i="42"/>
  <c r="F31" i="42"/>
  <c r="C37" i="42" s="1"/>
  <c r="F37" i="42" s="1"/>
  <c r="N33" i="42"/>
  <c r="I30" i="47"/>
  <c r="I31" i="44"/>
  <c r="I117" i="4"/>
  <c r="C110" i="43"/>
  <c r="O61" i="4"/>
  <c r="L65" i="43"/>
  <c r="N65" i="43" s="1"/>
  <c r="U56" i="4"/>
  <c r="T63" i="43"/>
  <c r="V63" i="43" s="1"/>
  <c r="T57" i="43"/>
  <c r="V57" i="43" s="1"/>
  <c r="U60" i="4"/>
  <c r="L66" i="43"/>
  <c r="N66" i="43" s="1"/>
  <c r="O65" i="4"/>
  <c r="I60" i="4"/>
  <c r="D57" i="43"/>
  <c r="F57" i="43" s="1"/>
  <c r="L56" i="4"/>
  <c r="H63" i="43"/>
  <c r="J63" i="43" s="1"/>
  <c r="L55" i="4"/>
  <c r="H56" i="43"/>
  <c r="J56" i="43" s="1"/>
  <c r="P56" i="43"/>
  <c r="R56" i="43" s="1"/>
  <c r="R55" i="4"/>
  <c r="H57" i="43"/>
  <c r="J57" i="43" s="1"/>
  <c r="L60" i="4"/>
  <c r="L63" i="43"/>
  <c r="N63" i="43" s="1"/>
  <c r="O56" i="4"/>
  <c r="P65" i="43"/>
  <c r="R65" i="43" s="1"/>
  <c r="R61" i="4"/>
  <c r="I56" i="4"/>
  <c r="D63" i="43"/>
  <c r="F63" i="43" s="1"/>
  <c r="T65" i="43"/>
  <c r="V65" i="43" s="1"/>
  <c r="U61" i="4"/>
  <c r="O60" i="4"/>
  <c r="L57" i="43"/>
  <c r="N57" i="43" s="1"/>
  <c r="P63" i="43"/>
  <c r="R63" i="43" s="1"/>
  <c r="R56" i="4"/>
  <c r="L56" i="43"/>
  <c r="N56" i="43" s="1"/>
  <c r="O55" i="4"/>
  <c r="I61" i="4"/>
  <c r="D65" i="43"/>
  <c r="F65" i="43" s="1"/>
  <c r="P57" i="43"/>
  <c r="R57" i="43" s="1"/>
  <c r="R60" i="4"/>
  <c r="U55" i="4"/>
  <c r="T56" i="43"/>
  <c r="V56" i="43" s="1"/>
  <c r="L61" i="4"/>
  <c r="H65" i="43"/>
  <c r="J65" i="43" s="1"/>
  <c r="I55" i="4"/>
  <c r="D56" i="43"/>
  <c r="F56" i="43" s="1"/>
  <c r="D27" i="39"/>
  <c r="E25" i="43"/>
  <c r="P31" i="39"/>
  <c r="U30" i="43"/>
  <c r="V30" i="43" s="1"/>
  <c r="V31" i="43" s="1"/>
  <c r="S37" i="43" s="1"/>
  <c r="V37" i="43" s="1"/>
  <c r="G14" i="39"/>
  <c r="I12" i="43"/>
  <c r="P28" i="39"/>
  <c r="U26" i="43"/>
  <c r="M31" i="39"/>
  <c r="Q30" i="43"/>
  <c r="R30" i="43" s="1"/>
  <c r="R31" i="43" s="1"/>
  <c r="O37" i="43" s="1"/>
  <c r="R37" i="43" s="1"/>
  <c r="G13" i="39"/>
  <c r="I11" i="43"/>
  <c r="I11" i="42" s="1"/>
  <c r="D15" i="39"/>
  <c r="E13" i="43"/>
  <c r="M13" i="39"/>
  <c r="Q11" i="43"/>
  <c r="D19" i="39"/>
  <c r="P27" i="39"/>
  <c r="U25" i="43"/>
  <c r="M28" i="39"/>
  <c r="Q26" i="43"/>
  <c r="O32" i="4"/>
  <c r="K31" i="39" s="1"/>
  <c r="M30" i="43"/>
  <c r="N30" i="43" s="1"/>
  <c r="N31" i="43" s="1"/>
  <c r="G12" i="39"/>
  <c r="D14" i="39"/>
  <c r="E12" i="43"/>
  <c r="M12" i="39"/>
  <c r="P19" i="39"/>
  <c r="M27" i="39"/>
  <c r="Q25" i="43"/>
  <c r="G31" i="39"/>
  <c r="I30" i="43"/>
  <c r="J30" i="43" s="1"/>
  <c r="J31" i="43" s="1"/>
  <c r="G37" i="43" s="1"/>
  <c r="D13" i="39"/>
  <c r="E11" i="43"/>
  <c r="G15" i="39"/>
  <c r="I13" i="43"/>
  <c r="P15" i="39"/>
  <c r="U13" i="43"/>
  <c r="M19" i="39"/>
  <c r="G28" i="39"/>
  <c r="I26" i="43"/>
  <c r="I32" i="4"/>
  <c r="I38" i="4" s="1"/>
  <c r="E30" i="43"/>
  <c r="F30" i="43" s="1"/>
  <c r="D12" i="39"/>
  <c r="P12" i="39"/>
  <c r="P14" i="39"/>
  <c r="U12" i="43"/>
  <c r="M15" i="39"/>
  <c r="Q13" i="43"/>
  <c r="G27" i="39"/>
  <c r="I25" i="43"/>
  <c r="P13" i="39"/>
  <c r="U11" i="43"/>
  <c r="M14" i="39"/>
  <c r="Q12" i="43"/>
  <c r="G19" i="39"/>
  <c r="D28" i="39"/>
  <c r="E26" i="43"/>
  <c r="G11" i="39"/>
  <c r="D11" i="39"/>
  <c r="P11" i="39"/>
  <c r="M11" i="39"/>
  <c r="R114" i="4"/>
  <c r="U114" i="4"/>
  <c r="I114" i="4"/>
  <c r="L114" i="4"/>
  <c r="O114" i="4"/>
  <c r="F39" i="41" s="1"/>
  <c r="H19" i="41"/>
  <c r="H11" i="41"/>
  <c r="E19" i="41"/>
  <c r="G11" i="41"/>
  <c r="I11" i="41" s="1"/>
  <c r="F19" i="41"/>
  <c r="F11" i="41"/>
  <c r="D11" i="41"/>
  <c r="F48" i="28"/>
  <c r="U29" i="4"/>
  <c r="Q28" i="39" s="1"/>
  <c r="R29" i="4"/>
  <c r="N28" i="39" s="1"/>
  <c r="O29" i="4"/>
  <c r="K28" i="39" s="1"/>
  <c r="U28" i="4"/>
  <c r="Q27" i="39" s="1"/>
  <c r="R28" i="4"/>
  <c r="N27" i="39" s="1"/>
  <c r="O28" i="4"/>
  <c r="K27" i="39" s="1"/>
  <c r="L28" i="4"/>
  <c r="H27" i="39" s="1"/>
  <c r="E27" i="39"/>
  <c r="O31" i="4"/>
  <c r="K30" i="39" s="1"/>
  <c r="L31" i="4"/>
  <c r="H30" i="39" s="1"/>
  <c r="U31" i="4"/>
  <c r="Q30" i="39" s="1"/>
  <c r="I16" i="4"/>
  <c r="E15" i="39" s="1"/>
  <c r="Q19" i="39"/>
  <c r="V408" i="4"/>
  <c r="X408" i="4" s="1"/>
  <c r="I13" i="4"/>
  <c r="R31" i="4"/>
  <c r="N30" i="39" s="1"/>
  <c r="D20" i="28"/>
  <c r="U14" i="4"/>
  <c r="Q13" i="39" s="1"/>
  <c r="L13" i="4"/>
  <c r="U13" i="4"/>
  <c r="R16" i="4"/>
  <c r="N15" i="39" s="1"/>
  <c r="L12" i="4"/>
  <c r="O16" i="4"/>
  <c r="K15" i="39" s="1"/>
  <c r="R13" i="4"/>
  <c r="O14" i="4"/>
  <c r="K13" i="39" s="1"/>
  <c r="L16" i="4"/>
  <c r="H15" i="39" s="1"/>
  <c r="H146" i="4"/>
  <c r="U16" i="4"/>
  <c r="Q15" i="39" s="1"/>
  <c r="O13" i="4"/>
  <c r="C50" i="28"/>
  <c r="C57" i="28"/>
  <c r="C61" i="28" s="1"/>
  <c r="K19" i="39"/>
  <c r="H19" i="39"/>
  <c r="V101" i="4"/>
  <c r="I264" i="4"/>
  <c r="J31" i="39"/>
  <c r="V410" i="4"/>
  <c r="X410" i="4" s="1"/>
  <c r="V127" i="4"/>
  <c r="X127" i="4" s="1"/>
  <c r="R15" i="4"/>
  <c r="N14" i="39" s="1"/>
  <c r="Q65" i="4"/>
  <c r="P70" i="42" s="1"/>
  <c r="R70" i="42" s="1"/>
  <c r="R75" i="42" s="1"/>
  <c r="L117" i="4"/>
  <c r="D31" i="39"/>
  <c r="N19" i="39"/>
  <c r="L119" i="4"/>
  <c r="O12" i="4"/>
  <c r="V112" i="4"/>
  <c r="X112" i="4" s="1"/>
  <c r="O264" i="4"/>
  <c r="R14" i="4"/>
  <c r="N13" i="39" s="1"/>
  <c r="H286" i="4"/>
  <c r="E31" i="46" s="1"/>
  <c r="H228" i="4"/>
  <c r="E31" i="45" s="1"/>
  <c r="O119" i="4"/>
  <c r="U12" i="4"/>
  <c r="I14" i="4"/>
  <c r="E13" i="39" s="1"/>
  <c r="U264" i="4"/>
  <c r="L14" i="4"/>
  <c r="H13" i="39" s="1"/>
  <c r="H331" i="4"/>
  <c r="R12" i="4"/>
  <c r="I12" i="4"/>
  <c r="V63" i="4"/>
  <c r="X63" i="4" s="1"/>
  <c r="H206" i="4"/>
  <c r="L15" i="4"/>
  <c r="H14" i="39" s="1"/>
  <c r="L29" i="4"/>
  <c r="H28" i="39" s="1"/>
  <c r="O15" i="4"/>
  <c r="K14" i="39" s="1"/>
  <c r="T65" i="4"/>
  <c r="T70" i="42" s="1"/>
  <c r="V70" i="42" s="1"/>
  <c r="V75" i="42" s="1"/>
  <c r="L118" i="4"/>
  <c r="I118" i="4"/>
  <c r="O118" i="4"/>
  <c r="E19" i="39"/>
  <c r="R117" i="4"/>
  <c r="O117" i="4"/>
  <c r="V72" i="4"/>
  <c r="X72" i="4" s="1"/>
  <c r="V110" i="4"/>
  <c r="X110" i="4" s="1"/>
  <c r="U129" i="4"/>
  <c r="H41" i="41" s="1"/>
  <c r="R264" i="4"/>
  <c r="I15" i="4"/>
  <c r="E14" i="39" s="1"/>
  <c r="L264" i="4"/>
  <c r="L282" i="4" s="1"/>
  <c r="I119" i="4"/>
  <c r="V53" i="4"/>
  <c r="X53" i="4" s="1"/>
  <c r="U15" i="4"/>
  <c r="Q14" i="39" s="1"/>
  <c r="V58" i="4"/>
  <c r="X58" i="4" s="1"/>
  <c r="I37" i="41"/>
  <c r="I64" i="4"/>
  <c r="I65" i="4"/>
  <c r="V95" i="4"/>
  <c r="V54" i="4"/>
  <c r="X54" i="4" s="1"/>
  <c r="R32" i="4"/>
  <c r="L32" i="4"/>
  <c r="U32" i="4"/>
  <c r="V71" i="4"/>
  <c r="V89" i="4"/>
  <c r="X89" i="4" s="1"/>
  <c r="V85" i="4"/>
  <c r="X85" i="4" s="1"/>
  <c r="K65" i="4"/>
  <c r="H70" i="42" s="1"/>
  <c r="J70" i="42" s="1"/>
  <c r="R82" i="4"/>
  <c r="R90" i="4" s="1"/>
  <c r="O82" i="4"/>
  <c r="O90" i="4" s="1"/>
  <c r="L82" i="4"/>
  <c r="L90" i="4" s="1"/>
  <c r="U82" i="4"/>
  <c r="U90" i="4" s="1"/>
  <c r="V74" i="4"/>
  <c r="X74" i="4" s="1"/>
  <c r="V59" i="4"/>
  <c r="X59" i="4" s="1"/>
  <c r="V87" i="4"/>
  <c r="X87" i="4" s="1"/>
  <c r="V109" i="4"/>
  <c r="E28" i="39" l="1"/>
  <c r="I37" i="4"/>
  <c r="O37" i="4"/>
  <c r="L37" i="4"/>
  <c r="I34" i="4"/>
  <c r="D29" i="41" s="1"/>
  <c r="U37" i="4"/>
  <c r="R37" i="4"/>
  <c r="W8" i="47"/>
  <c r="W35" i="47"/>
  <c r="J37" i="44"/>
  <c r="J37" i="46"/>
  <c r="J37" i="45"/>
  <c r="V37" i="45"/>
  <c r="R288" i="4"/>
  <c r="R287" i="4"/>
  <c r="R286" i="4"/>
  <c r="F37" i="46"/>
  <c r="R37" i="45"/>
  <c r="R36" i="47"/>
  <c r="F36" i="47"/>
  <c r="W34" i="47"/>
  <c r="V37" i="44"/>
  <c r="R37" i="44"/>
  <c r="O288" i="4"/>
  <c r="O287" i="4"/>
  <c r="O286" i="4"/>
  <c r="W37" i="42"/>
  <c r="C31" i="45"/>
  <c r="F31" i="45" s="1"/>
  <c r="C36" i="45"/>
  <c r="F36" i="45" s="1"/>
  <c r="W36" i="45" s="1"/>
  <c r="C35" i="45"/>
  <c r="F35" i="45" s="1"/>
  <c r="W8" i="45"/>
  <c r="U287" i="4"/>
  <c r="U288" i="4"/>
  <c r="U286" i="4"/>
  <c r="C36" i="44"/>
  <c r="F36" i="44" s="1"/>
  <c r="W36" i="44" s="1"/>
  <c r="C35" i="44"/>
  <c r="F35" i="44" s="1"/>
  <c r="F31" i="44"/>
  <c r="W8" i="44"/>
  <c r="V36" i="47"/>
  <c r="L288" i="4"/>
  <c r="L287" i="4"/>
  <c r="L286" i="4"/>
  <c r="O35" i="46"/>
  <c r="R35" i="46" s="1"/>
  <c r="O31" i="46"/>
  <c r="O36" i="46"/>
  <c r="R36" i="46" s="1"/>
  <c r="W36" i="46" s="1"/>
  <c r="I282" i="4"/>
  <c r="I287" i="4"/>
  <c r="I288" i="4"/>
  <c r="I286" i="4"/>
  <c r="V37" i="46"/>
  <c r="J36" i="47"/>
  <c r="J7" i="43"/>
  <c r="G42" i="43" s="1"/>
  <c r="J42" i="43" s="1"/>
  <c r="I7" i="42"/>
  <c r="J7" i="42" s="1"/>
  <c r="G42" i="42" s="1"/>
  <c r="J42" i="42" s="1"/>
  <c r="R10" i="43"/>
  <c r="R43" i="43" s="1"/>
  <c r="Q10" i="42"/>
  <c r="R10" i="42" s="1"/>
  <c r="V10" i="43"/>
  <c r="V43" i="43" s="1"/>
  <c r="U10" i="42"/>
  <c r="V10" i="42" s="1"/>
  <c r="J10" i="43"/>
  <c r="I10" i="42"/>
  <c r="J10" i="42" s="1"/>
  <c r="V7" i="43"/>
  <c r="S42" i="43" s="1"/>
  <c r="V42" i="43" s="1"/>
  <c r="U7" i="42"/>
  <c r="V7" i="42" s="1"/>
  <c r="S42" i="42" s="1"/>
  <c r="V42" i="42" s="1"/>
  <c r="R7" i="43"/>
  <c r="O42" i="43" s="1"/>
  <c r="R42" i="43" s="1"/>
  <c r="Q7" i="42"/>
  <c r="R7" i="42" s="1"/>
  <c r="O42" i="42" s="1"/>
  <c r="R42" i="42" s="1"/>
  <c r="F7" i="43"/>
  <c r="C42" i="43" s="1"/>
  <c r="F42" i="43" s="1"/>
  <c r="E7" i="42"/>
  <c r="F7" i="42" s="1"/>
  <c r="C42" i="42" s="1"/>
  <c r="F42" i="42" s="1"/>
  <c r="J43" i="43"/>
  <c r="I40" i="4"/>
  <c r="I41" i="4"/>
  <c r="R41" i="4"/>
  <c r="R39" i="4"/>
  <c r="R40" i="4"/>
  <c r="L40" i="4"/>
  <c r="L41" i="4"/>
  <c r="L39" i="4"/>
  <c r="O41" i="4"/>
  <c r="O40" i="4"/>
  <c r="O39" i="4"/>
  <c r="U39" i="4"/>
  <c r="U40" i="4"/>
  <c r="U41" i="4"/>
  <c r="W70" i="42"/>
  <c r="W75" i="42" s="1"/>
  <c r="J75" i="42"/>
  <c r="I17" i="42"/>
  <c r="J17" i="42" s="1"/>
  <c r="R13" i="43"/>
  <c r="Q13" i="42"/>
  <c r="R13" i="42" s="1"/>
  <c r="J13" i="43"/>
  <c r="I13" i="42"/>
  <c r="J13" i="42" s="1"/>
  <c r="U17" i="42"/>
  <c r="V17" i="42" s="1"/>
  <c r="R11" i="43"/>
  <c r="Q11" i="42"/>
  <c r="R11" i="42" s="1"/>
  <c r="R12" i="43"/>
  <c r="Q12" i="42"/>
  <c r="R12" i="42" s="1"/>
  <c r="V12" i="43"/>
  <c r="U12" i="42"/>
  <c r="V12" i="42" s="1"/>
  <c r="J12" i="43"/>
  <c r="I12" i="42"/>
  <c r="J12" i="42" s="1"/>
  <c r="N38" i="42"/>
  <c r="N51" i="42" s="1"/>
  <c r="N186" i="42" s="1"/>
  <c r="V11" i="43"/>
  <c r="U11" i="42"/>
  <c r="V11" i="42" s="1"/>
  <c r="Q17" i="42"/>
  <c r="R17" i="42" s="1"/>
  <c r="J11" i="43"/>
  <c r="J11" i="42"/>
  <c r="W31" i="42"/>
  <c r="V13" i="43"/>
  <c r="U13" i="42"/>
  <c r="V13" i="42" s="1"/>
  <c r="V25" i="43"/>
  <c r="U25" i="42"/>
  <c r="V25" i="42" s="1"/>
  <c r="R25" i="43"/>
  <c r="Q25" i="42"/>
  <c r="R25" i="42" s="1"/>
  <c r="F25" i="43"/>
  <c r="E25" i="42"/>
  <c r="F25" i="42" s="1"/>
  <c r="J25" i="43"/>
  <c r="I25" i="42"/>
  <c r="J25" i="42" s="1"/>
  <c r="V26" i="43"/>
  <c r="U26" i="42"/>
  <c r="V26" i="42" s="1"/>
  <c r="R26" i="43"/>
  <c r="Q26" i="42"/>
  <c r="R26" i="42" s="1"/>
  <c r="J26" i="43"/>
  <c r="I26" i="42"/>
  <c r="J26" i="42" s="1"/>
  <c r="F26" i="43"/>
  <c r="E26" i="42"/>
  <c r="F26" i="42" s="1"/>
  <c r="F17" i="42"/>
  <c r="F12" i="43"/>
  <c r="E12" i="42"/>
  <c r="F12" i="42" s="1"/>
  <c r="F13" i="43"/>
  <c r="E13" i="42"/>
  <c r="F13" i="42" s="1"/>
  <c r="F11" i="43"/>
  <c r="E11" i="42"/>
  <c r="F11" i="42" s="1"/>
  <c r="O331" i="4"/>
  <c r="M30" i="47"/>
  <c r="J30" i="47"/>
  <c r="I31" i="45"/>
  <c r="L92" i="4"/>
  <c r="I31" i="46"/>
  <c r="F31" i="46"/>
  <c r="F27" i="46"/>
  <c r="J27" i="46"/>
  <c r="R92" i="4"/>
  <c r="G35" i="41" s="1"/>
  <c r="U92" i="4"/>
  <c r="H35" i="41" s="1"/>
  <c r="O92" i="4"/>
  <c r="L206" i="4"/>
  <c r="X71" i="4"/>
  <c r="V56" i="4"/>
  <c r="X56" i="4" s="1"/>
  <c r="O66" i="4"/>
  <c r="F33" i="41" s="1"/>
  <c r="V61" i="4"/>
  <c r="X61" i="4" s="1"/>
  <c r="V55" i="4"/>
  <c r="X55" i="4" s="1"/>
  <c r="F110" i="43"/>
  <c r="F122" i="43" s="1"/>
  <c r="G110" i="43"/>
  <c r="I146" i="4"/>
  <c r="M31" i="44"/>
  <c r="J31" i="44"/>
  <c r="W63" i="43"/>
  <c r="W65" i="43"/>
  <c r="V60" i="4"/>
  <c r="X60" i="4" s="1"/>
  <c r="L65" i="4"/>
  <c r="L66" i="4" s="1"/>
  <c r="E33" i="41" s="1"/>
  <c r="H66" i="43"/>
  <c r="J66" i="43" s="1"/>
  <c r="P66" i="43"/>
  <c r="R66" i="43" s="1"/>
  <c r="R68" i="43" s="1"/>
  <c r="R65" i="4"/>
  <c r="R66" i="4" s="1"/>
  <c r="G33" i="41" s="1"/>
  <c r="N68" i="43"/>
  <c r="U65" i="4"/>
  <c r="U66" i="4" s="1"/>
  <c r="H33" i="41" s="1"/>
  <c r="T66" i="43"/>
  <c r="V66" i="43" s="1"/>
  <c r="V68" i="43" s="1"/>
  <c r="W57" i="43"/>
  <c r="F68" i="43"/>
  <c r="W56" i="43"/>
  <c r="E31" i="39"/>
  <c r="W30" i="43"/>
  <c r="F31" i="43"/>
  <c r="C37" i="43" s="1"/>
  <c r="K37" i="43"/>
  <c r="N37" i="43" s="1"/>
  <c r="N38" i="43" s="1"/>
  <c r="N51" i="43" s="1"/>
  <c r="N33" i="43"/>
  <c r="J37" i="43"/>
  <c r="W412" i="4"/>
  <c r="U38" i="4"/>
  <c r="Q12" i="39"/>
  <c r="H12" i="39"/>
  <c r="N12" i="39"/>
  <c r="K12" i="39"/>
  <c r="E12" i="39"/>
  <c r="L38" i="4"/>
  <c r="R38" i="4"/>
  <c r="O38" i="4"/>
  <c r="X101" i="4"/>
  <c r="V114" i="4"/>
  <c r="I66" i="4"/>
  <c r="R129" i="4"/>
  <c r="G41" i="41" s="1"/>
  <c r="R27" i="39"/>
  <c r="R28" i="39"/>
  <c r="D25" i="28"/>
  <c r="L146" i="4"/>
  <c r="R146" i="4"/>
  <c r="U146" i="4"/>
  <c r="O146" i="4"/>
  <c r="I129" i="4"/>
  <c r="D41" i="41" s="1"/>
  <c r="G39" i="41"/>
  <c r="E39" i="41"/>
  <c r="H39" i="41"/>
  <c r="D39" i="41"/>
  <c r="V28" i="4"/>
  <c r="X28" i="4" s="1"/>
  <c r="R30" i="39"/>
  <c r="V31" i="4"/>
  <c r="X31" i="4" s="1"/>
  <c r="V13" i="4"/>
  <c r="X13" i="4" s="1"/>
  <c r="W90" i="4"/>
  <c r="V16" i="4"/>
  <c r="X16" i="4" s="1"/>
  <c r="V29" i="4"/>
  <c r="X29" i="4" s="1"/>
  <c r="U331" i="4"/>
  <c r="L331" i="4"/>
  <c r="R331" i="4"/>
  <c r="O206" i="4"/>
  <c r="I331" i="4"/>
  <c r="I349" i="4" s="1"/>
  <c r="L129" i="4"/>
  <c r="E41" i="41" s="1"/>
  <c r="O34" i="4"/>
  <c r="F29" i="41" s="1"/>
  <c r="V14" i="4"/>
  <c r="X14" i="4" s="1"/>
  <c r="O129" i="4"/>
  <c r="F41" i="41" s="1"/>
  <c r="D29" i="28"/>
  <c r="R34" i="4"/>
  <c r="G29" i="41" s="1"/>
  <c r="V12" i="4"/>
  <c r="X12" i="4" s="1"/>
  <c r="V118" i="4"/>
  <c r="X118" i="4" s="1"/>
  <c r="V15" i="4"/>
  <c r="X15" i="4" s="1"/>
  <c r="R206" i="4"/>
  <c r="I206" i="4"/>
  <c r="U206" i="4"/>
  <c r="V64" i="4"/>
  <c r="X64" i="4" s="1"/>
  <c r="V119" i="4"/>
  <c r="X119" i="4" s="1"/>
  <c r="L34" i="4"/>
  <c r="E29" i="41" s="1"/>
  <c r="V264" i="4"/>
  <c r="V282" i="4" s="1"/>
  <c r="V117" i="4"/>
  <c r="V82" i="4"/>
  <c r="V92" i="4" s="1"/>
  <c r="Q31" i="39"/>
  <c r="V97" i="4"/>
  <c r="X95" i="4"/>
  <c r="H31" i="39"/>
  <c r="V32" i="4"/>
  <c r="X32" i="4" s="1"/>
  <c r="N31" i="39"/>
  <c r="U34" i="4"/>
  <c r="H29" i="41" s="1"/>
  <c r="X109" i="4"/>
  <c r="J8" i="42" l="1"/>
  <c r="G35" i="42" s="1"/>
  <c r="J35" i="42" s="1"/>
  <c r="F27" i="42"/>
  <c r="C36" i="42" s="1"/>
  <c r="F36" i="42" s="1"/>
  <c r="I49" i="4"/>
  <c r="D31" i="41" s="1"/>
  <c r="W43" i="43"/>
  <c r="W10" i="43"/>
  <c r="X34" i="4"/>
  <c r="L289" i="4"/>
  <c r="U289" i="4"/>
  <c r="R289" i="4"/>
  <c r="O289" i="4"/>
  <c r="R37" i="46"/>
  <c r="W37" i="46" s="1"/>
  <c r="W42" i="43"/>
  <c r="I354" i="4"/>
  <c r="I353" i="4"/>
  <c r="I355" i="4"/>
  <c r="W36" i="47"/>
  <c r="O170" i="4"/>
  <c r="O169" i="4"/>
  <c r="O168" i="4"/>
  <c r="R355" i="4"/>
  <c r="R354" i="4"/>
  <c r="R353" i="4"/>
  <c r="U169" i="4"/>
  <c r="U170" i="4"/>
  <c r="U168" i="4"/>
  <c r="U229" i="4"/>
  <c r="U228" i="4"/>
  <c r="U230" i="4"/>
  <c r="L354" i="4"/>
  <c r="L355" i="4"/>
  <c r="L353" i="4"/>
  <c r="R170" i="4"/>
  <c r="R169" i="4"/>
  <c r="R168" i="4"/>
  <c r="W35" i="46"/>
  <c r="I230" i="4"/>
  <c r="I229" i="4"/>
  <c r="I228" i="4"/>
  <c r="U355" i="4"/>
  <c r="U354" i="4"/>
  <c r="U353" i="4"/>
  <c r="L168" i="4"/>
  <c r="L170" i="4"/>
  <c r="L169" i="4"/>
  <c r="O355" i="4"/>
  <c r="O354" i="4"/>
  <c r="O353" i="4"/>
  <c r="O230" i="4"/>
  <c r="O229" i="4"/>
  <c r="O228" i="4"/>
  <c r="F37" i="45"/>
  <c r="W37" i="45" s="1"/>
  <c r="W35" i="45"/>
  <c r="R230" i="4"/>
  <c r="R229" i="4"/>
  <c r="R228" i="4"/>
  <c r="V287" i="4"/>
  <c r="X287" i="4" s="1"/>
  <c r="I169" i="4"/>
  <c r="I168" i="4"/>
  <c r="I170" i="4"/>
  <c r="L229" i="4"/>
  <c r="L230" i="4"/>
  <c r="L228" i="4"/>
  <c r="F37" i="44"/>
  <c r="W37" i="44" s="1"/>
  <c r="W35" i="44"/>
  <c r="V288" i="4"/>
  <c r="X288" i="4" s="1"/>
  <c r="W10" i="42"/>
  <c r="V8" i="42"/>
  <c r="W42" i="42"/>
  <c r="W7" i="42"/>
  <c r="F8" i="42"/>
  <c r="C35" i="42" s="1"/>
  <c r="F35" i="42" s="1"/>
  <c r="W7" i="43"/>
  <c r="J27" i="43"/>
  <c r="F8" i="43"/>
  <c r="C35" i="43" s="1"/>
  <c r="V8" i="43"/>
  <c r="J8" i="43"/>
  <c r="R8" i="43"/>
  <c r="I289" i="4"/>
  <c r="I326" i="4" s="1"/>
  <c r="W11" i="43"/>
  <c r="W13" i="42"/>
  <c r="W12" i="43"/>
  <c r="R27" i="43"/>
  <c r="V27" i="43"/>
  <c r="W13" i="43"/>
  <c r="W12" i="42"/>
  <c r="W17" i="42"/>
  <c r="W26" i="43"/>
  <c r="V27" i="42"/>
  <c r="S36" i="42" s="1"/>
  <c r="W25" i="43"/>
  <c r="R27" i="42"/>
  <c r="O36" i="42" s="1"/>
  <c r="W25" i="42"/>
  <c r="J27" i="42"/>
  <c r="G36" i="42" s="1"/>
  <c r="R8" i="42"/>
  <c r="O35" i="42" s="1"/>
  <c r="W26" i="42"/>
  <c r="F27" i="43"/>
  <c r="C36" i="43" s="1"/>
  <c r="W11" i="42"/>
  <c r="Q30" i="47"/>
  <c r="N30" i="47"/>
  <c r="M31" i="45"/>
  <c r="J31" i="45"/>
  <c r="F27" i="45"/>
  <c r="C32" i="46"/>
  <c r="F32" i="46" s="1"/>
  <c r="F29" i="46"/>
  <c r="M31" i="46"/>
  <c r="J31" i="46"/>
  <c r="G32" i="46"/>
  <c r="J32" i="46" s="1"/>
  <c r="J29" i="46"/>
  <c r="Q31" i="44"/>
  <c r="N31" i="44"/>
  <c r="J110" i="43"/>
  <c r="J122" i="43" s="1"/>
  <c r="K110" i="43"/>
  <c r="V65" i="4"/>
  <c r="X65" i="4" s="1"/>
  <c r="X66" i="4" s="1"/>
  <c r="W66" i="43"/>
  <c r="J68" i="43"/>
  <c r="V41" i="4"/>
  <c r="X41" i="4" s="1"/>
  <c r="V40" i="4"/>
  <c r="X40" i="4" s="1"/>
  <c r="F37" i="43"/>
  <c r="W37" i="43" s="1"/>
  <c r="W31" i="43"/>
  <c r="Q11" i="39"/>
  <c r="N11" i="39"/>
  <c r="H11" i="39"/>
  <c r="E11" i="39"/>
  <c r="K11" i="39"/>
  <c r="X114" i="4"/>
  <c r="L49" i="4"/>
  <c r="E31" i="41" s="1"/>
  <c r="D30" i="28"/>
  <c r="F35" i="41"/>
  <c r="E35" i="41"/>
  <c r="D33" i="41"/>
  <c r="I33" i="41" s="1"/>
  <c r="V146" i="4"/>
  <c r="I39" i="41"/>
  <c r="R164" i="4"/>
  <c r="O164" i="4"/>
  <c r="L164" i="4"/>
  <c r="U164" i="4"/>
  <c r="O282" i="4"/>
  <c r="I164" i="4"/>
  <c r="U282" i="4"/>
  <c r="L224" i="4"/>
  <c r="R224" i="4"/>
  <c r="R282" i="4"/>
  <c r="O224" i="4"/>
  <c r="U224" i="4"/>
  <c r="I224" i="4"/>
  <c r="X264" i="4"/>
  <c r="O349" i="4"/>
  <c r="L349" i="4"/>
  <c r="U349" i="4"/>
  <c r="R349" i="4"/>
  <c r="V286" i="4"/>
  <c r="V331" i="4"/>
  <c r="I41" i="41"/>
  <c r="V39" i="4"/>
  <c r="X39" i="4" s="1"/>
  <c r="V206" i="4"/>
  <c r="V37" i="4"/>
  <c r="X37" i="4" s="1"/>
  <c r="U49" i="4"/>
  <c r="H31" i="41" s="1"/>
  <c r="H44" i="41" s="1"/>
  <c r="O49" i="4"/>
  <c r="F31" i="41" s="1"/>
  <c r="X117" i="4"/>
  <c r="V129" i="4"/>
  <c r="V38" i="4"/>
  <c r="X38" i="4" s="1"/>
  <c r="R31" i="39"/>
  <c r="X97" i="4"/>
  <c r="I29" i="41"/>
  <c r="X82" i="4"/>
  <c r="X90" i="4" s="1"/>
  <c r="R49" i="4"/>
  <c r="G31" i="41" s="1"/>
  <c r="V34" i="4"/>
  <c r="G36" i="43" l="1"/>
  <c r="J36" i="43" s="1"/>
  <c r="G41" i="42"/>
  <c r="J41" i="42" s="1"/>
  <c r="J49" i="42" s="1"/>
  <c r="U326" i="4"/>
  <c r="I231" i="4"/>
  <c r="I259" i="4" s="1"/>
  <c r="L326" i="4"/>
  <c r="O326" i="4"/>
  <c r="I356" i="4"/>
  <c r="I404" i="4" s="1"/>
  <c r="R326" i="4"/>
  <c r="O231" i="4"/>
  <c r="O259" i="4" s="1"/>
  <c r="U356" i="4"/>
  <c r="U404" i="4" s="1"/>
  <c r="U171" i="4"/>
  <c r="U201" i="4" s="1"/>
  <c r="O356" i="4"/>
  <c r="O404" i="4" s="1"/>
  <c r="L231" i="4"/>
  <c r="L259" i="4" s="1"/>
  <c r="R231" i="4"/>
  <c r="R259" i="4" s="1"/>
  <c r="L171" i="4"/>
  <c r="L201" i="4" s="1"/>
  <c r="R171" i="4"/>
  <c r="R201" i="4" s="1"/>
  <c r="L356" i="4"/>
  <c r="L404" i="4" s="1"/>
  <c r="S35" i="42"/>
  <c r="V35" i="42" s="1"/>
  <c r="U231" i="4"/>
  <c r="U259" i="4" s="1"/>
  <c r="O171" i="4"/>
  <c r="O201" i="4" s="1"/>
  <c r="I171" i="4"/>
  <c r="I201" i="4" s="1"/>
  <c r="R356" i="4"/>
  <c r="R404" i="4" s="1"/>
  <c r="S41" i="42"/>
  <c r="V41" i="42" s="1"/>
  <c r="V49" i="42" s="1"/>
  <c r="V229" i="4"/>
  <c r="X229" i="4" s="1"/>
  <c r="V354" i="4"/>
  <c r="X354" i="4" s="1"/>
  <c r="V230" i="4"/>
  <c r="X230" i="4" s="1"/>
  <c r="V169" i="4"/>
  <c r="X169" i="4" s="1"/>
  <c r="V355" i="4"/>
  <c r="X355" i="4" s="1"/>
  <c r="V170" i="4"/>
  <c r="X170" i="4" s="1"/>
  <c r="C41" i="42"/>
  <c r="F41" i="42" s="1"/>
  <c r="F49" i="42" s="1"/>
  <c r="R36" i="42"/>
  <c r="S35" i="43"/>
  <c r="V35" i="43" s="1"/>
  <c r="S41" i="43"/>
  <c r="V41" i="43" s="1"/>
  <c r="V49" i="43" s="1"/>
  <c r="O41" i="42"/>
  <c r="R41" i="42" s="1"/>
  <c r="R49" i="42" s="1"/>
  <c r="R35" i="42"/>
  <c r="F35" i="43"/>
  <c r="C41" i="43"/>
  <c r="F41" i="43" s="1"/>
  <c r="F49" i="43" s="1"/>
  <c r="O35" i="43"/>
  <c r="R35" i="43" s="1"/>
  <c r="O41" i="43"/>
  <c r="R41" i="43" s="1"/>
  <c r="R49" i="43" s="1"/>
  <c r="V33" i="42"/>
  <c r="V36" i="42"/>
  <c r="G35" i="43"/>
  <c r="G41" i="43"/>
  <c r="J41" i="43" s="1"/>
  <c r="J49" i="43" s="1"/>
  <c r="J33" i="42"/>
  <c r="J36" i="42"/>
  <c r="R33" i="43"/>
  <c r="W8" i="43"/>
  <c r="V33" i="43"/>
  <c r="S36" i="43"/>
  <c r="V36" i="43" s="1"/>
  <c r="O36" i="43"/>
  <c r="R36" i="43" s="1"/>
  <c r="W27" i="43"/>
  <c r="J33" i="43"/>
  <c r="R33" i="42"/>
  <c r="W8" i="42"/>
  <c r="F36" i="43"/>
  <c r="F33" i="43"/>
  <c r="F33" i="42"/>
  <c r="W27" i="42"/>
  <c r="F27" i="47"/>
  <c r="C31" i="47" s="1"/>
  <c r="U30" i="47"/>
  <c r="V30" i="47" s="1"/>
  <c r="R30" i="47"/>
  <c r="J33" i="46"/>
  <c r="J39" i="46" s="1"/>
  <c r="J84" i="46" s="1"/>
  <c r="G88" i="46" s="1"/>
  <c r="J88" i="46" s="1"/>
  <c r="J90" i="46" s="1"/>
  <c r="J92" i="46" s="1"/>
  <c r="J94" i="46" s="1"/>
  <c r="J27" i="45"/>
  <c r="C32" i="45"/>
  <c r="F32" i="45" s="1"/>
  <c r="F29" i="45"/>
  <c r="Q31" i="46"/>
  <c r="N31" i="46"/>
  <c r="Q31" i="45"/>
  <c r="N31" i="45"/>
  <c r="F33" i="46"/>
  <c r="N27" i="46"/>
  <c r="V27" i="46"/>
  <c r="R27" i="46"/>
  <c r="V66" i="4"/>
  <c r="O110" i="43"/>
  <c r="N110" i="43"/>
  <c r="N122" i="43" s="1"/>
  <c r="N137" i="43" s="1"/>
  <c r="J27" i="44"/>
  <c r="U31" i="44"/>
  <c r="V31" i="44" s="1"/>
  <c r="R31" i="44"/>
  <c r="W68" i="43"/>
  <c r="X286" i="4"/>
  <c r="E44" i="41"/>
  <c r="E46" i="41" s="1"/>
  <c r="E48" i="41" s="1"/>
  <c r="J189" i="42" s="1"/>
  <c r="R22" i="39"/>
  <c r="R15" i="39"/>
  <c r="R21" i="39"/>
  <c r="R26" i="39"/>
  <c r="R11" i="39"/>
  <c r="R19" i="39"/>
  <c r="X146" i="4"/>
  <c r="R14" i="39"/>
  <c r="R13" i="39"/>
  <c r="R12" i="39"/>
  <c r="R20" i="39"/>
  <c r="R25" i="39"/>
  <c r="F44" i="41"/>
  <c r="F46" i="41" s="1"/>
  <c r="F48" i="41" s="1"/>
  <c r="N189" i="42" s="1"/>
  <c r="H46" i="41"/>
  <c r="H48" i="41" s="1"/>
  <c r="V189" i="42" s="1"/>
  <c r="R24" i="39"/>
  <c r="G44" i="41"/>
  <c r="G46" i="41" s="1"/>
  <c r="G48" i="41" s="1"/>
  <c r="R189" i="42" s="1"/>
  <c r="V168" i="4"/>
  <c r="X168" i="4" s="1"/>
  <c r="V164" i="4"/>
  <c r="X206" i="4"/>
  <c r="X224" i="4" s="1"/>
  <c r="V224" i="4"/>
  <c r="V353" i="4"/>
  <c r="X353" i="4" s="1"/>
  <c r="X331" i="4"/>
  <c r="X349" i="4" s="1"/>
  <c r="V349" i="4"/>
  <c r="V227" i="4"/>
  <c r="X227" i="4" s="1"/>
  <c r="V352" i="4"/>
  <c r="V167" i="4"/>
  <c r="N32" i="39"/>
  <c r="V228" i="4"/>
  <c r="E32" i="39"/>
  <c r="X129" i="4"/>
  <c r="Q32" i="39"/>
  <c r="H32" i="39"/>
  <c r="V49" i="4"/>
  <c r="K32" i="39"/>
  <c r="I31" i="41"/>
  <c r="V285" i="4"/>
  <c r="X282" i="4"/>
  <c r="D28" i="28"/>
  <c r="D32" i="28" s="1"/>
  <c r="W416" i="4"/>
  <c r="E21" i="28"/>
  <c r="F21" i="28"/>
  <c r="E22" i="28"/>
  <c r="F22" i="28"/>
  <c r="X49" i="4"/>
  <c r="B19" i="28" l="1"/>
  <c r="F19" i="28" s="1"/>
  <c r="W35" i="42"/>
  <c r="J35" i="43"/>
  <c r="J38" i="43" s="1"/>
  <c r="J51" i="43" s="1"/>
  <c r="J137" i="43" s="1"/>
  <c r="V38" i="43"/>
  <c r="V51" i="43" s="1"/>
  <c r="W41" i="42"/>
  <c r="F38" i="43"/>
  <c r="F51" i="43" s="1"/>
  <c r="F137" i="43" s="1"/>
  <c r="R38" i="43"/>
  <c r="R51" i="43" s="1"/>
  <c r="W36" i="42"/>
  <c r="W41" i="43"/>
  <c r="J38" i="42"/>
  <c r="J51" i="42" s="1"/>
  <c r="V38" i="42"/>
  <c r="V51" i="42" s="1"/>
  <c r="V186" i="42" s="1"/>
  <c r="K140" i="43"/>
  <c r="N140" i="43" s="1"/>
  <c r="N143" i="43" s="1"/>
  <c r="N145" i="43" s="1"/>
  <c r="N147" i="43" s="1"/>
  <c r="V356" i="4"/>
  <c r="V404" i="4" s="1"/>
  <c r="V289" i="4"/>
  <c r="V326" i="4" s="1"/>
  <c r="W33" i="43"/>
  <c r="B17" i="28" s="1"/>
  <c r="W36" i="43"/>
  <c r="W49" i="42"/>
  <c r="W33" i="42"/>
  <c r="F38" i="42"/>
  <c r="W30" i="47"/>
  <c r="J27" i="47"/>
  <c r="F28" i="47"/>
  <c r="F31" i="47"/>
  <c r="N29" i="46"/>
  <c r="K32" i="46"/>
  <c r="N32" i="46" s="1"/>
  <c r="W27" i="46"/>
  <c r="F39" i="46"/>
  <c r="F33" i="45"/>
  <c r="J29" i="45"/>
  <c r="G32" i="45"/>
  <c r="J32" i="45" s="1"/>
  <c r="J33" i="45" s="1"/>
  <c r="J38" i="45" s="1"/>
  <c r="U31" i="45"/>
  <c r="V31" i="45" s="1"/>
  <c r="R31" i="45"/>
  <c r="N27" i="45"/>
  <c r="R29" i="46"/>
  <c r="O32" i="46"/>
  <c r="R32" i="46" s="1"/>
  <c r="S32" i="46"/>
  <c r="V32" i="46" s="1"/>
  <c r="V29" i="46"/>
  <c r="U31" i="46"/>
  <c r="V31" i="46" s="1"/>
  <c r="R31" i="46"/>
  <c r="N27" i="44"/>
  <c r="G32" i="44"/>
  <c r="J32" i="44" s="1"/>
  <c r="J33" i="44" s="1"/>
  <c r="J39" i="44" s="1"/>
  <c r="J29" i="44"/>
  <c r="F32" i="44"/>
  <c r="F29" i="44"/>
  <c r="W31" i="44"/>
  <c r="S110" i="43"/>
  <c r="V110" i="43" s="1"/>
  <c r="V122" i="43" s="1"/>
  <c r="R110" i="43"/>
  <c r="X352" i="4"/>
  <c r="X228" i="4"/>
  <c r="X231" i="4" s="1"/>
  <c r="X259" i="4" s="1"/>
  <c r="V231" i="4"/>
  <c r="V259" i="4" s="1"/>
  <c r="X167" i="4"/>
  <c r="X171" i="4" s="1"/>
  <c r="V171" i="4"/>
  <c r="V201" i="4" s="1"/>
  <c r="U412" i="4"/>
  <c r="O412" i="4"/>
  <c r="L412" i="4"/>
  <c r="R412" i="4"/>
  <c r="G53" i="41"/>
  <c r="F53" i="41"/>
  <c r="E53" i="41"/>
  <c r="F57" i="41"/>
  <c r="D35" i="41"/>
  <c r="D44" i="41" s="1"/>
  <c r="D46" i="41" s="1"/>
  <c r="V90" i="4"/>
  <c r="H51" i="41"/>
  <c r="F51" i="41"/>
  <c r="E51" i="41"/>
  <c r="X164" i="4"/>
  <c r="H53" i="41"/>
  <c r="H55" i="41"/>
  <c r="G57" i="41"/>
  <c r="H57" i="41"/>
  <c r="E55" i="41"/>
  <c r="F55" i="41"/>
  <c r="D53" i="41"/>
  <c r="D50" i="28"/>
  <c r="D61" i="28" s="1"/>
  <c r="F63" i="28" s="1"/>
  <c r="X285" i="4"/>
  <c r="X289" i="4" s="1"/>
  <c r="X326" i="4" s="1"/>
  <c r="R32" i="39"/>
  <c r="E19" i="28" l="1"/>
  <c r="W35" i="43"/>
  <c r="F17" i="28"/>
  <c r="W38" i="43"/>
  <c r="W49" i="43"/>
  <c r="J78" i="44"/>
  <c r="G82" i="44" s="1"/>
  <c r="J82" i="44" s="1"/>
  <c r="R38" i="42"/>
  <c r="W38" i="42" s="1"/>
  <c r="J186" i="42"/>
  <c r="C140" i="43"/>
  <c r="F140" i="43" s="1"/>
  <c r="F143" i="43" s="1"/>
  <c r="F145" i="43" s="1"/>
  <c r="V137" i="43"/>
  <c r="X356" i="4"/>
  <c r="X404" i="4" s="1"/>
  <c r="F51" i="42"/>
  <c r="F186" i="42" s="1"/>
  <c r="F32" i="47"/>
  <c r="N27" i="47"/>
  <c r="V27" i="47"/>
  <c r="J28" i="47"/>
  <c r="G31" i="47"/>
  <c r="J31" i="47" s="1"/>
  <c r="R27" i="45"/>
  <c r="F38" i="45"/>
  <c r="K32" i="45"/>
  <c r="N32" i="45" s="1"/>
  <c r="N29" i="45"/>
  <c r="F84" i="46"/>
  <c r="C88" i="46" s="1"/>
  <c r="F88" i="46" s="1"/>
  <c r="R33" i="46"/>
  <c r="R39" i="46" s="1"/>
  <c r="R84" i="46" s="1"/>
  <c r="O88" i="46" s="1"/>
  <c r="R88" i="46" s="1"/>
  <c r="R90" i="46" s="1"/>
  <c r="R92" i="46" s="1"/>
  <c r="R94" i="46" s="1"/>
  <c r="W31" i="46"/>
  <c r="V33" i="46"/>
  <c r="V39" i="46" s="1"/>
  <c r="V84" i="46" s="1"/>
  <c r="S88" i="46" s="1"/>
  <c r="V88" i="46" s="1"/>
  <c r="V90" i="46" s="1"/>
  <c r="V92" i="46" s="1"/>
  <c r="V94" i="46" s="1"/>
  <c r="J75" i="45"/>
  <c r="G79" i="45" s="1"/>
  <c r="J79" i="45" s="1"/>
  <c r="J81" i="45" s="1"/>
  <c r="J83" i="45" s="1"/>
  <c r="J85" i="45" s="1"/>
  <c r="N33" i="46"/>
  <c r="W32" i="46"/>
  <c r="W31" i="45"/>
  <c r="W29" i="46"/>
  <c r="X201" i="4"/>
  <c r="F33" i="44"/>
  <c r="F39" i="44" s="1"/>
  <c r="F78" i="44" s="1"/>
  <c r="R122" i="43"/>
  <c r="W110" i="43"/>
  <c r="K32" i="44"/>
  <c r="N32" i="44" s="1"/>
  <c r="N33" i="44" s="1"/>
  <c r="N39" i="44" s="1"/>
  <c r="N29" i="44"/>
  <c r="V27" i="44"/>
  <c r="G140" i="43"/>
  <c r="J140" i="43" s="1"/>
  <c r="J143" i="43" s="1"/>
  <c r="J145" i="43" s="1"/>
  <c r="J147" i="43" s="1"/>
  <c r="W51" i="43"/>
  <c r="B18" i="28" s="1"/>
  <c r="G55" i="41"/>
  <c r="I412" i="4"/>
  <c r="I414" i="4" s="1"/>
  <c r="L414" i="4"/>
  <c r="U414" i="4"/>
  <c r="O414" i="4"/>
  <c r="O416" i="4" s="1"/>
  <c r="I35" i="41"/>
  <c r="I44" i="41" s="1"/>
  <c r="I53" i="41"/>
  <c r="D55" i="41"/>
  <c r="H58" i="41"/>
  <c r="H60" i="41" s="1"/>
  <c r="G51" i="41"/>
  <c r="E17" i="28" l="1"/>
  <c r="R51" i="42"/>
  <c r="R186" i="42" s="1"/>
  <c r="H62" i="41"/>
  <c r="E18" i="28"/>
  <c r="F18" i="28"/>
  <c r="S140" i="43"/>
  <c r="V140" i="43" s="1"/>
  <c r="V143" i="43" s="1"/>
  <c r="V145" i="43" s="1"/>
  <c r="V147" i="43" s="1"/>
  <c r="J32" i="47"/>
  <c r="J37" i="47" s="1"/>
  <c r="V28" i="47"/>
  <c r="S31" i="47"/>
  <c r="V31" i="47" s="1"/>
  <c r="V32" i="47" s="1"/>
  <c r="V37" i="47" s="1"/>
  <c r="R27" i="47"/>
  <c r="W27" i="47" s="1"/>
  <c r="N28" i="47"/>
  <c r="K31" i="47"/>
  <c r="N31" i="47" s="1"/>
  <c r="F37" i="47"/>
  <c r="F82" i="47" s="1"/>
  <c r="C86" i="47" s="1"/>
  <c r="N33" i="45"/>
  <c r="F75" i="45"/>
  <c r="C79" i="45" s="1"/>
  <c r="F79" i="45" s="1"/>
  <c r="V27" i="45"/>
  <c r="F90" i="46"/>
  <c r="F92" i="46" s="1"/>
  <c r="O32" i="45"/>
  <c r="R32" i="45" s="1"/>
  <c r="R33" i="45" s="1"/>
  <c r="R38" i="45" s="1"/>
  <c r="R29" i="45"/>
  <c r="N39" i="46"/>
  <c r="W33" i="46"/>
  <c r="F81" i="44"/>
  <c r="C82" i="44"/>
  <c r="F82" i="44" s="1"/>
  <c r="J81" i="44"/>
  <c r="J84" i="44" s="1"/>
  <c r="J86" i="44" s="1"/>
  <c r="J88" i="44" s="1"/>
  <c r="N78" i="44"/>
  <c r="K82" i="44" s="1"/>
  <c r="N82" i="44" s="1"/>
  <c r="W122" i="43"/>
  <c r="R137" i="43"/>
  <c r="V29" i="44"/>
  <c r="S32" i="44"/>
  <c r="V32" i="44" s="1"/>
  <c r="V33" i="44" s="1"/>
  <c r="V39" i="44" s="1"/>
  <c r="R27" i="44"/>
  <c r="F147" i="43"/>
  <c r="G58" i="41"/>
  <c r="G60" i="41" s="1"/>
  <c r="G62" i="41" s="1"/>
  <c r="I55" i="41"/>
  <c r="V412" i="4"/>
  <c r="X412" i="4" s="1"/>
  <c r="D48" i="41"/>
  <c r="F189" i="42" s="1"/>
  <c r="W189" i="42" s="1"/>
  <c r="I46" i="41"/>
  <c r="X92" i="4"/>
  <c r="R414" i="4"/>
  <c r="R416" i="4" s="1"/>
  <c r="D51" i="41"/>
  <c r="I51" i="41" s="1"/>
  <c r="U416" i="4"/>
  <c r="F58" i="41"/>
  <c r="F60" i="41" s="1"/>
  <c r="F62" i="41" s="1"/>
  <c r="F84" i="44" l="1"/>
  <c r="F86" i="44" s="1"/>
  <c r="F88" i="44" s="1"/>
  <c r="W51" i="42"/>
  <c r="W186" i="42" s="1"/>
  <c r="F64" i="41"/>
  <c r="N190" i="42"/>
  <c r="N192" i="42" s="1"/>
  <c r="N194" i="42" s="1"/>
  <c r="N199" i="42" s="1"/>
  <c r="G64" i="41"/>
  <c r="R190" i="42"/>
  <c r="R192" i="42" s="1"/>
  <c r="R194" i="42" s="1"/>
  <c r="R199" i="42" s="1"/>
  <c r="H64" i="41"/>
  <c r="V190" i="42"/>
  <c r="V192" i="42" s="1"/>
  <c r="V194" i="42" s="1"/>
  <c r="V199" i="42" s="1"/>
  <c r="W137" i="43"/>
  <c r="B23" i="28"/>
  <c r="B25" i="28" s="1"/>
  <c r="O140" i="43"/>
  <c r="R140" i="43" s="1"/>
  <c r="R143" i="43" s="1"/>
  <c r="R145" i="43" s="1"/>
  <c r="R147" i="43" s="1"/>
  <c r="W147" i="43" s="1"/>
  <c r="V82" i="47"/>
  <c r="S86" i="47" s="1"/>
  <c r="V86" i="47" s="1"/>
  <c r="V88" i="47" s="1"/>
  <c r="V90" i="47" s="1"/>
  <c r="V95" i="47" s="1"/>
  <c r="J82" i="47"/>
  <c r="G86" i="47" s="1"/>
  <c r="J86" i="47" s="1"/>
  <c r="J88" i="47" s="1"/>
  <c r="J90" i="47" s="1"/>
  <c r="J95" i="47" s="1"/>
  <c r="F86" i="47"/>
  <c r="N32" i="47"/>
  <c r="R28" i="47"/>
  <c r="O31" i="47"/>
  <c r="R31" i="47" s="1"/>
  <c r="R75" i="45"/>
  <c r="O79" i="45" s="1"/>
  <c r="R79" i="45" s="1"/>
  <c r="R81" i="45" s="1"/>
  <c r="R83" i="45" s="1"/>
  <c r="R85" i="45" s="1"/>
  <c r="N84" i="46"/>
  <c r="K88" i="46" s="1"/>
  <c r="N88" i="46" s="1"/>
  <c r="W39" i="46"/>
  <c r="N38" i="45"/>
  <c r="S32" i="45"/>
  <c r="V32" i="45" s="1"/>
  <c r="V33" i="45" s="1"/>
  <c r="V38" i="45" s="1"/>
  <c r="V29" i="45"/>
  <c r="W27" i="45"/>
  <c r="F81" i="45"/>
  <c r="F83" i="45" s="1"/>
  <c r="F94" i="46"/>
  <c r="N81" i="44"/>
  <c r="N84" i="44" s="1"/>
  <c r="N86" i="44" s="1"/>
  <c r="N88" i="44" s="1"/>
  <c r="V78" i="44"/>
  <c r="S82" i="44" s="1"/>
  <c r="V82" i="44" s="1"/>
  <c r="O32" i="44"/>
  <c r="R32" i="44" s="1"/>
  <c r="R29" i="44"/>
  <c r="W29" i="44" s="1"/>
  <c r="W27" i="44"/>
  <c r="I48" i="41"/>
  <c r="F20" i="28"/>
  <c r="E20" i="28"/>
  <c r="E57" i="41"/>
  <c r="E58" i="41" s="1"/>
  <c r="E60" i="41" s="1"/>
  <c r="D57" i="41"/>
  <c r="B53" i="28" l="1"/>
  <c r="E53" i="28" s="1"/>
  <c r="W84" i="46"/>
  <c r="B30" i="28" s="1"/>
  <c r="E30" i="28" s="1"/>
  <c r="E23" i="28"/>
  <c r="E25" i="28" s="1"/>
  <c r="F23" i="28"/>
  <c r="F25" i="28" s="1"/>
  <c r="W145" i="43"/>
  <c r="W140" i="43"/>
  <c r="W143" i="43" s="1"/>
  <c r="R32" i="47"/>
  <c r="R37" i="47" s="1"/>
  <c r="R82" i="47" s="1"/>
  <c r="O86" i="47" s="1"/>
  <c r="R86" i="47" s="1"/>
  <c r="R88" i="47" s="1"/>
  <c r="W31" i="47"/>
  <c r="W28" i="47"/>
  <c r="N37" i="47"/>
  <c r="N82" i="47" s="1"/>
  <c r="F88" i="47"/>
  <c r="F90" i="47" s="1"/>
  <c r="W33" i="45"/>
  <c r="W38" i="45"/>
  <c r="N75" i="45"/>
  <c r="K79" i="45" s="1"/>
  <c r="N79" i="45" s="1"/>
  <c r="W32" i="45"/>
  <c r="F85" i="45"/>
  <c r="N90" i="46"/>
  <c r="N92" i="46" s="1"/>
  <c r="W88" i="46"/>
  <c r="W90" i="46" s="1"/>
  <c r="V75" i="45"/>
  <c r="S79" i="45" s="1"/>
  <c r="V79" i="45" s="1"/>
  <c r="V81" i="45" s="1"/>
  <c r="V83" i="45" s="1"/>
  <c r="V85" i="45" s="1"/>
  <c r="W29" i="45"/>
  <c r="V81" i="44"/>
  <c r="V84" i="44" s="1"/>
  <c r="V86" i="44" s="1"/>
  <c r="V88" i="44" s="1"/>
  <c r="R33" i="44"/>
  <c r="W32" i="44"/>
  <c r="E62" i="41"/>
  <c r="I57" i="41"/>
  <c r="I58" i="41" s="1"/>
  <c r="D58" i="41"/>
  <c r="D60" i="41" s="1"/>
  <c r="I60" i="41" s="1"/>
  <c r="I416" i="4"/>
  <c r="L416" i="4"/>
  <c r="F30" i="28" l="1"/>
  <c r="E64" i="41"/>
  <c r="J190" i="42"/>
  <c r="J192" i="42" s="1"/>
  <c r="J194" i="42" s="1"/>
  <c r="J199" i="42" s="1"/>
  <c r="W32" i="47"/>
  <c r="R90" i="47"/>
  <c r="F95" i="47"/>
  <c r="W37" i="47"/>
  <c r="W82" i="47" s="1"/>
  <c r="B31" i="28" s="1"/>
  <c r="F31" i="28" s="1"/>
  <c r="K86" i="47"/>
  <c r="N86" i="47" s="1"/>
  <c r="N94" i="46"/>
  <c r="W94" i="46" s="1"/>
  <c r="W92" i="46"/>
  <c r="N81" i="45"/>
  <c r="N83" i="45" s="1"/>
  <c r="W79" i="45"/>
  <c r="W81" i="45" s="1"/>
  <c r="W75" i="45"/>
  <c r="B29" i="28" s="1"/>
  <c r="W33" i="44"/>
  <c r="R39" i="44"/>
  <c r="I62" i="41"/>
  <c r="I64" i="41" s="1"/>
  <c r="V416" i="4"/>
  <c r="V414" i="4"/>
  <c r="X416" i="4" l="1"/>
  <c r="E31" i="28"/>
  <c r="F29" i="28"/>
  <c r="E29" i="28"/>
  <c r="R95" i="47"/>
  <c r="N88" i="47"/>
  <c r="N90" i="47" s="1"/>
  <c r="W90" i="47" s="1"/>
  <c r="W86" i="47"/>
  <c r="W88" i="47" s="1"/>
  <c r="N85" i="45"/>
  <c r="W85" i="45" s="1"/>
  <c r="W83" i="45"/>
  <c r="R78" i="44"/>
  <c r="O82" i="44" s="1"/>
  <c r="R82" i="44" s="1"/>
  <c r="W82" i="44" s="1"/>
  <c r="W39" i="44"/>
  <c r="X414" i="4"/>
  <c r="D62" i="41"/>
  <c r="W78" i="44" l="1"/>
  <c r="B28" i="28" s="1"/>
  <c r="F28" i="28" s="1"/>
  <c r="F32" i="28" s="1"/>
  <c r="F50" i="28" s="1"/>
  <c r="D64" i="41"/>
  <c r="F190" i="42"/>
  <c r="N95" i="47"/>
  <c r="W95" i="47" s="1"/>
  <c r="R81" i="44"/>
  <c r="B32" i="28" l="1"/>
  <c r="B54" i="28" s="1"/>
  <c r="B57" i="28" s="1"/>
  <c r="E28" i="28"/>
  <c r="E32" i="28" s="1"/>
  <c r="E50" i="28" s="1"/>
  <c r="W190" i="42"/>
  <c r="W192" i="42" s="1"/>
  <c r="F192" i="42"/>
  <c r="F194" i="42" s="1"/>
  <c r="W194" i="42" s="1"/>
  <c r="W199" i="42" s="1"/>
  <c r="R84" i="44"/>
  <c r="R86" i="44" s="1"/>
  <c r="W81" i="44"/>
  <c r="W84" i="44" s="1"/>
  <c r="B50" i="28" l="1"/>
  <c r="B61" i="28" s="1"/>
  <c r="F199" i="42"/>
  <c r="E54" i="28"/>
  <c r="E57" i="28" s="1"/>
  <c r="E61" i="28" s="1"/>
  <c r="W86" i="44"/>
  <c r="R88" i="44"/>
  <c r="W88" i="44" s="1"/>
  <c r="F61"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tc={C467A0A8-6E71-423A-B47C-6E81674228DA}</author>
  </authors>
  <commentList>
    <comment ref="F59" authorId="0" shapeId="0" xr:uid="{C467A0A8-6E71-423A-B47C-6E81674228DA}">
      <text>
        <t>[Threaded comment]
Your version of Excel allows you to read this threaded comment; however, any edits to it will get removed if the file is opened in a newer version of Excel. Learn more: https://go.microsoft.com/fwlink/?linkid=870924
Comment:
    Is this value incorporated into the Column B total? If not, please incorporate. 
Reply:
    This amount has been added to column 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tc={9376B718-0853-404F-9FD9-465A005DF082}</author>
  </authors>
  <commentList>
    <comment ref="C131" authorId="0" shapeId="0" xr:uid="{9376B718-0853-404F-9FD9-465A005DF082}">
      <text>
        <t>[Threaded comment]
Your version of Excel allows you to read this threaded comment; however, any edits to it will get removed if the file is opened in a newer version of Excel. Learn more: https://go.microsoft.com/fwlink/?linkid=870924
Comment:
    Are these reasonable annual rates? They seem very low given multiple motorcycles/vehicles. 
Reply:
    POA home office has a corporate insurance plan that covers all field offices liability and is part of POA's overhead costs. This portion is only for the local insurance that is required to be purchased in country, which is why the cost is low. The cost is $75/per motorcycle per year and $200 per vehicle per year.</t>
      </text>
    </comment>
  </commentList>
</comments>
</file>

<file path=xl/sharedStrings.xml><?xml version="1.0" encoding="utf-8"?>
<sst xmlns="http://schemas.openxmlformats.org/spreadsheetml/2006/main" count="2338" uniqueCount="644">
  <si>
    <t>Attachment 9</t>
  </si>
  <si>
    <t>Proposed Budget Summary</t>
  </si>
  <si>
    <t>Program (FFPr or MGD):</t>
  </si>
  <si>
    <t>FFPr</t>
  </si>
  <si>
    <t xml:space="preserve">Country of Operation: </t>
  </si>
  <si>
    <t>Mauritania</t>
  </si>
  <si>
    <t>Implementing Organization:</t>
  </si>
  <si>
    <t>Partners of the Americas Inc.</t>
  </si>
  <si>
    <t xml:space="preserve">Fiscal Year:  </t>
  </si>
  <si>
    <t>2023</t>
  </si>
  <si>
    <t xml:space="preserve">Agreement Number: </t>
  </si>
  <si>
    <t>USDA-FAS-10.606-0700-23-(557)</t>
  </si>
  <si>
    <t>Total Amount of Federal Funds Requested</t>
  </si>
  <si>
    <t>Funding Source
(FAS for MGD)
(CCC for FFPr)</t>
  </si>
  <si>
    <t>Funding Year</t>
  </si>
  <si>
    <t>Commodity Cost</t>
  </si>
  <si>
    <t>Freight Cost</t>
  </si>
  <si>
    <t>Administrative Costs (cash portion)</t>
  </si>
  <si>
    <t>Total Federal Funding Obligated</t>
  </si>
  <si>
    <t>Project Operating Budget</t>
  </si>
  <si>
    <t>Expense Type</t>
  </si>
  <si>
    <t>Monetization Proceeds (FFPr Only)</t>
  </si>
  <si>
    <t>FAS or CCC Funds (CCC is Admin Only)</t>
  </si>
  <si>
    <t>Cost Share</t>
  </si>
  <si>
    <t>Total w/out Cost Share</t>
  </si>
  <si>
    <t>Total w/Cost Share</t>
  </si>
  <si>
    <t xml:space="preserve">Administration </t>
  </si>
  <si>
    <t>Salaries/Personnel</t>
  </si>
  <si>
    <t>Benefits</t>
  </si>
  <si>
    <t>Travel</t>
  </si>
  <si>
    <t>Professional Services/Contractual</t>
  </si>
  <si>
    <t>Equipment</t>
  </si>
  <si>
    <t>Office</t>
  </si>
  <si>
    <t>Supplies</t>
  </si>
  <si>
    <t>Other</t>
  </si>
  <si>
    <t>Total Administration</t>
  </si>
  <si>
    <t xml:space="preserve">Activities </t>
  </si>
  <si>
    <t>Activity 1: Increase Production and Farmer Resiliency</t>
  </si>
  <si>
    <t>Activity 2: Promote Regenerative Agriculture with Agropastoralists</t>
  </si>
  <si>
    <t>Activity 3: Improve the Agricultural-Enabling Environment</t>
  </si>
  <si>
    <t>Activity 4: Build Capacity for Post-harvest</t>
  </si>
  <si>
    <t>Total Activities</t>
  </si>
  <si>
    <t>Commodity and Food Purchases (N/A to FFPr)</t>
  </si>
  <si>
    <t>Commodity Procurement</t>
  </si>
  <si>
    <t>Food Vouchers (N/A to MGD)</t>
  </si>
  <si>
    <t>Cash Transfers (N/A to MGD)</t>
  </si>
  <si>
    <t>Total Commodity Procurement</t>
  </si>
  <si>
    <t>ITSH (N/A to FFPr)</t>
  </si>
  <si>
    <t>Salaries</t>
  </si>
  <si>
    <t>Transportation</t>
  </si>
  <si>
    <t>Professional Services</t>
  </si>
  <si>
    <t>Warehouse</t>
  </si>
  <si>
    <t>Total ITSH</t>
  </si>
  <si>
    <t>Total Direct Costs</t>
  </si>
  <si>
    <t>Indirect Costs</t>
  </si>
  <si>
    <t>ICR on Administration</t>
  </si>
  <si>
    <t>ICR on Activities</t>
  </si>
  <si>
    <t>ICR on Commodity and Food Purchases (N/A to FFPr)</t>
  </si>
  <si>
    <t>ICR on ITSH (N/A to FFPr)</t>
  </si>
  <si>
    <t>Total Indirect Costs</t>
  </si>
  <si>
    <t>Anticipated Program Income</t>
  </si>
  <si>
    <t>Grand Total Costs</t>
  </si>
  <si>
    <t>Total Amount of Federal Award (Total Federal Funds Requested Plus Cost Share):</t>
  </si>
  <si>
    <t>Item</t>
  </si>
  <si>
    <t>Type of Unit</t>
  </si>
  <si>
    <t>Year 1</t>
  </si>
  <si>
    <t>Year 2</t>
  </si>
  <si>
    <t>Year 3</t>
  </si>
  <si>
    <t>Year 4</t>
  </si>
  <si>
    <t>Year 5</t>
  </si>
  <si>
    <t>Total</t>
  </si>
  <si>
    <t>Cost</t>
  </si>
  <si>
    <t>Quantity</t>
  </si>
  <si>
    <t>Percent Allocated</t>
  </si>
  <si>
    <t xml:space="preserve">Direct Costs </t>
  </si>
  <si>
    <t>USN/TCN Staff</t>
  </si>
  <si>
    <t>Total: Expatriate Salaries &amp; Wages</t>
  </si>
  <si>
    <t>CNN Staff</t>
  </si>
  <si>
    <t>Total Local Salary Cost</t>
  </si>
  <si>
    <t xml:space="preserve"> HQ Staff</t>
  </si>
  <si>
    <t>Total HQ Staff</t>
  </si>
  <si>
    <t>Subtotal: Salaries &amp; Wages</t>
  </si>
  <si>
    <t xml:space="preserve"> Fringe</t>
  </si>
  <si>
    <t>CCN Staff</t>
  </si>
  <si>
    <t>HQ Staff</t>
  </si>
  <si>
    <t xml:space="preserve">Total: Fringe Benefits  </t>
  </si>
  <si>
    <t>Allowances</t>
  </si>
  <si>
    <t>Total: Allowances</t>
  </si>
  <si>
    <t>Subtotal: Benefits</t>
  </si>
  <si>
    <t>International Travel</t>
  </si>
  <si>
    <t>Local Travel</t>
  </si>
  <si>
    <t>Vehicle Fuel</t>
  </si>
  <si>
    <t>Per Diem</t>
  </si>
  <si>
    <t>Subtotal: Travel</t>
  </si>
  <si>
    <t>Subtotal: Professional Services/Contractual</t>
  </si>
  <si>
    <t>Equipment (&gt;$5000/unit)</t>
  </si>
  <si>
    <t>Subtotal: Equipment</t>
  </si>
  <si>
    <t>Subtotal: Office</t>
  </si>
  <si>
    <t>Subtotal: Supplies</t>
  </si>
  <si>
    <t>Other Direct Cost</t>
  </si>
  <si>
    <t>Internship Stipends</t>
  </si>
  <si>
    <t>Training &amp; Materials</t>
  </si>
  <si>
    <t>Communications</t>
  </si>
  <si>
    <t>Events</t>
  </si>
  <si>
    <t>Grants</t>
  </si>
  <si>
    <t>Maintenance</t>
  </si>
  <si>
    <t>Insurance</t>
  </si>
  <si>
    <t>Subtotal: Other Direct Cost</t>
  </si>
  <si>
    <t>Total Direct Cost</t>
  </si>
  <si>
    <t>Subtotal Indirect Cost</t>
  </si>
  <si>
    <t>Total Estimated Cost (Direct Cost + Indirect Cost)</t>
  </si>
  <si>
    <t>Total Estimated Cost (Direct Cost + Indirect Cost+ Cost Share)</t>
  </si>
  <si>
    <t>Anticipated Program Income (baked in costs and this is for reference)</t>
  </si>
  <si>
    <t>Chart of Accounts</t>
  </si>
  <si>
    <t>Line#</t>
  </si>
  <si>
    <t>Account</t>
  </si>
  <si>
    <t>Account Name</t>
  </si>
  <si>
    <t>50-01-2-020</t>
  </si>
  <si>
    <t>DIR-USN (Expat) Labor</t>
  </si>
  <si>
    <t/>
  </si>
  <si>
    <t>50-03-0-020</t>
  </si>
  <si>
    <t>DIR-Allocated USN Fringe</t>
  </si>
  <si>
    <t>50-03-0-050</t>
  </si>
  <si>
    <t>DIR-CCN Fringe</t>
  </si>
  <si>
    <t>50-03-0-010</t>
  </si>
  <si>
    <t>DIR-Allocated HQ Fringe</t>
  </si>
  <si>
    <t>50-04-8-003</t>
  </si>
  <si>
    <t>DIR-COLA</t>
  </si>
  <si>
    <t>51-04-2-050</t>
  </si>
  <si>
    <t>DIR-Int Travel Other</t>
  </si>
  <si>
    <t>61-01-1-003</t>
  </si>
  <si>
    <t>DIR_Sub-AW (No Fee)</t>
  </si>
  <si>
    <t>51-08-1-004</t>
  </si>
  <si>
    <t>DIR-Office Utilities</t>
  </si>
  <si>
    <t>51-05-1-002</t>
  </si>
  <si>
    <t>DIR-Office Equipment</t>
  </si>
  <si>
    <t>51-02-1-001</t>
  </si>
  <si>
    <t>DIR-Prof. Serv Labor</t>
  </si>
  <si>
    <t>Training</t>
  </si>
  <si>
    <t>51-02-2-008</t>
  </si>
  <si>
    <t>DIR-Security</t>
  </si>
  <si>
    <t>51-08-1-002</t>
  </si>
  <si>
    <t>DIR-Office Make Ready</t>
  </si>
  <si>
    <t>51-08-1-003</t>
  </si>
  <si>
    <t>DIR-Office Maintenance</t>
  </si>
  <si>
    <t>%</t>
  </si>
  <si>
    <t>Total Cost Share (for reference)</t>
  </si>
  <si>
    <t>Year</t>
  </si>
  <si>
    <t>None</t>
  </si>
  <si>
    <t>51-05-1-003</t>
  </si>
  <si>
    <t>DIR-Furniture</t>
  </si>
  <si>
    <t>Small Grants</t>
  </si>
  <si>
    <t>Partners of the Americas – FY 2022 FFPr Mauritania</t>
  </si>
  <si>
    <t>NOFO: USDA-FAS-10.606-0700-23-(557)</t>
  </si>
  <si>
    <t>Duration: 5 Years</t>
  </si>
  <si>
    <t>Entity:</t>
  </si>
  <si>
    <t>P</t>
  </si>
  <si>
    <t>Country: Mauritania</t>
  </si>
  <si>
    <t>Program-Dept.:</t>
  </si>
  <si>
    <t>Budget Assumptions:</t>
  </si>
  <si>
    <t>Funder-Grant:</t>
  </si>
  <si>
    <t>USDA600</t>
  </si>
  <si>
    <t>Inflation Increases</t>
  </si>
  <si>
    <t>Merit Based Increases for HQ &amp; Field Staff</t>
  </si>
  <si>
    <t>Activity Code</t>
  </si>
  <si>
    <t>Account (Object) Code</t>
  </si>
  <si>
    <t>Country Code</t>
  </si>
  <si>
    <t>BUDGET ITEM</t>
  </si>
  <si>
    <t>Level of Effort (LOE) Year 1</t>
  </si>
  <si>
    <t>UNIT</t>
  </si>
  <si>
    <t># of Units</t>
  </si>
  <si>
    <t>RATE/ UNIT</t>
  </si>
  <si>
    <t>YEAR 1</t>
  </si>
  <si>
    <t>Level of Effort (LOE) Year 2</t>
  </si>
  <si>
    <t>YEAR 2</t>
  </si>
  <si>
    <t>Level of Effort (LOE) Year 3</t>
  </si>
  <si>
    <t>YEAR 3</t>
  </si>
  <si>
    <t>Level of Effort (LOE) Year 4</t>
  </si>
  <si>
    <t>YEAR 4</t>
  </si>
  <si>
    <t>Level of Effort (LOE) Year 5</t>
  </si>
  <si>
    <t>YEAR 5</t>
  </si>
  <si>
    <t>TOTAL USDA</t>
  </si>
  <si>
    <t>TOTAL COST SHARE</t>
  </si>
  <si>
    <t>PROJECT GRAND TOTAL</t>
  </si>
  <si>
    <t>s</t>
  </si>
  <si>
    <t>Salaries/Personnel (Administration)</t>
  </si>
  <si>
    <t>CCN Mauritania Field Staff (LOE)</t>
  </si>
  <si>
    <t>PERSNL</t>
  </si>
  <si>
    <t>MAU</t>
  </si>
  <si>
    <t xml:space="preserve">Key Personnel: Ex-pat Chief of Party </t>
  </si>
  <si>
    <t>Month</t>
  </si>
  <si>
    <t>Deputy Chief of Party</t>
  </si>
  <si>
    <t>Technical Lead Component 1</t>
  </si>
  <si>
    <t>Technical Lead Component 2</t>
  </si>
  <si>
    <t>Technical Lead Component 3</t>
  </si>
  <si>
    <t>Specialist Component 2</t>
  </si>
  <si>
    <t>Specialist Component 3</t>
  </si>
  <si>
    <t>Specialist Component 4</t>
  </si>
  <si>
    <t>Extension Agents (20 Individuals)</t>
  </si>
  <si>
    <t xml:space="preserve">M&amp;E Director </t>
  </si>
  <si>
    <t>M&amp;E Specialist</t>
  </si>
  <si>
    <t xml:space="preserve">F&amp;A Director </t>
  </si>
  <si>
    <t>Human Resource Manager</t>
  </si>
  <si>
    <t>Contracts &amp; Compliance Specialist</t>
  </si>
  <si>
    <t xml:space="preserve">Accountant </t>
  </si>
  <si>
    <t xml:space="preserve">Administrative Assistant </t>
  </si>
  <si>
    <t>Security Guards</t>
  </si>
  <si>
    <t>Driver (2 Individuals)</t>
  </si>
  <si>
    <t>Headquarters (HQ) Support (LOE)</t>
  </si>
  <si>
    <t xml:space="preserve">Senior Program Director </t>
  </si>
  <si>
    <t>HO Project Manager</t>
  </si>
  <si>
    <t>Total Personnel</t>
  </si>
  <si>
    <t>Fringe Benefits</t>
  </si>
  <si>
    <t>FRINGE</t>
  </si>
  <si>
    <t>Fringe Benefits CCN - Mauritania</t>
  </si>
  <si>
    <t xml:space="preserve">Fringe Benefits - HQ </t>
  </si>
  <si>
    <t>Fringe Benefits Package for Ex-pat Chief of Party</t>
  </si>
  <si>
    <t>-</t>
  </si>
  <si>
    <t>COLA ALL</t>
  </si>
  <si>
    <t>Cost of Living Adjustment for Ex-pat Chief of Party</t>
  </si>
  <si>
    <t>POST DIFF</t>
  </si>
  <si>
    <t>Post Hardship for Ex-pat Chief of Party</t>
  </si>
  <si>
    <t>HOUSE. ALL</t>
  </si>
  <si>
    <t>Housing Allowance for Chief of Party</t>
  </si>
  <si>
    <t>REALLOC</t>
  </si>
  <si>
    <t>Reallocation &amp; Demobilization Flight for Chief of Party and Spouse</t>
  </si>
  <si>
    <t>Trip</t>
  </si>
  <si>
    <t>Reallocation &amp; Demobilization Extra Baggage for Chief of Party and Spouse</t>
  </si>
  <si>
    <t>Reallocation &amp; Demobilization - Shipment of Households Good (by Land &amp; Sea)</t>
  </si>
  <si>
    <t>Reallocation &amp; Demobilization - Customs 20% and Taxes 3%</t>
  </si>
  <si>
    <t>R&amp;RTRIP</t>
  </si>
  <si>
    <t>Annual Home of Record &amp; R&amp;R for Chief of Party</t>
  </si>
  <si>
    <t>Total Fringe Benefits</t>
  </si>
  <si>
    <t>HQ Staff Travel - International</t>
  </si>
  <si>
    <t>STFTRAVEL</t>
  </si>
  <si>
    <t>Airfare - DC-Mauritania - HQ Project Management Trip</t>
  </si>
  <si>
    <t>STFTRVCTS</t>
  </si>
  <si>
    <t>86030 Lodging/ 86050 M&amp;IE</t>
  </si>
  <si>
    <t>Lodging and M&amp;IE - HQ Project Management Trip</t>
  </si>
  <si>
    <t>Day</t>
  </si>
  <si>
    <t>Local Transportation – HQ Project Management Trip</t>
  </si>
  <si>
    <t>Other Travel Related Expenses – HQ Project Management Trip</t>
  </si>
  <si>
    <t xml:space="preserve">Mauritania Staff Travel - International </t>
  </si>
  <si>
    <t>INTLTRVL</t>
  </si>
  <si>
    <t>Airfare - Roundtrip - Mauritania to USA</t>
  </si>
  <si>
    <t>Lodging and M&amp;IE for Mauritania Staff Travel</t>
  </si>
  <si>
    <t>Local Transportation for Mauritania Staff Travel</t>
  </si>
  <si>
    <t>Other Travel Related Expenses for Mauritania Staff Travel</t>
  </si>
  <si>
    <t xml:space="preserve">Mauritania Staff Travel - Domestic </t>
  </si>
  <si>
    <t>LOCAL TRVL</t>
  </si>
  <si>
    <t>Motorcycle and Vehicle Fuel Expense</t>
  </si>
  <si>
    <t>Local Transportation – Training, M&amp;E, &amp; Data Collection</t>
  </si>
  <si>
    <t>Lodging and M&amp;IE - Training, M&amp;E, &amp; Data Collection</t>
  </si>
  <si>
    <t>Total Travel</t>
  </si>
  <si>
    <t>MONETIZE</t>
  </si>
  <si>
    <t>Monetization Agent Fee</t>
  </si>
  <si>
    <t>MONEASSMT</t>
  </si>
  <si>
    <t>Monetization Impact Assessment</t>
  </si>
  <si>
    <t>Unit</t>
  </si>
  <si>
    <t>AUDIT</t>
  </si>
  <si>
    <t>Audit Costs - (Program Specific Audits)</t>
  </si>
  <si>
    <t>LEGAL</t>
  </si>
  <si>
    <t>Legal Fees</t>
  </si>
  <si>
    <t>SECURITY</t>
  </si>
  <si>
    <t>Security Services, Risk Assessments, &amp; Security Assessment</t>
  </si>
  <si>
    <t>CONSULT</t>
  </si>
  <si>
    <t>Short-Term Technical Advisors</t>
  </si>
  <si>
    <t>Start-up Consultant</t>
  </si>
  <si>
    <t>TECHADV</t>
  </si>
  <si>
    <t>Technical Advisor of Trade Promotion &amp; Strategic Partnership  &amp; Investment</t>
  </si>
  <si>
    <t>Monitoring, Evaluation, and Collection of Reliable Data</t>
  </si>
  <si>
    <t>Evaluations</t>
  </si>
  <si>
    <t>BASELINE</t>
  </si>
  <si>
    <t>Baseline Evaluation</t>
  </si>
  <si>
    <t>MIDTERM</t>
  </si>
  <si>
    <t>Midterm Evaluation</t>
  </si>
  <si>
    <t>ENDLINE</t>
  </si>
  <si>
    <t>Final Evaluation</t>
  </si>
  <si>
    <t>IMPACTEVAL</t>
  </si>
  <si>
    <t>Impact Evaluation</t>
  </si>
  <si>
    <t>SPECSTUDY</t>
  </si>
  <si>
    <t>Special Study</t>
  </si>
  <si>
    <t>Monitoring Guidelines Development</t>
  </si>
  <si>
    <t>M&amp;ETRAIN</t>
  </si>
  <si>
    <t>81021 (Translation)/ 85300 (Printing)</t>
  </si>
  <si>
    <t>Monitoring Guidelines Creation, Translation &amp; Printing</t>
  </si>
  <si>
    <t>Document</t>
  </si>
  <si>
    <t>Monitoring Guidelines Revision, Translation &amp; Printing</t>
  </si>
  <si>
    <t>Monitoring Guidelines Staff Training on Indicators and Data Collection/Analysis</t>
  </si>
  <si>
    <t xml:space="preserve">Workshop </t>
  </si>
  <si>
    <t>M&amp;E Database</t>
  </si>
  <si>
    <t>M&amp;EDATA</t>
  </si>
  <si>
    <t>89400 (Subscription)/ 87000 (Training)</t>
  </si>
  <si>
    <t>M&amp;E Database Platform Subscription (includes training)</t>
  </si>
  <si>
    <t>Monitoring, Evaluation, and Collection of Reliable Data Subtotal</t>
  </si>
  <si>
    <t>Total Professional Services/Contractual</t>
  </si>
  <si>
    <t>VEHICLE</t>
  </si>
  <si>
    <t>Vehicles for Field Office</t>
  </si>
  <si>
    <t>Total Equipment</t>
  </si>
  <si>
    <t>Office Expenses</t>
  </si>
  <si>
    <t xml:space="preserve">Office in Nouakchott </t>
  </si>
  <si>
    <t>COMM</t>
  </si>
  <si>
    <t>Communications Costs (Internet, Phone, Data) (Nouakchott)</t>
  </si>
  <si>
    <t>RENT &amp; UT</t>
  </si>
  <si>
    <t>Office Rent, Utilities &amp; Security (Nouakchott)</t>
  </si>
  <si>
    <t>Satellite Office in Rosso</t>
  </si>
  <si>
    <t>Communications Costs (Internet, Phone, Data) (Rosso)</t>
  </si>
  <si>
    <t>Office Rent, Utilities &amp; Security (Rosso)</t>
  </si>
  <si>
    <t>General Local Office Costs</t>
  </si>
  <si>
    <t>BANK FEES</t>
  </si>
  <si>
    <t>Banking and Cash Handling Fees</t>
  </si>
  <si>
    <t>COURIER</t>
  </si>
  <si>
    <t>Courier fees/services/Postage</t>
  </si>
  <si>
    <t>ADVERTISIN</t>
  </si>
  <si>
    <t xml:space="preserve">Recruitment/Procurement Advertising </t>
  </si>
  <si>
    <t>MEETING</t>
  </si>
  <si>
    <t>Meeting Expenses</t>
  </si>
  <si>
    <t>PAYROLL</t>
  </si>
  <si>
    <t>Payroll Processing and Local Accounting Books Preparation</t>
  </si>
  <si>
    <t>SUBSCRIPT</t>
  </si>
  <si>
    <t>Licenses &amp; Subscriptions (Microsoft 365, Replicon, PandaDoc, BambooHR)</t>
  </si>
  <si>
    <t>Total Office Expenses</t>
  </si>
  <si>
    <t>Office Supplies</t>
  </si>
  <si>
    <t>SUPPLIES</t>
  </si>
  <si>
    <t xml:space="preserve">Desktop/Laptop Computers </t>
  </si>
  <si>
    <t>All in One: Printer, Photocopier &amp; Scanner</t>
  </si>
  <si>
    <t>Projector</t>
  </si>
  <si>
    <t>Desks for Office</t>
  </si>
  <si>
    <t>Chairs for Office</t>
  </si>
  <si>
    <t>Meeting Table for Office</t>
  </si>
  <si>
    <t>Shelves for Office Storage</t>
  </si>
  <si>
    <t>Filing Cabinets</t>
  </si>
  <si>
    <t>Fireproof Safe</t>
  </si>
  <si>
    <t>A/C Unit for Office</t>
  </si>
  <si>
    <t>Office Supplies &amp; Personal Protective Equipment</t>
  </si>
  <si>
    <t>Total Office Supplies</t>
  </si>
  <si>
    <t>WORKSHOP</t>
  </si>
  <si>
    <t xml:space="preserve">Training, Workshops, Conference and Registration Fees </t>
  </si>
  <si>
    <t>Repair &amp; Maintenance</t>
  </si>
  <si>
    <t>EQ.MNT REP</t>
  </si>
  <si>
    <t>85105 (Equip. Maint.)/ 85180 (Office Maint.)</t>
  </si>
  <si>
    <t>Equipment and Office Repairs and Maintenance</t>
  </si>
  <si>
    <t>Motorcycle Maintenance/repairs/spare parts</t>
  </si>
  <si>
    <t>Vehicle Maintenance/repairs/spare parts</t>
  </si>
  <si>
    <t>INSURANCE</t>
  </si>
  <si>
    <t>Property and Liability Insurance</t>
  </si>
  <si>
    <t>Motorcycle Insurance</t>
  </si>
  <si>
    <t>Vehicle Insurance</t>
  </si>
  <si>
    <t>Total Other</t>
  </si>
  <si>
    <t>Activities/Costs</t>
  </si>
  <si>
    <t>Personnel Costs for Activity 1</t>
  </si>
  <si>
    <t>PERSNL-1</t>
  </si>
  <si>
    <t>Total Personnel Costs for Activity 1</t>
  </si>
  <si>
    <t>Fringe Benefit Costs for Activity 1</t>
  </si>
  <si>
    <t>FRINGE-1</t>
  </si>
  <si>
    <t>COLA ALL-1</t>
  </si>
  <si>
    <t>POSTDIFF-1</t>
  </si>
  <si>
    <t>Total Fringe Benefit Costs for Activity 1</t>
  </si>
  <si>
    <t>Professional Services/Contractual for Activity 1</t>
  </si>
  <si>
    <t>6THGRAIN</t>
  </si>
  <si>
    <t>Contract to 6th Grain for GIS Mapping and Remote Sensing Technologies</t>
  </si>
  <si>
    <t>CONSULT-1</t>
  </si>
  <si>
    <t>Expert Technical Irrigation Hydrology Engineers - one for large scale infrastructure and one for on-farm irrigation</t>
  </si>
  <si>
    <t>SECURITY-1</t>
  </si>
  <si>
    <t>TECHADV-1</t>
  </si>
  <si>
    <t>Total Professional Services/Contractual for Activity 1</t>
  </si>
  <si>
    <t>Supplies for Activity 1</t>
  </si>
  <si>
    <t>SEEDSTOCK</t>
  </si>
  <si>
    <t>Seeds and Tools for Demonstration Plots Set-up and Maintenance</t>
  </si>
  <si>
    <t>SUPPLIES-1</t>
  </si>
  <si>
    <t>Motorcycles for Extension Agents</t>
  </si>
  <si>
    <t>Tablets for Rural Data Collection for Extension Agents</t>
  </si>
  <si>
    <t>Total Supplies for Activity 1</t>
  </si>
  <si>
    <t>Travel for Activity 1</t>
  </si>
  <si>
    <t>LOCALTRV-1</t>
  </si>
  <si>
    <t>Local Transportation for Trainings</t>
  </si>
  <si>
    <t>Lodging and M&amp;IE for Trainings</t>
  </si>
  <si>
    <t>Transport Stipends for Participants to attend Trainings</t>
  </si>
  <si>
    <t>Participant</t>
  </si>
  <si>
    <t>Total Travel for Activity 1</t>
  </si>
  <si>
    <t>Other for Activity 1</t>
  </si>
  <si>
    <t>PRINTPUB-1</t>
  </si>
  <si>
    <t>Development of Technical Package (Design, Printing, &amp; Translation)</t>
  </si>
  <si>
    <t>Publish Report for On-farm Irrigation (Design, Printing, &amp; Translation)</t>
  </si>
  <si>
    <t>Publish Report for Large-Scale Water Infrastructure (Design, Printing, &amp; Translation)</t>
  </si>
  <si>
    <t>DEMOPLOTS</t>
  </si>
  <si>
    <t>Demonstration Plots for Drip and Innovative Irrigation Solutions (2 drip, 2 aspersion/sprinklers and 2 valley pivot plots)</t>
  </si>
  <si>
    <t>Plot</t>
  </si>
  <si>
    <t>Total Other for Activity 1</t>
  </si>
  <si>
    <t>Total Activity 1</t>
  </si>
  <si>
    <t>Personnel Costs for Activity 2</t>
  </si>
  <si>
    <t>PERSNL-2</t>
  </si>
  <si>
    <t>Total Personnel Costs for Activity 2</t>
  </si>
  <si>
    <t>Fringe Benefit Costs for Activity 2</t>
  </si>
  <si>
    <t>FRINGE-2</t>
  </si>
  <si>
    <t>COLA ALL-2</t>
  </si>
  <si>
    <t>POSTDIFF-2</t>
  </si>
  <si>
    <t>Total Fringe Benefit Costs for Activity 2</t>
  </si>
  <si>
    <t>Professional Services/Contractual for Activity 2</t>
  </si>
  <si>
    <t>CONSULT-2</t>
  </si>
  <si>
    <t>Consultant to Design Materials for Outreach and Awareness Campaign including Translation</t>
  </si>
  <si>
    <t>COMMCAMP</t>
  </si>
  <si>
    <t>Contract for Dissemination of Outreach and Awareness Campaigns</t>
  </si>
  <si>
    <t>NURSERY</t>
  </si>
  <si>
    <t>Contract Nurseries in Mauritania and Senegal</t>
  </si>
  <si>
    <t>Contract</t>
  </si>
  <si>
    <t>Consultant to Create Outreach and Sensitization Materials for Social Behavioral Change Activities</t>
  </si>
  <si>
    <t>SECURITY-2</t>
  </si>
  <si>
    <t>TECHADV-2</t>
  </si>
  <si>
    <t>Total Professional Services/Contractual for Activity 2</t>
  </si>
  <si>
    <t>Supplies for Activity 2</t>
  </si>
  <si>
    <t>SUPPLIES-2</t>
  </si>
  <si>
    <t>Motorcycles for Extension Agent</t>
  </si>
  <si>
    <t>Total Supplies for Activity 2</t>
  </si>
  <si>
    <t>Travel for Activity 2</t>
  </si>
  <si>
    <t>LOCALTRV-2</t>
  </si>
  <si>
    <t>Transport Stipends for Participants to attend Farmer Field Schools</t>
  </si>
  <si>
    <t>Total Travel for Activity 2</t>
  </si>
  <si>
    <t>Other for Activity 2</t>
  </si>
  <si>
    <t>FARMFIELD</t>
  </si>
  <si>
    <t>82420 (Program Supplies)</t>
  </si>
  <si>
    <t>Farmer Field Schools</t>
  </si>
  <si>
    <t>Total Other for Activity 2</t>
  </si>
  <si>
    <t>Total Activity 2</t>
  </si>
  <si>
    <t>Personnel Costs for Activity 3</t>
  </si>
  <si>
    <t>PERSNL-3</t>
  </si>
  <si>
    <t>Total Personnel Costs for Activity 3</t>
  </si>
  <si>
    <t>Fringe Benefit Costs for Activity 3</t>
  </si>
  <si>
    <t>FRINGE-3</t>
  </si>
  <si>
    <t>COLA ALL-3</t>
  </si>
  <si>
    <t>POSTDIFF-3</t>
  </si>
  <si>
    <t>Total Fringe Benefit Costs for Activity 3</t>
  </si>
  <si>
    <t>Professional Services/Contractual for Activity 3</t>
  </si>
  <si>
    <t>CONSULT-3</t>
  </si>
  <si>
    <t>Develop Modules for PASP Certification Program</t>
  </si>
  <si>
    <t>SECURITY-3</t>
  </si>
  <si>
    <t>TECHADV-3</t>
  </si>
  <si>
    <t>Total Professional Services/Contractual for Activity 3</t>
  </si>
  <si>
    <t>Supplies for Activity 3</t>
  </si>
  <si>
    <t>SUPPLIES-3</t>
  </si>
  <si>
    <t>Total Supplies for Activity 3</t>
  </si>
  <si>
    <t>Travel for Activity 3</t>
  </si>
  <si>
    <t>LOCALTRV-3</t>
  </si>
  <si>
    <t>Lodging and M&amp;IE for PASP Program Participant</t>
  </si>
  <si>
    <t>Week</t>
  </si>
  <si>
    <t>Total Travel for Activity 3</t>
  </si>
  <si>
    <t>Other for Activity 3</t>
  </si>
  <si>
    <t xml:space="preserve">Internships for High-Level Agriculture Sector Professionals </t>
  </si>
  <si>
    <t>AGINTERN</t>
  </si>
  <si>
    <t>Stipend for Student Internships for Domestic Internship of 6 Months</t>
  </si>
  <si>
    <t>Stipends</t>
  </si>
  <si>
    <t>Stipend for Student Internships for International Internship of 6 Months</t>
  </si>
  <si>
    <t>COOPGRANTS</t>
  </si>
  <si>
    <t>Small Grant to Increase Women's Cooperatives' Capacity to Function as Agro-dealers</t>
  </si>
  <si>
    <t>Grant</t>
  </si>
  <si>
    <t>CBMEETING</t>
  </si>
  <si>
    <t xml:space="preserve">Capacity Building Meetings to Increase Women’s Cooperatives’ Capacity </t>
  </si>
  <si>
    <t>Meeting</t>
  </si>
  <si>
    <t>Capacity Building Meetings to Increase Existing Agro-dealers Capacity</t>
  </si>
  <si>
    <t>PASPCERT</t>
  </si>
  <si>
    <t>PASP Certification Program</t>
  </si>
  <si>
    <t>AGMECOURSE</t>
  </si>
  <si>
    <t>Course on Agricultural Mechanization</t>
  </si>
  <si>
    <t>Course</t>
  </si>
  <si>
    <t>PRINTPUB-3</t>
  </si>
  <si>
    <t>Develop Training Materials to Increase Women’s Cooperatives’ &amp; Existing Agro-dealers Capacity (Printing &amp; Translation)</t>
  </si>
  <si>
    <t>ADOUTGROW</t>
  </si>
  <si>
    <t>Advertising to Facilitate Outgrower Models</t>
  </si>
  <si>
    <t>AGEXPO</t>
  </si>
  <si>
    <t>Annual Agriculture Expo Event</t>
  </si>
  <si>
    <t>Event</t>
  </si>
  <si>
    <t>Total Other Expenses for Activity 3</t>
  </si>
  <si>
    <t>Total Activity 3</t>
  </si>
  <si>
    <t>Personnel Costs for Activity 4</t>
  </si>
  <si>
    <t>PERSNL-4</t>
  </si>
  <si>
    <t>Total Personnel Costs for Activity 4</t>
  </si>
  <si>
    <t>Fringe Benefit Costs for Activity 4</t>
  </si>
  <si>
    <t>FRINGE-4</t>
  </si>
  <si>
    <t>COLA ALL-4</t>
  </si>
  <si>
    <t>POSTDIFF-4</t>
  </si>
  <si>
    <t>Total Fringe Benefit Costs for Activity 4</t>
  </si>
  <si>
    <t>Professional Services/Contractual for Activity 4</t>
  </si>
  <si>
    <t>COLDCHAIN</t>
  </si>
  <si>
    <t>Cold Chain Feasibility Study</t>
  </si>
  <si>
    <t>SECURITY-4</t>
  </si>
  <si>
    <t>CONSULT-4</t>
  </si>
  <si>
    <t>TECHADV-4</t>
  </si>
  <si>
    <t>Total Professional Services/Contractual for Activity 4</t>
  </si>
  <si>
    <t>Equipment for Activity 4</t>
  </si>
  <si>
    <t>EQPOSTHARV</t>
  </si>
  <si>
    <t>82420 (Program Supplies)/ 85200 (Equipment)</t>
  </si>
  <si>
    <t>Post Harvest Processing Equipment and Infrastructure</t>
  </si>
  <si>
    <t>EQSMPROCES</t>
  </si>
  <si>
    <t>Co-invest in Small-Scale Processing Infrastructure for Cooperatives</t>
  </si>
  <si>
    <t>Cooperative</t>
  </si>
  <si>
    <t>EQLGSTOR</t>
  </si>
  <si>
    <t>Large Scale Cold and Dry Storage Equipment and Infrastructure</t>
  </si>
  <si>
    <t>EQUIPWASTE</t>
  </si>
  <si>
    <t>Transformation Equipment for Waste Reduction</t>
  </si>
  <si>
    <t>Total Equipment for Activity 4</t>
  </si>
  <si>
    <t>Supplies for Activity 4</t>
  </si>
  <si>
    <t>SUPPLIES-4</t>
  </si>
  <si>
    <t>Tablets for Rural Data Collection for Extension Agent</t>
  </si>
  <si>
    <t>Total Supplies for Activity 4</t>
  </si>
  <si>
    <t>Travel for Activity 4</t>
  </si>
  <si>
    <t>LOCALTRV-4</t>
  </si>
  <si>
    <t>Travel for Trade Shows</t>
  </si>
  <si>
    <t>LOCALTRVTS</t>
  </si>
  <si>
    <t>Transport Costs for Trade Shows and Events</t>
  </si>
  <si>
    <t>Lodging and M&amp;IE for Trade Shows and Events</t>
  </si>
  <si>
    <t>Total Travel for Activity 4</t>
  </si>
  <si>
    <t>Other for Activity 4</t>
  </si>
  <si>
    <t>COLDGRANT</t>
  </si>
  <si>
    <t>Small Grant to Cooperatives to Increase Small Scale Cold Storage Capacity</t>
  </si>
  <si>
    <t>PRINTPUB-4</t>
  </si>
  <si>
    <t>Communications Cost to Release RFP to Co-invest in Export-Scale Processing Infrastructure</t>
  </si>
  <si>
    <t>Communications Cost to Release RFP to Co-invest in Cold and Dry Storage</t>
  </si>
  <si>
    <t>Communications Cost to Release RFP to Innovative Waste Utilization Businesses</t>
  </si>
  <si>
    <t>INVESTROUN</t>
  </si>
  <si>
    <t>Investment Roundtables</t>
  </si>
  <si>
    <t>Roundtable</t>
  </si>
  <si>
    <t>FOODSAFTR</t>
  </si>
  <si>
    <t>Food Safety Training for Farmers and Processors</t>
  </si>
  <si>
    <t>EVENTRADE</t>
  </si>
  <si>
    <t>Event Registration for Trade Shows</t>
  </si>
  <si>
    <t>Total Other Expenses for Activity 4</t>
  </si>
  <si>
    <t>Cost Share for Activity 4</t>
  </si>
  <si>
    <t>COSTSHAR-4</t>
  </si>
  <si>
    <t>Venue Space for Investment Roundtables</t>
  </si>
  <si>
    <t>Cost Share for Post Harvest Processing Equipment and Infrastructure</t>
  </si>
  <si>
    <t>Cost Share for Co-invest in Small-Scale Processing Infrastructure for Cooperatives</t>
  </si>
  <si>
    <t>Cost Share for Large Scale Cold and Dry Storage Equipment and Infrastructure</t>
  </si>
  <si>
    <t>Total Cost Share for Activity 4</t>
  </si>
  <si>
    <t>Total Activity 4</t>
  </si>
  <si>
    <t>Internal Transportation Storage and Handling (ITSH)</t>
  </si>
  <si>
    <t>Total Internal Transportation Storage and Handling (ITSH)</t>
  </si>
  <si>
    <t>IDC</t>
  </si>
  <si>
    <t xml:space="preserve">Total Indirect Costs (NICRA) </t>
  </si>
  <si>
    <t>TOTAL COSTS</t>
  </si>
  <si>
    <t>Summary of Indirect Cost Rates Applied</t>
  </si>
  <si>
    <t>Administration Salaries/Personnel</t>
  </si>
  <si>
    <t>CCN Colombia National Staff (LOE)</t>
  </si>
  <si>
    <t xml:space="preserve">Key Personnel: Expat Chief of Party </t>
  </si>
  <si>
    <t xml:space="preserve">Key Personnel: Deputy Chief of Party </t>
  </si>
  <si>
    <t xml:space="preserve">M&amp;E Specialists </t>
  </si>
  <si>
    <t>Activity Lead RCP Manager</t>
  </si>
  <si>
    <t xml:space="preserve">Activity Lead Agribusiness Specialist </t>
  </si>
  <si>
    <t xml:space="preserve">Compliance Officer </t>
  </si>
  <si>
    <t>Home Office Support (LOE)</t>
  </si>
  <si>
    <t xml:space="preserve">HQ Senior Program Officer </t>
  </si>
  <si>
    <t>Administration Fringe Benefits</t>
  </si>
  <si>
    <t>Administration Travel</t>
  </si>
  <si>
    <t>Administration Professional Services/Contractual</t>
  </si>
  <si>
    <t>Administration Equipment</t>
  </si>
  <si>
    <t>Administration Office Expenses</t>
  </si>
  <si>
    <t>Administration Office Supplies</t>
  </si>
  <si>
    <t>Administration Other</t>
  </si>
  <si>
    <t>Total Administration Direct Costs</t>
  </si>
  <si>
    <t>Total Indirect Costs (NICRA) on Administration</t>
  </si>
  <si>
    <t>TOTAL ADMINISTRATION INDIRECT COSTS</t>
  </si>
  <si>
    <t xml:space="preserve">Total Activities Direct Costs </t>
  </si>
  <si>
    <t>Total Indirect Costs (NICRA) on Activities</t>
  </si>
  <si>
    <t>TOTAL ACTIVITIES INDIRECT COSTS</t>
  </si>
  <si>
    <t>TOTAL INDIRECT COSTS</t>
  </si>
  <si>
    <t>Level of Effort (LOE) Breakdown by Activity</t>
  </si>
  <si>
    <t>Administration</t>
  </si>
  <si>
    <t>Activity 1 – Increase Production and Farmer Resiliency  </t>
  </si>
  <si>
    <t>Activity 2 – Promote Regenerative Agriculture and Food Source Diversification  </t>
  </si>
  <si>
    <t>Activity 3 – Improve the Agricultural Enabling Environment  </t>
  </si>
  <si>
    <t>Activity 4 – Provide Capacity Building for Postharvest</t>
  </si>
  <si>
    <t>Total LOE</t>
  </si>
  <si>
    <t xml:space="preserve">LOE </t>
  </si>
  <si>
    <t>LOE</t>
  </si>
  <si>
    <t>Personnel (Administration)</t>
  </si>
  <si>
    <t xml:space="preserve">Mauritanian National Staff </t>
  </si>
  <si>
    <t xml:space="preserve">Home Office Support </t>
  </si>
  <si>
    <t>Months in Year 1</t>
  </si>
  <si>
    <t>Year 1 LOE</t>
  </si>
  <si>
    <t>Total Salary Amount Year 1</t>
  </si>
  <si>
    <t>Months in Year 2</t>
  </si>
  <si>
    <t>Year 2 LOE</t>
  </si>
  <si>
    <t>Total Salary Amount Year 2</t>
  </si>
  <si>
    <t>Months in Year 3</t>
  </si>
  <si>
    <t>Year 3 LOE</t>
  </si>
  <si>
    <t>Total Salary Amount Year 3</t>
  </si>
  <si>
    <t>Months in Year 4</t>
  </si>
  <si>
    <t>Year 4 LOE</t>
  </si>
  <si>
    <t>Total Salary Amount Year 4</t>
  </si>
  <si>
    <t>Months in Year 5</t>
  </si>
  <si>
    <t>Year 5 LOE</t>
  </si>
  <si>
    <t>Total Salary Amount Year 5</t>
  </si>
  <si>
    <t>Total Amount LOP</t>
  </si>
  <si>
    <t xml:space="preserve">Colombia National Staff </t>
  </si>
  <si>
    <t xml:space="preserve">EpL Beneficiaries </t>
  </si>
  <si>
    <t>Totals</t>
  </si>
  <si>
    <t xml:space="preserve">Year 1 </t>
  </si>
  <si>
    <t xml:space="preserve">Year 2 </t>
  </si>
  <si>
    <t xml:space="preserve">Year 3 </t>
  </si>
  <si>
    <t>Frequency</t>
  </si>
  <si>
    <t xml:space="preserve">3x/week </t>
  </si>
  <si>
    <t xml:space="preserve"> 3x/week </t>
  </si>
  <si>
    <t xml:space="preserve">2x/week </t>
  </si>
  <si>
    <t xml:space="preserve">Choluteca </t>
  </si>
  <si>
    <t xml:space="preserve">Total Number of Child Beneficiaries </t>
  </si>
  <si>
    <t xml:space="preserve">Valle </t>
  </si>
  <si>
    <t>SPS Area</t>
  </si>
  <si>
    <t xml:space="preserve">EpE Beneficiaries </t>
  </si>
  <si>
    <t xml:space="preserve"> 5x/week </t>
  </si>
  <si>
    <t>5x/week</t>
  </si>
  <si>
    <t xml:space="preserve"> </t>
  </si>
  <si>
    <t>EpL Classes</t>
  </si>
  <si>
    <t xml:space="preserve">Total Classes </t>
  </si>
  <si>
    <t># of Participants per Class</t>
  </si>
  <si>
    <t>If Blue and Green Use Same Trainers</t>
  </si>
  <si>
    <t>Class</t>
  </si>
  <si>
    <t>Total Number of Classes/Trainers</t>
  </si>
  <si>
    <t xml:space="preserve">Minium Number of Trainers Needed </t>
  </si>
  <si>
    <t>EpE Classes</t>
  </si>
  <si>
    <t xml:space="preserve">If Each Group Has Same Trainer </t>
  </si>
  <si>
    <t xml:space="preserve">EpLs Frequency </t>
  </si>
  <si>
    <t xml:space="preserve">Total </t>
  </si>
  <si>
    <t>TOTAL EpL HOURS (By Number of Classes)</t>
  </si>
  <si>
    <t>Number of Weeks</t>
  </si>
  <si>
    <t xml:space="preserve">Frequency (week) </t>
  </si>
  <si>
    <t xml:space="preserve">Hours per Session </t>
  </si>
  <si>
    <t>Training Hours</t>
  </si>
  <si>
    <t xml:space="preserve">EpLs </t>
  </si>
  <si>
    <t>EpL Program Total</t>
  </si>
  <si>
    <t xml:space="preserve">EpEs Frequency </t>
  </si>
  <si>
    <t>By Number of Classes</t>
  </si>
  <si>
    <t xml:space="preserve"> EpL Facilitator Stipend</t>
  </si>
  <si>
    <t>Hours</t>
  </si>
  <si>
    <t xml:space="preserve">Cost Per Hour </t>
  </si>
  <si>
    <t xml:space="preserve">TOTAL </t>
  </si>
  <si>
    <t xml:space="preserve">First Year </t>
  </si>
  <si>
    <t>Faciliator Cost per EpL</t>
  </si>
  <si>
    <t>Second Year</t>
  </si>
  <si>
    <t xml:space="preserve">EpL Snack Costs Per Session </t>
  </si>
  <si>
    <t>Number of Classes</t>
  </si>
  <si>
    <t>Cost Per Class</t>
  </si>
  <si>
    <t>Snack Cost per EpL</t>
  </si>
  <si>
    <t xml:space="preserve"> EpE Facilitator Stipend</t>
  </si>
  <si>
    <t>Faciliator Cost per EpE</t>
  </si>
  <si>
    <t xml:space="preserve">EpE Snack Costs Per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</si>
</sst>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5" formatCode="&quot;$&quot;#,##0_);\(&quot;$&quot;#,##0\)"/>
    <numFmt numFmtId="7" formatCode="&quot;$&quot;#,##0.00_);\(&quot;$&quot;#,##0.00\)"/>
    <numFmt numFmtId="44" formatCode="_(&quot;$&quot;* #,##0.00_);_(&quot;$&quot;* \(#,##0.00\);_(&quot;$&quot;* &quot;-&quot;??_);_(@_)"/>
    <numFmt numFmtId="43" formatCode="_(* #,##0.00_);_(* \(#,##0.00\);_(* &quot;-&quot;??_);_(@_)"/>
    <numFmt numFmtId="164" formatCode="_-* #,##0.00_-;\-* #,##0.00_-;_-* &quot;-&quot;??_-;_-@_-"/>
    <numFmt numFmtId="165" formatCode="_-* #,##0.00\ &quot;Bs&quot;_-;\-* #,##0.00\ &quot;Bs&quot;_-;_-* &quot;-&quot;??\ &quot;Bs&quot;_-;_-@_-"/>
    <numFmt numFmtId="166" formatCode="_-* #,##0.00\ _B_s_-;\-* #,##0.00\ _B_s_-;_-* &quot;-&quot;??\ _B_s_-;_-@_-"/>
    <numFmt numFmtId="167" formatCode="_-* #,##0\ _B_s_-;\-* #,##0\ _B_s_-;_-* &quot;-&quot;??\ _B_s_-;_-@_-"/>
    <numFmt numFmtId="168" formatCode="&quot;On&quot;;&quot;On&quot;;&quot;Off&quot;"/>
    <numFmt numFmtId="169" formatCode="_(* #,##0_);_(* \(#,##0\);_(* &quot;-&quot;??_);_(@_)"/>
    <numFmt numFmtId="170" formatCode="&quot;$&quot;#,##0.00"/>
    <numFmt numFmtId="171" formatCode="0.0%"/>
    <numFmt numFmtId="172" formatCode="_([$$-409]* #,##0.00_);_([$$-409]* \(#,##0.00\);_([$$-409]* &quot;-&quot;??_);_(@_)"/>
    <numFmt numFmtId="173" formatCode="_(&quot;$&quot;* #,##0_);_(&quot;$&quot;* \(#,##0\);_(&quot;$&quot;* &quot;-&quot;??_);_(@_)"/>
    <numFmt numFmtId="174" formatCode="_([$$-409]* #,##0_);_([$$-409]* \(#,##0\);_([$$-409]* &quot;-&quot;??_);_(@_)"/>
    <numFmt numFmtId="175" formatCode="&quot;$&quot;#,##0"/>
    <numFmt numFmtId="176" formatCode="\$#,##0.00;\$#,##0.00"/>
    <numFmt numFmtId="177" formatCode="\$###0.00;\$###0.00"/>
    <numFmt numFmtId="178" formatCode="0_)"/>
    <numFmt numFmtId="179" formatCode="_([$€-2]* #,##0.00_);_([$€-2]* \(#,##0.00\);_([$€-2]* &quot;-&quot;??_)"/>
    <numFmt numFmtId="180" formatCode="00\-0000\-00\-0000\-000"/>
    <numFmt numFmtId="181" formatCode="#,##0."/>
    <numFmt numFmtId="182" formatCode="#,###,##0.00;\(#,###,##0.00\)"/>
    <numFmt numFmtId="183" formatCode="&quot;$&quot;#,###,##0.00;\(&quot;$&quot;#,###,##0.00\)"/>
    <numFmt numFmtId="184" formatCode="#,##0.00%;\(#,##0.00%\)"/>
    <numFmt numFmtId="185" formatCode="mm/dd/yy"/>
    <numFmt numFmtId="186" formatCode="#,##0;#,##0;;"/>
    <numFmt numFmtId="187" formatCode="0.00_)"/>
    <numFmt numFmtId="188" formatCode="General_)"/>
    <numFmt numFmtId="189" formatCode="#,##0.000_);[Red]\(#,##0.000\)"/>
    <numFmt numFmtId="190" formatCode="&quot;FY94P&quot;#"/>
    <numFmt numFmtId="191" formatCode="00\-0000\-00\-0000"/>
    <numFmt numFmtId="192" formatCode="_(* #,##0,_);_(* \(#,##0,\);_(@_)"/>
    <numFmt numFmtId="193" formatCode="_(* #,##0.00_);[Red]_(* \(#,##0.00\);_(* &quot;-&quot;??_);_(@_)"/>
    <numFmt numFmtId="194" formatCode="_-* #,##0.0\ _B_s_-;\-* #,##0.0\ _B_s_-;_-* &quot;-&quot;??\ _B_s_-;_-@_-"/>
    <numFmt numFmtId="195" formatCode="#,##0.0"/>
  </numFmts>
  <fonts count="13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b/>
      <sz val="10"/>
      <name val="Arial"/>
      <family val="2"/>
    </font>
    <font>
      <sz val="10"/>
      <name val="Arial"/>
      <family val="2"/>
    </font>
    <font>
      <sz val="10"/>
      <color indexed="8"/>
      <name val="Arial"/>
      <family val="2"/>
    </font>
    <font>
      <sz val="10"/>
      <color indexed="8"/>
      <name val="Times New Roman"/>
      <family val="1"/>
    </font>
    <font>
      <b/>
      <sz val="10"/>
      <color indexed="8"/>
      <name val="Times New Roman"/>
      <family val="1"/>
    </font>
    <font>
      <b/>
      <sz val="10"/>
      <name val="Times New Roman"/>
      <family val="1"/>
    </font>
    <font>
      <sz val="11"/>
      <color indexed="8"/>
      <name val="Calibri"/>
      <family val="2"/>
    </font>
    <font>
      <sz val="11"/>
      <color indexed="9"/>
      <name val="Calibri"/>
      <family val="2"/>
    </font>
    <font>
      <b/>
      <sz val="11"/>
      <color indexed="9"/>
      <name val="Calibri"/>
      <family val="2"/>
    </font>
    <font>
      <sz val="11"/>
      <color indexed="17"/>
      <name val="Calibri"/>
      <family val="2"/>
    </font>
    <font>
      <sz val="11"/>
      <color indexed="52"/>
      <name val="Calibri"/>
      <family val="2"/>
    </font>
    <font>
      <sz val="11"/>
      <color indexed="60"/>
      <name val="Calibri"/>
      <family val="2"/>
    </font>
    <font>
      <b/>
      <sz val="12"/>
      <color indexed="8"/>
      <name val="Times New Roman"/>
      <family val="1"/>
    </font>
    <font>
      <sz val="12"/>
      <name val="Arial"/>
      <family val="2"/>
    </font>
    <font>
      <sz val="9"/>
      <name val="Arial"/>
      <family val="2"/>
    </font>
    <font>
      <sz val="12"/>
      <color indexed="8"/>
      <name val="Arial"/>
      <family val="2"/>
    </font>
    <font>
      <b/>
      <sz val="12"/>
      <name val="Arial"/>
      <family val="2"/>
    </font>
    <font>
      <sz val="11"/>
      <color indexed="8"/>
      <name val="ＭＳ Ｐゴシック"/>
      <family val="3"/>
      <charset val="128"/>
    </font>
    <font>
      <sz val="11"/>
      <color indexed="9"/>
      <name val="ＭＳ Ｐゴシック"/>
      <family val="3"/>
      <charset val="128"/>
    </font>
    <font>
      <sz val="14"/>
      <color indexed="8"/>
      <name val="Arial"/>
      <family val="2"/>
    </font>
    <font>
      <sz val="11"/>
      <name val="Arial"/>
      <family val="2"/>
    </font>
    <font>
      <sz val="10"/>
      <name val="Arial"/>
      <family val="2"/>
      <charset val="204"/>
    </font>
    <font>
      <sz val="12"/>
      <name val="Times New Roman"/>
      <family val="1"/>
    </font>
    <font>
      <sz val="11"/>
      <name val="Arial"/>
      <family val="2"/>
      <charset val="204"/>
    </font>
    <font>
      <sz val="10"/>
      <name val="Helv"/>
    </font>
    <font>
      <sz val="1"/>
      <color indexed="8"/>
      <name val="Courier"/>
      <family val="3"/>
    </font>
    <font>
      <i/>
      <sz val="9"/>
      <name val="Helv"/>
    </font>
    <font>
      <sz val="10"/>
      <name val="MS Sans Serif"/>
      <family val="2"/>
    </font>
    <font>
      <sz val="12"/>
      <color indexed="24"/>
      <name val="Arial"/>
      <family val="2"/>
    </font>
    <font>
      <sz val="10"/>
      <color indexed="0"/>
      <name val="Arial"/>
      <family val="2"/>
    </font>
    <font>
      <sz val="9"/>
      <name val="Tms Rmn"/>
    </font>
    <font>
      <sz val="12"/>
      <name val="Tms Rmn"/>
    </font>
    <font>
      <u/>
      <sz val="6"/>
      <color indexed="12"/>
      <name val="Helv"/>
    </font>
    <font>
      <u/>
      <sz val="7"/>
      <color indexed="12"/>
      <name val="Helv"/>
    </font>
    <font>
      <sz val="10"/>
      <name val="Times New Roman"/>
      <family val="1"/>
    </font>
    <font>
      <sz val="12"/>
      <name val="Helv"/>
    </font>
    <font>
      <sz val="9"/>
      <name val="Helv"/>
    </font>
    <font>
      <b/>
      <i/>
      <sz val="16"/>
      <name val="Helv"/>
    </font>
    <font>
      <b/>
      <sz val="10"/>
      <name val="MS Sans Serif"/>
      <family val="2"/>
    </font>
    <font>
      <sz val="10"/>
      <name val="Arial MT"/>
    </font>
    <font>
      <b/>
      <i/>
      <sz val="10"/>
      <color indexed="8"/>
      <name val="Times New Roman"/>
      <family val="1"/>
    </font>
    <font>
      <sz val="10"/>
      <color indexed="12"/>
      <name val="Times New Roman"/>
      <family val="1"/>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2"/>
      <name val="Calibri"/>
      <family val="2"/>
    </font>
    <font>
      <sz val="8"/>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Helv"/>
    </font>
    <font>
      <u/>
      <sz val="11"/>
      <color theme="10"/>
      <name val="Calibri"/>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theme="1"/>
      <name val="Arial"/>
      <family val="2"/>
    </font>
    <font>
      <sz val="11"/>
      <color theme="1"/>
      <name val="Calibri"/>
      <family val="2"/>
      <charset val="178"/>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0"/>
      <color theme="0"/>
      <name val="Arial"/>
      <family val="2"/>
    </font>
    <font>
      <sz val="10"/>
      <color theme="0"/>
      <name val="Arial"/>
      <family val="2"/>
    </font>
    <font>
      <b/>
      <i/>
      <sz val="10"/>
      <name val="Times New Roman"/>
      <family val="1"/>
    </font>
    <font>
      <b/>
      <sz val="10"/>
      <color theme="0"/>
      <name val="Times New Roman"/>
      <family val="1"/>
    </font>
    <font>
      <b/>
      <sz val="10"/>
      <color theme="1"/>
      <name val="Times New Roman"/>
      <family val="1"/>
    </font>
    <font>
      <i/>
      <u/>
      <sz val="10"/>
      <name val="Times New Roman"/>
      <family val="1"/>
    </font>
    <font>
      <sz val="10"/>
      <color rgb="FFFF0000"/>
      <name val="Times New Roman"/>
      <family val="1"/>
    </font>
    <font>
      <i/>
      <sz val="10"/>
      <name val="Times New Roman"/>
      <family val="1"/>
    </font>
    <font>
      <u/>
      <sz val="10"/>
      <name val="Times New Roman"/>
      <family val="1"/>
    </font>
    <font>
      <b/>
      <i/>
      <sz val="11"/>
      <name val="Times New Roman"/>
      <family val="1"/>
    </font>
    <font>
      <b/>
      <i/>
      <u/>
      <sz val="10"/>
      <name val="Times New Roman"/>
      <family val="1"/>
    </font>
    <font>
      <sz val="10"/>
      <color indexed="10"/>
      <name val="Times New Roman"/>
      <family val="1"/>
    </font>
    <font>
      <sz val="11"/>
      <name val="Calibri"/>
      <family val="2"/>
      <scheme val="minor"/>
    </font>
    <font>
      <b/>
      <sz val="16"/>
      <color indexed="8"/>
      <name val="Calibri"/>
      <family val="2"/>
      <scheme val="minor"/>
    </font>
    <font>
      <b/>
      <sz val="16"/>
      <name val="Calibri"/>
      <family val="2"/>
      <scheme val="minor"/>
    </font>
    <font>
      <sz val="11"/>
      <color theme="9" tint="0.39997558519241921"/>
      <name val="Calibri"/>
      <family val="2"/>
      <scheme val="minor"/>
    </font>
    <font>
      <b/>
      <sz val="14"/>
      <name val="Calibri"/>
      <family val="2"/>
      <scheme val="minor"/>
    </font>
    <font>
      <b/>
      <sz val="11"/>
      <name val="Calibri"/>
      <family val="2"/>
      <scheme val="minor"/>
    </font>
    <font>
      <sz val="11"/>
      <color theme="9" tint="-0.499984740745262"/>
      <name val="Calibri"/>
      <family val="2"/>
      <scheme val="minor"/>
    </font>
    <font>
      <sz val="12"/>
      <color theme="4"/>
      <name val="Calibri"/>
      <family val="2"/>
      <scheme val="minor"/>
    </font>
    <font>
      <i/>
      <sz val="11"/>
      <color rgb="FF000000"/>
      <name val="Times New Roman"/>
      <family val="1"/>
    </font>
    <font>
      <b/>
      <sz val="11"/>
      <color theme="9" tint="-0.499984740745262"/>
      <name val="Calibri"/>
      <family val="2"/>
      <scheme val="minor"/>
    </font>
    <font>
      <sz val="11"/>
      <color rgb="FF00B0F0"/>
      <name val="Calibri"/>
      <family val="2"/>
      <scheme val="minor"/>
    </font>
    <font>
      <sz val="11"/>
      <color theme="3" tint="0.39997558519241921"/>
      <name val="Calibri"/>
      <family val="2"/>
      <scheme val="minor"/>
    </font>
    <font>
      <b/>
      <sz val="11"/>
      <color theme="3" tint="0.39997558519241921"/>
      <name val="Calibri"/>
      <family val="2"/>
      <scheme val="minor"/>
    </font>
    <font>
      <sz val="12"/>
      <name val="Calibri"/>
      <family val="2"/>
      <scheme val="minor"/>
    </font>
    <font>
      <b/>
      <sz val="11"/>
      <color rgb="FFFF0000"/>
      <name val="Calibri"/>
      <family val="2"/>
      <scheme val="minor"/>
    </font>
    <font>
      <b/>
      <sz val="12"/>
      <name val="Calibri"/>
      <family val="2"/>
      <scheme val="minor"/>
    </font>
    <font>
      <sz val="12"/>
      <color indexed="8"/>
      <name val="Times New Roman"/>
      <family val="1"/>
    </font>
    <font>
      <sz val="14"/>
      <name val="Calibri"/>
      <family val="2"/>
      <scheme val="minor"/>
    </font>
    <font>
      <b/>
      <sz val="12"/>
      <color theme="1"/>
      <name val="Times New Roman"/>
      <family val="1"/>
    </font>
    <font>
      <sz val="12"/>
      <color theme="1"/>
      <name val="Times New Roman"/>
      <family val="1"/>
    </font>
    <font>
      <b/>
      <sz val="12"/>
      <name val="Times New Roman"/>
      <family val="1"/>
    </font>
    <font>
      <b/>
      <sz val="11"/>
      <name val="Arial"/>
      <family val="2"/>
    </font>
    <font>
      <i/>
      <sz val="11"/>
      <name val="Calibri"/>
      <family val="2"/>
      <scheme val="minor"/>
    </font>
    <font>
      <i/>
      <sz val="16"/>
      <color indexed="8"/>
      <name val="Calibri"/>
      <family val="2"/>
      <scheme val="minor"/>
    </font>
    <font>
      <i/>
      <sz val="14"/>
      <name val="Calibri"/>
      <family val="2"/>
      <scheme val="minor"/>
    </font>
    <font>
      <i/>
      <sz val="12"/>
      <color theme="4"/>
      <name val="Calibri"/>
      <family val="2"/>
      <scheme val="minor"/>
    </font>
    <font>
      <i/>
      <sz val="12"/>
      <name val="Calibri"/>
      <family val="2"/>
      <scheme val="minor"/>
    </font>
    <font>
      <i/>
      <sz val="16"/>
      <name val="Calibri"/>
      <family val="2"/>
      <scheme val="minor"/>
    </font>
    <font>
      <i/>
      <sz val="12"/>
      <color indexed="8"/>
      <name val="Times New Roman"/>
      <family val="1"/>
    </font>
    <font>
      <i/>
      <sz val="10"/>
      <color indexed="8"/>
      <name val="Times New Roman"/>
      <family val="1"/>
    </font>
  </fonts>
  <fills count="83">
    <fill>
      <patternFill patternType="none"/>
    </fill>
    <fill>
      <patternFill patternType="gray125"/>
    </fill>
    <fill>
      <patternFill patternType="solid">
        <fgColor indexed="47"/>
      </patternFill>
    </fill>
    <fill>
      <patternFill patternType="solid">
        <fgColor indexed="26"/>
      </patternFill>
    </fill>
    <fill>
      <patternFill patternType="solid">
        <fgColor indexed="46"/>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3"/>
      </patternFill>
    </fill>
    <fill>
      <patternFill patternType="solid">
        <fgColor indexed="55"/>
      </patternFill>
    </fill>
    <fill>
      <patternFill patternType="solid">
        <fgColor indexed="42"/>
        <bgColor indexed="64"/>
      </patternFill>
    </fill>
    <fill>
      <patternFill patternType="solid">
        <fgColor indexed="22"/>
        <bgColor indexed="64"/>
      </patternFill>
    </fill>
    <fill>
      <patternFill patternType="solid">
        <fgColor indexed="26"/>
        <bgColor indexed="64"/>
      </patternFill>
    </fill>
    <fill>
      <patternFill patternType="solid">
        <fgColor indexed="11"/>
        <bgColor indexed="64"/>
      </patternFill>
    </fill>
    <fill>
      <patternFill patternType="mediumGray">
        <fgColor indexed="22"/>
      </patternFill>
    </fill>
    <fill>
      <patternFill patternType="solid">
        <fgColor indexed="62"/>
      </patternFill>
    </fill>
    <fill>
      <patternFill patternType="solid">
        <fgColor indexed="57"/>
      </patternFill>
    </fill>
    <fill>
      <patternFill patternType="lightUp"/>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1"/>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336799"/>
        <bgColor indexed="64"/>
      </patternFill>
    </fill>
    <fill>
      <patternFill patternType="solid">
        <fgColor theme="0" tint="-0.499984740745262"/>
        <bgColor indexed="64"/>
      </patternFill>
    </fill>
    <fill>
      <patternFill patternType="solid">
        <fgColor indexed="9"/>
        <bgColor indexed="64"/>
      </patternFill>
    </fill>
    <fill>
      <patternFill patternType="solid">
        <fgColor theme="6"/>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indexed="52"/>
        <bgColor indexed="64"/>
      </patternFill>
    </fill>
    <fill>
      <patternFill patternType="solid">
        <fgColor theme="8" tint="0.39997558519241921"/>
        <bgColor indexed="64"/>
      </patternFill>
    </fill>
  </fills>
  <borders count="9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424242"/>
      </bottom>
      <diagonal/>
    </border>
    <border>
      <left style="thin">
        <color rgb="FF424242"/>
      </left>
      <right style="thin">
        <color rgb="FF424242"/>
      </right>
      <top style="thin">
        <color rgb="FF424242"/>
      </top>
      <bottom style="thin">
        <color rgb="FF424242"/>
      </bottom>
      <diagonal/>
    </border>
    <border>
      <left style="thin">
        <color rgb="FFA09D94"/>
      </left>
      <right/>
      <top style="thin">
        <color rgb="FF424242"/>
      </top>
      <bottom style="thin">
        <color rgb="FF424242"/>
      </bottom>
      <diagonal/>
    </border>
    <border>
      <left style="thin">
        <color rgb="FF424242"/>
      </left>
      <right/>
      <top style="thin">
        <color rgb="FF424242"/>
      </top>
      <bottom style="thin">
        <color rgb="FF424242"/>
      </bottom>
      <diagonal/>
    </border>
    <border>
      <left/>
      <right/>
      <top style="thin">
        <color rgb="FF424242"/>
      </top>
      <bottom/>
      <diagonal/>
    </border>
    <border>
      <left style="thin">
        <color rgb="FF424242"/>
      </left>
      <right/>
      <top/>
      <bottom style="thin">
        <color rgb="FF424242"/>
      </bottom>
      <diagonal/>
    </border>
    <border>
      <left style="thin">
        <color rgb="FFA09D94"/>
      </left>
      <right/>
      <top/>
      <bottom style="thin">
        <color rgb="FF424242"/>
      </bottom>
      <diagonal/>
    </border>
    <border>
      <left style="thin">
        <color rgb="FF424242"/>
      </left>
      <right style="thin">
        <color indexed="64"/>
      </right>
      <top style="thin">
        <color rgb="FF424242"/>
      </top>
      <bottom style="thin">
        <color rgb="FF424242"/>
      </bottom>
      <diagonal/>
    </border>
    <border>
      <left style="thin">
        <color rgb="FF424242"/>
      </left>
      <right style="thin">
        <color rgb="FF424242"/>
      </right>
      <top/>
      <bottom style="thin">
        <color rgb="FF424242"/>
      </bottom>
      <diagonal/>
    </border>
    <border>
      <left style="thin">
        <color indexed="64"/>
      </left>
      <right style="thin">
        <color rgb="FFAFAFAF"/>
      </right>
      <top style="thin">
        <color rgb="FFA09D94"/>
      </top>
      <bottom style="thin">
        <color indexed="64"/>
      </bottom>
      <diagonal/>
    </border>
    <border>
      <left style="thin">
        <color rgb="FF424242"/>
      </left>
      <right style="thin">
        <color rgb="FF424242"/>
      </right>
      <top style="thin">
        <color rgb="FF424242"/>
      </top>
      <bottom style="thin">
        <color rgb="FFAFAFAF"/>
      </bottom>
      <diagonal/>
    </border>
    <border>
      <left style="thin">
        <color rgb="FF424242"/>
      </left>
      <right style="thin">
        <color rgb="FFAFAFAF"/>
      </right>
      <top style="thin">
        <color rgb="FF424242"/>
      </top>
      <bottom style="thin">
        <color rgb="FF424242"/>
      </bottom>
      <diagonal/>
    </border>
    <border>
      <left/>
      <right/>
      <top/>
      <bottom style="thin">
        <color rgb="FF424242"/>
      </bottom>
      <diagonal/>
    </border>
    <border>
      <left/>
      <right/>
      <top style="thin">
        <color rgb="FF424242"/>
      </top>
      <bottom style="thin">
        <color rgb="FF424242"/>
      </bottom>
      <diagonal/>
    </border>
    <border>
      <left/>
      <right/>
      <top style="thin">
        <color rgb="FFAFAFAF"/>
      </top>
      <bottom style="thin">
        <color rgb="FF424242"/>
      </bottom>
      <diagonal/>
    </border>
    <border>
      <left style="thin">
        <color rgb="FF424242"/>
      </left>
      <right/>
      <top style="thin">
        <color rgb="FF424242"/>
      </top>
      <bottom/>
      <diagonal/>
    </border>
    <border>
      <left/>
      <right/>
      <top style="thin">
        <color rgb="FF424242"/>
      </top>
      <bottom style="thin">
        <color rgb="FFAFAFAF"/>
      </bottom>
      <diagonal/>
    </border>
    <border>
      <left/>
      <right style="thin">
        <color rgb="FFAFAFAF"/>
      </right>
      <top style="thin">
        <color rgb="FFAFAFAF"/>
      </top>
      <bottom style="thin">
        <color rgb="FFAFAFAF"/>
      </bottom>
      <diagonal/>
    </border>
    <border>
      <left/>
      <right/>
      <top/>
      <bottom style="thin">
        <color rgb="FF000000"/>
      </bottom>
      <diagonal/>
    </border>
    <border>
      <left/>
      <right style="thin">
        <color rgb="FFAFAFAF"/>
      </right>
      <top style="thin">
        <color rgb="FF424242"/>
      </top>
      <bottom/>
      <diagonal/>
    </border>
    <border>
      <left/>
      <right style="thin">
        <color rgb="FF424242"/>
      </right>
      <top style="thin">
        <color rgb="FF424242"/>
      </top>
      <bottom/>
      <diagonal/>
    </border>
    <border>
      <left style="thin">
        <color rgb="FFA09D94"/>
      </left>
      <right/>
      <top style="thin">
        <color rgb="FFA09D94"/>
      </top>
      <bottom style="thin">
        <color rgb="FFA09D94"/>
      </bottom>
      <diagonal/>
    </border>
    <border>
      <left/>
      <right/>
      <top style="thin">
        <color rgb="FFA09D94"/>
      </top>
      <bottom style="thin">
        <color rgb="FFA09D94"/>
      </bottom>
      <diagonal/>
    </border>
    <border>
      <left/>
      <right style="thin">
        <color rgb="FFA09D94"/>
      </right>
      <top style="thin">
        <color rgb="FFA09D94"/>
      </top>
      <bottom style="thin">
        <color rgb="FFA09D94"/>
      </bottom>
      <diagonal/>
    </border>
    <border>
      <left style="thin">
        <color rgb="FFAFAFAF"/>
      </left>
      <right/>
      <top style="thin">
        <color rgb="FFAFAFAF"/>
      </top>
      <bottom style="thin">
        <color rgb="FFAFAFAF"/>
      </bottom>
      <diagonal/>
    </border>
    <border>
      <left/>
      <right/>
      <top style="thin">
        <color rgb="FFAFAFAF"/>
      </top>
      <bottom style="thin">
        <color rgb="FFAFAFAF"/>
      </bottom>
      <diagonal/>
    </border>
    <border>
      <left style="medium">
        <color indexed="64"/>
      </left>
      <right style="thin">
        <color indexed="64"/>
      </right>
      <top style="medium">
        <color indexed="64"/>
      </top>
      <bottom/>
      <diagonal/>
    </border>
    <border>
      <left style="thin">
        <color auto="1"/>
      </left>
      <right style="thin">
        <color auto="1"/>
      </right>
      <top style="medium">
        <color auto="1"/>
      </top>
      <bottom/>
      <diagonal/>
    </border>
    <border>
      <left style="thin">
        <color indexed="64"/>
      </left>
      <right/>
      <top style="medium">
        <color indexed="64"/>
      </top>
      <bottom/>
      <diagonal/>
    </border>
    <border>
      <left/>
      <right/>
      <top style="medium">
        <color auto="1"/>
      </top>
      <bottom/>
      <diagonal/>
    </border>
    <border>
      <left/>
      <right style="thin">
        <color auto="1"/>
      </right>
      <top style="medium">
        <color auto="1"/>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528">
    <xf numFmtId="0" fontId="0" fillId="0" borderId="0"/>
    <xf numFmtId="179" fontId="68" fillId="30" borderId="0" applyNumberFormat="0" applyBorder="0" applyAlignment="0" applyProtection="0"/>
    <xf numFmtId="179" fontId="68" fillId="31" borderId="0" applyNumberFormat="0" applyBorder="0" applyAlignment="0" applyProtection="0"/>
    <xf numFmtId="179" fontId="68" fillId="32" borderId="0" applyNumberFormat="0" applyBorder="0" applyAlignment="0" applyProtection="0"/>
    <xf numFmtId="179" fontId="15" fillId="4" borderId="0" applyNumberFormat="0" applyBorder="0" applyAlignment="0" applyProtection="0"/>
    <xf numFmtId="179" fontId="68" fillId="33" borderId="0" applyNumberFormat="0" applyBorder="0" applyAlignment="0" applyProtection="0"/>
    <xf numFmtId="179" fontId="68" fillId="34" borderId="0" applyNumberFormat="0" applyBorder="0" applyAlignment="0" applyProtection="0"/>
    <xf numFmtId="179" fontId="68" fillId="35" borderId="0" applyNumberFormat="0" applyBorder="0" applyAlignment="0" applyProtection="0"/>
    <xf numFmtId="179" fontId="26" fillId="6" borderId="0" applyNumberFormat="0" applyBorder="0" applyAlignment="0" applyProtection="0">
      <alignment vertical="center"/>
    </xf>
    <xf numFmtId="179" fontId="26" fillId="7" borderId="0" applyNumberFormat="0" applyBorder="0" applyAlignment="0" applyProtection="0">
      <alignment vertical="center"/>
    </xf>
    <xf numFmtId="179" fontId="26" fillId="8" borderId="0" applyNumberFormat="0" applyBorder="0" applyAlignment="0" applyProtection="0">
      <alignment vertical="center"/>
    </xf>
    <xf numFmtId="179" fontId="26" fillId="4" borderId="0" applyNumberFormat="0" applyBorder="0" applyAlignment="0" applyProtection="0">
      <alignment vertical="center"/>
    </xf>
    <xf numFmtId="179" fontId="26" fillId="5" borderId="0" applyNumberFormat="0" applyBorder="0" applyAlignment="0" applyProtection="0">
      <alignment vertical="center"/>
    </xf>
    <xf numFmtId="179" fontId="26" fillId="2" borderId="0" applyNumberFormat="0" applyBorder="0" applyAlignment="0" applyProtection="0">
      <alignment vertical="center"/>
    </xf>
    <xf numFmtId="179" fontId="68" fillId="36" borderId="0" applyNumberFormat="0" applyBorder="0" applyAlignment="0" applyProtection="0"/>
    <xf numFmtId="179" fontId="68" fillId="37" borderId="0" applyNumberFormat="0" applyBorder="0" applyAlignment="0" applyProtection="0"/>
    <xf numFmtId="179" fontId="68" fillId="38" borderId="0" applyNumberFormat="0" applyBorder="0" applyAlignment="0" applyProtection="0"/>
    <xf numFmtId="179" fontId="68" fillId="39" borderId="0" applyNumberFormat="0" applyBorder="0" applyAlignment="0" applyProtection="0"/>
    <xf numFmtId="179" fontId="68" fillId="40" borderId="0" applyNumberFormat="0" applyBorder="0" applyAlignment="0" applyProtection="0"/>
    <xf numFmtId="179" fontId="68" fillId="41" borderId="0" applyNumberFormat="0" applyBorder="0" applyAlignment="0" applyProtection="0"/>
    <xf numFmtId="179" fontId="26" fillId="12" borderId="0" applyNumberFormat="0" applyBorder="0" applyAlignment="0" applyProtection="0">
      <alignment vertical="center"/>
    </xf>
    <xf numFmtId="179" fontId="26" fillId="10" borderId="0" applyNumberFormat="0" applyBorder="0" applyAlignment="0" applyProtection="0">
      <alignment vertical="center"/>
    </xf>
    <xf numFmtId="179" fontId="26" fillId="13" borderId="0" applyNumberFormat="0" applyBorder="0" applyAlignment="0" applyProtection="0">
      <alignment vertical="center"/>
    </xf>
    <xf numFmtId="179" fontId="26" fillId="4" borderId="0" applyNumberFormat="0" applyBorder="0" applyAlignment="0" applyProtection="0">
      <alignment vertical="center"/>
    </xf>
    <xf numFmtId="179" fontId="26" fillId="12" borderId="0" applyNumberFormat="0" applyBorder="0" applyAlignment="0" applyProtection="0">
      <alignment vertical="center"/>
    </xf>
    <xf numFmtId="179" fontId="26" fillId="14" borderId="0" applyNumberFormat="0" applyBorder="0" applyAlignment="0" applyProtection="0">
      <alignment vertical="center"/>
    </xf>
    <xf numFmtId="179" fontId="69" fillId="42" borderId="0" applyNumberFormat="0" applyBorder="0" applyAlignment="0" applyProtection="0"/>
    <xf numFmtId="179" fontId="69" fillId="43" borderId="0" applyNumberFormat="0" applyBorder="0" applyAlignment="0" applyProtection="0"/>
    <xf numFmtId="179" fontId="69" fillId="44" borderId="0" applyNumberFormat="0" applyBorder="0" applyAlignment="0" applyProtection="0"/>
    <xf numFmtId="179" fontId="69" fillId="45" borderId="0" applyNumberFormat="0" applyBorder="0" applyAlignment="0" applyProtection="0"/>
    <xf numFmtId="179" fontId="69" fillId="46" borderId="0" applyNumberFormat="0" applyBorder="0" applyAlignment="0" applyProtection="0"/>
    <xf numFmtId="179" fontId="69" fillId="47" borderId="0" applyNumberFormat="0" applyBorder="0" applyAlignment="0" applyProtection="0"/>
    <xf numFmtId="179" fontId="27" fillId="16" borderId="0" applyNumberFormat="0" applyBorder="0" applyAlignment="0" applyProtection="0">
      <alignment vertical="center"/>
    </xf>
    <xf numFmtId="179" fontId="27" fillId="10" borderId="0" applyNumberFormat="0" applyBorder="0" applyAlignment="0" applyProtection="0">
      <alignment vertical="center"/>
    </xf>
    <xf numFmtId="179" fontId="27" fillId="13" borderId="0" applyNumberFormat="0" applyBorder="0" applyAlignment="0" applyProtection="0">
      <alignment vertical="center"/>
    </xf>
    <xf numFmtId="179" fontId="27" fillId="17" borderId="0" applyNumberFormat="0" applyBorder="0" applyAlignment="0" applyProtection="0">
      <alignment vertical="center"/>
    </xf>
    <xf numFmtId="179" fontId="27" fillId="15" borderId="0" applyNumberFormat="0" applyBorder="0" applyAlignment="0" applyProtection="0">
      <alignment vertical="center"/>
    </xf>
    <xf numFmtId="179" fontId="27" fillId="18" borderId="0" applyNumberFormat="0" applyBorder="0" applyAlignment="0" applyProtection="0">
      <alignment vertical="center"/>
    </xf>
    <xf numFmtId="179" fontId="69" fillId="48" borderId="0" applyNumberFormat="0" applyBorder="0" applyAlignment="0" applyProtection="0"/>
    <xf numFmtId="179" fontId="16" fillId="19" borderId="0" applyNumberFormat="0" applyBorder="0" applyAlignment="0" applyProtection="0"/>
    <xf numFmtId="179" fontId="69" fillId="49" borderId="0" applyNumberFormat="0" applyBorder="0" applyAlignment="0" applyProtection="0"/>
    <xf numFmtId="179" fontId="69" fillId="50" borderId="0" applyNumberFormat="0" applyBorder="0" applyAlignment="0" applyProtection="0"/>
    <xf numFmtId="179" fontId="69" fillId="51" borderId="0" applyNumberFormat="0" applyBorder="0" applyAlignment="0" applyProtection="0"/>
    <xf numFmtId="179" fontId="69" fillId="52" borderId="0" applyNumberFormat="0" applyBorder="0" applyAlignment="0" applyProtection="0"/>
    <xf numFmtId="179" fontId="69" fillId="53" borderId="0" applyNumberFormat="0" applyBorder="0" applyAlignment="0" applyProtection="0"/>
    <xf numFmtId="3" fontId="24" fillId="0" borderId="0" applyNumberFormat="0" applyFill="0" applyBorder="0" applyAlignment="0" applyProtection="0"/>
    <xf numFmtId="3" fontId="28" fillId="0" borderId="0" applyNumberFormat="0" applyFill="0" applyBorder="0" applyAlignment="0" applyProtection="0"/>
    <xf numFmtId="180" fontId="7" fillId="0" borderId="0" applyFont="0" applyFill="0" applyBorder="0" applyAlignment="0" applyProtection="0"/>
    <xf numFmtId="179" fontId="70" fillId="54" borderId="0" applyNumberFormat="0" applyBorder="0" applyAlignment="0" applyProtection="0"/>
    <xf numFmtId="179" fontId="71" fillId="55" borderId="44" applyNumberFormat="0" applyAlignment="0" applyProtection="0"/>
    <xf numFmtId="179" fontId="17" fillId="21" borderId="2" applyNumberFormat="0" applyAlignment="0" applyProtection="0"/>
    <xf numFmtId="179" fontId="72" fillId="56" borderId="45" applyNumberFormat="0" applyAlignment="0" applyProtection="0"/>
    <xf numFmtId="166" fontId="6" fillId="0" borderId="0" applyFont="0" applyFill="0" applyBorder="0" applyAlignment="0" applyProtection="0"/>
    <xf numFmtId="166" fontId="8" fillId="0" borderId="0" applyFont="0" applyFill="0" applyBorder="0" applyAlignment="0" applyProtection="0"/>
    <xf numFmtId="43" fontId="8" fillId="0" borderId="0" applyFont="0" applyFill="0" applyBorder="0" applyAlignment="0" applyProtection="0"/>
    <xf numFmtId="43" fontId="29"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29"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4" fontId="31" fillId="0" borderId="0" applyFont="0" applyFill="0" applyBorder="0" applyAlignment="0" applyProtection="0"/>
    <xf numFmtId="43" fontId="6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2" fillId="0" borderId="0" applyFont="0" applyFill="0" applyBorder="0" applyAlignment="0" applyProtection="0"/>
    <xf numFmtId="43" fontId="8" fillId="0" borderId="0" applyFont="0" applyFill="0" applyBorder="0" applyAlignment="0" applyProtection="0"/>
    <xf numFmtId="3" fontId="8" fillId="0" borderId="0" applyFont="0" applyFill="0" applyBorder="0" applyAlignment="0" applyProtection="0"/>
    <xf numFmtId="179" fontId="33" fillId="0" borderId="0"/>
    <xf numFmtId="179" fontId="33" fillId="0" borderId="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181" fontId="34" fillId="0" borderId="0">
      <protection locked="0"/>
    </xf>
    <xf numFmtId="179" fontId="33" fillId="0" borderId="0"/>
    <xf numFmtId="179" fontId="33" fillId="0" borderId="0"/>
    <xf numFmtId="179" fontId="33" fillId="0" borderId="0"/>
    <xf numFmtId="179" fontId="33" fillId="0" borderId="0"/>
    <xf numFmtId="179" fontId="33" fillId="0" borderId="0"/>
    <xf numFmtId="179" fontId="33" fillId="0" borderId="0"/>
    <xf numFmtId="165" fontId="6" fillId="0" borderId="0" applyFont="0" applyFill="0" applyBorder="0" applyAlignment="0" applyProtection="0"/>
    <xf numFmtId="44" fontId="68" fillId="0" borderId="0" applyFont="0" applyFill="0" applyBorder="0" applyAlignment="0" applyProtection="0"/>
    <xf numFmtId="44" fontId="10" fillId="0" borderId="0" applyFont="0" applyFill="0" applyBorder="0" applyAlignment="0" applyProtection="0"/>
    <xf numFmtId="44" fontId="8" fillId="0" borderId="0" applyFont="0" applyFill="0" applyBorder="0" applyAlignment="0" applyProtection="0"/>
    <xf numFmtId="44" fontId="68" fillId="0" borderId="0" applyFont="0" applyFill="0" applyBorder="0" applyAlignment="0" applyProtection="0"/>
    <xf numFmtId="44" fontId="30" fillId="0" borderId="0" applyFont="0" applyFill="0" applyBorder="0" applyAlignment="0" applyProtection="0"/>
    <xf numFmtId="44" fontId="8" fillId="0" borderId="0" applyFont="0" applyFill="0" applyBorder="0" applyAlignment="0" applyProtection="0"/>
    <xf numFmtId="165" fontId="8" fillId="0" borderId="0" applyFont="0" applyFill="0" applyBorder="0" applyAlignment="0" applyProtection="0"/>
    <xf numFmtId="44" fontId="8" fillId="0" borderId="0" applyFont="0" applyFill="0" applyBorder="0" applyAlignment="0" applyProtection="0"/>
    <xf numFmtId="44" fontId="68" fillId="0" borderId="0" applyFont="0" applyFill="0" applyBorder="0" applyAlignment="0" applyProtection="0"/>
    <xf numFmtId="44" fontId="30"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15" fillId="0" borderId="0" applyFont="0" applyFill="0" applyBorder="0" applyAlignment="0" applyProtection="0"/>
    <xf numFmtId="44" fontId="8" fillId="0" borderId="0" applyFont="0" applyFill="0" applyBorder="0" applyAlignment="0" applyProtection="0"/>
    <xf numFmtId="44" fontId="15" fillId="0" borderId="0" applyFont="0" applyFill="0" applyBorder="0" applyAlignment="0" applyProtection="0"/>
    <xf numFmtId="44" fontId="8" fillId="0" borderId="0" applyFont="0" applyFill="0" applyBorder="0" applyAlignment="0" applyProtection="0"/>
    <xf numFmtId="44" fontId="15" fillId="0" borderId="0" applyFont="0" applyFill="0" applyBorder="0" applyAlignment="0" applyProtection="0"/>
    <xf numFmtId="44" fontId="66"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5" fontId="8" fillId="0" borderId="0" applyFont="0" applyFill="0" applyBorder="0" applyAlignment="0" applyProtection="0"/>
    <xf numFmtId="14" fontId="8" fillId="0" borderId="0" applyFont="0" applyFill="0" applyBorder="0" applyAlignment="0" applyProtection="0"/>
    <xf numFmtId="179" fontId="8" fillId="0" borderId="0" applyFont="0" applyFill="0" applyBorder="0" applyAlignment="0" applyProtection="0"/>
    <xf numFmtId="22" fontId="8" fillId="0" borderId="0" applyFont="0" applyFill="0" applyBorder="0" applyAlignment="0" applyProtection="0"/>
    <xf numFmtId="179" fontId="35" fillId="0" borderId="0">
      <alignment horizontal="left" vertical="top" wrapText="1"/>
    </xf>
    <xf numFmtId="7" fontId="36" fillId="0" borderId="0" applyFont="0" applyFill="0" applyBorder="0" applyAlignment="0" applyProtection="0"/>
    <xf numFmtId="179" fontId="22" fillId="0" borderId="0" applyFont="0" applyFill="0" applyBorder="0" applyAlignment="0" applyProtection="0"/>
    <xf numFmtId="179" fontId="73" fillId="0" borderId="0" applyNumberFormat="0" applyFill="0" applyBorder="0" applyAlignment="0" applyProtection="0"/>
    <xf numFmtId="179" fontId="37" fillId="0" borderId="0" applyProtection="0"/>
    <xf numFmtId="179" fontId="37" fillId="0" borderId="0" applyProtection="0"/>
    <xf numFmtId="179" fontId="37" fillId="0" borderId="0" applyProtection="0"/>
    <xf numFmtId="179" fontId="37" fillId="0" borderId="0" applyProtection="0"/>
    <xf numFmtId="179" fontId="37" fillId="0" borderId="0" applyProtection="0"/>
    <xf numFmtId="179" fontId="37" fillId="0" borderId="0" applyProtection="0"/>
    <xf numFmtId="179" fontId="37" fillId="0" borderId="0" applyProtection="0"/>
    <xf numFmtId="2" fontId="8" fillId="0" borderId="0" applyFont="0" applyFill="0" applyBorder="0" applyAlignment="0" applyProtection="0"/>
    <xf numFmtId="2" fontId="8" fillId="0" borderId="0" applyFont="0" applyFill="0" applyBorder="0" applyAlignment="0" applyProtection="0"/>
    <xf numFmtId="182" fontId="38" fillId="0" borderId="0"/>
    <xf numFmtId="183" fontId="38" fillId="0" borderId="0"/>
    <xf numFmtId="184" fontId="38" fillId="0" borderId="0"/>
    <xf numFmtId="179" fontId="18" fillId="8" borderId="0" applyNumberFormat="0" applyBorder="0" applyAlignment="0" applyProtection="0"/>
    <xf numFmtId="0" fontId="74" fillId="57" borderId="0" applyNumberFormat="0" applyBorder="0" applyAlignment="0" applyProtection="0"/>
    <xf numFmtId="179" fontId="74" fillId="57" borderId="0" applyNumberFormat="0" applyBorder="0" applyAlignment="0" applyProtection="0"/>
    <xf numFmtId="179" fontId="39" fillId="22" borderId="3"/>
    <xf numFmtId="179" fontId="39" fillId="22" borderId="3"/>
    <xf numFmtId="179" fontId="39" fillId="22" borderId="3"/>
    <xf numFmtId="179" fontId="39" fillId="22" borderId="3"/>
    <xf numFmtId="179" fontId="39" fillId="22" borderId="3"/>
    <xf numFmtId="179" fontId="39" fillId="22" borderId="3"/>
    <xf numFmtId="179" fontId="39" fillId="22" borderId="3"/>
    <xf numFmtId="179" fontId="39" fillId="22" borderId="3"/>
    <xf numFmtId="179" fontId="39" fillId="22" borderId="3"/>
    <xf numFmtId="179" fontId="39" fillId="22" borderId="3"/>
    <xf numFmtId="179" fontId="39" fillId="22" borderId="3"/>
    <xf numFmtId="179" fontId="39" fillId="22" borderId="3"/>
    <xf numFmtId="179" fontId="39" fillId="22" borderId="3"/>
    <xf numFmtId="179" fontId="39" fillId="22" borderId="3"/>
    <xf numFmtId="179" fontId="39" fillId="22" borderId="3"/>
    <xf numFmtId="38" fontId="7" fillId="23" borderId="0" applyNumberFormat="0" applyBorder="0" applyAlignment="0" applyProtection="0"/>
    <xf numFmtId="1" fontId="40" fillId="0" borderId="4" applyBorder="0">
      <protection locked="0"/>
    </xf>
    <xf numFmtId="179" fontId="25" fillId="0" borderId="5" applyNumberFormat="0" applyAlignment="0" applyProtection="0">
      <alignment horizontal="left" vertical="center"/>
    </xf>
    <xf numFmtId="179" fontId="25" fillId="0" borderId="6">
      <alignment horizontal="left" vertical="center"/>
    </xf>
    <xf numFmtId="179" fontId="25" fillId="0" borderId="6">
      <alignment horizontal="left" vertical="center"/>
    </xf>
    <xf numFmtId="179" fontId="25" fillId="0" borderId="6">
      <alignment horizontal="left" vertical="center"/>
    </xf>
    <xf numFmtId="179" fontId="25" fillId="0" borderId="6">
      <alignment horizontal="left" vertical="center"/>
    </xf>
    <xf numFmtId="179" fontId="25" fillId="0" borderId="6">
      <alignment horizontal="left" vertical="center"/>
    </xf>
    <xf numFmtId="179" fontId="25" fillId="0" borderId="6">
      <alignment horizontal="left" vertical="center"/>
    </xf>
    <xf numFmtId="179" fontId="25" fillId="0" borderId="6">
      <alignment horizontal="left" vertical="center"/>
    </xf>
    <xf numFmtId="179" fontId="25" fillId="0" borderId="6">
      <alignment horizontal="left" vertical="center"/>
    </xf>
    <xf numFmtId="179" fontId="25" fillId="0" borderId="6">
      <alignment horizontal="left" vertical="center"/>
    </xf>
    <xf numFmtId="179" fontId="25" fillId="0" borderId="6">
      <alignment horizontal="left" vertical="center"/>
    </xf>
    <xf numFmtId="179" fontId="25" fillId="0" borderId="6">
      <alignment horizontal="left" vertical="center"/>
    </xf>
    <xf numFmtId="179" fontId="75" fillId="0" borderId="46" applyNumberFormat="0" applyFill="0" applyAlignment="0" applyProtection="0"/>
    <xf numFmtId="179" fontId="76" fillId="0" borderId="47" applyNumberFormat="0" applyFill="0" applyAlignment="0" applyProtection="0"/>
    <xf numFmtId="179" fontId="77" fillId="0" borderId="48" applyNumberFormat="0" applyFill="0" applyAlignment="0" applyProtection="0"/>
    <xf numFmtId="179" fontId="77" fillId="0" borderId="0" applyNumberFormat="0" applyFill="0" applyBorder="0" applyAlignment="0" applyProtection="0"/>
    <xf numFmtId="179" fontId="37" fillId="0" borderId="0" applyProtection="0"/>
    <xf numFmtId="179" fontId="37" fillId="0" borderId="0" applyProtection="0"/>
    <xf numFmtId="179" fontId="78" fillId="0" borderId="0" applyNumberFormat="0" applyFill="0" applyBorder="0" applyAlignment="0" applyProtection="0"/>
    <xf numFmtId="179" fontId="41" fillId="0" borderId="0" applyNumberFormat="0" applyFill="0" applyBorder="0" applyAlignment="0" applyProtection="0">
      <alignment vertical="top"/>
      <protection locked="0"/>
    </xf>
    <xf numFmtId="179" fontId="41" fillId="0" borderId="0" applyNumberFormat="0" applyFill="0" applyBorder="0" applyAlignment="0" applyProtection="0">
      <alignment vertical="top"/>
      <protection locked="0"/>
    </xf>
    <xf numFmtId="179" fontId="42" fillId="0" borderId="0" applyNumberFormat="0" applyFill="0" applyBorder="0" applyAlignment="0" applyProtection="0">
      <alignment vertical="top"/>
      <protection locked="0"/>
    </xf>
    <xf numFmtId="179" fontId="42" fillId="0" borderId="0" applyNumberFormat="0" applyFill="0" applyBorder="0" applyAlignment="0" applyProtection="0">
      <alignment vertical="top"/>
      <protection locked="0"/>
    </xf>
    <xf numFmtId="179" fontId="42" fillId="0" borderId="0" applyNumberFormat="0" applyFill="0" applyBorder="0" applyAlignment="0" applyProtection="0">
      <alignment vertical="top"/>
      <protection locked="0"/>
    </xf>
    <xf numFmtId="179" fontId="42" fillId="0" borderId="0" applyNumberFormat="0" applyFill="0" applyBorder="0" applyAlignment="0" applyProtection="0">
      <alignment vertical="top"/>
      <protection locked="0"/>
    </xf>
    <xf numFmtId="179" fontId="42" fillId="0" borderId="0" applyNumberFormat="0" applyFill="0" applyBorder="0" applyAlignment="0" applyProtection="0">
      <alignment vertical="top"/>
      <protection locked="0"/>
    </xf>
    <xf numFmtId="179" fontId="79" fillId="0" borderId="0" applyNumberFormat="0" applyFill="0" applyBorder="0" applyAlignment="0" applyProtection="0">
      <alignment vertical="top"/>
      <protection locked="0"/>
    </xf>
    <xf numFmtId="179" fontId="80" fillId="0" borderId="0" applyNumberFormat="0" applyFill="0" applyBorder="0" applyAlignment="0" applyProtection="0">
      <alignment vertical="top"/>
      <protection locked="0"/>
    </xf>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0" fontId="7" fillId="24" borderId="3" applyNumberFormat="0" applyBorder="0" applyAlignment="0" applyProtection="0"/>
    <xf numFmtId="179" fontId="81" fillId="58" borderId="44" applyNumberFormat="0" applyAlignment="0" applyProtection="0"/>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8" fillId="25" borderId="3" applyFont="0" applyFill="0" applyBorder="0" applyAlignment="0" applyProtection="0">
      <alignment horizontal="center"/>
      <protection locked="0"/>
    </xf>
    <xf numFmtId="179" fontId="19" fillId="0" borderId="8" applyNumberFormat="0" applyFill="0" applyAlignment="0" applyProtection="0"/>
    <xf numFmtId="179" fontId="82" fillId="0" borderId="49" applyNumberFormat="0" applyFill="0" applyAlignment="0" applyProtection="0"/>
    <xf numFmtId="179" fontId="43" fillId="23" borderId="0" applyNumberFormat="0" applyBorder="0" applyAlignment="0"/>
    <xf numFmtId="14" fontId="44" fillId="0" borderId="0" applyFont="0" applyFill="0" applyBorder="0" applyAlignment="0" applyProtection="0"/>
    <xf numFmtId="185" fontId="44" fillId="0" borderId="0" applyFont="0" applyFill="0" applyBorder="0" applyAlignment="0" applyProtection="0"/>
    <xf numFmtId="186" fontId="45" fillId="0" borderId="0" applyFont="0" applyFill="0" applyBorder="0"/>
    <xf numFmtId="179" fontId="20" fillId="11" borderId="0" applyNumberFormat="0" applyBorder="0" applyAlignment="0" applyProtection="0"/>
    <xf numFmtId="179" fontId="83" fillId="59" borderId="0" applyNumberFormat="0" applyBorder="0" applyAlignment="0" applyProtection="0"/>
    <xf numFmtId="187" fontId="46" fillId="0" borderId="0"/>
    <xf numFmtId="179" fontId="68" fillId="0" borderId="0"/>
    <xf numFmtId="178" fontId="22" fillId="0" borderId="0"/>
    <xf numFmtId="0" fontId="8" fillId="0" borderId="0"/>
    <xf numFmtId="179" fontId="68" fillId="0" borderId="0"/>
    <xf numFmtId="179" fontId="8" fillId="0" borderId="0">
      <alignment horizontal="left"/>
    </xf>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0" fontId="10" fillId="0" borderId="0"/>
    <xf numFmtId="179" fontId="30" fillId="0" borderId="0"/>
    <xf numFmtId="179" fontId="30" fillId="0" borderId="0"/>
    <xf numFmtId="179" fontId="30" fillId="0" borderId="0"/>
    <xf numFmtId="179" fontId="30" fillId="0" borderId="0"/>
    <xf numFmtId="179" fontId="30" fillId="0" borderId="0"/>
    <xf numFmtId="179" fontId="30" fillId="0" borderId="0"/>
    <xf numFmtId="179" fontId="30" fillId="0" borderId="0"/>
    <xf numFmtId="179" fontId="30" fillId="0" borderId="0"/>
    <xf numFmtId="179" fontId="31" fillId="0" borderId="0"/>
    <xf numFmtId="178" fontId="22" fillId="0" borderId="0"/>
    <xf numFmtId="0" fontId="8" fillId="0" borderId="0"/>
    <xf numFmtId="168" fontId="33" fillId="0" borderId="0"/>
    <xf numFmtId="0" fontId="68" fillId="0" borderId="0"/>
    <xf numFmtId="179" fontId="30" fillId="0" borderId="0"/>
    <xf numFmtId="179" fontId="8" fillId="0" borderId="0">
      <alignment wrapText="1"/>
    </xf>
    <xf numFmtId="0" fontId="8" fillId="0" borderId="0"/>
    <xf numFmtId="179" fontId="8" fillId="0" borderId="0"/>
    <xf numFmtId="179" fontId="30" fillId="0" borderId="0"/>
    <xf numFmtId="179" fontId="43" fillId="0" borderId="0"/>
    <xf numFmtId="179" fontId="30" fillId="0" borderId="0"/>
    <xf numFmtId="179" fontId="30" fillId="0" borderId="0"/>
    <xf numFmtId="179" fontId="30" fillId="0" borderId="0"/>
    <xf numFmtId="179" fontId="30" fillId="0" borderId="0"/>
    <xf numFmtId="179" fontId="30" fillId="0" borderId="0"/>
    <xf numFmtId="179" fontId="30"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0" fontId="8" fillId="0" borderId="0"/>
    <xf numFmtId="179" fontId="30" fillId="0" borderId="0"/>
    <xf numFmtId="179" fontId="8" fillId="0" borderId="0"/>
    <xf numFmtId="179" fontId="8" fillId="0" borderId="0"/>
    <xf numFmtId="0" fontId="8" fillId="0" borderId="0"/>
    <xf numFmtId="175" fontId="33" fillId="0" borderId="0"/>
    <xf numFmtId="0" fontId="8" fillId="0" borderId="0"/>
    <xf numFmtId="179" fontId="8" fillId="0" borderId="0"/>
    <xf numFmtId="179" fontId="8" fillId="0" borderId="0"/>
    <xf numFmtId="179" fontId="8" fillId="0" borderId="0">
      <alignment horizontal="left"/>
    </xf>
    <xf numFmtId="179" fontId="8" fillId="0" borderId="0"/>
    <xf numFmtId="179" fontId="8" fillId="0" borderId="0"/>
    <xf numFmtId="179" fontId="8" fillId="0" borderId="0"/>
    <xf numFmtId="179" fontId="8" fillId="0" borderId="0">
      <alignment wrapText="1"/>
    </xf>
    <xf numFmtId="0" fontId="68" fillId="0" borderId="0"/>
    <xf numFmtId="193" fontId="66" fillId="0" borderId="0" applyBorder="0"/>
    <xf numFmtId="0" fontId="8" fillId="0" borderId="0"/>
    <xf numFmtId="179" fontId="68" fillId="0" borderId="0"/>
    <xf numFmtId="0" fontId="68" fillId="0" borderId="0"/>
    <xf numFmtId="179" fontId="68" fillId="0" borderId="0"/>
    <xf numFmtId="0" fontId="67" fillId="0" borderId="0"/>
    <xf numFmtId="179" fontId="8" fillId="0" borderId="0"/>
    <xf numFmtId="179" fontId="30" fillId="0" borderId="0"/>
    <xf numFmtId="179" fontId="30" fillId="0" borderId="0"/>
    <xf numFmtId="179" fontId="8" fillId="0" borderId="0"/>
    <xf numFmtId="179" fontId="8" fillId="0" borderId="0"/>
    <xf numFmtId="178" fontId="22" fillId="0" borderId="0"/>
    <xf numFmtId="179" fontId="8" fillId="0" borderId="0"/>
    <xf numFmtId="188" fontId="33" fillId="0" borderId="0"/>
    <xf numFmtId="179" fontId="68" fillId="0" borderId="0"/>
    <xf numFmtId="179" fontId="68" fillId="0" borderId="0"/>
    <xf numFmtId="179" fontId="68" fillId="0" borderId="0"/>
    <xf numFmtId="179" fontId="68" fillId="0" borderId="0"/>
    <xf numFmtId="179" fontId="15" fillId="0" borderId="0"/>
    <xf numFmtId="179" fontId="68" fillId="0" borderId="0"/>
    <xf numFmtId="179" fontId="68" fillId="0" borderId="0"/>
    <xf numFmtId="179" fontId="15" fillId="0" borderId="0"/>
    <xf numFmtId="179" fontId="68" fillId="0" borderId="0"/>
    <xf numFmtId="179" fontId="68" fillId="0" borderId="0"/>
    <xf numFmtId="0" fontId="8" fillId="0" borderId="0"/>
    <xf numFmtId="179" fontId="15" fillId="0" borderId="0"/>
    <xf numFmtId="178" fontId="22" fillId="0" borderId="0"/>
    <xf numFmtId="179" fontId="84" fillId="0" borderId="0"/>
    <xf numFmtId="179" fontId="8" fillId="0" borderId="0"/>
    <xf numFmtId="179" fontId="68" fillId="0" borderId="0"/>
    <xf numFmtId="188" fontId="33" fillId="0" borderId="0"/>
    <xf numFmtId="179" fontId="68" fillId="0" borderId="0"/>
    <xf numFmtId="179" fontId="15" fillId="0" borderId="0"/>
    <xf numFmtId="178" fontId="22" fillId="0" borderId="0"/>
    <xf numFmtId="179" fontId="85" fillId="0" borderId="0"/>
    <xf numFmtId="179" fontId="68" fillId="60" borderId="50" applyNumberFormat="0" applyFont="0" applyAlignment="0" applyProtection="0"/>
    <xf numFmtId="38" fontId="8" fillId="0" borderId="0"/>
    <xf numFmtId="40" fontId="8" fillId="0" borderId="10"/>
    <xf numFmtId="189" fontId="8" fillId="0" borderId="11"/>
    <xf numFmtId="189" fontId="8" fillId="0" borderId="11"/>
    <xf numFmtId="179" fontId="8" fillId="0" borderId="0"/>
    <xf numFmtId="179" fontId="86" fillId="55" borderId="51" applyNumberFormat="0" applyAlignment="0" applyProtection="0"/>
    <xf numFmtId="179" fontId="33" fillId="0" borderId="0"/>
    <xf numFmtId="179" fontId="33" fillId="0" borderId="0"/>
    <xf numFmtId="9" fontId="6" fillId="0" borderId="0" applyFont="0" applyFill="0" applyBorder="0" applyAlignment="0" applyProtection="0"/>
    <xf numFmtId="9" fontId="8" fillId="0" borderId="0" applyFont="0" applyFill="0" applyBorder="0" applyAlignment="0" applyProtection="0"/>
    <xf numFmtId="10" fontId="8"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43" fillId="0" borderId="0" applyFont="0" applyFill="0" applyBorder="0" applyAlignment="0" applyProtection="0"/>
    <xf numFmtId="9" fontId="6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8" fillId="0" borderId="0" applyFont="0" applyFill="0" applyBorder="0" applyAlignment="0" applyProtection="0"/>
    <xf numFmtId="190" fontId="45" fillId="0" borderId="0" applyFont="0" applyFill="0" applyBorder="0" applyProtection="0">
      <alignment horizontal="center"/>
    </xf>
    <xf numFmtId="191" fontId="7" fillId="0" borderId="0" applyFont="0" applyFill="0" applyBorder="0" applyAlignment="0" applyProtection="0"/>
    <xf numFmtId="179" fontId="36" fillId="0" borderId="0" applyNumberFormat="0" applyFont="0" applyFill="0" applyBorder="0" applyAlignment="0" applyProtection="0">
      <alignment horizontal="left"/>
    </xf>
    <xf numFmtId="15" fontId="36" fillId="0" borderId="0" applyFont="0" applyFill="0" applyBorder="0" applyAlignment="0" applyProtection="0"/>
    <xf numFmtId="4" fontId="36" fillId="0" borderId="0" applyFont="0" applyFill="0" applyBorder="0" applyAlignment="0" applyProtection="0"/>
    <xf numFmtId="179" fontId="47" fillId="0" borderId="13">
      <alignment horizontal="center"/>
    </xf>
    <xf numFmtId="3" fontId="36" fillId="0" borderId="0" applyFont="0" applyFill="0" applyBorder="0" applyAlignment="0" applyProtection="0"/>
    <xf numFmtId="179" fontId="36" fillId="26" borderId="0" applyNumberFormat="0" applyFont="0" applyBorder="0" applyAlignment="0" applyProtection="0"/>
    <xf numFmtId="3" fontId="23" fillId="0" borderId="0" applyFill="0" applyBorder="0" applyAlignment="0" applyProtection="0"/>
    <xf numFmtId="3" fontId="22" fillId="0" borderId="0" applyFill="0" applyBorder="0" applyAlignment="0" applyProtection="0"/>
    <xf numFmtId="3" fontId="23" fillId="0" borderId="0" applyFill="0" applyBorder="0" applyAlignment="0" applyProtection="0"/>
    <xf numFmtId="179" fontId="48" fillId="0" borderId="0"/>
    <xf numFmtId="179" fontId="33" fillId="0" borderId="0"/>
    <xf numFmtId="179" fontId="8" fillId="0" borderId="0" applyNumberFormat="0" applyFill="0" applyBorder="0" applyProtection="0">
      <alignment horizontal="right"/>
    </xf>
    <xf numFmtId="179" fontId="9" fillId="0" borderId="0" applyNumberFormat="0" applyFill="0" applyBorder="0" applyProtection="0">
      <alignment horizontal="right"/>
    </xf>
    <xf numFmtId="179" fontId="8" fillId="0" borderId="0" applyNumberFormat="0" applyFill="0" applyBorder="0" applyProtection="0">
      <alignment horizontal="left"/>
    </xf>
    <xf numFmtId="179" fontId="9" fillId="0" borderId="0" applyNumberFormat="0" applyFill="0" applyBorder="0" applyProtection="0">
      <alignment horizontal="left"/>
    </xf>
    <xf numFmtId="179" fontId="9" fillId="0" borderId="0" applyNumberFormat="0" applyFill="0" applyBorder="0" applyProtection="0">
      <alignment horizontal="left"/>
    </xf>
    <xf numFmtId="179" fontId="8" fillId="0" borderId="14" applyNumberFormat="0" applyFont="0" applyFill="0" applyAlignment="0" applyProtection="0"/>
    <xf numFmtId="179" fontId="8" fillId="0" borderId="0" applyNumberFormat="0" applyFont="0" applyFill="0" applyBorder="0" applyProtection="0">
      <alignment wrapText="1"/>
    </xf>
    <xf numFmtId="179" fontId="11" fillId="0" borderId="0" applyNumberFormat="0" applyBorder="0" applyAlignment="0"/>
    <xf numFmtId="179" fontId="11" fillId="0" borderId="0" applyNumberFormat="0" applyBorder="0" applyAlignment="0"/>
    <xf numFmtId="179" fontId="11" fillId="0" borderId="0" applyNumberFormat="0" applyBorder="0" applyAlignment="0"/>
    <xf numFmtId="179" fontId="21" fillId="0" borderId="0" applyNumberFormat="0" applyBorder="0" applyAlignment="0"/>
    <xf numFmtId="179" fontId="13" fillId="0" borderId="0" applyNumberFormat="0" applyBorder="0" applyAlignment="0"/>
    <xf numFmtId="179" fontId="49" fillId="0" borderId="0" applyNumberFormat="0" applyBorder="0" applyAlignment="0"/>
    <xf numFmtId="179" fontId="49" fillId="0" borderId="0" applyNumberFormat="0" applyBorder="0" applyAlignment="0"/>
    <xf numFmtId="179" fontId="8" fillId="0" borderId="0"/>
    <xf numFmtId="192" fontId="8" fillId="0" borderId="0" applyFont="0" applyFill="0" applyBorder="0" applyAlignment="0" applyProtection="0"/>
    <xf numFmtId="179" fontId="87" fillId="0" borderId="0" applyNumberFormat="0" applyFill="0" applyBorder="0" applyAlignment="0" applyProtection="0"/>
    <xf numFmtId="179" fontId="88" fillId="0" borderId="52" applyNumberFormat="0" applyFill="0" applyAlignment="0" applyProtection="0"/>
    <xf numFmtId="179" fontId="8" fillId="0" borderId="0"/>
    <xf numFmtId="179" fontId="50" fillId="0" borderId="0" applyNumberFormat="0" applyBorder="0" applyAlignment="0">
      <protection locked="0"/>
    </xf>
    <xf numFmtId="179" fontId="89" fillId="0" borderId="0" applyNumberFormat="0" applyFill="0" applyBorder="0" applyAlignment="0" applyProtection="0"/>
    <xf numFmtId="179" fontId="8" fillId="0" borderId="0"/>
    <xf numFmtId="179" fontId="27" fillId="27" borderId="0" applyNumberFormat="0" applyBorder="0" applyAlignment="0" applyProtection="0">
      <alignment vertical="center"/>
    </xf>
    <xf numFmtId="179" fontId="27" fillId="19" borderId="0" applyNumberFormat="0" applyBorder="0" applyAlignment="0" applyProtection="0">
      <alignment vertical="center"/>
    </xf>
    <xf numFmtId="179" fontId="27" fillId="28" borderId="0" applyNumberFormat="0" applyBorder="0" applyAlignment="0" applyProtection="0">
      <alignment vertical="center"/>
    </xf>
    <xf numFmtId="179" fontId="27" fillId="17" borderId="0" applyNumberFormat="0" applyBorder="0" applyAlignment="0" applyProtection="0">
      <alignment vertical="center"/>
    </xf>
    <xf numFmtId="179" fontId="27" fillId="15" borderId="0" applyNumberFormat="0" applyBorder="0" applyAlignment="0" applyProtection="0">
      <alignment vertical="center"/>
    </xf>
    <xf numFmtId="179" fontId="27" fillId="20" borderId="0" applyNumberFormat="0" applyBorder="0" applyAlignment="0" applyProtection="0">
      <alignment vertical="center"/>
    </xf>
    <xf numFmtId="179" fontId="51" fillId="0" borderId="0" applyNumberFormat="0" applyFill="0" applyBorder="0" applyAlignment="0" applyProtection="0">
      <alignment vertical="center"/>
    </xf>
    <xf numFmtId="179" fontId="52" fillId="21" borderId="2" applyNumberFormat="0" applyAlignment="0" applyProtection="0">
      <alignment vertical="center"/>
    </xf>
    <xf numFmtId="179" fontId="53" fillId="11" borderId="0" applyNumberFormat="0" applyBorder="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8" fillId="3" borderId="9" applyNumberFormat="0" applyFont="0" applyAlignment="0" applyProtection="0">
      <alignment vertical="center"/>
    </xf>
    <xf numFmtId="179" fontId="54" fillId="0" borderId="8" applyNumberFormat="0" applyFill="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5" fillId="2" borderId="1"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6" fillId="9" borderId="12" applyNumberFormat="0" applyAlignment="0" applyProtection="0">
      <alignment vertical="center"/>
    </xf>
    <xf numFmtId="179" fontId="57" fillId="7" borderId="0" applyNumberFormat="0" applyBorder="0" applyAlignment="0" applyProtection="0">
      <alignment vertical="center"/>
    </xf>
    <xf numFmtId="179" fontId="58" fillId="8" borderId="0" applyNumberFormat="0" applyBorder="0" applyAlignment="0" applyProtection="0">
      <alignment vertical="center"/>
    </xf>
    <xf numFmtId="179" fontId="59" fillId="0" borderId="15" applyNumberFormat="0" applyFill="0" applyAlignment="0" applyProtection="0">
      <alignment vertical="center"/>
    </xf>
    <xf numFmtId="179" fontId="60" fillId="0" borderId="7" applyNumberFormat="0" applyFill="0" applyAlignment="0" applyProtection="0">
      <alignment vertical="center"/>
    </xf>
    <xf numFmtId="179" fontId="61" fillId="0" borderId="16" applyNumberFormat="0" applyFill="0" applyAlignment="0" applyProtection="0">
      <alignment vertical="center"/>
    </xf>
    <xf numFmtId="179" fontId="61" fillId="0" borderId="0" applyNumberFormat="0" applyFill="0" applyBorder="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2" fillId="9" borderId="1" applyNumberFormat="0" applyAlignment="0" applyProtection="0">
      <alignment vertical="center"/>
    </xf>
    <xf numFmtId="179" fontId="63" fillId="0" borderId="0" applyNumberFormat="0" applyFill="0" applyBorder="0" applyAlignment="0" applyProtection="0">
      <alignment vertical="center"/>
    </xf>
    <xf numFmtId="179" fontId="64" fillId="0" borderId="0" applyNumberFormat="0" applyFill="0" applyBorder="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179" fontId="65" fillId="0" borderId="17" applyNumberFormat="0" applyFill="0" applyAlignment="0" applyProtection="0">
      <alignment vertical="center"/>
    </xf>
    <xf numFmtId="0" fontId="5" fillId="0" borderId="0"/>
    <xf numFmtId="166" fontId="6" fillId="0" borderId="0" applyFont="0" applyFill="0" applyBorder="0" applyAlignment="0" applyProtection="0"/>
    <xf numFmtId="0" fontId="4" fillId="0" borderId="0"/>
    <xf numFmtId="0" fontId="3" fillId="0" borderId="0"/>
    <xf numFmtId="0" fontId="6" fillId="0" borderId="0"/>
    <xf numFmtId="0" fontId="2" fillId="0" borderId="0"/>
    <xf numFmtId="0" fontId="6" fillId="0" borderId="0"/>
    <xf numFmtId="44" fontId="1" fillId="0" borderId="0" applyFont="0" applyFill="0" applyBorder="0" applyAlignment="0" applyProtection="0"/>
    <xf numFmtId="9" fontId="1" fillId="0" borderId="0" applyFont="0" applyFill="0" applyBorder="0" applyAlignment="0" applyProtection="0"/>
    <xf numFmtId="0" fontId="22" fillId="77" borderId="0" applyBorder="0"/>
    <xf numFmtId="44" fontId="6" fillId="0" borderId="0" applyFont="0" applyFill="0" applyBorder="0" applyAlignment="0" applyProtection="0"/>
    <xf numFmtId="0" fontId="1" fillId="0" borderId="0"/>
    <xf numFmtId="9" fontId="6" fillId="0" borderId="0" applyFont="0" applyFill="0" applyBorder="0" applyAlignment="0" applyProtection="0"/>
  </cellStyleXfs>
  <cellXfs count="666">
    <xf numFmtId="0" fontId="0" fillId="0" borderId="0" xfId="0"/>
    <xf numFmtId="0" fontId="0" fillId="0" borderId="3" xfId="0" applyBorder="1"/>
    <xf numFmtId="0" fontId="0" fillId="0" borderId="11" xfId="0" applyBorder="1"/>
    <xf numFmtId="0" fontId="0" fillId="0" borderId="19" xfId="0" applyBorder="1"/>
    <xf numFmtId="0" fontId="0" fillId="0" borderId="19" xfId="0" applyBorder="1" applyAlignment="1">
      <alignment horizontal="center"/>
    </xf>
    <xf numFmtId="0" fontId="0" fillId="0" borderId="3" xfId="0" applyBorder="1" applyAlignment="1">
      <alignment horizontal="center"/>
    </xf>
    <xf numFmtId="0" fontId="0" fillId="64" borderId="3" xfId="0" applyFill="1" applyBorder="1"/>
    <xf numFmtId="0" fontId="0" fillId="64" borderId="0" xfId="0" applyFill="1"/>
    <xf numFmtId="0" fontId="0" fillId="64" borderId="3" xfId="0" applyFill="1" applyBorder="1" applyAlignment="1">
      <alignment horizontal="center"/>
    </xf>
    <xf numFmtId="0" fontId="90" fillId="65" borderId="3" xfId="0" applyFont="1" applyFill="1" applyBorder="1" applyAlignment="1">
      <alignment horizontal="center" vertical="center"/>
    </xf>
    <xf numFmtId="0" fontId="9" fillId="0" borderId="20" xfId="0" applyFont="1" applyBorder="1"/>
    <xf numFmtId="0" fontId="0" fillId="66" borderId="3" xfId="0" applyFill="1" applyBorder="1"/>
    <xf numFmtId="0" fontId="0" fillId="67" borderId="3" xfId="0" applyFill="1" applyBorder="1"/>
    <xf numFmtId="0" fontId="0" fillId="68" borderId="3" xfId="0" applyFill="1" applyBorder="1"/>
    <xf numFmtId="0" fontId="9" fillId="0" borderId="3" xfId="0" applyFont="1" applyBorder="1" applyAlignment="1">
      <alignment horizontal="center" vertical="center"/>
    </xf>
    <xf numFmtId="0" fontId="9" fillId="64" borderId="3" xfId="0" applyFont="1" applyFill="1" applyBorder="1" applyAlignment="1">
      <alignment horizontal="center" vertical="center"/>
    </xf>
    <xf numFmtId="0" fontId="9" fillId="64" borderId="21" xfId="0" applyFont="1" applyFill="1" applyBorder="1" applyAlignment="1">
      <alignment vertical="center"/>
    </xf>
    <xf numFmtId="0" fontId="90" fillId="69" borderId="3" xfId="0" applyFont="1" applyFill="1" applyBorder="1" applyAlignment="1">
      <alignment horizontal="center"/>
    </xf>
    <xf numFmtId="0" fontId="90" fillId="65" borderId="3" xfId="0" applyFont="1" applyFill="1" applyBorder="1" applyAlignment="1">
      <alignment horizontal="center"/>
    </xf>
    <xf numFmtId="0" fontId="9" fillId="0" borderId="0" xfId="0" applyFont="1" applyAlignment="1">
      <alignment horizontal="center" vertical="center"/>
    </xf>
    <xf numFmtId="0" fontId="9" fillId="64" borderId="0" xfId="0" applyFont="1" applyFill="1" applyAlignment="1">
      <alignment horizontal="center" vertical="center"/>
    </xf>
    <xf numFmtId="0" fontId="0" fillId="70" borderId="0" xfId="0" applyFill="1"/>
    <xf numFmtId="0" fontId="0" fillId="70" borderId="0" xfId="0" applyFill="1" applyAlignment="1">
      <alignment horizontal="center"/>
    </xf>
    <xf numFmtId="0" fontId="9" fillId="70" borderId="0" xfId="0" applyFont="1" applyFill="1" applyAlignment="1">
      <alignment horizontal="center" vertical="center"/>
    </xf>
    <xf numFmtId="0" fontId="9" fillId="70" borderId="0" xfId="0" applyFont="1" applyFill="1" applyAlignment="1">
      <alignment vertical="center"/>
    </xf>
    <xf numFmtId="0" fontId="91" fillId="64" borderId="0" xfId="0" applyFont="1" applyFill="1"/>
    <xf numFmtId="0" fontId="91" fillId="64" borderId="19" xfId="0" applyFont="1" applyFill="1" applyBorder="1" applyAlignment="1">
      <alignment horizontal="center" vertical="center" wrapText="1"/>
    </xf>
    <xf numFmtId="0" fontId="91" fillId="64" borderId="22" xfId="0" applyFont="1" applyFill="1" applyBorder="1" applyAlignment="1">
      <alignment horizontal="center"/>
    </xf>
    <xf numFmtId="0" fontId="9" fillId="70" borderId="11" xfId="0" applyFont="1" applyFill="1" applyBorder="1" applyAlignment="1">
      <alignment horizontal="center" vertical="center"/>
    </xf>
    <xf numFmtId="0" fontId="90" fillId="69" borderId="11" xfId="0" applyFont="1" applyFill="1" applyBorder="1" applyAlignment="1">
      <alignment horizontal="center" vertical="center"/>
    </xf>
    <xf numFmtId="0" fontId="90" fillId="65" borderId="20" xfId="0" applyFont="1" applyFill="1" applyBorder="1" applyAlignment="1">
      <alignment horizontal="center"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9" fillId="70" borderId="3" xfId="0" applyFont="1" applyFill="1" applyBorder="1"/>
    <xf numFmtId="167" fontId="0" fillId="0" borderId="26" xfId="52" applyNumberFormat="1" applyFont="1" applyBorder="1"/>
    <xf numFmtId="167" fontId="0" fillId="0" borderId="27" xfId="52" applyNumberFormat="1" applyFont="1" applyBorder="1"/>
    <xf numFmtId="167" fontId="0" fillId="0" borderId="28" xfId="52" applyNumberFormat="1" applyFont="1" applyBorder="1"/>
    <xf numFmtId="0" fontId="91" fillId="64" borderId="23" xfId="0" applyFont="1" applyFill="1" applyBorder="1" applyAlignment="1">
      <alignment horizontal="center" vertical="center"/>
    </xf>
    <xf numFmtId="43" fontId="0" fillId="70" borderId="0" xfId="0" applyNumberFormat="1" applyFill="1"/>
    <xf numFmtId="167" fontId="0" fillId="0" borderId="3" xfId="0" applyNumberFormat="1" applyBorder="1"/>
    <xf numFmtId="167" fontId="0" fillId="0" borderId="3" xfId="52" applyNumberFormat="1" applyFont="1" applyBorder="1" applyAlignment="1">
      <alignment horizontal="right"/>
    </xf>
    <xf numFmtId="0" fontId="0" fillId="72" borderId="3" xfId="0" applyFill="1" applyBorder="1"/>
    <xf numFmtId="0" fontId="9" fillId="72" borderId="3" xfId="0" applyFont="1" applyFill="1" applyBorder="1" applyAlignment="1">
      <alignment horizontal="center"/>
    </xf>
    <xf numFmtId="0" fontId="9" fillId="0" borderId="3" xfId="0" applyFont="1" applyBorder="1"/>
    <xf numFmtId="0" fontId="0" fillId="70" borderId="20" xfId="0" applyFill="1" applyBorder="1"/>
    <xf numFmtId="0" fontId="0" fillId="70" borderId="29" xfId="0" applyFill="1" applyBorder="1"/>
    <xf numFmtId="0" fontId="0" fillId="70" borderId="3" xfId="0" applyFill="1" applyBorder="1" applyAlignment="1">
      <alignment horizontal="center"/>
    </xf>
    <xf numFmtId="0" fontId="92" fillId="0" borderId="0" xfId="0" applyFont="1" applyAlignment="1">
      <alignment horizontal="center" vertical="center" wrapText="1"/>
    </xf>
    <xf numFmtId="0" fontId="92" fillId="0" borderId="4" xfId="0" applyFont="1" applyBorder="1" applyAlignment="1">
      <alignment horizontal="center" vertical="center" wrapText="1"/>
    </xf>
    <xf numFmtId="172" fontId="92" fillId="0" borderId="0" xfId="98" applyNumberFormat="1" applyFont="1" applyFill="1" applyBorder="1" applyAlignment="1">
      <alignment horizontal="center" vertical="center" wrapText="1"/>
    </xf>
    <xf numFmtId="0" fontId="43" fillId="0" borderId="3" xfId="0" applyFont="1" applyBorder="1" applyAlignment="1">
      <alignment horizontal="center" vertical="center"/>
    </xf>
    <xf numFmtId="0" fontId="43" fillId="0" borderId="0" xfId="0" applyFont="1"/>
    <xf numFmtId="0" fontId="43" fillId="0" borderId="0" xfId="0" applyFont="1" applyAlignment="1">
      <alignment horizontal="center"/>
    </xf>
    <xf numFmtId="0" fontId="43" fillId="0" borderId="0" xfId="0" applyFont="1" applyAlignment="1">
      <alignment wrapText="1"/>
    </xf>
    <xf numFmtId="0" fontId="43" fillId="0" borderId="0" xfId="0" applyFont="1" applyAlignment="1">
      <alignment horizontal="left"/>
    </xf>
    <xf numFmtId="172" fontId="43" fillId="0" borderId="0" xfId="98" applyNumberFormat="1" applyFont="1" applyAlignment="1">
      <alignment horizontal="center"/>
    </xf>
    <xf numFmtId="9" fontId="43" fillId="0" borderId="0" xfId="345" applyFont="1" applyAlignment="1">
      <alignment horizontal="center"/>
    </xf>
    <xf numFmtId="0" fontId="93" fillId="75" borderId="3" xfId="0" applyFont="1" applyFill="1" applyBorder="1" applyAlignment="1">
      <alignment horizontal="center" vertical="center" wrapText="1"/>
    </xf>
    <xf numFmtId="172" fontId="93" fillId="75" borderId="3" xfId="98" applyNumberFormat="1" applyFont="1" applyFill="1" applyBorder="1" applyAlignment="1">
      <alignment horizontal="center" vertical="center" wrapText="1"/>
    </xf>
    <xf numFmtId="0" fontId="94" fillId="0" borderId="3" xfId="0" applyFont="1" applyBorder="1" applyAlignment="1">
      <alignment horizontal="center" vertical="top"/>
    </xf>
    <xf numFmtId="0" fontId="14" fillId="0" borderId="3" xfId="0" applyFont="1" applyBorder="1" applyAlignment="1">
      <alignment horizontal="center" vertical="center"/>
    </xf>
    <xf numFmtId="172" fontId="14" fillId="0" borderId="3" xfId="98" applyNumberFormat="1" applyFont="1" applyBorder="1" applyAlignment="1">
      <alignment horizontal="center" vertical="center"/>
    </xf>
    <xf numFmtId="0" fontId="94" fillId="0" borderId="0" xfId="0" applyFont="1" applyAlignment="1">
      <alignment horizontal="center" vertical="top"/>
    </xf>
    <xf numFmtId="0" fontId="14" fillId="63" borderId="3" xfId="0" applyFont="1" applyFill="1" applyBorder="1" applyAlignment="1">
      <alignment vertical="center" wrapText="1"/>
    </xf>
    <xf numFmtId="172" fontId="14" fillId="63" borderId="3" xfId="98" applyNumberFormat="1" applyFont="1" applyFill="1" applyBorder="1" applyAlignment="1">
      <alignment vertical="center" wrapText="1"/>
    </xf>
    <xf numFmtId="0" fontId="95" fillId="62" borderId="3" xfId="0" applyFont="1" applyFill="1" applyBorder="1" applyAlignment="1">
      <alignment wrapText="1"/>
    </xf>
    <xf numFmtId="172" fontId="95" fillId="62" borderId="3" xfId="98" applyNumberFormat="1" applyFont="1" applyFill="1" applyBorder="1" applyAlignment="1">
      <alignment wrapText="1"/>
    </xf>
    <xf numFmtId="0" fontId="43" fillId="0" borderId="3" xfId="0" applyFont="1" applyBorder="1" applyAlignment="1">
      <alignment wrapText="1"/>
    </xf>
    <xf numFmtId="9" fontId="43" fillId="0" borderId="3" xfId="337" applyFont="1" applyFill="1" applyBorder="1" applyAlignment="1">
      <alignment horizontal="center" wrapText="1"/>
    </xf>
    <xf numFmtId="174" fontId="43" fillId="0" borderId="3" xfId="98" applyNumberFormat="1" applyFont="1" applyFill="1" applyBorder="1" applyAlignment="1">
      <alignment horizontal="center" wrapText="1"/>
    </xf>
    <xf numFmtId="0" fontId="96" fillId="0" borderId="0" xfId="0" applyFont="1" applyAlignment="1">
      <alignment wrapText="1"/>
    </xf>
    <xf numFmtId="9" fontId="95" fillId="62" borderId="3" xfId="337" applyFont="1" applyFill="1" applyBorder="1" applyAlignment="1">
      <alignment wrapText="1"/>
    </xf>
    <xf numFmtId="0" fontId="14" fillId="61" borderId="3" xfId="0" applyFont="1" applyFill="1" applyBorder="1" applyAlignment="1">
      <alignment wrapText="1"/>
    </xf>
    <xf numFmtId="9" fontId="14" fillId="61" borderId="3" xfId="337" applyFont="1" applyFill="1" applyBorder="1" applyAlignment="1">
      <alignment wrapText="1"/>
    </xf>
    <xf numFmtId="174" fontId="14" fillId="61" borderId="3" xfId="337" applyNumberFormat="1" applyFont="1" applyFill="1" applyBorder="1" applyAlignment="1">
      <alignment wrapText="1"/>
    </xf>
    <xf numFmtId="3" fontId="43" fillId="0" borderId="0" xfId="0" applyNumberFormat="1" applyFont="1" applyAlignment="1">
      <alignment horizontal="center"/>
    </xf>
    <xf numFmtId="0" fontId="14" fillId="0" borderId="0" xfId="0" applyFont="1"/>
    <xf numFmtId="3" fontId="43" fillId="0" borderId="0" xfId="0" applyNumberFormat="1" applyFont="1"/>
    <xf numFmtId="172" fontId="43" fillId="0" borderId="0" xfId="0" applyNumberFormat="1" applyFont="1"/>
    <xf numFmtId="0" fontId="14" fillId="0" borderId="13" xfId="0" applyFont="1" applyBorder="1" applyAlignment="1">
      <alignment horizontal="center" wrapText="1"/>
    </xf>
    <xf numFmtId="3" fontId="14" fillId="0" borderId="13" xfId="0" applyNumberFormat="1" applyFont="1" applyBorder="1" applyAlignment="1">
      <alignment horizontal="center" wrapText="1"/>
    </xf>
    <xf numFmtId="3" fontId="14" fillId="0" borderId="13" xfId="0" applyNumberFormat="1" applyFont="1" applyBorder="1" applyAlignment="1">
      <alignment horizontal="center"/>
    </xf>
    <xf numFmtId="0" fontId="14" fillId="63" borderId="0" xfId="0" applyFont="1" applyFill="1" applyAlignment="1">
      <alignment vertical="center" wrapText="1"/>
    </xf>
    <xf numFmtId="0" fontId="14" fillId="63" borderId="0" xfId="0" applyFont="1" applyFill="1" applyAlignment="1">
      <alignment wrapText="1"/>
    </xf>
    <xf numFmtId="3" fontId="14" fillId="63" borderId="0" xfId="0" applyNumberFormat="1" applyFont="1" applyFill="1" applyAlignment="1">
      <alignment wrapText="1"/>
    </xf>
    <xf numFmtId="3" fontId="43" fillId="63" borderId="0" xfId="0" applyNumberFormat="1" applyFont="1" applyFill="1"/>
    <xf numFmtId="0" fontId="92" fillId="61" borderId="0" xfId="0" applyFont="1" applyFill="1" applyAlignment="1">
      <alignment horizontal="left" wrapText="1"/>
    </xf>
    <xf numFmtId="3" fontId="14" fillId="0" borderId="0" xfId="0" applyNumberFormat="1" applyFont="1" applyAlignment="1">
      <alignment horizontal="right" wrapText="1"/>
    </xf>
    <xf numFmtId="3" fontId="43" fillId="0" borderId="0" xfId="0" applyNumberFormat="1" applyFont="1" applyAlignment="1">
      <alignment horizontal="right" wrapText="1"/>
    </xf>
    <xf numFmtId="167" fontId="43" fillId="0" borderId="0" xfId="0" applyNumberFormat="1" applyFont="1" applyAlignment="1">
      <alignment horizontal="right" wrapText="1"/>
    </xf>
    <xf numFmtId="0" fontId="43" fillId="0" borderId="0" xfId="0" applyFont="1" applyAlignment="1">
      <alignment horizontal="left" wrapText="1"/>
    </xf>
    <xf numFmtId="0" fontId="14" fillId="61" borderId="0" xfId="0" applyFont="1" applyFill="1" applyAlignment="1">
      <alignment horizontal="left" vertical="top"/>
    </xf>
    <xf numFmtId="167" fontId="14" fillId="61" borderId="0" xfId="0" applyNumberFormat="1" applyFont="1" applyFill="1" applyAlignment="1">
      <alignment horizontal="right" wrapText="1"/>
    </xf>
    <xf numFmtId="167" fontId="97" fillId="61" borderId="0" xfId="0" applyNumberFormat="1" applyFont="1" applyFill="1" applyAlignment="1">
      <alignment horizontal="right" wrapText="1"/>
    </xf>
    <xf numFmtId="0" fontId="43" fillId="0" borderId="0" xfId="0" applyFont="1" applyAlignment="1">
      <alignment horizontal="left" vertical="top" wrapText="1"/>
    </xf>
    <xf numFmtId="0" fontId="43" fillId="0" borderId="0" xfId="0" applyFont="1" applyAlignment="1">
      <alignment horizontal="left" vertical="top"/>
    </xf>
    <xf numFmtId="3" fontId="43" fillId="0" borderId="0" xfId="0" applyNumberFormat="1" applyFont="1" applyAlignment="1">
      <alignment wrapText="1"/>
    </xf>
    <xf numFmtId="2" fontId="43" fillId="0" borderId="0" xfId="0" applyNumberFormat="1" applyFont="1"/>
    <xf numFmtId="167" fontId="43" fillId="0" borderId="0" xfId="52" applyNumberFormat="1" applyFont="1" applyFill="1" applyAlignment="1">
      <alignment horizontal="right" wrapText="1"/>
    </xf>
    <xf numFmtId="0" fontId="14" fillId="61" borderId="13" xfId="0" applyFont="1" applyFill="1" applyBorder="1" applyAlignment="1">
      <alignment wrapText="1"/>
    </xf>
    <xf numFmtId="0" fontId="14" fillId="61" borderId="13" xfId="0" applyFont="1" applyFill="1" applyBorder="1" applyAlignment="1">
      <alignment horizontal="right" wrapText="1"/>
    </xf>
    <xf numFmtId="3" fontId="14" fillId="61" borderId="13" xfId="0" applyNumberFormat="1" applyFont="1" applyFill="1" applyBorder="1" applyAlignment="1">
      <alignment horizontal="right" wrapText="1"/>
    </xf>
    <xf numFmtId="174" fontId="14" fillId="61" borderId="13" xfId="0" applyNumberFormat="1" applyFont="1" applyFill="1" applyBorder="1" applyAlignment="1">
      <alignment horizontal="right" wrapText="1"/>
    </xf>
    <xf numFmtId="0" fontId="98" fillId="0" borderId="0" xfId="0" applyFont="1" applyAlignment="1">
      <alignment wrapText="1"/>
    </xf>
    <xf numFmtId="0" fontId="14" fillId="0" borderId="0" xfId="0" applyFont="1" applyAlignment="1">
      <alignment wrapText="1"/>
    </xf>
    <xf numFmtId="10" fontId="43" fillId="0" borderId="0" xfId="337" applyNumberFormat="1" applyFont="1" applyAlignment="1">
      <alignment horizontal="right" wrapText="1"/>
    </xf>
    <xf numFmtId="173" fontId="43" fillId="0" borderId="0" xfId="0" applyNumberFormat="1" applyFont="1" applyAlignment="1">
      <alignment horizontal="right" wrapText="1"/>
    </xf>
    <xf numFmtId="172" fontId="43" fillId="0" borderId="0" xfId="98" applyNumberFormat="1" applyFont="1"/>
    <xf numFmtId="167" fontId="14" fillId="0" borderId="0" xfId="0" applyNumberFormat="1" applyFont="1" applyAlignment="1">
      <alignment horizontal="right" wrapText="1"/>
    </xf>
    <xf numFmtId="10" fontId="43" fillId="0" borderId="0" xfId="0" applyNumberFormat="1" applyFont="1" applyAlignment="1">
      <alignment horizontal="right" wrapText="1"/>
    </xf>
    <xf numFmtId="173" fontId="14" fillId="61" borderId="13" xfId="0" applyNumberFormat="1" applyFont="1" applyFill="1" applyBorder="1" applyAlignment="1">
      <alignment horizontal="right" wrapText="1"/>
    </xf>
    <xf numFmtId="43" fontId="43" fillId="0" borderId="0" xfId="0" applyNumberFormat="1" applyFont="1"/>
    <xf numFmtId="0" fontId="14" fillId="61" borderId="13" xfId="0" applyFont="1" applyFill="1" applyBorder="1" applyAlignment="1">
      <alignment horizontal="left" wrapText="1"/>
    </xf>
    <xf numFmtId="3" fontId="14" fillId="61" borderId="13" xfId="0" applyNumberFormat="1" applyFont="1" applyFill="1" applyBorder="1" applyAlignment="1">
      <alignment wrapText="1"/>
    </xf>
    <xf numFmtId="174" fontId="14" fillId="61" borderId="13" xfId="98" applyNumberFormat="1" applyFont="1" applyFill="1" applyBorder="1" applyAlignment="1">
      <alignment horizontal="right" wrapText="1"/>
    </xf>
    <xf numFmtId="167" fontId="14" fillId="61" borderId="13" xfId="0" applyNumberFormat="1" applyFont="1" applyFill="1" applyBorder="1" applyAlignment="1">
      <alignment horizontal="right" wrapText="1"/>
    </xf>
    <xf numFmtId="176" fontId="43" fillId="0" borderId="0" xfId="0" applyNumberFormat="1" applyFont="1"/>
    <xf numFmtId="170" fontId="43" fillId="0" borderId="0" xfId="0" applyNumberFormat="1" applyFont="1"/>
    <xf numFmtId="2" fontId="95" fillId="62" borderId="3" xfId="337" applyNumberFormat="1" applyFont="1" applyFill="1" applyBorder="1" applyAlignment="1">
      <alignment wrapText="1"/>
    </xf>
    <xf numFmtId="1" fontId="43" fillId="0" borderId="3" xfId="337" applyNumberFormat="1" applyFont="1" applyFill="1" applyBorder="1" applyAlignment="1">
      <alignment horizontal="center" wrapText="1"/>
    </xf>
    <xf numFmtId="9" fontId="14" fillId="0" borderId="13" xfId="337" applyFont="1" applyBorder="1" applyAlignment="1">
      <alignment horizontal="center" wrapText="1"/>
    </xf>
    <xf numFmtId="0" fontId="95" fillId="62" borderId="0" xfId="0" applyFont="1" applyFill="1" applyAlignment="1">
      <alignment wrapText="1"/>
    </xf>
    <xf numFmtId="0" fontId="14" fillId="62" borderId="0" xfId="0" applyFont="1" applyFill="1" applyAlignment="1">
      <alignment horizontal="left" vertical="top"/>
    </xf>
    <xf numFmtId="0" fontId="14" fillId="62" borderId="0" xfId="0" applyFont="1" applyFill="1" applyAlignment="1">
      <alignment horizontal="right" wrapText="1"/>
    </xf>
    <xf numFmtId="3" fontId="14" fillId="62" borderId="0" xfId="0" applyNumberFormat="1" applyFont="1" applyFill="1" applyAlignment="1">
      <alignment horizontal="right" wrapText="1"/>
    </xf>
    <xf numFmtId="3" fontId="43" fillId="62" borderId="0" xfId="0" applyNumberFormat="1" applyFont="1" applyFill="1" applyAlignment="1">
      <alignment horizontal="right" wrapText="1"/>
    </xf>
    <xf numFmtId="0" fontId="43" fillId="62" borderId="0" xfId="0" applyFont="1" applyFill="1" applyAlignment="1">
      <alignment horizontal="left" vertical="top"/>
    </xf>
    <xf numFmtId="167" fontId="43" fillId="62" borderId="0" xfId="0" applyNumberFormat="1" applyFont="1" applyFill="1" applyAlignment="1">
      <alignment horizontal="right" wrapText="1"/>
    </xf>
    <xf numFmtId="0" fontId="14" fillId="0" borderId="0" xfId="0" applyFont="1" applyAlignment="1">
      <alignment horizontal="left" vertical="top"/>
    </xf>
    <xf numFmtId="9" fontId="43" fillId="0" borderId="0" xfId="0" applyNumberFormat="1" applyFont="1" applyAlignment="1">
      <alignment horizontal="left" vertical="top" wrapText="1"/>
    </xf>
    <xf numFmtId="169" fontId="43" fillId="0" borderId="0" xfId="0" applyNumberFormat="1" applyFont="1" applyAlignment="1">
      <alignment horizontal="right" wrapText="1"/>
    </xf>
    <xf numFmtId="0" fontId="43" fillId="62" borderId="0" xfId="0" applyFont="1" applyFill="1" applyAlignment="1">
      <alignment wrapText="1"/>
    </xf>
    <xf numFmtId="3" fontId="43" fillId="62" borderId="0" xfId="0" applyNumberFormat="1" applyFont="1" applyFill="1" applyAlignment="1">
      <alignment wrapText="1"/>
    </xf>
    <xf numFmtId="0" fontId="96" fillId="0" borderId="0" xfId="0" applyFont="1" applyAlignment="1">
      <alignment horizontal="right"/>
    </xf>
    <xf numFmtId="0" fontId="92" fillId="74" borderId="0" xfId="0" applyFont="1" applyFill="1" applyAlignment="1">
      <alignment wrapText="1"/>
    </xf>
    <xf numFmtId="9" fontId="43" fillId="74" borderId="0" xfId="0" applyNumberFormat="1" applyFont="1" applyFill="1" applyAlignment="1">
      <alignment horizontal="left" vertical="top" wrapText="1"/>
    </xf>
    <xf numFmtId="0" fontId="43" fillId="74" borderId="0" xfId="0" applyFont="1" applyFill="1" applyAlignment="1">
      <alignment wrapText="1"/>
    </xf>
    <xf numFmtId="171" fontId="43" fillId="74" borderId="0" xfId="0" applyNumberFormat="1" applyFont="1" applyFill="1" applyAlignment="1">
      <alignment wrapText="1"/>
    </xf>
    <xf numFmtId="167" fontId="43" fillId="74" borderId="0" xfId="0" applyNumberFormat="1" applyFont="1" applyFill="1" applyAlignment="1">
      <alignment horizontal="right" wrapText="1"/>
    </xf>
    <xf numFmtId="0" fontId="95" fillId="62" borderId="0" xfId="0" applyFont="1" applyFill="1" applyAlignment="1">
      <alignment horizontal="left" wrapText="1"/>
    </xf>
    <xf numFmtId="3" fontId="43" fillId="62" borderId="0" xfId="0" applyNumberFormat="1" applyFont="1" applyFill="1"/>
    <xf numFmtId="0" fontId="14" fillId="62" borderId="0" xfId="0" applyFont="1" applyFill="1" applyAlignment="1">
      <alignment wrapText="1"/>
    </xf>
    <xf numFmtId="167" fontId="14" fillId="62" borderId="0" xfId="0" applyNumberFormat="1" applyFont="1" applyFill="1" applyAlignment="1">
      <alignment horizontal="right" wrapText="1"/>
    </xf>
    <xf numFmtId="9" fontId="92" fillId="74" borderId="0" xfId="0" applyNumberFormat="1" applyFont="1" applyFill="1" applyAlignment="1">
      <alignment horizontal="left" vertical="top" wrapText="1"/>
    </xf>
    <xf numFmtId="167" fontId="92" fillId="74" borderId="0" xfId="0" applyNumberFormat="1" applyFont="1" applyFill="1" applyAlignment="1">
      <alignment horizontal="right" wrapText="1"/>
    </xf>
    <xf numFmtId="0" fontId="92" fillId="0" borderId="0" xfId="0" applyFont="1"/>
    <xf numFmtId="0" fontId="14" fillId="63" borderId="0" xfId="0" applyFont="1" applyFill="1" applyAlignment="1">
      <alignment vertical="center"/>
    </xf>
    <xf numFmtId="3" fontId="14" fillId="63" borderId="0" xfId="0" applyNumberFormat="1" applyFont="1" applyFill="1"/>
    <xf numFmtId="167" fontId="14" fillId="63" borderId="0" xfId="0" applyNumberFormat="1" applyFont="1" applyFill="1" applyAlignment="1">
      <alignment horizontal="right" wrapText="1"/>
    </xf>
    <xf numFmtId="0" fontId="14" fillId="73" borderId="0" xfId="0" applyFont="1" applyFill="1" applyAlignment="1">
      <alignment horizontal="left" wrapText="1"/>
    </xf>
    <xf numFmtId="0" fontId="14" fillId="73" borderId="0" xfId="0" applyFont="1" applyFill="1" applyAlignment="1">
      <alignment horizontal="left" vertical="top"/>
    </xf>
    <xf numFmtId="167" fontId="14" fillId="73" borderId="0" xfId="0" applyNumberFormat="1" applyFont="1" applyFill="1" applyAlignment="1">
      <alignment horizontal="right" wrapText="1"/>
    </xf>
    <xf numFmtId="0" fontId="92" fillId="0" borderId="0" xfId="0" applyFont="1" applyAlignment="1">
      <alignment horizontal="left" wrapText="1"/>
    </xf>
    <xf numFmtId="167" fontId="97" fillId="0" borderId="0" xfId="0" applyNumberFormat="1" applyFont="1" applyAlignment="1">
      <alignment horizontal="right" wrapText="1"/>
    </xf>
    <xf numFmtId="0" fontId="14" fillId="62" borderId="13" xfId="0" applyFont="1" applyFill="1" applyBorder="1" applyAlignment="1">
      <alignment wrapText="1"/>
    </xf>
    <xf numFmtId="3" fontId="14" fillId="62" borderId="13" xfId="0" applyNumberFormat="1" applyFont="1" applyFill="1" applyBorder="1" applyAlignment="1">
      <alignment horizontal="right" wrapText="1"/>
    </xf>
    <xf numFmtId="174" fontId="14" fillId="62" borderId="13" xfId="0" applyNumberFormat="1" applyFont="1" applyFill="1" applyBorder="1" applyAlignment="1">
      <alignment horizontal="right" wrapText="1"/>
    </xf>
    <xf numFmtId="0" fontId="96" fillId="0" borderId="0" xfId="0" applyFont="1"/>
    <xf numFmtId="10" fontId="14" fillId="0" borderId="0" xfId="0" applyNumberFormat="1" applyFont="1"/>
    <xf numFmtId="174" fontId="43" fillId="0" borderId="0" xfId="0" applyNumberFormat="1" applyFont="1" applyAlignment="1">
      <alignment horizontal="right" wrapText="1"/>
    </xf>
    <xf numFmtId="0" fontId="14" fillId="62" borderId="18" xfId="0" applyFont="1" applyFill="1" applyBorder="1" applyAlignment="1">
      <alignment wrapText="1"/>
    </xf>
    <xf numFmtId="3" fontId="14" fillId="62" borderId="18" xfId="0" applyNumberFormat="1" applyFont="1" applyFill="1" applyBorder="1" applyAlignment="1">
      <alignment horizontal="right" wrapText="1"/>
    </xf>
    <xf numFmtId="174" fontId="14" fillId="62" borderId="18" xfId="98" applyNumberFormat="1" applyFont="1" applyFill="1" applyBorder="1" applyAlignment="1">
      <alignment horizontal="right" wrapText="1"/>
    </xf>
    <xf numFmtId="0" fontId="101" fillId="0" borderId="0" xfId="0" applyFont="1" applyAlignment="1">
      <alignment wrapText="1"/>
    </xf>
    <xf numFmtId="9" fontId="43" fillId="0" borderId="3" xfId="337" applyFont="1" applyBorder="1" applyAlignment="1">
      <alignment horizontal="center" wrapText="1"/>
    </xf>
    <xf numFmtId="9" fontId="14" fillId="63" borderId="0" xfId="337" applyFont="1" applyFill="1" applyBorder="1" applyAlignment="1">
      <alignment horizontal="center" vertical="center" wrapText="1"/>
    </xf>
    <xf numFmtId="9" fontId="95" fillId="62" borderId="0" xfId="337" applyFont="1" applyFill="1" applyBorder="1" applyAlignment="1">
      <alignment horizontal="center" wrapText="1"/>
    </xf>
    <xf numFmtId="9" fontId="43" fillId="0" borderId="0" xfId="337" applyFont="1" applyBorder="1" applyAlignment="1">
      <alignment horizontal="center" wrapText="1"/>
    </xf>
    <xf numFmtId="9" fontId="43" fillId="0" borderId="0" xfId="337" applyFont="1" applyFill="1" applyBorder="1" applyAlignment="1">
      <alignment horizontal="center" wrapText="1"/>
    </xf>
    <xf numFmtId="9" fontId="43" fillId="62" borderId="0" xfId="337" applyFont="1" applyFill="1" applyBorder="1" applyAlignment="1">
      <alignment horizontal="center" wrapText="1"/>
    </xf>
    <xf numFmtId="0" fontId="14" fillId="61" borderId="13" xfId="0" applyFont="1" applyFill="1" applyBorder="1" applyAlignment="1">
      <alignment horizontal="center" wrapText="1"/>
    </xf>
    <xf numFmtId="0" fontId="14" fillId="0" borderId="0" xfId="0" applyFont="1" applyAlignment="1">
      <alignment horizontal="center" vertical="top"/>
    </xf>
    <xf numFmtId="9" fontId="14" fillId="63" borderId="0" xfId="337" applyFont="1" applyFill="1" applyAlignment="1">
      <alignment horizontal="center" wrapText="1"/>
    </xf>
    <xf numFmtId="9" fontId="43" fillId="0" borderId="0" xfId="337" applyFont="1" applyFill="1" applyAlignment="1">
      <alignment horizontal="center" wrapText="1"/>
    </xf>
    <xf numFmtId="9" fontId="14" fillId="61" borderId="13" xfId="337" applyFont="1" applyFill="1" applyBorder="1" applyAlignment="1">
      <alignment horizontal="center" wrapText="1"/>
    </xf>
    <xf numFmtId="9" fontId="95" fillId="62" borderId="0" xfId="337" applyFont="1" applyFill="1" applyAlignment="1">
      <alignment horizontal="center" wrapText="1"/>
    </xf>
    <xf numFmtId="9" fontId="43" fillId="0" borderId="0" xfId="337" applyFont="1" applyAlignment="1">
      <alignment horizontal="center" wrapText="1"/>
    </xf>
    <xf numFmtId="9" fontId="92" fillId="74" borderId="0" xfId="337" applyFont="1" applyFill="1" applyAlignment="1">
      <alignment horizontal="center" wrapText="1"/>
    </xf>
    <xf numFmtId="9" fontId="14" fillId="63" borderId="0" xfId="337" applyFont="1" applyFill="1" applyBorder="1" applyAlignment="1">
      <alignment horizontal="center" vertical="center"/>
    </xf>
    <xf numFmtId="9" fontId="14" fillId="73" borderId="0" xfId="337" applyFont="1" applyFill="1" applyAlignment="1">
      <alignment horizontal="center" wrapText="1"/>
    </xf>
    <xf numFmtId="9" fontId="14" fillId="61" borderId="0" xfId="337" applyFont="1" applyFill="1" applyAlignment="1">
      <alignment horizontal="center" wrapText="1"/>
    </xf>
    <xf numFmtId="9" fontId="14" fillId="0" borderId="0" xfId="337" applyFont="1" applyFill="1" applyAlignment="1">
      <alignment horizontal="center" wrapText="1"/>
    </xf>
    <xf numFmtId="0" fontId="95" fillId="62" borderId="0" xfId="0" applyFont="1" applyFill="1" applyAlignment="1">
      <alignment horizontal="center" wrapText="1"/>
    </xf>
    <xf numFmtId="9" fontId="97" fillId="61" borderId="0" xfId="337" applyFont="1" applyFill="1" applyAlignment="1">
      <alignment horizontal="center" wrapText="1"/>
    </xf>
    <xf numFmtId="9" fontId="14" fillId="0" borderId="0" xfId="337" applyFont="1" applyFill="1" applyBorder="1" applyAlignment="1">
      <alignment horizontal="center" wrapText="1"/>
    </xf>
    <xf numFmtId="9" fontId="14" fillId="62" borderId="13" xfId="337" applyFont="1" applyFill="1" applyBorder="1" applyAlignment="1">
      <alignment horizontal="center" wrapText="1"/>
    </xf>
    <xf numFmtId="9" fontId="98" fillId="0" borderId="0" xfId="337" applyFont="1" applyAlignment="1">
      <alignment horizontal="center" wrapText="1"/>
    </xf>
    <xf numFmtId="9" fontId="96" fillId="0" borderId="0" xfId="337" applyFont="1" applyFill="1" applyAlignment="1">
      <alignment horizontal="center"/>
    </xf>
    <xf numFmtId="9" fontId="14" fillId="62" borderId="18" xfId="337" applyFont="1" applyFill="1" applyBorder="1" applyAlignment="1">
      <alignment horizontal="center" wrapText="1"/>
    </xf>
    <xf numFmtId="9" fontId="101" fillId="0" borderId="0" xfId="337" applyFont="1" applyFill="1" applyAlignment="1">
      <alignment horizontal="center" wrapText="1"/>
    </xf>
    <xf numFmtId="9" fontId="101" fillId="0" borderId="0" xfId="337" applyFont="1" applyAlignment="1">
      <alignment horizontal="center" wrapText="1"/>
    </xf>
    <xf numFmtId="0" fontId="92" fillId="0" borderId="0" xfId="0" applyFont="1" applyAlignment="1">
      <alignment horizontal="center"/>
    </xf>
    <xf numFmtId="174" fontId="43" fillId="0" borderId="0" xfId="0" applyNumberFormat="1" applyFont="1" applyAlignment="1">
      <alignment wrapText="1"/>
    </xf>
    <xf numFmtId="0" fontId="14" fillId="61" borderId="0" xfId="0" applyFont="1" applyFill="1" applyAlignment="1">
      <alignment wrapText="1"/>
    </xf>
    <xf numFmtId="3" fontId="14" fillId="61" borderId="0" xfId="0" applyNumberFormat="1" applyFont="1" applyFill="1" applyAlignment="1">
      <alignment wrapText="1"/>
    </xf>
    <xf numFmtId="174" fontId="14" fillId="61" borderId="0" xfId="98" applyNumberFormat="1" applyFont="1" applyFill="1" applyBorder="1" applyAlignment="1">
      <alignment horizontal="right" wrapText="1"/>
    </xf>
    <xf numFmtId="0" fontId="14" fillId="0" borderId="0" xfId="0" applyFont="1" applyAlignment="1">
      <alignment horizontal="center" wrapText="1"/>
    </xf>
    <xf numFmtId="3" fontId="14" fillId="0" borderId="0" xfId="0" applyNumberFormat="1" applyFont="1" applyAlignment="1">
      <alignment horizontal="center" wrapText="1"/>
    </xf>
    <xf numFmtId="3" fontId="14" fillId="0" borderId="0" xfId="0" applyNumberFormat="1" applyFont="1" applyAlignment="1">
      <alignment horizontal="center"/>
    </xf>
    <xf numFmtId="173" fontId="14" fillId="61" borderId="0" xfId="0" applyNumberFormat="1" applyFont="1" applyFill="1" applyAlignment="1">
      <alignment horizontal="right" wrapText="1"/>
    </xf>
    <xf numFmtId="174" fontId="14" fillId="61" borderId="0" xfId="0" applyNumberFormat="1" applyFont="1" applyFill="1" applyAlignment="1">
      <alignment horizontal="right" wrapText="1"/>
    </xf>
    <xf numFmtId="0" fontId="14" fillId="61" borderId="0" xfId="0" applyFont="1" applyFill="1" applyAlignment="1">
      <alignment horizontal="left" wrapText="1"/>
    </xf>
    <xf numFmtId="3" fontId="14" fillId="61" borderId="0" xfId="0" applyNumberFormat="1" applyFont="1" applyFill="1" applyAlignment="1">
      <alignment horizontal="right" wrapText="1"/>
    </xf>
    <xf numFmtId="0" fontId="6" fillId="0" borderId="20" xfId="0" applyFont="1" applyBorder="1"/>
    <xf numFmtId="0" fontId="6" fillId="0" borderId="0" xfId="0" applyFont="1"/>
    <xf numFmtId="0" fontId="6" fillId="70" borderId="0" xfId="0" applyFont="1" applyFill="1" applyAlignment="1">
      <alignment horizontal="center"/>
    </xf>
    <xf numFmtId="0" fontId="6" fillId="66" borderId="3" xfId="0" applyFont="1" applyFill="1" applyBorder="1"/>
    <xf numFmtId="0" fontId="6" fillId="64" borderId="0" xfId="0" applyFont="1" applyFill="1"/>
    <xf numFmtId="0" fontId="6" fillId="68" borderId="3" xfId="0" applyFont="1" applyFill="1" applyBorder="1"/>
    <xf numFmtId="0" fontId="6" fillId="64" borderId="3" xfId="0" applyFont="1" applyFill="1" applyBorder="1"/>
    <xf numFmtId="0" fontId="6" fillId="64" borderId="3" xfId="0" applyFont="1" applyFill="1" applyBorder="1" applyAlignment="1">
      <alignment horizontal="center"/>
    </xf>
    <xf numFmtId="0" fontId="6" fillId="66" borderId="23" xfId="0" applyFont="1" applyFill="1" applyBorder="1" applyAlignment="1">
      <alignment horizontal="center" vertical="center"/>
    </xf>
    <xf numFmtId="0" fontId="6" fillId="71" borderId="3" xfId="0" applyFont="1" applyFill="1" applyBorder="1" applyAlignment="1">
      <alignment horizontal="center"/>
    </xf>
    <xf numFmtId="0" fontId="6" fillId="66" borderId="3" xfId="0" applyFont="1" applyFill="1" applyBorder="1" applyAlignment="1">
      <alignment horizontal="center"/>
    </xf>
    <xf numFmtId="0" fontId="6" fillId="68" borderId="3" xfId="0" applyFont="1" applyFill="1" applyBorder="1" applyAlignment="1">
      <alignment horizontal="center"/>
    </xf>
    <xf numFmtId="0" fontId="6" fillId="67" borderId="3" xfId="0" applyFont="1" applyFill="1" applyBorder="1" applyAlignment="1">
      <alignment horizontal="center"/>
    </xf>
    <xf numFmtId="0" fontId="6" fillId="68" borderId="24" xfId="0" applyFont="1" applyFill="1" applyBorder="1" applyAlignment="1">
      <alignment horizontal="center"/>
    </xf>
    <xf numFmtId="0" fontId="6" fillId="0" borderId="3" xfId="0" applyFont="1" applyBorder="1" applyAlignment="1">
      <alignment horizontal="center"/>
    </xf>
    <xf numFmtId="167" fontId="6" fillId="64" borderId="26" xfId="52" applyNumberFormat="1" applyFont="1" applyFill="1" applyBorder="1"/>
    <xf numFmtId="0" fontId="6" fillId="0" borderId="3" xfId="0" applyFont="1" applyBorder="1"/>
    <xf numFmtId="0" fontId="6" fillId="72" borderId="3" xfId="0" applyFont="1" applyFill="1" applyBorder="1" applyAlignment="1">
      <alignment horizontal="center"/>
    </xf>
    <xf numFmtId="44" fontId="43" fillId="0" borderId="0" xfId="0" applyNumberFormat="1" applyFont="1"/>
    <xf numFmtId="165" fontId="43" fillId="0" borderId="0" xfId="98" applyFont="1" applyAlignment="1">
      <alignment horizontal="right" wrapText="1"/>
    </xf>
    <xf numFmtId="10" fontId="43" fillId="0" borderId="0" xfId="0" applyNumberFormat="1" applyFont="1" applyAlignment="1">
      <alignment wrapText="1"/>
    </xf>
    <xf numFmtId="167" fontId="43" fillId="0" borderId="0" xfId="52" applyNumberFormat="1" applyFont="1" applyAlignment="1">
      <alignment horizontal="right" wrapText="1"/>
    </xf>
    <xf numFmtId="174" fontId="14" fillId="0" borderId="3" xfId="98" applyNumberFormat="1" applyFont="1" applyFill="1" applyBorder="1" applyAlignment="1">
      <alignment horizontal="center" wrapText="1"/>
    </xf>
    <xf numFmtId="174" fontId="100" fillId="62" borderId="3" xfId="337" applyNumberFormat="1" applyFont="1" applyFill="1" applyBorder="1" applyAlignment="1">
      <alignment wrapText="1"/>
    </xf>
    <xf numFmtId="0" fontId="9" fillId="0" borderId="3" xfId="0" applyFont="1" applyBorder="1" applyAlignment="1">
      <alignment horizontal="center"/>
    </xf>
    <xf numFmtId="194" fontId="43" fillId="0" borderId="0" xfId="0" applyNumberFormat="1" applyFont="1" applyAlignment="1">
      <alignment horizontal="right" wrapText="1"/>
    </xf>
    <xf numFmtId="9" fontId="14" fillId="0" borderId="0" xfId="337" applyFont="1" applyAlignment="1">
      <alignment horizontal="center" wrapText="1"/>
    </xf>
    <xf numFmtId="9" fontId="43" fillId="0" borderId="0" xfId="0" applyNumberFormat="1" applyFont="1" applyAlignment="1">
      <alignment wrapText="1"/>
    </xf>
    <xf numFmtId="167" fontId="43" fillId="70" borderId="0" xfId="0" applyNumberFormat="1" applyFont="1" applyFill="1" applyAlignment="1">
      <alignment horizontal="right" wrapText="1"/>
    </xf>
    <xf numFmtId="175" fontId="102" fillId="0" borderId="0" xfId="521" applyNumberFormat="1" applyFont="1"/>
    <xf numFmtId="44" fontId="102" fillId="0" borderId="0" xfId="522" applyFont="1"/>
    <xf numFmtId="2" fontId="102" fillId="0" borderId="0" xfId="521" applyNumberFormat="1" applyFont="1"/>
    <xf numFmtId="10" fontId="102" fillId="0" borderId="0" xfId="521" applyNumberFormat="1" applyFont="1"/>
    <xf numFmtId="9" fontId="102" fillId="0" borderId="0" xfId="523" applyFont="1"/>
    <xf numFmtId="37" fontId="102" fillId="0" borderId="0" xfId="522" applyNumberFormat="1" applyFont="1" applyAlignment="1">
      <alignment horizontal="center"/>
    </xf>
    <xf numFmtId="37" fontId="105" fillId="0" borderId="0" xfId="522" applyNumberFormat="1" applyFont="1" applyAlignment="1">
      <alignment horizontal="center"/>
    </xf>
    <xf numFmtId="44" fontId="103" fillId="66" borderId="30" xfId="522" applyFont="1" applyFill="1" applyBorder="1" applyAlignment="1">
      <alignment horizontal="center" vertical="center" wrapText="1"/>
    </xf>
    <xf numFmtId="2" fontId="103" fillId="66" borderId="30" xfId="524" applyNumberFormat="1" applyFont="1" applyFill="1" applyBorder="1" applyAlignment="1">
      <alignment horizontal="center" vertical="center" wrapText="1"/>
    </xf>
    <xf numFmtId="10" fontId="103" fillId="66" borderId="30" xfId="524" applyNumberFormat="1" applyFont="1" applyFill="1" applyBorder="1" applyAlignment="1">
      <alignment horizontal="center" vertical="center" wrapText="1"/>
    </xf>
    <xf numFmtId="175" fontId="103" fillId="66" borderId="10" xfId="525" applyNumberFormat="1" applyFont="1" applyFill="1" applyBorder="1" applyAlignment="1">
      <alignment horizontal="center" vertical="center" wrapText="1"/>
    </xf>
    <xf numFmtId="9" fontId="103" fillId="66" borderId="30" xfId="523" applyFont="1" applyFill="1" applyBorder="1" applyAlignment="1">
      <alignment horizontal="center" vertical="center" wrapText="1"/>
    </xf>
    <xf numFmtId="44" fontId="103" fillId="66" borderId="10" xfId="522" applyFont="1" applyFill="1" applyBorder="1" applyAlignment="1">
      <alignment horizontal="center" vertical="center" wrapText="1"/>
    </xf>
    <xf numFmtId="175" fontId="107" fillId="78" borderId="33" xfId="524" applyNumberFormat="1" applyFont="1" applyFill="1" applyBorder="1"/>
    <xf numFmtId="44" fontId="107" fillId="78" borderId="20" xfId="522" applyFont="1" applyFill="1" applyBorder="1"/>
    <xf numFmtId="2" fontId="107" fillId="78" borderId="30" xfId="524" applyNumberFormat="1" applyFont="1" applyFill="1" applyBorder="1"/>
    <xf numFmtId="10" fontId="107" fillId="78" borderId="30" xfId="524" applyNumberFormat="1" applyFont="1" applyFill="1" applyBorder="1"/>
    <xf numFmtId="175" fontId="107" fillId="78" borderId="10" xfId="524" applyNumberFormat="1" applyFont="1" applyFill="1" applyBorder="1"/>
    <xf numFmtId="9" fontId="107" fillId="78" borderId="30" xfId="523" applyFont="1" applyFill="1" applyBorder="1"/>
    <xf numFmtId="44" fontId="107" fillId="78" borderId="10" xfId="522" applyFont="1" applyFill="1" applyBorder="1"/>
    <xf numFmtId="44" fontId="107" fillId="78" borderId="30" xfId="522" applyFont="1" applyFill="1" applyBorder="1"/>
    <xf numFmtId="44" fontId="107" fillId="78" borderId="29" xfId="522" applyFont="1" applyFill="1" applyBorder="1"/>
    <xf numFmtId="175" fontId="107" fillId="68" borderId="10" xfId="524" applyNumberFormat="1" applyFont="1" applyFill="1" applyBorder="1" applyAlignment="1">
      <alignment horizontal="center"/>
    </xf>
    <xf numFmtId="175" fontId="106" fillId="0" borderId="87" xfId="521" applyNumberFormat="1" applyFont="1" applyBorder="1"/>
    <xf numFmtId="175" fontId="107" fillId="0" borderId="19" xfId="521" applyNumberFormat="1" applyFont="1" applyBorder="1"/>
    <xf numFmtId="44" fontId="107" fillId="0" borderId="0" xfId="522" applyFont="1" applyAlignment="1">
      <alignment horizontal="right"/>
    </xf>
    <xf numFmtId="2" fontId="107" fillId="0" borderId="0" xfId="521" applyNumberFormat="1" applyFont="1" applyAlignment="1">
      <alignment horizontal="right"/>
    </xf>
    <xf numFmtId="10" fontId="107" fillId="0" borderId="0" xfId="521" applyNumberFormat="1" applyFont="1" applyAlignment="1">
      <alignment horizontal="right"/>
    </xf>
    <xf numFmtId="175" fontId="107" fillId="0" borderId="4" xfId="521" applyNumberFormat="1" applyFont="1" applyBorder="1" applyAlignment="1">
      <alignment horizontal="right"/>
    </xf>
    <xf numFmtId="9" fontId="107" fillId="0" borderId="0" xfId="523" applyFont="1" applyAlignment="1">
      <alignment horizontal="right"/>
    </xf>
    <xf numFmtId="44" fontId="107" fillId="0" borderId="4" xfId="522" applyFont="1" applyBorder="1" applyAlignment="1">
      <alignment horizontal="right"/>
    </xf>
    <xf numFmtId="44" fontId="107" fillId="0" borderId="4" xfId="522" quotePrefix="1" applyFont="1" applyBorder="1" applyAlignment="1">
      <alignment horizontal="right"/>
    </xf>
    <xf numFmtId="175" fontId="108" fillId="0" borderId="0" xfId="521" applyNumberFormat="1" applyFont="1"/>
    <xf numFmtId="175" fontId="107" fillId="0" borderId="0" xfId="521" applyNumberFormat="1" applyFont="1"/>
    <xf numFmtId="175" fontId="109" fillId="0" borderId="87" xfId="521" applyNumberFormat="1" applyFont="1" applyBorder="1"/>
    <xf numFmtId="175" fontId="107" fillId="0" borderId="22" xfId="521" applyNumberFormat="1" applyFont="1" applyBorder="1"/>
    <xf numFmtId="195" fontId="108" fillId="0" borderId="0" xfId="521" applyNumberFormat="1" applyFont="1" applyAlignment="1">
      <alignment horizontal="left"/>
    </xf>
    <xf numFmtId="0" fontId="110" fillId="0" borderId="4" xfId="526" applyFont="1" applyBorder="1" applyAlignment="1">
      <alignment horizontal="left" vertical="top" wrapText="1"/>
    </xf>
    <xf numFmtId="175" fontId="102" fillId="0" borderId="4" xfId="521" applyNumberFormat="1" applyFont="1" applyBorder="1"/>
    <xf numFmtId="44" fontId="102" fillId="0" borderId="0" xfId="522" applyFont="1" applyAlignment="1">
      <alignment horizontal="right"/>
    </xf>
    <xf numFmtId="2" fontId="102" fillId="0" borderId="0" xfId="523" applyNumberFormat="1" applyFont="1" applyAlignment="1">
      <alignment horizontal="right"/>
    </xf>
    <xf numFmtId="10" fontId="102" fillId="0" borderId="0" xfId="521" applyNumberFormat="1" applyFont="1" applyAlignment="1">
      <alignment horizontal="right"/>
    </xf>
    <xf numFmtId="175" fontId="102" fillId="0" borderId="4" xfId="525" applyNumberFormat="1" applyFont="1" applyBorder="1"/>
    <xf numFmtId="9" fontId="102" fillId="0" borderId="0" xfId="523" applyFont="1" applyAlignment="1">
      <alignment horizontal="right"/>
    </xf>
    <xf numFmtId="44" fontId="102" fillId="0" borderId="4" xfId="522" applyFont="1" applyBorder="1"/>
    <xf numFmtId="3" fontId="108" fillId="0" borderId="0" xfId="521" applyNumberFormat="1" applyFont="1" applyAlignment="1">
      <alignment horizontal="left"/>
    </xf>
    <xf numFmtId="175" fontId="111" fillId="0" borderId="0" xfId="521" applyNumberFormat="1" applyFont="1"/>
    <xf numFmtId="175" fontId="102" fillId="79" borderId="4" xfId="524" quotePrefix="1" applyNumberFormat="1" applyFont="1" applyFill="1" applyBorder="1" applyAlignment="1">
      <alignment horizontal="center"/>
    </xf>
    <xf numFmtId="170" fontId="102" fillId="0" borderId="0" xfId="521" applyNumberFormat="1" applyFont="1"/>
    <xf numFmtId="49" fontId="102" fillId="0" borderId="0" xfId="521" applyNumberFormat="1" applyFont="1"/>
    <xf numFmtId="44" fontId="102" fillId="0" borderId="11" xfId="522" applyFont="1" applyBorder="1"/>
    <xf numFmtId="175" fontId="102" fillId="79" borderId="0" xfId="524" quotePrefix="1" applyNumberFormat="1" applyFont="1" applyFill="1" applyBorder="1" applyAlignment="1">
      <alignment horizontal="center"/>
    </xf>
    <xf numFmtId="175" fontId="106" fillId="0" borderId="23" xfId="521" applyNumberFormat="1" applyFont="1" applyBorder="1" applyAlignment="1">
      <alignment horizontal="left"/>
    </xf>
    <xf numFmtId="175" fontId="102" fillId="0" borderId="3" xfId="524" quotePrefix="1" applyNumberFormat="1" applyFont="1" applyFill="1" applyBorder="1" applyAlignment="1">
      <alignment horizontal="center"/>
    </xf>
    <xf numFmtId="44" fontId="102" fillId="70" borderId="6" xfId="522" applyFont="1" applyFill="1" applyBorder="1"/>
    <xf numFmtId="2" fontId="102" fillId="70" borderId="6" xfId="525" applyNumberFormat="1" applyFont="1" applyFill="1" applyBorder="1"/>
    <xf numFmtId="10" fontId="102" fillId="0" borderId="6" xfId="521" applyNumberFormat="1" applyFont="1" applyBorder="1"/>
    <xf numFmtId="175" fontId="107" fillId="0" borderId="29" xfId="525" applyNumberFormat="1" applyFont="1" applyBorder="1"/>
    <xf numFmtId="9" fontId="102" fillId="0" borderId="6" xfId="523" applyFont="1" applyBorder="1"/>
    <xf numFmtId="44" fontId="107" fillId="70" borderId="10" xfId="522" applyFont="1" applyFill="1" applyBorder="1"/>
    <xf numFmtId="175" fontId="102" fillId="0" borderId="22" xfId="524" quotePrefix="1" applyNumberFormat="1" applyFont="1" applyFill="1" applyBorder="1" applyAlignment="1">
      <alignment horizontal="center"/>
    </xf>
    <xf numFmtId="44" fontId="102" fillId="0" borderId="0" xfId="522" applyFont="1" applyBorder="1"/>
    <xf numFmtId="2" fontId="102" fillId="0" borderId="0" xfId="525" applyNumberFormat="1" applyFont="1" applyBorder="1"/>
    <xf numFmtId="10" fontId="112" fillId="0" borderId="0" xfId="521" applyNumberFormat="1" applyFont="1"/>
    <xf numFmtId="9" fontId="112" fillId="0" borderId="0" xfId="523" applyFont="1"/>
    <xf numFmtId="44" fontId="102" fillId="0" borderId="4" xfId="522" applyFont="1" applyFill="1" applyBorder="1"/>
    <xf numFmtId="175" fontId="107" fillId="0" borderId="29" xfId="522" applyNumberFormat="1" applyFont="1" applyBorder="1"/>
    <xf numFmtId="0" fontId="113" fillId="0" borderId="0" xfId="521" applyFont="1" applyAlignment="1">
      <alignment horizontal="center"/>
    </xf>
    <xf numFmtId="0" fontId="114" fillId="0" borderId="0" xfId="521" applyFont="1" applyAlignment="1">
      <alignment horizontal="center"/>
    </xf>
    <xf numFmtId="175" fontId="102" fillId="0" borderId="87" xfId="524" applyNumberFormat="1" applyFont="1" applyFill="1" applyBorder="1" applyAlignment="1">
      <alignment horizontal="left" indent="1"/>
    </xf>
    <xf numFmtId="175" fontId="106" fillId="80" borderId="23" xfId="524" applyNumberFormat="1" applyFont="1" applyFill="1" applyBorder="1"/>
    <xf numFmtId="175" fontId="107" fillId="80" borderId="3" xfId="524" applyNumberFormat="1" applyFont="1" applyFill="1" applyBorder="1"/>
    <xf numFmtId="44" fontId="107" fillId="80" borderId="6" xfId="522" applyFont="1" applyFill="1" applyBorder="1"/>
    <xf numFmtId="2" fontId="107" fillId="80" borderId="6" xfId="525" applyNumberFormat="1" applyFont="1" applyFill="1" applyBorder="1"/>
    <xf numFmtId="10" fontId="107" fillId="80" borderId="6" xfId="525" applyNumberFormat="1" applyFont="1" applyFill="1" applyBorder="1"/>
    <xf numFmtId="175" fontId="107" fillId="80" borderId="29" xfId="525" applyNumberFormat="1" applyFont="1" applyFill="1" applyBorder="1"/>
    <xf numFmtId="9" fontId="107" fillId="80" borderId="6" xfId="523" applyFont="1" applyFill="1" applyBorder="1"/>
    <xf numFmtId="175" fontId="107" fillId="80" borderId="29" xfId="522" applyNumberFormat="1" applyFont="1" applyFill="1" applyBorder="1"/>
    <xf numFmtId="37" fontId="105" fillId="0" borderId="30" xfId="522" applyNumberFormat="1" applyFont="1" applyBorder="1" applyAlignment="1">
      <alignment horizontal="center"/>
    </xf>
    <xf numFmtId="175" fontId="102" fillId="0" borderId="30" xfId="521" applyNumberFormat="1" applyFont="1" applyBorder="1"/>
    <xf numFmtId="175" fontId="107" fillId="0" borderId="30" xfId="521" applyNumberFormat="1" applyFont="1" applyBorder="1"/>
    <xf numFmtId="175" fontId="115" fillId="0" borderId="87" xfId="524" applyNumberFormat="1" applyFont="1" applyFill="1" applyBorder="1" applyAlignment="1">
      <alignment horizontal="left" indent="1"/>
    </xf>
    <xf numFmtId="37" fontId="105" fillId="0" borderId="0" xfId="522" applyNumberFormat="1" applyFont="1" applyFill="1" applyAlignment="1">
      <alignment horizontal="center"/>
    </xf>
    <xf numFmtId="175" fontId="102" fillId="0" borderId="4" xfId="524" quotePrefix="1" applyNumberFormat="1" applyFont="1" applyFill="1" applyBorder="1" applyAlignment="1">
      <alignment horizontal="center"/>
    </xf>
    <xf numFmtId="175" fontId="115" fillId="0" borderId="86" xfId="521" applyNumberFormat="1" applyFont="1" applyBorder="1" applyAlignment="1">
      <alignment horizontal="left" indent="1"/>
    </xf>
    <xf numFmtId="175" fontId="102" fillId="0" borderId="11" xfId="524" quotePrefix="1" applyNumberFormat="1" applyFont="1" applyFill="1" applyBorder="1" applyAlignment="1">
      <alignment horizontal="center"/>
    </xf>
    <xf numFmtId="44" fontId="102" fillId="0" borderId="30" xfId="522" applyFont="1" applyBorder="1"/>
    <xf numFmtId="2" fontId="102" fillId="0" borderId="30" xfId="525" applyNumberFormat="1" applyFont="1" applyBorder="1"/>
    <xf numFmtId="10" fontId="102" fillId="0" borderId="30" xfId="521" applyNumberFormat="1" applyFont="1" applyBorder="1"/>
    <xf numFmtId="175" fontId="102" fillId="0" borderId="10" xfId="525" applyNumberFormat="1" applyFont="1" applyBorder="1"/>
    <xf numFmtId="44" fontId="102" fillId="70" borderId="10" xfId="522" applyFont="1" applyFill="1" applyBorder="1"/>
    <xf numFmtId="175" fontId="102" fillId="0" borderId="22" xfId="524" quotePrefix="1" applyNumberFormat="1" applyFont="1" applyFill="1" applyBorder="1"/>
    <xf numFmtId="175" fontId="102" fillId="0" borderId="4" xfId="524" applyNumberFormat="1" applyFont="1" applyFill="1" applyBorder="1"/>
    <xf numFmtId="175" fontId="106" fillId="80" borderId="86" xfId="524" applyNumberFormat="1" applyFont="1" applyFill="1" applyBorder="1"/>
    <xf numFmtId="175" fontId="107" fillId="80" borderId="11" xfId="524" applyNumberFormat="1" applyFont="1" applyFill="1" applyBorder="1"/>
    <xf numFmtId="44" fontId="107" fillId="80" borderId="30" xfId="522" applyFont="1" applyFill="1" applyBorder="1"/>
    <xf numFmtId="2" fontId="107" fillId="80" borderId="30" xfId="525" applyNumberFormat="1" applyFont="1" applyFill="1" applyBorder="1"/>
    <xf numFmtId="10" fontId="107" fillId="80" borderId="30" xfId="525" applyNumberFormat="1" applyFont="1" applyFill="1" applyBorder="1"/>
    <xf numFmtId="175" fontId="107" fillId="80" borderId="10" xfId="525" applyNumberFormat="1" applyFont="1" applyFill="1" applyBorder="1"/>
    <xf numFmtId="9" fontId="107" fillId="80" borderId="30" xfId="523" applyFont="1" applyFill="1" applyBorder="1"/>
    <xf numFmtId="175" fontId="102" fillId="79" borderId="10" xfId="524" quotePrefix="1" applyNumberFormat="1" applyFont="1" applyFill="1" applyBorder="1" applyAlignment="1">
      <alignment horizontal="center"/>
    </xf>
    <xf numFmtId="37" fontId="113" fillId="0" borderId="30" xfId="522" applyNumberFormat="1" applyFont="1" applyBorder="1" applyAlignment="1">
      <alignment horizontal="center"/>
    </xf>
    <xf numFmtId="175" fontId="116" fillId="0" borderId="30" xfId="521" applyNumberFormat="1" applyFont="1" applyBorder="1"/>
    <xf numFmtId="37" fontId="113" fillId="0" borderId="0" xfId="522" applyNumberFormat="1" applyFont="1" applyAlignment="1">
      <alignment horizontal="center"/>
    </xf>
    <xf numFmtId="175" fontId="116" fillId="0" borderId="0" xfId="521" applyNumberFormat="1" applyFont="1"/>
    <xf numFmtId="175" fontId="106" fillId="80" borderId="3" xfId="524" applyNumberFormat="1" applyFont="1" applyFill="1" applyBorder="1"/>
    <xf numFmtId="2" fontId="107" fillId="80" borderId="6" xfId="524" applyNumberFormat="1" applyFont="1" applyFill="1" applyBorder="1"/>
    <xf numFmtId="10" fontId="107" fillId="80" borderId="6" xfId="524" applyNumberFormat="1" applyFont="1" applyFill="1" applyBorder="1"/>
    <xf numFmtId="175" fontId="102" fillId="0" borderId="22" xfId="524" applyNumberFormat="1" applyFont="1" applyFill="1" applyBorder="1"/>
    <xf numFmtId="2" fontId="102" fillId="0" borderId="0" xfId="525" applyNumberFormat="1" applyFont="1"/>
    <xf numFmtId="10" fontId="102" fillId="0" borderId="0" xfId="524" applyNumberFormat="1" applyFont="1" applyFill="1"/>
    <xf numFmtId="9" fontId="102" fillId="0" borderId="0" xfId="523" applyFont="1" applyFill="1"/>
    <xf numFmtId="175" fontId="102" fillId="79" borderId="22" xfId="524" quotePrefix="1" applyNumberFormat="1" applyFont="1" applyFill="1" applyBorder="1" applyAlignment="1">
      <alignment horizontal="center"/>
    </xf>
    <xf numFmtId="175" fontId="115" fillId="0" borderId="22" xfId="524" applyNumberFormat="1" applyFont="1" applyFill="1" applyBorder="1" applyAlignment="1">
      <alignment horizontal="left" indent="1"/>
    </xf>
    <xf numFmtId="44" fontId="102" fillId="0" borderId="0" xfId="522" applyFont="1" applyFill="1"/>
    <xf numFmtId="2" fontId="102" fillId="0" borderId="0" xfId="525" applyNumberFormat="1" applyFont="1" applyFill="1"/>
    <xf numFmtId="44" fontId="102" fillId="0" borderId="10" xfId="522" applyFont="1" applyBorder="1"/>
    <xf numFmtId="175" fontId="102" fillId="0" borderId="19" xfId="524" quotePrefix="1" applyNumberFormat="1" applyFont="1" applyFill="1" applyBorder="1" applyAlignment="1">
      <alignment horizontal="center"/>
    </xf>
    <xf numFmtId="2" fontId="102" fillId="0" borderId="0" xfId="523" applyNumberFormat="1" applyFont="1"/>
    <xf numFmtId="175" fontId="102" fillId="0" borderId="4" xfId="522" applyNumberFormat="1" applyFont="1" applyBorder="1"/>
    <xf numFmtId="175" fontId="117" fillId="0" borderId="4" xfId="521" applyNumberFormat="1" applyFont="1" applyBorder="1"/>
    <xf numFmtId="44" fontId="102" fillId="0" borderId="0" xfId="522" applyFont="1" applyFill="1" applyBorder="1"/>
    <xf numFmtId="2" fontId="102" fillId="0" borderId="0" xfId="525" applyNumberFormat="1" applyFont="1" applyFill="1" applyBorder="1"/>
    <xf numFmtId="44" fontId="102" fillId="0" borderId="30" xfId="522" applyFont="1" applyFill="1" applyBorder="1"/>
    <xf numFmtId="2" fontId="102" fillId="0" borderId="30" xfId="525" applyNumberFormat="1" applyFont="1" applyFill="1" applyBorder="1"/>
    <xf numFmtId="175" fontId="115" fillId="0" borderId="10" xfId="524" applyNumberFormat="1" applyFont="1" applyFill="1" applyBorder="1" applyAlignment="1">
      <alignment horizontal="left" indent="1"/>
    </xf>
    <xf numFmtId="175" fontId="106" fillId="80" borderId="11" xfId="524" applyNumberFormat="1" applyFont="1" applyFill="1" applyBorder="1"/>
    <xf numFmtId="10" fontId="107" fillId="80" borderId="30" xfId="524" applyNumberFormat="1" applyFont="1" applyFill="1" applyBorder="1"/>
    <xf numFmtId="175" fontId="115" fillId="0" borderId="36" xfId="524" applyNumberFormat="1" applyFont="1" applyFill="1" applyBorder="1" applyAlignment="1">
      <alignment horizontal="left" indent="1"/>
    </xf>
    <xf numFmtId="175" fontId="106" fillId="81" borderId="3" xfId="525" applyNumberFormat="1" applyFont="1" applyFill="1" applyBorder="1"/>
    <xf numFmtId="175" fontId="107" fillId="81" borderId="29" xfId="524" applyNumberFormat="1" applyFont="1" applyFill="1" applyBorder="1" applyAlignment="1">
      <alignment horizontal="center"/>
    </xf>
    <xf numFmtId="44" fontId="107" fillId="81" borderId="6" xfId="522" applyFont="1" applyFill="1" applyBorder="1"/>
    <xf numFmtId="2" fontId="107" fillId="81" borderId="6" xfId="524" applyNumberFormat="1" applyFont="1" applyFill="1" applyBorder="1"/>
    <xf numFmtId="10" fontId="107" fillId="81" borderId="6" xfId="524" applyNumberFormat="1" applyFont="1" applyFill="1" applyBorder="1"/>
    <xf numFmtId="175" fontId="107" fillId="81" borderId="29" xfId="525" applyNumberFormat="1" applyFont="1" applyFill="1" applyBorder="1"/>
    <xf numFmtId="9" fontId="107" fillId="81" borderId="6" xfId="523" applyFont="1" applyFill="1" applyBorder="1"/>
    <xf numFmtId="175" fontId="104" fillId="69" borderId="3" xfId="524" applyNumberFormat="1" applyFont="1" applyFill="1" applyBorder="1"/>
    <xf numFmtId="175" fontId="106" fillId="69" borderId="29" xfId="524" applyNumberFormat="1" applyFont="1" applyFill="1" applyBorder="1"/>
    <xf numFmtId="175" fontId="106" fillId="69" borderId="6" xfId="524" applyNumberFormat="1" applyFont="1" applyFill="1" applyBorder="1"/>
    <xf numFmtId="0" fontId="118" fillId="0" borderId="63" xfId="526" applyFont="1" applyBorder="1" applyAlignment="1">
      <alignment horizontal="left" vertical="top" wrapText="1"/>
    </xf>
    <xf numFmtId="175" fontId="106" fillId="0" borderId="4" xfId="524" applyNumberFormat="1" applyFont="1" applyFill="1" applyBorder="1" applyAlignment="1">
      <alignment horizontal="left"/>
    </xf>
    <xf numFmtId="175" fontId="106" fillId="0" borderId="0" xfId="524" applyNumberFormat="1" applyFont="1" applyFill="1" applyBorder="1" applyAlignment="1">
      <alignment horizontal="left"/>
    </xf>
    <xf numFmtId="0" fontId="12" fillId="0" borderId="65" xfId="526" applyFont="1" applyBorder="1" applyAlignment="1">
      <alignment horizontal="left" vertical="top" wrapText="1"/>
    </xf>
    <xf numFmtId="2" fontId="102" fillId="0" borderId="0" xfId="523" applyNumberFormat="1" applyFont="1" applyFill="1"/>
    <xf numFmtId="10" fontId="102" fillId="0" borderId="0" xfId="527" applyNumberFormat="1" applyFont="1" applyAlignment="1">
      <alignment horizontal="right"/>
    </xf>
    <xf numFmtId="175" fontId="102" fillId="0" borderId="10" xfId="524" quotePrefix="1" applyNumberFormat="1" applyFont="1" applyFill="1" applyBorder="1" applyAlignment="1">
      <alignment horizontal="center"/>
    </xf>
    <xf numFmtId="2" fontId="102" fillId="0" borderId="30" xfId="523" applyNumberFormat="1" applyFont="1" applyFill="1" applyBorder="1"/>
    <xf numFmtId="10" fontId="102" fillId="0" borderId="30" xfId="527" applyNumberFormat="1" applyFont="1" applyBorder="1" applyAlignment="1">
      <alignment horizontal="right"/>
    </xf>
    <xf numFmtId="9" fontId="102" fillId="0" borderId="30" xfId="523" applyFont="1" applyBorder="1" applyAlignment="1">
      <alignment horizontal="right"/>
    </xf>
    <xf numFmtId="175" fontId="106" fillId="66" borderId="11" xfId="525" applyNumberFormat="1" applyFont="1" applyFill="1" applyBorder="1"/>
    <xf numFmtId="175" fontId="107" fillId="66" borderId="10" xfId="525" applyNumberFormat="1" applyFont="1" applyFill="1" applyBorder="1" applyAlignment="1">
      <alignment horizontal="center"/>
    </xf>
    <xf numFmtId="44" fontId="107" fillId="66" borderId="30" xfId="522" applyFont="1" applyFill="1" applyBorder="1"/>
    <xf numFmtId="2" fontId="107" fillId="66" borderId="30" xfId="525" applyNumberFormat="1" applyFont="1" applyFill="1" applyBorder="1"/>
    <xf numFmtId="10" fontId="107" fillId="66" borderId="30" xfId="525" applyNumberFormat="1" applyFont="1" applyFill="1" applyBorder="1"/>
    <xf numFmtId="175" fontId="107" fillId="66" borderId="10" xfId="525" applyNumberFormat="1" applyFont="1" applyFill="1" applyBorder="1"/>
    <xf numFmtId="9" fontId="107" fillId="66" borderId="30" xfId="523" applyFont="1" applyFill="1" applyBorder="1"/>
    <xf numFmtId="175" fontId="107" fillId="66" borderId="11" xfId="522" applyNumberFormat="1" applyFont="1" applyFill="1" applyBorder="1"/>
    <xf numFmtId="175" fontId="115" fillId="0" borderId="10" xfId="521" applyNumberFormat="1" applyFont="1" applyBorder="1"/>
    <xf numFmtId="175" fontId="102" fillId="0" borderId="10" xfId="521" applyNumberFormat="1" applyFont="1" applyBorder="1"/>
    <xf numFmtId="2" fontId="102" fillId="0" borderId="30" xfId="521" applyNumberFormat="1" applyFont="1" applyBorder="1"/>
    <xf numFmtId="9" fontId="102" fillId="0" borderId="30" xfId="523" applyFont="1" applyBorder="1"/>
    <xf numFmtId="175" fontId="117" fillId="82" borderId="3" xfId="524" applyNumberFormat="1" applyFont="1" applyFill="1" applyBorder="1" applyAlignment="1">
      <alignment horizontal="left" wrapText="1"/>
    </xf>
    <xf numFmtId="175" fontId="102" fillId="82" borderId="29" xfId="521" applyNumberFormat="1" applyFont="1" applyFill="1" applyBorder="1" applyAlignment="1">
      <alignment horizontal="center"/>
    </xf>
    <xf numFmtId="44" fontId="102" fillId="82" borderId="6" xfId="522" applyFont="1" applyFill="1" applyBorder="1"/>
    <xf numFmtId="2" fontId="102" fillId="82" borderId="6" xfId="521" applyNumberFormat="1" applyFont="1" applyFill="1" applyBorder="1"/>
    <xf numFmtId="10" fontId="102" fillId="82" borderId="6" xfId="521" applyNumberFormat="1" applyFont="1" applyFill="1" applyBorder="1"/>
    <xf numFmtId="175" fontId="102" fillId="82" borderId="29" xfId="521" applyNumberFormat="1" applyFont="1" applyFill="1" applyBorder="1"/>
    <xf numFmtId="9" fontId="102" fillId="82" borderId="6" xfId="523" applyFont="1" applyFill="1" applyBorder="1"/>
    <xf numFmtId="44" fontId="102" fillId="82" borderId="29" xfId="522" applyFont="1" applyFill="1" applyBorder="1"/>
    <xf numFmtId="175" fontId="104" fillId="78" borderId="23" xfId="524" applyNumberFormat="1" applyFont="1" applyFill="1" applyBorder="1" applyAlignment="1">
      <alignment horizontal="center"/>
    </xf>
    <xf numFmtId="175" fontId="102" fillId="0" borderId="22" xfId="521" applyNumberFormat="1" applyFont="1" applyBorder="1" applyAlignment="1">
      <alignment horizontal="left" indent="1"/>
    </xf>
    <xf numFmtId="175" fontId="102" fillId="0" borderId="22" xfId="524" applyNumberFormat="1" applyFont="1" applyFill="1" applyBorder="1" applyAlignment="1">
      <alignment horizontal="left" indent="1"/>
    </xf>
    <xf numFmtId="175" fontId="102" fillId="0" borderId="10" xfId="524" applyNumberFormat="1" applyFont="1" applyFill="1" applyBorder="1" applyAlignment="1">
      <alignment horizontal="left" indent="1"/>
    </xf>
    <xf numFmtId="175" fontId="102" fillId="0" borderId="36" xfId="524" applyNumberFormat="1" applyFont="1" applyFill="1" applyBorder="1" applyAlignment="1">
      <alignment horizontal="left" indent="1"/>
    </xf>
    <xf numFmtId="175" fontId="102" fillId="0" borderId="4" xfId="524" applyNumberFormat="1" applyFont="1" applyFill="1" applyBorder="1" applyAlignment="1">
      <alignment horizontal="left" indent="1"/>
    </xf>
    <xf numFmtId="173" fontId="102" fillId="0" borderId="0" xfId="522" applyNumberFormat="1" applyFont="1"/>
    <xf numFmtId="173" fontId="107" fillId="78" borderId="10" xfId="522" applyNumberFormat="1" applyFont="1" applyFill="1" applyBorder="1"/>
    <xf numFmtId="173" fontId="107" fillId="0" borderId="4" xfId="522" quotePrefix="1" applyNumberFormat="1" applyFont="1" applyBorder="1" applyAlignment="1">
      <alignment horizontal="right"/>
    </xf>
    <xf numFmtId="173" fontId="102" fillId="0" borderId="4" xfId="522" applyNumberFormat="1" applyFont="1" applyBorder="1"/>
    <xf numFmtId="173" fontId="107" fillId="70" borderId="10" xfId="522" applyNumberFormat="1" applyFont="1" applyFill="1" applyBorder="1"/>
    <xf numFmtId="173" fontId="102" fillId="0" borderId="11" xfId="522" applyNumberFormat="1" applyFont="1" applyBorder="1"/>
    <xf numFmtId="173" fontId="107" fillId="80" borderId="29" xfId="522" applyNumberFormat="1" applyFont="1" applyFill="1" applyBorder="1"/>
    <xf numFmtId="173" fontId="102" fillId="70" borderId="10" xfId="522" applyNumberFormat="1" applyFont="1" applyFill="1" applyBorder="1"/>
    <xf numFmtId="173" fontId="102" fillId="0" borderId="10" xfId="522" applyNumberFormat="1" applyFont="1" applyBorder="1"/>
    <xf numFmtId="173" fontId="107" fillId="81" borderId="29" xfId="525" applyNumberFormat="1" applyFont="1" applyFill="1" applyBorder="1"/>
    <xf numFmtId="173" fontId="106" fillId="69" borderId="29" xfId="524" applyNumberFormat="1" applyFont="1" applyFill="1" applyBorder="1"/>
    <xf numFmtId="173" fontId="107" fillId="66" borderId="11" xfId="522" applyNumberFormat="1" applyFont="1" applyFill="1" applyBorder="1"/>
    <xf numFmtId="173" fontId="102" fillId="82" borderId="29" xfId="522" applyNumberFormat="1" applyFont="1" applyFill="1" applyBorder="1"/>
    <xf numFmtId="175" fontId="102" fillId="0" borderId="0" xfId="522" applyNumberFormat="1" applyFont="1" applyBorder="1"/>
    <xf numFmtId="175" fontId="102" fillId="0" borderId="30" xfId="522" applyNumberFormat="1" applyFont="1" applyBorder="1"/>
    <xf numFmtId="175" fontId="102" fillId="0" borderId="0" xfId="522" applyNumberFormat="1" applyFont="1"/>
    <xf numFmtId="175" fontId="106" fillId="0" borderId="86" xfId="521" applyNumberFormat="1" applyFont="1" applyBorder="1" applyAlignment="1">
      <alignment horizontal="left"/>
    </xf>
    <xf numFmtId="44" fontId="102" fillId="70" borderId="30" xfId="522" applyFont="1" applyFill="1" applyBorder="1"/>
    <xf numFmtId="2" fontId="102" fillId="70" borderId="30" xfId="525" applyNumberFormat="1" applyFont="1" applyFill="1" applyBorder="1"/>
    <xf numFmtId="175" fontId="107" fillId="0" borderId="10" xfId="525" applyNumberFormat="1" applyFont="1" applyBorder="1"/>
    <xf numFmtId="175" fontId="119" fillId="0" borderId="4" xfId="524" applyNumberFormat="1" applyFont="1" applyFill="1" applyBorder="1" applyAlignment="1">
      <alignment horizontal="left"/>
    </xf>
    <xf numFmtId="173" fontId="102" fillId="0" borderId="4" xfId="522" applyNumberFormat="1" applyFont="1" applyFill="1" applyBorder="1"/>
    <xf numFmtId="175" fontId="102" fillId="0" borderId="0" xfId="522" applyNumberFormat="1" applyFont="1" applyAlignment="1">
      <alignment horizontal="right"/>
    </xf>
    <xf numFmtId="165" fontId="43" fillId="0" borderId="0" xfId="98" applyFont="1" applyAlignment="1">
      <alignment wrapText="1"/>
    </xf>
    <xf numFmtId="173" fontId="103" fillId="66" borderId="30" xfId="522" applyNumberFormat="1" applyFont="1" applyFill="1" applyBorder="1" applyAlignment="1">
      <alignment horizontal="center" vertical="center" wrapText="1"/>
    </xf>
    <xf numFmtId="173" fontId="107" fillId="78" borderId="30" xfId="522" applyNumberFormat="1" applyFont="1" applyFill="1" applyBorder="1"/>
    <xf numFmtId="173" fontId="107" fillId="0" borderId="0" xfId="522" applyNumberFormat="1" applyFont="1" applyAlignment="1">
      <alignment horizontal="right"/>
    </xf>
    <xf numFmtId="173" fontId="102" fillId="0" borderId="0" xfId="522" applyNumberFormat="1" applyFont="1" applyAlignment="1">
      <alignment horizontal="right"/>
    </xf>
    <xf numFmtId="173" fontId="102" fillId="70" borderId="6" xfId="522" applyNumberFormat="1" applyFont="1" applyFill="1" applyBorder="1"/>
    <xf numFmtId="173" fontId="102" fillId="0" borderId="0" xfId="522" applyNumberFormat="1" applyFont="1" applyBorder="1"/>
    <xf numFmtId="173" fontId="107" fillId="80" borderId="6" xfId="522" applyNumberFormat="1" applyFont="1" applyFill="1" applyBorder="1"/>
    <xf numFmtId="173" fontId="107" fillId="80" borderId="30" xfId="522" applyNumberFormat="1" applyFont="1" applyFill="1" applyBorder="1"/>
    <xf numFmtId="173" fontId="102" fillId="0" borderId="0" xfId="522" applyNumberFormat="1" applyFont="1" applyFill="1"/>
    <xf numFmtId="173" fontId="102" fillId="0" borderId="0" xfId="522" applyNumberFormat="1" applyFont="1" applyFill="1" applyBorder="1"/>
    <xf numFmtId="173" fontId="102" fillId="0" borderId="30" xfId="522" applyNumberFormat="1" applyFont="1" applyFill="1" applyBorder="1"/>
    <xf numFmtId="173" fontId="107" fillId="81" borderId="6" xfId="522" applyNumberFormat="1" applyFont="1" applyFill="1" applyBorder="1"/>
    <xf numFmtId="173" fontId="106" fillId="69" borderId="6" xfId="524" applyNumberFormat="1" applyFont="1" applyFill="1" applyBorder="1"/>
    <xf numFmtId="173" fontId="106" fillId="0" borderId="0" xfId="524" applyNumberFormat="1" applyFont="1" applyFill="1" applyBorder="1" applyAlignment="1">
      <alignment horizontal="left"/>
    </xf>
    <xf numFmtId="173" fontId="107" fillId="66" borderId="30" xfId="522" applyNumberFormat="1" applyFont="1" applyFill="1" applyBorder="1"/>
    <xf numFmtId="173" fontId="102" fillId="82" borderId="6" xfId="522" applyNumberFormat="1" applyFont="1" applyFill="1" applyBorder="1"/>
    <xf numFmtId="173" fontId="107" fillId="78" borderId="20" xfId="522" applyNumberFormat="1" applyFont="1" applyFill="1" applyBorder="1"/>
    <xf numFmtId="173" fontId="102" fillId="0" borderId="0" xfId="522" applyNumberFormat="1" applyFont="1" applyFill="1" applyAlignment="1">
      <alignment horizontal="right"/>
    </xf>
    <xf numFmtId="2" fontId="102" fillId="0" borderId="0" xfId="523" applyNumberFormat="1" applyFont="1" applyFill="1" applyAlignment="1">
      <alignment horizontal="right"/>
    </xf>
    <xf numFmtId="175" fontId="102" fillId="0" borderId="4" xfId="525" applyNumberFormat="1" applyFont="1" applyFill="1" applyBorder="1"/>
    <xf numFmtId="0" fontId="31" fillId="0" borderId="0" xfId="0" applyFont="1"/>
    <xf numFmtId="176" fontId="31" fillId="0" borderId="0" xfId="0" applyNumberFormat="1" applyFont="1"/>
    <xf numFmtId="170" fontId="31" fillId="0" borderId="0" xfId="0" applyNumberFormat="1" applyFont="1"/>
    <xf numFmtId="0" fontId="120" fillId="0" borderId="0" xfId="0" applyFont="1" applyAlignment="1">
      <alignment horizontal="right"/>
    </xf>
    <xf numFmtId="176" fontId="121" fillId="0" borderId="0" xfId="0" applyNumberFormat="1" applyFont="1" applyAlignment="1">
      <alignment horizontal="left"/>
    </xf>
    <xf numFmtId="49" fontId="121" fillId="0" borderId="0" xfId="0" applyNumberFormat="1" applyFont="1" applyAlignment="1">
      <alignment horizontal="left"/>
    </xf>
    <xf numFmtId="0" fontId="21" fillId="69" borderId="53" xfId="0" applyFont="1" applyFill="1" applyBorder="1" applyAlignment="1">
      <alignment horizontal="center" vertical="top" wrapText="1"/>
    </xf>
    <xf numFmtId="176" fontId="21" fillId="69" borderId="53" xfId="0" applyNumberFormat="1" applyFont="1" applyFill="1" applyBorder="1" applyAlignment="1">
      <alignment horizontal="center" vertical="top" wrapText="1"/>
    </xf>
    <xf numFmtId="170" fontId="21" fillId="69" borderId="53" xfId="0" applyNumberFormat="1" applyFont="1" applyFill="1" applyBorder="1" applyAlignment="1">
      <alignment horizontal="center" vertical="top" wrapText="1"/>
    </xf>
    <xf numFmtId="0" fontId="118" fillId="0" borderId="53" xfId="0" applyFont="1" applyBorder="1" applyAlignment="1">
      <alignment horizontal="left" vertical="top" wrapText="1"/>
    </xf>
    <xf numFmtId="49" fontId="118" fillId="0" borderId="53" xfId="0" applyNumberFormat="1" applyFont="1" applyBorder="1" applyAlignment="1">
      <alignment horizontal="center" vertical="top" wrapText="1"/>
    </xf>
    <xf numFmtId="176" fontId="118" fillId="0" borderId="53" xfId="0" applyNumberFormat="1" applyFont="1" applyBorder="1" applyAlignment="1">
      <alignment horizontal="center" vertical="top" wrapText="1"/>
    </xf>
    <xf numFmtId="170" fontId="118" fillId="0" borderId="53" xfId="0" applyNumberFormat="1" applyFont="1" applyBorder="1" applyAlignment="1">
      <alignment horizontal="center" vertical="top" wrapText="1"/>
    </xf>
    <xf numFmtId="0" fontId="118" fillId="0" borderId="0" xfId="0" applyFont="1" applyAlignment="1">
      <alignment horizontal="left" vertical="top" wrapText="1"/>
    </xf>
    <xf numFmtId="176" fontId="118" fillId="0" borderId="0" xfId="0" applyNumberFormat="1" applyFont="1" applyAlignment="1">
      <alignment horizontal="center" vertical="top" wrapText="1"/>
    </xf>
    <xf numFmtId="170" fontId="118" fillId="0" borderId="0" xfId="0" applyNumberFormat="1" applyFont="1" applyAlignment="1">
      <alignment horizontal="center" vertical="top" wrapText="1"/>
    </xf>
    <xf numFmtId="176" fontId="118" fillId="0" borderId="54" xfId="0" applyNumberFormat="1" applyFont="1" applyBorder="1" applyAlignment="1">
      <alignment horizontal="center" vertical="top" wrapText="1"/>
    </xf>
    <xf numFmtId="0" fontId="21" fillId="69" borderId="55" xfId="0" applyFont="1" applyFill="1" applyBorder="1" applyAlignment="1">
      <alignment horizontal="center" vertical="top" wrapText="1"/>
    </xf>
    <xf numFmtId="176" fontId="21" fillId="69" borderId="55" xfId="0" applyNumberFormat="1" applyFont="1" applyFill="1" applyBorder="1" applyAlignment="1">
      <alignment horizontal="center" vertical="top" wrapText="1"/>
    </xf>
    <xf numFmtId="170" fontId="21" fillId="69" borderId="55" xfId="0" applyNumberFormat="1" applyFont="1" applyFill="1" applyBorder="1" applyAlignment="1">
      <alignment horizontal="center" vertical="top" wrapText="1"/>
    </xf>
    <xf numFmtId="0" fontId="118" fillId="0" borderId="56" xfId="0" applyFont="1" applyBorder="1" applyAlignment="1">
      <alignment horizontal="left" vertical="top" wrapText="1"/>
    </xf>
    <xf numFmtId="176" fontId="118" fillId="0" borderId="56" xfId="0" applyNumberFormat="1" applyFont="1" applyBorder="1" applyAlignment="1">
      <alignment horizontal="right" vertical="top" wrapText="1"/>
    </xf>
    <xf numFmtId="170" fontId="118" fillId="0" borderId="56" xfId="0" applyNumberFormat="1" applyFont="1" applyBorder="1" applyAlignment="1">
      <alignment horizontal="right" vertical="top" wrapText="1"/>
    </xf>
    <xf numFmtId="0" fontId="21" fillId="0" borderId="56" xfId="0" applyFont="1" applyBorder="1" applyAlignment="1">
      <alignment horizontal="left" vertical="top" wrapText="1"/>
    </xf>
    <xf numFmtId="176" fontId="21" fillId="0" borderId="56" xfId="0" applyNumberFormat="1" applyFont="1" applyBorder="1" applyAlignment="1">
      <alignment horizontal="right" vertical="top" wrapText="1"/>
    </xf>
    <xf numFmtId="176" fontId="118" fillId="0" borderId="0" xfId="0" applyNumberFormat="1" applyFont="1" applyAlignment="1">
      <alignment horizontal="right" vertical="top" wrapText="1"/>
    </xf>
    <xf numFmtId="0" fontId="118" fillId="0" borderId="57" xfId="0" applyFont="1" applyBorder="1" applyAlignment="1">
      <alignment horizontal="left" vertical="top" wrapText="1"/>
    </xf>
    <xf numFmtId="176" fontId="118" fillId="0" borderId="3" xfId="0" applyNumberFormat="1" applyFont="1" applyBorder="1" applyAlignment="1">
      <alignment horizontal="right" vertical="top" wrapText="1"/>
    </xf>
    <xf numFmtId="0" fontId="21" fillId="0" borderId="58" xfId="0" applyFont="1" applyBorder="1" applyAlignment="1">
      <alignment horizontal="left" vertical="top" wrapText="1"/>
    </xf>
    <xf numFmtId="176" fontId="21" fillId="0" borderId="3" xfId="0" applyNumberFormat="1" applyFont="1" applyBorder="1" applyAlignment="1">
      <alignment horizontal="right" vertical="top" wrapText="1"/>
    </xf>
    <xf numFmtId="170" fontId="21" fillId="0" borderId="3" xfId="0" applyNumberFormat="1" applyFont="1" applyBorder="1" applyAlignment="1">
      <alignment horizontal="right" vertical="top" wrapText="1"/>
    </xf>
    <xf numFmtId="0" fontId="21" fillId="0" borderId="59" xfId="0" applyFont="1" applyBorder="1" applyAlignment="1">
      <alignment horizontal="left" vertical="top" wrapText="1"/>
    </xf>
    <xf numFmtId="177" fontId="118" fillId="0" borderId="0" xfId="0" applyNumberFormat="1" applyFont="1" applyAlignment="1">
      <alignment horizontal="right" vertical="top" wrapText="1"/>
    </xf>
    <xf numFmtId="170" fontId="118" fillId="0" borderId="0" xfId="0" applyNumberFormat="1" applyFont="1" applyAlignment="1">
      <alignment horizontal="right" vertical="top" wrapText="1"/>
    </xf>
    <xf numFmtId="0" fontId="118" fillId="0" borderId="60" xfId="0" applyFont="1" applyBorder="1" applyAlignment="1">
      <alignment horizontal="left" vertical="top" wrapText="1"/>
    </xf>
    <xf numFmtId="177" fontId="118" fillId="0" borderId="3" xfId="0" applyNumberFormat="1" applyFont="1" applyBorder="1" applyAlignment="1">
      <alignment horizontal="right" vertical="top" wrapText="1"/>
    </xf>
    <xf numFmtId="170" fontId="118" fillId="0" borderId="3" xfId="0" applyNumberFormat="1" applyFont="1" applyBorder="1" applyAlignment="1">
      <alignment horizontal="right" vertical="top" wrapText="1"/>
    </xf>
    <xf numFmtId="0" fontId="118" fillId="0" borderId="58" xfId="0" applyFont="1" applyBorder="1" applyAlignment="1">
      <alignment horizontal="left" vertical="top" wrapText="1"/>
    </xf>
    <xf numFmtId="176" fontId="118" fillId="29" borderId="64" xfId="0" applyNumberFormat="1" applyFont="1" applyFill="1" applyBorder="1" applyAlignment="1">
      <alignment horizontal="right" vertical="top" wrapText="1"/>
    </xf>
    <xf numFmtId="0" fontId="118" fillId="0" borderId="61" xfId="0" applyFont="1" applyBorder="1" applyAlignment="1">
      <alignment horizontal="left" vertical="top" wrapText="1"/>
    </xf>
    <xf numFmtId="0" fontId="21" fillId="0" borderId="62" xfId="0" applyFont="1" applyBorder="1" applyAlignment="1">
      <alignment horizontal="left" vertical="top" wrapText="1"/>
    </xf>
    <xf numFmtId="0" fontId="31" fillId="0" borderId="62" xfId="0" applyFont="1" applyBorder="1" applyAlignment="1">
      <alignment horizontal="left" vertical="top" wrapText="1"/>
    </xf>
    <xf numFmtId="176" fontId="31" fillId="0" borderId="3" xfId="0" applyNumberFormat="1" applyFont="1" applyBorder="1" applyAlignment="1">
      <alignment horizontal="right" wrapText="1"/>
    </xf>
    <xf numFmtId="0" fontId="31" fillId="0" borderId="3" xfId="0" applyFont="1" applyBorder="1" applyAlignment="1">
      <alignment horizontal="right" wrapText="1"/>
    </xf>
    <xf numFmtId="170" fontId="31" fillId="0" borderId="3" xfId="0" applyNumberFormat="1" applyFont="1" applyBorder="1" applyAlignment="1">
      <alignment horizontal="right" wrapText="1"/>
    </xf>
    <xf numFmtId="176" fontId="21" fillId="0" borderId="3" xfId="0" applyNumberFormat="1" applyFont="1" applyBorder="1" applyAlignment="1">
      <alignment horizontal="right" wrapText="1"/>
    </xf>
    <xf numFmtId="170" fontId="21" fillId="0" borderId="3" xfId="0" applyNumberFormat="1" applyFont="1" applyBorder="1" applyAlignment="1">
      <alignment horizontal="right" wrapText="1"/>
    </xf>
    <xf numFmtId="0" fontId="21" fillId="0" borderId="0" xfId="0" applyFont="1" applyAlignment="1">
      <alignment horizontal="left" vertical="top" wrapText="1"/>
    </xf>
    <xf numFmtId="176" fontId="118" fillId="0" borderId="0" xfId="0" applyNumberFormat="1" applyFont="1" applyAlignment="1">
      <alignment horizontal="right" wrapText="1"/>
    </xf>
    <xf numFmtId="170" fontId="118" fillId="0" borderId="0" xfId="0" applyNumberFormat="1" applyFont="1" applyAlignment="1">
      <alignment horizontal="right" wrapText="1"/>
    </xf>
    <xf numFmtId="0" fontId="21" fillId="0" borderId="63" xfId="0" applyFont="1" applyBorder="1" applyAlignment="1">
      <alignment horizontal="left" vertical="top" wrapText="1"/>
    </xf>
    <xf numFmtId="176" fontId="118" fillId="0" borderId="63" xfId="0" applyNumberFormat="1" applyFont="1" applyBorder="1" applyAlignment="1">
      <alignment horizontal="right" wrapText="1"/>
    </xf>
    <xf numFmtId="176" fontId="118" fillId="0" borderId="60" xfId="0" applyNumberFormat="1" applyFont="1" applyBorder="1" applyAlignment="1">
      <alignment horizontal="right" wrapText="1"/>
    </xf>
    <xf numFmtId="176" fontId="118" fillId="0" borderId="56" xfId="0" applyNumberFormat="1" applyFont="1" applyBorder="1" applyAlignment="1">
      <alignment horizontal="right" wrapText="1"/>
    </xf>
    <xf numFmtId="176" fontId="118" fillId="0" borderId="58" xfId="0" applyNumberFormat="1" applyFont="1" applyBorder="1" applyAlignment="1">
      <alignment horizontal="right" wrapText="1"/>
    </xf>
    <xf numFmtId="0" fontId="21" fillId="0" borderId="65" xfId="0" applyFont="1" applyBorder="1" applyAlignment="1">
      <alignment horizontal="left" vertical="top" wrapText="1"/>
    </xf>
    <xf numFmtId="176" fontId="118" fillId="0" borderId="66" xfId="0" applyNumberFormat="1" applyFont="1" applyBorder="1" applyAlignment="1">
      <alignment horizontal="right" wrapText="1"/>
    </xf>
    <xf numFmtId="0" fontId="21" fillId="0" borderId="67" xfId="0" applyFont="1" applyBorder="1" applyAlignment="1">
      <alignment horizontal="left" vertical="top" wrapText="1"/>
    </xf>
    <xf numFmtId="176" fontId="118" fillId="0" borderId="67" xfId="0" applyNumberFormat="1" applyFont="1" applyBorder="1" applyAlignment="1">
      <alignment horizontal="right" wrapText="1"/>
    </xf>
    <xf numFmtId="176" fontId="118" fillId="0" borderId="68" xfId="0" applyNumberFormat="1" applyFont="1" applyBorder="1" applyAlignment="1">
      <alignment horizontal="right" wrapText="1"/>
    </xf>
    <xf numFmtId="0" fontId="21" fillId="61" borderId="65" xfId="0" applyFont="1" applyFill="1" applyBorder="1" applyAlignment="1">
      <alignment horizontal="left" vertical="top" wrapText="1"/>
    </xf>
    <xf numFmtId="0" fontId="31" fillId="0" borderId="69" xfId="0" applyFont="1" applyBorder="1" applyAlignment="1">
      <alignment horizontal="left" vertical="top" wrapText="1"/>
    </xf>
    <xf numFmtId="176" fontId="31" fillId="0" borderId="69" xfId="0" applyNumberFormat="1" applyFont="1" applyBorder="1" applyAlignment="1">
      <alignment horizontal="right" wrapText="1"/>
    </xf>
    <xf numFmtId="0" fontId="31" fillId="0" borderId="69" xfId="0" applyFont="1" applyBorder="1" applyAlignment="1">
      <alignment horizontal="right" wrapText="1"/>
    </xf>
    <xf numFmtId="170" fontId="31" fillId="0" borderId="69" xfId="0" applyNumberFormat="1" applyFont="1" applyBorder="1" applyAlignment="1">
      <alignment horizontal="right" wrapText="1"/>
    </xf>
    <xf numFmtId="176" fontId="118" fillId="0" borderId="68" xfId="0" applyNumberFormat="1" applyFont="1" applyBorder="1" applyAlignment="1">
      <alignment horizontal="right" vertical="top" wrapText="1"/>
    </xf>
    <xf numFmtId="0" fontId="21" fillId="0" borderId="70" xfId="0" applyFont="1" applyBorder="1" applyAlignment="1">
      <alignment horizontal="left" vertical="top" wrapText="1"/>
    </xf>
    <xf numFmtId="0" fontId="21" fillId="0" borderId="71" xfId="0" applyFont="1" applyBorder="1" applyAlignment="1">
      <alignment horizontal="left" vertical="top" wrapText="1"/>
    </xf>
    <xf numFmtId="176" fontId="118" fillId="0" borderId="71" xfId="0" applyNumberFormat="1" applyFont="1" applyBorder="1" applyAlignment="1">
      <alignment horizontal="right" wrapText="1"/>
    </xf>
    <xf numFmtId="170" fontId="118" fillId="0" borderId="71" xfId="0" applyNumberFormat="1" applyFont="1" applyBorder="1" applyAlignment="1">
      <alignment horizontal="right" wrapText="1"/>
    </xf>
    <xf numFmtId="177" fontId="118" fillId="0" borderId="71" xfId="0" applyNumberFormat="1" applyFont="1" applyBorder="1" applyAlignment="1">
      <alignment horizontal="right" wrapText="1"/>
    </xf>
    <xf numFmtId="176" fontId="21" fillId="0" borderId="72" xfId="0" applyNumberFormat="1" applyFont="1" applyBorder="1" applyAlignment="1">
      <alignment horizontal="right" wrapText="1"/>
    </xf>
    <xf numFmtId="4" fontId="43" fillId="0" borderId="0" xfId="0" applyNumberFormat="1" applyFont="1"/>
    <xf numFmtId="176" fontId="31" fillId="0" borderId="56" xfId="0" applyNumberFormat="1" applyFont="1" applyBorder="1" applyAlignment="1">
      <alignment horizontal="right" vertical="top" wrapText="1"/>
    </xf>
    <xf numFmtId="9" fontId="105" fillId="0" borderId="30" xfId="337" applyFont="1" applyBorder="1" applyAlignment="1">
      <alignment horizontal="center"/>
    </xf>
    <xf numFmtId="176" fontId="21" fillId="72" borderId="56" xfId="0" applyNumberFormat="1" applyFont="1" applyFill="1" applyBorder="1" applyAlignment="1">
      <alignment horizontal="right" wrapText="1"/>
    </xf>
    <xf numFmtId="170" fontId="21" fillId="72" borderId="56" xfId="0" applyNumberFormat="1" applyFont="1" applyFill="1" applyBorder="1" applyAlignment="1">
      <alignment horizontal="right" wrapText="1"/>
    </xf>
    <xf numFmtId="176" fontId="118" fillId="72" borderId="56" xfId="0" applyNumberFormat="1" applyFont="1" applyFill="1" applyBorder="1" applyAlignment="1">
      <alignment horizontal="right" wrapText="1"/>
    </xf>
    <xf numFmtId="44" fontId="102" fillId="72" borderId="0" xfId="522" applyFont="1" applyFill="1" applyAlignment="1">
      <alignment horizontal="right"/>
    </xf>
    <xf numFmtId="167" fontId="43" fillId="0" borderId="0" xfId="0" applyNumberFormat="1" applyFont="1"/>
    <xf numFmtId="0" fontId="123" fillId="0" borderId="88" xfId="0" applyFont="1" applyBorder="1" applyAlignment="1">
      <alignment horizontal="left" vertical="center"/>
    </xf>
    <xf numFmtId="0" fontId="123" fillId="0" borderId="89" xfId="0" applyFont="1" applyBorder="1" applyAlignment="1">
      <alignment horizontal="left" vertical="center"/>
    </xf>
    <xf numFmtId="0" fontId="123" fillId="0" borderId="90" xfId="0" applyFont="1" applyBorder="1" applyAlignment="1">
      <alignment horizontal="left" vertical="center"/>
    </xf>
    <xf numFmtId="0" fontId="123" fillId="0" borderId="91" xfId="0" applyFont="1" applyBorder="1" applyAlignment="1">
      <alignment horizontal="left" vertical="center"/>
    </xf>
    <xf numFmtId="0" fontId="123" fillId="0" borderId="92" xfId="0" applyFont="1" applyBorder="1" applyAlignment="1">
      <alignment horizontal="left" vertical="center"/>
    </xf>
    <xf numFmtId="0" fontId="123" fillId="0" borderId="93" xfId="0" applyFont="1" applyBorder="1" applyAlignment="1">
      <alignment horizontal="left" vertical="center"/>
    </xf>
    <xf numFmtId="167" fontId="43" fillId="0" borderId="94" xfId="0" applyNumberFormat="1" applyFont="1" applyBorder="1" applyAlignment="1">
      <alignment horizontal="right" wrapText="1"/>
    </xf>
    <xf numFmtId="167" fontId="43" fillId="0" borderId="95" xfId="0" applyNumberFormat="1" applyFont="1" applyBorder="1" applyAlignment="1">
      <alignment horizontal="right" wrapText="1"/>
    </xf>
    <xf numFmtId="167" fontId="43" fillId="0" borderId="96" xfId="0" applyNumberFormat="1" applyFont="1" applyBorder="1" applyAlignment="1">
      <alignment horizontal="right" wrapText="1"/>
    </xf>
    <xf numFmtId="167" fontId="43" fillId="0" borderId="97" xfId="0" applyNumberFormat="1" applyFont="1" applyBorder="1" applyAlignment="1">
      <alignment horizontal="right" wrapText="1"/>
    </xf>
    <xf numFmtId="174" fontId="43" fillId="0" borderId="0" xfId="0" applyNumberFormat="1" applyFont="1" applyAlignment="1">
      <alignment horizontal="left"/>
    </xf>
    <xf numFmtId="175" fontId="124" fillId="0" borderId="0" xfId="521" applyNumberFormat="1" applyFont="1"/>
    <xf numFmtId="175" fontId="126" fillId="78" borderId="23" xfId="524" applyNumberFormat="1" applyFont="1" applyFill="1" applyBorder="1" applyAlignment="1">
      <alignment horizontal="center"/>
    </xf>
    <xf numFmtId="175" fontId="126" fillId="0" borderId="87" xfId="521" applyNumberFormat="1" applyFont="1" applyBorder="1"/>
    <xf numFmtId="175" fontId="127" fillId="0" borderId="87" xfId="521" applyNumberFormat="1" applyFont="1" applyBorder="1"/>
    <xf numFmtId="175" fontId="126" fillId="0" borderId="23" xfId="521" applyNumberFormat="1" applyFont="1" applyBorder="1" applyAlignment="1">
      <alignment horizontal="left"/>
    </xf>
    <xf numFmtId="175" fontId="124" fillId="0" borderId="87" xfId="524" applyNumberFormat="1" applyFont="1" applyFill="1" applyBorder="1" applyAlignment="1">
      <alignment horizontal="left" indent="1"/>
    </xf>
    <xf numFmtId="175" fontId="126" fillId="80" borderId="23" xfId="524" applyNumberFormat="1" applyFont="1" applyFill="1" applyBorder="1"/>
    <xf numFmtId="175" fontId="128" fillId="0" borderId="87" xfId="524" applyNumberFormat="1" applyFont="1" applyFill="1" applyBorder="1" applyAlignment="1">
      <alignment horizontal="left" indent="1"/>
    </xf>
    <xf numFmtId="175" fontId="128" fillId="0" borderId="86" xfId="521" applyNumberFormat="1" applyFont="1" applyBorder="1" applyAlignment="1">
      <alignment horizontal="left" indent="1"/>
    </xf>
    <xf numFmtId="175" fontId="126" fillId="80" borderId="86" xfId="524" applyNumberFormat="1" applyFont="1" applyFill="1" applyBorder="1"/>
    <xf numFmtId="175" fontId="128" fillId="0" borderId="22" xfId="521" applyNumberFormat="1" applyFont="1" applyBorder="1" applyAlignment="1">
      <alignment horizontal="left" indent="1"/>
    </xf>
    <xf numFmtId="175" fontId="126" fillId="80" borderId="3" xfId="524" applyNumberFormat="1" applyFont="1" applyFill="1" applyBorder="1"/>
    <xf numFmtId="175" fontId="128" fillId="0" borderId="22" xfId="524" applyNumberFormat="1" applyFont="1" applyFill="1" applyBorder="1" applyAlignment="1">
      <alignment horizontal="left" indent="1"/>
    </xf>
    <xf numFmtId="175" fontId="128" fillId="0" borderId="4" xfId="521" applyNumberFormat="1" applyFont="1" applyBorder="1"/>
    <xf numFmtId="175" fontId="128" fillId="0" borderId="10" xfId="524" applyNumberFormat="1" applyFont="1" applyFill="1" applyBorder="1" applyAlignment="1">
      <alignment horizontal="left" indent="1"/>
    </xf>
    <xf numFmtId="175" fontId="126" fillId="80" borderId="11" xfId="524" applyNumberFormat="1" applyFont="1" applyFill="1" applyBorder="1"/>
    <xf numFmtId="175" fontId="128" fillId="0" borderId="36" xfId="524" applyNumberFormat="1" applyFont="1" applyFill="1" applyBorder="1" applyAlignment="1">
      <alignment horizontal="left" indent="1"/>
    </xf>
    <xf numFmtId="175" fontId="126" fillId="81" borderId="3" xfId="525" applyNumberFormat="1" applyFont="1" applyFill="1" applyBorder="1"/>
    <xf numFmtId="175" fontId="128" fillId="0" borderId="4" xfId="524" applyNumberFormat="1" applyFont="1" applyFill="1" applyBorder="1" applyAlignment="1">
      <alignment horizontal="left" indent="1"/>
    </xf>
    <xf numFmtId="175" fontId="129" fillId="69" borderId="3" xfId="524" applyNumberFormat="1" applyFont="1" applyFill="1" applyBorder="1"/>
    <xf numFmtId="0" fontId="130" fillId="0" borderId="63" xfId="526" applyFont="1" applyBorder="1" applyAlignment="1">
      <alignment horizontal="left" vertical="top" wrapText="1"/>
    </xf>
    <xf numFmtId="0" fontId="131" fillId="0" borderId="65" xfId="526" applyFont="1" applyBorder="1" applyAlignment="1">
      <alignment horizontal="left" vertical="top" wrapText="1"/>
    </xf>
    <xf numFmtId="175" fontId="128" fillId="0" borderId="4" xfId="525" applyNumberFormat="1" applyFont="1" applyBorder="1"/>
    <xf numFmtId="175" fontId="126" fillId="66" borderId="11" xfId="525" applyNumberFormat="1" applyFont="1" applyFill="1" applyBorder="1"/>
    <xf numFmtId="175" fontId="124" fillId="0" borderId="4" xfId="521" applyNumberFormat="1" applyFont="1" applyBorder="1"/>
    <xf numFmtId="175" fontId="128" fillId="82" borderId="3" xfId="524" applyNumberFormat="1" applyFont="1" applyFill="1" applyBorder="1" applyAlignment="1">
      <alignment horizontal="left" wrapText="1"/>
    </xf>
    <xf numFmtId="0" fontId="43" fillId="72" borderId="3" xfId="0" applyFont="1" applyFill="1" applyBorder="1" applyAlignment="1">
      <alignment wrapText="1"/>
    </xf>
    <xf numFmtId="0" fontId="21" fillId="0" borderId="79" xfId="0" applyFont="1" applyBorder="1" applyAlignment="1">
      <alignment horizontal="right" wrapText="1"/>
    </xf>
    <xf numFmtId="0" fontId="120" fillId="0" borderId="80" xfId="0" applyFont="1" applyBorder="1" applyAlignment="1">
      <alignment horizontal="right" wrapText="1"/>
    </xf>
    <xf numFmtId="0" fontId="120" fillId="0" borderId="0" xfId="0" applyFont="1" applyAlignment="1">
      <alignment horizontal="center" wrapText="1"/>
    </xf>
    <xf numFmtId="0" fontId="120" fillId="0" borderId="73" xfId="0" applyFont="1" applyBorder="1" applyAlignment="1">
      <alignment horizontal="center" wrapText="1"/>
    </xf>
    <xf numFmtId="0" fontId="21" fillId="61" borderId="70" xfId="0" applyFont="1" applyFill="1" applyBorder="1" applyAlignment="1">
      <alignment horizontal="left" vertical="top" wrapText="1"/>
    </xf>
    <xf numFmtId="0" fontId="21" fillId="61" borderId="59" xfId="0" applyFont="1" applyFill="1" applyBorder="1" applyAlignment="1">
      <alignment horizontal="left" vertical="top" wrapText="1"/>
    </xf>
    <xf numFmtId="0" fontId="31" fillId="0" borderId="74" xfId="0" applyFont="1" applyBorder="1" applyAlignment="1">
      <alignment vertical="top" wrapText="1"/>
    </xf>
    <xf numFmtId="0" fontId="31" fillId="0" borderId="68" xfId="0" applyFont="1" applyBorder="1" applyAlignment="1">
      <alignment horizontal="left" vertical="top" wrapText="1"/>
    </xf>
    <xf numFmtId="0" fontId="21" fillId="61" borderId="58" xfId="0" applyFont="1" applyFill="1" applyBorder="1" applyAlignment="1">
      <alignment horizontal="left" vertical="top" wrapText="1"/>
    </xf>
    <xf numFmtId="0" fontId="31" fillId="0" borderId="75" xfId="0" applyFont="1" applyBorder="1" applyAlignment="1">
      <alignment vertical="top" wrapText="1"/>
    </xf>
    <xf numFmtId="0" fontId="31" fillId="61" borderId="59" xfId="0" applyFont="1" applyFill="1" applyBorder="1" applyAlignment="1">
      <alignment vertical="top" wrapText="1"/>
    </xf>
    <xf numFmtId="0" fontId="122" fillId="61" borderId="76" xfId="0" applyFont="1" applyFill="1" applyBorder="1" applyAlignment="1">
      <alignment horizontal="left" vertical="top" wrapText="1"/>
    </xf>
    <xf numFmtId="0" fontId="31" fillId="61" borderId="77" xfId="0" applyFont="1" applyFill="1" applyBorder="1" applyAlignment="1">
      <alignment wrapText="1"/>
    </xf>
    <xf numFmtId="0" fontId="31" fillId="0" borderId="78" xfId="0" applyFont="1" applyBorder="1" applyAlignment="1">
      <alignment wrapText="1"/>
    </xf>
    <xf numFmtId="175" fontId="103" fillId="66" borderId="83" xfId="524" applyNumberFormat="1" applyFont="1" applyFill="1" applyBorder="1" applyAlignment="1">
      <alignment horizontal="center" vertical="center" wrapText="1"/>
    </xf>
    <xf numFmtId="175" fontId="103" fillId="66" borderId="84" xfId="524" applyNumberFormat="1" applyFont="1" applyFill="1" applyBorder="1" applyAlignment="1">
      <alignment horizontal="center" vertical="center" wrapText="1"/>
    </xf>
    <xf numFmtId="175" fontId="103" fillId="66" borderId="85" xfId="524" applyNumberFormat="1" applyFont="1" applyFill="1" applyBorder="1" applyAlignment="1">
      <alignment horizontal="center" vertical="center" wrapText="1"/>
    </xf>
    <xf numFmtId="44" fontId="104" fillId="66" borderId="82" xfId="522" applyFont="1" applyFill="1" applyBorder="1" applyAlignment="1">
      <alignment horizontal="center" vertical="center" wrapText="1"/>
    </xf>
    <xf numFmtId="44" fontId="104" fillId="66" borderId="11" xfId="522" applyFont="1" applyFill="1" applyBorder="1" applyAlignment="1">
      <alignment horizontal="center" vertical="center" wrapText="1"/>
    </xf>
    <xf numFmtId="175" fontId="125" fillId="66" borderId="81" xfId="524" applyNumberFormat="1" applyFont="1" applyFill="1" applyBorder="1" applyAlignment="1">
      <alignment horizontal="left"/>
    </xf>
    <xf numFmtId="175" fontId="125" fillId="66" borderId="86" xfId="524" applyNumberFormat="1" applyFont="1" applyFill="1" applyBorder="1" applyAlignment="1">
      <alignment horizontal="left"/>
    </xf>
    <xf numFmtId="175" fontId="103" fillId="66" borderId="82" xfId="524" applyNumberFormat="1" applyFont="1" applyFill="1" applyBorder="1" applyAlignment="1">
      <alignment horizontal="center" wrapText="1"/>
    </xf>
    <xf numFmtId="175" fontId="103" fillId="66" borderId="11" xfId="524" applyNumberFormat="1" applyFont="1" applyFill="1" applyBorder="1" applyAlignment="1">
      <alignment horizontal="center" wrapText="1"/>
    </xf>
    <xf numFmtId="173" fontId="104" fillId="66" borderId="82" xfId="522" applyNumberFormat="1" applyFont="1" applyFill="1" applyBorder="1" applyAlignment="1">
      <alignment horizontal="center" vertical="center" wrapText="1"/>
    </xf>
    <xf numFmtId="173" fontId="104" fillId="66" borderId="11" xfId="522" applyNumberFormat="1" applyFont="1" applyFill="1" applyBorder="1" applyAlignment="1">
      <alignment horizontal="center" vertical="center" wrapText="1"/>
    </xf>
    <xf numFmtId="175" fontId="103" fillId="66" borderId="81" xfId="524" applyNumberFormat="1" applyFont="1" applyFill="1" applyBorder="1" applyAlignment="1">
      <alignment horizontal="left"/>
    </xf>
    <xf numFmtId="175" fontId="103" fillId="66" borderId="86" xfId="524" applyNumberFormat="1" applyFont="1" applyFill="1" applyBorder="1" applyAlignment="1">
      <alignment horizontal="left"/>
    </xf>
    <xf numFmtId="0" fontId="99" fillId="74" borderId="3" xfId="0" applyFont="1" applyFill="1" applyBorder="1" applyAlignment="1">
      <alignment horizontal="center" vertical="center" wrapText="1"/>
    </xf>
    <xf numFmtId="0" fontId="99" fillId="0" borderId="33" xfId="0" applyFont="1" applyBorder="1" applyAlignment="1">
      <alignment horizontal="center" wrapText="1"/>
    </xf>
    <xf numFmtId="0" fontId="99" fillId="74" borderId="20" xfId="0" applyFont="1" applyFill="1" applyBorder="1" applyAlignment="1">
      <alignment horizontal="center" vertical="center" wrapText="1"/>
    </xf>
    <xf numFmtId="0" fontId="92" fillId="74" borderId="3" xfId="0" applyFont="1" applyFill="1" applyBorder="1" applyAlignment="1">
      <alignment horizontal="center" vertical="center" wrapText="1"/>
    </xf>
    <xf numFmtId="0" fontId="9" fillId="61" borderId="3" xfId="0" applyFont="1" applyFill="1" applyBorder="1" applyAlignment="1">
      <alignment horizontal="center"/>
    </xf>
    <xf numFmtId="0" fontId="9" fillId="0" borderId="19" xfId="0" applyFont="1" applyBorder="1" applyAlignment="1">
      <alignment horizontal="center"/>
    </xf>
    <xf numFmtId="0" fontId="9" fillId="0" borderId="22" xfId="0" applyFont="1" applyBorder="1" applyAlignment="1">
      <alignment horizontal="center"/>
    </xf>
    <xf numFmtId="0" fontId="9" fillId="0" borderId="11" xfId="0" applyFont="1" applyBorder="1" applyAlignment="1">
      <alignment horizontal="center"/>
    </xf>
    <xf numFmtId="0" fontId="6" fillId="64" borderId="35" xfId="0" applyFont="1" applyFill="1" applyBorder="1" applyAlignment="1">
      <alignment horizontal="center"/>
    </xf>
    <xf numFmtId="0" fontId="6" fillId="64" borderId="21" xfId="0" applyFont="1" applyFill="1" applyBorder="1" applyAlignment="1">
      <alignment horizontal="center"/>
    </xf>
    <xf numFmtId="0" fontId="9" fillId="0" borderId="37" xfId="0" applyFont="1" applyBorder="1" applyAlignment="1">
      <alignment horizontal="center" vertical="center"/>
    </xf>
    <xf numFmtId="0" fontId="9" fillId="0" borderId="38" xfId="0" applyFont="1" applyBorder="1" applyAlignment="1">
      <alignment horizontal="center" vertical="center"/>
    </xf>
    <xf numFmtId="0" fontId="9" fillId="0" borderId="39" xfId="0" applyFont="1" applyBorder="1" applyAlignment="1">
      <alignment horizontal="center" vertical="center"/>
    </xf>
    <xf numFmtId="0" fontId="9" fillId="0" borderId="31" xfId="0" applyFont="1" applyBorder="1" applyAlignment="1">
      <alignment horizontal="center"/>
    </xf>
    <xf numFmtId="0" fontId="9" fillId="0" borderId="32" xfId="0" applyFont="1" applyBorder="1" applyAlignment="1">
      <alignment horizontal="center"/>
    </xf>
    <xf numFmtId="0" fontId="9" fillId="61" borderId="20" xfId="0" applyFont="1" applyFill="1" applyBorder="1" applyAlignment="1">
      <alignment horizontal="center"/>
    </xf>
    <xf numFmtId="0" fontId="9" fillId="0" borderId="3" xfId="0" applyFont="1" applyBorder="1" applyAlignment="1">
      <alignment horizontal="center"/>
    </xf>
    <xf numFmtId="0" fontId="9" fillId="0" borderId="20" xfId="0" applyFont="1" applyBorder="1" applyAlignment="1">
      <alignment horizontal="center"/>
    </xf>
    <xf numFmtId="0" fontId="6" fillId="67" borderId="20" xfId="0" applyFont="1" applyFill="1" applyBorder="1" applyAlignment="1">
      <alignment horizontal="center"/>
    </xf>
    <xf numFmtId="0" fontId="6" fillId="67" borderId="29" xfId="0" applyFont="1" applyFill="1" applyBorder="1" applyAlignment="1">
      <alignment horizontal="center"/>
    </xf>
    <xf numFmtId="167" fontId="0" fillId="0" borderId="40" xfId="52" applyNumberFormat="1" applyFont="1" applyBorder="1" applyAlignment="1">
      <alignment horizontal="center"/>
    </xf>
    <xf numFmtId="167" fontId="0" fillId="0" borderId="41" xfId="52" applyNumberFormat="1" applyFont="1" applyBorder="1" applyAlignment="1">
      <alignment horizontal="center"/>
    </xf>
    <xf numFmtId="0" fontId="9" fillId="0" borderId="20" xfId="0" applyFont="1" applyBorder="1" applyAlignment="1">
      <alignment horizontal="center" vertical="center"/>
    </xf>
    <xf numFmtId="0" fontId="9" fillId="0" borderId="29" xfId="0" applyFont="1" applyBorder="1" applyAlignment="1">
      <alignment horizontal="center" vertical="center"/>
    </xf>
    <xf numFmtId="0" fontId="9" fillId="0" borderId="19" xfId="0" applyFont="1" applyBorder="1" applyAlignment="1">
      <alignment horizontal="center" vertical="center"/>
    </xf>
    <xf numFmtId="0" fontId="9" fillId="0" borderId="22" xfId="0" applyFont="1" applyBorder="1" applyAlignment="1">
      <alignment horizontal="center" vertical="center"/>
    </xf>
    <xf numFmtId="0" fontId="9" fillId="0" borderId="11" xfId="0" applyFont="1" applyBorder="1" applyAlignment="1">
      <alignment horizontal="center" vertical="center"/>
    </xf>
    <xf numFmtId="0" fontId="0" fillId="66" borderId="20" xfId="0" applyFill="1" applyBorder="1" applyAlignment="1">
      <alignment horizontal="center"/>
    </xf>
    <xf numFmtId="0" fontId="0" fillId="66" borderId="29" xfId="0" applyFill="1" applyBorder="1" applyAlignment="1">
      <alignment horizontal="center"/>
    </xf>
    <xf numFmtId="0" fontId="0" fillId="67" borderId="20" xfId="0" applyFill="1" applyBorder="1" applyAlignment="1">
      <alignment horizontal="center"/>
    </xf>
    <xf numFmtId="0" fontId="0" fillId="67" borderId="29" xfId="0" applyFill="1" applyBorder="1" applyAlignment="1">
      <alignment horizontal="center"/>
    </xf>
    <xf numFmtId="0" fontId="9" fillId="0" borderId="19" xfId="0" applyFont="1" applyBorder="1" applyAlignment="1">
      <alignment horizontal="center" wrapText="1"/>
    </xf>
    <xf numFmtId="0" fontId="9" fillId="0" borderId="22" xfId="0" applyFont="1" applyBorder="1" applyAlignment="1">
      <alignment horizontal="center" wrapText="1"/>
    </xf>
    <xf numFmtId="0" fontId="9" fillId="0" borderId="11" xfId="0" applyFont="1" applyBorder="1" applyAlignment="1">
      <alignment horizontal="center" wrapText="1"/>
    </xf>
    <xf numFmtId="0" fontId="6" fillId="66" borderId="20" xfId="0" applyFont="1" applyFill="1" applyBorder="1" applyAlignment="1">
      <alignment horizontal="center"/>
    </xf>
    <xf numFmtId="0" fontId="6" fillId="66" borderId="29" xfId="0" applyFont="1" applyFill="1" applyBorder="1" applyAlignment="1">
      <alignment horizontal="center"/>
    </xf>
    <xf numFmtId="167" fontId="0" fillId="0" borderId="40" xfId="52" applyNumberFormat="1" applyFont="1" applyBorder="1" applyAlignment="1">
      <alignment horizontal="center" vertical="center"/>
    </xf>
    <xf numFmtId="167" fontId="0" fillId="0" borderId="41" xfId="52" applyNumberFormat="1" applyFont="1" applyBorder="1" applyAlignment="1">
      <alignment horizontal="center" vertical="center"/>
    </xf>
    <xf numFmtId="0" fontId="9" fillId="0" borderId="35"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5" xfId="0" applyFont="1" applyBorder="1" applyAlignment="1">
      <alignment horizontal="center" vertical="center"/>
    </xf>
    <xf numFmtId="0" fontId="9" fillId="0" borderId="36" xfId="0" applyFont="1" applyBorder="1" applyAlignment="1">
      <alignment horizontal="center" vertical="center"/>
    </xf>
    <xf numFmtId="0" fontId="9" fillId="0" borderId="21" xfId="0" applyFont="1" applyBorder="1" applyAlignment="1">
      <alignment horizontal="center" vertical="center"/>
    </xf>
    <xf numFmtId="0" fontId="9" fillId="0" borderId="4" xfId="0" applyFont="1" applyBorder="1" applyAlignment="1">
      <alignment horizontal="center" vertical="center"/>
    </xf>
    <xf numFmtId="0" fontId="9" fillId="0" borderId="33" xfId="0" applyFont="1" applyBorder="1" applyAlignment="1">
      <alignment horizontal="center" vertical="center"/>
    </xf>
    <xf numFmtId="0" fontId="9" fillId="0" borderId="10" xfId="0" applyFont="1" applyBorder="1" applyAlignment="1">
      <alignment horizontal="center" vertical="center"/>
    </xf>
    <xf numFmtId="0" fontId="90" fillId="76" borderId="3" xfId="0" applyFont="1" applyFill="1" applyBorder="1" applyAlignment="1">
      <alignment horizontal="center" vertical="center"/>
    </xf>
    <xf numFmtId="0" fontId="90" fillId="69" borderId="3" xfId="0" applyFont="1" applyFill="1" applyBorder="1" applyAlignment="1">
      <alignment horizontal="center" vertical="center"/>
    </xf>
    <xf numFmtId="0" fontId="9" fillId="0" borderId="34" xfId="0" applyFont="1" applyBorder="1" applyAlignment="1">
      <alignment horizontal="center" vertical="center"/>
    </xf>
    <xf numFmtId="0" fontId="9" fillId="0" borderId="0" xfId="0" applyFont="1" applyAlignment="1">
      <alignment horizontal="center" vertical="center"/>
    </xf>
    <xf numFmtId="0" fontId="9" fillId="0" borderId="30" xfId="0" applyFont="1" applyBorder="1" applyAlignment="1">
      <alignment horizontal="center" vertical="center"/>
    </xf>
    <xf numFmtId="0" fontId="90" fillId="76" borderId="20" xfId="0" applyFont="1" applyFill="1" applyBorder="1" applyAlignment="1">
      <alignment horizontal="center" vertical="center"/>
    </xf>
    <xf numFmtId="0" fontId="90" fillId="76" borderId="29" xfId="0" applyFont="1" applyFill="1" applyBorder="1" applyAlignment="1">
      <alignment horizontal="center" vertical="center"/>
    </xf>
    <xf numFmtId="0" fontId="90" fillId="69" borderId="20" xfId="0" applyFont="1" applyFill="1" applyBorder="1" applyAlignment="1">
      <alignment horizontal="center" vertical="center"/>
    </xf>
    <xf numFmtId="0" fontId="90" fillId="69" borderId="29" xfId="0" applyFont="1" applyFill="1" applyBorder="1" applyAlignment="1">
      <alignment horizontal="center" vertical="center"/>
    </xf>
    <xf numFmtId="0" fontId="90" fillId="69" borderId="20" xfId="0" applyFont="1" applyFill="1" applyBorder="1" applyAlignment="1">
      <alignment horizontal="center"/>
    </xf>
    <xf numFmtId="0" fontId="90" fillId="69" borderId="29" xfId="0" applyFont="1" applyFill="1" applyBorder="1" applyAlignment="1">
      <alignment horizontal="center"/>
    </xf>
    <xf numFmtId="0" fontId="0" fillId="0" borderId="20" xfId="0" applyBorder="1" applyAlignment="1">
      <alignment horizontal="center"/>
    </xf>
    <xf numFmtId="0" fontId="0" fillId="0" borderId="29" xfId="0" applyBorder="1" applyAlignment="1">
      <alignment horizontal="center"/>
    </xf>
    <xf numFmtId="0" fontId="6" fillId="0" borderId="20" xfId="0" applyFont="1" applyBorder="1" applyAlignment="1">
      <alignment horizontal="center"/>
    </xf>
    <xf numFmtId="0" fontId="6" fillId="0" borderId="29" xfId="0" applyFont="1" applyBorder="1" applyAlignment="1">
      <alignment horizontal="center"/>
    </xf>
    <xf numFmtId="0" fontId="0" fillId="0" borderId="36" xfId="0" applyBorder="1" applyAlignment="1">
      <alignment horizontal="center"/>
    </xf>
    <xf numFmtId="0" fontId="90" fillId="69" borderId="42" xfId="0" applyFont="1" applyFill="1" applyBorder="1" applyAlignment="1">
      <alignment horizontal="center" vertical="center"/>
    </xf>
    <xf numFmtId="0" fontId="0" fillId="0" borderId="40" xfId="0" applyBorder="1" applyAlignment="1">
      <alignment horizontal="center"/>
    </xf>
    <xf numFmtId="0" fontId="0" fillId="0" borderId="43" xfId="0" applyBorder="1" applyAlignment="1">
      <alignment horizontal="center"/>
    </xf>
    <xf numFmtId="0" fontId="9" fillId="0" borderId="19"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1" xfId="0" applyFont="1" applyBorder="1" applyAlignment="1">
      <alignment horizontal="center" vertical="center" wrapText="1"/>
    </xf>
  </cellXfs>
  <cellStyles count="528">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4 3" xfId="5" xr:uid="{00000000-0005-0000-0000-000004000000}"/>
    <cellStyle name="20% - Accent5 2" xfId="6" xr:uid="{00000000-0005-0000-0000-000005000000}"/>
    <cellStyle name="20% - Accent6 2" xfId="7" xr:uid="{00000000-0005-0000-0000-000006000000}"/>
    <cellStyle name="20% - アクセント 1" xfId="8" xr:uid="{00000000-0005-0000-0000-000007000000}"/>
    <cellStyle name="20% - アクセント 2" xfId="9" xr:uid="{00000000-0005-0000-0000-000008000000}"/>
    <cellStyle name="20% - アクセント 3" xfId="10" xr:uid="{00000000-0005-0000-0000-000009000000}"/>
    <cellStyle name="20% - アクセント 4" xfId="11" xr:uid="{00000000-0005-0000-0000-00000A000000}"/>
    <cellStyle name="20% - アクセント 5" xfId="12" xr:uid="{00000000-0005-0000-0000-00000B000000}"/>
    <cellStyle name="20% - アクセント 6" xfId="13" xr:uid="{00000000-0005-0000-0000-00000C000000}"/>
    <cellStyle name="40% - Accent1 2" xfId="14" xr:uid="{00000000-0005-0000-0000-00000D000000}"/>
    <cellStyle name="40% - Accent2 2" xfId="15" xr:uid="{00000000-0005-0000-0000-00000E000000}"/>
    <cellStyle name="40% - Accent3 2" xfId="16" xr:uid="{00000000-0005-0000-0000-00000F000000}"/>
    <cellStyle name="40% - Accent4 2" xfId="17" xr:uid="{00000000-0005-0000-0000-000010000000}"/>
    <cellStyle name="40% - Accent5 2" xfId="18" xr:uid="{00000000-0005-0000-0000-000011000000}"/>
    <cellStyle name="40% - Accent6 2" xfId="19" xr:uid="{00000000-0005-0000-0000-000012000000}"/>
    <cellStyle name="40% - アクセント 1" xfId="20" xr:uid="{00000000-0005-0000-0000-000013000000}"/>
    <cellStyle name="40% - アクセント 2" xfId="21" xr:uid="{00000000-0005-0000-0000-000014000000}"/>
    <cellStyle name="40% - アクセント 3" xfId="22" xr:uid="{00000000-0005-0000-0000-000015000000}"/>
    <cellStyle name="40% - アクセント 4" xfId="23" xr:uid="{00000000-0005-0000-0000-000016000000}"/>
    <cellStyle name="40% - アクセント 5" xfId="24" xr:uid="{00000000-0005-0000-0000-000017000000}"/>
    <cellStyle name="40% - アクセント 6" xfId="25" xr:uid="{00000000-0005-0000-0000-000018000000}"/>
    <cellStyle name="60% - Accent1 2" xfId="26" xr:uid="{00000000-0005-0000-0000-000019000000}"/>
    <cellStyle name="60% - Accent2 2" xfId="27" xr:uid="{00000000-0005-0000-0000-00001A000000}"/>
    <cellStyle name="60% - Accent3 2" xfId="28" xr:uid="{00000000-0005-0000-0000-00001B000000}"/>
    <cellStyle name="60% - Accent4 2" xfId="29" xr:uid="{00000000-0005-0000-0000-00001C000000}"/>
    <cellStyle name="60% - Accent5 2" xfId="30" xr:uid="{00000000-0005-0000-0000-00001D000000}"/>
    <cellStyle name="60% - Accent6 2" xfId="31" xr:uid="{00000000-0005-0000-0000-00001E000000}"/>
    <cellStyle name="60% - アクセント 1" xfId="32" xr:uid="{00000000-0005-0000-0000-00001F000000}"/>
    <cellStyle name="60% - アクセント 2" xfId="33" xr:uid="{00000000-0005-0000-0000-000020000000}"/>
    <cellStyle name="60% - アクセント 3" xfId="34" xr:uid="{00000000-0005-0000-0000-000021000000}"/>
    <cellStyle name="60% - アクセント 4" xfId="35" xr:uid="{00000000-0005-0000-0000-000022000000}"/>
    <cellStyle name="60% - アクセント 5" xfId="36" xr:uid="{00000000-0005-0000-0000-000023000000}"/>
    <cellStyle name="60% - アクセント 6" xfId="37" xr:uid="{00000000-0005-0000-0000-000024000000}"/>
    <cellStyle name="Accent1 2" xfId="38" xr:uid="{00000000-0005-0000-0000-000025000000}"/>
    <cellStyle name="Accent2 2" xfId="39" xr:uid="{00000000-0005-0000-0000-000026000000}"/>
    <cellStyle name="Accent2 3" xfId="40" xr:uid="{00000000-0005-0000-0000-000027000000}"/>
    <cellStyle name="Accent3 2" xfId="41" xr:uid="{00000000-0005-0000-0000-000028000000}"/>
    <cellStyle name="Accent4 2" xfId="42" xr:uid="{00000000-0005-0000-0000-000029000000}"/>
    <cellStyle name="Accent5 2" xfId="43" xr:uid="{00000000-0005-0000-0000-00002A000000}"/>
    <cellStyle name="Accent6 2" xfId="44" xr:uid="{00000000-0005-0000-0000-00002B000000}"/>
    <cellStyle name="arial12" xfId="45" xr:uid="{00000000-0005-0000-0000-00002C000000}"/>
    <cellStyle name="arial14" xfId="46" xr:uid="{00000000-0005-0000-0000-00002D000000}"/>
    <cellStyle name="B&amp;P" xfId="47" xr:uid="{00000000-0005-0000-0000-00002E000000}"/>
    <cellStyle name="Bad 2" xfId="48" xr:uid="{00000000-0005-0000-0000-00002F000000}"/>
    <cellStyle name="Calculation 2" xfId="49" xr:uid="{00000000-0005-0000-0000-000030000000}"/>
    <cellStyle name="Check Cell 2" xfId="50" xr:uid="{00000000-0005-0000-0000-000031000000}"/>
    <cellStyle name="Check Cell 3" xfId="51" xr:uid="{00000000-0005-0000-0000-000032000000}"/>
    <cellStyle name="Comma" xfId="52" builtinId="3"/>
    <cellStyle name="Comma 2" xfId="53" xr:uid="{00000000-0005-0000-0000-000034000000}"/>
    <cellStyle name="Comma 2 2" xfId="54" xr:uid="{00000000-0005-0000-0000-000035000000}"/>
    <cellStyle name="Comma 2 2 2" xfId="55" xr:uid="{00000000-0005-0000-0000-000036000000}"/>
    <cellStyle name="Comma 2 2 2 2" xfId="56" xr:uid="{00000000-0005-0000-0000-000037000000}"/>
    <cellStyle name="Comma 2 2 3" xfId="57" xr:uid="{00000000-0005-0000-0000-000038000000}"/>
    <cellStyle name="Comma 2 2 4" xfId="58" xr:uid="{00000000-0005-0000-0000-000039000000}"/>
    <cellStyle name="Comma 2 3" xfId="59" xr:uid="{00000000-0005-0000-0000-00003A000000}"/>
    <cellStyle name="Comma 2 3 2" xfId="60" xr:uid="{00000000-0005-0000-0000-00003B000000}"/>
    <cellStyle name="Comma 2 4" xfId="61" xr:uid="{00000000-0005-0000-0000-00003C000000}"/>
    <cellStyle name="Comma 2 5" xfId="516" xr:uid="{66BAD9F9-31B2-4317-B24D-5D5A31C0F80D}"/>
    <cellStyle name="Comma 2_CHF Armenia SSIP Budget 08 22 2009 Final Internal" xfId="62" xr:uid="{00000000-0005-0000-0000-00003D000000}"/>
    <cellStyle name="Comma 3" xfId="63" xr:uid="{00000000-0005-0000-0000-00003E000000}"/>
    <cellStyle name="Comma 3 2" xfId="64" xr:uid="{00000000-0005-0000-0000-00003F000000}"/>
    <cellStyle name="Comma 3 3" xfId="65" xr:uid="{00000000-0005-0000-0000-000040000000}"/>
    <cellStyle name="Comma 3 4" xfId="66" xr:uid="{00000000-0005-0000-0000-000041000000}"/>
    <cellStyle name="Comma 4" xfId="67" xr:uid="{00000000-0005-0000-0000-000042000000}"/>
    <cellStyle name="Comma 4 2" xfId="68" xr:uid="{00000000-0005-0000-0000-000043000000}"/>
    <cellStyle name="Comma 4 3" xfId="69" xr:uid="{00000000-0005-0000-0000-000044000000}"/>
    <cellStyle name="Comma 4 4" xfId="70" xr:uid="{00000000-0005-0000-0000-000045000000}"/>
    <cellStyle name="Comma 5" xfId="71" xr:uid="{00000000-0005-0000-0000-000046000000}"/>
    <cellStyle name="Comma 5 2" xfId="72" xr:uid="{00000000-0005-0000-0000-000047000000}"/>
    <cellStyle name="Comma 5 2 2" xfId="73" xr:uid="{00000000-0005-0000-0000-000048000000}"/>
    <cellStyle name="Comma 5 3" xfId="74" xr:uid="{00000000-0005-0000-0000-000049000000}"/>
    <cellStyle name="Comma 6" xfId="75" xr:uid="{00000000-0005-0000-0000-00004A000000}"/>
    <cellStyle name="Comma 6 2" xfId="76" xr:uid="{00000000-0005-0000-0000-00004B000000}"/>
    <cellStyle name="Comma 6 2 2" xfId="77" xr:uid="{00000000-0005-0000-0000-00004C000000}"/>
    <cellStyle name="Comma 6 3" xfId="78" xr:uid="{00000000-0005-0000-0000-00004D000000}"/>
    <cellStyle name="Comma 6 4" xfId="79" xr:uid="{00000000-0005-0000-0000-00004E000000}"/>
    <cellStyle name="Comma 7" xfId="80" xr:uid="{00000000-0005-0000-0000-00004F000000}"/>
    <cellStyle name="Comma 7 2" xfId="81" xr:uid="{00000000-0005-0000-0000-000050000000}"/>
    <cellStyle name="Comma 8" xfId="82" xr:uid="{00000000-0005-0000-0000-000051000000}"/>
    <cellStyle name="Comma 8 2" xfId="83" xr:uid="{00000000-0005-0000-0000-000052000000}"/>
    <cellStyle name="Comma 9" xfId="84" xr:uid="{00000000-0005-0000-0000-000053000000}"/>
    <cellStyle name="Comma0" xfId="85" xr:uid="{00000000-0005-0000-0000-000054000000}"/>
    <cellStyle name="Comma0 - Style2" xfId="86" xr:uid="{00000000-0005-0000-0000-000055000000}"/>
    <cellStyle name="Comma0 - Style3" xfId="87" xr:uid="{00000000-0005-0000-0000-000056000000}"/>
    <cellStyle name="Comma0 2" xfId="88" xr:uid="{00000000-0005-0000-0000-000057000000}"/>
    <cellStyle name="Comma0 3" xfId="89" xr:uid="{00000000-0005-0000-0000-000058000000}"/>
    <cellStyle name="Comma0 4" xfId="90" xr:uid="{00000000-0005-0000-0000-000059000000}"/>
    <cellStyle name="Comma0_Copy of S3R-0167pricing v3 Option B _ GMH" xfId="91" xr:uid="{00000000-0005-0000-0000-00005A000000}"/>
    <cellStyle name="Comma1 - Style1" xfId="92" xr:uid="{00000000-0005-0000-0000-00005B000000}"/>
    <cellStyle name="Curren - Style1" xfId="93" xr:uid="{00000000-0005-0000-0000-00005C000000}"/>
    <cellStyle name="Curren - Style2" xfId="94" xr:uid="{00000000-0005-0000-0000-00005D000000}"/>
    <cellStyle name="Curren - Style3" xfId="95" xr:uid="{00000000-0005-0000-0000-00005E000000}"/>
    <cellStyle name="Curren - Style4" xfId="96" xr:uid="{00000000-0005-0000-0000-00005F000000}"/>
    <cellStyle name="Curren - Style5" xfId="97" xr:uid="{00000000-0005-0000-0000-000060000000}"/>
    <cellStyle name="Currency" xfId="98" builtinId="4"/>
    <cellStyle name="Currency 10" xfId="99" xr:uid="{00000000-0005-0000-0000-000062000000}"/>
    <cellStyle name="Currency 11" xfId="522" xr:uid="{7F3E61D0-D818-4CF7-82EE-724BBD2C8466}"/>
    <cellStyle name="Currency 2" xfId="100" xr:uid="{00000000-0005-0000-0000-000063000000}"/>
    <cellStyle name="Currency 2 2" xfId="101" xr:uid="{00000000-0005-0000-0000-000064000000}"/>
    <cellStyle name="Currency 2 2 2" xfId="102" xr:uid="{00000000-0005-0000-0000-000065000000}"/>
    <cellStyle name="Currency 2 3" xfId="103" xr:uid="{00000000-0005-0000-0000-000066000000}"/>
    <cellStyle name="Currency 2 4" xfId="525" xr:uid="{6C32C04A-8938-4B05-8897-490CAB41CAA0}"/>
    <cellStyle name="Currency 22" xfId="104" xr:uid="{00000000-0005-0000-0000-000067000000}"/>
    <cellStyle name="Currency 3" xfId="105" xr:uid="{00000000-0005-0000-0000-000068000000}"/>
    <cellStyle name="Currency 3 2" xfId="106" xr:uid="{00000000-0005-0000-0000-000069000000}"/>
    <cellStyle name="Currency 4" xfId="107" xr:uid="{00000000-0005-0000-0000-00006A000000}"/>
    <cellStyle name="Currency 4 2" xfId="108" xr:uid="{00000000-0005-0000-0000-00006B000000}"/>
    <cellStyle name="Currency 4 2 2" xfId="109" xr:uid="{00000000-0005-0000-0000-00006C000000}"/>
    <cellStyle name="Currency 4 3" xfId="110" xr:uid="{00000000-0005-0000-0000-00006D000000}"/>
    <cellStyle name="Currency 5" xfId="111" xr:uid="{00000000-0005-0000-0000-00006E000000}"/>
    <cellStyle name="Currency 5 2" xfId="112" xr:uid="{00000000-0005-0000-0000-00006F000000}"/>
    <cellStyle name="Currency 5 3" xfId="113" xr:uid="{00000000-0005-0000-0000-000070000000}"/>
    <cellStyle name="Currency 5 4" xfId="114" xr:uid="{00000000-0005-0000-0000-000071000000}"/>
    <cellStyle name="Currency 6" xfId="115" xr:uid="{00000000-0005-0000-0000-000072000000}"/>
    <cellStyle name="Currency 6 2" xfId="116" xr:uid="{00000000-0005-0000-0000-000073000000}"/>
    <cellStyle name="Currency 7" xfId="117" xr:uid="{00000000-0005-0000-0000-000074000000}"/>
    <cellStyle name="Currency 8" xfId="118" xr:uid="{00000000-0005-0000-0000-000075000000}"/>
    <cellStyle name="Currency 9" xfId="119" xr:uid="{00000000-0005-0000-0000-000076000000}"/>
    <cellStyle name="Currency0" xfId="120" xr:uid="{00000000-0005-0000-0000-000077000000}"/>
    <cellStyle name="Date" xfId="121" xr:uid="{00000000-0005-0000-0000-000078000000}"/>
    <cellStyle name="Date 2" xfId="122" xr:uid="{00000000-0005-0000-0000-000079000000}"/>
    <cellStyle name="DateTime" xfId="123" xr:uid="{00000000-0005-0000-0000-00007A000000}"/>
    <cellStyle name="Desc" xfId="124" xr:uid="{00000000-0005-0000-0000-00007B000000}"/>
    <cellStyle name="dollar" xfId="125" xr:uid="{00000000-0005-0000-0000-00007C000000}"/>
    <cellStyle name="Euro" xfId="126" xr:uid="{00000000-0005-0000-0000-00007D000000}"/>
    <cellStyle name="Explanatory Text 2" xfId="127" xr:uid="{00000000-0005-0000-0000-00007E000000}"/>
    <cellStyle name="F2" xfId="128" xr:uid="{00000000-0005-0000-0000-00007F000000}"/>
    <cellStyle name="F3" xfId="129" xr:uid="{00000000-0005-0000-0000-000080000000}"/>
    <cellStyle name="F4" xfId="130" xr:uid="{00000000-0005-0000-0000-000081000000}"/>
    <cellStyle name="F5" xfId="131" xr:uid="{00000000-0005-0000-0000-000082000000}"/>
    <cellStyle name="F6" xfId="132" xr:uid="{00000000-0005-0000-0000-000083000000}"/>
    <cellStyle name="F7" xfId="133" xr:uid="{00000000-0005-0000-0000-000084000000}"/>
    <cellStyle name="F8" xfId="134" xr:uid="{00000000-0005-0000-0000-000085000000}"/>
    <cellStyle name="Fixed" xfId="135" xr:uid="{00000000-0005-0000-0000-000086000000}"/>
    <cellStyle name="Fixed 2" xfId="136" xr:uid="{00000000-0005-0000-0000-000087000000}"/>
    <cellStyle name="FRxAmtStyle" xfId="137" xr:uid="{00000000-0005-0000-0000-000088000000}"/>
    <cellStyle name="FRxCurrStyle" xfId="138" xr:uid="{00000000-0005-0000-0000-000089000000}"/>
    <cellStyle name="FRxPcntStyle" xfId="139" xr:uid="{00000000-0005-0000-0000-00008A000000}"/>
    <cellStyle name="Good 2" xfId="140" xr:uid="{00000000-0005-0000-0000-00008B000000}"/>
    <cellStyle name="Good 3" xfId="141" xr:uid="{00000000-0005-0000-0000-00008C000000}"/>
    <cellStyle name="Good 4" xfId="142" xr:uid="{00000000-0005-0000-0000-00008D000000}"/>
    <cellStyle name="Green cell" xfId="143" xr:uid="{00000000-0005-0000-0000-00008E000000}"/>
    <cellStyle name="Green cell 2" xfId="144" xr:uid="{00000000-0005-0000-0000-00008F000000}"/>
    <cellStyle name="Green cell 2 2" xfId="145" xr:uid="{00000000-0005-0000-0000-000090000000}"/>
    <cellStyle name="Green cell 2 2 2" xfId="146" xr:uid="{00000000-0005-0000-0000-000091000000}"/>
    <cellStyle name="Green cell 2 3" xfId="147" xr:uid="{00000000-0005-0000-0000-000092000000}"/>
    <cellStyle name="Green cell 3" xfId="148" xr:uid="{00000000-0005-0000-0000-000093000000}"/>
    <cellStyle name="Green cell 3 2" xfId="149" xr:uid="{00000000-0005-0000-0000-000094000000}"/>
    <cellStyle name="Green cell 3 2 2" xfId="150" xr:uid="{00000000-0005-0000-0000-000095000000}"/>
    <cellStyle name="Green cell 3 3" xfId="151" xr:uid="{00000000-0005-0000-0000-000096000000}"/>
    <cellStyle name="Green cell 4" xfId="152" xr:uid="{00000000-0005-0000-0000-000097000000}"/>
    <cellStyle name="Green cell 4 2" xfId="153" xr:uid="{00000000-0005-0000-0000-000098000000}"/>
    <cellStyle name="Green cell 4 2 2" xfId="154" xr:uid="{00000000-0005-0000-0000-000099000000}"/>
    <cellStyle name="Green cell 4 3" xfId="155" xr:uid="{00000000-0005-0000-0000-00009A000000}"/>
    <cellStyle name="Green cell 5" xfId="156" xr:uid="{00000000-0005-0000-0000-00009B000000}"/>
    <cellStyle name="Green cell 5 2" xfId="157" xr:uid="{00000000-0005-0000-0000-00009C000000}"/>
    <cellStyle name="Grey" xfId="158" xr:uid="{00000000-0005-0000-0000-00009D000000}"/>
    <cellStyle name="Header" xfId="159" xr:uid="{00000000-0005-0000-0000-00009E000000}"/>
    <cellStyle name="Header1" xfId="160" xr:uid="{00000000-0005-0000-0000-00009F000000}"/>
    <cellStyle name="Header2" xfId="161" xr:uid="{00000000-0005-0000-0000-0000A0000000}"/>
    <cellStyle name="Header2 2" xfId="162" xr:uid="{00000000-0005-0000-0000-0000A1000000}"/>
    <cellStyle name="Header2 2 2" xfId="163" xr:uid="{00000000-0005-0000-0000-0000A2000000}"/>
    <cellStyle name="Header2 2 2 2" xfId="164" xr:uid="{00000000-0005-0000-0000-0000A3000000}"/>
    <cellStyle name="Header2 2 3" xfId="165" xr:uid="{00000000-0005-0000-0000-0000A4000000}"/>
    <cellStyle name="Header2 3" xfId="166" xr:uid="{00000000-0005-0000-0000-0000A5000000}"/>
    <cellStyle name="Header2 3 2" xfId="167" xr:uid="{00000000-0005-0000-0000-0000A6000000}"/>
    <cellStyle name="Header2 3 2 2" xfId="168" xr:uid="{00000000-0005-0000-0000-0000A7000000}"/>
    <cellStyle name="Header2 3 3" xfId="169" xr:uid="{00000000-0005-0000-0000-0000A8000000}"/>
    <cellStyle name="Header2 4" xfId="170" xr:uid="{00000000-0005-0000-0000-0000A9000000}"/>
    <cellStyle name="Header2 4 2" xfId="171" xr:uid="{00000000-0005-0000-0000-0000AA000000}"/>
    <cellStyle name="Heading 1 2" xfId="172" xr:uid="{00000000-0005-0000-0000-0000AB000000}"/>
    <cellStyle name="Heading 2 2" xfId="173" xr:uid="{00000000-0005-0000-0000-0000AC000000}"/>
    <cellStyle name="Heading 3 2" xfId="174" xr:uid="{00000000-0005-0000-0000-0000AD000000}"/>
    <cellStyle name="Heading 4 2" xfId="175" xr:uid="{00000000-0005-0000-0000-0000AE000000}"/>
    <cellStyle name="HEADING1" xfId="176" xr:uid="{00000000-0005-0000-0000-0000AF000000}"/>
    <cellStyle name="HEADING2" xfId="177" xr:uid="{00000000-0005-0000-0000-0000B0000000}"/>
    <cellStyle name="Hyperlink 2" xfId="178" xr:uid="{00000000-0005-0000-0000-0000B1000000}"/>
    <cellStyle name="Hyperlink 2 2" xfId="179" xr:uid="{00000000-0005-0000-0000-0000B2000000}"/>
    <cellStyle name="Hyperlink 2 3" xfId="180" xr:uid="{00000000-0005-0000-0000-0000B3000000}"/>
    <cellStyle name="Hyperlink 3" xfId="181" xr:uid="{00000000-0005-0000-0000-0000B4000000}"/>
    <cellStyle name="Hyperlink 3 2" xfId="182" xr:uid="{00000000-0005-0000-0000-0000B5000000}"/>
    <cellStyle name="Hyperlink 3 3" xfId="183" xr:uid="{00000000-0005-0000-0000-0000B6000000}"/>
    <cellStyle name="Hyperlink 3 4" xfId="184" xr:uid="{00000000-0005-0000-0000-0000B7000000}"/>
    <cellStyle name="Hyperlink 3 5" xfId="185" xr:uid="{00000000-0005-0000-0000-0000B8000000}"/>
    <cellStyle name="Hyperlink 4" xfId="186" xr:uid="{00000000-0005-0000-0000-0000B9000000}"/>
    <cellStyle name="Hyperlink 5" xfId="187" xr:uid="{00000000-0005-0000-0000-0000BA000000}"/>
    <cellStyle name="Input [yellow]" xfId="188" xr:uid="{00000000-0005-0000-0000-0000BB000000}"/>
    <cellStyle name="Input [yellow] 2" xfId="189" xr:uid="{00000000-0005-0000-0000-0000BC000000}"/>
    <cellStyle name="Input [yellow] 2 2" xfId="190" xr:uid="{00000000-0005-0000-0000-0000BD000000}"/>
    <cellStyle name="Input [yellow] 2 2 2" xfId="191" xr:uid="{00000000-0005-0000-0000-0000BE000000}"/>
    <cellStyle name="Input [yellow] 2 3" xfId="192" xr:uid="{00000000-0005-0000-0000-0000BF000000}"/>
    <cellStyle name="Input [yellow] 3" xfId="193" xr:uid="{00000000-0005-0000-0000-0000C0000000}"/>
    <cellStyle name="Input [yellow] 3 2" xfId="194" xr:uid="{00000000-0005-0000-0000-0000C1000000}"/>
    <cellStyle name="Input [yellow] 3 2 2" xfId="195" xr:uid="{00000000-0005-0000-0000-0000C2000000}"/>
    <cellStyle name="Input [yellow] 3 3" xfId="196" xr:uid="{00000000-0005-0000-0000-0000C3000000}"/>
    <cellStyle name="Input [yellow] 4" xfId="197" xr:uid="{00000000-0005-0000-0000-0000C4000000}"/>
    <cellStyle name="Input [yellow] 4 2" xfId="198" xr:uid="{00000000-0005-0000-0000-0000C5000000}"/>
    <cellStyle name="Input [yellow] 4 2 2" xfId="199" xr:uid="{00000000-0005-0000-0000-0000C6000000}"/>
    <cellStyle name="Input [yellow] 4 3" xfId="200" xr:uid="{00000000-0005-0000-0000-0000C7000000}"/>
    <cellStyle name="Input [yellow] 5" xfId="201" xr:uid="{00000000-0005-0000-0000-0000C8000000}"/>
    <cellStyle name="Input [yellow] 5 2" xfId="202" xr:uid="{00000000-0005-0000-0000-0000C9000000}"/>
    <cellStyle name="Input 2" xfId="203" xr:uid="{00000000-0005-0000-0000-0000CA000000}"/>
    <cellStyle name="Jim" xfId="204" xr:uid="{00000000-0005-0000-0000-0000CB000000}"/>
    <cellStyle name="Jim 2" xfId="205" xr:uid="{00000000-0005-0000-0000-0000CC000000}"/>
    <cellStyle name="Jim 2 2" xfId="206" xr:uid="{00000000-0005-0000-0000-0000CD000000}"/>
    <cellStyle name="Jim 2 2 2" xfId="207" xr:uid="{00000000-0005-0000-0000-0000CE000000}"/>
    <cellStyle name="Jim 2 3" xfId="208" xr:uid="{00000000-0005-0000-0000-0000CF000000}"/>
    <cellStyle name="Jim 3" xfId="209" xr:uid="{00000000-0005-0000-0000-0000D0000000}"/>
    <cellStyle name="Jim 3 2" xfId="210" xr:uid="{00000000-0005-0000-0000-0000D1000000}"/>
    <cellStyle name="Jim 3 2 2" xfId="211" xr:uid="{00000000-0005-0000-0000-0000D2000000}"/>
    <cellStyle name="Jim 3 3" xfId="212" xr:uid="{00000000-0005-0000-0000-0000D3000000}"/>
    <cellStyle name="Jim 4" xfId="213" xr:uid="{00000000-0005-0000-0000-0000D4000000}"/>
    <cellStyle name="Jim 4 2" xfId="214" xr:uid="{00000000-0005-0000-0000-0000D5000000}"/>
    <cellStyle name="Jim 4 2 2" xfId="215" xr:uid="{00000000-0005-0000-0000-0000D6000000}"/>
    <cellStyle name="Jim 4 3" xfId="216" xr:uid="{00000000-0005-0000-0000-0000D7000000}"/>
    <cellStyle name="Jim 5" xfId="217" xr:uid="{00000000-0005-0000-0000-0000D8000000}"/>
    <cellStyle name="Jim 5 2" xfId="218" xr:uid="{00000000-0005-0000-0000-0000D9000000}"/>
    <cellStyle name="Linked Cell 2" xfId="219" xr:uid="{00000000-0005-0000-0000-0000DA000000}"/>
    <cellStyle name="Linked Cell 3" xfId="220" xr:uid="{00000000-0005-0000-0000-0000DB000000}"/>
    <cellStyle name="Locked" xfId="221" xr:uid="{00000000-0005-0000-0000-0000DC000000}"/>
    <cellStyle name="m/d/y" xfId="222" xr:uid="{00000000-0005-0000-0000-0000DD000000}"/>
    <cellStyle name="mm/dd/yy" xfId="223" xr:uid="{00000000-0005-0000-0000-0000DE000000}"/>
    <cellStyle name="N,NNN (blank 0)" xfId="224" xr:uid="{00000000-0005-0000-0000-0000DF000000}"/>
    <cellStyle name="Neutral 2" xfId="225" xr:uid="{00000000-0005-0000-0000-0000E0000000}"/>
    <cellStyle name="Neutral 3" xfId="226" xr:uid="{00000000-0005-0000-0000-0000E1000000}"/>
    <cellStyle name="Normal" xfId="0" builtinId="0"/>
    <cellStyle name="Normal - Style1" xfId="227" xr:uid="{00000000-0005-0000-0000-0000E3000000}"/>
    <cellStyle name="Normal 10" xfId="228" xr:uid="{00000000-0005-0000-0000-0000E4000000}"/>
    <cellStyle name="Normal 10 2" xfId="229" xr:uid="{00000000-0005-0000-0000-0000E5000000}"/>
    <cellStyle name="Normal 10 2 2" xfId="230" xr:uid="{00000000-0005-0000-0000-0000E6000000}"/>
    <cellStyle name="Normal 10 8" xfId="231" xr:uid="{00000000-0005-0000-0000-0000E7000000}"/>
    <cellStyle name="Normal 11" xfId="232" xr:uid="{00000000-0005-0000-0000-0000E8000000}"/>
    <cellStyle name="Normal 12" xfId="233" xr:uid="{00000000-0005-0000-0000-0000E9000000}"/>
    <cellStyle name="Normal 13" xfId="234" xr:uid="{00000000-0005-0000-0000-0000EA000000}"/>
    <cellStyle name="Normal 14" xfId="235" xr:uid="{00000000-0005-0000-0000-0000EB000000}"/>
    <cellStyle name="Normal 15" xfId="236" xr:uid="{00000000-0005-0000-0000-0000EC000000}"/>
    <cellStyle name="Normal 16" xfId="237" xr:uid="{00000000-0005-0000-0000-0000ED000000}"/>
    <cellStyle name="Normal 17" xfId="238" xr:uid="{00000000-0005-0000-0000-0000EE000000}"/>
    <cellStyle name="Normal 18" xfId="239" xr:uid="{00000000-0005-0000-0000-0000EF000000}"/>
    <cellStyle name="Normal 19" xfId="240" xr:uid="{00000000-0005-0000-0000-0000F0000000}"/>
    <cellStyle name="Normal 2" xfId="241" xr:uid="{00000000-0005-0000-0000-0000F1000000}"/>
    <cellStyle name="Normal 2 10" xfId="242" xr:uid="{00000000-0005-0000-0000-0000F2000000}"/>
    <cellStyle name="Normal 2 11" xfId="243" xr:uid="{00000000-0005-0000-0000-0000F3000000}"/>
    <cellStyle name="Normal 2 12" xfId="244" xr:uid="{00000000-0005-0000-0000-0000F4000000}"/>
    <cellStyle name="Normal 2 13" xfId="245" xr:uid="{00000000-0005-0000-0000-0000F5000000}"/>
    <cellStyle name="Normal 2 14" xfId="246" xr:uid="{00000000-0005-0000-0000-0000F6000000}"/>
    <cellStyle name="Normal 2 15" xfId="247" xr:uid="{00000000-0005-0000-0000-0000F7000000}"/>
    <cellStyle name="Normal 2 16" xfId="248" xr:uid="{00000000-0005-0000-0000-0000F8000000}"/>
    <cellStyle name="Normal 2 17" xfId="249" xr:uid="{00000000-0005-0000-0000-0000F9000000}"/>
    <cellStyle name="Normal 2 18" xfId="250" xr:uid="{00000000-0005-0000-0000-0000FA000000}"/>
    <cellStyle name="Normal 2 19" xfId="251" xr:uid="{00000000-0005-0000-0000-0000FB000000}"/>
    <cellStyle name="Normal 2 2" xfId="252" xr:uid="{00000000-0005-0000-0000-0000FC000000}"/>
    <cellStyle name="Normal 2 2 2" xfId="253" xr:uid="{00000000-0005-0000-0000-0000FD000000}"/>
    <cellStyle name="Normal 2 2 3" xfId="254" xr:uid="{00000000-0005-0000-0000-0000FE000000}"/>
    <cellStyle name="Normal 2 2 4" xfId="255" xr:uid="{00000000-0005-0000-0000-0000FF000000}"/>
    <cellStyle name="Normal 2 20" xfId="256" xr:uid="{00000000-0005-0000-0000-000000010000}"/>
    <cellStyle name="Normal 2 21" xfId="257" xr:uid="{00000000-0005-0000-0000-000001010000}"/>
    <cellStyle name="Normal 2 22" xfId="258" xr:uid="{00000000-0005-0000-0000-000002010000}"/>
    <cellStyle name="Normal 2 23" xfId="521" xr:uid="{3117EBDE-CC54-46E8-AF1B-1A5252C13AEC}"/>
    <cellStyle name="Normal 2 3" xfId="259" xr:uid="{00000000-0005-0000-0000-000003010000}"/>
    <cellStyle name="Normal 2 3 2" xfId="260" xr:uid="{00000000-0005-0000-0000-000004010000}"/>
    <cellStyle name="Normal 2 4" xfId="261" xr:uid="{00000000-0005-0000-0000-000005010000}"/>
    <cellStyle name="Normal 2 5" xfId="262" xr:uid="{00000000-0005-0000-0000-000006010000}"/>
    <cellStyle name="Normal 2 6" xfId="263" xr:uid="{00000000-0005-0000-0000-000007010000}"/>
    <cellStyle name="Normal 2 7" xfId="264" xr:uid="{00000000-0005-0000-0000-000008010000}"/>
    <cellStyle name="Normal 2 8" xfId="265" xr:uid="{00000000-0005-0000-0000-000009010000}"/>
    <cellStyle name="Normal 2 9" xfId="266" xr:uid="{00000000-0005-0000-0000-00000A010000}"/>
    <cellStyle name="Normal 2_ARD CEP 2 Budget Final" xfId="267" xr:uid="{00000000-0005-0000-0000-00000B010000}"/>
    <cellStyle name="Normal 20" xfId="268" xr:uid="{00000000-0005-0000-0000-00000C010000}"/>
    <cellStyle name="Normal 21" xfId="269" xr:uid="{00000000-0005-0000-0000-00000D010000}"/>
    <cellStyle name="Normal 22" xfId="270" xr:uid="{00000000-0005-0000-0000-00000E010000}"/>
    <cellStyle name="Normal 23" xfId="271" xr:uid="{00000000-0005-0000-0000-00000F010000}"/>
    <cellStyle name="Normal 24" xfId="272" xr:uid="{00000000-0005-0000-0000-000010010000}"/>
    <cellStyle name="Normal 25" xfId="273" xr:uid="{00000000-0005-0000-0000-000011010000}"/>
    <cellStyle name="Normal 26" xfId="274" xr:uid="{00000000-0005-0000-0000-000012010000}"/>
    <cellStyle name="Normal 27" xfId="275" xr:uid="{00000000-0005-0000-0000-000013010000}"/>
    <cellStyle name="Normal 28" xfId="276" xr:uid="{00000000-0005-0000-0000-000014010000}"/>
    <cellStyle name="Normal 29" xfId="277" xr:uid="{00000000-0005-0000-0000-000015010000}"/>
    <cellStyle name="Normal 3" xfId="278" xr:uid="{00000000-0005-0000-0000-000016010000}"/>
    <cellStyle name="Normal 3 2" xfId="279" xr:uid="{00000000-0005-0000-0000-000017010000}"/>
    <cellStyle name="Normal 3 2 2" xfId="280" xr:uid="{00000000-0005-0000-0000-000018010000}"/>
    <cellStyle name="Normal 3 2 2 2" xfId="281" xr:uid="{00000000-0005-0000-0000-000019010000}"/>
    <cellStyle name="Normal 3 2 2 3" xfId="282" xr:uid="{00000000-0005-0000-0000-00001A010000}"/>
    <cellStyle name="Normal 3 2 3" xfId="283" xr:uid="{00000000-0005-0000-0000-00001B010000}"/>
    <cellStyle name="Normal 3 2 3 2" xfId="284" xr:uid="{00000000-0005-0000-0000-00001C010000}"/>
    <cellStyle name="Normal 3 3" xfId="285" xr:uid="{00000000-0005-0000-0000-00001D010000}"/>
    <cellStyle name="Normal 3 4" xfId="286" xr:uid="{00000000-0005-0000-0000-00001E010000}"/>
    <cellStyle name="Normal 3_CHF-GEII Schools Rehab &amp; WatSan Combined Budget 9 7 2009 FINAL" xfId="287" xr:uid="{00000000-0005-0000-0000-00001F010000}"/>
    <cellStyle name="Normal 30" xfId="288" xr:uid="{00000000-0005-0000-0000-000020010000}"/>
    <cellStyle name="Normal 31" xfId="289" xr:uid="{00000000-0005-0000-0000-000021010000}"/>
    <cellStyle name="Normal 32" xfId="290" xr:uid="{00000000-0005-0000-0000-000022010000}"/>
    <cellStyle name="Normal 33" xfId="291" xr:uid="{00000000-0005-0000-0000-000023010000}"/>
    <cellStyle name="Normal 34" xfId="292" xr:uid="{00000000-0005-0000-0000-000024010000}"/>
    <cellStyle name="Normal 35" xfId="293" xr:uid="{00000000-0005-0000-0000-000025010000}"/>
    <cellStyle name="Normal 36" xfId="294" xr:uid="{00000000-0005-0000-0000-000026010000}"/>
    <cellStyle name="Normal 37" xfId="295" xr:uid="{00000000-0005-0000-0000-000027010000}"/>
    <cellStyle name="Normal 38" xfId="515" xr:uid="{D98FBAD3-AA2F-4AD7-8C43-93B948557DDD}"/>
    <cellStyle name="Normal 39" xfId="517" xr:uid="{9AB7FD94-7D35-4FE5-AF55-7668E4611BB7}"/>
    <cellStyle name="Normal 39 2" xfId="518" xr:uid="{318D78A5-79CE-4202-9905-7E5E7A60F1E7}"/>
    <cellStyle name="Normal 39 3" xfId="520" xr:uid="{7A9F400D-4917-4B3A-BDDD-8E81E9712054}"/>
    <cellStyle name="Normal 4" xfId="296" xr:uid="{00000000-0005-0000-0000-000028010000}"/>
    <cellStyle name="Normal 4 2" xfId="297" xr:uid="{00000000-0005-0000-0000-000029010000}"/>
    <cellStyle name="Normal 40" xfId="519" xr:uid="{8A08F67B-C5C6-4B8C-AA4A-943DE13FB1D9}"/>
    <cellStyle name="Normal 41" xfId="526" xr:uid="{229B1DDF-56C3-4C6A-889C-68A2198DEAF8}"/>
    <cellStyle name="Normal 44" xfId="298" xr:uid="{00000000-0005-0000-0000-00002A010000}"/>
    <cellStyle name="Normal 5" xfId="299" xr:uid="{00000000-0005-0000-0000-00002B010000}"/>
    <cellStyle name="Normal 5 2" xfId="300" xr:uid="{00000000-0005-0000-0000-00002C010000}"/>
    <cellStyle name="Normal 5 2 2" xfId="301" xr:uid="{00000000-0005-0000-0000-00002D010000}"/>
    <cellStyle name="Normal 5 2 3" xfId="302" xr:uid="{00000000-0005-0000-0000-00002E010000}"/>
    <cellStyle name="Normal 5_12 04 20 Iraq Budget_ICNL BACKUP" xfId="303" xr:uid="{00000000-0005-0000-0000-00002F010000}"/>
    <cellStyle name="Normal 6" xfId="304" xr:uid="{00000000-0005-0000-0000-000030010000}"/>
    <cellStyle name="Normal 6 2" xfId="305" xr:uid="{00000000-0005-0000-0000-000031010000}"/>
    <cellStyle name="Normal 6 2 2" xfId="306" xr:uid="{00000000-0005-0000-0000-000032010000}"/>
    <cellStyle name="Normal 7" xfId="307" xr:uid="{00000000-0005-0000-0000-000033010000}"/>
    <cellStyle name="Normal 7 2" xfId="308" xr:uid="{00000000-0005-0000-0000-000034010000}"/>
    <cellStyle name="Normal 7 2 2" xfId="309" xr:uid="{00000000-0005-0000-0000-000035010000}"/>
    <cellStyle name="Normal 7 2 3" xfId="310" xr:uid="{00000000-0005-0000-0000-000036010000}"/>
    <cellStyle name="Normal 7 2_12 04 20 Iraq Budget_ICNL BACKUP" xfId="311" xr:uid="{00000000-0005-0000-0000-000037010000}"/>
    <cellStyle name="Normal 7 3" xfId="312" xr:uid="{00000000-0005-0000-0000-000038010000}"/>
    <cellStyle name="Normal 7 3 2" xfId="313" xr:uid="{00000000-0005-0000-0000-000039010000}"/>
    <cellStyle name="Normal 7 3_12 04 20 Iraq Budget_ICNL BACKUP" xfId="314" xr:uid="{00000000-0005-0000-0000-00003A010000}"/>
    <cellStyle name="Normal 7 4" xfId="315" xr:uid="{00000000-0005-0000-0000-00003B010000}"/>
    <cellStyle name="Normal 7 5" xfId="316" xr:uid="{00000000-0005-0000-0000-00003C010000}"/>
    <cellStyle name="Normal 7 6" xfId="317" xr:uid="{00000000-0005-0000-0000-00003D010000}"/>
    <cellStyle name="Normal 7_12 04 20 Iraq Budget_ICNL BACKUP" xfId="318" xr:uid="{00000000-0005-0000-0000-00003E010000}"/>
    <cellStyle name="Normal 8" xfId="319" xr:uid="{00000000-0005-0000-0000-00003F010000}"/>
    <cellStyle name="Normal 8 2" xfId="320" xr:uid="{00000000-0005-0000-0000-000040010000}"/>
    <cellStyle name="Normal 8 3" xfId="321" xr:uid="{00000000-0005-0000-0000-000041010000}"/>
    <cellStyle name="Normal 8 4" xfId="322" xr:uid="{00000000-0005-0000-0000-000042010000}"/>
    <cellStyle name="Normal 8 5" xfId="323" xr:uid="{00000000-0005-0000-0000-000043010000}"/>
    <cellStyle name="Normal 8 6" xfId="324" xr:uid="{00000000-0005-0000-0000-000044010000}"/>
    <cellStyle name="Normal 8_12 04 20 Iraq Budget_ICNL BACKUP" xfId="325" xr:uid="{00000000-0005-0000-0000-000045010000}"/>
    <cellStyle name="Normal 9" xfId="326" xr:uid="{00000000-0005-0000-0000-000046010000}"/>
    <cellStyle name="Normal 9 2" xfId="327" xr:uid="{00000000-0005-0000-0000-000047010000}"/>
    <cellStyle name="Normal_UKRAINE SME BUDGET" xfId="524" xr:uid="{0F1D21C7-9B1E-4AEC-B138-93CE5E548B08}"/>
    <cellStyle name="Note 2" xfId="328" xr:uid="{00000000-0005-0000-0000-000048010000}"/>
    <cellStyle name="Number" xfId="329" xr:uid="{00000000-0005-0000-0000-000049010000}"/>
    <cellStyle name="Number 2" xfId="330" xr:uid="{00000000-0005-0000-0000-00004A010000}"/>
    <cellStyle name="number 3" xfId="331" xr:uid="{00000000-0005-0000-0000-00004B010000}"/>
    <cellStyle name="number 3 2" xfId="332" xr:uid="{00000000-0005-0000-0000-00004C010000}"/>
    <cellStyle name="Option" xfId="333" xr:uid="{00000000-0005-0000-0000-00004D010000}"/>
    <cellStyle name="Output 2" xfId="334" xr:uid="{00000000-0005-0000-0000-00004E010000}"/>
    <cellStyle name="Percen - Style1" xfId="335" xr:uid="{00000000-0005-0000-0000-00004F010000}"/>
    <cellStyle name="Percen - Style3" xfId="336" xr:uid="{00000000-0005-0000-0000-000050010000}"/>
    <cellStyle name="Percent" xfId="337" builtinId="5"/>
    <cellStyle name="Percent [0]" xfId="338" xr:uid="{00000000-0005-0000-0000-000052010000}"/>
    <cellStyle name="Percent [2]" xfId="339" xr:uid="{00000000-0005-0000-0000-000053010000}"/>
    <cellStyle name="Percent 10" xfId="523" xr:uid="{F2AB75FB-EB56-43CF-9F9C-054A28781697}"/>
    <cellStyle name="Percent 2" xfId="340" xr:uid="{00000000-0005-0000-0000-000054010000}"/>
    <cellStyle name="Percent 2 2" xfId="341" xr:uid="{00000000-0005-0000-0000-000055010000}"/>
    <cellStyle name="Percent 2 2 2" xfId="342" xr:uid="{00000000-0005-0000-0000-000056010000}"/>
    <cellStyle name="Percent 2 2 3" xfId="343" xr:uid="{00000000-0005-0000-0000-000057010000}"/>
    <cellStyle name="Percent 2 2 4" xfId="344" xr:uid="{00000000-0005-0000-0000-000058010000}"/>
    <cellStyle name="Percent 2 3" xfId="345" xr:uid="{00000000-0005-0000-0000-000059010000}"/>
    <cellStyle name="Percent 2 3 2" xfId="346" xr:uid="{00000000-0005-0000-0000-00005A010000}"/>
    <cellStyle name="Percent 2 4" xfId="527" xr:uid="{3F9F6B81-C47C-4496-B2B1-30CC3037A95D}"/>
    <cellStyle name="Percent 3" xfId="347" xr:uid="{00000000-0005-0000-0000-00005B010000}"/>
    <cellStyle name="Percent 3 2" xfId="348" xr:uid="{00000000-0005-0000-0000-00005C010000}"/>
    <cellStyle name="Percent 4" xfId="349" xr:uid="{00000000-0005-0000-0000-00005D010000}"/>
    <cellStyle name="Percent 4 2" xfId="350" xr:uid="{00000000-0005-0000-0000-00005E010000}"/>
    <cellStyle name="Percent 4 2 2" xfId="351" xr:uid="{00000000-0005-0000-0000-00005F010000}"/>
    <cellStyle name="Percent 4 3" xfId="352" xr:uid="{00000000-0005-0000-0000-000060010000}"/>
    <cellStyle name="Percent 5" xfId="353" xr:uid="{00000000-0005-0000-0000-000061010000}"/>
    <cellStyle name="Percent 5 2" xfId="354" xr:uid="{00000000-0005-0000-0000-000062010000}"/>
    <cellStyle name="Percent 5 2 2" xfId="355" xr:uid="{00000000-0005-0000-0000-000063010000}"/>
    <cellStyle name="Percent 5 3" xfId="356" xr:uid="{00000000-0005-0000-0000-000064010000}"/>
    <cellStyle name="Percent 6" xfId="357" xr:uid="{00000000-0005-0000-0000-000065010000}"/>
    <cellStyle name="Percent 6 2" xfId="358" xr:uid="{00000000-0005-0000-0000-000066010000}"/>
    <cellStyle name="Percent 7" xfId="359" xr:uid="{00000000-0005-0000-0000-000067010000}"/>
    <cellStyle name="Percent 8" xfId="360" xr:uid="{00000000-0005-0000-0000-000068010000}"/>
    <cellStyle name="Percent 9" xfId="361" xr:uid="{00000000-0005-0000-0000-000069010000}"/>
    <cellStyle name="Period" xfId="362" xr:uid="{00000000-0005-0000-0000-00006A010000}"/>
    <cellStyle name="PROJ_NUM" xfId="363" xr:uid="{00000000-0005-0000-0000-00006B010000}"/>
    <cellStyle name="PSChar" xfId="364" xr:uid="{00000000-0005-0000-0000-00006C010000}"/>
    <cellStyle name="PSDate" xfId="365" xr:uid="{00000000-0005-0000-0000-00006D010000}"/>
    <cellStyle name="PSDec" xfId="366" xr:uid="{00000000-0005-0000-0000-00006E010000}"/>
    <cellStyle name="PSHeading" xfId="367" xr:uid="{00000000-0005-0000-0000-00006F010000}"/>
    <cellStyle name="PSInt" xfId="368" xr:uid="{00000000-0005-0000-0000-000070010000}"/>
    <cellStyle name="PSSpacer" xfId="369" xr:uid="{00000000-0005-0000-0000-000071010000}"/>
    <cellStyle name="RAMEY" xfId="370" xr:uid="{00000000-0005-0000-0000-000072010000}"/>
    <cellStyle name="Ramey $k" xfId="371" xr:uid="{00000000-0005-0000-0000-000073010000}"/>
    <cellStyle name="RAMEY_P&amp;O BKUP" xfId="372" xr:uid="{00000000-0005-0000-0000-000074010000}"/>
    <cellStyle name="STYL1 - Style1" xfId="373" xr:uid="{00000000-0005-0000-0000-000075010000}"/>
    <cellStyle name="Style 1" xfId="374" xr:uid="{00000000-0005-0000-0000-000076010000}"/>
    <cellStyle name="Style 21" xfId="375" xr:uid="{00000000-0005-0000-0000-000077010000}"/>
    <cellStyle name="Style 22" xfId="376" xr:uid="{00000000-0005-0000-0000-000078010000}"/>
    <cellStyle name="Style 23" xfId="377" xr:uid="{00000000-0005-0000-0000-000079010000}"/>
    <cellStyle name="Style 24" xfId="378" xr:uid="{00000000-0005-0000-0000-00007A010000}"/>
    <cellStyle name="Style 25" xfId="379" xr:uid="{00000000-0005-0000-0000-00007B010000}"/>
    <cellStyle name="Style 26" xfId="380" xr:uid="{00000000-0005-0000-0000-00007C010000}"/>
    <cellStyle name="Style 27" xfId="381" xr:uid="{00000000-0005-0000-0000-00007D010000}"/>
    <cellStyle name="STYLE1" xfId="382" xr:uid="{00000000-0005-0000-0000-00007E010000}"/>
    <cellStyle name="STYLE1 2" xfId="383" xr:uid="{00000000-0005-0000-0000-00007F010000}"/>
    <cellStyle name="STYLE1 3" xfId="384" xr:uid="{00000000-0005-0000-0000-000080010000}"/>
    <cellStyle name="STYLE2" xfId="385" xr:uid="{00000000-0005-0000-0000-000081010000}"/>
    <cellStyle name="STYLE3" xfId="386" xr:uid="{00000000-0005-0000-0000-000082010000}"/>
    <cellStyle name="STYLE4" xfId="387" xr:uid="{00000000-0005-0000-0000-000083010000}"/>
    <cellStyle name="STYLE5" xfId="388" xr:uid="{00000000-0005-0000-0000-000084010000}"/>
    <cellStyle name="þ_x0011_Í-&amp;ý&amp;‰ýG_x0008_Æ_x0009__x000a__x0007__x0001__x0001_" xfId="389" xr:uid="{00000000-0005-0000-0000-000085010000}"/>
    <cellStyle name="Thousands" xfId="390" xr:uid="{00000000-0005-0000-0000-000086010000}"/>
    <cellStyle name="Title 2" xfId="391" xr:uid="{00000000-0005-0000-0000-000087010000}"/>
    <cellStyle name="Total 2" xfId="392" xr:uid="{00000000-0005-0000-0000-000088010000}"/>
    <cellStyle name="Unit" xfId="393" xr:uid="{00000000-0005-0000-0000-000089010000}"/>
    <cellStyle name="Unlocked" xfId="394" xr:uid="{00000000-0005-0000-0000-00008A010000}"/>
    <cellStyle name="Warning Text 2" xfId="395" xr:uid="{00000000-0005-0000-0000-00008B010000}"/>
    <cellStyle name="Обычный_Budget_final_25_02_02" xfId="396" xr:uid="{00000000-0005-0000-0000-00008C010000}"/>
    <cellStyle name="アクセント 1" xfId="397" xr:uid="{00000000-0005-0000-0000-00008D010000}"/>
    <cellStyle name="アクセント 2" xfId="398" xr:uid="{00000000-0005-0000-0000-00008E010000}"/>
    <cellStyle name="アクセント 3" xfId="399" xr:uid="{00000000-0005-0000-0000-00008F010000}"/>
    <cellStyle name="アクセント 4" xfId="400" xr:uid="{00000000-0005-0000-0000-000090010000}"/>
    <cellStyle name="アクセント 5" xfId="401" xr:uid="{00000000-0005-0000-0000-000091010000}"/>
    <cellStyle name="アクセント 6" xfId="402" xr:uid="{00000000-0005-0000-0000-000092010000}"/>
    <cellStyle name="タイトル" xfId="403" xr:uid="{00000000-0005-0000-0000-000093010000}"/>
    <cellStyle name="チェック セル" xfId="404" xr:uid="{00000000-0005-0000-0000-000094010000}"/>
    <cellStyle name="どちらでもない" xfId="405" xr:uid="{00000000-0005-0000-0000-000095010000}"/>
    <cellStyle name="メモ" xfId="406" xr:uid="{00000000-0005-0000-0000-000096010000}"/>
    <cellStyle name="メモ 2" xfId="407" xr:uid="{00000000-0005-0000-0000-000097010000}"/>
    <cellStyle name="メモ 2 2" xfId="408" xr:uid="{00000000-0005-0000-0000-000098010000}"/>
    <cellStyle name="メモ 2 2 2" xfId="409" xr:uid="{00000000-0005-0000-0000-000099010000}"/>
    <cellStyle name="メモ 2 3" xfId="410" xr:uid="{00000000-0005-0000-0000-00009A010000}"/>
    <cellStyle name="メモ 3" xfId="411" xr:uid="{00000000-0005-0000-0000-00009B010000}"/>
    <cellStyle name="メモ 3 2" xfId="412" xr:uid="{00000000-0005-0000-0000-00009C010000}"/>
    <cellStyle name="メモ 3 2 2" xfId="413" xr:uid="{00000000-0005-0000-0000-00009D010000}"/>
    <cellStyle name="メモ 3 3" xfId="414" xr:uid="{00000000-0005-0000-0000-00009E010000}"/>
    <cellStyle name="メモ 4" xfId="415" xr:uid="{00000000-0005-0000-0000-00009F010000}"/>
    <cellStyle name="メモ 4 2" xfId="416" xr:uid="{00000000-0005-0000-0000-0000A0010000}"/>
    <cellStyle name="メモ 4 2 2" xfId="417" xr:uid="{00000000-0005-0000-0000-0000A1010000}"/>
    <cellStyle name="メモ 4 3" xfId="418" xr:uid="{00000000-0005-0000-0000-0000A2010000}"/>
    <cellStyle name="メモ 5" xfId="419" xr:uid="{00000000-0005-0000-0000-0000A3010000}"/>
    <cellStyle name="メモ 5 2" xfId="420" xr:uid="{00000000-0005-0000-0000-0000A4010000}"/>
    <cellStyle name="メモ 5 2 2" xfId="421" xr:uid="{00000000-0005-0000-0000-0000A5010000}"/>
    <cellStyle name="メモ 5 3" xfId="422" xr:uid="{00000000-0005-0000-0000-0000A6010000}"/>
    <cellStyle name="メモ 6" xfId="423" xr:uid="{00000000-0005-0000-0000-0000A7010000}"/>
    <cellStyle name="メモ 6 2" xfId="424" xr:uid="{00000000-0005-0000-0000-0000A8010000}"/>
    <cellStyle name="メモ 7" xfId="425" xr:uid="{00000000-0005-0000-0000-0000A9010000}"/>
    <cellStyle name="リンク セル" xfId="426" xr:uid="{00000000-0005-0000-0000-0000AA010000}"/>
    <cellStyle name="入力" xfId="427" xr:uid="{00000000-0005-0000-0000-0000AB010000}"/>
    <cellStyle name="入力 2" xfId="428" xr:uid="{00000000-0005-0000-0000-0000AC010000}"/>
    <cellStyle name="入力 2 2" xfId="429" xr:uid="{00000000-0005-0000-0000-0000AD010000}"/>
    <cellStyle name="入力 2 2 2" xfId="430" xr:uid="{00000000-0005-0000-0000-0000AE010000}"/>
    <cellStyle name="入力 2 3" xfId="431" xr:uid="{00000000-0005-0000-0000-0000AF010000}"/>
    <cellStyle name="入力 3" xfId="432" xr:uid="{00000000-0005-0000-0000-0000B0010000}"/>
    <cellStyle name="入力 3 2" xfId="433" xr:uid="{00000000-0005-0000-0000-0000B1010000}"/>
    <cellStyle name="入力 3 2 2" xfId="434" xr:uid="{00000000-0005-0000-0000-0000B2010000}"/>
    <cellStyle name="入力 3 3" xfId="435" xr:uid="{00000000-0005-0000-0000-0000B3010000}"/>
    <cellStyle name="入力 4" xfId="436" xr:uid="{00000000-0005-0000-0000-0000B4010000}"/>
    <cellStyle name="入力 4 2" xfId="437" xr:uid="{00000000-0005-0000-0000-0000B5010000}"/>
    <cellStyle name="入力 4 2 2" xfId="438" xr:uid="{00000000-0005-0000-0000-0000B6010000}"/>
    <cellStyle name="入力 4 3" xfId="439" xr:uid="{00000000-0005-0000-0000-0000B7010000}"/>
    <cellStyle name="入力 5" xfId="440" xr:uid="{00000000-0005-0000-0000-0000B8010000}"/>
    <cellStyle name="入力 5 2" xfId="441" xr:uid="{00000000-0005-0000-0000-0000B9010000}"/>
    <cellStyle name="入力 5 2 2" xfId="442" xr:uid="{00000000-0005-0000-0000-0000BA010000}"/>
    <cellStyle name="入力 5 3" xfId="443" xr:uid="{00000000-0005-0000-0000-0000BB010000}"/>
    <cellStyle name="入力 6" xfId="444" xr:uid="{00000000-0005-0000-0000-0000BC010000}"/>
    <cellStyle name="入力 6 2" xfId="445" xr:uid="{00000000-0005-0000-0000-0000BD010000}"/>
    <cellStyle name="入力 7" xfId="446" xr:uid="{00000000-0005-0000-0000-0000BE010000}"/>
    <cellStyle name="出力" xfId="447" xr:uid="{00000000-0005-0000-0000-0000BF010000}"/>
    <cellStyle name="出力 2" xfId="448" xr:uid="{00000000-0005-0000-0000-0000C0010000}"/>
    <cellStyle name="出力 2 2" xfId="449" xr:uid="{00000000-0005-0000-0000-0000C1010000}"/>
    <cellStyle name="出力 2 2 2" xfId="450" xr:uid="{00000000-0005-0000-0000-0000C2010000}"/>
    <cellStyle name="出力 2 3" xfId="451" xr:uid="{00000000-0005-0000-0000-0000C3010000}"/>
    <cellStyle name="出力 3" xfId="452" xr:uid="{00000000-0005-0000-0000-0000C4010000}"/>
    <cellStyle name="出力 3 2" xfId="453" xr:uid="{00000000-0005-0000-0000-0000C5010000}"/>
    <cellStyle name="出力 3 2 2" xfId="454" xr:uid="{00000000-0005-0000-0000-0000C6010000}"/>
    <cellStyle name="出力 3 3" xfId="455" xr:uid="{00000000-0005-0000-0000-0000C7010000}"/>
    <cellStyle name="出力 4" xfId="456" xr:uid="{00000000-0005-0000-0000-0000C8010000}"/>
    <cellStyle name="出力 4 2" xfId="457" xr:uid="{00000000-0005-0000-0000-0000C9010000}"/>
    <cellStyle name="出力 4 2 2" xfId="458" xr:uid="{00000000-0005-0000-0000-0000CA010000}"/>
    <cellStyle name="出力 4 3" xfId="459" xr:uid="{00000000-0005-0000-0000-0000CB010000}"/>
    <cellStyle name="出力 5" xfId="460" xr:uid="{00000000-0005-0000-0000-0000CC010000}"/>
    <cellStyle name="出力 5 2" xfId="461" xr:uid="{00000000-0005-0000-0000-0000CD010000}"/>
    <cellStyle name="出力 5 2 2" xfId="462" xr:uid="{00000000-0005-0000-0000-0000CE010000}"/>
    <cellStyle name="出力 5 3" xfId="463" xr:uid="{00000000-0005-0000-0000-0000CF010000}"/>
    <cellStyle name="出力 6" xfId="464" xr:uid="{00000000-0005-0000-0000-0000D0010000}"/>
    <cellStyle name="出力 6 2" xfId="465" xr:uid="{00000000-0005-0000-0000-0000D1010000}"/>
    <cellStyle name="出力 7" xfId="466" xr:uid="{00000000-0005-0000-0000-0000D2010000}"/>
    <cellStyle name="悪い" xfId="467" xr:uid="{00000000-0005-0000-0000-0000D3010000}"/>
    <cellStyle name="良い" xfId="468" xr:uid="{00000000-0005-0000-0000-0000D4010000}"/>
    <cellStyle name="見出し 1" xfId="469" xr:uid="{00000000-0005-0000-0000-0000D5010000}"/>
    <cellStyle name="見出し 2" xfId="470" xr:uid="{00000000-0005-0000-0000-0000D6010000}"/>
    <cellStyle name="見出し 3" xfId="471" xr:uid="{00000000-0005-0000-0000-0000D7010000}"/>
    <cellStyle name="見出し 4" xfId="472" xr:uid="{00000000-0005-0000-0000-0000D8010000}"/>
    <cellStyle name="計算" xfId="473" xr:uid="{00000000-0005-0000-0000-0000D9010000}"/>
    <cellStyle name="計算 2" xfId="474" xr:uid="{00000000-0005-0000-0000-0000DA010000}"/>
    <cellStyle name="計算 2 2" xfId="475" xr:uid="{00000000-0005-0000-0000-0000DB010000}"/>
    <cellStyle name="計算 2 2 2" xfId="476" xr:uid="{00000000-0005-0000-0000-0000DC010000}"/>
    <cellStyle name="計算 2 3" xfId="477" xr:uid="{00000000-0005-0000-0000-0000DD010000}"/>
    <cellStyle name="計算 3" xfId="478" xr:uid="{00000000-0005-0000-0000-0000DE010000}"/>
    <cellStyle name="計算 3 2" xfId="479" xr:uid="{00000000-0005-0000-0000-0000DF010000}"/>
    <cellStyle name="計算 3 2 2" xfId="480" xr:uid="{00000000-0005-0000-0000-0000E0010000}"/>
    <cellStyle name="計算 3 3" xfId="481" xr:uid="{00000000-0005-0000-0000-0000E1010000}"/>
    <cellStyle name="計算 4" xfId="482" xr:uid="{00000000-0005-0000-0000-0000E2010000}"/>
    <cellStyle name="計算 4 2" xfId="483" xr:uid="{00000000-0005-0000-0000-0000E3010000}"/>
    <cellStyle name="計算 4 2 2" xfId="484" xr:uid="{00000000-0005-0000-0000-0000E4010000}"/>
    <cellStyle name="計算 4 3" xfId="485" xr:uid="{00000000-0005-0000-0000-0000E5010000}"/>
    <cellStyle name="計算 5" xfId="486" xr:uid="{00000000-0005-0000-0000-0000E6010000}"/>
    <cellStyle name="計算 5 2" xfId="487" xr:uid="{00000000-0005-0000-0000-0000E7010000}"/>
    <cellStyle name="計算 5 2 2" xfId="488" xr:uid="{00000000-0005-0000-0000-0000E8010000}"/>
    <cellStyle name="計算 5 3" xfId="489" xr:uid="{00000000-0005-0000-0000-0000E9010000}"/>
    <cellStyle name="計算 6" xfId="490" xr:uid="{00000000-0005-0000-0000-0000EA010000}"/>
    <cellStyle name="計算 6 2" xfId="491" xr:uid="{00000000-0005-0000-0000-0000EB010000}"/>
    <cellStyle name="計算 7" xfId="492" xr:uid="{00000000-0005-0000-0000-0000EC010000}"/>
    <cellStyle name="説明文" xfId="493" xr:uid="{00000000-0005-0000-0000-0000ED010000}"/>
    <cellStyle name="警告文" xfId="494" xr:uid="{00000000-0005-0000-0000-0000EE010000}"/>
    <cellStyle name="集計" xfId="495" xr:uid="{00000000-0005-0000-0000-0000EF010000}"/>
    <cellStyle name="集計 2" xfId="496" xr:uid="{00000000-0005-0000-0000-0000F0010000}"/>
    <cellStyle name="集計 2 2" xfId="497" xr:uid="{00000000-0005-0000-0000-0000F1010000}"/>
    <cellStyle name="集計 2 2 2" xfId="498" xr:uid="{00000000-0005-0000-0000-0000F2010000}"/>
    <cellStyle name="集計 2 3" xfId="499" xr:uid="{00000000-0005-0000-0000-0000F3010000}"/>
    <cellStyle name="集計 3" xfId="500" xr:uid="{00000000-0005-0000-0000-0000F4010000}"/>
    <cellStyle name="集計 3 2" xfId="501" xr:uid="{00000000-0005-0000-0000-0000F5010000}"/>
    <cellStyle name="集計 3 2 2" xfId="502" xr:uid="{00000000-0005-0000-0000-0000F6010000}"/>
    <cellStyle name="集計 3 3" xfId="503" xr:uid="{00000000-0005-0000-0000-0000F7010000}"/>
    <cellStyle name="集計 4" xfId="504" xr:uid="{00000000-0005-0000-0000-0000F8010000}"/>
    <cellStyle name="集計 4 2" xfId="505" xr:uid="{00000000-0005-0000-0000-0000F9010000}"/>
    <cellStyle name="集計 4 2 2" xfId="506" xr:uid="{00000000-0005-0000-0000-0000FA010000}"/>
    <cellStyle name="集計 4 3" xfId="507" xr:uid="{00000000-0005-0000-0000-0000FB010000}"/>
    <cellStyle name="集計 5" xfId="508" xr:uid="{00000000-0005-0000-0000-0000FC010000}"/>
    <cellStyle name="集計 5 2" xfId="509" xr:uid="{00000000-0005-0000-0000-0000FD010000}"/>
    <cellStyle name="集計 5 2 2" xfId="510" xr:uid="{00000000-0005-0000-0000-0000FE010000}"/>
    <cellStyle name="集計 5 3" xfId="511" xr:uid="{00000000-0005-0000-0000-0000FF010000}"/>
    <cellStyle name="集計 6" xfId="512" xr:uid="{00000000-0005-0000-0000-000000020000}"/>
    <cellStyle name="集計 6 2" xfId="513" xr:uid="{00000000-0005-0000-0000-000001020000}"/>
    <cellStyle name="集計 7" xfId="514" xr:uid="{00000000-0005-0000-0000-00000202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anielle Martin" id="{AFF60B71-B694-42B2-BCD0-E1BEEAD56095}" userId="Danielle Martin" providerId="None"/>
  <person displayName="Dawson, Elizabeth - TFAA-FAS, DC" id="{ED7FBB1A-3A73-4BCC-871C-67374F26CD47}" userId="S::Elizabeth.Dawson2@usda.gov::9e7fc958-0300-4210-959a-940f028f054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59" dT="2023-08-24T13:57:42.23" personId="{ED7FBB1A-3A73-4BCC-871C-67374F26CD47}" id="{C467A0A8-6E71-423A-B47C-6E81674228DA}">
    <text xml:space="preserve">Is this value incorporated into the Column B total? If not, please incorporate. </text>
  </threadedComment>
  <threadedComment ref="F59" dT="2023-08-25T22:25:20.22" personId="{AFF60B71-B694-42B2-BCD0-E1BEEAD56095}" id="{B67C74D3-855A-4088-A803-E3E347E4D8A0}" parentId="{C467A0A8-6E71-423A-B47C-6E81674228DA}">
    <text>This amount has been added to column B</text>
  </threadedComment>
</ThreadedComments>
</file>

<file path=xl/threadedComments/threadedComment2.xml><?xml version="1.0" encoding="utf-8"?>
<ThreadedComments xmlns="http://schemas.microsoft.com/office/spreadsheetml/2018/threadedcomments" xmlns:x="http://schemas.openxmlformats.org/spreadsheetml/2006/main">
  <threadedComment ref="C131" dT="2023-08-24T16:31:12.19" personId="{ED7FBB1A-3A73-4BCC-871C-67374F26CD47}" id="{9376B718-0853-404F-9FD9-465A005DF082}">
    <text xml:space="preserve">Are these reasonable annual rates? They seem very low given multiple motorcycles/vehicles. </text>
  </threadedComment>
  <threadedComment ref="C131" dT="2023-08-25T22:28:45.71" personId="{AFF60B71-B694-42B2-BCD0-E1BEEAD56095}" id="{B30DF971-B33F-427E-9EFE-B25589FD8BBD}" parentId="{9376B718-0853-404F-9FD9-465A005DF082}">
    <text>POA home office has a corporate insurance plan that covers all field offices liability and is part of POA's overhead costs. This portion is only for the local insurance that is required to be purchased in country, which is why the cost is low. The cost is $75/per motorcycle per year and $200 per vehicle per year.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24"/>
  <sheetViews>
    <sheetView topLeftCell="A8" zoomScale="104" zoomScaleNormal="85" workbookViewId="0">
      <selection activeCell="B57" sqref="B57"/>
    </sheetView>
  </sheetViews>
  <sheetFormatPr defaultColWidth="8.71875" defaultRowHeight="12.6"/>
  <cols>
    <col min="1" max="1" width="62.5546875" style="52" customWidth="1"/>
    <col min="2" max="2" width="19.27734375" style="117" customWidth="1"/>
    <col min="3" max="3" width="16" style="52" customWidth="1"/>
    <col min="4" max="4" width="15.5546875" style="52" customWidth="1"/>
    <col min="5" max="5" width="18.44140625" style="52" customWidth="1"/>
    <col min="6" max="6" width="17.71875" style="52" bestFit="1" customWidth="1"/>
    <col min="7" max="16384" width="8.71875" style="52"/>
  </cols>
  <sheetData>
    <row r="1" spans="1:8" ht="15">
      <c r="A1" s="572" t="s">
        <v>0</v>
      </c>
      <c r="B1" s="572"/>
      <c r="C1" s="572"/>
      <c r="D1" s="572"/>
      <c r="E1" s="572"/>
      <c r="F1" s="572"/>
    </row>
    <row r="2" spans="1:8" ht="15">
      <c r="A2" s="572" t="s">
        <v>1</v>
      </c>
      <c r="B2" s="572"/>
      <c r="C2" s="572"/>
      <c r="D2" s="572"/>
      <c r="E2" s="572"/>
      <c r="F2" s="572"/>
    </row>
    <row r="3" spans="1:8" ht="15.3">
      <c r="A3" s="452"/>
      <c r="B3" s="453"/>
      <c r="C3" s="452"/>
      <c r="D3" s="454"/>
      <c r="E3" s="452"/>
      <c r="F3" s="452"/>
    </row>
    <row r="4" spans="1:8" ht="15.3">
      <c r="A4" s="455" t="s">
        <v>2</v>
      </c>
      <c r="B4" s="456" t="s">
        <v>3</v>
      </c>
      <c r="C4" s="452"/>
      <c r="D4" s="454"/>
      <c r="E4" s="452"/>
      <c r="F4" s="452"/>
    </row>
    <row r="5" spans="1:8" ht="15.3">
      <c r="A5" s="455" t="s">
        <v>4</v>
      </c>
      <c r="B5" s="456" t="s">
        <v>5</v>
      </c>
      <c r="C5" s="452"/>
      <c r="D5" s="454"/>
      <c r="E5" s="452"/>
      <c r="F5" s="452"/>
    </row>
    <row r="6" spans="1:8" ht="15.3">
      <c r="A6" s="455" t="s">
        <v>6</v>
      </c>
      <c r="B6" s="456" t="s">
        <v>7</v>
      </c>
      <c r="C6" s="452"/>
      <c r="D6" s="454"/>
      <c r="E6" s="452"/>
      <c r="F6" s="452"/>
    </row>
    <row r="7" spans="1:8" ht="15.3">
      <c r="A7" s="455" t="s">
        <v>8</v>
      </c>
      <c r="B7" s="457" t="s">
        <v>9</v>
      </c>
      <c r="C7" s="452"/>
      <c r="D7" s="454"/>
      <c r="E7" s="452"/>
      <c r="F7" s="452"/>
    </row>
    <row r="8" spans="1:8" ht="15.3">
      <c r="A8" s="455" t="s">
        <v>10</v>
      </c>
      <c r="B8" s="456" t="s">
        <v>11</v>
      </c>
      <c r="C8" s="452"/>
      <c r="D8" s="454"/>
      <c r="E8" s="452"/>
      <c r="F8" s="452"/>
      <c r="H8" s="52">
        <v>39.656979</v>
      </c>
    </row>
    <row r="9" spans="1:8" ht="15.3">
      <c r="A9" s="452"/>
      <c r="B9" s="453"/>
      <c r="C9" s="452"/>
      <c r="D9" s="454"/>
      <c r="E9" s="452"/>
      <c r="F9" s="452"/>
    </row>
    <row r="10" spans="1:8" ht="15">
      <c r="A10" s="573" t="s">
        <v>12</v>
      </c>
      <c r="B10" s="573"/>
      <c r="C10" s="573"/>
      <c r="D10" s="573"/>
      <c r="E10" s="573"/>
      <c r="F10" s="573"/>
    </row>
    <row r="11" spans="1:8" ht="45">
      <c r="A11" s="458" t="s">
        <v>13</v>
      </c>
      <c r="B11" s="459" t="s">
        <v>14</v>
      </c>
      <c r="C11" s="458" t="s">
        <v>15</v>
      </c>
      <c r="D11" s="460" t="s">
        <v>16</v>
      </c>
      <c r="E11" s="460" t="s">
        <v>17</v>
      </c>
      <c r="F11" s="458" t="s">
        <v>18</v>
      </c>
    </row>
    <row r="12" spans="1:8" ht="15.3">
      <c r="A12" s="461"/>
      <c r="B12" s="462" t="s">
        <v>9</v>
      </c>
      <c r="C12" s="463">
        <v>28250000</v>
      </c>
      <c r="D12" s="464">
        <v>5900000</v>
      </c>
      <c r="E12" s="464">
        <v>1400000</v>
      </c>
      <c r="F12" s="463">
        <f>E12+D12+C12</f>
        <v>35550000</v>
      </c>
    </row>
    <row r="13" spans="1:8" ht="15.3">
      <c r="A13" s="465"/>
      <c r="B13" s="466"/>
      <c r="C13" s="466"/>
      <c r="D13" s="467"/>
      <c r="E13" s="467"/>
      <c r="F13" s="468"/>
    </row>
    <row r="14" spans="1:8" ht="15">
      <c r="A14" s="573" t="s">
        <v>19</v>
      </c>
      <c r="B14" s="573"/>
      <c r="C14" s="573"/>
      <c r="D14" s="573"/>
      <c r="E14" s="573"/>
      <c r="F14" s="573"/>
    </row>
    <row r="15" spans="1:8" ht="45">
      <c r="A15" s="469" t="s">
        <v>20</v>
      </c>
      <c r="B15" s="470" t="s">
        <v>21</v>
      </c>
      <c r="C15" s="469" t="s">
        <v>22</v>
      </c>
      <c r="D15" s="471" t="s">
        <v>23</v>
      </c>
      <c r="E15" s="469" t="s">
        <v>24</v>
      </c>
      <c r="F15" s="469" t="s">
        <v>25</v>
      </c>
    </row>
    <row r="16" spans="1:8" ht="15.3">
      <c r="A16" s="574" t="s">
        <v>26</v>
      </c>
      <c r="B16" s="575"/>
      <c r="C16" s="575"/>
      <c r="D16" s="575"/>
      <c r="E16" s="575"/>
      <c r="F16" s="576"/>
    </row>
    <row r="17" spans="1:6" ht="15.3">
      <c r="A17" s="472" t="s">
        <v>27</v>
      </c>
      <c r="B17" s="473">
        <f>Admin!W33-C17</f>
        <v>340514.28441600013</v>
      </c>
      <c r="C17" s="525">
        <v>484000</v>
      </c>
      <c r="D17" s="474">
        <f>'Program Budget'!W34</f>
        <v>0</v>
      </c>
      <c r="E17" s="473">
        <f>B17+C17</f>
        <v>824514.28441600013</v>
      </c>
      <c r="F17" s="473">
        <f>B17+C17+D17</f>
        <v>824514.28441600013</v>
      </c>
    </row>
    <row r="18" spans="1:6" ht="15.3">
      <c r="A18" s="472" t="s">
        <v>28</v>
      </c>
      <c r="B18" s="473">
        <f>Admin!W51-C18</f>
        <v>140988.73175518721</v>
      </c>
      <c r="C18" s="473">
        <v>265417</v>
      </c>
      <c r="D18" s="474">
        <f>'Program Budget'!W49</f>
        <v>0</v>
      </c>
      <c r="E18" s="473">
        <f t="shared" ref="E18:E24" si="0">B18+C18</f>
        <v>406405.73175518721</v>
      </c>
      <c r="F18" s="473">
        <f t="shared" ref="F18:F24" si="1">B18+C18+D18</f>
        <v>406405.73175518721</v>
      </c>
    </row>
    <row r="19" spans="1:6" ht="15.3">
      <c r="A19" s="472" t="s">
        <v>29</v>
      </c>
      <c r="B19" s="473">
        <f>Admin!W68-C19</f>
        <v>170974.96585727998</v>
      </c>
      <c r="C19" s="525">
        <v>37563</v>
      </c>
      <c r="D19" s="474">
        <f>'Program Budget'!W66</f>
        <v>0</v>
      </c>
      <c r="E19" s="473">
        <f t="shared" si="0"/>
        <v>208537.96585727998</v>
      </c>
      <c r="F19" s="473">
        <f t="shared" si="1"/>
        <v>208537.96585727998</v>
      </c>
    </row>
    <row r="20" spans="1:6" ht="15.3">
      <c r="A20" s="472" t="s">
        <v>30</v>
      </c>
      <c r="B20" s="473">
        <f>Admin!W91-C20</f>
        <v>1167600</v>
      </c>
      <c r="C20" s="525">
        <v>250000</v>
      </c>
      <c r="D20" s="474">
        <f>'Program Budget'!W92</f>
        <v>0</v>
      </c>
      <c r="E20" s="473">
        <f t="shared" si="0"/>
        <v>1417600</v>
      </c>
      <c r="F20" s="473">
        <f t="shared" si="1"/>
        <v>1417600</v>
      </c>
    </row>
    <row r="21" spans="1:6" ht="15.3">
      <c r="A21" s="472" t="s">
        <v>31</v>
      </c>
      <c r="B21" s="473">
        <f>Admin!W95-C21</f>
        <v>130000</v>
      </c>
      <c r="C21" s="525">
        <v>0</v>
      </c>
      <c r="D21" s="474">
        <f>'Program Budget'!W97</f>
        <v>0</v>
      </c>
      <c r="E21" s="473">
        <f t="shared" si="0"/>
        <v>130000</v>
      </c>
      <c r="F21" s="473">
        <f t="shared" si="1"/>
        <v>130000</v>
      </c>
    </row>
    <row r="22" spans="1:6" ht="15.3">
      <c r="A22" s="472" t="s">
        <v>32</v>
      </c>
      <c r="B22" s="473">
        <f>Admin!W108-C22</f>
        <v>369492.55388159998</v>
      </c>
      <c r="C22" s="525">
        <v>14990</v>
      </c>
      <c r="D22" s="474">
        <f>'Program Budget'!W114</f>
        <v>0</v>
      </c>
      <c r="E22" s="473">
        <f t="shared" si="0"/>
        <v>384482.55388159998</v>
      </c>
      <c r="F22" s="473">
        <f t="shared" si="1"/>
        <v>384482.55388159998</v>
      </c>
    </row>
    <row r="23" spans="1:6" ht="15.3">
      <c r="A23" s="472" t="s">
        <v>33</v>
      </c>
      <c r="B23" s="473">
        <f>Admin!W122-C23</f>
        <v>11144.419839999995</v>
      </c>
      <c r="C23" s="525">
        <v>25968</v>
      </c>
      <c r="D23" s="474">
        <f>'Program Budget'!W129</f>
        <v>0</v>
      </c>
      <c r="E23" s="473">
        <f t="shared" si="0"/>
        <v>37112.419839999995</v>
      </c>
      <c r="F23" s="473">
        <f t="shared" si="1"/>
        <v>37112.419839999995</v>
      </c>
    </row>
    <row r="24" spans="1:6" ht="15.3">
      <c r="A24" s="472" t="s">
        <v>34</v>
      </c>
      <c r="B24" s="473">
        <f>Admin!W135-C24</f>
        <v>65166.842880000011</v>
      </c>
      <c r="C24" s="525">
        <v>13425</v>
      </c>
      <c r="D24" s="474">
        <v>0</v>
      </c>
      <c r="E24" s="473">
        <f t="shared" si="0"/>
        <v>78591.842880000011</v>
      </c>
      <c r="F24" s="473">
        <f t="shared" si="1"/>
        <v>78591.842880000011</v>
      </c>
    </row>
    <row r="25" spans="1:6" s="77" customFormat="1" ht="15">
      <c r="A25" s="475" t="s">
        <v>35</v>
      </c>
      <c r="B25" s="476">
        <f>SUM(B17:B24)</f>
        <v>2395881.7986300671</v>
      </c>
      <c r="C25" s="476">
        <f>SUM(C17:C24)</f>
        <v>1091363</v>
      </c>
      <c r="D25" s="476">
        <f>SUM(D17:D24)</f>
        <v>0</v>
      </c>
      <c r="E25" s="476">
        <f>SUM(E17:E24)</f>
        <v>3487244.7986300676</v>
      </c>
      <c r="F25" s="476">
        <f>SUM(F17:F24)</f>
        <v>3487244.7986300676</v>
      </c>
    </row>
    <row r="26" spans="1:6" ht="15.3">
      <c r="A26" s="577"/>
      <c r="B26" s="577"/>
      <c r="C26" s="577"/>
      <c r="D26" s="577"/>
      <c r="E26" s="577"/>
      <c r="F26" s="477"/>
    </row>
    <row r="27" spans="1:6" ht="15.3">
      <c r="A27" s="578" t="s">
        <v>36</v>
      </c>
      <c r="B27" s="575"/>
      <c r="C27" s="575"/>
      <c r="D27" s="575"/>
      <c r="E27" s="575"/>
      <c r="F27" s="579"/>
    </row>
    <row r="28" spans="1:6" ht="15.3">
      <c r="A28" s="478" t="s">
        <v>37</v>
      </c>
      <c r="B28" s="479">
        <f>'Activity 1'!W78</f>
        <v>2088881.9793652266</v>
      </c>
      <c r="C28" s="479">
        <v>0</v>
      </c>
      <c r="D28" s="479">
        <f>'Program Budget'!W201</f>
        <v>0</v>
      </c>
      <c r="E28" s="479">
        <f>B28+C28</f>
        <v>2088881.9793652266</v>
      </c>
      <c r="F28" s="479">
        <f t="shared" ref="F28:F30" si="2">B28+C28+D28</f>
        <v>2088881.9793652266</v>
      </c>
    </row>
    <row r="29" spans="1:6" ht="15.3">
      <c r="A29" s="478" t="s">
        <v>38</v>
      </c>
      <c r="B29" s="479">
        <f>'Activity 2'!W75</f>
        <v>1825819.02963933</v>
      </c>
      <c r="C29" s="479">
        <v>0</v>
      </c>
      <c r="D29" s="479">
        <f>'Program Budget'!W259</f>
        <v>0</v>
      </c>
      <c r="E29" s="479">
        <f t="shared" ref="E29:E30" si="3">B29+C29</f>
        <v>1825819.02963933</v>
      </c>
      <c r="F29" s="479">
        <f t="shared" si="2"/>
        <v>1825819.02963933</v>
      </c>
    </row>
    <row r="30" spans="1:6" ht="15.3">
      <c r="A30" s="478" t="s">
        <v>39</v>
      </c>
      <c r="B30" s="479">
        <f>'Activity 3'!W84</f>
        <v>1995172.4424226561</v>
      </c>
      <c r="C30" s="479">
        <v>0</v>
      </c>
      <c r="D30" s="479">
        <f>ROUND('Program Budget'!W326,0)</f>
        <v>0</v>
      </c>
      <c r="E30" s="479">
        <f t="shared" si="3"/>
        <v>1995172.4424226561</v>
      </c>
      <c r="F30" s="479">
        <f t="shared" si="2"/>
        <v>1995172.4424226561</v>
      </c>
    </row>
    <row r="31" spans="1:6" ht="15.3">
      <c r="A31" s="478" t="s">
        <v>40</v>
      </c>
      <c r="B31" s="479">
        <f>'Activity 4'!W82</f>
        <v>2604012.7484077439</v>
      </c>
      <c r="C31" s="479">
        <v>0</v>
      </c>
      <c r="D31" s="479">
        <f>ROUNDUP(SUM('Activity 4'!W91:W94),0)</f>
        <v>600000</v>
      </c>
      <c r="E31" s="479">
        <f>B31+C31</f>
        <v>2604012.7484077439</v>
      </c>
      <c r="F31" s="479">
        <f>B31+C31+D31</f>
        <v>3204012.7484077439</v>
      </c>
    </row>
    <row r="32" spans="1:6" s="77" customFormat="1" ht="15">
      <c r="A32" s="480" t="s">
        <v>41</v>
      </c>
      <c r="B32" s="481">
        <f>SUM(B28:B31)</f>
        <v>8513886.1998349577</v>
      </c>
      <c r="C32" s="481">
        <f>SUM(C28:C31)</f>
        <v>0</v>
      </c>
      <c r="D32" s="482">
        <f>SUM(D28:D31)</f>
        <v>600000</v>
      </c>
      <c r="E32" s="481">
        <f>SUM(E28:E31)</f>
        <v>8513886.1998349577</v>
      </c>
      <c r="F32" s="481">
        <f>SUM(F28:F31)</f>
        <v>9113886.1998349577</v>
      </c>
    </row>
    <row r="33" spans="1:6" ht="15.3">
      <c r="A33" s="483"/>
      <c r="B33" s="477"/>
      <c r="C33" s="484"/>
      <c r="D33" s="485"/>
      <c r="E33" s="477"/>
      <c r="F33" s="477"/>
    </row>
    <row r="34" spans="1:6" ht="15.3">
      <c r="A34" s="578" t="s">
        <v>42</v>
      </c>
      <c r="B34" s="580"/>
      <c r="C34" s="580"/>
      <c r="D34" s="580"/>
      <c r="E34" s="580"/>
      <c r="F34" s="579"/>
    </row>
    <row r="35" spans="1:6" ht="15.3">
      <c r="A35" s="486" t="s">
        <v>43</v>
      </c>
      <c r="B35" s="479">
        <v>0</v>
      </c>
      <c r="C35" s="487">
        <v>0</v>
      </c>
      <c r="D35" s="488">
        <v>0</v>
      </c>
      <c r="E35" s="479">
        <f>B35+C35</f>
        <v>0</v>
      </c>
      <c r="F35" s="479">
        <f>B35+C35+D35</f>
        <v>0</v>
      </c>
    </row>
    <row r="36" spans="1:6" ht="15.3">
      <c r="A36" s="489" t="s">
        <v>44</v>
      </c>
      <c r="B36" s="490"/>
      <c r="C36" s="490"/>
      <c r="D36" s="490"/>
      <c r="E36" s="490"/>
      <c r="F36" s="490"/>
    </row>
    <row r="37" spans="1:6" ht="15.3">
      <c r="A37" s="489" t="s">
        <v>45</v>
      </c>
      <c r="B37" s="490"/>
      <c r="C37" s="490"/>
      <c r="D37" s="490"/>
      <c r="E37" s="490"/>
      <c r="F37" s="490"/>
    </row>
    <row r="38" spans="1:6" s="77" customFormat="1" ht="15">
      <c r="A38" s="480" t="s">
        <v>46</v>
      </c>
      <c r="B38" s="481">
        <f>SUM(B35:B37)</f>
        <v>0</v>
      </c>
      <c r="C38" s="481">
        <f>SUM(C35:C37)</f>
        <v>0</v>
      </c>
      <c r="D38" s="481">
        <f>SUM(D35:D37)</f>
        <v>0</v>
      </c>
      <c r="E38" s="481">
        <f>SUM(E35:E37)</f>
        <v>0</v>
      </c>
      <c r="F38" s="481">
        <f>SUM(F35:F37)</f>
        <v>0</v>
      </c>
    </row>
    <row r="39" spans="1:6" ht="15.3">
      <c r="A39" s="483"/>
      <c r="B39" s="477"/>
      <c r="C39" s="484"/>
      <c r="D39" s="485"/>
      <c r="E39" s="477"/>
      <c r="F39" s="477"/>
    </row>
    <row r="40" spans="1:6" ht="15.3">
      <c r="A40" s="578" t="s">
        <v>47</v>
      </c>
      <c r="B40" s="575"/>
      <c r="C40" s="575"/>
      <c r="D40" s="575"/>
      <c r="E40" s="575"/>
      <c r="F40" s="579"/>
    </row>
    <row r="41" spans="1:6" ht="15.3">
      <c r="A41" s="491" t="s">
        <v>48</v>
      </c>
      <c r="B41" s="479">
        <v>0</v>
      </c>
      <c r="C41" s="479">
        <v>0</v>
      </c>
      <c r="D41" s="488">
        <v>0</v>
      </c>
      <c r="E41" s="479">
        <f t="shared" ref="E41:E47" si="4">B41+C41</f>
        <v>0</v>
      </c>
      <c r="F41" s="479">
        <f>B41+C41+D41</f>
        <v>0</v>
      </c>
    </row>
    <row r="42" spans="1:6" ht="15.3">
      <c r="A42" s="478" t="s">
        <v>28</v>
      </c>
      <c r="B42" s="479">
        <v>0</v>
      </c>
      <c r="C42" s="479">
        <v>0</v>
      </c>
      <c r="D42" s="488">
        <v>0</v>
      </c>
      <c r="E42" s="479">
        <f t="shared" si="4"/>
        <v>0</v>
      </c>
      <c r="F42" s="479">
        <f t="shared" ref="F42:F47" si="5">B42+C42+D42</f>
        <v>0</v>
      </c>
    </row>
    <row r="43" spans="1:6" ht="15.3">
      <c r="A43" s="478" t="s">
        <v>49</v>
      </c>
      <c r="B43" s="479">
        <v>0</v>
      </c>
      <c r="C43" s="479">
        <v>0</v>
      </c>
      <c r="D43" s="488">
        <v>0</v>
      </c>
      <c r="E43" s="479">
        <f t="shared" si="4"/>
        <v>0</v>
      </c>
      <c r="F43" s="479">
        <f t="shared" si="5"/>
        <v>0</v>
      </c>
    </row>
    <row r="44" spans="1:6" ht="15.3">
      <c r="A44" s="478" t="s">
        <v>50</v>
      </c>
      <c r="B44" s="479">
        <v>0</v>
      </c>
      <c r="C44" s="479">
        <v>0</v>
      </c>
      <c r="D44" s="488">
        <f>0</f>
        <v>0</v>
      </c>
      <c r="E44" s="479">
        <f t="shared" si="4"/>
        <v>0</v>
      </c>
      <c r="F44" s="479">
        <f t="shared" si="5"/>
        <v>0</v>
      </c>
    </row>
    <row r="45" spans="1:6" ht="15.3">
      <c r="A45" s="478" t="s">
        <v>51</v>
      </c>
      <c r="B45" s="479">
        <v>0</v>
      </c>
      <c r="C45" s="479">
        <v>0</v>
      </c>
      <c r="D45" s="488">
        <v>0</v>
      </c>
      <c r="E45" s="479">
        <f t="shared" si="4"/>
        <v>0</v>
      </c>
      <c r="F45" s="479">
        <f t="shared" si="5"/>
        <v>0</v>
      </c>
    </row>
    <row r="46" spans="1:6" ht="15.3">
      <c r="A46" s="478" t="s">
        <v>33</v>
      </c>
      <c r="B46" s="479">
        <v>0</v>
      </c>
      <c r="C46" s="479">
        <v>0</v>
      </c>
      <c r="D46" s="488">
        <v>0</v>
      </c>
      <c r="E46" s="479">
        <f t="shared" si="4"/>
        <v>0</v>
      </c>
      <c r="F46" s="479">
        <f t="shared" si="5"/>
        <v>0</v>
      </c>
    </row>
    <row r="47" spans="1:6" ht="15.3">
      <c r="A47" s="478" t="s">
        <v>34</v>
      </c>
      <c r="B47" s="479">
        <v>0</v>
      </c>
      <c r="C47" s="479">
        <v>0</v>
      </c>
      <c r="D47" s="488">
        <v>0</v>
      </c>
      <c r="E47" s="479">
        <f t="shared" si="4"/>
        <v>0</v>
      </c>
      <c r="F47" s="479">
        <f t="shared" si="5"/>
        <v>0</v>
      </c>
    </row>
    <row r="48" spans="1:6" s="77" customFormat="1" ht="15">
      <c r="A48" s="492" t="s">
        <v>52</v>
      </c>
      <c r="B48" s="481">
        <f>SUM(B41:B47)</f>
        <v>0</v>
      </c>
      <c r="C48" s="481">
        <v>0</v>
      </c>
      <c r="D48" s="482">
        <f>SUM(D41:D47)</f>
        <v>0</v>
      </c>
      <c r="E48" s="482">
        <f>SUM(E41:E47)</f>
        <v>0</v>
      </c>
      <c r="F48" s="481">
        <f>SUM(F41:F47)</f>
        <v>0</v>
      </c>
    </row>
    <row r="49" spans="1:6" ht="15.3">
      <c r="A49" s="493"/>
      <c r="B49" s="494"/>
      <c r="C49" s="495"/>
      <c r="D49" s="496"/>
      <c r="E49" s="495"/>
      <c r="F49" s="479"/>
    </row>
    <row r="50" spans="1:6" s="77" customFormat="1" ht="15">
      <c r="A50" s="492" t="s">
        <v>53</v>
      </c>
      <c r="B50" s="497">
        <f>B25+B32+B48+B38</f>
        <v>10909767.998465024</v>
      </c>
      <c r="C50" s="497">
        <f>C25+C32+C48+C38</f>
        <v>1091363</v>
      </c>
      <c r="D50" s="498">
        <f>D25+D32+D48+D38</f>
        <v>600000</v>
      </c>
      <c r="E50" s="497">
        <f>E38+E32+E25+E48</f>
        <v>12001130.998465026</v>
      </c>
      <c r="F50" s="497">
        <f>F38+F32+F25+F48</f>
        <v>12601130.998465026</v>
      </c>
    </row>
    <row r="51" spans="1:6" ht="15.3">
      <c r="A51" s="499"/>
      <c r="B51" s="500"/>
      <c r="C51" s="500"/>
      <c r="D51" s="501"/>
      <c r="E51" s="500"/>
      <c r="F51" s="477"/>
    </row>
    <row r="52" spans="1:6" ht="15.3">
      <c r="A52" s="581" t="s">
        <v>54</v>
      </c>
      <c r="B52" s="582"/>
      <c r="C52" s="582"/>
      <c r="D52" s="582"/>
      <c r="E52" s="582"/>
      <c r="F52" s="583"/>
    </row>
    <row r="53" spans="1:6" ht="15.3">
      <c r="A53" s="502" t="s">
        <v>55</v>
      </c>
      <c r="B53" s="503">
        <f>ROUND((B25*0.2828),0)</f>
        <v>677555</v>
      </c>
      <c r="C53" s="503">
        <f>ROUND(C25*0.2828,0)</f>
        <v>308637</v>
      </c>
      <c r="D53" s="490"/>
      <c r="E53" s="504">
        <f>B53+C53</f>
        <v>986192</v>
      </c>
      <c r="F53" s="490"/>
    </row>
    <row r="54" spans="1:6" ht="15.3">
      <c r="A54" s="502" t="s">
        <v>56</v>
      </c>
      <c r="B54" s="505">
        <f>ROUND((B32)*0.2828,0)</f>
        <v>2407727</v>
      </c>
      <c r="C54" s="505">
        <f>C32*0.2828</f>
        <v>0</v>
      </c>
      <c r="D54" s="490"/>
      <c r="E54" s="506">
        <f>B54+C54</f>
        <v>2407727</v>
      </c>
      <c r="F54" s="490"/>
    </row>
    <row r="55" spans="1:6" ht="15.3">
      <c r="A55" s="475" t="s">
        <v>57</v>
      </c>
      <c r="B55" s="505">
        <f>B38*0.2828</f>
        <v>0</v>
      </c>
      <c r="C55" s="505">
        <f>C38*0.2828</f>
        <v>0</v>
      </c>
      <c r="D55" s="490"/>
      <c r="E55" s="506">
        <f>B55+C55</f>
        <v>0</v>
      </c>
      <c r="F55" s="490"/>
    </row>
    <row r="56" spans="1:6" ht="15.3">
      <c r="A56" s="507" t="s">
        <v>58</v>
      </c>
      <c r="B56" s="505">
        <f>B48*0.2828</f>
        <v>0</v>
      </c>
      <c r="C56" s="505">
        <f>C48*0.2828</f>
        <v>0</v>
      </c>
      <c r="D56" s="490"/>
      <c r="E56" s="506">
        <f>B56+C56</f>
        <v>0</v>
      </c>
      <c r="F56" s="490"/>
    </row>
    <row r="57" spans="1:6" ht="15.3">
      <c r="A57" s="475" t="s">
        <v>59</v>
      </c>
      <c r="B57" s="505">
        <f>ROUND(SUM(B53:B56),0)</f>
        <v>3085282</v>
      </c>
      <c r="C57" s="505">
        <f>ROUND(SUM(C53:C56),0)</f>
        <v>308637</v>
      </c>
      <c r="D57" s="490"/>
      <c r="E57" s="508">
        <f>ROUND(SUM(E53:E56),0)</f>
        <v>3393919</v>
      </c>
      <c r="F57" s="490"/>
    </row>
    <row r="58" spans="1:6" ht="15.3">
      <c r="A58" s="509"/>
      <c r="B58" s="510"/>
      <c r="C58" s="510"/>
      <c r="D58" s="510"/>
      <c r="E58" s="510"/>
      <c r="F58" s="511"/>
    </row>
    <row r="59" spans="1:6" ht="15.3">
      <c r="A59" s="512" t="s">
        <v>60</v>
      </c>
      <c r="B59" s="490"/>
      <c r="C59" s="490"/>
      <c r="D59" s="490"/>
      <c r="E59" s="490"/>
      <c r="F59" s="529">
        <v>7878</v>
      </c>
    </row>
    <row r="60" spans="1:6" ht="15.3">
      <c r="A60" s="513"/>
      <c r="B60" s="514"/>
      <c r="C60" s="515"/>
      <c r="D60" s="516"/>
      <c r="E60" s="515"/>
      <c r="F60" s="517"/>
    </row>
    <row r="61" spans="1:6" s="77" customFormat="1" ht="15">
      <c r="A61" s="518" t="s">
        <v>61</v>
      </c>
      <c r="B61" s="527">
        <f>(B57+B50)</f>
        <v>13995049.998465024</v>
      </c>
      <c r="C61" s="527">
        <f>(C57+C50)</f>
        <v>1400000</v>
      </c>
      <c r="D61" s="527">
        <f>(D57+D50)</f>
        <v>600000</v>
      </c>
      <c r="E61" s="527">
        <f>(E57+E50)</f>
        <v>15395049.998465026</v>
      </c>
      <c r="F61" s="528">
        <f>(F50+E57)</f>
        <v>15995049.998465026</v>
      </c>
    </row>
    <row r="62" spans="1:6" ht="15.3">
      <c r="A62" s="519"/>
      <c r="B62" s="520"/>
      <c r="C62" s="520"/>
      <c r="D62" s="521"/>
      <c r="E62" s="520"/>
      <c r="F62" s="522"/>
    </row>
    <row r="63" spans="1:6" ht="15">
      <c r="A63" s="570" t="s">
        <v>62</v>
      </c>
      <c r="B63" s="571"/>
      <c r="C63" s="571"/>
      <c r="D63" s="571"/>
      <c r="E63" s="571"/>
      <c r="F63" s="523">
        <f>F12+D61</f>
        <v>36150000</v>
      </c>
    </row>
    <row r="64" spans="1:6">
      <c r="D64" s="118"/>
    </row>
    <row r="65" spans="3:5">
      <c r="C65" s="118"/>
      <c r="D65" s="118"/>
      <c r="E65" s="524"/>
    </row>
    <row r="66" spans="3:5">
      <c r="D66" s="118"/>
      <c r="E66" s="108">
        <f>E61*10%</f>
        <v>1539504.9998465027</v>
      </c>
    </row>
    <row r="67" spans="3:5">
      <c r="D67" s="118"/>
    </row>
    <row r="68" spans="3:5">
      <c r="D68" s="118"/>
    </row>
    <row r="69" spans="3:5">
      <c r="D69" s="118"/>
    </row>
    <row r="70" spans="3:5">
      <c r="D70" s="118"/>
    </row>
    <row r="71" spans="3:5">
      <c r="D71" s="118"/>
    </row>
    <row r="72" spans="3:5">
      <c r="D72" s="118"/>
    </row>
    <row r="73" spans="3:5">
      <c r="D73" s="118"/>
    </row>
    <row r="74" spans="3:5">
      <c r="D74" s="118"/>
    </row>
    <row r="75" spans="3:5">
      <c r="D75" s="118"/>
    </row>
    <row r="76" spans="3:5">
      <c r="D76" s="118"/>
    </row>
    <row r="77" spans="3:5">
      <c r="D77" s="118"/>
    </row>
    <row r="78" spans="3:5">
      <c r="D78" s="118"/>
    </row>
    <row r="79" spans="3:5">
      <c r="D79" s="118"/>
    </row>
    <row r="80" spans="3:5">
      <c r="D80" s="118"/>
    </row>
    <row r="81" spans="4:4">
      <c r="D81" s="118"/>
    </row>
    <row r="82" spans="4:4">
      <c r="D82" s="118"/>
    </row>
    <row r="83" spans="4:4">
      <c r="D83" s="118"/>
    </row>
    <row r="84" spans="4:4">
      <c r="D84" s="118"/>
    </row>
    <row r="85" spans="4:4">
      <c r="D85" s="118"/>
    </row>
    <row r="86" spans="4:4">
      <c r="D86" s="118"/>
    </row>
    <row r="87" spans="4:4">
      <c r="D87" s="118"/>
    </row>
    <row r="88" spans="4:4">
      <c r="D88" s="118"/>
    </row>
    <row r="89" spans="4:4">
      <c r="D89" s="118"/>
    </row>
    <row r="90" spans="4:4">
      <c r="D90" s="118"/>
    </row>
    <row r="91" spans="4:4">
      <c r="D91" s="118"/>
    </row>
    <row r="92" spans="4:4">
      <c r="D92" s="118"/>
    </row>
    <row r="93" spans="4:4">
      <c r="D93" s="118"/>
    </row>
    <row r="94" spans="4:4">
      <c r="D94" s="118"/>
    </row>
    <row r="95" spans="4:4">
      <c r="D95" s="118"/>
    </row>
    <row r="96" spans="4:4">
      <c r="D96" s="118"/>
    </row>
    <row r="97" spans="4:4">
      <c r="D97" s="118"/>
    </row>
    <row r="98" spans="4:4">
      <c r="D98" s="118"/>
    </row>
    <row r="99" spans="4:4">
      <c r="D99" s="118"/>
    </row>
    <row r="100" spans="4:4">
      <c r="D100" s="118"/>
    </row>
    <row r="101" spans="4:4">
      <c r="D101" s="118"/>
    </row>
    <row r="102" spans="4:4">
      <c r="D102" s="118"/>
    </row>
    <row r="103" spans="4:4">
      <c r="D103" s="118"/>
    </row>
    <row r="104" spans="4:4">
      <c r="D104" s="118"/>
    </row>
    <row r="105" spans="4:4">
      <c r="D105" s="118"/>
    </row>
    <row r="106" spans="4:4">
      <c r="D106" s="118"/>
    </row>
    <row r="107" spans="4:4">
      <c r="D107" s="118"/>
    </row>
    <row r="108" spans="4:4">
      <c r="D108" s="118"/>
    </row>
    <row r="109" spans="4:4">
      <c r="D109" s="118"/>
    </row>
    <row r="110" spans="4:4">
      <c r="D110" s="118"/>
    </row>
    <row r="111" spans="4:4">
      <c r="D111" s="118"/>
    </row>
    <row r="112" spans="4:4">
      <c r="D112" s="118"/>
    </row>
    <row r="113" spans="4:4">
      <c r="D113" s="118"/>
    </row>
    <row r="114" spans="4:4">
      <c r="D114" s="118"/>
    </row>
    <row r="115" spans="4:4">
      <c r="D115" s="118"/>
    </row>
    <row r="116" spans="4:4">
      <c r="D116" s="118"/>
    </row>
    <row r="117" spans="4:4">
      <c r="D117" s="118"/>
    </row>
    <row r="118" spans="4:4">
      <c r="D118" s="118"/>
    </row>
    <row r="119" spans="4:4">
      <c r="D119" s="118"/>
    </row>
    <row r="120" spans="4:4">
      <c r="D120" s="118"/>
    </row>
    <row r="121" spans="4:4">
      <c r="D121" s="118"/>
    </row>
    <row r="122" spans="4:4">
      <c r="D122" s="118"/>
    </row>
    <row r="123" spans="4:4">
      <c r="D123" s="118"/>
    </row>
    <row r="124" spans="4:4">
      <c r="D124" s="118"/>
    </row>
  </sheetData>
  <mergeCells count="11">
    <mergeCell ref="A63:E63"/>
    <mergeCell ref="A1:F1"/>
    <mergeCell ref="A2:F2"/>
    <mergeCell ref="A10:F10"/>
    <mergeCell ref="A14:F14"/>
    <mergeCell ref="A16:F16"/>
    <mergeCell ref="A26:E26"/>
    <mergeCell ref="A27:F27"/>
    <mergeCell ref="A34:F34"/>
    <mergeCell ref="A40:F40"/>
    <mergeCell ref="A52:F52"/>
  </mergeCells>
  <pageMargins left="1" right="1" top="1" bottom="1" header="0.3" footer="0.3"/>
  <pageSetup fitToHeight="0" orientation="portrait" r:id="rId1"/>
  <headerFooter>
    <oddFooter>&amp;C&amp;"Times New Roman,Regular"&amp;12&amp;K01+000                                                                          Partners of the Americas – FY 2023 FFPr Mauritania – USDA-FAS-10.606-0700-23-(557) &amp;R&amp;"Times New Roman,Regular"&amp;12 73</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32619-CD80-4D26-90A5-6BE6A04DDEDE}">
  <sheetPr>
    <tabColor theme="9" tint="0.39997558519241921"/>
    <pageSetUpPr fitToPage="1"/>
  </sheetPr>
  <dimension ref="A1:AB203"/>
  <sheetViews>
    <sheetView showOutlineSymbols="0" showWhiteSpace="0" zoomScale="70" zoomScaleNormal="70" workbookViewId="0">
      <selection activeCell="C19" sqref="C19"/>
    </sheetView>
  </sheetViews>
  <sheetFormatPr defaultRowHeight="14.4" outlineLevelRow="1" outlineLevelCol="1"/>
  <cols>
    <col min="1" max="1" width="62.83203125" style="543" customWidth="1"/>
    <col min="2" max="2" width="13" style="233" customWidth="1"/>
    <col min="3" max="3" width="15.27734375" style="408" customWidth="1" outlineLevel="1"/>
    <col min="4" max="4" width="15.27734375" style="235" customWidth="1" outlineLevel="1"/>
    <col min="5" max="5" width="16.1640625" style="236" customWidth="1" outlineLevel="1"/>
    <col min="6" max="6" width="15.27734375" style="233" customWidth="1"/>
    <col min="7" max="7" width="15.27734375" style="408" customWidth="1" outlineLevel="1"/>
    <col min="8" max="8" width="15.27734375" style="235" customWidth="1" outlineLevel="1"/>
    <col min="9" max="9" width="15.27734375" style="237" customWidth="1" outlineLevel="1"/>
    <col min="10" max="10" width="15.27734375" style="234" customWidth="1"/>
    <col min="11" max="11" width="15.27734375" style="408" customWidth="1" outlineLevel="1"/>
    <col min="12" max="12" width="15.27734375" style="235" customWidth="1" outlineLevel="1"/>
    <col min="13" max="13" width="15.27734375" style="236" customWidth="1" outlineLevel="1"/>
    <col min="14" max="14" width="15.27734375" style="234" customWidth="1"/>
    <col min="15" max="15" width="15.27734375" style="408" customWidth="1" outlineLevel="1"/>
    <col min="16" max="16" width="15.27734375" style="235" customWidth="1" outlineLevel="1"/>
    <col min="17" max="17" width="15.27734375" style="237" customWidth="1" outlineLevel="1"/>
    <col min="18" max="18" width="15.27734375" style="234" customWidth="1"/>
    <col min="19" max="19" width="15.27734375" style="408" customWidth="1" outlineLevel="1"/>
    <col min="20" max="20" width="15.27734375" style="235" customWidth="1" outlineLevel="1"/>
    <col min="21" max="21" width="15.27734375" style="237" customWidth="1" outlineLevel="1"/>
    <col min="22" max="22" width="16.1640625" style="234" customWidth="1"/>
    <col min="23" max="23" width="17.44140625" style="234" customWidth="1"/>
    <col min="24" max="24" width="8.83203125" style="233"/>
    <col min="25" max="25" width="10.27734375" style="233" bestFit="1" customWidth="1"/>
    <col min="26" max="184" width="8.83203125" style="233"/>
    <col min="185" max="185" width="38.27734375" style="233" customWidth="1"/>
    <col min="186" max="186" width="23.44140625" style="233" bestFit="1" customWidth="1"/>
    <col min="187" max="188" width="9.1640625" style="233" customWidth="1"/>
    <col min="189" max="189" width="11.27734375" style="233" bestFit="1" customWidth="1"/>
    <col min="190" max="190" width="14.44140625" style="233" bestFit="1" customWidth="1"/>
    <col min="191" max="191" width="8.1640625" style="233" customWidth="1"/>
    <col min="192" max="192" width="10.83203125" style="233" bestFit="1" customWidth="1"/>
    <col min="193" max="193" width="12.27734375" style="233" bestFit="1" customWidth="1"/>
    <col min="194" max="194" width="9.1640625" style="233" customWidth="1"/>
    <col min="195" max="195" width="10.83203125" style="233" bestFit="1" customWidth="1"/>
    <col min="196" max="196" width="12.27734375" style="233" bestFit="1" customWidth="1"/>
    <col min="197" max="197" width="8" style="233" customWidth="1"/>
    <col min="198" max="198" width="10.83203125" style="233" bestFit="1" customWidth="1"/>
    <col min="199" max="199" width="12.27734375" style="233" bestFit="1" customWidth="1"/>
    <col min="200" max="200" width="8.1640625" style="233" bestFit="1" customWidth="1"/>
    <col min="201" max="201" width="10.83203125" style="233" bestFit="1" customWidth="1"/>
    <col min="202" max="202" width="12.27734375" style="233" bestFit="1" customWidth="1"/>
    <col min="203" max="203" width="18.27734375" style="233" bestFit="1" customWidth="1"/>
    <col min="204" max="204" width="10.83203125" style="233" bestFit="1" customWidth="1"/>
    <col min="205" max="440" width="8.83203125" style="233"/>
    <col min="441" max="441" width="38.27734375" style="233" customWidth="1"/>
    <col min="442" max="442" width="23.44140625" style="233" bestFit="1" customWidth="1"/>
    <col min="443" max="444" width="9.1640625" style="233" customWidth="1"/>
    <col min="445" max="445" width="11.27734375" style="233" bestFit="1" customWidth="1"/>
    <col min="446" max="446" width="14.44140625" style="233" bestFit="1" customWidth="1"/>
    <col min="447" max="447" width="8.1640625" style="233" customWidth="1"/>
    <col min="448" max="448" width="10.83203125" style="233" bestFit="1" customWidth="1"/>
    <col min="449" max="449" width="12.27734375" style="233" bestFit="1" customWidth="1"/>
    <col min="450" max="450" width="9.1640625" style="233" customWidth="1"/>
    <col min="451" max="451" width="10.83203125" style="233" bestFit="1" customWidth="1"/>
    <col min="452" max="452" width="12.27734375" style="233" bestFit="1" customWidth="1"/>
    <col min="453" max="453" width="8" style="233" customWidth="1"/>
    <col min="454" max="454" width="10.83203125" style="233" bestFit="1" customWidth="1"/>
    <col min="455" max="455" width="12.27734375" style="233" bestFit="1" customWidth="1"/>
    <col min="456" max="456" width="8.1640625" style="233" bestFit="1" customWidth="1"/>
    <col min="457" max="457" width="10.83203125" style="233" bestFit="1" customWidth="1"/>
    <col min="458" max="458" width="12.27734375" style="233" bestFit="1" customWidth="1"/>
    <col min="459" max="459" width="18.27734375" style="233" bestFit="1" customWidth="1"/>
    <col min="460" max="460" width="10.83203125" style="233" bestFit="1" customWidth="1"/>
    <col min="461" max="696" width="8.83203125" style="233"/>
    <col min="697" max="697" width="38.27734375" style="233" customWidth="1"/>
    <col min="698" max="698" width="23.44140625" style="233" bestFit="1" customWidth="1"/>
    <col min="699" max="700" width="9.1640625" style="233" customWidth="1"/>
    <col min="701" max="701" width="11.27734375" style="233" bestFit="1" customWidth="1"/>
    <col min="702" max="702" width="14.44140625" style="233" bestFit="1" customWidth="1"/>
    <col min="703" max="703" width="8.1640625" style="233" customWidth="1"/>
    <col min="704" max="704" width="10.83203125" style="233" bestFit="1" customWidth="1"/>
    <col min="705" max="705" width="12.27734375" style="233" bestFit="1" customWidth="1"/>
    <col min="706" max="706" width="9.1640625" style="233" customWidth="1"/>
    <col min="707" max="707" width="10.83203125" style="233" bestFit="1" customWidth="1"/>
    <col min="708" max="708" width="12.27734375" style="233" bestFit="1" customWidth="1"/>
    <col min="709" max="709" width="8" style="233" customWidth="1"/>
    <col min="710" max="710" width="10.83203125" style="233" bestFit="1" customWidth="1"/>
    <col min="711" max="711" width="12.27734375" style="233" bestFit="1" customWidth="1"/>
    <col min="712" max="712" width="8.1640625" style="233" bestFit="1" customWidth="1"/>
    <col min="713" max="713" width="10.83203125" style="233" bestFit="1" customWidth="1"/>
    <col min="714" max="714" width="12.27734375" style="233" bestFit="1" customWidth="1"/>
    <col min="715" max="715" width="18.27734375" style="233" bestFit="1" customWidth="1"/>
    <col min="716" max="716" width="10.83203125" style="233" bestFit="1" customWidth="1"/>
    <col min="717" max="952" width="8.83203125" style="233"/>
    <col min="953" max="953" width="38.27734375" style="233" customWidth="1"/>
    <col min="954" max="954" width="23.44140625" style="233" bestFit="1" customWidth="1"/>
    <col min="955" max="956" width="9.1640625" style="233" customWidth="1"/>
    <col min="957" max="957" width="11.27734375" style="233" bestFit="1" customWidth="1"/>
    <col min="958" max="958" width="14.44140625" style="233" bestFit="1" customWidth="1"/>
    <col min="959" max="959" width="8.1640625" style="233" customWidth="1"/>
    <col min="960" max="960" width="10.83203125" style="233" bestFit="1" customWidth="1"/>
    <col min="961" max="961" width="12.27734375" style="233" bestFit="1" customWidth="1"/>
    <col min="962" max="962" width="9.1640625" style="233" customWidth="1"/>
    <col min="963" max="963" width="10.83203125" style="233" bestFit="1" customWidth="1"/>
    <col min="964" max="964" width="12.27734375" style="233" bestFit="1" customWidth="1"/>
    <col min="965" max="965" width="8" style="233" customWidth="1"/>
    <col min="966" max="966" width="10.83203125" style="233" bestFit="1" customWidth="1"/>
    <col min="967" max="967" width="12.27734375" style="233" bestFit="1" customWidth="1"/>
    <col min="968" max="968" width="8.1640625" style="233" bestFit="1" customWidth="1"/>
    <col min="969" max="969" width="10.83203125" style="233" bestFit="1" customWidth="1"/>
    <col min="970" max="970" width="12.27734375" style="233" bestFit="1" customWidth="1"/>
    <col min="971" max="971" width="18.27734375" style="233" bestFit="1" customWidth="1"/>
    <col min="972" max="972" width="10.83203125" style="233" bestFit="1" customWidth="1"/>
    <col min="973" max="1208" width="8.83203125" style="233"/>
    <col min="1209" max="1209" width="38.27734375" style="233" customWidth="1"/>
    <col min="1210" max="1210" width="23.44140625" style="233" bestFit="1" customWidth="1"/>
    <col min="1211" max="1212" width="9.1640625" style="233" customWidth="1"/>
    <col min="1213" max="1213" width="11.27734375" style="233" bestFit="1" customWidth="1"/>
    <col min="1214" max="1214" width="14.44140625" style="233" bestFit="1" customWidth="1"/>
    <col min="1215" max="1215" width="8.1640625" style="233" customWidth="1"/>
    <col min="1216" max="1216" width="10.83203125" style="233" bestFit="1" customWidth="1"/>
    <col min="1217" max="1217" width="12.27734375" style="233" bestFit="1" customWidth="1"/>
    <col min="1218" max="1218" width="9.1640625" style="233" customWidth="1"/>
    <col min="1219" max="1219" width="10.83203125" style="233" bestFit="1" customWidth="1"/>
    <col min="1220" max="1220" width="12.27734375" style="233" bestFit="1" customWidth="1"/>
    <col min="1221" max="1221" width="8" style="233" customWidth="1"/>
    <col min="1222" max="1222" width="10.83203125" style="233" bestFit="1" customWidth="1"/>
    <col min="1223" max="1223" width="12.27734375" style="233" bestFit="1" customWidth="1"/>
    <col min="1224" max="1224" width="8.1640625" style="233" bestFit="1" customWidth="1"/>
    <col min="1225" max="1225" width="10.83203125" style="233" bestFit="1" customWidth="1"/>
    <col min="1226" max="1226" width="12.27734375" style="233" bestFit="1" customWidth="1"/>
    <col min="1227" max="1227" width="18.27734375" style="233" bestFit="1" customWidth="1"/>
    <col min="1228" max="1228" width="10.83203125" style="233" bestFit="1" customWidth="1"/>
    <col min="1229" max="1464" width="8.83203125" style="233"/>
    <col min="1465" max="1465" width="38.27734375" style="233" customWidth="1"/>
    <col min="1466" max="1466" width="23.44140625" style="233" bestFit="1" customWidth="1"/>
    <col min="1467" max="1468" width="9.1640625" style="233" customWidth="1"/>
    <col min="1469" max="1469" width="11.27734375" style="233" bestFit="1" customWidth="1"/>
    <col min="1470" max="1470" width="14.44140625" style="233" bestFit="1" customWidth="1"/>
    <col min="1471" max="1471" width="8.1640625" style="233" customWidth="1"/>
    <col min="1472" max="1472" width="10.83203125" style="233" bestFit="1" customWidth="1"/>
    <col min="1473" max="1473" width="12.27734375" style="233" bestFit="1" customWidth="1"/>
    <col min="1474" max="1474" width="9.1640625" style="233" customWidth="1"/>
    <col min="1475" max="1475" width="10.83203125" style="233" bestFit="1" customWidth="1"/>
    <col min="1476" max="1476" width="12.27734375" style="233" bestFit="1" customWidth="1"/>
    <col min="1477" max="1477" width="8" style="233" customWidth="1"/>
    <col min="1478" max="1478" width="10.83203125" style="233" bestFit="1" customWidth="1"/>
    <col min="1479" max="1479" width="12.27734375" style="233" bestFit="1" customWidth="1"/>
    <col min="1480" max="1480" width="8.1640625" style="233" bestFit="1" customWidth="1"/>
    <col min="1481" max="1481" width="10.83203125" style="233" bestFit="1" customWidth="1"/>
    <col min="1482" max="1482" width="12.27734375" style="233" bestFit="1" customWidth="1"/>
    <col min="1483" max="1483" width="18.27734375" style="233" bestFit="1" customWidth="1"/>
    <col min="1484" max="1484" width="10.83203125" style="233" bestFit="1" customWidth="1"/>
    <col min="1485" max="1720" width="8.83203125" style="233"/>
    <col min="1721" max="1721" width="38.27734375" style="233" customWidth="1"/>
    <col min="1722" max="1722" width="23.44140625" style="233" bestFit="1" customWidth="1"/>
    <col min="1723" max="1724" width="9.1640625" style="233" customWidth="1"/>
    <col min="1725" max="1725" width="11.27734375" style="233" bestFit="1" customWidth="1"/>
    <col min="1726" max="1726" width="14.44140625" style="233" bestFit="1" customWidth="1"/>
    <col min="1727" max="1727" width="8.1640625" style="233" customWidth="1"/>
    <col min="1728" max="1728" width="10.83203125" style="233" bestFit="1" customWidth="1"/>
    <col min="1729" max="1729" width="12.27734375" style="233" bestFit="1" customWidth="1"/>
    <col min="1730" max="1730" width="9.1640625" style="233" customWidth="1"/>
    <col min="1731" max="1731" width="10.83203125" style="233" bestFit="1" customWidth="1"/>
    <col min="1732" max="1732" width="12.27734375" style="233" bestFit="1" customWidth="1"/>
    <col min="1733" max="1733" width="8" style="233" customWidth="1"/>
    <col min="1734" max="1734" width="10.83203125" style="233" bestFit="1" customWidth="1"/>
    <col min="1735" max="1735" width="12.27734375" style="233" bestFit="1" customWidth="1"/>
    <col min="1736" max="1736" width="8.1640625" style="233" bestFit="1" customWidth="1"/>
    <col min="1737" max="1737" width="10.83203125" style="233" bestFit="1" customWidth="1"/>
    <col min="1738" max="1738" width="12.27734375" style="233" bestFit="1" customWidth="1"/>
    <col min="1739" max="1739" width="18.27734375" style="233" bestFit="1" customWidth="1"/>
    <col min="1740" max="1740" width="10.83203125" style="233" bestFit="1" customWidth="1"/>
    <col min="1741" max="1976" width="8.83203125" style="233"/>
    <col min="1977" max="1977" width="38.27734375" style="233" customWidth="1"/>
    <col min="1978" max="1978" width="23.44140625" style="233" bestFit="1" customWidth="1"/>
    <col min="1979" max="1980" width="9.1640625" style="233" customWidth="1"/>
    <col min="1981" max="1981" width="11.27734375" style="233" bestFit="1" customWidth="1"/>
    <col min="1982" max="1982" width="14.44140625" style="233" bestFit="1" customWidth="1"/>
    <col min="1983" max="1983" width="8.1640625" style="233" customWidth="1"/>
    <col min="1984" max="1984" width="10.83203125" style="233" bestFit="1" customWidth="1"/>
    <col min="1985" max="1985" width="12.27734375" style="233" bestFit="1" customWidth="1"/>
    <col min="1986" max="1986" width="9.1640625" style="233" customWidth="1"/>
    <col min="1987" max="1987" width="10.83203125" style="233" bestFit="1" customWidth="1"/>
    <col min="1988" max="1988" width="12.27734375" style="233" bestFit="1" customWidth="1"/>
    <col min="1989" max="1989" width="8" style="233" customWidth="1"/>
    <col min="1990" max="1990" width="10.83203125" style="233" bestFit="1" customWidth="1"/>
    <col min="1991" max="1991" width="12.27734375" style="233" bestFit="1" customWidth="1"/>
    <col min="1992" max="1992" width="8.1640625" style="233" bestFit="1" customWidth="1"/>
    <col min="1993" max="1993" width="10.83203125" style="233" bestFit="1" customWidth="1"/>
    <col min="1994" max="1994" width="12.27734375" style="233" bestFit="1" customWidth="1"/>
    <col min="1995" max="1995" width="18.27734375" style="233" bestFit="1" customWidth="1"/>
    <col min="1996" max="1996" width="10.83203125" style="233" bestFit="1" customWidth="1"/>
    <col min="1997" max="2232" width="8.83203125" style="233"/>
    <col min="2233" max="2233" width="38.27734375" style="233" customWidth="1"/>
    <col min="2234" max="2234" width="23.44140625" style="233" bestFit="1" customWidth="1"/>
    <col min="2235" max="2236" width="9.1640625" style="233" customWidth="1"/>
    <col min="2237" max="2237" width="11.27734375" style="233" bestFit="1" customWidth="1"/>
    <col min="2238" max="2238" width="14.44140625" style="233" bestFit="1" customWidth="1"/>
    <col min="2239" max="2239" width="8.1640625" style="233" customWidth="1"/>
    <col min="2240" max="2240" width="10.83203125" style="233" bestFit="1" customWidth="1"/>
    <col min="2241" max="2241" width="12.27734375" style="233" bestFit="1" customWidth="1"/>
    <col min="2242" max="2242" width="9.1640625" style="233" customWidth="1"/>
    <col min="2243" max="2243" width="10.83203125" style="233" bestFit="1" customWidth="1"/>
    <col min="2244" max="2244" width="12.27734375" style="233" bestFit="1" customWidth="1"/>
    <col min="2245" max="2245" width="8" style="233" customWidth="1"/>
    <col min="2246" max="2246" width="10.83203125" style="233" bestFit="1" customWidth="1"/>
    <col min="2247" max="2247" width="12.27734375" style="233" bestFit="1" customWidth="1"/>
    <col min="2248" max="2248" width="8.1640625" style="233" bestFit="1" customWidth="1"/>
    <col min="2249" max="2249" width="10.83203125" style="233" bestFit="1" customWidth="1"/>
    <col min="2250" max="2250" width="12.27734375" style="233" bestFit="1" customWidth="1"/>
    <col min="2251" max="2251" width="18.27734375" style="233" bestFit="1" customWidth="1"/>
    <col min="2252" max="2252" width="10.83203125" style="233" bestFit="1" customWidth="1"/>
    <col min="2253" max="2488" width="8.83203125" style="233"/>
    <col min="2489" max="2489" width="38.27734375" style="233" customWidth="1"/>
    <col min="2490" max="2490" width="23.44140625" style="233" bestFit="1" customWidth="1"/>
    <col min="2491" max="2492" width="9.1640625" style="233" customWidth="1"/>
    <col min="2493" max="2493" width="11.27734375" style="233" bestFit="1" customWidth="1"/>
    <col min="2494" max="2494" width="14.44140625" style="233" bestFit="1" customWidth="1"/>
    <col min="2495" max="2495" width="8.1640625" style="233" customWidth="1"/>
    <col min="2496" max="2496" width="10.83203125" style="233" bestFit="1" customWidth="1"/>
    <col min="2497" max="2497" width="12.27734375" style="233" bestFit="1" customWidth="1"/>
    <col min="2498" max="2498" width="9.1640625" style="233" customWidth="1"/>
    <col min="2499" max="2499" width="10.83203125" style="233" bestFit="1" customWidth="1"/>
    <col min="2500" max="2500" width="12.27734375" style="233" bestFit="1" customWidth="1"/>
    <col min="2501" max="2501" width="8" style="233" customWidth="1"/>
    <col min="2502" max="2502" width="10.83203125" style="233" bestFit="1" customWidth="1"/>
    <col min="2503" max="2503" width="12.27734375" style="233" bestFit="1" customWidth="1"/>
    <col min="2504" max="2504" width="8.1640625" style="233" bestFit="1" customWidth="1"/>
    <col min="2505" max="2505" width="10.83203125" style="233" bestFit="1" customWidth="1"/>
    <col min="2506" max="2506" width="12.27734375" style="233" bestFit="1" customWidth="1"/>
    <col min="2507" max="2507" width="18.27734375" style="233" bestFit="1" customWidth="1"/>
    <col min="2508" max="2508" width="10.83203125" style="233" bestFit="1" customWidth="1"/>
    <col min="2509" max="2744" width="8.83203125" style="233"/>
    <col min="2745" max="2745" width="38.27734375" style="233" customWidth="1"/>
    <col min="2746" max="2746" width="23.44140625" style="233" bestFit="1" customWidth="1"/>
    <col min="2747" max="2748" width="9.1640625" style="233" customWidth="1"/>
    <col min="2749" max="2749" width="11.27734375" style="233" bestFit="1" customWidth="1"/>
    <col min="2750" max="2750" width="14.44140625" style="233" bestFit="1" customWidth="1"/>
    <col min="2751" max="2751" width="8.1640625" style="233" customWidth="1"/>
    <col min="2752" max="2752" width="10.83203125" style="233" bestFit="1" customWidth="1"/>
    <col min="2753" max="2753" width="12.27734375" style="233" bestFit="1" customWidth="1"/>
    <col min="2754" max="2754" width="9.1640625" style="233" customWidth="1"/>
    <col min="2755" max="2755" width="10.83203125" style="233" bestFit="1" customWidth="1"/>
    <col min="2756" max="2756" width="12.27734375" style="233" bestFit="1" customWidth="1"/>
    <col min="2757" max="2757" width="8" style="233" customWidth="1"/>
    <col min="2758" max="2758" width="10.83203125" style="233" bestFit="1" customWidth="1"/>
    <col min="2759" max="2759" width="12.27734375" style="233" bestFit="1" customWidth="1"/>
    <col min="2760" max="2760" width="8.1640625" style="233" bestFit="1" customWidth="1"/>
    <col min="2761" max="2761" width="10.83203125" style="233" bestFit="1" customWidth="1"/>
    <col min="2762" max="2762" width="12.27734375" style="233" bestFit="1" customWidth="1"/>
    <col min="2763" max="2763" width="18.27734375" style="233" bestFit="1" customWidth="1"/>
    <col min="2764" max="2764" width="10.83203125" style="233" bestFit="1" customWidth="1"/>
    <col min="2765" max="3000" width="8.83203125" style="233"/>
    <col min="3001" max="3001" width="38.27734375" style="233" customWidth="1"/>
    <col min="3002" max="3002" width="23.44140625" style="233" bestFit="1" customWidth="1"/>
    <col min="3003" max="3004" width="9.1640625" style="233" customWidth="1"/>
    <col min="3005" max="3005" width="11.27734375" style="233" bestFit="1" customWidth="1"/>
    <col min="3006" max="3006" width="14.44140625" style="233" bestFit="1" customWidth="1"/>
    <col min="3007" max="3007" width="8.1640625" style="233" customWidth="1"/>
    <col min="3008" max="3008" width="10.83203125" style="233" bestFit="1" customWidth="1"/>
    <col min="3009" max="3009" width="12.27734375" style="233" bestFit="1" customWidth="1"/>
    <col min="3010" max="3010" width="9.1640625" style="233" customWidth="1"/>
    <col min="3011" max="3011" width="10.83203125" style="233" bestFit="1" customWidth="1"/>
    <col min="3012" max="3012" width="12.27734375" style="233" bestFit="1" customWidth="1"/>
    <col min="3013" max="3013" width="8" style="233" customWidth="1"/>
    <col min="3014" max="3014" width="10.83203125" style="233" bestFit="1" customWidth="1"/>
    <col min="3015" max="3015" width="12.27734375" style="233" bestFit="1" customWidth="1"/>
    <col min="3016" max="3016" width="8.1640625" style="233" bestFit="1" customWidth="1"/>
    <col min="3017" max="3017" width="10.83203125" style="233" bestFit="1" customWidth="1"/>
    <col min="3018" max="3018" width="12.27734375" style="233" bestFit="1" customWidth="1"/>
    <col min="3019" max="3019" width="18.27734375" style="233" bestFit="1" customWidth="1"/>
    <col min="3020" max="3020" width="10.83203125" style="233" bestFit="1" customWidth="1"/>
    <col min="3021" max="3256" width="8.83203125" style="233"/>
    <col min="3257" max="3257" width="38.27734375" style="233" customWidth="1"/>
    <col min="3258" max="3258" width="23.44140625" style="233" bestFit="1" customWidth="1"/>
    <col min="3259" max="3260" width="9.1640625" style="233" customWidth="1"/>
    <col min="3261" max="3261" width="11.27734375" style="233" bestFit="1" customWidth="1"/>
    <col min="3262" max="3262" width="14.44140625" style="233" bestFit="1" customWidth="1"/>
    <col min="3263" max="3263" width="8.1640625" style="233" customWidth="1"/>
    <col min="3264" max="3264" width="10.83203125" style="233" bestFit="1" customWidth="1"/>
    <col min="3265" max="3265" width="12.27734375" style="233" bestFit="1" customWidth="1"/>
    <col min="3266" max="3266" width="9.1640625" style="233" customWidth="1"/>
    <col min="3267" max="3267" width="10.83203125" style="233" bestFit="1" customWidth="1"/>
    <col min="3268" max="3268" width="12.27734375" style="233" bestFit="1" customWidth="1"/>
    <col min="3269" max="3269" width="8" style="233" customWidth="1"/>
    <col min="3270" max="3270" width="10.83203125" style="233" bestFit="1" customWidth="1"/>
    <col min="3271" max="3271" width="12.27734375" style="233" bestFit="1" customWidth="1"/>
    <col min="3272" max="3272" width="8.1640625" style="233" bestFit="1" customWidth="1"/>
    <col min="3273" max="3273" width="10.83203125" style="233" bestFit="1" customWidth="1"/>
    <col min="3274" max="3274" width="12.27734375" style="233" bestFit="1" customWidth="1"/>
    <col min="3275" max="3275" width="18.27734375" style="233" bestFit="1" customWidth="1"/>
    <col min="3276" max="3276" width="10.83203125" style="233" bestFit="1" customWidth="1"/>
    <col min="3277" max="3512" width="8.83203125" style="233"/>
    <col min="3513" max="3513" width="38.27734375" style="233" customWidth="1"/>
    <col min="3514" max="3514" width="23.44140625" style="233" bestFit="1" customWidth="1"/>
    <col min="3515" max="3516" width="9.1640625" style="233" customWidth="1"/>
    <col min="3517" max="3517" width="11.27734375" style="233" bestFit="1" customWidth="1"/>
    <col min="3518" max="3518" width="14.44140625" style="233" bestFit="1" customWidth="1"/>
    <col min="3519" max="3519" width="8.1640625" style="233" customWidth="1"/>
    <col min="3520" max="3520" width="10.83203125" style="233" bestFit="1" customWidth="1"/>
    <col min="3521" max="3521" width="12.27734375" style="233" bestFit="1" customWidth="1"/>
    <col min="3522" max="3522" width="9.1640625" style="233" customWidth="1"/>
    <col min="3523" max="3523" width="10.83203125" style="233" bestFit="1" customWidth="1"/>
    <col min="3524" max="3524" width="12.27734375" style="233" bestFit="1" customWidth="1"/>
    <col min="3525" max="3525" width="8" style="233" customWidth="1"/>
    <col min="3526" max="3526" width="10.83203125" style="233" bestFit="1" customWidth="1"/>
    <col min="3527" max="3527" width="12.27734375" style="233" bestFit="1" customWidth="1"/>
    <col min="3528" max="3528" width="8.1640625" style="233" bestFit="1" customWidth="1"/>
    <col min="3529" max="3529" width="10.83203125" style="233" bestFit="1" customWidth="1"/>
    <col min="3530" max="3530" width="12.27734375" style="233" bestFit="1" customWidth="1"/>
    <col min="3531" max="3531" width="18.27734375" style="233" bestFit="1" customWidth="1"/>
    <col min="3532" max="3532" width="10.83203125" style="233" bestFit="1" customWidth="1"/>
    <col min="3533" max="3768" width="8.83203125" style="233"/>
    <col min="3769" max="3769" width="38.27734375" style="233" customWidth="1"/>
    <col min="3770" max="3770" width="23.44140625" style="233" bestFit="1" customWidth="1"/>
    <col min="3771" max="3772" width="9.1640625" style="233" customWidth="1"/>
    <col min="3773" max="3773" width="11.27734375" style="233" bestFit="1" customWidth="1"/>
    <col min="3774" max="3774" width="14.44140625" style="233" bestFit="1" customWidth="1"/>
    <col min="3775" max="3775" width="8.1640625" style="233" customWidth="1"/>
    <col min="3776" max="3776" width="10.83203125" style="233" bestFit="1" customWidth="1"/>
    <col min="3777" max="3777" width="12.27734375" style="233" bestFit="1" customWidth="1"/>
    <col min="3778" max="3778" width="9.1640625" style="233" customWidth="1"/>
    <col min="3779" max="3779" width="10.83203125" style="233" bestFit="1" customWidth="1"/>
    <col min="3780" max="3780" width="12.27734375" style="233" bestFit="1" customWidth="1"/>
    <col min="3781" max="3781" width="8" style="233" customWidth="1"/>
    <col min="3782" max="3782" width="10.83203125" style="233" bestFit="1" customWidth="1"/>
    <col min="3783" max="3783" width="12.27734375" style="233" bestFit="1" customWidth="1"/>
    <col min="3784" max="3784" width="8.1640625" style="233" bestFit="1" customWidth="1"/>
    <col min="3785" max="3785" width="10.83203125" style="233" bestFit="1" customWidth="1"/>
    <col min="3786" max="3786" width="12.27734375" style="233" bestFit="1" customWidth="1"/>
    <col min="3787" max="3787" width="18.27734375" style="233" bestFit="1" customWidth="1"/>
    <col min="3788" max="3788" width="10.83203125" style="233" bestFit="1" customWidth="1"/>
    <col min="3789" max="4024" width="8.83203125" style="233"/>
    <col min="4025" max="4025" width="38.27734375" style="233" customWidth="1"/>
    <col min="4026" max="4026" width="23.44140625" style="233" bestFit="1" customWidth="1"/>
    <col min="4027" max="4028" width="9.1640625" style="233" customWidth="1"/>
    <col min="4029" max="4029" width="11.27734375" style="233" bestFit="1" customWidth="1"/>
    <col min="4030" max="4030" width="14.44140625" style="233" bestFit="1" customWidth="1"/>
    <col min="4031" max="4031" width="8.1640625" style="233" customWidth="1"/>
    <col min="4032" max="4032" width="10.83203125" style="233" bestFit="1" customWidth="1"/>
    <col min="4033" max="4033" width="12.27734375" style="233" bestFit="1" customWidth="1"/>
    <col min="4034" max="4034" width="9.1640625" style="233" customWidth="1"/>
    <col min="4035" max="4035" width="10.83203125" style="233" bestFit="1" customWidth="1"/>
    <col min="4036" max="4036" width="12.27734375" style="233" bestFit="1" customWidth="1"/>
    <col min="4037" max="4037" width="8" style="233" customWidth="1"/>
    <col min="4038" max="4038" width="10.83203125" style="233" bestFit="1" customWidth="1"/>
    <col min="4039" max="4039" width="12.27734375" style="233" bestFit="1" customWidth="1"/>
    <col min="4040" max="4040" width="8.1640625" style="233" bestFit="1" customWidth="1"/>
    <col min="4041" max="4041" width="10.83203125" style="233" bestFit="1" customWidth="1"/>
    <col min="4042" max="4042" width="12.27734375" style="233" bestFit="1" customWidth="1"/>
    <col min="4043" max="4043" width="18.27734375" style="233" bestFit="1" customWidth="1"/>
    <col min="4044" max="4044" width="10.83203125" style="233" bestFit="1" customWidth="1"/>
    <col min="4045" max="4280" width="8.83203125" style="233"/>
    <col min="4281" max="4281" width="38.27734375" style="233" customWidth="1"/>
    <col min="4282" max="4282" width="23.44140625" style="233" bestFit="1" customWidth="1"/>
    <col min="4283" max="4284" width="9.1640625" style="233" customWidth="1"/>
    <col min="4285" max="4285" width="11.27734375" style="233" bestFit="1" customWidth="1"/>
    <col min="4286" max="4286" width="14.44140625" style="233" bestFit="1" customWidth="1"/>
    <col min="4287" max="4287" width="8.1640625" style="233" customWidth="1"/>
    <col min="4288" max="4288" width="10.83203125" style="233" bestFit="1" customWidth="1"/>
    <col min="4289" max="4289" width="12.27734375" style="233" bestFit="1" customWidth="1"/>
    <col min="4290" max="4290" width="9.1640625" style="233" customWidth="1"/>
    <col min="4291" max="4291" width="10.83203125" style="233" bestFit="1" customWidth="1"/>
    <col min="4292" max="4292" width="12.27734375" style="233" bestFit="1" customWidth="1"/>
    <col min="4293" max="4293" width="8" style="233" customWidth="1"/>
    <col min="4294" max="4294" width="10.83203125" style="233" bestFit="1" customWidth="1"/>
    <col min="4295" max="4295" width="12.27734375" style="233" bestFit="1" customWidth="1"/>
    <col min="4296" max="4296" width="8.1640625" style="233" bestFit="1" customWidth="1"/>
    <col min="4297" max="4297" width="10.83203125" style="233" bestFit="1" customWidth="1"/>
    <col min="4298" max="4298" width="12.27734375" style="233" bestFit="1" customWidth="1"/>
    <col min="4299" max="4299" width="18.27734375" style="233" bestFit="1" customWidth="1"/>
    <col min="4300" max="4300" width="10.83203125" style="233" bestFit="1" customWidth="1"/>
    <col min="4301" max="4536" width="8.83203125" style="233"/>
    <col min="4537" max="4537" width="38.27734375" style="233" customWidth="1"/>
    <col min="4538" max="4538" width="23.44140625" style="233" bestFit="1" customWidth="1"/>
    <col min="4539" max="4540" width="9.1640625" style="233" customWidth="1"/>
    <col min="4541" max="4541" width="11.27734375" style="233" bestFit="1" customWidth="1"/>
    <col min="4542" max="4542" width="14.44140625" style="233" bestFit="1" customWidth="1"/>
    <col min="4543" max="4543" width="8.1640625" style="233" customWidth="1"/>
    <col min="4544" max="4544" width="10.83203125" style="233" bestFit="1" customWidth="1"/>
    <col min="4545" max="4545" width="12.27734375" style="233" bestFit="1" customWidth="1"/>
    <col min="4546" max="4546" width="9.1640625" style="233" customWidth="1"/>
    <col min="4547" max="4547" width="10.83203125" style="233" bestFit="1" customWidth="1"/>
    <col min="4548" max="4548" width="12.27734375" style="233" bestFit="1" customWidth="1"/>
    <col min="4549" max="4549" width="8" style="233" customWidth="1"/>
    <col min="4550" max="4550" width="10.83203125" style="233" bestFit="1" customWidth="1"/>
    <col min="4551" max="4551" width="12.27734375" style="233" bestFit="1" customWidth="1"/>
    <col min="4552" max="4552" width="8.1640625" style="233" bestFit="1" customWidth="1"/>
    <col min="4553" max="4553" width="10.83203125" style="233" bestFit="1" customWidth="1"/>
    <col min="4554" max="4554" width="12.27734375" style="233" bestFit="1" customWidth="1"/>
    <col min="4555" max="4555" width="18.27734375" style="233" bestFit="1" customWidth="1"/>
    <col min="4556" max="4556" width="10.83203125" style="233" bestFit="1" customWidth="1"/>
    <col min="4557" max="4792" width="8.83203125" style="233"/>
    <col min="4793" max="4793" width="38.27734375" style="233" customWidth="1"/>
    <col min="4794" max="4794" width="23.44140625" style="233" bestFit="1" customWidth="1"/>
    <col min="4795" max="4796" width="9.1640625" style="233" customWidth="1"/>
    <col min="4797" max="4797" width="11.27734375" style="233" bestFit="1" customWidth="1"/>
    <col min="4798" max="4798" width="14.44140625" style="233" bestFit="1" customWidth="1"/>
    <col min="4799" max="4799" width="8.1640625" style="233" customWidth="1"/>
    <col min="4800" max="4800" width="10.83203125" style="233" bestFit="1" customWidth="1"/>
    <col min="4801" max="4801" width="12.27734375" style="233" bestFit="1" customWidth="1"/>
    <col min="4802" max="4802" width="9.1640625" style="233" customWidth="1"/>
    <col min="4803" max="4803" width="10.83203125" style="233" bestFit="1" customWidth="1"/>
    <col min="4804" max="4804" width="12.27734375" style="233" bestFit="1" customWidth="1"/>
    <col min="4805" max="4805" width="8" style="233" customWidth="1"/>
    <col min="4806" max="4806" width="10.83203125" style="233" bestFit="1" customWidth="1"/>
    <col min="4807" max="4807" width="12.27734375" style="233" bestFit="1" customWidth="1"/>
    <col min="4808" max="4808" width="8.1640625" style="233" bestFit="1" customWidth="1"/>
    <col min="4809" max="4809" width="10.83203125" style="233" bestFit="1" customWidth="1"/>
    <col min="4810" max="4810" width="12.27734375" style="233" bestFit="1" customWidth="1"/>
    <col min="4811" max="4811" width="18.27734375" style="233" bestFit="1" customWidth="1"/>
    <col min="4812" max="4812" width="10.83203125" style="233" bestFit="1" customWidth="1"/>
    <col min="4813" max="5048" width="8.83203125" style="233"/>
    <col min="5049" max="5049" width="38.27734375" style="233" customWidth="1"/>
    <col min="5050" max="5050" width="23.44140625" style="233" bestFit="1" customWidth="1"/>
    <col min="5051" max="5052" width="9.1640625" style="233" customWidth="1"/>
    <col min="5053" max="5053" width="11.27734375" style="233" bestFit="1" customWidth="1"/>
    <col min="5054" max="5054" width="14.44140625" style="233" bestFit="1" customWidth="1"/>
    <col min="5055" max="5055" width="8.1640625" style="233" customWidth="1"/>
    <col min="5056" max="5056" width="10.83203125" style="233" bestFit="1" customWidth="1"/>
    <col min="5057" max="5057" width="12.27734375" style="233" bestFit="1" customWidth="1"/>
    <col min="5058" max="5058" width="9.1640625" style="233" customWidth="1"/>
    <col min="5059" max="5059" width="10.83203125" style="233" bestFit="1" customWidth="1"/>
    <col min="5060" max="5060" width="12.27734375" style="233" bestFit="1" customWidth="1"/>
    <col min="5061" max="5061" width="8" style="233" customWidth="1"/>
    <col min="5062" max="5062" width="10.83203125" style="233" bestFit="1" customWidth="1"/>
    <col min="5063" max="5063" width="12.27734375" style="233" bestFit="1" customWidth="1"/>
    <col min="5064" max="5064" width="8.1640625" style="233" bestFit="1" customWidth="1"/>
    <col min="5065" max="5065" width="10.83203125" style="233" bestFit="1" customWidth="1"/>
    <col min="5066" max="5066" width="12.27734375" style="233" bestFit="1" customWidth="1"/>
    <col min="5067" max="5067" width="18.27734375" style="233" bestFit="1" customWidth="1"/>
    <col min="5068" max="5068" width="10.83203125" style="233" bestFit="1" customWidth="1"/>
    <col min="5069" max="5304" width="8.83203125" style="233"/>
    <col min="5305" max="5305" width="38.27734375" style="233" customWidth="1"/>
    <col min="5306" max="5306" width="23.44140625" style="233" bestFit="1" customWidth="1"/>
    <col min="5307" max="5308" width="9.1640625" style="233" customWidth="1"/>
    <col min="5309" max="5309" width="11.27734375" style="233" bestFit="1" customWidth="1"/>
    <col min="5310" max="5310" width="14.44140625" style="233" bestFit="1" customWidth="1"/>
    <col min="5311" max="5311" width="8.1640625" style="233" customWidth="1"/>
    <col min="5312" max="5312" width="10.83203125" style="233" bestFit="1" customWidth="1"/>
    <col min="5313" max="5313" width="12.27734375" style="233" bestFit="1" customWidth="1"/>
    <col min="5314" max="5314" width="9.1640625" style="233" customWidth="1"/>
    <col min="5315" max="5315" width="10.83203125" style="233" bestFit="1" customWidth="1"/>
    <col min="5316" max="5316" width="12.27734375" style="233" bestFit="1" customWidth="1"/>
    <col min="5317" max="5317" width="8" style="233" customWidth="1"/>
    <col min="5318" max="5318" width="10.83203125" style="233" bestFit="1" customWidth="1"/>
    <col min="5319" max="5319" width="12.27734375" style="233" bestFit="1" customWidth="1"/>
    <col min="5320" max="5320" width="8.1640625" style="233" bestFit="1" customWidth="1"/>
    <col min="5321" max="5321" width="10.83203125" style="233" bestFit="1" customWidth="1"/>
    <col min="5322" max="5322" width="12.27734375" style="233" bestFit="1" customWidth="1"/>
    <col min="5323" max="5323" width="18.27734375" style="233" bestFit="1" customWidth="1"/>
    <col min="5324" max="5324" width="10.83203125" style="233" bestFit="1" customWidth="1"/>
    <col min="5325" max="5560" width="8.83203125" style="233"/>
    <col min="5561" max="5561" width="38.27734375" style="233" customWidth="1"/>
    <col min="5562" max="5562" width="23.44140625" style="233" bestFit="1" customWidth="1"/>
    <col min="5563" max="5564" width="9.1640625" style="233" customWidth="1"/>
    <col min="5565" max="5565" width="11.27734375" style="233" bestFit="1" customWidth="1"/>
    <col min="5566" max="5566" width="14.44140625" style="233" bestFit="1" customWidth="1"/>
    <col min="5567" max="5567" width="8.1640625" style="233" customWidth="1"/>
    <col min="5568" max="5568" width="10.83203125" style="233" bestFit="1" customWidth="1"/>
    <col min="5569" max="5569" width="12.27734375" style="233" bestFit="1" customWidth="1"/>
    <col min="5570" max="5570" width="9.1640625" style="233" customWidth="1"/>
    <col min="5571" max="5571" width="10.83203125" style="233" bestFit="1" customWidth="1"/>
    <col min="5572" max="5572" width="12.27734375" style="233" bestFit="1" customWidth="1"/>
    <col min="5573" max="5573" width="8" style="233" customWidth="1"/>
    <col min="5574" max="5574" width="10.83203125" style="233" bestFit="1" customWidth="1"/>
    <col min="5575" max="5575" width="12.27734375" style="233" bestFit="1" customWidth="1"/>
    <col min="5576" max="5576" width="8.1640625" style="233" bestFit="1" customWidth="1"/>
    <col min="5577" max="5577" width="10.83203125" style="233" bestFit="1" customWidth="1"/>
    <col min="5578" max="5578" width="12.27734375" style="233" bestFit="1" customWidth="1"/>
    <col min="5579" max="5579" width="18.27734375" style="233" bestFit="1" customWidth="1"/>
    <col min="5580" max="5580" width="10.83203125" style="233" bestFit="1" customWidth="1"/>
    <col min="5581" max="5816" width="8.83203125" style="233"/>
    <col min="5817" max="5817" width="38.27734375" style="233" customWidth="1"/>
    <col min="5818" max="5818" width="23.44140625" style="233" bestFit="1" customWidth="1"/>
    <col min="5819" max="5820" width="9.1640625" style="233" customWidth="1"/>
    <col min="5821" max="5821" width="11.27734375" style="233" bestFit="1" customWidth="1"/>
    <col min="5822" max="5822" width="14.44140625" style="233" bestFit="1" customWidth="1"/>
    <col min="5823" max="5823" width="8.1640625" style="233" customWidth="1"/>
    <col min="5824" max="5824" width="10.83203125" style="233" bestFit="1" customWidth="1"/>
    <col min="5825" max="5825" width="12.27734375" style="233" bestFit="1" customWidth="1"/>
    <col min="5826" max="5826" width="9.1640625" style="233" customWidth="1"/>
    <col min="5827" max="5827" width="10.83203125" style="233" bestFit="1" customWidth="1"/>
    <col min="5828" max="5828" width="12.27734375" style="233" bestFit="1" customWidth="1"/>
    <col min="5829" max="5829" width="8" style="233" customWidth="1"/>
    <col min="5830" max="5830" width="10.83203125" style="233" bestFit="1" customWidth="1"/>
    <col min="5831" max="5831" width="12.27734375" style="233" bestFit="1" customWidth="1"/>
    <col min="5832" max="5832" width="8.1640625" style="233" bestFit="1" customWidth="1"/>
    <col min="5833" max="5833" width="10.83203125" style="233" bestFit="1" customWidth="1"/>
    <col min="5834" max="5834" width="12.27734375" style="233" bestFit="1" customWidth="1"/>
    <col min="5835" max="5835" width="18.27734375" style="233" bestFit="1" customWidth="1"/>
    <col min="5836" max="5836" width="10.83203125" style="233" bestFit="1" customWidth="1"/>
    <col min="5837" max="6072" width="8.83203125" style="233"/>
    <col min="6073" max="6073" width="38.27734375" style="233" customWidth="1"/>
    <col min="6074" max="6074" width="23.44140625" style="233" bestFit="1" customWidth="1"/>
    <col min="6075" max="6076" width="9.1640625" style="233" customWidth="1"/>
    <col min="6077" max="6077" width="11.27734375" style="233" bestFit="1" customWidth="1"/>
    <col min="6078" max="6078" width="14.44140625" style="233" bestFit="1" customWidth="1"/>
    <col min="6079" max="6079" width="8.1640625" style="233" customWidth="1"/>
    <col min="6080" max="6080" width="10.83203125" style="233" bestFit="1" customWidth="1"/>
    <col min="6081" max="6081" width="12.27734375" style="233" bestFit="1" customWidth="1"/>
    <col min="6082" max="6082" width="9.1640625" style="233" customWidth="1"/>
    <col min="6083" max="6083" width="10.83203125" style="233" bestFit="1" customWidth="1"/>
    <col min="6084" max="6084" width="12.27734375" style="233" bestFit="1" customWidth="1"/>
    <col min="6085" max="6085" width="8" style="233" customWidth="1"/>
    <col min="6086" max="6086" width="10.83203125" style="233" bestFit="1" customWidth="1"/>
    <col min="6087" max="6087" width="12.27734375" style="233" bestFit="1" customWidth="1"/>
    <col min="6088" max="6088" width="8.1640625" style="233" bestFit="1" customWidth="1"/>
    <col min="6089" max="6089" width="10.83203125" style="233" bestFit="1" customWidth="1"/>
    <col min="6090" max="6090" width="12.27734375" style="233" bestFit="1" customWidth="1"/>
    <col min="6091" max="6091" width="18.27734375" style="233" bestFit="1" customWidth="1"/>
    <col min="6092" max="6092" width="10.83203125" style="233" bestFit="1" customWidth="1"/>
    <col min="6093" max="6328" width="8.83203125" style="233"/>
    <col min="6329" max="6329" width="38.27734375" style="233" customWidth="1"/>
    <col min="6330" max="6330" width="23.44140625" style="233" bestFit="1" customWidth="1"/>
    <col min="6331" max="6332" width="9.1640625" style="233" customWidth="1"/>
    <col min="6333" max="6333" width="11.27734375" style="233" bestFit="1" customWidth="1"/>
    <col min="6334" max="6334" width="14.44140625" style="233" bestFit="1" customWidth="1"/>
    <col min="6335" max="6335" width="8.1640625" style="233" customWidth="1"/>
    <col min="6336" max="6336" width="10.83203125" style="233" bestFit="1" customWidth="1"/>
    <col min="6337" max="6337" width="12.27734375" style="233" bestFit="1" customWidth="1"/>
    <col min="6338" max="6338" width="9.1640625" style="233" customWidth="1"/>
    <col min="6339" max="6339" width="10.83203125" style="233" bestFit="1" customWidth="1"/>
    <col min="6340" max="6340" width="12.27734375" style="233" bestFit="1" customWidth="1"/>
    <col min="6341" max="6341" width="8" style="233" customWidth="1"/>
    <col min="6342" max="6342" width="10.83203125" style="233" bestFit="1" customWidth="1"/>
    <col min="6343" max="6343" width="12.27734375" style="233" bestFit="1" customWidth="1"/>
    <col min="6344" max="6344" width="8.1640625" style="233" bestFit="1" customWidth="1"/>
    <col min="6345" max="6345" width="10.83203125" style="233" bestFit="1" customWidth="1"/>
    <col min="6346" max="6346" width="12.27734375" style="233" bestFit="1" customWidth="1"/>
    <col min="6347" max="6347" width="18.27734375" style="233" bestFit="1" customWidth="1"/>
    <col min="6348" max="6348" width="10.83203125" style="233" bestFit="1" customWidth="1"/>
    <col min="6349" max="6584" width="8.83203125" style="233"/>
    <col min="6585" max="6585" width="38.27734375" style="233" customWidth="1"/>
    <col min="6586" max="6586" width="23.44140625" style="233" bestFit="1" customWidth="1"/>
    <col min="6587" max="6588" width="9.1640625" style="233" customWidth="1"/>
    <col min="6589" max="6589" width="11.27734375" style="233" bestFit="1" customWidth="1"/>
    <col min="6590" max="6590" width="14.44140625" style="233" bestFit="1" customWidth="1"/>
    <col min="6591" max="6591" width="8.1640625" style="233" customWidth="1"/>
    <col min="6592" max="6592" width="10.83203125" style="233" bestFit="1" customWidth="1"/>
    <col min="6593" max="6593" width="12.27734375" style="233" bestFit="1" customWidth="1"/>
    <col min="6594" max="6594" width="9.1640625" style="233" customWidth="1"/>
    <col min="6595" max="6595" width="10.83203125" style="233" bestFit="1" customWidth="1"/>
    <col min="6596" max="6596" width="12.27734375" style="233" bestFit="1" customWidth="1"/>
    <col min="6597" max="6597" width="8" style="233" customWidth="1"/>
    <col min="6598" max="6598" width="10.83203125" style="233" bestFit="1" customWidth="1"/>
    <col min="6599" max="6599" width="12.27734375" style="233" bestFit="1" customWidth="1"/>
    <col min="6600" max="6600" width="8.1640625" style="233" bestFit="1" customWidth="1"/>
    <col min="6601" max="6601" width="10.83203125" style="233" bestFit="1" customWidth="1"/>
    <col min="6602" max="6602" width="12.27734375" style="233" bestFit="1" customWidth="1"/>
    <col min="6603" max="6603" width="18.27734375" style="233" bestFit="1" customWidth="1"/>
    <col min="6604" max="6604" width="10.83203125" style="233" bestFit="1" customWidth="1"/>
    <col min="6605" max="6840" width="8.83203125" style="233"/>
    <col min="6841" max="6841" width="38.27734375" style="233" customWidth="1"/>
    <col min="6842" max="6842" width="23.44140625" style="233" bestFit="1" customWidth="1"/>
    <col min="6843" max="6844" width="9.1640625" style="233" customWidth="1"/>
    <col min="6845" max="6845" width="11.27734375" style="233" bestFit="1" customWidth="1"/>
    <col min="6846" max="6846" width="14.44140625" style="233" bestFit="1" customWidth="1"/>
    <col min="6847" max="6847" width="8.1640625" style="233" customWidth="1"/>
    <col min="6848" max="6848" width="10.83203125" style="233" bestFit="1" customWidth="1"/>
    <col min="6849" max="6849" width="12.27734375" style="233" bestFit="1" customWidth="1"/>
    <col min="6850" max="6850" width="9.1640625" style="233" customWidth="1"/>
    <col min="6851" max="6851" width="10.83203125" style="233" bestFit="1" customWidth="1"/>
    <col min="6852" max="6852" width="12.27734375" style="233" bestFit="1" customWidth="1"/>
    <col min="6853" max="6853" width="8" style="233" customWidth="1"/>
    <col min="6854" max="6854" width="10.83203125" style="233" bestFit="1" customWidth="1"/>
    <col min="6855" max="6855" width="12.27734375" style="233" bestFit="1" customWidth="1"/>
    <col min="6856" max="6856" width="8.1640625" style="233" bestFit="1" customWidth="1"/>
    <col min="6857" max="6857" width="10.83203125" style="233" bestFit="1" customWidth="1"/>
    <col min="6858" max="6858" width="12.27734375" style="233" bestFit="1" customWidth="1"/>
    <col min="6859" max="6859" width="18.27734375" style="233" bestFit="1" customWidth="1"/>
    <col min="6860" max="6860" width="10.83203125" style="233" bestFit="1" customWidth="1"/>
    <col min="6861" max="7096" width="8.83203125" style="233"/>
    <col min="7097" max="7097" width="38.27734375" style="233" customWidth="1"/>
    <col min="7098" max="7098" width="23.44140625" style="233" bestFit="1" customWidth="1"/>
    <col min="7099" max="7100" width="9.1640625" style="233" customWidth="1"/>
    <col min="7101" max="7101" width="11.27734375" style="233" bestFit="1" customWidth="1"/>
    <col min="7102" max="7102" width="14.44140625" style="233" bestFit="1" customWidth="1"/>
    <col min="7103" max="7103" width="8.1640625" style="233" customWidth="1"/>
    <col min="7104" max="7104" width="10.83203125" style="233" bestFit="1" customWidth="1"/>
    <col min="7105" max="7105" width="12.27734375" style="233" bestFit="1" customWidth="1"/>
    <col min="7106" max="7106" width="9.1640625" style="233" customWidth="1"/>
    <col min="7107" max="7107" width="10.83203125" style="233" bestFit="1" customWidth="1"/>
    <col min="7108" max="7108" width="12.27734375" style="233" bestFit="1" customWidth="1"/>
    <col min="7109" max="7109" width="8" style="233" customWidth="1"/>
    <col min="7110" max="7110" width="10.83203125" style="233" bestFit="1" customWidth="1"/>
    <col min="7111" max="7111" width="12.27734375" style="233" bestFit="1" customWidth="1"/>
    <col min="7112" max="7112" width="8.1640625" style="233" bestFit="1" customWidth="1"/>
    <col min="7113" max="7113" width="10.83203125" style="233" bestFit="1" customWidth="1"/>
    <col min="7114" max="7114" width="12.27734375" style="233" bestFit="1" customWidth="1"/>
    <col min="7115" max="7115" width="18.27734375" style="233" bestFit="1" customWidth="1"/>
    <col min="7116" max="7116" width="10.83203125" style="233" bestFit="1" customWidth="1"/>
    <col min="7117" max="7352" width="8.83203125" style="233"/>
    <col min="7353" max="7353" width="38.27734375" style="233" customWidth="1"/>
    <col min="7354" max="7354" width="23.44140625" style="233" bestFit="1" customWidth="1"/>
    <col min="7355" max="7356" width="9.1640625" style="233" customWidth="1"/>
    <col min="7357" max="7357" width="11.27734375" style="233" bestFit="1" customWidth="1"/>
    <col min="7358" max="7358" width="14.44140625" style="233" bestFit="1" customWidth="1"/>
    <col min="7359" max="7359" width="8.1640625" style="233" customWidth="1"/>
    <col min="7360" max="7360" width="10.83203125" style="233" bestFit="1" customWidth="1"/>
    <col min="7361" max="7361" width="12.27734375" style="233" bestFit="1" customWidth="1"/>
    <col min="7362" max="7362" width="9.1640625" style="233" customWidth="1"/>
    <col min="7363" max="7363" width="10.83203125" style="233" bestFit="1" customWidth="1"/>
    <col min="7364" max="7364" width="12.27734375" style="233" bestFit="1" customWidth="1"/>
    <col min="7365" max="7365" width="8" style="233" customWidth="1"/>
    <col min="7366" max="7366" width="10.83203125" style="233" bestFit="1" customWidth="1"/>
    <col min="7367" max="7367" width="12.27734375" style="233" bestFit="1" customWidth="1"/>
    <col min="7368" max="7368" width="8.1640625" style="233" bestFit="1" customWidth="1"/>
    <col min="7369" max="7369" width="10.83203125" style="233" bestFit="1" customWidth="1"/>
    <col min="7370" max="7370" width="12.27734375" style="233" bestFit="1" customWidth="1"/>
    <col min="7371" max="7371" width="18.27734375" style="233" bestFit="1" customWidth="1"/>
    <col min="7372" max="7372" width="10.83203125" style="233" bestFit="1" customWidth="1"/>
    <col min="7373" max="7608" width="8.83203125" style="233"/>
    <col min="7609" max="7609" width="38.27734375" style="233" customWidth="1"/>
    <col min="7610" max="7610" width="23.44140625" style="233" bestFit="1" customWidth="1"/>
    <col min="7611" max="7612" width="9.1640625" style="233" customWidth="1"/>
    <col min="7613" max="7613" width="11.27734375" style="233" bestFit="1" customWidth="1"/>
    <col min="7614" max="7614" width="14.44140625" style="233" bestFit="1" customWidth="1"/>
    <col min="7615" max="7615" width="8.1640625" style="233" customWidth="1"/>
    <col min="7616" max="7616" width="10.83203125" style="233" bestFit="1" customWidth="1"/>
    <col min="7617" max="7617" width="12.27734375" style="233" bestFit="1" customWidth="1"/>
    <col min="7618" max="7618" width="9.1640625" style="233" customWidth="1"/>
    <col min="7619" max="7619" width="10.83203125" style="233" bestFit="1" customWidth="1"/>
    <col min="7620" max="7620" width="12.27734375" style="233" bestFit="1" customWidth="1"/>
    <col min="7621" max="7621" width="8" style="233" customWidth="1"/>
    <col min="7622" max="7622" width="10.83203125" style="233" bestFit="1" customWidth="1"/>
    <col min="7623" max="7623" width="12.27734375" style="233" bestFit="1" customWidth="1"/>
    <col min="7624" max="7624" width="8.1640625" style="233" bestFit="1" customWidth="1"/>
    <col min="7625" max="7625" width="10.83203125" style="233" bestFit="1" customWidth="1"/>
    <col min="7626" max="7626" width="12.27734375" style="233" bestFit="1" customWidth="1"/>
    <col min="7627" max="7627" width="18.27734375" style="233" bestFit="1" customWidth="1"/>
    <col min="7628" max="7628" width="10.83203125" style="233" bestFit="1" customWidth="1"/>
    <col min="7629" max="7864" width="8.83203125" style="233"/>
    <col min="7865" max="7865" width="38.27734375" style="233" customWidth="1"/>
    <col min="7866" max="7866" width="23.44140625" style="233" bestFit="1" customWidth="1"/>
    <col min="7867" max="7868" width="9.1640625" style="233" customWidth="1"/>
    <col min="7869" max="7869" width="11.27734375" style="233" bestFit="1" customWidth="1"/>
    <col min="7870" max="7870" width="14.44140625" style="233" bestFit="1" customWidth="1"/>
    <col min="7871" max="7871" width="8.1640625" style="233" customWidth="1"/>
    <col min="7872" max="7872" width="10.83203125" style="233" bestFit="1" customWidth="1"/>
    <col min="7873" max="7873" width="12.27734375" style="233" bestFit="1" customWidth="1"/>
    <col min="7874" max="7874" width="9.1640625" style="233" customWidth="1"/>
    <col min="7875" max="7875" width="10.83203125" style="233" bestFit="1" customWidth="1"/>
    <col min="7876" max="7876" width="12.27734375" style="233" bestFit="1" customWidth="1"/>
    <col min="7877" max="7877" width="8" style="233" customWidth="1"/>
    <col min="7878" max="7878" width="10.83203125" style="233" bestFit="1" customWidth="1"/>
    <col min="7879" max="7879" width="12.27734375" style="233" bestFit="1" customWidth="1"/>
    <col min="7880" max="7880" width="8.1640625" style="233" bestFit="1" customWidth="1"/>
    <col min="7881" max="7881" width="10.83203125" style="233" bestFit="1" customWidth="1"/>
    <col min="7882" max="7882" width="12.27734375" style="233" bestFit="1" customWidth="1"/>
    <col min="7883" max="7883" width="18.27734375" style="233" bestFit="1" customWidth="1"/>
    <col min="7884" max="7884" width="10.83203125" style="233" bestFit="1" customWidth="1"/>
    <col min="7885" max="8120" width="8.83203125" style="233"/>
    <col min="8121" max="8121" width="38.27734375" style="233" customWidth="1"/>
    <col min="8122" max="8122" width="23.44140625" style="233" bestFit="1" customWidth="1"/>
    <col min="8123" max="8124" width="9.1640625" style="233" customWidth="1"/>
    <col min="8125" max="8125" width="11.27734375" style="233" bestFit="1" customWidth="1"/>
    <col min="8126" max="8126" width="14.44140625" style="233" bestFit="1" customWidth="1"/>
    <col min="8127" max="8127" width="8.1640625" style="233" customWidth="1"/>
    <col min="8128" max="8128" width="10.83203125" style="233" bestFit="1" customWidth="1"/>
    <col min="8129" max="8129" width="12.27734375" style="233" bestFit="1" customWidth="1"/>
    <col min="8130" max="8130" width="9.1640625" style="233" customWidth="1"/>
    <col min="8131" max="8131" width="10.83203125" style="233" bestFit="1" customWidth="1"/>
    <col min="8132" max="8132" width="12.27734375" style="233" bestFit="1" customWidth="1"/>
    <col min="8133" max="8133" width="8" style="233" customWidth="1"/>
    <col min="8134" max="8134" width="10.83203125" style="233" bestFit="1" customWidth="1"/>
    <col min="8135" max="8135" width="12.27734375" style="233" bestFit="1" customWidth="1"/>
    <col min="8136" max="8136" width="8.1640625" style="233" bestFit="1" customWidth="1"/>
    <col min="8137" max="8137" width="10.83203125" style="233" bestFit="1" customWidth="1"/>
    <col min="8138" max="8138" width="12.27734375" style="233" bestFit="1" customWidth="1"/>
    <col min="8139" max="8139" width="18.27734375" style="233" bestFit="1" customWidth="1"/>
    <col min="8140" max="8140" width="10.83203125" style="233" bestFit="1" customWidth="1"/>
    <col min="8141" max="8376" width="8.83203125" style="233"/>
    <col min="8377" max="8377" width="38.27734375" style="233" customWidth="1"/>
    <col min="8378" max="8378" width="23.44140625" style="233" bestFit="1" customWidth="1"/>
    <col min="8379" max="8380" width="9.1640625" style="233" customWidth="1"/>
    <col min="8381" max="8381" width="11.27734375" style="233" bestFit="1" customWidth="1"/>
    <col min="8382" max="8382" width="14.44140625" style="233" bestFit="1" customWidth="1"/>
    <col min="8383" max="8383" width="8.1640625" style="233" customWidth="1"/>
    <col min="8384" max="8384" width="10.83203125" style="233" bestFit="1" customWidth="1"/>
    <col min="8385" max="8385" width="12.27734375" style="233" bestFit="1" customWidth="1"/>
    <col min="8386" max="8386" width="9.1640625" style="233" customWidth="1"/>
    <col min="8387" max="8387" width="10.83203125" style="233" bestFit="1" customWidth="1"/>
    <col min="8388" max="8388" width="12.27734375" style="233" bestFit="1" customWidth="1"/>
    <col min="8389" max="8389" width="8" style="233" customWidth="1"/>
    <col min="8390" max="8390" width="10.83203125" style="233" bestFit="1" customWidth="1"/>
    <col min="8391" max="8391" width="12.27734375" style="233" bestFit="1" customWidth="1"/>
    <col min="8392" max="8392" width="8.1640625" style="233" bestFit="1" customWidth="1"/>
    <col min="8393" max="8393" width="10.83203125" style="233" bestFit="1" customWidth="1"/>
    <col min="8394" max="8394" width="12.27734375" style="233" bestFit="1" customWidth="1"/>
    <col min="8395" max="8395" width="18.27734375" style="233" bestFit="1" customWidth="1"/>
    <col min="8396" max="8396" width="10.83203125" style="233" bestFit="1" customWidth="1"/>
    <col min="8397" max="8632" width="8.83203125" style="233"/>
    <col min="8633" max="8633" width="38.27734375" style="233" customWidth="1"/>
    <col min="8634" max="8634" width="23.44140625" style="233" bestFit="1" customWidth="1"/>
    <col min="8635" max="8636" width="9.1640625" style="233" customWidth="1"/>
    <col min="8637" max="8637" width="11.27734375" style="233" bestFit="1" customWidth="1"/>
    <col min="8638" max="8638" width="14.44140625" style="233" bestFit="1" customWidth="1"/>
    <col min="8639" max="8639" width="8.1640625" style="233" customWidth="1"/>
    <col min="8640" max="8640" width="10.83203125" style="233" bestFit="1" customWidth="1"/>
    <col min="8641" max="8641" width="12.27734375" style="233" bestFit="1" customWidth="1"/>
    <col min="8642" max="8642" width="9.1640625" style="233" customWidth="1"/>
    <col min="8643" max="8643" width="10.83203125" style="233" bestFit="1" customWidth="1"/>
    <col min="8644" max="8644" width="12.27734375" style="233" bestFit="1" customWidth="1"/>
    <col min="8645" max="8645" width="8" style="233" customWidth="1"/>
    <col min="8646" max="8646" width="10.83203125" style="233" bestFit="1" customWidth="1"/>
    <col min="8647" max="8647" width="12.27734375" style="233" bestFit="1" customWidth="1"/>
    <col min="8648" max="8648" width="8.1640625" style="233" bestFit="1" customWidth="1"/>
    <col min="8649" max="8649" width="10.83203125" style="233" bestFit="1" customWidth="1"/>
    <col min="8650" max="8650" width="12.27734375" style="233" bestFit="1" customWidth="1"/>
    <col min="8651" max="8651" width="18.27734375" style="233" bestFit="1" customWidth="1"/>
    <col min="8652" max="8652" width="10.83203125" style="233" bestFit="1" customWidth="1"/>
    <col min="8653" max="8888" width="8.83203125" style="233"/>
    <col min="8889" max="8889" width="38.27734375" style="233" customWidth="1"/>
    <col min="8890" max="8890" width="23.44140625" style="233" bestFit="1" customWidth="1"/>
    <col min="8891" max="8892" width="9.1640625" style="233" customWidth="1"/>
    <col min="8893" max="8893" width="11.27734375" style="233" bestFit="1" customWidth="1"/>
    <col min="8894" max="8894" width="14.44140625" style="233" bestFit="1" customWidth="1"/>
    <col min="8895" max="8895" width="8.1640625" style="233" customWidth="1"/>
    <col min="8896" max="8896" width="10.83203125" style="233" bestFit="1" customWidth="1"/>
    <col min="8897" max="8897" width="12.27734375" style="233" bestFit="1" customWidth="1"/>
    <col min="8898" max="8898" width="9.1640625" style="233" customWidth="1"/>
    <col min="8899" max="8899" width="10.83203125" style="233" bestFit="1" customWidth="1"/>
    <col min="8900" max="8900" width="12.27734375" style="233" bestFit="1" customWidth="1"/>
    <col min="8901" max="8901" width="8" style="233" customWidth="1"/>
    <col min="8902" max="8902" width="10.83203125" style="233" bestFit="1" customWidth="1"/>
    <col min="8903" max="8903" width="12.27734375" style="233" bestFit="1" customWidth="1"/>
    <col min="8904" max="8904" width="8.1640625" style="233" bestFit="1" customWidth="1"/>
    <col min="8905" max="8905" width="10.83203125" style="233" bestFit="1" customWidth="1"/>
    <col min="8906" max="8906" width="12.27734375" style="233" bestFit="1" customWidth="1"/>
    <col min="8907" max="8907" width="18.27734375" style="233" bestFit="1" customWidth="1"/>
    <col min="8908" max="8908" width="10.83203125" style="233" bestFit="1" customWidth="1"/>
    <col min="8909" max="9144" width="8.83203125" style="233"/>
    <col min="9145" max="9145" width="38.27734375" style="233" customWidth="1"/>
    <col min="9146" max="9146" width="23.44140625" style="233" bestFit="1" customWidth="1"/>
    <col min="9147" max="9148" width="9.1640625" style="233" customWidth="1"/>
    <col min="9149" max="9149" width="11.27734375" style="233" bestFit="1" customWidth="1"/>
    <col min="9150" max="9150" width="14.44140625" style="233" bestFit="1" customWidth="1"/>
    <col min="9151" max="9151" width="8.1640625" style="233" customWidth="1"/>
    <col min="9152" max="9152" width="10.83203125" style="233" bestFit="1" customWidth="1"/>
    <col min="9153" max="9153" width="12.27734375" style="233" bestFit="1" customWidth="1"/>
    <col min="9154" max="9154" width="9.1640625" style="233" customWidth="1"/>
    <col min="9155" max="9155" width="10.83203125" style="233" bestFit="1" customWidth="1"/>
    <col min="9156" max="9156" width="12.27734375" style="233" bestFit="1" customWidth="1"/>
    <col min="9157" max="9157" width="8" style="233" customWidth="1"/>
    <col min="9158" max="9158" width="10.83203125" style="233" bestFit="1" customWidth="1"/>
    <col min="9159" max="9159" width="12.27734375" style="233" bestFit="1" customWidth="1"/>
    <col min="9160" max="9160" width="8.1640625" style="233" bestFit="1" customWidth="1"/>
    <col min="9161" max="9161" width="10.83203125" style="233" bestFit="1" customWidth="1"/>
    <col min="9162" max="9162" width="12.27734375" style="233" bestFit="1" customWidth="1"/>
    <col min="9163" max="9163" width="18.27734375" style="233" bestFit="1" customWidth="1"/>
    <col min="9164" max="9164" width="10.83203125" style="233" bestFit="1" customWidth="1"/>
    <col min="9165" max="9400" width="8.83203125" style="233"/>
    <col min="9401" max="9401" width="38.27734375" style="233" customWidth="1"/>
    <col min="9402" max="9402" width="23.44140625" style="233" bestFit="1" customWidth="1"/>
    <col min="9403" max="9404" width="9.1640625" style="233" customWidth="1"/>
    <col min="9405" max="9405" width="11.27734375" style="233" bestFit="1" customWidth="1"/>
    <col min="9406" max="9406" width="14.44140625" style="233" bestFit="1" customWidth="1"/>
    <col min="9407" max="9407" width="8.1640625" style="233" customWidth="1"/>
    <col min="9408" max="9408" width="10.83203125" style="233" bestFit="1" customWidth="1"/>
    <col min="9409" max="9409" width="12.27734375" style="233" bestFit="1" customWidth="1"/>
    <col min="9410" max="9410" width="9.1640625" style="233" customWidth="1"/>
    <col min="9411" max="9411" width="10.83203125" style="233" bestFit="1" customWidth="1"/>
    <col min="9412" max="9412" width="12.27734375" style="233" bestFit="1" customWidth="1"/>
    <col min="9413" max="9413" width="8" style="233" customWidth="1"/>
    <col min="9414" max="9414" width="10.83203125" style="233" bestFit="1" customWidth="1"/>
    <col min="9415" max="9415" width="12.27734375" style="233" bestFit="1" customWidth="1"/>
    <col min="9416" max="9416" width="8.1640625" style="233" bestFit="1" customWidth="1"/>
    <col min="9417" max="9417" width="10.83203125" style="233" bestFit="1" customWidth="1"/>
    <col min="9418" max="9418" width="12.27734375" style="233" bestFit="1" customWidth="1"/>
    <col min="9419" max="9419" width="18.27734375" style="233" bestFit="1" customWidth="1"/>
    <col min="9420" max="9420" width="10.83203125" style="233" bestFit="1" customWidth="1"/>
    <col min="9421" max="9656" width="8.83203125" style="233"/>
    <col min="9657" max="9657" width="38.27734375" style="233" customWidth="1"/>
    <col min="9658" max="9658" width="23.44140625" style="233" bestFit="1" customWidth="1"/>
    <col min="9659" max="9660" width="9.1640625" style="233" customWidth="1"/>
    <col min="9661" max="9661" width="11.27734375" style="233" bestFit="1" customWidth="1"/>
    <col min="9662" max="9662" width="14.44140625" style="233" bestFit="1" customWidth="1"/>
    <col min="9663" max="9663" width="8.1640625" style="233" customWidth="1"/>
    <col min="9664" max="9664" width="10.83203125" style="233" bestFit="1" customWidth="1"/>
    <col min="9665" max="9665" width="12.27734375" style="233" bestFit="1" customWidth="1"/>
    <col min="9666" max="9666" width="9.1640625" style="233" customWidth="1"/>
    <col min="9667" max="9667" width="10.83203125" style="233" bestFit="1" customWidth="1"/>
    <col min="9668" max="9668" width="12.27734375" style="233" bestFit="1" customWidth="1"/>
    <col min="9669" max="9669" width="8" style="233" customWidth="1"/>
    <col min="9670" max="9670" width="10.83203125" style="233" bestFit="1" customWidth="1"/>
    <col min="9671" max="9671" width="12.27734375" style="233" bestFit="1" customWidth="1"/>
    <col min="9672" max="9672" width="8.1640625" style="233" bestFit="1" customWidth="1"/>
    <col min="9673" max="9673" width="10.83203125" style="233" bestFit="1" customWidth="1"/>
    <col min="9674" max="9674" width="12.27734375" style="233" bestFit="1" customWidth="1"/>
    <col min="9675" max="9675" width="18.27734375" style="233" bestFit="1" customWidth="1"/>
    <col min="9676" max="9676" width="10.83203125" style="233" bestFit="1" customWidth="1"/>
    <col min="9677" max="9912" width="8.83203125" style="233"/>
    <col min="9913" max="9913" width="38.27734375" style="233" customWidth="1"/>
    <col min="9914" max="9914" width="23.44140625" style="233" bestFit="1" customWidth="1"/>
    <col min="9915" max="9916" width="9.1640625" style="233" customWidth="1"/>
    <col min="9917" max="9917" width="11.27734375" style="233" bestFit="1" customWidth="1"/>
    <col min="9918" max="9918" width="14.44140625" style="233" bestFit="1" customWidth="1"/>
    <col min="9919" max="9919" width="8.1640625" style="233" customWidth="1"/>
    <col min="9920" max="9920" width="10.83203125" style="233" bestFit="1" customWidth="1"/>
    <col min="9921" max="9921" width="12.27734375" style="233" bestFit="1" customWidth="1"/>
    <col min="9922" max="9922" width="9.1640625" style="233" customWidth="1"/>
    <col min="9923" max="9923" width="10.83203125" style="233" bestFit="1" customWidth="1"/>
    <col min="9924" max="9924" width="12.27734375" style="233" bestFit="1" customWidth="1"/>
    <col min="9925" max="9925" width="8" style="233" customWidth="1"/>
    <col min="9926" max="9926" width="10.83203125" style="233" bestFit="1" customWidth="1"/>
    <col min="9927" max="9927" width="12.27734375" style="233" bestFit="1" customWidth="1"/>
    <col min="9928" max="9928" width="8.1640625" style="233" bestFit="1" customWidth="1"/>
    <col min="9929" max="9929" width="10.83203125" style="233" bestFit="1" customWidth="1"/>
    <col min="9930" max="9930" width="12.27734375" style="233" bestFit="1" customWidth="1"/>
    <col min="9931" max="9931" width="18.27734375" style="233" bestFit="1" customWidth="1"/>
    <col min="9932" max="9932" width="10.83203125" style="233" bestFit="1" customWidth="1"/>
    <col min="9933" max="10168" width="8.83203125" style="233"/>
    <col min="10169" max="10169" width="38.27734375" style="233" customWidth="1"/>
    <col min="10170" max="10170" width="23.44140625" style="233" bestFit="1" customWidth="1"/>
    <col min="10171" max="10172" width="9.1640625" style="233" customWidth="1"/>
    <col min="10173" max="10173" width="11.27734375" style="233" bestFit="1" customWidth="1"/>
    <col min="10174" max="10174" width="14.44140625" style="233" bestFit="1" customWidth="1"/>
    <col min="10175" max="10175" width="8.1640625" style="233" customWidth="1"/>
    <col min="10176" max="10176" width="10.83203125" style="233" bestFit="1" customWidth="1"/>
    <col min="10177" max="10177" width="12.27734375" style="233" bestFit="1" customWidth="1"/>
    <col min="10178" max="10178" width="9.1640625" style="233" customWidth="1"/>
    <col min="10179" max="10179" width="10.83203125" style="233" bestFit="1" customWidth="1"/>
    <col min="10180" max="10180" width="12.27734375" style="233" bestFit="1" customWidth="1"/>
    <col min="10181" max="10181" width="8" style="233" customWidth="1"/>
    <col min="10182" max="10182" width="10.83203125" style="233" bestFit="1" customWidth="1"/>
    <col min="10183" max="10183" width="12.27734375" style="233" bestFit="1" customWidth="1"/>
    <col min="10184" max="10184" width="8.1640625" style="233" bestFit="1" customWidth="1"/>
    <col min="10185" max="10185" width="10.83203125" style="233" bestFit="1" customWidth="1"/>
    <col min="10186" max="10186" width="12.27734375" style="233" bestFit="1" customWidth="1"/>
    <col min="10187" max="10187" width="18.27734375" style="233" bestFit="1" customWidth="1"/>
    <col min="10188" max="10188" width="10.83203125" style="233" bestFit="1" customWidth="1"/>
    <col min="10189" max="10424" width="8.83203125" style="233"/>
    <col min="10425" max="10425" width="38.27734375" style="233" customWidth="1"/>
    <col min="10426" max="10426" width="23.44140625" style="233" bestFit="1" customWidth="1"/>
    <col min="10427" max="10428" width="9.1640625" style="233" customWidth="1"/>
    <col min="10429" max="10429" width="11.27734375" style="233" bestFit="1" customWidth="1"/>
    <col min="10430" max="10430" width="14.44140625" style="233" bestFit="1" customWidth="1"/>
    <col min="10431" max="10431" width="8.1640625" style="233" customWidth="1"/>
    <col min="10432" max="10432" width="10.83203125" style="233" bestFit="1" customWidth="1"/>
    <col min="10433" max="10433" width="12.27734375" style="233" bestFit="1" customWidth="1"/>
    <col min="10434" max="10434" width="9.1640625" style="233" customWidth="1"/>
    <col min="10435" max="10435" width="10.83203125" style="233" bestFit="1" customWidth="1"/>
    <col min="10436" max="10436" width="12.27734375" style="233" bestFit="1" customWidth="1"/>
    <col min="10437" max="10437" width="8" style="233" customWidth="1"/>
    <col min="10438" max="10438" width="10.83203125" style="233" bestFit="1" customWidth="1"/>
    <col min="10439" max="10439" width="12.27734375" style="233" bestFit="1" customWidth="1"/>
    <col min="10440" max="10440" width="8.1640625" style="233" bestFit="1" customWidth="1"/>
    <col min="10441" max="10441" width="10.83203125" style="233" bestFit="1" customWidth="1"/>
    <col min="10442" max="10442" width="12.27734375" style="233" bestFit="1" customWidth="1"/>
    <col min="10443" max="10443" width="18.27734375" style="233" bestFit="1" customWidth="1"/>
    <col min="10444" max="10444" width="10.83203125" style="233" bestFit="1" customWidth="1"/>
    <col min="10445" max="10680" width="8.83203125" style="233"/>
    <col min="10681" max="10681" width="38.27734375" style="233" customWidth="1"/>
    <col min="10682" max="10682" width="23.44140625" style="233" bestFit="1" customWidth="1"/>
    <col min="10683" max="10684" width="9.1640625" style="233" customWidth="1"/>
    <col min="10685" max="10685" width="11.27734375" style="233" bestFit="1" customWidth="1"/>
    <col min="10686" max="10686" width="14.44140625" style="233" bestFit="1" customWidth="1"/>
    <col min="10687" max="10687" width="8.1640625" style="233" customWidth="1"/>
    <col min="10688" max="10688" width="10.83203125" style="233" bestFit="1" customWidth="1"/>
    <col min="10689" max="10689" width="12.27734375" style="233" bestFit="1" customWidth="1"/>
    <col min="10690" max="10690" width="9.1640625" style="233" customWidth="1"/>
    <col min="10691" max="10691" width="10.83203125" style="233" bestFit="1" customWidth="1"/>
    <col min="10692" max="10692" width="12.27734375" style="233" bestFit="1" customWidth="1"/>
    <col min="10693" max="10693" width="8" style="233" customWidth="1"/>
    <col min="10694" max="10694" width="10.83203125" style="233" bestFit="1" customWidth="1"/>
    <col min="10695" max="10695" width="12.27734375" style="233" bestFit="1" customWidth="1"/>
    <col min="10696" max="10696" width="8.1640625" style="233" bestFit="1" customWidth="1"/>
    <col min="10697" max="10697" width="10.83203125" style="233" bestFit="1" customWidth="1"/>
    <col min="10698" max="10698" width="12.27734375" style="233" bestFit="1" customWidth="1"/>
    <col min="10699" max="10699" width="18.27734375" style="233" bestFit="1" customWidth="1"/>
    <col min="10700" max="10700" width="10.83203125" style="233" bestFit="1" customWidth="1"/>
    <col min="10701" max="10936" width="8.83203125" style="233"/>
    <col min="10937" max="10937" width="38.27734375" style="233" customWidth="1"/>
    <col min="10938" max="10938" width="23.44140625" style="233" bestFit="1" customWidth="1"/>
    <col min="10939" max="10940" width="9.1640625" style="233" customWidth="1"/>
    <col min="10941" max="10941" width="11.27734375" style="233" bestFit="1" customWidth="1"/>
    <col min="10942" max="10942" width="14.44140625" style="233" bestFit="1" customWidth="1"/>
    <col min="10943" max="10943" width="8.1640625" style="233" customWidth="1"/>
    <col min="10944" max="10944" width="10.83203125" style="233" bestFit="1" customWidth="1"/>
    <col min="10945" max="10945" width="12.27734375" style="233" bestFit="1" customWidth="1"/>
    <col min="10946" max="10946" width="9.1640625" style="233" customWidth="1"/>
    <col min="10947" max="10947" width="10.83203125" style="233" bestFit="1" customWidth="1"/>
    <col min="10948" max="10948" width="12.27734375" style="233" bestFit="1" customWidth="1"/>
    <col min="10949" max="10949" width="8" style="233" customWidth="1"/>
    <col min="10950" max="10950" width="10.83203125" style="233" bestFit="1" customWidth="1"/>
    <col min="10951" max="10951" width="12.27734375" style="233" bestFit="1" customWidth="1"/>
    <col min="10952" max="10952" width="8.1640625" style="233" bestFit="1" customWidth="1"/>
    <col min="10953" max="10953" width="10.83203125" style="233" bestFit="1" customWidth="1"/>
    <col min="10954" max="10954" width="12.27734375" style="233" bestFit="1" customWidth="1"/>
    <col min="10955" max="10955" width="18.27734375" style="233" bestFit="1" customWidth="1"/>
    <col min="10956" max="10956" width="10.83203125" style="233" bestFit="1" customWidth="1"/>
    <col min="10957" max="11192" width="8.83203125" style="233"/>
    <col min="11193" max="11193" width="38.27734375" style="233" customWidth="1"/>
    <col min="11194" max="11194" width="23.44140625" style="233" bestFit="1" customWidth="1"/>
    <col min="11195" max="11196" width="9.1640625" style="233" customWidth="1"/>
    <col min="11197" max="11197" width="11.27734375" style="233" bestFit="1" customWidth="1"/>
    <col min="11198" max="11198" width="14.44140625" style="233" bestFit="1" customWidth="1"/>
    <col min="11199" max="11199" width="8.1640625" style="233" customWidth="1"/>
    <col min="11200" max="11200" width="10.83203125" style="233" bestFit="1" customWidth="1"/>
    <col min="11201" max="11201" width="12.27734375" style="233" bestFit="1" customWidth="1"/>
    <col min="11202" max="11202" width="9.1640625" style="233" customWidth="1"/>
    <col min="11203" max="11203" width="10.83203125" style="233" bestFit="1" customWidth="1"/>
    <col min="11204" max="11204" width="12.27734375" style="233" bestFit="1" customWidth="1"/>
    <col min="11205" max="11205" width="8" style="233" customWidth="1"/>
    <col min="11206" max="11206" width="10.83203125" style="233" bestFit="1" customWidth="1"/>
    <col min="11207" max="11207" width="12.27734375" style="233" bestFit="1" customWidth="1"/>
    <col min="11208" max="11208" width="8.1640625" style="233" bestFit="1" customWidth="1"/>
    <col min="11209" max="11209" width="10.83203125" style="233" bestFit="1" customWidth="1"/>
    <col min="11210" max="11210" width="12.27734375" style="233" bestFit="1" customWidth="1"/>
    <col min="11211" max="11211" width="18.27734375" style="233" bestFit="1" customWidth="1"/>
    <col min="11212" max="11212" width="10.83203125" style="233" bestFit="1" customWidth="1"/>
    <col min="11213" max="11448" width="8.83203125" style="233"/>
    <col min="11449" max="11449" width="38.27734375" style="233" customWidth="1"/>
    <col min="11450" max="11450" width="23.44140625" style="233" bestFit="1" customWidth="1"/>
    <col min="11451" max="11452" width="9.1640625" style="233" customWidth="1"/>
    <col min="11453" max="11453" width="11.27734375" style="233" bestFit="1" customWidth="1"/>
    <col min="11454" max="11454" width="14.44140625" style="233" bestFit="1" customWidth="1"/>
    <col min="11455" max="11455" width="8.1640625" style="233" customWidth="1"/>
    <col min="11456" max="11456" width="10.83203125" style="233" bestFit="1" customWidth="1"/>
    <col min="11457" max="11457" width="12.27734375" style="233" bestFit="1" customWidth="1"/>
    <col min="11458" max="11458" width="9.1640625" style="233" customWidth="1"/>
    <col min="11459" max="11459" width="10.83203125" style="233" bestFit="1" customWidth="1"/>
    <col min="11460" max="11460" width="12.27734375" style="233" bestFit="1" customWidth="1"/>
    <col min="11461" max="11461" width="8" style="233" customWidth="1"/>
    <col min="11462" max="11462" width="10.83203125" style="233" bestFit="1" customWidth="1"/>
    <col min="11463" max="11463" width="12.27734375" style="233" bestFit="1" customWidth="1"/>
    <col min="11464" max="11464" width="8.1640625" style="233" bestFit="1" customWidth="1"/>
    <col min="11465" max="11465" width="10.83203125" style="233" bestFit="1" customWidth="1"/>
    <col min="11466" max="11466" width="12.27734375" style="233" bestFit="1" customWidth="1"/>
    <col min="11467" max="11467" width="18.27734375" style="233" bestFit="1" customWidth="1"/>
    <col min="11468" max="11468" width="10.83203125" style="233" bestFit="1" customWidth="1"/>
    <col min="11469" max="11704" width="8.83203125" style="233"/>
    <col min="11705" max="11705" width="38.27734375" style="233" customWidth="1"/>
    <col min="11706" max="11706" width="23.44140625" style="233" bestFit="1" customWidth="1"/>
    <col min="11707" max="11708" width="9.1640625" style="233" customWidth="1"/>
    <col min="11709" max="11709" width="11.27734375" style="233" bestFit="1" customWidth="1"/>
    <col min="11710" max="11710" width="14.44140625" style="233" bestFit="1" customWidth="1"/>
    <col min="11711" max="11711" width="8.1640625" style="233" customWidth="1"/>
    <col min="11712" max="11712" width="10.83203125" style="233" bestFit="1" customWidth="1"/>
    <col min="11713" max="11713" width="12.27734375" style="233" bestFit="1" customWidth="1"/>
    <col min="11714" max="11714" width="9.1640625" style="233" customWidth="1"/>
    <col min="11715" max="11715" width="10.83203125" style="233" bestFit="1" customWidth="1"/>
    <col min="11716" max="11716" width="12.27734375" style="233" bestFit="1" customWidth="1"/>
    <col min="11717" max="11717" width="8" style="233" customWidth="1"/>
    <col min="11718" max="11718" width="10.83203125" style="233" bestFit="1" customWidth="1"/>
    <col min="11719" max="11719" width="12.27734375" style="233" bestFit="1" customWidth="1"/>
    <col min="11720" max="11720" width="8.1640625" style="233" bestFit="1" customWidth="1"/>
    <col min="11721" max="11721" width="10.83203125" style="233" bestFit="1" customWidth="1"/>
    <col min="11722" max="11722" width="12.27734375" style="233" bestFit="1" customWidth="1"/>
    <col min="11723" max="11723" width="18.27734375" style="233" bestFit="1" customWidth="1"/>
    <col min="11724" max="11724" width="10.83203125" style="233" bestFit="1" customWidth="1"/>
    <col min="11725" max="11960" width="8.83203125" style="233"/>
    <col min="11961" max="11961" width="38.27734375" style="233" customWidth="1"/>
    <col min="11962" max="11962" width="23.44140625" style="233" bestFit="1" customWidth="1"/>
    <col min="11963" max="11964" width="9.1640625" style="233" customWidth="1"/>
    <col min="11965" max="11965" width="11.27734375" style="233" bestFit="1" customWidth="1"/>
    <col min="11966" max="11966" width="14.44140625" style="233" bestFit="1" customWidth="1"/>
    <col min="11967" max="11967" width="8.1640625" style="233" customWidth="1"/>
    <col min="11968" max="11968" width="10.83203125" style="233" bestFit="1" customWidth="1"/>
    <col min="11969" max="11969" width="12.27734375" style="233" bestFit="1" customWidth="1"/>
    <col min="11970" max="11970" width="9.1640625" style="233" customWidth="1"/>
    <col min="11971" max="11971" width="10.83203125" style="233" bestFit="1" customWidth="1"/>
    <col min="11972" max="11972" width="12.27734375" style="233" bestFit="1" customWidth="1"/>
    <col min="11973" max="11973" width="8" style="233" customWidth="1"/>
    <col min="11974" max="11974" width="10.83203125" style="233" bestFit="1" customWidth="1"/>
    <col min="11975" max="11975" width="12.27734375" style="233" bestFit="1" customWidth="1"/>
    <col min="11976" max="11976" width="8.1640625" style="233" bestFit="1" customWidth="1"/>
    <col min="11977" max="11977" width="10.83203125" style="233" bestFit="1" customWidth="1"/>
    <col min="11978" max="11978" width="12.27734375" style="233" bestFit="1" customWidth="1"/>
    <col min="11979" max="11979" width="18.27734375" style="233" bestFit="1" customWidth="1"/>
    <col min="11980" max="11980" width="10.83203125" style="233" bestFit="1" customWidth="1"/>
    <col min="11981" max="12216" width="8.83203125" style="233"/>
    <col min="12217" max="12217" width="38.27734375" style="233" customWidth="1"/>
    <col min="12218" max="12218" width="23.44140625" style="233" bestFit="1" customWidth="1"/>
    <col min="12219" max="12220" width="9.1640625" style="233" customWidth="1"/>
    <col min="12221" max="12221" width="11.27734375" style="233" bestFit="1" customWidth="1"/>
    <col min="12222" max="12222" width="14.44140625" style="233" bestFit="1" customWidth="1"/>
    <col min="12223" max="12223" width="8.1640625" style="233" customWidth="1"/>
    <col min="12224" max="12224" width="10.83203125" style="233" bestFit="1" customWidth="1"/>
    <col min="12225" max="12225" width="12.27734375" style="233" bestFit="1" customWidth="1"/>
    <col min="12226" max="12226" width="9.1640625" style="233" customWidth="1"/>
    <col min="12227" max="12227" width="10.83203125" style="233" bestFit="1" customWidth="1"/>
    <col min="12228" max="12228" width="12.27734375" style="233" bestFit="1" customWidth="1"/>
    <col min="12229" max="12229" width="8" style="233" customWidth="1"/>
    <col min="12230" max="12230" width="10.83203125" style="233" bestFit="1" customWidth="1"/>
    <col min="12231" max="12231" width="12.27734375" style="233" bestFit="1" customWidth="1"/>
    <col min="12232" max="12232" width="8.1640625" style="233" bestFit="1" customWidth="1"/>
    <col min="12233" max="12233" width="10.83203125" style="233" bestFit="1" customWidth="1"/>
    <col min="12234" max="12234" width="12.27734375" style="233" bestFit="1" customWidth="1"/>
    <col min="12235" max="12235" width="18.27734375" style="233" bestFit="1" customWidth="1"/>
    <col min="12236" max="12236" width="10.83203125" style="233" bestFit="1" customWidth="1"/>
    <col min="12237" max="12472" width="8.83203125" style="233"/>
    <col min="12473" max="12473" width="38.27734375" style="233" customWidth="1"/>
    <col min="12474" max="12474" width="23.44140625" style="233" bestFit="1" customWidth="1"/>
    <col min="12475" max="12476" width="9.1640625" style="233" customWidth="1"/>
    <col min="12477" max="12477" width="11.27734375" style="233" bestFit="1" customWidth="1"/>
    <col min="12478" max="12478" width="14.44140625" style="233" bestFit="1" customWidth="1"/>
    <col min="12479" max="12479" width="8.1640625" style="233" customWidth="1"/>
    <col min="12480" max="12480" width="10.83203125" style="233" bestFit="1" customWidth="1"/>
    <col min="12481" max="12481" width="12.27734375" style="233" bestFit="1" customWidth="1"/>
    <col min="12482" max="12482" width="9.1640625" style="233" customWidth="1"/>
    <col min="12483" max="12483" width="10.83203125" style="233" bestFit="1" customWidth="1"/>
    <col min="12484" max="12484" width="12.27734375" style="233" bestFit="1" customWidth="1"/>
    <col min="12485" max="12485" width="8" style="233" customWidth="1"/>
    <col min="12486" max="12486" width="10.83203125" style="233" bestFit="1" customWidth="1"/>
    <col min="12487" max="12487" width="12.27734375" style="233" bestFit="1" customWidth="1"/>
    <col min="12488" max="12488" width="8.1640625" style="233" bestFit="1" customWidth="1"/>
    <col min="12489" max="12489" width="10.83203125" style="233" bestFit="1" customWidth="1"/>
    <col min="12490" max="12490" width="12.27734375" style="233" bestFit="1" customWidth="1"/>
    <col min="12491" max="12491" width="18.27734375" style="233" bestFit="1" customWidth="1"/>
    <col min="12492" max="12492" width="10.83203125" style="233" bestFit="1" customWidth="1"/>
    <col min="12493" max="12728" width="8.83203125" style="233"/>
    <col min="12729" max="12729" width="38.27734375" style="233" customWidth="1"/>
    <col min="12730" max="12730" width="23.44140625" style="233" bestFit="1" customWidth="1"/>
    <col min="12731" max="12732" width="9.1640625" style="233" customWidth="1"/>
    <col min="12733" max="12733" width="11.27734375" style="233" bestFit="1" customWidth="1"/>
    <col min="12734" max="12734" width="14.44140625" style="233" bestFit="1" customWidth="1"/>
    <col min="12735" max="12735" width="8.1640625" style="233" customWidth="1"/>
    <col min="12736" max="12736" width="10.83203125" style="233" bestFit="1" customWidth="1"/>
    <col min="12737" max="12737" width="12.27734375" style="233" bestFit="1" customWidth="1"/>
    <col min="12738" max="12738" width="9.1640625" style="233" customWidth="1"/>
    <col min="12739" max="12739" width="10.83203125" style="233" bestFit="1" customWidth="1"/>
    <col min="12740" max="12740" width="12.27734375" style="233" bestFit="1" customWidth="1"/>
    <col min="12741" max="12741" width="8" style="233" customWidth="1"/>
    <col min="12742" max="12742" width="10.83203125" style="233" bestFit="1" customWidth="1"/>
    <col min="12743" max="12743" width="12.27734375" style="233" bestFit="1" customWidth="1"/>
    <col min="12744" max="12744" width="8.1640625" style="233" bestFit="1" customWidth="1"/>
    <col min="12745" max="12745" width="10.83203125" style="233" bestFit="1" customWidth="1"/>
    <col min="12746" max="12746" width="12.27734375" style="233" bestFit="1" customWidth="1"/>
    <col min="12747" max="12747" width="18.27734375" style="233" bestFit="1" customWidth="1"/>
    <col min="12748" max="12748" width="10.83203125" style="233" bestFit="1" customWidth="1"/>
    <col min="12749" max="12984" width="8.83203125" style="233"/>
    <col min="12985" max="12985" width="38.27734375" style="233" customWidth="1"/>
    <col min="12986" max="12986" width="23.44140625" style="233" bestFit="1" customWidth="1"/>
    <col min="12987" max="12988" width="9.1640625" style="233" customWidth="1"/>
    <col min="12989" max="12989" width="11.27734375" style="233" bestFit="1" customWidth="1"/>
    <col min="12990" max="12990" width="14.44140625" style="233" bestFit="1" customWidth="1"/>
    <col min="12991" max="12991" width="8.1640625" style="233" customWidth="1"/>
    <col min="12992" max="12992" width="10.83203125" style="233" bestFit="1" customWidth="1"/>
    <col min="12993" max="12993" width="12.27734375" style="233" bestFit="1" customWidth="1"/>
    <col min="12994" max="12994" width="9.1640625" style="233" customWidth="1"/>
    <col min="12995" max="12995" width="10.83203125" style="233" bestFit="1" customWidth="1"/>
    <col min="12996" max="12996" width="12.27734375" style="233" bestFit="1" customWidth="1"/>
    <col min="12997" max="12997" width="8" style="233" customWidth="1"/>
    <col min="12998" max="12998" width="10.83203125" style="233" bestFit="1" customWidth="1"/>
    <col min="12999" max="12999" width="12.27734375" style="233" bestFit="1" customWidth="1"/>
    <col min="13000" max="13000" width="8.1640625" style="233" bestFit="1" customWidth="1"/>
    <col min="13001" max="13001" width="10.83203125" style="233" bestFit="1" customWidth="1"/>
    <col min="13002" max="13002" width="12.27734375" style="233" bestFit="1" customWidth="1"/>
    <col min="13003" max="13003" width="18.27734375" style="233" bestFit="1" customWidth="1"/>
    <col min="13004" max="13004" width="10.83203125" style="233" bestFit="1" customWidth="1"/>
    <col min="13005" max="13240" width="8.83203125" style="233"/>
    <col min="13241" max="13241" width="38.27734375" style="233" customWidth="1"/>
    <col min="13242" max="13242" width="23.44140625" style="233" bestFit="1" customWidth="1"/>
    <col min="13243" max="13244" width="9.1640625" style="233" customWidth="1"/>
    <col min="13245" max="13245" width="11.27734375" style="233" bestFit="1" customWidth="1"/>
    <col min="13246" max="13246" width="14.44140625" style="233" bestFit="1" customWidth="1"/>
    <col min="13247" max="13247" width="8.1640625" style="233" customWidth="1"/>
    <col min="13248" max="13248" width="10.83203125" style="233" bestFit="1" customWidth="1"/>
    <col min="13249" max="13249" width="12.27734375" style="233" bestFit="1" customWidth="1"/>
    <col min="13250" max="13250" width="9.1640625" style="233" customWidth="1"/>
    <col min="13251" max="13251" width="10.83203125" style="233" bestFit="1" customWidth="1"/>
    <col min="13252" max="13252" width="12.27734375" style="233" bestFit="1" customWidth="1"/>
    <col min="13253" max="13253" width="8" style="233" customWidth="1"/>
    <col min="13254" max="13254" width="10.83203125" style="233" bestFit="1" customWidth="1"/>
    <col min="13255" max="13255" width="12.27734375" style="233" bestFit="1" customWidth="1"/>
    <col min="13256" max="13256" width="8.1640625" style="233" bestFit="1" customWidth="1"/>
    <col min="13257" max="13257" width="10.83203125" style="233" bestFit="1" customWidth="1"/>
    <col min="13258" max="13258" width="12.27734375" style="233" bestFit="1" customWidth="1"/>
    <col min="13259" max="13259" width="18.27734375" style="233" bestFit="1" customWidth="1"/>
    <col min="13260" max="13260" width="10.83203125" style="233" bestFit="1" customWidth="1"/>
    <col min="13261" max="13496" width="8.83203125" style="233"/>
    <col min="13497" max="13497" width="38.27734375" style="233" customWidth="1"/>
    <col min="13498" max="13498" width="23.44140625" style="233" bestFit="1" customWidth="1"/>
    <col min="13499" max="13500" width="9.1640625" style="233" customWidth="1"/>
    <col min="13501" max="13501" width="11.27734375" style="233" bestFit="1" customWidth="1"/>
    <col min="13502" max="13502" width="14.44140625" style="233" bestFit="1" customWidth="1"/>
    <col min="13503" max="13503" width="8.1640625" style="233" customWidth="1"/>
    <col min="13504" max="13504" width="10.83203125" style="233" bestFit="1" customWidth="1"/>
    <col min="13505" max="13505" width="12.27734375" style="233" bestFit="1" customWidth="1"/>
    <col min="13506" max="13506" width="9.1640625" style="233" customWidth="1"/>
    <col min="13507" max="13507" width="10.83203125" style="233" bestFit="1" customWidth="1"/>
    <col min="13508" max="13508" width="12.27734375" style="233" bestFit="1" customWidth="1"/>
    <col min="13509" max="13509" width="8" style="233" customWidth="1"/>
    <col min="13510" max="13510" width="10.83203125" style="233" bestFit="1" customWidth="1"/>
    <col min="13511" max="13511" width="12.27734375" style="233" bestFit="1" customWidth="1"/>
    <col min="13512" max="13512" width="8.1640625" style="233" bestFit="1" customWidth="1"/>
    <col min="13513" max="13513" width="10.83203125" style="233" bestFit="1" customWidth="1"/>
    <col min="13514" max="13514" width="12.27734375" style="233" bestFit="1" customWidth="1"/>
    <col min="13515" max="13515" width="18.27734375" style="233" bestFit="1" customWidth="1"/>
    <col min="13516" max="13516" width="10.83203125" style="233" bestFit="1" customWidth="1"/>
    <col min="13517" max="13752" width="8.83203125" style="233"/>
    <col min="13753" max="13753" width="38.27734375" style="233" customWidth="1"/>
    <col min="13754" max="13754" width="23.44140625" style="233" bestFit="1" customWidth="1"/>
    <col min="13755" max="13756" width="9.1640625" style="233" customWidth="1"/>
    <col min="13757" max="13757" width="11.27734375" style="233" bestFit="1" customWidth="1"/>
    <col min="13758" max="13758" width="14.44140625" style="233" bestFit="1" customWidth="1"/>
    <col min="13759" max="13759" width="8.1640625" style="233" customWidth="1"/>
    <col min="13760" max="13760" width="10.83203125" style="233" bestFit="1" customWidth="1"/>
    <col min="13761" max="13761" width="12.27734375" style="233" bestFit="1" customWidth="1"/>
    <col min="13762" max="13762" width="9.1640625" style="233" customWidth="1"/>
    <col min="13763" max="13763" width="10.83203125" style="233" bestFit="1" customWidth="1"/>
    <col min="13764" max="13764" width="12.27734375" style="233" bestFit="1" customWidth="1"/>
    <col min="13765" max="13765" width="8" style="233" customWidth="1"/>
    <col min="13766" max="13766" width="10.83203125" style="233" bestFit="1" customWidth="1"/>
    <col min="13767" max="13767" width="12.27734375" style="233" bestFit="1" customWidth="1"/>
    <col min="13768" max="13768" width="8.1640625" style="233" bestFit="1" customWidth="1"/>
    <col min="13769" max="13769" width="10.83203125" style="233" bestFit="1" customWidth="1"/>
    <col min="13770" max="13770" width="12.27734375" style="233" bestFit="1" customWidth="1"/>
    <col min="13771" max="13771" width="18.27734375" style="233" bestFit="1" customWidth="1"/>
    <col min="13772" max="13772" width="10.83203125" style="233" bestFit="1" customWidth="1"/>
    <col min="13773" max="14008" width="8.83203125" style="233"/>
    <col min="14009" max="14009" width="38.27734375" style="233" customWidth="1"/>
    <col min="14010" max="14010" width="23.44140625" style="233" bestFit="1" customWidth="1"/>
    <col min="14011" max="14012" width="9.1640625" style="233" customWidth="1"/>
    <col min="14013" max="14013" width="11.27734375" style="233" bestFit="1" customWidth="1"/>
    <col min="14014" max="14014" width="14.44140625" style="233" bestFit="1" customWidth="1"/>
    <col min="14015" max="14015" width="8.1640625" style="233" customWidth="1"/>
    <col min="14016" max="14016" width="10.83203125" style="233" bestFit="1" customWidth="1"/>
    <col min="14017" max="14017" width="12.27734375" style="233" bestFit="1" customWidth="1"/>
    <col min="14018" max="14018" width="9.1640625" style="233" customWidth="1"/>
    <col min="14019" max="14019" width="10.83203125" style="233" bestFit="1" customWidth="1"/>
    <col min="14020" max="14020" width="12.27734375" style="233" bestFit="1" customWidth="1"/>
    <col min="14021" max="14021" width="8" style="233" customWidth="1"/>
    <col min="14022" max="14022" width="10.83203125" style="233" bestFit="1" customWidth="1"/>
    <col min="14023" max="14023" width="12.27734375" style="233" bestFit="1" customWidth="1"/>
    <col min="14024" max="14024" width="8.1640625" style="233" bestFit="1" customWidth="1"/>
    <col min="14025" max="14025" width="10.83203125" style="233" bestFit="1" customWidth="1"/>
    <col min="14026" max="14026" width="12.27734375" style="233" bestFit="1" customWidth="1"/>
    <col min="14027" max="14027" width="18.27734375" style="233" bestFit="1" customWidth="1"/>
    <col min="14028" max="14028" width="10.83203125" style="233" bestFit="1" customWidth="1"/>
    <col min="14029" max="14264" width="8.83203125" style="233"/>
    <col min="14265" max="14265" width="38.27734375" style="233" customWidth="1"/>
    <col min="14266" max="14266" width="23.44140625" style="233" bestFit="1" customWidth="1"/>
    <col min="14267" max="14268" width="9.1640625" style="233" customWidth="1"/>
    <col min="14269" max="14269" width="11.27734375" style="233" bestFit="1" customWidth="1"/>
    <col min="14270" max="14270" width="14.44140625" style="233" bestFit="1" customWidth="1"/>
    <col min="14271" max="14271" width="8.1640625" style="233" customWidth="1"/>
    <col min="14272" max="14272" width="10.83203125" style="233" bestFit="1" customWidth="1"/>
    <col min="14273" max="14273" width="12.27734375" style="233" bestFit="1" customWidth="1"/>
    <col min="14274" max="14274" width="9.1640625" style="233" customWidth="1"/>
    <col min="14275" max="14275" width="10.83203125" style="233" bestFit="1" customWidth="1"/>
    <col min="14276" max="14276" width="12.27734375" style="233" bestFit="1" customWidth="1"/>
    <col min="14277" max="14277" width="8" style="233" customWidth="1"/>
    <col min="14278" max="14278" width="10.83203125" style="233" bestFit="1" customWidth="1"/>
    <col min="14279" max="14279" width="12.27734375" style="233" bestFit="1" customWidth="1"/>
    <col min="14280" max="14280" width="8.1640625" style="233" bestFit="1" customWidth="1"/>
    <col min="14281" max="14281" width="10.83203125" style="233" bestFit="1" customWidth="1"/>
    <col min="14282" max="14282" width="12.27734375" style="233" bestFit="1" customWidth="1"/>
    <col min="14283" max="14283" width="18.27734375" style="233" bestFit="1" customWidth="1"/>
    <col min="14284" max="14284" width="10.83203125" style="233" bestFit="1" customWidth="1"/>
    <col min="14285" max="14520" width="8.83203125" style="233"/>
    <col min="14521" max="14521" width="38.27734375" style="233" customWidth="1"/>
    <col min="14522" max="14522" width="23.44140625" style="233" bestFit="1" customWidth="1"/>
    <col min="14523" max="14524" width="9.1640625" style="233" customWidth="1"/>
    <col min="14525" max="14525" width="11.27734375" style="233" bestFit="1" customWidth="1"/>
    <col min="14526" max="14526" width="14.44140625" style="233" bestFit="1" customWidth="1"/>
    <col min="14527" max="14527" width="8.1640625" style="233" customWidth="1"/>
    <col min="14528" max="14528" width="10.83203125" style="233" bestFit="1" customWidth="1"/>
    <col min="14529" max="14529" width="12.27734375" style="233" bestFit="1" customWidth="1"/>
    <col min="14530" max="14530" width="9.1640625" style="233" customWidth="1"/>
    <col min="14531" max="14531" width="10.83203125" style="233" bestFit="1" customWidth="1"/>
    <col min="14532" max="14532" width="12.27734375" style="233" bestFit="1" customWidth="1"/>
    <col min="14533" max="14533" width="8" style="233" customWidth="1"/>
    <col min="14534" max="14534" width="10.83203125" style="233" bestFit="1" customWidth="1"/>
    <col min="14535" max="14535" width="12.27734375" style="233" bestFit="1" customWidth="1"/>
    <col min="14536" max="14536" width="8.1640625" style="233" bestFit="1" customWidth="1"/>
    <col min="14537" max="14537" width="10.83203125" style="233" bestFit="1" customWidth="1"/>
    <col min="14538" max="14538" width="12.27734375" style="233" bestFit="1" customWidth="1"/>
    <col min="14539" max="14539" width="18.27734375" style="233" bestFit="1" customWidth="1"/>
    <col min="14540" max="14540" width="10.83203125" style="233" bestFit="1" customWidth="1"/>
    <col min="14541" max="14776" width="8.83203125" style="233"/>
    <col min="14777" max="14777" width="38.27734375" style="233" customWidth="1"/>
    <col min="14778" max="14778" width="23.44140625" style="233" bestFit="1" customWidth="1"/>
    <col min="14779" max="14780" width="9.1640625" style="233" customWidth="1"/>
    <col min="14781" max="14781" width="11.27734375" style="233" bestFit="1" customWidth="1"/>
    <col min="14782" max="14782" width="14.44140625" style="233" bestFit="1" customWidth="1"/>
    <col min="14783" max="14783" width="8.1640625" style="233" customWidth="1"/>
    <col min="14784" max="14784" width="10.83203125" style="233" bestFit="1" customWidth="1"/>
    <col min="14785" max="14785" width="12.27734375" style="233" bestFit="1" customWidth="1"/>
    <col min="14786" max="14786" width="9.1640625" style="233" customWidth="1"/>
    <col min="14787" max="14787" width="10.83203125" style="233" bestFit="1" customWidth="1"/>
    <col min="14788" max="14788" width="12.27734375" style="233" bestFit="1" customWidth="1"/>
    <col min="14789" max="14789" width="8" style="233" customWidth="1"/>
    <col min="14790" max="14790" width="10.83203125" style="233" bestFit="1" customWidth="1"/>
    <col min="14791" max="14791" width="12.27734375" style="233" bestFit="1" customWidth="1"/>
    <col min="14792" max="14792" width="8.1640625" style="233" bestFit="1" customWidth="1"/>
    <col min="14793" max="14793" width="10.83203125" style="233" bestFit="1" customWidth="1"/>
    <col min="14794" max="14794" width="12.27734375" style="233" bestFit="1" customWidth="1"/>
    <col min="14795" max="14795" width="18.27734375" style="233" bestFit="1" customWidth="1"/>
    <col min="14796" max="14796" width="10.83203125" style="233" bestFit="1" customWidth="1"/>
    <col min="14797" max="15032" width="8.83203125" style="233"/>
    <col min="15033" max="15033" width="38.27734375" style="233" customWidth="1"/>
    <col min="15034" max="15034" width="23.44140625" style="233" bestFit="1" customWidth="1"/>
    <col min="15035" max="15036" width="9.1640625" style="233" customWidth="1"/>
    <col min="15037" max="15037" width="11.27734375" style="233" bestFit="1" customWidth="1"/>
    <col min="15038" max="15038" width="14.44140625" style="233" bestFit="1" customWidth="1"/>
    <col min="15039" max="15039" width="8.1640625" style="233" customWidth="1"/>
    <col min="15040" max="15040" width="10.83203125" style="233" bestFit="1" customWidth="1"/>
    <col min="15041" max="15041" width="12.27734375" style="233" bestFit="1" customWidth="1"/>
    <col min="15042" max="15042" width="9.1640625" style="233" customWidth="1"/>
    <col min="15043" max="15043" width="10.83203125" style="233" bestFit="1" customWidth="1"/>
    <col min="15044" max="15044" width="12.27734375" style="233" bestFit="1" customWidth="1"/>
    <col min="15045" max="15045" width="8" style="233" customWidth="1"/>
    <col min="15046" max="15046" width="10.83203125" style="233" bestFit="1" customWidth="1"/>
    <col min="15047" max="15047" width="12.27734375" style="233" bestFit="1" customWidth="1"/>
    <col min="15048" max="15048" width="8.1640625" style="233" bestFit="1" customWidth="1"/>
    <col min="15049" max="15049" width="10.83203125" style="233" bestFit="1" customWidth="1"/>
    <col min="15050" max="15050" width="12.27734375" style="233" bestFit="1" customWidth="1"/>
    <col min="15051" max="15051" width="18.27734375" style="233" bestFit="1" customWidth="1"/>
    <col min="15052" max="15052" width="10.83203125" style="233" bestFit="1" customWidth="1"/>
    <col min="15053" max="15288" width="8.83203125" style="233"/>
    <col min="15289" max="15289" width="38.27734375" style="233" customWidth="1"/>
    <col min="15290" max="15290" width="23.44140625" style="233" bestFit="1" customWidth="1"/>
    <col min="15291" max="15292" width="9.1640625" style="233" customWidth="1"/>
    <col min="15293" max="15293" width="11.27734375" style="233" bestFit="1" customWidth="1"/>
    <col min="15294" max="15294" width="14.44140625" style="233" bestFit="1" customWidth="1"/>
    <col min="15295" max="15295" width="8.1640625" style="233" customWidth="1"/>
    <col min="15296" max="15296" width="10.83203125" style="233" bestFit="1" customWidth="1"/>
    <col min="15297" max="15297" width="12.27734375" style="233" bestFit="1" customWidth="1"/>
    <col min="15298" max="15298" width="9.1640625" style="233" customWidth="1"/>
    <col min="15299" max="15299" width="10.83203125" style="233" bestFit="1" customWidth="1"/>
    <col min="15300" max="15300" width="12.27734375" style="233" bestFit="1" customWidth="1"/>
    <col min="15301" max="15301" width="8" style="233" customWidth="1"/>
    <col min="15302" max="15302" width="10.83203125" style="233" bestFit="1" customWidth="1"/>
    <col min="15303" max="15303" width="12.27734375" style="233" bestFit="1" customWidth="1"/>
    <col min="15304" max="15304" width="8.1640625" style="233" bestFit="1" customWidth="1"/>
    <col min="15305" max="15305" width="10.83203125" style="233" bestFit="1" customWidth="1"/>
    <col min="15306" max="15306" width="12.27734375" style="233" bestFit="1" customWidth="1"/>
    <col min="15307" max="15307" width="18.27734375" style="233" bestFit="1" customWidth="1"/>
    <col min="15308" max="15308" width="10.83203125" style="233" bestFit="1" customWidth="1"/>
    <col min="15309" max="15544" width="8.83203125" style="233"/>
    <col min="15545" max="15545" width="38.27734375" style="233" customWidth="1"/>
    <col min="15546" max="15546" width="23.44140625" style="233" bestFit="1" customWidth="1"/>
    <col min="15547" max="15548" width="9.1640625" style="233" customWidth="1"/>
    <col min="15549" max="15549" width="11.27734375" style="233" bestFit="1" customWidth="1"/>
    <col min="15550" max="15550" width="14.44140625" style="233" bestFit="1" customWidth="1"/>
    <col min="15551" max="15551" width="8.1640625" style="233" customWidth="1"/>
    <col min="15552" max="15552" width="10.83203125" style="233" bestFit="1" customWidth="1"/>
    <col min="15553" max="15553" width="12.27734375" style="233" bestFit="1" customWidth="1"/>
    <col min="15554" max="15554" width="9.1640625" style="233" customWidth="1"/>
    <col min="15555" max="15555" width="10.83203125" style="233" bestFit="1" customWidth="1"/>
    <col min="15556" max="15556" width="12.27734375" style="233" bestFit="1" customWidth="1"/>
    <col min="15557" max="15557" width="8" style="233" customWidth="1"/>
    <col min="15558" max="15558" width="10.83203125" style="233" bestFit="1" customWidth="1"/>
    <col min="15559" max="15559" width="12.27734375" style="233" bestFit="1" customWidth="1"/>
    <col min="15560" max="15560" width="8.1640625" style="233" bestFit="1" customWidth="1"/>
    <col min="15561" max="15561" width="10.83203125" style="233" bestFit="1" customWidth="1"/>
    <col min="15562" max="15562" width="12.27734375" style="233" bestFit="1" customWidth="1"/>
    <col min="15563" max="15563" width="18.27734375" style="233" bestFit="1" customWidth="1"/>
    <col min="15564" max="15564" width="10.83203125" style="233" bestFit="1" customWidth="1"/>
    <col min="15565" max="15800" width="8.83203125" style="233"/>
    <col min="15801" max="15801" width="38.27734375" style="233" customWidth="1"/>
    <col min="15802" max="15802" width="23.44140625" style="233" bestFit="1" customWidth="1"/>
    <col min="15803" max="15804" width="9.1640625" style="233" customWidth="1"/>
    <col min="15805" max="15805" width="11.27734375" style="233" bestFit="1" customWidth="1"/>
    <col min="15806" max="15806" width="14.44140625" style="233" bestFit="1" customWidth="1"/>
    <col min="15807" max="15807" width="8.1640625" style="233" customWidth="1"/>
    <col min="15808" max="15808" width="10.83203125" style="233" bestFit="1" customWidth="1"/>
    <col min="15809" max="15809" width="12.27734375" style="233" bestFit="1" customWidth="1"/>
    <col min="15810" max="15810" width="9.1640625" style="233" customWidth="1"/>
    <col min="15811" max="15811" width="10.83203125" style="233" bestFit="1" customWidth="1"/>
    <col min="15812" max="15812" width="12.27734375" style="233" bestFit="1" customWidth="1"/>
    <col min="15813" max="15813" width="8" style="233" customWidth="1"/>
    <col min="15814" max="15814" width="10.83203125" style="233" bestFit="1" customWidth="1"/>
    <col min="15815" max="15815" width="12.27734375" style="233" bestFit="1" customWidth="1"/>
    <col min="15816" max="15816" width="8.1640625" style="233" bestFit="1" customWidth="1"/>
    <col min="15817" max="15817" width="10.83203125" style="233" bestFit="1" customWidth="1"/>
    <col min="15818" max="15818" width="12.27734375" style="233" bestFit="1" customWidth="1"/>
    <col min="15819" max="15819" width="18.27734375" style="233" bestFit="1" customWidth="1"/>
    <col min="15820" max="15820" width="10.83203125" style="233" bestFit="1" customWidth="1"/>
    <col min="15821" max="16056" width="8.83203125" style="233"/>
    <col min="16057" max="16057" width="38.27734375" style="233" customWidth="1"/>
    <col min="16058" max="16058" width="23.44140625" style="233" bestFit="1" customWidth="1"/>
    <col min="16059" max="16060" width="9.1640625" style="233" customWidth="1"/>
    <col min="16061" max="16061" width="11.27734375" style="233" bestFit="1" customWidth="1"/>
    <col min="16062" max="16062" width="14.44140625" style="233" bestFit="1" customWidth="1"/>
    <col min="16063" max="16063" width="8.1640625" style="233" customWidth="1"/>
    <col min="16064" max="16064" width="10.83203125" style="233" bestFit="1" customWidth="1"/>
    <col min="16065" max="16065" width="12.27734375" style="233" bestFit="1" customWidth="1"/>
    <col min="16066" max="16066" width="9.1640625" style="233" customWidth="1"/>
    <col min="16067" max="16067" width="10.83203125" style="233" bestFit="1" customWidth="1"/>
    <col min="16068" max="16068" width="12.27734375" style="233" bestFit="1" customWidth="1"/>
    <col min="16069" max="16069" width="8" style="233" customWidth="1"/>
    <col min="16070" max="16070" width="10.83203125" style="233" bestFit="1" customWidth="1"/>
    <col min="16071" max="16071" width="12.27734375" style="233" bestFit="1" customWidth="1"/>
    <col min="16072" max="16072" width="8.1640625" style="233" bestFit="1" customWidth="1"/>
    <col min="16073" max="16073" width="10.83203125" style="233" bestFit="1" customWidth="1"/>
    <col min="16074" max="16074" width="12.27734375" style="233" bestFit="1" customWidth="1"/>
    <col min="16075" max="16075" width="18.27734375" style="233" bestFit="1" customWidth="1"/>
    <col min="16076" max="16076" width="10.83203125" style="233" bestFit="1" customWidth="1"/>
    <col min="16077" max="16304" width="8.83203125" style="233"/>
    <col min="16305" max="16384" width="8.83203125" style="233" customWidth="1"/>
  </cols>
  <sheetData>
    <row r="1" spans="1:28" ht="14.7" thickBot="1"/>
    <row r="2" spans="1:28" ht="23.5" customHeight="1">
      <c r="A2" s="589" t="s">
        <v>63</v>
      </c>
      <c r="B2" s="591" t="s">
        <v>64</v>
      </c>
      <c r="C2" s="584" t="s">
        <v>65</v>
      </c>
      <c r="D2" s="585"/>
      <c r="E2" s="585"/>
      <c r="F2" s="586"/>
      <c r="G2" s="584" t="s">
        <v>66</v>
      </c>
      <c r="H2" s="585"/>
      <c r="I2" s="585"/>
      <c r="J2" s="586"/>
      <c r="K2" s="584" t="s">
        <v>67</v>
      </c>
      <c r="L2" s="585"/>
      <c r="M2" s="585"/>
      <c r="N2" s="586"/>
      <c r="O2" s="584" t="s">
        <v>68</v>
      </c>
      <c r="P2" s="585"/>
      <c r="Q2" s="585"/>
      <c r="R2" s="586"/>
      <c r="S2" s="584" t="s">
        <v>69</v>
      </c>
      <c r="T2" s="585"/>
      <c r="U2" s="585"/>
      <c r="V2" s="586"/>
      <c r="W2" s="587" t="s">
        <v>70</v>
      </c>
    </row>
    <row r="3" spans="1:28" ht="47.65" customHeight="1">
      <c r="A3" s="590"/>
      <c r="B3" s="592"/>
      <c r="C3" s="432" t="s">
        <v>71</v>
      </c>
      <c r="D3" s="241" t="s">
        <v>72</v>
      </c>
      <c r="E3" s="242" t="s">
        <v>73</v>
      </c>
      <c r="F3" s="243" t="s">
        <v>70</v>
      </c>
      <c r="G3" s="432" t="s">
        <v>71</v>
      </c>
      <c r="H3" s="241" t="s">
        <v>72</v>
      </c>
      <c r="I3" s="244" t="s">
        <v>73</v>
      </c>
      <c r="J3" s="245" t="s">
        <v>70</v>
      </c>
      <c r="K3" s="432" t="s">
        <v>71</v>
      </c>
      <c r="L3" s="241" t="s">
        <v>72</v>
      </c>
      <c r="M3" s="242" t="s">
        <v>73</v>
      </c>
      <c r="N3" s="245" t="s">
        <v>70</v>
      </c>
      <c r="O3" s="432" t="s">
        <v>71</v>
      </c>
      <c r="P3" s="241" t="s">
        <v>72</v>
      </c>
      <c r="Q3" s="244" t="s">
        <v>73</v>
      </c>
      <c r="R3" s="245" t="s">
        <v>70</v>
      </c>
      <c r="S3" s="432" t="s">
        <v>71</v>
      </c>
      <c r="T3" s="241" t="s">
        <v>72</v>
      </c>
      <c r="U3" s="244" t="s">
        <v>73</v>
      </c>
      <c r="V3" s="245" t="s">
        <v>70</v>
      </c>
      <c r="W3" s="588"/>
    </row>
    <row r="4" spans="1:28" ht="18.3">
      <c r="A4" s="544" t="s">
        <v>74</v>
      </c>
      <c r="B4" s="246"/>
      <c r="C4" s="448"/>
      <c r="D4" s="248"/>
      <c r="E4" s="249"/>
      <c r="F4" s="250"/>
      <c r="G4" s="448"/>
      <c r="H4" s="248"/>
      <c r="I4" s="251"/>
      <c r="J4" s="252"/>
      <c r="K4" s="448"/>
      <c r="L4" s="248"/>
      <c r="M4" s="249"/>
      <c r="N4" s="252"/>
      <c r="O4" s="433"/>
      <c r="P4" s="248"/>
      <c r="Q4" s="251"/>
      <c r="R4" s="252"/>
      <c r="S4" s="433"/>
      <c r="T4" s="248"/>
      <c r="U4" s="251"/>
      <c r="V4" s="254"/>
      <c r="W4" s="252"/>
    </row>
    <row r="5" spans="1:28" s="266" customFormat="1" ht="15" customHeight="1" outlineLevel="1">
      <c r="A5" s="545" t="s">
        <v>48</v>
      </c>
      <c r="B5" s="257"/>
      <c r="C5" s="434"/>
      <c r="D5" s="259"/>
      <c r="E5" s="260"/>
      <c r="F5" s="261"/>
      <c r="G5" s="434"/>
      <c r="H5" s="259"/>
      <c r="I5" s="262"/>
      <c r="J5" s="263"/>
      <c r="K5" s="434"/>
      <c r="L5" s="259"/>
      <c r="M5" s="260"/>
      <c r="N5" s="263"/>
      <c r="O5" s="434"/>
      <c r="P5" s="259"/>
      <c r="Q5" s="262"/>
      <c r="R5" s="263"/>
      <c r="S5" s="434"/>
      <c r="T5" s="259"/>
      <c r="U5" s="262"/>
      <c r="V5" s="263"/>
      <c r="W5" s="264"/>
    </row>
    <row r="6" spans="1:28" s="266" customFormat="1" ht="15.6" outlineLevel="1">
      <c r="A6" s="546" t="s">
        <v>75</v>
      </c>
      <c r="B6" s="268"/>
      <c r="C6" s="434"/>
      <c r="D6" s="259"/>
      <c r="E6" s="260"/>
      <c r="F6" s="261"/>
      <c r="G6" s="434"/>
      <c r="H6" s="259"/>
      <c r="I6" s="262"/>
      <c r="J6" s="263"/>
      <c r="K6" s="434"/>
      <c r="L6" s="259"/>
      <c r="M6" s="260"/>
      <c r="N6" s="263"/>
      <c r="O6" s="434"/>
      <c r="P6" s="259"/>
      <c r="Q6" s="262"/>
      <c r="R6" s="263"/>
      <c r="S6" s="434"/>
      <c r="T6" s="259"/>
      <c r="U6" s="262"/>
      <c r="V6" s="263"/>
      <c r="W6" s="410"/>
      <c r="X6" s="233"/>
      <c r="Y6" s="233"/>
      <c r="Z6" s="233"/>
    </row>
    <row r="7" spans="1:28" ht="15" customHeight="1" outlineLevel="1">
      <c r="A7" s="270" t="str">
        <f>'Program Budget'!D12</f>
        <v xml:space="preserve">Key Personnel: Ex-pat Chief of Party </v>
      </c>
      <c r="B7" s="271" t="str">
        <f>'Program Budget'!F13</f>
        <v>Month</v>
      </c>
      <c r="C7" s="272">
        <f>'Program Budget'!H12</f>
        <v>12083.333333333334</v>
      </c>
      <c r="D7" s="273">
        <f>'Program Budget'!G12</f>
        <v>12</v>
      </c>
      <c r="E7" s="274">
        <f>Admin!E7+'Activity 1'!E7+'Activity 2'!E7+'Activity 3'!E7+'Activity 4'!E7</f>
        <v>1</v>
      </c>
      <c r="F7" s="275">
        <f>C7*D7*E7</f>
        <v>145000</v>
      </c>
      <c r="G7" s="272">
        <f>C7*1.04</f>
        <v>12566.666666666668</v>
      </c>
      <c r="H7" s="273">
        <f>'Program Budget'!K12</f>
        <v>12</v>
      </c>
      <c r="I7" s="274">
        <f>Admin!I7+'Activity 1'!I7+'Activity 2'!I7+'Activity 3'!I7+'Activity 4'!I7</f>
        <v>1</v>
      </c>
      <c r="J7" s="275">
        <f>G7*H7*I7</f>
        <v>150800</v>
      </c>
      <c r="K7" s="272">
        <f>G7*1.04</f>
        <v>13069.333333333336</v>
      </c>
      <c r="L7" s="273">
        <f>'Program Budget'!N12</f>
        <v>12</v>
      </c>
      <c r="M7" s="274">
        <f>Admin!M7+'Activity 1'!M7+'Activity 2'!M7+'Activity 3'!M7+'Activity 4'!M7</f>
        <v>1</v>
      </c>
      <c r="N7" s="275">
        <f>K7*L7*M7</f>
        <v>156832.00000000003</v>
      </c>
      <c r="O7" s="272">
        <f>K7*1.04</f>
        <v>13592.10666666667</v>
      </c>
      <c r="P7" s="273">
        <f>'Program Budget'!Q12</f>
        <v>12</v>
      </c>
      <c r="Q7" s="274">
        <f>Admin!Q7+'Activity 1'!Q7+'Activity 2'!Q7+'Activity 3'!Q7+'Activity 4'!Q7</f>
        <v>1</v>
      </c>
      <c r="R7" s="275">
        <f>O7*P7*Q7</f>
        <v>163105.28000000003</v>
      </c>
      <c r="S7" s="272">
        <f>O7*1.04</f>
        <v>14135.790933333337</v>
      </c>
      <c r="T7" s="273">
        <f>'Program Budget'!T12</f>
        <v>12</v>
      </c>
      <c r="U7" s="274">
        <f>Admin!U7+'Activity 1'!U7+'Activity 2'!U7+'Activity 3'!U7+'Activity 4'!U7</f>
        <v>1</v>
      </c>
      <c r="V7" s="275">
        <f>S7*T7*U7</f>
        <v>169629.49120000005</v>
      </c>
      <c r="W7" s="413">
        <f>F7+J7+N7+R7+V7</f>
        <v>785366.77120000008</v>
      </c>
      <c r="AB7" s="282"/>
    </row>
    <row r="8" spans="1:28" ht="15" customHeight="1" outlineLevel="1">
      <c r="A8" s="547" t="s">
        <v>76</v>
      </c>
      <c r="B8" s="286"/>
      <c r="C8" s="436"/>
      <c r="D8" s="288"/>
      <c r="E8" s="289"/>
      <c r="F8" s="290">
        <f>SUM(F7:F7)</f>
        <v>145000</v>
      </c>
      <c r="G8" s="436"/>
      <c r="H8" s="288"/>
      <c r="I8" s="291"/>
      <c r="J8" s="290">
        <f>SUM(J7:J7)</f>
        <v>150800</v>
      </c>
      <c r="K8" s="436"/>
      <c r="L8" s="288"/>
      <c r="M8" s="289"/>
      <c r="N8" s="290">
        <f>SUM(N7:N7)</f>
        <v>156832.00000000003</v>
      </c>
      <c r="O8" s="436"/>
      <c r="P8" s="288"/>
      <c r="Q8" s="291"/>
      <c r="R8" s="290">
        <f>SUM(R7:R7)</f>
        <v>163105.28000000003</v>
      </c>
      <c r="S8" s="436"/>
      <c r="T8" s="288"/>
      <c r="U8" s="291"/>
      <c r="V8" s="290">
        <f>SUM(V7:V7)</f>
        <v>169629.49120000005</v>
      </c>
      <c r="W8" s="412">
        <f>+F8+J8+N8+R8+V8</f>
        <v>785366.77120000008</v>
      </c>
    </row>
    <row r="9" spans="1:28" s="266" customFormat="1" ht="15" customHeight="1" outlineLevel="1">
      <c r="A9" s="546" t="s">
        <v>77</v>
      </c>
      <c r="B9" s="293"/>
      <c r="C9" s="437"/>
      <c r="D9" s="295"/>
      <c r="E9" s="296"/>
      <c r="F9" s="275"/>
      <c r="G9" s="437"/>
      <c r="H9" s="295"/>
      <c r="I9" s="297"/>
      <c r="J9" s="277"/>
      <c r="K9" s="437"/>
      <c r="L9" s="295"/>
      <c r="M9" s="296"/>
      <c r="N9" s="277"/>
      <c r="O9" s="437"/>
      <c r="P9" s="295"/>
      <c r="Q9" s="297"/>
      <c r="R9" s="277"/>
      <c r="S9" s="437"/>
      <c r="T9" s="295"/>
      <c r="U9" s="297"/>
      <c r="V9" s="277"/>
      <c r="W9" s="411"/>
      <c r="X9" s="233"/>
      <c r="Y9" s="233"/>
      <c r="Z9" s="233"/>
    </row>
    <row r="10" spans="1:28" ht="15" customHeight="1" outlineLevel="1">
      <c r="A10" s="270" t="str">
        <f>'Program Budget'!D13</f>
        <v>Deputy Chief of Party</v>
      </c>
      <c r="B10" s="271" t="str">
        <f>'Program Budget'!F12</f>
        <v>Month</v>
      </c>
      <c r="C10" s="272">
        <f>'Program Budget'!H13</f>
        <v>7500</v>
      </c>
      <c r="D10" s="273">
        <f>'Program Budget'!G13</f>
        <v>6</v>
      </c>
      <c r="E10" s="274">
        <f>Admin!E10+'Activity 1'!E10+'Activity 2'!E10+'Activity 3'!E10+'Activity 4'!E10</f>
        <v>1</v>
      </c>
      <c r="F10" s="275">
        <f>C10*D10*E10</f>
        <v>45000</v>
      </c>
      <c r="G10" s="272">
        <f>C10*1.04</f>
        <v>7800</v>
      </c>
      <c r="H10" s="273">
        <f>'Program Budget'!K13</f>
        <v>12</v>
      </c>
      <c r="I10" s="274">
        <f>Admin!I10+'Activity 1'!I10+'Activity 2'!I10+'Activity 3'!I10+'Activity 4'!I10</f>
        <v>1</v>
      </c>
      <c r="J10" s="275">
        <f>G10*H10*I10</f>
        <v>93600</v>
      </c>
      <c r="K10" s="272">
        <f>G10*1.04</f>
        <v>8112</v>
      </c>
      <c r="L10" s="273">
        <f>'Program Budget'!N13</f>
        <v>12</v>
      </c>
      <c r="M10" s="274">
        <f>Admin!M10+'Activity 1'!M10+'Activity 2'!M10+'Activity 3'!M10+'Activity 4'!M10</f>
        <v>1</v>
      </c>
      <c r="N10" s="275">
        <f>K10*L10*M10</f>
        <v>97344</v>
      </c>
      <c r="O10" s="272">
        <f>K10*1.04</f>
        <v>8436.48</v>
      </c>
      <c r="P10" s="273">
        <f>'Program Budget'!Q13</f>
        <v>12</v>
      </c>
      <c r="Q10" s="274">
        <f>Admin!Q10+'Activity 1'!Q10+'Activity 2'!Q10+'Activity 3'!Q10+'Activity 4'!Q10</f>
        <v>1</v>
      </c>
      <c r="R10" s="275">
        <f>O10*P10*Q10</f>
        <v>101237.75999999999</v>
      </c>
      <c r="S10" s="272">
        <f>O10*1.04</f>
        <v>8773.9392000000007</v>
      </c>
      <c r="T10" s="273">
        <f>'Program Budget'!T13</f>
        <v>6</v>
      </c>
      <c r="U10" s="274">
        <f>Admin!U10+'Activity 1'!U10+'Activity 2'!U10+'Activity 3'!U10+'Activity 4'!U10</f>
        <v>1</v>
      </c>
      <c r="V10" s="275">
        <f>S10*T10*U10</f>
        <v>52643.635200000004</v>
      </c>
      <c r="W10" s="411">
        <f>F10+J10+N10+R10+V10</f>
        <v>389825.39520000003</v>
      </c>
      <c r="AB10" s="282"/>
    </row>
    <row r="11" spans="1:28" ht="15" customHeight="1" outlineLevel="1">
      <c r="A11" s="270" t="str">
        <f>'Program Budget'!D14</f>
        <v>Technical Lead Component 1</v>
      </c>
      <c r="B11" s="271" t="str">
        <f>'Program Budget'!F14</f>
        <v>Month</v>
      </c>
      <c r="C11" s="435">
        <f>'Program Budget'!H14</f>
        <v>3333.3333333333335</v>
      </c>
      <c r="D11" s="273">
        <f>'Program Budget'!G14</f>
        <v>6</v>
      </c>
      <c r="E11" s="274">
        <f>Admin!E11+'Activity 1'!E11+'Activity 2'!E11+'Activity 3'!E11+'Activity 4'!E11</f>
        <v>1</v>
      </c>
      <c r="F11" s="275">
        <f>C11*D11*E11</f>
        <v>20000</v>
      </c>
      <c r="G11" s="435">
        <f>C11*1.04</f>
        <v>3466.666666666667</v>
      </c>
      <c r="H11" s="273">
        <f>'Program Budget'!K14</f>
        <v>12</v>
      </c>
      <c r="I11" s="274">
        <f>Admin!I11+'Activity 1'!I11+'Activity 2'!I11+'Activity 3'!I11+'Activity 4'!I11</f>
        <v>1</v>
      </c>
      <c r="J11" s="275">
        <f>G11*H11*I11</f>
        <v>41600</v>
      </c>
      <c r="K11" s="435">
        <f>G11*1.04</f>
        <v>3605.3333333333339</v>
      </c>
      <c r="L11" s="273">
        <f>'Program Budget'!N14</f>
        <v>12</v>
      </c>
      <c r="M11" s="274">
        <f>Admin!M11+'Activity 1'!M11+'Activity 2'!M11+'Activity 3'!M11+'Activity 4'!M11</f>
        <v>1</v>
      </c>
      <c r="N11" s="275">
        <f>K11*L11*M11</f>
        <v>43264.000000000007</v>
      </c>
      <c r="O11" s="435">
        <f>K11*1.04</f>
        <v>3749.5466666666675</v>
      </c>
      <c r="P11" s="273">
        <f>'Program Budget'!Q14</f>
        <v>12</v>
      </c>
      <c r="Q11" s="274">
        <f>Admin!Q11+'Activity 1'!Q11+'Activity 2'!Q11+'Activity 3'!Q11+'Activity 4'!Q11</f>
        <v>1</v>
      </c>
      <c r="R11" s="275">
        <f>O11*P11*Q11</f>
        <v>44994.560000000012</v>
      </c>
      <c r="S11" s="435">
        <f>O11*1.04</f>
        <v>3899.5285333333345</v>
      </c>
      <c r="T11" s="273">
        <f>'Program Budget'!T14</f>
        <v>9</v>
      </c>
      <c r="U11" s="274">
        <f>Admin!U11+'Activity 1'!U11+'Activity 2'!U11+'Activity 3'!U11+'Activity 4'!U11</f>
        <v>1</v>
      </c>
      <c r="V11" s="275">
        <f>S11*T11*U11</f>
        <v>35095.75680000001</v>
      </c>
      <c r="W11" s="411">
        <f>F11+J11+N11+R11+V11</f>
        <v>184954.3168</v>
      </c>
    </row>
    <row r="12" spans="1:28" ht="15" customHeight="1" outlineLevel="1">
      <c r="A12" s="270" t="str">
        <f>'Program Budget'!D15</f>
        <v>Technical Lead Component 2</v>
      </c>
      <c r="B12" s="271" t="str">
        <f>'Program Budget'!F15</f>
        <v>Month</v>
      </c>
      <c r="C12" s="435">
        <f>'Program Budget'!H15</f>
        <v>3333.3333333333335</v>
      </c>
      <c r="D12" s="273">
        <f>'Program Budget'!G15</f>
        <v>6</v>
      </c>
      <c r="E12" s="274">
        <f>Admin!E12+'Activity 1'!E12+'Activity 2'!E12+'Activity 3'!E12+'Activity 4'!E12</f>
        <v>1</v>
      </c>
      <c r="F12" s="275">
        <f t="shared" ref="F12:F26" si="0">C12*D12*E12</f>
        <v>20000</v>
      </c>
      <c r="G12" s="435">
        <f t="shared" ref="G12:G26" si="1">C12*1.04</f>
        <v>3466.666666666667</v>
      </c>
      <c r="H12" s="273">
        <f>'Program Budget'!K15</f>
        <v>12</v>
      </c>
      <c r="I12" s="274">
        <f>Admin!I12+'Activity 1'!I12+'Activity 2'!I12+'Activity 3'!I12+'Activity 4'!I12</f>
        <v>1</v>
      </c>
      <c r="J12" s="275">
        <f t="shared" ref="J12:J26" si="2">G12*H12*I12</f>
        <v>41600</v>
      </c>
      <c r="K12" s="435">
        <f t="shared" ref="K12:K26" si="3">G12*1.04</f>
        <v>3605.3333333333339</v>
      </c>
      <c r="L12" s="273">
        <f>'Program Budget'!N15</f>
        <v>12</v>
      </c>
      <c r="M12" s="274">
        <f>Admin!M12+'Activity 1'!M12+'Activity 2'!M12+'Activity 3'!M12+'Activity 4'!M12</f>
        <v>1</v>
      </c>
      <c r="N12" s="275">
        <f t="shared" ref="N12:N26" si="4">K12*L12*M12</f>
        <v>43264.000000000007</v>
      </c>
      <c r="O12" s="435">
        <f t="shared" ref="O12:O26" si="5">K12*1.04</f>
        <v>3749.5466666666675</v>
      </c>
      <c r="P12" s="273">
        <f>'Program Budget'!Q15</f>
        <v>12</v>
      </c>
      <c r="Q12" s="274">
        <f>Admin!Q12+'Activity 1'!Q12+'Activity 2'!Q12+'Activity 3'!Q12+'Activity 4'!Q12</f>
        <v>1</v>
      </c>
      <c r="R12" s="275">
        <f t="shared" ref="R12:R26" si="6">O12*P12*Q12</f>
        <v>44994.560000000012</v>
      </c>
      <c r="S12" s="435">
        <f t="shared" ref="S12:S26" si="7">O12*1.04</f>
        <v>3899.5285333333345</v>
      </c>
      <c r="T12" s="273">
        <f>'Program Budget'!T15</f>
        <v>9</v>
      </c>
      <c r="U12" s="274">
        <f>Admin!U12+'Activity 1'!U12+'Activity 2'!U12+'Activity 3'!U12+'Activity 4'!U12</f>
        <v>1</v>
      </c>
      <c r="V12" s="275">
        <f t="shared" ref="V12:V26" si="8">S12*T12*U12</f>
        <v>35095.75680000001</v>
      </c>
      <c r="W12" s="411">
        <f t="shared" ref="W12:W26" si="9">F12+J12+N12+R12+V12</f>
        <v>184954.3168</v>
      </c>
    </row>
    <row r="13" spans="1:28" ht="15" customHeight="1" outlineLevel="1">
      <c r="A13" s="270" t="str">
        <f>'Program Budget'!D16</f>
        <v>Technical Lead Component 3</v>
      </c>
      <c r="B13" s="271" t="str">
        <f>'Program Budget'!F16</f>
        <v>Month</v>
      </c>
      <c r="C13" s="435">
        <f>'Program Budget'!H16</f>
        <v>3333.3333333333335</v>
      </c>
      <c r="D13" s="273">
        <f>'Program Budget'!G16</f>
        <v>6</v>
      </c>
      <c r="E13" s="274">
        <f>Admin!E13+'Activity 1'!E13+'Activity 2'!E13+'Activity 3'!E13+'Activity 4'!E13</f>
        <v>1</v>
      </c>
      <c r="F13" s="275">
        <f t="shared" si="0"/>
        <v>20000</v>
      </c>
      <c r="G13" s="435">
        <f t="shared" si="1"/>
        <v>3466.666666666667</v>
      </c>
      <c r="H13" s="273">
        <f>'Program Budget'!K16</f>
        <v>12</v>
      </c>
      <c r="I13" s="274">
        <f>Admin!I13+'Activity 1'!I13+'Activity 2'!I13+'Activity 3'!I13+'Activity 4'!I13</f>
        <v>1</v>
      </c>
      <c r="J13" s="275">
        <f t="shared" si="2"/>
        <v>41600</v>
      </c>
      <c r="K13" s="435">
        <f t="shared" si="3"/>
        <v>3605.3333333333339</v>
      </c>
      <c r="L13" s="273">
        <f>'Program Budget'!N16</f>
        <v>12</v>
      </c>
      <c r="M13" s="274">
        <f>Admin!M13+'Activity 1'!M13+'Activity 2'!M13+'Activity 3'!M13+'Activity 4'!M13</f>
        <v>1</v>
      </c>
      <c r="N13" s="275">
        <f t="shared" si="4"/>
        <v>43264.000000000007</v>
      </c>
      <c r="O13" s="435">
        <f t="shared" si="5"/>
        <v>3749.5466666666675</v>
      </c>
      <c r="P13" s="273">
        <f>'Program Budget'!Q16</f>
        <v>12</v>
      </c>
      <c r="Q13" s="274">
        <f>Admin!Q13+'Activity 1'!Q13+'Activity 2'!Q13+'Activity 3'!Q13+'Activity 4'!Q13</f>
        <v>1</v>
      </c>
      <c r="R13" s="275">
        <f t="shared" si="6"/>
        <v>44994.560000000012</v>
      </c>
      <c r="S13" s="435">
        <f t="shared" si="7"/>
        <v>3899.5285333333345</v>
      </c>
      <c r="T13" s="273">
        <f>'Program Budget'!T16</f>
        <v>9</v>
      </c>
      <c r="U13" s="274">
        <f>Admin!U13+'Activity 1'!U13+'Activity 2'!U13+'Activity 3'!U13+'Activity 4'!U13</f>
        <v>1</v>
      </c>
      <c r="V13" s="275">
        <f t="shared" si="8"/>
        <v>35095.75680000001</v>
      </c>
      <c r="W13" s="411">
        <f t="shared" si="9"/>
        <v>184954.3168</v>
      </c>
    </row>
    <row r="14" spans="1:28" ht="15" customHeight="1" outlineLevel="1">
      <c r="A14" s="270" t="str">
        <f>'Program Budget'!D17</f>
        <v>Specialist Component 2</v>
      </c>
      <c r="B14" s="271" t="str">
        <f>'Program Budget'!F17</f>
        <v>Month</v>
      </c>
      <c r="C14" s="435">
        <f>'Program Budget'!H17</f>
        <v>1666.6666666666667</v>
      </c>
      <c r="D14" s="273">
        <f>'Program Budget'!G17</f>
        <v>6</v>
      </c>
      <c r="E14" s="274">
        <f>Admin!E14+'Activity 1'!E14+'Activity 2'!E14+'Activity 3'!E14+'Activity 4'!E14</f>
        <v>1</v>
      </c>
      <c r="F14" s="275">
        <f t="shared" ref="F14:F16" si="10">C14*D14*E14</f>
        <v>10000</v>
      </c>
      <c r="G14" s="435">
        <f t="shared" ref="G14:G16" si="11">C14*1.04</f>
        <v>1733.3333333333335</v>
      </c>
      <c r="H14" s="273">
        <f>'Program Budget'!K17</f>
        <v>12</v>
      </c>
      <c r="I14" s="274">
        <f>Admin!I14+'Activity 1'!I14+'Activity 2'!I14+'Activity 3'!I14+'Activity 4'!I14</f>
        <v>1</v>
      </c>
      <c r="J14" s="275">
        <f t="shared" ref="J14:J16" si="12">G14*H14*I14</f>
        <v>20800</v>
      </c>
      <c r="K14" s="435">
        <f t="shared" ref="K14:K16" si="13">G14*1.04</f>
        <v>1802.666666666667</v>
      </c>
      <c r="L14" s="273">
        <f>'Program Budget'!N17</f>
        <v>12</v>
      </c>
      <c r="M14" s="274">
        <f>Admin!M14+'Activity 1'!M14+'Activity 2'!M14+'Activity 3'!M14+'Activity 4'!M14</f>
        <v>1</v>
      </c>
      <c r="N14" s="275">
        <f t="shared" ref="N14:N16" si="14">K14*L14*M14</f>
        <v>21632.000000000004</v>
      </c>
      <c r="O14" s="435">
        <f t="shared" ref="O14:O16" si="15">K14*1.04</f>
        <v>1874.7733333333338</v>
      </c>
      <c r="P14" s="273">
        <f>'Program Budget'!Q17</f>
        <v>12</v>
      </c>
      <c r="Q14" s="274">
        <f>Admin!Q14+'Activity 1'!Q14+'Activity 2'!Q14+'Activity 3'!Q14+'Activity 4'!Q14</f>
        <v>1</v>
      </c>
      <c r="R14" s="275">
        <f t="shared" ref="R14:R16" si="16">O14*P14*Q14</f>
        <v>22497.280000000006</v>
      </c>
      <c r="S14" s="435">
        <f t="shared" ref="S14:S16" si="17">O14*1.04</f>
        <v>1949.7642666666673</v>
      </c>
      <c r="T14" s="273">
        <f>'Program Budget'!T17</f>
        <v>6</v>
      </c>
      <c r="U14" s="274">
        <f>Admin!U14+'Activity 1'!U14+'Activity 2'!U14+'Activity 3'!U14+'Activity 4'!U14</f>
        <v>1</v>
      </c>
      <c r="V14" s="275">
        <f t="shared" ref="V14:V16" si="18">S14*T14*U14</f>
        <v>11698.585600000004</v>
      </c>
      <c r="W14" s="411">
        <f t="shared" ref="W14:W16" si="19">F14+J14+N14+R14+V14</f>
        <v>86627.865600000005</v>
      </c>
    </row>
    <row r="15" spans="1:28" ht="15" customHeight="1" outlineLevel="1">
      <c r="A15" s="270" t="str">
        <f>'Program Budget'!D18</f>
        <v>Specialist Component 3</v>
      </c>
      <c r="B15" s="271" t="str">
        <f>'Program Budget'!F18</f>
        <v>Month</v>
      </c>
      <c r="C15" s="435">
        <f>'Program Budget'!H18</f>
        <v>1666.6666666666667</v>
      </c>
      <c r="D15" s="273">
        <f>'Program Budget'!G18</f>
        <v>6</v>
      </c>
      <c r="E15" s="274">
        <f>Admin!E15+'Activity 1'!E15+'Activity 2'!E15+'Activity 3'!E15+'Activity 4'!E15</f>
        <v>1</v>
      </c>
      <c r="F15" s="275">
        <f t="shared" si="10"/>
        <v>10000</v>
      </c>
      <c r="G15" s="435">
        <f t="shared" si="11"/>
        <v>1733.3333333333335</v>
      </c>
      <c r="H15" s="273">
        <f>'Program Budget'!K18</f>
        <v>12</v>
      </c>
      <c r="I15" s="274">
        <f>Admin!I15+'Activity 1'!I15+'Activity 2'!I15+'Activity 3'!I15+'Activity 4'!I15</f>
        <v>1</v>
      </c>
      <c r="J15" s="275">
        <f t="shared" si="12"/>
        <v>20800</v>
      </c>
      <c r="K15" s="435">
        <f t="shared" si="13"/>
        <v>1802.666666666667</v>
      </c>
      <c r="L15" s="273">
        <f>'Program Budget'!N18</f>
        <v>12</v>
      </c>
      <c r="M15" s="274">
        <f>Admin!M15+'Activity 1'!M15+'Activity 2'!M15+'Activity 3'!M15+'Activity 4'!M15</f>
        <v>1</v>
      </c>
      <c r="N15" s="275">
        <f t="shared" si="14"/>
        <v>21632.000000000004</v>
      </c>
      <c r="O15" s="435">
        <f t="shared" si="15"/>
        <v>1874.7733333333338</v>
      </c>
      <c r="P15" s="273">
        <f>'Program Budget'!Q18</f>
        <v>12</v>
      </c>
      <c r="Q15" s="274">
        <f>Admin!Q15+'Activity 1'!Q15+'Activity 2'!Q15+'Activity 3'!Q15+'Activity 4'!Q15</f>
        <v>1</v>
      </c>
      <c r="R15" s="275">
        <f t="shared" si="16"/>
        <v>22497.280000000006</v>
      </c>
      <c r="S15" s="435">
        <f t="shared" si="17"/>
        <v>1949.7642666666673</v>
      </c>
      <c r="T15" s="273">
        <f>'Program Budget'!T18</f>
        <v>6</v>
      </c>
      <c r="U15" s="274">
        <f>Admin!U15+'Activity 1'!U15+'Activity 2'!U15+'Activity 3'!U15+'Activity 4'!U15</f>
        <v>1</v>
      </c>
      <c r="V15" s="275">
        <f t="shared" si="18"/>
        <v>11698.585600000004</v>
      </c>
      <c r="W15" s="411">
        <f t="shared" si="19"/>
        <v>86627.865600000005</v>
      </c>
    </row>
    <row r="16" spans="1:28" ht="15" customHeight="1" outlineLevel="1">
      <c r="A16" s="270" t="str">
        <f>'Program Budget'!D19</f>
        <v>Specialist Component 4</v>
      </c>
      <c r="B16" s="271" t="str">
        <f>'Program Budget'!F19</f>
        <v>Month</v>
      </c>
      <c r="C16" s="435">
        <f>'Program Budget'!H19</f>
        <v>1666.6666666666667</v>
      </c>
      <c r="D16" s="273">
        <f>'Program Budget'!G19</f>
        <v>6</v>
      </c>
      <c r="E16" s="274">
        <f>Admin!E16+'Activity 1'!E16+'Activity 2'!E16+'Activity 3'!E16+'Activity 4'!E16</f>
        <v>1</v>
      </c>
      <c r="F16" s="275">
        <f t="shared" si="10"/>
        <v>10000</v>
      </c>
      <c r="G16" s="435">
        <f t="shared" si="11"/>
        <v>1733.3333333333335</v>
      </c>
      <c r="H16" s="273">
        <f>'Program Budget'!K19</f>
        <v>12</v>
      </c>
      <c r="I16" s="274">
        <f>Admin!I16+'Activity 1'!I16+'Activity 2'!I16+'Activity 3'!I16+'Activity 4'!I16</f>
        <v>1</v>
      </c>
      <c r="J16" s="275">
        <f t="shared" si="12"/>
        <v>20800</v>
      </c>
      <c r="K16" s="435">
        <f t="shared" si="13"/>
        <v>1802.666666666667</v>
      </c>
      <c r="L16" s="273">
        <f>'Program Budget'!N19</f>
        <v>12</v>
      </c>
      <c r="M16" s="274">
        <f>Admin!M16+'Activity 1'!M16+'Activity 2'!M16+'Activity 3'!M16+'Activity 4'!M16</f>
        <v>1</v>
      </c>
      <c r="N16" s="275">
        <f t="shared" si="14"/>
        <v>21632.000000000004</v>
      </c>
      <c r="O16" s="435">
        <f t="shared" si="15"/>
        <v>1874.7733333333338</v>
      </c>
      <c r="P16" s="273">
        <f>'Program Budget'!Q19</f>
        <v>12</v>
      </c>
      <c r="Q16" s="274">
        <f>Admin!Q16+'Activity 1'!Q16+'Activity 2'!Q16+'Activity 3'!Q16+'Activity 4'!Q16</f>
        <v>1</v>
      </c>
      <c r="R16" s="275">
        <f t="shared" si="16"/>
        <v>22497.280000000006</v>
      </c>
      <c r="S16" s="435">
        <f t="shared" si="17"/>
        <v>1949.7642666666673</v>
      </c>
      <c r="T16" s="273">
        <f>'Program Budget'!T19</f>
        <v>6</v>
      </c>
      <c r="U16" s="274">
        <f>Admin!U16+'Activity 1'!U16+'Activity 2'!U16+'Activity 3'!U16+'Activity 4'!U16</f>
        <v>1</v>
      </c>
      <c r="V16" s="275">
        <f t="shared" si="18"/>
        <v>11698.585600000004</v>
      </c>
      <c r="W16" s="411">
        <f t="shared" si="19"/>
        <v>86627.865600000005</v>
      </c>
    </row>
    <row r="17" spans="1:23" ht="15" customHeight="1" outlineLevel="1">
      <c r="A17" s="270" t="str">
        <f>'Program Budget'!D20</f>
        <v>Extension Agents (20 Individuals)</v>
      </c>
      <c r="B17" s="271" t="str">
        <f>'Program Budget'!F20</f>
        <v>Month</v>
      </c>
      <c r="C17" s="435">
        <f>'Program Budget'!H20</f>
        <v>23333.333333333336</v>
      </c>
      <c r="D17" s="273">
        <f>'Program Budget'!G20</f>
        <v>3</v>
      </c>
      <c r="E17" s="274">
        <v>1</v>
      </c>
      <c r="F17" s="275">
        <f t="shared" si="0"/>
        <v>70000</v>
      </c>
      <c r="G17" s="435">
        <f t="shared" si="1"/>
        <v>24266.666666666672</v>
      </c>
      <c r="H17" s="273">
        <f>'Program Budget'!K20</f>
        <v>12</v>
      </c>
      <c r="I17" s="274">
        <f>Admin!I14+'Activity 1'!I17+'Activity 2'!I17+'Activity 3'!I17+'Activity 4'!I17</f>
        <v>1</v>
      </c>
      <c r="J17" s="275">
        <f t="shared" si="2"/>
        <v>291200.00000000006</v>
      </c>
      <c r="K17" s="435">
        <f t="shared" si="3"/>
        <v>25237.333333333339</v>
      </c>
      <c r="L17" s="273">
        <f>'Program Budget'!N20</f>
        <v>6</v>
      </c>
      <c r="M17" s="274">
        <f>Admin!M14+'Activity 1'!M17+'Activity 2'!M17+'Activity 3'!M17+'Activity 4'!M17</f>
        <v>1</v>
      </c>
      <c r="N17" s="275">
        <f t="shared" si="4"/>
        <v>151424.00000000003</v>
      </c>
      <c r="O17" s="435">
        <f t="shared" si="5"/>
        <v>26246.826666666675</v>
      </c>
      <c r="P17" s="273">
        <f>'Program Budget'!Q20</f>
        <v>0</v>
      </c>
      <c r="Q17" s="274">
        <f>Admin!Q14+'Activity 1'!Q17+'Activity 2'!Q17+'Activity 3'!Q17+'Activity 4'!Q17</f>
        <v>0</v>
      </c>
      <c r="R17" s="275">
        <f t="shared" si="6"/>
        <v>0</v>
      </c>
      <c r="S17" s="435">
        <f t="shared" si="7"/>
        <v>27296.699733333342</v>
      </c>
      <c r="T17" s="273">
        <f>'Program Budget'!T20</f>
        <v>0</v>
      </c>
      <c r="U17" s="274">
        <f>Admin!U14+'Activity 1'!U17+'Activity 2'!U17+'Activity 3'!U17+'Activity 4'!U17</f>
        <v>0</v>
      </c>
      <c r="V17" s="275">
        <f t="shared" si="8"/>
        <v>0</v>
      </c>
      <c r="W17" s="411">
        <f t="shared" si="9"/>
        <v>512624.00000000012</v>
      </c>
    </row>
    <row r="18" spans="1:23" ht="15" customHeight="1" outlineLevel="1">
      <c r="A18" s="270" t="str">
        <f>'Program Budget'!D21</f>
        <v xml:space="preserve">M&amp;E Director </v>
      </c>
      <c r="B18" s="271" t="str">
        <f>'Program Budget'!F21</f>
        <v>Month</v>
      </c>
      <c r="C18" s="435">
        <f>'Program Budget'!H21</f>
        <v>3750</v>
      </c>
      <c r="D18" s="273">
        <f>'Program Budget'!G21</f>
        <v>9</v>
      </c>
      <c r="E18" s="274">
        <f>Admin!E18+'Activity 1'!E18+'Activity 2'!E18+'Activity 3'!E18+'Activity 4'!E18</f>
        <v>0.99999999999999989</v>
      </c>
      <c r="F18" s="275">
        <f t="shared" si="0"/>
        <v>33749.999999999993</v>
      </c>
      <c r="G18" s="435">
        <f t="shared" si="1"/>
        <v>3900</v>
      </c>
      <c r="H18" s="273">
        <f>'Program Budget'!K21</f>
        <v>12</v>
      </c>
      <c r="I18" s="274">
        <f>Admin!I18+'Activity 1'!I18+'Activity 2'!I18+'Activity 3'!I18+'Activity 4'!I18</f>
        <v>1</v>
      </c>
      <c r="J18" s="275">
        <f t="shared" si="2"/>
        <v>46800</v>
      </c>
      <c r="K18" s="435">
        <f t="shared" si="3"/>
        <v>4056</v>
      </c>
      <c r="L18" s="273">
        <f>'Program Budget'!N21</f>
        <v>12</v>
      </c>
      <c r="M18" s="274">
        <f>Admin!M18+'Activity 1'!M18+'Activity 2'!M18+'Activity 3'!M18+'Activity 4'!M18</f>
        <v>1</v>
      </c>
      <c r="N18" s="275">
        <f t="shared" si="4"/>
        <v>48672</v>
      </c>
      <c r="O18" s="435">
        <f t="shared" si="5"/>
        <v>4218.24</v>
      </c>
      <c r="P18" s="273">
        <f>'Program Budget'!Q21</f>
        <v>12</v>
      </c>
      <c r="Q18" s="274">
        <f>Admin!Q18+'Activity 1'!Q18+'Activity 2'!Q18+'Activity 3'!Q18+'Activity 4'!Q18</f>
        <v>1</v>
      </c>
      <c r="R18" s="275">
        <f t="shared" si="6"/>
        <v>50618.879999999997</v>
      </c>
      <c r="S18" s="435">
        <f t="shared" si="7"/>
        <v>4386.9696000000004</v>
      </c>
      <c r="T18" s="273">
        <f>'Program Budget'!T21</f>
        <v>12</v>
      </c>
      <c r="U18" s="274">
        <f>Admin!U18+'Activity 1'!U18+'Activity 2'!U18+'Activity 3'!U18+'Activity 4'!U18</f>
        <v>1</v>
      </c>
      <c r="V18" s="275">
        <f t="shared" si="8"/>
        <v>52643.635200000004</v>
      </c>
      <c r="W18" s="411">
        <f t="shared" si="9"/>
        <v>232484.51520000002</v>
      </c>
    </row>
    <row r="19" spans="1:23" ht="15" customHeight="1" outlineLevel="1">
      <c r="A19" s="270" t="str">
        <f>'Program Budget'!D22</f>
        <v>M&amp;E Specialist</v>
      </c>
      <c r="B19" s="271" t="str">
        <f>'Program Budget'!F22</f>
        <v>Month</v>
      </c>
      <c r="C19" s="435">
        <f>'Program Budget'!H22</f>
        <v>2083.3333333333335</v>
      </c>
      <c r="D19" s="273">
        <f>'Program Budget'!G22</f>
        <v>6</v>
      </c>
      <c r="E19" s="274">
        <f>Admin!E19+'Activity 1'!E19+'Activity 2'!E19+'Activity 3'!E19+'Activity 4'!E19</f>
        <v>1</v>
      </c>
      <c r="F19" s="275">
        <f t="shared" si="0"/>
        <v>12500</v>
      </c>
      <c r="G19" s="435">
        <f t="shared" si="1"/>
        <v>2166.666666666667</v>
      </c>
      <c r="H19" s="273">
        <f>'Program Budget'!K22</f>
        <v>12</v>
      </c>
      <c r="I19" s="274">
        <f>Admin!I19+'Activity 1'!I19+'Activity 2'!I19+'Activity 3'!I19+'Activity 4'!I19</f>
        <v>1</v>
      </c>
      <c r="J19" s="275">
        <f t="shared" si="2"/>
        <v>26000.000000000004</v>
      </c>
      <c r="K19" s="435">
        <f t="shared" si="3"/>
        <v>2253.3333333333339</v>
      </c>
      <c r="L19" s="273">
        <f>'Program Budget'!N22</f>
        <v>12</v>
      </c>
      <c r="M19" s="274">
        <f>Admin!M19+'Activity 1'!M19+'Activity 2'!M19+'Activity 3'!M19+'Activity 4'!M19</f>
        <v>1</v>
      </c>
      <c r="N19" s="275">
        <f t="shared" si="4"/>
        <v>27040.000000000007</v>
      </c>
      <c r="O19" s="435">
        <f t="shared" si="5"/>
        <v>2343.4666666666672</v>
      </c>
      <c r="P19" s="273">
        <f>'Program Budget'!Q22</f>
        <v>12</v>
      </c>
      <c r="Q19" s="274">
        <f>Admin!Q19+'Activity 1'!Q19+'Activity 2'!Q19+'Activity 3'!Q19+'Activity 4'!Q19</f>
        <v>1</v>
      </c>
      <c r="R19" s="275">
        <f t="shared" si="6"/>
        <v>28121.600000000006</v>
      </c>
      <c r="S19" s="435">
        <f t="shared" si="7"/>
        <v>2437.2053333333338</v>
      </c>
      <c r="T19" s="273">
        <f>'Program Budget'!T22</f>
        <v>10</v>
      </c>
      <c r="U19" s="274">
        <f>Admin!U19+'Activity 1'!U19+'Activity 2'!U19+'Activity 3'!U19+'Activity 4'!U19</f>
        <v>1</v>
      </c>
      <c r="V19" s="275">
        <f t="shared" si="8"/>
        <v>24372.053333333337</v>
      </c>
      <c r="W19" s="411">
        <f t="shared" si="9"/>
        <v>118033.65333333335</v>
      </c>
    </row>
    <row r="20" spans="1:23" ht="15" customHeight="1" outlineLevel="1">
      <c r="A20" s="270" t="str">
        <f>'Program Budget'!D23</f>
        <v xml:space="preserve">F&amp;A Director </v>
      </c>
      <c r="B20" s="271" t="str">
        <f>'Program Budget'!F23</f>
        <v>Month</v>
      </c>
      <c r="C20" s="435">
        <f>'Program Budget'!H23</f>
        <v>6666.666666666667</v>
      </c>
      <c r="D20" s="273">
        <f>'Program Budget'!G23</f>
        <v>9</v>
      </c>
      <c r="E20" s="274">
        <f>Admin!E20+'Activity 1'!E20+'Activity 2'!E20+'Activity 3'!E20+'Activity 4'!E20</f>
        <v>1</v>
      </c>
      <c r="F20" s="275">
        <f t="shared" si="0"/>
        <v>60000</v>
      </c>
      <c r="G20" s="435">
        <f t="shared" si="1"/>
        <v>6933.3333333333339</v>
      </c>
      <c r="H20" s="273">
        <f>'Program Budget'!K23</f>
        <v>12</v>
      </c>
      <c r="I20" s="274">
        <f>Admin!I20+'Activity 1'!I20+'Activity 2'!I20+'Activity 3'!I20+'Activity 4'!I20</f>
        <v>1</v>
      </c>
      <c r="J20" s="275">
        <f t="shared" si="2"/>
        <v>83200</v>
      </c>
      <c r="K20" s="435">
        <f t="shared" si="3"/>
        <v>7210.6666666666679</v>
      </c>
      <c r="L20" s="273">
        <f>'Program Budget'!N23</f>
        <v>12</v>
      </c>
      <c r="M20" s="274">
        <f>Admin!M20+'Activity 1'!M20+'Activity 2'!M20+'Activity 3'!M20+'Activity 4'!M20</f>
        <v>1</v>
      </c>
      <c r="N20" s="275">
        <f t="shared" si="4"/>
        <v>86528.000000000015</v>
      </c>
      <c r="O20" s="435">
        <f t="shared" si="5"/>
        <v>7499.0933333333351</v>
      </c>
      <c r="P20" s="273">
        <f>'Program Budget'!Q23</f>
        <v>12</v>
      </c>
      <c r="Q20" s="274">
        <f>Admin!Q20+'Activity 1'!Q20+'Activity 2'!Q20+'Activity 3'!Q20+'Activity 4'!Q20</f>
        <v>1</v>
      </c>
      <c r="R20" s="275">
        <f t="shared" si="6"/>
        <v>89989.120000000024</v>
      </c>
      <c r="S20" s="435">
        <f t="shared" si="7"/>
        <v>7799.057066666669</v>
      </c>
      <c r="T20" s="273">
        <f>'Program Budget'!T23</f>
        <v>12</v>
      </c>
      <c r="U20" s="274">
        <f>Admin!U20+'Activity 1'!U20+'Activity 2'!U20+'Activity 3'!U20+'Activity 4'!U20</f>
        <v>1</v>
      </c>
      <c r="V20" s="275">
        <f t="shared" si="8"/>
        <v>93588.684800000032</v>
      </c>
      <c r="W20" s="411">
        <f t="shared" si="9"/>
        <v>413305.80480000004</v>
      </c>
    </row>
    <row r="21" spans="1:23" ht="15" customHeight="1" outlineLevel="1">
      <c r="A21" s="270" t="str">
        <f>'Program Budget'!D24</f>
        <v>Human Resource Manager</v>
      </c>
      <c r="B21" s="271" t="str">
        <f>'Program Budget'!F24</f>
        <v>Month</v>
      </c>
      <c r="C21" s="435">
        <f>'Program Budget'!H24</f>
        <v>2916.6666666666665</v>
      </c>
      <c r="D21" s="273">
        <f>'Program Budget'!G24</f>
        <v>9</v>
      </c>
      <c r="E21" s="274">
        <f>Admin!E21+'Activity 1'!E21+'Activity 2'!E21+'Activity 3'!E21+'Activity 4'!E21</f>
        <v>0.99999999999999989</v>
      </c>
      <c r="F21" s="275">
        <f t="shared" ref="F21" si="20">C21*D21*E21</f>
        <v>26249.999999999996</v>
      </c>
      <c r="G21" s="435">
        <f>C21*1.04</f>
        <v>3033.3333333333335</v>
      </c>
      <c r="H21" s="273">
        <f>'Program Budget'!K24</f>
        <v>12</v>
      </c>
      <c r="I21" s="274">
        <f>Admin!I21+'Activity 1'!I21+'Activity 2'!I21+'Activity 3'!I21+'Activity 4'!I21</f>
        <v>1</v>
      </c>
      <c r="J21" s="275">
        <f t="shared" ref="J21" si="21">G21*H21*I21</f>
        <v>36400</v>
      </c>
      <c r="K21" s="435">
        <f t="shared" ref="K21" si="22">G21*1.04</f>
        <v>3154.666666666667</v>
      </c>
      <c r="L21" s="273">
        <f>'Program Budget'!N24</f>
        <v>12</v>
      </c>
      <c r="M21" s="274">
        <f>Admin!M21+'Activity 1'!M21+'Activity 2'!M21+'Activity 3'!M21+'Activity 4'!M21</f>
        <v>1</v>
      </c>
      <c r="N21" s="275">
        <f t="shared" ref="N21" si="23">K21*L21*M21</f>
        <v>37856</v>
      </c>
      <c r="O21" s="435">
        <f t="shared" ref="O21" si="24">K21*1.04</f>
        <v>3280.8533333333339</v>
      </c>
      <c r="P21" s="273">
        <f>'Program Budget'!Q24</f>
        <v>12</v>
      </c>
      <c r="Q21" s="274">
        <f>Admin!Q21+'Activity 1'!Q21+'Activity 2'!Q21+'Activity 3'!Q21+'Activity 4'!Q21</f>
        <v>1</v>
      </c>
      <c r="R21" s="275">
        <f t="shared" ref="R21" si="25">O21*P21*Q21</f>
        <v>39370.240000000005</v>
      </c>
      <c r="S21" s="435">
        <f t="shared" ref="S21" si="26">O21*1.04</f>
        <v>3412.0874666666673</v>
      </c>
      <c r="T21" s="273">
        <f>'Program Budget'!T24</f>
        <v>10</v>
      </c>
      <c r="U21" s="274">
        <f>Admin!U21+'Activity 1'!U21+'Activity 2'!U21+'Activity 3'!U21+'Activity 4'!U21</f>
        <v>1</v>
      </c>
      <c r="V21" s="275">
        <f t="shared" ref="V21" si="27">S21*T21*U21</f>
        <v>34120.87466666667</v>
      </c>
      <c r="W21" s="411">
        <f t="shared" ref="W21" si="28">F21+J21+N21+R21+V21</f>
        <v>173997.11466666666</v>
      </c>
    </row>
    <row r="22" spans="1:23" ht="15" customHeight="1" outlineLevel="1">
      <c r="A22" s="270" t="str">
        <f>'Program Budget'!D25</f>
        <v>Contracts &amp; Compliance Specialist</v>
      </c>
      <c r="B22" s="271" t="str">
        <f>'Program Budget'!F25</f>
        <v>Month</v>
      </c>
      <c r="C22" s="435">
        <f>'Program Budget'!H25</f>
        <v>2916.6666666666665</v>
      </c>
      <c r="D22" s="273">
        <f>'Program Budget'!G25</f>
        <v>6</v>
      </c>
      <c r="E22" s="274">
        <f>Admin!E22+'Activity 1'!E22+'Activity 2'!E22+'Activity 3'!E22+'Activity 4'!E22</f>
        <v>1</v>
      </c>
      <c r="F22" s="275">
        <f t="shared" si="0"/>
        <v>17500</v>
      </c>
      <c r="G22" s="435">
        <f t="shared" si="1"/>
        <v>3033.3333333333335</v>
      </c>
      <c r="H22" s="273">
        <f>'Program Budget'!K25</f>
        <v>12</v>
      </c>
      <c r="I22" s="274">
        <f>Admin!I22+'Activity 1'!I22+'Activity 2'!I22+'Activity 3'!I22+'Activity 4'!I22</f>
        <v>1</v>
      </c>
      <c r="J22" s="275">
        <f t="shared" si="2"/>
        <v>36400</v>
      </c>
      <c r="K22" s="435">
        <f t="shared" si="3"/>
        <v>3154.666666666667</v>
      </c>
      <c r="L22" s="273">
        <f>'Program Budget'!N25</f>
        <v>12</v>
      </c>
      <c r="M22" s="274">
        <f>Admin!M22+'Activity 1'!M22+'Activity 2'!M22+'Activity 3'!M22+'Activity 4'!M22</f>
        <v>1</v>
      </c>
      <c r="N22" s="275">
        <f t="shared" si="4"/>
        <v>37856</v>
      </c>
      <c r="O22" s="435">
        <f t="shared" si="5"/>
        <v>3280.8533333333339</v>
      </c>
      <c r="P22" s="273">
        <f>'Program Budget'!Q25</f>
        <v>12</v>
      </c>
      <c r="Q22" s="274">
        <f>Admin!Q22+'Activity 1'!Q22+'Activity 2'!Q22+'Activity 3'!Q22+'Activity 4'!Q22</f>
        <v>1</v>
      </c>
      <c r="R22" s="275">
        <f t="shared" si="6"/>
        <v>39370.240000000005</v>
      </c>
      <c r="S22" s="435">
        <f t="shared" si="7"/>
        <v>3412.0874666666673</v>
      </c>
      <c r="T22" s="273">
        <f>'Program Budget'!T25</f>
        <v>9</v>
      </c>
      <c r="U22" s="274">
        <f>Admin!U22+'Activity 1'!U22+'Activity 2'!U22+'Activity 3'!U22+'Activity 4'!U22</f>
        <v>1</v>
      </c>
      <c r="V22" s="275">
        <f t="shared" si="8"/>
        <v>30708.787200000006</v>
      </c>
      <c r="W22" s="411">
        <f t="shared" si="9"/>
        <v>161835.02720000001</v>
      </c>
    </row>
    <row r="23" spans="1:23" ht="15" customHeight="1" outlineLevel="1">
      <c r="A23" s="270" t="str">
        <f>'Program Budget'!D26</f>
        <v xml:space="preserve">Accountant </v>
      </c>
      <c r="B23" s="271" t="str">
        <f>'Program Budget'!F26</f>
        <v>Month</v>
      </c>
      <c r="C23" s="435">
        <f>'Program Budget'!H26</f>
        <v>1666.6666666666667</v>
      </c>
      <c r="D23" s="273">
        <v>20</v>
      </c>
      <c r="E23" s="274">
        <f>Admin!E23+'Activity 1'!E23+'Activity 2'!E23+'Activity 3'!E23+'Activity 4'!E23</f>
        <v>1</v>
      </c>
      <c r="F23" s="275">
        <f>C23*D23*E23</f>
        <v>33333.333333333336</v>
      </c>
      <c r="G23" s="435">
        <f t="shared" si="1"/>
        <v>1733.3333333333335</v>
      </c>
      <c r="H23" s="273">
        <f>'Program Budget'!K26</f>
        <v>12</v>
      </c>
      <c r="I23" s="274">
        <f>Admin!I23+'Activity 1'!I23+'Activity 2'!I23+'Activity 3'!I23+'Activity 4'!I23</f>
        <v>1</v>
      </c>
      <c r="J23" s="275">
        <f t="shared" si="2"/>
        <v>20800</v>
      </c>
      <c r="K23" s="435">
        <f t="shared" si="3"/>
        <v>1802.666666666667</v>
      </c>
      <c r="L23" s="273">
        <f>'Program Budget'!N26</f>
        <v>12</v>
      </c>
      <c r="M23" s="274">
        <f>Admin!M23+'Activity 1'!M23+'Activity 2'!M23+'Activity 3'!M23+'Activity 4'!M23</f>
        <v>1</v>
      </c>
      <c r="N23" s="275">
        <f t="shared" si="4"/>
        <v>21632.000000000004</v>
      </c>
      <c r="O23" s="435">
        <f t="shared" si="5"/>
        <v>1874.7733333333338</v>
      </c>
      <c r="P23" s="273">
        <f>'Program Budget'!Q26</f>
        <v>12</v>
      </c>
      <c r="Q23" s="274">
        <f>Admin!Q23+'Activity 1'!Q23+'Activity 2'!Q23+'Activity 3'!Q23+'Activity 4'!Q23</f>
        <v>1</v>
      </c>
      <c r="R23" s="275">
        <f t="shared" si="6"/>
        <v>22497.280000000006</v>
      </c>
      <c r="S23" s="435">
        <f t="shared" si="7"/>
        <v>1949.7642666666673</v>
      </c>
      <c r="T23" s="273">
        <f>'Program Budget'!T26</f>
        <v>10</v>
      </c>
      <c r="U23" s="274">
        <f>Admin!U23+'Activity 1'!U23+'Activity 2'!U23+'Activity 3'!U23+'Activity 4'!U23</f>
        <v>1</v>
      </c>
      <c r="V23" s="275">
        <f t="shared" si="8"/>
        <v>19497.642666666674</v>
      </c>
      <c r="W23" s="411">
        <f>F23+J23+N23+R23+V23</f>
        <v>117760.25600000002</v>
      </c>
    </row>
    <row r="24" spans="1:23" ht="15" customHeight="1" outlineLevel="1">
      <c r="A24" s="270" t="str">
        <f>'Program Budget'!D27</f>
        <v xml:space="preserve">Administrative Assistant </v>
      </c>
      <c r="B24" s="271" t="str">
        <f>'Program Budget'!F27</f>
        <v>Month</v>
      </c>
      <c r="C24" s="435">
        <f>'Program Budget'!H27</f>
        <v>833.33333333333337</v>
      </c>
      <c r="D24" s="273">
        <f>'Program Budget'!G27</f>
        <v>7</v>
      </c>
      <c r="E24" s="274">
        <f>Admin!E24+'Activity 1'!E24+'Activity 2'!E24+'Activity 3'!E24+'Activity 4'!E24</f>
        <v>1</v>
      </c>
      <c r="F24" s="275">
        <f t="shared" si="0"/>
        <v>5833.3333333333339</v>
      </c>
      <c r="G24" s="435">
        <f t="shared" si="1"/>
        <v>866.66666666666674</v>
      </c>
      <c r="H24" s="273">
        <f>'Program Budget'!K27</f>
        <v>12</v>
      </c>
      <c r="I24" s="274">
        <f>Admin!I24+'Activity 1'!I24+'Activity 2'!I24+'Activity 3'!I24+'Activity 4'!I24</f>
        <v>1</v>
      </c>
      <c r="J24" s="275">
        <f t="shared" si="2"/>
        <v>10400</v>
      </c>
      <c r="K24" s="435">
        <f t="shared" si="3"/>
        <v>901.33333333333348</v>
      </c>
      <c r="L24" s="273">
        <f>'Program Budget'!N27</f>
        <v>12</v>
      </c>
      <c r="M24" s="274">
        <f>Admin!M24+'Activity 1'!M24+'Activity 2'!M24+'Activity 3'!M24+'Activity 4'!M24</f>
        <v>1</v>
      </c>
      <c r="N24" s="275">
        <f t="shared" si="4"/>
        <v>10816.000000000002</v>
      </c>
      <c r="O24" s="435">
        <f t="shared" si="5"/>
        <v>937.38666666666688</v>
      </c>
      <c r="P24" s="273">
        <f>'Program Budget'!Q27</f>
        <v>12</v>
      </c>
      <c r="Q24" s="274">
        <f>Admin!Q24+'Activity 1'!Q24+'Activity 2'!Q24+'Activity 3'!Q24+'Activity 4'!Q24</f>
        <v>1</v>
      </c>
      <c r="R24" s="275">
        <f t="shared" si="6"/>
        <v>11248.640000000003</v>
      </c>
      <c r="S24" s="435">
        <f t="shared" si="7"/>
        <v>974.88213333333363</v>
      </c>
      <c r="T24" s="273">
        <f>'Program Budget'!T27</f>
        <v>10</v>
      </c>
      <c r="U24" s="274">
        <f>Admin!U24+'Activity 1'!U24+'Activity 2'!U24+'Activity 3'!U24+'Activity 4'!U24</f>
        <v>1</v>
      </c>
      <c r="V24" s="275">
        <f t="shared" si="8"/>
        <v>9748.821333333337</v>
      </c>
      <c r="W24" s="411">
        <f t="shared" si="9"/>
        <v>48046.794666666683</v>
      </c>
    </row>
    <row r="25" spans="1:23" ht="15" customHeight="1" outlineLevel="1">
      <c r="A25" s="270" t="str">
        <f>'Program Budget'!D28</f>
        <v>Security Guards</v>
      </c>
      <c r="B25" s="271" t="str">
        <f>'Program Budget'!F28</f>
        <v>Month</v>
      </c>
      <c r="C25" s="435">
        <f>'Program Budget'!H28</f>
        <v>666.66666666666663</v>
      </c>
      <c r="D25" s="273">
        <f>'Program Budget'!G28</f>
        <v>8</v>
      </c>
      <c r="E25" s="274">
        <f>Admin!E25+'Activity 1'!E25+'Activity 2'!E25+'Activity 3'!E25+'Activity 4'!E25</f>
        <v>1</v>
      </c>
      <c r="F25" s="275">
        <f t="shared" si="0"/>
        <v>5333.333333333333</v>
      </c>
      <c r="G25" s="435">
        <f t="shared" si="1"/>
        <v>693.33333333333337</v>
      </c>
      <c r="H25" s="273">
        <f>'Program Budget'!K28</f>
        <v>12</v>
      </c>
      <c r="I25" s="274">
        <f>Admin!I25+'Activity 1'!I25+'Activity 2'!I25+'Activity 3'!I25+'Activity 4'!I25</f>
        <v>1</v>
      </c>
      <c r="J25" s="275">
        <f t="shared" si="2"/>
        <v>8320</v>
      </c>
      <c r="K25" s="435">
        <f t="shared" si="3"/>
        <v>721.06666666666672</v>
      </c>
      <c r="L25" s="273">
        <f>'Program Budget'!N28</f>
        <v>12</v>
      </c>
      <c r="M25" s="274">
        <f>Admin!M25+'Activity 1'!M25+'Activity 2'!M25+'Activity 3'!M25+'Activity 4'!M25</f>
        <v>1</v>
      </c>
      <c r="N25" s="275">
        <f t="shared" si="4"/>
        <v>8652.8000000000011</v>
      </c>
      <c r="O25" s="435">
        <f t="shared" si="5"/>
        <v>749.90933333333339</v>
      </c>
      <c r="P25" s="273">
        <f>'Program Budget'!Q28</f>
        <v>12</v>
      </c>
      <c r="Q25" s="274">
        <f>Admin!Q25+'Activity 1'!Q25+'Activity 2'!Q25+'Activity 3'!Q25+'Activity 4'!Q25</f>
        <v>1</v>
      </c>
      <c r="R25" s="275">
        <f t="shared" si="6"/>
        <v>8998.9120000000003</v>
      </c>
      <c r="S25" s="435">
        <f t="shared" si="7"/>
        <v>779.90570666666679</v>
      </c>
      <c r="T25" s="273">
        <f>'Program Budget'!T28</f>
        <v>10</v>
      </c>
      <c r="U25" s="274">
        <f>Admin!U25+'Activity 1'!U25+'Activity 2'!U25+'Activity 3'!U25+'Activity 4'!U25</f>
        <v>1</v>
      </c>
      <c r="V25" s="275">
        <f t="shared" si="8"/>
        <v>7799.0570666666681</v>
      </c>
      <c r="W25" s="411">
        <f t="shared" si="9"/>
        <v>39104.102400000003</v>
      </c>
    </row>
    <row r="26" spans="1:23" ht="15" customHeight="1" outlineLevel="1">
      <c r="A26" s="270" t="str">
        <f>'Program Budget'!D29</f>
        <v>Driver (2 Individuals)</v>
      </c>
      <c r="B26" s="271" t="str">
        <f>'Program Budget'!F29</f>
        <v>Month</v>
      </c>
      <c r="C26" s="435">
        <f>'Program Budget'!H29</f>
        <v>1333.3333333333333</v>
      </c>
      <c r="D26" s="273">
        <f>'Program Budget'!G29</f>
        <v>6</v>
      </c>
      <c r="E26" s="274">
        <f>Admin!E26+'Activity 1'!E26+'Activity 2'!E26+'Activity 3'!E26+'Activity 4'!E26</f>
        <v>1</v>
      </c>
      <c r="F26" s="275">
        <f t="shared" si="0"/>
        <v>8000</v>
      </c>
      <c r="G26" s="435">
        <f t="shared" si="1"/>
        <v>1386.6666666666667</v>
      </c>
      <c r="H26" s="273">
        <f>'Program Budget'!K29</f>
        <v>12</v>
      </c>
      <c r="I26" s="274">
        <f>Admin!I26+'Activity 1'!I26+'Activity 2'!I26+'Activity 3'!I26+'Activity 4'!I26</f>
        <v>1</v>
      </c>
      <c r="J26" s="275">
        <f t="shared" si="2"/>
        <v>16640</v>
      </c>
      <c r="K26" s="435">
        <f t="shared" si="3"/>
        <v>1442.1333333333334</v>
      </c>
      <c r="L26" s="273">
        <f>'Program Budget'!N29</f>
        <v>12</v>
      </c>
      <c r="M26" s="274">
        <f>Admin!M26+'Activity 1'!M26+'Activity 2'!M26+'Activity 3'!M26+'Activity 4'!M26</f>
        <v>1</v>
      </c>
      <c r="N26" s="275">
        <f t="shared" si="4"/>
        <v>17305.600000000002</v>
      </c>
      <c r="O26" s="435">
        <f t="shared" si="5"/>
        <v>1499.8186666666668</v>
      </c>
      <c r="P26" s="273">
        <f>'Program Budget'!Q29</f>
        <v>12</v>
      </c>
      <c r="Q26" s="274">
        <f>Admin!Q26+'Activity 1'!Q26+'Activity 2'!Q26+'Activity 3'!Q26+'Activity 4'!Q26</f>
        <v>1</v>
      </c>
      <c r="R26" s="275">
        <f t="shared" si="6"/>
        <v>17997.824000000001</v>
      </c>
      <c r="S26" s="435">
        <f t="shared" si="7"/>
        <v>1559.8114133333336</v>
      </c>
      <c r="T26" s="273">
        <f>'Program Budget'!T29</f>
        <v>9</v>
      </c>
      <c r="U26" s="274">
        <f>Admin!U26+'Activity 1'!U26+'Activity 2'!U26+'Activity 3'!U26+'Activity 4'!U26</f>
        <v>1</v>
      </c>
      <c r="V26" s="275">
        <f t="shared" si="8"/>
        <v>14038.302720000002</v>
      </c>
      <c r="W26" s="413">
        <f t="shared" si="9"/>
        <v>73981.726720000006</v>
      </c>
    </row>
    <row r="27" spans="1:23" ht="15" customHeight="1" outlineLevel="1">
      <c r="A27" s="547" t="s">
        <v>78</v>
      </c>
      <c r="B27" s="286"/>
      <c r="C27" s="436"/>
      <c r="D27" s="288"/>
      <c r="E27" s="289"/>
      <c r="F27" s="299">
        <f>SUM(F10:F26)</f>
        <v>407499.99999999994</v>
      </c>
      <c r="G27" s="436"/>
      <c r="H27" s="288"/>
      <c r="I27" s="291"/>
      <c r="J27" s="299">
        <f>SUM(J10:J26)</f>
        <v>856960</v>
      </c>
      <c r="K27" s="436"/>
      <c r="L27" s="288"/>
      <c r="M27" s="289"/>
      <c r="N27" s="299">
        <f>SUM(N10:N26)</f>
        <v>739814.40000000002</v>
      </c>
      <c r="O27" s="436"/>
      <c r="P27" s="288"/>
      <c r="Q27" s="291"/>
      <c r="R27" s="299">
        <f>SUM(R10:R26)</f>
        <v>611926.01600000006</v>
      </c>
      <c r="S27" s="436"/>
      <c r="T27" s="288"/>
      <c r="U27" s="291"/>
      <c r="V27" s="299">
        <f>SUM(V10:V26)</f>
        <v>479544.52138666669</v>
      </c>
      <c r="W27" s="412">
        <f>F27+J27+N27+R27+V27</f>
        <v>3095744.9373866669</v>
      </c>
    </row>
    <row r="28" spans="1:23" s="266" customFormat="1" ht="15.6" outlineLevel="1">
      <c r="A28" s="546" t="s">
        <v>79</v>
      </c>
      <c r="B28" s="268"/>
      <c r="C28" s="434"/>
      <c r="D28" s="259"/>
      <c r="E28" s="260"/>
      <c r="F28" s="261"/>
      <c r="G28" s="261"/>
      <c r="H28" s="261"/>
      <c r="I28" s="261"/>
      <c r="J28" s="261"/>
      <c r="K28" s="261"/>
      <c r="L28" s="261"/>
      <c r="M28" s="261"/>
      <c r="N28" s="261"/>
      <c r="O28" s="261"/>
      <c r="P28" s="261"/>
      <c r="Q28" s="261"/>
      <c r="R28" s="261"/>
      <c r="S28" s="261"/>
      <c r="T28" s="261"/>
      <c r="U28" s="261"/>
      <c r="V28" s="261"/>
      <c r="W28" s="410"/>
    </row>
    <row r="29" spans="1:23" ht="15" customHeight="1" outlineLevel="1">
      <c r="A29" s="270" t="str">
        <f>'Program Budget'!D31</f>
        <v xml:space="preserve">Senior Program Director </v>
      </c>
      <c r="B29" s="271" t="str">
        <f>'Program Budget'!F31</f>
        <v>Month</v>
      </c>
      <c r="C29" s="435">
        <f>'Program Budget'!H31</f>
        <v>11250</v>
      </c>
      <c r="D29" s="273">
        <f>'Program Budget'!G31</f>
        <v>12</v>
      </c>
      <c r="E29" s="274">
        <f>'Program Budget'!E31</f>
        <v>0.2</v>
      </c>
      <c r="F29" s="275">
        <f>C29*D29*E29</f>
        <v>27000</v>
      </c>
      <c r="G29" s="435">
        <f>C29*1.04</f>
        <v>11700</v>
      </c>
      <c r="H29" s="273">
        <f>'Program Budget'!K31</f>
        <v>12</v>
      </c>
      <c r="I29" s="276">
        <f>'Program Budget'!J31</f>
        <v>0.2</v>
      </c>
      <c r="J29" s="275">
        <f>G29*H29*I29</f>
        <v>28080</v>
      </c>
      <c r="K29" s="435">
        <f>G29*1.04</f>
        <v>12168</v>
      </c>
      <c r="L29" s="273">
        <f>'Program Budget'!N31</f>
        <v>12</v>
      </c>
      <c r="M29" s="276">
        <f>'Program Budget'!M31</f>
        <v>0.2</v>
      </c>
      <c r="N29" s="275">
        <f>K29*L29*M29</f>
        <v>29203.200000000001</v>
      </c>
      <c r="O29" s="435">
        <f>K29*1.04</f>
        <v>12654.720000000001</v>
      </c>
      <c r="P29" s="273">
        <f>'Program Budget'!Q31</f>
        <v>12</v>
      </c>
      <c r="Q29" s="276">
        <f>'Program Budget'!P31</f>
        <v>0.2</v>
      </c>
      <c r="R29" s="275">
        <f>O29*P29*Q29</f>
        <v>30371.328000000005</v>
      </c>
      <c r="S29" s="435">
        <f>O29*1.04</f>
        <v>13160.908800000001</v>
      </c>
      <c r="T29" s="273">
        <f>'Program Budget'!T31</f>
        <v>12</v>
      </c>
      <c r="U29" s="276">
        <f>'Program Budget'!S31</f>
        <v>0.2</v>
      </c>
      <c r="V29" s="275">
        <f>S29*T29*U29</f>
        <v>31586.181120000001</v>
      </c>
      <c r="W29" s="411">
        <f>F29+J29+N29+R29+V29</f>
        <v>146240.70912000001</v>
      </c>
    </row>
    <row r="30" spans="1:23" ht="15" customHeight="1" outlineLevel="1">
      <c r="A30" s="270" t="str">
        <f>'Program Budget'!D32</f>
        <v>HO Project Manager</v>
      </c>
      <c r="B30" s="271" t="str">
        <f>'Program Budget'!F32</f>
        <v>Month</v>
      </c>
      <c r="C30" s="435">
        <f>'Program Budget'!H32</f>
        <v>6916.666666666667</v>
      </c>
      <c r="D30" s="273">
        <f>'Program Budget'!G32</f>
        <v>12</v>
      </c>
      <c r="E30" s="274">
        <f>'Program Budget'!E32</f>
        <v>1</v>
      </c>
      <c r="F30" s="275">
        <f>C30*D30*E30</f>
        <v>83000</v>
      </c>
      <c r="G30" s="435">
        <f>C30*1.04</f>
        <v>7193.3333333333339</v>
      </c>
      <c r="H30" s="273">
        <f>'Program Budget'!K32</f>
        <v>12</v>
      </c>
      <c r="I30" s="276">
        <f>'Program Budget'!J32</f>
        <v>1</v>
      </c>
      <c r="J30" s="275">
        <f>G30*H30*I30</f>
        <v>86320</v>
      </c>
      <c r="K30" s="435">
        <f>G30*1.04</f>
        <v>7481.0666666666675</v>
      </c>
      <c r="L30" s="273">
        <f>'Program Budget'!N32</f>
        <v>12</v>
      </c>
      <c r="M30" s="276">
        <f>'Program Budget'!M32</f>
        <v>1</v>
      </c>
      <c r="N30" s="275">
        <f>K30*L30*M30</f>
        <v>89772.800000000017</v>
      </c>
      <c r="O30" s="435">
        <f>K30*1.04</f>
        <v>7780.3093333333345</v>
      </c>
      <c r="P30" s="273">
        <f>'Program Budget'!Q32</f>
        <v>12</v>
      </c>
      <c r="Q30" s="276">
        <f>'Program Budget'!P32</f>
        <v>1</v>
      </c>
      <c r="R30" s="275">
        <f>O30*P30*Q30</f>
        <v>93363.712000000014</v>
      </c>
      <c r="S30" s="435">
        <f>O30*1.04</f>
        <v>8091.5217066666683</v>
      </c>
      <c r="T30" s="273">
        <f>'Program Budget'!T32</f>
        <v>12</v>
      </c>
      <c r="U30" s="276">
        <f>'Program Budget'!S32</f>
        <v>1</v>
      </c>
      <c r="V30" s="275">
        <f>S30*T30*U30</f>
        <v>97098.260480000026</v>
      </c>
      <c r="W30" s="413">
        <f>F30+J30+N30+R30+V30</f>
        <v>449554.77248000004</v>
      </c>
    </row>
    <row r="31" spans="1:23" ht="15" customHeight="1" outlineLevel="1">
      <c r="A31" s="547" t="s">
        <v>80</v>
      </c>
      <c r="B31" s="286"/>
      <c r="C31" s="436"/>
      <c r="D31" s="288"/>
      <c r="E31" s="289"/>
      <c r="F31" s="290">
        <f>SUM(F29:F30)</f>
        <v>110000</v>
      </c>
      <c r="G31" s="436"/>
      <c r="H31" s="288"/>
      <c r="I31" s="291"/>
      <c r="J31" s="290">
        <f>SUM(J29:J30)</f>
        <v>114400</v>
      </c>
      <c r="K31" s="436"/>
      <c r="L31" s="288"/>
      <c r="M31" s="289"/>
      <c r="N31" s="290">
        <f>SUM(N29:N30)</f>
        <v>118976.00000000001</v>
      </c>
      <c r="O31" s="436"/>
      <c r="P31" s="288"/>
      <c r="Q31" s="291"/>
      <c r="R31" s="290">
        <f>SUM(R29:R30)</f>
        <v>123735.04000000002</v>
      </c>
      <c r="S31" s="436"/>
      <c r="T31" s="288"/>
      <c r="U31" s="291"/>
      <c r="V31" s="290">
        <f>SUM(V29:V30)</f>
        <v>128684.44160000002</v>
      </c>
      <c r="W31" s="412">
        <f>+F31+J31+N31+R31+V31</f>
        <v>595795.48160000006</v>
      </c>
    </row>
    <row r="32" spans="1:23" s="266" customFormat="1" ht="15" customHeight="1" outlineLevel="1">
      <c r="A32" s="548"/>
      <c r="B32" s="293"/>
      <c r="C32" s="437"/>
      <c r="D32" s="295"/>
      <c r="E32" s="236"/>
      <c r="F32" s="275"/>
      <c r="G32" s="437"/>
      <c r="H32" s="295"/>
      <c r="I32" s="236"/>
      <c r="J32" s="275"/>
      <c r="K32" s="437"/>
      <c r="L32" s="295"/>
      <c r="M32" s="236"/>
      <c r="N32" s="275"/>
      <c r="O32" s="437"/>
      <c r="P32" s="295"/>
      <c r="Q32" s="236"/>
      <c r="R32" s="275"/>
      <c r="S32" s="437"/>
      <c r="T32" s="295"/>
      <c r="U32" s="236"/>
      <c r="V32" s="275"/>
      <c r="W32" s="283"/>
    </row>
    <row r="33" spans="1:28" s="313" customFormat="1" ht="15" customHeight="1">
      <c r="A33" s="549" t="s">
        <v>81</v>
      </c>
      <c r="B33" s="304"/>
      <c r="C33" s="438"/>
      <c r="D33" s="306"/>
      <c r="E33" s="307"/>
      <c r="F33" s="308">
        <f>F31+F27+F8</f>
        <v>662500</v>
      </c>
      <c r="G33" s="438"/>
      <c r="H33" s="306"/>
      <c r="I33" s="309"/>
      <c r="J33" s="308">
        <f>J31+J27+J8</f>
        <v>1122160</v>
      </c>
      <c r="K33" s="438"/>
      <c r="L33" s="306"/>
      <c r="M33" s="307"/>
      <c r="N33" s="308">
        <f>N31+N27+N8</f>
        <v>1015622.4</v>
      </c>
      <c r="O33" s="438"/>
      <c r="P33" s="306"/>
      <c r="Q33" s="309"/>
      <c r="R33" s="308">
        <f>R31+R27+R8</f>
        <v>898766.33600000013</v>
      </c>
      <c r="S33" s="438"/>
      <c r="T33" s="306"/>
      <c r="U33" s="309"/>
      <c r="V33" s="308">
        <f>V31+V27+V8</f>
        <v>777858.45418666676</v>
      </c>
      <c r="W33" s="310">
        <f>+F33+J33+N33+R33+V33</f>
        <v>4476907.1901866663</v>
      </c>
    </row>
    <row r="34" spans="1:28" s="266" customFormat="1" ht="15" customHeight="1" outlineLevel="1">
      <c r="A34" s="546" t="s">
        <v>82</v>
      </c>
      <c r="B34" s="268"/>
      <c r="C34" s="434"/>
      <c r="D34" s="259"/>
      <c r="E34" s="260"/>
      <c r="F34" s="261"/>
      <c r="G34" s="434"/>
      <c r="H34" s="259"/>
      <c r="I34" s="262"/>
      <c r="J34" s="263"/>
      <c r="K34" s="434"/>
      <c r="L34" s="259"/>
      <c r="M34" s="260"/>
      <c r="N34" s="263"/>
      <c r="O34" s="434"/>
      <c r="P34" s="259"/>
      <c r="Q34" s="262"/>
      <c r="R34" s="263"/>
      <c r="S34" s="434"/>
      <c r="T34" s="259"/>
      <c r="U34" s="262"/>
      <c r="V34" s="263"/>
      <c r="W34" s="264"/>
    </row>
    <row r="35" spans="1:28" s="266" customFormat="1" ht="15" customHeight="1" outlineLevel="1">
      <c r="A35" s="550" t="s">
        <v>75</v>
      </c>
      <c r="B35" s="293" t="str">
        <f>'Program Budget'!F37</f>
        <v>%</v>
      </c>
      <c r="C35" s="421">
        <f>F8</f>
        <v>145000</v>
      </c>
      <c r="D35" s="295">
        <v>1</v>
      </c>
      <c r="E35" s="236">
        <f>'Program Budget'!H39</f>
        <v>0.23469999999999999</v>
      </c>
      <c r="F35" s="275">
        <f>C35*D35*E35</f>
        <v>34031.5</v>
      </c>
      <c r="G35" s="421">
        <f>J8</f>
        <v>150800</v>
      </c>
      <c r="H35" s="295">
        <v>1</v>
      </c>
      <c r="I35" s="236">
        <f>E35</f>
        <v>0.23469999999999999</v>
      </c>
      <c r="J35" s="275">
        <f t="shared" ref="J35:J37" si="29">G35*H35*I35</f>
        <v>35392.76</v>
      </c>
      <c r="K35" s="421">
        <f>N8</f>
        <v>156832.00000000003</v>
      </c>
      <c r="L35" s="295">
        <v>1</v>
      </c>
      <c r="M35" s="236">
        <f>I35</f>
        <v>0.23469999999999999</v>
      </c>
      <c r="N35" s="275">
        <f t="shared" ref="N35:N37" si="30">K35*L35*M35</f>
        <v>36808.470400000006</v>
      </c>
      <c r="O35" s="421">
        <f>R8</f>
        <v>163105.28000000003</v>
      </c>
      <c r="P35" s="295">
        <v>1</v>
      </c>
      <c r="Q35" s="236">
        <f>M35</f>
        <v>0.23469999999999999</v>
      </c>
      <c r="R35" s="275">
        <f t="shared" ref="R35:R37" si="31">O35*P35*Q35</f>
        <v>38280.809216000009</v>
      </c>
      <c r="S35" s="421">
        <f>V8</f>
        <v>169629.49120000005</v>
      </c>
      <c r="T35" s="295">
        <v>1</v>
      </c>
      <c r="U35" s="236">
        <f>Q35</f>
        <v>0.23469999999999999</v>
      </c>
      <c r="V35" s="275">
        <f t="shared" ref="V35:V37" si="32">S35*T35*U35</f>
        <v>39812.041584640006</v>
      </c>
      <c r="W35" s="411">
        <f t="shared" ref="W35:W37" si="33">F35+J35+N35+R35+V35</f>
        <v>184325.58120064004</v>
      </c>
      <c r="X35" s="233"/>
      <c r="Y35" s="233"/>
      <c r="Z35" s="233"/>
      <c r="AB35" s="233"/>
    </row>
    <row r="36" spans="1:28" s="266" customFormat="1" ht="15" customHeight="1" outlineLevel="1">
      <c r="A36" s="550" t="s">
        <v>83</v>
      </c>
      <c r="B36" s="293" t="str">
        <f>'Program Budget'!F38</f>
        <v>%</v>
      </c>
      <c r="C36" s="421">
        <f>F27</f>
        <v>407499.99999999994</v>
      </c>
      <c r="D36" s="295">
        <v>1</v>
      </c>
      <c r="E36" s="236">
        <f>'Program Budget'!H37</f>
        <v>0.26919999999999999</v>
      </c>
      <c r="F36" s="275">
        <f>C36*D36*E36</f>
        <v>109698.99999999999</v>
      </c>
      <c r="G36" s="421">
        <f>J27</f>
        <v>856960</v>
      </c>
      <c r="H36" s="295">
        <v>1</v>
      </c>
      <c r="I36" s="236">
        <f t="shared" ref="I36:I37" si="34">E36</f>
        <v>0.26919999999999999</v>
      </c>
      <c r="J36" s="275">
        <f t="shared" si="29"/>
        <v>230693.63199999998</v>
      </c>
      <c r="K36" s="421">
        <f>N27</f>
        <v>739814.40000000002</v>
      </c>
      <c r="L36" s="295">
        <v>1</v>
      </c>
      <c r="M36" s="236">
        <f t="shared" ref="M36:M37" si="35">I36</f>
        <v>0.26919999999999999</v>
      </c>
      <c r="N36" s="275">
        <f t="shared" si="30"/>
        <v>199158.03648000001</v>
      </c>
      <c r="O36" s="421">
        <f>R27</f>
        <v>611926.01600000006</v>
      </c>
      <c r="P36" s="295">
        <v>1</v>
      </c>
      <c r="Q36" s="236">
        <f t="shared" ref="Q36:Q37" si="36">M36</f>
        <v>0.26919999999999999</v>
      </c>
      <c r="R36" s="275">
        <f t="shared" si="31"/>
        <v>164730.48350720003</v>
      </c>
      <c r="S36" s="421">
        <f>V27</f>
        <v>479544.52138666669</v>
      </c>
      <c r="T36" s="295">
        <v>1</v>
      </c>
      <c r="U36" s="236">
        <f t="shared" ref="U36:U37" si="37">Q36</f>
        <v>0.26919999999999999</v>
      </c>
      <c r="V36" s="275">
        <f t="shared" si="32"/>
        <v>129093.38515729067</v>
      </c>
      <c r="W36" s="411">
        <f t="shared" si="33"/>
        <v>833374.53714449075</v>
      </c>
      <c r="X36" s="233"/>
      <c r="Y36" s="233"/>
      <c r="Z36" s="233"/>
      <c r="AB36" s="233"/>
    </row>
    <row r="37" spans="1:28" s="266" customFormat="1" ht="15" customHeight="1" outlineLevel="1">
      <c r="A37" s="551" t="s">
        <v>84</v>
      </c>
      <c r="B37" s="293" t="str">
        <f>'Program Budget'!F39</f>
        <v>%</v>
      </c>
      <c r="C37" s="422">
        <f>F31</f>
        <v>110000</v>
      </c>
      <c r="D37" s="320">
        <v>1</v>
      </c>
      <c r="E37" s="236">
        <f>'Program Budget'!H38</f>
        <v>0.23469999999999999</v>
      </c>
      <c r="F37" s="322">
        <f>C37*D37*E37</f>
        <v>25817</v>
      </c>
      <c r="G37" s="422">
        <f>J31</f>
        <v>114400</v>
      </c>
      <c r="H37" s="320">
        <v>1</v>
      </c>
      <c r="I37" s="236">
        <f t="shared" si="34"/>
        <v>0.23469999999999999</v>
      </c>
      <c r="J37" s="322">
        <f t="shared" si="29"/>
        <v>26849.68</v>
      </c>
      <c r="K37" s="422">
        <f>N31</f>
        <v>118976.00000000001</v>
      </c>
      <c r="L37" s="320">
        <v>1</v>
      </c>
      <c r="M37" s="236">
        <f t="shared" si="35"/>
        <v>0.23469999999999999</v>
      </c>
      <c r="N37" s="322">
        <f t="shared" si="30"/>
        <v>27923.667200000004</v>
      </c>
      <c r="O37" s="422">
        <f>R31</f>
        <v>123735.04000000002</v>
      </c>
      <c r="P37" s="320">
        <v>1</v>
      </c>
      <c r="Q37" s="236">
        <f t="shared" si="36"/>
        <v>0.23469999999999999</v>
      </c>
      <c r="R37" s="322">
        <f t="shared" si="31"/>
        <v>29040.613888000003</v>
      </c>
      <c r="S37" s="422">
        <f>V31</f>
        <v>128684.44160000002</v>
      </c>
      <c r="T37" s="320">
        <v>1</v>
      </c>
      <c r="U37" s="236">
        <f t="shared" si="37"/>
        <v>0.23469999999999999</v>
      </c>
      <c r="V37" s="322">
        <f t="shared" si="32"/>
        <v>30202.238443520004</v>
      </c>
      <c r="W37" s="415">
        <f t="shared" si="33"/>
        <v>139833.19953152002</v>
      </c>
      <c r="X37" s="233"/>
      <c r="Y37" s="233"/>
      <c r="Z37" s="233"/>
      <c r="AB37" s="233"/>
    </row>
    <row r="38" spans="1:28" ht="15" customHeight="1" outlineLevel="1">
      <c r="A38" s="547" t="s">
        <v>85</v>
      </c>
      <c r="B38" s="286"/>
      <c r="C38" s="436"/>
      <c r="D38" s="288"/>
      <c r="E38" s="289"/>
      <c r="F38" s="290">
        <f>+SUM(F35:F37)</f>
        <v>169547.5</v>
      </c>
      <c r="G38" s="436"/>
      <c r="H38" s="288"/>
      <c r="I38" s="291"/>
      <c r="J38" s="290">
        <f>+SUM(J35:J37)</f>
        <v>292936.07199999999</v>
      </c>
      <c r="K38" s="436"/>
      <c r="L38" s="288"/>
      <c r="M38" s="289"/>
      <c r="N38" s="290">
        <f>+SUM(N35:N37)</f>
        <v>263890.17408000003</v>
      </c>
      <c r="O38" s="436"/>
      <c r="P38" s="288"/>
      <c r="Q38" s="291"/>
      <c r="R38" s="290">
        <f>+SUM(R35:R37)</f>
        <v>232051.90661120004</v>
      </c>
      <c r="S38" s="436"/>
      <c r="T38" s="288"/>
      <c r="U38" s="291"/>
      <c r="V38" s="290">
        <f>+SUM(V35:V37)</f>
        <v>199107.66518545069</v>
      </c>
      <c r="W38" s="412">
        <f>+F38+J38+N38+R38+V38</f>
        <v>1157533.3178766507</v>
      </c>
    </row>
    <row r="39" spans="1:28" s="266" customFormat="1" ht="15" customHeight="1" outlineLevel="1">
      <c r="A39" s="546" t="s">
        <v>86</v>
      </c>
      <c r="B39" s="324"/>
      <c r="C39" s="437"/>
      <c r="D39" s="295"/>
      <c r="E39" s="236"/>
      <c r="F39" s="325"/>
      <c r="G39" s="437"/>
      <c r="H39" s="295"/>
      <c r="I39" s="237"/>
      <c r="J39" s="298"/>
      <c r="K39" s="437"/>
      <c r="L39" s="295"/>
      <c r="M39" s="236"/>
      <c r="N39" s="298"/>
      <c r="O39" s="437"/>
      <c r="P39" s="295"/>
      <c r="Q39" s="237"/>
      <c r="R39" s="298"/>
      <c r="S39" s="437"/>
      <c r="T39" s="295"/>
      <c r="U39" s="237"/>
      <c r="V39" s="298"/>
      <c r="W39" s="411"/>
      <c r="X39" s="233"/>
      <c r="Y39" s="233"/>
      <c r="Z39" s="233"/>
    </row>
    <row r="40" spans="1:28" s="266" customFormat="1" ht="15" customHeight="1" outlineLevel="1">
      <c r="A40" s="550" t="s">
        <v>75</v>
      </c>
      <c r="B40" s="293"/>
      <c r="C40" s="408"/>
      <c r="D40" s="235"/>
      <c r="E40" s="236"/>
      <c r="F40" s="275"/>
      <c r="G40" s="408"/>
      <c r="H40" s="235"/>
      <c r="I40" s="237"/>
      <c r="J40" s="275"/>
      <c r="K40" s="408"/>
      <c r="L40" s="235"/>
      <c r="M40" s="236"/>
      <c r="N40" s="275"/>
      <c r="O40" s="408"/>
      <c r="P40" s="235"/>
      <c r="Q40" s="237"/>
      <c r="R40" s="275"/>
      <c r="S40" s="408"/>
      <c r="T40" s="235"/>
      <c r="U40" s="237"/>
      <c r="V40" s="275"/>
      <c r="W40" s="411"/>
      <c r="X40" s="233"/>
      <c r="Y40" s="233"/>
      <c r="Z40" s="233"/>
    </row>
    <row r="41" spans="1:28" s="266" customFormat="1" ht="15" customHeight="1" outlineLevel="1">
      <c r="A41" s="270" t="str">
        <f>'Program Budget'!D40</f>
        <v>Cost of Living Adjustment for Ex-pat Chief of Party</v>
      </c>
      <c r="B41" s="293" t="str">
        <f>'Program Budget'!F40</f>
        <v>%</v>
      </c>
      <c r="C41" s="423">
        <f>F8</f>
        <v>145000</v>
      </c>
      <c r="D41" s="235">
        <v>1</v>
      </c>
      <c r="E41" s="236">
        <f>'Program Budget'!H40</f>
        <v>0.15</v>
      </c>
      <c r="F41" s="275">
        <f>C41*D41*E41</f>
        <v>21750</v>
      </c>
      <c r="G41" s="423">
        <f>J8</f>
        <v>150800</v>
      </c>
      <c r="H41" s="235">
        <v>1</v>
      </c>
      <c r="I41" s="237">
        <f>E41</f>
        <v>0.15</v>
      </c>
      <c r="J41" s="275">
        <f>G41*H41*I41</f>
        <v>22620</v>
      </c>
      <c r="K41" s="423">
        <f>N8</f>
        <v>156832.00000000003</v>
      </c>
      <c r="L41" s="235">
        <v>1</v>
      </c>
      <c r="M41" s="236">
        <f>I41</f>
        <v>0.15</v>
      </c>
      <c r="N41" s="275">
        <f>K41*L41*M41</f>
        <v>23524.800000000003</v>
      </c>
      <c r="O41" s="423">
        <f>R8</f>
        <v>163105.28000000003</v>
      </c>
      <c r="P41" s="235">
        <v>1</v>
      </c>
      <c r="Q41" s="237">
        <f>M41</f>
        <v>0.15</v>
      </c>
      <c r="R41" s="275">
        <f>O41*P41*Q41</f>
        <v>24465.792000000005</v>
      </c>
      <c r="S41" s="423">
        <f>V8</f>
        <v>169629.49120000005</v>
      </c>
      <c r="T41" s="235">
        <v>1</v>
      </c>
      <c r="U41" s="237">
        <f>Q41</f>
        <v>0.15</v>
      </c>
      <c r="V41" s="275">
        <f>S41*T41*U41</f>
        <v>25444.423680000007</v>
      </c>
      <c r="W41" s="411">
        <f t="shared" ref="W41:W48" si="38">F41+J41+N41+R41+V41</f>
        <v>117805.01568000001</v>
      </c>
      <c r="X41" s="233"/>
      <c r="Y41" s="233"/>
      <c r="Z41" s="233"/>
      <c r="AB41" s="233"/>
    </row>
    <row r="42" spans="1:28" s="266" customFormat="1" ht="15" customHeight="1" outlineLevel="1">
      <c r="A42" s="270" t="str">
        <f>'Program Budget'!D41</f>
        <v>Post Hardship for Ex-pat Chief of Party</v>
      </c>
      <c r="B42" s="293" t="str">
        <f>'Program Budget'!F41</f>
        <v>%</v>
      </c>
      <c r="C42" s="423">
        <f>F7</f>
        <v>145000</v>
      </c>
      <c r="D42" s="235">
        <v>1</v>
      </c>
      <c r="E42" s="236">
        <f>'Program Budget'!H41</f>
        <v>0.35</v>
      </c>
      <c r="F42" s="275">
        <f t="shared" ref="F42:F48" si="39">C42*D42*E42</f>
        <v>50750</v>
      </c>
      <c r="G42" s="423">
        <f>J7</f>
        <v>150800</v>
      </c>
      <c r="H42" s="235">
        <v>1</v>
      </c>
      <c r="I42" s="237">
        <f t="shared" ref="I42:I48" si="40">E42</f>
        <v>0.35</v>
      </c>
      <c r="J42" s="275">
        <f t="shared" ref="J42:J48" si="41">G42*H42*I42</f>
        <v>52780</v>
      </c>
      <c r="K42" s="423">
        <f>N7</f>
        <v>156832.00000000003</v>
      </c>
      <c r="L42" s="235">
        <v>1</v>
      </c>
      <c r="M42" s="236">
        <f t="shared" ref="M42:M48" si="42">I42</f>
        <v>0.35</v>
      </c>
      <c r="N42" s="275">
        <f t="shared" ref="N42:N48" si="43">K42*L42*M42</f>
        <v>54891.200000000004</v>
      </c>
      <c r="O42" s="423">
        <f>R7</f>
        <v>163105.28000000003</v>
      </c>
      <c r="P42" s="235">
        <v>1</v>
      </c>
      <c r="Q42" s="237">
        <f t="shared" ref="Q42:Q48" si="44">M42</f>
        <v>0.35</v>
      </c>
      <c r="R42" s="275">
        <f t="shared" ref="R42:R48" si="45">O42*P42*Q42</f>
        <v>57086.848000000005</v>
      </c>
      <c r="S42" s="423">
        <f>V7</f>
        <v>169629.49120000005</v>
      </c>
      <c r="T42" s="235">
        <v>1</v>
      </c>
      <c r="U42" s="237">
        <f t="shared" ref="U42:U48" si="46">Q42</f>
        <v>0.35</v>
      </c>
      <c r="V42" s="275">
        <f t="shared" ref="V42:V48" si="47">S42*T42*U42</f>
        <v>59370.321920000009</v>
      </c>
      <c r="W42" s="411">
        <f t="shared" si="38"/>
        <v>274878.36992000003</v>
      </c>
      <c r="X42" s="233"/>
      <c r="Y42" s="233"/>
      <c r="Z42" s="233"/>
      <c r="AB42" s="233"/>
    </row>
    <row r="43" spans="1:28" s="266" customFormat="1" ht="15" customHeight="1" outlineLevel="1">
      <c r="A43" s="270" t="str">
        <f>'Program Budget'!D42</f>
        <v>Housing Allowance for Chief of Party</v>
      </c>
      <c r="B43" s="293" t="str">
        <f>'Program Budget'!F42</f>
        <v>Month</v>
      </c>
      <c r="C43" s="423">
        <f>'Program Budget'!H42</f>
        <v>1600</v>
      </c>
      <c r="D43" s="235">
        <f>'Program Budget'!G42</f>
        <v>12</v>
      </c>
      <c r="E43" s="274">
        <v>1</v>
      </c>
      <c r="F43" s="275">
        <f t="shared" si="39"/>
        <v>19200</v>
      </c>
      <c r="G43" s="272">
        <f>C43*1.04</f>
        <v>1664</v>
      </c>
      <c r="H43" s="235">
        <f>'Program Budget'!K42</f>
        <v>12</v>
      </c>
      <c r="I43" s="237">
        <f t="shared" si="40"/>
        <v>1</v>
      </c>
      <c r="J43" s="275">
        <f t="shared" si="41"/>
        <v>19968</v>
      </c>
      <c r="K43" s="272">
        <f>G43*1.04</f>
        <v>1730.56</v>
      </c>
      <c r="L43" s="235">
        <f>'Program Budget'!N42</f>
        <v>12</v>
      </c>
      <c r="M43" s="236">
        <f t="shared" si="42"/>
        <v>1</v>
      </c>
      <c r="N43" s="275">
        <f t="shared" si="43"/>
        <v>20766.72</v>
      </c>
      <c r="O43" s="272">
        <f>K43*1.04</f>
        <v>1799.7824000000001</v>
      </c>
      <c r="P43" s="235">
        <f>'Program Budget'!Q42</f>
        <v>12</v>
      </c>
      <c r="Q43" s="237">
        <f t="shared" si="44"/>
        <v>1</v>
      </c>
      <c r="R43" s="275">
        <f t="shared" si="45"/>
        <v>21597.388800000001</v>
      </c>
      <c r="S43" s="272">
        <f>O43*1.04</f>
        <v>1871.7736960000002</v>
      </c>
      <c r="T43" s="235">
        <f>'Program Budget'!T42</f>
        <v>12</v>
      </c>
      <c r="U43" s="237">
        <f t="shared" si="46"/>
        <v>1</v>
      </c>
      <c r="V43" s="275">
        <f t="shared" si="47"/>
        <v>22461.284352000002</v>
      </c>
      <c r="W43" s="411">
        <f t="shared" si="38"/>
        <v>103993.393152</v>
      </c>
      <c r="X43" s="233"/>
      <c r="Y43" s="233"/>
      <c r="Z43" s="233"/>
      <c r="AB43" s="233"/>
    </row>
    <row r="44" spans="1:28" s="266" customFormat="1" ht="15" customHeight="1" outlineLevel="1">
      <c r="A44" s="270" t="str">
        <f>'Program Budget'!D43</f>
        <v>Reallocation &amp; Demobilization Flight for Chief of Party and Spouse</v>
      </c>
      <c r="B44" s="293" t="str">
        <f>'Program Budget'!F43</f>
        <v>Trip</v>
      </c>
      <c r="C44" s="423">
        <f>'Program Budget'!H43</f>
        <v>1700</v>
      </c>
      <c r="D44" s="235">
        <f>'Program Budget'!G43</f>
        <v>2</v>
      </c>
      <c r="E44" s="274">
        <v>1</v>
      </c>
      <c r="F44" s="275">
        <f t="shared" si="39"/>
        <v>3400</v>
      </c>
      <c r="G44" s="272">
        <f t="shared" ref="G44:G48" si="48">C44*1.04</f>
        <v>1768</v>
      </c>
      <c r="H44" s="235">
        <f>'Program Budget'!K43</f>
        <v>0</v>
      </c>
      <c r="I44" s="237">
        <v>0</v>
      </c>
      <c r="J44" s="275">
        <f t="shared" si="41"/>
        <v>0</v>
      </c>
      <c r="K44" s="272">
        <f t="shared" ref="K44:K48" si="49">G44*1.04</f>
        <v>1838.72</v>
      </c>
      <c r="L44" s="235">
        <f>'Program Budget'!N43</f>
        <v>0</v>
      </c>
      <c r="M44" s="236">
        <v>0</v>
      </c>
      <c r="N44" s="275">
        <f t="shared" si="43"/>
        <v>0</v>
      </c>
      <c r="O44" s="272">
        <f t="shared" ref="O44:O48" si="50">K44*1.04</f>
        <v>1912.2688000000001</v>
      </c>
      <c r="P44" s="235">
        <f>'Program Budget'!Q43</f>
        <v>0</v>
      </c>
      <c r="Q44" s="237">
        <v>0</v>
      </c>
      <c r="R44" s="275">
        <f t="shared" si="45"/>
        <v>0</v>
      </c>
      <c r="S44" s="272">
        <f t="shared" ref="S44:S48" si="51">O44*1.04</f>
        <v>1988.7595520000002</v>
      </c>
      <c r="T44" s="235">
        <f>'Program Budget'!T43</f>
        <v>2</v>
      </c>
      <c r="U44" s="237">
        <v>1</v>
      </c>
      <c r="V44" s="275">
        <f t="shared" si="47"/>
        <v>3977.5191040000004</v>
      </c>
      <c r="W44" s="411">
        <f t="shared" si="38"/>
        <v>7377.5191040000009</v>
      </c>
      <c r="X44" s="233"/>
      <c r="Y44" s="233"/>
      <c r="Z44" s="233"/>
      <c r="AB44" s="233"/>
    </row>
    <row r="45" spans="1:28" s="266" customFormat="1" ht="15" customHeight="1" outlineLevel="1">
      <c r="A45" s="270" t="str">
        <f>'Program Budget'!D44</f>
        <v>Reallocation &amp; Demobilization Extra Baggage for Chief of Party and Spouse</v>
      </c>
      <c r="B45" s="293" t="str">
        <f>'Program Budget'!F44</f>
        <v>Trip</v>
      </c>
      <c r="C45" s="423">
        <f>'Program Budget'!H44</f>
        <v>150</v>
      </c>
      <c r="D45" s="235">
        <f>'Program Budget'!G44</f>
        <v>2</v>
      </c>
      <c r="E45" s="274">
        <v>1</v>
      </c>
      <c r="F45" s="275">
        <f t="shared" ref="F45:F47" si="52">C45*D45*E45</f>
        <v>300</v>
      </c>
      <c r="G45" s="272">
        <f t="shared" ref="G45:G47" si="53">C45*1.04</f>
        <v>156</v>
      </c>
      <c r="H45" s="235">
        <f>'Program Budget'!K44</f>
        <v>0</v>
      </c>
      <c r="I45" s="237">
        <v>0</v>
      </c>
      <c r="J45" s="275">
        <f t="shared" ref="J45:J47" si="54">G45*H45*I45</f>
        <v>0</v>
      </c>
      <c r="K45" s="272">
        <f t="shared" ref="K45:K47" si="55">G45*1.04</f>
        <v>162.24</v>
      </c>
      <c r="L45" s="235">
        <f>'Program Budget'!N44</f>
        <v>0</v>
      </c>
      <c r="M45" s="236">
        <v>0</v>
      </c>
      <c r="N45" s="275">
        <f t="shared" ref="N45:N47" si="56">K45*L45*M45</f>
        <v>0</v>
      </c>
      <c r="O45" s="272">
        <f t="shared" ref="O45:O47" si="57">K45*1.04</f>
        <v>168.7296</v>
      </c>
      <c r="P45" s="235">
        <f>'Program Budget'!Q44</f>
        <v>0</v>
      </c>
      <c r="Q45" s="237">
        <v>0</v>
      </c>
      <c r="R45" s="275">
        <f t="shared" ref="R45:R47" si="58">O45*P45*Q45</f>
        <v>0</v>
      </c>
      <c r="S45" s="272">
        <f t="shared" ref="S45:S47" si="59">O45*1.04</f>
        <v>175.47878400000002</v>
      </c>
      <c r="T45" s="235">
        <f>'Program Budget'!T44</f>
        <v>2</v>
      </c>
      <c r="U45" s="237">
        <v>1</v>
      </c>
      <c r="V45" s="275">
        <f t="shared" ref="V45:V46" si="60">S45*T45*U45</f>
        <v>350.95756800000004</v>
      </c>
      <c r="W45" s="411">
        <f t="shared" ref="W45:W47" si="61">F45+J45+N45+R45+V45</f>
        <v>650.95756800000004</v>
      </c>
      <c r="X45" s="233"/>
      <c r="Y45" s="233"/>
      <c r="Z45" s="233"/>
      <c r="AB45" s="233"/>
    </row>
    <row r="46" spans="1:28" s="266" customFormat="1" ht="15" customHeight="1" outlineLevel="1">
      <c r="A46" s="270" t="str">
        <f>'Program Budget'!D45</f>
        <v>Reallocation &amp; Demobilization - Shipment of Households Good (by Land &amp; Sea)</v>
      </c>
      <c r="B46" s="293" t="str">
        <f>'Program Budget'!F45</f>
        <v>Year</v>
      </c>
      <c r="C46" s="423">
        <f>'Program Budget'!H45</f>
        <v>21382</v>
      </c>
      <c r="D46" s="235">
        <f>'Program Budget'!G45</f>
        <v>1</v>
      </c>
      <c r="E46" s="274">
        <v>1</v>
      </c>
      <c r="F46" s="275">
        <f t="shared" si="52"/>
        <v>21382</v>
      </c>
      <c r="G46" s="272">
        <f t="shared" si="53"/>
        <v>22237.280000000002</v>
      </c>
      <c r="H46" s="235">
        <f>'Program Budget'!K45</f>
        <v>0</v>
      </c>
      <c r="I46" s="237">
        <v>0</v>
      </c>
      <c r="J46" s="275">
        <f t="shared" si="54"/>
        <v>0</v>
      </c>
      <c r="K46" s="272">
        <f t="shared" si="55"/>
        <v>23126.771200000003</v>
      </c>
      <c r="L46" s="235">
        <f>'Program Budget'!N45</f>
        <v>0</v>
      </c>
      <c r="M46" s="236">
        <v>0</v>
      </c>
      <c r="N46" s="275">
        <f t="shared" si="56"/>
        <v>0</v>
      </c>
      <c r="O46" s="272">
        <f t="shared" si="57"/>
        <v>24051.842048000002</v>
      </c>
      <c r="P46" s="235">
        <f>'Program Budget'!Q45</f>
        <v>0</v>
      </c>
      <c r="Q46" s="237">
        <v>0</v>
      </c>
      <c r="R46" s="275">
        <f t="shared" si="58"/>
        <v>0</v>
      </c>
      <c r="S46" s="272">
        <f t="shared" si="59"/>
        <v>25013.915729920001</v>
      </c>
      <c r="T46" s="235">
        <f>'Program Budget'!T45</f>
        <v>1</v>
      </c>
      <c r="U46" s="237">
        <v>1</v>
      </c>
      <c r="V46" s="275">
        <f t="shared" si="60"/>
        <v>25013.915729920001</v>
      </c>
      <c r="W46" s="411">
        <f t="shared" si="61"/>
        <v>46395.915729920001</v>
      </c>
      <c r="X46" s="233"/>
      <c r="Y46" s="233"/>
      <c r="Z46" s="233"/>
      <c r="AB46" s="233"/>
    </row>
    <row r="47" spans="1:28" s="266" customFormat="1" ht="15" customHeight="1" outlineLevel="1">
      <c r="A47" s="270" t="str">
        <f>'Program Budget'!D46</f>
        <v>Reallocation &amp; Demobilization - Customs 20% and Taxes 3%</v>
      </c>
      <c r="B47" s="293" t="str">
        <f>'Program Budget'!F46</f>
        <v>Year</v>
      </c>
      <c r="C47" s="423">
        <f>'Program Budget'!H46</f>
        <v>4917.8600000000006</v>
      </c>
      <c r="D47" s="235">
        <f>'Program Budget'!G46</f>
        <v>1</v>
      </c>
      <c r="E47" s="274">
        <v>1</v>
      </c>
      <c r="F47" s="275">
        <f t="shared" si="52"/>
        <v>4917.8600000000006</v>
      </c>
      <c r="G47" s="272">
        <f t="shared" si="53"/>
        <v>5114.5744000000004</v>
      </c>
      <c r="H47" s="235">
        <f>'Program Budget'!K46</f>
        <v>0</v>
      </c>
      <c r="I47" s="237">
        <v>0</v>
      </c>
      <c r="J47" s="275">
        <f t="shared" si="54"/>
        <v>0</v>
      </c>
      <c r="K47" s="272">
        <f t="shared" si="55"/>
        <v>5319.157376000001</v>
      </c>
      <c r="L47" s="235">
        <f>'Program Budget'!N46</f>
        <v>0</v>
      </c>
      <c r="M47" s="236">
        <v>0</v>
      </c>
      <c r="N47" s="275">
        <f t="shared" si="56"/>
        <v>0</v>
      </c>
      <c r="O47" s="272">
        <f t="shared" si="57"/>
        <v>5531.923671040001</v>
      </c>
      <c r="P47" s="235">
        <f>'Program Budget'!Q46</f>
        <v>0</v>
      </c>
      <c r="Q47" s="237">
        <v>0</v>
      </c>
      <c r="R47" s="275">
        <f t="shared" si="58"/>
        <v>0</v>
      </c>
      <c r="S47" s="272">
        <f t="shared" si="59"/>
        <v>5753.2006178816009</v>
      </c>
      <c r="T47" s="235">
        <f>'Program Budget'!T46</f>
        <v>1</v>
      </c>
      <c r="U47" s="237">
        <v>1</v>
      </c>
      <c r="V47" s="275">
        <f>ROUNDUP(S47*T47*U47,0)</f>
        <v>5754</v>
      </c>
      <c r="W47" s="411">
        <f t="shared" si="61"/>
        <v>10671.86</v>
      </c>
      <c r="X47" s="233"/>
      <c r="Y47" s="233"/>
      <c r="Z47" s="233"/>
      <c r="AB47" s="233"/>
    </row>
    <row r="48" spans="1:28" s="266" customFormat="1" ht="15" customHeight="1" outlineLevel="1">
      <c r="A48" s="270" t="str">
        <f>'Program Budget'!D47</f>
        <v>Annual Home of Record &amp; R&amp;R for Chief of Party</v>
      </c>
      <c r="B48" s="293" t="str">
        <f>'Program Budget'!F47</f>
        <v>Trip</v>
      </c>
      <c r="C48" s="423">
        <f>'Program Budget'!H47</f>
        <v>1700</v>
      </c>
      <c r="D48" s="235">
        <f>'Program Budget'!G47</f>
        <v>0</v>
      </c>
      <c r="E48" s="274">
        <v>1</v>
      </c>
      <c r="F48" s="275">
        <f t="shared" si="39"/>
        <v>0</v>
      </c>
      <c r="G48" s="272">
        <f t="shared" si="48"/>
        <v>1768</v>
      </c>
      <c r="H48" s="235">
        <f>'Program Budget'!K47</f>
        <v>1</v>
      </c>
      <c r="I48" s="237">
        <f t="shared" si="40"/>
        <v>1</v>
      </c>
      <c r="J48" s="275">
        <f t="shared" si="41"/>
        <v>1768</v>
      </c>
      <c r="K48" s="272">
        <f t="shared" si="49"/>
        <v>1838.72</v>
      </c>
      <c r="L48" s="235">
        <f>'Program Budget'!N47</f>
        <v>1</v>
      </c>
      <c r="M48" s="236">
        <f t="shared" si="42"/>
        <v>1</v>
      </c>
      <c r="N48" s="275">
        <f t="shared" si="43"/>
        <v>1838.72</v>
      </c>
      <c r="O48" s="272">
        <f t="shared" si="50"/>
        <v>1912.2688000000001</v>
      </c>
      <c r="P48" s="235">
        <f>'Program Budget'!Q47</f>
        <v>1</v>
      </c>
      <c r="Q48" s="237">
        <f t="shared" si="44"/>
        <v>1</v>
      </c>
      <c r="R48" s="275">
        <f t="shared" si="45"/>
        <v>1912.2688000000001</v>
      </c>
      <c r="S48" s="272">
        <f t="shared" si="51"/>
        <v>1988.7595520000002</v>
      </c>
      <c r="T48" s="235">
        <f>'Program Budget'!T47</f>
        <v>1</v>
      </c>
      <c r="U48" s="237">
        <f t="shared" si="46"/>
        <v>1</v>
      </c>
      <c r="V48" s="275">
        <f t="shared" si="47"/>
        <v>1988.7595520000002</v>
      </c>
      <c r="W48" s="415">
        <f t="shared" si="38"/>
        <v>7507.7483520000005</v>
      </c>
      <c r="X48" s="233"/>
      <c r="Y48" s="233"/>
      <c r="Z48" s="233"/>
      <c r="AB48" s="233"/>
    </row>
    <row r="49" spans="1:23" ht="15" customHeight="1" outlineLevel="1">
      <c r="A49" s="547" t="s">
        <v>87</v>
      </c>
      <c r="B49" s="286"/>
      <c r="C49" s="436"/>
      <c r="D49" s="288"/>
      <c r="E49" s="289"/>
      <c r="F49" s="290">
        <f>SUM(F40:F48)</f>
        <v>121699.86</v>
      </c>
      <c r="G49" s="436"/>
      <c r="H49" s="288"/>
      <c r="I49" s="291"/>
      <c r="J49" s="290">
        <f>SUM(J40:J48)</f>
        <v>97136</v>
      </c>
      <c r="K49" s="436"/>
      <c r="L49" s="288"/>
      <c r="M49" s="289"/>
      <c r="N49" s="290">
        <f>SUM(N40:N48)</f>
        <v>101021.44</v>
      </c>
      <c r="O49" s="436"/>
      <c r="P49" s="288"/>
      <c r="Q49" s="291"/>
      <c r="R49" s="290">
        <f>SUM(R40:R48)</f>
        <v>105062.29760000002</v>
      </c>
      <c r="S49" s="436"/>
      <c r="T49" s="288"/>
      <c r="U49" s="291"/>
      <c r="V49" s="290">
        <f>SUM(V40:V48)</f>
        <v>144361.18190592004</v>
      </c>
      <c r="W49" s="412">
        <f>F49+J49+N49+R49+V49</f>
        <v>569280.77950592001</v>
      </c>
    </row>
    <row r="50" spans="1:23" s="266" customFormat="1" ht="15" customHeight="1" outlineLevel="1">
      <c r="A50" s="270"/>
      <c r="B50" s="293"/>
      <c r="C50" s="408"/>
      <c r="D50" s="235"/>
      <c r="E50" s="236"/>
      <c r="F50" s="275"/>
      <c r="G50" s="408"/>
      <c r="H50" s="235"/>
      <c r="I50" s="237"/>
      <c r="J50" s="275"/>
      <c r="K50" s="408"/>
      <c r="L50" s="235"/>
      <c r="M50" s="236"/>
      <c r="N50" s="275"/>
      <c r="O50" s="408"/>
      <c r="P50" s="235"/>
      <c r="Q50" s="237"/>
      <c r="R50" s="275"/>
      <c r="S50" s="408"/>
      <c r="T50" s="235"/>
      <c r="U50" s="237"/>
      <c r="V50" s="275"/>
      <c r="W50" s="323"/>
    </row>
    <row r="51" spans="1:23" s="335" customFormat="1" ht="18.3" outlineLevel="1">
      <c r="A51" s="552" t="s">
        <v>88</v>
      </c>
      <c r="B51" s="327"/>
      <c r="C51" s="439"/>
      <c r="D51" s="329"/>
      <c r="E51" s="330"/>
      <c r="F51" s="331">
        <f>F49+F38</f>
        <v>291247.35999999999</v>
      </c>
      <c r="G51" s="439"/>
      <c r="H51" s="329"/>
      <c r="I51" s="332"/>
      <c r="J51" s="331">
        <f>J49+J38</f>
        <v>390072.07199999999</v>
      </c>
      <c r="K51" s="439"/>
      <c r="L51" s="329"/>
      <c r="M51" s="330"/>
      <c r="N51" s="331">
        <f>N49+N38</f>
        <v>364911.61408000003</v>
      </c>
      <c r="O51" s="439"/>
      <c r="P51" s="329"/>
      <c r="Q51" s="332"/>
      <c r="R51" s="331">
        <f>R49+R38</f>
        <v>337114.20421120006</v>
      </c>
      <c r="S51" s="439"/>
      <c r="T51" s="329"/>
      <c r="U51" s="332"/>
      <c r="V51" s="331">
        <f>V49+V38</f>
        <v>343468.84709137073</v>
      </c>
      <c r="W51" s="310">
        <f>+F51+J51+N51+R51+V51</f>
        <v>1726814.0973825708</v>
      </c>
    </row>
    <row r="52" spans="1:23" s="337" customFormat="1" ht="15.6" outlineLevel="1">
      <c r="A52" s="546" t="s">
        <v>89</v>
      </c>
      <c r="B52" s="268"/>
      <c r="C52" s="408"/>
      <c r="D52" s="235"/>
      <c r="E52" s="260"/>
      <c r="F52" s="275"/>
      <c r="G52" s="408"/>
      <c r="H52" s="235"/>
      <c r="I52" s="262"/>
      <c r="J52" s="275"/>
      <c r="K52" s="408"/>
      <c r="L52" s="235"/>
      <c r="M52" s="260"/>
      <c r="N52" s="275"/>
      <c r="O52" s="408"/>
      <c r="P52" s="235"/>
      <c r="Q52" s="262"/>
      <c r="R52" s="275"/>
      <c r="S52" s="408"/>
      <c r="T52" s="235"/>
      <c r="U52" s="262"/>
      <c r="V52" s="275"/>
      <c r="W52" s="411"/>
    </row>
    <row r="53" spans="1:23" ht="15" customHeight="1" outlineLevel="1">
      <c r="A53" s="270" t="str">
        <f>'Program Budget'!D53</f>
        <v>Airfare - DC-Mauritania - HQ Project Management Trip</v>
      </c>
      <c r="B53" s="271" t="str">
        <f>'Program Budget'!F53</f>
        <v>Trip</v>
      </c>
      <c r="C53" s="435">
        <f>'Program Budget'!H53</f>
        <v>1700</v>
      </c>
      <c r="D53" s="273">
        <f>'Program Budget'!G53</f>
        <v>4</v>
      </c>
      <c r="E53" s="274">
        <v>1</v>
      </c>
      <c r="F53" s="275">
        <f>C53*D53*E53</f>
        <v>6800</v>
      </c>
      <c r="G53" s="435">
        <f>C53*1.04</f>
        <v>1768</v>
      </c>
      <c r="H53" s="273">
        <f>'Program Budget'!K53</f>
        <v>4</v>
      </c>
      <c r="I53" s="274">
        <v>1</v>
      </c>
      <c r="J53" s="275">
        <f>G53*H53*I53</f>
        <v>7072</v>
      </c>
      <c r="K53" s="435">
        <f>G53*1.04</f>
        <v>1838.72</v>
      </c>
      <c r="L53" s="273">
        <f>'Program Budget'!N53</f>
        <v>4</v>
      </c>
      <c r="M53" s="274">
        <v>1</v>
      </c>
      <c r="N53" s="275">
        <f>K53*L53*M53</f>
        <v>7354.88</v>
      </c>
      <c r="O53" s="435">
        <f>K53*1.04</f>
        <v>1912.2688000000001</v>
      </c>
      <c r="P53" s="273">
        <f>'Program Budget'!Q53</f>
        <v>4</v>
      </c>
      <c r="Q53" s="274">
        <v>1</v>
      </c>
      <c r="R53" s="275">
        <f>O53*P53*Q53</f>
        <v>7649.0752000000002</v>
      </c>
      <c r="S53" s="435">
        <f>O53*1.04</f>
        <v>1988.7595520000002</v>
      </c>
      <c r="T53" s="273">
        <f>'Program Budget'!T53</f>
        <v>4</v>
      </c>
      <c r="U53" s="274">
        <v>1</v>
      </c>
      <c r="V53" s="275">
        <f>S53*T53*U53</f>
        <v>7955.0382080000009</v>
      </c>
      <c r="W53" s="429">
        <f>F53+J53+N53+R53+V53</f>
        <v>36830.993408000002</v>
      </c>
    </row>
    <row r="54" spans="1:23" ht="15" customHeight="1" outlineLevel="1">
      <c r="A54" s="270" t="str">
        <f>'Program Budget'!D58</f>
        <v>Airfare - Roundtrip - Mauritania to USA</v>
      </c>
      <c r="B54" s="271" t="str">
        <f>'Program Budget'!F58</f>
        <v>Trip</v>
      </c>
      <c r="C54" s="435">
        <f>'Program Budget'!H58</f>
        <v>1700</v>
      </c>
      <c r="D54" s="273">
        <f>'Program Budget'!G58</f>
        <v>3</v>
      </c>
      <c r="E54" s="274">
        <v>1</v>
      </c>
      <c r="F54" s="275">
        <f>C54*D54*E54</f>
        <v>5100</v>
      </c>
      <c r="G54" s="435">
        <f t="shared" ref="G54:G72" si="62">C54*1.04</f>
        <v>1768</v>
      </c>
      <c r="H54" s="273">
        <f>'Program Budget'!K58</f>
        <v>3</v>
      </c>
      <c r="I54" s="274">
        <v>1</v>
      </c>
      <c r="J54" s="275">
        <f>G54*H54*I54</f>
        <v>5304</v>
      </c>
      <c r="K54" s="435">
        <f t="shared" ref="K54:K72" si="63">G54*1.04</f>
        <v>1838.72</v>
      </c>
      <c r="L54" s="273">
        <f>'Program Budget'!N58</f>
        <v>3</v>
      </c>
      <c r="M54" s="274">
        <v>1</v>
      </c>
      <c r="N54" s="275">
        <f>K54*L54*M54</f>
        <v>5516.16</v>
      </c>
      <c r="O54" s="435">
        <f t="shared" ref="O54:O72" si="64">K54*1.04</f>
        <v>1912.2688000000001</v>
      </c>
      <c r="P54" s="273">
        <f>'Program Budget'!Q58</f>
        <v>3</v>
      </c>
      <c r="Q54" s="274">
        <v>1</v>
      </c>
      <c r="R54" s="275">
        <f>O54*P54*Q54</f>
        <v>5736.8064000000004</v>
      </c>
      <c r="S54" s="435">
        <f t="shared" ref="S54:S72" si="65">O54*1.04</f>
        <v>1988.7595520000002</v>
      </c>
      <c r="T54" s="273">
        <f>'Program Budget'!T58</f>
        <v>3</v>
      </c>
      <c r="U54" s="274">
        <v>1</v>
      </c>
      <c r="V54" s="275">
        <f>S54*T54*U54</f>
        <v>5966.2786560000004</v>
      </c>
      <c r="W54" s="429">
        <f>F54+J54+N54+R54+V54</f>
        <v>27623.245056</v>
      </c>
    </row>
    <row r="55" spans="1:23" s="337" customFormat="1" ht="15.6" outlineLevel="1">
      <c r="A55" s="546" t="s">
        <v>90</v>
      </c>
      <c r="B55" s="268"/>
      <c r="C55" s="408"/>
      <c r="D55" s="235"/>
      <c r="E55" s="260"/>
      <c r="F55" s="275"/>
      <c r="G55" s="435"/>
      <c r="H55" s="235"/>
      <c r="I55" s="262"/>
      <c r="J55" s="275"/>
      <c r="K55" s="435"/>
      <c r="L55" s="235"/>
      <c r="M55" s="260"/>
      <c r="N55" s="275"/>
      <c r="O55" s="435"/>
      <c r="P55" s="235"/>
      <c r="Q55" s="262"/>
      <c r="R55" s="275"/>
      <c r="S55" s="435"/>
      <c r="T55" s="235"/>
      <c r="U55" s="262"/>
      <c r="V55" s="275"/>
      <c r="W55" s="429"/>
    </row>
    <row r="56" spans="1:23" ht="15" customHeight="1" outlineLevel="1">
      <c r="A56" s="270" t="str">
        <f>'Program Budget'!D55</f>
        <v>Local Transportation – HQ Project Management Trip</v>
      </c>
      <c r="B56" s="271" t="str">
        <f>'Program Budget'!F55</f>
        <v>Trip</v>
      </c>
      <c r="C56" s="435">
        <f>'Program Budget'!H55</f>
        <v>250</v>
      </c>
      <c r="D56" s="273">
        <f>'Program Budget'!G55</f>
        <v>4</v>
      </c>
      <c r="E56" s="274">
        <v>1</v>
      </c>
      <c r="F56" s="275">
        <f>C56*D56*E56</f>
        <v>1000</v>
      </c>
      <c r="G56" s="435">
        <f t="shared" si="62"/>
        <v>260</v>
      </c>
      <c r="H56" s="273">
        <f>'Program Budget'!K55</f>
        <v>4</v>
      </c>
      <c r="I56" s="274">
        <v>1</v>
      </c>
      <c r="J56" s="275">
        <f>G56*H56*I56</f>
        <v>1040</v>
      </c>
      <c r="K56" s="435">
        <f t="shared" si="63"/>
        <v>270.40000000000003</v>
      </c>
      <c r="L56" s="273">
        <f>'Program Budget'!N55</f>
        <v>4</v>
      </c>
      <c r="M56" s="274">
        <v>1</v>
      </c>
      <c r="N56" s="275">
        <f>K56*L56*M56</f>
        <v>1081.6000000000001</v>
      </c>
      <c r="O56" s="435">
        <f t="shared" si="64"/>
        <v>281.21600000000007</v>
      </c>
      <c r="P56" s="273">
        <f>'Program Budget'!Q55</f>
        <v>4</v>
      </c>
      <c r="Q56" s="274">
        <v>1</v>
      </c>
      <c r="R56" s="275">
        <f>O56*P56*Q56</f>
        <v>1124.8640000000003</v>
      </c>
      <c r="S56" s="435">
        <f t="shared" si="65"/>
        <v>292.46464000000009</v>
      </c>
      <c r="T56" s="273">
        <f>'Program Budget'!T55</f>
        <v>4</v>
      </c>
      <c r="U56" s="274">
        <v>1</v>
      </c>
      <c r="V56" s="275">
        <f>S56*T56*U56</f>
        <v>1169.8585600000004</v>
      </c>
      <c r="W56" s="429">
        <f>F56+J56+N56+R56+V56</f>
        <v>5416.3225600000014</v>
      </c>
    </row>
    <row r="57" spans="1:23" ht="15" customHeight="1" outlineLevel="1">
      <c r="A57" s="270" t="str">
        <f>'Program Budget'!D60</f>
        <v>Local Transportation for Mauritania Staff Travel</v>
      </c>
      <c r="B57" s="271" t="str">
        <f>'Program Budget'!F64</f>
        <v>Trip</v>
      </c>
      <c r="C57" s="435">
        <f>'Program Budget'!H60</f>
        <v>250</v>
      </c>
      <c r="D57" s="273">
        <f>'Program Budget'!G60</f>
        <v>3</v>
      </c>
      <c r="E57" s="274">
        <v>1</v>
      </c>
      <c r="F57" s="275">
        <f>C57*D57*E57</f>
        <v>750</v>
      </c>
      <c r="G57" s="435">
        <f t="shared" si="62"/>
        <v>260</v>
      </c>
      <c r="H57" s="273">
        <f>'Program Budget'!K60</f>
        <v>3</v>
      </c>
      <c r="I57" s="274">
        <v>1</v>
      </c>
      <c r="J57" s="275">
        <f>G57*H57*I57</f>
        <v>780</v>
      </c>
      <c r="K57" s="435">
        <f t="shared" si="63"/>
        <v>270.40000000000003</v>
      </c>
      <c r="L57" s="273">
        <f>'Program Budget'!N60</f>
        <v>3</v>
      </c>
      <c r="M57" s="274">
        <v>1</v>
      </c>
      <c r="N57" s="275">
        <f>K57*L57*M57</f>
        <v>811.2</v>
      </c>
      <c r="O57" s="435">
        <f t="shared" si="64"/>
        <v>281.21600000000007</v>
      </c>
      <c r="P57" s="273">
        <f>'Program Budget'!Q60</f>
        <v>3</v>
      </c>
      <c r="Q57" s="274">
        <v>1</v>
      </c>
      <c r="R57" s="275">
        <f>O57*P57*Q57</f>
        <v>843.64800000000014</v>
      </c>
      <c r="S57" s="435">
        <f t="shared" si="65"/>
        <v>292.46464000000009</v>
      </c>
      <c r="T57" s="273">
        <f>'Program Budget'!T60</f>
        <v>3</v>
      </c>
      <c r="U57" s="274">
        <v>1</v>
      </c>
      <c r="V57" s="275">
        <f>S57*T57*U57</f>
        <v>877.39392000000021</v>
      </c>
      <c r="W57" s="429">
        <f>F57+J57+N57+R57+V57</f>
        <v>4062.2419200000004</v>
      </c>
    </row>
    <row r="58" spans="1:23" ht="15" customHeight="1" outlineLevel="1">
      <c r="A58" s="270" t="str">
        <f>'Program Budget'!D64</f>
        <v>Local Transportation – Training, M&amp;E, &amp; Data Collection</v>
      </c>
      <c r="B58" s="271" t="str">
        <f>'Program Budget'!F64</f>
        <v>Trip</v>
      </c>
      <c r="C58" s="435">
        <f>'Program Budget'!H64</f>
        <v>100</v>
      </c>
      <c r="D58" s="273">
        <f>'Program Budget'!G64</f>
        <v>36</v>
      </c>
      <c r="E58" s="274">
        <v>1</v>
      </c>
      <c r="F58" s="275">
        <f>C58*D58*E58</f>
        <v>3600</v>
      </c>
      <c r="G58" s="435">
        <f t="shared" si="62"/>
        <v>104</v>
      </c>
      <c r="H58" s="273">
        <f>'Program Budget'!K64</f>
        <v>36</v>
      </c>
      <c r="I58" s="274">
        <v>1</v>
      </c>
      <c r="J58" s="275">
        <f>G58*H58*I58</f>
        <v>3744</v>
      </c>
      <c r="K58" s="435">
        <f t="shared" si="63"/>
        <v>108.16</v>
      </c>
      <c r="L58" s="273">
        <f>'Program Budget'!N64</f>
        <v>36</v>
      </c>
      <c r="M58" s="274">
        <v>1</v>
      </c>
      <c r="N58" s="275">
        <f>K58*L58*M58</f>
        <v>3893.7599999999998</v>
      </c>
      <c r="O58" s="435">
        <f t="shared" si="64"/>
        <v>112.4864</v>
      </c>
      <c r="P58" s="273">
        <f>'Program Budget'!Q64</f>
        <v>36</v>
      </c>
      <c r="Q58" s="274">
        <v>1</v>
      </c>
      <c r="R58" s="275">
        <f>O58*P58*Q58</f>
        <v>4049.5104000000001</v>
      </c>
      <c r="S58" s="435">
        <f t="shared" si="65"/>
        <v>116.98585600000001</v>
      </c>
      <c r="T58" s="273">
        <f>'Program Budget'!T64</f>
        <v>36</v>
      </c>
      <c r="U58" s="274">
        <v>1</v>
      </c>
      <c r="V58" s="275">
        <f>S58*T58*U58</f>
        <v>4211.4908160000005</v>
      </c>
      <c r="W58" s="429">
        <f>F58+J58+N58+R58+V58</f>
        <v>19498.761216000003</v>
      </c>
    </row>
    <row r="59" spans="1:23" ht="15" customHeight="1" outlineLevel="1">
      <c r="A59" s="270" t="str">
        <f>'Program Budget'!D189</f>
        <v>Local Transportation for Trainings</v>
      </c>
      <c r="B59" s="271" t="str">
        <f>'Program Budget'!F189</f>
        <v>Trip</v>
      </c>
      <c r="C59" s="449">
        <f>'Program Budget'!H189</f>
        <v>100</v>
      </c>
      <c r="D59" s="450">
        <f>'Activity 1'!D41+'Activity 2'!D40+'Activity 3'!D41+'Activity 4'!D39</f>
        <v>24</v>
      </c>
      <c r="E59" s="274">
        <v>1</v>
      </c>
      <c r="F59" s="275">
        <f t="shared" ref="F59" si="66">C59*D59*E59</f>
        <v>2400</v>
      </c>
      <c r="G59" s="435">
        <f t="shared" si="62"/>
        <v>104</v>
      </c>
      <c r="H59" s="273">
        <f>'Activity 1'!H41+'Activity 2'!H40+'Activity 3'!H41+'Activity 4'!H39</f>
        <v>48</v>
      </c>
      <c r="I59" s="274">
        <v>1</v>
      </c>
      <c r="J59" s="275">
        <f t="shared" ref="J59" si="67">G59*H59*I59</f>
        <v>4992</v>
      </c>
      <c r="K59" s="435">
        <f t="shared" si="63"/>
        <v>108.16</v>
      </c>
      <c r="L59" s="273">
        <f>'Activity 1'!L41+'Activity 2'!L40+'Activity 3'!L41+'Activity 4'!L39</f>
        <v>48</v>
      </c>
      <c r="M59" s="274">
        <v>1</v>
      </c>
      <c r="N59" s="275">
        <f t="shared" ref="N59" si="68">K59*L59*M59</f>
        <v>5191.68</v>
      </c>
      <c r="O59" s="435">
        <f t="shared" si="64"/>
        <v>112.4864</v>
      </c>
      <c r="P59" s="273">
        <f>'Activity 1'!P41+'Activity 2'!P40+'Activity 3'!P41+'Activity 4'!P39</f>
        <v>48</v>
      </c>
      <c r="Q59" s="274">
        <v>1</v>
      </c>
      <c r="R59" s="275">
        <f t="shared" ref="R59" si="69">O59*P59*Q59</f>
        <v>5399.3472000000002</v>
      </c>
      <c r="S59" s="435">
        <f t="shared" si="65"/>
        <v>116.98585600000001</v>
      </c>
      <c r="T59" s="273">
        <f>'Activity 1'!T41+'Activity 2'!T40+'Activity 3'!T41+'Activity 4'!T39</f>
        <v>36</v>
      </c>
      <c r="U59" s="274">
        <v>1</v>
      </c>
      <c r="V59" s="275">
        <f t="shared" ref="V59" si="70">S59*T59*U59</f>
        <v>4211.4908160000005</v>
      </c>
      <c r="W59" s="429">
        <f t="shared" ref="W59" si="71">F59+J59+N59+R59+V59</f>
        <v>22194.518016000002</v>
      </c>
    </row>
    <row r="60" spans="1:23" ht="15" customHeight="1" outlineLevel="1">
      <c r="A60" s="270" t="str">
        <f>'Program Budget'!D191</f>
        <v>Transport Stipends for Participants to attend Trainings</v>
      </c>
      <c r="B60" s="271" t="str">
        <f>'Program Budget'!F191</f>
        <v>Participant</v>
      </c>
      <c r="C60" s="449">
        <f>'Program Budget'!H191</f>
        <v>10</v>
      </c>
      <c r="D60" s="450">
        <f>'Program Budget'!G191</f>
        <v>6000</v>
      </c>
      <c r="E60" s="274">
        <v>1</v>
      </c>
      <c r="F60" s="275">
        <f t="shared" ref="F60:F61" si="72">C60*D60*E60</f>
        <v>60000</v>
      </c>
      <c r="G60" s="435">
        <f t="shared" ref="G60:G61" si="73">C60*1.04</f>
        <v>10.4</v>
      </c>
      <c r="H60" s="273">
        <f>'Program Budget'!K191</f>
        <v>6000</v>
      </c>
      <c r="I60" s="274">
        <v>1</v>
      </c>
      <c r="J60" s="275">
        <f t="shared" ref="J60:J61" si="74">G60*H60*I60</f>
        <v>62400</v>
      </c>
      <c r="K60" s="435">
        <f t="shared" ref="K60:K61" si="75">G60*1.04</f>
        <v>10.816000000000001</v>
      </c>
      <c r="L60" s="273">
        <f>'Program Budget'!N191</f>
        <v>0</v>
      </c>
      <c r="M60" s="274">
        <v>1</v>
      </c>
      <c r="N60" s="275">
        <f t="shared" ref="N60:N61" si="76">K60*L60*M60</f>
        <v>0</v>
      </c>
      <c r="O60" s="435">
        <f t="shared" ref="O60:O61" si="77">K60*1.04</f>
        <v>11.248640000000002</v>
      </c>
      <c r="P60" s="273">
        <f>'Program Budget'!Q191</f>
        <v>0</v>
      </c>
      <c r="Q60" s="274">
        <v>1</v>
      </c>
      <c r="R60" s="275">
        <f t="shared" ref="R60:R61" si="78">O60*P60*Q60</f>
        <v>0</v>
      </c>
      <c r="S60" s="435">
        <f t="shared" ref="S60:S61" si="79">O60*1.04</f>
        <v>11.698585600000003</v>
      </c>
      <c r="T60" s="273">
        <f>'Program Budget'!T191</f>
        <v>0</v>
      </c>
      <c r="U60" s="274">
        <v>1</v>
      </c>
      <c r="V60" s="275">
        <f t="shared" ref="V60:V61" si="80">S60*T60*U60</f>
        <v>0</v>
      </c>
      <c r="W60" s="429">
        <f t="shared" ref="W60:W61" si="81">F60+J60+N60+R60+V60</f>
        <v>122400</v>
      </c>
    </row>
    <row r="61" spans="1:23" ht="15" customHeight="1" outlineLevel="1">
      <c r="A61" s="270" t="str">
        <f>'Program Budget'!D252</f>
        <v>Transport Stipends for Participants to attend Farmer Field Schools</v>
      </c>
      <c r="B61" s="271" t="str">
        <f>'Program Budget'!F252</f>
        <v>Participant</v>
      </c>
      <c r="C61" s="449">
        <f>'Program Budget'!H252</f>
        <v>10</v>
      </c>
      <c r="D61" s="450">
        <f>'Program Budget'!G252</f>
        <v>0</v>
      </c>
      <c r="E61" s="274">
        <v>1</v>
      </c>
      <c r="F61" s="275">
        <f t="shared" si="72"/>
        <v>0</v>
      </c>
      <c r="G61" s="435">
        <f t="shared" si="73"/>
        <v>10.4</v>
      </c>
      <c r="H61" s="273">
        <f>'Program Budget'!K252</f>
        <v>1000</v>
      </c>
      <c r="I61" s="274">
        <v>1</v>
      </c>
      <c r="J61" s="275">
        <f t="shared" si="74"/>
        <v>10400</v>
      </c>
      <c r="K61" s="435">
        <f t="shared" si="75"/>
        <v>10.816000000000001</v>
      </c>
      <c r="L61" s="273">
        <f>'Program Budget'!N252</f>
        <v>1000</v>
      </c>
      <c r="M61" s="274">
        <v>1</v>
      </c>
      <c r="N61" s="275">
        <f t="shared" si="76"/>
        <v>10816</v>
      </c>
      <c r="O61" s="435">
        <f t="shared" si="77"/>
        <v>11.248640000000002</v>
      </c>
      <c r="P61" s="273">
        <f>'Program Budget'!Q252</f>
        <v>1000</v>
      </c>
      <c r="Q61" s="274">
        <v>1</v>
      </c>
      <c r="R61" s="275">
        <f t="shared" si="78"/>
        <v>11248.640000000001</v>
      </c>
      <c r="S61" s="435">
        <f t="shared" si="79"/>
        <v>11.698585600000003</v>
      </c>
      <c r="T61" s="273">
        <f>'Program Budget'!T252</f>
        <v>0</v>
      </c>
      <c r="U61" s="274">
        <v>1</v>
      </c>
      <c r="V61" s="275">
        <f t="shared" si="80"/>
        <v>0</v>
      </c>
      <c r="W61" s="429">
        <f t="shared" si="81"/>
        <v>32464.639999999999</v>
      </c>
    </row>
    <row r="62" spans="1:23" ht="15" customHeight="1" outlineLevel="1">
      <c r="A62" s="270" t="str">
        <f>'Program Budget'!D382</f>
        <v>Transport Costs for Trade Shows and Events</v>
      </c>
      <c r="B62" s="271" t="str">
        <f>'Program Budget'!F382</f>
        <v>Trip</v>
      </c>
      <c r="C62" s="449">
        <f>'Program Budget'!H382</f>
        <v>1800</v>
      </c>
      <c r="D62" s="450">
        <f>'Program Budget'!G382</f>
        <v>4</v>
      </c>
      <c r="E62" s="274">
        <v>1</v>
      </c>
      <c r="F62" s="275">
        <f t="shared" ref="F62" si="82">C62*D62*E62</f>
        <v>7200</v>
      </c>
      <c r="G62" s="435">
        <f t="shared" ref="G62" si="83">C62*1.04</f>
        <v>1872</v>
      </c>
      <c r="H62" s="273">
        <f>'Program Budget'!K382</f>
        <v>4</v>
      </c>
      <c r="I62" s="274">
        <v>1</v>
      </c>
      <c r="J62" s="275">
        <f t="shared" ref="J62" si="84">G62*H62*I62</f>
        <v>7488</v>
      </c>
      <c r="K62" s="435">
        <f t="shared" ref="K62" si="85">G62*1.04</f>
        <v>1946.88</v>
      </c>
      <c r="L62" s="273">
        <f>'Program Budget'!N382</f>
        <v>4</v>
      </c>
      <c r="M62" s="274">
        <v>1</v>
      </c>
      <c r="N62" s="275">
        <f t="shared" ref="N62" si="86">K62*L62*M62</f>
        <v>7787.52</v>
      </c>
      <c r="O62" s="435">
        <f t="shared" ref="O62" si="87">K62*1.04</f>
        <v>2024.7552000000003</v>
      </c>
      <c r="P62" s="273">
        <f>'Program Budget'!Q382</f>
        <v>4</v>
      </c>
      <c r="Q62" s="274">
        <v>1</v>
      </c>
      <c r="R62" s="275">
        <f t="shared" ref="R62" si="88">O62*P62*Q62</f>
        <v>8099.0208000000011</v>
      </c>
      <c r="S62" s="435">
        <f t="shared" ref="S62" si="89">O62*1.04</f>
        <v>2105.7454080000002</v>
      </c>
      <c r="T62" s="273">
        <f>'Program Budget'!T382</f>
        <v>4</v>
      </c>
      <c r="U62" s="274">
        <v>1</v>
      </c>
      <c r="V62" s="275">
        <f t="shared" ref="V62" si="90">S62*T62*U62</f>
        <v>8422.9816320000009</v>
      </c>
      <c r="W62" s="429">
        <f t="shared" ref="W62" si="91">F62+J62+N62+R62+V62</f>
        <v>38997.522432000005</v>
      </c>
    </row>
    <row r="63" spans="1:23" s="337" customFormat="1" ht="15.6" outlineLevel="1">
      <c r="A63" s="546" t="s">
        <v>91</v>
      </c>
      <c r="B63" s="293"/>
      <c r="C63" s="440"/>
      <c r="D63" s="235"/>
      <c r="E63" s="236"/>
      <c r="F63" s="275"/>
      <c r="G63" s="435"/>
      <c r="H63" s="235"/>
      <c r="I63" s="237"/>
      <c r="J63" s="275"/>
      <c r="K63" s="435"/>
      <c r="L63" s="235"/>
      <c r="M63" s="236"/>
      <c r="N63" s="275"/>
      <c r="O63" s="435"/>
      <c r="P63" s="235"/>
      <c r="Q63" s="237"/>
      <c r="R63" s="275"/>
      <c r="S63" s="435"/>
      <c r="T63" s="235"/>
      <c r="U63" s="237"/>
      <c r="V63" s="275"/>
      <c r="W63" s="429"/>
    </row>
    <row r="64" spans="1:23" ht="15" customHeight="1" outlineLevel="1">
      <c r="A64" s="270" t="str">
        <f>Admin!A60</f>
        <v>Motorcycle and Vehicle Fuel Expense</v>
      </c>
      <c r="B64" s="271" t="str">
        <f>'Program Budget'!F188</f>
        <v>Month</v>
      </c>
      <c r="C64" s="449">
        <f>Admin!C60+'Activity 1'!C44+'Activity 2'!C43+'Activity 3'!C43+'Activity 4'!C42</f>
        <v>740</v>
      </c>
      <c r="D64" s="450">
        <f>'Activity 1'!D44</f>
        <v>3</v>
      </c>
      <c r="E64" s="274">
        <v>1</v>
      </c>
      <c r="F64" s="275">
        <f>C64*D64*E64</f>
        <v>2220</v>
      </c>
      <c r="G64" s="435">
        <f t="shared" ref="G64" si="92">C64*1.04</f>
        <v>769.6</v>
      </c>
      <c r="H64" s="273">
        <f>'Program Budget'!K189</f>
        <v>12</v>
      </c>
      <c r="I64" s="274">
        <v>1</v>
      </c>
      <c r="J64" s="275">
        <f>G64*H64*I64</f>
        <v>9235.2000000000007</v>
      </c>
      <c r="K64" s="435">
        <f t="shared" ref="K64" si="93">G64*1.04</f>
        <v>800.38400000000001</v>
      </c>
      <c r="L64" s="273">
        <f>'Program Budget'!N188</f>
        <v>12</v>
      </c>
      <c r="M64" s="274">
        <v>1</v>
      </c>
      <c r="N64" s="275">
        <f>K64*L64*M64</f>
        <v>9604.6080000000002</v>
      </c>
      <c r="O64" s="435">
        <f t="shared" ref="O64" si="94">K64*1.04</f>
        <v>832.39936</v>
      </c>
      <c r="P64" s="273">
        <f>'Program Budget'!Q188</f>
        <v>12</v>
      </c>
      <c r="Q64" s="274">
        <v>1</v>
      </c>
      <c r="R64" s="275">
        <f>O64*P64*Q64</f>
        <v>9988.7923200000005</v>
      </c>
      <c r="S64" s="435">
        <f t="shared" ref="S64" si="95">O64*1.04</f>
        <v>865.69533439999998</v>
      </c>
      <c r="T64" s="273">
        <f>'Program Budget'!T188</f>
        <v>7</v>
      </c>
      <c r="U64" s="274">
        <v>1</v>
      </c>
      <c r="V64" s="275">
        <f>S64*T64*U64</f>
        <v>6059.8673407999995</v>
      </c>
      <c r="W64" s="429">
        <f>F64+J64+N64+R64+V64</f>
        <v>37108.467660800001</v>
      </c>
    </row>
    <row r="65" spans="1:23" s="337" customFormat="1" ht="15.6" outlineLevel="1">
      <c r="A65" s="546" t="s">
        <v>92</v>
      </c>
      <c r="B65" s="293"/>
      <c r="C65" s="440"/>
      <c r="D65" s="235"/>
      <c r="E65" s="236"/>
      <c r="F65" s="275"/>
      <c r="G65" s="275"/>
      <c r="H65" s="275"/>
      <c r="I65" s="275"/>
      <c r="J65" s="275"/>
      <c r="K65" s="275"/>
      <c r="L65" s="275"/>
      <c r="M65" s="275"/>
      <c r="N65" s="275"/>
      <c r="O65" s="275"/>
      <c r="P65" s="275"/>
      <c r="Q65" s="275"/>
      <c r="R65" s="275"/>
      <c r="S65" s="275"/>
      <c r="T65" s="275"/>
      <c r="U65" s="275"/>
      <c r="V65" s="275"/>
      <c r="W65" s="429"/>
    </row>
    <row r="66" spans="1:23" ht="15" customHeight="1" outlineLevel="1">
      <c r="A66" s="270" t="str">
        <f>'Program Budget'!D54</f>
        <v>Lodging and M&amp;IE - HQ Project Management Trip</v>
      </c>
      <c r="B66" s="271" t="str">
        <f>'Program Budget'!F54</f>
        <v>Day</v>
      </c>
      <c r="C66" s="449">
        <f>'Program Budget'!H54</f>
        <v>169</v>
      </c>
      <c r="D66" s="450">
        <f>'Program Budget'!G54</f>
        <v>28</v>
      </c>
      <c r="E66" s="274">
        <v>1</v>
      </c>
      <c r="F66" s="275">
        <f>C66*D66*E66</f>
        <v>4732</v>
      </c>
      <c r="G66" s="435">
        <f t="shared" si="62"/>
        <v>175.76000000000002</v>
      </c>
      <c r="H66" s="273">
        <f>'Program Budget'!K54</f>
        <v>28</v>
      </c>
      <c r="I66" s="274">
        <v>1</v>
      </c>
      <c r="J66" s="275">
        <f>G66*H66*I66</f>
        <v>4921.2800000000007</v>
      </c>
      <c r="K66" s="435">
        <f t="shared" si="63"/>
        <v>182.79040000000003</v>
      </c>
      <c r="L66" s="273">
        <f>'Program Budget'!N54</f>
        <v>28</v>
      </c>
      <c r="M66" s="274">
        <v>1</v>
      </c>
      <c r="N66" s="275">
        <f>K66*L66*M66</f>
        <v>5118.1312000000007</v>
      </c>
      <c r="O66" s="435">
        <f t="shared" si="64"/>
        <v>190.10201600000005</v>
      </c>
      <c r="P66" s="273">
        <f>'Program Budget'!Q54</f>
        <v>28</v>
      </c>
      <c r="Q66" s="274">
        <v>1</v>
      </c>
      <c r="R66" s="275">
        <f>O66*P66*Q66</f>
        <v>5322.8564480000014</v>
      </c>
      <c r="S66" s="435">
        <f t="shared" si="65"/>
        <v>197.70609664000006</v>
      </c>
      <c r="T66" s="273">
        <f>'Program Budget'!T54</f>
        <v>28</v>
      </c>
      <c r="U66" s="274">
        <v>1</v>
      </c>
      <c r="V66" s="275">
        <f>S66*T66*U66</f>
        <v>5535.770705920002</v>
      </c>
      <c r="W66" s="429">
        <f>F66+J66+N66+R66+V66</f>
        <v>25630.038353920005</v>
      </c>
    </row>
    <row r="67" spans="1:23" ht="15" customHeight="1" outlineLevel="1">
      <c r="A67" s="270" t="str">
        <f>'Program Budget'!D56</f>
        <v>Other Travel Related Expenses – HQ Project Management Trip</v>
      </c>
      <c r="B67" s="271" t="str">
        <f>'Program Budget'!F56</f>
        <v>Trip</v>
      </c>
      <c r="C67" s="435">
        <f>'Program Budget'!H56</f>
        <v>50</v>
      </c>
      <c r="D67" s="273">
        <f>'Program Budget'!G56</f>
        <v>4</v>
      </c>
      <c r="E67" s="274">
        <v>1</v>
      </c>
      <c r="F67" s="275">
        <f>C67*D67*E67</f>
        <v>200</v>
      </c>
      <c r="G67" s="435">
        <f t="shared" si="62"/>
        <v>52</v>
      </c>
      <c r="H67" s="273">
        <f>'Program Budget'!K56</f>
        <v>4</v>
      </c>
      <c r="I67" s="274">
        <v>1</v>
      </c>
      <c r="J67" s="275">
        <f>G67*H67*I67</f>
        <v>208</v>
      </c>
      <c r="K67" s="435">
        <f t="shared" si="63"/>
        <v>54.08</v>
      </c>
      <c r="L67" s="273">
        <f>'Program Budget'!N56</f>
        <v>4</v>
      </c>
      <c r="M67" s="274">
        <v>1</v>
      </c>
      <c r="N67" s="275">
        <f>K67*L67*M67</f>
        <v>216.32</v>
      </c>
      <c r="O67" s="435">
        <f t="shared" si="64"/>
        <v>56.243200000000002</v>
      </c>
      <c r="P67" s="273">
        <f>'Program Budget'!Q56</f>
        <v>4</v>
      </c>
      <c r="Q67" s="274">
        <v>1</v>
      </c>
      <c r="R67" s="275">
        <f>O67*P67*Q67</f>
        <v>224.97280000000001</v>
      </c>
      <c r="S67" s="435">
        <f t="shared" si="65"/>
        <v>58.492928000000006</v>
      </c>
      <c r="T67" s="273">
        <f>'Program Budget'!T56</f>
        <v>4</v>
      </c>
      <c r="U67" s="274">
        <v>1</v>
      </c>
      <c r="V67" s="275">
        <f>S67*T67*U67</f>
        <v>233.97171200000003</v>
      </c>
      <c r="W67" s="429">
        <f>F67+J67+N67+R67+V67</f>
        <v>1083.264512</v>
      </c>
    </row>
    <row r="68" spans="1:23" ht="15" customHeight="1" outlineLevel="1">
      <c r="A68" s="270" t="str">
        <f>'Program Budget'!D59</f>
        <v>Lodging and M&amp;IE for Mauritania Staff Travel</v>
      </c>
      <c r="B68" s="271" t="str">
        <f>'Program Budget'!F59</f>
        <v>Day</v>
      </c>
      <c r="C68" s="435">
        <f>'Program Budget'!H59</f>
        <v>169</v>
      </c>
      <c r="D68" s="273">
        <f>'Program Budget'!G59</f>
        <v>21</v>
      </c>
      <c r="E68" s="274">
        <v>1</v>
      </c>
      <c r="F68" s="275">
        <f>C68*D68*E68</f>
        <v>3549</v>
      </c>
      <c r="G68" s="435">
        <f t="shared" si="62"/>
        <v>175.76000000000002</v>
      </c>
      <c r="H68" s="273">
        <f>'Program Budget'!K59</f>
        <v>21</v>
      </c>
      <c r="I68" s="274">
        <v>1</v>
      </c>
      <c r="J68" s="275">
        <f>G68*H68*I68</f>
        <v>3690.9600000000005</v>
      </c>
      <c r="K68" s="435">
        <f t="shared" si="63"/>
        <v>182.79040000000003</v>
      </c>
      <c r="L68" s="273">
        <f>'Program Budget'!N59</f>
        <v>21</v>
      </c>
      <c r="M68" s="274">
        <v>1</v>
      </c>
      <c r="N68" s="275">
        <f>K68*L68*M68</f>
        <v>3838.5984000000008</v>
      </c>
      <c r="O68" s="435">
        <f t="shared" si="64"/>
        <v>190.10201600000005</v>
      </c>
      <c r="P68" s="273">
        <f>'Program Budget'!Q59</f>
        <v>21</v>
      </c>
      <c r="Q68" s="274">
        <v>1</v>
      </c>
      <c r="R68" s="275">
        <f>O68*P68*Q68</f>
        <v>3992.1423360000008</v>
      </c>
      <c r="S68" s="435">
        <f t="shared" si="65"/>
        <v>197.70609664000006</v>
      </c>
      <c r="T68" s="273">
        <f>'Program Budget'!T59</f>
        <v>21</v>
      </c>
      <c r="U68" s="274">
        <v>1</v>
      </c>
      <c r="V68" s="275">
        <f>S68*T68*U68</f>
        <v>4151.828029440001</v>
      </c>
      <c r="W68" s="429">
        <f>F68+J68+N68+R68+V68</f>
        <v>19222.528765440002</v>
      </c>
    </row>
    <row r="69" spans="1:23" ht="15" customHeight="1" outlineLevel="1">
      <c r="A69" s="270" t="str">
        <f>'Program Budget'!D61</f>
        <v>Other Travel Related Expenses for Mauritania Staff Travel</v>
      </c>
      <c r="B69" s="271" t="str">
        <f>'Program Budget'!F61</f>
        <v>Trip</v>
      </c>
      <c r="C69" s="435">
        <f>'Program Budget'!H61</f>
        <v>50</v>
      </c>
      <c r="D69" s="273">
        <f>'Program Budget'!G61</f>
        <v>3</v>
      </c>
      <c r="E69" s="274">
        <v>1</v>
      </c>
      <c r="F69" s="275">
        <f>C69*D69*E69</f>
        <v>150</v>
      </c>
      <c r="G69" s="435">
        <f t="shared" si="62"/>
        <v>52</v>
      </c>
      <c r="H69" s="273">
        <f>'Program Budget'!K61</f>
        <v>3</v>
      </c>
      <c r="I69" s="274">
        <v>1</v>
      </c>
      <c r="J69" s="275">
        <f>G69*H69*I69</f>
        <v>156</v>
      </c>
      <c r="K69" s="435">
        <f t="shared" si="63"/>
        <v>54.08</v>
      </c>
      <c r="L69" s="273">
        <f>'Program Budget'!N61</f>
        <v>3</v>
      </c>
      <c r="M69" s="274">
        <v>1</v>
      </c>
      <c r="N69" s="275">
        <f>K69*L69*M69</f>
        <v>162.24</v>
      </c>
      <c r="O69" s="435">
        <f t="shared" si="64"/>
        <v>56.243200000000002</v>
      </c>
      <c r="P69" s="273">
        <f>'Program Budget'!Q61</f>
        <v>3</v>
      </c>
      <c r="Q69" s="274">
        <v>1</v>
      </c>
      <c r="R69" s="275">
        <f>O69*P69*Q69</f>
        <v>168.7296</v>
      </c>
      <c r="S69" s="435">
        <f t="shared" si="65"/>
        <v>58.492928000000006</v>
      </c>
      <c r="T69" s="273">
        <f>'Program Budget'!T61</f>
        <v>3</v>
      </c>
      <c r="U69" s="274">
        <v>1</v>
      </c>
      <c r="V69" s="275">
        <f>S69*T69*U69</f>
        <v>175.47878400000002</v>
      </c>
      <c r="W69" s="429">
        <f>F69+J69+N69+R69+V69</f>
        <v>812.44838400000003</v>
      </c>
    </row>
    <row r="70" spans="1:23" ht="15" customHeight="1" outlineLevel="1">
      <c r="A70" s="270" t="str">
        <f>'Program Budget'!D65</f>
        <v>Lodging and M&amp;IE - Training, M&amp;E, &amp; Data Collection</v>
      </c>
      <c r="B70" s="271" t="str">
        <f>'Program Budget'!F65</f>
        <v>Day</v>
      </c>
      <c r="C70" s="435">
        <f>'Program Budget'!H65</f>
        <v>78</v>
      </c>
      <c r="D70" s="273">
        <f>'Program Budget'!G65</f>
        <v>144</v>
      </c>
      <c r="E70" s="274">
        <v>1</v>
      </c>
      <c r="F70" s="275">
        <f>C70*D70*E70</f>
        <v>11232</v>
      </c>
      <c r="G70" s="435">
        <f t="shared" si="62"/>
        <v>81.12</v>
      </c>
      <c r="H70" s="273">
        <f>'Program Budget'!K65</f>
        <v>144</v>
      </c>
      <c r="I70" s="274">
        <v>1</v>
      </c>
      <c r="J70" s="275">
        <f>G70*H70*I70</f>
        <v>11681.28</v>
      </c>
      <c r="K70" s="435">
        <f t="shared" si="63"/>
        <v>84.364800000000002</v>
      </c>
      <c r="L70" s="273">
        <f>'Program Budget'!N65</f>
        <v>144</v>
      </c>
      <c r="M70" s="274">
        <v>1</v>
      </c>
      <c r="N70" s="275">
        <f>K70*L70*M70</f>
        <v>12148.531200000001</v>
      </c>
      <c r="O70" s="435">
        <f t="shared" si="64"/>
        <v>87.739392000000009</v>
      </c>
      <c r="P70" s="273">
        <f>'Program Budget'!Q65</f>
        <v>144</v>
      </c>
      <c r="Q70" s="274">
        <v>1</v>
      </c>
      <c r="R70" s="275">
        <f>O70*P70*Q70</f>
        <v>12634.472448</v>
      </c>
      <c r="S70" s="435">
        <f t="shared" si="65"/>
        <v>91.248967680000007</v>
      </c>
      <c r="T70" s="273">
        <f>'Program Budget'!T65</f>
        <v>144</v>
      </c>
      <c r="U70" s="274">
        <v>1</v>
      </c>
      <c r="V70" s="275">
        <f>S70*T70*U70</f>
        <v>13139.85134592</v>
      </c>
      <c r="W70" s="429">
        <f>F70+J70+N70+R70+V70</f>
        <v>60836.134993920001</v>
      </c>
    </row>
    <row r="71" spans="1:23" ht="15" customHeight="1" outlineLevel="1">
      <c r="A71" s="270" t="str">
        <f>'Program Budget'!D190</f>
        <v>Lodging and M&amp;IE for Trainings</v>
      </c>
      <c r="B71" s="271" t="str">
        <f>'Program Budget'!F190</f>
        <v>Day</v>
      </c>
      <c r="C71" s="435">
        <f>'Program Budget'!H190</f>
        <v>78</v>
      </c>
      <c r="D71" s="273">
        <f>'Activity 1'!D46+'Activity 2'!D45+'Activity 3'!D45+'Activity 4'!D44</f>
        <v>72</v>
      </c>
      <c r="E71" s="274">
        <v>1</v>
      </c>
      <c r="F71" s="275">
        <f t="shared" ref="F71:F72" si="96">C71*D71*E71</f>
        <v>5616</v>
      </c>
      <c r="G71" s="435">
        <f t="shared" si="62"/>
        <v>81.12</v>
      </c>
      <c r="H71" s="273">
        <f>'Activity 1'!H46+'Activity 2'!H45+'Activity 3'!H45+'Activity 4'!H44</f>
        <v>144</v>
      </c>
      <c r="I71" s="274">
        <v>1</v>
      </c>
      <c r="J71" s="275">
        <f t="shared" ref="J71:J72" si="97">G71*H71*I71</f>
        <v>11681.28</v>
      </c>
      <c r="K71" s="435">
        <f t="shared" si="63"/>
        <v>84.364800000000002</v>
      </c>
      <c r="L71" s="273">
        <f>'Activity 1'!L46+'Activity 2'!L45+'Activity 3'!L45+'Activity 4'!L44</f>
        <v>144</v>
      </c>
      <c r="M71" s="274">
        <v>1</v>
      </c>
      <c r="N71" s="275">
        <f t="shared" ref="N71:N72" si="98">K71*L71*M71</f>
        <v>12148.531200000001</v>
      </c>
      <c r="O71" s="435">
        <f t="shared" si="64"/>
        <v>87.739392000000009</v>
      </c>
      <c r="P71" s="273">
        <f>'Activity 1'!P46+'Activity 2'!P45+'Activity 3'!P45+'Activity 4'!P44</f>
        <v>144</v>
      </c>
      <c r="Q71" s="274">
        <v>1</v>
      </c>
      <c r="R71" s="275">
        <f t="shared" ref="R71:R72" si="99">O71*P71*Q71</f>
        <v>12634.472448</v>
      </c>
      <c r="S71" s="435">
        <f t="shared" si="65"/>
        <v>91.248967680000007</v>
      </c>
      <c r="T71" s="273">
        <f>'Activity 1'!T46+'Activity 2'!T45+'Activity 3'!T45+'Activity 4'!T44</f>
        <v>108</v>
      </c>
      <c r="U71" s="274">
        <v>1</v>
      </c>
      <c r="V71" s="275">
        <f t="shared" ref="V71:V72" si="100">S71*T71*U71</f>
        <v>9854.8885094400011</v>
      </c>
      <c r="W71" s="429">
        <f t="shared" ref="W71:W72" si="101">F71+J71+N71+R71+V71</f>
        <v>51935.17215744</v>
      </c>
    </row>
    <row r="72" spans="1:23" ht="15" customHeight="1" outlineLevel="1">
      <c r="A72" s="270" t="str">
        <f>'Program Budget'!D307</f>
        <v>Lodging and M&amp;IE for PASP Program Participant</v>
      </c>
      <c r="B72" s="271" t="str">
        <f>'Program Budget'!F307</f>
        <v>Week</v>
      </c>
      <c r="C72" s="435">
        <f>'Program Budget'!H307</f>
        <v>160</v>
      </c>
      <c r="D72" s="273">
        <f>'Program Budget'!G307</f>
        <v>0</v>
      </c>
      <c r="E72" s="274">
        <v>1</v>
      </c>
      <c r="F72" s="275">
        <f t="shared" si="96"/>
        <v>0</v>
      </c>
      <c r="G72" s="435">
        <f t="shared" si="62"/>
        <v>166.4</v>
      </c>
      <c r="H72" s="273">
        <f>'Program Budget'!K307</f>
        <v>400</v>
      </c>
      <c r="I72" s="274">
        <v>1</v>
      </c>
      <c r="J72" s="275">
        <f t="shared" si="97"/>
        <v>66560</v>
      </c>
      <c r="K72" s="435">
        <f t="shared" si="63"/>
        <v>173.05600000000001</v>
      </c>
      <c r="L72" s="273">
        <f>'Program Budget'!N307</f>
        <v>400</v>
      </c>
      <c r="M72" s="274">
        <v>1</v>
      </c>
      <c r="N72" s="275">
        <f t="shared" si="98"/>
        <v>69222.400000000009</v>
      </c>
      <c r="O72" s="435">
        <f t="shared" si="64"/>
        <v>179.97824000000003</v>
      </c>
      <c r="P72" s="273">
        <f>'Program Budget'!Q307</f>
        <v>400</v>
      </c>
      <c r="Q72" s="274">
        <v>1</v>
      </c>
      <c r="R72" s="275">
        <f t="shared" si="99"/>
        <v>71991.296000000017</v>
      </c>
      <c r="S72" s="435">
        <f t="shared" si="65"/>
        <v>187.17736960000005</v>
      </c>
      <c r="T72" s="273">
        <f>'Program Budget'!T307</f>
        <v>0</v>
      </c>
      <c r="U72" s="274">
        <v>1</v>
      </c>
      <c r="V72" s="275">
        <f t="shared" si="100"/>
        <v>0</v>
      </c>
      <c r="W72" s="429">
        <f t="shared" si="101"/>
        <v>207773.69600000005</v>
      </c>
    </row>
    <row r="73" spans="1:23" ht="15" customHeight="1" outlineLevel="1">
      <c r="A73" s="270" t="str">
        <f>'Program Budget'!D383</f>
        <v>Lodging and M&amp;IE for Trade Shows and Events</v>
      </c>
      <c r="B73" s="271" t="str">
        <f>'Program Budget'!F383</f>
        <v>Day</v>
      </c>
      <c r="C73" s="435">
        <f>'Program Budget'!H383</f>
        <v>160</v>
      </c>
      <c r="D73" s="273">
        <f>'Program Budget'!G383</f>
        <v>20</v>
      </c>
      <c r="E73" s="274">
        <v>1</v>
      </c>
      <c r="F73" s="275">
        <f t="shared" ref="F73" si="102">C73*D73*E73</f>
        <v>3200</v>
      </c>
      <c r="G73" s="435">
        <f t="shared" ref="G73" si="103">C73*1.04</f>
        <v>166.4</v>
      </c>
      <c r="H73" s="273">
        <f>'Program Budget'!K383</f>
        <v>20</v>
      </c>
      <c r="I73" s="274">
        <v>1</v>
      </c>
      <c r="J73" s="275">
        <f t="shared" ref="J73" si="104">G73*H73*I73</f>
        <v>3328</v>
      </c>
      <c r="K73" s="435">
        <f t="shared" ref="K73" si="105">G73*1.04</f>
        <v>173.05600000000001</v>
      </c>
      <c r="L73" s="273">
        <f>'Program Budget'!N383</f>
        <v>20</v>
      </c>
      <c r="M73" s="274">
        <v>1</v>
      </c>
      <c r="N73" s="275">
        <f t="shared" ref="N73" si="106">K73*L73*M73</f>
        <v>3461.1200000000003</v>
      </c>
      <c r="O73" s="435">
        <f t="shared" ref="O73" si="107">K73*1.04</f>
        <v>179.97824000000003</v>
      </c>
      <c r="P73" s="273">
        <f>'Program Budget'!Q383</f>
        <v>20</v>
      </c>
      <c r="Q73" s="274">
        <v>1</v>
      </c>
      <c r="R73" s="275">
        <f t="shared" ref="R73" si="108">O73*P73*Q73</f>
        <v>3599.5648000000006</v>
      </c>
      <c r="S73" s="435">
        <f t="shared" ref="S73" si="109">O73*1.04</f>
        <v>187.17736960000005</v>
      </c>
      <c r="T73" s="273">
        <f>'Program Budget'!T383</f>
        <v>20</v>
      </c>
      <c r="U73" s="274">
        <v>1</v>
      </c>
      <c r="V73" s="275">
        <f t="shared" ref="V73" si="110">S73*T73*U73</f>
        <v>3743.5473920000009</v>
      </c>
      <c r="W73" s="429">
        <f t="shared" ref="W73" si="111">F73+J73+N73+R73+V73</f>
        <v>17332.232192000003</v>
      </c>
    </row>
    <row r="74" spans="1:23" ht="15.6" outlineLevel="1">
      <c r="A74" s="553"/>
      <c r="B74" s="293"/>
      <c r="F74" s="275"/>
      <c r="J74" s="275"/>
      <c r="N74" s="275"/>
      <c r="R74" s="275"/>
      <c r="V74" s="275"/>
      <c r="W74" s="277"/>
    </row>
    <row r="75" spans="1:23" ht="18.3">
      <c r="A75" s="554" t="s">
        <v>93</v>
      </c>
      <c r="B75" s="304"/>
      <c r="C75" s="438"/>
      <c r="D75" s="339"/>
      <c r="E75" s="340"/>
      <c r="F75" s="308">
        <f>SUM(F53:F74)</f>
        <v>117749</v>
      </c>
      <c r="G75" s="438"/>
      <c r="H75" s="339"/>
      <c r="I75" s="309"/>
      <c r="J75" s="308">
        <f>SUM(J53:J74)</f>
        <v>214682</v>
      </c>
      <c r="K75" s="438"/>
      <c r="L75" s="339"/>
      <c r="M75" s="340"/>
      <c r="N75" s="308">
        <f>SUM(N53:N74)</f>
        <v>158373.28000000003</v>
      </c>
      <c r="O75" s="438"/>
      <c r="P75" s="339"/>
      <c r="Q75" s="309"/>
      <c r="R75" s="308">
        <f>SUM(R53:R74)</f>
        <v>164708.21120000002</v>
      </c>
      <c r="S75" s="438"/>
      <c r="T75" s="339"/>
      <c r="U75" s="309"/>
      <c r="V75" s="308">
        <f>SUM(V53:V74)</f>
        <v>75709.736427520009</v>
      </c>
      <c r="W75" s="308">
        <f>SUM(W53:W74)</f>
        <v>731222.2276275201</v>
      </c>
    </row>
    <row r="76" spans="1:23" ht="15.6" outlineLevel="1">
      <c r="A76" s="546" t="s">
        <v>50</v>
      </c>
      <c r="B76" s="341"/>
      <c r="D76" s="342"/>
      <c r="E76" s="343"/>
      <c r="F76" s="325"/>
      <c r="H76" s="342"/>
      <c r="I76" s="344"/>
      <c r="J76" s="298"/>
      <c r="L76" s="342"/>
      <c r="M76" s="343"/>
      <c r="N76" s="298"/>
      <c r="P76" s="342"/>
      <c r="Q76" s="344"/>
      <c r="R76" s="298"/>
      <c r="T76" s="342"/>
      <c r="U76" s="344"/>
      <c r="V76" s="298"/>
      <c r="W76" s="277"/>
    </row>
    <row r="77" spans="1:23" ht="15.6" outlineLevel="1">
      <c r="A77" s="555" t="str">
        <f>'Program Budget'!D69</f>
        <v>Monetization Agent Fee</v>
      </c>
      <c r="B77" s="271" t="str">
        <f>'Program Budget'!F69</f>
        <v>%</v>
      </c>
      <c r="C77" s="435">
        <f>'Program Budget'!I69+'Program Budget'!L69</f>
        <v>280000</v>
      </c>
      <c r="D77" s="273">
        <v>0.5</v>
      </c>
      <c r="E77" s="274">
        <v>1</v>
      </c>
      <c r="F77" s="275">
        <f>C77*D77*E77</f>
        <v>140000</v>
      </c>
      <c r="G77" s="435">
        <f>C77</f>
        <v>280000</v>
      </c>
      <c r="H77" s="273">
        <v>0.5</v>
      </c>
      <c r="I77" s="274">
        <v>1</v>
      </c>
      <c r="J77" s="275">
        <f>G77*H77*I77</f>
        <v>140000</v>
      </c>
      <c r="K77" s="435">
        <f>G77</f>
        <v>280000</v>
      </c>
      <c r="L77" s="273">
        <f>'Program Budget'!N69</f>
        <v>0</v>
      </c>
      <c r="M77" s="274">
        <v>1</v>
      </c>
      <c r="N77" s="275">
        <f>K77*L77*M77</f>
        <v>0</v>
      </c>
      <c r="O77" s="435">
        <f>K77</f>
        <v>280000</v>
      </c>
      <c r="P77" s="273">
        <f>'Program Budget'!Q699</f>
        <v>0</v>
      </c>
      <c r="Q77" s="274">
        <v>1</v>
      </c>
      <c r="R77" s="275">
        <f>O77*P77*Q77</f>
        <v>0</v>
      </c>
      <c r="S77" s="435">
        <f>O77</f>
        <v>280000</v>
      </c>
      <c r="T77" s="273">
        <f>'Program Budget'!T69</f>
        <v>0</v>
      </c>
      <c r="U77" s="274">
        <v>1</v>
      </c>
      <c r="V77" s="275">
        <f>S77*T77*U77</f>
        <v>0</v>
      </c>
      <c r="W77" s="411">
        <f>F77+J77+N77+R77+V77</f>
        <v>280000</v>
      </c>
    </row>
    <row r="78" spans="1:23" ht="15.6" outlineLevel="1">
      <c r="A78" s="555" t="str">
        <f>'Program Budget'!D70</f>
        <v>Monetization Impact Assessment</v>
      </c>
      <c r="B78" s="271" t="str">
        <f>'Program Budget'!F70</f>
        <v>Unit</v>
      </c>
      <c r="C78" s="435">
        <f>'Program Budget'!H70</f>
        <v>48000</v>
      </c>
      <c r="D78" s="273">
        <f>'Program Budget'!G70</f>
        <v>0</v>
      </c>
      <c r="E78" s="274">
        <v>1</v>
      </c>
      <c r="F78" s="275">
        <f t="shared" ref="F78" si="112">C78*D78*E78</f>
        <v>0</v>
      </c>
      <c r="G78" s="435">
        <f t="shared" ref="G78" si="113">C78</f>
        <v>48000</v>
      </c>
      <c r="H78" s="273">
        <f>'Program Budget'!K70</f>
        <v>1</v>
      </c>
      <c r="I78" s="274">
        <v>1</v>
      </c>
      <c r="J78" s="275">
        <f t="shared" ref="J78" si="114">G78*H78*I78</f>
        <v>48000</v>
      </c>
      <c r="K78" s="435">
        <f t="shared" ref="K78" si="115">G78</f>
        <v>48000</v>
      </c>
      <c r="L78" s="273">
        <f>'Program Budget'!N70</f>
        <v>0</v>
      </c>
      <c r="M78" s="274">
        <v>1</v>
      </c>
      <c r="N78" s="275">
        <f t="shared" ref="N78" si="116">K78*L78*M78</f>
        <v>0</v>
      </c>
      <c r="O78" s="435">
        <f t="shared" ref="O78" si="117">K78</f>
        <v>48000</v>
      </c>
      <c r="P78" s="273">
        <f>'Program Budget'!Q70</f>
        <v>0</v>
      </c>
      <c r="Q78" s="274">
        <v>1</v>
      </c>
      <c r="R78" s="275">
        <f t="shared" ref="R78" si="118">O78*P78*Q78</f>
        <v>0</v>
      </c>
      <c r="S78" s="435">
        <f t="shared" ref="S78" si="119">O78</f>
        <v>48000</v>
      </c>
      <c r="T78" s="273">
        <f>'Program Budget'!T70</f>
        <v>0</v>
      </c>
      <c r="U78" s="274">
        <v>1</v>
      </c>
      <c r="V78" s="275">
        <f t="shared" ref="V78" si="120">S78*T78*U78</f>
        <v>0</v>
      </c>
      <c r="W78" s="411">
        <f t="shared" ref="W78" si="121">F78+J78+N78+R78+V78</f>
        <v>48000</v>
      </c>
    </row>
    <row r="79" spans="1:23" ht="15.6" outlineLevel="1">
      <c r="A79" s="555" t="str">
        <f>'Program Budget'!D71</f>
        <v>Audit Costs - (Program Specific Audits)</v>
      </c>
      <c r="B79" s="271" t="str">
        <f>'Program Budget'!F71</f>
        <v>Year</v>
      </c>
      <c r="C79" s="435">
        <f>'Program Budget'!H71</f>
        <v>8000</v>
      </c>
      <c r="D79" s="273">
        <f>'Program Budget'!G71</f>
        <v>1</v>
      </c>
      <c r="E79" s="274">
        <v>1</v>
      </c>
      <c r="F79" s="275">
        <f t="shared" ref="F79:F105" si="122">C79*D79*E79</f>
        <v>8000</v>
      </c>
      <c r="G79" s="435">
        <f t="shared" ref="G79:G105" si="123">C79</f>
        <v>8000</v>
      </c>
      <c r="H79" s="273">
        <f>'Program Budget'!K71</f>
        <v>1</v>
      </c>
      <c r="I79" s="274">
        <v>1</v>
      </c>
      <c r="J79" s="275">
        <f t="shared" ref="J79:J105" si="124">G79*H79*I79</f>
        <v>8000</v>
      </c>
      <c r="K79" s="435">
        <f t="shared" ref="K79:K105" si="125">G79</f>
        <v>8000</v>
      </c>
      <c r="L79" s="273">
        <f>'Program Budget'!N71</f>
        <v>1</v>
      </c>
      <c r="M79" s="274">
        <v>1</v>
      </c>
      <c r="N79" s="275">
        <f t="shared" ref="N79:N105" si="126">K79*L79*M79</f>
        <v>8000</v>
      </c>
      <c r="O79" s="435">
        <f t="shared" ref="O79:O105" si="127">K79</f>
        <v>8000</v>
      </c>
      <c r="P79" s="273">
        <f>'Program Budget'!Q71</f>
        <v>1</v>
      </c>
      <c r="Q79" s="274">
        <v>1</v>
      </c>
      <c r="R79" s="275">
        <f t="shared" ref="R79:R105" si="128">O79*P79*Q79</f>
        <v>8000</v>
      </c>
      <c r="S79" s="435">
        <f t="shared" ref="S79:S105" si="129">O79</f>
        <v>8000</v>
      </c>
      <c r="T79" s="273">
        <f>'Program Budget'!T71</f>
        <v>1</v>
      </c>
      <c r="U79" s="274">
        <v>1</v>
      </c>
      <c r="V79" s="275">
        <f t="shared" ref="V79:V105" si="130">S79*T79*U79</f>
        <v>8000</v>
      </c>
      <c r="W79" s="411">
        <f t="shared" ref="W79:W105" si="131">F79+J79+N79+R79+V79</f>
        <v>40000</v>
      </c>
    </row>
    <row r="80" spans="1:23" ht="15.6" outlineLevel="1">
      <c r="A80" s="555" t="str">
        <f>'Program Budget'!D72</f>
        <v>Legal Fees</v>
      </c>
      <c r="B80" s="271" t="str">
        <f>'Program Budget'!F72</f>
        <v>Year</v>
      </c>
      <c r="C80" s="435">
        <f>'Program Budget'!H72</f>
        <v>3000</v>
      </c>
      <c r="D80" s="273">
        <f>'Program Budget'!G72</f>
        <v>1</v>
      </c>
      <c r="E80" s="274">
        <v>1</v>
      </c>
      <c r="F80" s="275">
        <f t="shared" si="122"/>
        <v>3000</v>
      </c>
      <c r="G80" s="435">
        <f t="shared" si="123"/>
        <v>3000</v>
      </c>
      <c r="H80" s="273">
        <f>'Program Budget'!K72</f>
        <v>1</v>
      </c>
      <c r="I80" s="274">
        <v>1</v>
      </c>
      <c r="J80" s="275">
        <f t="shared" si="124"/>
        <v>3000</v>
      </c>
      <c r="K80" s="435">
        <f t="shared" si="125"/>
        <v>3000</v>
      </c>
      <c r="L80" s="273">
        <f>'Program Budget'!N72</f>
        <v>1</v>
      </c>
      <c r="M80" s="274">
        <v>1</v>
      </c>
      <c r="N80" s="275">
        <f t="shared" si="126"/>
        <v>3000</v>
      </c>
      <c r="O80" s="435">
        <f t="shared" si="127"/>
        <v>3000</v>
      </c>
      <c r="P80" s="273">
        <f>'Program Budget'!Q72</f>
        <v>1</v>
      </c>
      <c r="Q80" s="274">
        <v>1</v>
      </c>
      <c r="R80" s="275">
        <f t="shared" si="128"/>
        <v>3000</v>
      </c>
      <c r="S80" s="435">
        <f t="shared" si="129"/>
        <v>3000</v>
      </c>
      <c r="T80" s="273">
        <f>'Program Budget'!T72</f>
        <v>1</v>
      </c>
      <c r="U80" s="274">
        <v>1</v>
      </c>
      <c r="V80" s="275">
        <f t="shared" si="130"/>
        <v>3000</v>
      </c>
      <c r="W80" s="411">
        <f t="shared" si="131"/>
        <v>15000</v>
      </c>
    </row>
    <row r="81" spans="1:23" ht="15.6" outlineLevel="1">
      <c r="A81" s="555" t="str">
        <f>'Program Budget'!D73</f>
        <v>Security Services, Risk Assessments, &amp; Security Assessment</v>
      </c>
      <c r="B81" s="271" t="str">
        <f>'Program Budget'!F73</f>
        <v>Year</v>
      </c>
      <c r="C81" s="435">
        <f>Admin!C74+'Activity 1'!C52+'Activity 2'!C53+'Activity 3'!C51+'Activity 4'!C50</f>
        <v>26500</v>
      </c>
      <c r="D81" s="273">
        <f>'Program Budget'!G73</f>
        <v>1</v>
      </c>
      <c r="E81" s="274">
        <v>1</v>
      </c>
      <c r="F81" s="275">
        <f t="shared" si="122"/>
        <v>26500</v>
      </c>
      <c r="G81" s="435">
        <f t="shared" si="123"/>
        <v>26500</v>
      </c>
      <c r="H81" s="273">
        <f>'Program Budget'!K73</f>
        <v>1</v>
      </c>
      <c r="I81" s="274">
        <v>1</v>
      </c>
      <c r="J81" s="275">
        <f t="shared" si="124"/>
        <v>26500</v>
      </c>
      <c r="K81" s="435">
        <f t="shared" si="125"/>
        <v>26500</v>
      </c>
      <c r="L81" s="273">
        <f>'Program Budget'!N73</f>
        <v>1</v>
      </c>
      <c r="M81" s="274">
        <v>1</v>
      </c>
      <c r="N81" s="275">
        <f t="shared" si="126"/>
        <v>26500</v>
      </c>
      <c r="O81" s="435">
        <f t="shared" si="127"/>
        <v>26500</v>
      </c>
      <c r="P81" s="273">
        <f>'Program Budget'!Q73</f>
        <v>1</v>
      </c>
      <c r="Q81" s="274">
        <v>1</v>
      </c>
      <c r="R81" s="275">
        <f t="shared" si="128"/>
        <v>26500</v>
      </c>
      <c r="S81" s="435">
        <f t="shared" si="129"/>
        <v>26500</v>
      </c>
      <c r="T81" s="273">
        <f>'Program Budget'!T73</f>
        <v>1</v>
      </c>
      <c r="U81" s="274">
        <v>1</v>
      </c>
      <c r="V81" s="275">
        <f t="shared" si="130"/>
        <v>26500</v>
      </c>
      <c r="W81" s="411">
        <f t="shared" si="131"/>
        <v>132500</v>
      </c>
    </row>
    <row r="82" spans="1:23" ht="15.6" outlineLevel="1">
      <c r="A82" s="555" t="str">
        <f>'Program Budget'!D74</f>
        <v>Short-Term Technical Advisors</v>
      </c>
      <c r="B82" s="271" t="str">
        <f>'Program Budget'!F74</f>
        <v>Month</v>
      </c>
      <c r="C82" s="435">
        <f>Admin!C75+'Activity 1'!C53+'Activity 2'!C54+'Activity 3'!C52+'Activity 4'!C51</f>
        <v>2575</v>
      </c>
      <c r="D82" s="273">
        <f>'Program Budget'!G74</f>
        <v>9</v>
      </c>
      <c r="E82" s="274">
        <v>1</v>
      </c>
      <c r="F82" s="275">
        <f t="shared" si="122"/>
        <v>23175</v>
      </c>
      <c r="G82" s="435">
        <f t="shared" si="123"/>
        <v>2575</v>
      </c>
      <c r="H82" s="273">
        <f>'Program Budget'!K74</f>
        <v>12</v>
      </c>
      <c r="I82" s="274">
        <v>1</v>
      </c>
      <c r="J82" s="275">
        <f t="shared" si="124"/>
        <v>30900</v>
      </c>
      <c r="K82" s="435">
        <f t="shared" si="125"/>
        <v>2575</v>
      </c>
      <c r="L82" s="273">
        <f>'Program Budget'!N74</f>
        <v>12</v>
      </c>
      <c r="M82" s="274">
        <v>1</v>
      </c>
      <c r="N82" s="275">
        <f t="shared" si="126"/>
        <v>30900</v>
      </c>
      <c r="O82" s="435">
        <f t="shared" si="127"/>
        <v>2575</v>
      </c>
      <c r="P82" s="273">
        <f>'Program Budget'!Q74</f>
        <v>12</v>
      </c>
      <c r="Q82" s="274">
        <v>1</v>
      </c>
      <c r="R82" s="275">
        <f t="shared" si="128"/>
        <v>30900</v>
      </c>
      <c r="S82" s="435">
        <f t="shared" si="129"/>
        <v>2575</v>
      </c>
      <c r="T82" s="273">
        <f>'Program Budget'!T74</f>
        <v>9</v>
      </c>
      <c r="U82" s="274">
        <v>1</v>
      </c>
      <c r="V82" s="275">
        <f t="shared" si="130"/>
        <v>23175</v>
      </c>
      <c r="W82" s="411">
        <f t="shared" si="131"/>
        <v>139050</v>
      </c>
    </row>
    <row r="83" spans="1:23" ht="15.6" outlineLevel="1">
      <c r="A83" s="555" t="str">
        <f>'Program Budget'!D75</f>
        <v>Start-up Consultant</v>
      </c>
      <c r="B83" s="271" t="str">
        <f>'Program Budget'!F75</f>
        <v>Day</v>
      </c>
      <c r="C83" s="435">
        <f>'Program Budget'!H75</f>
        <v>705</v>
      </c>
      <c r="D83" s="273">
        <f>'Program Budget'!G75</f>
        <v>30</v>
      </c>
      <c r="E83" s="274">
        <v>1</v>
      </c>
      <c r="F83" s="275">
        <f t="shared" ref="F83" si="132">C83*D83*E83</f>
        <v>21150</v>
      </c>
      <c r="G83" s="435">
        <f t="shared" ref="G83" si="133">C83</f>
        <v>705</v>
      </c>
      <c r="H83" s="273">
        <f>'Program Budget'!K75</f>
        <v>0</v>
      </c>
      <c r="I83" s="274">
        <v>1</v>
      </c>
      <c r="J83" s="275">
        <f t="shared" ref="J83" si="134">G83*H83*I83</f>
        <v>0</v>
      </c>
      <c r="K83" s="435">
        <f t="shared" ref="K83" si="135">G83</f>
        <v>705</v>
      </c>
      <c r="L83" s="273">
        <f>'Program Budget'!N75</f>
        <v>0</v>
      </c>
      <c r="M83" s="274">
        <v>1</v>
      </c>
      <c r="N83" s="275">
        <f t="shared" ref="N83" si="136">K83*L83*M83</f>
        <v>0</v>
      </c>
      <c r="O83" s="435">
        <f t="shared" ref="O83" si="137">K83</f>
        <v>705</v>
      </c>
      <c r="P83" s="273">
        <f>'Program Budget'!Q75</f>
        <v>0</v>
      </c>
      <c r="Q83" s="274">
        <v>1</v>
      </c>
      <c r="R83" s="275">
        <f t="shared" ref="R83" si="138">O83*P83*Q83</f>
        <v>0</v>
      </c>
      <c r="S83" s="435">
        <f t="shared" ref="S83" si="139">O83</f>
        <v>705</v>
      </c>
      <c r="T83" s="273">
        <f>'Program Budget'!T75</f>
        <v>0</v>
      </c>
      <c r="U83" s="274">
        <v>1</v>
      </c>
      <c r="V83" s="275">
        <f t="shared" ref="V83" si="140">S83*T83*U83</f>
        <v>0</v>
      </c>
      <c r="W83" s="411">
        <f t="shared" ref="W83:W85" si="141">F83+J83+N83+R83+V83</f>
        <v>21150</v>
      </c>
    </row>
    <row r="84" spans="1:23" ht="15.6" outlineLevel="1">
      <c r="A84" s="555" t="str">
        <f>'Program Budget'!D76</f>
        <v>Technical Advisor of Trade Promotion &amp; Strategic Partnership  &amp; Investment</v>
      </c>
      <c r="B84" s="271" t="str">
        <f>'Program Budget'!F76</f>
        <v>Month</v>
      </c>
      <c r="C84" s="435">
        <f>150000/12</f>
        <v>12500</v>
      </c>
      <c r="D84" s="273">
        <f>'Program Budget'!G76</f>
        <v>12</v>
      </c>
      <c r="E84" s="274">
        <f>Admin!E77+'Activity 1'!E54+'Activity 2'!E55+'Activity 3'!E53+'Activity 4'!E52</f>
        <v>0.3</v>
      </c>
      <c r="F84" s="275">
        <f t="shared" ref="F84" si="142">C84*D84*E84</f>
        <v>45000</v>
      </c>
      <c r="G84" s="435">
        <f t="shared" ref="G84" si="143">C84</f>
        <v>12500</v>
      </c>
      <c r="H84" s="273">
        <v>12</v>
      </c>
      <c r="I84" s="274">
        <f>Admin!I77+'Activity 1'!I54+'Activity 2'!I55+'Activity 3'!I53+'Activity 4'!I52</f>
        <v>0.30000000000000004</v>
      </c>
      <c r="J84" s="275">
        <f t="shared" ref="J84" si="144">G84*H84*I84</f>
        <v>45000.000000000007</v>
      </c>
      <c r="K84" s="435">
        <f t="shared" ref="K84" si="145">G84</f>
        <v>12500</v>
      </c>
      <c r="L84" s="273">
        <v>12</v>
      </c>
      <c r="M84" s="274">
        <f>Admin!M77+'Activity 1'!M54+'Activity 2'!M55+'Activity 3'!M53+'Activity 4'!M52</f>
        <v>0.30000000000000004</v>
      </c>
      <c r="N84" s="275">
        <f t="shared" ref="N84" si="146">K84*L84*M84</f>
        <v>45000.000000000007</v>
      </c>
      <c r="O84" s="435">
        <f t="shared" ref="O84" si="147">K84</f>
        <v>12500</v>
      </c>
      <c r="P84" s="273">
        <v>12</v>
      </c>
      <c r="Q84" s="274">
        <f>Admin!Q77+'Activity 1'!Q54+'Activity 2'!Q55+'Activity 3'!Q53+'Activity 4'!Q52</f>
        <v>0.30000000000000004</v>
      </c>
      <c r="R84" s="275">
        <f t="shared" ref="R84" si="148">O84*P84*Q84</f>
        <v>45000.000000000007</v>
      </c>
      <c r="S84" s="435">
        <f t="shared" ref="S84" si="149">O84</f>
        <v>12500</v>
      </c>
      <c r="T84" s="273">
        <v>9</v>
      </c>
      <c r="U84" s="274">
        <f>Admin!U77+'Activity 1'!U54+'Activity 2'!U55+'Activity 3'!U53+'Activity 4'!U52</f>
        <v>0.30000000000000004</v>
      </c>
      <c r="V84" s="275">
        <f t="shared" ref="V84" si="150">S84*T84*U84</f>
        <v>33750.000000000007</v>
      </c>
      <c r="W84" s="411">
        <f t="shared" si="141"/>
        <v>213750</v>
      </c>
    </row>
    <row r="85" spans="1:23" ht="15.6" outlineLevel="1">
      <c r="A85" s="555" t="str">
        <f>'Program Budget'!D174</f>
        <v>Contract to 6th Grain for GIS Mapping and Remote Sensing Technologies</v>
      </c>
      <c r="B85" s="271" t="str">
        <f>'Program Budget'!F174</f>
        <v>Unit</v>
      </c>
      <c r="C85" s="435">
        <f>'Program Budget'!H174</f>
        <v>300000</v>
      </c>
      <c r="D85" s="273">
        <f>'Program Budget'!G174</f>
        <v>0.5</v>
      </c>
      <c r="E85" s="274">
        <v>1</v>
      </c>
      <c r="F85" s="275">
        <f t="shared" ref="F85" si="151">C85*D85*E85</f>
        <v>150000</v>
      </c>
      <c r="G85" s="435">
        <f t="shared" ref="G85" si="152">C85</f>
        <v>300000</v>
      </c>
      <c r="H85" s="273">
        <f>'Program Budget'!K174</f>
        <v>0.5</v>
      </c>
      <c r="I85" s="274">
        <v>1</v>
      </c>
      <c r="J85" s="275">
        <f t="shared" ref="J85" si="153">G85*H85*I85</f>
        <v>150000</v>
      </c>
      <c r="K85" s="435">
        <f t="shared" ref="K85" si="154">G85</f>
        <v>300000</v>
      </c>
      <c r="L85" s="273">
        <f>'Program Budget'!N174</f>
        <v>0</v>
      </c>
      <c r="M85" s="274">
        <v>1</v>
      </c>
      <c r="N85" s="275">
        <f t="shared" ref="N85" si="155">K85*L85*M85</f>
        <v>0</v>
      </c>
      <c r="O85" s="435">
        <f t="shared" ref="O85" si="156">K85</f>
        <v>300000</v>
      </c>
      <c r="P85" s="273">
        <f>'Program Budget'!Q174</f>
        <v>0</v>
      </c>
      <c r="Q85" s="274">
        <v>1</v>
      </c>
      <c r="R85" s="275">
        <f t="shared" ref="R85" si="157">O85*P85*Q85</f>
        <v>0</v>
      </c>
      <c r="S85" s="435">
        <f t="shared" ref="S85" si="158">O85</f>
        <v>300000</v>
      </c>
      <c r="T85" s="273">
        <f>'Program Budget'!T174</f>
        <v>0</v>
      </c>
      <c r="U85" s="274">
        <v>1</v>
      </c>
      <c r="V85" s="275">
        <f t="shared" ref="V85" si="159">S85*T85*U85</f>
        <v>0</v>
      </c>
      <c r="W85" s="411">
        <f t="shared" si="141"/>
        <v>300000</v>
      </c>
    </row>
    <row r="86" spans="1:23" ht="15.6" outlineLevel="1">
      <c r="A86" s="555" t="str">
        <f>'Program Budget'!D175</f>
        <v>Expert Technical Irrigation Hydrology Engineers - one for large scale infrastructure and one for on-farm irrigation</v>
      </c>
      <c r="B86" s="271" t="str">
        <f>'Program Budget'!F175</f>
        <v>Month</v>
      </c>
      <c r="C86" s="435">
        <f>'Program Budget'!H175</f>
        <v>6000</v>
      </c>
      <c r="D86" s="273">
        <f>'Program Budget'!G175</f>
        <v>6</v>
      </c>
      <c r="E86" s="274">
        <v>1</v>
      </c>
      <c r="F86" s="275">
        <f t="shared" ref="F86" si="160">C86*D86*E86</f>
        <v>36000</v>
      </c>
      <c r="G86" s="435">
        <f t="shared" ref="G86" si="161">C86</f>
        <v>6000</v>
      </c>
      <c r="H86" s="273">
        <f>'Program Budget'!K175</f>
        <v>0</v>
      </c>
      <c r="I86" s="274">
        <v>1</v>
      </c>
      <c r="J86" s="275">
        <f t="shared" ref="J86" si="162">G86*H86*I86</f>
        <v>0</v>
      </c>
      <c r="K86" s="435">
        <f t="shared" ref="K86" si="163">G86</f>
        <v>6000</v>
      </c>
      <c r="L86" s="273">
        <f>'Program Budget'!N175</f>
        <v>0</v>
      </c>
      <c r="M86" s="274">
        <v>1</v>
      </c>
      <c r="N86" s="275">
        <f t="shared" ref="N86" si="164">K86*L86*M86</f>
        <v>0</v>
      </c>
      <c r="O86" s="435">
        <f t="shared" ref="O86" si="165">K86</f>
        <v>6000</v>
      </c>
      <c r="P86" s="273">
        <f>'Program Budget'!Q175</f>
        <v>0</v>
      </c>
      <c r="Q86" s="274">
        <v>1</v>
      </c>
      <c r="R86" s="275">
        <f t="shared" ref="R86" si="166">O86*P86*Q86</f>
        <v>0</v>
      </c>
      <c r="S86" s="435">
        <f t="shared" ref="S86" si="167">O86</f>
        <v>6000</v>
      </c>
      <c r="T86" s="273">
        <f>'Program Budget'!T175</f>
        <v>0</v>
      </c>
      <c r="U86" s="274">
        <v>1</v>
      </c>
      <c r="V86" s="275">
        <f t="shared" ref="V86" si="168">S86*T86*U86</f>
        <v>0</v>
      </c>
      <c r="W86" s="411">
        <f t="shared" ref="W86" si="169">F86+J86+N86+R86+V86</f>
        <v>36000</v>
      </c>
    </row>
    <row r="87" spans="1:23" ht="15.6" outlineLevel="1">
      <c r="A87" s="555" t="str">
        <f>'Program Budget'!D234</f>
        <v>Consultant to Design Materials for Outreach and Awareness Campaign including Translation</v>
      </c>
      <c r="B87" s="271" t="str">
        <f>'Program Budget'!F234</f>
        <v>Unit</v>
      </c>
      <c r="C87" s="435">
        <f>'Program Budget'!H234</f>
        <v>30000</v>
      </c>
      <c r="D87" s="273">
        <f>'Program Budget'!G234</f>
        <v>1</v>
      </c>
      <c r="E87" s="274">
        <v>1</v>
      </c>
      <c r="F87" s="275">
        <f t="shared" ref="F87" si="170">C87*D87*E87</f>
        <v>30000</v>
      </c>
      <c r="G87" s="435">
        <f t="shared" ref="G87" si="171">C87</f>
        <v>30000</v>
      </c>
      <c r="H87" s="273">
        <f>'Program Budget'!K234</f>
        <v>0</v>
      </c>
      <c r="I87" s="274">
        <v>1</v>
      </c>
      <c r="J87" s="275">
        <f t="shared" ref="J87" si="172">G87*H87*I87</f>
        <v>0</v>
      </c>
      <c r="K87" s="435">
        <f t="shared" ref="K87" si="173">G87</f>
        <v>30000</v>
      </c>
      <c r="L87" s="273">
        <f>'Program Budget'!N234</f>
        <v>0</v>
      </c>
      <c r="M87" s="274">
        <v>1</v>
      </c>
      <c r="N87" s="275">
        <f t="shared" ref="N87" si="174">K87*L87*M87</f>
        <v>0</v>
      </c>
      <c r="O87" s="435">
        <f t="shared" ref="O87" si="175">K87</f>
        <v>30000</v>
      </c>
      <c r="P87" s="273">
        <f>'Program Budget'!Q234</f>
        <v>0</v>
      </c>
      <c r="Q87" s="274">
        <v>1</v>
      </c>
      <c r="R87" s="275">
        <f t="shared" ref="R87" si="176">O87*P87*Q87</f>
        <v>0</v>
      </c>
      <c r="S87" s="435">
        <f t="shared" ref="S87" si="177">O87</f>
        <v>30000</v>
      </c>
      <c r="T87" s="273">
        <f>'Program Budget'!T234</f>
        <v>0</v>
      </c>
      <c r="U87" s="274">
        <v>1</v>
      </c>
      <c r="V87" s="275">
        <f t="shared" ref="V87" si="178">S87*T87*U87</f>
        <v>0</v>
      </c>
      <c r="W87" s="411">
        <f t="shared" ref="W87" si="179">F87+J87+N87+R87+V87</f>
        <v>30000</v>
      </c>
    </row>
    <row r="88" spans="1:23" ht="15.6" outlineLevel="1">
      <c r="A88" s="555" t="str">
        <f>'Program Budget'!D235</f>
        <v>Contract for Dissemination of Outreach and Awareness Campaigns</v>
      </c>
      <c r="B88" s="271" t="str">
        <f>'Program Budget'!F235</f>
        <v>Year</v>
      </c>
      <c r="C88" s="435">
        <f>'Program Budget'!H235</f>
        <v>60000</v>
      </c>
      <c r="D88" s="273">
        <f>'Program Budget'!G235</f>
        <v>0</v>
      </c>
      <c r="E88" s="274">
        <v>1</v>
      </c>
      <c r="F88" s="275">
        <f t="shared" ref="F88:F90" si="180">C88*D88*E88</f>
        <v>0</v>
      </c>
      <c r="G88" s="435">
        <f t="shared" ref="G88:G90" si="181">C88</f>
        <v>60000</v>
      </c>
      <c r="H88" s="273">
        <f>'Program Budget'!K235</f>
        <v>0</v>
      </c>
      <c r="I88" s="274">
        <v>1</v>
      </c>
      <c r="J88" s="275">
        <f t="shared" ref="J88:J89" si="182">G88*H88*I88</f>
        <v>0</v>
      </c>
      <c r="K88" s="435">
        <f t="shared" ref="K88:K90" si="183">G88</f>
        <v>60000</v>
      </c>
      <c r="L88" s="273">
        <f>'Program Budget'!N235</f>
        <v>1</v>
      </c>
      <c r="M88" s="274">
        <v>1</v>
      </c>
      <c r="N88" s="275">
        <f t="shared" ref="N88:N90" si="184">K88*L88*M88</f>
        <v>60000</v>
      </c>
      <c r="O88" s="435">
        <f t="shared" ref="O88:O90" si="185">K88</f>
        <v>60000</v>
      </c>
      <c r="P88" s="273">
        <f>'Program Budget'!Q235</f>
        <v>1</v>
      </c>
      <c r="Q88" s="274">
        <v>1</v>
      </c>
      <c r="R88" s="275">
        <f t="shared" ref="R88:R90" si="186">O88*P88*Q88</f>
        <v>60000</v>
      </c>
      <c r="S88" s="435">
        <f t="shared" ref="S88:S90" si="187">O88</f>
        <v>60000</v>
      </c>
      <c r="T88" s="273">
        <f>'Program Budget'!T235</f>
        <v>1</v>
      </c>
      <c r="U88" s="274">
        <v>1</v>
      </c>
      <c r="V88" s="275">
        <f t="shared" ref="V88:V90" si="188">S88*T88*U88</f>
        <v>60000</v>
      </c>
      <c r="W88" s="411">
        <f t="shared" ref="W88:W90" si="189">F88+J88+N88+R88+V88</f>
        <v>180000</v>
      </c>
    </row>
    <row r="89" spans="1:23" ht="15.6" outlineLevel="1">
      <c r="A89" s="555" t="str">
        <f>'Program Budget'!D236</f>
        <v>Contract Nurseries in Mauritania and Senegal</v>
      </c>
      <c r="B89" s="271" t="str">
        <f>'Program Budget'!F236</f>
        <v>Contract</v>
      </c>
      <c r="C89" s="435">
        <f>'Program Budget'!H236</f>
        <v>10000</v>
      </c>
      <c r="D89" s="273">
        <f>'Program Budget'!G236</f>
        <v>5</v>
      </c>
      <c r="E89" s="274">
        <v>1</v>
      </c>
      <c r="F89" s="275">
        <f t="shared" si="180"/>
        <v>50000</v>
      </c>
      <c r="G89" s="435">
        <f t="shared" si="181"/>
        <v>10000</v>
      </c>
      <c r="H89" s="273">
        <f>'Program Budget'!K236</f>
        <v>0</v>
      </c>
      <c r="I89" s="274">
        <v>1</v>
      </c>
      <c r="J89" s="275">
        <f t="shared" si="182"/>
        <v>0</v>
      </c>
      <c r="K89" s="435">
        <f t="shared" si="183"/>
        <v>10000</v>
      </c>
      <c r="L89" s="273">
        <f>'Program Budget'!N236</f>
        <v>0</v>
      </c>
      <c r="M89" s="274">
        <v>1</v>
      </c>
      <c r="N89" s="275">
        <f t="shared" si="184"/>
        <v>0</v>
      </c>
      <c r="O89" s="435">
        <f t="shared" si="185"/>
        <v>10000</v>
      </c>
      <c r="P89" s="273">
        <f>'Program Budget'!Q236</f>
        <v>0</v>
      </c>
      <c r="Q89" s="274">
        <v>1</v>
      </c>
      <c r="R89" s="275">
        <f t="shared" si="186"/>
        <v>0</v>
      </c>
      <c r="S89" s="435">
        <f t="shared" si="187"/>
        <v>10000</v>
      </c>
      <c r="T89" s="273">
        <f>'Program Budget'!T236</f>
        <v>0</v>
      </c>
      <c r="U89" s="274">
        <v>1</v>
      </c>
      <c r="V89" s="275">
        <f t="shared" si="188"/>
        <v>0</v>
      </c>
      <c r="W89" s="411">
        <f t="shared" si="189"/>
        <v>50000</v>
      </c>
    </row>
    <row r="90" spans="1:23" ht="15.6" outlineLevel="1">
      <c r="A90" s="555" t="str">
        <f>'Program Budget'!D237</f>
        <v>Consultant to Create Outreach and Sensitization Materials for Social Behavioral Change Activities</v>
      </c>
      <c r="B90" s="271" t="str">
        <f>'Program Budget'!F237</f>
        <v>Month</v>
      </c>
      <c r="C90" s="435">
        <f>'Program Budget'!H237</f>
        <v>3000</v>
      </c>
      <c r="D90" s="273">
        <f>'Program Budget'!G237</f>
        <v>0</v>
      </c>
      <c r="E90" s="274">
        <v>1</v>
      </c>
      <c r="F90" s="275">
        <f t="shared" si="180"/>
        <v>0</v>
      </c>
      <c r="G90" s="435">
        <f t="shared" si="181"/>
        <v>3000</v>
      </c>
      <c r="H90" s="273">
        <f>'Program Budget'!K237</f>
        <v>2</v>
      </c>
      <c r="I90" s="274">
        <v>1</v>
      </c>
      <c r="J90" s="275">
        <f>G90*H90*I90</f>
        <v>6000</v>
      </c>
      <c r="K90" s="435">
        <f t="shared" si="183"/>
        <v>3000</v>
      </c>
      <c r="L90" s="273">
        <f>'Program Budget'!N237</f>
        <v>2</v>
      </c>
      <c r="M90" s="274">
        <v>1</v>
      </c>
      <c r="N90" s="275">
        <f t="shared" si="184"/>
        <v>6000</v>
      </c>
      <c r="O90" s="435">
        <f t="shared" si="185"/>
        <v>3000</v>
      </c>
      <c r="P90" s="273">
        <f>'Program Budget'!Q237</f>
        <v>2</v>
      </c>
      <c r="Q90" s="274">
        <v>1</v>
      </c>
      <c r="R90" s="275">
        <f t="shared" si="186"/>
        <v>6000</v>
      </c>
      <c r="S90" s="435">
        <f t="shared" si="187"/>
        <v>3000</v>
      </c>
      <c r="T90" s="273">
        <f>'Program Budget'!T237</f>
        <v>0</v>
      </c>
      <c r="U90" s="274">
        <v>1</v>
      </c>
      <c r="V90" s="275">
        <f t="shared" si="188"/>
        <v>0</v>
      </c>
      <c r="W90" s="411">
        <f t="shared" si="189"/>
        <v>18000</v>
      </c>
    </row>
    <row r="91" spans="1:23" ht="15.6" outlineLevel="1">
      <c r="A91" s="555" t="str">
        <f>'Program Budget'!D292</f>
        <v>Develop Modules for PASP Certification Program</v>
      </c>
      <c r="B91" s="271" t="str">
        <f>'Program Budget'!F292</f>
        <v>Contract</v>
      </c>
      <c r="C91" s="435">
        <f>'Program Budget'!H292</f>
        <v>20000</v>
      </c>
      <c r="D91" s="273">
        <f>'Program Budget'!G292</f>
        <v>1</v>
      </c>
      <c r="E91" s="274">
        <v>1</v>
      </c>
      <c r="F91" s="275">
        <f t="shared" ref="F91" si="190">C91*D91*E91</f>
        <v>20000</v>
      </c>
      <c r="G91" s="435">
        <f t="shared" ref="G91" si="191">C91</f>
        <v>20000</v>
      </c>
      <c r="H91" s="273">
        <f>'Program Budget'!K292</f>
        <v>0</v>
      </c>
      <c r="I91" s="274">
        <v>1</v>
      </c>
      <c r="J91" s="275">
        <f t="shared" ref="J91" si="192">G91*H91*I91</f>
        <v>0</v>
      </c>
      <c r="K91" s="435">
        <f t="shared" ref="K91" si="193">G91</f>
        <v>20000</v>
      </c>
      <c r="L91" s="273">
        <f>'Program Budget'!N292</f>
        <v>0</v>
      </c>
      <c r="M91" s="274">
        <v>1</v>
      </c>
      <c r="N91" s="275">
        <f t="shared" ref="N91" si="194">K91*L91*M91</f>
        <v>0</v>
      </c>
      <c r="O91" s="435">
        <f t="shared" ref="O91" si="195">K91</f>
        <v>20000</v>
      </c>
      <c r="P91" s="273">
        <f>'Program Budget'!Q292</f>
        <v>0</v>
      </c>
      <c r="Q91" s="274">
        <v>1</v>
      </c>
      <c r="R91" s="275">
        <f t="shared" ref="R91" si="196">O91*P91*Q91</f>
        <v>0</v>
      </c>
      <c r="S91" s="435">
        <f t="shared" ref="S91" si="197">O91</f>
        <v>20000</v>
      </c>
      <c r="T91" s="273">
        <f>'Program Budget'!T292</f>
        <v>0</v>
      </c>
      <c r="U91" s="274">
        <v>1</v>
      </c>
      <c r="V91" s="275">
        <f t="shared" ref="V91" si="198">S91*T91*U91</f>
        <v>0</v>
      </c>
      <c r="W91" s="411">
        <f t="shared" ref="W91" si="199">F91+J91+N91+R91+V91</f>
        <v>20000</v>
      </c>
    </row>
    <row r="92" spans="1:23" ht="15.6" outlineLevel="1">
      <c r="A92" s="555" t="str">
        <f>'Program Budget'!D359</f>
        <v>Cold Chain Feasibility Study</v>
      </c>
      <c r="B92" s="271" t="str">
        <f>'Program Budget'!F359</f>
        <v>Contract</v>
      </c>
      <c r="C92" s="435">
        <f>'Program Budget'!H359</f>
        <v>350000</v>
      </c>
      <c r="D92" s="273">
        <f>'Program Budget'!G359</f>
        <v>0.5</v>
      </c>
      <c r="E92" s="274">
        <v>1</v>
      </c>
      <c r="F92" s="275">
        <f t="shared" ref="F92" si="200">C92*D92*E92</f>
        <v>175000</v>
      </c>
      <c r="G92" s="435">
        <f t="shared" ref="G92" si="201">C92</f>
        <v>350000</v>
      </c>
      <c r="H92" s="273">
        <f>'Program Budget'!K359</f>
        <v>0.5</v>
      </c>
      <c r="I92" s="274">
        <v>1</v>
      </c>
      <c r="J92" s="275">
        <f t="shared" ref="J92" si="202">G92*H92*I92</f>
        <v>175000</v>
      </c>
      <c r="K92" s="435">
        <f t="shared" ref="K92" si="203">G92</f>
        <v>350000</v>
      </c>
      <c r="L92" s="273">
        <f>'Program Budget'!N359</f>
        <v>0</v>
      </c>
      <c r="M92" s="274">
        <v>1</v>
      </c>
      <c r="N92" s="275">
        <f t="shared" ref="N92" si="204">K92*L92*M92</f>
        <v>0</v>
      </c>
      <c r="O92" s="435">
        <f t="shared" ref="O92" si="205">K92</f>
        <v>350000</v>
      </c>
      <c r="P92" s="273">
        <f>'Program Budget'!Q359</f>
        <v>0</v>
      </c>
      <c r="Q92" s="274">
        <v>1</v>
      </c>
      <c r="R92" s="275">
        <f t="shared" ref="R92" si="206">O92*P92*Q92</f>
        <v>0</v>
      </c>
      <c r="S92" s="435">
        <f t="shared" ref="S92" si="207">O92</f>
        <v>350000</v>
      </c>
      <c r="T92" s="273">
        <f>'Program Budget'!T359</f>
        <v>0</v>
      </c>
      <c r="U92" s="274">
        <v>1</v>
      </c>
      <c r="V92" s="275">
        <f t="shared" ref="V92" si="208">S92*T92*U92</f>
        <v>0</v>
      </c>
      <c r="W92" s="411">
        <f t="shared" ref="W92" si="209">F92+J92+N92+R92+V92</f>
        <v>350000</v>
      </c>
    </row>
    <row r="93" spans="1:23" ht="15.6" outlineLevel="1">
      <c r="A93" s="546" t="str">
        <f>'Program Budget'!D77</f>
        <v>Monitoring, Evaluation, and Collection of Reliable Data</v>
      </c>
      <c r="B93" s="271"/>
      <c r="C93" s="435"/>
      <c r="D93" s="273"/>
      <c r="E93" s="274"/>
      <c r="F93" s="275"/>
      <c r="G93" s="435"/>
      <c r="H93" s="273"/>
      <c r="I93" s="274"/>
      <c r="J93" s="275"/>
      <c r="K93" s="435"/>
      <c r="L93" s="273"/>
      <c r="M93" s="274"/>
      <c r="N93" s="275"/>
      <c r="O93" s="435"/>
      <c r="P93" s="273"/>
      <c r="Q93" s="274"/>
      <c r="R93" s="275"/>
      <c r="S93" s="435"/>
      <c r="T93" s="273"/>
      <c r="U93" s="274"/>
      <c r="V93" s="275"/>
      <c r="W93" s="411"/>
    </row>
    <row r="94" spans="1:23" ht="15.6" outlineLevel="1">
      <c r="A94" s="546" t="str">
        <f>'Program Budget'!D78</f>
        <v>Evaluations</v>
      </c>
      <c r="B94" s="271"/>
      <c r="C94" s="435"/>
      <c r="D94" s="273"/>
      <c r="E94" s="274"/>
      <c r="F94" s="275"/>
      <c r="G94" s="435"/>
      <c r="H94" s="273"/>
      <c r="I94" s="274"/>
      <c r="J94" s="275"/>
      <c r="K94" s="435"/>
      <c r="L94" s="273"/>
      <c r="M94" s="274"/>
      <c r="N94" s="275"/>
      <c r="O94" s="435"/>
      <c r="P94" s="273"/>
      <c r="Q94" s="274"/>
      <c r="R94" s="275"/>
      <c r="S94" s="435"/>
      <c r="T94" s="273"/>
      <c r="U94" s="274"/>
      <c r="V94" s="275"/>
      <c r="W94" s="411"/>
    </row>
    <row r="95" spans="1:23" ht="15.6" outlineLevel="1">
      <c r="A95" s="555" t="str">
        <f>'Program Budget'!D79</f>
        <v>Baseline Evaluation</v>
      </c>
      <c r="B95" s="271" t="str">
        <f>'Program Budget'!F79</f>
        <v>Unit</v>
      </c>
      <c r="C95" s="435">
        <f>'Program Budget'!H79</f>
        <v>150000</v>
      </c>
      <c r="D95" s="273">
        <f>'Program Budget'!G79</f>
        <v>1</v>
      </c>
      <c r="E95" s="274">
        <v>1</v>
      </c>
      <c r="F95" s="275">
        <f t="shared" si="122"/>
        <v>150000</v>
      </c>
      <c r="G95" s="435">
        <f t="shared" si="123"/>
        <v>150000</v>
      </c>
      <c r="H95" s="273">
        <f>'Program Budget'!K79</f>
        <v>0</v>
      </c>
      <c r="I95" s="274">
        <v>1</v>
      </c>
      <c r="J95" s="275">
        <f t="shared" si="124"/>
        <v>0</v>
      </c>
      <c r="K95" s="435">
        <f t="shared" si="125"/>
        <v>150000</v>
      </c>
      <c r="L95" s="273">
        <f>'Program Budget'!N79</f>
        <v>0</v>
      </c>
      <c r="M95" s="274">
        <v>1</v>
      </c>
      <c r="N95" s="275">
        <f t="shared" si="126"/>
        <v>0</v>
      </c>
      <c r="O95" s="435">
        <f t="shared" si="127"/>
        <v>150000</v>
      </c>
      <c r="P95" s="273">
        <f>'Program Budget'!Q79</f>
        <v>0</v>
      </c>
      <c r="Q95" s="274">
        <v>1</v>
      </c>
      <c r="R95" s="275">
        <f t="shared" si="128"/>
        <v>0</v>
      </c>
      <c r="S95" s="435">
        <f t="shared" si="129"/>
        <v>150000</v>
      </c>
      <c r="T95" s="273">
        <f>'Program Budget'!T79</f>
        <v>0</v>
      </c>
      <c r="U95" s="274">
        <v>1</v>
      </c>
      <c r="V95" s="275">
        <f t="shared" si="130"/>
        <v>0</v>
      </c>
      <c r="W95" s="411">
        <f t="shared" si="131"/>
        <v>150000</v>
      </c>
    </row>
    <row r="96" spans="1:23" ht="15.6" outlineLevel="1">
      <c r="A96" s="555" t="str">
        <f>'Program Budget'!D80</f>
        <v>Midterm Evaluation</v>
      </c>
      <c r="B96" s="271" t="str">
        <f>'Program Budget'!F80</f>
        <v>Unit</v>
      </c>
      <c r="C96" s="435">
        <f>'Program Budget'!H80</f>
        <v>160000</v>
      </c>
      <c r="D96" s="273">
        <f>'Program Budget'!G80</f>
        <v>0</v>
      </c>
      <c r="E96" s="274">
        <v>1</v>
      </c>
      <c r="F96" s="275">
        <f t="shared" si="122"/>
        <v>0</v>
      </c>
      <c r="G96" s="435">
        <f t="shared" si="123"/>
        <v>160000</v>
      </c>
      <c r="H96" s="273">
        <f>'Program Budget'!K80</f>
        <v>0</v>
      </c>
      <c r="I96" s="274">
        <v>1</v>
      </c>
      <c r="J96" s="275">
        <f t="shared" si="124"/>
        <v>0</v>
      </c>
      <c r="K96" s="435">
        <f t="shared" si="125"/>
        <v>160000</v>
      </c>
      <c r="L96" s="273">
        <f>'Program Budget'!N80</f>
        <v>1</v>
      </c>
      <c r="M96" s="274">
        <v>1</v>
      </c>
      <c r="N96" s="275">
        <f t="shared" si="126"/>
        <v>160000</v>
      </c>
      <c r="O96" s="435">
        <f t="shared" si="127"/>
        <v>160000</v>
      </c>
      <c r="P96" s="273">
        <f>'Program Budget'!Q80</f>
        <v>0</v>
      </c>
      <c r="Q96" s="274">
        <v>1</v>
      </c>
      <c r="R96" s="275">
        <f t="shared" si="128"/>
        <v>0</v>
      </c>
      <c r="S96" s="435">
        <f t="shared" si="129"/>
        <v>160000</v>
      </c>
      <c r="T96" s="273">
        <f>'Program Budget'!T80</f>
        <v>0</v>
      </c>
      <c r="U96" s="274">
        <v>1</v>
      </c>
      <c r="V96" s="275">
        <f t="shared" si="130"/>
        <v>0</v>
      </c>
      <c r="W96" s="411">
        <f t="shared" si="131"/>
        <v>160000</v>
      </c>
    </row>
    <row r="97" spans="1:23" ht="15.6" outlineLevel="1">
      <c r="A97" s="555" t="str">
        <f>'Program Budget'!D81</f>
        <v>Final Evaluation</v>
      </c>
      <c r="B97" s="271" t="str">
        <f>'Program Budget'!F81</f>
        <v>Unit</v>
      </c>
      <c r="C97" s="435">
        <f>'Program Budget'!H81</f>
        <v>175000</v>
      </c>
      <c r="D97" s="273">
        <f>'Program Budget'!G81</f>
        <v>0</v>
      </c>
      <c r="E97" s="274">
        <v>1</v>
      </c>
      <c r="F97" s="275">
        <f t="shared" si="122"/>
        <v>0</v>
      </c>
      <c r="G97" s="435">
        <f t="shared" si="123"/>
        <v>175000</v>
      </c>
      <c r="H97" s="273">
        <f>'Program Budget'!K81</f>
        <v>0</v>
      </c>
      <c r="I97" s="274">
        <v>1</v>
      </c>
      <c r="J97" s="275">
        <f t="shared" si="124"/>
        <v>0</v>
      </c>
      <c r="K97" s="435">
        <f t="shared" si="125"/>
        <v>175000</v>
      </c>
      <c r="L97" s="273">
        <f>'Program Budget'!N81</f>
        <v>0</v>
      </c>
      <c r="M97" s="274">
        <v>1</v>
      </c>
      <c r="N97" s="275">
        <f t="shared" si="126"/>
        <v>0</v>
      </c>
      <c r="O97" s="435">
        <f t="shared" si="127"/>
        <v>175000</v>
      </c>
      <c r="P97" s="273">
        <f>'Program Budget'!Q81</f>
        <v>0</v>
      </c>
      <c r="Q97" s="274">
        <v>1</v>
      </c>
      <c r="R97" s="275">
        <f t="shared" si="128"/>
        <v>0</v>
      </c>
      <c r="S97" s="435">
        <f t="shared" si="129"/>
        <v>175000</v>
      </c>
      <c r="T97" s="273">
        <f>'Program Budget'!T81</f>
        <v>1</v>
      </c>
      <c r="U97" s="274">
        <v>1</v>
      </c>
      <c r="V97" s="275">
        <f t="shared" si="130"/>
        <v>175000</v>
      </c>
      <c r="W97" s="411">
        <f t="shared" si="131"/>
        <v>175000</v>
      </c>
    </row>
    <row r="98" spans="1:23" ht="15.6" outlineLevel="1">
      <c r="A98" s="555" t="str">
        <f>'Program Budget'!D82</f>
        <v>Impact Evaluation</v>
      </c>
      <c r="B98" s="271" t="str">
        <f>'Program Budget'!F82</f>
        <v>Unit</v>
      </c>
      <c r="C98" s="435">
        <f>'Program Budget'!H82</f>
        <v>200000</v>
      </c>
      <c r="D98" s="273">
        <f>'Program Budget'!G82</f>
        <v>0</v>
      </c>
      <c r="E98" s="274">
        <v>1</v>
      </c>
      <c r="F98" s="275">
        <f t="shared" si="122"/>
        <v>0</v>
      </c>
      <c r="G98" s="435">
        <f t="shared" si="123"/>
        <v>200000</v>
      </c>
      <c r="H98" s="273">
        <f>'Program Budget'!K82</f>
        <v>0</v>
      </c>
      <c r="I98" s="274">
        <v>1</v>
      </c>
      <c r="J98" s="275">
        <f t="shared" si="124"/>
        <v>0</v>
      </c>
      <c r="K98" s="435">
        <f t="shared" si="125"/>
        <v>200000</v>
      </c>
      <c r="L98" s="273">
        <f>'Program Budget'!N82</f>
        <v>0</v>
      </c>
      <c r="M98" s="274">
        <v>1</v>
      </c>
      <c r="N98" s="275">
        <f t="shared" si="126"/>
        <v>0</v>
      </c>
      <c r="O98" s="435">
        <f t="shared" si="127"/>
        <v>200000</v>
      </c>
      <c r="P98" s="273">
        <f>'Program Budget'!Q82</f>
        <v>0</v>
      </c>
      <c r="Q98" s="274">
        <v>1</v>
      </c>
      <c r="R98" s="275">
        <f t="shared" si="128"/>
        <v>0</v>
      </c>
      <c r="S98" s="435">
        <f t="shared" si="129"/>
        <v>200000</v>
      </c>
      <c r="T98" s="273">
        <f>'Program Budget'!T82</f>
        <v>1</v>
      </c>
      <c r="U98" s="274">
        <v>1</v>
      </c>
      <c r="V98" s="275">
        <f t="shared" si="130"/>
        <v>200000</v>
      </c>
      <c r="W98" s="411">
        <f t="shared" si="131"/>
        <v>200000</v>
      </c>
    </row>
    <row r="99" spans="1:23" ht="15.6" outlineLevel="1">
      <c r="A99" s="555" t="str">
        <f>'Program Budget'!D83</f>
        <v>Special Study</v>
      </c>
      <c r="B99" s="271" t="str">
        <f>'Program Budget'!F83</f>
        <v>Unit</v>
      </c>
      <c r="C99" s="435">
        <f>'Program Budget'!H83</f>
        <v>100000</v>
      </c>
      <c r="D99" s="273">
        <f>'Program Budget'!G83</f>
        <v>0</v>
      </c>
      <c r="E99" s="274">
        <v>1</v>
      </c>
      <c r="F99" s="275">
        <f t="shared" si="122"/>
        <v>0</v>
      </c>
      <c r="G99" s="435">
        <f t="shared" si="123"/>
        <v>100000</v>
      </c>
      <c r="H99" s="273">
        <f>'Program Budget'!K83</f>
        <v>1</v>
      </c>
      <c r="I99" s="274">
        <v>1</v>
      </c>
      <c r="J99" s="275">
        <f t="shared" si="124"/>
        <v>100000</v>
      </c>
      <c r="K99" s="435">
        <f t="shared" si="125"/>
        <v>100000</v>
      </c>
      <c r="L99" s="273">
        <f>'Program Budget'!N83</f>
        <v>1</v>
      </c>
      <c r="M99" s="274">
        <v>1</v>
      </c>
      <c r="N99" s="275">
        <f t="shared" si="126"/>
        <v>100000</v>
      </c>
      <c r="O99" s="435">
        <f t="shared" si="127"/>
        <v>100000</v>
      </c>
      <c r="P99" s="273">
        <f>'Program Budget'!Q83</f>
        <v>0</v>
      </c>
      <c r="Q99" s="274">
        <v>1</v>
      </c>
      <c r="R99" s="275">
        <f t="shared" si="128"/>
        <v>0</v>
      </c>
      <c r="S99" s="435">
        <f t="shared" si="129"/>
        <v>100000</v>
      </c>
      <c r="T99" s="273">
        <f>'Program Budget'!T83</f>
        <v>0</v>
      </c>
      <c r="U99" s="274">
        <v>1</v>
      </c>
      <c r="V99" s="275">
        <f t="shared" si="130"/>
        <v>0</v>
      </c>
      <c r="W99" s="411">
        <f t="shared" si="131"/>
        <v>200000</v>
      </c>
    </row>
    <row r="100" spans="1:23" ht="15.6" outlineLevel="1">
      <c r="A100" s="546" t="str">
        <f>'Program Budget'!D84</f>
        <v>Monitoring Guidelines Development</v>
      </c>
      <c r="B100" s="271"/>
      <c r="C100" s="435"/>
      <c r="D100" s="273"/>
      <c r="E100" s="274"/>
      <c r="F100" s="275"/>
      <c r="G100" s="435"/>
      <c r="H100" s="273"/>
      <c r="I100" s="274"/>
      <c r="J100" s="275"/>
      <c r="K100" s="435"/>
      <c r="L100" s="273"/>
      <c r="M100" s="274"/>
      <c r="N100" s="275"/>
      <c r="O100" s="435"/>
      <c r="P100" s="273"/>
      <c r="Q100" s="274"/>
      <c r="R100" s="275"/>
      <c r="S100" s="435"/>
      <c r="T100" s="273"/>
      <c r="U100" s="274"/>
      <c r="V100" s="275"/>
      <c r="W100" s="411"/>
    </row>
    <row r="101" spans="1:23" ht="15.6" outlineLevel="1">
      <c r="A101" s="555" t="str">
        <f>'Program Budget'!D85</f>
        <v>Monitoring Guidelines Creation, Translation &amp; Printing</v>
      </c>
      <c r="B101" s="271" t="str">
        <f>'Program Budget'!F85</f>
        <v>Document</v>
      </c>
      <c r="C101" s="435">
        <f>'Program Budget'!H85</f>
        <v>10000</v>
      </c>
      <c r="D101" s="273">
        <f>'Program Budget'!G85</f>
        <v>1</v>
      </c>
      <c r="E101" s="274">
        <v>1</v>
      </c>
      <c r="F101" s="275">
        <f t="shared" si="122"/>
        <v>10000</v>
      </c>
      <c r="G101" s="435">
        <f t="shared" si="123"/>
        <v>10000</v>
      </c>
      <c r="H101" s="273">
        <f>'Program Budget'!K85</f>
        <v>0</v>
      </c>
      <c r="I101" s="274">
        <v>1</v>
      </c>
      <c r="J101" s="275">
        <f t="shared" si="124"/>
        <v>0</v>
      </c>
      <c r="K101" s="435">
        <f t="shared" si="125"/>
        <v>10000</v>
      </c>
      <c r="L101" s="273">
        <f>'Program Budget'!N85</f>
        <v>0</v>
      </c>
      <c r="M101" s="274">
        <v>1</v>
      </c>
      <c r="N101" s="275">
        <f t="shared" si="126"/>
        <v>0</v>
      </c>
      <c r="O101" s="435">
        <f t="shared" si="127"/>
        <v>10000</v>
      </c>
      <c r="P101" s="273">
        <f>'Program Budget'!Q85</f>
        <v>0</v>
      </c>
      <c r="Q101" s="274">
        <v>1</v>
      </c>
      <c r="R101" s="275">
        <f t="shared" si="128"/>
        <v>0</v>
      </c>
      <c r="S101" s="435">
        <f t="shared" si="129"/>
        <v>10000</v>
      </c>
      <c r="T101" s="273">
        <f>'Program Budget'!T85</f>
        <v>0</v>
      </c>
      <c r="U101" s="274">
        <v>1</v>
      </c>
      <c r="V101" s="275">
        <f t="shared" si="130"/>
        <v>0</v>
      </c>
      <c r="W101" s="411">
        <f t="shared" si="131"/>
        <v>10000</v>
      </c>
    </row>
    <row r="102" spans="1:23" ht="15.6" outlineLevel="1">
      <c r="A102" s="555" t="str">
        <f>'Program Budget'!D86</f>
        <v>Monitoring Guidelines Revision, Translation &amp; Printing</v>
      </c>
      <c r="B102" s="271" t="str">
        <f>'Program Budget'!F86</f>
        <v>Year</v>
      </c>
      <c r="C102" s="435">
        <f>'Program Budget'!H86</f>
        <v>2000</v>
      </c>
      <c r="D102" s="273">
        <f>'Program Budget'!G86</f>
        <v>0</v>
      </c>
      <c r="E102" s="274">
        <v>1</v>
      </c>
      <c r="F102" s="275">
        <f t="shared" si="122"/>
        <v>0</v>
      </c>
      <c r="G102" s="435">
        <f t="shared" si="123"/>
        <v>2000</v>
      </c>
      <c r="H102" s="273">
        <f>'Program Budget'!K86</f>
        <v>1</v>
      </c>
      <c r="I102" s="274">
        <v>1</v>
      </c>
      <c r="J102" s="275">
        <f t="shared" si="124"/>
        <v>2000</v>
      </c>
      <c r="K102" s="435">
        <f t="shared" si="125"/>
        <v>2000</v>
      </c>
      <c r="L102" s="273">
        <f>'Program Budget'!N86</f>
        <v>1</v>
      </c>
      <c r="M102" s="274">
        <v>1</v>
      </c>
      <c r="N102" s="275">
        <f t="shared" si="126"/>
        <v>2000</v>
      </c>
      <c r="O102" s="435">
        <f t="shared" si="127"/>
        <v>2000</v>
      </c>
      <c r="P102" s="273">
        <f>'Program Budget'!Q86</f>
        <v>1</v>
      </c>
      <c r="Q102" s="274">
        <v>1</v>
      </c>
      <c r="R102" s="275">
        <f t="shared" si="128"/>
        <v>2000</v>
      </c>
      <c r="S102" s="435">
        <f t="shared" si="129"/>
        <v>2000</v>
      </c>
      <c r="T102" s="273">
        <f>'Program Budget'!T86</f>
        <v>1</v>
      </c>
      <c r="U102" s="274">
        <v>1</v>
      </c>
      <c r="V102" s="275">
        <f t="shared" si="130"/>
        <v>2000</v>
      </c>
      <c r="W102" s="411">
        <f t="shared" si="131"/>
        <v>8000</v>
      </c>
    </row>
    <row r="103" spans="1:23" ht="15.6" outlineLevel="1">
      <c r="A103" s="555" t="str">
        <f>'Program Budget'!D87</f>
        <v>Monitoring Guidelines Staff Training on Indicators and Data Collection/Analysis</v>
      </c>
      <c r="B103" s="271" t="str">
        <f>'Program Budget'!F87</f>
        <v xml:space="preserve">Workshop </v>
      </c>
      <c r="C103" s="435">
        <f>'Program Budget'!H87</f>
        <v>6000</v>
      </c>
      <c r="D103" s="273">
        <f>'Program Budget'!G87</f>
        <v>1</v>
      </c>
      <c r="E103" s="274">
        <v>1</v>
      </c>
      <c r="F103" s="275">
        <f t="shared" si="122"/>
        <v>6000</v>
      </c>
      <c r="G103" s="435">
        <f t="shared" si="123"/>
        <v>6000</v>
      </c>
      <c r="H103" s="273">
        <f>'Program Budget'!K87</f>
        <v>1</v>
      </c>
      <c r="I103" s="274">
        <v>1</v>
      </c>
      <c r="J103" s="275">
        <f t="shared" si="124"/>
        <v>6000</v>
      </c>
      <c r="K103" s="435">
        <f t="shared" si="125"/>
        <v>6000</v>
      </c>
      <c r="L103" s="273">
        <f>'Program Budget'!N87</f>
        <v>1</v>
      </c>
      <c r="M103" s="274">
        <v>1</v>
      </c>
      <c r="N103" s="275">
        <f t="shared" si="126"/>
        <v>6000</v>
      </c>
      <c r="O103" s="435">
        <f t="shared" si="127"/>
        <v>6000</v>
      </c>
      <c r="P103" s="273">
        <f>'Program Budget'!Q87</f>
        <v>1</v>
      </c>
      <c r="Q103" s="274">
        <v>1</v>
      </c>
      <c r="R103" s="275">
        <f t="shared" si="128"/>
        <v>6000</v>
      </c>
      <c r="S103" s="435">
        <f t="shared" si="129"/>
        <v>6000</v>
      </c>
      <c r="T103" s="273">
        <f>'Program Budget'!T87</f>
        <v>1</v>
      </c>
      <c r="U103" s="274">
        <v>1</v>
      </c>
      <c r="V103" s="275">
        <f t="shared" si="130"/>
        <v>6000</v>
      </c>
      <c r="W103" s="411">
        <f t="shared" si="131"/>
        <v>30000</v>
      </c>
    </row>
    <row r="104" spans="1:23" ht="15.6" outlineLevel="1">
      <c r="A104" s="546" t="str">
        <f>'Program Budget'!D88</f>
        <v>M&amp;E Database</v>
      </c>
      <c r="B104" s="271"/>
      <c r="C104" s="435"/>
      <c r="D104" s="273"/>
      <c r="E104" s="274"/>
      <c r="F104" s="275"/>
      <c r="G104" s="435"/>
      <c r="H104" s="273"/>
      <c r="I104" s="274"/>
      <c r="J104" s="275"/>
      <c r="K104" s="435"/>
      <c r="L104" s="273"/>
      <c r="M104" s="274"/>
      <c r="N104" s="275"/>
      <c r="O104" s="435"/>
      <c r="P104" s="273"/>
      <c r="Q104" s="274"/>
      <c r="R104" s="275"/>
      <c r="S104" s="435"/>
      <c r="T104" s="273"/>
      <c r="U104" s="274"/>
      <c r="V104" s="275"/>
      <c r="W104" s="411"/>
    </row>
    <row r="105" spans="1:23" ht="15.6" outlineLevel="1">
      <c r="A105" s="555" t="str">
        <f>'Program Budget'!D89</f>
        <v>M&amp;E Database Platform Subscription (includes training)</v>
      </c>
      <c r="B105" s="271" t="str">
        <f>'Program Budget'!F89</f>
        <v>Year</v>
      </c>
      <c r="C105" s="435">
        <f>'Program Budget'!H89</f>
        <v>6500</v>
      </c>
      <c r="D105" s="273">
        <f>'Program Budget'!G89</f>
        <v>1</v>
      </c>
      <c r="E105" s="274">
        <v>1</v>
      </c>
      <c r="F105" s="275">
        <f t="shared" si="122"/>
        <v>6500</v>
      </c>
      <c r="G105" s="435">
        <f t="shared" si="123"/>
        <v>6500</v>
      </c>
      <c r="H105" s="273">
        <f>'Program Budget'!K89</f>
        <v>1</v>
      </c>
      <c r="I105" s="274">
        <v>1</v>
      </c>
      <c r="J105" s="275">
        <f t="shared" si="124"/>
        <v>6500</v>
      </c>
      <c r="K105" s="435">
        <f t="shared" si="125"/>
        <v>6500</v>
      </c>
      <c r="L105" s="273">
        <f>'Program Budget'!N89</f>
        <v>1</v>
      </c>
      <c r="M105" s="274">
        <v>1</v>
      </c>
      <c r="N105" s="275">
        <f t="shared" si="126"/>
        <v>6500</v>
      </c>
      <c r="O105" s="435">
        <f t="shared" si="127"/>
        <v>6500</v>
      </c>
      <c r="P105" s="273">
        <f>'Program Budget'!Q89</f>
        <v>1</v>
      </c>
      <c r="Q105" s="274">
        <v>1</v>
      </c>
      <c r="R105" s="275">
        <f t="shared" si="128"/>
        <v>6500</v>
      </c>
      <c r="S105" s="435">
        <f t="shared" si="129"/>
        <v>6500</v>
      </c>
      <c r="T105" s="273">
        <f>'Program Budget'!T89</f>
        <v>1</v>
      </c>
      <c r="U105" s="274">
        <v>1</v>
      </c>
      <c r="V105" s="275">
        <f t="shared" si="130"/>
        <v>6500</v>
      </c>
      <c r="W105" s="411">
        <f t="shared" si="131"/>
        <v>32500</v>
      </c>
    </row>
    <row r="106" spans="1:23" ht="15.6" outlineLevel="1">
      <c r="A106" s="555"/>
      <c r="B106" s="293"/>
      <c r="C106" s="440"/>
      <c r="D106" s="348"/>
      <c r="F106" s="275"/>
      <c r="G106" s="440"/>
      <c r="H106" s="348"/>
      <c r="I106" s="236"/>
      <c r="J106" s="275"/>
      <c r="K106" s="440"/>
      <c r="L106" s="348"/>
      <c r="N106" s="275"/>
      <c r="O106" s="440"/>
      <c r="P106" s="348"/>
      <c r="Q106" s="236"/>
      <c r="R106" s="275"/>
      <c r="S106" s="440"/>
      <c r="T106" s="348"/>
      <c r="U106" s="236"/>
      <c r="V106" s="275"/>
      <c r="W106" s="349"/>
    </row>
    <row r="107" spans="1:23" ht="18.3" outlineLevel="1">
      <c r="A107" s="554" t="s">
        <v>94</v>
      </c>
      <c r="B107" s="304"/>
      <c r="C107" s="438"/>
      <c r="D107" s="339"/>
      <c r="E107" s="340"/>
      <c r="F107" s="308">
        <f>SUM(F76:F106)</f>
        <v>900325</v>
      </c>
      <c r="G107" s="438"/>
      <c r="H107" s="339"/>
      <c r="I107" s="309"/>
      <c r="J107" s="308">
        <f>SUM(J76:J106)</f>
        <v>746900</v>
      </c>
      <c r="K107" s="438"/>
      <c r="L107" s="339"/>
      <c r="M107" s="340"/>
      <c r="N107" s="308">
        <f>SUM(N76:N106)</f>
        <v>453900</v>
      </c>
      <c r="O107" s="438"/>
      <c r="P107" s="339"/>
      <c r="Q107" s="309"/>
      <c r="R107" s="308">
        <f>SUM(R76:R106)</f>
        <v>193900</v>
      </c>
      <c r="S107" s="438"/>
      <c r="T107" s="339"/>
      <c r="U107" s="309"/>
      <c r="V107" s="308">
        <f>SUM(V76:V106)</f>
        <v>543925</v>
      </c>
      <c r="W107" s="308">
        <f>SUM(W76:W106)</f>
        <v>2838950</v>
      </c>
    </row>
    <row r="108" spans="1:23" ht="15.6" outlineLevel="1">
      <c r="A108" s="546" t="s">
        <v>95</v>
      </c>
      <c r="B108" s="350"/>
      <c r="D108" s="342"/>
      <c r="F108" s="275"/>
      <c r="H108" s="342"/>
      <c r="J108" s="277"/>
      <c r="L108" s="342"/>
      <c r="N108" s="277"/>
      <c r="P108" s="342"/>
      <c r="R108" s="277"/>
      <c r="T108" s="342"/>
      <c r="V108" s="277"/>
      <c r="W108" s="277"/>
    </row>
    <row r="109" spans="1:23" ht="15.6" outlineLevel="1">
      <c r="A109" s="555" t="str">
        <f>'Program Budget'!D95</f>
        <v>Vehicles for Field Office</v>
      </c>
      <c r="B109" s="271" t="str">
        <f>'Program Budget'!F95</f>
        <v>Unit</v>
      </c>
      <c r="C109" s="449">
        <f>'Program Budget'!H95</f>
        <v>65000</v>
      </c>
      <c r="D109" s="450">
        <f>'Program Budget'!G95</f>
        <v>2</v>
      </c>
      <c r="E109" s="274">
        <v>1</v>
      </c>
      <c r="F109" s="275">
        <f t="shared" ref="F109" si="210">C109*D109*E109</f>
        <v>130000</v>
      </c>
      <c r="G109" s="435">
        <f t="shared" ref="G109" si="211">C109</f>
        <v>65000</v>
      </c>
      <c r="H109" s="273">
        <f>'Program Budget'!K95</f>
        <v>0</v>
      </c>
      <c r="I109" s="274">
        <v>1</v>
      </c>
      <c r="J109" s="275">
        <f t="shared" ref="J109" si="212">G109*H109*I109</f>
        <v>0</v>
      </c>
      <c r="K109" s="435">
        <f t="shared" ref="K109" si="213">G109</f>
        <v>65000</v>
      </c>
      <c r="L109" s="273">
        <f>'Program Budget'!N95</f>
        <v>0</v>
      </c>
      <c r="M109" s="274">
        <v>1</v>
      </c>
      <c r="N109" s="275">
        <f t="shared" ref="N109" si="214">K109*L109*M109</f>
        <v>0</v>
      </c>
      <c r="O109" s="435">
        <f t="shared" ref="O109" si="215">K109</f>
        <v>65000</v>
      </c>
      <c r="P109" s="273">
        <f>'Program Budget'!Q95</f>
        <v>0</v>
      </c>
      <c r="Q109" s="274">
        <v>1</v>
      </c>
      <c r="R109" s="275">
        <f t="shared" ref="R109" si="216">O109*P109*Q109</f>
        <v>0</v>
      </c>
      <c r="S109" s="435">
        <f t="shared" ref="S109" si="217">O109</f>
        <v>65000</v>
      </c>
      <c r="T109" s="273">
        <f>'Program Budget'!T95</f>
        <v>0</v>
      </c>
      <c r="U109" s="274">
        <v>1</v>
      </c>
      <c r="V109" s="275">
        <f t="shared" ref="V109" si="218">S109*T109*U109</f>
        <v>0</v>
      </c>
      <c r="W109" s="411">
        <f t="shared" ref="W109" si="219">F109+J109+N109+R109+V109</f>
        <v>130000</v>
      </c>
    </row>
    <row r="110" spans="1:23" ht="15.6" outlineLevel="1">
      <c r="A110" s="555" t="str">
        <f>'Program Budget'!D366</f>
        <v>Post Harvest Processing Equipment and Infrastructure</v>
      </c>
      <c r="B110" s="271" t="str">
        <f>'Program Budget'!F366</f>
        <v>Unit</v>
      </c>
      <c r="C110" s="449">
        <f>'Program Budget'!H366</f>
        <v>150000</v>
      </c>
      <c r="D110" s="450">
        <f>'Program Budget'!G366</f>
        <v>0</v>
      </c>
      <c r="E110" s="274">
        <v>1</v>
      </c>
      <c r="F110" s="275">
        <f t="shared" ref="F110" si="220">C110*D110*E110</f>
        <v>0</v>
      </c>
      <c r="G110" s="435">
        <f t="shared" ref="G110" si="221">C110</f>
        <v>150000</v>
      </c>
      <c r="H110" s="273">
        <f>'Program Budget'!K366</f>
        <v>0</v>
      </c>
      <c r="I110" s="274">
        <v>1</v>
      </c>
      <c r="J110" s="275">
        <f t="shared" ref="J110" si="222">G110*H110*I110</f>
        <v>0</v>
      </c>
      <c r="K110" s="435">
        <f t="shared" ref="K110" si="223">G110</f>
        <v>150000</v>
      </c>
      <c r="L110" s="273">
        <f>'Program Budget'!N366</f>
        <v>1</v>
      </c>
      <c r="M110" s="274">
        <v>1</v>
      </c>
      <c r="N110" s="275">
        <f t="shared" ref="N110" si="224">K110*L110*M110</f>
        <v>150000</v>
      </c>
      <c r="O110" s="435">
        <f t="shared" ref="O110" si="225">K110</f>
        <v>150000</v>
      </c>
      <c r="P110" s="273">
        <f>'Program Budget'!Q366</f>
        <v>0</v>
      </c>
      <c r="Q110" s="274">
        <v>1</v>
      </c>
      <c r="R110" s="275">
        <f t="shared" ref="R110" si="226">O110*P110*Q110</f>
        <v>0</v>
      </c>
      <c r="S110" s="435">
        <f t="shared" ref="S110" si="227">O110</f>
        <v>150000</v>
      </c>
      <c r="T110" s="273">
        <f>'Program Budget'!T366</f>
        <v>0</v>
      </c>
      <c r="U110" s="274">
        <v>1</v>
      </c>
      <c r="V110" s="275">
        <f t="shared" ref="V110" si="228">S110*T110*U110</f>
        <v>0</v>
      </c>
      <c r="W110" s="411">
        <f t="shared" ref="W110" si="229">F110+J110+N110+R110+V110</f>
        <v>150000</v>
      </c>
    </row>
    <row r="111" spans="1:23" ht="15.6" outlineLevel="1">
      <c r="A111" s="555" t="str">
        <f>'Program Budget'!D367</f>
        <v>Co-invest in Small-Scale Processing Infrastructure for Cooperatives</v>
      </c>
      <c r="B111" s="271" t="str">
        <f>'Program Budget'!F367</f>
        <v>Cooperative</v>
      </c>
      <c r="C111" s="449">
        <f>'Program Budget'!H367</f>
        <v>10000</v>
      </c>
      <c r="D111" s="450">
        <f>'Program Budget'!G367</f>
        <v>0</v>
      </c>
      <c r="E111" s="274">
        <v>1</v>
      </c>
      <c r="F111" s="275">
        <f t="shared" ref="F111:F113" si="230">C111*D111*E111</f>
        <v>0</v>
      </c>
      <c r="G111" s="435">
        <f t="shared" ref="G111:G113" si="231">C111</f>
        <v>10000</v>
      </c>
      <c r="H111" s="273">
        <f>'Program Budget'!K367</f>
        <v>5</v>
      </c>
      <c r="I111" s="274">
        <v>1</v>
      </c>
      <c r="J111" s="275">
        <f t="shared" ref="J111:J113" si="232">G111*H111*I111</f>
        <v>50000</v>
      </c>
      <c r="K111" s="435">
        <f t="shared" ref="K111:K113" si="233">G111</f>
        <v>10000</v>
      </c>
      <c r="L111" s="273">
        <f>'Program Budget'!N367</f>
        <v>5</v>
      </c>
      <c r="M111" s="274">
        <v>1</v>
      </c>
      <c r="N111" s="275">
        <f t="shared" ref="N111:N113" si="234">K111*L111*M111</f>
        <v>50000</v>
      </c>
      <c r="O111" s="435">
        <f t="shared" ref="O111:O113" si="235">K111</f>
        <v>10000</v>
      </c>
      <c r="P111" s="273">
        <f>'Program Budget'!Q367</f>
        <v>0</v>
      </c>
      <c r="Q111" s="274">
        <v>1</v>
      </c>
      <c r="R111" s="275">
        <f t="shared" ref="R111:R113" si="236">O111*P111*Q111</f>
        <v>0</v>
      </c>
      <c r="S111" s="435">
        <f t="shared" ref="S111:S113" si="237">O111</f>
        <v>10000</v>
      </c>
      <c r="T111" s="273">
        <f>'Program Budget'!T367</f>
        <v>0</v>
      </c>
      <c r="U111" s="274">
        <v>1</v>
      </c>
      <c r="V111" s="275">
        <f t="shared" ref="V111:V113" si="238">S111*T111*U111</f>
        <v>0</v>
      </c>
      <c r="W111" s="411">
        <f t="shared" ref="W111:W113" si="239">F111+J111+N111+R111+V111</f>
        <v>100000</v>
      </c>
    </row>
    <row r="112" spans="1:23" ht="15.6" outlineLevel="1">
      <c r="A112" s="555" t="str">
        <f>'Program Budget'!D368</f>
        <v>Large Scale Cold and Dry Storage Equipment and Infrastructure</v>
      </c>
      <c r="B112" s="271" t="str">
        <f>'Program Budget'!F368</f>
        <v>Unit</v>
      </c>
      <c r="C112" s="449">
        <f>'Program Budget'!H368</f>
        <v>226150</v>
      </c>
      <c r="D112" s="450">
        <f>'Program Budget'!G368</f>
        <v>0</v>
      </c>
      <c r="E112" s="274">
        <v>1</v>
      </c>
      <c r="F112" s="275">
        <f t="shared" si="230"/>
        <v>0</v>
      </c>
      <c r="G112" s="435">
        <f t="shared" si="231"/>
        <v>226150</v>
      </c>
      <c r="H112" s="273">
        <f>'Program Budget'!K368</f>
        <v>1</v>
      </c>
      <c r="I112" s="274">
        <v>1</v>
      </c>
      <c r="J112" s="275">
        <f t="shared" si="232"/>
        <v>226150</v>
      </c>
      <c r="K112" s="435">
        <f t="shared" si="233"/>
        <v>226150</v>
      </c>
      <c r="L112" s="273">
        <f>'Program Budget'!N368</f>
        <v>0</v>
      </c>
      <c r="M112" s="274">
        <v>1</v>
      </c>
      <c r="N112" s="275">
        <f t="shared" si="234"/>
        <v>0</v>
      </c>
      <c r="O112" s="435">
        <f t="shared" si="235"/>
        <v>226150</v>
      </c>
      <c r="P112" s="273">
        <f>'Program Budget'!Q368</f>
        <v>0</v>
      </c>
      <c r="Q112" s="274">
        <v>1</v>
      </c>
      <c r="R112" s="275">
        <f t="shared" si="236"/>
        <v>0</v>
      </c>
      <c r="S112" s="435">
        <f t="shared" si="237"/>
        <v>226150</v>
      </c>
      <c r="T112" s="273">
        <f>'Program Budget'!T368</f>
        <v>0</v>
      </c>
      <c r="U112" s="274">
        <v>1</v>
      </c>
      <c r="V112" s="275">
        <f t="shared" si="238"/>
        <v>0</v>
      </c>
      <c r="W112" s="411">
        <f t="shared" si="239"/>
        <v>226150</v>
      </c>
    </row>
    <row r="113" spans="1:23" ht="15.6" outlineLevel="1">
      <c r="A113" s="555" t="str">
        <f>'Program Budget'!D369</f>
        <v>Transformation Equipment for Waste Reduction</v>
      </c>
      <c r="B113" s="271" t="str">
        <f>'Program Budget'!F369</f>
        <v>Unit</v>
      </c>
      <c r="C113" s="435">
        <f>'Program Budget'!H369</f>
        <v>63500</v>
      </c>
      <c r="D113" s="273">
        <f>'Program Budget'!G369</f>
        <v>0</v>
      </c>
      <c r="E113" s="274">
        <v>1</v>
      </c>
      <c r="F113" s="275">
        <f t="shared" si="230"/>
        <v>0</v>
      </c>
      <c r="G113" s="435">
        <f t="shared" si="231"/>
        <v>63500</v>
      </c>
      <c r="H113" s="273">
        <f>'Program Budget'!K369</f>
        <v>0</v>
      </c>
      <c r="I113" s="274">
        <v>1</v>
      </c>
      <c r="J113" s="275">
        <f t="shared" si="232"/>
        <v>0</v>
      </c>
      <c r="K113" s="435">
        <f t="shared" si="233"/>
        <v>63500</v>
      </c>
      <c r="L113" s="273">
        <f>'Program Budget'!N369</f>
        <v>1</v>
      </c>
      <c r="M113" s="274">
        <v>1</v>
      </c>
      <c r="N113" s="275">
        <f t="shared" si="234"/>
        <v>63500</v>
      </c>
      <c r="O113" s="435">
        <f t="shared" si="235"/>
        <v>63500</v>
      </c>
      <c r="P113" s="273">
        <f>'Program Budget'!Q369</f>
        <v>0</v>
      </c>
      <c r="Q113" s="274">
        <v>1</v>
      </c>
      <c r="R113" s="275">
        <f t="shared" si="236"/>
        <v>0</v>
      </c>
      <c r="S113" s="435">
        <f t="shared" si="237"/>
        <v>63500</v>
      </c>
      <c r="T113" s="273">
        <f>'Program Budget'!T369</f>
        <v>0</v>
      </c>
      <c r="U113" s="274">
        <v>1</v>
      </c>
      <c r="V113" s="275">
        <f t="shared" si="238"/>
        <v>0</v>
      </c>
      <c r="W113" s="411">
        <f t="shared" si="239"/>
        <v>63500</v>
      </c>
    </row>
    <row r="114" spans="1:23" ht="15.6" outlineLevel="1">
      <c r="A114" s="553"/>
      <c r="B114" s="293"/>
      <c r="D114" s="342"/>
      <c r="F114" s="275"/>
      <c r="H114" s="342"/>
      <c r="I114" s="236"/>
      <c r="J114" s="275"/>
      <c r="L114" s="342"/>
      <c r="N114" s="275"/>
      <c r="P114" s="342"/>
      <c r="Q114" s="236"/>
      <c r="R114" s="275"/>
      <c r="T114" s="342"/>
      <c r="U114" s="236"/>
      <c r="V114" s="275"/>
      <c r="W114" s="352"/>
    </row>
    <row r="115" spans="1:23" ht="18.3" outlineLevel="1">
      <c r="A115" s="554" t="s">
        <v>96</v>
      </c>
      <c r="B115" s="304"/>
      <c r="C115" s="438"/>
      <c r="D115" s="339"/>
      <c r="E115" s="340"/>
      <c r="F115" s="308">
        <f>SUM(F109:F114)</f>
        <v>130000</v>
      </c>
      <c r="G115" s="438"/>
      <c r="H115" s="339"/>
      <c r="I115" s="309"/>
      <c r="J115" s="308">
        <f>SUM(J109:J114)</f>
        <v>276150</v>
      </c>
      <c r="K115" s="438"/>
      <c r="L115" s="339"/>
      <c r="M115" s="340"/>
      <c r="N115" s="308">
        <f>SUM(N109:N114)</f>
        <v>263500</v>
      </c>
      <c r="O115" s="438"/>
      <c r="P115" s="339"/>
      <c r="Q115" s="309"/>
      <c r="R115" s="308">
        <f>SUM(R109:R114)</f>
        <v>0</v>
      </c>
      <c r="S115" s="438"/>
      <c r="T115" s="339"/>
      <c r="U115" s="309"/>
      <c r="V115" s="308">
        <f>SUM(V109:V114)</f>
        <v>0</v>
      </c>
      <c r="W115" s="310">
        <f>+F115+J115+N115+R115+V115</f>
        <v>669650</v>
      </c>
    </row>
    <row r="116" spans="1:23" ht="15.6" outlineLevel="1">
      <c r="A116" s="546" t="s">
        <v>32</v>
      </c>
      <c r="B116" s="293"/>
      <c r="D116" s="342"/>
      <c r="F116" s="275"/>
      <c r="H116" s="342"/>
      <c r="I116" s="236"/>
      <c r="J116" s="275"/>
      <c r="L116" s="342"/>
      <c r="N116" s="275"/>
      <c r="P116" s="342"/>
      <c r="Q116" s="236"/>
      <c r="R116" s="275"/>
      <c r="T116" s="342"/>
      <c r="U116" s="236"/>
      <c r="V116" s="275"/>
      <c r="W116" s="277"/>
    </row>
    <row r="117" spans="1:23" ht="15" customHeight="1" outlineLevel="1">
      <c r="A117" s="270" t="str">
        <f>'Program Budget'!D101</f>
        <v>Communications Costs (Internet, Phone, Data) (Nouakchott)</v>
      </c>
      <c r="B117" s="271" t="str">
        <f>'Program Budget'!F101</f>
        <v>Month</v>
      </c>
      <c r="C117" s="435">
        <f>'Program Budget'!H101</f>
        <v>200</v>
      </c>
      <c r="D117" s="273">
        <f>'Program Budget'!G101</f>
        <v>3</v>
      </c>
      <c r="E117" s="274">
        <v>1</v>
      </c>
      <c r="F117" s="275">
        <f>C117*D117*E117</f>
        <v>600</v>
      </c>
      <c r="G117" s="435">
        <f t="shared" ref="G117" si="240">C117*1.04</f>
        <v>208</v>
      </c>
      <c r="H117" s="273">
        <f>'Program Budget'!K101</f>
        <v>12</v>
      </c>
      <c r="I117" s="274">
        <v>1</v>
      </c>
      <c r="J117" s="275">
        <f>G117*H117*I117</f>
        <v>2496</v>
      </c>
      <c r="K117" s="435">
        <f t="shared" ref="K117" si="241">G117*1.04</f>
        <v>216.32</v>
      </c>
      <c r="L117" s="273">
        <f>'Program Budget'!N101</f>
        <v>12</v>
      </c>
      <c r="M117" s="274">
        <v>1</v>
      </c>
      <c r="N117" s="275">
        <f>K117*L117*M117</f>
        <v>2595.84</v>
      </c>
      <c r="O117" s="435">
        <f t="shared" ref="O117" si="242">K117*1.04</f>
        <v>224.97280000000001</v>
      </c>
      <c r="P117" s="273">
        <f>'Program Budget'!Q101</f>
        <v>12</v>
      </c>
      <c r="Q117" s="274">
        <v>1</v>
      </c>
      <c r="R117" s="275">
        <f>O117*P117*Q117</f>
        <v>2699.6736000000001</v>
      </c>
      <c r="S117" s="435">
        <f t="shared" ref="S117" si="243">O117*1.04</f>
        <v>233.97171200000003</v>
      </c>
      <c r="T117" s="273">
        <f>'Program Budget'!T101</f>
        <v>6</v>
      </c>
      <c r="U117" s="274">
        <v>1</v>
      </c>
      <c r="V117" s="275">
        <f>S117*T117*U117</f>
        <v>1403.8302720000002</v>
      </c>
      <c r="W117" s="429">
        <f>F117+J117+N117+R117+V117</f>
        <v>9795.3438720000013</v>
      </c>
    </row>
    <row r="118" spans="1:23" ht="15" customHeight="1" outlineLevel="1">
      <c r="A118" s="270" t="str">
        <f>'Program Budget'!D102</f>
        <v>Office Rent, Utilities &amp; Security (Nouakchott)</v>
      </c>
      <c r="B118" s="271" t="str">
        <f>'Program Budget'!F102</f>
        <v>Month</v>
      </c>
      <c r="C118" s="449">
        <f>'Program Budget'!H102</f>
        <v>3100</v>
      </c>
      <c r="D118" s="450">
        <f>'Program Budget'!G102</f>
        <v>3</v>
      </c>
      <c r="E118" s="274">
        <v>1</v>
      </c>
      <c r="F118" s="451">
        <f t="shared" ref="F118:F126" si="244">C118*D118*E118</f>
        <v>9300</v>
      </c>
      <c r="G118" s="449">
        <f t="shared" ref="G118:G126" si="245">C118*1.04</f>
        <v>3224</v>
      </c>
      <c r="H118" s="450">
        <f>'Program Budget'!K102</f>
        <v>12</v>
      </c>
      <c r="I118" s="274">
        <v>1</v>
      </c>
      <c r="J118" s="451">
        <f t="shared" ref="J118:J126" si="246">G118*H118*I118</f>
        <v>38688</v>
      </c>
      <c r="K118" s="449">
        <f t="shared" ref="K118:K126" si="247">G118*1.04</f>
        <v>3352.96</v>
      </c>
      <c r="L118" s="450">
        <f>'Program Budget'!N102</f>
        <v>12</v>
      </c>
      <c r="M118" s="274">
        <v>1</v>
      </c>
      <c r="N118" s="451">
        <f t="shared" ref="N118:N126" si="248">K118*L118*M118</f>
        <v>40235.520000000004</v>
      </c>
      <c r="O118" s="449">
        <f t="shared" ref="O118:O126" si="249">K118*1.04</f>
        <v>3487.0784000000003</v>
      </c>
      <c r="P118" s="450">
        <f>'Program Budget'!Q102</f>
        <v>12</v>
      </c>
      <c r="Q118" s="274">
        <v>1</v>
      </c>
      <c r="R118" s="451">
        <f t="shared" ref="R118:R126" si="250">O118*P118*Q118</f>
        <v>41844.940800000004</v>
      </c>
      <c r="S118" s="449">
        <f t="shared" ref="S118:S126" si="251">O118*1.04</f>
        <v>3626.5615360000006</v>
      </c>
      <c r="T118" s="450">
        <f>'Program Budget'!T102</f>
        <v>6</v>
      </c>
      <c r="U118" s="274">
        <v>1</v>
      </c>
      <c r="V118" s="451">
        <f t="shared" ref="V118:V126" si="252">S118*T118*U118</f>
        <v>21759.369216000003</v>
      </c>
      <c r="W118" s="429">
        <f t="shared" ref="W118:W126" si="253">F118+J118+N118+R118+V118</f>
        <v>151827.83001599999</v>
      </c>
    </row>
    <row r="119" spans="1:23" ht="15" customHeight="1" outlineLevel="1">
      <c r="A119" s="270" t="str">
        <f>'Program Budget'!D104</f>
        <v>Communications Costs (Internet, Phone, Data) (Rosso)</v>
      </c>
      <c r="B119" s="271" t="str">
        <f>'Program Budget'!F104</f>
        <v>Month</v>
      </c>
      <c r="C119" s="449">
        <f>'Program Budget'!H104</f>
        <v>100</v>
      </c>
      <c r="D119" s="450">
        <f>'Program Budget'!G104</f>
        <v>3</v>
      </c>
      <c r="E119" s="274">
        <v>1</v>
      </c>
      <c r="F119" s="451">
        <f t="shared" si="244"/>
        <v>300</v>
      </c>
      <c r="G119" s="449">
        <f t="shared" si="245"/>
        <v>104</v>
      </c>
      <c r="H119" s="450">
        <f>'Program Budget'!K104</f>
        <v>12</v>
      </c>
      <c r="I119" s="274">
        <v>1</v>
      </c>
      <c r="J119" s="451">
        <f t="shared" si="246"/>
        <v>1248</v>
      </c>
      <c r="K119" s="449">
        <f t="shared" si="247"/>
        <v>108.16</v>
      </c>
      <c r="L119" s="450">
        <f>'Program Budget'!N104</f>
        <v>12</v>
      </c>
      <c r="M119" s="274">
        <v>1</v>
      </c>
      <c r="N119" s="451">
        <f t="shared" si="248"/>
        <v>1297.92</v>
      </c>
      <c r="O119" s="449">
        <f t="shared" si="249"/>
        <v>112.4864</v>
      </c>
      <c r="P119" s="450">
        <f>'Program Budget'!Q104</f>
        <v>12</v>
      </c>
      <c r="Q119" s="274">
        <v>1</v>
      </c>
      <c r="R119" s="451">
        <f t="shared" si="250"/>
        <v>1349.8368</v>
      </c>
      <c r="S119" s="449">
        <f t="shared" si="251"/>
        <v>116.98585600000001</v>
      </c>
      <c r="T119" s="450">
        <f>'Program Budget'!T104</f>
        <v>6</v>
      </c>
      <c r="U119" s="274">
        <v>1</v>
      </c>
      <c r="V119" s="451">
        <f t="shared" si="252"/>
        <v>701.91513600000008</v>
      </c>
      <c r="W119" s="429">
        <f t="shared" si="253"/>
        <v>4897.6719360000006</v>
      </c>
    </row>
    <row r="120" spans="1:23" ht="15" customHeight="1" outlineLevel="1">
      <c r="A120" s="270" t="str">
        <f>'Program Budget'!D105</f>
        <v>Office Rent, Utilities &amp; Security (Rosso)</v>
      </c>
      <c r="B120" s="271" t="str">
        <f>'Program Budget'!F105</f>
        <v>Month</v>
      </c>
      <c r="C120" s="449">
        <f>'Program Budget'!H105</f>
        <v>2500</v>
      </c>
      <c r="D120" s="450">
        <f>'Program Budget'!G105</f>
        <v>3</v>
      </c>
      <c r="E120" s="274">
        <v>1</v>
      </c>
      <c r="F120" s="451">
        <f t="shared" si="244"/>
        <v>7500</v>
      </c>
      <c r="G120" s="449">
        <f t="shared" si="245"/>
        <v>2600</v>
      </c>
      <c r="H120" s="450">
        <f>'Program Budget'!K105</f>
        <v>12</v>
      </c>
      <c r="I120" s="274">
        <v>1</v>
      </c>
      <c r="J120" s="451">
        <f t="shared" si="246"/>
        <v>31200</v>
      </c>
      <c r="K120" s="449">
        <f t="shared" si="247"/>
        <v>2704</v>
      </c>
      <c r="L120" s="450">
        <f>'Program Budget'!N105</f>
        <v>12</v>
      </c>
      <c r="M120" s="274">
        <v>1</v>
      </c>
      <c r="N120" s="451">
        <f t="shared" si="248"/>
        <v>32448</v>
      </c>
      <c r="O120" s="449">
        <f t="shared" si="249"/>
        <v>2812.1600000000003</v>
      </c>
      <c r="P120" s="450">
        <f>'Program Budget'!Q105</f>
        <v>12</v>
      </c>
      <c r="Q120" s="274">
        <v>1</v>
      </c>
      <c r="R120" s="451">
        <f t="shared" si="250"/>
        <v>33745.920000000006</v>
      </c>
      <c r="S120" s="449">
        <f t="shared" si="251"/>
        <v>2924.6464000000005</v>
      </c>
      <c r="T120" s="450">
        <f>'Program Budget'!T105</f>
        <v>6</v>
      </c>
      <c r="U120" s="274">
        <v>1</v>
      </c>
      <c r="V120" s="451">
        <f t="shared" si="252"/>
        <v>17547.878400000001</v>
      </c>
      <c r="W120" s="429">
        <f t="shared" si="253"/>
        <v>122441.79840000001</v>
      </c>
    </row>
    <row r="121" spans="1:23" ht="15" customHeight="1" outlineLevel="1">
      <c r="A121" s="270" t="str">
        <f>'Program Budget'!D107</f>
        <v>Banking and Cash Handling Fees</v>
      </c>
      <c r="B121" s="271" t="str">
        <f>'Program Budget'!F107</f>
        <v>Month</v>
      </c>
      <c r="C121" s="435">
        <f>'Program Budget'!H107</f>
        <v>100</v>
      </c>
      <c r="D121" s="273">
        <f>'Program Budget'!G107</f>
        <v>9</v>
      </c>
      <c r="E121" s="274">
        <v>1</v>
      </c>
      <c r="F121" s="275">
        <f t="shared" si="244"/>
        <v>900</v>
      </c>
      <c r="G121" s="435">
        <f t="shared" si="245"/>
        <v>104</v>
      </c>
      <c r="H121" s="273">
        <f>'Program Budget'!K107</f>
        <v>12</v>
      </c>
      <c r="I121" s="274">
        <v>1</v>
      </c>
      <c r="J121" s="275">
        <f t="shared" si="246"/>
        <v>1248</v>
      </c>
      <c r="K121" s="435">
        <f t="shared" si="247"/>
        <v>108.16</v>
      </c>
      <c r="L121" s="273">
        <f>'Program Budget'!N107</f>
        <v>12</v>
      </c>
      <c r="M121" s="274">
        <v>1</v>
      </c>
      <c r="N121" s="275">
        <f t="shared" si="248"/>
        <v>1297.92</v>
      </c>
      <c r="O121" s="435">
        <f t="shared" si="249"/>
        <v>112.4864</v>
      </c>
      <c r="P121" s="273">
        <f>'Program Budget'!Q107</f>
        <v>12</v>
      </c>
      <c r="Q121" s="274">
        <v>1</v>
      </c>
      <c r="R121" s="275">
        <f t="shared" si="250"/>
        <v>1349.8368</v>
      </c>
      <c r="S121" s="435">
        <f t="shared" si="251"/>
        <v>116.98585600000001</v>
      </c>
      <c r="T121" s="273">
        <f>'Program Budget'!T107</f>
        <v>6</v>
      </c>
      <c r="U121" s="274">
        <v>1</v>
      </c>
      <c r="V121" s="275">
        <f t="shared" si="252"/>
        <v>701.91513600000008</v>
      </c>
      <c r="W121" s="429">
        <f t="shared" si="253"/>
        <v>5497.6719360000006</v>
      </c>
    </row>
    <row r="122" spans="1:23" ht="15" customHeight="1" outlineLevel="1">
      <c r="A122" s="270" t="str">
        <f>'Program Budget'!D108</f>
        <v>Courier fees/services/Postage</v>
      </c>
      <c r="B122" s="271" t="str">
        <f>'Program Budget'!F108</f>
        <v>Month</v>
      </c>
      <c r="C122" s="435">
        <f>'Program Budget'!H108</f>
        <v>35</v>
      </c>
      <c r="D122" s="273">
        <f>'Program Budget'!G108</f>
        <v>9</v>
      </c>
      <c r="E122" s="274">
        <v>1</v>
      </c>
      <c r="F122" s="275">
        <f t="shared" si="244"/>
        <v>315</v>
      </c>
      <c r="G122" s="435">
        <f t="shared" si="245"/>
        <v>36.4</v>
      </c>
      <c r="H122" s="273">
        <f>'Program Budget'!K108</f>
        <v>12</v>
      </c>
      <c r="I122" s="274">
        <v>1</v>
      </c>
      <c r="J122" s="275">
        <f t="shared" si="246"/>
        <v>436.79999999999995</v>
      </c>
      <c r="K122" s="435">
        <f t="shared" si="247"/>
        <v>37.856000000000002</v>
      </c>
      <c r="L122" s="273">
        <f>'Program Budget'!N108</f>
        <v>12</v>
      </c>
      <c r="M122" s="274">
        <v>1</v>
      </c>
      <c r="N122" s="275">
        <f t="shared" si="248"/>
        <v>454.27200000000005</v>
      </c>
      <c r="O122" s="435">
        <f t="shared" si="249"/>
        <v>39.370240000000003</v>
      </c>
      <c r="P122" s="273">
        <f>'Program Budget'!Q108</f>
        <v>12</v>
      </c>
      <c r="Q122" s="274">
        <v>1</v>
      </c>
      <c r="R122" s="275">
        <f t="shared" si="250"/>
        <v>472.44288000000006</v>
      </c>
      <c r="S122" s="435">
        <f t="shared" si="251"/>
        <v>40.945049600000004</v>
      </c>
      <c r="T122" s="273">
        <f>'Program Budget'!T108</f>
        <v>6</v>
      </c>
      <c r="U122" s="274">
        <v>1</v>
      </c>
      <c r="V122" s="275">
        <f t="shared" si="252"/>
        <v>245.67029760000003</v>
      </c>
      <c r="W122" s="429">
        <f t="shared" si="253"/>
        <v>1924.1851776000003</v>
      </c>
    </row>
    <row r="123" spans="1:23" outlineLevel="1">
      <c r="A123" s="270" t="str">
        <f>'Program Budget'!D109</f>
        <v xml:space="preserve">Recruitment/Procurement Advertising </v>
      </c>
      <c r="B123" s="271" t="str">
        <f>'Program Budget'!F109</f>
        <v>Year</v>
      </c>
      <c r="C123" s="435">
        <f>'Program Budget'!H109</f>
        <v>500</v>
      </c>
      <c r="D123" s="273">
        <f>'Program Budget'!G109</f>
        <v>1</v>
      </c>
      <c r="E123" s="274">
        <v>1</v>
      </c>
      <c r="F123" s="275">
        <f t="shared" si="244"/>
        <v>500</v>
      </c>
      <c r="G123" s="435">
        <f t="shared" si="245"/>
        <v>520</v>
      </c>
      <c r="H123" s="273">
        <f>'Program Budget'!K109</f>
        <v>1</v>
      </c>
      <c r="I123" s="274">
        <v>1</v>
      </c>
      <c r="J123" s="275">
        <f t="shared" si="246"/>
        <v>520</v>
      </c>
      <c r="K123" s="435">
        <f t="shared" si="247"/>
        <v>540.80000000000007</v>
      </c>
      <c r="L123" s="273">
        <f>'Program Budget'!N109</f>
        <v>1</v>
      </c>
      <c r="M123" s="274">
        <v>1</v>
      </c>
      <c r="N123" s="275">
        <f t="shared" si="248"/>
        <v>540.80000000000007</v>
      </c>
      <c r="O123" s="435">
        <f t="shared" si="249"/>
        <v>562.43200000000013</v>
      </c>
      <c r="P123" s="273">
        <f>'Program Budget'!Q109</f>
        <v>1</v>
      </c>
      <c r="Q123" s="274">
        <v>1</v>
      </c>
      <c r="R123" s="275">
        <f t="shared" si="250"/>
        <v>562.43200000000013</v>
      </c>
      <c r="S123" s="435">
        <f t="shared" si="251"/>
        <v>584.92928000000018</v>
      </c>
      <c r="T123" s="273">
        <f>'Program Budget'!T109</f>
        <v>1</v>
      </c>
      <c r="U123" s="274">
        <v>1</v>
      </c>
      <c r="V123" s="275">
        <f t="shared" si="252"/>
        <v>584.92928000000018</v>
      </c>
      <c r="W123" s="429">
        <f t="shared" si="253"/>
        <v>2708.1612800000007</v>
      </c>
    </row>
    <row r="124" spans="1:23" outlineLevel="1">
      <c r="A124" s="270" t="str">
        <f>'Program Budget'!D110</f>
        <v>Meeting Expenses</v>
      </c>
      <c r="B124" s="271" t="str">
        <f>'Program Budget'!F110</f>
        <v>Month</v>
      </c>
      <c r="C124" s="449">
        <f>'Program Budget'!H110</f>
        <v>250</v>
      </c>
      <c r="D124" s="450">
        <f>'Program Budget'!G110</f>
        <v>9</v>
      </c>
      <c r="E124" s="274">
        <v>1</v>
      </c>
      <c r="F124" s="451">
        <f t="shared" si="244"/>
        <v>2250</v>
      </c>
      <c r="G124" s="449">
        <f t="shared" si="245"/>
        <v>260</v>
      </c>
      <c r="H124" s="450">
        <f>'Program Budget'!K110</f>
        <v>12</v>
      </c>
      <c r="I124" s="274">
        <v>1</v>
      </c>
      <c r="J124" s="451">
        <f t="shared" si="246"/>
        <v>3120</v>
      </c>
      <c r="K124" s="449">
        <f t="shared" si="247"/>
        <v>270.40000000000003</v>
      </c>
      <c r="L124" s="450">
        <f>'Program Budget'!N110</f>
        <v>12</v>
      </c>
      <c r="M124" s="274">
        <v>1</v>
      </c>
      <c r="N124" s="451">
        <f t="shared" si="248"/>
        <v>3244.8</v>
      </c>
      <c r="O124" s="449">
        <f t="shared" si="249"/>
        <v>281.21600000000007</v>
      </c>
      <c r="P124" s="450">
        <f>'Program Budget'!Q110</f>
        <v>12</v>
      </c>
      <c r="Q124" s="274">
        <v>1</v>
      </c>
      <c r="R124" s="451">
        <f t="shared" si="250"/>
        <v>3374.5920000000006</v>
      </c>
      <c r="S124" s="449">
        <f t="shared" si="251"/>
        <v>292.46464000000009</v>
      </c>
      <c r="T124" s="450">
        <f>'Program Budget'!T110</f>
        <v>6</v>
      </c>
      <c r="U124" s="274">
        <v>1</v>
      </c>
      <c r="V124" s="451">
        <f t="shared" si="252"/>
        <v>1754.7878400000004</v>
      </c>
      <c r="W124" s="429">
        <f t="shared" si="253"/>
        <v>13744.179840000001</v>
      </c>
    </row>
    <row r="125" spans="1:23" outlineLevel="1">
      <c r="A125" s="270" t="str">
        <f>'Program Budget'!D111</f>
        <v>Payroll Processing and Local Accounting Books Preparation</v>
      </c>
      <c r="B125" s="271" t="str">
        <f>'Program Budget'!F111</f>
        <v>Month</v>
      </c>
      <c r="C125" s="435">
        <f>'Program Budget'!H111</f>
        <v>325</v>
      </c>
      <c r="D125" s="273">
        <f>'Program Budget'!G111</f>
        <v>9</v>
      </c>
      <c r="E125" s="274">
        <v>1</v>
      </c>
      <c r="F125" s="275">
        <f t="shared" si="244"/>
        <v>2925</v>
      </c>
      <c r="G125" s="435">
        <f t="shared" si="245"/>
        <v>338</v>
      </c>
      <c r="H125" s="273">
        <f>'Program Budget'!K111</f>
        <v>12</v>
      </c>
      <c r="I125" s="274">
        <v>1</v>
      </c>
      <c r="J125" s="275">
        <f t="shared" si="246"/>
        <v>4056</v>
      </c>
      <c r="K125" s="435">
        <f t="shared" si="247"/>
        <v>351.52000000000004</v>
      </c>
      <c r="L125" s="273">
        <f>'Program Budget'!N111</f>
        <v>12</v>
      </c>
      <c r="M125" s="274">
        <v>1</v>
      </c>
      <c r="N125" s="275">
        <f t="shared" si="248"/>
        <v>4218.2400000000007</v>
      </c>
      <c r="O125" s="435">
        <f t="shared" si="249"/>
        <v>365.58080000000007</v>
      </c>
      <c r="P125" s="273">
        <f>'Program Budget'!Q111</f>
        <v>12</v>
      </c>
      <c r="Q125" s="274">
        <v>1</v>
      </c>
      <c r="R125" s="275">
        <f t="shared" si="250"/>
        <v>4386.9696000000004</v>
      </c>
      <c r="S125" s="435">
        <f t="shared" si="251"/>
        <v>380.2040320000001</v>
      </c>
      <c r="T125" s="273">
        <f>'Program Budget'!T111</f>
        <v>9</v>
      </c>
      <c r="U125" s="274">
        <v>1</v>
      </c>
      <c r="V125" s="275">
        <f t="shared" si="252"/>
        <v>3421.8362880000009</v>
      </c>
      <c r="W125" s="429">
        <f t="shared" si="253"/>
        <v>19008.045888000004</v>
      </c>
    </row>
    <row r="126" spans="1:23" ht="28.2" outlineLevel="1">
      <c r="A126" s="270" t="str">
        <f>'Program Budget'!D112</f>
        <v>Licenses &amp; Subscriptions (Microsoft 365, Replicon, PandaDoc, BambooHR)</v>
      </c>
      <c r="B126" s="271" t="str">
        <f>'Program Budget'!F112</f>
        <v>Month</v>
      </c>
      <c r="C126" s="435">
        <f>'Program Budget'!H112</f>
        <v>900</v>
      </c>
      <c r="D126" s="273">
        <f>'Program Budget'!G112</f>
        <v>9</v>
      </c>
      <c r="E126" s="274">
        <v>1</v>
      </c>
      <c r="F126" s="275">
        <f t="shared" si="244"/>
        <v>8100</v>
      </c>
      <c r="G126" s="435">
        <f t="shared" si="245"/>
        <v>936</v>
      </c>
      <c r="H126" s="273">
        <f>'Program Budget'!K112</f>
        <v>12</v>
      </c>
      <c r="I126" s="274">
        <v>1</v>
      </c>
      <c r="J126" s="275">
        <f t="shared" si="246"/>
        <v>11232</v>
      </c>
      <c r="K126" s="435">
        <f t="shared" si="247"/>
        <v>973.44</v>
      </c>
      <c r="L126" s="273">
        <f>'Program Budget'!N112</f>
        <v>12</v>
      </c>
      <c r="M126" s="274">
        <v>1</v>
      </c>
      <c r="N126" s="275">
        <f t="shared" si="248"/>
        <v>11681.28</v>
      </c>
      <c r="O126" s="435">
        <f t="shared" si="249"/>
        <v>1012.3776000000001</v>
      </c>
      <c r="P126" s="273">
        <f>'Program Budget'!Q112</f>
        <v>12</v>
      </c>
      <c r="Q126" s="274">
        <v>1</v>
      </c>
      <c r="R126" s="275">
        <f t="shared" si="250"/>
        <v>12148.531200000001</v>
      </c>
      <c r="S126" s="435">
        <f t="shared" si="251"/>
        <v>1052.8727040000001</v>
      </c>
      <c r="T126" s="273">
        <f>'Program Budget'!T112</f>
        <v>9</v>
      </c>
      <c r="U126" s="274">
        <v>1</v>
      </c>
      <c r="V126" s="275">
        <f t="shared" si="252"/>
        <v>9475.8543360000003</v>
      </c>
      <c r="W126" s="429">
        <f t="shared" si="253"/>
        <v>52637.665536</v>
      </c>
    </row>
    <row r="127" spans="1:23" ht="15.6" outlineLevel="1">
      <c r="A127" s="553"/>
      <c r="B127" s="293"/>
      <c r="D127" s="342"/>
      <c r="F127" s="275"/>
      <c r="H127" s="342"/>
      <c r="I127" s="236"/>
      <c r="J127" s="275"/>
      <c r="L127" s="342"/>
      <c r="N127" s="275"/>
      <c r="P127" s="342"/>
      <c r="Q127" s="236"/>
      <c r="R127" s="275"/>
      <c r="T127" s="342"/>
      <c r="U127" s="236"/>
      <c r="V127" s="275"/>
      <c r="W127" s="277"/>
    </row>
    <row r="128" spans="1:23" ht="18.3" outlineLevel="1">
      <c r="A128" s="554" t="s">
        <v>97</v>
      </c>
      <c r="B128" s="304"/>
      <c r="C128" s="438"/>
      <c r="D128" s="339"/>
      <c r="E128" s="340"/>
      <c r="F128" s="308">
        <f>SUM(F117:F126)</f>
        <v>32690</v>
      </c>
      <c r="G128" s="438"/>
      <c r="H128" s="339"/>
      <c r="I128" s="309"/>
      <c r="J128" s="308">
        <f>SUM(J117:J126)</f>
        <v>94244.800000000003</v>
      </c>
      <c r="K128" s="438"/>
      <c r="L128" s="339"/>
      <c r="M128" s="340"/>
      <c r="N128" s="308">
        <f>SUM(N117:N126)</f>
        <v>98014.592000000004</v>
      </c>
      <c r="O128" s="438"/>
      <c r="P128" s="339"/>
      <c r="Q128" s="309"/>
      <c r="R128" s="308">
        <f>SUM(R117:R126)</f>
        <v>101935.17568000001</v>
      </c>
      <c r="S128" s="438"/>
      <c r="T128" s="339"/>
      <c r="U128" s="309"/>
      <c r="V128" s="308">
        <f>SUM(V117:V126)</f>
        <v>57597.986201599997</v>
      </c>
      <c r="W128" s="308">
        <f>SUM(W117:W126)</f>
        <v>384482.55388159998</v>
      </c>
    </row>
    <row r="129" spans="1:23" ht="15.6" outlineLevel="1">
      <c r="A129" s="546" t="s">
        <v>33</v>
      </c>
      <c r="B129" s="341"/>
      <c r="D129" s="342"/>
      <c r="E129" s="343"/>
      <c r="F129" s="325"/>
      <c r="H129" s="342"/>
      <c r="I129" s="344"/>
      <c r="J129" s="298"/>
      <c r="L129" s="342"/>
      <c r="M129" s="343"/>
      <c r="N129" s="298"/>
      <c r="P129" s="342"/>
      <c r="Q129" s="344"/>
      <c r="R129" s="298"/>
      <c r="T129" s="342"/>
      <c r="U129" s="344"/>
      <c r="V129" s="298"/>
      <c r="W129" s="277"/>
    </row>
    <row r="130" spans="1:23" outlineLevel="1">
      <c r="A130" s="270" t="str">
        <f>'Program Budget'!D117</f>
        <v xml:space="preserve">Desktop/Laptop Computers </v>
      </c>
      <c r="B130" s="271" t="str">
        <f>'Program Budget'!F117</f>
        <v>Unit</v>
      </c>
      <c r="C130" s="435">
        <f>'Program Budget'!H117</f>
        <v>1050</v>
      </c>
      <c r="D130" s="273">
        <f>'Program Budget'!G117</f>
        <v>12</v>
      </c>
      <c r="E130" s="274">
        <v>1</v>
      </c>
      <c r="F130" s="275">
        <f t="shared" ref="F130" si="254">C130*D130*E130</f>
        <v>12600</v>
      </c>
      <c r="G130" s="435">
        <f>C130</f>
        <v>1050</v>
      </c>
      <c r="H130" s="273">
        <f>'Program Budget'!K117</f>
        <v>0</v>
      </c>
      <c r="I130" s="274">
        <v>1</v>
      </c>
      <c r="J130" s="275">
        <f t="shared" ref="J130" si="255">G130*H130*I130</f>
        <v>0</v>
      </c>
      <c r="K130" s="435">
        <f>G130</f>
        <v>1050</v>
      </c>
      <c r="L130" s="273">
        <f>'Program Budget'!N117</f>
        <v>0</v>
      </c>
      <c r="M130" s="274">
        <v>1</v>
      </c>
      <c r="N130" s="275">
        <f t="shared" ref="N130" si="256">K130*L130*M130</f>
        <v>0</v>
      </c>
      <c r="O130" s="435">
        <f>K130</f>
        <v>1050</v>
      </c>
      <c r="P130" s="273">
        <f>'Program Budget'!Q117</f>
        <v>0</v>
      </c>
      <c r="Q130" s="274">
        <v>1</v>
      </c>
      <c r="R130" s="275">
        <f t="shared" ref="R130" si="257">O130*P130*Q130</f>
        <v>0</v>
      </c>
      <c r="S130" s="435">
        <f>O130</f>
        <v>1050</v>
      </c>
      <c r="T130" s="273">
        <f>'Program Budget'!T117</f>
        <v>0</v>
      </c>
      <c r="U130" s="274">
        <v>1</v>
      </c>
      <c r="V130" s="275">
        <f t="shared" ref="V130" si="258">S130*T130*U130</f>
        <v>0</v>
      </c>
      <c r="W130" s="429">
        <f t="shared" ref="W130" si="259">F130+J130+N130+R130+V130</f>
        <v>12600</v>
      </c>
    </row>
    <row r="131" spans="1:23" outlineLevel="1">
      <c r="A131" s="270" t="str">
        <f>'Program Budget'!D118</f>
        <v>All in One: Printer, Photocopier &amp; Scanner</v>
      </c>
      <c r="B131" s="271" t="str">
        <f>'Program Budget'!F118</f>
        <v>Unit</v>
      </c>
      <c r="C131" s="435">
        <f>'Program Budget'!H118</f>
        <v>265</v>
      </c>
      <c r="D131" s="273">
        <f>'Program Budget'!G118</f>
        <v>2</v>
      </c>
      <c r="E131" s="274">
        <v>1</v>
      </c>
      <c r="F131" s="275">
        <f t="shared" ref="F131:F141" si="260">C131*D131*E131</f>
        <v>530</v>
      </c>
      <c r="G131" s="435">
        <f t="shared" ref="G131:G141" si="261">C131</f>
        <v>265</v>
      </c>
      <c r="H131" s="273">
        <f>'Program Budget'!K118</f>
        <v>0</v>
      </c>
      <c r="I131" s="274">
        <v>1</v>
      </c>
      <c r="J131" s="275">
        <f t="shared" ref="J131:J141" si="262">G131*H131*I131</f>
        <v>0</v>
      </c>
      <c r="K131" s="435">
        <f t="shared" ref="K131:K141" si="263">G131</f>
        <v>265</v>
      </c>
      <c r="L131" s="273">
        <f>'Program Budget'!N118</f>
        <v>0</v>
      </c>
      <c r="M131" s="274">
        <v>1</v>
      </c>
      <c r="N131" s="275">
        <f t="shared" ref="N131:N141" si="264">K131*L131*M131</f>
        <v>0</v>
      </c>
      <c r="O131" s="435">
        <f t="shared" ref="O131:O141" si="265">K131</f>
        <v>265</v>
      </c>
      <c r="P131" s="273">
        <f>'Program Budget'!Q118</f>
        <v>0</v>
      </c>
      <c r="Q131" s="274">
        <v>1</v>
      </c>
      <c r="R131" s="275">
        <f t="shared" ref="R131:R141" si="266">O131*P131*Q131</f>
        <v>0</v>
      </c>
      <c r="S131" s="435">
        <f t="shared" ref="S131:S141" si="267">O131</f>
        <v>265</v>
      </c>
      <c r="T131" s="273">
        <f>'Program Budget'!T118</f>
        <v>0</v>
      </c>
      <c r="U131" s="274">
        <v>1</v>
      </c>
      <c r="V131" s="275">
        <f t="shared" ref="V131:V141" si="268">S131*T131*U131</f>
        <v>0</v>
      </c>
      <c r="W131" s="429">
        <f t="shared" ref="W131:W141" si="269">F131+J131+N131+R131+V131</f>
        <v>530</v>
      </c>
    </row>
    <row r="132" spans="1:23" outlineLevel="1">
      <c r="A132" s="270" t="str">
        <f>'Program Budget'!D119</f>
        <v>Projector</v>
      </c>
      <c r="B132" s="271" t="str">
        <f>'Program Budget'!F119</f>
        <v>Unit</v>
      </c>
      <c r="C132" s="435">
        <f>Admin!C112</f>
        <v>246.24</v>
      </c>
      <c r="D132" s="273">
        <f>'Program Budget'!G119</f>
        <v>1</v>
      </c>
      <c r="E132" s="274">
        <v>1</v>
      </c>
      <c r="F132" s="275">
        <f t="shared" si="260"/>
        <v>246.24</v>
      </c>
      <c r="G132" s="435">
        <f t="shared" si="261"/>
        <v>246.24</v>
      </c>
      <c r="H132" s="273">
        <f>'Program Budget'!K119</f>
        <v>0</v>
      </c>
      <c r="I132" s="274">
        <v>1</v>
      </c>
      <c r="J132" s="275">
        <f t="shared" si="262"/>
        <v>0</v>
      </c>
      <c r="K132" s="435">
        <f t="shared" si="263"/>
        <v>246.24</v>
      </c>
      <c r="L132" s="273">
        <f>'Program Budget'!N119</f>
        <v>0</v>
      </c>
      <c r="M132" s="274">
        <v>1</v>
      </c>
      <c r="N132" s="275">
        <f t="shared" si="264"/>
        <v>0</v>
      </c>
      <c r="O132" s="435">
        <f t="shared" si="265"/>
        <v>246.24</v>
      </c>
      <c r="P132" s="273">
        <f>'Program Budget'!Q119</f>
        <v>0</v>
      </c>
      <c r="Q132" s="274">
        <v>1</v>
      </c>
      <c r="R132" s="275">
        <f t="shared" si="266"/>
        <v>0</v>
      </c>
      <c r="S132" s="435">
        <f t="shared" si="267"/>
        <v>246.24</v>
      </c>
      <c r="T132" s="273">
        <f>'Program Budget'!T119</f>
        <v>0</v>
      </c>
      <c r="U132" s="274">
        <v>1</v>
      </c>
      <c r="V132" s="275">
        <f t="shared" si="268"/>
        <v>0</v>
      </c>
      <c r="W132" s="429">
        <f t="shared" si="269"/>
        <v>246.24</v>
      </c>
    </row>
    <row r="133" spans="1:23" outlineLevel="1">
      <c r="A133" s="270" t="str">
        <f>'Program Budget'!D120</f>
        <v>Desks for Office</v>
      </c>
      <c r="B133" s="271" t="str">
        <f>'Program Budget'!F120</f>
        <v>Unit</v>
      </c>
      <c r="C133" s="435">
        <f>Admin!C113</f>
        <v>300</v>
      </c>
      <c r="D133" s="273">
        <f>'Program Budget'!G120</f>
        <v>16</v>
      </c>
      <c r="E133" s="274">
        <v>1</v>
      </c>
      <c r="F133" s="275">
        <f t="shared" ref="F133:F138" si="270">C133*D133*E133</f>
        <v>4800</v>
      </c>
      <c r="G133" s="435">
        <f t="shared" ref="G133:G138" si="271">C133</f>
        <v>300</v>
      </c>
      <c r="H133" s="273">
        <f>'Program Budget'!K120</f>
        <v>0</v>
      </c>
      <c r="I133" s="274">
        <v>1</v>
      </c>
      <c r="J133" s="275">
        <f t="shared" ref="J133:J138" si="272">G133*H133*I133</f>
        <v>0</v>
      </c>
      <c r="K133" s="435">
        <f t="shared" ref="K133:K138" si="273">G133</f>
        <v>300</v>
      </c>
      <c r="L133" s="273">
        <f>'Program Budget'!N120</f>
        <v>0</v>
      </c>
      <c r="M133" s="274">
        <v>1</v>
      </c>
      <c r="N133" s="275">
        <f t="shared" ref="N133:N138" si="274">K133*L133*M133</f>
        <v>0</v>
      </c>
      <c r="O133" s="435">
        <f t="shared" ref="O133:O138" si="275">K133</f>
        <v>300</v>
      </c>
      <c r="P133" s="273">
        <f>'Program Budget'!Q120</f>
        <v>0</v>
      </c>
      <c r="Q133" s="274">
        <v>1</v>
      </c>
      <c r="R133" s="275">
        <f t="shared" ref="R133:R138" si="276">O133*P133*Q133</f>
        <v>0</v>
      </c>
      <c r="S133" s="435">
        <f t="shared" ref="S133:S138" si="277">O133</f>
        <v>300</v>
      </c>
      <c r="T133" s="273">
        <f>'Program Budget'!T120</f>
        <v>0</v>
      </c>
      <c r="U133" s="274">
        <v>1</v>
      </c>
      <c r="V133" s="275">
        <f t="shared" ref="V133:V138" si="278">S133*T133*U133</f>
        <v>0</v>
      </c>
      <c r="W133" s="429">
        <f t="shared" ref="W133:W138" si="279">F133+J133+N133+R133+V133</f>
        <v>4800</v>
      </c>
    </row>
    <row r="134" spans="1:23" outlineLevel="1">
      <c r="A134" s="270" t="str">
        <f>'Program Budget'!D121</f>
        <v>Chairs for Office</v>
      </c>
      <c r="B134" s="271" t="str">
        <f>'Program Budget'!F121</f>
        <v>Unit</v>
      </c>
      <c r="C134" s="435">
        <f>Admin!C114</f>
        <v>60</v>
      </c>
      <c r="D134" s="273">
        <f>'Program Budget'!G121</f>
        <v>36</v>
      </c>
      <c r="E134" s="274">
        <v>1</v>
      </c>
      <c r="F134" s="275">
        <f t="shared" si="270"/>
        <v>2160</v>
      </c>
      <c r="G134" s="435">
        <f t="shared" si="271"/>
        <v>60</v>
      </c>
      <c r="H134" s="273">
        <f>'Program Budget'!K121</f>
        <v>0</v>
      </c>
      <c r="I134" s="274">
        <v>1</v>
      </c>
      <c r="J134" s="275">
        <f t="shared" si="272"/>
        <v>0</v>
      </c>
      <c r="K134" s="435">
        <f t="shared" si="273"/>
        <v>60</v>
      </c>
      <c r="L134" s="273">
        <f>'Program Budget'!N121</f>
        <v>0</v>
      </c>
      <c r="M134" s="274">
        <v>1</v>
      </c>
      <c r="N134" s="275">
        <f t="shared" si="274"/>
        <v>0</v>
      </c>
      <c r="O134" s="435">
        <f t="shared" si="275"/>
        <v>60</v>
      </c>
      <c r="P134" s="273">
        <f>'Program Budget'!Q121</f>
        <v>0</v>
      </c>
      <c r="Q134" s="274">
        <v>1</v>
      </c>
      <c r="R134" s="275">
        <f t="shared" si="276"/>
        <v>0</v>
      </c>
      <c r="S134" s="435">
        <f t="shared" si="277"/>
        <v>60</v>
      </c>
      <c r="T134" s="273">
        <f>'Program Budget'!T121</f>
        <v>0</v>
      </c>
      <c r="U134" s="274">
        <v>1</v>
      </c>
      <c r="V134" s="275">
        <f t="shared" si="278"/>
        <v>0</v>
      </c>
      <c r="W134" s="429">
        <f t="shared" si="279"/>
        <v>2160</v>
      </c>
    </row>
    <row r="135" spans="1:23" outlineLevel="1">
      <c r="A135" s="270" t="str">
        <f>'Program Budget'!D122</f>
        <v>Meeting Table for Office</v>
      </c>
      <c r="B135" s="271" t="str">
        <f>'Program Budget'!F122</f>
        <v>Unit</v>
      </c>
      <c r="C135" s="435">
        <f>Admin!C115</f>
        <v>350</v>
      </c>
      <c r="D135" s="273">
        <f>'Program Budget'!G122</f>
        <v>2</v>
      </c>
      <c r="E135" s="274">
        <v>1</v>
      </c>
      <c r="F135" s="275">
        <f t="shared" si="270"/>
        <v>700</v>
      </c>
      <c r="G135" s="435">
        <f t="shared" si="271"/>
        <v>350</v>
      </c>
      <c r="H135" s="273">
        <f>'Program Budget'!K122</f>
        <v>0</v>
      </c>
      <c r="I135" s="274">
        <v>1</v>
      </c>
      <c r="J135" s="275">
        <f t="shared" si="272"/>
        <v>0</v>
      </c>
      <c r="K135" s="435">
        <f t="shared" si="273"/>
        <v>350</v>
      </c>
      <c r="L135" s="273">
        <f>'Program Budget'!N122</f>
        <v>0</v>
      </c>
      <c r="M135" s="274">
        <v>1</v>
      </c>
      <c r="N135" s="275">
        <f t="shared" si="274"/>
        <v>0</v>
      </c>
      <c r="O135" s="435">
        <f t="shared" si="275"/>
        <v>350</v>
      </c>
      <c r="P135" s="273">
        <f>'Program Budget'!Q122</f>
        <v>0</v>
      </c>
      <c r="Q135" s="274">
        <v>1</v>
      </c>
      <c r="R135" s="275">
        <f t="shared" si="276"/>
        <v>0</v>
      </c>
      <c r="S135" s="435">
        <f t="shared" si="277"/>
        <v>350</v>
      </c>
      <c r="T135" s="273">
        <f>'Program Budget'!T122</f>
        <v>0</v>
      </c>
      <c r="U135" s="274">
        <v>1</v>
      </c>
      <c r="V135" s="275">
        <f t="shared" si="278"/>
        <v>0</v>
      </c>
      <c r="W135" s="429">
        <f t="shared" si="279"/>
        <v>700</v>
      </c>
    </row>
    <row r="136" spans="1:23" outlineLevel="1">
      <c r="A136" s="270" t="str">
        <f>'Program Budget'!D123</f>
        <v>Shelves for Office Storage</v>
      </c>
      <c r="B136" s="271" t="str">
        <f>'Program Budget'!F123</f>
        <v>Unit</v>
      </c>
      <c r="C136" s="435">
        <f>Admin!C116</f>
        <v>150</v>
      </c>
      <c r="D136" s="273">
        <f>'Program Budget'!G123</f>
        <v>4</v>
      </c>
      <c r="E136" s="274">
        <v>1</v>
      </c>
      <c r="F136" s="275">
        <f t="shared" si="270"/>
        <v>600</v>
      </c>
      <c r="G136" s="435">
        <f t="shared" si="271"/>
        <v>150</v>
      </c>
      <c r="H136" s="273">
        <f>'Program Budget'!K123</f>
        <v>0</v>
      </c>
      <c r="I136" s="274">
        <v>1</v>
      </c>
      <c r="J136" s="275">
        <f t="shared" si="272"/>
        <v>0</v>
      </c>
      <c r="K136" s="435">
        <f t="shared" si="273"/>
        <v>150</v>
      </c>
      <c r="L136" s="273">
        <f>'Program Budget'!N123</f>
        <v>0</v>
      </c>
      <c r="M136" s="274">
        <v>1</v>
      </c>
      <c r="N136" s="275">
        <f t="shared" si="274"/>
        <v>0</v>
      </c>
      <c r="O136" s="435">
        <f t="shared" si="275"/>
        <v>150</v>
      </c>
      <c r="P136" s="273">
        <f>'Program Budget'!Q123</f>
        <v>0</v>
      </c>
      <c r="Q136" s="274">
        <v>1</v>
      </c>
      <c r="R136" s="275">
        <f t="shared" si="276"/>
        <v>0</v>
      </c>
      <c r="S136" s="435">
        <f t="shared" si="277"/>
        <v>150</v>
      </c>
      <c r="T136" s="273">
        <f>'Program Budget'!T123</f>
        <v>0</v>
      </c>
      <c r="U136" s="274">
        <v>1</v>
      </c>
      <c r="V136" s="275">
        <f t="shared" si="278"/>
        <v>0</v>
      </c>
      <c r="W136" s="429">
        <f t="shared" si="279"/>
        <v>600</v>
      </c>
    </row>
    <row r="137" spans="1:23" outlineLevel="1">
      <c r="A137" s="270" t="str">
        <f>'Program Budget'!D124</f>
        <v>Filing Cabinets</v>
      </c>
      <c r="B137" s="271" t="str">
        <f>'Program Budget'!F124</f>
        <v>Unit</v>
      </c>
      <c r="C137" s="435">
        <f>Admin!C117</f>
        <v>130</v>
      </c>
      <c r="D137" s="273">
        <f>'Program Budget'!G124</f>
        <v>2</v>
      </c>
      <c r="E137" s="274">
        <v>1</v>
      </c>
      <c r="F137" s="275">
        <f t="shared" si="270"/>
        <v>260</v>
      </c>
      <c r="G137" s="435">
        <f t="shared" si="271"/>
        <v>130</v>
      </c>
      <c r="H137" s="273">
        <f>'Program Budget'!K124</f>
        <v>0</v>
      </c>
      <c r="I137" s="274">
        <v>1</v>
      </c>
      <c r="J137" s="275">
        <f t="shared" si="272"/>
        <v>0</v>
      </c>
      <c r="K137" s="435">
        <f t="shared" si="273"/>
        <v>130</v>
      </c>
      <c r="L137" s="273">
        <f>'Program Budget'!N124</f>
        <v>0</v>
      </c>
      <c r="M137" s="274">
        <v>1</v>
      </c>
      <c r="N137" s="275">
        <f t="shared" si="274"/>
        <v>0</v>
      </c>
      <c r="O137" s="435">
        <f t="shared" si="275"/>
        <v>130</v>
      </c>
      <c r="P137" s="273">
        <f>'Program Budget'!Q124</f>
        <v>0</v>
      </c>
      <c r="Q137" s="274">
        <v>1</v>
      </c>
      <c r="R137" s="275">
        <f t="shared" si="276"/>
        <v>0</v>
      </c>
      <c r="S137" s="435">
        <f t="shared" si="277"/>
        <v>130</v>
      </c>
      <c r="T137" s="273">
        <f>'Program Budget'!T124</f>
        <v>0</v>
      </c>
      <c r="U137" s="274">
        <v>1</v>
      </c>
      <c r="V137" s="275">
        <f t="shared" si="278"/>
        <v>0</v>
      </c>
      <c r="W137" s="429">
        <f t="shared" si="279"/>
        <v>260</v>
      </c>
    </row>
    <row r="138" spans="1:23" outlineLevel="1">
      <c r="A138" s="270" t="str">
        <f>'Program Budget'!D125</f>
        <v>Fireproof Safe</v>
      </c>
      <c r="B138" s="271" t="str">
        <f>'Program Budget'!F125</f>
        <v>Unit</v>
      </c>
      <c r="C138" s="435">
        <f>Admin!C118</f>
        <v>140</v>
      </c>
      <c r="D138" s="273">
        <f>'Program Budget'!G125</f>
        <v>2</v>
      </c>
      <c r="E138" s="274">
        <v>1</v>
      </c>
      <c r="F138" s="275">
        <f t="shared" si="270"/>
        <v>280</v>
      </c>
      <c r="G138" s="435">
        <f t="shared" si="271"/>
        <v>140</v>
      </c>
      <c r="H138" s="273">
        <f>'Program Budget'!K125</f>
        <v>0</v>
      </c>
      <c r="I138" s="274">
        <v>1</v>
      </c>
      <c r="J138" s="275">
        <f t="shared" si="272"/>
        <v>0</v>
      </c>
      <c r="K138" s="435">
        <f t="shared" si="273"/>
        <v>140</v>
      </c>
      <c r="L138" s="273">
        <f>'Program Budget'!N125</f>
        <v>0</v>
      </c>
      <c r="M138" s="274">
        <v>1</v>
      </c>
      <c r="N138" s="275">
        <f t="shared" si="274"/>
        <v>0</v>
      </c>
      <c r="O138" s="435">
        <f t="shared" si="275"/>
        <v>140</v>
      </c>
      <c r="P138" s="273">
        <f>'Program Budget'!Q125</f>
        <v>0</v>
      </c>
      <c r="Q138" s="274">
        <v>1</v>
      </c>
      <c r="R138" s="275">
        <f t="shared" si="276"/>
        <v>0</v>
      </c>
      <c r="S138" s="435">
        <f t="shared" si="277"/>
        <v>140</v>
      </c>
      <c r="T138" s="273">
        <f>'Program Budget'!T125</f>
        <v>0</v>
      </c>
      <c r="U138" s="274">
        <v>1</v>
      </c>
      <c r="V138" s="275">
        <f t="shared" si="278"/>
        <v>0</v>
      </c>
      <c r="W138" s="429">
        <f t="shared" si="279"/>
        <v>280</v>
      </c>
    </row>
    <row r="139" spans="1:23" outlineLevel="1">
      <c r="A139" s="270" t="str">
        <f>'Program Budget'!D126</f>
        <v>A/C Unit for Office</v>
      </c>
      <c r="B139" s="271" t="str">
        <f>'Program Budget'!F126</f>
        <v>Unit</v>
      </c>
      <c r="C139" s="435">
        <f>'Program Budget'!H126</f>
        <v>596</v>
      </c>
      <c r="D139" s="273">
        <f>'Program Budget'!G126</f>
        <v>2</v>
      </c>
      <c r="E139" s="274">
        <v>1</v>
      </c>
      <c r="F139" s="275">
        <f t="shared" si="260"/>
        <v>1192</v>
      </c>
      <c r="G139" s="435">
        <f t="shared" si="261"/>
        <v>596</v>
      </c>
      <c r="H139" s="273">
        <f>'Program Budget'!K126</f>
        <v>0</v>
      </c>
      <c r="I139" s="274">
        <v>1</v>
      </c>
      <c r="J139" s="275">
        <f t="shared" si="262"/>
        <v>0</v>
      </c>
      <c r="K139" s="435">
        <f t="shared" si="263"/>
        <v>596</v>
      </c>
      <c r="L139" s="273">
        <f>'Program Budget'!N126</f>
        <v>0</v>
      </c>
      <c r="M139" s="274">
        <v>1</v>
      </c>
      <c r="N139" s="275">
        <f t="shared" si="264"/>
        <v>0</v>
      </c>
      <c r="O139" s="435">
        <f t="shared" si="265"/>
        <v>596</v>
      </c>
      <c r="P139" s="273">
        <f>'Program Budget'!Q126</f>
        <v>0</v>
      </c>
      <c r="Q139" s="274">
        <v>1</v>
      </c>
      <c r="R139" s="275">
        <f t="shared" si="266"/>
        <v>0</v>
      </c>
      <c r="S139" s="435">
        <f t="shared" si="267"/>
        <v>596</v>
      </c>
      <c r="T139" s="273">
        <f>'Program Budget'!T126</f>
        <v>0</v>
      </c>
      <c r="U139" s="274">
        <v>1</v>
      </c>
      <c r="V139" s="275">
        <f t="shared" si="268"/>
        <v>0</v>
      </c>
      <c r="W139" s="429">
        <f t="shared" si="269"/>
        <v>1192</v>
      </c>
    </row>
    <row r="140" spans="1:23" outlineLevel="1">
      <c r="A140" s="270" t="str">
        <f>'Program Budget'!D127</f>
        <v>Office Supplies &amp; Personal Protective Equipment</v>
      </c>
      <c r="B140" s="271" t="str">
        <f>'Program Budget'!F127</f>
        <v>Month</v>
      </c>
      <c r="C140" s="449">
        <f>'Program Budget'!H127</f>
        <v>250</v>
      </c>
      <c r="D140" s="450">
        <f>'Program Budget'!G127</f>
        <v>9</v>
      </c>
      <c r="E140" s="274">
        <v>1</v>
      </c>
      <c r="F140" s="275">
        <f t="shared" si="260"/>
        <v>2250</v>
      </c>
      <c r="G140" s="435">
        <f>C140*1.04</f>
        <v>260</v>
      </c>
      <c r="H140" s="273">
        <f>'Program Budget'!K127</f>
        <v>12</v>
      </c>
      <c r="I140" s="274">
        <v>1</v>
      </c>
      <c r="J140" s="275">
        <f t="shared" si="262"/>
        <v>3120</v>
      </c>
      <c r="K140" s="435">
        <f>G140*1.04</f>
        <v>270.40000000000003</v>
      </c>
      <c r="L140" s="273">
        <f>'Program Budget'!N127</f>
        <v>12</v>
      </c>
      <c r="M140" s="274">
        <v>1</v>
      </c>
      <c r="N140" s="275">
        <f t="shared" si="264"/>
        <v>3244.8</v>
      </c>
      <c r="O140" s="435">
        <f>K140*1.04</f>
        <v>281.21600000000007</v>
      </c>
      <c r="P140" s="273">
        <f>'Program Budget'!Q127</f>
        <v>12</v>
      </c>
      <c r="Q140" s="274">
        <v>1</v>
      </c>
      <c r="R140" s="275">
        <f t="shared" si="266"/>
        <v>3374.5920000000006</v>
      </c>
      <c r="S140" s="435">
        <f>O140*1.04</f>
        <v>292.46464000000009</v>
      </c>
      <c r="T140" s="273">
        <f>'Program Budget'!T127</f>
        <v>6</v>
      </c>
      <c r="U140" s="274">
        <v>1</v>
      </c>
      <c r="V140" s="275">
        <f t="shared" si="268"/>
        <v>1754.7878400000004</v>
      </c>
      <c r="W140" s="429">
        <f t="shared" si="269"/>
        <v>13744.179840000001</v>
      </c>
    </row>
    <row r="141" spans="1:23" outlineLevel="1">
      <c r="A141" s="270" t="str">
        <f>'Program Budget'!D182</f>
        <v>Seeds and Tools for Demonstration Plots Set-up and Maintenance</v>
      </c>
      <c r="B141" s="271" t="str">
        <f>'Program Budget'!F182</f>
        <v>Unit</v>
      </c>
      <c r="C141" s="449">
        <f>'Program Budget'!H182</f>
        <v>3750</v>
      </c>
      <c r="D141" s="450">
        <f>'Program Budget'!G182</f>
        <v>4</v>
      </c>
      <c r="E141" s="274">
        <v>1</v>
      </c>
      <c r="F141" s="275">
        <f t="shared" si="260"/>
        <v>15000</v>
      </c>
      <c r="G141" s="435">
        <f t="shared" si="261"/>
        <v>3750</v>
      </c>
      <c r="H141" s="273">
        <f>'Program Budget'!K182</f>
        <v>4</v>
      </c>
      <c r="I141" s="274">
        <v>1</v>
      </c>
      <c r="J141" s="275">
        <f t="shared" si="262"/>
        <v>15000</v>
      </c>
      <c r="K141" s="435">
        <f t="shared" si="263"/>
        <v>3750</v>
      </c>
      <c r="L141" s="273">
        <f>'Program Budget'!N182</f>
        <v>0</v>
      </c>
      <c r="M141" s="274">
        <v>1</v>
      </c>
      <c r="N141" s="275">
        <f t="shared" si="264"/>
        <v>0</v>
      </c>
      <c r="O141" s="435">
        <f t="shared" si="265"/>
        <v>3750</v>
      </c>
      <c r="P141" s="273">
        <f>'Program Budget'!Q182</f>
        <v>0</v>
      </c>
      <c r="Q141" s="274">
        <v>1</v>
      </c>
      <c r="R141" s="275">
        <f t="shared" si="266"/>
        <v>0</v>
      </c>
      <c r="S141" s="435">
        <f t="shared" si="267"/>
        <v>3750</v>
      </c>
      <c r="T141" s="273">
        <f>'Program Budget'!T182</f>
        <v>0</v>
      </c>
      <c r="U141" s="274">
        <v>1</v>
      </c>
      <c r="V141" s="275">
        <f t="shared" si="268"/>
        <v>0</v>
      </c>
      <c r="W141" s="429">
        <f t="shared" si="269"/>
        <v>30000</v>
      </c>
    </row>
    <row r="142" spans="1:23" outlineLevel="1">
      <c r="A142" s="270" t="str">
        <f>'Program Budget'!D183</f>
        <v>Motorcycles for Extension Agents</v>
      </c>
      <c r="B142" s="271" t="str">
        <f>'Program Budget'!F183</f>
        <v>Unit</v>
      </c>
      <c r="C142" s="449">
        <f>'Program Budget'!H183</f>
        <v>1100</v>
      </c>
      <c r="D142" s="450">
        <f>'Program Budget'!G183+'Program Budget'!G244+'Program Budget'!G299+'Program Budget'!G373</f>
        <v>20</v>
      </c>
      <c r="E142" s="274">
        <v>1</v>
      </c>
      <c r="F142" s="275">
        <f t="shared" ref="F142:F143" si="280">C142*D142*E142</f>
        <v>22000</v>
      </c>
      <c r="G142" s="435">
        <f t="shared" ref="G142:G143" si="281">C142</f>
        <v>1100</v>
      </c>
      <c r="H142" s="273">
        <f>'Program Budget'!K183+'Program Budget'!K244+'Program Budget'!K299+'Program Budget'!K373</f>
        <v>0</v>
      </c>
      <c r="I142" s="274">
        <v>1</v>
      </c>
      <c r="J142" s="275">
        <f t="shared" ref="J142:J143" si="282">G142*H142*I142</f>
        <v>0</v>
      </c>
      <c r="K142" s="435">
        <f t="shared" ref="K142:K143" si="283">G142</f>
        <v>1100</v>
      </c>
      <c r="L142" s="273">
        <f>'Program Budget'!O183+'Program Budget'!O244+'Program Budget'!O299+'Program Budget'!O373</f>
        <v>0</v>
      </c>
      <c r="M142" s="274">
        <v>1</v>
      </c>
      <c r="N142" s="275">
        <f t="shared" ref="N142:N143" si="284">K142*L142*M142</f>
        <v>0</v>
      </c>
      <c r="O142" s="435">
        <f t="shared" ref="O142:O143" si="285">K142</f>
        <v>1100</v>
      </c>
      <c r="P142" s="273">
        <f>'Program Budget'!S183+'Program Budget'!S244+'Program Budget'!S299+'Program Budget'!S373</f>
        <v>0</v>
      </c>
      <c r="Q142" s="274">
        <v>1</v>
      </c>
      <c r="R142" s="275">
        <f t="shared" ref="R142:R143" si="286">O142*P142*Q142</f>
        <v>0</v>
      </c>
      <c r="S142" s="435">
        <f t="shared" ref="S142:S143" si="287">O142</f>
        <v>1100</v>
      </c>
      <c r="T142" s="273">
        <f>'Program Budget'!W183+'Program Budget'!W244+'Program Budget'!W299+'Program Budget'!W373</f>
        <v>0</v>
      </c>
      <c r="U142" s="274">
        <v>1</v>
      </c>
      <c r="V142" s="275">
        <f t="shared" ref="V142:V143" si="288">S142*T142*U142</f>
        <v>0</v>
      </c>
      <c r="W142" s="429">
        <f t="shared" ref="W142:W143" si="289">F142+J142+N142+R142+V142</f>
        <v>22000</v>
      </c>
    </row>
    <row r="143" spans="1:23" outlineLevel="1">
      <c r="A143" s="270" t="str">
        <f>'Program Budget'!D184</f>
        <v>Tablets for Rural Data Collection for Extension Agents</v>
      </c>
      <c r="B143" s="271" t="str">
        <f>'Program Budget'!F184</f>
        <v>Unit</v>
      </c>
      <c r="C143" s="435">
        <f>'Program Budget'!H184</f>
        <v>600</v>
      </c>
      <c r="D143" s="273">
        <f>'Program Budget'!G184+'Program Budget'!G245+'Program Budget'!G300+'Program Budget'!G374</f>
        <v>20</v>
      </c>
      <c r="E143" s="274">
        <v>1</v>
      </c>
      <c r="F143" s="275">
        <f t="shared" si="280"/>
        <v>12000</v>
      </c>
      <c r="G143" s="435">
        <f t="shared" si="281"/>
        <v>600</v>
      </c>
      <c r="H143" s="273">
        <f>'Program Budget'!K184+'Program Budget'!K245+'Program Budget'!K300+'Program Budget'!K374</f>
        <v>0</v>
      </c>
      <c r="I143" s="274">
        <v>1</v>
      </c>
      <c r="J143" s="275">
        <f t="shared" si="282"/>
        <v>0</v>
      </c>
      <c r="K143" s="435">
        <f t="shared" si="283"/>
        <v>600</v>
      </c>
      <c r="L143" s="273">
        <f>'Program Budget'!O184+'Program Budget'!O245+'Program Budget'!O300+'Program Budget'!O374</f>
        <v>0</v>
      </c>
      <c r="M143" s="274">
        <v>1</v>
      </c>
      <c r="N143" s="275">
        <f t="shared" si="284"/>
        <v>0</v>
      </c>
      <c r="O143" s="435">
        <f t="shared" si="285"/>
        <v>600</v>
      </c>
      <c r="P143" s="273">
        <f>'Program Budget'!S184+'Program Budget'!S245+'Program Budget'!S300+'Program Budget'!S374</f>
        <v>0</v>
      </c>
      <c r="Q143" s="274">
        <v>1</v>
      </c>
      <c r="R143" s="275">
        <f t="shared" si="286"/>
        <v>0</v>
      </c>
      <c r="S143" s="435">
        <f t="shared" si="287"/>
        <v>600</v>
      </c>
      <c r="T143" s="273">
        <f>'Program Budget'!W184+'Program Budget'!W245+'Program Budget'!W300+'Program Budget'!W374</f>
        <v>0</v>
      </c>
      <c r="U143" s="274">
        <v>1</v>
      </c>
      <c r="V143" s="275">
        <f t="shared" si="288"/>
        <v>0</v>
      </c>
      <c r="W143" s="429">
        <f t="shared" si="289"/>
        <v>12000</v>
      </c>
    </row>
    <row r="144" spans="1:23" ht="15.6" outlineLevel="1">
      <c r="A144" s="555"/>
      <c r="B144" s="293"/>
      <c r="C144" s="440"/>
      <c r="D144" s="348"/>
      <c r="F144" s="275"/>
      <c r="G144" s="440"/>
      <c r="H144" s="348"/>
      <c r="I144" s="236"/>
      <c r="J144" s="275"/>
      <c r="K144" s="440"/>
      <c r="L144" s="348"/>
      <c r="N144" s="275"/>
      <c r="O144" s="440"/>
      <c r="P144" s="348"/>
      <c r="Q144" s="236"/>
      <c r="R144" s="275"/>
      <c r="S144" s="440"/>
      <c r="T144" s="348"/>
      <c r="U144" s="236"/>
      <c r="V144" s="275"/>
      <c r="W144" s="277"/>
    </row>
    <row r="145" spans="1:23" ht="18.3" outlineLevel="1">
      <c r="A145" s="554" t="s">
        <v>98</v>
      </c>
      <c r="B145" s="304"/>
      <c r="C145" s="438"/>
      <c r="D145" s="339"/>
      <c r="E145" s="340"/>
      <c r="F145" s="308">
        <f>SUM(F130:F144)</f>
        <v>74618.239999999991</v>
      </c>
      <c r="G145" s="438"/>
      <c r="H145" s="339"/>
      <c r="I145" s="309"/>
      <c r="J145" s="308">
        <f>SUM(J130:J144)</f>
        <v>18120</v>
      </c>
      <c r="K145" s="438"/>
      <c r="L145" s="339"/>
      <c r="M145" s="340"/>
      <c r="N145" s="308">
        <f>SUM(N130:N144)</f>
        <v>3244.8</v>
      </c>
      <c r="O145" s="438"/>
      <c r="P145" s="339"/>
      <c r="Q145" s="309"/>
      <c r="R145" s="308">
        <f>SUM(R130:R144)</f>
        <v>3374.5920000000006</v>
      </c>
      <c r="S145" s="438"/>
      <c r="T145" s="339"/>
      <c r="U145" s="309"/>
      <c r="V145" s="308">
        <f>SUM(V130:V144)</f>
        <v>1754.7878400000004</v>
      </c>
      <c r="W145" s="308">
        <f>SUM(W130:W144)</f>
        <v>101112.41984</v>
      </c>
    </row>
    <row r="146" spans="1:23" ht="15.6" outlineLevel="1">
      <c r="A146" s="556" t="s">
        <v>99</v>
      </c>
      <c r="B146" s="293"/>
      <c r="C146" s="441"/>
      <c r="D146" s="355"/>
      <c r="F146" s="325"/>
      <c r="G146" s="325"/>
      <c r="H146" s="325"/>
      <c r="I146" s="325"/>
      <c r="J146" s="325"/>
      <c r="K146" s="325"/>
      <c r="L146" s="355"/>
      <c r="N146" s="298"/>
      <c r="O146" s="441"/>
      <c r="P146" s="355"/>
      <c r="R146" s="298"/>
      <c r="S146" s="441"/>
      <c r="T146" s="355"/>
      <c r="V146" s="298"/>
      <c r="W146" s="277"/>
    </row>
    <row r="147" spans="1:23" ht="15.6" outlineLevel="1">
      <c r="A147" s="546" t="s">
        <v>100</v>
      </c>
      <c r="B147" s="293"/>
      <c r="C147" s="441"/>
      <c r="D147" s="355"/>
      <c r="F147" s="275"/>
      <c r="G147" s="441"/>
      <c r="H147" s="355"/>
      <c r="I147" s="236"/>
      <c r="J147" s="275"/>
      <c r="K147" s="441"/>
      <c r="L147" s="355"/>
      <c r="N147" s="275"/>
      <c r="O147" s="441"/>
      <c r="P147" s="355"/>
      <c r="Q147" s="236"/>
      <c r="R147" s="275"/>
      <c r="S147" s="441"/>
      <c r="T147" s="355"/>
      <c r="U147" s="236"/>
      <c r="V147" s="275"/>
      <c r="W147" s="298"/>
    </row>
    <row r="148" spans="1:23" outlineLevel="1">
      <c r="A148" s="270" t="str">
        <f>'Activity 3'!A69</f>
        <v>Stipend for Student Internships for Domestic Internship of 6 Months</v>
      </c>
      <c r="B148" s="271" t="str">
        <f>'Program Budget'!F312</f>
        <v>Stipends</v>
      </c>
      <c r="C148" s="435">
        <f>'Program Budget'!H312</f>
        <v>6000</v>
      </c>
      <c r="D148" s="273">
        <f>'Program Budget'!G312</f>
        <v>0</v>
      </c>
      <c r="E148" s="274">
        <v>1</v>
      </c>
      <c r="F148" s="275">
        <f t="shared" ref="F148:F149" si="290">C148*D148*E148</f>
        <v>0</v>
      </c>
      <c r="G148" s="435">
        <f>C148</f>
        <v>6000</v>
      </c>
      <c r="H148" s="273">
        <f>'Program Budget'!K312</f>
        <v>5</v>
      </c>
      <c r="I148" s="274">
        <v>1</v>
      </c>
      <c r="J148" s="275">
        <f t="shared" ref="J148:J149" si="291">G148*H148*I148</f>
        <v>30000</v>
      </c>
      <c r="K148" s="435">
        <f>G148</f>
        <v>6000</v>
      </c>
      <c r="L148" s="273">
        <f>'Program Budget'!N312</f>
        <v>5</v>
      </c>
      <c r="M148" s="274">
        <v>1</v>
      </c>
      <c r="N148" s="275">
        <f t="shared" ref="N148:N149" si="292">K148*L148*M148</f>
        <v>30000</v>
      </c>
      <c r="O148" s="435">
        <f>K148</f>
        <v>6000</v>
      </c>
      <c r="P148" s="273">
        <f>'Program Budget'!Q312</f>
        <v>5</v>
      </c>
      <c r="Q148" s="274">
        <v>1</v>
      </c>
      <c r="R148" s="275">
        <f t="shared" ref="R148:R149" si="293">O148*P148*Q148</f>
        <v>30000</v>
      </c>
      <c r="S148" s="435">
        <f>O148</f>
        <v>6000</v>
      </c>
      <c r="T148" s="273">
        <f>'Program Budget'!T312</f>
        <v>0</v>
      </c>
      <c r="U148" s="274">
        <v>1</v>
      </c>
      <c r="V148" s="275">
        <f t="shared" ref="V148:V149" si="294">S148*T148*U148</f>
        <v>0</v>
      </c>
      <c r="W148" s="429">
        <f t="shared" ref="W148:W149" si="295">F148+J148+N148+R148+V148</f>
        <v>90000</v>
      </c>
    </row>
    <row r="149" spans="1:23" outlineLevel="1">
      <c r="A149" s="270" t="str">
        <f>'Activity 3'!A70</f>
        <v>Stipend for Student Internships for International Internship of 6 Months</v>
      </c>
      <c r="B149" s="271" t="str">
        <f>'Program Budget'!F313</f>
        <v>Stipends</v>
      </c>
      <c r="C149" s="435">
        <f>'Program Budget'!H313</f>
        <v>18000</v>
      </c>
      <c r="D149" s="273">
        <f>'Program Budget'!G313</f>
        <v>0</v>
      </c>
      <c r="E149" s="274">
        <v>1</v>
      </c>
      <c r="F149" s="275">
        <f t="shared" si="290"/>
        <v>0</v>
      </c>
      <c r="G149" s="435">
        <f>C149</f>
        <v>18000</v>
      </c>
      <c r="H149" s="273">
        <f>'Program Budget'!K313</f>
        <v>1</v>
      </c>
      <c r="I149" s="274">
        <v>1</v>
      </c>
      <c r="J149" s="275">
        <f t="shared" si="291"/>
        <v>18000</v>
      </c>
      <c r="K149" s="435">
        <f>G149</f>
        <v>18000</v>
      </c>
      <c r="L149" s="273">
        <f>'Program Budget'!N313</f>
        <v>1</v>
      </c>
      <c r="M149" s="274">
        <v>1</v>
      </c>
      <c r="N149" s="275">
        <f t="shared" si="292"/>
        <v>18000</v>
      </c>
      <c r="O149" s="435">
        <f>K149</f>
        <v>18000</v>
      </c>
      <c r="P149" s="273">
        <f>'Program Budget'!Q313</f>
        <v>1</v>
      </c>
      <c r="Q149" s="274">
        <v>1</v>
      </c>
      <c r="R149" s="275">
        <f t="shared" si="293"/>
        <v>18000</v>
      </c>
      <c r="S149" s="435">
        <f>O149</f>
        <v>18000</v>
      </c>
      <c r="T149" s="273">
        <f>'Program Budget'!T313</f>
        <v>0</v>
      </c>
      <c r="U149" s="274">
        <v>1</v>
      </c>
      <c r="V149" s="275">
        <f t="shared" si="294"/>
        <v>0</v>
      </c>
      <c r="W149" s="429">
        <f t="shared" si="295"/>
        <v>54000</v>
      </c>
    </row>
    <row r="150" spans="1:23" ht="15.6" outlineLevel="1">
      <c r="A150" s="546" t="s">
        <v>101</v>
      </c>
      <c r="B150" s="293"/>
      <c r="C150" s="441"/>
      <c r="D150" s="355"/>
      <c r="F150" s="275"/>
      <c r="G150" s="441"/>
      <c r="H150" s="355"/>
      <c r="I150" s="236"/>
      <c r="J150" s="275"/>
      <c r="K150" s="441"/>
      <c r="L150" s="355"/>
      <c r="N150" s="275"/>
      <c r="O150" s="441"/>
      <c r="P150" s="355"/>
      <c r="Q150" s="236"/>
      <c r="R150" s="275"/>
      <c r="S150" s="441"/>
      <c r="T150" s="355"/>
      <c r="U150" s="236"/>
      <c r="V150" s="275"/>
      <c r="W150" s="298"/>
    </row>
    <row r="151" spans="1:23" outlineLevel="1">
      <c r="A151" s="270" t="str">
        <f>'Program Budget'!D132</f>
        <v xml:space="preserve">Training, Workshops, Conference and Registration Fees </v>
      </c>
      <c r="B151" s="271" t="str">
        <f>'Program Budget'!F132</f>
        <v>Unit</v>
      </c>
      <c r="C151" s="435">
        <f>'Program Budget'!H132</f>
        <v>1500</v>
      </c>
      <c r="D151" s="273">
        <f>'Program Budget'!G132</f>
        <v>5</v>
      </c>
      <c r="E151" s="274">
        <v>1</v>
      </c>
      <c r="F151" s="275">
        <f t="shared" ref="F151" si="296">C151*D151*E151</f>
        <v>7500</v>
      </c>
      <c r="G151" s="435">
        <f>C151</f>
        <v>1500</v>
      </c>
      <c r="H151" s="273">
        <f>'Program Budget'!K132</f>
        <v>5</v>
      </c>
      <c r="I151" s="274">
        <v>1</v>
      </c>
      <c r="J151" s="275">
        <f t="shared" ref="J151" si="297">G151*H151*I151</f>
        <v>7500</v>
      </c>
      <c r="K151" s="435">
        <f>G151</f>
        <v>1500</v>
      </c>
      <c r="L151" s="273">
        <f>'Program Budget'!N132</f>
        <v>5</v>
      </c>
      <c r="M151" s="274">
        <v>1</v>
      </c>
      <c r="N151" s="275">
        <f t="shared" ref="N151" si="298">K151*L151*M151</f>
        <v>7500</v>
      </c>
      <c r="O151" s="435">
        <f>K151</f>
        <v>1500</v>
      </c>
      <c r="P151" s="273">
        <f>'Program Budget'!Q132</f>
        <v>5</v>
      </c>
      <c r="Q151" s="274">
        <v>1</v>
      </c>
      <c r="R151" s="275">
        <f t="shared" ref="R151" si="299">O151*P151*Q151</f>
        <v>7500</v>
      </c>
      <c r="S151" s="435">
        <f>O151</f>
        <v>1500</v>
      </c>
      <c r="T151" s="273">
        <f>'Program Budget'!T132</f>
        <v>5</v>
      </c>
      <c r="U151" s="274">
        <v>1</v>
      </c>
      <c r="V151" s="275">
        <f t="shared" ref="V151" si="300">S151*T151*U151</f>
        <v>7500</v>
      </c>
      <c r="W151" s="429">
        <f t="shared" ref="W151" si="301">F151+J151+N151+R151+V151</f>
        <v>37500</v>
      </c>
    </row>
    <row r="152" spans="1:23" outlineLevel="1">
      <c r="A152" s="270" t="str">
        <f>'Program Budget'!D195</f>
        <v>Development of Technical Package (Design, Printing, &amp; Translation)</v>
      </c>
      <c r="B152" s="271" t="str">
        <f>'Program Budget'!F195</f>
        <v>Unit</v>
      </c>
      <c r="C152" s="435">
        <f>'Program Budget'!H195</f>
        <v>18000</v>
      </c>
      <c r="D152" s="273">
        <f>'Program Budget'!G195</f>
        <v>1</v>
      </c>
      <c r="E152" s="274">
        <v>1</v>
      </c>
      <c r="F152" s="275">
        <f t="shared" ref="F152" si="302">C152*D152*E152</f>
        <v>18000</v>
      </c>
      <c r="G152" s="435">
        <f>C152</f>
        <v>18000</v>
      </c>
      <c r="H152" s="273">
        <f>'Program Budget'!K195</f>
        <v>0</v>
      </c>
      <c r="I152" s="274">
        <v>1</v>
      </c>
      <c r="J152" s="275">
        <f t="shared" ref="J152" si="303">G152*H152*I152</f>
        <v>0</v>
      </c>
      <c r="K152" s="435">
        <f>G152</f>
        <v>18000</v>
      </c>
      <c r="L152" s="273">
        <f>'Program Budget'!N195</f>
        <v>0</v>
      </c>
      <c r="M152" s="274">
        <v>1</v>
      </c>
      <c r="N152" s="275">
        <f t="shared" ref="N152" si="304">K152*L152*M152</f>
        <v>0</v>
      </c>
      <c r="O152" s="435">
        <f>K152</f>
        <v>18000</v>
      </c>
      <c r="P152" s="273">
        <f>'Program Budget'!Q195</f>
        <v>0</v>
      </c>
      <c r="Q152" s="274">
        <v>1</v>
      </c>
      <c r="R152" s="275">
        <f t="shared" ref="R152" si="305">O152*P152*Q152</f>
        <v>0</v>
      </c>
      <c r="S152" s="435">
        <f>O152</f>
        <v>18000</v>
      </c>
      <c r="T152" s="273">
        <f>'Program Budget'!T195</f>
        <v>0</v>
      </c>
      <c r="U152" s="274">
        <v>1</v>
      </c>
      <c r="V152" s="275">
        <f t="shared" ref="V152" si="306">S152*T152*U152</f>
        <v>0</v>
      </c>
      <c r="W152" s="429">
        <f t="shared" ref="W152" si="307">F152+J152+N152+R152+V152</f>
        <v>18000</v>
      </c>
    </row>
    <row r="153" spans="1:23" outlineLevel="1">
      <c r="A153" s="270" t="str">
        <f>'Program Budget'!D196</f>
        <v>Publish Report for On-farm Irrigation (Design, Printing, &amp; Translation)</v>
      </c>
      <c r="B153" s="271" t="str">
        <f>'Program Budget'!F196</f>
        <v>Unit</v>
      </c>
      <c r="C153" s="435">
        <f>'Program Budget'!H196</f>
        <v>18000</v>
      </c>
      <c r="D153" s="273">
        <f>'Program Budget'!G196</f>
        <v>0</v>
      </c>
      <c r="E153" s="274">
        <v>1</v>
      </c>
      <c r="F153" s="275">
        <f t="shared" ref="F153:F156" si="308">C153*D153*E153</f>
        <v>0</v>
      </c>
      <c r="G153" s="435">
        <f t="shared" ref="G153:G156" si="309">C153</f>
        <v>18000</v>
      </c>
      <c r="H153" s="273">
        <f>'Program Budget'!K196</f>
        <v>1</v>
      </c>
      <c r="I153" s="274">
        <v>1</v>
      </c>
      <c r="J153" s="275">
        <f t="shared" ref="J153:J156" si="310">G153*H153*I153</f>
        <v>18000</v>
      </c>
      <c r="K153" s="435">
        <f t="shared" ref="K153:K156" si="311">G153</f>
        <v>18000</v>
      </c>
      <c r="L153" s="273">
        <f>'Program Budget'!N196</f>
        <v>0</v>
      </c>
      <c r="M153" s="274">
        <v>1</v>
      </c>
      <c r="N153" s="275">
        <f t="shared" ref="N153:N156" si="312">K153*L153*M153</f>
        <v>0</v>
      </c>
      <c r="O153" s="435">
        <f t="shared" ref="O153:O156" si="313">K153</f>
        <v>18000</v>
      </c>
      <c r="P153" s="273">
        <f>'Program Budget'!Q196</f>
        <v>0</v>
      </c>
      <c r="Q153" s="274">
        <v>1</v>
      </c>
      <c r="R153" s="275">
        <f t="shared" ref="R153:R156" si="314">O153*P153*Q153</f>
        <v>0</v>
      </c>
      <c r="S153" s="435">
        <f t="shared" ref="S153:S156" si="315">O153</f>
        <v>18000</v>
      </c>
      <c r="T153" s="273">
        <f>'Program Budget'!T196</f>
        <v>0</v>
      </c>
      <c r="U153" s="274">
        <v>1</v>
      </c>
      <c r="V153" s="275">
        <f t="shared" ref="V153:V156" si="316">S153*T153*U153</f>
        <v>0</v>
      </c>
      <c r="W153" s="429">
        <f t="shared" ref="W153:W156" si="317">F153+J153+N153+R153+V153</f>
        <v>18000</v>
      </c>
    </row>
    <row r="154" spans="1:23" ht="28.2" outlineLevel="1">
      <c r="A154" s="270" t="str">
        <f>'Program Budget'!D197</f>
        <v>Publish Report for Large-Scale Water Infrastructure (Design, Printing, &amp; Translation)</v>
      </c>
      <c r="B154" s="271" t="str">
        <f>'Program Budget'!F197</f>
        <v>Unit</v>
      </c>
      <c r="C154" s="435">
        <f>'Program Budget'!H197</f>
        <v>18000</v>
      </c>
      <c r="D154" s="273">
        <f>'Program Budget'!G197</f>
        <v>0</v>
      </c>
      <c r="E154" s="274">
        <v>1</v>
      </c>
      <c r="F154" s="275">
        <f t="shared" si="308"/>
        <v>0</v>
      </c>
      <c r="G154" s="435">
        <f t="shared" si="309"/>
        <v>18000</v>
      </c>
      <c r="H154" s="273">
        <f>'Program Budget'!K197</f>
        <v>1</v>
      </c>
      <c r="I154" s="274">
        <v>1</v>
      </c>
      <c r="J154" s="275">
        <f t="shared" si="310"/>
        <v>18000</v>
      </c>
      <c r="K154" s="435">
        <f t="shared" si="311"/>
        <v>18000</v>
      </c>
      <c r="L154" s="273">
        <f>'Program Budget'!N197</f>
        <v>0</v>
      </c>
      <c r="M154" s="274">
        <v>1</v>
      </c>
      <c r="N154" s="275">
        <f t="shared" si="312"/>
        <v>0</v>
      </c>
      <c r="O154" s="435">
        <f t="shared" si="313"/>
        <v>18000</v>
      </c>
      <c r="P154" s="273">
        <f>'Program Budget'!Q197</f>
        <v>0</v>
      </c>
      <c r="Q154" s="274">
        <v>1</v>
      </c>
      <c r="R154" s="275">
        <f t="shared" si="314"/>
        <v>0</v>
      </c>
      <c r="S154" s="435">
        <f t="shared" si="315"/>
        <v>18000</v>
      </c>
      <c r="T154" s="273">
        <f>'Program Budget'!T197</f>
        <v>0</v>
      </c>
      <c r="U154" s="274">
        <v>1</v>
      </c>
      <c r="V154" s="275">
        <f t="shared" si="316"/>
        <v>0</v>
      </c>
      <c r="W154" s="429">
        <f t="shared" si="317"/>
        <v>18000</v>
      </c>
    </row>
    <row r="155" spans="1:23" ht="28.2" outlineLevel="1">
      <c r="A155" s="270" t="str">
        <f>'Program Budget'!D198</f>
        <v>Demonstration Plots for Drip and Innovative Irrigation Solutions (2 drip, 2 aspersion/sprinklers and 2 valley pivot plots)</v>
      </c>
      <c r="B155" s="271" t="str">
        <f>'Program Budget'!F198</f>
        <v>Plot</v>
      </c>
      <c r="C155" s="435">
        <f>'Program Budget'!H198</f>
        <v>20000</v>
      </c>
      <c r="D155" s="273">
        <f>'Program Budget'!G198</f>
        <v>3</v>
      </c>
      <c r="E155" s="274">
        <v>1</v>
      </c>
      <c r="F155" s="275">
        <f t="shared" si="308"/>
        <v>60000</v>
      </c>
      <c r="G155" s="435">
        <f t="shared" si="309"/>
        <v>20000</v>
      </c>
      <c r="H155" s="273">
        <f>'Program Budget'!K198</f>
        <v>3</v>
      </c>
      <c r="I155" s="274">
        <v>1</v>
      </c>
      <c r="J155" s="275">
        <f t="shared" si="310"/>
        <v>60000</v>
      </c>
      <c r="K155" s="435">
        <f t="shared" si="311"/>
        <v>20000</v>
      </c>
      <c r="L155" s="273">
        <f>'Program Budget'!N198</f>
        <v>0</v>
      </c>
      <c r="M155" s="274">
        <v>1</v>
      </c>
      <c r="N155" s="275">
        <f t="shared" si="312"/>
        <v>0</v>
      </c>
      <c r="O155" s="435">
        <f t="shared" si="313"/>
        <v>20000</v>
      </c>
      <c r="P155" s="273">
        <f>'Program Budget'!Q198</f>
        <v>0</v>
      </c>
      <c r="Q155" s="274">
        <v>1</v>
      </c>
      <c r="R155" s="275">
        <f t="shared" si="314"/>
        <v>0</v>
      </c>
      <c r="S155" s="435">
        <f t="shared" si="315"/>
        <v>20000</v>
      </c>
      <c r="T155" s="273">
        <f>'Program Budget'!T198</f>
        <v>0</v>
      </c>
      <c r="U155" s="274">
        <v>1</v>
      </c>
      <c r="V155" s="275">
        <f t="shared" si="316"/>
        <v>0</v>
      </c>
      <c r="W155" s="429">
        <f t="shared" si="317"/>
        <v>120000</v>
      </c>
    </row>
    <row r="156" spans="1:23" outlineLevel="1">
      <c r="A156" s="270" t="str">
        <f>'Program Budget'!D256</f>
        <v>Farmer Field Schools</v>
      </c>
      <c r="B156" s="271" t="str">
        <f>'Program Budget'!F256</f>
        <v>Training</v>
      </c>
      <c r="C156" s="449">
        <f>'Program Budget'!H256</f>
        <v>10000</v>
      </c>
      <c r="D156" s="450">
        <f>'Program Budget'!G256</f>
        <v>0</v>
      </c>
      <c r="E156" s="274">
        <v>1</v>
      </c>
      <c r="F156" s="451">
        <f t="shared" si="308"/>
        <v>0</v>
      </c>
      <c r="G156" s="449">
        <f t="shared" si="309"/>
        <v>10000</v>
      </c>
      <c r="H156" s="450">
        <f>'Program Budget'!K256</f>
        <v>6</v>
      </c>
      <c r="I156" s="274">
        <v>1</v>
      </c>
      <c r="J156" s="451">
        <f t="shared" si="310"/>
        <v>60000</v>
      </c>
      <c r="K156" s="449">
        <f t="shared" si="311"/>
        <v>10000</v>
      </c>
      <c r="L156" s="450">
        <f>'Program Budget'!N256</f>
        <v>6</v>
      </c>
      <c r="M156" s="274">
        <v>1</v>
      </c>
      <c r="N156" s="451">
        <f t="shared" si="312"/>
        <v>60000</v>
      </c>
      <c r="O156" s="449">
        <f t="shared" si="313"/>
        <v>10000</v>
      </c>
      <c r="P156" s="450">
        <f>'Program Budget'!Q256</f>
        <v>6</v>
      </c>
      <c r="Q156" s="274">
        <v>1</v>
      </c>
      <c r="R156" s="451">
        <f t="shared" si="314"/>
        <v>60000</v>
      </c>
      <c r="S156" s="449">
        <f t="shared" si="315"/>
        <v>10000</v>
      </c>
      <c r="T156" s="450">
        <f>'Program Budget'!T256</f>
        <v>0</v>
      </c>
      <c r="U156" s="274">
        <v>1</v>
      </c>
      <c r="V156" s="451">
        <f t="shared" si="316"/>
        <v>0</v>
      </c>
      <c r="W156" s="429">
        <f t="shared" si="317"/>
        <v>180000</v>
      </c>
    </row>
    <row r="157" spans="1:23" outlineLevel="1">
      <c r="A157" s="270" t="str">
        <f>'Program Budget'!D317</f>
        <v xml:space="preserve">Capacity Building Meetings to Increase Women’s Cooperatives’ Capacity </v>
      </c>
      <c r="B157" s="271" t="str">
        <f>'Program Budget'!F317</f>
        <v>Meeting</v>
      </c>
      <c r="C157" s="449">
        <f>'Program Budget'!H317</f>
        <v>550</v>
      </c>
      <c r="D157" s="450">
        <f>'Program Budget'!G317</f>
        <v>0</v>
      </c>
      <c r="E157" s="274">
        <v>1</v>
      </c>
      <c r="F157" s="451">
        <f t="shared" ref="F157:F162" si="318">C157*D157*E157</f>
        <v>0</v>
      </c>
      <c r="G157" s="449">
        <f t="shared" ref="G157:G162" si="319">C157</f>
        <v>550</v>
      </c>
      <c r="H157" s="450">
        <f>'Program Budget'!K317</f>
        <v>40</v>
      </c>
      <c r="I157" s="274">
        <v>1</v>
      </c>
      <c r="J157" s="451">
        <f t="shared" ref="J157:J162" si="320">G157*H157*I157</f>
        <v>22000</v>
      </c>
      <c r="K157" s="449">
        <f t="shared" ref="K157:K162" si="321">G157</f>
        <v>550</v>
      </c>
      <c r="L157" s="450">
        <f>'Program Budget'!N317</f>
        <v>40</v>
      </c>
      <c r="M157" s="274">
        <v>1</v>
      </c>
      <c r="N157" s="451">
        <f t="shared" ref="N157:N162" si="322">K157*L157*M157</f>
        <v>22000</v>
      </c>
      <c r="O157" s="449">
        <f t="shared" ref="O157:O162" si="323">K157</f>
        <v>550</v>
      </c>
      <c r="P157" s="450">
        <f>'Program Budget'!Q317</f>
        <v>0</v>
      </c>
      <c r="Q157" s="274">
        <v>1</v>
      </c>
      <c r="R157" s="451">
        <f t="shared" ref="R157:R162" si="324">O157*P157*Q157</f>
        <v>0</v>
      </c>
      <c r="S157" s="449">
        <f t="shared" ref="S157:S162" si="325">O157</f>
        <v>550</v>
      </c>
      <c r="T157" s="450">
        <f>'Program Budget'!T317</f>
        <v>0</v>
      </c>
      <c r="U157" s="274">
        <v>1</v>
      </c>
      <c r="V157" s="451">
        <f t="shared" ref="V157:V162" si="326">S157*T157*U157</f>
        <v>0</v>
      </c>
      <c r="W157" s="429">
        <f t="shared" ref="W157:W162" si="327">F157+J157+N157+R157+V157</f>
        <v>44000</v>
      </c>
    </row>
    <row r="158" spans="1:23" outlineLevel="1">
      <c r="A158" s="270" t="str">
        <f>'Program Budget'!D318</f>
        <v>Capacity Building Meetings to Increase Existing Agro-dealers Capacity</v>
      </c>
      <c r="B158" s="271" t="str">
        <f>'Program Budget'!F318</f>
        <v>Meeting</v>
      </c>
      <c r="C158" s="449">
        <f>'Program Budget'!H318</f>
        <v>1000</v>
      </c>
      <c r="D158" s="450">
        <f>'Program Budget'!G318</f>
        <v>0</v>
      </c>
      <c r="E158" s="274">
        <v>1</v>
      </c>
      <c r="F158" s="451">
        <f t="shared" si="318"/>
        <v>0</v>
      </c>
      <c r="G158" s="449">
        <f t="shared" si="319"/>
        <v>1000</v>
      </c>
      <c r="H158" s="450">
        <f>'Program Budget'!K318</f>
        <v>6</v>
      </c>
      <c r="I158" s="274">
        <v>1</v>
      </c>
      <c r="J158" s="451">
        <f t="shared" si="320"/>
        <v>6000</v>
      </c>
      <c r="K158" s="449">
        <f t="shared" si="321"/>
        <v>1000</v>
      </c>
      <c r="L158" s="450">
        <f>'Program Budget'!N318</f>
        <v>6</v>
      </c>
      <c r="M158" s="274">
        <v>1</v>
      </c>
      <c r="N158" s="451">
        <f t="shared" si="322"/>
        <v>6000</v>
      </c>
      <c r="O158" s="449">
        <f t="shared" si="323"/>
        <v>1000</v>
      </c>
      <c r="P158" s="450">
        <f>'Program Budget'!Q318</f>
        <v>0</v>
      </c>
      <c r="Q158" s="274">
        <v>1</v>
      </c>
      <c r="R158" s="451">
        <f t="shared" si="324"/>
        <v>0</v>
      </c>
      <c r="S158" s="449">
        <f t="shared" si="325"/>
        <v>1000</v>
      </c>
      <c r="T158" s="450">
        <f>'Program Budget'!T318</f>
        <v>0</v>
      </c>
      <c r="U158" s="274">
        <v>1</v>
      </c>
      <c r="V158" s="451">
        <f t="shared" si="326"/>
        <v>0</v>
      </c>
      <c r="W158" s="429">
        <f t="shared" si="327"/>
        <v>12000</v>
      </c>
    </row>
    <row r="159" spans="1:23" outlineLevel="1">
      <c r="A159" s="270" t="str">
        <f>'Program Budget'!D319</f>
        <v>PASP Certification Program</v>
      </c>
      <c r="B159" s="271" t="str">
        <f>'Program Budget'!F319</f>
        <v>Week</v>
      </c>
      <c r="C159" s="449">
        <f>'Program Budget'!H319</f>
        <v>1500</v>
      </c>
      <c r="D159" s="450">
        <f>'Program Budget'!G319</f>
        <v>0</v>
      </c>
      <c r="E159" s="274">
        <v>1</v>
      </c>
      <c r="F159" s="451">
        <f t="shared" si="318"/>
        <v>0</v>
      </c>
      <c r="G159" s="449">
        <f t="shared" si="319"/>
        <v>1500</v>
      </c>
      <c r="H159" s="450">
        <f>'Program Budget'!K319</f>
        <v>8</v>
      </c>
      <c r="I159" s="274">
        <v>1</v>
      </c>
      <c r="J159" s="451">
        <f t="shared" si="320"/>
        <v>12000</v>
      </c>
      <c r="K159" s="449">
        <f t="shared" si="321"/>
        <v>1500</v>
      </c>
      <c r="L159" s="450">
        <f>'Program Budget'!N319</f>
        <v>8</v>
      </c>
      <c r="M159" s="274">
        <v>1</v>
      </c>
      <c r="N159" s="451">
        <f t="shared" si="322"/>
        <v>12000</v>
      </c>
      <c r="O159" s="449">
        <f t="shared" si="323"/>
        <v>1500</v>
      </c>
      <c r="P159" s="450">
        <f>'Program Budget'!Q319</f>
        <v>8</v>
      </c>
      <c r="Q159" s="274">
        <v>1</v>
      </c>
      <c r="R159" s="451">
        <f t="shared" si="324"/>
        <v>12000</v>
      </c>
      <c r="S159" s="449">
        <f t="shared" si="325"/>
        <v>1500</v>
      </c>
      <c r="T159" s="450">
        <f>'Program Budget'!T319</f>
        <v>0</v>
      </c>
      <c r="U159" s="274">
        <v>1</v>
      </c>
      <c r="V159" s="451">
        <f t="shared" si="326"/>
        <v>0</v>
      </c>
      <c r="W159" s="429">
        <f t="shared" si="327"/>
        <v>36000</v>
      </c>
    </row>
    <row r="160" spans="1:23" outlineLevel="1">
      <c r="A160" s="270" t="str">
        <f>'Program Budget'!D320</f>
        <v>Course on Agricultural Mechanization</v>
      </c>
      <c r="B160" s="271" t="str">
        <f>'Program Budget'!F320</f>
        <v>Course</v>
      </c>
      <c r="C160" s="449">
        <f>'Program Budget'!H320</f>
        <v>100000</v>
      </c>
      <c r="D160" s="450">
        <f>'Program Budget'!G320</f>
        <v>0.5</v>
      </c>
      <c r="E160" s="274">
        <v>1</v>
      </c>
      <c r="F160" s="451">
        <f t="shared" si="318"/>
        <v>50000</v>
      </c>
      <c r="G160" s="449">
        <f t="shared" si="319"/>
        <v>100000</v>
      </c>
      <c r="H160" s="450">
        <f>'Program Budget'!K320</f>
        <v>0.5</v>
      </c>
      <c r="I160" s="274">
        <v>1</v>
      </c>
      <c r="J160" s="451">
        <f t="shared" si="320"/>
        <v>50000</v>
      </c>
      <c r="K160" s="449">
        <f t="shared" si="321"/>
        <v>100000</v>
      </c>
      <c r="L160" s="450">
        <f>'Program Budget'!N320</f>
        <v>0</v>
      </c>
      <c r="M160" s="274">
        <v>1</v>
      </c>
      <c r="N160" s="451">
        <f t="shared" si="322"/>
        <v>0</v>
      </c>
      <c r="O160" s="449">
        <f t="shared" si="323"/>
        <v>100000</v>
      </c>
      <c r="P160" s="450">
        <f>'Program Budget'!Q320</f>
        <v>0</v>
      </c>
      <c r="Q160" s="274">
        <v>1</v>
      </c>
      <c r="R160" s="451">
        <f t="shared" si="324"/>
        <v>0</v>
      </c>
      <c r="S160" s="449">
        <f t="shared" si="325"/>
        <v>100000</v>
      </c>
      <c r="T160" s="450">
        <f>'Program Budget'!T320</f>
        <v>0</v>
      </c>
      <c r="U160" s="274">
        <v>1</v>
      </c>
      <c r="V160" s="451">
        <f t="shared" si="326"/>
        <v>0</v>
      </c>
      <c r="W160" s="429">
        <f t="shared" si="327"/>
        <v>100000</v>
      </c>
    </row>
    <row r="161" spans="1:23" ht="28.2" outlineLevel="1">
      <c r="A161" s="270" t="str">
        <f>'Program Budget'!D321</f>
        <v>Develop Training Materials to Increase Women’s Cooperatives’ &amp; Existing Agro-dealers Capacity (Printing &amp; Translation)</v>
      </c>
      <c r="B161" s="271" t="str">
        <f>'Program Budget'!F321</f>
        <v>Unit</v>
      </c>
      <c r="C161" s="449">
        <f>'Program Budget'!H321</f>
        <v>15000</v>
      </c>
      <c r="D161" s="450">
        <f>'Program Budget'!G321</f>
        <v>0</v>
      </c>
      <c r="E161" s="274">
        <v>1</v>
      </c>
      <c r="F161" s="451">
        <f t="shared" si="318"/>
        <v>0</v>
      </c>
      <c r="G161" s="449">
        <f t="shared" si="319"/>
        <v>15000</v>
      </c>
      <c r="H161" s="450">
        <f>'Program Budget'!K321</f>
        <v>1</v>
      </c>
      <c r="I161" s="274">
        <v>1</v>
      </c>
      <c r="J161" s="451">
        <f t="shared" si="320"/>
        <v>15000</v>
      </c>
      <c r="K161" s="449">
        <f t="shared" si="321"/>
        <v>15000</v>
      </c>
      <c r="L161" s="450">
        <f>'Program Budget'!N321</f>
        <v>0</v>
      </c>
      <c r="M161" s="274">
        <v>1</v>
      </c>
      <c r="N161" s="451">
        <f t="shared" si="322"/>
        <v>0</v>
      </c>
      <c r="O161" s="449">
        <f t="shared" si="323"/>
        <v>15000</v>
      </c>
      <c r="P161" s="450">
        <f>'Program Budget'!Q321</f>
        <v>0</v>
      </c>
      <c r="Q161" s="274">
        <v>1</v>
      </c>
      <c r="R161" s="451">
        <f t="shared" si="324"/>
        <v>0</v>
      </c>
      <c r="S161" s="449">
        <f t="shared" si="325"/>
        <v>15000</v>
      </c>
      <c r="T161" s="450">
        <f>'Program Budget'!T321</f>
        <v>0</v>
      </c>
      <c r="U161" s="274">
        <v>1</v>
      </c>
      <c r="V161" s="451">
        <f t="shared" si="326"/>
        <v>0</v>
      </c>
      <c r="W161" s="429">
        <f t="shared" si="327"/>
        <v>15000</v>
      </c>
    </row>
    <row r="162" spans="1:23" outlineLevel="1">
      <c r="A162" s="270" t="str">
        <f>'Program Budget'!D392</f>
        <v>Investment Roundtables</v>
      </c>
      <c r="B162" s="271" t="str">
        <f>'Program Budget'!F392</f>
        <v>Roundtable</v>
      </c>
      <c r="C162" s="435">
        <f>'Program Budget'!H392</f>
        <v>3000</v>
      </c>
      <c r="D162" s="273">
        <f>'Program Budget'!G392</f>
        <v>1</v>
      </c>
      <c r="E162" s="274">
        <v>1</v>
      </c>
      <c r="F162" s="275">
        <f t="shared" si="318"/>
        <v>3000</v>
      </c>
      <c r="G162" s="435">
        <f t="shared" si="319"/>
        <v>3000</v>
      </c>
      <c r="H162" s="273">
        <f>'Program Budget'!K392</f>
        <v>1</v>
      </c>
      <c r="I162" s="274">
        <v>1</v>
      </c>
      <c r="J162" s="275">
        <f t="shared" si="320"/>
        <v>3000</v>
      </c>
      <c r="K162" s="435">
        <f t="shared" si="321"/>
        <v>3000</v>
      </c>
      <c r="L162" s="273">
        <f>'Program Budget'!N392</f>
        <v>2</v>
      </c>
      <c r="M162" s="274">
        <v>1</v>
      </c>
      <c r="N162" s="275">
        <f t="shared" si="322"/>
        <v>6000</v>
      </c>
      <c r="O162" s="435">
        <f t="shared" si="323"/>
        <v>3000</v>
      </c>
      <c r="P162" s="273">
        <f>'Program Budget'!Q392</f>
        <v>1</v>
      </c>
      <c r="Q162" s="274">
        <v>1</v>
      </c>
      <c r="R162" s="275">
        <f t="shared" si="324"/>
        <v>3000</v>
      </c>
      <c r="S162" s="435">
        <f t="shared" si="325"/>
        <v>3000</v>
      </c>
      <c r="T162" s="273">
        <f>'Program Budget'!T392</f>
        <v>1</v>
      </c>
      <c r="U162" s="274">
        <v>1</v>
      </c>
      <c r="V162" s="275">
        <f t="shared" si="326"/>
        <v>3000</v>
      </c>
      <c r="W162" s="429">
        <f t="shared" si="327"/>
        <v>18000</v>
      </c>
    </row>
    <row r="163" spans="1:23" outlineLevel="1">
      <c r="A163" s="270" t="str">
        <f>'Program Budget'!D393</f>
        <v>Food Safety Training for Farmers and Processors</v>
      </c>
      <c r="B163" s="271" t="str">
        <f>'Program Budget'!F393</f>
        <v>Training</v>
      </c>
      <c r="C163" s="435">
        <f>'Program Budget'!H393</f>
        <v>2600</v>
      </c>
      <c r="D163" s="273">
        <f>'Program Budget'!G393</f>
        <v>0</v>
      </c>
      <c r="E163" s="274">
        <v>1</v>
      </c>
      <c r="F163" s="275">
        <f t="shared" ref="F163" si="328">C163*D163*E163</f>
        <v>0</v>
      </c>
      <c r="G163" s="435">
        <f t="shared" ref="G163" si="329">C163</f>
        <v>2600</v>
      </c>
      <c r="H163" s="273">
        <f>'Program Budget'!K393</f>
        <v>2</v>
      </c>
      <c r="I163" s="274">
        <v>1</v>
      </c>
      <c r="J163" s="275">
        <f t="shared" ref="J163" si="330">G163*H163*I163</f>
        <v>5200</v>
      </c>
      <c r="K163" s="435">
        <f t="shared" ref="K163" si="331">G163</f>
        <v>2600</v>
      </c>
      <c r="L163" s="273">
        <f>'Program Budget'!N393</f>
        <v>2</v>
      </c>
      <c r="M163" s="274">
        <v>1</v>
      </c>
      <c r="N163" s="275">
        <f t="shared" ref="N163" si="332">K163*L163*M163</f>
        <v>5200</v>
      </c>
      <c r="O163" s="435">
        <f t="shared" ref="O163" si="333">K163</f>
        <v>2600</v>
      </c>
      <c r="P163" s="273">
        <f>'Program Budget'!Q393</f>
        <v>0</v>
      </c>
      <c r="Q163" s="274">
        <v>1</v>
      </c>
      <c r="R163" s="275">
        <f t="shared" ref="R163" si="334">O163*P163*Q163</f>
        <v>0</v>
      </c>
      <c r="S163" s="435">
        <f t="shared" ref="S163" si="335">O163</f>
        <v>2600</v>
      </c>
      <c r="T163" s="273">
        <f>'Program Budget'!T393</f>
        <v>0</v>
      </c>
      <c r="U163" s="274">
        <v>1</v>
      </c>
      <c r="V163" s="275">
        <f t="shared" ref="V163" si="336">S163*T163*U163</f>
        <v>0</v>
      </c>
      <c r="W163" s="429">
        <f t="shared" ref="W163" si="337">F163+J163+N163+R163+V163</f>
        <v>10400</v>
      </c>
    </row>
    <row r="164" spans="1:23" ht="15.6" outlineLevel="1">
      <c r="A164" s="546" t="s">
        <v>102</v>
      </c>
      <c r="B164" s="271"/>
      <c r="C164" s="435"/>
      <c r="D164" s="273"/>
      <c r="E164" s="274"/>
      <c r="F164" s="275"/>
      <c r="G164" s="435"/>
      <c r="H164" s="273"/>
      <c r="I164" s="274"/>
      <c r="J164" s="275"/>
      <c r="K164" s="435"/>
      <c r="L164" s="273"/>
      <c r="M164" s="274"/>
      <c r="N164" s="275"/>
      <c r="O164" s="435"/>
      <c r="P164" s="273"/>
      <c r="Q164" s="274"/>
      <c r="R164" s="275"/>
      <c r="S164" s="435"/>
      <c r="T164" s="273"/>
      <c r="U164" s="274"/>
      <c r="V164" s="275"/>
      <c r="W164" s="429"/>
    </row>
    <row r="165" spans="1:23" ht="28.2" outlineLevel="1">
      <c r="A165" s="270" t="str">
        <f>'Program Budget'!D389</f>
        <v>Communications Cost to Release RFP to Co-invest in Export-Scale Processing Infrastructure</v>
      </c>
      <c r="B165" s="271" t="str">
        <f>'Program Budget'!F389</f>
        <v>Unit</v>
      </c>
      <c r="C165" s="435">
        <f>'Program Budget'!H389</f>
        <v>1000</v>
      </c>
      <c r="D165" s="273">
        <f>'Program Budget'!G389</f>
        <v>0</v>
      </c>
      <c r="E165" s="274">
        <v>1</v>
      </c>
      <c r="F165" s="275">
        <f t="shared" ref="F165:F174" si="338">C165*D165*E165</f>
        <v>0</v>
      </c>
      <c r="G165" s="435">
        <f t="shared" ref="G165:G174" si="339">C165</f>
        <v>1000</v>
      </c>
      <c r="H165" s="273">
        <f>'Program Budget'!K389</f>
        <v>1</v>
      </c>
      <c r="I165" s="274">
        <v>1</v>
      </c>
      <c r="J165" s="275">
        <f t="shared" ref="J165:J174" si="340">G165*H165*I165</f>
        <v>1000</v>
      </c>
      <c r="K165" s="435">
        <f t="shared" ref="K165:K174" si="341">G165</f>
        <v>1000</v>
      </c>
      <c r="L165" s="273">
        <f>'Program Budget'!N389</f>
        <v>0</v>
      </c>
      <c r="M165" s="274">
        <v>1</v>
      </c>
      <c r="N165" s="275">
        <f t="shared" ref="N165:N174" si="342">K165*L165*M165</f>
        <v>0</v>
      </c>
      <c r="O165" s="435">
        <f t="shared" ref="O165:O174" si="343">K165</f>
        <v>1000</v>
      </c>
      <c r="P165" s="273">
        <f>'Program Budget'!Q389</f>
        <v>0</v>
      </c>
      <c r="Q165" s="274">
        <v>1</v>
      </c>
      <c r="R165" s="275">
        <f t="shared" ref="R165:R174" si="344">O165*P165*Q165</f>
        <v>0</v>
      </c>
      <c r="S165" s="435">
        <f t="shared" ref="S165:S174" si="345">O165</f>
        <v>1000</v>
      </c>
      <c r="T165" s="273">
        <f>'Program Budget'!T389</f>
        <v>0</v>
      </c>
      <c r="U165" s="274">
        <v>1</v>
      </c>
      <c r="V165" s="275">
        <f t="shared" ref="V165:V174" si="346">S165*T165*U165</f>
        <v>0</v>
      </c>
      <c r="W165" s="429">
        <f t="shared" ref="W165:W174" si="347">F165+J165+N165+R165+V165</f>
        <v>1000</v>
      </c>
    </row>
    <row r="166" spans="1:23" ht="28.2" outlineLevel="1">
      <c r="A166" s="270" t="str">
        <f>'Program Budget'!D390</f>
        <v>Communications Cost to Release RFP to Co-invest in Cold and Dry Storage</v>
      </c>
      <c r="B166" s="271" t="str">
        <f>'Program Budget'!F390</f>
        <v>Unit</v>
      </c>
      <c r="C166" s="435">
        <f>'Program Budget'!H390</f>
        <v>1000</v>
      </c>
      <c r="D166" s="273">
        <f>'Program Budget'!G390</f>
        <v>0</v>
      </c>
      <c r="E166" s="274">
        <v>1</v>
      </c>
      <c r="F166" s="275">
        <f t="shared" si="338"/>
        <v>0</v>
      </c>
      <c r="G166" s="435">
        <f t="shared" si="339"/>
        <v>1000</v>
      </c>
      <c r="H166" s="273">
        <f>'Program Budget'!K390</f>
        <v>1</v>
      </c>
      <c r="I166" s="274">
        <v>1</v>
      </c>
      <c r="J166" s="275">
        <f t="shared" si="340"/>
        <v>1000</v>
      </c>
      <c r="K166" s="435">
        <f t="shared" si="341"/>
        <v>1000</v>
      </c>
      <c r="L166" s="273">
        <f>'Program Budget'!N390</f>
        <v>0</v>
      </c>
      <c r="M166" s="274">
        <v>1</v>
      </c>
      <c r="N166" s="275">
        <f t="shared" si="342"/>
        <v>0</v>
      </c>
      <c r="O166" s="435">
        <f t="shared" si="343"/>
        <v>1000</v>
      </c>
      <c r="P166" s="273">
        <f>'Program Budget'!Q390</f>
        <v>0</v>
      </c>
      <c r="Q166" s="274">
        <v>1</v>
      </c>
      <c r="R166" s="275">
        <f t="shared" si="344"/>
        <v>0</v>
      </c>
      <c r="S166" s="435">
        <f t="shared" si="345"/>
        <v>1000</v>
      </c>
      <c r="T166" s="273">
        <f>'Program Budget'!T390</f>
        <v>0</v>
      </c>
      <c r="U166" s="274">
        <v>1</v>
      </c>
      <c r="V166" s="275">
        <f t="shared" si="346"/>
        <v>0</v>
      </c>
      <c r="W166" s="429">
        <f t="shared" si="347"/>
        <v>1000</v>
      </c>
    </row>
    <row r="167" spans="1:23" ht="28.2" outlineLevel="1">
      <c r="A167" s="270" t="str">
        <f>'Program Budget'!D391</f>
        <v>Communications Cost to Release RFP to Innovative Waste Utilization Businesses</v>
      </c>
      <c r="B167" s="271" t="str">
        <f>'Program Budget'!F391</f>
        <v>Unit</v>
      </c>
      <c r="C167" s="435">
        <f>'Program Budget'!H391</f>
        <v>500</v>
      </c>
      <c r="D167" s="273">
        <f>'Program Budget'!G391</f>
        <v>0</v>
      </c>
      <c r="E167" s="274">
        <v>1</v>
      </c>
      <c r="F167" s="275">
        <f t="shared" si="338"/>
        <v>0</v>
      </c>
      <c r="G167" s="435">
        <f t="shared" si="339"/>
        <v>500</v>
      </c>
      <c r="H167" s="273">
        <f>'Program Budget'!K391</f>
        <v>1</v>
      </c>
      <c r="I167" s="274">
        <v>1</v>
      </c>
      <c r="J167" s="275">
        <f t="shared" si="340"/>
        <v>500</v>
      </c>
      <c r="K167" s="435">
        <f t="shared" si="341"/>
        <v>500</v>
      </c>
      <c r="L167" s="273">
        <f>'Program Budget'!N391</f>
        <v>0</v>
      </c>
      <c r="M167" s="274">
        <v>1</v>
      </c>
      <c r="N167" s="275">
        <f t="shared" si="342"/>
        <v>0</v>
      </c>
      <c r="O167" s="435">
        <f t="shared" si="343"/>
        <v>500</v>
      </c>
      <c r="P167" s="273">
        <f>'Program Budget'!Q391</f>
        <v>0</v>
      </c>
      <c r="Q167" s="274">
        <v>1</v>
      </c>
      <c r="R167" s="275">
        <f t="shared" si="344"/>
        <v>0</v>
      </c>
      <c r="S167" s="435">
        <f t="shared" si="345"/>
        <v>500</v>
      </c>
      <c r="T167" s="273">
        <f>'Program Budget'!T391</f>
        <v>0</v>
      </c>
      <c r="U167" s="274">
        <v>1</v>
      </c>
      <c r="V167" s="275">
        <f t="shared" si="346"/>
        <v>0</v>
      </c>
      <c r="W167" s="429">
        <f t="shared" si="347"/>
        <v>500</v>
      </c>
    </row>
    <row r="168" spans="1:23" outlineLevel="1">
      <c r="A168" s="270" t="str">
        <f>'Program Budget'!D322</f>
        <v>Advertising to Facilitate Outgrower Models</v>
      </c>
      <c r="B168" s="271" t="str">
        <f>'Program Budget'!F322</f>
        <v>Year</v>
      </c>
      <c r="C168" s="435">
        <f>'Program Budget'!H322</f>
        <v>2500</v>
      </c>
      <c r="D168" s="273">
        <f>'Program Budget'!G322</f>
        <v>0</v>
      </c>
      <c r="E168" s="274">
        <v>1</v>
      </c>
      <c r="F168" s="275">
        <f t="shared" si="338"/>
        <v>0</v>
      </c>
      <c r="G168" s="435">
        <f t="shared" si="339"/>
        <v>2500</v>
      </c>
      <c r="H168" s="273">
        <f>'Program Budget'!K322</f>
        <v>1</v>
      </c>
      <c r="I168" s="274">
        <v>1</v>
      </c>
      <c r="J168" s="275">
        <f t="shared" si="340"/>
        <v>2500</v>
      </c>
      <c r="K168" s="435">
        <f t="shared" si="341"/>
        <v>2500</v>
      </c>
      <c r="L168" s="273">
        <f>'Program Budget'!N322</f>
        <v>1</v>
      </c>
      <c r="M168" s="274">
        <v>1</v>
      </c>
      <c r="N168" s="275">
        <f t="shared" si="342"/>
        <v>2500</v>
      </c>
      <c r="O168" s="435">
        <f t="shared" si="343"/>
        <v>2500</v>
      </c>
      <c r="P168" s="273">
        <f>'Program Budget'!Q322</f>
        <v>1</v>
      </c>
      <c r="Q168" s="274">
        <v>1</v>
      </c>
      <c r="R168" s="275">
        <f t="shared" si="344"/>
        <v>2500</v>
      </c>
      <c r="S168" s="435">
        <f t="shared" si="345"/>
        <v>2500</v>
      </c>
      <c r="T168" s="273">
        <f>'Program Budget'!T322</f>
        <v>0</v>
      </c>
      <c r="U168" s="274">
        <v>1</v>
      </c>
      <c r="V168" s="275">
        <f t="shared" si="346"/>
        <v>0</v>
      </c>
      <c r="W168" s="429">
        <f t="shared" si="347"/>
        <v>7500</v>
      </c>
    </row>
    <row r="169" spans="1:23" ht="15.6" outlineLevel="1">
      <c r="A169" s="546" t="s">
        <v>103</v>
      </c>
      <c r="B169" s="271"/>
      <c r="C169" s="435"/>
      <c r="D169" s="273"/>
      <c r="E169" s="274"/>
      <c r="F169" s="275"/>
      <c r="G169" s="435"/>
      <c r="H169" s="273"/>
      <c r="I169" s="274"/>
      <c r="J169" s="275"/>
      <c r="K169" s="435"/>
      <c r="L169" s="273"/>
      <c r="M169" s="274"/>
      <c r="N169" s="275"/>
      <c r="O169" s="435"/>
      <c r="P169" s="273"/>
      <c r="Q169" s="274"/>
      <c r="R169" s="275"/>
      <c r="S169" s="435"/>
      <c r="T169" s="273"/>
      <c r="U169" s="274"/>
      <c r="V169" s="275"/>
      <c r="W169" s="429"/>
    </row>
    <row r="170" spans="1:23" outlineLevel="1">
      <c r="A170" s="270" t="str">
        <f>'Program Budget'!D394</f>
        <v>Event Registration for Trade Shows</v>
      </c>
      <c r="B170" s="271" t="str">
        <f>'Program Budget'!F394</f>
        <v>Event</v>
      </c>
      <c r="C170" s="435">
        <f>'Program Budget'!H394</f>
        <v>500</v>
      </c>
      <c r="D170" s="273">
        <f>'Program Budget'!G394</f>
        <v>4</v>
      </c>
      <c r="E170" s="274">
        <v>1</v>
      </c>
      <c r="F170" s="275">
        <f t="shared" si="338"/>
        <v>2000</v>
      </c>
      <c r="G170" s="435">
        <f t="shared" si="339"/>
        <v>500</v>
      </c>
      <c r="H170" s="273">
        <f>'Program Budget'!K394</f>
        <v>4</v>
      </c>
      <c r="I170" s="274">
        <v>1</v>
      </c>
      <c r="J170" s="275">
        <f t="shared" si="340"/>
        <v>2000</v>
      </c>
      <c r="K170" s="435">
        <f t="shared" si="341"/>
        <v>500</v>
      </c>
      <c r="L170" s="273">
        <f>'Program Budget'!N394</f>
        <v>4</v>
      </c>
      <c r="M170" s="274">
        <v>1</v>
      </c>
      <c r="N170" s="275">
        <f t="shared" si="342"/>
        <v>2000</v>
      </c>
      <c r="O170" s="435">
        <f t="shared" si="343"/>
        <v>500</v>
      </c>
      <c r="P170" s="273">
        <f>'Program Budget'!Q394</f>
        <v>4</v>
      </c>
      <c r="Q170" s="274">
        <v>1</v>
      </c>
      <c r="R170" s="275">
        <f t="shared" si="344"/>
        <v>2000</v>
      </c>
      <c r="S170" s="435">
        <f t="shared" si="345"/>
        <v>500</v>
      </c>
      <c r="T170" s="273">
        <f>'Program Budget'!T394</f>
        <v>4</v>
      </c>
      <c r="U170" s="274">
        <v>1</v>
      </c>
      <c r="V170" s="275">
        <f t="shared" si="346"/>
        <v>2000</v>
      </c>
      <c r="W170" s="429">
        <f t="shared" si="347"/>
        <v>10000</v>
      </c>
    </row>
    <row r="171" spans="1:23" outlineLevel="1">
      <c r="A171" s="270" t="str">
        <f>'Program Budget'!D323</f>
        <v>Annual Agriculture Expo Event</v>
      </c>
      <c r="B171" s="271" t="str">
        <f>'Program Budget'!F323</f>
        <v>Event</v>
      </c>
      <c r="C171" s="449">
        <f>'Program Budget'!H323</f>
        <v>25000</v>
      </c>
      <c r="D171" s="450">
        <f>'Program Budget'!G323</f>
        <v>0</v>
      </c>
      <c r="E171" s="274">
        <v>1</v>
      </c>
      <c r="F171" s="451">
        <f t="shared" si="338"/>
        <v>0</v>
      </c>
      <c r="G171" s="449">
        <f t="shared" si="339"/>
        <v>25000</v>
      </c>
      <c r="H171" s="450">
        <f>'Program Budget'!K323</f>
        <v>1</v>
      </c>
      <c r="I171" s="274">
        <v>1</v>
      </c>
      <c r="J171" s="451">
        <f t="shared" si="340"/>
        <v>25000</v>
      </c>
      <c r="K171" s="449">
        <f t="shared" si="341"/>
        <v>25000</v>
      </c>
      <c r="L171" s="450">
        <f>'Program Budget'!N323</f>
        <v>0.5</v>
      </c>
      <c r="M171" s="274">
        <v>1</v>
      </c>
      <c r="N171" s="451">
        <f t="shared" si="342"/>
        <v>12500</v>
      </c>
      <c r="O171" s="449">
        <f t="shared" si="343"/>
        <v>25000</v>
      </c>
      <c r="P171" s="450">
        <f>'Program Budget'!Q323</f>
        <v>0</v>
      </c>
      <c r="Q171" s="274">
        <v>1</v>
      </c>
      <c r="R171" s="451">
        <f t="shared" si="344"/>
        <v>0</v>
      </c>
      <c r="S171" s="449">
        <f t="shared" si="345"/>
        <v>25000</v>
      </c>
      <c r="T171" s="450">
        <f>'Program Budget'!T323</f>
        <v>0</v>
      </c>
      <c r="U171" s="274">
        <v>1</v>
      </c>
      <c r="V171" s="451">
        <f t="shared" si="346"/>
        <v>0</v>
      </c>
      <c r="W171" s="429">
        <f t="shared" si="347"/>
        <v>37500</v>
      </c>
    </row>
    <row r="172" spans="1:23" ht="15.6" outlineLevel="1">
      <c r="A172" s="546" t="s">
        <v>104</v>
      </c>
      <c r="B172" s="271"/>
      <c r="C172" s="435"/>
      <c r="D172" s="273"/>
      <c r="E172" s="274"/>
      <c r="F172" s="275"/>
      <c r="G172" s="435"/>
      <c r="H172" s="273"/>
      <c r="I172" s="274"/>
      <c r="J172" s="275"/>
      <c r="K172" s="435"/>
      <c r="L172" s="273"/>
      <c r="M172" s="274"/>
      <c r="N172" s="275"/>
      <c r="O172" s="435"/>
      <c r="P172" s="273"/>
      <c r="Q172" s="274"/>
      <c r="R172" s="275"/>
      <c r="S172" s="435"/>
      <c r="T172" s="273"/>
      <c r="U172" s="274"/>
      <c r="V172" s="275"/>
      <c r="W172" s="429"/>
    </row>
    <row r="173" spans="1:23" ht="28.2" outlineLevel="1">
      <c r="A173" s="270" t="str">
        <f>'Program Budget'!D315</f>
        <v>Small Grant to Increase Women's Cooperatives' Capacity to Function as Agro-dealers</v>
      </c>
      <c r="B173" s="271" t="str">
        <f>'Program Budget'!F315</f>
        <v>Grant</v>
      </c>
      <c r="C173" s="435">
        <f>'Program Budget'!H315</f>
        <v>3000</v>
      </c>
      <c r="D173" s="273">
        <f>'Program Budget'!G315</f>
        <v>0</v>
      </c>
      <c r="E173" s="274">
        <v>1</v>
      </c>
      <c r="F173" s="275">
        <f t="shared" si="338"/>
        <v>0</v>
      </c>
      <c r="G173" s="435">
        <f t="shared" si="339"/>
        <v>3000</v>
      </c>
      <c r="H173" s="273">
        <f>'Program Budget'!K315</f>
        <v>10</v>
      </c>
      <c r="I173" s="274">
        <v>1</v>
      </c>
      <c r="J173" s="275">
        <f t="shared" si="340"/>
        <v>30000</v>
      </c>
      <c r="K173" s="435">
        <f t="shared" si="341"/>
        <v>3000</v>
      </c>
      <c r="L173" s="273">
        <f>'Program Budget'!N315</f>
        <v>0</v>
      </c>
      <c r="M173" s="274">
        <v>1</v>
      </c>
      <c r="N173" s="275">
        <f t="shared" si="342"/>
        <v>0</v>
      </c>
      <c r="O173" s="435">
        <f t="shared" si="343"/>
        <v>3000</v>
      </c>
      <c r="P173" s="273">
        <f>'Program Budget'!Q315</f>
        <v>0</v>
      </c>
      <c r="Q173" s="274">
        <v>1</v>
      </c>
      <c r="R173" s="275">
        <f t="shared" si="344"/>
        <v>0</v>
      </c>
      <c r="S173" s="435">
        <f t="shared" si="345"/>
        <v>3000</v>
      </c>
      <c r="T173" s="273">
        <f>'Program Budget'!T315</f>
        <v>0</v>
      </c>
      <c r="U173" s="274">
        <v>1</v>
      </c>
      <c r="V173" s="275">
        <f t="shared" si="346"/>
        <v>0</v>
      </c>
      <c r="W173" s="429">
        <f t="shared" si="347"/>
        <v>30000</v>
      </c>
    </row>
    <row r="174" spans="1:23" ht="28.2" outlineLevel="1">
      <c r="A174" s="270" t="str">
        <f>'Program Budget'!D388</f>
        <v>Small Grant to Cooperatives to Increase Small Scale Cold Storage Capacity</v>
      </c>
      <c r="B174" s="271" t="str">
        <f>'Program Budget'!F388</f>
        <v>Grant</v>
      </c>
      <c r="C174" s="435">
        <f>'Program Budget'!H388</f>
        <v>20000</v>
      </c>
      <c r="D174" s="273">
        <f>'Program Budget'!G388</f>
        <v>0</v>
      </c>
      <c r="E174" s="274">
        <v>1</v>
      </c>
      <c r="F174" s="275">
        <f t="shared" si="338"/>
        <v>0</v>
      </c>
      <c r="G174" s="435">
        <f t="shared" si="339"/>
        <v>20000</v>
      </c>
      <c r="H174" s="273">
        <f>'Program Budget'!K388</f>
        <v>0</v>
      </c>
      <c r="I174" s="274">
        <v>1</v>
      </c>
      <c r="J174" s="275">
        <f t="shared" si="340"/>
        <v>0</v>
      </c>
      <c r="K174" s="435">
        <f t="shared" si="341"/>
        <v>20000</v>
      </c>
      <c r="L174" s="273">
        <f>'Program Budget'!N388</f>
        <v>10</v>
      </c>
      <c r="M174" s="274">
        <v>1</v>
      </c>
      <c r="N174" s="275">
        <f t="shared" si="342"/>
        <v>200000</v>
      </c>
      <c r="O174" s="435">
        <f t="shared" si="343"/>
        <v>20000</v>
      </c>
      <c r="P174" s="273">
        <f>'Program Budget'!Q388</f>
        <v>0</v>
      </c>
      <c r="Q174" s="274">
        <v>1</v>
      </c>
      <c r="R174" s="275">
        <f t="shared" si="344"/>
        <v>0</v>
      </c>
      <c r="S174" s="435">
        <f t="shared" si="345"/>
        <v>20000</v>
      </c>
      <c r="T174" s="273">
        <f>'Program Budget'!T388</f>
        <v>0</v>
      </c>
      <c r="U174" s="274">
        <v>1</v>
      </c>
      <c r="V174" s="275">
        <f t="shared" si="346"/>
        <v>0</v>
      </c>
      <c r="W174" s="429">
        <f t="shared" si="347"/>
        <v>200000</v>
      </c>
    </row>
    <row r="175" spans="1:23" ht="15.6" outlineLevel="1">
      <c r="A175" s="546" t="s">
        <v>105</v>
      </c>
      <c r="B175" s="271"/>
      <c r="C175" s="435"/>
      <c r="D175" s="273"/>
      <c r="E175" s="274"/>
      <c r="F175" s="275"/>
      <c r="G175" s="435"/>
      <c r="H175" s="273"/>
      <c r="I175" s="274"/>
      <c r="J175" s="275"/>
      <c r="K175" s="435"/>
      <c r="L175" s="273"/>
      <c r="M175" s="274"/>
      <c r="N175" s="275"/>
      <c r="O175" s="435"/>
      <c r="P175" s="273"/>
      <c r="Q175" s="274"/>
      <c r="R175" s="275"/>
      <c r="S175" s="435"/>
      <c r="T175" s="273"/>
      <c r="U175" s="274"/>
      <c r="V175" s="275"/>
      <c r="W175" s="429"/>
    </row>
    <row r="176" spans="1:23" outlineLevel="1">
      <c r="A176" s="270" t="str">
        <f>'Program Budget'!D134</f>
        <v>Equipment and Office Repairs and Maintenance</v>
      </c>
      <c r="B176" s="271" t="str">
        <f>'Program Budget'!F134</f>
        <v>Year</v>
      </c>
      <c r="C176" s="435">
        <f>'Program Budget'!H134</f>
        <v>1500</v>
      </c>
      <c r="D176" s="273">
        <f>'Program Budget'!G134</f>
        <v>1</v>
      </c>
      <c r="E176" s="274">
        <v>1</v>
      </c>
      <c r="F176" s="275">
        <f t="shared" ref="F176:F182" si="348">C176*D176*E176</f>
        <v>1500</v>
      </c>
      <c r="G176" s="435">
        <f>C176*1.04</f>
        <v>1560</v>
      </c>
      <c r="H176" s="273">
        <f>'Program Budget'!K134</f>
        <v>1</v>
      </c>
      <c r="I176" s="274">
        <v>1</v>
      </c>
      <c r="J176" s="275">
        <f t="shared" ref="J176:J182" si="349">G176*H176*I176</f>
        <v>1560</v>
      </c>
      <c r="K176" s="435">
        <f>G176*1.04</f>
        <v>1622.4</v>
      </c>
      <c r="L176" s="273">
        <f>'Program Budget'!N134</f>
        <v>1</v>
      </c>
      <c r="M176" s="274">
        <v>1</v>
      </c>
      <c r="N176" s="275">
        <f t="shared" ref="N176:N182" si="350">K176*L176*M176</f>
        <v>1622.4</v>
      </c>
      <c r="O176" s="435">
        <f>K176*1.04</f>
        <v>1687.296</v>
      </c>
      <c r="P176" s="273">
        <f>'Program Budget'!Q134</f>
        <v>1</v>
      </c>
      <c r="Q176" s="274">
        <v>1</v>
      </c>
      <c r="R176" s="275">
        <f t="shared" ref="R176:R182" si="351">O176*P176*Q176</f>
        <v>1687.296</v>
      </c>
      <c r="S176" s="435">
        <f>O176*1.04</f>
        <v>1754.7878400000002</v>
      </c>
      <c r="T176" s="273">
        <f>'Program Budget'!T134</f>
        <v>1</v>
      </c>
      <c r="U176" s="274">
        <v>1</v>
      </c>
      <c r="V176" s="275">
        <f t="shared" ref="V176:V182" si="352">S176*T176*U176</f>
        <v>1754.7878400000002</v>
      </c>
      <c r="W176" s="429">
        <f t="shared" ref="W176:W182" si="353">F176+J176+N176+R176+V176</f>
        <v>8124.4838399999999</v>
      </c>
    </row>
    <row r="177" spans="1:23" outlineLevel="1">
      <c r="A177" s="270" t="str">
        <f>'Program Budget'!D135</f>
        <v>Motorcycle Maintenance/repairs/spare parts</v>
      </c>
      <c r="B177" s="271" t="str">
        <f>'Program Budget'!F135</f>
        <v>Year</v>
      </c>
      <c r="C177" s="435">
        <f>'Program Budget'!H135</f>
        <v>1200</v>
      </c>
      <c r="D177" s="273">
        <f>'Program Budget'!G135</f>
        <v>1</v>
      </c>
      <c r="E177" s="274">
        <v>1</v>
      </c>
      <c r="F177" s="275">
        <f t="shared" si="348"/>
        <v>1200</v>
      </c>
      <c r="G177" s="435">
        <f t="shared" ref="G177:G182" si="354">C177*1.04</f>
        <v>1248</v>
      </c>
      <c r="H177" s="273">
        <f>'Program Budget'!K135</f>
        <v>1</v>
      </c>
      <c r="I177" s="274">
        <v>1</v>
      </c>
      <c r="J177" s="275">
        <f t="shared" si="349"/>
        <v>1248</v>
      </c>
      <c r="K177" s="435">
        <f t="shared" ref="K177:K182" si="355">G177*1.04</f>
        <v>1297.92</v>
      </c>
      <c r="L177" s="273">
        <f>'Program Budget'!N135</f>
        <v>1</v>
      </c>
      <c r="M177" s="274">
        <v>1</v>
      </c>
      <c r="N177" s="275">
        <f t="shared" si="350"/>
        <v>1297.92</v>
      </c>
      <c r="O177" s="435">
        <f t="shared" ref="O177:O182" si="356">K177*1.04</f>
        <v>1349.8368</v>
      </c>
      <c r="P177" s="273">
        <f>'Program Budget'!Q135</f>
        <v>1</v>
      </c>
      <c r="Q177" s="274">
        <v>1</v>
      </c>
      <c r="R177" s="275">
        <f t="shared" si="351"/>
        <v>1349.8368</v>
      </c>
      <c r="S177" s="435">
        <f t="shared" ref="S177:S182" si="357">O177*1.04</f>
        <v>1403.8302720000002</v>
      </c>
      <c r="T177" s="273">
        <f>'Program Budget'!T135</f>
        <v>1</v>
      </c>
      <c r="U177" s="274">
        <v>1</v>
      </c>
      <c r="V177" s="275">
        <f t="shared" si="352"/>
        <v>1403.8302720000002</v>
      </c>
      <c r="W177" s="429">
        <f t="shared" si="353"/>
        <v>6499.5870720000003</v>
      </c>
    </row>
    <row r="178" spans="1:23" outlineLevel="1">
      <c r="A178" s="270" t="str">
        <f>'Program Budget'!D136</f>
        <v>Vehicle Maintenance/repairs/spare parts</v>
      </c>
      <c r="B178" s="271" t="str">
        <f>'Program Budget'!F136</f>
        <v>Month</v>
      </c>
      <c r="C178" s="435">
        <f>'Program Budget'!H136</f>
        <v>275</v>
      </c>
      <c r="D178" s="273">
        <f>'Program Budget'!G136</f>
        <v>3</v>
      </c>
      <c r="E178" s="274">
        <v>1</v>
      </c>
      <c r="F178" s="275">
        <f t="shared" si="348"/>
        <v>825</v>
      </c>
      <c r="G178" s="435">
        <f t="shared" si="354"/>
        <v>286</v>
      </c>
      <c r="H178" s="273">
        <f>'Program Budget'!K136</f>
        <v>12</v>
      </c>
      <c r="I178" s="274">
        <v>1</v>
      </c>
      <c r="J178" s="275">
        <f t="shared" si="349"/>
        <v>3432</v>
      </c>
      <c r="K178" s="435">
        <f t="shared" si="355"/>
        <v>297.44</v>
      </c>
      <c r="L178" s="273">
        <f>'Program Budget'!N136</f>
        <v>12</v>
      </c>
      <c r="M178" s="274">
        <v>1</v>
      </c>
      <c r="N178" s="275">
        <f t="shared" si="350"/>
        <v>3569.2799999999997</v>
      </c>
      <c r="O178" s="435">
        <f t="shared" si="356"/>
        <v>309.33760000000001</v>
      </c>
      <c r="P178" s="273">
        <f>'Program Budget'!Q136</f>
        <v>12</v>
      </c>
      <c r="Q178" s="274">
        <v>1</v>
      </c>
      <c r="R178" s="275">
        <f t="shared" si="351"/>
        <v>3712.0511999999999</v>
      </c>
      <c r="S178" s="435">
        <f t="shared" si="357"/>
        <v>321.71110400000003</v>
      </c>
      <c r="T178" s="273">
        <f>'Program Budget'!T136</f>
        <v>6</v>
      </c>
      <c r="U178" s="274">
        <v>1</v>
      </c>
      <c r="V178" s="275">
        <f t="shared" si="352"/>
        <v>1930.2666240000003</v>
      </c>
      <c r="W178" s="429">
        <f t="shared" si="353"/>
        <v>13468.597824</v>
      </c>
    </row>
    <row r="179" spans="1:23" ht="15.6" outlineLevel="1">
      <c r="A179" s="546" t="s">
        <v>106</v>
      </c>
      <c r="B179" s="271"/>
      <c r="C179" s="435"/>
      <c r="D179" s="273"/>
      <c r="E179" s="274"/>
      <c r="F179" s="275"/>
      <c r="G179" s="435"/>
      <c r="H179" s="273"/>
      <c r="I179" s="274"/>
      <c r="J179" s="275"/>
      <c r="K179" s="435"/>
      <c r="L179" s="273"/>
      <c r="M179" s="274"/>
      <c r="N179" s="275"/>
      <c r="O179" s="435"/>
      <c r="P179" s="273"/>
      <c r="Q179" s="274"/>
      <c r="R179" s="275"/>
      <c r="S179" s="435"/>
      <c r="T179" s="273"/>
      <c r="U179" s="274"/>
      <c r="V179" s="275"/>
      <c r="W179" s="429"/>
    </row>
    <row r="180" spans="1:23" outlineLevel="1">
      <c r="A180" s="270" t="str">
        <f>'Program Budget'!D138</f>
        <v>Property and Liability Insurance</v>
      </c>
      <c r="B180" s="271" t="str">
        <f>'Program Budget'!F138</f>
        <v>Year</v>
      </c>
      <c r="C180" s="435">
        <f>'Program Budget'!H138</f>
        <v>500</v>
      </c>
      <c r="D180" s="273">
        <f>'Program Budget'!G138</f>
        <v>1</v>
      </c>
      <c r="E180" s="274">
        <v>1</v>
      </c>
      <c r="F180" s="275">
        <f t="shared" si="348"/>
        <v>500</v>
      </c>
      <c r="G180" s="435">
        <f t="shared" si="354"/>
        <v>520</v>
      </c>
      <c r="H180" s="273">
        <f>'Program Budget'!K138</f>
        <v>1</v>
      </c>
      <c r="I180" s="274">
        <v>1</v>
      </c>
      <c r="J180" s="275">
        <f t="shared" si="349"/>
        <v>520</v>
      </c>
      <c r="K180" s="435">
        <f t="shared" si="355"/>
        <v>540.80000000000007</v>
      </c>
      <c r="L180" s="273">
        <f>'Program Budget'!N138</f>
        <v>1</v>
      </c>
      <c r="M180" s="274">
        <v>1</v>
      </c>
      <c r="N180" s="275">
        <f t="shared" si="350"/>
        <v>540.80000000000007</v>
      </c>
      <c r="O180" s="435">
        <f t="shared" si="356"/>
        <v>562.43200000000013</v>
      </c>
      <c r="P180" s="273">
        <f>'Program Budget'!Q138</f>
        <v>1</v>
      </c>
      <c r="Q180" s="274">
        <v>1</v>
      </c>
      <c r="R180" s="275">
        <f t="shared" si="351"/>
        <v>562.43200000000013</v>
      </c>
      <c r="S180" s="435">
        <f t="shared" si="357"/>
        <v>584.92928000000018</v>
      </c>
      <c r="T180" s="273">
        <f>'Program Budget'!T138</f>
        <v>1</v>
      </c>
      <c r="U180" s="274">
        <v>1</v>
      </c>
      <c r="V180" s="275">
        <f t="shared" si="352"/>
        <v>584.92928000000018</v>
      </c>
      <c r="W180" s="429">
        <f t="shared" si="353"/>
        <v>2708.1612800000007</v>
      </c>
    </row>
    <row r="181" spans="1:23" outlineLevel="1">
      <c r="A181" s="270" t="str">
        <f>'Program Budget'!D139</f>
        <v>Motorcycle Insurance</v>
      </c>
      <c r="B181" s="271" t="str">
        <f>'Program Budget'!F139</f>
        <v>Year</v>
      </c>
      <c r="C181" s="435">
        <f>'Program Budget'!H139</f>
        <v>75</v>
      </c>
      <c r="D181" s="273">
        <f>'Program Budget'!G139</f>
        <v>20</v>
      </c>
      <c r="E181" s="274">
        <v>1</v>
      </c>
      <c r="F181" s="275">
        <f t="shared" si="348"/>
        <v>1500</v>
      </c>
      <c r="G181" s="435">
        <f t="shared" si="354"/>
        <v>78</v>
      </c>
      <c r="H181" s="273">
        <f>'Program Budget'!K139</f>
        <v>20</v>
      </c>
      <c r="I181" s="274">
        <v>1</v>
      </c>
      <c r="J181" s="275">
        <f t="shared" si="349"/>
        <v>1560</v>
      </c>
      <c r="K181" s="435">
        <f t="shared" si="355"/>
        <v>81.12</v>
      </c>
      <c r="L181" s="273">
        <f>'Program Budget'!N139</f>
        <v>20</v>
      </c>
      <c r="M181" s="274">
        <v>1</v>
      </c>
      <c r="N181" s="275">
        <f t="shared" si="350"/>
        <v>1622.4</v>
      </c>
      <c r="O181" s="435">
        <f t="shared" si="356"/>
        <v>84.364800000000002</v>
      </c>
      <c r="P181" s="273">
        <f>'Program Budget'!Q139</f>
        <v>20</v>
      </c>
      <c r="Q181" s="274">
        <v>1</v>
      </c>
      <c r="R181" s="275">
        <f t="shared" si="351"/>
        <v>1687.296</v>
      </c>
      <c r="S181" s="435">
        <f t="shared" si="357"/>
        <v>87.739392000000009</v>
      </c>
      <c r="T181" s="273">
        <f>'Program Budget'!T139</f>
        <v>20</v>
      </c>
      <c r="U181" s="274">
        <v>1</v>
      </c>
      <c r="V181" s="275">
        <f t="shared" si="352"/>
        <v>1754.7878400000002</v>
      </c>
      <c r="W181" s="429">
        <f t="shared" si="353"/>
        <v>8124.4838399999999</v>
      </c>
    </row>
    <row r="182" spans="1:23" outlineLevel="1">
      <c r="A182" s="270" t="str">
        <f>'Program Budget'!D140</f>
        <v>Vehicle Insurance</v>
      </c>
      <c r="B182" s="271" t="str">
        <f>'Program Budget'!F140</f>
        <v>Year</v>
      </c>
      <c r="C182" s="435">
        <f>'Program Budget'!H140</f>
        <v>200</v>
      </c>
      <c r="D182" s="273">
        <f>'Program Budget'!G140</f>
        <v>2</v>
      </c>
      <c r="E182" s="274">
        <v>1</v>
      </c>
      <c r="F182" s="275">
        <f t="shared" si="348"/>
        <v>400</v>
      </c>
      <c r="G182" s="435">
        <f t="shared" si="354"/>
        <v>208</v>
      </c>
      <c r="H182" s="273">
        <f>'Program Budget'!K140</f>
        <v>2</v>
      </c>
      <c r="I182" s="274">
        <v>1</v>
      </c>
      <c r="J182" s="275">
        <f t="shared" si="349"/>
        <v>416</v>
      </c>
      <c r="K182" s="435">
        <f t="shared" si="355"/>
        <v>216.32</v>
      </c>
      <c r="L182" s="273">
        <f>'Program Budget'!N140</f>
        <v>2</v>
      </c>
      <c r="M182" s="274">
        <v>1</v>
      </c>
      <c r="N182" s="275">
        <f t="shared" si="350"/>
        <v>432.64</v>
      </c>
      <c r="O182" s="435">
        <f t="shared" si="356"/>
        <v>224.97280000000001</v>
      </c>
      <c r="P182" s="273">
        <f>'Program Budget'!Q140</f>
        <v>2</v>
      </c>
      <c r="Q182" s="274">
        <v>1</v>
      </c>
      <c r="R182" s="275">
        <f t="shared" si="351"/>
        <v>449.94560000000001</v>
      </c>
      <c r="S182" s="435">
        <f t="shared" si="357"/>
        <v>233.97171200000003</v>
      </c>
      <c r="T182" s="273">
        <f>'Program Budget'!T140</f>
        <v>2</v>
      </c>
      <c r="U182" s="274">
        <v>1</v>
      </c>
      <c r="V182" s="275">
        <f t="shared" si="352"/>
        <v>467.94342400000005</v>
      </c>
      <c r="W182" s="429">
        <f t="shared" si="353"/>
        <v>2166.5290239999999</v>
      </c>
    </row>
    <row r="183" spans="1:23" ht="15.6" outlineLevel="1">
      <c r="A183" s="557"/>
      <c r="B183" s="318"/>
      <c r="C183" s="442"/>
      <c r="D183" s="357"/>
      <c r="E183" s="321"/>
      <c r="F183" s="322"/>
      <c r="G183" s="442"/>
      <c r="H183" s="357"/>
      <c r="I183" s="321"/>
      <c r="J183" s="322"/>
      <c r="K183" s="442"/>
      <c r="L183" s="357"/>
      <c r="M183" s="321"/>
      <c r="N183" s="322"/>
      <c r="O183" s="442"/>
      <c r="P183" s="357"/>
      <c r="Q183" s="321"/>
      <c r="R183" s="322"/>
      <c r="S183" s="442"/>
      <c r="T183" s="357"/>
      <c r="U183" s="321"/>
      <c r="V183" s="322"/>
      <c r="W183" s="277"/>
    </row>
    <row r="184" spans="1:23" ht="18.3" outlineLevel="1">
      <c r="A184" s="558" t="s">
        <v>107</v>
      </c>
      <c r="B184" s="304"/>
      <c r="C184" s="439"/>
      <c r="D184" s="329"/>
      <c r="E184" s="360"/>
      <c r="F184" s="331">
        <f>SUM(F146:F182)</f>
        <v>146425</v>
      </c>
      <c r="G184" s="439"/>
      <c r="H184" s="329"/>
      <c r="I184" s="332"/>
      <c r="J184" s="331">
        <f>SUM(J146:J182)</f>
        <v>395436</v>
      </c>
      <c r="K184" s="439"/>
      <c r="L184" s="329"/>
      <c r="M184" s="360"/>
      <c r="N184" s="331">
        <f>SUM(N146:N182)</f>
        <v>392785.44000000006</v>
      </c>
      <c r="O184" s="439"/>
      <c r="P184" s="329"/>
      <c r="Q184" s="332"/>
      <c r="R184" s="331">
        <f>SUM(R146:R182)</f>
        <v>144448.85759999999</v>
      </c>
      <c r="S184" s="439"/>
      <c r="T184" s="329"/>
      <c r="U184" s="332"/>
      <c r="V184" s="331">
        <f>SUM(V146:V182)</f>
        <v>20396.545280000002</v>
      </c>
      <c r="W184" s="331">
        <f>SUM(W146:W182)</f>
        <v>1099491.8428799999</v>
      </c>
    </row>
    <row r="185" spans="1:23" ht="15.6" outlineLevel="1">
      <c r="A185" s="559"/>
      <c r="B185" s="316"/>
      <c r="C185" s="441"/>
      <c r="D185" s="355"/>
      <c r="F185" s="275"/>
      <c r="G185" s="275"/>
      <c r="H185" s="275"/>
      <c r="I185" s="275"/>
      <c r="J185" s="275"/>
      <c r="K185" s="275"/>
      <c r="L185" s="275"/>
      <c r="N185" s="277"/>
      <c r="O185" s="441"/>
      <c r="P185" s="355"/>
      <c r="R185" s="277"/>
      <c r="S185" s="441"/>
      <c r="T185" s="355"/>
      <c r="V185" s="277"/>
      <c r="W185" s="277"/>
    </row>
    <row r="186" spans="1:23" ht="18.3" outlineLevel="1">
      <c r="A186" s="560" t="s">
        <v>108</v>
      </c>
      <c r="B186" s="363"/>
      <c r="C186" s="443"/>
      <c r="D186" s="365"/>
      <c r="E186" s="366"/>
      <c r="F186" s="367">
        <f>F33+F51+F75+F128+F145+F107+F184+F115</f>
        <v>2355554.5999999996</v>
      </c>
      <c r="G186" s="443"/>
      <c r="H186" s="365"/>
      <c r="I186" s="368"/>
      <c r="J186" s="367">
        <f>J33+J51+J75+J128+J145+J107+J184+J115</f>
        <v>3257764.872</v>
      </c>
      <c r="K186" s="443"/>
      <c r="L186" s="365"/>
      <c r="M186" s="366"/>
      <c r="N186" s="367">
        <f>N33+N51+N75+N128+N145+N107+N184+N115</f>
        <v>2750352.1260800003</v>
      </c>
      <c r="O186" s="443"/>
      <c r="P186" s="365"/>
      <c r="Q186" s="368"/>
      <c r="R186" s="367">
        <f>R33+R51+R75+R128+R145+R107+R184+R115</f>
        <v>1844247.3766912003</v>
      </c>
      <c r="S186" s="443"/>
      <c r="T186" s="365"/>
      <c r="U186" s="368"/>
      <c r="V186" s="367">
        <f>V33+V51+V75+V128+V145+V107+V184+V115</f>
        <v>1820711.3570271572</v>
      </c>
      <c r="W186" s="367">
        <f>W33+W51+W75+W128+W145+W107+W184+W115</f>
        <v>12028630.331798356</v>
      </c>
    </row>
    <row r="187" spans="1:23" ht="15.6">
      <c r="A187" s="561"/>
      <c r="B187" s="316"/>
      <c r="C187" s="441"/>
      <c r="D187" s="355"/>
      <c r="F187" s="275"/>
      <c r="G187" s="441"/>
      <c r="H187" s="355"/>
      <c r="J187" s="277"/>
      <c r="K187" s="441"/>
      <c r="L187" s="355"/>
      <c r="N187" s="277"/>
      <c r="O187" s="441"/>
      <c r="P187" s="355"/>
      <c r="R187" s="277"/>
      <c r="S187" s="441"/>
      <c r="T187" s="355"/>
      <c r="V187" s="277"/>
      <c r="W187" s="277"/>
    </row>
    <row r="188" spans="1:23" ht="20.399999999999999">
      <c r="A188" s="562" t="s">
        <v>54</v>
      </c>
      <c r="B188" s="370"/>
      <c r="C188" s="444"/>
      <c r="D188" s="371"/>
      <c r="E188" s="371"/>
      <c r="F188" s="371"/>
      <c r="G188" s="444"/>
      <c r="H188" s="371"/>
      <c r="I188" s="371"/>
      <c r="J188" s="371"/>
      <c r="K188" s="444"/>
      <c r="L188" s="371"/>
      <c r="M188" s="371"/>
      <c r="N188" s="371"/>
      <c r="O188" s="444"/>
      <c r="P188" s="371"/>
      <c r="Q188" s="371"/>
      <c r="R188" s="371"/>
      <c r="S188" s="444"/>
      <c r="T188" s="371"/>
      <c r="U188" s="371"/>
      <c r="V188" s="371"/>
      <c r="W188" s="370"/>
    </row>
    <row r="189" spans="1:23" ht="15" customHeight="1">
      <c r="A189" s="563" t="s">
        <v>55</v>
      </c>
      <c r="B189" s="373"/>
      <c r="C189" s="445"/>
      <c r="D189" s="374"/>
      <c r="E189" s="374"/>
      <c r="F189" s="275">
        <f>'Indirect Calculations'!D48</f>
        <v>264550.13358666666</v>
      </c>
      <c r="G189" s="445"/>
      <c r="H189" s="374"/>
      <c r="I189" s="374"/>
      <c r="J189" s="275">
        <f>'Indirect Calculations'!E48</f>
        <v>192544.06088848002</v>
      </c>
      <c r="K189" s="445"/>
      <c r="L189" s="374"/>
      <c r="M189" s="374"/>
      <c r="N189" s="275">
        <f>'Indirect Calculations'!F48</f>
        <v>187953.54187429117</v>
      </c>
      <c r="O189" s="445"/>
      <c r="P189" s="374"/>
      <c r="Q189" s="374"/>
      <c r="R189" s="275">
        <f>'Indirect Calculations'!G48</f>
        <v>118565.92034926284</v>
      </c>
      <c r="S189" s="445"/>
      <c r="T189" s="374"/>
      <c r="U189" s="374"/>
      <c r="V189" s="275">
        <f>'Indirect Calculations'!H48</f>
        <v>222579.17235388228</v>
      </c>
      <c r="W189" s="411">
        <f>ROUNDDOWN(F189+J189+N189+R189+V189,2)</f>
        <v>986192.82</v>
      </c>
    </row>
    <row r="190" spans="1:23" ht="15" customHeight="1">
      <c r="A190" s="563" t="s">
        <v>56</v>
      </c>
      <c r="B190" s="373"/>
      <c r="C190" s="445"/>
      <c r="D190" s="374"/>
      <c r="E190" s="374"/>
      <c r="F190" s="275">
        <f>'Indirect Calculations'!D62</f>
        <v>392409.89582666667</v>
      </c>
      <c r="G190" s="445"/>
      <c r="H190" s="374"/>
      <c r="I190" s="374"/>
      <c r="J190" s="275">
        <f>'Indirect Calculations'!E62</f>
        <v>727337.84491312003</v>
      </c>
      <c r="K190" s="445"/>
      <c r="L190" s="374"/>
      <c r="M190" s="374"/>
      <c r="N190" s="275">
        <f>'Indirect Calculations'!F62</f>
        <v>588432.03938113281</v>
      </c>
      <c r="O190" s="445"/>
      <c r="P190" s="374"/>
      <c r="Q190" s="374"/>
      <c r="R190" s="275">
        <f>'Indirect Calculations'!G62</f>
        <v>401573.23777900852</v>
      </c>
      <c r="S190" s="445"/>
      <c r="T190" s="374"/>
      <c r="U190" s="374"/>
      <c r="V190" s="275">
        <f>'Indirect Calculations'!H62</f>
        <v>290903.99941339786</v>
      </c>
      <c r="W190" s="411">
        <f>ROUNDDOWN(F190+J190+N190+R190+V190,2)</f>
        <v>2400657.0099999998</v>
      </c>
    </row>
    <row r="191" spans="1:23">
      <c r="A191" s="564"/>
      <c r="B191" s="316"/>
      <c r="C191" s="440"/>
      <c r="D191" s="376"/>
      <c r="E191" s="377"/>
      <c r="F191" s="275"/>
      <c r="G191" s="440"/>
      <c r="H191" s="376"/>
      <c r="I191" s="276"/>
      <c r="J191" s="275"/>
      <c r="K191" s="440"/>
      <c r="L191" s="376"/>
      <c r="M191" s="377"/>
      <c r="N191" s="275"/>
      <c r="O191" s="440"/>
      <c r="P191" s="376"/>
      <c r="Q191" s="276"/>
      <c r="R191" s="275"/>
      <c r="S191" s="440"/>
      <c r="T191" s="376"/>
      <c r="U191" s="276"/>
      <c r="V191" s="275"/>
      <c r="W191" s="277"/>
    </row>
    <row r="192" spans="1:23" ht="18.3">
      <c r="A192" s="560" t="s">
        <v>109</v>
      </c>
      <c r="B192" s="363"/>
      <c r="C192" s="443"/>
      <c r="D192" s="365"/>
      <c r="E192" s="366"/>
      <c r="F192" s="367">
        <f>SUM(F189:F191)</f>
        <v>656960.0294133334</v>
      </c>
      <c r="G192" s="443"/>
      <c r="H192" s="365"/>
      <c r="I192" s="368"/>
      <c r="J192" s="367">
        <f>SUM(J189:J191)</f>
        <v>919881.90580160008</v>
      </c>
      <c r="K192" s="443"/>
      <c r="L192" s="365"/>
      <c r="M192" s="366"/>
      <c r="N192" s="367">
        <f>SUM(N189:N191)</f>
        <v>776385.58125542395</v>
      </c>
      <c r="O192" s="443"/>
      <c r="P192" s="365"/>
      <c r="Q192" s="368"/>
      <c r="R192" s="367">
        <f>SUM(R189:R191)</f>
        <v>520139.15812827135</v>
      </c>
      <c r="S192" s="443"/>
      <c r="T192" s="365"/>
      <c r="U192" s="368"/>
      <c r="V192" s="367">
        <f>SUM(V189:V191)</f>
        <v>513483.17176728015</v>
      </c>
      <c r="W192" s="367">
        <f>SUM(W189:W191)</f>
        <v>3386849.8299999996</v>
      </c>
    </row>
    <row r="193" spans="1:23" ht="15.6">
      <c r="A193" s="565"/>
      <c r="B193" s="316"/>
      <c r="C193" s="440"/>
      <c r="D193" s="376"/>
      <c r="E193" s="377"/>
      <c r="F193" s="275"/>
      <c r="G193" s="440"/>
      <c r="H193" s="376"/>
      <c r="I193" s="276"/>
      <c r="J193" s="275"/>
      <c r="K193" s="440"/>
      <c r="L193" s="376"/>
      <c r="M193" s="377"/>
      <c r="N193" s="275"/>
      <c r="O193" s="440"/>
      <c r="P193" s="376"/>
      <c r="Q193" s="276"/>
      <c r="R193" s="275"/>
      <c r="S193" s="440"/>
      <c r="T193" s="376"/>
      <c r="U193" s="276"/>
      <c r="V193" s="275"/>
      <c r="W193" s="277">
        <f>F193+J193+N193+R193+V193</f>
        <v>0</v>
      </c>
    </row>
    <row r="194" spans="1:23" ht="18.3">
      <c r="A194" s="566" t="s">
        <v>110</v>
      </c>
      <c r="B194" s="383"/>
      <c r="C194" s="446"/>
      <c r="D194" s="385"/>
      <c r="E194" s="386"/>
      <c r="F194" s="387">
        <f>F186+F192</f>
        <v>3012514.6294133328</v>
      </c>
      <c r="G194" s="446"/>
      <c r="H194" s="385"/>
      <c r="I194" s="388"/>
      <c r="J194" s="387">
        <f>J186+J192</f>
        <v>4177646.7778016003</v>
      </c>
      <c r="K194" s="446"/>
      <c r="L194" s="385"/>
      <c r="M194" s="386"/>
      <c r="N194" s="387">
        <f>N186+N192</f>
        <v>3526737.7073354241</v>
      </c>
      <c r="O194" s="446"/>
      <c r="P194" s="385"/>
      <c r="Q194" s="388"/>
      <c r="R194" s="387">
        <f>R186+R192</f>
        <v>2364386.5348194716</v>
      </c>
      <c r="S194" s="446"/>
      <c r="T194" s="385"/>
      <c r="U194" s="388"/>
      <c r="V194" s="387">
        <f>V186+V192</f>
        <v>2334194.5287944372</v>
      </c>
      <c r="W194" s="389">
        <f>F194+J194+N194+R194+V194</f>
        <v>15415480.178164266</v>
      </c>
    </row>
    <row r="195" spans="1:23" outlineLevel="1">
      <c r="A195" s="270" t="str">
        <f>'Program Budget'!D398</f>
        <v>Venue Space for Investment Roundtables</v>
      </c>
      <c r="B195" s="271" t="str">
        <f>'Program Budget'!F398</f>
        <v>Roundtable</v>
      </c>
      <c r="C195" s="435">
        <f>'Program Budget'!H398</f>
        <v>166.6</v>
      </c>
      <c r="D195" s="273">
        <f>'Program Budget'!G398</f>
        <v>1</v>
      </c>
      <c r="E195" s="274">
        <v>1</v>
      </c>
      <c r="F195" s="275">
        <f t="shared" ref="F195" si="358">C195*D195*E195</f>
        <v>166.6</v>
      </c>
      <c r="G195" s="435">
        <f>C195</f>
        <v>166.6</v>
      </c>
      <c r="H195" s="273">
        <f>'Program Budget'!K398</f>
        <v>1</v>
      </c>
      <c r="I195" s="274">
        <v>1</v>
      </c>
      <c r="J195" s="275">
        <f t="shared" ref="J195" si="359">G195*H195*I195</f>
        <v>166.6</v>
      </c>
      <c r="K195" s="435">
        <f>G195</f>
        <v>166.6</v>
      </c>
      <c r="L195" s="273">
        <f>'Program Budget'!N398</f>
        <v>2</v>
      </c>
      <c r="M195" s="274">
        <v>1</v>
      </c>
      <c r="N195" s="275">
        <f t="shared" ref="N195" si="360">K195*L195*M195</f>
        <v>333.2</v>
      </c>
      <c r="O195" s="435">
        <f>K195</f>
        <v>166.6</v>
      </c>
      <c r="P195" s="273">
        <f>'Program Budget'!Q398</f>
        <v>1</v>
      </c>
      <c r="Q195" s="274">
        <v>1</v>
      </c>
      <c r="R195" s="275">
        <f t="shared" ref="R195" si="361">O195*P195*Q195</f>
        <v>166.6</v>
      </c>
      <c r="S195" s="435">
        <f>O195</f>
        <v>166.6</v>
      </c>
      <c r="T195" s="273">
        <f>'Program Budget'!T398</f>
        <v>1</v>
      </c>
      <c r="U195" s="274">
        <v>1</v>
      </c>
      <c r="V195" s="275">
        <f t="shared" ref="V195" si="362">S195*T195*U195</f>
        <v>166.6</v>
      </c>
      <c r="W195" s="429">
        <f t="shared" ref="W195" si="363">F195+J195+N195+R195+V195</f>
        <v>999.6</v>
      </c>
    </row>
    <row r="196" spans="1:23">
      <c r="A196" s="270" t="str">
        <f>'Program Budget'!D399</f>
        <v>Cost Share for Post Harvest Processing Equipment and Infrastructure</v>
      </c>
      <c r="B196" s="271" t="str">
        <f>'Program Budget'!F399</f>
        <v>Unit</v>
      </c>
      <c r="C196" s="435">
        <f>'Program Budget'!H399</f>
        <v>210000</v>
      </c>
      <c r="D196" s="273">
        <f>'Program Budget'!G399</f>
        <v>0</v>
      </c>
      <c r="E196" s="274">
        <v>1</v>
      </c>
      <c r="F196" s="275">
        <f t="shared" ref="F196:F198" si="364">C196*D196*E196</f>
        <v>0</v>
      </c>
      <c r="G196" s="435">
        <f t="shared" ref="G196:G198" si="365">C196</f>
        <v>210000</v>
      </c>
      <c r="H196" s="273">
        <f>'Program Budget'!K399</f>
        <v>0</v>
      </c>
      <c r="I196" s="274">
        <v>1</v>
      </c>
      <c r="J196" s="275">
        <f t="shared" ref="J196:J198" si="366">G196*H196*I196</f>
        <v>0</v>
      </c>
      <c r="K196" s="435">
        <f t="shared" ref="K196:K198" si="367">G196</f>
        <v>210000</v>
      </c>
      <c r="L196" s="273">
        <f>'Program Budget'!N399</f>
        <v>1</v>
      </c>
      <c r="M196" s="274">
        <v>1</v>
      </c>
      <c r="N196" s="275">
        <f t="shared" ref="N196:N198" si="368">K196*L196*M196</f>
        <v>210000</v>
      </c>
      <c r="O196" s="435">
        <f t="shared" ref="O196:O198" si="369">K196</f>
        <v>210000</v>
      </c>
      <c r="P196" s="273">
        <f>'Program Budget'!Q399</f>
        <v>0</v>
      </c>
      <c r="Q196" s="274">
        <v>1</v>
      </c>
      <c r="R196" s="275">
        <f t="shared" ref="R196:R198" si="370">O196*P196*Q196</f>
        <v>0</v>
      </c>
      <c r="S196" s="435">
        <f t="shared" ref="S196:S198" si="371">O196</f>
        <v>210000</v>
      </c>
      <c r="T196" s="273">
        <f>'Program Budget'!T399</f>
        <v>0</v>
      </c>
      <c r="U196" s="274">
        <v>1</v>
      </c>
      <c r="V196" s="275">
        <f t="shared" ref="V196:V198" si="372">S196*T196*U196</f>
        <v>0</v>
      </c>
      <c r="W196" s="429">
        <f t="shared" ref="W196:W198" si="373">F196+J196+N196+R196+V196</f>
        <v>210000</v>
      </c>
    </row>
    <row r="197" spans="1:23" ht="28.2">
      <c r="A197" s="270" t="str">
        <f>'Program Budget'!D400</f>
        <v>Cost Share for Co-invest in Small-Scale Processing Infrastructure for Cooperatives</v>
      </c>
      <c r="B197" s="271" t="str">
        <f>'Program Budget'!F400</f>
        <v>Cooperative</v>
      </c>
      <c r="C197" s="435">
        <f>'Program Budget'!H400</f>
        <v>5000</v>
      </c>
      <c r="D197" s="273">
        <f>'Program Budget'!G400</f>
        <v>0</v>
      </c>
      <c r="E197" s="274">
        <v>1</v>
      </c>
      <c r="F197" s="275">
        <f t="shared" si="364"/>
        <v>0</v>
      </c>
      <c r="G197" s="435">
        <f t="shared" si="365"/>
        <v>5000</v>
      </c>
      <c r="H197" s="273">
        <f>'Program Budget'!K400</f>
        <v>5</v>
      </c>
      <c r="I197" s="274">
        <v>1</v>
      </c>
      <c r="J197" s="275">
        <f t="shared" si="366"/>
        <v>25000</v>
      </c>
      <c r="K197" s="435">
        <f t="shared" si="367"/>
        <v>5000</v>
      </c>
      <c r="L197" s="273">
        <f>'Program Budget'!N400</f>
        <v>5</v>
      </c>
      <c r="M197" s="274">
        <v>1</v>
      </c>
      <c r="N197" s="275">
        <f t="shared" si="368"/>
        <v>25000</v>
      </c>
      <c r="O197" s="435">
        <f t="shared" si="369"/>
        <v>5000</v>
      </c>
      <c r="P197" s="273">
        <f>'Program Budget'!Q400</f>
        <v>0</v>
      </c>
      <c r="Q197" s="274">
        <v>1</v>
      </c>
      <c r="R197" s="275">
        <f t="shared" si="370"/>
        <v>0</v>
      </c>
      <c r="S197" s="435">
        <f t="shared" si="371"/>
        <v>5000</v>
      </c>
      <c r="T197" s="273">
        <f>'Program Budget'!T400</f>
        <v>0</v>
      </c>
      <c r="U197" s="274">
        <v>1</v>
      </c>
      <c r="V197" s="275">
        <f t="shared" si="372"/>
        <v>0</v>
      </c>
      <c r="W197" s="429">
        <f t="shared" si="373"/>
        <v>50000</v>
      </c>
    </row>
    <row r="198" spans="1:23" ht="28.2">
      <c r="A198" s="270" t="str">
        <f>'Program Budget'!D401</f>
        <v>Cost Share for Large Scale Cold and Dry Storage Equipment and Infrastructure</v>
      </c>
      <c r="B198" s="271" t="str">
        <f>'Program Budget'!F401</f>
        <v>Unit</v>
      </c>
      <c r="C198" s="435">
        <f>'Program Budget'!H401</f>
        <v>339000</v>
      </c>
      <c r="D198" s="273">
        <f>'Program Budget'!G401</f>
        <v>0</v>
      </c>
      <c r="E198" s="274">
        <v>1</v>
      </c>
      <c r="F198" s="275">
        <f t="shared" si="364"/>
        <v>0</v>
      </c>
      <c r="G198" s="435">
        <f t="shared" si="365"/>
        <v>339000</v>
      </c>
      <c r="H198" s="273">
        <f>'Program Budget'!K401</f>
        <v>1</v>
      </c>
      <c r="I198" s="274">
        <v>1</v>
      </c>
      <c r="J198" s="275">
        <f t="shared" si="366"/>
        <v>339000</v>
      </c>
      <c r="K198" s="435">
        <f t="shared" si="367"/>
        <v>339000</v>
      </c>
      <c r="L198" s="273">
        <f>'Program Budget'!N401</f>
        <v>0</v>
      </c>
      <c r="M198" s="274">
        <v>1</v>
      </c>
      <c r="N198" s="275">
        <f t="shared" si="368"/>
        <v>0</v>
      </c>
      <c r="O198" s="435">
        <f t="shared" si="369"/>
        <v>339000</v>
      </c>
      <c r="P198" s="273">
        <f>'Program Budget'!Q401</f>
        <v>0</v>
      </c>
      <c r="Q198" s="274">
        <v>1</v>
      </c>
      <c r="R198" s="275">
        <f t="shared" si="370"/>
        <v>0</v>
      </c>
      <c r="S198" s="435">
        <f t="shared" si="371"/>
        <v>339000</v>
      </c>
      <c r="T198" s="273">
        <f>'Program Budget'!T401</f>
        <v>0</v>
      </c>
      <c r="U198" s="274">
        <v>1</v>
      </c>
      <c r="V198" s="275">
        <f t="shared" si="372"/>
        <v>0</v>
      </c>
      <c r="W198" s="429">
        <f t="shared" si="373"/>
        <v>339000</v>
      </c>
    </row>
    <row r="199" spans="1:23" ht="18.3">
      <c r="A199" s="566" t="s">
        <v>111</v>
      </c>
      <c r="B199" s="383"/>
      <c r="C199" s="446"/>
      <c r="D199" s="385"/>
      <c r="E199" s="386"/>
      <c r="F199" s="387">
        <f>F194+F198+F197+F196+F195</f>
        <v>3012681.2294133329</v>
      </c>
      <c r="G199" s="446"/>
      <c r="H199" s="385"/>
      <c r="I199" s="388"/>
      <c r="J199" s="387">
        <f>J194+J198+J197+J196+J195</f>
        <v>4541813.3778015999</v>
      </c>
      <c r="K199" s="446"/>
      <c r="L199" s="385"/>
      <c r="M199" s="386"/>
      <c r="N199" s="387">
        <f>N194+N198+N197+N196+N195</f>
        <v>3762070.9073354243</v>
      </c>
      <c r="O199" s="446"/>
      <c r="P199" s="385"/>
      <c r="Q199" s="388"/>
      <c r="R199" s="387">
        <f>R194+R198+R197+R196+R195</f>
        <v>2364553.1348194717</v>
      </c>
      <c r="S199" s="446"/>
      <c r="T199" s="385"/>
      <c r="U199" s="388"/>
      <c r="V199" s="387">
        <f>V194+V198+V197+V196+V195</f>
        <v>2334361.1287944373</v>
      </c>
      <c r="W199" s="387">
        <f>ROUNDUP(W194+W198+W197+W196+W195,0)</f>
        <v>16015480</v>
      </c>
    </row>
    <row r="200" spans="1:23">
      <c r="A200" s="567"/>
      <c r="B200" s="271"/>
      <c r="W200" s="277"/>
    </row>
    <row r="201" spans="1:23" ht="31.2">
      <c r="A201" s="568" t="s">
        <v>112</v>
      </c>
      <c r="B201" s="395"/>
      <c r="C201" s="447"/>
      <c r="D201" s="397"/>
      <c r="E201" s="398"/>
      <c r="F201" s="399"/>
      <c r="G201" s="447"/>
      <c r="H201" s="397"/>
      <c r="I201" s="400"/>
      <c r="J201" s="401"/>
      <c r="K201" s="447"/>
      <c r="L201" s="397"/>
      <c r="M201" s="398"/>
      <c r="N201" s="401"/>
      <c r="O201" s="447"/>
      <c r="P201" s="397"/>
      <c r="Q201" s="400"/>
      <c r="R201" s="401"/>
      <c r="S201" s="447"/>
      <c r="T201" s="397"/>
      <c r="U201" s="400"/>
      <c r="V201" s="401"/>
      <c r="W201" s="401">
        <v>7878</v>
      </c>
    </row>
    <row r="203" spans="1:23">
      <c r="J203" s="423"/>
    </row>
  </sheetData>
  <mergeCells count="8">
    <mergeCell ref="S2:V2"/>
    <mergeCell ref="W2:W3"/>
    <mergeCell ref="A2:A3"/>
    <mergeCell ref="B2:B3"/>
    <mergeCell ref="C2:F2"/>
    <mergeCell ref="G2:J2"/>
    <mergeCell ref="K2:N2"/>
    <mergeCell ref="O2:R2"/>
  </mergeCells>
  <printOptions horizontalCentered="1"/>
  <pageMargins left="0.25" right="0.25" top="0.75" bottom="0.75" header="0.3" footer="0.3"/>
  <pageSetup scale="17" orientation="landscape" r:id="rId1"/>
  <headerFooter alignWithMargins="0"/>
  <rowBreaks count="1" manualBreakCount="1">
    <brk id="193" max="17"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D678-7AFE-41C7-895A-A79E31A9668A}">
  <sheetPr>
    <tabColor theme="8"/>
    <pageSetUpPr fitToPage="1"/>
  </sheetPr>
  <dimension ref="A1:AJ149"/>
  <sheetViews>
    <sheetView showOutlineSymbols="0" showWhiteSpace="0" zoomScale="70" zoomScaleNormal="70" workbookViewId="0">
      <pane xSplit="1" ySplit="3" topLeftCell="P12" activePane="bottomRight" state="frozen"/>
      <selection pane="topRight" activeCell="B1" sqref="B1"/>
      <selection pane="bottomLeft" activeCell="A4" sqref="A4"/>
      <selection pane="bottomRight" activeCell="F22" sqref="F22"/>
    </sheetView>
  </sheetViews>
  <sheetFormatPr defaultRowHeight="14.4" outlineLevelRow="1" outlineLevelCol="1"/>
  <cols>
    <col min="1" max="1" width="61.27734375" style="233" customWidth="1"/>
    <col min="2" max="2" width="13" style="233" customWidth="1"/>
    <col min="3" max="3" width="15.27734375" style="234" customWidth="1" outlineLevel="1"/>
    <col min="4" max="4" width="15.27734375" style="235" customWidth="1" outlineLevel="1"/>
    <col min="5" max="5" width="16.1640625" style="236" customWidth="1" outlineLevel="1"/>
    <col min="6" max="6" width="15.27734375" style="233" customWidth="1"/>
    <col min="7" max="7" width="15.27734375" style="234" customWidth="1" outlineLevel="1"/>
    <col min="8" max="8" width="15.27734375" style="235" customWidth="1" outlineLevel="1"/>
    <col min="9" max="9" width="15.27734375" style="237" customWidth="1" outlineLevel="1"/>
    <col min="10" max="10" width="15.27734375" style="234" customWidth="1"/>
    <col min="11" max="11" width="15.27734375" style="234" customWidth="1" outlineLevel="1"/>
    <col min="12" max="12" width="15.27734375" style="235" customWidth="1" outlineLevel="1"/>
    <col min="13" max="13" width="15.27734375" style="236" customWidth="1" outlineLevel="1"/>
    <col min="14" max="14" width="15.27734375" style="234" customWidth="1"/>
    <col min="15" max="15" width="15.27734375" style="234" customWidth="1" outlineLevel="1"/>
    <col min="16" max="16" width="15.27734375" style="235" customWidth="1" outlineLevel="1"/>
    <col min="17" max="17" width="15.27734375" style="237" customWidth="1" outlineLevel="1"/>
    <col min="18" max="18" width="15.27734375" style="234" customWidth="1"/>
    <col min="19" max="19" width="15.27734375" style="234" customWidth="1" outlineLevel="1"/>
    <col min="20" max="20" width="15.27734375" style="235" customWidth="1" outlineLevel="1"/>
    <col min="21" max="21" width="15.27734375" style="237" customWidth="1" outlineLevel="1"/>
    <col min="22" max="22" width="16.1640625" style="234" customWidth="1"/>
    <col min="23" max="23" width="17.44140625" style="408" customWidth="1"/>
    <col min="24" max="24" width="9" style="233" customWidth="1"/>
    <col min="25" max="25" width="8.71875" style="233" customWidth="1"/>
    <col min="26" max="26" width="10.83203125" style="233" customWidth="1"/>
    <col min="27" max="27" width="8.71875" style="233" customWidth="1"/>
    <col min="28" max="28" width="10.83203125" style="233" customWidth="1"/>
    <col min="29" max="29" width="4.83203125" style="233" customWidth="1"/>
    <col min="30" max="30" width="4.83203125" style="233" hidden="1" customWidth="1"/>
    <col min="31" max="31" width="7" style="238" hidden="1" customWidth="1"/>
    <col min="32" max="32" width="19.27734375" style="233" hidden="1" customWidth="1"/>
    <col min="33" max="33" width="34" style="233" hidden="1" customWidth="1"/>
    <col min="34" max="34" width="9.71875" style="233" hidden="1" customWidth="1"/>
    <col min="35" max="35" width="9.71875" style="233" customWidth="1"/>
    <col min="36" max="36" width="14.27734375" style="233" customWidth="1"/>
    <col min="37" max="264" width="8.83203125" style="233"/>
    <col min="265" max="265" width="38.27734375" style="233" customWidth="1"/>
    <col min="266" max="266" width="23.44140625" style="233" bestFit="1" customWidth="1"/>
    <col min="267" max="268" width="9.1640625" style="233" customWidth="1"/>
    <col min="269" max="269" width="11.27734375" style="233" bestFit="1" customWidth="1"/>
    <col min="270" max="270" width="14.44140625" style="233" bestFit="1" customWidth="1"/>
    <col min="271" max="271" width="8.1640625" style="233" customWidth="1"/>
    <col min="272" max="272" width="10.83203125" style="233" bestFit="1" customWidth="1"/>
    <col min="273" max="273" width="12.27734375" style="233" bestFit="1" customWidth="1"/>
    <col min="274" max="274" width="9.1640625" style="233" customWidth="1"/>
    <col min="275" max="275" width="10.83203125" style="233" bestFit="1" customWidth="1"/>
    <col min="276" max="276" width="12.27734375" style="233" bestFit="1" customWidth="1"/>
    <col min="277" max="277" width="8" style="233" customWidth="1"/>
    <col min="278" max="278" width="10.83203125" style="233" bestFit="1" customWidth="1"/>
    <col min="279" max="279" width="12.27734375" style="233" bestFit="1" customWidth="1"/>
    <col min="280" max="280" width="8.1640625" style="233" bestFit="1" customWidth="1"/>
    <col min="281" max="281" width="10.83203125" style="233" bestFit="1" customWidth="1"/>
    <col min="282" max="282" width="12.27734375" style="233" bestFit="1" customWidth="1"/>
    <col min="283" max="283" width="18.27734375" style="233" bestFit="1" customWidth="1"/>
    <col min="284" max="284" width="10.83203125" style="233" bestFit="1" customWidth="1"/>
    <col min="285" max="520" width="8.83203125" style="233"/>
    <col min="521" max="521" width="38.27734375" style="233" customWidth="1"/>
    <col min="522" max="522" width="23.44140625" style="233" bestFit="1" customWidth="1"/>
    <col min="523" max="524" width="9.1640625" style="233" customWidth="1"/>
    <col min="525" max="525" width="11.27734375" style="233" bestFit="1" customWidth="1"/>
    <col min="526" max="526" width="14.44140625" style="233" bestFit="1" customWidth="1"/>
    <col min="527" max="527" width="8.1640625" style="233" customWidth="1"/>
    <col min="528" max="528" width="10.83203125" style="233" bestFit="1" customWidth="1"/>
    <col min="529" max="529" width="12.27734375" style="233" bestFit="1" customWidth="1"/>
    <col min="530" max="530" width="9.1640625" style="233" customWidth="1"/>
    <col min="531" max="531" width="10.83203125" style="233" bestFit="1" customWidth="1"/>
    <col min="532" max="532" width="12.27734375" style="233" bestFit="1" customWidth="1"/>
    <col min="533" max="533" width="8" style="233" customWidth="1"/>
    <col min="534" max="534" width="10.83203125" style="233" bestFit="1" customWidth="1"/>
    <col min="535" max="535" width="12.27734375" style="233" bestFit="1" customWidth="1"/>
    <col min="536" max="536" width="8.1640625" style="233" bestFit="1" customWidth="1"/>
    <col min="537" max="537" width="10.83203125" style="233" bestFit="1" customWidth="1"/>
    <col min="538" max="538" width="12.27734375" style="233" bestFit="1" customWidth="1"/>
    <col min="539" max="539" width="18.27734375" style="233" bestFit="1" customWidth="1"/>
    <col min="540" max="540" width="10.83203125" style="233" bestFit="1" customWidth="1"/>
    <col min="541" max="776" width="8.83203125" style="233"/>
    <col min="777" max="777" width="38.27734375" style="233" customWidth="1"/>
    <col min="778" max="778" width="23.44140625" style="233" bestFit="1" customWidth="1"/>
    <col min="779" max="780" width="9.1640625" style="233" customWidth="1"/>
    <col min="781" max="781" width="11.27734375" style="233" bestFit="1" customWidth="1"/>
    <col min="782" max="782" width="14.44140625" style="233" bestFit="1" customWidth="1"/>
    <col min="783" max="783" width="8.1640625" style="233" customWidth="1"/>
    <col min="784" max="784" width="10.83203125" style="233" bestFit="1" customWidth="1"/>
    <col min="785" max="785" width="12.27734375" style="233" bestFit="1" customWidth="1"/>
    <col min="786" max="786" width="9.1640625" style="233" customWidth="1"/>
    <col min="787" max="787" width="10.83203125" style="233" bestFit="1" customWidth="1"/>
    <col min="788" max="788" width="12.27734375" style="233" bestFit="1" customWidth="1"/>
    <col min="789" max="789" width="8" style="233" customWidth="1"/>
    <col min="790" max="790" width="10.83203125" style="233" bestFit="1" customWidth="1"/>
    <col min="791" max="791" width="12.27734375" style="233" bestFit="1" customWidth="1"/>
    <col min="792" max="792" width="8.1640625" style="233" bestFit="1" customWidth="1"/>
    <col min="793" max="793" width="10.83203125" style="233" bestFit="1" customWidth="1"/>
    <col min="794" max="794" width="12.27734375" style="233" bestFit="1" customWidth="1"/>
    <col min="795" max="795" width="18.27734375" style="233" bestFit="1" customWidth="1"/>
    <col min="796" max="796" width="10.83203125" style="233" bestFit="1" customWidth="1"/>
    <col min="797" max="1032" width="8.83203125" style="233"/>
    <col min="1033" max="1033" width="38.27734375" style="233" customWidth="1"/>
    <col min="1034" max="1034" width="23.44140625" style="233" bestFit="1" customWidth="1"/>
    <col min="1035" max="1036" width="9.1640625" style="233" customWidth="1"/>
    <col min="1037" max="1037" width="11.27734375" style="233" bestFit="1" customWidth="1"/>
    <col min="1038" max="1038" width="14.44140625" style="233" bestFit="1" customWidth="1"/>
    <col min="1039" max="1039" width="8.1640625" style="233" customWidth="1"/>
    <col min="1040" max="1040" width="10.83203125" style="233" bestFit="1" customWidth="1"/>
    <col min="1041" max="1041" width="12.27734375" style="233" bestFit="1" customWidth="1"/>
    <col min="1042" max="1042" width="9.1640625" style="233" customWidth="1"/>
    <col min="1043" max="1043" width="10.83203125" style="233" bestFit="1" customWidth="1"/>
    <col min="1044" max="1044" width="12.27734375" style="233" bestFit="1" customWidth="1"/>
    <col min="1045" max="1045" width="8" style="233" customWidth="1"/>
    <col min="1046" max="1046" width="10.83203125" style="233" bestFit="1" customWidth="1"/>
    <col min="1047" max="1047" width="12.27734375" style="233" bestFit="1" customWidth="1"/>
    <col min="1048" max="1048" width="8.1640625" style="233" bestFit="1" customWidth="1"/>
    <col min="1049" max="1049" width="10.83203125" style="233" bestFit="1" customWidth="1"/>
    <col min="1050" max="1050" width="12.27734375" style="233" bestFit="1" customWidth="1"/>
    <col min="1051" max="1051" width="18.27734375" style="233" bestFit="1" customWidth="1"/>
    <col min="1052" max="1052" width="10.83203125" style="233" bestFit="1" customWidth="1"/>
    <col min="1053" max="1288" width="8.83203125" style="233"/>
    <col min="1289" max="1289" width="38.27734375" style="233" customWidth="1"/>
    <col min="1290" max="1290" width="23.44140625" style="233" bestFit="1" customWidth="1"/>
    <col min="1291" max="1292" width="9.1640625" style="233" customWidth="1"/>
    <col min="1293" max="1293" width="11.27734375" style="233" bestFit="1" customWidth="1"/>
    <col min="1294" max="1294" width="14.44140625" style="233" bestFit="1" customWidth="1"/>
    <col min="1295" max="1295" width="8.1640625" style="233" customWidth="1"/>
    <col min="1296" max="1296" width="10.83203125" style="233" bestFit="1" customWidth="1"/>
    <col min="1297" max="1297" width="12.27734375" style="233" bestFit="1" customWidth="1"/>
    <col min="1298" max="1298" width="9.1640625" style="233" customWidth="1"/>
    <col min="1299" max="1299" width="10.83203125" style="233" bestFit="1" customWidth="1"/>
    <col min="1300" max="1300" width="12.27734375" style="233" bestFit="1" customWidth="1"/>
    <col min="1301" max="1301" width="8" style="233" customWidth="1"/>
    <col min="1302" max="1302" width="10.83203125" style="233" bestFit="1" customWidth="1"/>
    <col min="1303" max="1303" width="12.27734375" style="233" bestFit="1" customWidth="1"/>
    <col min="1304" max="1304" width="8.1640625" style="233" bestFit="1" customWidth="1"/>
    <col min="1305" max="1305" width="10.83203125" style="233" bestFit="1" customWidth="1"/>
    <col min="1306" max="1306" width="12.27734375" style="233" bestFit="1" customWidth="1"/>
    <col min="1307" max="1307" width="18.27734375" style="233" bestFit="1" customWidth="1"/>
    <col min="1308" max="1308" width="10.83203125" style="233" bestFit="1" customWidth="1"/>
    <col min="1309" max="1544" width="8.83203125" style="233"/>
    <col min="1545" max="1545" width="38.27734375" style="233" customWidth="1"/>
    <col min="1546" max="1546" width="23.44140625" style="233" bestFit="1" customWidth="1"/>
    <col min="1547" max="1548" width="9.1640625" style="233" customWidth="1"/>
    <col min="1549" max="1549" width="11.27734375" style="233" bestFit="1" customWidth="1"/>
    <col min="1550" max="1550" width="14.44140625" style="233" bestFit="1" customWidth="1"/>
    <col min="1551" max="1551" width="8.1640625" style="233" customWidth="1"/>
    <col min="1552" max="1552" width="10.83203125" style="233" bestFit="1" customWidth="1"/>
    <col min="1553" max="1553" width="12.27734375" style="233" bestFit="1" customWidth="1"/>
    <col min="1554" max="1554" width="9.1640625" style="233" customWidth="1"/>
    <col min="1555" max="1555" width="10.83203125" style="233" bestFit="1" customWidth="1"/>
    <col min="1556" max="1556" width="12.27734375" style="233" bestFit="1" customWidth="1"/>
    <col min="1557" max="1557" width="8" style="233" customWidth="1"/>
    <col min="1558" max="1558" width="10.83203125" style="233" bestFit="1" customWidth="1"/>
    <col min="1559" max="1559" width="12.27734375" style="233" bestFit="1" customWidth="1"/>
    <col min="1560" max="1560" width="8.1640625" style="233" bestFit="1" customWidth="1"/>
    <col min="1561" max="1561" width="10.83203125" style="233" bestFit="1" customWidth="1"/>
    <col min="1562" max="1562" width="12.27734375" style="233" bestFit="1" customWidth="1"/>
    <col min="1563" max="1563" width="18.27734375" style="233" bestFit="1" customWidth="1"/>
    <col min="1564" max="1564" width="10.83203125" style="233" bestFit="1" customWidth="1"/>
    <col min="1565" max="1800" width="8.83203125" style="233"/>
    <col min="1801" max="1801" width="38.27734375" style="233" customWidth="1"/>
    <col min="1802" max="1802" width="23.44140625" style="233" bestFit="1" customWidth="1"/>
    <col min="1803" max="1804" width="9.1640625" style="233" customWidth="1"/>
    <col min="1805" max="1805" width="11.27734375" style="233" bestFit="1" customWidth="1"/>
    <col min="1806" max="1806" width="14.44140625" style="233" bestFit="1" customWidth="1"/>
    <col min="1807" max="1807" width="8.1640625" style="233" customWidth="1"/>
    <col min="1808" max="1808" width="10.83203125" style="233" bestFit="1" customWidth="1"/>
    <col min="1809" max="1809" width="12.27734375" style="233" bestFit="1" customWidth="1"/>
    <col min="1810" max="1810" width="9.1640625" style="233" customWidth="1"/>
    <col min="1811" max="1811" width="10.83203125" style="233" bestFit="1" customWidth="1"/>
    <col min="1812" max="1812" width="12.27734375" style="233" bestFit="1" customWidth="1"/>
    <col min="1813" max="1813" width="8" style="233" customWidth="1"/>
    <col min="1814" max="1814" width="10.83203125" style="233" bestFit="1" customWidth="1"/>
    <col min="1815" max="1815" width="12.27734375" style="233" bestFit="1" customWidth="1"/>
    <col min="1816" max="1816" width="8.1640625" style="233" bestFit="1" customWidth="1"/>
    <col min="1817" max="1817" width="10.83203125" style="233" bestFit="1" customWidth="1"/>
    <col min="1818" max="1818" width="12.27734375" style="233" bestFit="1" customWidth="1"/>
    <col min="1819" max="1819" width="18.27734375" style="233" bestFit="1" customWidth="1"/>
    <col min="1820" max="1820" width="10.83203125" style="233" bestFit="1" customWidth="1"/>
    <col min="1821" max="2056" width="8.83203125" style="233"/>
    <col min="2057" max="2057" width="38.27734375" style="233" customWidth="1"/>
    <col min="2058" max="2058" width="23.44140625" style="233" bestFit="1" customWidth="1"/>
    <col min="2059" max="2060" width="9.1640625" style="233" customWidth="1"/>
    <col min="2061" max="2061" width="11.27734375" style="233" bestFit="1" customWidth="1"/>
    <col min="2062" max="2062" width="14.44140625" style="233" bestFit="1" customWidth="1"/>
    <col min="2063" max="2063" width="8.1640625" style="233" customWidth="1"/>
    <col min="2064" max="2064" width="10.83203125" style="233" bestFit="1" customWidth="1"/>
    <col min="2065" max="2065" width="12.27734375" style="233" bestFit="1" customWidth="1"/>
    <col min="2066" max="2066" width="9.1640625" style="233" customWidth="1"/>
    <col min="2067" max="2067" width="10.83203125" style="233" bestFit="1" customWidth="1"/>
    <col min="2068" max="2068" width="12.27734375" style="233" bestFit="1" customWidth="1"/>
    <col min="2069" max="2069" width="8" style="233" customWidth="1"/>
    <col min="2070" max="2070" width="10.83203125" style="233" bestFit="1" customWidth="1"/>
    <col min="2071" max="2071" width="12.27734375" style="233" bestFit="1" customWidth="1"/>
    <col min="2072" max="2072" width="8.1640625" style="233" bestFit="1" customWidth="1"/>
    <col min="2073" max="2073" width="10.83203125" style="233" bestFit="1" customWidth="1"/>
    <col min="2074" max="2074" width="12.27734375" style="233" bestFit="1" customWidth="1"/>
    <col min="2075" max="2075" width="18.27734375" style="233" bestFit="1" customWidth="1"/>
    <col min="2076" max="2076" width="10.83203125" style="233" bestFit="1" customWidth="1"/>
    <col min="2077" max="2312" width="8.83203125" style="233"/>
    <col min="2313" max="2313" width="38.27734375" style="233" customWidth="1"/>
    <col min="2314" max="2314" width="23.44140625" style="233" bestFit="1" customWidth="1"/>
    <col min="2315" max="2316" width="9.1640625" style="233" customWidth="1"/>
    <col min="2317" max="2317" width="11.27734375" style="233" bestFit="1" customWidth="1"/>
    <col min="2318" max="2318" width="14.44140625" style="233" bestFit="1" customWidth="1"/>
    <col min="2319" max="2319" width="8.1640625" style="233" customWidth="1"/>
    <col min="2320" max="2320" width="10.83203125" style="233" bestFit="1" customWidth="1"/>
    <col min="2321" max="2321" width="12.27734375" style="233" bestFit="1" customWidth="1"/>
    <col min="2322" max="2322" width="9.1640625" style="233" customWidth="1"/>
    <col min="2323" max="2323" width="10.83203125" style="233" bestFit="1" customWidth="1"/>
    <col min="2324" max="2324" width="12.27734375" style="233" bestFit="1" customWidth="1"/>
    <col min="2325" max="2325" width="8" style="233" customWidth="1"/>
    <col min="2326" max="2326" width="10.83203125" style="233" bestFit="1" customWidth="1"/>
    <col min="2327" max="2327" width="12.27734375" style="233" bestFit="1" customWidth="1"/>
    <col min="2328" max="2328" width="8.1640625" style="233" bestFit="1" customWidth="1"/>
    <col min="2329" max="2329" width="10.83203125" style="233" bestFit="1" customWidth="1"/>
    <col min="2330" max="2330" width="12.27734375" style="233" bestFit="1" customWidth="1"/>
    <col min="2331" max="2331" width="18.27734375" style="233" bestFit="1" customWidth="1"/>
    <col min="2332" max="2332" width="10.83203125" style="233" bestFit="1" customWidth="1"/>
    <col min="2333" max="2568" width="8.83203125" style="233"/>
    <col min="2569" max="2569" width="38.27734375" style="233" customWidth="1"/>
    <col min="2570" max="2570" width="23.44140625" style="233" bestFit="1" customWidth="1"/>
    <col min="2571" max="2572" width="9.1640625" style="233" customWidth="1"/>
    <col min="2573" max="2573" width="11.27734375" style="233" bestFit="1" customWidth="1"/>
    <col min="2574" max="2574" width="14.44140625" style="233" bestFit="1" customWidth="1"/>
    <col min="2575" max="2575" width="8.1640625" style="233" customWidth="1"/>
    <col min="2576" max="2576" width="10.83203125" style="233" bestFit="1" customWidth="1"/>
    <col min="2577" max="2577" width="12.27734375" style="233" bestFit="1" customWidth="1"/>
    <col min="2578" max="2578" width="9.1640625" style="233" customWidth="1"/>
    <col min="2579" max="2579" width="10.83203125" style="233" bestFit="1" customWidth="1"/>
    <col min="2580" max="2580" width="12.27734375" style="233" bestFit="1" customWidth="1"/>
    <col min="2581" max="2581" width="8" style="233" customWidth="1"/>
    <col min="2582" max="2582" width="10.83203125" style="233" bestFit="1" customWidth="1"/>
    <col min="2583" max="2583" width="12.27734375" style="233" bestFit="1" customWidth="1"/>
    <col min="2584" max="2584" width="8.1640625" style="233" bestFit="1" customWidth="1"/>
    <col min="2585" max="2585" width="10.83203125" style="233" bestFit="1" customWidth="1"/>
    <col min="2586" max="2586" width="12.27734375" style="233" bestFit="1" customWidth="1"/>
    <col min="2587" max="2587" width="18.27734375" style="233" bestFit="1" customWidth="1"/>
    <col min="2588" max="2588" width="10.83203125" style="233" bestFit="1" customWidth="1"/>
    <col min="2589" max="2824" width="8.83203125" style="233"/>
    <col min="2825" max="2825" width="38.27734375" style="233" customWidth="1"/>
    <col min="2826" max="2826" width="23.44140625" style="233" bestFit="1" customWidth="1"/>
    <col min="2827" max="2828" width="9.1640625" style="233" customWidth="1"/>
    <col min="2829" max="2829" width="11.27734375" style="233" bestFit="1" customWidth="1"/>
    <col min="2830" max="2830" width="14.44140625" style="233" bestFit="1" customWidth="1"/>
    <col min="2831" max="2831" width="8.1640625" style="233" customWidth="1"/>
    <col min="2832" max="2832" width="10.83203125" style="233" bestFit="1" customWidth="1"/>
    <col min="2833" max="2833" width="12.27734375" style="233" bestFit="1" customWidth="1"/>
    <col min="2834" max="2834" width="9.1640625" style="233" customWidth="1"/>
    <col min="2835" max="2835" width="10.83203125" style="233" bestFit="1" customWidth="1"/>
    <col min="2836" max="2836" width="12.27734375" style="233" bestFit="1" customWidth="1"/>
    <col min="2837" max="2837" width="8" style="233" customWidth="1"/>
    <col min="2838" max="2838" width="10.83203125" style="233" bestFit="1" customWidth="1"/>
    <col min="2839" max="2839" width="12.27734375" style="233" bestFit="1" customWidth="1"/>
    <col min="2840" max="2840" width="8.1640625" style="233" bestFit="1" customWidth="1"/>
    <col min="2841" max="2841" width="10.83203125" style="233" bestFit="1" customWidth="1"/>
    <col min="2842" max="2842" width="12.27734375" style="233" bestFit="1" customWidth="1"/>
    <col min="2843" max="2843" width="18.27734375" style="233" bestFit="1" customWidth="1"/>
    <col min="2844" max="2844" width="10.83203125" style="233" bestFit="1" customWidth="1"/>
    <col min="2845" max="3080" width="8.83203125" style="233"/>
    <col min="3081" max="3081" width="38.27734375" style="233" customWidth="1"/>
    <col min="3082" max="3082" width="23.44140625" style="233" bestFit="1" customWidth="1"/>
    <col min="3083" max="3084" width="9.1640625" style="233" customWidth="1"/>
    <col min="3085" max="3085" width="11.27734375" style="233" bestFit="1" customWidth="1"/>
    <col min="3086" max="3086" width="14.44140625" style="233" bestFit="1" customWidth="1"/>
    <col min="3087" max="3087" width="8.1640625" style="233" customWidth="1"/>
    <col min="3088" max="3088" width="10.83203125" style="233" bestFit="1" customWidth="1"/>
    <col min="3089" max="3089" width="12.27734375" style="233" bestFit="1" customWidth="1"/>
    <col min="3090" max="3090" width="9.1640625" style="233" customWidth="1"/>
    <col min="3091" max="3091" width="10.83203125" style="233" bestFit="1" customWidth="1"/>
    <col min="3092" max="3092" width="12.27734375" style="233" bestFit="1" customWidth="1"/>
    <col min="3093" max="3093" width="8" style="233" customWidth="1"/>
    <col min="3094" max="3094" width="10.83203125" style="233" bestFit="1" customWidth="1"/>
    <col min="3095" max="3095" width="12.27734375" style="233" bestFit="1" customWidth="1"/>
    <col min="3096" max="3096" width="8.1640625" style="233" bestFit="1" customWidth="1"/>
    <col min="3097" max="3097" width="10.83203125" style="233" bestFit="1" customWidth="1"/>
    <col min="3098" max="3098" width="12.27734375" style="233" bestFit="1" customWidth="1"/>
    <col min="3099" max="3099" width="18.27734375" style="233" bestFit="1" customWidth="1"/>
    <col min="3100" max="3100" width="10.83203125" style="233" bestFit="1" customWidth="1"/>
    <col min="3101" max="3336" width="8.83203125" style="233"/>
    <col min="3337" max="3337" width="38.27734375" style="233" customWidth="1"/>
    <col min="3338" max="3338" width="23.44140625" style="233" bestFit="1" customWidth="1"/>
    <col min="3339" max="3340" width="9.1640625" style="233" customWidth="1"/>
    <col min="3341" max="3341" width="11.27734375" style="233" bestFit="1" customWidth="1"/>
    <col min="3342" max="3342" width="14.44140625" style="233" bestFit="1" customWidth="1"/>
    <col min="3343" max="3343" width="8.1640625" style="233" customWidth="1"/>
    <col min="3344" max="3344" width="10.83203125" style="233" bestFit="1" customWidth="1"/>
    <col min="3345" max="3345" width="12.27734375" style="233" bestFit="1" customWidth="1"/>
    <col min="3346" max="3346" width="9.1640625" style="233" customWidth="1"/>
    <col min="3347" max="3347" width="10.83203125" style="233" bestFit="1" customWidth="1"/>
    <col min="3348" max="3348" width="12.27734375" style="233" bestFit="1" customWidth="1"/>
    <col min="3349" max="3349" width="8" style="233" customWidth="1"/>
    <col min="3350" max="3350" width="10.83203125" style="233" bestFit="1" customWidth="1"/>
    <col min="3351" max="3351" width="12.27734375" style="233" bestFit="1" customWidth="1"/>
    <col min="3352" max="3352" width="8.1640625" style="233" bestFit="1" customWidth="1"/>
    <col min="3353" max="3353" width="10.83203125" style="233" bestFit="1" customWidth="1"/>
    <col min="3354" max="3354" width="12.27734375" style="233" bestFit="1" customWidth="1"/>
    <col min="3355" max="3355" width="18.27734375" style="233" bestFit="1" customWidth="1"/>
    <col min="3356" max="3356" width="10.83203125" style="233" bestFit="1" customWidth="1"/>
    <col min="3357" max="3592" width="8.83203125" style="233"/>
    <col min="3593" max="3593" width="38.27734375" style="233" customWidth="1"/>
    <col min="3594" max="3594" width="23.44140625" style="233" bestFit="1" customWidth="1"/>
    <col min="3595" max="3596" width="9.1640625" style="233" customWidth="1"/>
    <col min="3597" max="3597" width="11.27734375" style="233" bestFit="1" customWidth="1"/>
    <col min="3598" max="3598" width="14.44140625" style="233" bestFit="1" customWidth="1"/>
    <col min="3599" max="3599" width="8.1640625" style="233" customWidth="1"/>
    <col min="3600" max="3600" width="10.83203125" style="233" bestFit="1" customWidth="1"/>
    <col min="3601" max="3601" width="12.27734375" style="233" bestFit="1" customWidth="1"/>
    <col min="3602" max="3602" width="9.1640625" style="233" customWidth="1"/>
    <col min="3603" max="3603" width="10.83203125" style="233" bestFit="1" customWidth="1"/>
    <col min="3604" max="3604" width="12.27734375" style="233" bestFit="1" customWidth="1"/>
    <col min="3605" max="3605" width="8" style="233" customWidth="1"/>
    <col min="3606" max="3606" width="10.83203125" style="233" bestFit="1" customWidth="1"/>
    <col min="3607" max="3607" width="12.27734375" style="233" bestFit="1" customWidth="1"/>
    <col min="3608" max="3608" width="8.1640625" style="233" bestFit="1" customWidth="1"/>
    <col min="3609" max="3609" width="10.83203125" style="233" bestFit="1" customWidth="1"/>
    <col min="3610" max="3610" width="12.27734375" style="233" bestFit="1" customWidth="1"/>
    <col min="3611" max="3611" width="18.27734375" style="233" bestFit="1" customWidth="1"/>
    <col min="3612" max="3612" width="10.83203125" style="233" bestFit="1" customWidth="1"/>
    <col min="3613" max="3848" width="8.83203125" style="233"/>
    <col min="3849" max="3849" width="38.27734375" style="233" customWidth="1"/>
    <col min="3850" max="3850" width="23.44140625" style="233" bestFit="1" customWidth="1"/>
    <col min="3851" max="3852" width="9.1640625" style="233" customWidth="1"/>
    <col min="3853" max="3853" width="11.27734375" style="233" bestFit="1" customWidth="1"/>
    <col min="3854" max="3854" width="14.44140625" style="233" bestFit="1" customWidth="1"/>
    <col min="3855" max="3855" width="8.1640625" style="233" customWidth="1"/>
    <col min="3856" max="3856" width="10.83203125" style="233" bestFit="1" customWidth="1"/>
    <col min="3857" max="3857" width="12.27734375" style="233" bestFit="1" customWidth="1"/>
    <col min="3858" max="3858" width="9.1640625" style="233" customWidth="1"/>
    <col min="3859" max="3859" width="10.83203125" style="233" bestFit="1" customWidth="1"/>
    <col min="3860" max="3860" width="12.27734375" style="233" bestFit="1" customWidth="1"/>
    <col min="3861" max="3861" width="8" style="233" customWidth="1"/>
    <col min="3862" max="3862" width="10.83203125" style="233" bestFit="1" customWidth="1"/>
    <col min="3863" max="3863" width="12.27734375" style="233" bestFit="1" customWidth="1"/>
    <col min="3864" max="3864" width="8.1640625" style="233" bestFit="1" customWidth="1"/>
    <col min="3865" max="3865" width="10.83203125" style="233" bestFit="1" customWidth="1"/>
    <col min="3866" max="3866" width="12.27734375" style="233" bestFit="1" customWidth="1"/>
    <col min="3867" max="3867" width="18.27734375" style="233" bestFit="1" customWidth="1"/>
    <col min="3868" max="3868" width="10.83203125" style="233" bestFit="1" customWidth="1"/>
    <col min="3869" max="4104" width="8.83203125" style="233"/>
    <col min="4105" max="4105" width="38.27734375" style="233" customWidth="1"/>
    <col min="4106" max="4106" width="23.44140625" style="233" bestFit="1" customWidth="1"/>
    <col min="4107" max="4108" width="9.1640625" style="233" customWidth="1"/>
    <col min="4109" max="4109" width="11.27734375" style="233" bestFit="1" customWidth="1"/>
    <col min="4110" max="4110" width="14.44140625" style="233" bestFit="1" customWidth="1"/>
    <col min="4111" max="4111" width="8.1640625" style="233" customWidth="1"/>
    <col min="4112" max="4112" width="10.83203125" style="233" bestFit="1" customWidth="1"/>
    <col min="4113" max="4113" width="12.27734375" style="233" bestFit="1" customWidth="1"/>
    <col min="4114" max="4114" width="9.1640625" style="233" customWidth="1"/>
    <col min="4115" max="4115" width="10.83203125" style="233" bestFit="1" customWidth="1"/>
    <col min="4116" max="4116" width="12.27734375" style="233" bestFit="1" customWidth="1"/>
    <col min="4117" max="4117" width="8" style="233" customWidth="1"/>
    <col min="4118" max="4118" width="10.83203125" style="233" bestFit="1" customWidth="1"/>
    <col min="4119" max="4119" width="12.27734375" style="233" bestFit="1" customWidth="1"/>
    <col min="4120" max="4120" width="8.1640625" style="233" bestFit="1" customWidth="1"/>
    <col min="4121" max="4121" width="10.83203125" style="233" bestFit="1" customWidth="1"/>
    <col min="4122" max="4122" width="12.27734375" style="233" bestFit="1" customWidth="1"/>
    <col min="4123" max="4123" width="18.27734375" style="233" bestFit="1" customWidth="1"/>
    <col min="4124" max="4124" width="10.83203125" style="233" bestFit="1" customWidth="1"/>
    <col min="4125" max="4360" width="8.83203125" style="233"/>
    <col min="4361" max="4361" width="38.27734375" style="233" customWidth="1"/>
    <col min="4362" max="4362" width="23.44140625" style="233" bestFit="1" customWidth="1"/>
    <col min="4363" max="4364" width="9.1640625" style="233" customWidth="1"/>
    <col min="4365" max="4365" width="11.27734375" style="233" bestFit="1" customWidth="1"/>
    <col min="4366" max="4366" width="14.44140625" style="233" bestFit="1" customWidth="1"/>
    <col min="4367" max="4367" width="8.1640625" style="233" customWidth="1"/>
    <col min="4368" max="4368" width="10.83203125" style="233" bestFit="1" customWidth="1"/>
    <col min="4369" max="4369" width="12.27734375" style="233" bestFit="1" customWidth="1"/>
    <col min="4370" max="4370" width="9.1640625" style="233" customWidth="1"/>
    <col min="4371" max="4371" width="10.83203125" style="233" bestFit="1" customWidth="1"/>
    <col min="4372" max="4372" width="12.27734375" style="233" bestFit="1" customWidth="1"/>
    <col min="4373" max="4373" width="8" style="233" customWidth="1"/>
    <col min="4374" max="4374" width="10.83203125" style="233" bestFit="1" customWidth="1"/>
    <col min="4375" max="4375" width="12.27734375" style="233" bestFit="1" customWidth="1"/>
    <col min="4376" max="4376" width="8.1640625" style="233" bestFit="1" customWidth="1"/>
    <col min="4377" max="4377" width="10.83203125" style="233" bestFit="1" customWidth="1"/>
    <col min="4378" max="4378" width="12.27734375" style="233" bestFit="1" customWidth="1"/>
    <col min="4379" max="4379" width="18.27734375" style="233" bestFit="1" customWidth="1"/>
    <col min="4380" max="4380" width="10.83203125" style="233" bestFit="1" customWidth="1"/>
    <col min="4381" max="4616" width="8.83203125" style="233"/>
    <col min="4617" max="4617" width="38.27734375" style="233" customWidth="1"/>
    <col min="4618" max="4618" width="23.44140625" style="233" bestFit="1" customWidth="1"/>
    <col min="4619" max="4620" width="9.1640625" style="233" customWidth="1"/>
    <col min="4621" max="4621" width="11.27734375" style="233" bestFit="1" customWidth="1"/>
    <col min="4622" max="4622" width="14.44140625" style="233" bestFit="1" customWidth="1"/>
    <col min="4623" max="4623" width="8.1640625" style="233" customWidth="1"/>
    <col min="4624" max="4624" width="10.83203125" style="233" bestFit="1" customWidth="1"/>
    <col min="4625" max="4625" width="12.27734375" style="233" bestFit="1" customWidth="1"/>
    <col min="4626" max="4626" width="9.1640625" style="233" customWidth="1"/>
    <col min="4627" max="4627" width="10.83203125" style="233" bestFit="1" customWidth="1"/>
    <col min="4628" max="4628" width="12.27734375" style="233" bestFit="1" customWidth="1"/>
    <col min="4629" max="4629" width="8" style="233" customWidth="1"/>
    <col min="4630" max="4630" width="10.83203125" style="233" bestFit="1" customWidth="1"/>
    <col min="4631" max="4631" width="12.27734375" style="233" bestFit="1" customWidth="1"/>
    <col min="4632" max="4632" width="8.1640625" style="233" bestFit="1" customWidth="1"/>
    <col min="4633" max="4633" width="10.83203125" style="233" bestFit="1" customWidth="1"/>
    <col min="4634" max="4634" width="12.27734375" style="233" bestFit="1" customWidth="1"/>
    <col min="4635" max="4635" width="18.27734375" style="233" bestFit="1" customWidth="1"/>
    <col min="4636" max="4636" width="10.83203125" style="233" bestFit="1" customWidth="1"/>
    <col min="4637" max="4872" width="8.83203125" style="233"/>
    <col min="4873" max="4873" width="38.27734375" style="233" customWidth="1"/>
    <col min="4874" max="4874" width="23.44140625" style="233" bestFit="1" customWidth="1"/>
    <col min="4875" max="4876" width="9.1640625" style="233" customWidth="1"/>
    <col min="4877" max="4877" width="11.27734375" style="233" bestFit="1" customWidth="1"/>
    <col min="4878" max="4878" width="14.44140625" style="233" bestFit="1" customWidth="1"/>
    <col min="4879" max="4879" width="8.1640625" style="233" customWidth="1"/>
    <col min="4880" max="4880" width="10.83203125" style="233" bestFit="1" customWidth="1"/>
    <col min="4881" max="4881" width="12.27734375" style="233" bestFit="1" customWidth="1"/>
    <col min="4882" max="4882" width="9.1640625" style="233" customWidth="1"/>
    <col min="4883" max="4883" width="10.83203125" style="233" bestFit="1" customWidth="1"/>
    <col min="4884" max="4884" width="12.27734375" style="233" bestFit="1" customWidth="1"/>
    <col min="4885" max="4885" width="8" style="233" customWidth="1"/>
    <col min="4886" max="4886" width="10.83203125" style="233" bestFit="1" customWidth="1"/>
    <col min="4887" max="4887" width="12.27734375" style="233" bestFit="1" customWidth="1"/>
    <col min="4888" max="4888" width="8.1640625" style="233" bestFit="1" customWidth="1"/>
    <col min="4889" max="4889" width="10.83203125" style="233" bestFit="1" customWidth="1"/>
    <col min="4890" max="4890" width="12.27734375" style="233" bestFit="1" customWidth="1"/>
    <col min="4891" max="4891" width="18.27734375" style="233" bestFit="1" customWidth="1"/>
    <col min="4892" max="4892" width="10.83203125" style="233" bestFit="1" customWidth="1"/>
    <col min="4893" max="5128" width="8.83203125" style="233"/>
    <col min="5129" max="5129" width="38.27734375" style="233" customWidth="1"/>
    <col min="5130" max="5130" width="23.44140625" style="233" bestFit="1" customWidth="1"/>
    <col min="5131" max="5132" width="9.1640625" style="233" customWidth="1"/>
    <col min="5133" max="5133" width="11.27734375" style="233" bestFit="1" customWidth="1"/>
    <col min="5134" max="5134" width="14.44140625" style="233" bestFit="1" customWidth="1"/>
    <col min="5135" max="5135" width="8.1640625" style="233" customWidth="1"/>
    <col min="5136" max="5136" width="10.83203125" style="233" bestFit="1" customWidth="1"/>
    <col min="5137" max="5137" width="12.27734375" style="233" bestFit="1" customWidth="1"/>
    <col min="5138" max="5138" width="9.1640625" style="233" customWidth="1"/>
    <col min="5139" max="5139" width="10.83203125" style="233" bestFit="1" customWidth="1"/>
    <col min="5140" max="5140" width="12.27734375" style="233" bestFit="1" customWidth="1"/>
    <col min="5141" max="5141" width="8" style="233" customWidth="1"/>
    <col min="5142" max="5142" width="10.83203125" style="233" bestFit="1" customWidth="1"/>
    <col min="5143" max="5143" width="12.27734375" style="233" bestFit="1" customWidth="1"/>
    <col min="5144" max="5144" width="8.1640625" style="233" bestFit="1" customWidth="1"/>
    <col min="5145" max="5145" width="10.83203125" style="233" bestFit="1" customWidth="1"/>
    <col min="5146" max="5146" width="12.27734375" style="233" bestFit="1" customWidth="1"/>
    <col min="5147" max="5147" width="18.27734375" style="233" bestFit="1" customWidth="1"/>
    <col min="5148" max="5148" width="10.83203125" style="233" bestFit="1" customWidth="1"/>
    <col min="5149" max="5384" width="8.83203125" style="233"/>
    <col min="5385" max="5385" width="38.27734375" style="233" customWidth="1"/>
    <col min="5386" max="5386" width="23.44140625" style="233" bestFit="1" customWidth="1"/>
    <col min="5387" max="5388" width="9.1640625" style="233" customWidth="1"/>
    <col min="5389" max="5389" width="11.27734375" style="233" bestFit="1" customWidth="1"/>
    <col min="5390" max="5390" width="14.44140625" style="233" bestFit="1" customWidth="1"/>
    <col min="5391" max="5391" width="8.1640625" style="233" customWidth="1"/>
    <col min="5392" max="5392" width="10.83203125" style="233" bestFit="1" customWidth="1"/>
    <col min="5393" max="5393" width="12.27734375" style="233" bestFit="1" customWidth="1"/>
    <col min="5394" max="5394" width="9.1640625" style="233" customWidth="1"/>
    <col min="5395" max="5395" width="10.83203125" style="233" bestFit="1" customWidth="1"/>
    <col min="5396" max="5396" width="12.27734375" style="233" bestFit="1" customWidth="1"/>
    <col min="5397" max="5397" width="8" style="233" customWidth="1"/>
    <col min="5398" max="5398" width="10.83203125" style="233" bestFit="1" customWidth="1"/>
    <col min="5399" max="5399" width="12.27734375" style="233" bestFit="1" customWidth="1"/>
    <col min="5400" max="5400" width="8.1640625" style="233" bestFit="1" customWidth="1"/>
    <col min="5401" max="5401" width="10.83203125" style="233" bestFit="1" customWidth="1"/>
    <col min="5402" max="5402" width="12.27734375" style="233" bestFit="1" customWidth="1"/>
    <col min="5403" max="5403" width="18.27734375" style="233" bestFit="1" customWidth="1"/>
    <col min="5404" max="5404" width="10.83203125" style="233" bestFit="1" customWidth="1"/>
    <col min="5405" max="5640" width="8.83203125" style="233"/>
    <col min="5641" max="5641" width="38.27734375" style="233" customWidth="1"/>
    <col min="5642" max="5642" width="23.44140625" style="233" bestFit="1" customWidth="1"/>
    <col min="5643" max="5644" width="9.1640625" style="233" customWidth="1"/>
    <col min="5645" max="5645" width="11.27734375" style="233" bestFit="1" customWidth="1"/>
    <col min="5646" max="5646" width="14.44140625" style="233" bestFit="1" customWidth="1"/>
    <col min="5647" max="5647" width="8.1640625" style="233" customWidth="1"/>
    <col min="5648" max="5648" width="10.83203125" style="233" bestFit="1" customWidth="1"/>
    <col min="5649" max="5649" width="12.27734375" style="233" bestFit="1" customWidth="1"/>
    <col min="5650" max="5650" width="9.1640625" style="233" customWidth="1"/>
    <col min="5651" max="5651" width="10.83203125" style="233" bestFit="1" customWidth="1"/>
    <col min="5652" max="5652" width="12.27734375" style="233" bestFit="1" customWidth="1"/>
    <col min="5653" max="5653" width="8" style="233" customWidth="1"/>
    <col min="5654" max="5654" width="10.83203125" style="233" bestFit="1" customWidth="1"/>
    <col min="5655" max="5655" width="12.27734375" style="233" bestFit="1" customWidth="1"/>
    <col min="5656" max="5656" width="8.1640625" style="233" bestFit="1" customWidth="1"/>
    <col min="5657" max="5657" width="10.83203125" style="233" bestFit="1" customWidth="1"/>
    <col min="5658" max="5658" width="12.27734375" style="233" bestFit="1" customWidth="1"/>
    <col min="5659" max="5659" width="18.27734375" style="233" bestFit="1" customWidth="1"/>
    <col min="5660" max="5660" width="10.83203125" style="233" bestFit="1" customWidth="1"/>
    <col min="5661" max="5896" width="8.83203125" style="233"/>
    <col min="5897" max="5897" width="38.27734375" style="233" customWidth="1"/>
    <col min="5898" max="5898" width="23.44140625" style="233" bestFit="1" customWidth="1"/>
    <col min="5899" max="5900" width="9.1640625" style="233" customWidth="1"/>
    <col min="5901" max="5901" width="11.27734375" style="233" bestFit="1" customWidth="1"/>
    <col min="5902" max="5902" width="14.44140625" style="233" bestFit="1" customWidth="1"/>
    <col min="5903" max="5903" width="8.1640625" style="233" customWidth="1"/>
    <col min="5904" max="5904" width="10.83203125" style="233" bestFit="1" customWidth="1"/>
    <col min="5905" max="5905" width="12.27734375" style="233" bestFit="1" customWidth="1"/>
    <col min="5906" max="5906" width="9.1640625" style="233" customWidth="1"/>
    <col min="5907" max="5907" width="10.83203125" style="233" bestFit="1" customWidth="1"/>
    <col min="5908" max="5908" width="12.27734375" style="233" bestFit="1" customWidth="1"/>
    <col min="5909" max="5909" width="8" style="233" customWidth="1"/>
    <col min="5910" max="5910" width="10.83203125" style="233" bestFit="1" customWidth="1"/>
    <col min="5911" max="5911" width="12.27734375" style="233" bestFit="1" customWidth="1"/>
    <col min="5912" max="5912" width="8.1640625" style="233" bestFit="1" customWidth="1"/>
    <col min="5913" max="5913" width="10.83203125" style="233" bestFit="1" customWidth="1"/>
    <col min="5914" max="5914" width="12.27734375" style="233" bestFit="1" customWidth="1"/>
    <col min="5915" max="5915" width="18.27734375" style="233" bestFit="1" customWidth="1"/>
    <col min="5916" max="5916" width="10.83203125" style="233" bestFit="1" customWidth="1"/>
    <col min="5917" max="6152" width="8.83203125" style="233"/>
    <col min="6153" max="6153" width="38.27734375" style="233" customWidth="1"/>
    <col min="6154" max="6154" width="23.44140625" style="233" bestFit="1" customWidth="1"/>
    <col min="6155" max="6156" width="9.1640625" style="233" customWidth="1"/>
    <col min="6157" max="6157" width="11.27734375" style="233" bestFit="1" customWidth="1"/>
    <col min="6158" max="6158" width="14.44140625" style="233" bestFit="1" customWidth="1"/>
    <col min="6159" max="6159" width="8.1640625" style="233" customWidth="1"/>
    <col min="6160" max="6160" width="10.83203125" style="233" bestFit="1" customWidth="1"/>
    <col min="6161" max="6161" width="12.27734375" style="233" bestFit="1" customWidth="1"/>
    <col min="6162" max="6162" width="9.1640625" style="233" customWidth="1"/>
    <col min="6163" max="6163" width="10.83203125" style="233" bestFit="1" customWidth="1"/>
    <col min="6164" max="6164" width="12.27734375" style="233" bestFit="1" customWidth="1"/>
    <col min="6165" max="6165" width="8" style="233" customWidth="1"/>
    <col min="6166" max="6166" width="10.83203125" style="233" bestFit="1" customWidth="1"/>
    <col min="6167" max="6167" width="12.27734375" style="233" bestFit="1" customWidth="1"/>
    <col min="6168" max="6168" width="8.1640625" style="233" bestFit="1" customWidth="1"/>
    <col min="6169" max="6169" width="10.83203125" style="233" bestFit="1" customWidth="1"/>
    <col min="6170" max="6170" width="12.27734375" style="233" bestFit="1" customWidth="1"/>
    <col min="6171" max="6171" width="18.27734375" style="233" bestFit="1" customWidth="1"/>
    <col min="6172" max="6172" width="10.83203125" style="233" bestFit="1" customWidth="1"/>
    <col min="6173" max="6408" width="8.83203125" style="233"/>
    <col min="6409" max="6409" width="38.27734375" style="233" customWidth="1"/>
    <col min="6410" max="6410" width="23.44140625" style="233" bestFit="1" customWidth="1"/>
    <col min="6411" max="6412" width="9.1640625" style="233" customWidth="1"/>
    <col min="6413" max="6413" width="11.27734375" style="233" bestFit="1" customWidth="1"/>
    <col min="6414" max="6414" width="14.44140625" style="233" bestFit="1" customWidth="1"/>
    <col min="6415" max="6415" width="8.1640625" style="233" customWidth="1"/>
    <col min="6416" max="6416" width="10.83203125" style="233" bestFit="1" customWidth="1"/>
    <col min="6417" max="6417" width="12.27734375" style="233" bestFit="1" customWidth="1"/>
    <col min="6418" max="6418" width="9.1640625" style="233" customWidth="1"/>
    <col min="6419" max="6419" width="10.83203125" style="233" bestFit="1" customWidth="1"/>
    <col min="6420" max="6420" width="12.27734375" style="233" bestFit="1" customWidth="1"/>
    <col min="6421" max="6421" width="8" style="233" customWidth="1"/>
    <col min="6422" max="6422" width="10.83203125" style="233" bestFit="1" customWidth="1"/>
    <col min="6423" max="6423" width="12.27734375" style="233" bestFit="1" customWidth="1"/>
    <col min="6424" max="6424" width="8.1640625" style="233" bestFit="1" customWidth="1"/>
    <col min="6425" max="6425" width="10.83203125" style="233" bestFit="1" customWidth="1"/>
    <col min="6426" max="6426" width="12.27734375" style="233" bestFit="1" customWidth="1"/>
    <col min="6427" max="6427" width="18.27734375" style="233" bestFit="1" customWidth="1"/>
    <col min="6428" max="6428" width="10.83203125" style="233" bestFit="1" customWidth="1"/>
    <col min="6429" max="6664" width="8.83203125" style="233"/>
    <col min="6665" max="6665" width="38.27734375" style="233" customWidth="1"/>
    <col min="6666" max="6666" width="23.44140625" style="233" bestFit="1" customWidth="1"/>
    <col min="6667" max="6668" width="9.1640625" style="233" customWidth="1"/>
    <col min="6669" max="6669" width="11.27734375" style="233" bestFit="1" customWidth="1"/>
    <col min="6670" max="6670" width="14.44140625" style="233" bestFit="1" customWidth="1"/>
    <col min="6671" max="6671" width="8.1640625" style="233" customWidth="1"/>
    <col min="6672" max="6672" width="10.83203125" style="233" bestFit="1" customWidth="1"/>
    <col min="6673" max="6673" width="12.27734375" style="233" bestFit="1" customWidth="1"/>
    <col min="6674" max="6674" width="9.1640625" style="233" customWidth="1"/>
    <col min="6675" max="6675" width="10.83203125" style="233" bestFit="1" customWidth="1"/>
    <col min="6676" max="6676" width="12.27734375" style="233" bestFit="1" customWidth="1"/>
    <col min="6677" max="6677" width="8" style="233" customWidth="1"/>
    <col min="6678" max="6678" width="10.83203125" style="233" bestFit="1" customWidth="1"/>
    <col min="6679" max="6679" width="12.27734375" style="233" bestFit="1" customWidth="1"/>
    <col min="6680" max="6680" width="8.1640625" style="233" bestFit="1" customWidth="1"/>
    <col min="6681" max="6681" width="10.83203125" style="233" bestFit="1" customWidth="1"/>
    <col min="6682" max="6682" width="12.27734375" style="233" bestFit="1" customWidth="1"/>
    <col min="6683" max="6683" width="18.27734375" style="233" bestFit="1" customWidth="1"/>
    <col min="6684" max="6684" width="10.83203125" style="233" bestFit="1" customWidth="1"/>
    <col min="6685" max="6920" width="8.83203125" style="233"/>
    <col min="6921" max="6921" width="38.27734375" style="233" customWidth="1"/>
    <col min="6922" max="6922" width="23.44140625" style="233" bestFit="1" customWidth="1"/>
    <col min="6923" max="6924" width="9.1640625" style="233" customWidth="1"/>
    <col min="6925" max="6925" width="11.27734375" style="233" bestFit="1" customWidth="1"/>
    <col min="6926" max="6926" width="14.44140625" style="233" bestFit="1" customWidth="1"/>
    <col min="6927" max="6927" width="8.1640625" style="233" customWidth="1"/>
    <col min="6928" max="6928" width="10.83203125" style="233" bestFit="1" customWidth="1"/>
    <col min="6929" max="6929" width="12.27734375" style="233" bestFit="1" customWidth="1"/>
    <col min="6930" max="6930" width="9.1640625" style="233" customWidth="1"/>
    <col min="6931" max="6931" width="10.83203125" style="233" bestFit="1" customWidth="1"/>
    <col min="6932" max="6932" width="12.27734375" style="233" bestFit="1" customWidth="1"/>
    <col min="6933" max="6933" width="8" style="233" customWidth="1"/>
    <col min="6934" max="6934" width="10.83203125" style="233" bestFit="1" customWidth="1"/>
    <col min="6935" max="6935" width="12.27734375" style="233" bestFit="1" customWidth="1"/>
    <col min="6936" max="6936" width="8.1640625" style="233" bestFit="1" customWidth="1"/>
    <col min="6937" max="6937" width="10.83203125" style="233" bestFit="1" customWidth="1"/>
    <col min="6938" max="6938" width="12.27734375" style="233" bestFit="1" customWidth="1"/>
    <col min="6939" max="6939" width="18.27734375" style="233" bestFit="1" customWidth="1"/>
    <col min="6940" max="6940" width="10.83203125" style="233" bestFit="1" customWidth="1"/>
    <col min="6941" max="7176" width="8.83203125" style="233"/>
    <col min="7177" max="7177" width="38.27734375" style="233" customWidth="1"/>
    <col min="7178" max="7178" width="23.44140625" style="233" bestFit="1" customWidth="1"/>
    <col min="7179" max="7180" width="9.1640625" style="233" customWidth="1"/>
    <col min="7181" max="7181" width="11.27734375" style="233" bestFit="1" customWidth="1"/>
    <col min="7182" max="7182" width="14.44140625" style="233" bestFit="1" customWidth="1"/>
    <col min="7183" max="7183" width="8.1640625" style="233" customWidth="1"/>
    <col min="7184" max="7184" width="10.83203125" style="233" bestFit="1" customWidth="1"/>
    <col min="7185" max="7185" width="12.27734375" style="233" bestFit="1" customWidth="1"/>
    <col min="7186" max="7186" width="9.1640625" style="233" customWidth="1"/>
    <col min="7187" max="7187" width="10.83203125" style="233" bestFit="1" customWidth="1"/>
    <col min="7188" max="7188" width="12.27734375" style="233" bestFit="1" customWidth="1"/>
    <col min="7189" max="7189" width="8" style="233" customWidth="1"/>
    <col min="7190" max="7190" width="10.83203125" style="233" bestFit="1" customWidth="1"/>
    <col min="7191" max="7191" width="12.27734375" style="233" bestFit="1" customWidth="1"/>
    <col min="7192" max="7192" width="8.1640625" style="233" bestFit="1" customWidth="1"/>
    <col min="7193" max="7193" width="10.83203125" style="233" bestFit="1" customWidth="1"/>
    <col min="7194" max="7194" width="12.27734375" style="233" bestFit="1" customWidth="1"/>
    <col min="7195" max="7195" width="18.27734375" style="233" bestFit="1" customWidth="1"/>
    <col min="7196" max="7196" width="10.83203125" style="233" bestFit="1" customWidth="1"/>
    <col min="7197" max="7432" width="8.83203125" style="233"/>
    <col min="7433" max="7433" width="38.27734375" style="233" customWidth="1"/>
    <col min="7434" max="7434" width="23.44140625" style="233" bestFit="1" customWidth="1"/>
    <col min="7435" max="7436" width="9.1640625" style="233" customWidth="1"/>
    <col min="7437" max="7437" width="11.27734375" style="233" bestFit="1" customWidth="1"/>
    <col min="7438" max="7438" width="14.44140625" style="233" bestFit="1" customWidth="1"/>
    <col min="7439" max="7439" width="8.1640625" style="233" customWidth="1"/>
    <col min="7440" max="7440" width="10.83203125" style="233" bestFit="1" customWidth="1"/>
    <col min="7441" max="7441" width="12.27734375" style="233" bestFit="1" customWidth="1"/>
    <col min="7442" max="7442" width="9.1640625" style="233" customWidth="1"/>
    <col min="7443" max="7443" width="10.83203125" style="233" bestFit="1" customWidth="1"/>
    <col min="7444" max="7444" width="12.27734375" style="233" bestFit="1" customWidth="1"/>
    <col min="7445" max="7445" width="8" style="233" customWidth="1"/>
    <col min="7446" max="7446" width="10.83203125" style="233" bestFit="1" customWidth="1"/>
    <col min="7447" max="7447" width="12.27734375" style="233" bestFit="1" customWidth="1"/>
    <col min="7448" max="7448" width="8.1640625" style="233" bestFit="1" customWidth="1"/>
    <col min="7449" max="7449" width="10.83203125" style="233" bestFit="1" customWidth="1"/>
    <col min="7450" max="7450" width="12.27734375" style="233" bestFit="1" customWidth="1"/>
    <col min="7451" max="7451" width="18.27734375" style="233" bestFit="1" customWidth="1"/>
    <col min="7452" max="7452" width="10.83203125" style="233" bestFit="1" customWidth="1"/>
    <col min="7453" max="7688" width="8.83203125" style="233"/>
    <col min="7689" max="7689" width="38.27734375" style="233" customWidth="1"/>
    <col min="7690" max="7690" width="23.44140625" style="233" bestFit="1" customWidth="1"/>
    <col min="7691" max="7692" width="9.1640625" style="233" customWidth="1"/>
    <col min="7693" max="7693" width="11.27734375" style="233" bestFit="1" customWidth="1"/>
    <col min="7694" max="7694" width="14.44140625" style="233" bestFit="1" customWidth="1"/>
    <col min="7695" max="7695" width="8.1640625" style="233" customWidth="1"/>
    <col min="7696" max="7696" width="10.83203125" style="233" bestFit="1" customWidth="1"/>
    <col min="7697" max="7697" width="12.27734375" style="233" bestFit="1" customWidth="1"/>
    <col min="7698" max="7698" width="9.1640625" style="233" customWidth="1"/>
    <col min="7699" max="7699" width="10.83203125" style="233" bestFit="1" customWidth="1"/>
    <col min="7700" max="7700" width="12.27734375" style="233" bestFit="1" customWidth="1"/>
    <col min="7701" max="7701" width="8" style="233" customWidth="1"/>
    <col min="7702" max="7702" width="10.83203125" style="233" bestFit="1" customWidth="1"/>
    <col min="7703" max="7703" width="12.27734375" style="233" bestFit="1" customWidth="1"/>
    <col min="7704" max="7704" width="8.1640625" style="233" bestFit="1" customWidth="1"/>
    <col min="7705" max="7705" width="10.83203125" style="233" bestFit="1" customWidth="1"/>
    <col min="7706" max="7706" width="12.27734375" style="233" bestFit="1" customWidth="1"/>
    <col min="7707" max="7707" width="18.27734375" style="233" bestFit="1" customWidth="1"/>
    <col min="7708" max="7708" width="10.83203125" style="233" bestFit="1" customWidth="1"/>
    <col min="7709" max="7944" width="8.83203125" style="233"/>
    <col min="7945" max="7945" width="38.27734375" style="233" customWidth="1"/>
    <col min="7946" max="7946" width="23.44140625" style="233" bestFit="1" customWidth="1"/>
    <col min="7947" max="7948" width="9.1640625" style="233" customWidth="1"/>
    <col min="7949" max="7949" width="11.27734375" style="233" bestFit="1" customWidth="1"/>
    <col min="7950" max="7950" width="14.44140625" style="233" bestFit="1" customWidth="1"/>
    <col min="7951" max="7951" width="8.1640625" style="233" customWidth="1"/>
    <col min="7952" max="7952" width="10.83203125" style="233" bestFit="1" customWidth="1"/>
    <col min="7953" max="7953" width="12.27734375" style="233" bestFit="1" customWidth="1"/>
    <col min="7954" max="7954" width="9.1640625" style="233" customWidth="1"/>
    <col min="7955" max="7955" width="10.83203125" style="233" bestFit="1" customWidth="1"/>
    <col min="7956" max="7956" width="12.27734375" style="233" bestFit="1" customWidth="1"/>
    <col min="7957" max="7957" width="8" style="233" customWidth="1"/>
    <col min="7958" max="7958" width="10.83203125" style="233" bestFit="1" customWidth="1"/>
    <col min="7959" max="7959" width="12.27734375" style="233" bestFit="1" customWidth="1"/>
    <col min="7960" max="7960" width="8.1640625" style="233" bestFit="1" customWidth="1"/>
    <col min="7961" max="7961" width="10.83203125" style="233" bestFit="1" customWidth="1"/>
    <col min="7962" max="7962" width="12.27734375" style="233" bestFit="1" customWidth="1"/>
    <col min="7963" max="7963" width="18.27734375" style="233" bestFit="1" customWidth="1"/>
    <col min="7964" max="7964" width="10.83203125" style="233" bestFit="1" customWidth="1"/>
    <col min="7965" max="8200" width="8.83203125" style="233"/>
    <col min="8201" max="8201" width="38.27734375" style="233" customWidth="1"/>
    <col min="8202" max="8202" width="23.44140625" style="233" bestFit="1" customWidth="1"/>
    <col min="8203" max="8204" width="9.1640625" style="233" customWidth="1"/>
    <col min="8205" max="8205" width="11.27734375" style="233" bestFit="1" customWidth="1"/>
    <col min="8206" max="8206" width="14.44140625" style="233" bestFit="1" customWidth="1"/>
    <col min="8207" max="8207" width="8.1640625" style="233" customWidth="1"/>
    <col min="8208" max="8208" width="10.83203125" style="233" bestFit="1" customWidth="1"/>
    <col min="8209" max="8209" width="12.27734375" style="233" bestFit="1" customWidth="1"/>
    <col min="8210" max="8210" width="9.1640625" style="233" customWidth="1"/>
    <col min="8211" max="8211" width="10.83203125" style="233" bestFit="1" customWidth="1"/>
    <col min="8212" max="8212" width="12.27734375" style="233" bestFit="1" customWidth="1"/>
    <col min="8213" max="8213" width="8" style="233" customWidth="1"/>
    <col min="8214" max="8214" width="10.83203125" style="233" bestFit="1" customWidth="1"/>
    <col min="8215" max="8215" width="12.27734375" style="233" bestFit="1" customWidth="1"/>
    <col min="8216" max="8216" width="8.1640625" style="233" bestFit="1" customWidth="1"/>
    <col min="8217" max="8217" width="10.83203125" style="233" bestFit="1" customWidth="1"/>
    <col min="8218" max="8218" width="12.27734375" style="233" bestFit="1" customWidth="1"/>
    <col min="8219" max="8219" width="18.27734375" style="233" bestFit="1" customWidth="1"/>
    <col min="8220" max="8220" width="10.83203125" style="233" bestFit="1" customWidth="1"/>
    <col min="8221" max="8456" width="8.83203125" style="233"/>
    <col min="8457" max="8457" width="38.27734375" style="233" customWidth="1"/>
    <col min="8458" max="8458" width="23.44140625" style="233" bestFit="1" customWidth="1"/>
    <col min="8459" max="8460" width="9.1640625" style="233" customWidth="1"/>
    <col min="8461" max="8461" width="11.27734375" style="233" bestFit="1" customWidth="1"/>
    <col min="8462" max="8462" width="14.44140625" style="233" bestFit="1" customWidth="1"/>
    <col min="8463" max="8463" width="8.1640625" style="233" customWidth="1"/>
    <col min="8464" max="8464" width="10.83203125" style="233" bestFit="1" customWidth="1"/>
    <col min="8465" max="8465" width="12.27734375" style="233" bestFit="1" customWidth="1"/>
    <col min="8466" max="8466" width="9.1640625" style="233" customWidth="1"/>
    <col min="8467" max="8467" width="10.83203125" style="233" bestFit="1" customWidth="1"/>
    <col min="8468" max="8468" width="12.27734375" style="233" bestFit="1" customWidth="1"/>
    <col min="8469" max="8469" width="8" style="233" customWidth="1"/>
    <col min="8470" max="8470" width="10.83203125" style="233" bestFit="1" customWidth="1"/>
    <col min="8471" max="8471" width="12.27734375" style="233" bestFit="1" customWidth="1"/>
    <col min="8472" max="8472" width="8.1640625" style="233" bestFit="1" customWidth="1"/>
    <col min="8473" max="8473" width="10.83203125" style="233" bestFit="1" customWidth="1"/>
    <col min="8474" max="8474" width="12.27734375" style="233" bestFit="1" customWidth="1"/>
    <col min="8475" max="8475" width="18.27734375" style="233" bestFit="1" customWidth="1"/>
    <col min="8476" max="8476" width="10.83203125" style="233" bestFit="1" customWidth="1"/>
    <col min="8477" max="8712" width="8.83203125" style="233"/>
    <col min="8713" max="8713" width="38.27734375" style="233" customWidth="1"/>
    <col min="8714" max="8714" width="23.44140625" style="233" bestFit="1" customWidth="1"/>
    <col min="8715" max="8716" width="9.1640625" style="233" customWidth="1"/>
    <col min="8717" max="8717" width="11.27734375" style="233" bestFit="1" customWidth="1"/>
    <col min="8718" max="8718" width="14.44140625" style="233" bestFit="1" customWidth="1"/>
    <col min="8719" max="8719" width="8.1640625" style="233" customWidth="1"/>
    <col min="8720" max="8720" width="10.83203125" style="233" bestFit="1" customWidth="1"/>
    <col min="8721" max="8721" width="12.27734375" style="233" bestFit="1" customWidth="1"/>
    <col min="8722" max="8722" width="9.1640625" style="233" customWidth="1"/>
    <col min="8723" max="8723" width="10.83203125" style="233" bestFit="1" customWidth="1"/>
    <col min="8724" max="8724" width="12.27734375" style="233" bestFit="1" customWidth="1"/>
    <col min="8725" max="8725" width="8" style="233" customWidth="1"/>
    <col min="8726" max="8726" width="10.83203125" style="233" bestFit="1" customWidth="1"/>
    <col min="8727" max="8727" width="12.27734375" style="233" bestFit="1" customWidth="1"/>
    <col min="8728" max="8728" width="8.1640625" style="233" bestFit="1" customWidth="1"/>
    <col min="8729" max="8729" width="10.83203125" style="233" bestFit="1" customWidth="1"/>
    <col min="8730" max="8730" width="12.27734375" style="233" bestFit="1" customWidth="1"/>
    <col min="8731" max="8731" width="18.27734375" style="233" bestFit="1" customWidth="1"/>
    <col min="8732" max="8732" width="10.83203125" style="233" bestFit="1" customWidth="1"/>
    <col min="8733" max="8968" width="8.83203125" style="233"/>
    <col min="8969" max="8969" width="38.27734375" style="233" customWidth="1"/>
    <col min="8970" max="8970" width="23.44140625" style="233" bestFit="1" customWidth="1"/>
    <col min="8971" max="8972" width="9.1640625" style="233" customWidth="1"/>
    <col min="8973" max="8973" width="11.27734375" style="233" bestFit="1" customWidth="1"/>
    <col min="8974" max="8974" width="14.44140625" style="233" bestFit="1" customWidth="1"/>
    <col min="8975" max="8975" width="8.1640625" style="233" customWidth="1"/>
    <col min="8976" max="8976" width="10.83203125" style="233" bestFit="1" customWidth="1"/>
    <col min="8977" max="8977" width="12.27734375" style="233" bestFit="1" customWidth="1"/>
    <col min="8978" max="8978" width="9.1640625" style="233" customWidth="1"/>
    <col min="8979" max="8979" width="10.83203125" style="233" bestFit="1" customWidth="1"/>
    <col min="8980" max="8980" width="12.27734375" style="233" bestFit="1" customWidth="1"/>
    <col min="8981" max="8981" width="8" style="233" customWidth="1"/>
    <col min="8982" max="8982" width="10.83203125" style="233" bestFit="1" customWidth="1"/>
    <col min="8983" max="8983" width="12.27734375" style="233" bestFit="1" customWidth="1"/>
    <col min="8984" max="8984" width="8.1640625" style="233" bestFit="1" customWidth="1"/>
    <col min="8985" max="8985" width="10.83203125" style="233" bestFit="1" customWidth="1"/>
    <col min="8986" max="8986" width="12.27734375" style="233" bestFit="1" customWidth="1"/>
    <col min="8987" max="8987" width="18.27734375" style="233" bestFit="1" customWidth="1"/>
    <col min="8988" max="8988" width="10.83203125" style="233" bestFit="1" customWidth="1"/>
    <col min="8989" max="9224" width="8.83203125" style="233"/>
    <col min="9225" max="9225" width="38.27734375" style="233" customWidth="1"/>
    <col min="9226" max="9226" width="23.44140625" style="233" bestFit="1" customWidth="1"/>
    <col min="9227" max="9228" width="9.1640625" style="233" customWidth="1"/>
    <col min="9229" max="9229" width="11.27734375" style="233" bestFit="1" customWidth="1"/>
    <col min="9230" max="9230" width="14.44140625" style="233" bestFit="1" customWidth="1"/>
    <col min="9231" max="9231" width="8.1640625" style="233" customWidth="1"/>
    <col min="9232" max="9232" width="10.83203125" style="233" bestFit="1" customWidth="1"/>
    <col min="9233" max="9233" width="12.27734375" style="233" bestFit="1" customWidth="1"/>
    <col min="9234" max="9234" width="9.1640625" style="233" customWidth="1"/>
    <col min="9235" max="9235" width="10.83203125" style="233" bestFit="1" customWidth="1"/>
    <col min="9236" max="9236" width="12.27734375" style="233" bestFit="1" customWidth="1"/>
    <col min="9237" max="9237" width="8" style="233" customWidth="1"/>
    <col min="9238" max="9238" width="10.83203125" style="233" bestFit="1" customWidth="1"/>
    <col min="9239" max="9239" width="12.27734375" style="233" bestFit="1" customWidth="1"/>
    <col min="9240" max="9240" width="8.1640625" style="233" bestFit="1" customWidth="1"/>
    <col min="9241" max="9241" width="10.83203125" style="233" bestFit="1" customWidth="1"/>
    <col min="9242" max="9242" width="12.27734375" style="233" bestFit="1" customWidth="1"/>
    <col min="9243" max="9243" width="18.27734375" style="233" bestFit="1" customWidth="1"/>
    <col min="9244" max="9244" width="10.83203125" style="233" bestFit="1" customWidth="1"/>
    <col min="9245" max="9480" width="8.83203125" style="233"/>
    <col min="9481" max="9481" width="38.27734375" style="233" customWidth="1"/>
    <col min="9482" max="9482" width="23.44140625" style="233" bestFit="1" customWidth="1"/>
    <col min="9483" max="9484" width="9.1640625" style="233" customWidth="1"/>
    <col min="9485" max="9485" width="11.27734375" style="233" bestFit="1" customWidth="1"/>
    <col min="9486" max="9486" width="14.44140625" style="233" bestFit="1" customWidth="1"/>
    <col min="9487" max="9487" width="8.1640625" style="233" customWidth="1"/>
    <col min="9488" max="9488" width="10.83203125" style="233" bestFit="1" customWidth="1"/>
    <col min="9489" max="9489" width="12.27734375" style="233" bestFit="1" customWidth="1"/>
    <col min="9490" max="9490" width="9.1640625" style="233" customWidth="1"/>
    <col min="9491" max="9491" width="10.83203125" style="233" bestFit="1" customWidth="1"/>
    <col min="9492" max="9492" width="12.27734375" style="233" bestFit="1" customWidth="1"/>
    <col min="9493" max="9493" width="8" style="233" customWidth="1"/>
    <col min="9494" max="9494" width="10.83203125" style="233" bestFit="1" customWidth="1"/>
    <col min="9495" max="9495" width="12.27734375" style="233" bestFit="1" customWidth="1"/>
    <col min="9496" max="9496" width="8.1640625" style="233" bestFit="1" customWidth="1"/>
    <col min="9497" max="9497" width="10.83203125" style="233" bestFit="1" customWidth="1"/>
    <col min="9498" max="9498" width="12.27734375" style="233" bestFit="1" customWidth="1"/>
    <col min="9499" max="9499" width="18.27734375" style="233" bestFit="1" customWidth="1"/>
    <col min="9500" max="9500" width="10.83203125" style="233" bestFit="1" customWidth="1"/>
    <col min="9501" max="9736" width="8.83203125" style="233"/>
    <col min="9737" max="9737" width="38.27734375" style="233" customWidth="1"/>
    <col min="9738" max="9738" width="23.44140625" style="233" bestFit="1" customWidth="1"/>
    <col min="9739" max="9740" width="9.1640625" style="233" customWidth="1"/>
    <col min="9741" max="9741" width="11.27734375" style="233" bestFit="1" customWidth="1"/>
    <col min="9742" max="9742" width="14.44140625" style="233" bestFit="1" customWidth="1"/>
    <col min="9743" max="9743" width="8.1640625" style="233" customWidth="1"/>
    <col min="9744" max="9744" width="10.83203125" style="233" bestFit="1" customWidth="1"/>
    <col min="9745" max="9745" width="12.27734375" style="233" bestFit="1" customWidth="1"/>
    <col min="9746" max="9746" width="9.1640625" style="233" customWidth="1"/>
    <col min="9747" max="9747" width="10.83203125" style="233" bestFit="1" customWidth="1"/>
    <col min="9748" max="9748" width="12.27734375" style="233" bestFit="1" customWidth="1"/>
    <col min="9749" max="9749" width="8" style="233" customWidth="1"/>
    <col min="9750" max="9750" width="10.83203125" style="233" bestFit="1" customWidth="1"/>
    <col min="9751" max="9751" width="12.27734375" style="233" bestFit="1" customWidth="1"/>
    <col min="9752" max="9752" width="8.1640625" style="233" bestFit="1" customWidth="1"/>
    <col min="9753" max="9753" width="10.83203125" style="233" bestFit="1" customWidth="1"/>
    <col min="9754" max="9754" width="12.27734375" style="233" bestFit="1" customWidth="1"/>
    <col min="9755" max="9755" width="18.27734375" style="233" bestFit="1" customWidth="1"/>
    <col min="9756" max="9756" width="10.83203125" style="233" bestFit="1" customWidth="1"/>
    <col min="9757" max="9992" width="8.83203125" style="233"/>
    <col min="9993" max="9993" width="38.27734375" style="233" customWidth="1"/>
    <col min="9994" max="9994" width="23.44140625" style="233" bestFit="1" customWidth="1"/>
    <col min="9995" max="9996" width="9.1640625" style="233" customWidth="1"/>
    <col min="9997" max="9997" width="11.27734375" style="233" bestFit="1" customWidth="1"/>
    <col min="9998" max="9998" width="14.44140625" style="233" bestFit="1" customWidth="1"/>
    <col min="9999" max="9999" width="8.1640625" style="233" customWidth="1"/>
    <col min="10000" max="10000" width="10.83203125" style="233" bestFit="1" customWidth="1"/>
    <col min="10001" max="10001" width="12.27734375" style="233" bestFit="1" customWidth="1"/>
    <col min="10002" max="10002" width="9.1640625" style="233" customWidth="1"/>
    <col min="10003" max="10003" width="10.83203125" style="233" bestFit="1" customWidth="1"/>
    <col min="10004" max="10004" width="12.27734375" style="233" bestFit="1" customWidth="1"/>
    <col min="10005" max="10005" width="8" style="233" customWidth="1"/>
    <col min="10006" max="10006" width="10.83203125" style="233" bestFit="1" customWidth="1"/>
    <col min="10007" max="10007" width="12.27734375" style="233" bestFit="1" customWidth="1"/>
    <col min="10008" max="10008" width="8.1640625" style="233" bestFit="1" customWidth="1"/>
    <col min="10009" max="10009" width="10.83203125" style="233" bestFit="1" customWidth="1"/>
    <col min="10010" max="10010" width="12.27734375" style="233" bestFit="1" customWidth="1"/>
    <col min="10011" max="10011" width="18.27734375" style="233" bestFit="1" customWidth="1"/>
    <col min="10012" max="10012" width="10.83203125" style="233" bestFit="1" customWidth="1"/>
    <col min="10013" max="10248" width="8.83203125" style="233"/>
    <col min="10249" max="10249" width="38.27734375" style="233" customWidth="1"/>
    <col min="10250" max="10250" width="23.44140625" style="233" bestFit="1" customWidth="1"/>
    <col min="10251" max="10252" width="9.1640625" style="233" customWidth="1"/>
    <col min="10253" max="10253" width="11.27734375" style="233" bestFit="1" customWidth="1"/>
    <col min="10254" max="10254" width="14.44140625" style="233" bestFit="1" customWidth="1"/>
    <col min="10255" max="10255" width="8.1640625" style="233" customWidth="1"/>
    <col min="10256" max="10256" width="10.83203125" style="233" bestFit="1" customWidth="1"/>
    <col min="10257" max="10257" width="12.27734375" style="233" bestFit="1" customWidth="1"/>
    <col min="10258" max="10258" width="9.1640625" style="233" customWidth="1"/>
    <col min="10259" max="10259" width="10.83203125" style="233" bestFit="1" customWidth="1"/>
    <col min="10260" max="10260" width="12.27734375" style="233" bestFit="1" customWidth="1"/>
    <col min="10261" max="10261" width="8" style="233" customWidth="1"/>
    <col min="10262" max="10262" width="10.83203125" style="233" bestFit="1" customWidth="1"/>
    <col min="10263" max="10263" width="12.27734375" style="233" bestFit="1" customWidth="1"/>
    <col min="10264" max="10264" width="8.1640625" style="233" bestFit="1" customWidth="1"/>
    <col min="10265" max="10265" width="10.83203125" style="233" bestFit="1" customWidth="1"/>
    <col min="10266" max="10266" width="12.27734375" style="233" bestFit="1" customWidth="1"/>
    <col min="10267" max="10267" width="18.27734375" style="233" bestFit="1" customWidth="1"/>
    <col min="10268" max="10268" width="10.83203125" style="233" bestFit="1" customWidth="1"/>
    <col min="10269" max="10504" width="8.83203125" style="233"/>
    <col min="10505" max="10505" width="38.27734375" style="233" customWidth="1"/>
    <col min="10506" max="10506" width="23.44140625" style="233" bestFit="1" customWidth="1"/>
    <col min="10507" max="10508" width="9.1640625" style="233" customWidth="1"/>
    <col min="10509" max="10509" width="11.27734375" style="233" bestFit="1" customWidth="1"/>
    <col min="10510" max="10510" width="14.44140625" style="233" bestFit="1" customWidth="1"/>
    <col min="10511" max="10511" width="8.1640625" style="233" customWidth="1"/>
    <col min="10512" max="10512" width="10.83203125" style="233" bestFit="1" customWidth="1"/>
    <col min="10513" max="10513" width="12.27734375" style="233" bestFit="1" customWidth="1"/>
    <col min="10514" max="10514" width="9.1640625" style="233" customWidth="1"/>
    <col min="10515" max="10515" width="10.83203125" style="233" bestFit="1" customWidth="1"/>
    <col min="10516" max="10516" width="12.27734375" style="233" bestFit="1" customWidth="1"/>
    <col min="10517" max="10517" width="8" style="233" customWidth="1"/>
    <col min="10518" max="10518" width="10.83203125" style="233" bestFit="1" customWidth="1"/>
    <col min="10519" max="10519" width="12.27734375" style="233" bestFit="1" customWidth="1"/>
    <col min="10520" max="10520" width="8.1640625" style="233" bestFit="1" customWidth="1"/>
    <col min="10521" max="10521" width="10.83203125" style="233" bestFit="1" customWidth="1"/>
    <col min="10522" max="10522" width="12.27734375" style="233" bestFit="1" customWidth="1"/>
    <col min="10523" max="10523" width="18.27734375" style="233" bestFit="1" customWidth="1"/>
    <col min="10524" max="10524" width="10.83203125" style="233" bestFit="1" customWidth="1"/>
    <col min="10525" max="10760" width="8.83203125" style="233"/>
    <col min="10761" max="10761" width="38.27734375" style="233" customWidth="1"/>
    <col min="10762" max="10762" width="23.44140625" style="233" bestFit="1" customWidth="1"/>
    <col min="10763" max="10764" width="9.1640625" style="233" customWidth="1"/>
    <col min="10765" max="10765" width="11.27734375" style="233" bestFit="1" customWidth="1"/>
    <col min="10766" max="10766" width="14.44140625" style="233" bestFit="1" customWidth="1"/>
    <col min="10767" max="10767" width="8.1640625" style="233" customWidth="1"/>
    <col min="10768" max="10768" width="10.83203125" style="233" bestFit="1" customWidth="1"/>
    <col min="10769" max="10769" width="12.27734375" style="233" bestFit="1" customWidth="1"/>
    <col min="10770" max="10770" width="9.1640625" style="233" customWidth="1"/>
    <col min="10771" max="10771" width="10.83203125" style="233" bestFit="1" customWidth="1"/>
    <col min="10772" max="10772" width="12.27734375" style="233" bestFit="1" customWidth="1"/>
    <col min="10773" max="10773" width="8" style="233" customWidth="1"/>
    <col min="10774" max="10774" width="10.83203125" style="233" bestFit="1" customWidth="1"/>
    <col min="10775" max="10775" width="12.27734375" style="233" bestFit="1" customWidth="1"/>
    <col min="10776" max="10776" width="8.1640625" style="233" bestFit="1" customWidth="1"/>
    <col min="10777" max="10777" width="10.83203125" style="233" bestFit="1" customWidth="1"/>
    <col min="10778" max="10778" width="12.27734375" style="233" bestFit="1" customWidth="1"/>
    <col min="10779" max="10779" width="18.27734375" style="233" bestFit="1" customWidth="1"/>
    <col min="10780" max="10780" width="10.83203125" style="233" bestFit="1" customWidth="1"/>
    <col min="10781" max="11016" width="8.83203125" style="233"/>
    <col min="11017" max="11017" width="38.27734375" style="233" customWidth="1"/>
    <col min="11018" max="11018" width="23.44140625" style="233" bestFit="1" customWidth="1"/>
    <col min="11019" max="11020" width="9.1640625" style="233" customWidth="1"/>
    <col min="11021" max="11021" width="11.27734375" style="233" bestFit="1" customWidth="1"/>
    <col min="11022" max="11022" width="14.44140625" style="233" bestFit="1" customWidth="1"/>
    <col min="11023" max="11023" width="8.1640625" style="233" customWidth="1"/>
    <col min="11024" max="11024" width="10.83203125" style="233" bestFit="1" customWidth="1"/>
    <col min="11025" max="11025" width="12.27734375" style="233" bestFit="1" customWidth="1"/>
    <col min="11026" max="11026" width="9.1640625" style="233" customWidth="1"/>
    <col min="11027" max="11027" width="10.83203125" style="233" bestFit="1" customWidth="1"/>
    <col min="11028" max="11028" width="12.27734375" style="233" bestFit="1" customWidth="1"/>
    <col min="11029" max="11029" width="8" style="233" customWidth="1"/>
    <col min="11030" max="11030" width="10.83203125" style="233" bestFit="1" customWidth="1"/>
    <col min="11031" max="11031" width="12.27734375" style="233" bestFit="1" customWidth="1"/>
    <col min="11032" max="11032" width="8.1640625" style="233" bestFit="1" customWidth="1"/>
    <col min="11033" max="11033" width="10.83203125" style="233" bestFit="1" customWidth="1"/>
    <col min="11034" max="11034" width="12.27734375" style="233" bestFit="1" customWidth="1"/>
    <col min="11035" max="11035" width="18.27734375" style="233" bestFit="1" customWidth="1"/>
    <col min="11036" max="11036" width="10.83203125" style="233" bestFit="1" customWidth="1"/>
    <col min="11037" max="11272" width="8.83203125" style="233"/>
    <col min="11273" max="11273" width="38.27734375" style="233" customWidth="1"/>
    <col min="11274" max="11274" width="23.44140625" style="233" bestFit="1" customWidth="1"/>
    <col min="11275" max="11276" width="9.1640625" style="233" customWidth="1"/>
    <col min="11277" max="11277" width="11.27734375" style="233" bestFit="1" customWidth="1"/>
    <col min="11278" max="11278" width="14.44140625" style="233" bestFit="1" customWidth="1"/>
    <col min="11279" max="11279" width="8.1640625" style="233" customWidth="1"/>
    <col min="11280" max="11280" width="10.83203125" style="233" bestFit="1" customWidth="1"/>
    <col min="11281" max="11281" width="12.27734375" style="233" bestFit="1" customWidth="1"/>
    <col min="11282" max="11282" width="9.1640625" style="233" customWidth="1"/>
    <col min="11283" max="11283" width="10.83203125" style="233" bestFit="1" customWidth="1"/>
    <col min="11284" max="11284" width="12.27734375" style="233" bestFit="1" customWidth="1"/>
    <col min="11285" max="11285" width="8" style="233" customWidth="1"/>
    <col min="11286" max="11286" width="10.83203125" style="233" bestFit="1" customWidth="1"/>
    <col min="11287" max="11287" width="12.27734375" style="233" bestFit="1" customWidth="1"/>
    <col min="11288" max="11288" width="8.1640625" style="233" bestFit="1" customWidth="1"/>
    <col min="11289" max="11289" width="10.83203125" style="233" bestFit="1" customWidth="1"/>
    <col min="11290" max="11290" width="12.27734375" style="233" bestFit="1" customWidth="1"/>
    <col min="11291" max="11291" width="18.27734375" style="233" bestFit="1" customWidth="1"/>
    <col min="11292" max="11292" width="10.83203125" style="233" bestFit="1" customWidth="1"/>
    <col min="11293" max="11528" width="8.83203125" style="233"/>
    <col min="11529" max="11529" width="38.27734375" style="233" customWidth="1"/>
    <col min="11530" max="11530" width="23.44140625" style="233" bestFit="1" customWidth="1"/>
    <col min="11531" max="11532" width="9.1640625" style="233" customWidth="1"/>
    <col min="11533" max="11533" width="11.27734375" style="233" bestFit="1" customWidth="1"/>
    <col min="11534" max="11534" width="14.44140625" style="233" bestFit="1" customWidth="1"/>
    <col min="11535" max="11535" width="8.1640625" style="233" customWidth="1"/>
    <col min="11536" max="11536" width="10.83203125" style="233" bestFit="1" customWidth="1"/>
    <col min="11537" max="11537" width="12.27734375" style="233" bestFit="1" customWidth="1"/>
    <col min="11538" max="11538" width="9.1640625" style="233" customWidth="1"/>
    <col min="11539" max="11539" width="10.83203125" style="233" bestFit="1" customWidth="1"/>
    <col min="11540" max="11540" width="12.27734375" style="233" bestFit="1" customWidth="1"/>
    <col min="11541" max="11541" width="8" style="233" customWidth="1"/>
    <col min="11542" max="11542" width="10.83203125" style="233" bestFit="1" customWidth="1"/>
    <col min="11543" max="11543" width="12.27734375" style="233" bestFit="1" customWidth="1"/>
    <col min="11544" max="11544" width="8.1640625" style="233" bestFit="1" customWidth="1"/>
    <col min="11545" max="11545" width="10.83203125" style="233" bestFit="1" customWidth="1"/>
    <col min="11546" max="11546" width="12.27734375" style="233" bestFit="1" customWidth="1"/>
    <col min="11547" max="11547" width="18.27734375" style="233" bestFit="1" customWidth="1"/>
    <col min="11548" max="11548" width="10.83203125" style="233" bestFit="1" customWidth="1"/>
    <col min="11549" max="11784" width="8.83203125" style="233"/>
    <col min="11785" max="11785" width="38.27734375" style="233" customWidth="1"/>
    <col min="11786" max="11786" width="23.44140625" style="233" bestFit="1" customWidth="1"/>
    <col min="11787" max="11788" width="9.1640625" style="233" customWidth="1"/>
    <col min="11789" max="11789" width="11.27734375" style="233" bestFit="1" customWidth="1"/>
    <col min="11790" max="11790" width="14.44140625" style="233" bestFit="1" customWidth="1"/>
    <col min="11791" max="11791" width="8.1640625" style="233" customWidth="1"/>
    <col min="11792" max="11792" width="10.83203125" style="233" bestFit="1" customWidth="1"/>
    <col min="11793" max="11793" width="12.27734375" style="233" bestFit="1" customWidth="1"/>
    <col min="11794" max="11794" width="9.1640625" style="233" customWidth="1"/>
    <col min="11795" max="11795" width="10.83203125" style="233" bestFit="1" customWidth="1"/>
    <col min="11796" max="11796" width="12.27734375" style="233" bestFit="1" customWidth="1"/>
    <col min="11797" max="11797" width="8" style="233" customWidth="1"/>
    <col min="11798" max="11798" width="10.83203125" style="233" bestFit="1" customWidth="1"/>
    <col min="11799" max="11799" width="12.27734375" style="233" bestFit="1" customWidth="1"/>
    <col min="11800" max="11800" width="8.1640625" style="233" bestFit="1" customWidth="1"/>
    <col min="11801" max="11801" width="10.83203125" style="233" bestFit="1" customWidth="1"/>
    <col min="11802" max="11802" width="12.27734375" style="233" bestFit="1" customWidth="1"/>
    <col min="11803" max="11803" width="18.27734375" style="233" bestFit="1" customWidth="1"/>
    <col min="11804" max="11804" width="10.83203125" style="233" bestFit="1" customWidth="1"/>
    <col min="11805" max="12040" width="8.83203125" style="233"/>
    <col min="12041" max="12041" width="38.27734375" style="233" customWidth="1"/>
    <col min="12042" max="12042" width="23.44140625" style="233" bestFit="1" customWidth="1"/>
    <col min="12043" max="12044" width="9.1640625" style="233" customWidth="1"/>
    <col min="12045" max="12045" width="11.27734375" style="233" bestFit="1" customWidth="1"/>
    <col min="12046" max="12046" width="14.44140625" style="233" bestFit="1" customWidth="1"/>
    <col min="12047" max="12047" width="8.1640625" style="233" customWidth="1"/>
    <col min="12048" max="12048" width="10.83203125" style="233" bestFit="1" customWidth="1"/>
    <col min="12049" max="12049" width="12.27734375" style="233" bestFit="1" customWidth="1"/>
    <col min="12050" max="12050" width="9.1640625" style="233" customWidth="1"/>
    <col min="12051" max="12051" width="10.83203125" style="233" bestFit="1" customWidth="1"/>
    <col min="12052" max="12052" width="12.27734375" style="233" bestFit="1" customWidth="1"/>
    <col min="12053" max="12053" width="8" style="233" customWidth="1"/>
    <col min="12054" max="12054" width="10.83203125" style="233" bestFit="1" customWidth="1"/>
    <col min="12055" max="12055" width="12.27734375" style="233" bestFit="1" customWidth="1"/>
    <col min="12056" max="12056" width="8.1640625" style="233" bestFit="1" customWidth="1"/>
    <col min="12057" max="12057" width="10.83203125" style="233" bestFit="1" customWidth="1"/>
    <col min="12058" max="12058" width="12.27734375" style="233" bestFit="1" customWidth="1"/>
    <col min="12059" max="12059" width="18.27734375" style="233" bestFit="1" customWidth="1"/>
    <col min="12060" max="12060" width="10.83203125" style="233" bestFit="1" customWidth="1"/>
    <col min="12061" max="12296" width="8.83203125" style="233"/>
    <col min="12297" max="12297" width="38.27734375" style="233" customWidth="1"/>
    <col min="12298" max="12298" width="23.44140625" style="233" bestFit="1" customWidth="1"/>
    <col min="12299" max="12300" width="9.1640625" style="233" customWidth="1"/>
    <col min="12301" max="12301" width="11.27734375" style="233" bestFit="1" customWidth="1"/>
    <col min="12302" max="12302" width="14.44140625" style="233" bestFit="1" customWidth="1"/>
    <col min="12303" max="12303" width="8.1640625" style="233" customWidth="1"/>
    <col min="12304" max="12304" width="10.83203125" style="233" bestFit="1" customWidth="1"/>
    <col min="12305" max="12305" width="12.27734375" style="233" bestFit="1" customWidth="1"/>
    <col min="12306" max="12306" width="9.1640625" style="233" customWidth="1"/>
    <col min="12307" max="12307" width="10.83203125" style="233" bestFit="1" customWidth="1"/>
    <col min="12308" max="12308" width="12.27734375" style="233" bestFit="1" customWidth="1"/>
    <col min="12309" max="12309" width="8" style="233" customWidth="1"/>
    <col min="12310" max="12310" width="10.83203125" style="233" bestFit="1" customWidth="1"/>
    <col min="12311" max="12311" width="12.27734375" style="233" bestFit="1" customWidth="1"/>
    <col min="12312" max="12312" width="8.1640625" style="233" bestFit="1" customWidth="1"/>
    <col min="12313" max="12313" width="10.83203125" style="233" bestFit="1" customWidth="1"/>
    <col min="12314" max="12314" width="12.27734375" style="233" bestFit="1" customWidth="1"/>
    <col min="12315" max="12315" width="18.27734375" style="233" bestFit="1" customWidth="1"/>
    <col min="12316" max="12316" width="10.83203125" style="233" bestFit="1" customWidth="1"/>
    <col min="12317" max="12552" width="8.83203125" style="233"/>
    <col min="12553" max="12553" width="38.27734375" style="233" customWidth="1"/>
    <col min="12554" max="12554" width="23.44140625" style="233" bestFit="1" customWidth="1"/>
    <col min="12555" max="12556" width="9.1640625" style="233" customWidth="1"/>
    <col min="12557" max="12557" width="11.27734375" style="233" bestFit="1" customWidth="1"/>
    <col min="12558" max="12558" width="14.44140625" style="233" bestFit="1" customWidth="1"/>
    <col min="12559" max="12559" width="8.1640625" style="233" customWidth="1"/>
    <col min="12560" max="12560" width="10.83203125" style="233" bestFit="1" customWidth="1"/>
    <col min="12561" max="12561" width="12.27734375" style="233" bestFit="1" customWidth="1"/>
    <col min="12562" max="12562" width="9.1640625" style="233" customWidth="1"/>
    <col min="12563" max="12563" width="10.83203125" style="233" bestFit="1" customWidth="1"/>
    <col min="12564" max="12564" width="12.27734375" style="233" bestFit="1" customWidth="1"/>
    <col min="12565" max="12565" width="8" style="233" customWidth="1"/>
    <col min="12566" max="12566" width="10.83203125" style="233" bestFit="1" customWidth="1"/>
    <col min="12567" max="12567" width="12.27734375" style="233" bestFit="1" customWidth="1"/>
    <col min="12568" max="12568" width="8.1640625" style="233" bestFit="1" customWidth="1"/>
    <col min="12569" max="12569" width="10.83203125" style="233" bestFit="1" customWidth="1"/>
    <col min="12570" max="12570" width="12.27734375" style="233" bestFit="1" customWidth="1"/>
    <col min="12571" max="12571" width="18.27734375" style="233" bestFit="1" customWidth="1"/>
    <col min="12572" max="12572" width="10.83203125" style="233" bestFit="1" customWidth="1"/>
    <col min="12573" max="12808" width="8.83203125" style="233"/>
    <col min="12809" max="12809" width="38.27734375" style="233" customWidth="1"/>
    <col min="12810" max="12810" width="23.44140625" style="233" bestFit="1" customWidth="1"/>
    <col min="12811" max="12812" width="9.1640625" style="233" customWidth="1"/>
    <col min="12813" max="12813" width="11.27734375" style="233" bestFit="1" customWidth="1"/>
    <col min="12814" max="12814" width="14.44140625" style="233" bestFit="1" customWidth="1"/>
    <col min="12815" max="12815" width="8.1640625" style="233" customWidth="1"/>
    <col min="12816" max="12816" width="10.83203125" style="233" bestFit="1" customWidth="1"/>
    <col min="12817" max="12817" width="12.27734375" style="233" bestFit="1" customWidth="1"/>
    <col min="12818" max="12818" width="9.1640625" style="233" customWidth="1"/>
    <col min="12819" max="12819" width="10.83203125" style="233" bestFit="1" customWidth="1"/>
    <col min="12820" max="12820" width="12.27734375" style="233" bestFit="1" customWidth="1"/>
    <col min="12821" max="12821" width="8" style="233" customWidth="1"/>
    <col min="12822" max="12822" width="10.83203125" style="233" bestFit="1" customWidth="1"/>
    <col min="12823" max="12823" width="12.27734375" style="233" bestFit="1" customWidth="1"/>
    <col min="12824" max="12824" width="8.1640625" style="233" bestFit="1" customWidth="1"/>
    <col min="12825" max="12825" width="10.83203125" style="233" bestFit="1" customWidth="1"/>
    <col min="12826" max="12826" width="12.27734375" style="233" bestFit="1" customWidth="1"/>
    <col min="12827" max="12827" width="18.27734375" style="233" bestFit="1" customWidth="1"/>
    <col min="12828" max="12828" width="10.83203125" style="233" bestFit="1" customWidth="1"/>
    <col min="12829" max="13064" width="8.83203125" style="233"/>
    <col min="13065" max="13065" width="38.27734375" style="233" customWidth="1"/>
    <col min="13066" max="13066" width="23.44140625" style="233" bestFit="1" customWidth="1"/>
    <col min="13067" max="13068" width="9.1640625" style="233" customWidth="1"/>
    <col min="13069" max="13069" width="11.27734375" style="233" bestFit="1" customWidth="1"/>
    <col min="13070" max="13070" width="14.44140625" style="233" bestFit="1" customWidth="1"/>
    <col min="13071" max="13071" width="8.1640625" style="233" customWidth="1"/>
    <col min="13072" max="13072" width="10.83203125" style="233" bestFit="1" customWidth="1"/>
    <col min="13073" max="13073" width="12.27734375" style="233" bestFit="1" customWidth="1"/>
    <col min="13074" max="13074" width="9.1640625" style="233" customWidth="1"/>
    <col min="13075" max="13075" width="10.83203125" style="233" bestFit="1" customWidth="1"/>
    <col min="13076" max="13076" width="12.27734375" style="233" bestFit="1" customWidth="1"/>
    <col min="13077" max="13077" width="8" style="233" customWidth="1"/>
    <col min="13078" max="13078" width="10.83203125" style="233" bestFit="1" customWidth="1"/>
    <col min="13079" max="13079" width="12.27734375" style="233" bestFit="1" customWidth="1"/>
    <col min="13080" max="13080" width="8.1640625" style="233" bestFit="1" customWidth="1"/>
    <col min="13081" max="13081" width="10.83203125" style="233" bestFit="1" customWidth="1"/>
    <col min="13082" max="13082" width="12.27734375" style="233" bestFit="1" customWidth="1"/>
    <col min="13083" max="13083" width="18.27734375" style="233" bestFit="1" customWidth="1"/>
    <col min="13084" max="13084" width="10.83203125" style="233" bestFit="1" customWidth="1"/>
    <col min="13085" max="13320" width="8.83203125" style="233"/>
    <col min="13321" max="13321" width="38.27734375" style="233" customWidth="1"/>
    <col min="13322" max="13322" width="23.44140625" style="233" bestFit="1" customWidth="1"/>
    <col min="13323" max="13324" width="9.1640625" style="233" customWidth="1"/>
    <col min="13325" max="13325" width="11.27734375" style="233" bestFit="1" customWidth="1"/>
    <col min="13326" max="13326" width="14.44140625" style="233" bestFit="1" customWidth="1"/>
    <col min="13327" max="13327" width="8.1640625" style="233" customWidth="1"/>
    <col min="13328" max="13328" width="10.83203125" style="233" bestFit="1" customWidth="1"/>
    <col min="13329" max="13329" width="12.27734375" style="233" bestFit="1" customWidth="1"/>
    <col min="13330" max="13330" width="9.1640625" style="233" customWidth="1"/>
    <col min="13331" max="13331" width="10.83203125" style="233" bestFit="1" customWidth="1"/>
    <col min="13332" max="13332" width="12.27734375" style="233" bestFit="1" customWidth="1"/>
    <col min="13333" max="13333" width="8" style="233" customWidth="1"/>
    <col min="13334" max="13334" width="10.83203125" style="233" bestFit="1" customWidth="1"/>
    <col min="13335" max="13335" width="12.27734375" style="233" bestFit="1" customWidth="1"/>
    <col min="13336" max="13336" width="8.1640625" style="233" bestFit="1" customWidth="1"/>
    <col min="13337" max="13337" width="10.83203125" style="233" bestFit="1" customWidth="1"/>
    <col min="13338" max="13338" width="12.27734375" style="233" bestFit="1" customWidth="1"/>
    <col min="13339" max="13339" width="18.27734375" style="233" bestFit="1" customWidth="1"/>
    <col min="13340" max="13340" width="10.83203125" style="233" bestFit="1" customWidth="1"/>
    <col min="13341" max="13576" width="8.83203125" style="233"/>
    <col min="13577" max="13577" width="38.27734375" style="233" customWidth="1"/>
    <col min="13578" max="13578" width="23.44140625" style="233" bestFit="1" customWidth="1"/>
    <col min="13579" max="13580" width="9.1640625" style="233" customWidth="1"/>
    <col min="13581" max="13581" width="11.27734375" style="233" bestFit="1" customWidth="1"/>
    <col min="13582" max="13582" width="14.44140625" style="233" bestFit="1" customWidth="1"/>
    <col min="13583" max="13583" width="8.1640625" style="233" customWidth="1"/>
    <col min="13584" max="13584" width="10.83203125" style="233" bestFit="1" customWidth="1"/>
    <col min="13585" max="13585" width="12.27734375" style="233" bestFit="1" customWidth="1"/>
    <col min="13586" max="13586" width="9.1640625" style="233" customWidth="1"/>
    <col min="13587" max="13587" width="10.83203125" style="233" bestFit="1" customWidth="1"/>
    <col min="13588" max="13588" width="12.27734375" style="233" bestFit="1" customWidth="1"/>
    <col min="13589" max="13589" width="8" style="233" customWidth="1"/>
    <col min="13590" max="13590" width="10.83203125" style="233" bestFit="1" customWidth="1"/>
    <col min="13591" max="13591" width="12.27734375" style="233" bestFit="1" customWidth="1"/>
    <col min="13592" max="13592" width="8.1640625" style="233" bestFit="1" customWidth="1"/>
    <col min="13593" max="13593" width="10.83203125" style="233" bestFit="1" customWidth="1"/>
    <col min="13594" max="13594" width="12.27734375" style="233" bestFit="1" customWidth="1"/>
    <col min="13595" max="13595" width="18.27734375" style="233" bestFit="1" customWidth="1"/>
    <col min="13596" max="13596" width="10.83203125" style="233" bestFit="1" customWidth="1"/>
    <col min="13597" max="13832" width="8.83203125" style="233"/>
    <col min="13833" max="13833" width="38.27734375" style="233" customWidth="1"/>
    <col min="13834" max="13834" width="23.44140625" style="233" bestFit="1" customWidth="1"/>
    <col min="13835" max="13836" width="9.1640625" style="233" customWidth="1"/>
    <col min="13837" max="13837" width="11.27734375" style="233" bestFit="1" customWidth="1"/>
    <col min="13838" max="13838" width="14.44140625" style="233" bestFit="1" customWidth="1"/>
    <col min="13839" max="13839" width="8.1640625" style="233" customWidth="1"/>
    <col min="13840" max="13840" width="10.83203125" style="233" bestFit="1" customWidth="1"/>
    <col min="13841" max="13841" width="12.27734375" style="233" bestFit="1" customWidth="1"/>
    <col min="13842" max="13842" width="9.1640625" style="233" customWidth="1"/>
    <col min="13843" max="13843" width="10.83203125" style="233" bestFit="1" customWidth="1"/>
    <col min="13844" max="13844" width="12.27734375" style="233" bestFit="1" customWidth="1"/>
    <col min="13845" max="13845" width="8" style="233" customWidth="1"/>
    <col min="13846" max="13846" width="10.83203125" style="233" bestFit="1" customWidth="1"/>
    <col min="13847" max="13847" width="12.27734375" style="233" bestFit="1" customWidth="1"/>
    <col min="13848" max="13848" width="8.1640625" style="233" bestFit="1" customWidth="1"/>
    <col min="13849" max="13849" width="10.83203125" style="233" bestFit="1" customWidth="1"/>
    <col min="13850" max="13850" width="12.27734375" style="233" bestFit="1" customWidth="1"/>
    <col min="13851" max="13851" width="18.27734375" style="233" bestFit="1" customWidth="1"/>
    <col min="13852" max="13852" width="10.83203125" style="233" bestFit="1" customWidth="1"/>
    <col min="13853" max="14088" width="8.83203125" style="233"/>
    <col min="14089" max="14089" width="38.27734375" style="233" customWidth="1"/>
    <col min="14090" max="14090" width="23.44140625" style="233" bestFit="1" customWidth="1"/>
    <col min="14091" max="14092" width="9.1640625" style="233" customWidth="1"/>
    <col min="14093" max="14093" width="11.27734375" style="233" bestFit="1" customWidth="1"/>
    <col min="14094" max="14094" width="14.44140625" style="233" bestFit="1" customWidth="1"/>
    <col min="14095" max="14095" width="8.1640625" style="233" customWidth="1"/>
    <col min="14096" max="14096" width="10.83203125" style="233" bestFit="1" customWidth="1"/>
    <col min="14097" max="14097" width="12.27734375" style="233" bestFit="1" customWidth="1"/>
    <col min="14098" max="14098" width="9.1640625" style="233" customWidth="1"/>
    <col min="14099" max="14099" width="10.83203125" style="233" bestFit="1" customWidth="1"/>
    <col min="14100" max="14100" width="12.27734375" style="233" bestFit="1" customWidth="1"/>
    <col min="14101" max="14101" width="8" style="233" customWidth="1"/>
    <col min="14102" max="14102" width="10.83203125" style="233" bestFit="1" customWidth="1"/>
    <col min="14103" max="14103" width="12.27734375" style="233" bestFit="1" customWidth="1"/>
    <col min="14104" max="14104" width="8.1640625" style="233" bestFit="1" customWidth="1"/>
    <col min="14105" max="14105" width="10.83203125" style="233" bestFit="1" customWidth="1"/>
    <col min="14106" max="14106" width="12.27734375" style="233" bestFit="1" customWidth="1"/>
    <col min="14107" max="14107" width="18.27734375" style="233" bestFit="1" customWidth="1"/>
    <col min="14108" max="14108" width="10.83203125" style="233" bestFit="1" customWidth="1"/>
    <col min="14109" max="14344" width="8.83203125" style="233"/>
    <col min="14345" max="14345" width="38.27734375" style="233" customWidth="1"/>
    <col min="14346" max="14346" width="23.44140625" style="233" bestFit="1" customWidth="1"/>
    <col min="14347" max="14348" width="9.1640625" style="233" customWidth="1"/>
    <col min="14349" max="14349" width="11.27734375" style="233" bestFit="1" customWidth="1"/>
    <col min="14350" max="14350" width="14.44140625" style="233" bestFit="1" customWidth="1"/>
    <col min="14351" max="14351" width="8.1640625" style="233" customWidth="1"/>
    <col min="14352" max="14352" width="10.83203125" style="233" bestFit="1" customWidth="1"/>
    <col min="14353" max="14353" width="12.27734375" style="233" bestFit="1" customWidth="1"/>
    <col min="14354" max="14354" width="9.1640625" style="233" customWidth="1"/>
    <col min="14355" max="14355" width="10.83203125" style="233" bestFit="1" customWidth="1"/>
    <col min="14356" max="14356" width="12.27734375" style="233" bestFit="1" customWidth="1"/>
    <col min="14357" max="14357" width="8" style="233" customWidth="1"/>
    <col min="14358" max="14358" width="10.83203125" style="233" bestFit="1" customWidth="1"/>
    <col min="14359" max="14359" width="12.27734375" style="233" bestFit="1" customWidth="1"/>
    <col min="14360" max="14360" width="8.1640625" style="233" bestFit="1" customWidth="1"/>
    <col min="14361" max="14361" width="10.83203125" style="233" bestFit="1" customWidth="1"/>
    <col min="14362" max="14362" width="12.27734375" style="233" bestFit="1" customWidth="1"/>
    <col min="14363" max="14363" width="18.27734375" style="233" bestFit="1" customWidth="1"/>
    <col min="14364" max="14364" width="10.83203125" style="233" bestFit="1" customWidth="1"/>
    <col min="14365" max="14600" width="8.83203125" style="233"/>
    <col min="14601" max="14601" width="38.27734375" style="233" customWidth="1"/>
    <col min="14602" max="14602" width="23.44140625" style="233" bestFit="1" customWidth="1"/>
    <col min="14603" max="14604" width="9.1640625" style="233" customWidth="1"/>
    <col min="14605" max="14605" width="11.27734375" style="233" bestFit="1" customWidth="1"/>
    <col min="14606" max="14606" width="14.44140625" style="233" bestFit="1" customWidth="1"/>
    <col min="14607" max="14607" width="8.1640625" style="233" customWidth="1"/>
    <col min="14608" max="14608" width="10.83203125" style="233" bestFit="1" customWidth="1"/>
    <col min="14609" max="14609" width="12.27734375" style="233" bestFit="1" customWidth="1"/>
    <col min="14610" max="14610" width="9.1640625" style="233" customWidth="1"/>
    <col min="14611" max="14611" width="10.83203125" style="233" bestFit="1" customWidth="1"/>
    <col min="14612" max="14612" width="12.27734375" style="233" bestFit="1" customWidth="1"/>
    <col min="14613" max="14613" width="8" style="233" customWidth="1"/>
    <col min="14614" max="14614" width="10.83203125" style="233" bestFit="1" customWidth="1"/>
    <col min="14615" max="14615" width="12.27734375" style="233" bestFit="1" customWidth="1"/>
    <col min="14616" max="14616" width="8.1640625" style="233" bestFit="1" customWidth="1"/>
    <col min="14617" max="14617" width="10.83203125" style="233" bestFit="1" customWidth="1"/>
    <col min="14618" max="14618" width="12.27734375" style="233" bestFit="1" customWidth="1"/>
    <col min="14619" max="14619" width="18.27734375" style="233" bestFit="1" customWidth="1"/>
    <col min="14620" max="14620" width="10.83203125" style="233" bestFit="1" customWidth="1"/>
    <col min="14621" max="14856" width="8.83203125" style="233"/>
    <col min="14857" max="14857" width="38.27734375" style="233" customWidth="1"/>
    <col min="14858" max="14858" width="23.44140625" style="233" bestFit="1" customWidth="1"/>
    <col min="14859" max="14860" width="9.1640625" style="233" customWidth="1"/>
    <col min="14861" max="14861" width="11.27734375" style="233" bestFit="1" customWidth="1"/>
    <col min="14862" max="14862" width="14.44140625" style="233" bestFit="1" customWidth="1"/>
    <col min="14863" max="14863" width="8.1640625" style="233" customWidth="1"/>
    <col min="14864" max="14864" width="10.83203125" style="233" bestFit="1" customWidth="1"/>
    <col min="14865" max="14865" width="12.27734375" style="233" bestFit="1" customWidth="1"/>
    <col min="14866" max="14866" width="9.1640625" style="233" customWidth="1"/>
    <col min="14867" max="14867" width="10.83203125" style="233" bestFit="1" customWidth="1"/>
    <col min="14868" max="14868" width="12.27734375" style="233" bestFit="1" customWidth="1"/>
    <col min="14869" max="14869" width="8" style="233" customWidth="1"/>
    <col min="14870" max="14870" width="10.83203125" style="233" bestFit="1" customWidth="1"/>
    <col min="14871" max="14871" width="12.27734375" style="233" bestFit="1" customWidth="1"/>
    <col min="14872" max="14872" width="8.1640625" style="233" bestFit="1" customWidth="1"/>
    <col min="14873" max="14873" width="10.83203125" style="233" bestFit="1" customWidth="1"/>
    <col min="14874" max="14874" width="12.27734375" style="233" bestFit="1" customWidth="1"/>
    <col min="14875" max="14875" width="18.27734375" style="233" bestFit="1" customWidth="1"/>
    <col min="14876" max="14876" width="10.83203125" style="233" bestFit="1" customWidth="1"/>
    <col min="14877" max="15112" width="8.83203125" style="233"/>
    <col min="15113" max="15113" width="38.27734375" style="233" customWidth="1"/>
    <col min="15114" max="15114" width="23.44140625" style="233" bestFit="1" customWidth="1"/>
    <col min="15115" max="15116" width="9.1640625" style="233" customWidth="1"/>
    <col min="15117" max="15117" width="11.27734375" style="233" bestFit="1" customWidth="1"/>
    <col min="15118" max="15118" width="14.44140625" style="233" bestFit="1" customWidth="1"/>
    <col min="15119" max="15119" width="8.1640625" style="233" customWidth="1"/>
    <col min="15120" max="15120" width="10.83203125" style="233" bestFit="1" customWidth="1"/>
    <col min="15121" max="15121" width="12.27734375" style="233" bestFit="1" customWidth="1"/>
    <col min="15122" max="15122" width="9.1640625" style="233" customWidth="1"/>
    <col min="15123" max="15123" width="10.83203125" style="233" bestFit="1" customWidth="1"/>
    <col min="15124" max="15124" width="12.27734375" style="233" bestFit="1" customWidth="1"/>
    <col min="15125" max="15125" width="8" style="233" customWidth="1"/>
    <col min="15126" max="15126" width="10.83203125" style="233" bestFit="1" customWidth="1"/>
    <col min="15127" max="15127" width="12.27734375" style="233" bestFit="1" customWidth="1"/>
    <col min="15128" max="15128" width="8.1640625" style="233" bestFit="1" customWidth="1"/>
    <col min="15129" max="15129" width="10.83203125" style="233" bestFit="1" customWidth="1"/>
    <col min="15130" max="15130" width="12.27734375" style="233" bestFit="1" customWidth="1"/>
    <col min="15131" max="15131" width="18.27734375" style="233" bestFit="1" customWidth="1"/>
    <col min="15132" max="15132" width="10.83203125" style="233" bestFit="1" customWidth="1"/>
    <col min="15133" max="15368" width="8.83203125" style="233"/>
    <col min="15369" max="15369" width="38.27734375" style="233" customWidth="1"/>
    <col min="15370" max="15370" width="23.44140625" style="233" bestFit="1" customWidth="1"/>
    <col min="15371" max="15372" width="9.1640625" style="233" customWidth="1"/>
    <col min="15373" max="15373" width="11.27734375" style="233" bestFit="1" customWidth="1"/>
    <col min="15374" max="15374" width="14.44140625" style="233" bestFit="1" customWidth="1"/>
    <col min="15375" max="15375" width="8.1640625" style="233" customWidth="1"/>
    <col min="15376" max="15376" width="10.83203125" style="233" bestFit="1" customWidth="1"/>
    <col min="15377" max="15377" width="12.27734375" style="233" bestFit="1" customWidth="1"/>
    <col min="15378" max="15378" width="9.1640625" style="233" customWidth="1"/>
    <col min="15379" max="15379" width="10.83203125" style="233" bestFit="1" customWidth="1"/>
    <col min="15380" max="15380" width="12.27734375" style="233" bestFit="1" customWidth="1"/>
    <col min="15381" max="15381" width="8" style="233" customWidth="1"/>
    <col min="15382" max="15382" width="10.83203125" style="233" bestFit="1" customWidth="1"/>
    <col min="15383" max="15383" width="12.27734375" style="233" bestFit="1" customWidth="1"/>
    <col min="15384" max="15384" width="8.1640625" style="233" bestFit="1" customWidth="1"/>
    <col min="15385" max="15385" width="10.83203125" style="233" bestFit="1" customWidth="1"/>
    <col min="15386" max="15386" width="12.27734375" style="233" bestFit="1" customWidth="1"/>
    <col min="15387" max="15387" width="18.27734375" style="233" bestFit="1" customWidth="1"/>
    <col min="15388" max="15388" width="10.83203125" style="233" bestFit="1" customWidth="1"/>
    <col min="15389" max="15624" width="8.83203125" style="233"/>
    <col min="15625" max="15625" width="38.27734375" style="233" customWidth="1"/>
    <col min="15626" max="15626" width="23.44140625" style="233" bestFit="1" customWidth="1"/>
    <col min="15627" max="15628" width="9.1640625" style="233" customWidth="1"/>
    <col min="15629" max="15629" width="11.27734375" style="233" bestFit="1" customWidth="1"/>
    <col min="15630" max="15630" width="14.44140625" style="233" bestFit="1" customWidth="1"/>
    <col min="15631" max="15631" width="8.1640625" style="233" customWidth="1"/>
    <col min="15632" max="15632" width="10.83203125" style="233" bestFit="1" customWidth="1"/>
    <col min="15633" max="15633" width="12.27734375" style="233" bestFit="1" customWidth="1"/>
    <col min="15634" max="15634" width="9.1640625" style="233" customWidth="1"/>
    <col min="15635" max="15635" width="10.83203125" style="233" bestFit="1" customWidth="1"/>
    <col min="15636" max="15636" width="12.27734375" style="233" bestFit="1" customWidth="1"/>
    <col min="15637" max="15637" width="8" style="233" customWidth="1"/>
    <col min="15638" max="15638" width="10.83203125" style="233" bestFit="1" customWidth="1"/>
    <col min="15639" max="15639" width="12.27734375" style="233" bestFit="1" customWidth="1"/>
    <col min="15640" max="15640" width="8.1640625" style="233" bestFit="1" customWidth="1"/>
    <col min="15641" max="15641" width="10.83203125" style="233" bestFit="1" customWidth="1"/>
    <col min="15642" max="15642" width="12.27734375" style="233" bestFit="1" customWidth="1"/>
    <col min="15643" max="15643" width="18.27734375" style="233" bestFit="1" customWidth="1"/>
    <col min="15644" max="15644" width="10.83203125" style="233" bestFit="1" customWidth="1"/>
    <col min="15645" max="15880" width="8.83203125" style="233"/>
    <col min="15881" max="15881" width="38.27734375" style="233" customWidth="1"/>
    <col min="15882" max="15882" width="23.44140625" style="233" bestFit="1" customWidth="1"/>
    <col min="15883" max="15884" width="9.1640625" style="233" customWidth="1"/>
    <col min="15885" max="15885" width="11.27734375" style="233" bestFit="1" customWidth="1"/>
    <col min="15886" max="15886" width="14.44140625" style="233" bestFit="1" customWidth="1"/>
    <col min="15887" max="15887" width="8.1640625" style="233" customWidth="1"/>
    <col min="15888" max="15888" width="10.83203125" style="233" bestFit="1" customWidth="1"/>
    <col min="15889" max="15889" width="12.27734375" style="233" bestFit="1" customWidth="1"/>
    <col min="15890" max="15890" width="9.1640625" style="233" customWidth="1"/>
    <col min="15891" max="15891" width="10.83203125" style="233" bestFit="1" customWidth="1"/>
    <col min="15892" max="15892" width="12.27734375" style="233" bestFit="1" customWidth="1"/>
    <col min="15893" max="15893" width="8" style="233" customWidth="1"/>
    <col min="15894" max="15894" width="10.83203125" style="233" bestFit="1" customWidth="1"/>
    <col min="15895" max="15895" width="12.27734375" style="233" bestFit="1" customWidth="1"/>
    <col min="15896" max="15896" width="8.1640625" style="233" bestFit="1" customWidth="1"/>
    <col min="15897" max="15897" width="10.83203125" style="233" bestFit="1" customWidth="1"/>
    <col min="15898" max="15898" width="12.27734375" style="233" bestFit="1" customWidth="1"/>
    <col min="15899" max="15899" width="18.27734375" style="233" bestFit="1" customWidth="1"/>
    <col min="15900" max="15900" width="10.83203125" style="233" bestFit="1" customWidth="1"/>
    <col min="15901" max="16136" width="8.83203125" style="233"/>
    <col min="16137" max="16137" width="38.27734375" style="233" customWidth="1"/>
    <col min="16138" max="16138" width="23.44140625" style="233" bestFit="1" customWidth="1"/>
    <col min="16139" max="16140" width="9.1640625" style="233" customWidth="1"/>
    <col min="16141" max="16141" width="11.27734375" style="233" bestFit="1" customWidth="1"/>
    <col min="16142" max="16142" width="14.44140625" style="233" bestFit="1" customWidth="1"/>
    <col min="16143" max="16143" width="8.1640625" style="233" customWidth="1"/>
    <col min="16144" max="16144" width="10.83203125" style="233" bestFit="1" customWidth="1"/>
    <col min="16145" max="16145" width="12.27734375" style="233" bestFit="1" customWidth="1"/>
    <col min="16146" max="16146" width="9.1640625" style="233" customWidth="1"/>
    <col min="16147" max="16147" width="10.83203125" style="233" bestFit="1" customWidth="1"/>
    <col min="16148" max="16148" width="12.27734375" style="233" bestFit="1" customWidth="1"/>
    <col min="16149" max="16149" width="8" style="233" customWidth="1"/>
    <col min="16150" max="16150" width="10.83203125" style="233" bestFit="1" customWidth="1"/>
    <col min="16151" max="16151" width="12.27734375" style="233" bestFit="1" customWidth="1"/>
    <col min="16152" max="16152" width="8.1640625" style="233" bestFit="1" customWidth="1"/>
    <col min="16153" max="16153" width="10.83203125" style="233" bestFit="1" customWidth="1"/>
    <col min="16154" max="16154" width="12.27734375" style="233" bestFit="1" customWidth="1"/>
    <col min="16155" max="16155" width="18.27734375" style="233" bestFit="1" customWidth="1"/>
    <col min="16156" max="16156" width="10.83203125" style="233" bestFit="1" customWidth="1"/>
    <col min="16157" max="16384" width="8.83203125" style="233"/>
  </cols>
  <sheetData>
    <row r="1" spans="1:36" ht="14.7" thickBot="1"/>
    <row r="2" spans="1:36" ht="23.5" customHeight="1">
      <c r="A2" s="595" t="s">
        <v>63</v>
      </c>
      <c r="B2" s="591" t="s">
        <v>64</v>
      </c>
      <c r="C2" s="584" t="s">
        <v>65</v>
      </c>
      <c r="D2" s="585"/>
      <c r="E2" s="585"/>
      <c r="F2" s="586"/>
      <c r="G2" s="584" t="s">
        <v>66</v>
      </c>
      <c r="H2" s="585"/>
      <c r="I2" s="585"/>
      <c r="J2" s="586"/>
      <c r="K2" s="584" t="s">
        <v>67</v>
      </c>
      <c r="L2" s="585"/>
      <c r="M2" s="585"/>
      <c r="N2" s="586"/>
      <c r="O2" s="584" t="s">
        <v>68</v>
      </c>
      <c r="P2" s="585"/>
      <c r="Q2" s="585"/>
      <c r="R2" s="586"/>
      <c r="S2" s="584" t="s">
        <v>69</v>
      </c>
      <c r="T2" s="585"/>
      <c r="U2" s="585"/>
      <c r="V2" s="586"/>
      <c r="W2" s="593" t="s">
        <v>70</v>
      </c>
      <c r="AE2" s="239"/>
    </row>
    <row r="3" spans="1:36" ht="40.799999999999997">
      <c r="A3" s="596"/>
      <c r="B3" s="592"/>
      <c r="C3" s="240" t="s">
        <v>71</v>
      </c>
      <c r="D3" s="241" t="s">
        <v>72</v>
      </c>
      <c r="E3" s="242" t="s">
        <v>73</v>
      </c>
      <c r="F3" s="243" t="s">
        <v>70</v>
      </c>
      <c r="G3" s="240" t="s">
        <v>71</v>
      </c>
      <c r="H3" s="241" t="s">
        <v>72</v>
      </c>
      <c r="I3" s="244" t="s">
        <v>73</v>
      </c>
      <c r="J3" s="245" t="s">
        <v>70</v>
      </c>
      <c r="K3" s="240" t="s">
        <v>71</v>
      </c>
      <c r="L3" s="241" t="s">
        <v>72</v>
      </c>
      <c r="M3" s="242" t="s">
        <v>73</v>
      </c>
      <c r="N3" s="245" t="s">
        <v>70</v>
      </c>
      <c r="O3" s="240" t="s">
        <v>71</v>
      </c>
      <c r="P3" s="241" t="s">
        <v>72</v>
      </c>
      <c r="Q3" s="244" t="s">
        <v>73</v>
      </c>
      <c r="R3" s="245" t="s">
        <v>70</v>
      </c>
      <c r="S3" s="240" t="s">
        <v>71</v>
      </c>
      <c r="T3" s="241" t="s">
        <v>72</v>
      </c>
      <c r="U3" s="244" t="s">
        <v>73</v>
      </c>
      <c r="V3" s="245" t="s">
        <v>70</v>
      </c>
      <c r="W3" s="594"/>
      <c r="AE3" s="239"/>
      <c r="AF3" s="233" t="s">
        <v>113</v>
      </c>
    </row>
    <row r="4" spans="1:36" ht="20.399999999999999">
      <c r="A4" s="402" t="s">
        <v>74</v>
      </c>
      <c r="B4" s="246"/>
      <c r="C4" s="247"/>
      <c r="D4" s="248"/>
      <c r="E4" s="249"/>
      <c r="F4" s="250"/>
      <c r="G4" s="247"/>
      <c r="H4" s="248"/>
      <c r="I4" s="251"/>
      <c r="J4" s="252"/>
      <c r="K4" s="247"/>
      <c r="L4" s="248"/>
      <c r="M4" s="249"/>
      <c r="N4" s="252"/>
      <c r="O4" s="253"/>
      <c r="P4" s="248"/>
      <c r="Q4" s="251"/>
      <c r="R4" s="252"/>
      <c r="S4" s="253"/>
      <c r="T4" s="248"/>
      <c r="U4" s="251"/>
      <c r="V4" s="254"/>
      <c r="W4" s="409"/>
      <c r="AE4" s="255" t="s">
        <v>114</v>
      </c>
      <c r="AF4" s="255" t="s">
        <v>115</v>
      </c>
      <c r="AG4" s="255" t="s">
        <v>116</v>
      </c>
    </row>
    <row r="5" spans="1:36" s="266" customFormat="1" ht="16.5" customHeight="1" outlineLevel="1">
      <c r="A5" s="256" t="s">
        <v>48</v>
      </c>
      <c r="B5" s="257"/>
      <c r="C5" s="258"/>
      <c r="D5" s="259"/>
      <c r="E5" s="260"/>
      <c r="F5" s="261"/>
      <c r="G5" s="258"/>
      <c r="H5" s="259"/>
      <c r="I5" s="262"/>
      <c r="J5" s="263"/>
      <c r="K5" s="258"/>
      <c r="L5" s="259"/>
      <c r="M5" s="260"/>
      <c r="N5" s="263"/>
      <c r="O5" s="258"/>
      <c r="P5" s="259"/>
      <c r="Q5" s="262"/>
      <c r="R5" s="263"/>
      <c r="S5" s="258"/>
      <c r="T5" s="259"/>
      <c r="U5" s="262"/>
      <c r="V5" s="263"/>
      <c r="W5" s="410"/>
      <c r="X5" s="265"/>
      <c r="Y5" s="233"/>
      <c r="Z5" s="233"/>
      <c r="AA5" s="233"/>
      <c r="AB5" s="233"/>
      <c r="AC5" s="233"/>
      <c r="AD5" s="233"/>
      <c r="AE5" s="239"/>
    </row>
    <row r="6" spans="1:36" s="266" customFormat="1" ht="15.6" outlineLevel="1">
      <c r="A6" s="267" t="s">
        <v>75</v>
      </c>
      <c r="B6" s="268"/>
      <c r="C6" s="258"/>
      <c r="D6" s="259"/>
      <c r="E6" s="260"/>
      <c r="F6" s="261"/>
      <c r="G6" s="258"/>
      <c r="H6" s="259"/>
      <c r="I6" s="262"/>
      <c r="J6" s="263"/>
      <c r="K6" s="258"/>
      <c r="L6" s="259"/>
      <c r="M6" s="260"/>
      <c r="N6" s="263"/>
      <c r="O6" s="258"/>
      <c r="P6" s="259"/>
      <c r="Q6" s="262"/>
      <c r="R6" s="263"/>
      <c r="S6" s="258"/>
      <c r="T6" s="259"/>
      <c r="U6" s="262"/>
      <c r="V6" s="263"/>
      <c r="W6" s="410"/>
      <c r="X6" s="269"/>
      <c r="Y6" s="233"/>
      <c r="Z6" s="233"/>
      <c r="AA6" s="233"/>
      <c r="AB6" s="233"/>
      <c r="AC6" s="233"/>
      <c r="AD6" s="233"/>
      <c r="AE6" s="239"/>
    </row>
    <row r="7" spans="1:36" ht="15" customHeight="1" outlineLevel="1">
      <c r="A7" s="270" t="str">
        <f>'Program Budget'!D12</f>
        <v xml:space="preserve">Key Personnel: Ex-pat Chief of Party </v>
      </c>
      <c r="B7" s="271" t="str">
        <f>'Program Budget'!F13</f>
        <v>Month</v>
      </c>
      <c r="C7" s="272">
        <f>'Program Budget'!H12</f>
        <v>12083.333333333334</v>
      </c>
      <c r="D7" s="273">
        <f>'Program Budget'!G12</f>
        <v>12</v>
      </c>
      <c r="E7" s="274">
        <f>'Program Budget'!E12</f>
        <v>0.2</v>
      </c>
      <c r="F7" s="275">
        <f>C7*D7*E7</f>
        <v>29000</v>
      </c>
      <c r="G7" s="272">
        <f>C7*1.04</f>
        <v>12566.666666666668</v>
      </c>
      <c r="H7" s="273">
        <f>'Program Budget'!K12</f>
        <v>12</v>
      </c>
      <c r="I7" s="276">
        <f>'Program Budget'!J12</f>
        <v>0.05</v>
      </c>
      <c r="J7" s="275">
        <f>G7*H7*I7</f>
        <v>7540</v>
      </c>
      <c r="K7" s="272">
        <f>G7*1.04</f>
        <v>13069.333333333336</v>
      </c>
      <c r="L7" s="273">
        <f>'Program Budget'!N12</f>
        <v>12</v>
      </c>
      <c r="M7" s="276">
        <f>'Program Budget'!M12</f>
        <v>0.05</v>
      </c>
      <c r="N7" s="275">
        <f>K7*L7*M7</f>
        <v>7841.6000000000022</v>
      </c>
      <c r="O7" s="272">
        <f>K7*1.04</f>
        <v>13592.10666666667</v>
      </c>
      <c r="P7" s="273">
        <f>'Program Budget'!Q12</f>
        <v>12</v>
      </c>
      <c r="Q7" s="276">
        <f>'Program Budget'!P12</f>
        <v>0.05</v>
      </c>
      <c r="R7" s="275">
        <f>O7*P7*Q7</f>
        <v>8155.2640000000019</v>
      </c>
      <c r="S7" s="272">
        <f>O7*1.04</f>
        <v>14135.790933333337</v>
      </c>
      <c r="T7" s="273">
        <f>'Program Budget'!T12</f>
        <v>12</v>
      </c>
      <c r="U7" s="276">
        <f>'Program Budget'!S12</f>
        <v>0.05</v>
      </c>
      <c r="V7" s="275">
        <f>S7*T7*U7</f>
        <v>8481.4745600000024</v>
      </c>
      <c r="W7" s="413">
        <f>F7+J7+N7+R7+V7</f>
        <v>61018.338560000011</v>
      </c>
      <c r="X7" s="278"/>
      <c r="Y7" s="265"/>
      <c r="Z7" s="279"/>
      <c r="AA7" s="279"/>
      <c r="AE7" s="239">
        <v>180</v>
      </c>
      <c r="AF7" s="280" t="s">
        <v>117</v>
      </c>
      <c r="AG7" s="280" t="s">
        <v>118</v>
      </c>
      <c r="AH7" s="281"/>
      <c r="AJ7" s="282"/>
    </row>
    <row r="8" spans="1:36" ht="15" customHeight="1" outlineLevel="1">
      <c r="A8" s="285" t="s">
        <v>76</v>
      </c>
      <c r="B8" s="286"/>
      <c r="C8" s="287"/>
      <c r="D8" s="288"/>
      <c r="E8" s="289"/>
      <c r="F8" s="290">
        <f>SUM(F7:F7)</f>
        <v>29000</v>
      </c>
      <c r="G8" s="287"/>
      <c r="H8" s="288"/>
      <c r="I8" s="291"/>
      <c r="J8" s="290">
        <f>SUM(J7:J7)</f>
        <v>7540</v>
      </c>
      <c r="K8" s="287"/>
      <c r="L8" s="288"/>
      <c r="M8" s="289"/>
      <c r="N8" s="290">
        <f>SUM(N7:N7)</f>
        <v>7841.6000000000022</v>
      </c>
      <c r="O8" s="287"/>
      <c r="P8" s="288"/>
      <c r="Q8" s="291"/>
      <c r="R8" s="290">
        <f>SUM(R7:R7)</f>
        <v>8155.2640000000019</v>
      </c>
      <c r="S8" s="287"/>
      <c r="T8" s="288"/>
      <c r="U8" s="291"/>
      <c r="V8" s="290">
        <f>SUM(V7:V7)</f>
        <v>8481.4745600000024</v>
      </c>
      <c r="W8" s="412">
        <f>+F8+J8+N8+R8+V8</f>
        <v>61018.338560000011</v>
      </c>
      <c r="AE8" s="239"/>
      <c r="AF8" s="280"/>
      <c r="AG8" s="280" t="s">
        <v>119</v>
      </c>
    </row>
    <row r="9" spans="1:36" s="266" customFormat="1" ht="15" customHeight="1" outlineLevel="1">
      <c r="A9" s="267" t="s">
        <v>77</v>
      </c>
      <c r="B9" s="293"/>
      <c r="C9" s="294"/>
      <c r="D9" s="295"/>
      <c r="E9" s="296"/>
      <c r="F9" s="275"/>
      <c r="G9" s="294"/>
      <c r="H9" s="295"/>
      <c r="I9" s="297"/>
      <c r="J9" s="277"/>
      <c r="K9" s="294"/>
      <c r="L9" s="295"/>
      <c r="M9" s="296"/>
      <c r="N9" s="277"/>
      <c r="O9" s="294"/>
      <c r="P9" s="295"/>
      <c r="Q9" s="297"/>
      <c r="R9" s="277"/>
      <c r="S9" s="294"/>
      <c r="T9" s="295"/>
      <c r="U9" s="297"/>
      <c r="V9" s="277"/>
      <c r="W9" s="411"/>
      <c r="X9" s="233"/>
      <c r="Y9" s="233"/>
      <c r="Z9" s="233"/>
      <c r="AA9" s="233"/>
      <c r="AB9" s="233"/>
      <c r="AC9" s="233"/>
      <c r="AD9" s="233"/>
      <c r="AE9" s="239"/>
      <c r="AF9" s="280"/>
      <c r="AG9" s="280" t="s">
        <v>119</v>
      </c>
      <c r="AH9" s="300"/>
      <c r="AI9" s="301"/>
      <c r="AJ9" s="233"/>
    </row>
    <row r="10" spans="1:36" ht="15" customHeight="1" outlineLevel="1">
      <c r="A10" s="270" t="str">
        <f>'Program Budget'!D13</f>
        <v>Deputy Chief of Party</v>
      </c>
      <c r="B10" s="271" t="str">
        <f>'Program Budget'!F12</f>
        <v>Month</v>
      </c>
      <c r="C10" s="272">
        <f>'Program Budget'!H13</f>
        <v>7500</v>
      </c>
      <c r="D10" s="273">
        <f>'Program Budget'!G13</f>
        <v>6</v>
      </c>
      <c r="E10" s="274">
        <f>'Program Budget'!E13</f>
        <v>0.2</v>
      </c>
      <c r="F10" s="275">
        <f>C10*D10*E10</f>
        <v>9000</v>
      </c>
      <c r="G10" s="272">
        <f>C10*1.04</f>
        <v>7800</v>
      </c>
      <c r="H10" s="273">
        <f>'Program Budget'!K13</f>
        <v>12</v>
      </c>
      <c r="I10" s="276">
        <f>'Program Budget'!J13</f>
        <v>0</v>
      </c>
      <c r="J10" s="275">
        <f>G10*H10*I10</f>
        <v>0</v>
      </c>
      <c r="K10" s="272">
        <f>G10*1.04</f>
        <v>8112</v>
      </c>
      <c r="L10" s="273">
        <f>'Program Budget'!N13</f>
        <v>12</v>
      </c>
      <c r="M10" s="276">
        <f>'Program Budget'!M13</f>
        <v>0</v>
      </c>
      <c r="N10" s="275">
        <f>K10*L10*M10</f>
        <v>0</v>
      </c>
      <c r="O10" s="272">
        <f>K10*1.04</f>
        <v>8436.48</v>
      </c>
      <c r="P10" s="273">
        <f>'Program Budget'!Q13</f>
        <v>12</v>
      </c>
      <c r="Q10" s="276">
        <f>'Program Budget'!P13</f>
        <v>0</v>
      </c>
      <c r="R10" s="275">
        <f>O10*P10*Q10</f>
        <v>0</v>
      </c>
      <c r="S10" s="272">
        <f>O10*1.04</f>
        <v>8773.9392000000007</v>
      </c>
      <c r="T10" s="273">
        <f>'Program Budget'!T13</f>
        <v>6</v>
      </c>
      <c r="U10" s="276">
        <f>'Program Budget'!S13</f>
        <v>0</v>
      </c>
      <c r="V10" s="275">
        <f>S10*T10*U10</f>
        <v>0</v>
      </c>
      <c r="W10" s="411">
        <f>F10+J10+N10+R10+V10</f>
        <v>9000</v>
      </c>
      <c r="X10" s="278"/>
      <c r="Y10" s="265"/>
      <c r="Z10" s="279"/>
      <c r="AA10" s="279"/>
      <c r="AE10" s="239">
        <v>180</v>
      </c>
      <c r="AF10" s="280" t="s">
        <v>117</v>
      </c>
      <c r="AG10" s="280" t="s">
        <v>118</v>
      </c>
      <c r="AH10" s="281"/>
      <c r="AJ10" s="282"/>
    </row>
    <row r="11" spans="1:36" ht="15" customHeight="1" outlineLevel="1">
      <c r="A11" s="270" t="str">
        <f>'Program Budget'!D14</f>
        <v>Technical Lead Component 1</v>
      </c>
      <c r="B11" s="271" t="str">
        <f>'Program Budget'!F14</f>
        <v>Month</v>
      </c>
      <c r="C11" s="272">
        <f>'Program Budget'!H14</f>
        <v>3333.3333333333335</v>
      </c>
      <c r="D11" s="273">
        <f>'Program Budget'!G14</f>
        <v>6</v>
      </c>
      <c r="E11" s="274">
        <f>'Program Budget'!E14</f>
        <v>0.25</v>
      </c>
      <c r="F11" s="275">
        <f>C11*D11*E11</f>
        <v>5000</v>
      </c>
      <c r="G11" s="272">
        <f>C11*1.04</f>
        <v>3466.666666666667</v>
      </c>
      <c r="H11" s="273">
        <f>'Program Budget'!K14</f>
        <v>12</v>
      </c>
      <c r="I11" s="276">
        <f>'Program Budget'!J14</f>
        <v>0</v>
      </c>
      <c r="J11" s="275">
        <f>G11*H11*I11</f>
        <v>0</v>
      </c>
      <c r="K11" s="272">
        <f>G11*1.04</f>
        <v>3605.3333333333339</v>
      </c>
      <c r="L11" s="273">
        <f>'Program Budget'!N14</f>
        <v>12</v>
      </c>
      <c r="M11" s="276">
        <f>'Program Budget'!M14</f>
        <v>0</v>
      </c>
      <c r="N11" s="275">
        <f>K11*L11*M11</f>
        <v>0</v>
      </c>
      <c r="O11" s="272">
        <f>K11*1.04</f>
        <v>3749.5466666666675</v>
      </c>
      <c r="P11" s="273">
        <f>'Program Budget'!Q14</f>
        <v>12</v>
      </c>
      <c r="Q11" s="276">
        <f>'Program Budget'!P14</f>
        <v>0</v>
      </c>
      <c r="R11" s="275">
        <f>O11*P11*Q11</f>
        <v>0</v>
      </c>
      <c r="S11" s="272">
        <f>O11*1.04</f>
        <v>3899.5285333333345</v>
      </c>
      <c r="T11" s="273">
        <f>'Program Budget'!T14</f>
        <v>9</v>
      </c>
      <c r="U11" s="276">
        <f>'Program Budget'!S14</f>
        <v>0</v>
      </c>
      <c r="V11" s="275">
        <f>S11*T11*U11</f>
        <v>0</v>
      </c>
      <c r="W11" s="411">
        <f>F11+J11+N11+R11+V11</f>
        <v>5000</v>
      </c>
      <c r="X11" s="278"/>
      <c r="Y11" s="265"/>
      <c r="Z11" s="279"/>
      <c r="AA11" s="279"/>
      <c r="AE11" s="239">
        <v>180</v>
      </c>
      <c r="AF11" s="280" t="s">
        <v>117</v>
      </c>
      <c r="AG11" s="280" t="s">
        <v>118</v>
      </c>
      <c r="AH11" s="281"/>
      <c r="AJ11" s="282"/>
    </row>
    <row r="12" spans="1:36" ht="15" customHeight="1" outlineLevel="1">
      <c r="A12" s="270" t="str">
        <f>'Program Budget'!D15</f>
        <v>Technical Lead Component 2</v>
      </c>
      <c r="B12" s="271" t="str">
        <f>'Program Budget'!F15</f>
        <v>Month</v>
      </c>
      <c r="C12" s="272">
        <f>'Program Budget'!H15</f>
        <v>3333.3333333333335</v>
      </c>
      <c r="D12" s="273">
        <f>'Program Budget'!G15</f>
        <v>6</v>
      </c>
      <c r="E12" s="274">
        <f>'Program Budget'!E15</f>
        <v>0.25</v>
      </c>
      <c r="F12" s="275">
        <f t="shared" ref="F12:F26" si="0">C12*D12*E12</f>
        <v>5000</v>
      </c>
      <c r="G12" s="272">
        <f t="shared" ref="G12:G26" si="1">C12*1.04</f>
        <v>3466.666666666667</v>
      </c>
      <c r="H12" s="273">
        <f>'Program Budget'!K15</f>
        <v>12</v>
      </c>
      <c r="I12" s="276">
        <f>'Program Budget'!J15</f>
        <v>0</v>
      </c>
      <c r="J12" s="275">
        <f t="shared" ref="J12:J26" si="2">G12*H12*I12</f>
        <v>0</v>
      </c>
      <c r="K12" s="272">
        <f t="shared" ref="K12:K26" si="3">G12*1.04</f>
        <v>3605.3333333333339</v>
      </c>
      <c r="L12" s="273">
        <f>'Program Budget'!N15</f>
        <v>12</v>
      </c>
      <c r="M12" s="276">
        <f>'Program Budget'!M15</f>
        <v>0</v>
      </c>
      <c r="N12" s="275">
        <f t="shared" ref="N12:N26" si="4">K12*L12*M12</f>
        <v>0</v>
      </c>
      <c r="O12" s="272">
        <f t="shared" ref="O12:O26" si="5">K12*1.04</f>
        <v>3749.5466666666675</v>
      </c>
      <c r="P12" s="273">
        <f>'Program Budget'!Q15</f>
        <v>12</v>
      </c>
      <c r="Q12" s="276">
        <f>'Program Budget'!P15</f>
        <v>0</v>
      </c>
      <c r="R12" s="275">
        <f t="shared" ref="R12:R26" si="6">O12*P12*Q12</f>
        <v>0</v>
      </c>
      <c r="S12" s="272">
        <f t="shared" ref="S12:S26" si="7">O12*1.04</f>
        <v>3899.5285333333345</v>
      </c>
      <c r="T12" s="273">
        <f>'Program Budget'!T15</f>
        <v>9</v>
      </c>
      <c r="U12" s="276">
        <f>'Program Budget'!S15</f>
        <v>0</v>
      </c>
      <c r="V12" s="275">
        <f t="shared" ref="V12:V26" si="8">S12*T12*U12</f>
        <v>0</v>
      </c>
      <c r="W12" s="411">
        <f t="shared" ref="W12:W26" si="9">F12+J12+N12+R12+V12</f>
        <v>5000</v>
      </c>
      <c r="X12" s="278"/>
      <c r="Y12" s="265"/>
      <c r="Z12" s="279"/>
      <c r="AA12" s="279"/>
      <c r="AE12" s="239">
        <v>180</v>
      </c>
      <c r="AF12" s="280" t="s">
        <v>117</v>
      </c>
      <c r="AG12" s="280" t="s">
        <v>118</v>
      </c>
      <c r="AH12" s="281"/>
      <c r="AJ12" s="282"/>
    </row>
    <row r="13" spans="1:36" ht="15" customHeight="1" outlineLevel="1">
      <c r="A13" s="270" t="str">
        <f>'Program Budget'!D16</f>
        <v>Technical Lead Component 3</v>
      </c>
      <c r="B13" s="271" t="str">
        <f>'Program Budget'!F16</f>
        <v>Month</v>
      </c>
      <c r="C13" s="272">
        <f>'Program Budget'!H16</f>
        <v>3333.3333333333335</v>
      </c>
      <c r="D13" s="273">
        <f>'Program Budget'!G16</f>
        <v>6</v>
      </c>
      <c r="E13" s="274">
        <f>'Program Budget'!E16</f>
        <v>0.25</v>
      </c>
      <c r="F13" s="275">
        <f t="shared" si="0"/>
        <v>5000</v>
      </c>
      <c r="G13" s="272">
        <f t="shared" si="1"/>
        <v>3466.666666666667</v>
      </c>
      <c r="H13" s="273">
        <f>'Program Budget'!K16</f>
        <v>12</v>
      </c>
      <c r="I13" s="276">
        <f>'Program Budget'!J16</f>
        <v>0</v>
      </c>
      <c r="J13" s="275">
        <f t="shared" si="2"/>
        <v>0</v>
      </c>
      <c r="K13" s="272">
        <f t="shared" si="3"/>
        <v>3605.3333333333339</v>
      </c>
      <c r="L13" s="273">
        <f>'Program Budget'!N16</f>
        <v>12</v>
      </c>
      <c r="M13" s="276">
        <f>'Program Budget'!M16</f>
        <v>0</v>
      </c>
      <c r="N13" s="275">
        <f t="shared" si="4"/>
        <v>0</v>
      </c>
      <c r="O13" s="272">
        <f t="shared" si="5"/>
        <v>3749.5466666666675</v>
      </c>
      <c r="P13" s="273">
        <f>'Program Budget'!Q16</f>
        <v>12</v>
      </c>
      <c r="Q13" s="276">
        <f>'Program Budget'!P16</f>
        <v>0</v>
      </c>
      <c r="R13" s="275">
        <f t="shared" si="6"/>
        <v>0</v>
      </c>
      <c r="S13" s="272">
        <f t="shared" si="7"/>
        <v>3899.5285333333345</v>
      </c>
      <c r="T13" s="273">
        <f>'Program Budget'!T16</f>
        <v>9</v>
      </c>
      <c r="U13" s="276">
        <f>'Program Budget'!S16</f>
        <v>0</v>
      </c>
      <c r="V13" s="275">
        <f t="shared" si="8"/>
        <v>0</v>
      </c>
      <c r="W13" s="411">
        <f t="shared" si="9"/>
        <v>5000</v>
      </c>
      <c r="X13" s="278"/>
      <c r="Y13" s="265"/>
      <c r="Z13" s="279"/>
      <c r="AA13" s="279"/>
      <c r="AE13" s="239">
        <v>180</v>
      </c>
      <c r="AF13" s="280" t="s">
        <v>117</v>
      </c>
      <c r="AG13" s="280" t="s">
        <v>118</v>
      </c>
      <c r="AH13" s="281"/>
      <c r="AJ13" s="282"/>
    </row>
    <row r="14" spans="1:36" ht="15" customHeight="1" outlineLevel="1">
      <c r="A14" s="270" t="str">
        <f>'Program Budget'!D17</f>
        <v>Specialist Component 2</v>
      </c>
      <c r="B14" s="271" t="str">
        <f>'Program Budget'!F17</f>
        <v>Month</v>
      </c>
      <c r="C14" s="272">
        <f>'Program Budget'!H17</f>
        <v>1666.6666666666667</v>
      </c>
      <c r="D14" s="273">
        <f>'Program Budget'!G17</f>
        <v>6</v>
      </c>
      <c r="E14" s="274">
        <f>'Program Budget'!E17</f>
        <v>0.2</v>
      </c>
      <c r="F14" s="275">
        <f t="shared" ref="F14:F20" si="10">C14*D14*E14</f>
        <v>2000</v>
      </c>
      <c r="G14" s="272">
        <f t="shared" ref="G14:G21" si="11">C14*1.04</f>
        <v>1733.3333333333335</v>
      </c>
      <c r="H14" s="273">
        <f>'Program Budget'!K17</f>
        <v>12</v>
      </c>
      <c r="I14" s="276">
        <f>'Program Budget'!J17</f>
        <v>0</v>
      </c>
      <c r="J14" s="275">
        <f t="shared" ref="J14:J21" si="12">G14*H14*I14</f>
        <v>0</v>
      </c>
      <c r="K14" s="272">
        <f t="shared" ref="K14:K21" si="13">G14*1.04</f>
        <v>1802.666666666667</v>
      </c>
      <c r="L14" s="273">
        <f>'Program Budget'!N17</f>
        <v>12</v>
      </c>
      <c r="M14" s="276">
        <f>'Program Budget'!M17</f>
        <v>0</v>
      </c>
      <c r="N14" s="275">
        <f t="shared" ref="N14:N21" si="14">K14*L14*M14</f>
        <v>0</v>
      </c>
      <c r="O14" s="272">
        <f t="shared" ref="O14:O21" si="15">K14*1.04</f>
        <v>1874.7733333333338</v>
      </c>
      <c r="P14" s="273">
        <f>'Program Budget'!Q17</f>
        <v>12</v>
      </c>
      <c r="Q14" s="276">
        <f>'Program Budget'!P17</f>
        <v>0</v>
      </c>
      <c r="R14" s="275">
        <f t="shared" ref="R14:R21" si="16">O14*P14*Q14</f>
        <v>0</v>
      </c>
      <c r="S14" s="272">
        <f t="shared" ref="S14:S21" si="17">O14*1.04</f>
        <v>1949.7642666666673</v>
      </c>
      <c r="T14" s="273">
        <f>'Program Budget'!T17</f>
        <v>6</v>
      </c>
      <c r="U14" s="276">
        <f>'Program Budget'!S17</f>
        <v>0</v>
      </c>
      <c r="V14" s="275">
        <f t="shared" ref="V14:V21" si="18">S14*T14*U14</f>
        <v>0</v>
      </c>
      <c r="W14" s="411">
        <f t="shared" ref="W14:W21" si="19">F14+J14+N14+R14+V14</f>
        <v>2000</v>
      </c>
      <c r="X14" s="278"/>
      <c r="Y14" s="265"/>
      <c r="Z14" s="279"/>
      <c r="AA14" s="279"/>
      <c r="AE14" s="239">
        <v>180</v>
      </c>
      <c r="AF14" s="280" t="s">
        <v>117</v>
      </c>
      <c r="AG14" s="280" t="s">
        <v>118</v>
      </c>
      <c r="AH14" s="281"/>
      <c r="AJ14" s="282"/>
    </row>
    <row r="15" spans="1:36" ht="15" customHeight="1" outlineLevel="1">
      <c r="A15" s="270" t="str">
        <f>'Program Budget'!D18</f>
        <v>Specialist Component 3</v>
      </c>
      <c r="B15" s="271" t="str">
        <f>'Program Budget'!F18</f>
        <v>Month</v>
      </c>
      <c r="C15" s="272">
        <f>'Program Budget'!H18</f>
        <v>1666.6666666666667</v>
      </c>
      <c r="D15" s="273">
        <f>'Program Budget'!G18</f>
        <v>6</v>
      </c>
      <c r="E15" s="274">
        <f>'Program Budget'!E18</f>
        <v>0.2</v>
      </c>
      <c r="F15" s="275">
        <f t="shared" si="10"/>
        <v>2000</v>
      </c>
      <c r="G15" s="272">
        <f t="shared" si="11"/>
        <v>1733.3333333333335</v>
      </c>
      <c r="H15" s="273">
        <f>'Program Budget'!K18</f>
        <v>12</v>
      </c>
      <c r="I15" s="276">
        <f>'Program Budget'!J18</f>
        <v>0</v>
      </c>
      <c r="J15" s="275">
        <f t="shared" si="12"/>
        <v>0</v>
      </c>
      <c r="K15" s="272">
        <f t="shared" si="13"/>
        <v>1802.666666666667</v>
      </c>
      <c r="L15" s="273">
        <f>'Program Budget'!N18</f>
        <v>12</v>
      </c>
      <c r="M15" s="276">
        <f>'Program Budget'!M18</f>
        <v>0</v>
      </c>
      <c r="N15" s="275">
        <f t="shared" si="14"/>
        <v>0</v>
      </c>
      <c r="O15" s="272">
        <f t="shared" si="15"/>
        <v>1874.7733333333338</v>
      </c>
      <c r="P15" s="273">
        <f>'Program Budget'!Q18</f>
        <v>12</v>
      </c>
      <c r="Q15" s="276">
        <f>'Program Budget'!P18</f>
        <v>0</v>
      </c>
      <c r="R15" s="275">
        <f t="shared" si="16"/>
        <v>0</v>
      </c>
      <c r="S15" s="272">
        <f t="shared" si="17"/>
        <v>1949.7642666666673</v>
      </c>
      <c r="T15" s="273">
        <f>'Program Budget'!T18</f>
        <v>6</v>
      </c>
      <c r="U15" s="276">
        <f>'Program Budget'!S18</f>
        <v>0</v>
      </c>
      <c r="V15" s="275">
        <f t="shared" si="18"/>
        <v>0</v>
      </c>
      <c r="W15" s="411">
        <f t="shared" si="19"/>
        <v>2000</v>
      </c>
      <c r="X15" s="278"/>
      <c r="Y15" s="265"/>
      <c r="Z15" s="279"/>
      <c r="AA15" s="279"/>
      <c r="AE15" s="239"/>
      <c r="AF15" s="280"/>
      <c r="AG15" s="280"/>
      <c r="AH15" s="281"/>
      <c r="AJ15" s="282"/>
    </row>
    <row r="16" spans="1:36" ht="15" customHeight="1" outlineLevel="1">
      <c r="A16" s="270" t="str">
        <f>'Program Budget'!D19</f>
        <v>Specialist Component 4</v>
      </c>
      <c r="B16" s="271" t="str">
        <f>'Program Budget'!F19</f>
        <v>Month</v>
      </c>
      <c r="C16" s="272">
        <f>'Program Budget'!H19</f>
        <v>1666.6666666666667</v>
      </c>
      <c r="D16" s="273">
        <f>'Program Budget'!G19</f>
        <v>6</v>
      </c>
      <c r="E16" s="274">
        <f>'Program Budget'!E19</f>
        <v>0.2</v>
      </c>
      <c r="F16" s="275">
        <f t="shared" si="10"/>
        <v>2000</v>
      </c>
      <c r="G16" s="272">
        <f t="shared" si="11"/>
        <v>1733.3333333333335</v>
      </c>
      <c r="H16" s="273">
        <f>'Program Budget'!K19</f>
        <v>12</v>
      </c>
      <c r="I16" s="276">
        <f>'Program Budget'!J19</f>
        <v>0</v>
      </c>
      <c r="J16" s="275">
        <f t="shared" si="12"/>
        <v>0</v>
      </c>
      <c r="K16" s="272">
        <f t="shared" si="13"/>
        <v>1802.666666666667</v>
      </c>
      <c r="L16" s="273">
        <f>'Program Budget'!N19</f>
        <v>12</v>
      </c>
      <c r="M16" s="276">
        <f>'Program Budget'!M19</f>
        <v>0</v>
      </c>
      <c r="N16" s="275">
        <f t="shared" si="14"/>
        <v>0</v>
      </c>
      <c r="O16" s="272">
        <f t="shared" si="15"/>
        <v>1874.7733333333338</v>
      </c>
      <c r="P16" s="273">
        <f>'Program Budget'!Q19</f>
        <v>12</v>
      </c>
      <c r="Q16" s="276">
        <f>'Program Budget'!P19</f>
        <v>0</v>
      </c>
      <c r="R16" s="275">
        <f t="shared" si="16"/>
        <v>0</v>
      </c>
      <c r="S16" s="272">
        <f t="shared" si="17"/>
        <v>1949.7642666666673</v>
      </c>
      <c r="T16" s="273">
        <f>'Program Budget'!T19</f>
        <v>6</v>
      </c>
      <c r="U16" s="276">
        <f>'Program Budget'!S19</f>
        <v>0</v>
      </c>
      <c r="V16" s="275">
        <f t="shared" si="18"/>
        <v>0</v>
      </c>
      <c r="W16" s="411">
        <f t="shared" si="19"/>
        <v>2000</v>
      </c>
      <c r="X16" s="278"/>
      <c r="Y16" s="265"/>
      <c r="Z16" s="279"/>
      <c r="AA16" s="279"/>
      <c r="AE16" s="239"/>
      <c r="AF16" s="280"/>
      <c r="AG16" s="280"/>
      <c r="AH16" s="281"/>
      <c r="AJ16" s="282"/>
    </row>
    <row r="17" spans="1:36" ht="15" customHeight="1" outlineLevel="1">
      <c r="A17" s="270" t="str">
        <f>'Program Budget'!D20</f>
        <v>Extension Agents (20 Individuals)</v>
      </c>
      <c r="B17" s="271" t="str">
        <f>'Program Budget'!F20</f>
        <v>Month</v>
      </c>
      <c r="C17" s="272">
        <f>'Program Budget'!H20</f>
        <v>23333.333333333336</v>
      </c>
      <c r="D17" s="273">
        <f>'Program Budget'!G20</f>
        <v>3</v>
      </c>
      <c r="E17" s="274">
        <f>'Program Budget'!E20</f>
        <v>0.1</v>
      </c>
      <c r="F17" s="275">
        <f t="shared" si="10"/>
        <v>7000</v>
      </c>
      <c r="G17" s="272">
        <f t="shared" si="11"/>
        <v>24266.666666666672</v>
      </c>
      <c r="H17" s="273">
        <f>'Program Budget'!K20</f>
        <v>12</v>
      </c>
      <c r="I17" s="276">
        <f>'Program Budget'!J20</f>
        <v>0</v>
      </c>
      <c r="J17" s="275">
        <f t="shared" si="12"/>
        <v>0</v>
      </c>
      <c r="K17" s="272">
        <f t="shared" si="13"/>
        <v>25237.333333333339</v>
      </c>
      <c r="L17" s="273">
        <f>'Program Budget'!N20</f>
        <v>6</v>
      </c>
      <c r="M17" s="276">
        <f>'Program Budget'!M20</f>
        <v>0</v>
      </c>
      <c r="N17" s="275">
        <f t="shared" si="14"/>
        <v>0</v>
      </c>
      <c r="O17" s="272">
        <f t="shared" si="15"/>
        <v>26246.826666666675</v>
      </c>
      <c r="P17" s="273">
        <f>'Program Budget'!Q20</f>
        <v>0</v>
      </c>
      <c r="Q17" s="276">
        <f>'Program Budget'!P20</f>
        <v>0</v>
      </c>
      <c r="R17" s="275">
        <f t="shared" si="16"/>
        <v>0</v>
      </c>
      <c r="S17" s="272">
        <f t="shared" si="17"/>
        <v>27296.699733333342</v>
      </c>
      <c r="T17" s="273">
        <f>'Program Budget'!T20</f>
        <v>0</v>
      </c>
      <c r="U17" s="276">
        <f>'Program Budget'!S20</f>
        <v>0</v>
      </c>
      <c r="V17" s="275">
        <f t="shared" si="18"/>
        <v>0</v>
      </c>
      <c r="W17" s="411">
        <f t="shared" si="19"/>
        <v>7000</v>
      </c>
      <c r="X17" s="278"/>
      <c r="Y17" s="265"/>
      <c r="Z17" s="279"/>
      <c r="AA17" s="279"/>
      <c r="AE17" s="239"/>
      <c r="AF17" s="280"/>
      <c r="AG17" s="280"/>
      <c r="AH17" s="281"/>
      <c r="AJ17" s="282"/>
    </row>
    <row r="18" spans="1:36" ht="15" customHeight="1" outlineLevel="1">
      <c r="A18" s="270" t="str">
        <f>'Program Budget'!D21</f>
        <v xml:space="preserve">M&amp;E Director </v>
      </c>
      <c r="B18" s="271" t="str">
        <f>'Program Budget'!F21</f>
        <v>Month</v>
      </c>
      <c r="C18" s="272">
        <f>'Program Budget'!H21</f>
        <v>3750</v>
      </c>
      <c r="D18" s="273">
        <f>'Program Budget'!G21</f>
        <v>9</v>
      </c>
      <c r="E18" s="274">
        <f>'Program Budget'!E21</f>
        <v>0.15</v>
      </c>
      <c r="F18" s="275">
        <f t="shared" si="10"/>
        <v>5062.5</v>
      </c>
      <c r="G18" s="272">
        <f t="shared" si="11"/>
        <v>3900</v>
      </c>
      <c r="H18" s="273">
        <f>'Program Budget'!K21</f>
        <v>12</v>
      </c>
      <c r="I18" s="276">
        <f>'Program Budget'!J21</f>
        <v>0.05</v>
      </c>
      <c r="J18" s="275">
        <f t="shared" si="12"/>
        <v>2340</v>
      </c>
      <c r="K18" s="272">
        <f t="shared" si="13"/>
        <v>4056</v>
      </c>
      <c r="L18" s="273">
        <f>'Program Budget'!N21</f>
        <v>12</v>
      </c>
      <c r="M18" s="276">
        <f>'Program Budget'!M21</f>
        <v>0.05</v>
      </c>
      <c r="N18" s="275">
        <f t="shared" si="14"/>
        <v>2433.6</v>
      </c>
      <c r="O18" s="272">
        <f t="shared" si="15"/>
        <v>4218.24</v>
      </c>
      <c r="P18" s="273">
        <f>'Program Budget'!Q21</f>
        <v>12</v>
      </c>
      <c r="Q18" s="276">
        <f>'Program Budget'!P21</f>
        <v>0.05</v>
      </c>
      <c r="R18" s="275">
        <f t="shared" si="16"/>
        <v>2530.944</v>
      </c>
      <c r="S18" s="272">
        <f t="shared" si="17"/>
        <v>4386.9696000000004</v>
      </c>
      <c r="T18" s="273">
        <f>'Program Budget'!T21</f>
        <v>12</v>
      </c>
      <c r="U18" s="276">
        <f>'Program Budget'!S21</f>
        <v>0.05</v>
      </c>
      <c r="V18" s="275">
        <f t="shared" si="18"/>
        <v>2632.1817600000004</v>
      </c>
      <c r="W18" s="411">
        <f t="shared" si="19"/>
        <v>14999.225760000001</v>
      </c>
      <c r="X18" s="278"/>
      <c r="Y18" s="265"/>
      <c r="Z18" s="279"/>
      <c r="AA18" s="279"/>
      <c r="AE18" s="239">
        <v>180</v>
      </c>
      <c r="AF18" s="280" t="s">
        <v>117</v>
      </c>
      <c r="AG18" s="280" t="s">
        <v>118</v>
      </c>
      <c r="AH18" s="281"/>
      <c r="AJ18" s="282"/>
    </row>
    <row r="19" spans="1:36" ht="15" customHeight="1" outlineLevel="1">
      <c r="A19" s="270" t="str">
        <f>'Program Budget'!D22</f>
        <v>M&amp;E Specialist</v>
      </c>
      <c r="B19" s="271" t="str">
        <f>'Program Budget'!F22</f>
        <v>Month</v>
      </c>
      <c r="C19" s="272">
        <f>'Program Budget'!H22</f>
        <v>2083.3333333333335</v>
      </c>
      <c r="D19" s="273">
        <f>'Program Budget'!G22</f>
        <v>6</v>
      </c>
      <c r="E19" s="274">
        <f>'Program Budget'!E22</f>
        <v>0.15</v>
      </c>
      <c r="F19" s="275">
        <f t="shared" si="10"/>
        <v>1875</v>
      </c>
      <c r="G19" s="272">
        <f t="shared" si="11"/>
        <v>2166.666666666667</v>
      </c>
      <c r="H19" s="273">
        <f>'Program Budget'!K22</f>
        <v>12</v>
      </c>
      <c r="I19" s="276">
        <f>'Program Budget'!J22</f>
        <v>0.05</v>
      </c>
      <c r="J19" s="275">
        <f t="shared" si="12"/>
        <v>1300.0000000000002</v>
      </c>
      <c r="K19" s="272">
        <f t="shared" si="13"/>
        <v>2253.3333333333339</v>
      </c>
      <c r="L19" s="273">
        <f>'Program Budget'!N22</f>
        <v>12</v>
      </c>
      <c r="M19" s="276">
        <f>'Program Budget'!M22</f>
        <v>0.05</v>
      </c>
      <c r="N19" s="275">
        <f t="shared" si="14"/>
        <v>1352.0000000000005</v>
      </c>
      <c r="O19" s="272">
        <f t="shared" si="15"/>
        <v>2343.4666666666672</v>
      </c>
      <c r="P19" s="273">
        <f>'Program Budget'!Q22</f>
        <v>12</v>
      </c>
      <c r="Q19" s="276">
        <f>'Program Budget'!P22</f>
        <v>0.05</v>
      </c>
      <c r="R19" s="275">
        <f t="shared" si="16"/>
        <v>1406.0800000000004</v>
      </c>
      <c r="S19" s="272">
        <f t="shared" si="17"/>
        <v>2437.2053333333338</v>
      </c>
      <c r="T19" s="273">
        <f>'Program Budget'!T22</f>
        <v>10</v>
      </c>
      <c r="U19" s="276">
        <f>'Program Budget'!S22</f>
        <v>0.05</v>
      </c>
      <c r="V19" s="275">
        <f t="shared" si="18"/>
        <v>1218.6026666666669</v>
      </c>
      <c r="W19" s="411">
        <f t="shared" si="19"/>
        <v>7151.6826666666666</v>
      </c>
      <c r="X19" s="278"/>
      <c r="Y19" s="265"/>
      <c r="Z19" s="279"/>
      <c r="AA19" s="279"/>
      <c r="AE19" s="239">
        <v>180</v>
      </c>
      <c r="AF19" s="280" t="s">
        <v>117</v>
      </c>
      <c r="AG19" s="280" t="s">
        <v>118</v>
      </c>
      <c r="AH19" s="281"/>
      <c r="AJ19" s="282"/>
    </row>
    <row r="20" spans="1:36" ht="15" customHeight="1" outlineLevel="1">
      <c r="A20" s="270" t="str">
        <f>'Program Budget'!D23</f>
        <v xml:space="preserve">F&amp;A Director </v>
      </c>
      <c r="B20" s="271" t="str">
        <f>'Program Budget'!F23</f>
        <v>Month</v>
      </c>
      <c r="C20" s="272">
        <f>'Program Budget'!H23</f>
        <v>6666.666666666667</v>
      </c>
      <c r="D20" s="273">
        <f>'Program Budget'!G23</f>
        <v>9</v>
      </c>
      <c r="E20" s="274">
        <f>'Program Budget'!E23</f>
        <v>0.2</v>
      </c>
      <c r="F20" s="275">
        <f t="shared" si="10"/>
        <v>12000</v>
      </c>
      <c r="G20" s="272">
        <f t="shared" si="11"/>
        <v>6933.3333333333339</v>
      </c>
      <c r="H20" s="273">
        <f>'Program Budget'!K23</f>
        <v>12</v>
      </c>
      <c r="I20" s="276">
        <f>'Program Budget'!J23</f>
        <v>0.1</v>
      </c>
      <c r="J20" s="275">
        <f t="shared" si="12"/>
        <v>8320</v>
      </c>
      <c r="K20" s="272">
        <f t="shared" si="13"/>
        <v>7210.6666666666679</v>
      </c>
      <c r="L20" s="273">
        <f>'Program Budget'!N23</f>
        <v>12</v>
      </c>
      <c r="M20" s="276">
        <f>'Program Budget'!M23</f>
        <v>0.1</v>
      </c>
      <c r="N20" s="275">
        <f t="shared" si="14"/>
        <v>8652.8000000000011</v>
      </c>
      <c r="O20" s="272">
        <f t="shared" si="15"/>
        <v>7499.0933333333351</v>
      </c>
      <c r="P20" s="273">
        <f>'Program Budget'!Q23</f>
        <v>12</v>
      </c>
      <c r="Q20" s="276">
        <f>'Program Budget'!P23</f>
        <v>0.1</v>
      </c>
      <c r="R20" s="275">
        <f t="shared" si="16"/>
        <v>8998.9120000000021</v>
      </c>
      <c r="S20" s="272">
        <f t="shared" si="17"/>
        <v>7799.057066666669</v>
      </c>
      <c r="T20" s="273">
        <f>'Program Budget'!T23</f>
        <v>12</v>
      </c>
      <c r="U20" s="276">
        <f>'Program Budget'!S23</f>
        <v>0.1</v>
      </c>
      <c r="V20" s="275">
        <f t="shared" si="18"/>
        <v>9358.8684800000028</v>
      </c>
      <c r="W20" s="411">
        <f t="shared" si="19"/>
        <v>47330.580480000011</v>
      </c>
      <c r="X20" s="278"/>
      <c r="Y20" s="265"/>
      <c r="Z20" s="279"/>
      <c r="AA20" s="279"/>
      <c r="AE20" s="239">
        <v>180</v>
      </c>
      <c r="AF20" s="280" t="s">
        <v>117</v>
      </c>
      <c r="AG20" s="280" t="s">
        <v>118</v>
      </c>
      <c r="AH20" s="281"/>
      <c r="AJ20" s="282"/>
    </row>
    <row r="21" spans="1:36" ht="15" customHeight="1" outlineLevel="1">
      <c r="A21" s="270" t="str">
        <f>'Program Budget'!D24</f>
        <v>Human Resource Manager</v>
      </c>
      <c r="B21" s="271" t="str">
        <f>'Program Budget'!F24</f>
        <v>Month</v>
      </c>
      <c r="C21" s="272">
        <f>'Program Budget'!H24</f>
        <v>2916.6666666666665</v>
      </c>
      <c r="D21" s="273">
        <f>'Program Budget'!G24</f>
        <v>9</v>
      </c>
      <c r="E21" s="274">
        <f>'Program Budget'!E24</f>
        <v>0.25</v>
      </c>
      <c r="F21" s="275">
        <f>C21*D21*E21</f>
        <v>6562.5</v>
      </c>
      <c r="G21" s="272">
        <f t="shared" si="11"/>
        <v>3033.3333333333335</v>
      </c>
      <c r="H21" s="273">
        <f>'Program Budget'!K24</f>
        <v>12</v>
      </c>
      <c r="I21" s="276">
        <f>'Program Budget'!J24</f>
        <v>0.1</v>
      </c>
      <c r="J21" s="275">
        <f t="shared" si="12"/>
        <v>3640</v>
      </c>
      <c r="K21" s="272">
        <f t="shared" si="13"/>
        <v>3154.666666666667</v>
      </c>
      <c r="L21" s="273">
        <f>'Program Budget'!N24</f>
        <v>12</v>
      </c>
      <c r="M21" s="276">
        <f>'Program Budget'!M24</f>
        <v>0.05</v>
      </c>
      <c r="N21" s="275">
        <f t="shared" si="14"/>
        <v>1892.8000000000002</v>
      </c>
      <c r="O21" s="272">
        <f t="shared" si="15"/>
        <v>3280.8533333333339</v>
      </c>
      <c r="P21" s="273">
        <f>'Program Budget'!Q24</f>
        <v>12</v>
      </c>
      <c r="Q21" s="276">
        <f>'Program Budget'!P24</f>
        <v>0.05</v>
      </c>
      <c r="R21" s="275">
        <f t="shared" si="16"/>
        <v>1968.5120000000004</v>
      </c>
      <c r="S21" s="272">
        <f t="shared" si="17"/>
        <v>3412.0874666666673</v>
      </c>
      <c r="T21" s="273">
        <f>'Program Budget'!T24</f>
        <v>10</v>
      </c>
      <c r="U21" s="276">
        <f>'Program Budget'!S24</f>
        <v>0.05</v>
      </c>
      <c r="V21" s="275">
        <f t="shared" si="18"/>
        <v>1706.0437333333336</v>
      </c>
      <c r="W21" s="411">
        <f t="shared" si="19"/>
        <v>15769.855733333334</v>
      </c>
      <c r="X21" s="278"/>
      <c r="Y21" s="265"/>
      <c r="Z21" s="279"/>
      <c r="AA21" s="279"/>
      <c r="AE21" s="239"/>
      <c r="AF21" s="280"/>
      <c r="AG21" s="280"/>
      <c r="AH21" s="281"/>
      <c r="AJ21" s="282"/>
    </row>
    <row r="22" spans="1:36" ht="15" customHeight="1" outlineLevel="1">
      <c r="A22" s="270" t="str">
        <f>'Program Budget'!D25</f>
        <v>Contracts &amp; Compliance Specialist</v>
      </c>
      <c r="B22" s="271" t="str">
        <f>'Program Budget'!F25</f>
        <v>Month</v>
      </c>
      <c r="C22" s="272">
        <f>'Program Budget'!H25</f>
        <v>2916.6666666666665</v>
      </c>
      <c r="D22" s="273">
        <f>'Program Budget'!G25</f>
        <v>6</v>
      </c>
      <c r="E22" s="274">
        <f>'Program Budget'!E25</f>
        <v>0.1</v>
      </c>
      <c r="F22" s="275">
        <f t="shared" si="0"/>
        <v>1750</v>
      </c>
      <c r="G22" s="272">
        <f t="shared" si="1"/>
        <v>3033.3333333333335</v>
      </c>
      <c r="H22" s="273">
        <f>'Program Budget'!K25</f>
        <v>12</v>
      </c>
      <c r="I22" s="276">
        <f>'Program Budget'!J25</f>
        <v>0.05</v>
      </c>
      <c r="J22" s="275">
        <f t="shared" si="2"/>
        <v>1820</v>
      </c>
      <c r="K22" s="272">
        <f t="shared" si="3"/>
        <v>3154.666666666667</v>
      </c>
      <c r="L22" s="273">
        <f>'Program Budget'!N25</f>
        <v>12</v>
      </c>
      <c r="M22" s="276">
        <f>'Program Budget'!M25</f>
        <v>0.05</v>
      </c>
      <c r="N22" s="275">
        <f t="shared" si="4"/>
        <v>1892.8000000000002</v>
      </c>
      <c r="O22" s="272">
        <f t="shared" si="5"/>
        <v>3280.8533333333339</v>
      </c>
      <c r="P22" s="273">
        <f>'Program Budget'!Q25</f>
        <v>12</v>
      </c>
      <c r="Q22" s="276">
        <f>'Program Budget'!P25</f>
        <v>0.05</v>
      </c>
      <c r="R22" s="275">
        <f t="shared" si="6"/>
        <v>1968.5120000000004</v>
      </c>
      <c r="S22" s="272">
        <f t="shared" si="7"/>
        <v>3412.0874666666673</v>
      </c>
      <c r="T22" s="273">
        <f>'Program Budget'!T25</f>
        <v>9</v>
      </c>
      <c r="U22" s="276">
        <f>'Program Budget'!S25</f>
        <v>0.05</v>
      </c>
      <c r="V22" s="275">
        <f t="shared" si="8"/>
        <v>1535.4393600000003</v>
      </c>
      <c r="W22" s="411">
        <f t="shared" si="9"/>
        <v>8966.751360000002</v>
      </c>
      <c r="X22" s="278"/>
      <c r="Y22" s="265"/>
      <c r="Z22" s="279"/>
      <c r="AA22" s="279"/>
      <c r="AE22" s="239">
        <v>180</v>
      </c>
      <c r="AF22" s="280" t="s">
        <v>117</v>
      </c>
      <c r="AG22" s="280" t="s">
        <v>118</v>
      </c>
      <c r="AH22" s="281"/>
      <c r="AJ22" s="282"/>
    </row>
    <row r="23" spans="1:36" ht="15" customHeight="1" outlineLevel="1">
      <c r="A23" s="270" t="str">
        <f>'Program Budget'!D26</f>
        <v xml:space="preserve">Accountant </v>
      </c>
      <c r="B23" s="271" t="str">
        <f>'Program Budget'!F26</f>
        <v>Month</v>
      </c>
      <c r="C23" s="272">
        <f>'Program Budget'!H26</f>
        <v>1666.6666666666667</v>
      </c>
      <c r="D23" s="273">
        <f>'Program Budget'!G26</f>
        <v>7</v>
      </c>
      <c r="E23" s="274">
        <f>'Program Budget'!E26</f>
        <v>0.2</v>
      </c>
      <c r="F23" s="275">
        <f t="shared" si="0"/>
        <v>2333.3333333333335</v>
      </c>
      <c r="G23" s="272">
        <f t="shared" si="1"/>
        <v>1733.3333333333335</v>
      </c>
      <c r="H23" s="273">
        <f>'Program Budget'!K26</f>
        <v>12</v>
      </c>
      <c r="I23" s="276">
        <f>'Program Budget'!J26</f>
        <v>0.2</v>
      </c>
      <c r="J23" s="275">
        <f t="shared" si="2"/>
        <v>4160</v>
      </c>
      <c r="K23" s="272">
        <f t="shared" si="3"/>
        <v>1802.666666666667</v>
      </c>
      <c r="L23" s="273">
        <f>'Program Budget'!N26</f>
        <v>12</v>
      </c>
      <c r="M23" s="276">
        <f>'Program Budget'!M26</f>
        <v>0.2</v>
      </c>
      <c r="N23" s="275">
        <f t="shared" si="4"/>
        <v>4326.4000000000005</v>
      </c>
      <c r="O23" s="272">
        <f t="shared" si="5"/>
        <v>1874.7733333333338</v>
      </c>
      <c r="P23" s="273">
        <f>'Program Budget'!Q26</f>
        <v>12</v>
      </c>
      <c r="Q23" s="276">
        <f>'Program Budget'!P26</f>
        <v>0.2</v>
      </c>
      <c r="R23" s="275">
        <f t="shared" si="6"/>
        <v>4499.456000000001</v>
      </c>
      <c r="S23" s="272">
        <f t="shared" si="7"/>
        <v>1949.7642666666673</v>
      </c>
      <c r="T23" s="273">
        <f>'Program Budget'!T26</f>
        <v>10</v>
      </c>
      <c r="U23" s="276">
        <f>'Program Budget'!S26</f>
        <v>0.2</v>
      </c>
      <c r="V23" s="275">
        <f t="shared" si="8"/>
        <v>3899.528533333335</v>
      </c>
      <c r="W23" s="411">
        <f t="shared" si="9"/>
        <v>19218.71786666667</v>
      </c>
      <c r="X23" s="278"/>
      <c r="Y23" s="265"/>
      <c r="Z23" s="279"/>
      <c r="AA23" s="279"/>
      <c r="AE23" s="239">
        <v>180</v>
      </c>
      <c r="AF23" s="280" t="s">
        <v>117</v>
      </c>
      <c r="AG23" s="280" t="s">
        <v>118</v>
      </c>
      <c r="AH23" s="281"/>
      <c r="AJ23" s="282"/>
    </row>
    <row r="24" spans="1:36" ht="15" customHeight="1" outlineLevel="1">
      <c r="A24" s="270" t="str">
        <f>'Program Budget'!D27</f>
        <v xml:space="preserve">Administrative Assistant </v>
      </c>
      <c r="B24" s="271" t="str">
        <f>'Program Budget'!F27</f>
        <v>Month</v>
      </c>
      <c r="C24" s="272">
        <f>'Program Budget'!H27</f>
        <v>833.33333333333337</v>
      </c>
      <c r="D24" s="273">
        <f>'Program Budget'!G27</f>
        <v>7</v>
      </c>
      <c r="E24" s="274">
        <f>'Program Budget'!E27</f>
        <v>0.2</v>
      </c>
      <c r="F24" s="275">
        <f t="shared" si="0"/>
        <v>1166.6666666666667</v>
      </c>
      <c r="G24" s="272">
        <f t="shared" si="1"/>
        <v>866.66666666666674</v>
      </c>
      <c r="H24" s="273">
        <f>'Program Budget'!K27</f>
        <v>12</v>
      </c>
      <c r="I24" s="276">
        <f>'Program Budget'!J27</f>
        <v>0.2</v>
      </c>
      <c r="J24" s="275">
        <f t="shared" si="2"/>
        <v>2080</v>
      </c>
      <c r="K24" s="272">
        <f t="shared" si="3"/>
        <v>901.33333333333348</v>
      </c>
      <c r="L24" s="273">
        <f>'Program Budget'!N27</f>
        <v>12</v>
      </c>
      <c r="M24" s="276">
        <f>'Program Budget'!M27</f>
        <v>0.2</v>
      </c>
      <c r="N24" s="275">
        <f t="shared" si="4"/>
        <v>2163.2000000000003</v>
      </c>
      <c r="O24" s="272">
        <f t="shared" si="5"/>
        <v>937.38666666666688</v>
      </c>
      <c r="P24" s="273">
        <f>'Program Budget'!Q27</f>
        <v>12</v>
      </c>
      <c r="Q24" s="276">
        <f>'Program Budget'!P27</f>
        <v>0.2</v>
      </c>
      <c r="R24" s="275">
        <f t="shared" si="6"/>
        <v>2249.7280000000005</v>
      </c>
      <c r="S24" s="272">
        <f t="shared" si="7"/>
        <v>974.88213333333363</v>
      </c>
      <c r="T24" s="273">
        <f>'Program Budget'!T27</f>
        <v>10</v>
      </c>
      <c r="U24" s="276">
        <f>'Program Budget'!S27</f>
        <v>0.2</v>
      </c>
      <c r="V24" s="275">
        <f t="shared" si="8"/>
        <v>1949.7642666666675</v>
      </c>
      <c r="W24" s="411">
        <f t="shared" si="9"/>
        <v>9609.3589333333348</v>
      </c>
      <c r="X24" s="278"/>
      <c r="Y24" s="265"/>
      <c r="Z24" s="279"/>
      <c r="AA24" s="279"/>
      <c r="AE24" s="239">
        <v>180</v>
      </c>
      <c r="AF24" s="280" t="s">
        <v>117</v>
      </c>
      <c r="AG24" s="280" t="s">
        <v>118</v>
      </c>
      <c r="AH24" s="281"/>
      <c r="AJ24" s="282"/>
    </row>
    <row r="25" spans="1:36" ht="15" customHeight="1" outlineLevel="1">
      <c r="A25" s="270" t="str">
        <f>'Program Budget'!D28</f>
        <v>Security Guards</v>
      </c>
      <c r="B25" s="271" t="str">
        <f>'Program Budget'!F28</f>
        <v>Month</v>
      </c>
      <c r="C25" s="272">
        <f>'Program Budget'!H28</f>
        <v>666.66666666666663</v>
      </c>
      <c r="D25" s="273">
        <f>'Program Budget'!G28</f>
        <v>8</v>
      </c>
      <c r="E25" s="274">
        <f>'Program Budget'!E28</f>
        <v>0.2</v>
      </c>
      <c r="F25" s="275">
        <f t="shared" si="0"/>
        <v>1066.6666666666667</v>
      </c>
      <c r="G25" s="272">
        <f t="shared" si="1"/>
        <v>693.33333333333337</v>
      </c>
      <c r="H25" s="273">
        <f>'Program Budget'!K28</f>
        <v>12</v>
      </c>
      <c r="I25" s="276">
        <f>'Program Budget'!J28</f>
        <v>0.05</v>
      </c>
      <c r="J25" s="275">
        <f t="shared" si="2"/>
        <v>416</v>
      </c>
      <c r="K25" s="272">
        <f t="shared" si="3"/>
        <v>721.06666666666672</v>
      </c>
      <c r="L25" s="273">
        <f>'Program Budget'!N28</f>
        <v>12</v>
      </c>
      <c r="M25" s="276">
        <f>'Program Budget'!M28</f>
        <v>0.05</v>
      </c>
      <c r="N25" s="275">
        <f t="shared" si="4"/>
        <v>432.6400000000001</v>
      </c>
      <c r="O25" s="272">
        <f t="shared" si="5"/>
        <v>749.90933333333339</v>
      </c>
      <c r="P25" s="273">
        <f>'Program Budget'!Q28</f>
        <v>12</v>
      </c>
      <c r="Q25" s="276">
        <f>'Program Budget'!P28</f>
        <v>0.05</v>
      </c>
      <c r="R25" s="275">
        <f t="shared" si="6"/>
        <v>449.94560000000001</v>
      </c>
      <c r="S25" s="272">
        <f t="shared" si="7"/>
        <v>779.90570666666679</v>
      </c>
      <c r="T25" s="273">
        <f>'Program Budget'!T28</f>
        <v>10</v>
      </c>
      <c r="U25" s="276">
        <f>'Program Budget'!S28</f>
        <v>0.05</v>
      </c>
      <c r="V25" s="275">
        <f t="shared" si="8"/>
        <v>389.95285333333345</v>
      </c>
      <c r="W25" s="411">
        <f t="shared" si="9"/>
        <v>2755.2051200000005</v>
      </c>
      <c r="X25" s="278"/>
      <c r="Y25" s="265"/>
      <c r="Z25" s="279"/>
      <c r="AA25" s="279"/>
      <c r="AE25" s="239">
        <v>180</v>
      </c>
      <c r="AF25" s="280" t="s">
        <v>117</v>
      </c>
      <c r="AG25" s="280" t="s">
        <v>118</v>
      </c>
      <c r="AH25" s="281"/>
      <c r="AJ25" s="282"/>
    </row>
    <row r="26" spans="1:36" ht="15" customHeight="1" outlineLevel="1">
      <c r="A26" s="270" t="str">
        <f>'Program Budget'!D29</f>
        <v>Driver (2 Individuals)</v>
      </c>
      <c r="B26" s="271" t="str">
        <f>'Program Budget'!F29</f>
        <v>Month</v>
      </c>
      <c r="C26" s="272">
        <f>'Program Budget'!H29</f>
        <v>1333.3333333333333</v>
      </c>
      <c r="D26" s="273">
        <f>'Program Budget'!G29</f>
        <v>6</v>
      </c>
      <c r="E26" s="274">
        <f>'Program Budget'!E29</f>
        <v>0.2</v>
      </c>
      <c r="F26" s="275">
        <f t="shared" si="0"/>
        <v>1600</v>
      </c>
      <c r="G26" s="272">
        <f t="shared" si="1"/>
        <v>1386.6666666666667</v>
      </c>
      <c r="H26" s="273">
        <f>'Program Budget'!K29</f>
        <v>12</v>
      </c>
      <c r="I26" s="276">
        <f>'Program Budget'!J29</f>
        <v>0.05</v>
      </c>
      <c r="J26" s="275">
        <f t="shared" si="2"/>
        <v>832</v>
      </c>
      <c r="K26" s="272">
        <f t="shared" si="3"/>
        <v>1442.1333333333334</v>
      </c>
      <c r="L26" s="273">
        <f>'Program Budget'!N29</f>
        <v>12</v>
      </c>
      <c r="M26" s="276">
        <f>'Program Budget'!M29</f>
        <v>0.05</v>
      </c>
      <c r="N26" s="275">
        <f t="shared" si="4"/>
        <v>865.2800000000002</v>
      </c>
      <c r="O26" s="272">
        <f t="shared" si="5"/>
        <v>1499.8186666666668</v>
      </c>
      <c r="P26" s="273">
        <f>'Program Budget'!Q29</f>
        <v>12</v>
      </c>
      <c r="Q26" s="276">
        <f>'Program Budget'!P29</f>
        <v>0.05</v>
      </c>
      <c r="R26" s="275">
        <f t="shared" si="6"/>
        <v>899.89120000000003</v>
      </c>
      <c r="S26" s="272">
        <f t="shared" si="7"/>
        <v>1559.8114133333336</v>
      </c>
      <c r="T26" s="273">
        <f>'Program Budget'!T29</f>
        <v>9</v>
      </c>
      <c r="U26" s="276">
        <f>'Program Budget'!S29</f>
        <v>0.05</v>
      </c>
      <c r="V26" s="275">
        <f t="shared" si="8"/>
        <v>701.91513600000008</v>
      </c>
      <c r="W26" s="413">
        <f t="shared" si="9"/>
        <v>4899.0863360000003</v>
      </c>
      <c r="X26" s="278"/>
      <c r="Y26" s="265"/>
      <c r="Z26" s="279"/>
      <c r="AA26" s="279"/>
      <c r="AE26" s="239">
        <v>180</v>
      </c>
      <c r="AF26" s="280" t="s">
        <v>117</v>
      </c>
      <c r="AG26" s="280" t="s">
        <v>118</v>
      </c>
      <c r="AH26" s="281"/>
      <c r="AJ26" s="282"/>
    </row>
    <row r="27" spans="1:36" ht="15" customHeight="1" outlineLevel="1">
      <c r="A27" s="285" t="s">
        <v>78</v>
      </c>
      <c r="B27" s="286"/>
      <c r="C27" s="287"/>
      <c r="D27" s="288"/>
      <c r="E27" s="289"/>
      <c r="F27" s="299">
        <f>SUM(F10:F26)</f>
        <v>70416.666666666672</v>
      </c>
      <c r="G27" s="287"/>
      <c r="H27" s="288"/>
      <c r="I27" s="291"/>
      <c r="J27" s="299">
        <f>SUM(J10:J26)</f>
        <v>24908</v>
      </c>
      <c r="K27" s="287"/>
      <c r="L27" s="288"/>
      <c r="M27" s="289"/>
      <c r="N27" s="299">
        <f>SUM(N10:N26)</f>
        <v>24011.52</v>
      </c>
      <c r="O27" s="287"/>
      <c r="P27" s="288"/>
      <c r="Q27" s="291"/>
      <c r="R27" s="299">
        <f>SUM(R10:R26)</f>
        <v>24971.980800000005</v>
      </c>
      <c r="S27" s="287"/>
      <c r="T27" s="288"/>
      <c r="U27" s="291"/>
      <c r="V27" s="299">
        <f>SUM(V10:V26)</f>
        <v>23392.296789333341</v>
      </c>
      <c r="W27" s="412">
        <f>F27+J27+N27+R27+V27</f>
        <v>167700.46425600001</v>
      </c>
      <c r="AE27" s="239"/>
      <c r="AF27" s="280"/>
      <c r="AG27" s="280"/>
    </row>
    <row r="28" spans="1:36" s="266" customFormat="1" ht="15.6" outlineLevel="1">
      <c r="A28" s="267" t="s">
        <v>79</v>
      </c>
      <c r="B28" s="268"/>
      <c r="C28" s="258"/>
      <c r="D28" s="259"/>
      <c r="E28" s="260"/>
      <c r="F28" s="261"/>
      <c r="G28" s="258"/>
      <c r="H28" s="259"/>
      <c r="I28" s="262"/>
      <c r="J28" s="263"/>
      <c r="K28" s="258"/>
      <c r="L28" s="259"/>
      <c r="M28" s="260"/>
      <c r="N28" s="263"/>
      <c r="O28" s="258"/>
      <c r="P28" s="259"/>
      <c r="Q28" s="262"/>
      <c r="R28" s="263"/>
      <c r="S28" s="258"/>
      <c r="T28" s="259"/>
      <c r="U28" s="262"/>
      <c r="V28" s="263"/>
      <c r="W28" s="410"/>
      <c r="X28" s="269"/>
      <c r="Y28" s="233"/>
      <c r="Z28" s="233"/>
      <c r="AA28" s="233"/>
      <c r="AB28" s="233"/>
      <c r="AC28" s="233"/>
      <c r="AD28" s="233"/>
      <c r="AE28" s="239"/>
    </row>
    <row r="29" spans="1:36" ht="15" customHeight="1" outlineLevel="1">
      <c r="A29" s="270" t="str">
        <f>'Program Budget'!D31</f>
        <v xml:space="preserve">Senior Program Director </v>
      </c>
      <c r="B29" s="271" t="str">
        <f>'Program Budget'!F31</f>
        <v>Month</v>
      </c>
      <c r="C29" s="272">
        <f>'Program Budget'!H31</f>
        <v>11250</v>
      </c>
      <c r="D29" s="273">
        <f>'Program Budget'!G31</f>
        <v>12</v>
      </c>
      <c r="E29" s="274">
        <f>'Program Budget'!E31</f>
        <v>0.2</v>
      </c>
      <c r="F29" s="275">
        <f>C29*D29*E29</f>
        <v>27000</v>
      </c>
      <c r="G29" s="272">
        <f>C29*1.04</f>
        <v>11700</v>
      </c>
      <c r="H29" s="273">
        <f>'Program Budget'!K31</f>
        <v>12</v>
      </c>
      <c r="I29" s="276">
        <f>'Program Budget'!J31</f>
        <v>0.2</v>
      </c>
      <c r="J29" s="275">
        <f>G29*H29*I29</f>
        <v>28080</v>
      </c>
      <c r="K29" s="272">
        <f>G29*1.04</f>
        <v>12168</v>
      </c>
      <c r="L29" s="273">
        <f>'Program Budget'!N31</f>
        <v>12</v>
      </c>
      <c r="M29" s="276">
        <f>'Program Budget'!M31</f>
        <v>0.2</v>
      </c>
      <c r="N29" s="275">
        <f>K29*L29*M29</f>
        <v>29203.200000000001</v>
      </c>
      <c r="O29" s="272">
        <f>K29*1.04</f>
        <v>12654.720000000001</v>
      </c>
      <c r="P29" s="273">
        <f>'Program Budget'!Q31</f>
        <v>12</v>
      </c>
      <c r="Q29" s="276">
        <f>'Program Budget'!P31</f>
        <v>0.2</v>
      </c>
      <c r="R29" s="275">
        <f>O29*P29*Q29</f>
        <v>30371.328000000005</v>
      </c>
      <c r="S29" s="272">
        <f>O29*1.04</f>
        <v>13160.908800000001</v>
      </c>
      <c r="T29" s="273">
        <f>'Program Budget'!T31</f>
        <v>12</v>
      </c>
      <c r="U29" s="276">
        <f>'Program Budget'!S31</f>
        <v>0.2</v>
      </c>
      <c r="V29" s="275">
        <f>S29*T29*U29</f>
        <v>31586.181120000001</v>
      </c>
      <c r="W29" s="411">
        <f>F29+J29+N29+R29+V29</f>
        <v>146240.70912000001</v>
      </c>
      <c r="X29" s="278"/>
      <c r="Y29" s="265"/>
      <c r="Z29" s="279"/>
      <c r="AA29" s="279"/>
      <c r="AE29" s="239">
        <v>180</v>
      </c>
      <c r="AF29" s="280" t="s">
        <v>117</v>
      </c>
      <c r="AG29" s="280" t="s">
        <v>118</v>
      </c>
      <c r="AH29" s="281"/>
      <c r="AJ29" s="282"/>
    </row>
    <row r="30" spans="1:36" ht="15" customHeight="1" outlineLevel="1">
      <c r="A30" s="270" t="str">
        <f>'Program Budget'!D32</f>
        <v>HO Project Manager</v>
      </c>
      <c r="B30" s="271" t="str">
        <f>'Program Budget'!F32</f>
        <v>Month</v>
      </c>
      <c r="C30" s="272">
        <f>'Program Budget'!H32</f>
        <v>6916.666666666667</v>
      </c>
      <c r="D30" s="273">
        <f>'Program Budget'!G32</f>
        <v>12</v>
      </c>
      <c r="E30" s="274">
        <f>'Program Budget'!E32</f>
        <v>1</v>
      </c>
      <c r="F30" s="275">
        <f>C30*D30*E30</f>
        <v>83000</v>
      </c>
      <c r="G30" s="272">
        <f>C30*1.04</f>
        <v>7193.3333333333339</v>
      </c>
      <c r="H30" s="273">
        <f>'Program Budget'!K32</f>
        <v>12</v>
      </c>
      <c r="I30" s="276">
        <f>'Program Budget'!J32</f>
        <v>1</v>
      </c>
      <c r="J30" s="275">
        <f>G30*H30*I30</f>
        <v>86320</v>
      </c>
      <c r="K30" s="272">
        <f>G30*1.04</f>
        <v>7481.0666666666675</v>
      </c>
      <c r="L30" s="273">
        <f>'Program Budget'!N32</f>
        <v>12</v>
      </c>
      <c r="M30" s="276">
        <f>'Program Budget'!M32</f>
        <v>1</v>
      </c>
      <c r="N30" s="275">
        <f>K30*L30*M30</f>
        <v>89772.800000000017</v>
      </c>
      <c r="O30" s="272">
        <f>K30*1.04</f>
        <v>7780.3093333333345</v>
      </c>
      <c r="P30" s="273">
        <f>'Program Budget'!Q32</f>
        <v>12</v>
      </c>
      <c r="Q30" s="276">
        <f>'Program Budget'!P32</f>
        <v>1</v>
      </c>
      <c r="R30" s="275">
        <f>O30*P30*Q30</f>
        <v>93363.712000000014</v>
      </c>
      <c r="S30" s="272">
        <f>O30*1.04</f>
        <v>8091.5217066666683</v>
      </c>
      <c r="T30" s="273">
        <f>'Program Budget'!T32</f>
        <v>12</v>
      </c>
      <c r="U30" s="276">
        <f>'Program Budget'!S32</f>
        <v>1</v>
      </c>
      <c r="V30" s="275">
        <f>S30*T30*U30</f>
        <v>97098.260480000026</v>
      </c>
      <c r="W30" s="411">
        <f>F30+J30+N30+R30+V30</f>
        <v>449554.77248000004</v>
      </c>
      <c r="X30" s="278"/>
      <c r="Y30" s="265"/>
      <c r="Z30" s="279"/>
      <c r="AA30" s="279"/>
      <c r="AE30" s="239">
        <v>180</v>
      </c>
      <c r="AF30" s="280" t="s">
        <v>117</v>
      </c>
      <c r="AG30" s="280" t="s">
        <v>118</v>
      </c>
      <c r="AH30" s="281"/>
      <c r="AJ30" s="282"/>
    </row>
    <row r="31" spans="1:36" ht="15" customHeight="1" outlineLevel="1">
      <c r="A31" s="285" t="s">
        <v>80</v>
      </c>
      <c r="B31" s="286"/>
      <c r="C31" s="287"/>
      <c r="D31" s="288"/>
      <c r="E31" s="289"/>
      <c r="F31" s="290">
        <f>SUM(F29:F30)</f>
        <v>110000</v>
      </c>
      <c r="G31" s="287"/>
      <c r="H31" s="288"/>
      <c r="I31" s="291"/>
      <c r="J31" s="290">
        <f>SUM(J29:J30)</f>
        <v>114400</v>
      </c>
      <c r="K31" s="287"/>
      <c r="L31" s="288"/>
      <c r="M31" s="289"/>
      <c r="N31" s="290">
        <f>SUM(N29:N30)</f>
        <v>118976.00000000001</v>
      </c>
      <c r="O31" s="287"/>
      <c r="P31" s="288"/>
      <c r="Q31" s="291"/>
      <c r="R31" s="290">
        <f>SUM(R29:R30)</f>
        <v>123735.04000000002</v>
      </c>
      <c r="S31" s="287"/>
      <c r="T31" s="288"/>
      <c r="U31" s="291"/>
      <c r="V31" s="290">
        <f>SUM(V29:V30)</f>
        <v>128684.44160000002</v>
      </c>
      <c r="W31" s="412">
        <f>+F31+J31+N31+R31+V31</f>
        <v>595795.48160000006</v>
      </c>
      <c r="AE31" s="239"/>
      <c r="AF31" s="280"/>
      <c r="AG31" s="280" t="s">
        <v>119</v>
      </c>
    </row>
    <row r="32" spans="1:36" s="266" customFormat="1" ht="15" customHeight="1" outlineLevel="1">
      <c r="A32" s="302"/>
      <c r="B32" s="293"/>
      <c r="C32" s="294"/>
      <c r="D32" s="295"/>
      <c r="E32" s="236"/>
      <c r="F32" s="275"/>
      <c r="G32" s="294"/>
      <c r="H32" s="295"/>
      <c r="I32" s="236"/>
      <c r="J32" s="275"/>
      <c r="K32" s="294"/>
      <c r="L32" s="295"/>
      <c r="M32" s="236"/>
      <c r="N32" s="275"/>
      <c r="O32" s="294"/>
      <c r="P32" s="295"/>
      <c r="Q32" s="236"/>
      <c r="R32" s="275"/>
      <c r="S32" s="294"/>
      <c r="T32" s="295"/>
      <c r="U32" s="236"/>
      <c r="V32" s="275"/>
      <c r="W32" s="413"/>
      <c r="X32" s="233"/>
      <c r="Y32" s="233"/>
      <c r="Z32" s="233"/>
      <c r="AA32" s="233"/>
      <c r="AB32" s="233"/>
      <c r="AC32" s="233"/>
      <c r="AD32" s="233"/>
      <c r="AE32" s="239"/>
      <c r="AF32" s="280"/>
      <c r="AG32" s="280"/>
      <c r="AH32" s="300"/>
      <c r="AI32" s="301"/>
      <c r="AJ32" s="233"/>
    </row>
    <row r="33" spans="1:36" s="313" customFormat="1" ht="15" customHeight="1">
      <c r="A33" s="303" t="s">
        <v>81</v>
      </c>
      <c r="B33" s="304"/>
      <c r="C33" s="305"/>
      <c r="D33" s="306"/>
      <c r="E33" s="307"/>
      <c r="F33" s="308">
        <f>F31+F27+F8</f>
        <v>209416.66666666669</v>
      </c>
      <c r="G33" s="305"/>
      <c r="H33" s="306"/>
      <c r="I33" s="309"/>
      <c r="J33" s="308">
        <f>J31+J27+J8</f>
        <v>146848</v>
      </c>
      <c r="K33" s="305"/>
      <c r="L33" s="306"/>
      <c r="M33" s="307"/>
      <c r="N33" s="308">
        <f>N31+N27+N8</f>
        <v>150829.12000000002</v>
      </c>
      <c r="O33" s="305"/>
      <c r="P33" s="306"/>
      <c r="Q33" s="309"/>
      <c r="R33" s="308">
        <f>R31+R27+R8</f>
        <v>156862.28480000002</v>
      </c>
      <c r="S33" s="305"/>
      <c r="T33" s="306"/>
      <c r="U33" s="309"/>
      <c r="V33" s="308">
        <f>V31+V27+V8</f>
        <v>160558.21294933336</v>
      </c>
      <c r="W33" s="414">
        <f>+F33+J33+N33+R33+V33</f>
        <v>824514.28441600013</v>
      </c>
      <c r="X33" s="311"/>
      <c r="Y33" s="526"/>
      <c r="Z33" s="311"/>
      <c r="AA33" s="311"/>
      <c r="AB33" s="311"/>
      <c r="AC33" s="312"/>
      <c r="AD33" s="312"/>
      <c r="AE33" s="311"/>
      <c r="AG33" s="313" t="s">
        <v>119</v>
      </c>
      <c r="AJ33" s="312"/>
    </row>
    <row r="34" spans="1:36" s="266" customFormat="1" ht="15" customHeight="1" outlineLevel="1">
      <c r="A34" s="267" t="s">
        <v>82</v>
      </c>
      <c r="B34" s="268"/>
      <c r="C34" s="258"/>
      <c r="D34" s="259"/>
      <c r="E34" s="260"/>
      <c r="F34" s="261"/>
      <c r="G34" s="258"/>
      <c r="H34" s="259"/>
      <c r="I34" s="262"/>
      <c r="J34" s="263"/>
      <c r="K34" s="258"/>
      <c r="L34" s="259"/>
      <c r="M34" s="260"/>
      <c r="N34" s="263"/>
      <c r="O34" s="258"/>
      <c r="P34" s="259"/>
      <c r="Q34" s="262"/>
      <c r="R34" s="263"/>
      <c r="S34" s="258"/>
      <c r="T34" s="259"/>
      <c r="U34" s="262"/>
      <c r="V34" s="263"/>
      <c r="W34" s="410"/>
      <c r="X34" s="233"/>
      <c r="Y34" s="233"/>
      <c r="Z34" s="233"/>
      <c r="AA34" s="233"/>
      <c r="AB34" s="233"/>
      <c r="AC34" s="233"/>
      <c r="AD34" s="233"/>
      <c r="AE34" s="239"/>
      <c r="AJ34" s="233"/>
    </row>
    <row r="35" spans="1:36" s="266" customFormat="1" ht="15" customHeight="1" outlineLevel="1">
      <c r="A35" s="314" t="s">
        <v>75</v>
      </c>
      <c r="B35" s="293" t="str">
        <f>'Program Budget'!F37</f>
        <v>%</v>
      </c>
      <c r="C35" s="421">
        <f>F8</f>
        <v>29000</v>
      </c>
      <c r="D35" s="295">
        <v>1</v>
      </c>
      <c r="E35" s="236">
        <f>'Program Budget'!H39</f>
        <v>0.23469999999999999</v>
      </c>
      <c r="F35" s="275">
        <f>C35*D35*E35</f>
        <v>6806.3</v>
      </c>
      <c r="G35" s="421">
        <f>J8</f>
        <v>7540</v>
      </c>
      <c r="H35" s="295">
        <v>1</v>
      </c>
      <c r="I35" s="236">
        <f>E35</f>
        <v>0.23469999999999999</v>
      </c>
      <c r="J35" s="275">
        <f>G35*H35*I35</f>
        <v>1769.6379999999999</v>
      </c>
      <c r="K35" s="421">
        <f>N8</f>
        <v>7841.6000000000022</v>
      </c>
      <c r="L35" s="295">
        <v>1</v>
      </c>
      <c r="M35" s="236">
        <f>I35</f>
        <v>0.23469999999999999</v>
      </c>
      <c r="N35" s="275">
        <f t="shared" ref="N35:N37" si="20">K35*L35*M35</f>
        <v>1840.4235200000005</v>
      </c>
      <c r="O35" s="421">
        <f>R8</f>
        <v>8155.2640000000019</v>
      </c>
      <c r="P35" s="295">
        <v>1</v>
      </c>
      <c r="Q35" s="236">
        <f>M35</f>
        <v>0.23469999999999999</v>
      </c>
      <c r="R35" s="275">
        <f t="shared" ref="R35:R37" si="21">O35*P35*Q35</f>
        <v>1914.0404608000003</v>
      </c>
      <c r="S35" s="421">
        <f>V8</f>
        <v>8481.4745600000024</v>
      </c>
      <c r="T35" s="295">
        <v>1</v>
      </c>
      <c r="U35" s="236">
        <f>Q35</f>
        <v>0.23469999999999999</v>
      </c>
      <c r="V35" s="275">
        <f t="shared" ref="V35:V37" si="22">S35*T35*U35</f>
        <v>1990.6020792320005</v>
      </c>
      <c r="W35" s="411">
        <f t="shared" ref="W35:W37" si="23">F35+J35+N35+R35+V35</f>
        <v>14321.004060032003</v>
      </c>
      <c r="X35" s="233"/>
      <c r="Y35" s="233"/>
      <c r="Z35" s="233"/>
      <c r="AA35" s="233"/>
      <c r="AB35" s="233"/>
      <c r="AC35" s="233"/>
      <c r="AD35" s="233"/>
      <c r="AE35" s="239">
        <v>194</v>
      </c>
      <c r="AF35" s="280" t="s">
        <v>120</v>
      </c>
      <c r="AG35" s="280" t="s">
        <v>121</v>
      </c>
      <c r="AJ35" s="233"/>
    </row>
    <row r="36" spans="1:36" s="266" customFormat="1" ht="15" customHeight="1" outlineLevel="1">
      <c r="A36" s="314" t="s">
        <v>83</v>
      </c>
      <c r="B36" s="293" t="str">
        <f>'Program Budget'!F38</f>
        <v>%</v>
      </c>
      <c r="C36" s="421">
        <f>F27</f>
        <v>70416.666666666672</v>
      </c>
      <c r="D36" s="295">
        <v>1</v>
      </c>
      <c r="E36" s="236">
        <f>'Program Budget'!H37</f>
        <v>0.26919999999999999</v>
      </c>
      <c r="F36" s="275">
        <f>C36*D36*E36</f>
        <v>18956.166666666668</v>
      </c>
      <c r="G36" s="421">
        <f>J27</f>
        <v>24908</v>
      </c>
      <c r="H36" s="295">
        <v>1</v>
      </c>
      <c r="I36" s="236">
        <f t="shared" ref="I36:I37" si="24">E36</f>
        <v>0.26919999999999999</v>
      </c>
      <c r="J36" s="275">
        <f t="shared" ref="J36:J37" si="25">G36*H36*I36</f>
        <v>6705.2335999999996</v>
      </c>
      <c r="K36" s="421">
        <f>N27</f>
        <v>24011.52</v>
      </c>
      <c r="L36" s="295">
        <v>1</v>
      </c>
      <c r="M36" s="236">
        <f t="shared" ref="M36:M37" si="26">I36</f>
        <v>0.26919999999999999</v>
      </c>
      <c r="N36" s="275">
        <f t="shared" si="20"/>
        <v>6463.9011840000003</v>
      </c>
      <c r="O36" s="421">
        <f>R27</f>
        <v>24971.980800000005</v>
      </c>
      <c r="P36" s="295">
        <v>1</v>
      </c>
      <c r="Q36" s="236">
        <f t="shared" ref="Q36:Q37" si="27">M36</f>
        <v>0.26919999999999999</v>
      </c>
      <c r="R36" s="275">
        <f t="shared" si="21"/>
        <v>6722.4572313600011</v>
      </c>
      <c r="S36" s="421">
        <f>V27</f>
        <v>23392.296789333341</v>
      </c>
      <c r="T36" s="295">
        <v>1</v>
      </c>
      <c r="U36" s="236">
        <f t="shared" ref="U36:U37" si="28">Q36</f>
        <v>0.26919999999999999</v>
      </c>
      <c r="V36" s="275">
        <f t="shared" si="22"/>
        <v>6297.2062956885356</v>
      </c>
      <c r="W36" s="411">
        <f t="shared" si="23"/>
        <v>45144.964977715201</v>
      </c>
      <c r="X36" s="233"/>
      <c r="Y36" s="233"/>
      <c r="Z36" s="233"/>
      <c r="AA36" s="233"/>
      <c r="AB36" s="233"/>
      <c r="AC36" s="233"/>
      <c r="AD36" s="233"/>
      <c r="AE36" s="315">
        <v>197</v>
      </c>
      <c r="AF36" s="316" t="s">
        <v>122</v>
      </c>
      <c r="AG36" s="316" t="s">
        <v>123</v>
      </c>
      <c r="AJ36" s="233"/>
    </row>
    <row r="37" spans="1:36" s="266" customFormat="1" ht="15" customHeight="1" outlineLevel="1">
      <c r="A37" s="317" t="s">
        <v>84</v>
      </c>
      <c r="B37" s="293" t="str">
        <f>'Program Budget'!F39</f>
        <v>%</v>
      </c>
      <c r="C37" s="422">
        <f>F31</f>
        <v>110000</v>
      </c>
      <c r="D37" s="320">
        <v>1</v>
      </c>
      <c r="E37" s="236">
        <f>'Program Budget'!H38</f>
        <v>0.23469999999999999</v>
      </c>
      <c r="F37" s="322">
        <f>C37*D37*E37</f>
        <v>25817</v>
      </c>
      <c r="G37" s="422">
        <f>J31</f>
        <v>114400</v>
      </c>
      <c r="H37" s="320">
        <v>1</v>
      </c>
      <c r="I37" s="236">
        <f t="shared" si="24"/>
        <v>0.23469999999999999</v>
      </c>
      <c r="J37" s="322">
        <f t="shared" si="25"/>
        <v>26849.68</v>
      </c>
      <c r="K37" s="422">
        <f>N31</f>
        <v>118976.00000000001</v>
      </c>
      <c r="L37" s="320">
        <v>1</v>
      </c>
      <c r="M37" s="236">
        <f t="shared" si="26"/>
        <v>0.23469999999999999</v>
      </c>
      <c r="N37" s="322">
        <f t="shared" si="20"/>
        <v>27923.667200000004</v>
      </c>
      <c r="O37" s="422">
        <f>R31</f>
        <v>123735.04000000002</v>
      </c>
      <c r="P37" s="320">
        <v>1</v>
      </c>
      <c r="Q37" s="236">
        <f t="shared" si="27"/>
        <v>0.23469999999999999</v>
      </c>
      <c r="R37" s="322">
        <f t="shared" si="21"/>
        <v>29040.613888000003</v>
      </c>
      <c r="S37" s="422">
        <f>V31</f>
        <v>128684.44160000002</v>
      </c>
      <c r="T37" s="320">
        <v>1</v>
      </c>
      <c r="U37" s="236">
        <f t="shared" si="28"/>
        <v>0.23469999999999999</v>
      </c>
      <c r="V37" s="322">
        <f t="shared" si="22"/>
        <v>30202.238443520004</v>
      </c>
      <c r="W37" s="415">
        <f t="shared" si="23"/>
        <v>139833.19953152002</v>
      </c>
      <c r="X37" s="233"/>
      <c r="Y37" s="233"/>
      <c r="Z37" s="233"/>
      <c r="AA37" s="233"/>
      <c r="AB37" s="233"/>
      <c r="AC37" s="233"/>
      <c r="AD37" s="233"/>
      <c r="AE37" s="239">
        <v>193</v>
      </c>
      <c r="AF37" s="280" t="s">
        <v>124</v>
      </c>
      <c r="AG37" s="280" t="s">
        <v>125</v>
      </c>
      <c r="AJ37" s="233"/>
    </row>
    <row r="38" spans="1:36" ht="15" customHeight="1" outlineLevel="1">
      <c r="A38" s="285" t="s">
        <v>85</v>
      </c>
      <c r="B38" s="286"/>
      <c r="C38" s="287"/>
      <c r="D38" s="288"/>
      <c r="E38" s="289"/>
      <c r="F38" s="290">
        <f>+SUM(F35:F37)</f>
        <v>51579.466666666667</v>
      </c>
      <c r="G38" s="287"/>
      <c r="H38" s="288"/>
      <c r="I38" s="291"/>
      <c r="J38" s="290">
        <f>+SUM(J35:J37)</f>
        <v>35324.551599999999</v>
      </c>
      <c r="K38" s="287"/>
      <c r="L38" s="288"/>
      <c r="M38" s="289"/>
      <c r="N38" s="290">
        <f>+SUM(N35:N37)</f>
        <v>36227.991904000002</v>
      </c>
      <c r="O38" s="287"/>
      <c r="P38" s="288"/>
      <c r="Q38" s="291"/>
      <c r="R38" s="290">
        <f>+SUM(R35:R37)</f>
        <v>37677.111580160003</v>
      </c>
      <c r="S38" s="287"/>
      <c r="T38" s="288"/>
      <c r="U38" s="291"/>
      <c r="V38" s="290">
        <f>+SUM(V35:V37)</f>
        <v>38490.04681844054</v>
      </c>
      <c r="W38" s="412">
        <f>+F38+J38+N38+R38+V38</f>
        <v>199299.16856926723</v>
      </c>
      <c r="AE38" s="239"/>
      <c r="AF38" s="280"/>
      <c r="AG38" s="280"/>
    </row>
    <row r="39" spans="1:36" s="266" customFormat="1" ht="15" customHeight="1" outlineLevel="1">
      <c r="A39" s="267" t="s">
        <v>86</v>
      </c>
      <c r="B39" s="324"/>
      <c r="C39" s="294"/>
      <c r="D39" s="295"/>
      <c r="E39" s="236"/>
      <c r="F39" s="325"/>
      <c r="G39" s="294"/>
      <c r="H39" s="295"/>
      <c r="I39" s="237"/>
      <c r="J39" s="298"/>
      <c r="K39" s="294"/>
      <c r="L39" s="295"/>
      <c r="M39" s="236"/>
      <c r="N39" s="298"/>
      <c r="O39" s="294"/>
      <c r="P39" s="295"/>
      <c r="Q39" s="237"/>
      <c r="R39" s="298"/>
      <c r="S39" s="294"/>
      <c r="T39" s="295"/>
      <c r="U39" s="237"/>
      <c r="V39" s="298"/>
      <c r="W39" s="411"/>
      <c r="X39" s="233"/>
      <c r="Y39" s="233"/>
      <c r="Z39" s="233"/>
      <c r="AA39" s="233"/>
      <c r="AB39" s="233"/>
      <c r="AC39" s="233"/>
      <c r="AD39" s="233"/>
      <c r="AE39" s="239"/>
      <c r="AF39" s="280"/>
      <c r="AG39" s="280" t="s">
        <v>119</v>
      </c>
      <c r="AJ39" s="233"/>
    </row>
    <row r="40" spans="1:36" s="266" customFormat="1" ht="15" customHeight="1" outlineLevel="1">
      <c r="A40" s="314" t="s">
        <v>75</v>
      </c>
      <c r="B40" s="293"/>
      <c r="C40" s="234"/>
      <c r="D40" s="235"/>
      <c r="E40" s="236"/>
      <c r="F40" s="275"/>
      <c r="G40" s="234"/>
      <c r="H40" s="235"/>
      <c r="I40" s="237"/>
      <c r="J40" s="275"/>
      <c r="K40" s="234"/>
      <c r="L40" s="235"/>
      <c r="M40" s="236"/>
      <c r="N40" s="275"/>
      <c r="O40" s="234"/>
      <c r="P40" s="235"/>
      <c r="Q40" s="237"/>
      <c r="R40" s="275"/>
      <c r="S40" s="234"/>
      <c r="T40" s="235"/>
      <c r="U40" s="237"/>
      <c r="V40" s="275"/>
      <c r="W40" s="411"/>
      <c r="X40" s="233"/>
      <c r="Y40" s="233"/>
      <c r="Z40" s="233"/>
      <c r="AA40" s="233"/>
      <c r="AB40" s="233"/>
      <c r="AC40" s="233"/>
      <c r="AD40" s="233"/>
      <c r="AE40" s="239">
        <v>202</v>
      </c>
      <c r="AF40" s="280" t="s">
        <v>126</v>
      </c>
      <c r="AG40" s="280" t="s">
        <v>127</v>
      </c>
      <c r="AJ40" s="233"/>
    </row>
    <row r="41" spans="1:36" s="266" customFormat="1" ht="15" customHeight="1" outlineLevel="1">
      <c r="A41" s="270" t="str">
        <f>'Program Budget'!D40</f>
        <v>Cost of Living Adjustment for Ex-pat Chief of Party</v>
      </c>
      <c r="B41" s="293" t="str">
        <f>'Program Budget'!F40</f>
        <v>%</v>
      </c>
      <c r="C41" s="423">
        <f>F8</f>
        <v>29000</v>
      </c>
      <c r="D41" s="235">
        <v>1</v>
      </c>
      <c r="E41" s="236">
        <f>'Program Budget'!H40</f>
        <v>0.15</v>
      </c>
      <c r="F41" s="275">
        <f>C41*D41*E41</f>
        <v>4350</v>
      </c>
      <c r="G41" s="423">
        <f>J8</f>
        <v>7540</v>
      </c>
      <c r="H41" s="235">
        <v>1</v>
      </c>
      <c r="I41" s="237">
        <f>E41</f>
        <v>0.15</v>
      </c>
      <c r="J41" s="275">
        <f>G41*H41*I41</f>
        <v>1131</v>
      </c>
      <c r="K41" s="423">
        <f>N8</f>
        <v>7841.6000000000022</v>
      </c>
      <c r="L41" s="235">
        <v>1</v>
      </c>
      <c r="M41" s="236">
        <f>I41</f>
        <v>0.15</v>
      </c>
      <c r="N41" s="275">
        <f>K41*L41*M41</f>
        <v>1176.2400000000002</v>
      </c>
      <c r="O41" s="423">
        <f>R8</f>
        <v>8155.2640000000019</v>
      </c>
      <c r="P41" s="235">
        <v>1</v>
      </c>
      <c r="Q41" s="237">
        <f>M41</f>
        <v>0.15</v>
      </c>
      <c r="R41" s="275">
        <f>O41*P41*Q41</f>
        <v>1223.2896000000003</v>
      </c>
      <c r="S41" s="423">
        <f>V8</f>
        <v>8481.4745600000024</v>
      </c>
      <c r="T41" s="235">
        <v>1</v>
      </c>
      <c r="U41" s="237">
        <f>Q41</f>
        <v>0.15</v>
      </c>
      <c r="V41" s="275">
        <f>S41*T41*U41</f>
        <v>1272.2211840000002</v>
      </c>
      <c r="W41" s="411">
        <f t="shared" ref="W41" si="29">F41+J41+N41+R41+V41</f>
        <v>9152.7507839999998</v>
      </c>
      <c r="X41" s="233"/>
      <c r="Y41" s="233"/>
      <c r="Z41" s="233"/>
      <c r="AA41" s="233"/>
      <c r="AB41" s="233"/>
      <c r="AC41" s="233"/>
      <c r="AD41" s="233"/>
      <c r="AE41" s="239"/>
      <c r="AF41" s="284"/>
      <c r="AG41" s="284"/>
      <c r="AJ41" s="233"/>
    </row>
    <row r="42" spans="1:36" s="266" customFormat="1" ht="15" customHeight="1" outlineLevel="1">
      <c r="A42" s="270" t="str">
        <f>'Program Budget'!D41</f>
        <v>Post Hardship for Ex-pat Chief of Party</v>
      </c>
      <c r="B42" s="293" t="str">
        <f>'Program Budget'!F41</f>
        <v>%</v>
      </c>
      <c r="C42" s="423">
        <f>F7</f>
        <v>29000</v>
      </c>
      <c r="D42" s="235">
        <v>1</v>
      </c>
      <c r="E42" s="236">
        <f>'Program Budget'!H41</f>
        <v>0.35</v>
      </c>
      <c r="F42" s="275">
        <f t="shared" ref="F42:F48" si="30">C42*D42*E42</f>
        <v>10150</v>
      </c>
      <c r="G42" s="423">
        <f>J7</f>
        <v>7540</v>
      </c>
      <c r="H42" s="235">
        <v>1</v>
      </c>
      <c r="I42" s="237">
        <f t="shared" ref="I42:I48" si="31">E42</f>
        <v>0.35</v>
      </c>
      <c r="J42" s="275">
        <f t="shared" ref="J42:J48" si="32">G42*H42*I42</f>
        <v>2639</v>
      </c>
      <c r="K42" s="423">
        <f>N7</f>
        <v>7841.6000000000022</v>
      </c>
      <c r="L42" s="235">
        <v>1</v>
      </c>
      <c r="M42" s="236">
        <f t="shared" ref="M42:M48" si="33">I42</f>
        <v>0.35</v>
      </c>
      <c r="N42" s="275">
        <f t="shared" ref="N42:N48" si="34">K42*L42*M42</f>
        <v>2744.5600000000004</v>
      </c>
      <c r="O42" s="423">
        <f>R7</f>
        <v>8155.2640000000019</v>
      </c>
      <c r="P42" s="235">
        <v>1</v>
      </c>
      <c r="Q42" s="237">
        <f t="shared" ref="Q42:Q48" si="35">M42</f>
        <v>0.35</v>
      </c>
      <c r="R42" s="275">
        <f t="shared" ref="R42:R48" si="36">O42*P42*Q42</f>
        <v>2854.3424000000005</v>
      </c>
      <c r="S42" s="423">
        <f>V7</f>
        <v>8481.4745600000024</v>
      </c>
      <c r="T42" s="235">
        <v>1</v>
      </c>
      <c r="U42" s="237">
        <f t="shared" ref="U42:U48" si="37">Q42</f>
        <v>0.35</v>
      </c>
      <c r="V42" s="275">
        <f t="shared" ref="V42:V48" si="38">S42*T42*U42</f>
        <v>2968.5160960000007</v>
      </c>
      <c r="W42" s="411">
        <f t="shared" ref="W42:W48" si="39">F42+J42+N42+R42+V42</f>
        <v>21356.418496000002</v>
      </c>
      <c r="X42" s="233"/>
      <c r="Y42" s="233"/>
      <c r="Z42" s="233"/>
      <c r="AA42" s="233"/>
      <c r="AB42" s="233"/>
      <c r="AC42" s="233"/>
      <c r="AD42" s="233"/>
      <c r="AE42" s="239"/>
      <c r="AF42" s="284"/>
      <c r="AG42" s="284"/>
      <c r="AJ42" s="233"/>
    </row>
    <row r="43" spans="1:36" s="266" customFormat="1" ht="15" customHeight="1" outlineLevel="1">
      <c r="A43" s="270" t="str">
        <f>'Program Budget'!D42</f>
        <v>Housing Allowance for Chief of Party</v>
      </c>
      <c r="B43" s="293" t="str">
        <f>'Program Budget'!F42</f>
        <v>Month</v>
      </c>
      <c r="C43" s="423">
        <f>'Program Budget'!H42</f>
        <v>1600</v>
      </c>
      <c r="D43" s="235">
        <f>'Program Budget'!G42</f>
        <v>12</v>
      </c>
      <c r="E43" s="274">
        <v>1</v>
      </c>
      <c r="F43" s="275">
        <f t="shared" si="30"/>
        <v>19200</v>
      </c>
      <c r="G43" s="272">
        <f>C43*1.04</f>
        <v>1664</v>
      </c>
      <c r="H43" s="235">
        <f>'Program Budget'!K42</f>
        <v>12</v>
      </c>
      <c r="I43" s="237">
        <f t="shared" si="31"/>
        <v>1</v>
      </c>
      <c r="J43" s="275">
        <f t="shared" si="32"/>
        <v>19968</v>
      </c>
      <c r="K43" s="272">
        <f>G43*1.04</f>
        <v>1730.56</v>
      </c>
      <c r="L43" s="235">
        <f>'Program Budget'!N42</f>
        <v>12</v>
      </c>
      <c r="M43" s="236">
        <f t="shared" si="33"/>
        <v>1</v>
      </c>
      <c r="N43" s="275">
        <f t="shared" si="34"/>
        <v>20766.72</v>
      </c>
      <c r="O43" s="272">
        <f>K43*1.04</f>
        <v>1799.7824000000001</v>
      </c>
      <c r="P43" s="235">
        <f>'Program Budget'!Q42</f>
        <v>12</v>
      </c>
      <c r="Q43" s="237">
        <f t="shared" si="35"/>
        <v>1</v>
      </c>
      <c r="R43" s="275">
        <f t="shared" si="36"/>
        <v>21597.388800000001</v>
      </c>
      <c r="S43" s="272">
        <f>O43*1.04</f>
        <v>1871.7736960000002</v>
      </c>
      <c r="T43" s="235">
        <f>'Program Budget'!T42</f>
        <v>12</v>
      </c>
      <c r="U43" s="237">
        <f t="shared" si="37"/>
        <v>1</v>
      </c>
      <c r="V43" s="275">
        <f t="shared" si="38"/>
        <v>22461.284352000002</v>
      </c>
      <c r="W43" s="411">
        <f t="shared" si="39"/>
        <v>103993.393152</v>
      </c>
      <c r="X43" s="233"/>
      <c r="Y43" s="233"/>
      <c r="Z43" s="233"/>
      <c r="AA43" s="233"/>
      <c r="AB43" s="233"/>
      <c r="AC43" s="233"/>
      <c r="AD43" s="233"/>
      <c r="AE43" s="239"/>
      <c r="AF43" s="284"/>
      <c r="AG43" s="284"/>
      <c r="AJ43" s="233"/>
    </row>
    <row r="44" spans="1:36" s="266" customFormat="1" ht="15" customHeight="1" outlineLevel="1">
      <c r="A44" s="270" t="str">
        <f>'Program Budget'!D43</f>
        <v>Reallocation &amp; Demobilization Flight for Chief of Party and Spouse</v>
      </c>
      <c r="B44" s="293" t="str">
        <f>'Program Budget'!F43</f>
        <v>Trip</v>
      </c>
      <c r="C44" s="423">
        <f>'Program Budget'!H43</f>
        <v>1700</v>
      </c>
      <c r="D44" s="235">
        <f>'Program Budget'!G43</f>
        <v>2</v>
      </c>
      <c r="E44" s="274">
        <v>1</v>
      </c>
      <c r="F44" s="275">
        <f t="shared" si="30"/>
        <v>3400</v>
      </c>
      <c r="G44" s="272">
        <f t="shared" ref="G44:G48" si="40">C44*1.04</f>
        <v>1768</v>
      </c>
      <c r="H44" s="235">
        <f>'Program Budget'!K43</f>
        <v>0</v>
      </c>
      <c r="I44" s="237">
        <v>0</v>
      </c>
      <c r="J44" s="275">
        <f t="shared" si="32"/>
        <v>0</v>
      </c>
      <c r="K44" s="272">
        <f t="shared" ref="K44:K48" si="41">G44*1.04</f>
        <v>1838.72</v>
      </c>
      <c r="L44" s="235">
        <f>'Program Budget'!N43</f>
        <v>0</v>
      </c>
      <c r="M44" s="236">
        <v>0</v>
      </c>
      <c r="N44" s="275">
        <f t="shared" si="34"/>
        <v>0</v>
      </c>
      <c r="O44" s="272">
        <f t="shared" ref="O44:O48" si="42">K44*1.04</f>
        <v>1912.2688000000001</v>
      </c>
      <c r="P44" s="235">
        <f>'Program Budget'!Q43</f>
        <v>0</v>
      </c>
      <c r="Q44" s="237">
        <v>0</v>
      </c>
      <c r="R44" s="275">
        <f t="shared" si="36"/>
        <v>0</v>
      </c>
      <c r="S44" s="272">
        <f t="shared" ref="S44:S48" si="43">O44*1.04</f>
        <v>1988.7595520000002</v>
      </c>
      <c r="T44" s="235">
        <f>'Program Budget'!T43</f>
        <v>2</v>
      </c>
      <c r="U44" s="237">
        <v>1</v>
      </c>
      <c r="V44" s="275">
        <f t="shared" si="38"/>
        <v>3977.5191040000004</v>
      </c>
      <c r="W44" s="411">
        <f t="shared" si="39"/>
        <v>7377.5191040000009</v>
      </c>
      <c r="X44" s="233"/>
      <c r="Y44" s="233"/>
      <c r="Z44" s="233"/>
      <c r="AA44" s="233"/>
      <c r="AB44" s="233"/>
      <c r="AC44" s="233"/>
      <c r="AD44" s="233"/>
      <c r="AE44" s="239"/>
      <c r="AF44" s="284"/>
      <c r="AG44" s="284"/>
      <c r="AJ44" s="233"/>
    </row>
    <row r="45" spans="1:36" s="266" customFormat="1" ht="15" customHeight="1" outlineLevel="1">
      <c r="A45" s="270" t="str">
        <f>'Program Budget'!D44</f>
        <v>Reallocation &amp; Demobilization Extra Baggage for Chief of Party and Spouse</v>
      </c>
      <c r="B45" s="293" t="str">
        <f>'Program Budget'!F44</f>
        <v>Trip</v>
      </c>
      <c r="C45" s="423">
        <f>'Program Budget'!H44</f>
        <v>150</v>
      </c>
      <c r="D45" s="235">
        <f>'Program Budget'!G44</f>
        <v>2</v>
      </c>
      <c r="E45" s="274">
        <v>1</v>
      </c>
      <c r="F45" s="275">
        <f t="shared" ref="F45:F47" si="44">C45*D45*E45</f>
        <v>300</v>
      </c>
      <c r="G45" s="272">
        <f t="shared" ref="G45:G47" si="45">C45*1.04</f>
        <v>156</v>
      </c>
      <c r="H45" s="235">
        <f>'Program Budget'!K44</f>
        <v>0</v>
      </c>
      <c r="I45" s="237">
        <v>0</v>
      </c>
      <c r="J45" s="275">
        <f t="shared" ref="J45:J47" si="46">G45*H45*I45</f>
        <v>0</v>
      </c>
      <c r="K45" s="272">
        <f t="shared" ref="K45:K47" si="47">G45*1.04</f>
        <v>162.24</v>
      </c>
      <c r="L45" s="235">
        <f>'Program Budget'!N44</f>
        <v>0</v>
      </c>
      <c r="M45" s="236">
        <v>0</v>
      </c>
      <c r="N45" s="275">
        <f t="shared" ref="N45:N47" si="48">K45*L45*M45</f>
        <v>0</v>
      </c>
      <c r="O45" s="272">
        <f t="shared" ref="O45:O47" si="49">K45*1.04</f>
        <v>168.7296</v>
      </c>
      <c r="P45" s="235">
        <f>'Program Budget'!Q44</f>
        <v>0</v>
      </c>
      <c r="Q45" s="237">
        <v>0</v>
      </c>
      <c r="R45" s="275">
        <f t="shared" ref="R45:R47" si="50">O45*P45*Q45</f>
        <v>0</v>
      </c>
      <c r="S45" s="272">
        <f t="shared" ref="S45:S47" si="51">O45*1.04</f>
        <v>175.47878400000002</v>
      </c>
      <c r="T45" s="235">
        <f>'Program Budget'!T44</f>
        <v>2</v>
      </c>
      <c r="U45" s="237">
        <v>1</v>
      </c>
      <c r="V45" s="275">
        <f t="shared" ref="V45:V46" si="52">S45*T45*U45</f>
        <v>350.95756800000004</v>
      </c>
      <c r="W45" s="411">
        <f t="shared" ref="W45:W47" si="53">F45+J45+N45+R45+V45</f>
        <v>650.95756800000004</v>
      </c>
      <c r="X45" s="233"/>
      <c r="Y45" s="233"/>
      <c r="Z45" s="233"/>
      <c r="AA45" s="233"/>
      <c r="AB45" s="233"/>
      <c r="AC45" s="233"/>
      <c r="AD45" s="233"/>
      <c r="AE45" s="239"/>
      <c r="AF45" s="284"/>
      <c r="AG45" s="284"/>
      <c r="AJ45" s="233"/>
    </row>
    <row r="46" spans="1:36" s="266" customFormat="1" ht="15" customHeight="1" outlineLevel="1">
      <c r="A46" s="270" t="str">
        <f>'Program Budget'!D45</f>
        <v>Reallocation &amp; Demobilization - Shipment of Households Good (by Land &amp; Sea)</v>
      </c>
      <c r="B46" s="293" t="str">
        <f>'Program Budget'!F45</f>
        <v>Year</v>
      </c>
      <c r="C46" s="423">
        <f>'Program Budget'!H45</f>
        <v>21382</v>
      </c>
      <c r="D46" s="235">
        <f>'Program Budget'!G45</f>
        <v>1</v>
      </c>
      <c r="E46" s="274">
        <v>1</v>
      </c>
      <c r="F46" s="275">
        <f t="shared" si="44"/>
        <v>21382</v>
      </c>
      <c r="G46" s="272">
        <f t="shared" si="45"/>
        <v>22237.280000000002</v>
      </c>
      <c r="H46" s="235">
        <f>'Program Budget'!K45</f>
        <v>0</v>
      </c>
      <c r="I46" s="237">
        <v>0</v>
      </c>
      <c r="J46" s="275">
        <f t="shared" si="46"/>
        <v>0</v>
      </c>
      <c r="K46" s="272">
        <f t="shared" si="47"/>
        <v>23126.771200000003</v>
      </c>
      <c r="L46" s="235">
        <f>'Program Budget'!N45</f>
        <v>0</v>
      </c>
      <c r="M46" s="236">
        <v>0</v>
      </c>
      <c r="N46" s="275">
        <f t="shared" si="48"/>
        <v>0</v>
      </c>
      <c r="O46" s="272">
        <f t="shared" si="49"/>
        <v>24051.842048000002</v>
      </c>
      <c r="P46" s="235">
        <f>'Program Budget'!Q45</f>
        <v>0</v>
      </c>
      <c r="Q46" s="237">
        <v>0</v>
      </c>
      <c r="R46" s="275">
        <f t="shared" si="50"/>
        <v>0</v>
      </c>
      <c r="S46" s="272">
        <f t="shared" si="51"/>
        <v>25013.915729920001</v>
      </c>
      <c r="T46" s="235">
        <f>'Program Budget'!T45</f>
        <v>1</v>
      </c>
      <c r="U46" s="237">
        <v>1</v>
      </c>
      <c r="V46" s="275">
        <f t="shared" si="52"/>
        <v>25013.915729920001</v>
      </c>
      <c r="W46" s="411">
        <f t="shared" si="53"/>
        <v>46395.915729920001</v>
      </c>
      <c r="X46" s="233"/>
      <c r="Y46" s="233"/>
      <c r="Z46" s="233"/>
      <c r="AA46" s="233"/>
      <c r="AB46" s="233"/>
      <c r="AC46" s="233"/>
      <c r="AD46" s="233"/>
      <c r="AE46" s="239"/>
      <c r="AF46" s="284"/>
      <c r="AG46" s="284"/>
      <c r="AJ46" s="233"/>
    </row>
    <row r="47" spans="1:36" ht="15" customHeight="1">
      <c r="A47" s="270" t="str">
        <f>'Program Budget'!D46</f>
        <v>Reallocation &amp; Demobilization - Customs 20% and Taxes 3%</v>
      </c>
      <c r="B47" s="293" t="str">
        <f>'Program Budget'!F46</f>
        <v>Year</v>
      </c>
      <c r="C47" s="423">
        <f>'Program Budget'!H46</f>
        <v>4917.8600000000006</v>
      </c>
      <c r="D47" s="235">
        <f>'Program Budget'!G46</f>
        <v>1</v>
      </c>
      <c r="E47" s="274">
        <v>1</v>
      </c>
      <c r="F47" s="275">
        <f t="shared" si="44"/>
        <v>4917.8600000000006</v>
      </c>
      <c r="G47" s="272">
        <f t="shared" si="45"/>
        <v>5114.5744000000004</v>
      </c>
      <c r="H47" s="235">
        <f>'Program Budget'!K46</f>
        <v>0</v>
      </c>
      <c r="I47" s="237">
        <v>0</v>
      </c>
      <c r="J47" s="275">
        <f t="shared" si="46"/>
        <v>0</v>
      </c>
      <c r="K47" s="272">
        <f t="shared" si="47"/>
        <v>5319.157376000001</v>
      </c>
      <c r="L47" s="235">
        <f>'Program Budget'!N46</f>
        <v>0</v>
      </c>
      <c r="M47" s="236">
        <v>0</v>
      </c>
      <c r="N47" s="275">
        <f t="shared" si="48"/>
        <v>0</v>
      </c>
      <c r="O47" s="272">
        <f t="shared" si="49"/>
        <v>5531.923671040001</v>
      </c>
      <c r="P47" s="235">
        <f>'Program Budget'!Q46</f>
        <v>0</v>
      </c>
      <c r="Q47" s="237">
        <v>0</v>
      </c>
      <c r="R47" s="275">
        <f t="shared" si="50"/>
        <v>0</v>
      </c>
      <c r="S47" s="272">
        <f t="shared" si="51"/>
        <v>5753.2006178816009</v>
      </c>
      <c r="T47" s="235">
        <f>'Program Budget'!T46</f>
        <v>1</v>
      </c>
      <c r="U47" s="237">
        <v>1</v>
      </c>
      <c r="V47" s="275">
        <f>ROUNDUP(S47*T47*U47,0)</f>
        <v>5754</v>
      </c>
      <c r="W47" s="411">
        <f t="shared" si="53"/>
        <v>10671.86</v>
      </c>
    </row>
    <row r="48" spans="1:36" s="266" customFormat="1" ht="15" customHeight="1" outlineLevel="1">
      <c r="A48" s="270" t="str">
        <f>'Program Budget'!D47</f>
        <v>Annual Home of Record &amp; R&amp;R for Chief of Party</v>
      </c>
      <c r="B48" s="293" t="str">
        <f>'Program Budget'!F47</f>
        <v>Trip</v>
      </c>
      <c r="C48" s="423">
        <f>'Program Budget'!H47</f>
        <v>1700</v>
      </c>
      <c r="D48" s="235">
        <f>'Program Budget'!G47</f>
        <v>0</v>
      </c>
      <c r="E48" s="274">
        <v>1</v>
      </c>
      <c r="F48" s="275">
        <f t="shared" si="30"/>
        <v>0</v>
      </c>
      <c r="G48" s="272">
        <f t="shared" si="40"/>
        <v>1768</v>
      </c>
      <c r="H48" s="235">
        <f>'Program Budget'!K47</f>
        <v>1</v>
      </c>
      <c r="I48" s="237">
        <f t="shared" si="31"/>
        <v>1</v>
      </c>
      <c r="J48" s="275">
        <f t="shared" si="32"/>
        <v>1768</v>
      </c>
      <c r="K48" s="272">
        <f t="shared" si="41"/>
        <v>1838.72</v>
      </c>
      <c r="L48" s="235">
        <f>'Program Budget'!N47</f>
        <v>1</v>
      </c>
      <c r="M48" s="236">
        <f t="shared" si="33"/>
        <v>1</v>
      </c>
      <c r="N48" s="275">
        <f t="shared" si="34"/>
        <v>1838.72</v>
      </c>
      <c r="O48" s="272">
        <f t="shared" si="42"/>
        <v>1912.2688000000001</v>
      </c>
      <c r="P48" s="235">
        <f>'Program Budget'!Q47</f>
        <v>1</v>
      </c>
      <c r="Q48" s="237">
        <f t="shared" si="35"/>
        <v>1</v>
      </c>
      <c r="R48" s="275">
        <f t="shared" si="36"/>
        <v>1912.2688000000001</v>
      </c>
      <c r="S48" s="272">
        <f t="shared" si="43"/>
        <v>1988.7595520000002</v>
      </c>
      <c r="T48" s="235">
        <f>'Program Budget'!T47</f>
        <v>1</v>
      </c>
      <c r="U48" s="237">
        <f t="shared" si="37"/>
        <v>1</v>
      </c>
      <c r="V48" s="275">
        <f t="shared" si="38"/>
        <v>1988.7595520000002</v>
      </c>
      <c r="W48" s="415">
        <f t="shared" si="39"/>
        <v>7507.7483520000005</v>
      </c>
      <c r="X48" s="233"/>
      <c r="Y48" s="233"/>
      <c r="Z48" s="233"/>
      <c r="AA48" s="233"/>
      <c r="AB48" s="233"/>
      <c r="AC48" s="233"/>
      <c r="AD48" s="233"/>
      <c r="AE48" s="239"/>
      <c r="AF48" s="284"/>
      <c r="AG48" s="284"/>
      <c r="AJ48" s="233"/>
    </row>
    <row r="49" spans="1:36" ht="15" customHeight="1" outlineLevel="1">
      <c r="A49" s="285" t="s">
        <v>87</v>
      </c>
      <c r="B49" s="286"/>
      <c r="C49" s="287"/>
      <c r="D49" s="288"/>
      <c r="E49" s="289"/>
      <c r="F49" s="290">
        <f>SUM(F40:F48)</f>
        <v>63699.86</v>
      </c>
      <c r="G49" s="287"/>
      <c r="H49" s="288"/>
      <c r="I49" s="291"/>
      <c r="J49" s="290">
        <f>SUM(J40:J48)</f>
        <v>25506</v>
      </c>
      <c r="K49" s="287"/>
      <c r="L49" s="288"/>
      <c r="M49" s="289"/>
      <c r="N49" s="290">
        <f>SUM(N40:N48)</f>
        <v>26526.240000000002</v>
      </c>
      <c r="O49" s="287"/>
      <c r="P49" s="288"/>
      <c r="Q49" s="291"/>
      <c r="R49" s="290">
        <f>SUM(R40:R48)</f>
        <v>27587.289600000004</v>
      </c>
      <c r="S49" s="287"/>
      <c r="T49" s="288"/>
      <c r="U49" s="291"/>
      <c r="V49" s="290">
        <f>SUM(V40:V48)</f>
        <v>63787.173585920013</v>
      </c>
      <c r="W49" s="412">
        <f>F49+J49+N49+R49+V49</f>
        <v>207106.56318592001</v>
      </c>
      <c r="AE49" s="239"/>
      <c r="AF49" s="280"/>
      <c r="AG49" s="280"/>
    </row>
    <row r="50" spans="1:36" ht="15" customHeight="1" outlineLevel="1">
      <c r="A50" s="424"/>
      <c r="B50" s="318"/>
      <c r="C50" s="425"/>
      <c r="D50" s="426"/>
      <c r="E50" s="321"/>
      <c r="F50" s="427"/>
      <c r="G50" s="425"/>
      <c r="H50" s="426"/>
      <c r="I50" s="393"/>
      <c r="J50" s="427"/>
      <c r="K50" s="425"/>
      <c r="L50" s="426"/>
      <c r="M50" s="321"/>
      <c r="N50" s="427"/>
      <c r="O50" s="425"/>
      <c r="P50" s="426"/>
      <c r="Q50" s="393"/>
      <c r="R50" s="427"/>
      <c r="S50" s="425"/>
      <c r="T50" s="426"/>
      <c r="U50" s="393"/>
      <c r="V50" s="427"/>
      <c r="W50" s="412"/>
      <c r="AE50" s="239"/>
      <c r="AF50" s="280"/>
      <c r="AG50" s="280"/>
    </row>
    <row r="51" spans="1:36" s="335" customFormat="1" ht="18.3" outlineLevel="1">
      <c r="A51" s="326" t="s">
        <v>88</v>
      </c>
      <c r="B51" s="327"/>
      <c r="C51" s="328"/>
      <c r="D51" s="329"/>
      <c r="E51" s="330"/>
      <c r="F51" s="331">
        <f>F49+F38</f>
        <v>115279.32666666666</v>
      </c>
      <c r="G51" s="328"/>
      <c r="H51" s="329"/>
      <c r="I51" s="332"/>
      <c r="J51" s="331">
        <f>J49+J38</f>
        <v>60830.551599999999</v>
      </c>
      <c r="K51" s="328"/>
      <c r="L51" s="329"/>
      <c r="M51" s="330"/>
      <c r="N51" s="331">
        <f>N49+N38</f>
        <v>62754.231904</v>
      </c>
      <c r="O51" s="328"/>
      <c r="P51" s="329"/>
      <c r="Q51" s="332"/>
      <c r="R51" s="331">
        <f>R49+R38</f>
        <v>65264.401180160006</v>
      </c>
      <c r="S51" s="328"/>
      <c r="T51" s="329"/>
      <c r="U51" s="332"/>
      <c r="V51" s="331">
        <f>V49+V38</f>
        <v>102277.22040436056</v>
      </c>
      <c r="W51" s="414">
        <f>+F51+J51+N51+R51+V51</f>
        <v>406405.73175518721</v>
      </c>
      <c r="X51" s="312"/>
      <c r="Y51" s="312"/>
      <c r="Z51" s="312"/>
      <c r="AA51" s="312"/>
      <c r="AB51" s="312"/>
      <c r="AC51" s="312"/>
      <c r="AD51" s="312"/>
      <c r="AE51" s="311">
        <v>287</v>
      </c>
      <c r="AF51" s="333" t="s">
        <v>128</v>
      </c>
      <c r="AG51" s="333" t="s">
        <v>129</v>
      </c>
      <c r="AH51" s="334"/>
      <c r="AJ51" s="312"/>
    </row>
    <row r="52" spans="1:36" s="337" customFormat="1" ht="15.6" outlineLevel="1">
      <c r="A52" s="267" t="s">
        <v>89</v>
      </c>
      <c r="B52" s="268"/>
      <c r="C52" s="234"/>
      <c r="D52" s="235"/>
      <c r="E52" s="260"/>
      <c r="F52" s="275"/>
      <c r="G52" s="234"/>
      <c r="H52" s="235"/>
      <c r="I52" s="262"/>
      <c r="J52" s="275"/>
      <c r="K52" s="234"/>
      <c r="L52" s="235"/>
      <c r="M52" s="260"/>
      <c r="N52" s="275"/>
      <c r="O52" s="234"/>
      <c r="P52" s="235"/>
      <c r="Q52" s="262"/>
      <c r="R52" s="275"/>
      <c r="S52" s="234"/>
      <c r="T52" s="235"/>
      <c r="U52" s="262"/>
      <c r="V52" s="275"/>
      <c r="W52" s="411"/>
      <c r="X52" s="233"/>
      <c r="Y52" s="233"/>
      <c r="Z52" s="233"/>
      <c r="AA52" s="233"/>
      <c r="AB52" s="233"/>
      <c r="AC52" s="233"/>
      <c r="AD52" s="233"/>
      <c r="AE52" s="239"/>
      <c r="AF52" s="280"/>
      <c r="AG52" s="280" t="s">
        <v>119</v>
      </c>
      <c r="AH52" s="336"/>
      <c r="AJ52" s="233"/>
    </row>
    <row r="53" spans="1:36" ht="15" customHeight="1" outlineLevel="1">
      <c r="A53" s="270" t="str">
        <f>'Program Budget'!D53</f>
        <v>Airfare - DC-Mauritania - HQ Project Management Trip</v>
      </c>
      <c r="B53" s="271" t="str">
        <f>'Program Budget'!F53</f>
        <v>Trip</v>
      </c>
      <c r="C53" s="272">
        <f>'Program Budget'!H53</f>
        <v>1700</v>
      </c>
      <c r="D53" s="273">
        <f>'Program Budget'!G53</f>
        <v>4</v>
      </c>
      <c r="E53" s="274">
        <v>1</v>
      </c>
      <c r="F53" s="275">
        <f>C53*D53*E53</f>
        <v>6800</v>
      </c>
      <c r="G53" s="272">
        <f>C53*1.04</f>
        <v>1768</v>
      </c>
      <c r="H53" s="273">
        <f>'Program Budget'!K53</f>
        <v>4</v>
      </c>
      <c r="I53" s="274">
        <v>1</v>
      </c>
      <c r="J53" s="275">
        <f>G53*H53*I53</f>
        <v>7072</v>
      </c>
      <c r="K53" s="272">
        <f>G53*1.04</f>
        <v>1838.72</v>
      </c>
      <c r="L53" s="273">
        <f>'Program Budget'!N53</f>
        <v>4</v>
      </c>
      <c r="M53" s="274">
        <v>1</v>
      </c>
      <c r="N53" s="275">
        <f>K53*L53*M53</f>
        <v>7354.88</v>
      </c>
      <c r="O53" s="272">
        <f>K53*1.04</f>
        <v>1912.2688000000001</v>
      </c>
      <c r="P53" s="273">
        <f>'Program Budget'!Q53</f>
        <v>4</v>
      </c>
      <c r="Q53" s="274">
        <v>1</v>
      </c>
      <c r="R53" s="275">
        <f>O53*P53*Q53</f>
        <v>7649.0752000000002</v>
      </c>
      <c r="S53" s="272">
        <f>O53*1.04</f>
        <v>1988.7595520000002</v>
      </c>
      <c r="T53" s="273">
        <f>'Program Budget'!T53</f>
        <v>4</v>
      </c>
      <c r="U53" s="274">
        <v>1</v>
      </c>
      <c r="V53" s="275">
        <f>S53*T53*U53</f>
        <v>7955.0382080000009</v>
      </c>
      <c r="W53" s="411">
        <f>F53+J53+N53+R53+V53</f>
        <v>36830.993408000002</v>
      </c>
      <c r="X53" s="278"/>
      <c r="Y53" s="265"/>
      <c r="Z53" s="279"/>
      <c r="AA53" s="279"/>
      <c r="AE53" s="239">
        <v>180</v>
      </c>
      <c r="AF53" s="280" t="s">
        <v>117</v>
      </c>
      <c r="AG53" s="280" t="s">
        <v>118</v>
      </c>
      <c r="AH53" s="281"/>
      <c r="AJ53" s="282"/>
    </row>
    <row r="54" spans="1:36" ht="15" customHeight="1" outlineLevel="1">
      <c r="A54" s="270" t="str">
        <f>'Program Budget'!D58</f>
        <v>Airfare - Roundtrip - Mauritania to USA</v>
      </c>
      <c r="B54" s="271" t="str">
        <f>'Program Budget'!F58</f>
        <v>Trip</v>
      </c>
      <c r="C54" s="272">
        <f>'Program Budget'!H58</f>
        <v>1700</v>
      </c>
      <c r="D54" s="273">
        <f>'Program Budget'!G58</f>
        <v>3</v>
      </c>
      <c r="E54" s="274">
        <v>1</v>
      </c>
      <c r="F54" s="275">
        <f>C54*D54*E54</f>
        <v>5100</v>
      </c>
      <c r="G54" s="272">
        <f t="shared" ref="G54:G66" si="54">C54*1.04</f>
        <v>1768</v>
      </c>
      <c r="H54" s="273">
        <f>'Program Budget'!K58</f>
        <v>3</v>
      </c>
      <c r="I54" s="274">
        <v>1</v>
      </c>
      <c r="J54" s="275">
        <f>G54*H54*I54</f>
        <v>5304</v>
      </c>
      <c r="K54" s="272">
        <f t="shared" ref="K54:K66" si="55">G54*1.04</f>
        <v>1838.72</v>
      </c>
      <c r="L54" s="273">
        <f>'Program Budget'!N58</f>
        <v>3</v>
      </c>
      <c r="M54" s="274">
        <v>1</v>
      </c>
      <c r="N54" s="275">
        <f>K54*L54*M54</f>
        <v>5516.16</v>
      </c>
      <c r="O54" s="272">
        <f t="shared" ref="O54:O66" si="56">K54*1.04</f>
        <v>1912.2688000000001</v>
      </c>
      <c r="P54" s="273">
        <f>'Program Budget'!Q58</f>
        <v>3</v>
      </c>
      <c r="Q54" s="274">
        <v>1</v>
      </c>
      <c r="R54" s="275">
        <f>O54*P54*Q54</f>
        <v>5736.8064000000004</v>
      </c>
      <c r="S54" s="272">
        <f t="shared" ref="S54:S66" si="57">O54*1.04</f>
        <v>1988.7595520000002</v>
      </c>
      <c r="T54" s="273">
        <f>'Program Budget'!T58</f>
        <v>3</v>
      </c>
      <c r="U54" s="274">
        <v>1</v>
      </c>
      <c r="V54" s="275">
        <f>S54*T54*U54</f>
        <v>5966.2786560000004</v>
      </c>
      <c r="W54" s="411">
        <f>F54+J54+N54+R54+V54</f>
        <v>27623.245056</v>
      </c>
      <c r="X54" s="278"/>
      <c r="Y54" s="265"/>
      <c r="Z54" s="279"/>
      <c r="AA54" s="279"/>
      <c r="AE54" s="239">
        <v>180</v>
      </c>
      <c r="AF54" s="280" t="s">
        <v>117</v>
      </c>
      <c r="AG54" s="280" t="s">
        <v>118</v>
      </c>
      <c r="AH54" s="281"/>
      <c r="AJ54" s="282"/>
    </row>
    <row r="55" spans="1:36" s="337" customFormat="1" ht="15.6" outlineLevel="1">
      <c r="A55" s="267" t="s">
        <v>90</v>
      </c>
      <c r="B55" s="268"/>
      <c r="C55" s="234"/>
      <c r="D55" s="235"/>
      <c r="E55" s="260"/>
      <c r="F55" s="275"/>
      <c r="G55" s="272"/>
      <c r="H55" s="235"/>
      <c r="I55" s="262"/>
      <c r="J55" s="275"/>
      <c r="K55" s="272"/>
      <c r="L55" s="235"/>
      <c r="M55" s="260"/>
      <c r="N55" s="275"/>
      <c r="O55" s="272"/>
      <c r="P55" s="235"/>
      <c r="Q55" s="262"/>
      <c r="R55" s="275"/>
      <c r="S55" s="272"/>
      <c r="T55" s="235"/>
      <c r="U55" s="262"/>
      <c r="V55" s="275"/>
      <c r="W55" s="411"/>
      <c r="X55" s="233"/>
      <c r="Y55" s="233"/>
      <c r="Z55" s="233"/>
      <c r="AA55" s="233"/>
      <c r="AB55" s="233"/>
      <c r="AC55" s="233"/>
      <c r="AD55" s="233"/>
      <c r="AE55" s="239"/>
      <c r="AF55" s="280"/>
      <c r="AG55" s="280"/>
      <c r="AH55" s="336"/>
      <c r="AJ55" s="233"/>
    </row>
    <row r="56" spans="1:36" ht="15" customHeight="1" outlineLevel="1">
      <c r="A56" s="270" t="str">
        <f>'Program Budget'!D55</f>
        <v>Local Transportation – HQ Project Management Trip</v>
      </c>
      <c r="B56" s="271" t="str">
        <f>'Program Budget'!F55</f>
        <v>Trip</v>
      </c>
      <c r="C56" s="272">
        <f>'Program Budget'!H55</f>
        <v>250</v>
      </c>
      <c r="D56" s="273">
        <f>'Program Budget'!G55</f>
        <v>4</v>
      </c>
      <c r="E56" s="274">
        <v>1</v>
      </c>
      <c r="F56" s="275">
        <f>C56*D56*E56</f>
        <v>1000</v>
      </c>
      <c r="G56" s="272">
        <f t="shared" si="54"/>
        <v>260</v>
      </c>
      <c r="H56" s="273">
        <f>'Program Budget'!K55</f>
        <v>4</v>
      </c>
      <c r="I56" s="274">
        <v>1</v>
      </c>
      <c r="J56" s="275">
        <f>G56*H56*I56</f>
        <v>1040</v>
      </c>
      <c r="K56" s="272">
        <f t="shared" si="55"/>
        <v>270.40000000000003</v>
      </c>
      <c r="L56" s="273">
        <f>'Program Budget'!N55</f>
        <v>4</v>
      </c>
      <c r="M56" s="274">
        <v>1</v>
      </c>
      <c r="N56" s="275">
        <f>K56*L56*M56</f>
        <v>1081.6000000000001</v>
      </c>
      <c r="O56" s="272">
        <f t="shared" si="56"/>
        <v>281.21600000000007</v>
      </c>
      <c r="P56" s="273">
        <f>'Program Budget'!Q55</f>
        <v>4</v>
      </c>
      <c r="Q56" s="274">
        <v>1</v>
      </c>
      <c r="R56" s="275">
        <f>O56*P56*Q56</f>
        <v>1124.8640000000003</v>
      </c>
      <c r="S56" s="272">
        <f t="shared" si="57"/>
        <v>292.46464000000009</v>
      </c>
      <c r="T56" s="273">
        <f>'Program Budget'!T55</f>
        <v>4</v>
      </c>
      <c r="U56" s="274">
        <v>1</v>
      </c>
      <c r="V56" s="275">
        <f>S56*T56*U56</f>
        <v>1169.8585600000004</v>
      </c>
      <c r="W56" s="411">
        <f>F56+J56+N56+R56+V56</f>
        <v>5416.3225600000014</v>
      </c>
      <c r="X56" s="278"/>
      <c r="Y56" s="265"/>
      <c r="Z56" s="279"/>
      <c r="AA56" s="279"/>
      <c r="AE56" s="239">
        <v>180</v>
      </c>
      <c r="AF56" s="280" t="s">
        <v>117</v>
      </c>
      <c r="AG56" s="280" t="s">
        <v>118</v>
      </c>
      <c r="AH56" s="281"/>
      <c r="AJ56" s="282"/>
    </row>
    <row r="57" spans="1:36" ht="15" customHeight="1" outlineLevel="1">
      <c r="A57" s="270" t="str">
        <f>'Program Budget'!D60</f>
        <v>Local Transportation for Mauritania Staff Travel</v>
      </c>
      <c r="B57" s="271" t="str">
        <f>'Program Budget'!F64</f>
        <v>Trip</v>
      </c>
      <c r="C57" s="272">
        <f>'Program Budget'!H60</f>
        <v>250</v>
      </c>
      <c r="D57" s="273">
        <f>'Program Budget'!G60</f>
        <v>3</v>
      </c>
      <c r="E57" s="274">
        <v>1</v>
      </c>
      <c r="F57" s="275">
        <f>C57*D57*E57</f>
        <v>750</v>
      </c>
      <c r="G57" s="272">
        <f t="shared" si="54"/>
        <v>260</v>
      </c>
      <c r="H57" s="273">
        <f>'Program Budget'!K60</f>
        <v>3</v>
      </c>
      <c r="I57" s="274">
        <v>1</v>
      </c>
      <c r="J57" s="275">
        <f>G57*H57*I57</f>
        <v>780</v>
      </c>
      <c r="K57" s="272">
        <f t="shared" si="55"/>
        <v>270.40000000000003</v>
      </c>
      <c r="L57" s="273">
        <f>'Program Budget'!N60</f>
        <v>3</v>
      </c>
      <c r="M57" s="274">
        <v>1</v>
      </c>
      <c r="N57" s="275">
        <f>K57*L57*M57</f>
        <v>811.2</v>
      </c>
      <c r="O57" s="272">
        <f t="shared" si="56"/>
        <v>281.21600000000007</v>
      </c>
      <c r="P57" s="273">
        <f>'Program Budget'!Q60</f>
        <v>3</v>
      </c>
      <c r="Q57" s="274">
        <v>1</v>
      </c>
      <c r="R57" s="275">
        <f>O57*P57*Q57</f>
        <v>843.64800000000014</v>
      </c>
      <c r="S57" s="272">
        <f t="shared" si="57"/>
        <v>292.46464000000009</v>
      </c>
      <c r="T57" s="273">
        <f>'Program Budget'!T60</f>
        <v>3</v>
      </c>
      <c r="U57" s="274">
        <v>1</v>
      </c>
      <c r="V57" s="275">
        <f>S57*T57*U57</f>
        <v>877.39392000000021</v>
      </c>
      <c r="W57" s="411">
        <f>F57+J57+N57+R57+V57</f>
        <v>4062.2419200000004</v>
      </c>
      <c r="X57" s="278"/>
      <c r="Y57" s="265"/>
      <c r="Z57" s="279"/>
      <c r="AA57" s="279"/>
      <c r="AE57" s="239">
        <v>180</v>
      </c>
      <c r="AF57" s="280" t="s">
        <v>117</v>
      </c>
      <c r="AG57" s="280" t="s">
        <v>118</v>
      </c>
      <c r="AH57" s="281"/>
      <c r="AJ57" s="282"/>
    </row>
    <row r="58" spans="1:36" ht="15" customHeight="1" outlineLevel="1">
      <c r="A58" s="270" t="str">
        <f>'Program Budget'!D64</f>
        <v>Local Transportation – Training, M&amp;E, &amp; Data Collection</v>
      </c>
      <c r="B58" s="271" t="str">
        <f>'Program Budget'!F64</f>
        <v>Trip</v>
      </c>
      <c r="C58" s="272">
        <f>'Program Budget'!H64</f>
        <v>100</v>
      </c>
      <c r="D58" s="273">
        <f>'Program Budget'!G64</f>
        <v>36</v>
      </c>
      <c r="E58" s="274">
        <v>1</v>
      </c>
      <c r="F58" s="275">
        <f>C58*D58*E58</f>
        <v>3600</v>
      </c>
      <c r="G58" s="272">
        <f t="shared" si="54"/>
        <v>104</v>
      </c>
      <c r="H58" s="273">
        <f>'Program Budget'!K64</f>
        <v>36</v>
      </c>
      <c r="I58" s="274">
        <v>1</v>
      </c>
      <c r="J58" s="275">
        <f>G58*H58*I58</f>
        <v>3744</v>
      </c>
      <c r="K58" s="272">
        <f t="shared" si="55"/>
        <v>108.16</v>
      </c>
      <c r="L58" s="273">
        <f>'Program Budget'!N64</f>
        <v>36</v>
      </c>
      <c r="M58" s="274">
        <v>1</v>
      </c>
      <c r="N58" s="275">
        <f>K58*L58*M58</f>
        <v>3893.7599999999998</v>
      </c>
      <c r="O58" s="272">
        <f t="shared" si="56"/>
        <v>112.4864</v>
      </c>
      <c r="P58" s="273">
        <f>'Program Budget'!Q64</f>
        <v>36</v>
      </c>
      <c r="Q58" s="274">
        <v>1</v>
      </c>
      <c r="R58" s="275">
        <f>O58*P58*Q58</f>
        <v>4049.5104000000001</v>
      </c>
      <c r="S58" s="272">
        <f t="shared" si="57"/>
        <v>116.98585600000001</v>
      </c>
      <c r="T58" s="273">
        <f>'Program Budget'!T64</f>
        <v>36</v>
      </c>
      <c r="U58" s="274">
        <v>1</v>
      </c>
      <c r="V58" s="275">
        <f>S58*T58*U58</f>
        <v>4211.4908160000005</v>
      </c>
      <c r="W58" s="411">
        <f>F58+J58+N58+R58+V58</f>
        <v>19498.761216000003</v>
      </c>
      <c r="X58" s="278"/>
      <c r="Y58" s="265"/>
      <c r="Z58" s="279"/>
      <c r="AA58" s="279"/>
      <c r="AE58" s="239">
        <v>180</v>
      </c>
      <c r="AF58" s="280" t="s">
        <v>117</v>
      </c>
      <c r="AG58" s="280" t="s">
        <v>118</v>
      </c>
      <c r="AH58" s="281"/>
      <c r="AJ58" s="282"/>
    </row>
    <row r="59" spans="1:36" s="337" customFormat="1" ht="15.6" outlineLevel="1">
      <c r="A59" s="267" t="s">
        <v>91</v>
      </c>
      <c r="B59" s="293"/>
      <c r="C59" s="234"/>
      <c r="D59" s="235"/>
      <c r="E59" s="236"/>
      <c r="F59" s="275"/>
      <c r="G59" s="272"/>
      <c r="H59" s="235"/>
      <c r="I59" s="237"/>
      <c r="J59" s="275"/>
      <c r="K59" s="272"/>
      <c r="L59" s="235"/>
      <c r="M59" s="236"/>
      <c r="N59" s="275"/>
      <c r="O59" s="272"/>
      <c r="P59" s="235"/>
      <c r="Q59" s="237"/>
      <c r="R59" s="275"/>
      <c r="S59" s="272"/>
      <c r="T59" s="235"/>
      <c r="U59" s="237"/>
      <c r="V59" s="275"/>
      <c r="W59" s="411"/>
      <c r="X59" s="233"/>
      <c r="Y59" s="233"/>
      <c r="Z59" s="233"/>
      <c r="AA59" s="233"/>
      <c r="AB59" s="233"/>
      <c r="AC59" s="233"/>
      <c r="AD59" s="233"/>
      <c r="AE59" s="239"/>
      <c r="AF59" s="280"/>
      <c r="AG59" s="280"/>
      <c r="AH59" s="336"/>
      <c r="AJ59" s="233"/>
    </row>
    <row r="60" spans="1:36" ht="15" customHeight="1" outlineLevel="1">
      <c r="A60" s="270" t="str">
        <f>'Program Budget'!D63</f>
        <v>Motorcycle and Vehicle Fuel Expense</v>
      </c>
      <c r="B60" s="271" t="str">
        <f>'Program Budget'!F63</f>
        <v>Month</v>
      </c>
      <c r="C60" s="272">
        <f>'Program Budget'!H63</f>
        <v>150</v>
      </c>
      <c r="D60" s="273">
        <f>'Program Budget'!G63</f>
        <v>3</v>
      </c>
      <c r="E60" s="274">
        <v>1</v>
      </c>
      <c r="F60" s="275">
        <f>C60*D60*E60</f>
        <v>450</v>
      </c>
      <c r="G60" s="272">
        <f t="shared" si="54"/>
        <v>156</v>
      </c>
      <c r="H60" s="273">
        <f>'Program Budget'!K63</f>
        <v>12</v>
      </c>
      <c r="I60" s="274">
        <v>1</v>
      </c>
      <c r="J60" s="275">
        <f>G60*H60*I60</f>
        <v>1872</v>
      </c>
      <c r="K60" s="272">
        <f t="shared" si="55"/>
        <v>162.24</v>
      </c>
      <c r="L60" s="273">
        <f>'Program Budget'!N63</f>
        <v>12</v>
      </c>
      <c r="M60" s="274">
        <v>1</v>
      </c>
      <c r="N60" s="275">
        <f>K60*L60*M60</f>
        <v>1946.88</v>
      </c>
      <c r="O60" s="272">
        <f t="shared" si="56"/>
        <v>168.7296</v>
      </c>
      <c r="P60" s="273">
        <f>'Program Budget'!Q63</f>
        <v>12</v>
      </c>
      <c r="Q60" s="274">
        <v>1</v>
      </c>
      <c r="R60" s="275">
        <f>O60*P60*Q60</f>
        <v>2024.7552000000001</v>
      </c>
      <c r="S60" s="272">
        <f t="shared" si="57"/>
        <v>175.47878400000002</v>
      </c>
      <c r="T60" s="273">
        <f>'Program Budget'!T63</f>
        <v>7</v>
      </c>
      <c r="U60" s="274">
        <v>1</v>
      </c>
      <c r="V60" s="275">
        <f>S60*T60*U60</f>
        <v>1228.3514880000002</v>
      </c>
      <c r="W60" s="411">
        <f>F60+J60+N60+R60+V60</f>
        <v>7521.9866880000009</v>
      </c>
      <c r="X60" s="278"/>
      <c r="Y60" s="265"/>
      <c r="Z60" s="279"/>
      <c r="AA60" s="279"/>
      <c r="AE60" s="239">
        <v>180</v>
      </c>
      <c r="AF60" s="280" t="s">
        <v>117</v>
      </c>
      <c r="AG60" s="280" t="s">
        <v>118</v>
      </c>
      <c r="AH60" s="281"/>
      <c r="AJ60" s="282"/>
    </row>
    <row r="61" spans="1:36" s="337" customFormat="1" ht="15.6" outlineLevel="1">
      <c r="A61" s="267" t="s">
        <v>92</v>
      </c>
      <c r="B61" s="293"/>
      <c r="C61" s="234"/>
      <c r="D61" s="235"/>
      <c r="E61" s="236"/>
      <c r="F61" s="275"/>
      <c r="G61" s="272"/>
      <c r="H61" s="235"/>
      <c r="I61" s="237"/>
      <c r="J61" s="275"/>
      <c r="K61" s="272"/>
      <c r="L61" s="235"/>
      <c r="M61" s="236"/>
      <c r="N61" s="275"/>
      <c r="O61" s="272"/>
      <c r="P61" s="235"/>
      <c r="Q61" s="237"/>
      <c r="R61" s="275"/>
      <c r="S61" s="272"/>
      <c r="T61" s="235"/>
      <c r="U61" s="237"/>
      <c r="V61" s="275"/>
      <c r="W61" s="411"/>
      <c r="X61" s="233"/>
      <c r="Y61" s="233"/>
      <c r="Z61" s="233"/>
      <c r="AA61" s="233"/>
      <c r="AB61" s="233"/>
      <c r="AC61" s="233"/>
      <c r="AD61" s="233"/>
      <c r="AE61" s="239"/>
      <c r="AF61" s="280"/>
      <c r="AG61" s="280"/>
      <c r="AH61" s="336"/>
      <c r="AJ61" s="233"/>
    </row>
    <row r="62" spans="1:36" ht="15" customHeight="1" outlineLevel="1">
      <c r="A62" s="270" t="str">
        <f>'Program Budget'!D54</f>
        <v>Lodging and M&amp;IE - HQ Project Management Trip</v>
      </c>
      <c r="B62" s="271" t="str">
        <f>'Program Budget'!F54</f>
        <v>Day</v>
      </c>
      <c r="C62" s="272">
        <f>'Program Budget'!H54</f>
        <v>169</v>
      </c>
      <c r="D62" s="273">
        <f>'Program Budget'!G54</f>
        <v>28</v>
      </c>
      <c r="E62" s="274">
        <v>1</v>
      </c>
      <c r="F62" s="275">
        <f>C62*D62*E62</f>
        <v>4732</v>
      </c>
      <c r="G62" s="272">
        <f t="shared" si="54"/>
        <v>175.76000000000002</v>
      </c>
      <c r="H62" s="273">
        <f>'Program Budget'!K54</f>
        <v>28</v>
      </c>
      <c r="I62" s="274">
        <v>1</v>
      </c>
      <c r="J62" s="275">
        <f>G62*H62*I62</f>
        <v>4921.2800000000007</v>
      </c>
      <c r="K62" s="272">
        <f t="shared" si="55"/>
        <v>182.79040000000003</v>
      </c>
      <c r="L62" s="273">
        <f>'Program Budget'!N54</f>
        <v>28</v>
      </c>
      <c r="M62" s="274">
        <v>1</v>
      </c>
      <c r="N62" s="275">
        <f>K62*L62*M62</f>
        <v>5118.1312000000007</v>
      </c>
      <c r="O62" s="272">
        <f t="shared" si="56"/>
        <v>190.10201600000005</v>
      </c>
      <c r="P62" s="273">
        <f>'Program Budget'!Q54</f>
        <v>28</v>
      </c>
      <c r="Q62" s="274">
        <v>1</v>
      </c>
      <c r="R62" s="275">
        <f>O62*P62*Q62</f>
        <v>5322.8564480000014</v>
      </c>
      <c r="S62" s="272">
        <f t="shared" si="57"/>
        <v>197.70609664000006</v>
      </c>
      <c r="T62" s="273">
        <f>'Program Budget'!T54</f>
        <v>28</v>
      </c>
      <c r="U62" s="274">
        <v>1</v>
      </c>
      <c r="V62" s="275">
        <f>S62*T62*U62</f>
        <v>5535.770705920002</v>
      </c>
      <c r="W62" s="411">
        <f>F62+J62+N62+R62+V62</f>
        <v>25630.038353920005</v>
      </c>
      <c r="X62" s="278"/>
      <c r="Y62" s="265"/>
      <c r="Z62" s="279"/>
      <c r="AA62" s="279"/>
      <c r="AE62" s="239">
        <v>180</v>
      </c>
      <c r="AF62" s="280" t="s">
        <v>117</v>
      </c>
      <c r="AG62" s="280" t="s">
        <v>118</v>
      </c>
      <c r="AH62" s="281"/>
      <c r="AJ62" s="282"/>
    </row>
    <row r="63" spans="1:36" ht="15" customHeight="1" outlineLevel="1">
      <c r="A63" s="270" t="str">
        <f>'Program Budget'!D56</f>
        <v>Other Travel Related Expenses – HQ Project Management Trip</v>
      </c>
      <c r="B63" s="271" t="str">
        <f>'Program Budget'!F56</f>
        <v>Trip</v>
      </c>
      <c r="C63" s="272">
        <f>'Program Budget'!H56</f>
        <v>50</v>
      </c>
      <c r="D63" s="273">
        <f>'Program Budget'!G56</f>
        <v>4</v>
      </c>
      <c r="E63" s="274">
        <v>1</v>
      </c>
      <c r="F63" s="275">
        <f>C63*D63*E63</f>
        <v>200</v>
      </c>
      <c r="G63" s="272">
        <f t="shared" si="54"/>
        <v>52</v>
      </c>
      <c r="H63" s="273">
        <f>'Program Budget'!K56</f>
        <v>4</v>
      </c>
      <c r="I63" s="274">
        <v>1</v>
      </c>
      <c r="J63" s="275">
        <f>G63*H63*I63</f>
        <v>208</v>
      </c>
      <c r="K63" s="272">
        <f t="shared" si="55"/>
        <v>54.08</v>
      </c>
      <c r="L63" s="273">
        <f>'Program Budget'!N56</f>
        <v>4</v>
      </c>
      <c r="M63" s="274">
        <v>1</v>
      </c>
      <c r="N63" s="275">
        <f>K63*L63*M63</f>
        <v>216.32</v>
      </c>
      <c r="O63" s="272">
        <f t="shared" si="56"/>
        <v>56.243200000000002</v>
      </c>
      <c r="P63" s="273">
        <f>'Program Budget'!Q56</f>
        <v>4</v>
      </c>
      <c r="Q63" s="274">
        <v>1</v>
      </c>
      <c r="R63" s="275">
        <f>O63*P63*Q63</f>
        <v>224.97280000000001</v>
      </c>
      <c r="S63" s="272">
        <f t="shared" si="57"/>
        <v>58.492928000000006</v>
      </c>
      <c r="T63" s="273">
        <f>'Program Budget'!T56</f>
        <v>4</v>
      </c>
      <c r="U63" s="274">
        <v>1</v>
      </c>
      <c r="V63" s="275">
        <f>S63*T63*U63</f>
        <v>233.97171200000003</v>
      </c>
      <c r="W63" s="411">
        <f>F63+J63+N63+R63+V63</f>
        <v>1083.264512</v>
      </c>
      <c r="X63" s="278"/>
      <c r="Y63" s="265"/>
      <c r="Z63" s="279"/>
      <c r="AA63" s="279"/>
      <c r="AE63" s="239">
        <v>180</v>
      </c>
      <c r="AF63" s="280" t="s">
        <v>117</v>
      </c>
      <c r="AG63" s="280" t="s">
        <v>118</v>
      </c>
      <c r="AH63" s="281"/>
      <c r="AJ63" s="282"/>
    </row>
    <row r="64" spans="1:36" ht="15" customHeight="1" outlineLevel="1">
      <c r="A64" s="270" t="str">
        <f>'Program Budget'!D59</f>
        <v>Lodging and M&amp;IE for Mauritania Staff Travel</v>
      </c>
      <c r="B64" s="271" t="str">
        <f>'Program Budget'!F59</f>
        <v>Day</v>
      </c>
      <c r="C64" s="272">
        <f>'Program Budget'!H59</f>
        <v>169</v>
      </c>
      <c r="D64" s="273">
        <f>'Program Budget'!G59</f>
        <v>21</v>
      </c>
      <c r="E64" s="274">
        <v>1</v>
      </c>
      <c r="F64" s="275">
        <f>C64*D64*E64</f>
        <v>3549</v>
      </c>
      <c r="G64" s="272">
        <f t="shared" si="54"/>
        <v>175.76000000000002</v>
      </c>
      <c r="H64" s="273">
        <f>'Program Budget'!K59</f>
        <v>21</v>
      </c>
      <c r="I64" s="274">
        <v>1</v>
      </c>
      <c r="J64" s="275">
        <f>G64*H64*I64</f>
        <v>3690.9600000000005</v>
      </c>
      <c r="K64" s="272">
        <f t="shared" si="55"/>
        <v>182.79040000000003</v>
      </c>
      <c r="L64" s="273">
        <f>'Program Budget'!N59</f>
        <v>21</v>
      </c>
      <c r="M64" s="274">
        <v>1</v>
      </c>
      <c r="N64" s="275">
        <f>K64*L64*M64</f>
        <v>3838.5984000000008</v>
      </c>
      <c r="O64" s="272">
        <f t="shared" si="56"/>
        <v>190.10201600000005</v>
      </c>
      <c r="P64" s="273">
        <f>'Program Budget'!Q59</f>
        <v>21</v>
      </c>
      <c r="Q64" s="274">
        <v>1</v>
      </c>
      <c r="R64" s="275">
        <f>O64*P64*Q64</f>
        <v>3992.1423360000008</v>
      </c>
      <c r="S64" s="272">
        <f t="shared" si="57"/>
        <v>197.70609664000006</v>
      </c>
      <c r="T64" s="273">
        <f>'Program Budget'!T59</f>
        <v>21</v>
      </c>
      <c r="U64" s="274">
        <v>1</v>
      </c>
      <c r="V64" s="275">
        <f>S64*T64*U64</f>
        <v>4151.828029440001</v>
      </c>
      <c r="W64" s="411">
        <f>F64+J64+N64+R64+V64</f>
        <v>19222.528765440002</v>
      </c>
      <c r="X64" s="278"/>
      <c r="Y64" s="265"/>
      <c r="Z64" s="279"/>
      <c r="AA64" s="279"/>
      <c r="AE64" s="239">
        <v>180</v>
      </c>
      <c r="AF64" s="280" t="s">
        <v>117</v>
      </c>
      <c r="AG64" s="280" t="s">
        <v>118</v>
      </c>
      <c r="AH64" s="281"/>
      <c r="AJ64" s="282"/>
    </row>
    <row r="65" spans="1:36" ht="15" customHeight="1" outlineLevel="1">
      <c r="A65" s="270" t="str">
        <f>'Program Budget'!D61</f>
        <v>Other Travel Related Expenses for Mauritania Staff Travel</v>
      </c>
      <c r="B65" s="271" t="str">
        <f>'Program Budget'!F61</f>
        <v>Trip</v>
      </c>
      <c r="C65" s="272">
        <f>'Program Budget'!H61</f>
        <v>50</v>
      </c>
      <c r="D65" s="273">
        <f>'Program Budget'!G61</f>
        <v>3</v>
      </c>
      <c r="E65" s="274">
        <v>1</v>
      </c>
      <c r="F65" s="275">
        <f>C65*D65*E65</f>
        <v>150</v>
      </c>
      <c r="G65" s="272">
        <f t="shared" si="54"/>
        <v>52</v>
      </c>
      <c r="H65" s="273">
        <f>'Program Budget'!K61</f>
        <v>3</v>
      </c>
      <c r="I65" s="274">
        <v>1</v>
      </c>
      <c r="J65" s="275">
        <f>G65*H65*I65</f>
        <v>156</v>
      </c>
      <c r="K65" s="272">
        <f t="shared" si="55"/>
        <v>54.08</v>
      </c>
      <c r="L65" s="273">
        <f>'Program Budget'!N61</f>
        <v>3</v>
      </c>
      <c r="M65" s="274">
        <v>1</v>
      </c>
      <c r="N65" s="275">
        <f>K65*L65*M65</f>
        <v>162.24</v>
      </c>
      <c r="O65" s="272">
        <f t="shared" si="56"/>
        <v>56.243200000000002</v>
      </c>
      <c r="P65" s="273">
        <f>'Program Budget'!Q61</f>
        <v>3</v>
      </c>
      <c r="Q65" s="274">
        <v>1</v>
      </c>
      <c r="R65" s="275">
        <f>O65*P65*Q65</f>
        <v>168.7296</v>
      </c>
      <c r="S65" s="272">
        <f t="shared" si="57"/>
        <v>58.492928000000006</v>
      </c>
      <c r="T65" s="273">
        <f>'Program Budget'!T61</f>
        <v>3</v>
      </c>
      <c r="U65" s="274">
        <v>1</v>
      </c>
      <c r="V65" s="275">
        <f>S65*T65*U65</f>
        <v>175.47878400000002</v>
      </c>
      <c r="W65" s="411">
        <f>F65+J65+N65+R65+V65</f>
        <v>812.44838400000003</v>
      </c>
      <c r="X65" s="278"/>
      <c r="Y65" s="265"/>
      <c r="Z65" s="279"/>
      <c r="AA65" s="279"/>
      <c r="AE65" s="239">
        <v>180</v>
      </c>
      <c r="AF65" s="280" t="s">
        <v>117</v>
      </c>
      <c r="AG65" s="280" t="s">
        <v>118</v>
      </c>
      <c r="AH65" s="281"/>
      <c r="AJ65" s="282"/>
    </row>
    <row r="66" spans="1:36" ht="15" customHeight="1" outlineLevel="1">
      <c r="A66" s="270" t="str">
        <f>'Program Budget'!D65</f>
        <v>Lodging and M&amp;IE - Training, M&amp;E, &amp; Data Collection</v>
      </c>
      <c r="B66" s="271" t="str">
        <f>'Program Budget'!F65</f>
        <v>Day</v>
      </c>
      <c r="C66" s="272">
        <f>'Program Budget'!H65</f>
        <v>78</v>
      </c>
      <c r="D66" s="273">
        <f>'Program Budget'!G65</f>
        <v>144</v>
      </c>
      <c r="E66" s="274">
        <v>1</v>
      </c>
      <c r="F66" s="275">
        <f>C66*D66*E66</f>
        <v>11232</v>
      </c>
      <c r="G66" s="272">
        <f t="shared" si="54"/>
        <v>81.12</v>
      </c>
      <c r="H66" s="273">
        <f>'Program Budget'!K65</f>
        <v>144</v>
      </c>
      <c r="I66" s="274">
        <v>1</v>
      </c>
      <c r="J66" s="275">
        <f>G66*H66*I66</f>
        <v>11681.28</v>
      </c>
      <c r="K66" s="272">
        <f t="shared" si="55"/>
        <v>84.364800000000002</v>
      </c>
      <c r="L66" s="273">
        <f>'Program Budget'!N65</f>
        <v>144</v>
      </c>
      <c r="M66" s="274">
        <v>1</v>
      </c>
      <c r="N66" s="275">
        <f>K66*L66*M66</f>
        <v>12148.531200000001</v>
      </c>
      <c r="O66" s="272">
        <f t="shared" si="56"/>
        <v>87.739392000000009</v>
      </c>
      <c r="P66" s="273">
        <f>'Program Budget'!Q65</f>
        <v>144</v>
      </c>
      <c r="Q66" s="274">
        <v>1</v>
      </c>
      <c r="R66" s="275">
        <f>O66*P66*Q66</f>
        <v>12634.472448</v>
      </c>
      <c r="S66" s="272">
        <f t="shared" si="57"/>
        <v>91.248967680000007</v>
      </c>
      <c r="T66" s="273">
        <f>'Program Budget'!T65</f>
        <v>144</v>
      </c>
      <c r="U66" s="274">
        <v>1</v>
      </c>
      <c r="V66" s="275">
        <f>S66*T66*U66</f>
        <v>13139.85134592</v>
      </c>
      <c r="W66" s="411">
        <f>F66+J66+N66+R66+V66</f>
        <v>60836.134993920001</v>
      </c>
      <c r="X66" s="278"/>
      <c r="Y66" s="265"/>
      <c r="Z66" s="279"/>
      <c r="AA66" s="279"/>
      <c r="AE66" s="239">
        <v>180</v>
      </c>
      <c r="AF66" s="280" t="s">
        <v>117</v>
      </c>
      <c r="AG66" s="280" t="s">
        <v>118</v>
      </c>
      <c r="AH66" s="281"/>
      <c r="AJ66" s="282"/>
    </row>
    <row r="67" spans="1:36" outlineLevel="1">
      <c r="A67" s="403"/>
      <c r="B67" s="293"/>
      <c r="F67" s="275"/>
      <c r="J67" s="275"/>
      <c r="N67" s="275"/>
      <c r="R67" s="275"/>
      <c r="V67" s="275"/>
      <c r="W67" s="411"/>
      <c r="AE67" s="239"/>
      <c r="AF67" s="280"/>
      <c r="AG67" s="280"/>
    </row>
    <row r="68" spans="1:36" ht="18.3">
      <c r="A68" s="338" t="s">
        <v>93</v>
      </c>
      <c r="B68" s="304"/>
      <c r="C68" s="305"/>
      <c r="D68" s="339"/>
      <c r="E68" s="340"/>
      <c r="F68" s="308">
        <f>SUM(F52:F67)</f>
        <v>37563</v>
      </c>
      <c r="G68" s="305"/>
      <c r="H68" s="339"/>
      <c r="I68" s="309"/>
      <c r="J68" s="308">
        <f>SUM(J52:J67)</f>
        <v>40469.519999999997</v>
      </c>
      <c r="K68" s="305"/>
      <c r="L68" s="339"/>
      <c r="M68" s="340"/>
      <c r="N68" s="308">
        <f>SUM(N52:N67)</f>
        <v>42088.300800000005</v>
      </c>
      <c r="O68" s="305"/>
      <c r="P68" s="339"/>
      <c r="Q68" s="309"/>
      <c r="R68" s="308">
        <f>SUM(R52:R67)</f>
        <v>43771.832832</v>
      </c>
      <c r="S68" s="305"/>
      <c r="T68" s="339"/>
      <c r="U68" s="309"/>
      <c r="V68" s="308">
        <f>SUM(V52:V67)</f>
        <v>44645.312225280009</v>
      </c>
      <c r="W68" s="414">
        <f>+F68+J68+N68+R68+V68</f>
        <v>208537.96585727998</v>
      </c>
      <c r="X68" s="239"/>
      <c r="Y68" s="239"/>
      <c r="Z68" s="239"/>
      <c r="AA68" s="239"/>
      <c r="AB68" s="239"/>
      <c r="AE68" s="239"/>
      <c r="AF68" s="266"/>
      <c r="AG68" s="266" t="s">
        <v>119</v>
      </c>
      <c r="AH68" s="266"/>
    </row>
    <row r="69" spans="1:36" ht="15.6" outlineLevel="1">
      <c r="A69" s="267" t="s">
        <v>50</v>
      </c>
      <c r="B69" s="341"/>
      <c r="D69" s="342"/>
      <c r="E69" s="343"/>
      <c r="F69" s="325"/>
      <c r="H69" s="342"/>
      <c r="I69" s="344"/>
      <c r="J69" s="298"/>
      <c r="L69" s="342"/>
      <c r="M69" s="343"/>
      <c r="N69" s="298"/>
      <c r="P69" s="342"/>
      <c r="Q69" s="344"/>
      <c r="R69" s="298"/>
      <c r="T69" s="342"/>
      <c r="U69" s="344"/>
      <c r="V69" s="298"/>
      <c r="W69" s="411"/>
      <c r="AE69" s="239"/>
      <c r="AF69" s="280"/>
      <c r="AG69" s="345"/>
    </row>
    <row r="70" spans="1:36" ht="15.6" outlineLevel="1">
      <c r="A70" s="346" t="str">
        <f>'Program Budget'!D69</f>
        <v>Monetization Agent Fee</v>
      </c>
      <c r="B70" s="271" t="str">
        <f>'Program Budget'!F69</f>
        <v>%</v>
      </c>
      <c r="C70" s="272">
        <f>14000000*'Program Budget'!H69</f>
        <v>280000</v>
      </c>
      <c r="D70" s="273">
        <v>0.5</v>
      </c>
      <c r="E70" s="274">
        <v>1</v>
      </c>
      <c r="F70" s="275">
        <f>C70*D70*E70</f>
        <v>140000</v>
      </c>
      <c r="G70" s="272">
        <f>C70</f>
        <v>280000</v>
      </c>
      <c r="H70" s="273">
        <v>0.5</v>
      </c>
      <c r="I70" s="274">
        <v>1</v>
      </c>
      <c r="J70" s="275">
        <f>G70*H70*I70</f>
        <v>140000</v>
      </c>
      <c r="K70" s="272">
        <f>G70</f>
        <v>280000</v>
      </c>
      <c r="L70" s="273">
        <f>'Program Budget'!N69</f>
        <v>0</v>
      </c>
      <c r="M70" s="274">
        <v>0</v>
      </c>
      <c r="N70" s="275">
        <f>K70*L70*M70</f>
        <v>0</v>
      </c>
      <c r="O70" s="272">
        <f>K70</f>
        <v>280000</v>
      </c>
      <c r="P70" s="273">
        <f>'Program Budget'!Q69</f>
        <v>0</v>
      </c>
      <c r="Q70" s="274">
        <v>0</v>
      </c>
      <c r="R70" s="275">
        <f>O70*P70*Q70</f>
        <v>0</v>
      </c>
      <c r="S70" s="272">
        <f>O70</f>
        <v>280000</v>
      </c>
      <c r="T70" s="273">
        <f>'Program Budget'!T69</f>
        <v>0</v>
      </c>
      <c r="U70" s="274">
        <v>0</v>
      </c>
      <c r="V70" s="275">
        <f>S70*T70*U70</f>
        <v>0</v>
      </c>
      <c r="W70" s="411">
        <f>F70+J70+N70+R70+V70</f>
        <v>280000</v>
      </c>
      <c r="AE70" s="239"/>
      <c r="AF70" s="280"/>
      <c r="AG70" s="345"/>
    </row>
    <row r="71" spans="1:36" ht="15.6" outlineLevel="1">
      <c r="A71" s="346" t="str">
        <f>'Program Budget'!D70</f>
        <v>Monetization Impact Assessment</v>
      </c>
      <c r="B71" s="271" t="str">
        <f>'Program Budget'!F70</f>
        <v>Unit</v>
      </c>
      <c r="C71" s="272">
        <f>'Program Budget'!H70</f>
        <v>48000</v>
      </c>
      <c r="D71" s="273">
        <f>'Program Budget'!G70</f>
        <v>0</v>
      </c>
      <c r="E71" s="274">
        <v>1</v>
      </c>
      <c r="F71" s="275">
        <f t="shared" ref="F71" si="58">C71*D71*E71</f>
        <v>0</v>
      </c>
      <c r="G71" s="272">
        <f t="shared" ref="G71" si="59">C71</f>
        <v>48000</v>
      </c>
      <c r="H71" s="273">
        <f>'Program Budget'!K70</f>
        <v>1</v>
      </c>
      <c r="I71" s="274">
        <v>1</v>
      </c>
      <c r="J71" s="275">
        <f t="shared" ref="J71" si="60">G71*H71*I71</f>
        <v>48000</v>
      </c>
      <c r="K71" s="272">
        <f t="shared" ref="K71" si="61">G71</f>
        <v>48000</v>
      </c>
      <c r="L71" s="273">
        <f>'Program Budget'!N70</f>
        <v>0</v>
      </c>
      <c r="M71" s="274">
        <v>0</v>
      </c>
      <c r="N71" s="275">
        <f t="shared" ref="N71" si="62">K71*L71*M71</f>
        <v>0</v>
      </c>
      <c r="O71" s="272">
        <f t="shared" ref="O71" si="63">K71</f>
        <v>48000</v>
      </c>
      <c r="P71" s="273">
        <f>'Program Budget'!Q70</f>
        <v>0</v>
      </c>
      <c r="Q71" s="274">
        <v>0</v>
      </c>
      <c r="R71" s="275">
        <f t="shared" ref="R71" si="64">O71*P71*Q71</f>
        <v>0</v>
      </c>
      <c r="S71" s="272">
        <f t="shared" ref="S71" si="65">O71</f>
        <v>48000</v>
      </c>
      <c r="T71" s="273">
        <f>'Program Budget'!T70</f>
        <v>0</v>
      </c>
      <c r="U71" s="274">
        <v>0</v>
      </c>
      <c r="V71" s="275">
        <f t="shared" ref="V71" si="66">S71*T71*U71</f>
        <v>0</v>
      </c>
      <c r="W71" s="411">
        <f t="shared" ref="W71" si="67">F71+J71+N71+R71+V71</f>
        <v>48000</v>
      </c>
      <c r="AE71" s="239"/>
      <c r="AF71" s="280"/>
      <c r="AG71" s="345"/>
    </row>
    <row r="72" spans="1:36" ht="15.6" outlineLevel="1">
      <c r="A72" s="346" t="str">
        <f>'Program Budget'!D71</f>
        <v>Audit Costs - (Program Specific Audits)</v>
      </c>
      <c r="B72" s="271" t="str">
        <f>'Program Budget'!F71</f>
        <v>Year</v>
      </c>
      <c r="C72" s="272">
        <f>'Program Budget'!H71</f>
        <v>8000</v>
      </c>
      <c r="D72" s="273">
        <f>'Program Budget'!G71</f>
        <v>1</v>
      </c>
      <c r="E72" s="274">
        <v>1</v>
      </c>
      <c r="F72" s="275">
        <f>C72*D72*E72</f>
        <v>8000</v>
      </c>
      <c r="G72" s="272">
        <f>C72</f>
        <v>8000</v>
      </c>
      <c r="H72" s="273">
        <f>'Program Budget'!K71</f>
        <v>1</v>
      </c>
      <c r="I72" s="274">
        <v>1</v>
      </c>
      <c r="J72" s="275">
        <f>G72*H72*I72</f>
        <v>8000</v>
      </c>
      <c r="K72" s="272">
        <f>G72</f>
        <v>8000</v>
      </c>
      <c r="L72" s="273">
        <f>'Program Budget'!N71</f>
        <v>1</v>
      </c>
      <c r="M72" s="274">
        <v>1</v>
      </c>
      <c r="N72" s="275">
        <f>K72*L72*M72</f>
        <v>8000</v>
      </c>
      <c r="O72" s="272">
        <f>K72</f>
        <v>8000</v>
      </c>
      <c r="P72" s="273">
        <f>'Program Budget'!Q71</f>
        <v>1</v>
      </c>
      <c r="Q72" s="274">
        <v>1</v>
      </c>
      <c r="R72" s="275">
        <f>O72*P72*Q72</f>
        <v>8000</v>
      </c>
      <c r="S72" s="272">
        <f>O72</f>
        <v>8000</v>
      </c>
      <c r="T72" s="273">
        <f>'Program Budget'!T71</f>
        <v>1</v>
      </c>
      <c r="U72" s="274">
        <v>1</v>
      </c>
      <c r="V72" s="275">
        <f>S72*T72*U72</f>
        <v>8000</v>
      </c>
      <c r="W72" s="411">
        <f>F72+J72+N72+R72+V72</f>
        <v>40000</v>
      </c>
      <c r="AE72" s="239"/>
      <c r="AF72" s="280"/>
      <c r="AG72" s="345"/>
    </row>
    <row r="73" spans="1:36" ht="15.6" outlineLevel="1">
      <c r="A73" s="346" t="str">
        <f>'Program Budget'!D72</f>
        <v>Legal Fees</v>
      </c>
      <c r="B73" s="271" t="str">
        <f>'Program Budget'!F72</f>
        <v>Year</v>
      </c>
      <c r="C73" s="272">
        <f>'Program Budget'!H72</f>
        <v>3000</v>
      </c>
      <c r="D73" s="273">
        <f>'Program Budget'!G72</f>
        <v>1</v>
      </c>
      <c r="E73" s="274">
        <v>1</v>
      </c>
      <c r="F73" s="275">
        <f t="shared" ref="F73:F75" si="68">C73*D73*E73</f>
        <v>3000</v>
      </c>
      <c r="G73" s="272">
        <f t="shared" ref="G73:G75" si="69">C73</f>
        <v>3000</v>
      </c>
      <c r="H73" s="273">
        <f>'Program Budget'!K72</f>
        <v>1</v>
      </c>
      <c r="I73" s="274">
        <v>1</v>
      </c>
      <c r="J73" s="275">
        <f t="shared" ref="J73:J75" si="70">G73*H73*I73</f>
        <v>3000</v>
      </c>
      <c r="K73" s="272">
        <f t="shared" ref="K73:K75" si="71">G73</f>
        <v>3000</v>
      </c>
      <c r="L73" s="273">
        <f>'Program Budget'!N72</f>
        <v>1</v>
      </c>
      <c r="M73" s="274">
        <v>1</v>
      </c>
      <c r="N73" s="275">
        <f t="shared" ref="N73:N75" si="72">K73*L73*M73</f>
        <v>3000</v>
      </c>
      <c r="O73" s="272">
        <f t="shared" ref="O73:O75" si="73">K73</f>
        <v>3000</v>
      </c>
      <c r="P73" s="273">
        <f>'Program Budget'!Q72</f>
        <v>1</v>
      </c>
      <c r="Q73" s="274">
        <v>1</v>
      </c>
      <c r="R73" s="275">
        <f t="shared" ref="R73:R75" si="74">O73*P73*Q73</f>
        <v>3000</v>
      </c>
      <c r="S73" s="272">
        <f t="shared" ref="S73:S75" si="75">O73</f>
        <v>3000</v>
      </c>
      <c r="T73" s="273">
        <f>'Program Budget'!T72</f>
        <v>1</v>
      </c>
      <c r="U73" s="274">
        <v>1</v>
      </c>
      <c r="V73" s="275">
        <f t="shared" ref="V73:V75" si="76">S73*T73*U73</f>
        <v>3000</v>
      </c>
      <c r="W73" s="411">
        <f t="shared" ref="W73:W75" si="77">F73+J73+N73+R73+V73</f>
        <v>15000</v>
      </c>
      <c r="AE73" s="239"/>
      <c r="AF73" s="280"/>
      <c r="AG73" s="345"/>
    </row>
    <row r="74" spans="1:36" ht="15.6" outlineLevel="1">
      <c r="A74" s="346" t="str">
        <f>'Program Budget'!D73</f>
        <v>Security Services, Risk Assessments, &amp; Security Assessment</v>
      </c>
      <c r="B74" s="271" t="str">
        <f>'Program Budget'!F73</f>
        <v>Year</v>
      </c>
      <c r="C74" s="272">
        <f>'Program Budget'!H73</f>
        <v>500</v>
      </c>
      <c r="D74" s="273">
        <f>'Program Budget'!G73</f>
        <v>1</v>
      </c>
      <c r="E74" s="274">
        <v>1</v>
      </c>
      <c r="F74" s="275">
        <f t="shared" si="68"/>
        <v>500</v>
      </c>
      <c r="G74" s="272">
        <f t="shared" si="69"/>
        <v>500</v>
      </c>
      <c r="H74" s="273">
        <f>'Program Budget'!K73</f>
        <v>1</v>
      </c>
      <c r="I74" s="274">
        <v>1</v>
      </c>
      <c r="J74" s="275">
        <f t="shared" si="70"/>
        <v>500</v>
      </c>
      <c r="K74" s="272">
        <f t="shared" si="71"/>
        <v>500</v>
      </c>
      <c r="L74" s="273">
        <f>'Program Budget'!N73</f>
        <v>1</v>
      </c>
      <c r="M74" s="274">
        <v>1</v>
      </c>
      <c r="N74" s="275">
        <f t="shared" si="72"/>
        <v>500</v>
      </c>
      <c r="O74" s="272">
        <f t="shared" si="73"/>
        <v>500</v>
      </c>
      <c r="P74" s="273">
        <f>'Program Budget'!Q73</f>
        <v>1</v>
      </c>
      <c r="Q74" s="274">
        <v>1</v>
      </c>
      <c r="R74" s="275">
        <f t="shared" si="74"/>
        <v>500</v>
      </c>
      <c r="S74" s="272">
        <f t="shared" si="75"/>
        <v>500</v>
      </c>
      <c r="T74" s="273">
        <f>'Program Budget'!T73</f>
        <v>1</v>
      </c>
      <c r="U74" s="274">
        <v>1</v>
      </c>
      <c r="V74" s="275">
        <f t="shared" si="76"/>
        <v>500</v>
      </c>
      <c r="W74" s="411">
        <f t="shared" si="77"/>
        <v>2500</v>
      </c>
      <c r="AE74" s="239"/>
      <c r="AF74" s="280"/>
      <c r="AG74" s="345"/>
    </row>
    <row r="75" spans="1:36" ht="15.6" outlineLevel="1">
      <c r="A75" s="346" t="str">
        <f>'Program Budget'!D74</f>
        <v>Short-Term Technical Advisors</v>
      </c>
      <c r="B75" s="271" t="str">
        <f>'Program Budget'!F74</f>
        <v>Month</v>
      </c>
      <c r="C75" s="272">
        <f>'Program Budget'!H74</f>
        <v>425</v>
      </c>
      <c r="D75" s="273">
        <f>'Program Budget'!G74</f>
        <v>9</v>
      </c>
      <c r="E75" s="274">
        <v>1</v>
      </c>
      <c r="F75" s="275">
        <f t="shared" si="68"/>
        <v>3825</v>
      </c>
      <c r="G75" s="272">
        <f t="shared" si="69"/>
        <v>425</v>
      </c>
      <c r="H75" s="273">
        <f>'Program Budget'!K74</f>
        <v>12</v>
      </c>
      <c r="I75" s="274">
        <v>1</v>
      </c>
      <c r="J75" s="275">
        <f t="shared" si="70"/>
        <v>5100</v>
      </c>
      <c r="K75" s="272">
        <f t="shared" si="71"/>
        <v>425</v>
      </c>
      <c r="L75" s="273">
        <f>'Program Budget'!N74</f>
        <v>12</v>
      </c>
      <c r="M75" s="274">
        <v>1</v>
      </c>
      <c r="N75" s="275">
        <f t="shared" si="72"/>
        <v>5100</v>
      </c>
      <c r="O75" s="272">
        <f t="shared" si="73"/>
        <v>425</v>
      </c>
      <c r="P75" s="273">
        <f>'Program Budget'!Q74</f>
        <v>12</v>
      </c>
      <c r="Q75" s="274">
        <v>1</v>
      </c>
      <c r="R75" s="275">
        <f t="shared" si="74"/>
        <v>5100</v>
      </c>
      <c r="S75" s="272">
        <f t="shared" si="75"/>
        <v>425</v>
      </c>
      <c r="T75" s="273">
        <f>'Program Budget'!T74</f>
        <v>9</v>
      </c>
      <c r="U75" s="274">
        <v>1</v>
      </c>
      <c r="V75" s="275">
        <f t="shared" si="76"/>
        <v>3825</v>
      </c>
      <c r="W75" s="411">
        <f t="shared" si="77"/>
        <v>22950</v>
      </c>
      <c r="AE75" s="239">
        <v>670</v>
      </c>
      <c r="AF75" s="280" t="s">
        <v>130</v>
      </c>
      <c r="AG75" s="345" t="s">
        <v>131</v>
      </c>
    </row>
    <row r="76" spans="1:36" ht="15.6" outlineLevel="1">
      <c r="A76" s="346" t="str">
        <f>'Program Budget'!D75</f>
        <v>Start-up Consultant</v>
      </c>
      <c r="B76" s="271" t="str">
        <f>'Program Budget'!F75</f>
        <v>Day</v>
      </c>
      <c r="C76" s="272">
        <f>'Program Budget'!H75</f>
        <v>705</v>
      </c>
      <c r="D76" s="273">
        <f>'Program Budget'!G75</f>
        <v>30</v>
      </c>
      <c r="E76" s="274">
        <v>1</v>
      </c>
      <c r="F76" s="275">
        <f t="shared" ref="F76" si="78">C76*D76*E76</f>
        <v>21150</v>
      </c>
      <c r="G76" s="272">
        <f t="shared" ref="G76" si="79">C76</f>
        <v>705</v>
      </c>
      <c r="H76" s="273">
        <f>'Program Budget'!K75</f>
        <v>0</v>
      </c>
      <c r="I76" s="274">
        <v>1</v>
      </c>
      <c r="J76" s="275">
        <f t="shared" ref="J76" si="80">G76*H76*I76</f>
        <v>0</v>
      </c>
      <c r="K76" s="272">
        <f t="shared" ref="K76" si="81">G76</f>
        <v>705</v>
      </c>
      <c r="L76" s="273">
        <f>'Program Budget'!N75</f>
        <v>0</v>
      </c>
      <c r="M76" s="274">
        <v>0</v>
      </c>
      <c r="N76" s="275">
        <f t="shared" ref="N76" si="82">K76*L76*M76</f>
        <v>0</v>
      </c>
      <c r="O76" s="272">
        <f t="shared" ref="O76" si="83">K76</f>
        <v>705</v>
      </c>
      <c r="P76" s="273">
        <f>'Program Budget'!Q75</f>
        <v>0</v>
      </c>
      <c r="Q76" s="274">
        <v>0</v>
      </c>
      <c r="R76" s="275">
        <f t="shared" ref="R76" si="84">O76*P76*Q76</f>
        <v>0</v>
      </c>
      <c r="S76" s="272">
        <f t="shared" ref="S76" si="85">O76</f>
        <v>705</v>
      </c>
      <c r="T76" s="273">
        <f>'Program Budget'!T75</f>
        <v>0</v>
      </c>
      <c r="U76" s="274">
        <v>0</v>
      </c>
      <c r="V76" s="275">
        <f t="shared" ref="V76" si="86">S76*T76*U76</f>
        <v>0</v>
      </c>
      <c r="W76" s="411">
        <f t="shared" ref="W76" si="87">F76+J76+N76+R76+V76</f>
        <v>21150</v>
      </c>
      <c r="AE76" s="239">
        <v>670</v>
      </c>
      <c r="AF76" s="280" t="s">
        <v>130</v>
      </c>
      <c r="AG76" s="345" t="s">
        <v>131</v>
      </c>
    </row>
    <row r="77" spans="1:36" ht="15.6" outlineLevel="1">
      <c r="A77" s="346" t="str">
        <f>'Program Budget'!D76</f>
        <v>Technical Advisor of Trade Promotion &amp; Strategic Partnership  &amp; Investment</v>
      </c>
      <c r="B77" s="271" t="str">
        <f>'Program Budget'!F76</f>
        <v>Month</v>
      </c>
      <c r="C77" s="272">
        <f>(150000/12)</f>
        <v>12500</v>
      </c>
      <c r="D77" s="273">
        <f>'Program Budget'!G76</f>
        <v>12</v>
      </c>
      <c r="E77" s="274">
        <v>0.15</v>
      </c>
      <c r="F77" s="275">
        <f t="shared" ref="F77" si="88">C77*D77*E77</f>
        <v>22500</v>
      </c>
      <c r="G77" s="272">
        <f t="shared" ref="G77" si="89">C77</f>
        <v>12500</v>
      </c>
      <c r="H77" s="273">
        <f>'Program Budget'!K76</f>
        <v>0</v>
      </c>
      <c r="I77" s="274">
        <v>0</v>
      </c>
      <c r="J77" s="275">
        <f t="shared" ref="J77" si="90">G77*H77*I77</f>
        <v>0</v>
      </c>
      <c r="K77" s="272">
        <f t="shared" ref="K77" si="91">G77</f>
        <v>12500</v>
      </c>
      <c r="L77" s="273">
        <f>'Program Budget'!N76</f>
        <v>0</v>
      </c>
      <c r="M77" s="274">
        <v>0</v>
      </c>
      <c r="N77" s="275">
        <f t="shared" ref="N77" si="92">K77*L77*M77</f>
        <v>0</v>
      </c>
      <c r="O77" s="272">
        <f t="shared" ref="O77" si="93">K77</f>
        <v>12500</v>
      </c>
      <c r="P77" s="273">
        <f>'Program Budget'!Q76</f>
        <v>0</v>
      </c>
      <c r="Q77" s="274">
        <v>0</v>
      </c>
      <c r="R77" s="275">
        <f t="shared" ref="R77" si="94">O77*P77*Q77</f>
        <v>0</v>
      </c>
      <c r="S77" s="272">
        <f t="shared" ref="S77" si="95">O77</f>
        <v>12500</v>
      </c>
      <c r="T77" s="273">
        <f>'Program Budget'!T76</f>
        <v>0</v>
      </c>
      <c r="U77" s="274">
        <v>0</v>
      </c>
      <c r="V77" s="275">
        <f t="shared" ref="V77" si="96">S77*T77*U77</f>
        <v>0</v>
      </c>
      <c r="W77" s="411">
        <f t="shared" ref="W77" si="97">F77+J77+N77+R77+V77</f>
        <v>22500</v>
      </c>
      <c r="AE77" s="239"/>
      <c r="AF77" s="280"/>
      <c r="AG77" s="345"/>
    </row>
    <row r="78" spans="1:36" ht="15.6" outlineLevel="1">
      <c r="A78" s="267" t="str">
        <f>'Program Budget'!D78</f>
        <v>Evaluations</v>
      </c>
      <c r="B78" s="271"/>
      <c r="C78" s="272"/>
      <c r="D78" s="273"/>
      <c r="E78" s="274"/>
      <c r="F78" s="275"/>
      <c r="G78" s="272"/>
      <c r="H78" s="273"/>
      <c r="I78" s="274"/>
      <c r="J78" s="275"/>
      <c r="K78" s="272"/>
      <c r="L78" s="273"/>
      <c r="M78" s="274"/>
      <c r="N78" s="275"/>
      <c r="O78" s="272"/>
      <c r="P78" s="273"/>
      <c r="Q78" s="274"/>
      <c r="R78" s="275"/>
      <c r="S78" s="272"/>
      <c r="T78" s="273"/>
      <c r="U78" s="274"/>
      <c r="V78" s="275"/>
      <c r="W78" s="411"/>
      <c r="AE78" s="239"/>
      <c r="AF78" s="280"/>
      <c r="AG78" s="345"/>
    </row>
    <row r="79" spans="1:36" ht="15.6" outlineLevel="1">
      <c r="A79" s="346" t="str">
        <f>'Program Budget'!D79</f>
        <v>Baseline Evaluation</v>
      </c>
      <c r="B79" s="271" t="str">
        <f>'Program Budget'!F79</f>
        <v>Unit</v>
      </c>
      <c r="C79" s="272">
        <f>'Program Budget'!H79</f>
        <v>150000</v>
      </c>
      <c r="D79" s="273">
        <f>'Program Budget'!G79</f>
        <v>1</v>
      </c>
      <c r="E79" s="274">
        <v>1</v>
      </c>
      <c r="F79" s="275">
        <f t="shared" ref="F79" si="98">C79*D79*E79</f>
        <v>150000</v>
      </c>
      <c r="G79" s="272">
        <f t="shared" ref="G79" si="99">C79</f>
        <v>150000</v>
      </c>
      <c r="H79" s="273">
        <f>'Program Budget'!K79</f>
        <v>0</v>
      </c>
      <c r="I79" s="274">
        <v>0</v>
      </c>
      <c r="J79" s="275">
        <f t="shared" ref="J79" si="100">G79*H79*I79</f>
        <v>0</v>
      </c>
      <c r="K79" s="272">
        <f t="shared" ref="K79" si="101">G79</f>
        <v>150000</v>
      </c>
      <c r="L79" s="273">
        <f>'Program Budget'!N79</f>
        <v>0</v>
      </c>
      <c r="M79" s="274">
        <v>0</v>
      </c>
      <c r="N79" s="275">
        <f t="shared" ref="N79" si="102">K79*L79*M79</f>
        <v>0</v>
      </c>
      <c r="O79" s="272">
        <f t="shared" ref="O79" si="103">K79</f>
        <v>150000</v>
      </c>
      <c r="P79" s="273">
        <f>'Program Budget'!Q79</f>
        <v>0</v>
      </c>
      <c r="Q79" s="274">
        <v>0</v>
      </c>
      <c r="R79" s="275">
        <f t="shared" ref="R79" si="104">O79*P79*Q79</f>
        <v>0</v>
      </c>
      <c r="S79" s="272">
        <f t="shared" ref="S79" si="105">O79</f>
        <v>150000</v>
      </c>
      <c r="T79" s="273">
        <f>'Program Budget'!T79</f>
        <v>0</v>
      </c>
      <c r="U79" s="274">
        <v>0</v>
      </c>
      <c r="V79" s="275">
        <f t="shared" ref="V79" si="106">S79*T79*U79</f>
        <v>0</v>
      </c>
      <c r="W79" s="411">
        <f t="shared" ref="W79" si="107">F79+J79+N79+R79+V79</f>
        <v>150000</v>
      </c>
      <c r="AE79" s="239"/>
      <c r="AF79" s="280"/>
      <c r="AG79" s="345"/>
    </row>
    <row r="80" spans="1:36" ht="15.6" outlineLevel="1">
      <c r="A80" s="346" t="str">
        <f>'Program Budget'!D80</f>
        <v>Midterm Evaluation</v>
      </c>
      <c r="B80" s="271" t="str">
        <f>'Program Budget'!F80</f>
        <v>Unit</v>
      </c>
      <c r="C80" s="272">
        <f>'Program Budget'!H80</f>
        <v>160000</v>
      </c>
      <c r="D80" s="273">
        <f>'Program Budget'!G80</f>
        <v>0</v>
      </c>
      <c r="E80" s="274">
        <v>0</v>
      </c>
      <c r="F80" s="275">
        <f>C80*D80*E80</f>
        <v>0</v>
      </c>
      <c r="G80" s="272">
        <f>C80</f>
        <v>160000</v>
      </c>
      <c r="H80" s="273">
        <f>'Program Budget'!K80</f>
        <v>0</v>
      </c>
      <c r="I80" s="274">
        <v>0</v>
      </c>
      <c r="J80" s="275">
        <f>G80*H80*I80</f>
        <v>0</v>
      </c>
      <c r="K80" s="272">
        <f>G80</f>
        <v>160000</v>
      </c>
      <c r="L80" s="273">
        <f>'Program Budget'!N80</f>
        <v>1</v>
      </c>
      <c r="M80" s="274">
        <v>1</v>
      </c>
      <c r="N80" s="275">
        <f>K80*L80*M80</f>
        <v>160000</v>
      </c>
      <c r="O80" s="272">
        <f>K80</f>
        <v>160000</v>
      </c>
      <c r="P80" s="273">
        <f>'Program Budget'!Q80</f>
        <v>0</v>
      </c>
      <c r="Q80" s="274">
        <v>0</v>
      </c>
      <c r="R80" s="275">
        <f>O80*P80*Q80</f>
        <v>0</v>
      </c>
      <c r="S80" s="272">
        <f>O80</f>
        <v>160000</v>
      </c>
      <c r="T80" s="273">
        <f>'Program Budget'!T80</f>
        <v>0</v>
      </c>
      <c r="U80" s="274">
        <v>0</v>
      </c>
      <c r="V80" s="275">
        <f>S80*T80*U80</f>
        <v>0</v>
      </c>
      <c r="W80" s="411">
        <f>F80+J80+N80+R80+V80</f>
        <v>160000</v>
      </c>
      <c r="AE80" s="239"/>
      <c r="AF80" s="280"/>
      <c r="AG80" s="345"/>
    </row>
    <row r="81" spans="1:33" ht="15.6" outlineLevel="1">
      <c r="A81" s="346" t="str">
        <f>'Program Budget'!D81</f>
        <v>Final Evaluation</v>
      </c>
      <c r="B81" s="271" t="str">
        <f>'Program Budget'!F81</f>
        <v>Unit</v>
      </c>
      <c r="C81" s="272">
        <f>'Program Budget'!H81</f>
        <v>175000</v>
      </c>
      <c r="D81" s="273">
        <f>'Program Budget'!G81</f>
        <v>0</v>
      </c>
      <c r="E81" s="274">
        <v>0</v>
      </c>
      <c r="F81" s="275">
        <f t="shared" ref="F81" si="108">C81*D81*E81</f>
        <v>0</v>
      </c>
      <c r="G81" s="272">
        <f t="shared" ref="G81" si="109">C81</f>
        <v>175000</v>
      </c>
      <c r="H81" s="273">
        <f>'Program Budget'!K81</f>
        <v>0</v>
      </c>
      <c r="I81" s="274">
        <v>0</v>
      </c>
      <c r="J81" s="275">
        <f t="shared" ref="J81" si="110">G81*H81*I81</f>
        <v>0</v>
      </c>
      <c r="K81" s="272">
        <f t="shared" ref="K81" si="111">G81</f>
        <v>175000</v>
      </c>
      <c r="L81" s="273">
        <f>'Program Budget'!N81</f>
        <v>0</v>
      </c>
      <c r="M81" s="274">
        <v>0</v>
      </c>
      <c r="N81" s="275">
        <f t="shared" ref="N81" si="112">K81*L81*M81</f>
        <v>0</v>
      </c>
      <c r="O81" s="272">
        <f t="shared" ref="O81" si="113">K81</f>
        <v>175000</v>
      </c>
      <c r="P81" s="273">
        <f>'Program Budget'!Q81</f>
        <v>0</v>
      </c>
      <c r="Q81" s="274">
        <v>0</v>
      </c>
      <c r="R81" s="275">
        <f t="shared" ref="R81" si="114">O81*P81*Q81</f>
        <v>0</v>
      </c>
      <c r="S81" s="272">
        <f t="shared" ref="S81" si="115">O81</f>
        <v>175000</v>
      </c>
      <c r="T81" s="273">
        <f>'Program Budget'!T81</f>
        <v>1</v>
      </c>
      <c r="U81" s="274">
        <v>1</v>
      </c>
      <c r="V81" s="275">
        <f t="shared" ref="V81" si="116">S81*T81*U81</f>
        <v>175000</v>
      </c>
      <c r="W81" s="411">
        <f t="shared" ref="W81" si="117">F81+J81+N81+R81+V81</f>
        <v>175000</v>
      </c>
      <c r="AE81" s="239"/>
      <c r="AF81" s="280"/>
      <c r="AG81" s="345"/>
    </row>
    <row r="82" spans="1:33" ht="15.6" outlineLevel="1">
      <c r="A82" s="346" t="str">
        <f>'Program Budget'!D82</f>
        <v>Impact Evaluation</v>
      </c>
      <c r="B82" s="271" t="str">
        <f>'Program Budget'!F82</f>
        <v>Unit</v>
      </c>
      <c r="C82" s="272">
        <f>'Program Budget'!H82</f>
        <v>200000</v>
      </c>
      <c r="D82" s="273">
        <f>'Program Budget'!G82</f>
        <v>0</v>
      </c>
      <c r="E82" s="274">
        <v>0</v>
      </c>
      <c r="F82" s="275">
        <f>C82*D82*E82</f>
        <v>0</v>
      </c>
      <c r="G82" s="272">
        <f>C82</f>
        <v>200000</v>
      </c>
      <c r="H82" s="273">
        <f>'Program Budget'!K82</f>
        <v>0</v>
      </c>
      <c r="I82" s="274">
        <v>0</v>
      </c>
      <c r="J82" s="275">
        <f>G82*H82*I82</f>
        <v>0</v>
      </c>
      <c r="K82" s="272">
        <f>G82</f>
        <v>200000</v>
      </c>
      <c r="L82" s="273">
        <f>'Program Budget'!N82</f>
        <v>0</v>
      </c>
      <c r="M82" s="274">
        <v>0</v>
      </c>
      <c r="N82" s="275">
        <f>K82*L82*M82</f>
        <v>0</v>
      </c>
      <c r="O82" s="272">
        <f>K82</f>
        <v>200000</v>
      </c>
      <c r="P82" s="273">
        <f>'Program Budget'!Q82</f>
        <v>0</v>
      </c>
      <c r="Q82" s="274">
        <v>0</v>
      </c>
      <c r="R82" s="275">
        <f>O82*P82*Q82</f>
        <v>0</v>
      </c>
      <c r="S82" s="272">
        <f>O82</f>
        <v>200000</v>
      </c>
      <c r="T82" s="273">
        <f>'Program Budget'!T82</f>
        <v>1</v>
      </c>
      <c r="U82" s="274">
        <v>1</v>
      </c>
      <c r="V82" s="275">
        <f>S82*T82*U82</f>
        <v>200000</v>
      </c>
      <c r="W82" s="411">
        <f>F82+J82+N82+R82+V82</f>
        <v>200000</v>
      </c>
      <c r="AE82" s="239"/>
      <c r="AF82" s="280"/>
      <c r="AG82" s="345"/>
    </row>
    <row r="83" spans="1:33" ht="15.6" outlineLevel="1">
      <c r="A83" s="346" t="str">
        <f>'Program Budget'!D83</f>
        <v>Special Study</v>
      </c>
      <c r="B83" s="271" t="str">
        <f>'Program Budget'!F83</f>
        <v>Unit</v>
      </c>
      <c r="C83" s="272">
        <f>'Program Budget'!H83</f>
        <v>100000</v>
      </c>
      <c r="D83" s="273">
        <f>'Program Budget'!G83</f>
        <v>0</v>
      </c>
      <c r="E83" s="274">
        <v>0</v>
      </c>
      <c r="F83" s="275">
        <f t="shared" ref="F83" si="118">C83*D83*E83</f>
        <v>0</v>
      </c>
      <c r="G83" s="272">
        <f t="shared" ref="G83" si="119">C83</f>
        <v>100000</v>
      </c>
      <c r="H83" s="273">
        <f>'Program Budget'!K83</f>
        <v>1</v>
      </c>
      <c r="I83" s="274">
        <v>1</v>
      </c>
      <c r="J83" s="275">
        <f t="shared" ref="J83" si="120">G83*H83*I83</f>
        <v>100000</v>
      </c>
      <c r="K83" s="272">
        <f t="shared" ref="K83" si="121">G83</f>
        <v>100000</v>
      </c>
      <c r="L83" s="273">
        <f>'Program Budget'!N83</f>
        <v>1</v>
      </c>
      <c r="M83" s="274">
        <v>1</v>
      </c>
      <c r="N83" s="275">
        <f t="shared" ref="N83" si="122">K83*L83*M83</f>
        <v>100000</v>
      </c>
      <c r="O83" s="272">
        <f t="shared" ref="O83" si="123">K83</f>
        <v>100000</v>
      </c>
      <c r="P83" s="273">
        <f>'Program Budget'!Q83</f>
        <v>0</v>
      </c>
      <c r="Q83" s="274">
        <v>0</v>
      </c>
      <c r="R83" s="275">
        <f t="shared" ref="R83" si="124">O83*P83*Q83</f>
        <v>0</v>
      </c>
      <c r="S83" s="272">
        <f t="shared" ref="S83" si="125">O83</f>
        <v>100000</v>
      </c>
      <c r="T83" s="273">
        <f>'Program Budget'!T83</f>
        <v>0</v>
      </c>
      <c r="U83" s="274">
        <v>0</v>
      </c>
      <c r="V83" s="275">
        <f t="shared" ref="V83" si="126">S83*T83*U83</f>
        <v>0</v>
      </c>
      <c r="W83" s="411">
        <f t="shared" ref="W83" si="127">F83+J83+N83+R83+V83</f>
        <v>200000</v>
      </c>
      <c r="AE83" s="239"/>
      <c r="AF83" s="280"/>
      <c r="AG83" s="345"/>
    </row>
    <row r="84" spans="1:33" ht="15.6" outlineLevel="1">
      <c r="A84" s="267" t="str">
        <f>'Program Budget'!D84</f>
        <v>Monitoring Guidelines Development</v>
      </c>
      <c r="B84" s="271"/>
      <c r="C84" s="272"/>
      <c r="D84" s="273"/>
      <c r="E84" s="274"/>
      <c r="F84" s="275"/>
      <c r="G84" s="272"/>
      <c r="H84" s="273"/>
      <c r="I84" s="274"/>
      <c r="J84" s="275"/>
      <c r="K84" s="272"/>
      <c r="L84" s="273"/>
      <c r="M84" s="274"/>
      <c r="N84" s="275"/>
      <c r="O84" s="272"/>
      <c r="P84" s="273"/>
      <c r="Q84" s="274"/>
      <c r="R84" s="275"/>
      <c r="S84" s="272"/>
      <c r="T84" s="273"/>
      <c r="U84" s="274"/>
      <c r="V84" s="275"/>
      <c r="W84" s="411"/>
      <c r="AE84" s="239"/>
      <c r="AF84" s="280"/>
      <c r="AG84" s="345"/>
    </row>
    <row r="85" spans="1:33" ht="15.6" outlineLevel="1">
      <c r="A85" s="346" t="str">
        <f>'Program Budget'!D85</f>
        <v>Monitoring Guidelines Creation, Translation &amp; Printing</v>
      </c>
      <c r="B85" s="271" t="str">
        <f>'Program Budget'!F85</f>
        <v>Document</v>
      </c>
      <c r="C85" s="272">
        <f>'Program Budget'!H85</f>
        <v>10000</v>
      </c>
      <c r="D85" s="273">
        <f>'Program Budget'!G85</f>
        <v>1</v>
      </c>
      <c r="E85" s="274">
        <v>1</v>
      </c>
      <c r="F85" s="275">
        <f t="shared" ref="F85" si="128">C85*D85*E85</f>
        <v>10000</v>
      </c>
      <c r="G85" s="272">
        <f t="shared" ref="G85" si="129">C85</f>
        <v>10000</v>
      </c>
      <c r="H85" s="273">
        <f>'Program Budget'!K85</f>
        <v>0</v>
      </c>
      <c r="I85" s="274">
        <v>0</v>
      </c>
      <c r="J85" s="275">
        <f t="shared" ref="J85" si="130">G85*H85*I85</f>
        <v>0</v>
      </c>
      <c r="K85" s="272">
        <f t="shared" ref="K85" si="131">G85</f>
        <v>10000</v>
      </c>
      <c r="L85" s="273">
        <f>'Program Budget'!N85</f>
        <v>0</v>
      </c>
      <c r="M85" s="274">
        <v>0</v>
      </c>
      <c r="N85" s="275">
        <f t="shared" ref="N85" si="132">K85*L85*M85</f>
        <v>0</v>
      </c>
      <c r="O85" s="272">
        <f t="shared" ref="O85" si="133">K85</f>
        <v>10000</v>
      </c>
      <c r="P85" s="273">
        <f>'Program Budget'!Q85</f>
        <v>0</v>
      </c>
      <c r="Q85" s="274">
        <v>0</v>
      </c>
      <c r="R85" s="275">
        <f t="shared" ref="R85" si="134">O85*P85*Q85</f>
        <v>0</v>
      </c>
      <c r="S85" s="272">
        <f t="shared" ref="S85" si="135">O85</f>
        <v>10000</v>
      </c>
      <c r="T85" s="273">
        <f>'Program Budget'!T85</f>
        <v>0</v>
      </c>
      <c r="U85" s="274">
        <v>0</v>
      </c>
      <c r="V85" s="275">
        <f t="shared" ref="V85" si="136">S85*T85*U85</f>
        <v>0</v>
      </c>
      <c r="W85" s="411">
        <f t="shared" ref="W85" si="137">F85+J85+N85+R85+V85</f>
        <v>10000</v>
      </c>
      <c r="AE85" s="239"/>
      <c r="AF85" s="280"/>
      <c r="AG85" s="345"/>
    </row>
    <row r="86" spans="1:33" ht="15.6" outlineLevel="1">
      <c r="A86" s="346" t="str">
        <f>'Program Budget'!D86</f>
        <v>Monitoring Guidelines Revision, Translation &amp; Printing</v>
      </c>
      <c r="B86" s="271" t="str">
        <f>'Program Budget'!F86</f>
        <v>Year</v>
      </c>
      <c r="C86" s="272">
        <f>'Program Budget'!H86</f>
        <v>2000</v>
      </c>
      <c r="D86" s="273">
        <f>'Program Budget'!G86</f>
        <v>0</v>
      </c>
      <c r="E86" s="274">
        <v>0</v>
      </c>
      <c r="F86" s="275">
        <f>C86*D86*E86</f>
        <v>0</v>
      </c>
      <c r="G86" s="272">
        <f>C86</f>
        <v>2000</v>
      </c>
      <c r="H86" s="273">
        <f>'Program Budget'!K86</f>
        <v>1</v>
      </c>
      <c r="I86" s="274">
        <v>1</v>
      </c>
      <c r="J86" s="275">
        <f>G86*H86*I86</f>
        <v>2000</v>
      </c>
      <c r="K86" s="272">
        <f>G86</f>
        <v>2000</v>
      </c>
      <c r="L86" s="273">
        <f>'Program Budget'!N86</f>
        <v>1</v>
      </c>
      <c r="M86" s="274">
        <v>1</v>
      </c>
      <c r="N86" s="275">
        <f>K86*L86*M86</f>
        <v>2000</v>
      </c>
      <c r="O86" s="272">
        <f>K86</f>
        <v>2000</v>
      </c>
      <c r="P86" s="273">
        <f>'Program Budget'!Q86</f>
        <v>1</v>
      </c>
      <c r="Q86" s="274">
        <v>1</v>
      </c>
      <c r="R86" s="275">
        <f>O86*P86*Q86</f>
        <v>2000</v>
      </c>
      <c r="S86" s="272">
        <f>O86</f>
        <v>2000</v>
      </c>
      <c r="T86" s="273">
        <f>'Program Budget'!T86</f>
        <v>1</v>
      </c>
      <c r="U86" s="274">
        <v>1</v>
      </c>
      <c r="V86" s="275">
        <f>S86*T86*U86</f>
        <v>2000</v>
      </c>
      <c r="W86" s="411">
        <f>F86+J86+N86+R86+V86</f>
        <v>8000</v>
      </c>
      <c r="AE86" s="239"/>
      <c r="AF86" s="280"/>
      <c r="AG86" s="345"/>
    </row>
    <row r="87" spans="1:33" ht="15.6" outlineLevel="1">
      <c r="A87" s="346" t="str">
        <f>'Program Budget'!D87</f>
        <v>Monitoring Guidelines Staff Training on Indicators and Data Collection/Analysis</v>
      </c>
      <c r="B87" s="271" t="str">
        <f>'Program Budget'!F87</f>
        <v xml:space="preserve">Workshop </v>
      </c>
      <c r="C87" s="272">
        <f>'Program Budget'!H87</f>
        <v>6000</v>
      </c>
      <c r="D87" s="273">
        <f>'Program Budget'!G87</f>
        <v>1</v>
      </c>
      <c r="E87" s="274">
        <v>1</v>
      </c>
      <c r="F87" s="275">
        <f t="shared" ref="F87" si="138">C87*D87*E87</f>
        <v>6000</v>
      </c>
      <c r="G87" s="272">
        <f t="shared" ref="G87" si="139">C87</f>
        <v>6000</v>
      </c>
      <c r="H87" s="273">
        <f>'Program Budget'!K87</f>
        <v>1</v>
      </c>
      <c r="I87" s="274">
        <v>1</v>
      </c>
      <c r="J87" s="275">
        <f t="shared" ref="J87" si="140">G87*H87*I87</f>
        <v>6000</v>
      </c>
      <c r="K87" s="272">
        <f t="shared" ref="K87" si="141">G87</f>
        <v>6000</v>
      </c>
      <c r="L87" s="273">
        <f>'Program Budget'!N87</f>
        <v>1</v>
      </c>
      <c r="M87" s="274">
        <v>1</v>
      </c>
      <c r="N87" s="275">
        <f t="shared" ref="N87" si="142">K87*L87*M87</f>
        <v>6000</v>
      </c>
      <c r="O87" s="272">
        <f t="shared" ref="O87" si="143">K87</f>
        <v>6000</v>
      </c>
      <c r="P87" s="273">
        <f>'Program Budget'!Q87</f>
        <v>1</v>
      </c>
      <c r="Q87" s="274">
        <v>1</v>
      </c>
      <c r="R87" s="275">
        <f t="shared" ref="R87" si="144">O87*P87*Q87</f>
        <v>6000</v>
      </c>
      <c r="S87" s="272">
        <f t="shared" ref="S87" si="145">O87</f>
        <v>6000</v>
      </c>
      <c r="T87" s="273">
        <f>'Program Budget'!T87</f>
        <v>1</v>
      </c>
      <c r="U87" s="274">
        <v>1</v>
      </c>
      <c r="V87" s="275">
        <f t="shared" ref="V87" si="146">S87*T87*U87</f>
        <v>6000</v>
      </c>
      <c r="W87" s="411">
        <f t="shared" ref="W87" si="147">F87+J87+N87+R87+V87</f>
        <v>30000</v>
      </c>
      <c r="AE87" s="239"/>
      <c r="AF87" s="280"/>
      <c r="AG87" s="345"/>
    </row>
    <row r="88" spans="1:33" ht="15.6" outlineLevel="1">
      <c r="A88" s="267" t="str">
        <f>'Program Budget'!D88</f>
        <v>M&amp;E Database</v>
      </c>
      <c r="B88" s="271"/>
      <c r="C88" s="272"/>
      <c r="D88" s="273"/>
      <c r="E88" s="274"/>
      <c r="F88" s="275"/>
      <c r="G88" s="272"/>
      <c r="H88" s="273"/>
      <c r="I88" s="274"/>
      <c r="J88" s="275"/>
      <c r="K88" s="272"/>
      <c r="L88" s="273"/>
      <c r="M88" s="274"/>
      <c r="N88" s="275"/>
      <c r="O88" s="272"/>
      <c r="P88" s="273"/>
      <c r="Q88" s="274"/>
      <c r="R88" s="275"/>
      <c r="S88" s="272"/>
      <c r="T88" s="273"/>
      <c r="U88" s="274"/>
      <c r="V88" s="275"/>
      <c r="W88" s="411"/>
      <c r="AE88" s="239"/>
      <c r="AF88" s="280"/>
      <c r="AG88" s="345"/>
    </row>
    <row r="89" spans="1:33" ht="15.6" outlineLevel="1">
      <c r="A89" s="346" t="str">
        <f>'Program Budget'!D89</f>
        <v>M&amp;E Database Platform Subscription (includes training)</v>
      </c>
      <c r="B89" s="271" t="str">
        <f>'Program Budget'!F89</f>
        <v>Year</v>
      </c>
      <c r="C89" s="272">
        <f>'Program Budget'!H89</f>
        <v>6500</v>
      </c>
      <c r="D89" s="273">
        <f>'Program Budget'!G89</f>
        <v>1</v>
      </c>
      <c r="E89" s="274">
        <v>1</v>
      </c>
      <c r="F89" s="275">
        <f t="shared" ref="F89" si="148">C89*D89*E89</f>
        <v>6500</v>
      </c>
      <c r="G89" s="272">
        <f t="shared" ref="G89" si="149">C89</f>
        <v>6500</v>
      </c>
      <c r="H89" s="273">
        <f>'Program Budget'!K89</f>
        <v>1</v>
      </c>
      <c r="I89" s="274">
        <v>1</v>
      </c>
      <c r="J89" s="275">
        <f t="shared" ref="J89" si="150">G89*H89*I89</f>
        <v>6500</v>
      </c>
      <c r="K89" s="272">
        <f t="shared" ref="K89" si="151">G89</f>
        <v>6500</v>
      </c>
      <c r="L89" s="273">
        <f>'Program Budget'!N89</f>
        <v>1</v>
      </c>
      <c r="M89" s="274">
        <v>1</v>
      </c>
      <c r="N89" s="275">
        <f t="shared" ref="N89" si="152">K89*L89*M89</f>
        <v>6500</v>
      </c>
      <c r="O89" s="272">
        <f t="shared" ref="O89" si="153">K89</f>
        <v>6500</v>
      </c>
      <c r="P89" s="273">
        <f>'Program Budget'!Q89</f>
        <v>1</v>
      </c>
      <c r="Q89" s="274">
        <v>1</v>
      </c>
      <c r="R89" s="275">
        <f t="shared" ref="R89" si="154">O89*P89*Q89</f>
        <v>6500</v>
      </c>
      <c r="S89" s="272">
        <f t="shared" ref="S89" si="155">O89</f>
        <v>6500</v>
      </c>
      <c r="T89" s="273">
        <f>'Program Budget'!T89</f>
        <v>1</v>
      </c>
      <c r="U89" s="274">
        <v>1</v>
      </c>
      <c r="V89" s="275">
        <f t="shared" ref="V89" si="156">S89*T89*U89</f>
        <v>6500</v>
      </c>
      <c r="W89" s="411">
        <f t="shared" ref="W89" si="157">F89+J89+N89+R89+V89</f>
        <v>32500</v>
      </c>
      <c r="AE89" s="239"/>
      <c r="AF89" s="280"/>
      <c r="AG89" s="345"/>
    </row>
    <row r="90" spans="1:33" outlineLevel="1">
      <c r="A90" s="404"/>
      <c r="B90" s="293"/>
      <c r="C90" s="347"/>
      <c r="D90" s="348"/>
      <c r="F90" s="275"/>
      <c r="G90" s="347"/>
      <c r="H90" s="348"/>
      <c r="I90" s="236"/>
      <c r="J90" s="275"/>
      <c r="K90" s="347"/>
      <c r="L90" s="348"/>
      <c r="N90" s="275"/>
      <c r="O90" s="347"/>
      <c r="P90" s="348"/>
      <c r="Q90" s="236"/>
      <c r="R90" s="275"/>
      <c r="S90" s="347"/>
      <c r="T90" s="348"/>
      <c r="U90" s="236"/>
      <c r="V90" s="275"/>
      <c r="W90" s="416"/>
      <c r="AE90" s="239">
        <v>319</v>
      </c>
      <c r="AF90" s="280" t="s">
        <v>132</v>
      </c>
      <c r="AG90" s="345" t="s">
        <v>133</v>
      </c>
    </row>
    <row r="91" spans="1:33" ht="18.3" outlineLevel="1">
      <c r="A91" s="338" t="s">
        <v>94</v>
      </c>
      <c r="B91" s="304"/>
      <c r="C91" s="305"/>
      <c r="D91" s="339"/>
      <c r="E91" s="340"/>
      <c r="F91" s="308">
        <f>SUM(F70:F90)</f>
        <v>371475</v>
      </c>
      <c r="G91" s="305"/>
      <c r="H91" s="339"/>
      <c r="I91" s="309"/>
      <c r="J91" s="308">
        <f>SUM(J70:J90)</f>
        <v>319100</v>
      </c>
      <c r="K91" s="305"/>
      <c r="L91" s="339"/>
      <c r="M91" s="340"/>
      <c r="N91" s="308">
        <f>SUM(N70:N90)</f>
        <v>291100</v>
      </c>
      <c r="O91" s="305"/>
      <c r="P91" s="339"/>
      <c r="Q91" s="309"/>
      <c r="R91" s="308">
        <f>SUM(R70:R90)</f>
        <v>31100</v>
      </c>
      <c r="S91" s="305"/>
      <c r="T91" s="339"/>
      <c r="U91" s="309"/>
      <c r="V91" s="308">
        <f>SUM(V70:V90)</f>
        <v>404825</v>
      </c>
      <c r="W91" s="414">
        <f>+F91+J91+N91+R91+V91</f>
        <v>1417600</v>
      </c>
      <c r="AE91" s="239"/>
      <c r="AF91" s="280"/>
      <c r="AG91" s="345"/>
    </row>
    <row r="92" spans="1:33" ht="15.6" outlineLevel="1">
      <c r="A92" s="267" t="s">
        <v>95</v>
      </c>
      <c r="B92" s="350"/>
      <c r="D92" s="342"/>
      <c r="F92" s="275"/>
      <c r="H92" s="342"/>
      <c r="J92" s="277"/>
      <c r="L92" s="342"/>
      <c r="N92" s="277"/>
      <c r="P92" s="342"/>
      <c r="R92" s="277"/>
      <c r="T92" s="342"/>
      <c r="V92" s="277"/>
      <c r="W92" s="411"/>
      <c r="AE92" s="239"/>
    </row>
    <row r="93" spans="1:33" ht="15.6" outlineLevel="1">
      <c r="A93" s="346" t="str">
        <f>'Program Budget'!D95</f>
        <v>Vehicles for Field Office</v>
      </c>
      <c r="B93" s="271" t="str">
        <f>'Program Budget'!F95</f>
        <v>Unit</v>
      </c>
      <c r="C93" s="272">
        <f>'Program Budget'!H95</f>
        <v>65000</v>
      </c>
      <c r="D93" s="273">
        <f>'Program Budget'!G95</f>
        <v>2</v>
      </c>
      <c r="E93" s="274">
        <v>1</v>
      </c>
      <c r="F93" s="275">
        <f t="shared" ref="F93" si="158">C93*D93*E93</f>
        <v>130000</v>
      </c>
      <c r="G93" s="272">
        <f>C93</f>
        <v>65000</v>
      </c>
      <c r="H93" s="273">
        <f>'Program Budget'!K95</f>
        <v>0</v>
      </c>
      <c r="I93" s="274">
        <v>0</v>
      </c>
      <c r="J93" s="275">
        <f t="shared" ref="J93" si="159">G93*H93*I93</f>
        <v>0</v>
      </c>
      <c r="K93" s="272">
        <f t="shared" ref="K93" si="160">G93</f>
        <v>65000</v>
      </c>
      <c r="L93" s="273">
        <f>'Program Budget'!N95</f>
        <v>0</v>
      </c>
      <c r="M93" s="274">
        <v>0</v>
      </c>
      <c r="N93" s="275">
        <f t="shared" ref="N93" si="161">K93*L93*M93</f>
        <v>0</v>
      </c>
      <c r="O93" s="272">
        <f t="shared" ref="O93" si="162">K93</f>
        <v>65000</v>
      </c>
      <c r="P93" s="273">
        <f>'Program Budget'!Q95</f>
        <v>0</v>
      </c>
      <c r="Q93" s="274">
        <v>0</v>
      </c>
      <c r="R93" s="275">
        <f t="shared" ref="R93" si="163">O93*P93*Q93</f>
        <v>0</v>
      </c>
      <c r="S93" s="272">
        <f>O93</f>
        <v>65000</v>
      </c>
      <c r="T93" s="273">
        <f>'Program Budget'!T95</f>
        <v>0</v>
      </c>
      <c r="U93" s="274">
        <v>0</v>
      </c>
      <c r="V93" s="275">
        <f t="shared" ref="V93" si="164">S93*T93*U93</f>
        <v>0</v>
      </c>
      <c r="W93" s="411">
        <f t="shared" ref="W93" si="165">F93+J93+N93+R93+V93</f>
        <v>130000</v>
      </c>
      <c r="AE93" s="239"/>
      <c r="AF93" s="280"/>
      <c r="AG93" s="345"/>
    </row>
    <row r="94" spans="1:33" outlineLevel="1">
      <c r="A94" s="403"/>
      <c r="B94" s="293"/>
      <c r="D94" s="342"/>
      <c r="F94" s="275"/>
      <c r="H94" s="342"/>
      <c r="I94" s="236"/>
      <c r="J94" s="275"/>
      <c r="L94" s="342"/>
      <c r="N94" s="275"/>
      <c r="P94" s="342"/>
      <c r="Q94" s="236"/>
      <c r="R94" s="275"/>
      <c r="T94" s="342"/>
      <c r="U94" s="236"/>
      <c r="V94" s="275"/>
      <c r="W94" s="411"/>
      <c r="AE94" s="239">
        <v>297</v>
      </c>
      <c r="AF94" s="280" t="s">
        <v>134</v>
      </c>
      <c r="AG94" s="280" t="s">
        <v>135</v>
      </c>
    </row>
    <row r="95" spans="1:33" ht="18.3" outlineLevel="1">
      <c r="A95" s="338" t="s">
        <v>96</v>
      </c>
      <c r="B95" s="304"/>
      <c r="C95" s="305"/>
      <c r="D95" s="339"/>
      <c r="E95" s="340"/>
      <c r="F95" s="308">
        <f>SUM(F93:F94)</f>
        <v>130000</v>
      </c>
      <c r="G95" s="305"/>
      <c r="H95" s="339"/>
      <c r="I95" s="309"/>
      <c r="J95" s="308">
        <f>SUM(J93:J94)</f>
        <v>0</v>
      </c>
      <c r="K95" s="305"/>
      <c r="L95" s="339"/>
      <c r="M95" s="340"/>
      <c r="N95" s="308">
        <f>SUM(N93:N94)</f>
        <v>0</v>
      </c>
      <c r="O95" s="305"/>
      <c r="P95" s="339"/>
      <c r="Q95" s="309"/>
      <c r="R95" s="308">
        <f>SUM(R93:R94)</f>
        <v>0</v>
      </c>
      <c r="S95" s="305"/>
      <c r="T95" s="339"/>
      <c r="U95" s="309"/>
      <c r="V95" s="308">
        <f>SUM(V93:V94)</f>
        <v>0</v>
      </c>
      <c r="W95" s="414">
        <f>+F95+J95+N95+R95+V95</f>
        <v>130000</v>
      </c>
      <c r="AE95" s="239"/>
      <c r="AF95" s="280"/>
      <c r="AG95" s="345"/>
    </row>
    <row r="96" spans="1:33" ht="15.6" outlineLevel="1">
      <c r="A96" s="267" t="s">
        <v>32</v>
      </c>
      <c r="B96" s="293"/>
      <c r="D96" s="342"/>
      <c r="F96" s="275"/>
      <c r="H96" s="342"/>
      <c r="I96" s="236"/>
      <c r="J96" s="275"/>
      <c r="L96" s="342"/>
      <c r="N96" s="275"/>
      <c r="P96" s="342"/>
      <c r="Q96" s="236"/>
      <c r="R96" s="275"/>
      <c r="T96" s="342"/>
      <c r="U96" s="236"/>
      <c r="V96" s="275"/>
      <c r="W96" s="411"/>
      <c r="AE96" s="239"/>
      <c r="AF96" s="280"/>
      <c r="AG96" s="280"/>
    </row>
    <row r="97" spans="1:33" ht="15.6" outlineLevel="1">
      <c r="A97" s="346" t="str">
        <f>'Program Budget'!D101</f>
        <v>Communications Costs (Internet, Phone, Data) (Nouakchott)</v>
      </c>
      <c r="B97" s="271" t="str">
        <f>'Program Budget'!F101</f>
        <v>Month</v>
      </c>
      <c r="C97" s="272">
        <f>'Program Budget'!H101</f>
        <v>200</v>
      </c>
      <c r="D97" s="273">
        <f>'Program Budget'!G101</f>
        <v>3</v>
      </c>
      <c r="E97" s="274">
        <v>1</v>
      </c>
      <c r="F97" s="275">
        <f>C97*D97*E97</f>
        <v>600</v>
      </c>
      <c r="G97" s="272">
        <f>C97*1.04</f>
        <v>208</v>
      </c>
      <c r="H97" s="273">
        <f>'Program Budget'!K101</f>
        <v>12</v>
      </c>
      <c r="I97" s="274">
        <v>1</v>
      </c>
      <c r="J97" s="275">
        <f>G97*H97*I97</f>
        <v>2496</v>
      </c>
      <c r="K97" s="272">
        <f>G97*1.04</f>
        <v>216.32</v>
      </c>
      <c r="L97" s="273">
        <f>'Program Budget'!N101</f>
        <v>12</v>
      </c>
      <c r="M97" s="274">
        <v>1</v>
      </c>
      <c r="N97" s="275">
        <f>K97*L97*M97</f>
        <v>2595.84</v>
      </c>
      <c r="O97" s="272">
        <f>K97*1.04</f>
        <v>224.97280000000001</v>
      </c>
      <c r="P97" s="273">
        <f>'Program Budget'!Q101</f>
        <v>12</v>
      </c>
      <c r="Q97" s="274">
        <v>1</v>
      </c>
      <c r="R97" s="275">
        <f>O97*P97*Q97</f>
        <v>2699.6736000000001</v>
      </c>
      <c r="S97" s="272">
        <f>O97*1.04</f>
        <v>233.97171200000003</v>
      </c>
      <c r="T97" s="273">
        <f>'Program Budget'!T101</f>
        <v>6</v>
      </c>
      <c r="U97" s="274">
        <v>1</v>
      </c>
      <c r="V97" s="275">
        <f>S97*T97*U97</f>
        <v>1403.8302720000002</v>
      </c>
      <c r="W97" s="411">
        <f>F97+J97+N97+R97+V97</f>
        <v>9795.3438720000013</v>
      </c>
      <c r="AE97" s="239"/>
      <c r="AF97" s="280"/>
      <c r="AG97" s="345"/>
    </row>
    <row r="98" spans="1:33" ht="15.6" outlineLevel="1">
      <c r="A98" s="346" t="str">
        <f>'Program Budget'!D102</f>
        <v>Office Rent, Utilities &amp; Security (Nouakchott)</v>
      </c>
      <c r="B98" s="271" t="str">
        <f>'Program Budget'!F102</f>
        <v>Month</v>
      </c>
      <c r="C98" s="272">
        <f>'Program Budget'!H102</f>
        <v>3100</v>
      </c>
      <c r="D98" s="273">
        <f>'Program Budget'!G102</f>
        <v>3</v>
      </c>
      <c r="E98" s="274">
        <v>1</v>
      </c>
      <c r="F98" s="275">
        <f t="shared" ref="F98:F99" si="166">C98*D98*E98</f>
        <v>9300</v>
      </c>
      <c r="G98" s="272">
        <f t="shared" ref="G98:G99" si="167">C98*1.04</f>
        <v>3224</v>
      </c>
      <c r="H98" s="273">
        <f>'Program Budget'!K102</f>
        <v>12</v>
      </c>
      <c r="I98" s="274">
        <v>1</v>
      </c>
      <c r="J98" s="275">
        <f t="shared" ref="J98:J99" si="168">G98*H98*I98</f>
        <v>38688</v>
      </c>
      <c r="K98" s="272">
        <f t="shared" ref="K98:K99" si="169">G98*1.04</f>
        <v>3352.96</v>
      </c>
      <c r="L98" s="273">
        <f>'Program Budget'!N102</f>
        <v>12</v>
      </c>
      <c r="M98" s="274">
        <v>1</v>
      </c>
      <c r="N98" s="275">
        <f t="shared" ref="N98:N99" si="170">K98*L98*M98</f>
        <v>40235.520000000004</v>
      </c>
      <c r="O98" s="272">
        <f t="shared" ref="O98:O99" si="171">K98*1.04</f>
        <v>3487.0784000000003</v>
      </c>
      <c r="P98" s="273">
        <f>'Program Budget'!Q102</f>
        <v>12</v>
      </c>
      <c r="Q98" s="274">
        <v>1</v>
      </c>
      <c r="R98" s="275">
        <f t="shared" ref="R98:R99" si="172">O98*P98*Q98</f>
        <v>41844.940800000004</v>
      </c>
      <c r="S98" s="272">
        <f t="shared" ref="S98:S99" si="173">O98*1.04</f>
        <v>3626.5615360000006</v>
      </c>
      <c r="T98" s="273">
        <f>'Program Budget'!T102</f>
        <v>6</v>
      </c>
      <c r="U98" s="274">
        <v>1</v>
      </c>
      <c r="V98" s="275">
        <f t="shared" ref="V98:V99" si="174">S98*T98*U98</f>
        <v>21759.369216000003</v>
      </c>
      <c r="W98" s="411">
        <f t="shared" ref="W98:W99" si="175">F98+J98+N98+R98+V98</f>
        <v>151827.83001599999</v>
      </c>
      <c r="AE98" s="239"/>
      <c r="AF98" s="280"/>
      <c r="AG98" s="345"/>
    </row>
    <row r="99" spans="1:33" ht="15.6" outlineLevel="1">
      <c r="A99" s="346" t="str">
        <f>'Program Budget'!D104</f>
        <v>Communications Costs (Internet, Phone, Data) (Rosso)</v>
      </c>
      <c r="B99" s="271" t="str">
        <f>'Program Budget'!F104</f>
        <v>Month</v>
      </c>
      <c r="C99" s="272">
        <f>'Program Budget'!H104</f>
        <v>100</v>
      </c>
      <c r="D99" s="273">
        <f>'Program Budget'!G104</f>
        <v>3</v>
      </c>
      <c r="E99" s="274">
        <v>1</v>
      </c>
      <c r="F99" s="275">
        <f t="shared" si="166"/>
        <v>300</v>
      </c>
      <c r="G99" s="272">
        <f t="shared" si="167"/>
        <v>104</v>
      </c>
      <c r="H99" s="273">
        <f>'Program Budget'!K104</f>
        <v>12</v>
      </c>
      <c r="I99" s="274">
        <v>1</v>
      </c>
      <c r="J99" s="275">
        <f t="shared" si="168"/>
        <v>1248</v>
      </c>
      <c r="K99" s="272">
        <f t="shared" si="169"/>
        <v>108.16</v>
      </c>
      <c r="L99" s="273">
        <f>'Program Budget'!N104</f>
        <v>12</v>
      </c>
      <c r="M99" s="274">
        <v>1</v>
      </c>
      <c r="N99" s="275">
        <f t="shared" si="170"/>
        <v>1297.92</v>
      </c>
      <c r="O99" s="272">
        <f t="shared" si="171"/>
        <v>112.4864</v>
      </c>
      <c r="P99" s="273">
        <f>'Program Budget'!Q104</f>
        <v>12</v>
      </c>
      <c r="Q99" s="274">
        <v>1</v>
      </c>
      <c r="R99" s="275">
        <f t="shared" si="172"/>
        <v>1349.8368</v>
      </c>
      <c r="S99" s="272">
        <f t="shared" si="173"/>
        <v>116.98585600000001</v>
      </c>
      <c r="T99" s="273">
        <f>'Program Budget'!T104</f>
        <v>6</v>
      </c>
      <c r="U99" s="274">
        <v>1</v>
      </c>
      <c r="V99" s="275">
        <f t="shared" si="174"/>
        <v>701.91513600000008</v>
      </c>
      <c r="W99" s="411">
        <f t="shared" si="175"/>
        <v>4897.6719360000006</v>
      </c>
      <c r="AE99" s="239"/>
      <c r="AF99" s="280"/>
      <c r="AG99" s="345"/>
    </row>
    <row r="100" spans="1:33" ht="15.6" outlineLevel="1">
      <c r="A100" s="346" t="str">
        <f>'Program Budget'!D105</f>
        <v>Office Rent, Utilities &amp; Security (Rosso)</v>
      </c>
      <c r="B100" s="271" t="str">
        <f>'Program Budget'!F105</f>
        <v>Month</v>
      </c>
      <c r="C100" s="272">
        <f>'Program Budget'!H105</f>
        <v>2500</v>
      </c>
      <c r="D100" s="273">
        <f>'Program Budget'!G105</f>
        <v>3</v>
      </c>
      <c r="E100" s="274">
        <v>1</v>
      </c>
      <c r="F100" s="275">
        <f>C100*D100*E100</f>
        <v>7500</v>
      </c>
      <c r="G100" s="272">
        <f>C100*1.04</f>
        <v>2600</v>
      </c>
      <c r="H100" s="273">
        <f>'Program Budget'!K105</f>
        <v>12</v>
      </c>
      <c r="I100" s="274">
        <v>1</v>
      </c>
      <c r="J100" s="275">
        <f>G100*H100*I100</f>
        <v>31200</v>
      </c>
      <c r="K100" s="272">
        <f>G100*1.04</f>
        <v>2704</v>
      </c>
      <c r="L100" s="273">
        <f>'Program Budget'!N105</f>
        <v>12</v>
      </c>
      <c r="M100" s="274">
        <v>1</v>
      </c>
      <c r="N100" s="275">
        <f>K100*L100*M100</f>
        <v>32448</v>
      </c>
      <c r="O100" s="272">
        <f>K100*1.04</f>
        <v>2812.1600000000003</v>
      </c>
      <c r="P100" s="273">
        <f>'Program Budget'!Q105</f>
        <v>12</v>
      </c>
      <c r="Q100" s="274">
        <v>1</v>
      </c>
      <c r="R100" s="275">
        <f>O100*P100*Q100</f>
        <v>33745.920000000006</v>
      </c>
      <c r="S100" s="272">
        <f>O100*1.04</f>
        <v>2924.6464000000005</v>
      </c>
      <c r="T100" s="273">
        <f>'Program Budget'!T105</f>
        <v>6</v>
      </c>
      <c r="U100" s="274">
        <v>1</v>
      </c>
      <c r="V100" s="275">
        <f>S100*T100*U100</f>
        <v>17547.878400000001</v>
      </c>
      <c r="W100" s="411">
        <f>F100+J100+N100+R100+V100</f>
        <v>122441.79840000001</v>
      </c>
      <c r="AE100" s="239"/>
      <c r="AF100" s="280"/>
      <c r="AG100" s="345"/>
    </row>
    <row r="101" spans="1:33" ht="15.6" outlineLevel="1">
      <c r="A101" s="346" t="str">
        <f>'Program Budget'!D107</f>
        <v>Banking and Cash Handling Fees</v>
      </c>
      <c r="B101" s="271" t="str">
        <f>'Program Budget'!F107</f>
        <v>Month</v>
      </c>
      <c r="C101" s="272">
        <f>'Program Budget'!H107</f>
        <v>100</v>
      </c>
      <c r="D101" s="273">
        <f>'Program Budget'!G107</f>
        <v>9</v>
      </c>
      <c r="E101" s="274">
        <v>1</v>
      </c>
      <c r="F101" s="275">
        <f t="shared" ref="F101:F106" si="176">C101*D101*E101</f>
        <v>900</v>
      </c>
      <c r="G101" s="272">
        <f t="shared" ref="G101:G106" si="177">C101*1.04</f>
        <v>104</v>
      </c>
      <c r="H101" s="273">
        <f>'Program Budget'!K107</f>
        <v>12</v>
      </c>
      <c r="I101" s="274">
        <v>1</v>
      </c>
      <c r="J101" s="275">
        <f t="shared" ref="J101:J106" si="178">G101*H101*I101</f>
        <v>1248</v>
      </c>
      <c r="K101" s="272">
        <f t="shared" ref="K101:K106" si="179">G101*1.04</f>
        <v>108.16</v>
      </c>
      <c r="L101" s="273">
        <f>'Program Budget'!N107</f>
        <v>12</v>
      </c>
      <c r="M101" s="274">
        <v>1</v>
      </c>
      <c r="N101" s="275">
        <f t="shared" ref="N101:N106" si="180">K101*L101*M101</f>
        <v>1297.92</v>
      </c>
      <c r="O101" s="272">
        <f t="shared" ref="O101:O106" si="181">K101*1.04</f>
        <v>112.4864</v>
      </c>
      <c r="P101" s="273">
        <f>'Program Budget'!Q107</f>
        <v>12</v>
      </c>
      <c r="Q101" s="274">
        <v>1</v>
      </c>
      <c r="R101" s="275">
        <f t="shared" ref="R101:R106" si="182">O101*P101*Q101</f>
        <v>1349.8368</v>
      </c>
      <c r="S101" s="272">
        <f t="shared" ref="S101:S106" si="183">O101*1.04</f>
        <v>116.98585600000001</v>
      </c>
      <c r="T101" s="273">
        <f>'Program Budget'!T107</f>
        <v>6</v>
      </c>
      <c r="U101" s="274">
        <v>1</v>
      </c>
      <c r="V101" s="275">
        <f t="shared" ref="V101:V106" si="184">S101*T101*U101</f>
        <v>701.91513600000008</v>
      </c>
      <c r="W101" s="411">
        <f t="shared" ref="W101:W106" si="185">F101+J101+N101+R101+V101</f>
        <v>5497.6719360000006</v>
      </c>
      <c r="AE101" s="239"/>
      <c r="AF101" s="280"/>
      <c r="AG101" s="345"/>
    </row>
    <row r="102" spans="1:33" ht="15.6" outlineLevel="1">
      <c r="A102" s="346" t="str">
        <f>'Program Budget'!D108</f>
        <v>Courier fees/services/Postage</v>
      </c>
      <c r="B102" s="271" t="str">
        <f>'Program Budget'!F108</f>
        <v>Month</v>
      </c>
      <c r="C102" s="272">
        <f>'Program Budget'!H108</f>
        <v>35</v>
      </c>
      <c r="D102" s="273">
        <f>'Program Budget'!G108</f>
        <v>9</v>
      </c>
      <c r="E102" s="274">
        <v>1</v>
      </c>
      <c r="F102" s="275">
        <f t="shared" si="176"/>
        <v>315</v>
      </c>
      <c r="G102" s="272">
        <f t="shared" si="177"/>
        <v>36.4</v>
      </c>
      <c r="H102" s="273">
        <f>'Program Budget'!K108</f>
        <v>12</v>
      </c>
      <c r="I102" s="274">
        <v>1</v>
      </c>
      <c r="J102" s="275">
        <f t="shared" si="178"/>
        <v>436.79999999999995</v>
      </c>
      <c r="K102" s="272">
        <f t="shared" si="179"/>
        <v>37.856000000000002</v>
      </c>
      <c r="L102" s="273">
        <f>'Program Budget'!N108</f>
        <v>12</v>
      </c>
      <c r="M102" s="274">
        <v>1</v>
      </c>
      <c r="N102" s="275">
        <f t="shared" si="180"/>
        <v>454.27200000000005</v>
      </c>
      <c r="O102" s="272">
        <f t="shared" si="181"/>
        <v>39.370240000000003</v>
      </c>
      <c r="P102" s="273">
        <f>'Program Budget'!Q108</f>
        <v>12</v>
      </c>
      <c r="Q102" s="274">
        <v>1</v>
      </c>
      <c r="R102" s="275">
        <f t="shared" si="182"/>
        <v>472.44288000000006</v>
      </c>
      <c r="S102" s="272">
        <f t="shared" si="183"/>
        <v>40.945049600000004</v>
      </c>
      <c r="T102" s="273">
        <f>'Program Budget'!T108</f>
        <v>6</v>
      </c>
      <c r="U102" s="274">
        <v>1</v>
      </c>
      <c r="V102" s="275">
        <f t="shared" si="184"/>
        <v>245.67029760000003</v>
      </c>
      <c r="W102" s="411">
        <f t="shared" si="185"/>
        <v>1924.1851776000003</v>
      </c>
      <c r="AE102" s="239"/>
      <c r="AF102" s="280"/>
      <c r="AG102" s="345"/>
    </row>
    <row r="103" spans="1:33" ht="15.6" outlineLevel="1">
      <c r="A103" s="346" t="str">
        <f>'Program Budget'!D109</f>
        <v xml:space="preserve">Recruitment/Procurement Advertising </v>
      </c>
      <c r="B103" s="271" t="str">
        <f>'Program Budget'!F109</f>
        <v>Year</v>
      </c>
      <c r="C103" s="272">
        <f>'Program Budget'!H109</f>
        <v>500</v>
      </c>
      <c r="D103" s="273">
        <f>'Program Budget'!G109</f>
        <v>1</v>
      </c>
      <c r="E103" s="274">
        <v>1</v>
      </c>
      <c r="F103" s="275">
        <f t="shared" si="176"/>
        <v>500</v>
      </c>
      <c r="G103" s="272">
        <f t="shared" si="177"/>
        <v>520</v>
      </c>
      <c r="H103" s="273">
        <f>'Program Budget'!K109</f>
        <v>1</v>
      </c>
      <c r="I103" s="274">
        <v>1</v>
      </c>
      <c r="J103" s="275">
        <f t="shared" si="178"/>
        <v>520</v>
      </c>
      <c r="K103" s="272">
        <f t="shared" si="179"/>
        <v>540.80000000000007</v>
      </c>
      <c r="L103" s="273">
        <f>'Program Budget'!N109</f>
        <v>1</v>
      </c>
      <c r="M103" s="274">
        <v>1</v>
      </c>
      <c r="N103" s="275">
        <f t="shared" si="180"/>
        <v>540.80000000000007</v>
      </c>
      <c r="O103" s="272">
        <f t="shared" si="181"/>
        <v>562.43200000000013</v>
      </c>
      <c r="P103" s="273">
        <f>'Program Budget'!Q109</f>
        <v>1</v>
      </c>
      <c r="Q103" s="274">
        <v>1</v>
      </c>
      <c r="R103" s="275">
        <f t="shared" si="182"/>
        <v>562.43200000000013</v>
      </c>
      <c r="S103" s="272">
        <f t="shared" si="183"/>
        <v>584.92928000000018</v>
      </c>
      <c r="T103" s="273">
        <f>'Program Budget'!T109</f>
        <v>1</v>
      </c>
      <c r="U103" s="274">
        <v>1</v>
      </c>
      <c r="V103" s="275">
        <f t="shared" si="184"/>
        <v>584.92928000000018</v>
      </c>
      <c r="W103" s="411">
        <f t="shared" si="185"/>
        <v>2708.1612800000007</v>
      </c>
      <c r="AE103" s="239"/>
      <c r="AF103" s="280"/>
      <c r="AG103" s="345"/>
    </row>
    <row r="104" spans="1:33" ht="15.6" outlineLevel="1">
      <c r="A104" s="346" t="str">
        <f>'Program Budget'!D110</f>
        <v>Meeting Expenses</v>
      </c>
      <c r="B104" s="271" t="str">
        <f>'Program Budget'!F110</f>
        <v>Month</v>
      </c>
      <c r="C104" s="272">
        <f>'Program Budget'!H110</f>
        <v>250</v>
      </c>
      <c r="D104" s="273">
        <f>'Program Budget'!G110</f>
        <v>9</v>
      </c>
      <c r="E104" s="274">
        <v>1</v>
      </c>
      <c r="F104" s="275">
        <f t="shared" si="176"/>
        <v>2250</v>
      </c>
      <c r="G104" s="272">
        <f t="shared" si="177"/>
        <v>260</v>
      </c>
      <c r="H104" s="273">
        <f>'Program Budget'!K110</f>
        <v>12</v>
      </c>
      <c r="I104" s="274">
        <v>1</v>
      </c>
      <c r="J104" s="275">
        <f t="shared" si="178"/>
        <v>3120</v>
      </c>
      <c r="K104" s="272">
        <f t="shared" si="179"/>
        <v>270.40000000000003</v>
      </c>
      <c r="L104" s="273">
        <f>'Program Budget'!N110</f>
        <v>12</v>
      </c>
      <c r="M104" s="274">
        <v>1</v>
      </c>
      <c r="N104" s="275">
        <f t="shared" si="180"/>
        <v>3244.8</v>
      </c>
      <c r="O104" s="272">
        <f t="shared" si="181"/>
        <v>281.21600000000007</v>
      </c>
      <c r="P104" s="273">
        <f>'Program Budget'!Q110</f>
        <v>12</v>
      </c>
      <c r="Q104" s="274">
        <v>1</v>
      </c>
      <c r="R104" s="275">
        <f t="shared" si="182"/>
        <v>3374.5920000000006</v>
      </c>
      <c r="S104" s="272">
        <f t="shared" si="183"/>
        <v>292.46464000000009</v>
      </c>
      <c r="T104" s="273">
        <f>'Program Budget'!T110</f>
        <v>6</v>
      </c>
      <c r="U104" s="274">
        <v>1</v>
      </c>
      <c r="V104" s="275">
        <f t="shared" si="184"/>
        <v>1754.7878400000004</v>
      </c>
      <c r="W104" s="411">
        <f t="shared" si="185"/>
        <v>13744.179840000001</v>
      </c>
      <c r="AE104" s="239"/>
      <c r="AF104" s="280"/>
      <c r="AG104" s="345"/>
    </row>
    <row r="105" spans="1:33" ht="15.6" outlineLevel="1">
      <c r="A105" s="346" t="str">
        <f>'Program Budget'!D111</f>
        <v>Payroll Processing and Local Accounting Books Preparation</v>
      </c>
      <c r="B105" s="271" t="str">
        <f>'Program Budget'!F111</f>
        <v>Month</v>
      </c>
      <c r="C105" s="272">
        <f>'Program Budget'!H111</f>
        <v>325</v>
      </c>
      <c r="D105" s="273">
        <f>'Program Budget'!G111</f>
        <v>9</v>
      </c>
      <c r="E105" s="274">
        <v>1</v>
      </c>
      <c r="F105" s="275">
        <f t="shared" si="176"/>
        <v>2925</v>
      </c>
      <c r="G105" s="272">
        <f t="shared" si="177"/>
        <v>338</v>
      </c>
      <c r="H105" s="273">
        <f>'Program Budget'!K111</f>
        <v>12</v>
      </c>
      <c r="I105" s="274">
        <v>1</v>
      </c>
      <c r="J105" s="275">
        <f t="shared" si="178"/>
        <v>4056</v>
      </c>
      <c r="K105" s="272">
        <f t="shared" si="179"/>
        <v>351.52000000000004</v>
      </c>
      <c r="L105" s="273">
        <f>'Program Budget'!N111</f>
        <v>12</v>
      </c>
      <c r="M105" s="274">
        <v>1</v>
      </c>
      <c r="N105" s="275">
        <f t="shared" si="180"/>
        <v>4218.2400000000007</v>
      </c>
      <c r="O105" s="272">
        <f t="shared" si="181"/>
        <v>365.58080000000007</v>
      </c>
      <c r="P105" s="273">
        <f>'Program Budget'!Q111</f>
        <v>12</v>
      </c>
      <c r="Q105" s="274">
        <v>1</v>
      </c>
      <c r="R105" s="275">
        <f t="shared" si="182"/>
        <v>4386.9696000000004</v>
      </c>
      <c r="S105" s="272">
        <f t="shared" si="183"/>
        <v>380.2040320000001</v>
      </c>
      <c r="T105" s="273">
        <f>'Program Budget'!T111</f>
        <v>9</v>
      </c>
      <c r="U105" s="274">
        <v>1</v>
      </c>
      <c r="V105" s="275">
        <f t="shared" si="184"/>
        <v>3421.8362880000009</v>
      </c>
      <c r="W105" s="411">
        <f t="shared" si="185"/>
        <v>19008.045888000004</v>
      </c>
      <c r="AE105" s="239"/>
      <c r="AF105" s="280"/>
      <c r="AG105" s="345"/>
    </row>
    <row r="106" spans="1:33" ht="15.6" outlineLevel="1">
      <c r="A106" s="346" t="str">
        <f>'Program Budget'!D112</f>
        <v>Licenses &amp; Subscriptions (Microsoft 365, Replicon, PandaDoc, BambooHR)</v>
      </c>
      <c r="B106" s="271" t="str">
        <f>'Program Budget'!F112</f>
        <v>Month</v>
      </c>
      <c r="C106" s="272">
        <f>'Program Budget'!H112</f>
        <v>900</v>
      </c>
      <c r="D106" s="273">
        <f>'Program Budget'!G112</f>
        <v>9</v>
      </c>
      <c r="E106" s="274">
        <v>1</v>
      </c>
      <c r="F106" s="275">
        <f t="shared" si="176"/>
        <v>8100</v>
      </c>
      <c r="G106" s="272">
        <f t="shared" si="177"/>
        <v>936</v>
      </c>
      <c r="H106" s="273">
        <f>'Program Budget'!K112</f>
        <v>12</v>
      </c>
      <c r="I106" s="274">
        <v>1</v>
      </c>
      <c r="J106" s="275">
        <f t="shared" si="178"/>
        <v>11232</v>
      </c>
      <c r="K106" s="272">
        <f t="shared" si="179"/>
        <v>973.44</v>
      </c>
      <c r="L106" s="273">
        <f>'Program Budget'!N112</f>
        <v>12</v>
      </c>
      <c r="M106" s="274">
        <v>1</v>
      </c>
      <c r="N106" s="275">
        <f t="shared" si="180"/>
        <v>11681.28</v>
      </c>
      <c r="O106" s="272">
        <f t="shared" si="181"/>
        <v>1012.3776000000001</v>
      </c>
      <c r="P106" s="273">
        <f>'Program Budget'!Q112</f>
        <v>12</v>
      </c>
      <c r="Q106" s="274">
        <v>1</v>
      </c>
      <c r="R106" s="275">
        <f t="shared" si="182"/>
        <v>12148.531200000001</v>
      </c>
      <c r="S106" s="272">
        <f t="shared" si="183"/>
        <v>1052.8727040000001</v>
      </c>
      <c r="T106" s="273">
        <f>'Program Budget'!T112</f>
        <v>9</v>
      </c>
      <c r="U106" s="274">
        <v>1</v>
      </c>
      <c r="V106" s="275">
        <f t="shared" si="184"/>
        <v>9475.8543360000003</v>
      </c>
      <c r="W106" s="411">
        <f t="shared" si="185"/>
        <v>52637.665536</v>
      </c>
      <c r="AE106" s="239"/>
      <c r="AF106" s="280"/>
      <c r="AG106" s="345"/>
    </row>
    <row r="107" spans="1:33" outlineLevel="1">
      <c r="A107" s="403"/>
      <c r="B107" s="293"/>
      <c r="D107" s="342"/>
      <c r="F107" s="275"/>
      <c r="H107" s="342"/>
      <c r="I107" s="236"/>
      <c r="J107" s="275"/>
      <c r="L107" s="342"/>
      <c r="N107" s="275"/>
      <c r="P107" s="342"/>
      <c r="Q107" s="236"/>
      <c r="R107" s="275"/>
      <c r="T107" s="342"/>
      <c r="U107" s="236"/>
      <c r="V107" s="275"/>
      <c r="W107" s="411"/>
      <c r="AE107" s="239"/>
      <c r="AF107" s="280"/>
      <c r="AG107" s="280"/>
    </row>
    <row r="108" spans="1:33" ht="18.3" outlineLevel="1">
      <c r="A108" s="338" t="s">
        <v>97</v>
      </c>
      <c r="B108" s="304"/>
      <c r="C108" s="305"/>
      <c r="D108" s="339"/>
      <c r="E108" s="340"/>
      <c r="F108" s="308">
        <f>SUM(F97:F106)</f>
        <v>32690</v>
      </c>
      <c r="G108" s="305"/>
      <c r="H108" s="339"/>
      <c r="I108" s="309"/>
      <c r="J108" s="308">
        <f>SUM(J97:J106)</f>
        <v>94244.800000000003</v>
      </c>
      <c r="K108" s="305"/>
      <c r="L108" s="339"/>
      <c r="M108" s="340"/>
      <c r="N108" s="308">
        <f>SUM(N97:N106)</f>
        <v>98014.592000000004</v>
      </c>
      <c r="O108" s="305"/>
      <c r="P108" s="339"/>
      <c r="Q108" s="309"/>
      <c r="R108" s="308">
        <f>SUM(R97:R106)</f>
        <v>101935.17568000001</v>
      </c>
      <c r="S108" s="305"/>
      <c r="T108" s="339"/>
      <c r="U108" s="309"/>
      <c r="V108" s="308">
        <f>SUM(V97:V106)</f>
        <v>57597.986201599997</v>
      </c>
      <c r="W108" s="414">
        <f>+F108+J108+N108+R108+V108</f>
        <v>384482.55388159998</v>
      </c>
      <c r="AE108" s="239">
        <v>236</v>
      </c>
      <c r="AF108" s="280" t="s">
        <v>136</v>
      </c>
      <c r="AG108" s="345" t="s">
        <v>137</v>
      </c>
    </row>
    <row r="109" spans="1:33" ht="15.6" outlineLevel="1">
      <c r="A109" s="267" t="s">
        <v>33</v>
      </c>
      <c r="B109" s="341"/>
      <c r="D109" s="342"/>
      <c r="E109" s="343"/>
      <c r="F109" s="325"/>
      <c r="H109" s="342"/>
      <c r="I109" s="344"/>
      <c r="J109" s="298"/>
      <c r="L109" s="342"/>
      <c r="M109" s="343"/>
      <c r="N109" s="298"/>
      <c r="P109" s="342"/>
      <c r="Q109" s="344"/>
      <c r="R109" s="298"/>
      <c r="T109" s="342"/>
      <c r="U109" s="344"/>
      <c r="V109" s="298"/>
      <c r="W109" s="411"/>
      <c r="AE109" s="239">
        <v>236</v>
      </c>
      <c r="AF109" s="280" t="s">
        <v>136</v>
      </c>
      <c r="AG109" s="345" t="s">
        <v>137</v>
      </c>
    </row>
    <row r="110" spans="1:33" ht="15.6" outlineLevel="1">
      <c r="A110" s="346" t="str">
        <f>'Program Budget'!D117</f>
        <v xml:space="preserve">Desktop/Laptop Computers </v>
      </c>
      <c r="B110" s="271" t="str">
        <f>'Program Budget'!F117</f>
        <v>Unit</v>
      </c>
      <c r="C110" s="272">
        <f>'Program Budget'!H117</f>
        <v>1050</v>
      </c>
      <c r="D110" s="273">
        <f>'Program Budget'!G117</f>
        <v>12</v>
      </c>
      <c r="E110" s="274">
        <v>1</v>
      </c>
      <c r="F110" s="275">
        <f t="shared" ref="F110:F120" si="186">C110*D110*E110</f>
        <v>12600</v>
      </c>
      <c r="G110" s="272">
        <f t="shared" ref="G110:G120" si="187">C110*1.04</f>
        <v>1092</v>
      </c>
      <c r="H110" s="273">
        <f>'Program Budget'!K117</f>
        <v>0</v>
      </c>
      <c r="I110" s="274">
        <v>0</v>
      </c>
      <c r="J110" s="275">
        <f t="shared" ref="J110:J120" si="188">G110*H110*I110</f>
        <v>0</v>
      </c>
      <c r="K110" s="272">
        <f t="shared" ref="K110:K120" si="189">G110*1.04</f>
        <v>1135.68</v>
      </c>
      <c r="L110" s="273">
        <f>'Program Budget'!N117</f>
        <v>0</v>
      </c>
      <c r="M110" s="274">
        <v>0</v>
      </c>
      <c r="N110" s="275">
        <f t="shared" ref="N110:N120" si="190">K110*L110*M110</f>
        <v>0</v>
      </c>
      <c r="O110" s="272">
        <f t="shared" ref="O110:O120" si="191">K110*1.04</f>
        <v>1181.1072000000001</v>
      </c>
      <c r="P110" s="273">
        <f>'Program Budget'!Q117</f>
        <v>0</v>
      </c>
      <c r="Q110" s="274">
        <v>0</v>
      </c>
      <c r="R110" s="275">
        <f t="shared" ref="R110:R120" si="192">O110*P110*Q110</f>
        <v>0</v>
      </c>
      <c r="S110" s="272">
        <f t="shared" ref="S110:S120" si="193">O110*1.04</f>
        <v>1228.3514880000002</v>
      </c>
      <c r="T110" s="273">
        <f>'Program Budget'!T117</f>
        <v>0</v>
      </c>
      <c r="U110" s="274">
        <v>0</v>
      </c>
      <c r="V110" s="275">
        <f t="shared" ref="V110:V120" si="194">S110*T110*U110</f>
        <v>0</v>
      </c>
      <c r="W110" s="411">
        <f t="shared" ref="W110:W120" si="195">F110+J110+N110+R110+V110</f>
        <v>12600</v>
      </c>
      <c r="AE110" s="239"/>
      <c r="AF110" s="280"/>
      <c r="AG110" s="345"/>
    </row>
    <row r="111" spans="1:33" ht="15.6" outlineLevel="1">
      <c r="A111" s="346" t="str">
        <f>'Program Budget'!D118</f>
        <v>All in One: Printer, Photocopier &amp; Scanner</v>
      </c>
      <c r="B111" s="271" t="str">
        <f>'Program Budget'!F118</f>
        <v>Unit</v>
      </c>
      <c r="C111" s="272">
        <f>'Program Budget'!H118</f>
        <v>265</v>
      </c>
      <c r="D111" s="273">
        <f>'Program Budget'!G118</f>
        <v>2</v>
      </c>
      <c r="E111" s="274">
        <v>1</v>
      </c>
      <c r="F111" s="275">
        <f t="shared" si="186"/>
        <v>530</v>
      </c>
      <c r="G111" s="272">
        <f t="shared" si="187"/>
        <v>275.60000000000002</v>
      </c>
      <c r="H111" s="273">
        <f>'Program Budget'!K118</f>
        <v>0</v>
      </c>
      <c r="I111" s="274">
        <v>0</v>
      </c>
      <c r="J111" s="275">
        <f t="shared" si="188"/>
        <v>0</v>
      </c>
      <c r="K111" s="272">
        <f t="shared" si="189"/>
        <v>286.62400000000002</v>
      </c>
      <c r="L111" s="273">
        <f>'Program Budget'!N118</f>
        <v>0</v>
      </c>
      <c r="M111" s="274">
        <v>0</v>
      </c>
      <c r="N111" s="275">
        <f t="shared" si="190"/>
        <v>0</v>
      </c>
      <c r="O111" s="272">
        <f t="shared" si="191"/>
        <v>298.08896000000004</v>
      </c>
      <c r="P111" s="273">
        <f>'Program Budget'!Q118</f>
        <v>0</v>
      </c>
      <c r="Q111" s="274">
        <v>0</v>
      </c>
      <c r="R111" s="275">
        <f t="shared" si="192"/>
        <v>0</v>
      </c>
      <c r="S111" s="272">
        <f t="shared" si="193"/>
        <v>310.01251840000003</v>
      </c>
      <c r="T111" s="273">
        <f>'Program Budget'!T118</f>
        <v>0</v>
      </c>
      <c r="U111" s="274">
        <v>0</v>
      </c>
      <c r="V111" s="275">
        <f t="shared" si="194"/>
        <v>0</v>
      </c>
      <c r="W111" s="411">
        <f t="shared" si="195"/>
        <v>530</v>
      </c>
      <c r="AE111" s="239"/>
      <c r="AF111" s="280"/>
      <c r="AG111" s="345"/>
    </row>
    <row r="112" spans="1:33" ht="15.6" outlineLevel="1">
      <c r="A112" s="346" t="str">
        <f>'Program Budget'!D119</f>
        <v>Projector</v>
      </c>
      <c r="B112" s="271" t="str">
        <f>'Program Budget'!F119</f>
        <v>Unit</v>
      </c>
      <c r="C112" s="272">
        <f>'Program Budget'!H119</f>
        <v>246.24</v>
      </c>
      <c r="D112" s="273">
        <f>'Program Budget'!G119</f>
        <v>1</v>
      </c>
      <c r="E112" s="274">
        <v>1</v>
      </c>
      <c r="F112" s="275">
        <f t="shared" si="186"/>
        <v>246.24</v>
      </c>
      <c r="G112" s="272">
        <f t="shared" si="187"/>
        <v>256.08960000000002</v>
      </c>
      <c r="H112" s="273">
        <f>'Program Budget'!K119</f>
        <v>0</v>
      </c>
      <c r="I112" s="274">
        <v>0</v>
      </c>
      <c r="J112" s="275">
        <f t="shared" si="188"/>
        <v>0</v>
      </c>
      <c r="K112" s="272">
        <f t="shared" si="189"/>
        <v>266.33318400000002</v>
      </c>
      <c r="L112" s="273">
        <f>'Program Budget'!N119</f>
        <v>0</v>
      </c>
      <c r="M112" s="274">
        <v>0</v>
      </c>
      <c r="N112" s="275">
        <f t="shared" si="190"/>
        <v>0</v>
      </c>
      <c r="O112" s="272">
        <f t="shared" si="191"/>
        <v>276.98651136000001</v>
      </c>
      <c r="P112" s="273">
        <f>'Program Budget'!Q119</f>
        <v>0</v>
      </c>
      <c r="Q112" s="274">
        <v>0</v>
      </c>
      <c r="R112" s="275">
        <f t="shared" si="192"/>
        <v>0</v>
      </c>
      <c r="S112" s="272">
        <f t="shared" si="193"/>
        <v>288.06597181440003</v>
      </c>
      <c r="T112" s="273">
        <f>'Program Budget'!T119</f>
        <v>0</v>
      </c>
      <c r="U112" s="274">
        <v>0</v>
      </c>
      <c r="V112" s="275">
        <f t="shared" si="194"/>
        <v>0</v>
      </c>
      <c r="W112" s="411">
        <f t="shared" si="195"/>
        <v>246.24</v>
      </c>
      <c r="AE112" s="239"/>
      <c r="AF112" s="280"/>
      <c r="AG112" s="345"/>
    </row>
    <row r="113" spans="1:33" ht="15.6" outlineLevel="1">
      <c r="A113" s="346" t="str">
        <f>'Program Budget'!D120</f>
        <v>Desks for Office</v>
      </c>
      <c r="B113" s="271" t="str">
        <f>'Program Budget'!F120</f>
        <v>Unit</v>
      </c>
      <c r="C113" s="272">
        <f>'Program Budget'!H120</f>
        <v>300</v>
      </c>
      <c r="D113" s="273">
        <f>'Program Budget'!G120</f>
        <v>16</v>
      </c>
      <c r="E113" s="274">
        <v>1</v>
      </c>
      <c r="F113" s="275">
        <f t="shared" ref="F113:F118" si="196">C113*D113*E113</f>
        <v>4800</v>
      </c>
      <c r="G113" s="272">
        <f t="shared" ref="G113:G118" si="197">C113*1.04</f>
        <v>312</v>
      </c>
      <c r="H113" s="273">
        <f>'Program Budget'!K120</f>
        <v>0</v>
      </c>
      <c r="I113" s="274">
        <v>1</v>
      </c>
      <c r="J113" s="275">
        <f t="shared" ref="J113:J118" si="198">G113*H113*I113</f>
        <v>0</v>
      </c>
      <c r="K113" s="272">
        <f t="shared" ref="K113:K118" si="199">G113*1.04</f>
        <v>324.48</v>
      </c>
      <c r="L113" s="273">
        <f>'Program Budget'!N120</f>
        <v>0</v>
      </c>
      <c r="M113" s="274">
        <v>1</v>
      </c>
      <c r="N113" s="275">
        <f t="shared" ref="N113:N118" si="200">K113*L113*M113</f>
        <v>0</v>
      </c>
      <c r="O113" s="272">
        <f t="shared" ref="O113:O118" si="201">K113*1.04</f>
        <v>337.45920000000001</v>
      </c>
      <c r="P113" s="273">
        <f>'Program Budget'!Q120</f>
        <v>0</v>
      </c>
      <c r="Q113" s="274">
        <v>1</v>
      </c>
      <c r="R113" s="275">
        <f t="shared" ref="R113:R118" si="202">O113*P113*Q113</f>
        <v>0</v>
      </c>
      <c r="S113" s="272">
        <f t="shared" ref="S113:S118" si="203">O113*1.04</f>
        <v>350.95756800000004</v>
      </c>
      <c r="T113" s="273">
        <f>'Program Budget'!T120</f>
        <v>0</v>
      </c>
      <c r="U113" s="274">
        <v>1</v>
      </c>
      <c r="V113" s="275">
        <f t="shared" ref="V113:V118" si="204">S113*T113*U113</f>
        <v>0</v>
      </c>
      <c r="W113" s="411">
        <f t="shared" ref="W113:W118" si="205">F113+J113+N113+R113+V113</f>
        <v>4800</v>
      </c>
      <c r="AE113" s="239"/>
      <c r="AF113" s="280"/>
      <c r="AG113" s="345"/>
    </row>
    <row r="114" spans="1:33" ht="15.6" outlineLevel="1">
      <c r="A114" s="346" t="str">
        <f>'Program Budget'!D121</f>
        <v>Chairs for Office</v>
      </c>
      <c r="B114" s="271" t="str">
        <f>'Program Budget'!F121</f>
        <v>Unit</v>
      </c>
      <c r="C114" s="272">
        <f>'Program Budget'!H121</f>
        <v>60</v>
      </c>
      <c r="D114" s="273">
        <f>'Program Budget'!G121</f>
        <v>36</v>
      </c>
      <c r="E114" s="274">
        <v>1</v>
      </c>
      <c r="F114" s="275">
        <f t="shared" si="196"/>
        <v>2160</v>
      </c>
      <c r="G114" s="272">
        <f t="shared" si="197"/>
        <v>62.400000000000006</v>
      </c>
      <c r="H114" s="273">
        <f>'Program Budget'!K121</f>
        <v>0</v>
      </c>
      <c r="I114" s="274">
        <v>1</v>
      </c>
      <c r="J114" s="275">
        <f t="shared" si="198"/>
        <v>0</v>
      </c>
      <c r="K114" s="272">
        <f t="shared" si="199"/>
        <v>64.896000000000015</v>
      </c>
      <c r="L114" s="273">
        <f>'Program Budget'!N121</f>
        <v>0</v>
      </c>
      <c r="M114" s="274">
        <v>1</v>
      </c>
      <c r="N114" s="275">
        <f t="shared" si="200"/>
        <v>0</v>
      </c>
      <c r="O114" s="272">
        <f t="shared" si="201"/>
        <v>67.491840000000025</v>
      </c>
      <c r="P114" s="273">
        <f>'Program Budget'!Q121</f>
        <v>0</v>
      </c>
      <c r="Q114" s="274">
        <v>1</v>
      </c>
      <c r="R114" s="275">
        <f t="shared" si="202"/>
        <v>0</v>
      </c>
      <c r="S114" s="272">
        <f t="shared" si="203"/>
        <v>70.191513600000022</v>
      </c>
      <c r="T114" s="273">
        <f>'Program Budget'!T121</f>
        <v>0</v>
      </c>
      <c r="U114" s="274">
        <v>1</v>
      </c>
      <c r="V114" s="275">
        <f t="shared" si="204"/>
        <v>0</v>
      </c>
      <c r="W114" s="411">
        <f t="shared" si="205"/>
        <v>2160</v>
      </c>
      <c r="AE114" s="239"/>
      <c r="AF114" s="280"/>
      <c r="AG114" s="345"/>
    </row>
    <row r="115" spans="1:33" ht="15.6" outlineLevel="1">
      <c r="A115" s="346" t="str">
        <f>'Program Budget'!D122</f>
        <v>Meeting Table for Office</v>
      </c>
      <c r="B115" s="271" t="str">
        <f>'Program Budget'!F122</f>
        <v>Unit</v>
      </c>
      <c r="C115" s="272">
        <f>'Program Budget'!H122</f>
        <v>350</v>
      </c>
      <c r="D115" s="273">
        <f>'Program Budget'!G122</f>
        <v>2</v>
      </c>
      <c r="E115" s="274">
        <v>1</v>
      </c>
      <c r="F115" s="275">
        <f t="shared" si="196"/>
        <v>700</v>
      </c>
      <c r="G115" s="272">
        <f t="shared" si="197"/>
        <v>364</v>
      </c>
      <c r="H115" s="273">
        <f>'Program Budget'!K122</f>
        <v>0</v>
      </c>
      <c r="I115" s="274">
        <v>1</v>
      </c>
      <c r="J115" s="275">
        <f t="shared" si="198"/>
        <v>0</v>
      </c>
      <c r="K115" s="272">
        <f t="shared" si="199"/>
        <v>378.56</v>
      </c>
      <c r="L115" s="273">
        <f>'Program Budget'!N122</f>
        <v>0</v>
      </c>
      <c r="M115" s="274">
        <v>1</v>
      </c>
      <c r="N115" s="275">
        <f t="shared" si="200"/>
        <v>0</v>
      </c>
      <c r="O115" s="272">
        <f t="shared" si="201"/>
        <v>393.70240000000001</v>
      </c>
      <c r="P115" s="273">
        <f>'Program Budget'!Q122</f>
        <v>0</v>
      </c>
      <c r="Q115" s="274">
        <v>1</v>
      </c>
      <c r="R115" s="275">
        <f t="shared" si="202"/>
        <v>0</v>
      </c>
      <c r="S115" s="272">
        <f t="shared" si="203"/>
        <v>409.45049600000004</v>
      </c>
      <c r="T115" s="273">
        <f>'Program Budget'!T122</f>
        <v>0</v>
      </c>
      <c r="U115" s="274">
        <v>1</v>
      </c>
      <c r="V115" s="275">
        <f t="shared" si="204"/>
        <v>0</v>
      </c>
      <c r="W115" s="411">
        <f t="shared" si="205"/>
        <v>700</v>
      </c>
      <c r="AE115" s="239"/>
      <c r="AF115" s="280"/>
      <c r="AG115" s="345"/>
    </row>
    <row r="116" spans="1:33" ht="15.6" outlineLevel="1">
      <c r="A116" s="346" t="str">
        <f>'Program Budget'!D123</f>
        <v>Shelves for Office Storage</v>
      </c>
      <c r="B116" s="271" t="str">
        <f>'Program Budget'!F123</f>
        <v>Unit</v>
      </c>
      <c r="C116" s="272">
        <f>'Program Budget'!H123</f>
        <v>150</v>
      </c>
      <c r="D116" s="273">
        <f>'Program Budget'!G123</f>
        <v>4</v>
      </c>
      <c r="E116" s="274">
        <v>1</v>
      </c>
      <c r="F116" s="275">
        <f t="shared" si="196"/>
        <v>600</v>
      </c>
      <c r="G116" s="272">
        <f t="shared" si="197"/>
        <v>156</v>
      </c>
      <c r="H116" s="273">
        <f>'Program Budget'!K123</f>
        <v>0</v>
      </c>
      <c r="I116" s="274">
        <v>1</v>
      </c>
      <c r="J116" s="275">
        <f t="shared" si="198"/>
        <v>0</v>
      </c>
      <c r="K116" s="272">
        <f t="shared" si="199"/>
        <v>162.24</v>
      </c>
      <c r="L116" s="273">
        <f>'Program Budget'!N123</f>
        <v>0</v>
      </c>
      <c r="M116" s="274">
        <v>1</v>
      </c>
      <c r="N116" s="275">
        <f t="shared" si="200"/>
        <v>0</v>
      </c>
      <c r="O116" s="272">
        <f t="shared" si="201"/>
        <v>168.7296</v>
      </c>
      <c r="P116" s="273">
        <f>'Program Budget'!Q123</f>
        <v>0</v>
      </c>
      <c r="Q116" s="274">
        <v>1</v>
      </c>
      <c r="R116" s="275">
        <f t="shared" si="202"/>
        <v>0</v>
      </c>
      <c r="S116" s="272">
        <f t="shared" si="203"/>
        <v>175.47878400000002</v>
      </c>
      <c r="T116" s="273">
        <f>'Program Budget'!T123</f>
        <v>0</v>
      </c>
      <c r="U116" s="274">
        <v>1</v>
      </c>
      <c r="V116" s="275">
        <f t="shared" si="204"/>
        <v>0</v>
      </c>
      <c r="W116" s="411">
        <f t="shared" si="205"/>
        <v>600</v>
      </c>
      <c r="AE116" s="239"/>
      <c r="AF116" s="280"/>
      <c r="AG116" s="345"/>
    </row>
    <row r="117" spans="1:33" ht="15.6" outlineLevel="1">
      <c r="A117" s="346" t="str">
        <f>'Program Budget'!D124</f>
        <v>Filing Cabinets</v>
      </c>
      <c r="B117" s="271" t="str">
        <f>'Program Budget'!F124</f>
        <v>Unit</v>
      </c>
      <c r="C117" s="272">
        <f>'Program Budget'!H124</f>
        <v>130</v>
      </c>
      <c r="D117" s="273">
        <f>'Program Budget'!G124</f>
        <v>2</v>
      </c>
      <c r="E117" s="274">
        <v>1</v>
      </c>
      <c r="F117" s="275">
        <f t="shared" si="196"/>
        <v>260</v>
      </c>
      <c r="G117" s="272">
        <f t="shared" si="197"/>
        <v>135.20000000000002</v>
      </c>
      <c r="H117" s="273">
        <f>'Program Budget'!K124</f>
        <v>0</v>
      </c>
      <c r="I117" s="274">
        <v>1</v>
      </c>
      <c r="J117" s="275">
        <f t="shared" si="198"/>
        <v>0</v>
      </c>
      <c r="K117" s="272">
        <f t="shared" si="199"/>
        <v>140.60800000000003</v>
      </c>
      <c r="L117" s="273">
        <f>'Program Budget'!N124</f>
        <v>0</v>
      </c>
      <c r="M117" s="274">
        <v>1</v>
      </c>
      <c r="N117" s="275">
        <f t="shared" si="200"/>
        <v>0</v>
      </c>
      <c r="O117" s="272">
        <f t="shared" si="201"/>
        <v>146.23232000000004</v>
      </c>
      <c r="P117" s="273">
        <f>'Program Budget'!Q124</f>
        <v>0</v>
      </c>
      <c r="Q117" s="274">
        <v>1</v>
      </c>
      <c r="R117" s="275">
        <f t="shared" si="202"/>
        <v>0</v>
      </c>
      <c r="S117" s="272">
        <f t="shared" si="203"/>
        <v>152.08161280000004</v>
      </c>
      <c r="T117" s="273">
        <f>'Program Budget'!T124</f>
        <v>0</v>
      </c>
      <c r="U117" s="274">
        <v>1</v>
      </c>
      <c r="V117" s="275">
        <f t="shared" si="204"/>
        <v>0</v>
      </c>
      <c r="W117" s="411">
        <f t="shared" si="205"/>
        <v>260</v>
      </c>
      <c r="AE117" s="239"/>
      <c r="AF117" s="280"/>
      <c r="AG117" s="345"/>
    </row>
    <row r="118" spans="1:33" ht="15.6" outlineLevel="1">
      <c r="A118" s="346" t="str">
        <f>'Program Budget'!D125</f>
        <v>Fireproof Safe</v>
      </c>
      <c r="B118" s="271" t="str">
        <f>'Program Budget'!F125</f>
        <v>Unit</v>
      </c>
      <c r="C118" s="272">
        <f>'Program Budget'!H125</f>
        <v>140</v>
      </c>
      <c r="D118" s="273">
        <f>'Program Budget'!G125</f>
        <v>2</v>
      </c>
      <c r="E118" s="274">
        <v>1</v>
      </c>
      <c r="F118" s="275">
        <f t="shared" si="196"/>
        <v>280</v>
      </c>
      <c r="G118" s="272">
        <f t="shared" si="197"/>
        <v>145.6</v>
      </c>
      <c r="H118" s="273">
        <f>'Program Budget'!K125</f>
        <v>0</v>
      </c>
      <c r="I118" s="274">
        <v>1</v>
      </c>
      <c r="J118" s="275">
        <f t="shared" si="198"/>
        <v>0</v>
      </c>
      <c r="K118" s="272">
        <f t="shared" si="199"/>
        <v>151.42400000000001</v>
      </c>
      <c r="L118" s="273">
        <f>'Program Budget'!N125</f>
        <v>0</v>
      </c>
      <c r="M118" s="274">
        <v>1</v>
      </c>
      <c r="N118" s="275">
        <f t="shared" si="200"/>
        <v>0</v>
      </c>
      <c r="O118" s="272">
        <f t="shared" si="201"/>
        <v>157.48096000000001</v>
      </c>
      <c r="P118" s="273">
        <f>'Program Budget'!Q125</f>
        <v>0</v>
      </c>
      <c r="Q118" s="274">
        <v>1</v>
      </c>
      <c r="R118" s="275">
        <f t="shared" si="202"/>
        <v>0</v>
      </c>
      <c r="S118" s="272">
        <f t="shared" si="203"/>
        <v>163.78019840000002</v>
      </c>
      <c r="T118" s="273">
        <f>'Program Budget'!T125</f>
        <v>0</v>
      </c>
      <c r="U118" s="274">
        <v>1</v>
      </c>
      <c r="V118" s="275">
        <f t="shared" si="204"/>
        <v>0</v>
      </c>
      <c r="W118" s="411">
        <f t="shared" si="205"/>
        <v>280</v>
      </c>
      <c r="AE118" s="239"/>
      <c r="AF118" s="280"/>
      <c r="AG118" s="345"/>
    </row>
    <row r="119" spans="1:33" ht="15.6" outlineLevel="1">
      <c r="A119" s="346" t="str">
        <f>'Program Budget'!D126</f>
        <v>A/C Unit for Office</v>
      </c>
      <c r="B119" s="271" t="str">
        <f>'Program Budget'!F126</f>
        <v>Unit</v>
      </c>
      <c r="C119" s="272">
        <f>'Program Budget'!H126</f>
        <v>596</v>
      </c>
      <c r="D119" s="273">
        <f>'Program Budget'!G126</f>
        <v>2</v>
      </c>
      <c r="E119" s="274">
        <v>1</v>
      </c>
      <c r="F119" s="275">
        <f t="shared" si="186"/>
        <v>1192</v>
      </c>
      <c r="G119" s="272">
        <f t="shared" si="187"/>
        <v>619.84</v>
      </c>
      <c r="H119" s="273">
        <f>'Program Budget'!K126</f>
        <v>0</v>
      </c>
      <c r="I119" s="274">
        <v>0</v>
      </c>
      <c r="J119" s="275">
        <f t="shared" si="188"/>
        <v>0</v>
      </c>
      <c r="K119" s="272">
        <f t="shared" si="189"/>
        <v>644.6336</v>
      </c>
      <c r="L119" s="273">
        <f>'Program Budget'!N126</f>
        <v>0</v>
      </c>
      <c r="M119" s="274">
        <v>0</v>
      </c>
      <c r="N119" s="275">
        <f t="shared" si="190"/>
        <v>0</v>
      </c>
      <c r="O119" s="272">
        <f t="shared" si="191"/>
        <v>670.41894400000001</v>
      </c>
      <c r="P119" s="273">
        <f>'Program Budget'!Q126</f>
        <v>0</v>
      </c>
      <c r="Q119" s="274">
        <v>0</v>
      </c>
      <c r="R119" s="275">
        <f t="shared" si="192"/>
        <v>0</v>
      </c>
      <c r="S119" s="272">
        <f t="shared" si="193"/>
        <v>697.23570175999998</v>
      </c>
      <c r="T119" s="273">
        <f>'Program Budget'!T126</f>
        <v>0</v>
      </c>
      <c r="U119" s="274">
        <v>0</v>
      </c>
      <c r="V119" s="275">
        <f t="shared" si="194"/>
        <v>0</v>
      </c>
      <c r="W119" s="411">
        <f t="shared" si="195"/>
        <v>1192</v>
      </c>
      <c r="AE119" s="239"/>
      <c r="AF119" s="280"/>
      <c r="AG119" s="345"/>
    </row>
    <row r="120" spans="1:33" ht="15.6" outlineLevel="1">
      <c r="A120" s="346" t="str">
        <f>'Program Budget'!D127</f>
        <v>Office Supplies &amp; Personal Protective Equipment</v>
      </c>
      <c r="B120" s="271" t="str">
        <f>'Program Budget'!F127</f>
        <v>Month</v>
      </c>
      <c r="C120" s="272">
        <f>'Program Budget'!H127</f>
        <v>250</v>
      </c>
      <c r="D120" s="273">
        <f>'Program Budget'!G127</f>
        <v>9</v>
      </c>
      <c r="E120" s="274">
        <v>1</v>
      </c>
      <c r="F120" s="275">
        <f t="shared" si="186"/>
        <v>2250</v>
      </c>
      <c r="G120" s="272">
        <f t="shared" si="187"/>
        <v>260</v>
      </c>
      <c r="H120" s="273">
        <f>'Program Budget'!K127</f>
        <v>12</v>
      </c>
      <c r="I120" s="274">
        <v>1</v>
      </c>
      <c r="J120" s="275">
        <f t="shared" si="188"/>
        <v>3120</v>
      </c>
      <c r="K120" s="272">
        <f t="shared" si="189"/>
        <v>270.40000000000003</v>
      </c>
      <c r="L120" s="273">
        <f>'Program Budget'!N127</f>
        <v>12</v>
      </c>
      <c r="M120" s="274">
        <v>1</v>
      </c>
      <c r="N120" s="275">
        <f t="shared" si="190"/>
        <v>3244.8</v>
      </c>
      <c r="O120" s="272">
        <f t="shared" si="191"/>
        <v>281.21600000000007</v>
      </c>
      <c r="P120" s="273">
        <f>'Program Budget'!Q127</f>
        <v>12</v>
      </c>
      <c r="Q120" s="274">
        <v>1</v>
      </c>
      <c r="R120" s="275">
        <f t="shared" si="192"/>
        <v>3374.5920000000006</v>
      </c>
      <c r="S120" s="272">
        <f t="shared" si="193"/>
        <v>292.46464000000009</v>
      </c>
      <c r="T120" s="273">
        <f>'Program Budget'!T127</f>
        <v>6</v>
      </c>
      <c r="U120" s="274">
        <v>1</v>
      </c>
      <c r="V120" s="275">
        <f t="shared" si="194"/>
        <v>1754.7878400000004</v>
      </c>
      <c r="W120" s="411">
        <f t="shared" si="195"/>
        <v>13744.179840000001</v>
      </c>
      <c r="AE120" s="239"/>
      <c r="AF120" s="280"/>
      <c r="AG120" s="345"/>
    </row>
    <row r="121" spans="1:33" ht="15.6" outlineLevel="1">
      <c r="A121" s="346"/>
      <c r="B121" s="293"/>
      <c r="C121" s="347"/>
      <c r="D121" s="348"/>
      <c r="F121" s="275"/>
      <c r="G121" s="347"/>
      <c r="H121" s="348"/>
      <c r="I121" s="236"/>
      <c r="J121" s="275"/>
      <c r="K121" s="347"/>
      <c r="L121" s="348"/>
      <c r="N121" s="275"/>
      <c r="O121" s="347"/>
      <c r="P121" s="348"/>
      <c r="Q121" s="236"/>
      <c r="R121" s="275"/>
      <c r="S121" s="347"/>
      <c r="T121" s="348"/>
      <c r="U121" s="236"/>
      <c r="V121" s="275"/>
      <c r="W121" s="411"/>
      <c r="AE121" s="239"/>
      <c r="AF121" s="280"/>
      <c r="AG121" s="345"/>
    </row>
    <row r="122" spans="1:33" ht="18.3" outlineLevel="1">
      <c r="A122" s="338" t="s">
        <v>98</v>
      </c>
      <c r="B122" s="304"/>
      <c r="C122" s="305"/>
      <c r="D122" s="339"/>
      <c r="E122" s="340"/>
      <c r="F122" s="308">
        <f>SUM(F110:F121)</f>
        <v>25618.239999999998</v>
      </c>
      <c r="G122" s="305"/>
      <c r="H122" s="339"/>
      <c r="I122" s="309"/>
      <c r="J122" s="308">
        <f>SUM(J110:J121)</f>
        <v>3120</v>
      </c>
      <c r="K122" s="305"/>
      <c r="L122" s="339"/>
      <c r="M122" s="340"/>
      <c r="N122" s="308">
        <f>SUM(N110:N121)</f>
        <v>3244.8</v>
      </c>
      <c r="O122" s="305"/>
      <c r="P122" s="339"/>
      <c r="Q122" s="309"/>
      <c r="R122" s="308">
        <f>SUM(R110:R121)</f>
        <v>3374.5920000000006</v>
      </c>
      <c r="S122" s="305"/>
      <c r="T122" s="339"/>
      <c r="U122" s="309"/>
      <c r="V122" s="308">
        <f>SUM(V110:V121)</f>
        <v>1754.7878400000004</v>
      </c>
      <c r="W122" s="414">
        <f>+F122+J122+N122+R122+V122</f>
        <v>37112.419839999995</v>
      </c>
      <c r="AE122" s="239"/>
      <c r="AF122" s="280"/>
      <c r="AG122" s="345"/>
    </row>
    <row r="123" spans="1:33" ht="15.6" outlineLevel="1">
      <c r="A123" s="353" t="s">
        <v>99</v>
      </c>
      <c r="B123" s="293"/>
      <c r="C123" s="354"/>
      <c r="D123" s="355"/>
      <c r="F123" s="325"/>
      <c r="G123" s="354"/>
      <c r="H123" s="355"/>
      <c r="J123" s="298"/>
      <c r="K123" s="354"/>
      <c r="L123" s="355"/>
      <c r="N123" s="298"/>
      <c r="O123" s="354"/>
      <c r="P123" s="355"/>
      <c r="R123" s="298"/>
      <c r="S123" s="354"/>
      <c r="T123" s="355"/>
      <c r="V123" s="298"/>
      <c r="W123" s="411"/>
      <c r="AE123" s="239"/>
      <c r="AF123" s="280"/>
      <c r="AG123" s="345"/>
    </row>
    <row r="124" spans="1:33" ht="15.6" outlineLevel="1">
      <c r="A124" s="267" t="s">
        <v>138</v>
      </c>
      <c r="B124" s="271"/>
      <c r="C124" s="272"/>
      <c r="D124" s="273"/>
      <c r="E124" s="274"/>
      <c r="F124" s="275"/>
      <c r="G124" s="272"/>
      <c r="H124" s="273"/>
      <c r="I124" s="274"/>
      <c r="J124" s="275"/>
      <c r="K124" s="272"/>
      <c r="L124" s="273"/>
      <c r="M124" s="274"/>
      <c r="N124" s="275"/>
      <c r="O124" s="272"/>
      <c r="P124" s="273"/>
      <c r="Q124" s="274"/>
      <c r="R124" s="275"/>
      <c r="S124" s="272"/>
      <c r="T124" s="273"/>
      <c r="U124" s="274"/>
      <c r="V124" s="275"/>
      <c r="W124" s="411"/>
      <c r="AE124" s="239"/>
      <c r="AF124" s="280"/>
      <c r="AG124" s="345"/>
    </row>
    <row r="125" spans="1:33" ht="15.6" outlineLevel="1">
      <c r="A125" s="346" t="str">
        <f>'Program Budget'!D132</f>
        <v xml:space="preserve">Training, Workshops, Conference and Registration Fees </v>
      </c>
      <c r="B125" s="271" t="str">
        <f>'Program Budget'!F132</f>
        <v>Unit</v>
      </c>
      <c r="C125" s="272">
        <f>'Program Budget'!H132</f>
        <v>1500</v>
      </c>
      <c r="D125" s="273">
        <f>'Program Budget'!G132</f>
        <v>5</v>
      </c>
      <c r="E125" s="274">
        <v>1</v>
      </c>
      <c r="F125" s="275">
        <f t="shared" ref="F125:F128" si="206">C125*D125*E125</f>
        <v>7500</v>
      </c>
      <c r="G125" s="272">
        <f>C125</f>
        <v>1500</v>
      </c>
      <c r="H125" s="273">
        <f>'Program Budget'!K132</f>
        <v>5</v>
      </c>
      <c r="I125" s="274">
        <v>1</v>
      </c>
      <c r="J125" s="275">
        <f t="shared" ref="J125:J128" si="207">G125*H125*I125</f>
        <v>7500</v>
      </c>
      <c r="K125" s="272">
        <f>G125</f>
        <v>1500</v>
      </c>
      <c r="L125" s="273">
        <f>'Program Budget'!N132</f>
        <v>5</v>
      </c>
      <c r="M125" s="274">
        <v>1</v>
      </c>
      <c r="N125" s="275">
        <f t="shared" ref="N125:N128" si="208">K125*L125*M125</f>
        <v>7500</v>
      </c>
      <c r="O125" s="272">
        <f>K125</f>
        <v>1500</v>
      </c>
      <c r="P125" s="273">
        <f>'Program Budget'!Q132</f>
        <v>5</v>
      </c>
      <c r="Q125" s="274">
        <v>1</v>
      </c>
      <c r="R125" s="275">
        <f t="shared" ref="R125:R128" si="209">O125*P125*Q125</f>
        <v>7500</v>
      </c>
      <c r="S125" s="272">
        <f>O125</f>
        <v>1500</v>
      </c>
      <c r="T125" s="273">
        <f>'Program Budget'!T132</f>
        <v>5</v>
      </c>
      <c r="U125" s="274">
        <v>1</v>
      </c>
      <c r="V125" s="275">
        <f t="shared" ref="V125:V128" si="210">S125*T125*U125</f>
        <v>7500</v>
      </c>
      <c r="W125" s="411">
        <f t="shared" ref="W125:W128" si="211">F125+J125+N125+R125+V125</f>
        <v>37500</v>
      </c>
      <c r="AE125" s="239"/>
      <c r="AF125" s="280"/>
      <c r="AG125" s="345"/>
    </row>
    <row r="126" spans="1:33" ht="15.6" outlineLevel="1">
      <c r="A126" s="267" t="s">
        <v>105</v>
      </c>
      <c r="B126" s="271"/>
      <c r="C126" s="272"/>
      <c r="D126" s="273"/>
      <c r="E126" s="274"/>
      <c r="F126" s="275"/>
      <c r="G126" s="272"/>
      <c r="H126" s="273"/>
      <c r="I126" s="274"/>
      <c r="J126" s="275"/>
      <c r="K126" s="272"/>
      <c r="L126" s="273"/>
      <c r="M126" s="274"/>
      <c r="N126" s="275"/>
      <c r="O126" s="272"/>
      <c r="P126" s="273"/>
      <c r="Q126" s="274"/>
      <c r="R126" s="275"/>
      <c r="S126" s="272"/>
      <c r="T126" s="273"/>
      <c r="U126" s="274"/>
      <c r="V126" s="275"/>
      <c r="W126" s="411"/>
      <c r="AE126" s="239"/>
      <c r="AF126" s="280"/>
      <c r="AG126" s="345"/>
    </row>
    <row r="127" spans="1:33" ht="15.6" outlineLevel="1">
      <c r="A127" s="346" t="str">
        <f>'Program Budget'!D134</f>
        <v>Equipment and Office Repairs and Maintenance</v>
      </c>
      <c r="B127" s="271" t="str">
        <f>'Program Budget'!F134</f>
        <v>Year</v>
      </c>
      <c r="C127" s="272">
        <f>'Program Budget'!H134</f>
        <v>1500</v>
      </c>
      <c r="D127" s="273">
        <f>'Program Budget'!G134</f>
        <v>1</v>
      </c>
      <c r="E127" s="274">
        <v>1</v>
      </c>
      <c r="F127" s="275">
        <f t="shared" si="206"/>
        <v>1500</v>
      </c>
      <c r="G127" s="272">
        <f t="shared" ref="G127:G128" si="212">C127*1.04</f>
        <v>1560</v>
      </c>
      <c r="H127" s="273">
        <f>'Program Budget'!K134</f>
        <v>1</v>
      </c>
      <c r="I127" s="274">
        <v>1</v>
      </c>
      <c r="J127" s="275">
        <f t="shared" si="207"/>
        <v>1560</v>
      </c>
      <c r="K127" s="272">
        <f t="shared" ref="K127:K128" si="213">G127*1.04</f>
        <v>1622.4</v>
      </c>
      <c r="L127" s="273">
        <f>'Program Budget'!N134</f>
        <v>1</v>
      </c>
      <c r="M127" s="274">
        <v>1</v>
      </c>
      <c r="N127" s="275">
        <f t="shared" si="208"/>
        <v>1622.4</v>
      </c>
      <c r="O127" s="272">
        <f t="shared" ref="O127:O128" si="214">K127*1.04</f>
        <v>1687.296</v>
      </c>
      <c r="P127" s="273">
        <f>'Program Budget'!Q134</f>
        <v>1</v>
      </c>
      <c r="Q127" s="274">
        <v>1</v>
      </c>
      <c r="R127" s="275">
        <f t="shared" si="209"/>
        <v>1687.296</v>
      </c>
      <c r="S127" s="272">
        <f t="shared" ref="S127:S128" si="215">O127*1.04</f>
        <v>1754.7878400000002</v>
      </c>
      <c r="T127" s="273">
        <f>'Program Budget'!T134</f>
        <v>1</v>
      </c>
      <c r="U127" s="274">
        <v>1</v>
      </c>
      <c r="V127" s="275">
        <f t="shared" si="210"/>
        <v>1754.7878400000002</v>
      </c>
      <c r="W127" s="411">
        <f t="shared" si="211"/>
        <v>8124.4838399999999</v>
      </c>
      <c r="AE127" s="239"/>
      <c r="AF127" s="280"/>
      <c r="AG127" s="345"/>
    </row>
    <row r="128" spans="1:33" ht="15.6" outlineLevel="1">
      <c r="A128" s="346" t="str">
        <f>'Program Budget'!D135</f>
        <v>Motorcycle Maintenance/repairs/spare parts</v>
      </c>
      <c r="B128" s="271" t="str">
        <f>'Program Budget'!F135</f>
        <v>Year</v>
      </c>
      <c r="C128" s="272">
        <f>'Program Budget'!H135</f>
        <v>1200</v>
      </c>
      <c r="D128" s="273">
        <f>'Program Budget'!G135</f>
        <v>1</v>
      </c>
      <c r="E128" s="274">
        <v>1</v>
      </c>
      <c r="F128" s="275">
        <f t="shared" si="206"/>
        <v>1200</v>
      </c>
      <c r="G128" s="272">
        <f t="shared" si="212"/>
        <v>1248</v>
      </c>
      <c r="H128" s="273">
        <f>'Program Budget'!K135</f>
        <v>1</v>
      </c>
      <c r="I128" s="274">
        <v>1</v>
      </c>
      <c r="J128" s="275">
        <f t="shared" si="207"/>
        <v>1248</v>
      </c>
      <c r="K128" s="272">
        <f t="shared" si="213"/>
        <v>1297.92</v>
      </c>
      <c r="L128" s="273">
        <f>'Program Budget'!N135</f>
        <v>1</v>
      </c>
      <c r="M128" s="274">
        <v>1</v>
      </c>
      <c r="N128" s="275">
        <f t="shared" si="208"/>
        <v>1297.92</v>
      </c>
      <c r="O128" s="272">
        <f t="shared" si="214"/>
        <v>1349.8368</v>
      </c>
      <c r="P128" s="273">
        <f>'Program Budget'!Q135</f>
        <v>1</v>
      </c>
      <c r="Q128" s="274">
        <v>1</v>
      </c>
      <c r="R128" s="275">
        <f t="shared" si="209"/>
        <v>1349.8368</v>
      </c>
      <c r="S128" s="272">
        <f t="shared" si="215"/>
        <v>1403.8302720000002</v>
      </c>
      <c r="T128" s="273">
        <f>'Program Budget'!T135</f>
        <v>1</v>
      </c>
      <c r="U128" s="274">
        <v>1</v>
      </c>
      <c r="V128" s="275">
        <f t="shared" si="210"/>
        <v>1403.8302720000002</v>
      </c>
      <c r="W128" s="411">
        <f t="shared" si="211"/>
        <v>6499.5870720000003</v>
      </c>
      <c r="AE128" s="239"/>
      <c r="AF128" s="280"/>
      <c r="AG128" s="345"/>
    </row>
    <row r="129" spans="1:33" ht="15.6" outlineLevel="1">
      <c r="A129" s="346" t="str">
        <f>'Program Budget'!D136</f>
        <v>Vehicle Maintenance/repairs/spare parts</v>
      </c>
      <c r="B129" s="271" t="str">
        <f>'Program Budget'!F136</f>
        <v>Month</v>
      </c>
      <c r="C129" s="272">
        <f>'Program Budget'!H136</f>
        <v>275</v>
      </c>
      <c r="D129" s="273">
        <f>'Program Budget'!G136</f>
        <v>3</v>
      </c>
      <c r="E129" s="274">
        <v>1</v>
      </c>
      <c r="F129" s="275">
        <f t="shared" ref="F129:F133" si="216">C129*D129*E129</f>
        <v>825</v>
      </c>
      <c r="G129" s="272">
        <f t="shared" ref="G129:G133" si="217">C129*1.04</f>
        <v>286</v>
      </c>
      <c r="H129" s="273">
        <f>'Program Budget'!K136</f>
        <v>12</v>
      </c>
      <c r="I129" s="274">
        <v>1</v>
      </c>
      <c r="J129" s="275">
        <f t="shared" ref="J129:J133" si="218">G129*H129*I129</f>
        <v>3432</v>
      </c>
      <c r="K129" s="272">
        <f t="shared" ref="K129:K133" si="219">G129*1.04</f>
        <v>297.44</v>
      </c>
      <c r="L129" s="273">
        <f>'Program Budget'!N136</f>
        <v>12</v>
      </c>
      <c r="M129" s="274">
        <v>1</v>
      </c>
      <c r="N129" s="275">
        <f t="shared" ref="N129:N133" si="220">K129*L129*M129</f>
        <v>3569.2799999999997</v>
      </c>
      <c r="O129" s="272">
        <f t="shared" ref="O129:O133" si="221">K129*1.04</f>
        <v>309.33760000000001</v>
      </c>
      <c r="P129" s="273">
        <f>'Program Budget'!Q136</f>
        <v>12</v>
      </c>
      <c r="Q129" s="274">
        <v>1</v>
      </c>
      <c r="R129" s="275">
        <f t="shared" ref="R129:R133" si="222">O129*P129*Q129</f>
        <v>3712.0511999999999</v>
      </c>
      <c r="S129" s="272">
        <f t="shared" ref="S129:S133" si="223">O129*1.04</f>
        <v>321.71110400000003</v>
      </c>
      <c r="T129" s="273">
        <f>'Program Budget'!T136</f>
        <v>6</v>
      </c>
      <c r="U129" s="274">
        <v>1</v>
      </c>
      <c r="V129" s="275">
        <f t="shared" ref="V129:V133" si="224">S129*T129*U129</f>
        <v>1930.2666240000003</v>
      </c>
      <c r="W129" s="411">
        <f t="shared" ref="W129:W133" si="225">F129+J129+N129+R129+V129</f>
        <v>13468.597824</v>
      </c>
      <c r="AE129" s="239"/>
      <c r="AF129" s="280"/>
      <c r="AG129" s="345"/>
    </row>
    <row r="130" spans="1:33" ht="15.6" outlineLevel="1">
      <c r="A130" s="267" t="str">
        <f>'Program Budget'!D137</f>
        <v>Insurance</v>
      </c>
      <c r="B130" s="271"/>
      <c r="C130" s="272"/>
      <c r="D130" s="273"/>
      <c r="E130" s="274"/>
      <c r="F130" s="275"/>
      <c r="G130" s="272"/>
      <c r="H130" s="273"/>
      <c r="I130" s="274"/>
      <c r="J130" s="275"/>
      <c r="K130" s="272"/>
      <c r="L130" s="273"/>
      <c r="M130" s="274"/>
      <c r="N130" s="275"/>
      <c r="O130" s="272"/>
      <c r="P130" s="273"/>
      <c r="Q130" s="274"/>
      <c r="R130" s="275"/>
      <c r="S130" s="272"/>
      <c r="T130" s="273"/>
      <c r="U130" s="274"/>
      <c r="V130" s="275"/>
      <c r="W130" s="411"/>
      <c r="AE130" s="239"/>
      <c r="AF130" s="280"/>
      <c r="AG130" s="345"/>
    </row>
    <row r="131" spans="1:33" ht="15.6" outlineLevel="1">
      <c r="A131" s="346" t="str">
        <f>'Program Budget'!D138</f>
        <v>Property and Liability Insurance</v>
      </c>
      <c r="B131" s="271" t="str">
        <f>'Program Budget'!F138</f>
        <v>Year</v>
      </c>
      <c r="C131" s="530">
        <f>'Program Budget'!H138</f>
        <v>500</v>
      </c>
      <c r="D131" s="273">
        <f>'Program Budget'!G138</f>
        <v>1</v>
      </c>
      <c r="E131" s="274">
        <v>1</v>
      </c>
      <c r="F131" s="275">
        <f t="shared" si="216"/>
        <v>500</v>
      </c>
      <c r="G131" s="272">
        <f t="shared" si="217"/>
        <v>520</v>
      </c>
      <c r="H131" s="273">
        <f>'Program Budget'!K138</f>
        <v>1</v>
      </c>
      <c r="I131" s="274">
        <v>1</v>
      </c>
      <c r="J131" s="275">
        <f t="shared" si="218"/>
        <v>520</v>
      </c>
      <c r="K131" s="272">
        <f t="shared" si="219"/>
        <v>540.80000000000007</v>
      </c>
      <c r="L131" s="273">
        <f>'Program Budget'!N138</f>
        <v>1</v>
      </c>
      <c r="M131" s="274">
        <v>1</v>
      </c>
      <c r="N131" s="275">
        <f t="shared" si="220"/>
        <v>540.80000000000007</v>
      </c>
      <c r="O131" s="272">
        <f t="shared" si="221"/>
        <v>562.43200000000013</v>
      </c>
      <c r="P131" s="273">
        <f>'Program Budget'!Q138</f>
        <v>1</v>
      </c>
      <c r="Q131" s="274">
        <v>1</v>
      </c>
      <c r="R131" s="275">
        <f t="shared" si="222"/>
        <v>562.43200000000013</v>
      </c>
      <c r="S131" s="272">
        <f t="shared" si="223"/>
        <v>584.92928000000018</v>
      </c>
      <c r="T131" s="273">
        <f>'Program Budget'!T138</f>
        <v>1</v>
      </c>
      <c r="U131" s="274">
        <v>1</v>
      </c>
      <c r="V131" s="275">
        <f t="shared" si="224"/>
        <v>584.92928000000018</v>
      </c>
      <c r="W131" s="411">
        <f t="shared" si="225"/>
        <v>2708.1612800000007</v>
      </c>
      <c r="AE131" s="239"/>
      <c r="AF131" s="280"/>
      <c r="AG131" s="345"/>
    </row>
    <row r="132" spans="1:33" ht="15.6" outlineLevel="1">
      <c r="A132" s="346" t="str">
        <f>'Program Budget'!D139</f>
        <v>Motorcycle Insurance</v>
      </c>
      <c r="B132" s="271" t="str">
        <f>'Program Budget'!F139</f>
        <v>Year</v>
      </c>
      <c r="C132" s="530">
        <f>'Program Budget'!H139</f>
        <v>75</v>
      </c>
      <c r="D132" s="273">
        <f>'Program Budget'!G139</f>
        <v>20</v>
      </c>
      <c r="E132" s="274">
        <v>1</v>
      </c>
      <c r="F132" s="275">
        <f t="shared" si="216"/>
        <v>1500</v>
      </c>
      <c r="G132" s="272">
        <f t="shared" si="217"/>
        <v>78</v>
      </c>
      <c r="H132" s="273">
        <f>'Program Budget'!K139</f>
        <v>20</v>
      </c>
      <c r="I132" s="274">
        <v>1</v>
      </c>
      <c r="J132" s="275">
        <f t="shared" si="218"/>
        <v>1560</v>
      </c>
      <c r="K132" s="272">
        <f t="shared" si="219"/>
        <v>81.12</v>
      </c>
      <c r="L132" s="273">
        <f>'Program Budget'!N139</f>
        <v>20</v>
      </c>
      <c r="M132" s="274">
        <v>1</v>
      </c>
      <c r="N132" s="275">
        <f t="shared" si="220"/>
        <v>1622.4</v>
      </c>
      <c r="O132" s="272">
        <f t="shared" si="221"/>
        <v>84.364800000000002</v>
      </c>
      <c r="P132" s="273">
        <f>'Program Budget'!Q139</f>
        <v>20</v>
      </c>
      <c r="Q132" s="274">
        <v>1</v>
      </c>
      <c r="R132" s="275">
        <f t="shared" si="222"/>
        <v>1687.296</v>
      </c>
      <c r="S132" s="272">
        <f t="shared" si="223"/>
        <v>87.739392000000009</v>
      </c>
      <c r="T132" s="273">
        <f>'Program Budget'!T139</f>
        <v>20</v>
      </c>
      <c r="U132" s="274">
        <v>1</v>
      </c>
      <c r="V132" s="275">
        <f t="shared" si="224"/>
        <v>1754.7878400000002</v>
      </c>
      <c r="W132" s="411">
        <f t="shared" si="225"/>
        <v>8124.4838399999999</v>
      </c>
      <c r="AE132" s="239"/>
      <c r="AF132" s="280"/>
      <c r="AG132" s="345"/>
    </row>
    <row r="133" spans="1:33" ht="15.6" outlineLevel="1">
      <c r="A133" s="346" t="str">
        <f>'Program Budget'!D140</f>
        <v>Vehicle Insurance</v>
      </c>
      <c r="B133" s="271" t="str">
        <f>'Program Budget'!F140</f>
        <v>Year</v>
      </c>
      <c r="C133" s="530">
        <f>'Program Budget'!H140</f>
        <v>200</v>
      </c>
      <c r="D133" s="273">
        <f>'Program Budget'!G140</f>
        <v>2</v>
      </c>
      <c r="E133" s="274">
        <v>1</v>
      </c>
      <c r="F133" s="275">
        <f t="shared" si="216"/>
        <v>400</v>
      </c>
      <c r="G133" s="272">
        <f t="shared" si="217"/>
        <v>208</v>
      </c>
      <c r="H133" s="273">
        <f>'Program Budget'!K140</f>
        <v>2</v>
      </c>
      <c r="I133" s="274">
        <v>1</v>
      </c>
      <c r="J133" s="275">
        <f t="shared" si="218"/>
        <v>416</v>
      </c>
      <c r="K133" s="272">
        <f t="shared" si="219"/>
        <v>216.32</v>
      </c>
      <c r="L133" s="273">
        <f>'Program Budget'!N140</f>
        <v>2</v>
      </c>
      <c r="M133" s="274">
        <v>1</v>
      </c>
      <c r="N133" s="275">
        <f t="shared" si="220"/>
        <v>432.64</v>
      </c>
      <c r="O133" s="272">
        <f t="shared" si="221"/>
        <v>224.97280000000001</v>
      </c>
      <c r="P133" s="273">
        <f>'Program Budget'!Q140</f>
        <v>2</v>
      </c>
      <c r="Q133" s="274">
        <v>1</v>
      </c>
      <c r="R133" s="275">
        <f t="shared" si="222"/>
        <v>449.94560000000001</v>
      </c>
      <c r="S133" s="272">
        <f t="shared" si="223"/>
        <v>233.97171200000003</v>
      </c>
      <c r="T133" s="273">
        <f>'Program Budget'!T140</f>
        <v>2</v>
      </c>
      <c r="U133" s="274">
        <v>1</v>
      </c>
      <c r="V133" s="275">
        <f t="shared" si="224"/>
        <v>467.94342400000005</v>
      </c>
      <c r="W133" s="411">
        <f t="shared" si="225"/>
        <v>2166.5290239999999</v>
      </c>
      <c r="AE133" s="239"/>
      <c r="AF133" s="280"/>
      <c r="AG133" s="345"/>
    </row>
    <row r="134" spans="1:33" outlineLevel="1">
      <c r="A134" s="405"/>
      <c r="B134" s="318"/>
      <c r="C134" s="356"/>
      <c r="D134" s="357"/>
      <c r="E134" s="321"/>
      <c r="F134" s="322"/>
      <c r="G134" s="356"/>
      <c r="H134" s="357"/>
      <c r="I134" s="321"/>
      <c r="J134" s="322"/>
      <c r="K134" s="356"/>
      <c r="L134" s="357"/>
      <c r="M134" s="321"/>
      <c r="N134" s="322"/>
      <c r="O134" s="356"/>
      <c r="P134" s="357"/>
      <c r="Q134" s="321"/>
      <c r="R134" s="322"/>
      <c r="S134" s="356"/>
      <c r="T134" s="357"/>
      <c r="U134" s="321"/>
      <c r="V134" s="322"/>
      <c r="W134" s="411"/>
      <c r="AE134" s="239"/>
      <c r="AF134" s="280"/>
      <c r="AG134" s="345"/>
    </row>
    <row r="135" spans="1:33" ht="18.3" outlineLevel="1">
      <c r="A135" s="359" t="s">
        <v>107</v>
      </c>
      <c r="B135" s="304"/>
      <c r="C135" s="328"/>
      <c r="D135" s="329"/>
      <c r="E135" s="360"/>
      <c r="F135" s="331">
        <f>SUM(F125:F133)</f>
        <v>13425</v>
      </c>
      <c r="G135" s="328"/>
      <c r="H135" s="329"/>
      <c r="I135" s="332"/>
      <c r="J135" s="331">
        <f>SUM(J125:J133)</f>
        <v>16236</v>
      </c>
      <c r="K135" s="328"/>
      <c r="L135" s="329"/>
      <c r="M135" s="360"/>
      <c r="N135" s="331">
        <f>SUM(N125:N133)</f>
        <v>16585.439999999999</v>
      </c>
      <c r="O135" s="328"/>
      <c r="P135" s="329"/>
      <c r="Q135" s="332"/>
      <c r="R135" s="331">
        <f>SUM(R125:R133)</f>
        <v>16948.857599999999</v>
      </c>
      <c r="S135" s="328"/>
      <c r="T135" s="329"/>
      <c r="U135" s="332"/>
      <c r="V135" s="331">
        <f>SUM(V125:V133)</f>
        <v>15396.545280000002</v>
      </c>
      <c r="W135" s="414">
        <f>+F135+J135+N135+R135+V135</f>
        <v>78591.842880000011</v>
      </c>
      <c r="AE135" s="239">
        <v>250</v>
      </c>
      <c r="AF135" s="280" t="s">
        <v>139</v>
      </c>
      <c r="AG135" s="345" t="s">
        <v>140</v>
      </c>
    </row>
    <row r="136" spans="1:33" outlineLevel="1">
      <c r="A136" s="406"/>
      <c r="B136" s="316"/>
      <c r="C136" s="354"/>
      <c r="D136" s="355"/>
      <c r="F136" s="275"/>
      <c r="G136" s="354"/>
      <c r="H136" s="355"/>
      <c r="J136" s="277"/>
      <c r="K136" s="354"/>
      <c r="L136" s="355"/>
      <c r="N136" s="277"/>
      <c r="O136" s="354"/>
      <c r="P136" s="355"/>
      <c r="R136" s="277"/>
      <c r="S136" s="354"/>
      <c r="T136" s="355"/>
      <c r="V136" s="277"/>
      <c r="W136" s="411"/>
      <c r="AE136" s="239">
        <v>317</v>
      </c>
      <c r="AF136" s="280" t="s">
        <v>141</v>
      </c>
      <c r="AG136" s="345" t="s">
        <v>142</v>
      </c>
    </row>
    <row r="137" spans="1:33" ht="18.3" outlineLevel="1">
      <c r="A137" s="362" t="s">
        <v>108</v>
      </c>
      <c r="B137" s="363"/>
      <c r="C137" s="364"/>
      <c r="D137" s="365"/>
      <c r="E137" s="366"/>
      <c r="F137" s="417">
        <f>F135+F122+F108+F95+F91+F68+F51+F33</f>
        <v>935467.2333333334</v>
      </c>
      <c r="G137" s="364"/>
      <c r="H137" s="365"/>
      <c r="I137" s="368"/>
      <c r="J137" s="417">
        <f>J135+J122+J108+J95+J91+J68+J51+J33</f>
        <v>680848.87159999995</v>
      </c>
      <c r="K137" s="364"/>
      <c r="L137" s="365"/>
      <c r="M137" s="366"/>
      <c r="N137" s="417">
        <f>N135+N122+N108+N95+N91+N68+N51+N33</f>
        <v>664616.48470400006</v>
      </c>
      <c r="O137" s="364"/>
      <c r="P137" s="365"/>
      <c r="Q137" s="368"/>
      <c r="R137" s="417">
        <f>R135+R122+R108+R95+R91+R68+R51+R33</f>
        <v>419257.14409216004</v>
      </c>
      <c r="S137" s="364"/>
      <c r="T137" s="365"/>
      <c r="U137" s="368"/>
      <c r="V137" s="417">
        <f>V135+V122+V108+V95+V91+V68+V51+V33</f>
        <v>787055.06490057393</v>
      </c>
      <c r="W137" s="417">
        <f>W135+W122+W108+W95+W91+W68+W51+W33</f>
        <v>3487244.7986300671</v>
      </c>
      <c r="AE137" s="239">
        <v>318</v>
      </c>
      <c r="AF137" s="280" t="s">
        <v>143</v>
      </c>
      <c r="AG137" s="345" t="s">
        <v>144</v>
      </c>
    </row>
    <row r="138" spans="1:33">
      <c r="A138" s="407"/>
      <c r="B138" s="316"/>
      <c r="C138" s="354"/>
      <c r="D138" s="355"/>
      <c r="F138" s="275"/>
      <c r="G138" s="354"/>
      <c r="H138" s="355"/>
      <c r="J138" s="277"/>
      <c r="K138" s="354"/>
      <c r="L138" s="355"/>
      <c r="N138" s="277"/>
      <c r="O138" s="354"/>
      <c r="P138" s="355"/>
      <c r="R138" s="277"/>
      <c r="S138" s="354"/>
      <c r="T138" s="355"/>
      <c r="V138" s="277"/>
      <c r="W138" s="411"/>
    </row>
    <row r="139" spans="1:33" ht="20.399999999999999">
      <c r="A139" s="369" t="s">
        <v>54</v>
      </c>
      <c r="B139" s="370"/>
      <c r="C139" s="371"/>
      <c r="D139" s="371"/>
      <c r="E139" s="371"/>
      <c r="F139" s="371"/>
      <c r="G139" s="371"/>
      <c r="H139" s="371"/>
      <c r="I139" s="371"/>
      <c r="J139" s="371"/>
      <c r="K139" s="371"/>
      <c r="L139" s="371"/>
      <c r="M139" s="371"/>
      <c r="N139" s="371"/>
      <c r="O139" s="371"/>
      <c r="P139" s="371"/>
      <c r="Q139" s="371"/>
      <c r="R139" s="371"/>
      <c r="S139" s="371"/>
      <c r="T139" s="371"/>
      <c r="U139" s="371"/>
      <c r="V139" s="371"/>
      <c r="W139" s="418"/>
    </row>
    <row r="140" spans="1:33" ht="15" customHeight="1">
      <c r="A140" s="372" t="s">
        <v>55</v>
      </c>
      <c r="B140" s="428" t="s">
        <v>145</v>
      </c>
      <c r="C140" s="272">
        <f>F137</f>
        <v>935467.2333333334</v>
      </c>
      <c r="D140" s="273">
        <v>1</v>
      </c>
      <c r="E140" s="274">
        <v>0.2828</v>
      </c>
      <c r="F140" s="275">
        <f>C140*D140*E140</f>
        <v>264550.13358666666</v>
      </c>
      <c r="G140" s="272">
        <f>J137</f>
        <v>680848.87159999995</v>
      </c>
      <c r="H140" s="273">
        <v>1</v>
      </c>
      <c r="I140" s="274">
        <v>0.2828</v>
      </c>
      <c r="J140" s="275">
        <f>G140*H140*I140</f>
        <v>192544.06088847999</v>
      </c>
      <c r="K140" s="272">
        <f>N137</f>
        <v>664616.48470400006</v>
      </c>
      <c r="L140" s="273">
        <v>1</v>
      </c>
      <c r="M140" s="274">
        <v>0.2828</v>
      </c>
      <c r="N140" s="275">
        <f>K140*L140*M140</f>
        <v>187953.5418742912</v>
      </c>
      <c r="O140" s="272">
        <f>R137</f>
        <v>419257.14409216004</v>
      </c>
      <c r="P140" s="273">
        <v>1</v>
      </c>
      <c r="Q140" s="274">
        <v>0.2828</v>
      </c>
      <c r="R140" s="275">
        <f>O140*P140*Q140</f>
        <v>118565.92034926286</v>
      </c>
      <c r="S140" s="272">
        <f>V137</f>
        <v>787055.06490057393</v>
      </c>
      <c r="T140" s="273">
        <v>1</v>
      </c>
      <c r="U140" s="274">
        <v>0.2828</v>
      </c>
      <c r="V140" s="275">
        <f>S140*T140*U140</f>
        <v>222579.17235388231</v>
      </c>
      <c r="W140" s="411">
        <f>F140+J140+N140+R140+V140</f>
        <v>986192.82905258308</v>
      </c>
    </row>
    <row r="141" spans="1:33" ht="15" customHeight="1">
      <c r="A141" s="372" t="s">
        <v>56</v>
      </c>
      <c r="B141" s="428" t="s">
        <v>145</v>
      </c>
      <c r="C141" s="272">
        <v>0</v>
      </c>
      <c r="D141" s="273">
        <v>1</v>
      </c>
      <c r="E141" s="274">
        <v>0.2828</v>
      </c>
      <c r="F141" s="275">
        <f>C141*D141*E141</f>
        <v>0</v>
      </c>
      <c r="G141" s="272">
        <v>0</v>
      </c>
      <c r="H141" s="273">
        <v>1</v>
      </c>
      <c r="I141" s="274">
        <v>0.2828</v>
      </c>
      <c r="J141" s="275">
        <f>G141*H141*I141</f>
        <v>0</v>
      </c>
      <c r="K141" s="272">
        <v>0</v>
      </c>
      <c r="L141" s="273">
        <v>1</v>
      </c>
      <c r="M141" s="274">
        <v>0.2828</v>
      </c>
      <c r="N141" s="275">
        <f>K141*L141*M141</f>
        <v>0</v>
      </c>
      <c r="O141" s="272">
        <v>0</v>
      </c>
      <c r="P141" s="273">
        <v>1</v>
      </c>
      <c r="Q141" s="274">
        <v>0.2828</v>
      </c>
      <c r="R141" s="275">
        <f>O141*P141*Q141</f>
        <v>0</v>
      </c>
      <c r="S141" s="272">
        <v>0</v>
      </c>
      <c r="T141" s="273">
        <v>1</v>
      </c>
      <c r="U141" s="274">
        <v>0.2828</v>
      </c>
      <c r="V141" s="275">
        <f>S141*T141*U141</f>
        <v>0</v>
      </c>
      <c r="W141" s="411">
        <f>F141+J141+N141+R141+V141</f>
        <v>0</v>
      </c>
    </row>
    <row r="142" spans="1:33">
      <c r="A142" s="375"/>
      <c r="B142" s="316"/>
      <c r="C142" s="347"/>
      <c r="D142" s="376"/>
      <c r="E142" s="377"/>
      <c r="F142" s="275"/>
      <c r="G142" s="347"/>
      <c r="H142" s="376"/>
      <c r="I142" s="276"/>
      <c r="J142" s="275"/>
      <c r="K142" s="347"/>
      <c r="L142" s="376"/>
      <c r="M142" s="377"/>
      <c r="N142" s="275"/>
      <c r="O142" s="347"/>
      <c r="P142" s="376"/>
      <c r="Q142" s="276"/>
      <c r="R142" s="275"/>
      <c r="S142" s="347"/>
      <c r="T142" s="376"/>
      <c r="U142" s="276"/>
      <c r="V142" s="275"/>
      <c r="W142" s="411">
        <f>F142+J142+N142+R142+V142</f>
        <v>0</v>
      </c>
    </row>
    <row r="143" spans="1:33" ht="18.3">
      <c r="A143" s="362" t="s">
        <v>109</v>
      </c>
      <c r="B143" s="363"/>
      <c r="C143" s="364"/>
      <c r="D143" s="365"/>
      <c r="E143" s="366"/>
      <c r="F143" s="417">
        <f>SUM(F140:F142)</f>
        <v>264550.13358666666</v>
      </c>
      <c r="G143" s="364"/>
      <c r="H143" s="365"/>
      <c r="I143" s="368"/>
      <c r="J143" s="417">
        <f>SUM(J140:J142)</f>
        <v>192544.06088847999</v>
      </c>
      <c r="K143" s="364"/>
      <c r="L143" s="365"/>
      <c r="M143" s="366"/>
      <c r="N143" s="417">
        <f>SUM(N140:N142)</f>
        <v>187953.5418742912</v>
      </c>
      <c r="O143" s="364"/>
      <c r="P143" s="365"/>
      <c r="Q143" s="368"/>
      <c r="R143" s="417">
        <f>SUM(R140:R142)</f>
        <v>118565.92034926286</v>
      </c>
      <c r="S143" s="364"/>
      <c r="T143" s="365"/>
      <c r="U143" s="368"/>
      <c r="V143" s="417">
        <f>SUM(V140:V142)</f>
        <v>222579.17235388231</v>
      </c>
      <c r="W143" s="417">
        <f>SUM(W140:W142)</f>
        <v>986192.82905258308</v>
      </c>
    </row>
    <row r="144" spans="1:33">
      <c r="A144" s="275"/>
      <c r="B144" s="316"/>
      <c r="C144" s="347"/>
      <c r="D144" s="376"/>
      <c r="E144" s="377"/>
      <c r="F144" s="275"/>
      <c r="G144" s="347"/>
      <c r="H144" s="376"/>
      <c r="I144" s="276"/>
      <c r="J144" s="275"/>
      <c r="K144" s="347"/>
      <c r="L144" s="376"/>
      <c r="M144" s="377"/>
      <c r="N144" s="275"/>
      <c r="O144" s="347"/>
      <c r="P144" s="376"/>
      <c r="Q144" s="276"/>
      <c r="R144" s="275"/>
      <c r="S144" s="347"/>
      <c r="T144" s="376"/>
      <c r="U144" s="276"/>
      <c r="V144" s="275"/>
      <c r="W144" s="411"/>
    </row>
    <row r="145" spans="1:23" ht="18.3">
      <c r="A145" s="382" t="s">
        <v>110</v>
      </c>
      <c r="B145" s="383"/>
      <c r="C145" s="384"/>
      <c r="D145" s="385"/>
      <c r="E145" s="386"/>
      <c r="F145" s="387">
        <f>F137+F143</f>
        <v>1200017.3669199999</v>
      </c>
      <c r="G145" s="384"/>
      <c r="H145" s="385"/>
      <c r="I145" s="388"/>
      <c r="J145" s="387">
        <f>J137+J143</f>
        <v>873392.93248847988</v>
      </c>
      <c r="K145" s="384"/>
      <c r="L145" s="385"/>
      <c r="M145" s="386"/>
      <c r="N145" s="387">
        <f>N137+N143</f>
        <v>852570.02657829132</v>
      </c>
      <c r="O145" s="384"/>
      <c r="P145" s="385"/>
      <c r="Q145" s="388"/>
      <c r="R145" s="387">
        <f>R137+R143</f>
        <v>537823.06444142293</v>
      </c>
      <c r="S145" s="384"/>
      <c r="T145" s="385"/>
      <c r="U145" s="388"/>
      <c r="V145" s="387">
        <f>V137+V143</f>
        <v>1009634.2372544563</v>
      </c>
      <c r="W145" s="419">
        <f>F145+J145+N145+R145+V145</f>
        <v>4473437.6276826505</v>
      </c>
    </row>
    <row r="146" spans="1:23" ht="15.6">
      <c r="A146" s="390" t="s">
        <v>146</v>
      </c>
      <c r="B146" s="391"/>
      <c r="C146" s="319"/>
      <c r="D146" s="392"/>
      <c r="E146" s="321"/>
      <c r="F146" s="322">
        <f t="shared" ref="F146" si="226">C146*D146*E146</f>
        <v>0</v>
      </c>
      <c r="G146" s="319"/>
      <c r="H146" s="392"/>
      <c r="I146" s="393"/>
      <c r="J146" s="322">
        <f t="shared" ref="J146" si="227">G146*H146*I146</f>
        <v>0</v>
      </c>
      <c r="K146" s="319"/>
      <c r="L146" s="392"/>
      <c r="M146" s="321"/>
      <c r="N146" s="322">
        <f t="shared" ref="N146" si="228">K146*L146*M146</f>
        <v>0</v>
      </c>
      <c r="O146" s="319"/>
      <c r="P146" s="392"/>
      <c r="Q146" s="393"/>
      <c r="R146" s="322">
        <f t="shared" ref="R146" si="229">O146*P146*Q146</f>
        <v>0</v>
      </c>
      <c r="S146" s="319"/>
      <c r="T146" s="392"/>
      <c r="U146" s="393"/>
      <c r="V146" s="322">
        <f t="shared" ref="V146" si="230">S146*T146*U146</f>
        <v>0</v>
      </c>
      <c r="W146" s="413">
        <f>F146+J146+N146+R146+V146</f>
        <v>0</v>
      </c>
    </row>
    <row r="147" spans="1:23" ht="18.3">
      <c r="A147" s="382" t="s">
        <v>111</v>
      </c>
      <c r="B147" s="383"/>
      <c r="C147" s="384"/>
      <c r="D147" s="385"/>
      <c r="E147" s="386"/>
      <c r="F147" s="387">
        <f>F145+F146</f>
        <v>1200017.3669199999</v>
      </c>
      <c r="G147" s="384"/>
      <c r="H147" s="385"/>
      <c r="I147" s="388"/>
      <c r="J147" s="387">
        <f>J145+J146</f>
        <v>873392.93248847988</v>
      </c>
      <c r="K147" s="384"/>
      <c r="L147" s="385"/>
      <c r="M147" s="386"/>
      <c r="N147" s="387">
        <f>N145+N146</f>
        <v>852570.02657829132</v>
      </c>
      <c r="O147" s="384"/>
      <c r="P147" s="385"/>
      <c r="Q147" s="388"/>
      <c r="R147" s="387">
        <f>R145+R146</f>
        <v>537823.06444142293</v>
      </c>
      <c r="S147" s="384"/>
      <c r="T147" s="385"/>
      <c r="U147" s="388"/>
      <c r="V147" s="387">
        <f>V145+V146</f>
        <v>1009634.2372544563</v>
      </c>
      <c r="W147" s="419">
        <f>F147+J147+N147+R147+V147</f>
        <v>4473437.6276826505</v>
      </c>
    </row>
    <row r="148" spans="1:23">
      <c r="A148" s="271"/>
      <c r="B148" s="271"/>
      <c r="W148" s="411"/>
    </row>
    <row r="149" spans="1:23" ht="31.2">
      <c r="A149" s="394" t="s">
        <v>112</v>
      </c>
      <c r="B149" s="395"/>
      <c r="C149" s="396"/>
      <c r="D149" s="397"/>
      <c r="E149" s="398"/>
      <c r="F149" s="399"/>
      <c r="G149" s="396"/>
      <c r="H149" s="397"/>
      <c r="I149" s="400"/>
      <c r="J149" s="401"/>
      <c r="K149" s="396"/>
      <c r="L149" s="397"/>
      <c r="M149" s="398"/>
      <c r="N149" s="401"/>
      <c r="O149" s="396"/>
      <c r="P149" s="397"/>
      <c r="Q149" s="400"/>
      <c r="R149" s="401"/>
      <c r="S149" s="396"/>
      <c r="T149" s="397"/>
      <c r="U149" s="400"/>
      <c r="V149" s="401"/>
      <c r="W149" s="420"/>
    </row>
  </sheetData>
  <mergeCells count="8">
    <mergeCell ref="S2:V2"/>
    <mergeCell ref="W2:W3"/>
    <mergeCell ref="A2:A3"/>
    <mergeCell ref="B2:B3"/>
    <mergeCell ref="C2:F2"/>
    <mergeCell ref="G2:J2"/>
    <mergeCell ref="K2:N2"/>
    <mergeCell ref="O2:R2"/>
  </mergeCells>
  <printOptions horizontalCentered="1"/>
  <pageMargins left="0.25" right="0.25" top="0.75" bottom="0.75" header="0.3" footer="0.3"/>
  <pageSetup scale="24" orientation="landscape" r:id="rId1"/>
  <headerFooter alignWithMargins="0"/>
  <rowBreaks count="1" manualBreakCount="1">
    <brk id="144" max="17"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A8F4-D960-45AF-B176-1D1497DFE578}">
  <sheetPr>
    <tabColor theme="6" tint="0.39997558519241921"/>
    <pageSetUpPr fitToPage="1"/>
  </sheetPr>
  <dimension ref="A1:AJ90"/>
  <sheetViews>
    <sheetView showOutlineSymbols="0" showWhiteSpace="0" zoomScale="65" zoomScaleNormal="100" workbookViewId="0">
      <selection activeCell="F86" sqref="F86"/>
    </sheetView>
  </sheetViews>
  <sheetFormatPr defaultRowHeight="14.4" outlineLevelRow="1" outlineLevelCol="1"/>
  <cols>
    <col min="1" max="1" width="86.71875" style="233" customWidth="1"/>
    <col min="2" max="2" width="13" style="233" customWidth="1"/>
    <col min="3" max="3" width="15.27734375" style="234" customWidth="1" outlineLevel="1"/>
    <col min="4" max="4" width="15.27734375" style="235" customWidth="1" outlineLevel="1"/>
    <col min="5" max="5" width="16.1640625" style="236" customWidth="1" outlineLevel="1"/>
    <col min="6" max="6" width="15.27734375" style="233" customWidth="1"/>
    <col min="7" max="7" width="15.27734375" style="234" customWidth="1" outlineLevel="1"/>
    <col min="8" max="8" width="15.27734375" style="235" customWidth="1" outlineLevel="1"/>
    <col min="9" max="9" width="15.27734375" style="237" customWidth="1" outlineLevel="1"/>
    <col min="10" max="10" width="15.27734375" style="234" customWidth="1"/>
    <col min="11" max="11" width="15.27734375" style="234" customWidth="1" outlineLevel="1"/>
    <col min="12" max="12" width="15.27734375" style="235" customWidth="1" outlineLevel="1"/>
    <col min="13" max="13" width="15.27734375" style="236" customWidth="1" outlineLevel="1"/>
    <col min="14" max="14" width="15.27734375" style="234" customWidth="1"/>
    <col min="15" max="15" width="15.27734375" style="234" customWidth="1" outlineLevel="1"/>
    <col min="16" max="16" width="15.27734375" style="235" customWidth="1" outlineLevel="1"/>
    <col min="17" max="17" width="15.27734375" style="237" customWidth="1" outlineLevel="1"/>
    <col min="18" max="18" width="15.27734375" style="234" customWidth="1"/>
    <col min="19" max="19" width="15.27734375" style="234" customWidth="1" outlineLevel="1"/>
    <col min="20" max="20" width="15.27734375" style="235" customWidth="1" outlineLevel="1"/>
    <col min="21" max="21" width="15.27734375" style="237" customWidth="1" outlineLevel="1"/>
    <col min="22" max="22" width="16.1640625" style="234" customWidth="1"/>
    <col min="23" max="23" width="17.44140625" style="408" customWidth="1"/>
    <col min="24" max="24" width="9" style="233" customWidth="1"/>
    <col min="25" max="25" width="8.71875" style="233" customWidth="1"/>
    <col min="26" max="26" width="10.83203125" style="233" customWidth="1"/>
    <col min="27" max="27" width="8.71875" style="233" customWidth="1"/>
    <col min="28" max="28" width="10.83203125" style="233" customWidth="1"/>
    <col min="29" max="29" width="4.83203125" style="233" customWidth="1"/>
    <col min="30" max="30" width="4.83203125" style="233" hidden="1" customWidth="1"/>
    <col min="31" max="31" width="7" style="238" hidden="1" customWidth="1"/>
    <col min="32" max="32" width="19.27734375" style="233" hidden="1" customWidth="1"/>
    <col min="33" max="33" width="34" style="233" hidden="1" customWidth="1"/>
    <col min="34" max="34" width="9.71875" style="233" hidden="1" customWidth="1"/>
    <col min="35" max="35" width="9.71875" style="233" customWidth="1"/>
    <col min="36" max="36" width="14.27734375" style="233" customWidth="1"/>
    <col min="37" max="264" width="8.83203125" style="233"/>
    <col min="265" max="265" width="38.27734375" style="233" customWidth="1"/>
    <col min="266" max="266" width="23.44140625" style="233" bestFit="1" customWidth="1"/>
    <col min="267" max="268" width="9.1640625" style="233" customWidth="1"/>
    <col min="269" max="269" width="11.27734375" style="233" bestFit="1" customWidth="1"/>
    <col min="270" max="270" width="14.44140625" style="233" bestFit="1" customWidth="1"/>
    <col min="271" max="271" width="8.1640625" style="233" customWidth="1"/>
    <col min="272" max="272" width="10.83203125" style="233" bestFit="1" customWidth="1"/>
    <col min="273" max="273" width="12.27734375" style="233" bestFit="1" customWidth="1"/>
    <col min="274" max="274" width="9.1640625" style="233" customWidth="1"/>
    <col min="275" max="275" width="10.83203125" style="233" bestFit="1" customWidth="1"/>
    <col min="276" max="276" width="12.27734375" style="233" bestFit="1" customWidth="1"/>
    <col min="277" max="277" width="8" style="233" customWidth="1"/>
    <col min="278" max="278" width="10.83203125" style="233" bestFit="1" customWidth="1"/>
    <col min="279" max="279" width="12.27734375" style="233" bestFit="1" customWidth="1"/>
    <col min="280" max="280" width="8.1640625" style="233" bestFit="1" customWidth="1"/>
    <col min="281" max="281" width="10.83203125" style="233" bestFit="1" customWidth="1"/>
    <col min="282" max="282" width="12.27734375" style="233" bestFit="1" customWidth="1"/>
    <col min="283" max="283" width="18.27734375" style="233" bestFit="1" customWidth="1"/>
    <col min="284" max="284" width="10.83203125" style="233" bestFit="1" customWidth="1"/>
    <col min="285" max="520" width="8.83203125" style="233"/>
    <col min="521" max="521" width="38.27734375" style="233" customWidth="1"/>
    <col min="522" max="522" width="23.44140625" style="233" bestFit="1" customWidth="1"/>
    <col min="523" max="524" width="9.1640625" style="233" customWidth="1"/>
    <col min="525" max="525" width="11.27734375" style="233" bestFit="1" customWidth="1"/>
    <col min="526" max="526" width="14.44140625" style="233" bestFit="1" customWidth="1"/>
    <col min="527" max="527" width="8.1640625" style="233" customWidth="1"/>
    <col min="528" max="528" width="10.83203125" style="233" bestFit="1" customWidth="1"/>
    <col min="529" max="529" width="12.27734375" style="233" bestFit="1" customWidth="1"/>
    <col min="530" max="530" width="9.1640625" style="233" customWidth="1"/>
    <col min="531" max="531" width="10.83203125" style="233" bestFit="1" customWidth="1"/>
    <col min="532" max="532" width="12.27734375" style="233" bestFit="1" customWidth="1"/>
    <col min="533" max="533" width="8" style="233" customWidth="1"/>
    <col min="534" max="534" width="10.83203125" style="233" bestFit="1" customWidth="1"/>
    <col min="535" max="535" width="12.27734375" style="233" bestFit="1" customWidth="1"/>
    <col min="536" max="536" width="8.1640625" style="233" bestFit="1" customWidth="1"/>
    <col min="537" max="537" width="10.83203125" style="233" bestFit="1" customWidth="1"/>
    <col min="538" max="538" width="12.27734375" style="233" bestFit="1" customWidth="1"/>
    <col min="539" max="539" width="18.27734375" style="233" bestFit="1" customWidth="1"/>
    <col min="540" max="540" width="10.83203125" style="233" bestFit="1" customWidth="1"/>
    <col min="541" max="776" width="8.83203125" style="233"/>
    <col min="777" max="777" width="38.27734375" style="233" customWidth="1"/>
    <col min="778" max="778" width="23.44140625" style="233" bestFit="1" customWidth="1"/>
    <col min="779" max="780" width="9.1640625" style="233" customWidth="1"/>
    <col min="781" max="781" width="11.27734375" style="233" bestFit="1" customWidth="1"/>
    <col min="782" max="782" width="14.44140625" style="233" bestFit="1" customWidth="1"/>
    <col min="783" max="783" width="8.1640625" style="233" customWidth="1"/>
    <col min="784" max="784" width="10.83203125" style="233" bestFit="1" customWidth="1"/>
    <col min="785" max="785" width="12.27734375" style="233" bestFit="1" customWidth="1"/>
    <col min="786" max="786" width="9.1640625" style="233" customWidth="1"/>
    <col min="787" max="787" width="10.83203125" style="233" bestFit="1" customWidth="1"/>
    <col min="788" max="788" width="12.27734375" style="233" bestFit="1" customWidth="1"/>
    <col min="789" max="789" width="8" style="233" customWidth="1"/>
    <col min="790" max="790" width="10.83203125" style="233" bestFit="1" customWidth="1"/>
    <col min="791" max="791" width="12.27734375" style="233" bestFit="1" customWidth="1"/>
    <col min="792" max="792" width="8.1640625" style="233" bestFit="1" customWidth="1"/>
    <col min="793" max="793" width="10.83203125" style="233" bestFit="1" customWidth="1"/>
    <col min="794" max="794" width="12.27734375" style="233" bestFit="1" customWidth="1"/>
    <col min="795" max="795" width="18.27734375" style="233" bestFit="1" customWidth="1"/>
    <col min="796" max="796" width="10.83203125" style="233" bestFit="1" customWidth="1"/>
    <col min="797" max="1032" width="8.83203125" style="233"/>
    <col min="1033" max="1033" width="38.27734375" style="233" customWidth="1"/>
    <col min="1034" max="1034" width="23.44140625" style="233" bestFit="1" customWidth="1"/>
    <col min="1035" max="1036" width="9.1640625" style="233" customWidth="1"/>
    <col min="1037" max="1037" width="11.27734375" style="233" bestFit="1" customWidth="1"/>
    <col min="1038" max="1038" width="14.44140625" style="233" bestFit="1" customWidth="1"/>
    <col min="1039" max="1039" width="8.1640625" style="233" customWidth="1"/>
    <col min="1040" max="1040" width="10.83203125" style="233" bestFit="1" customWidth="1"/>
    <col min="1041" max="1041" width="12.27734375" style="233" bestFit="1" customWidth="1"/>
    <col min="1042" max="1042" width="9.1640625" style="233" customWidth="1"/>
    <col min="1043" max="1043" width="10.83203125" style="233" bestFit="1" customWidth="1"/>
    <col min="1044" max="1044" width="12.27734375" style="233" bestFit="1" customWidth="1"/>
    <col min="1045" max="1045" width="8" style="233" customWidth="1"/>
    <col min="1046" max="1046" width="10.83203125" style="233" bestFit="1" customWidth="1"/>
    <col min="1047" max="1047" width="12.27734375" style="233" bestFit="1" customWidth="1"/>
    <col min="1048" max="1048" width="8.1640625" style="233" bestFit="1" customWidth="1"/>
    <col min="1049" max="1049" width="10.83203125" style="233" bestFit="1" customWidth="1"/>
    <col min="1050" max="1050" width="12.27734375" style="233" bestFit="1" customWidth="1"/>
    <col min="1051" max="1051" width="18.27734375" style="233" bestFit="1" customWidth="1"/>
    <col min="1052" max="1052" width="10.83203125" style="233" bestFit="1" customWidth="1"/>
    <col min="1053" max="1288" width="8.83203125" style="233"/>
    <col min="1289" max="1289" width="38.27734375" style="233" customWidth="1"/>
    <col min="1290" max="1290" width="23.44140625" style="233" bestFit="1" customWidth="1"/>
    <col min="1291" max="1292" width="9.1640625" style="233" customWidth="1"/>
    <col min="1293" max="1293" width="11.27734375" style="233" bestFit="1" customWidth="1"/>
    <col min="1294" max="1294" width="14.44140625" style="233" bestFit="1" customWidth="1"/>
    <col min="1295" max="1295" width="8.1640625" style="233" customWidth="1"/>
    <col min="1296" max="1296" width="10.83203125" style="233" bestFit="1" customWidth="1"/>
    <col min="1297" max="1297" width="12.27734375" style="233" bestFit="1" customWidth="1"/>
    <col min="1298" max="1298" width="9.1640625" style="233" customWidth="1"/>
    <col min="1299" max="1299" width="10.83203125" style="233" bestFit="1" customWidth="1"/>
    <col min="1300" max="1300" width="12.27734375" style="233" bestFit="1" customWidth="1"/>
    <col min="1301" max="1301" width="8" style="233" customWidth="1"/>
    <col min="1302" max="1302" width="10.83203125" style="233" bestFit="1" customWidth="1"/>
    <col min="1303" max="1303" width="12.27734375" style="233" bestFit="1" customWidth="1"/>
    <col min="1304" max="1304" width="8.1640625" style="233" bestFit="1" customWidth="1"/>
    <col min="1305" max="1305" width="10.83203125" style="233" bestFit="1" customWidth="1"/>
    <col min="1306" max="1306" width="12.27734375" style="233" bestFit="1" customWidth="1"/>
    <col min="1307" max="1307" width="18.27734375" style="233" bestFit="1" customWidth="1"/>
    <col min="1308" max="1308" width="10.83203125" style="233" bestFit="1" customWidth="1"/>
    <col min="1309" max="1544" width="8.83203125" style="233"/>
    <col min="1545" max="1545" width="38.27734375" style="233" customWidth="1"/>
    <col min="1546" max="1546" width="23.44140625" style="233" bestFit="1" customWidth="1"/>
    <col min="1547" max="1548" width="9.1640625" style="233" customWidth="1"/>
    <col min="1549" max="1549" width="11.27734375" style="233" bestFit="1" customWidth="1"/>
    <col min="1550" max="1550" width="14.44140625" style="233" bestFit="1" customWidth="1"/>
    <col min="1551" max="1551" width="8.1640625" style="233" customWidth="1"/>
    <col min="1552" max="1552" width="10.83203125" style="233" bestFit="1" customWidth="1"/>
    <col min="1553" max="1553" width="12.27734375" style="233" bestFit="1" customWidth="1"/>
    <col min="1554" max="1554" width="9.1640625" style="233" customWidth="1"/>
    <col min="1555" max="1555" width="10.83203125" style="233" bestFit="1" customWidth="1"/>
    <col min="1556" max="1556" width="12.27734375" style="233" bestFit="1" customWidth="1"/>
    <col min="1557" max="1557" width="8" style="233" customWidth="1"/>
    <col min="1558" max="1558" width="10.83203125" style="233" bestFit="1" customWidth="1"/>
    <col min="1559" max="1559" width="12.27734375" style="233" bestFit="1" customWidth="1"/>
    <col min="1560" max="1560" width="8.1640625" style="233" bestFit="1" customWidth="1"/>
    <col min="1561" max="1561" width="10.83203125" style="233" bestFit="1" customWidth="1"/>
    <col min="1562" max="1562" width="12.27734375" style="233" bestFit="1" customWidth="1"/>
    <col min="1563" max="1563" width="18.27734375" style="233" bestFit="1" customWidth="1"/>
    <col min="1564" max="1564" width="10.83203125" style="233" bestFit="1" customWidth="1"/>
    <col min="1565" max="1800" width="8.83203125" style="233"/>
    <col min="1801" max="1801" width="38.27734375" style="233" customWidth="1"/>
    <col min="1802" max="1802" width="23.44140625" style="233" bestFit="1" customWidth="1"/>
    <col min="1803" max="1804" width="9.1640625" style="233" customWidth="1"/>
    <col min="1805" max="1805" width="11.27734375" style="233" bestFit="1" customWidth="1"/>
    <col min="1806" max="1806" width="14.44140625" style="233" bestFit="1" customWidth="1"/>
    <col min="1807" max="1807" width="8.1640625" style="233" customWidth="1"/>
    <col min="1808" max="1808" width="10.83203125" style="233" bestFit="1" customWidth="1"/>
    <col min="1809" max="1809" width="12.27734375" style="233" bestFit="1" customWidth="1"/>
    <col min="1810" max="1810" width="9.1640625" style="233" customWidth="1"/>
    <col min="1811" max="1811" width="10.83203125" style="233" bestFit="1" customWidth="1"/>
    <col min="1812" max="1812" width="12.27734375" style="233" bestFit="1" customWidth="1"/>
    <col min="1813" max="1813" width="8" style="233" customWidth="1"/>
    <col min="1814" max="1814" width="10.83203125" style="233" bestFit="1" customWidth="1"/>
    <col min="1815" max="1815" width="12.27734375" style="233" bestFit="1" customWidth="1"/>
    <col min="1816" max="1816" width="8.1640625" style="233" bestFit="1" customWidth="1"/>
    <col min="1817" max="1817" width="10.83203125" style="233" bestFit="1" customWidth="1"/>
    <col min="1818" max="1818" width="12.27734375" style="233" bestFit="1" customWidth="1"/>
    <col min="1819" max="1819" width="18.27734375" style="233" bestFit="1" customWidth="1"/>
    <col min="1820" max="1820" width="10.83203125" style="233" bestFit="1" customWidth="1"/>
    <col min="1821" max="2056" width="8.83203125" style="233"/>
    <col min="2057" max="2057" width="38.27734375" style="233" customWidth="1"/>
    <col min="2058" max="2058" width="23.44140625" style="233" bestFit="1" customWidth="1"/>
    <col min="2059" max="2060" width="9.1640625" style="233" customWidth="1"/>
    <col min="2061" max="2061" width="11.27734375" style="233" bestFit="1" customWidth="1"/>
    <col min="2062" max="2062" width="14.44140625" style="233" bestFit="1" customWidth="1"/>
    <col min="2063" max="2063" width="8.1640625" style="233" customWidth="1"/>
    <col min="2064" max="2064" width="10.83203125" style="233" bestFit="1" customWidth="1"/>
    <col min="2065" max="2065" width="12.27734375" style="233" bestFit="1" customWidth="1"/>
    <col min="2066" max="2066" width="9.1640625" style="233" customWidth="1"/>
    <col min="2067" max="2067" width="10.83203125" style="233" bestFit="1" customWidth="1"/>
    <col min="2068" max="2068" width="12.27734375" style="233" bestFit="1" customWidth="1"/>
    <col min="2069" max="2069" width="8" style="233" customWidth="1"/>
    <col min="2070" max="2070" width="10.83203125" style="233" bestFit="1" customWidth="1"/>
    <col min="2071" max="2071" width="12.27734375" style="233" bestFit="1" customWidth="1"/>
    <col min="2072" max="2072" width="8.1640625" style="233" bestFit="1" customWidth="1"/>
    <col min="2073" max="2073" width="10.83203125" style="233" bestFit="1" customWidth="1"/>
    <col min="2074" max="2074" width="12.27734375" style="233" bestFit="1" customWidth="1"/>
    <col min="2075" max="2075" width="18.27734375" style="233" bestFit="1" customWidth="1"/>
    <col min="2076" max="2076" width="10.83203125" style="233" bestFit="1" customWidth="1"/>
    <col min="2077" max="2312" width="8.83203125" style="233"/>
    <col min="2313" max="2313" width="38.27734375" style="233" customWidth="1"/>
    <col min="2314" max="2314" width="23.44140625" style="233" bestFit="1" customWidth="1"/>
    <col min="2315" max="2316" width="9.1640625" style="233" customWidth="1"/>
    <col min="2317" max="2317" width="11.27734375" style="233" bestFit="1" customWidth="1"/>
    <col min="2318" max="2318" width="14.44140625" style="233" bestFit="1" customWidth="1"/>
    <col min="2319" max="2319" width="8.1640625" style="233" customWidth="1"/>
    <col min="2320" max="2320" width="10.83203125" style="233" bestFit="1" customWidth="1"/>
    <col min="2321" max="2321" width="12.27734375" style="233" bestFit="1" customWidth="1"/>
    <col min="2322" max="2322" width="9.1640625" style="233" customWidth="1"/>
    <col min="2323" max="2323" width="10.83203125" style="233" bestFit="1" customWidth="1"/>
    <col min="2324" max="2324" width="12.27734375" style="233" bestFit="1" customWidth="1"/>
    <col min="2325" max="2325" width="8" style="233" customWidth="1"/>
    <col min="2326" max="2326" width="10.83203125" style="233" bestFit="1" customWidth="1"/>
    <col min="2327" max="2327" width="12.27734375" style="233" bestFit="1" customWidth="1"/>
    <col min="2328" max="2328" width="8.1640625" style="233" bestFit="1" customWidth="1"/>
    <col min="2329" max="2329" width="10.83203125" style="233" bestFit="1" customWidth="1"/>
    <col min="2330" max="2330" width="12.27734375" style="233" bestFit="1" customWidth="1"/>
    <col min="2331" max="2331" width="18.27734375" style="233" bestFit="1" customWidth="1"/>
    <col min="2332" max="2332" width="10.83203125" style="233" bestFit="1" customWidth="1"/>
    <col min="2333" max="2568" width="8.83203125" style="233"/>
    <col min="2569" max="2569" width="38.27734375" style="233" customWidth="1"/>
    <col min="2570" max="2570" width="23.44140625" style="233" bestFit="1" customWidth="1"/>
    <col min="2571" max="2572" width="9.1640625" style="233" customWidth="1"/>
    <col min="2573" max="2573" width="11.27734375" style="233" bestFit="1" customWidth="1"/>
    <col min="2574" max="2574" width="14.44140625" style="233" bestFit="1" customWidth="1"/>
    <col min="2575" max="2575" width="8.1640625" style="233" customWidth="1"/>
    <col min="2576" max="2576" width="10.83203125" style="233" bestFit="1" customWidth="1"/>
    <col min="2577" max="2577" width="12.27734375" style="233" bestFit="1" customWidth="1"/>
    <col min="2578" max="2578" width="9.1640625" style="233" customWidth="1"/>
    <col min="2579" max="2579" width="10.83203125" style="233" bestFit="1" customWidth="1"/>
    <col min="2580" max="2580" width="12.27734375" style="233" bestFit="1" customWidth="1"/>
    <col min="2581" max="2581" width="8" style="233" customWidth="1"/>
    <col min="2582" max="2582" width="10.83203125" style="233" bestFit="1" customWidth="1"/>
    <col min="2583" max="2583" width="12.27734375" style="233" bestFit="1" customWidth="1"/>
    <col min="2584" max="2584" width="8.1640625" style="233" bestFit="1" customWidth="1"/>
    <col min="2585" max="2585" width="10.83203125" style="233" bestFit="1" customWidth="1"/>
    <col min="2586" max="2586" width="12.27734375" style="233" bestFit="1" customWidth="1"/>
    <col min="2587" max="2587" width="18.27734375" style="233" bestFit="1" customWidth="1"/>
    <col min="2588" max="2588" width="10.83203125" style="233" bestFit="1" customWidth="1"/>
    <col min="2589" max="2824" width="8.83203125" style="233"/>
    <col min="2825" max="2825" width="38.27734375" style="233" customWidth="1"/>
    <col min="2826" max="2826" width="23.44140625" style="233" bestFit="1" customWidth="1"/>
    <col min="2827" max="2828" width="9.1640625" style="233" customWidth="1"/>
    <col min="2829" max="2829" width="11.27734375" style="233" bestFit="1" customWidth="1"/>
    <col min="2830" max="2830" width="14.44140625" style="233" bestFit="1" customWidth="1"/>
    <col min="2831" max="2831" width="8.1640625" style="233" customWidth="1"/>
    <col min="2832" max="2832" width="10.83203125" style="233" bestFit="1" customWidth="1"/>
    <col min="2833" max="2833" width="12.27734375" style="233" bestFit="1" customWidth="1"/>
    <col min="2834" max="2834" width="9.1640625" style="233" customWidth="1"/>
    <col min="2835" max="2835" width="10.83203125" style="233" bestFit="1" customWidth="1"/>
    <col min="2836" max="2836" width="12.27734375" style="233" bestFit="1" customWidth="1"/>
    <col min="2837" max="2837" width="8" style="233" customWidth="1"/>
    <col min="2838" max="2838" width="10.83203125" style="233" bestFit="1" customWidth="1"/>
    <col min="2839" max="2839" width="12.27734375" style="233" bestFit="1" customWidth="1"/>
    <col min="2840" max="2840" width="8.1640625" style="233" bestFit="1" customWidth="1"/>
    <col min="2841" max="2841" width="10.83203125" style="233" bestFit="1" customWidth="1"/>
    <col min="2842" max="2842" width="12.27734375" style="233" bestFit="1" customWidth="1"/>
    <col min="2843" max="2843" width="18.27734375" style="233" bestFit="1" customWidth="1"/>
    <col min="2844" max="2844" width="10.83203125" style="233" bestFit="1" customWidth="1"/>
    <col min="2845" max="3080" width="8.83203125" style="233"/>
    <col min="3081" max="3081" width="38.27734375" style="233" customWidth="1"/>
    <col min="3082" max="3082" width="23.44140625" style="233" bestFit="1" customWidth="1"/>
    <col min="3083" max="3084" width="9.1640625" style="233" customWidth="1"/>
    <col min="3085" max="3085" width="11.27734375" style="233" bestFit="1" customWidth="1"/>
    <col min="3086" max="3086" width="14.44140625" style="233" bestFit="1" customWidth="1"/>
    <col min="3087" max="3087" width="8.1640625" style="233" customWidth="1"/>
    <col min="3088" max="3088" width="10.83203125" style="233" bestFit="1" customWidth="1"/>
    <col min="3089" max="3089" width="12.27734375" style="233" bestFit="1" customWidth="1"/>
    <col min="3090" max="3090" width="9.1640625" style="233" customWidth="1"/>
    <col min="3091" max="3091" width="10.83203125" style="233" bestFit="1" customWidth="1"/>
    <col min="3092" max="3092" width="12.27734375" style="233" bestFit="1" customWidth="1"/>
    <col min="3093" max="3093" width="8" style="233" customWidth="1"/>
    <col min="3094" max="3094" width="10.83203125" style="233" bestFit="1" customWidth="1"/>
    <col min="3095" max="3095" width="12.27734375" style="233" bestFit="1" customWidth="1"/>
    <col min="3096" max="3096" width="8.1640625" style="233" bestFit="1" customWidth="1"/>
    <col min="3097" max="3097" width="10.83203125" style="233" bestFit="1" customWidth="1"/>
    <col min="3098" max="3098" width="12.27734375" style="233" bestFit="1" customWidth="1"/>
    <col min="3099" max="3099" width="18.27734375" style="233" bestFit="1" customWidth="1"/>
    <col min="3100" max="3100" width="10.83203125" style="233" bestFit="1" customWidth="1"/>
    <col min="3101" max="3336" width="8.83203125" style="233"/>
    <col min="3337" max="3337" width="38.27734375" style="233" customWidth="1"/>
    <col min="3338" max="3338" width="23.44140625" style="233" bestFit="1" customWidth="1"/>
    <col min="3339" max="3340" width="9.1640625" style="233" customWidth="1"/>
    <col min="3341" max="3341" width="11.27734375" style="233" bestFit="1" customWidth="1"/>
    <col min="3342" max="3342" width="14.44140625" style="233" bestFit="1" customWidth="1"/>
    <col min="3343" max="3343" width="8.1640625" style="233" customWidth="1"/>
    <col min="3344" max="3344" width="10.83203125" style="233" bestFit="1" customWidth="1"/>
    <col min="3345" max="3345" width="12.27734375" style="233" bestFit="1" customWidth="1"/>
    <col min="3346" max="3346" width="9.1640625" style="233" customWidth="1"/>
    <col min="3347" max="3347" width="10.83203125" style="233" bestFit="1" customWidth="1"/>
    <col min="3348" max="3348" width="12.27734375" style="233" bestFit="1" customWidth="1"/>
    <col min="3349" max="3349" width="8" style="233" customWidth="1"/>
    <col min="3350" max="3350" width="10.83203125" style="233" bestFit="1" customWidth="1"/>
    <col min="3351" max="3351" width="12.27734375" style="233" bestFit="1" customWidth="1"/>
    <col min="3352" max="3352" width="8.1640625" style="233" bestFit="1" customWidth="1"/>
    <col min="3353" max="3353" width="10.83203125" style="233" bestFit="1" customWidth="1"/>
    <col min="3354" max="3354" width="12.27734375" style="233" bestFit="1" customWidth="1"/>
    <col min="3355" max="3355" width="18.27734375" style="233" bestFit="1" customWidth="1"/>
    <col min="3356" max="3356" width="10.83203125" style="233" bestFit="1" customWidth="1"/>
    <col min="3357" max="3592" width="8.83203125" style="233"/>
    <col min="3593" max="3593" width="38.27734375" style="233" customWidth="1"/>
    <col min="3594" max="3594" width="23.44140625" style="233" bestFit="1" customWidth="1"/>
    <col min="3595" max="3596" width="9.1640625" style="233" customWidth="1"/>
    <col min="3597" max="3597" width="11.27734375" style="233" bestFit="1" customWidth="1"/>
    <col min="3598" max="3598" width="14.44140625" style="233" bestFit="1" customWidth="1"/>
    <col min="3599" max="3599" width="8.1640625" style="233" customWidth="1"/>
    <col min="3600" max="3600" width="10.83203125" style="233" bestFit="1" customWidth="1"/>
    <col min="3601" max="3601" width="12.27734375" style="233" bestFit="1" customWidth="1"/>
    <col min="3602" max="3602" width="9.1640625" style="233" customWidth="1"/>
    <col min="3603" max="3603" width="10.83203125" style="233" bestFit="1" customWidth="1"/>
    <col min="3604" max="3604" width="12.27734375" style="233" bestFit="1" customWidth="1"/>
    <col min="3605" max="3605" width="8" style="233" customWidth="1"/>
    <col min="3606" max="3606" width="10.83203125" style="233" bestFit="1" customWidth="1"/>
    <col min="3607" max="3607" width="12.27734375" style="233" bestFit="1" customWidth="1"/>
    <col min="3608" max="3608" width="8.1640625" style="233" bestFit="1" customWidth="1"/>
    <col min="3609" max="3609" width="10.83203125" style="233" bestFit="1" customWidth="1"/>
    <col min="3610" max="3610" width="12.27734375" style="233" bestFit="1" customWidth="1"/>
    <col min="3611" max="3611" width="18.27734375" style="233" bestFit="1" customWidth="1"/>
    <col min="3612" max="3612" width="10.83203125" style="233" bestFit="1" customWidth="1"/>
    <col min="3613" max="3848" width="8.83203125" style="233"/>
    <col min="3849" max="3849" width="38.27734375" style="233" customWidth="1"/>
    <col min="3850" max="3850" width="23.44140625" style="233" bestFit="1" customWidth="1"/>
    <col min="3851" max="3852" width="9.1640625" style="233" customWidth="1"/>
    <col min="3853" max="3853" width="11.27734375" style="233" bestFit="1" customWidth="1"/>
    <col min="3854" max="3854" width="14.44140625" style="233" bestFit="1" customWidth="1"/>
    <col min="3855" max="3855" width="8.1640625" style="233" customWidth="1"/>
    <col min="3856" max="3856" width="10.83203125" style="233" bestFit="1" customWidth="1"/>
    <col min="3857" max="3857" width="12.27734375" style="233" bestFit="1" customWidth="1"/>
    <col min="3858" max="3858" width="9.1640625" style="233" customWidth="1"/>
    <col min="3859" max="3859" width="10.83203125" style="233" bestFit="1" customWidth="1"/>
    <col min="3860" max="3860" width="12.27734375" style="233" bestFit="1" customWidth="1"/>
    <col min="3861" max="3861" width="8" style="233" customWidth="1"/>
    <col min="3862" max="3862" width="10.83203125" style="233" bestFit="1" customWidth="1"/>
    <col min="3863" max="3863" width="12.27734375" style="233" bestFit="1" customWidth="1"/>
    <col min="3864" max="3864" width="8.1640625" style="233" bestFit="1" customWidth="1"/>
    <col min="3865" max="3865" width="10.83203125" style="233" bestFit="1" customWidth="1"/>
    <col min="3866" max="3866" width="12.27734375" style="233" bestFit="1" customWidth="1"/>
    <col min="3867" max="3867" width="18.27734375" style="233" bestFit="1" customWidth="1"/>
    <col min="3868" max="3868" width="10.83203125" style="233" bestFit="1" customWidth="1"/>
    <col min="3869" max="4104" width="8.83203125" style="233"/>
    <col min="4105" max="4105" width="38.27734375" style="233" customWidth="1"/>
    <col min="4106" max="4106" width="23.44140625" style="233" bestFit="1" customWidth="1"/>
    <col min="4107" max="4108" width="9.1640625" style="233" customWidth="1"/>
    <col min="4109" max="4109" width="11.27734375" style="233" bestFit="1" customWidth="1"/>
    <col min="4110" max="4110" width="14.44140625" style="233" bestFit="1" customWidth="1"/>
    <col min="4111" max="4111" width="8.1640625" style="233" customWidth="1"/>
    <col min="4112" max="4112" width="10.83203125" style="233" bestFit="1" customWidth="1"/>
    <col min="4113" max="4113" width="12.27734375" style="233" bestFit="1" customWidth="1"/>
    <col min="4114" max="4114" width="9.1640625" style="233" customWidth="1"/>
    <col min="4115" max="4115" width="10.83203125" style="233" bestFit="1" customWidth="1"/>
    <col min="4116" max="4116" width="12.27734375" style="233" bestFit="1" customWidth="1"/>
    <col min="4117" max="4117" width="8" style="233" customWidth="1"/>
    <col min="4118" max="4118" width="10.83203125" style="233" bestFit="1" customWidth="1"/>
    <col min="4119" max="4119" width="12.27734375" style="233" bestFit="1" customWidth="1"/>
    <col min="4120" max="4120" width="8.1640625" style="233" bestFit="1" customWidth="1"/>
    <col min="4121" max="4121" width="10.83203125" style="233" bestFit="1" customWidth="1"/>
    <col min="4122" max="4122" width="12.27734375" style="233" bestFit="1" customWidth="1"/>
    <col min="4123" max="4123" width="18.27734375" style="233" bestFit="1" customWidth="1"/>
    <col min="4124" max="4124" width="10.83203125" style="233" bestFit="1" customWidth="1"/>
    <col min="4125" max="4360" width="8.83203125" style="233"/>
    <col min="4361" max="4361" width="38.27734375" style="233" customWidth="1"/>
    <col min="4362" max="4362" width="23.44140625" style="233" bestFit="1" customWidth="1"/>
    <col min="4363" max="4364" width="9.1640625" style="233" customWidth="1"/>
    <col min="4365" max="4365" width="11.27734375" style="233" bestFit="1" customWidth="1"/>
    <col min="4366" max="4366" width="14.44140625" style="233" bestFit="1" customWidth="1"/>
    <col min="4367" max="4367" width="8.1640625" style="233" customWidth="1"/>
    <col min="4368" max="4368" width="10.83203125" style="233" bestFit="1" customWidth="1"/>
    <col min="4369" max="4369" width="12.27734375" style="233" bestFit="1" customWidth="1"/>
    <col min="4370" max="4370" width="9.1640625" style="233" customWidth="1"/>
    <col min="4371" max="4371" width="10.83203125" style="233" bestFit="1" customWidth="1"/>
    <col min="4372" max="4372" width="12.27734375" style="233" bestFit="1" customWidth="1"/>
    <col min="4373" max="4373" width="8" style="233" customWidth="1"/>
    <col min="4374" max="4374" width="10.83203125" style="233" bestFit="1" customWidth="1"/>
    <col min="4375" max="4375" width="12.27734375" style="233" bestFit="1" customWidth="1"/>
    <col min="4376" max="4376" width="8.1640625" style="233" bestFit="1" customWidth="1"/>
    <col min="4377" max="4377" width="10.83203125" style="233" bestFit="1" customWidth="1"/>
    <col min="4378" max="4378" width="12.27734375" style="233" bestFit="1" customWidth="1"/>
    <col min="4379" max="4379" width="18.27734375" style="233" bestFit="1" customWidth="1"/>
    <col min="4380" max="4380" width="10.83203125" style="233" bestFit="1" customWidth="1"/>
    <col min="4381" max="4616" width="8.83203125" style="233"/>
    <col min="4617" max="4617" width="38.27734375" style="233" customWidth="1"/>
    <col min="4618" max="4618" width="23.44140625" style="233" bestFit="1" customWidth="1"/>
    <col min="4619" max="4620" width="9.1640625" style="233" customWidth="1"/>
    <col min="4621" max="4621" width="11.27734375" style="233" bestFit="1" customWidth="1"/>
    <col min="4622" max="4622" width="14.44140625" style="233" bestFit="1" customWidth="1"/>
    <col min="4623" max="4623" width="8.1640625" style="233" customWidth="1"/>
    <col min="4624" max="4624" width="10.83203125" style="233" bestFit="1" customWidth="1"/>
    <col min="4625" max="4625" width="12.27734375" style="233" bestFit="1" customWidth="1"/>
    <col min="4626" max="4626" width="9.1640625" style="233" customWidth="1"/>
    <col min="4627" max="4627" width="10.83203125" style="233" bestFit="1" customWidth="1"/>
    <col min="4628" max="4628" width="12.27734375" style="233" bestFit="1" customWidth="1"/>
    <col min="4629" max="4629" width="8" style="233" customWidth="1"/>
    <col min="4630" max="4630" width="10.83203125" style="233" bestFit="1" customWidth="1"/>
    <col min="4631" max="4631" width="12.27734375" style="233" bestFit="1" customWidth="1"/>
    <col min="4632" max="4632" width="8.1640625" style="233" bestFit="1" customWidth="1"/>
    <col min="4633" max="4633" width="10.83203125" style="233" bestFit="1" customWidth="1"/>
    <col min="4634" max="4634" width="12.27734375" style="233" bestFit="1" customWidth="1"/>
    <col min="4635" max="4635" width="18.27734375" style="233" bestFit="1" customWidth="1"/>
    <col min="4636" max="4636" width="10.83203125" style="233" bestFit="1" customWidth="1"/>
    <col min="4637" max="4872" width="8.83203125" style="233"/>
    <col min="4873" max="4873" width="38.27734375" style="233" customWidth="1"/>
    <col min="4874" max="4874" width="23.44140625" style="233" bestFit="1" customWidth="1"/>
    <col min="4875" max="4876" width="9.1640625" style="233" customWidth="1"/>
    <col min="4877" max="4877" width="11.27734375" style="233" bestFit="1" customWidth="1"/>
    <col min="4878" max="4878" width="14.44140625" style="233" bestFit="1" customWidth="1"/>
    <col min="4879" max="4879" width="8.1640625" style="233" customWidth="1"/>
    <col min="4880" max="4880" width="10.83203125" style="233" bestFit="1" customWidth="1"/>
    <col min="4881" max="4881" width="12.27734375" style="233" bestFit="1" customWidth="1"/>
    <col min="4882" max="4882" width="9.1640625" style="233" customWidth="1"/>
    <col min="4883" max="4883" width="10.83203125" style="233" bestFit="1" customWidth="1"/>
    <col min="4884" max="4884" width="12.27734375" style="233" bestFit="1" customWidth="1"/>
    <col min="4885" max="4885" width="8" style="233" customWidth="1"/>
    <col min="4886" max="4886" width="10.83203125" style="233" bestFit="1" customWidth="1"/>
    <col min="4887" max="4887" width="12.27734375" style="233" bestFit="1" customWidth="1"/>
    <col min="4888" max="4888" width="8.1640625" style="233" bestFit="1" customWidth="1"/>
    <col min="4889" max="4889" width="10.83203125" style="233" bestFit="1" customWidth="1"/>
    <col min="4890" max="4890" width="12.27734375" style="233" bestFit="1" customWidth="1"/>
    <col min="4891" max="4891" width="18.27734375" style="233" bestFit="1" customWidth="1"/>
    <col min="4892" max="4892" width="10.83203125" style="233" bestFit="1" customWidth="1"/>
    <col min="4893" max="5128" width="8.83203125" style="233"/>
    <col min="5129" max="5129" width="38.27734375" style="233" customWidth="1"/>
    <col min="5130" max="5130" width="23.44140625" style="233" bestFit="1" customWidth="1"/>
    <col min="5131" max="5132" width="9.1640625" style="233" customWidth="1"/>
    <col min="5133" max="5133" width="11.27734375" style="233" bestFit="1" customWidth="1"/>
    <col min="5134" max="5134" width="14.44140625" style="233" bestFit="1" customWidth="1"/>
    <col min="5135" max="5135" width="8.1640625" style="233" customWidth="1"/>
    <col min="5136" max="5136" width="10.83203125" style="233" bestFit="1" customWidth="1"/>
    <col min="5137" max="5137" width="12.27734375" style="233" bestFit="1" customWidth="1"/>
    <col min="5138" max="5138" width="9.1640625" style="233" customWidth="1"/>
    <col min="5139" max="5139" width="10.83203125" style="233" bestFit="1" customWidth="1"/>
    <col min="5140" max="5140" width="12.27734375" style="233" bestFit="1" customWidth="1"/>
    <col min="5141" max="5141" width="8" style="233" customWidth="1"/>
    <col min="5142" max="5142" width="10.83203125" style="233" bestFit="1" customWidth="1"/>
    <col min="5143" max="5143" width="12.27734375" style="233" bestFit="1" customWidth="1"/>
    <col min="5144" max="5144" width="8.1640625" style="233" bestFit="1" customWidth="1"/>
    <col min="5145" max="5145" width="10.83203125" style="233" bestFit="1" customWidth="1"/>
    <col min="5146" max="5146" width="12.27734375" style="233" bestFit="1" customWidth="1"/>
    <col min="5147" max="5147" width="18.27734375" style="233" bestFit="1" customWidth="1"/>
    <col min="5148" max="5148" width="10.83203125" style="233" bestFit="1" customWidth="1"/>
    <col min="5149" max="5384" width="8.83203125" style="233"/>
    <col min="5385" max="5385" width="38.27734375" style="233" customWidth="1"/>
    <col min="5386" max="5386" width="23.44140625" style="233" bestFit="1" customWidth="1"/>
    <col min="5387" max="5388" width="9.1640625" style="233" customWidth="1"/>
    <col min="5389" max="5389" width="11.27734375" style="233" bestFit="1" customWidth="1"/>
    <col min="5390" max="5390" width="14.44140625" style="233" bestFit="1" customWidth="1"/>
    <col min="5391" max="5391" width="8.1640625" style="233" customWidth="1"/>
    <col min="5392" max="5392" width="10.83203125" style="233" bestFit="1" customWidth="1"/>
    <col min="5393" max="5393" width="12.27734375" style="233" bestFit="1" customWidth="1"/>
    <col min="5394" max="5394" width="9.1640625" style="233" customWidth="1"/>
    <col min="5395" max="5395" width="10.83203125" style="233" bestFit="1" customWidth="1"/>
    <col min="5396" max="5396" width="12.27734375" style="233" bestFit="1" customWidth="1"/>
    <col min="5397" max="5397" width="8" style="233" customWidth="1"/>
    <col min="5398" max="5398" width="10.83203125" style="233" bestFit="1" customWidth="1"/>
    <col min="5399" max="5399" width="12.27734375" style="233" bestFit="1" customWidth="1"/>
    <col min="5400" max="5400" width="8.1640625" style="233" bestFit="1" customWidth="1"/>
    <col min="5401" max="5401" width="10.83203125" style="233" bestFit="1" customWidth="1"/>
    <col min="5402" max="5402" width="12.27734375" style="233" bestFit="1" customWidth="1"/>
    <col min="5403" max="5403" width="18.27734375" style="233" bestFit="1" customWidth="1"/>
    <col min="5404" max="5404" width="10.83203125" style="233" bestFit="1" customWidth="1"/>
    <col min="5405" max="5640" width="8.83203125" style="233"/>
    <col min="5641" max="5641" width="38.27734375" style="233" customWidth="1"/>
    <col min="5642" max="5642" width="23.44140625" style="233" bestFit="1" customWidth="1"/>
    <col min="5643" max="5644" width="9.1640625" style="233" customWidth="1"/>
    <col min="5645" max="5645" width="11.27734375" style="233" bestFit="1" customWidth="1"/>
    <col min="5646" max="5646" width="14.44140625" style="233" bestFit="1" customWidth="1"/>
    <col min="5647" max="5647" width="8.1640625" style="233" customWidth="1"/>
    <col min="5648" max="5648" width="10.83203125" style="233" bestFit="1" customWidth="1"/>
    <col min="5649" max="5649" width="12.27734375" style="233" bestFit="1" customWidth="1"/>
    <col min="5650" max="5650" width="9.1640625" style="233" customWidth="1"/>
    <col min="5651" max="5651" width="10.83203125" style="233" bestFit="1" customWidth="1"/>
    <col min="5652" max="5652" width="12.27734375" style="233" bestFit="1" customWidth="1"/>
    <col min="5653" max="5653" width="8" style="233" customWidth="1"/>
    <col min="5654" max="5654" width="10.83203125" style="233" bestFit="1" customWidth="1"/>
    <col min="5655" max="5655" width="12.27734375" style="233" bestFit="1" customWidth="1"/>
    <col min="5656" max="5656" width="8.1640625" style="233" bestFit="1" customWidth="1"/>
    <col min="5657" max="5657" width="10.83203125" style="233" bestFit="1" customWidth="1"/>
    <col min="5658" max="5658" width="12.27734375" style="233" bestFit="1" customWidth="1"/>
    <col min="5659" max="5659" width="18.27734375" style="233" bestFit="1" customWidth="1"/>
    <col min="5660" max="5660" width="10.83203125" style="233" bestFit="1" customWidth="1"/>
    <col min="5661" max="5896" width="8.83203125" style="233"/>
    <col min="5897" max="5897" width="38.27734375" style="233" customWidth="1"/>
    <col min="5898" max="5898" width="23.44140625" style="233" bestFit="1" customWidth="1"/>
    <col min="5899" max="5900" width="9.1640625" style="233" customWidth="1"/>
    <col min="5901" max="5901" width="11.27734375" style="233" bestFit="1" customWidth="1"/>
    <col min="5902" max="5902" width="14.44140625" style="233" bestFit="1" customWidth="1"/>
    <col min="5903" max="5903" width="8.1640625" style="233" customWidth="1"/>
    <col min="5904" max="5904" width="10.83203125" style="233" bestFit="1" customWidth="1"/>
    <col min="5905" max="5905" width="12.27734375" style="233" bestFit="1" customWidth="1"/>
    <col min="5906" max="5906" width="9.1640625" style="233" customWidth="1"/>
    <col min="5907" max="5907" width="10.83203125" style="233" bestFit="1" customWidth="1"/>
    <col min="5908" max="5908" width="12.27734375" style="233" bestFit="1" customWidth="1"/>
    <col min="5909" max="5909" width="8" style="233" customWidth="1"/>
    <col min="5910" max="5910" width="10.83203125" style="233" bestFit="1" customWidth="1"/>
    <col min="5911" max="5911" width="12.27734375" style="233" bestFit="1" customWidth="1"/>
    <col min="5912" max="5912" width="8.1640625" style="233" bestFit="1" customWidth="1"/>
    <col min="5913" max="5913" width="10.83203125" style="233" bestFit="1" customWidth="1"/>
    <col min="5914" max="5914" width="12.27734375" style="233" bestFit="1" customWidth="1"/>
    <col min="5915" max="5915" width="18.27734375" style="233" bestFit="1" customWidth="1"/>
    <col min="5916" max="5916" width="10.83203125" style="233" bestFit="1" customWidth="1"/>
    <col min="5917" max="6152" width="8.83203125" style="233"/>
    <col min="6153" max="6153" width="38.27734375" style="233" customWidth="1"/>
    <col min="6154" max="6154" width="23.44140625" style="233" bestFit="1" customWidth="1"/>
    <col min="6155" max="6156" width="9.1640625" style="233" customWidth="1"/>
    <col min="6157" max="6157" width="11.27734375" style="233" bestFit="1" customWidth="1"/>
    <col min="6158" max="6158" width="14.44140625" style="233" bestFit="1" customWidth="1"/>
    <col min="6159" max="6159" width="8.1640625" style="233" customWidth="1"/>
    <col min="6160" max="6160" width="10.83203125" style="233" bestFit="1" customWidth="1"/>
    <col min="6161" max="6161" width="12.27734375" style="233" bestFit="1" customWidth="1"/>
    <col min="6162" max="6162" width="9.1640625" style="233" customWidth="1"/>
    <col min="6163" max="6163" width="10.83203125" style="233" bestFit="1" customWidth="1"/>
    <col min="6164" max="6164" width="12.27734375" style="233" bestFit="1" customWidth="1"/>
    <col min="6165" max="6165" width="8" style="233" customWidth="1"/>
    <col min="6166" max="6166" width="10.83203125" style="233" bestFit="1" customWidth="1"/>
    <col min="6167" max="6167" width="12.27734375" style="233" bestFit="1" customWidth="1"/>
    <col min="6168" max="6168" width="8.1640625" style="233" bestFit="1" customWidth="1"/>
    <col min="6169" max="6169" width="10.83203125" style="233" bestFit="1" customWidth="1"/>
    <col min="6170" max="6170" width="12.27734375" style="233" bestFit="1" customWidth="1"/>
    <col min="6171" max="6171" width="18.27734375" style="233" bestFit="1" customWidth="1"/>
    <col min="6172" max="6172" width="10.83203125" style="233" bestFit="1" customWidth="1"/>
    <col min="6173" max="6408" width="8.83203125" style="233"/>
    <col min="6409" max="6409" width="38.27734375" style="233" customWidth="1"/>
    <col min="6410" max="6410" width="23.44140625" style="233" bestFit="1" customWidth="1"/>
    <col min="6411" max="6412" width="9.1640625" style="233" customWidth="1"/>
    <col min="6413" max="6413" width="11.27734375" style="233" bestFit="1" customWidth="1"/>
    <col min="6414" max="6414" width="14.44140625" style="233" bestFit="1" customWidth="1"/>
    <col min="6415" max="6415" width="8.1640625" style="233" customWidth="1"/>
    <col min="6416" max="6416" width="10.83203125" style="233" bestFit="1" customWidth="1"/>
    <col min="6417" max="6417" width="12.27734375" style="233" bestFit="1" customWidth="1"/>
    <col min="6418" max="6418" width="9.1640625" style="233" customWidth="1"/>
    <col min="6419" max="6419" width="10.83203125" style="233" bestFit="1" customWidth="1"/>
    <col min="6420" max="6420" width="12.27734375" style="233" bestFit="1" customWidth="1"/>
    <col min="6421" max="6421" width="8" style="233" customWidth="1"/>
    <col min="6422" max="6422" width="10.83203125" style="233" bestFit="1" customWidth="1"/>
    <col min="6423" max="6423" width="12.27734375" style="233" bestFit="1" customWidth="1"/>
    <col min="6424" max="6424" width="8.1640625" style="233" bestFit="1" customWidth="1"/>
    <col min="6425" max="6425" width="10.83203125" style="233" bestFit="1" customWidth="1"/>
    <col min="6426" max="6426" width="12.27734375" style="233" bestFit="1" customWidth="1"/>
    <col min="6427" max="6427" width="18.27734375" style="233" bestFit="1" customWidth="1"/>
    <col min="6428" max="6428" width="10.83203125" style="233" bestFit="1" customWidth="1"/>
    <col min="6429" max="6664" width="8.83203125" style="233"/>
    <col min="6665" max="6665" width="38.27734375" style="233" customWidth="1"/>
    <col min="6666" max="6666" width="23.44140625" style="233" bestFit="1" customWidth="1"/>
    <col min="6667" max="6668" width="9.1640625" style="233" customWidth="1"/>
    <col min="6669" max="6669" width="11.27734375" style="233" bestFit="1" customWidth="1"/>
    <col min="6670" max="6670" width="14.44140625" style="233" bestFit="1" customWidth="1"/>
    <col min="6671" max="6671" width="8.1640625" style="233" customWidth="1"/>
    <col min="6672" max="6672" width="10.83203125" style="233" bestFit="1" customWidth="1"/>
    <col min="6673" max="6673" width="12.27734375" style="233" bestFit="1" customWidth="1"/>
    <col min="6674" max="6674" width="9.1640625" style="233" customWidth="1"/>
    <col min="6675" max="6675" width="10.83203125" style="233" bestFit="1" customWidth="1"/>
    <col min="6676" max="6676" width="12.27734375" style="233" bestFit="1" customWidth="1"/>
    <col min="6677" max="6677" width="8" style="233" customWidth="1"/>
    <col min="6678" max="6678" width="10.83203125" style="233" bestFit="1" customWidth="1"/>
    <col min="6679" max="6679" width="12.27734375" style="233" bestFit="1" customWidth="1"/>
    <col min="6680" max="6680" width="8.1640625" style="233" bestFit="1" customWidth="1"/>
    <col min="6681" max="6681" width="10.83203125" style="233" bestFit="1" customWidth="1"/>
    <col min="6682" max="6682" width="12.27734375" style="233" bestFit="1" customWidth="1"/>
    <col min="6683" max="6683" width="18.27734375" style="233" bestFit="1" customWidth="1"/>
    <col min="6684" max="6684" width="10.83203125" style="233" bestFit="1" customWidth="1"/>
    <col min="6685" max="6920" width="8.83203125" style="233"/>
    <col min="6921" max="6921" width="38.27734375" style="233" customWidth="1"/>
    <col min="6922" max="6922" width="23.44140625" style="233" bestFit="1" customWidth="1"/>
    <col min="6923" max="6924" width="9.1640625" style="233" customWidth="1"/>
    <col min="6925" max="6925" width="11.27734375" style="233" bestFit="1" customWidth="1"/>
    <col min="6926" max="6926" width="14.44140625" style="233" bestFit="1" customWidth="1"/>
    <col min="6927" max="6927" width="8.1640625" style="233" customWidth="1"/>
    <col min="6928" max="6928" width="10.83203125" style="233" bestFit="1" customWidth="1"/>
    <col min="6929" max="6929" width="12.27734375" style="233" bestFit="1" customWidth="1"/>
    <col min="6930" max="6930" width="9.1640625" style="233" customWidth="1"/>
    <col min="6931" max="6931" width="10.83203125" style="233" bestFit="1" customWidth="1"/>
    <col min="6932" max="6932" width="12.27734375" style="233" bestFit="1" customWidth="1"/>
    <col min="6933" max="6933" width="8" style="233" customWidth="1"/>
    <col min="6934" max="6934" width="10.83203125" style="233" bestFit="1" customWidth="1"/>
    <col min="6935" max="6935" width="12.27734375" style="233" bestFit="1" customWidth="1"/>
    <col min="6936" max="6936" width="8.1640625" style="233" bestFit="1" customWidth="1"/>
    <col min="6937" max="6937" width="10.83203125" style="233" bestFit="1" customWidth="1"/>
    <col min="6938" max="6938" width="12.27734375" style="233" bestFit="1" customWidth="1"/>
    <col min="6939" max="6939" width="18.27734375" style="233" bestFit="1" customWidth="1"/>
    <col min="6940" max="6940" width="10.83203125" style="233" bestFit="1" customWidth="1"/>
    <col min="6941" max="7176" width="8.83203125" style="233"/>
    <col min="7177" max="7177" width="38.27734375" style="233" customWidth="1"/>
    <col min="7178" max="7178" width="23.44140625" style="233" bestFit="1" customWidth="1"/>
    <col min="7179" max="7180" width="9.1640625" style="233" customWidth="1"/>
    <col min="7181" max="7181" width="11.27734375" style="233" bestFit="1" customWidth="1"/>
    <col min="7182" max="7182" width="14.44140625" style="233" bestFit="1" customWidth="1"/>
    <col min="7183" max="7183" width="8.1640625" style="233" customWidth="1"/>
    <col min="7184" max="7184" width="10.83203125" style="233" bestFit="1" customWidth="1"/>
    <col min="7185" max="7185" width="12.27734375" style="233" bestFit="1" customWidth="1"/>
    <col min="7186" max="7186" width="9.1640625" style="233" customWidth="1"/>
    <col min="7187" max="7187" width="10.83203125" style="233" bestFit="1" customWidth="1"/>
    <col min="7188" max="7188" width="12.27734375" style="233" bestFit="1" customWidth="1"/>
    <col min="7189" max="7189" width="8" style="233" customWidth="1"/>
    <col min="7190" max="7190" width="10.83203125" style="233" bestFit="1" customWidth="1"/>
    <col min="7191" max="7191" width="12.27734375" style="233" bestFit="1" customWidth="1"/>
    <col min="7192" max="7192" width="8.1640625" style="233" bestFit="1" customWidth="1"/>
    <col min="7193" max="7193" width="10.83203125" style="233" bestFit="1" customWidth="1"/>
    <col min="7194" max="7194" width="12.27734375" style="233" bestFit="1" customWidth="1"/>
    <col min="7195" max="7195" width="18.27734375" style="233" bestFit="1" customWidth="1"/>
    <col min="7196" max="7196" width="10.83203125" style="233" bestFit="1" customWidth="1"/>
    <col min="7197" max="7432" width="8.83203125" style="233"/>
    <col min="7433" max="7433" width="38.27734375" style="233" customWidth="1"/>
    <col min="7434" max="7434" width="23.44140625" style="233" bestFit="1" customWidth="1"/>
    <col min="7435" max="7436" width="9.1640625" style="233" customWidth="1"/>
    <col min="7437" max="7437" width="11.27734375" style="233" bestFit="1" customWidth="1"/>
    <col min="7438" max="7438" width="14.44140625" style="233" bestFit="1" customWidth="1"/>
    <col min="7439" max="7439" width="8.1640625" style="233" customWidth="1"/>
    <col min="7440" max="7440" width="10.83203125" style="233" bestFit="1" customWidth="1"/>
    <col min="7441" max="7441" width="12.27734375" style="233" bestFit="1" customWidth="1"/>
    <col min="7442" max="7442" width="9.1640625" style="233" customWidth="1"/>
    <col min="7443" max="7443" width="10.83203125" style="233" bestFit="1" customWidth="1"/>
    <col min="7444" max="7444" width="12.27734375" style="233" bestFit="1" customWidth="1"/>
    <col min="7445" max="7445" width="8" style="233" customWidth="1"/>
    <col min="7446" max="7446" width="10.83203125" style="233" bestFit="1" customWidth="1"/>
    <col min="7447" max="7447" width="12.27734375" style="233" bestFit="1" customWidth="1"/>
    <col min="7448" max="7448" width="8.1640625" style="233" bestFit="1" customWidth="1"/>
    <col min="7449" max="7449" width="10.83203125" style="233" bestFit="1" customWidth="1"/>
    <col min="7450" max="7450" width="12.27734375" style="233" bestFit="1" customWidth="1"/>
    <col min="7451" max="7451" width="18.27734375" style="233" bestFit="1" customWidth="1"/>
    <col min="7452" max="7452" width="10.83203125" style="233" bestFit="1" customWidth="1"/>
    <col min="7453" max="7688" width="8.83203125" style="233"/>
    <col min="7689" max="7689" width="38.27734375" style="233" customWidth="1"/>
    <col min="7690" max="7690" width="23.44140625" style="233" bestFit="1" customWidth="1"/>
    <col min="7691" max="7692" width="9.1640625" style="233" customWidth="1"/>
    <col min="7693" max="7693" width="11.27734375" style="233" bestFit="1" customWidth="1"/>
    <col min="7694" max="7694" width="14.44140625" style="233" bestFit="1" customWidth="1"/>
    <col min="7695" max="7695" width="8.1640625" style="233" customWidth="1"/>
    <col min="7696" max="7696" width="10.83203125" style="233" bestFit="1" customWidth="1"/>
    <col min="7697" max="7697" width="12.27734375" style="233" bestFit="1" customWidth="1"/>
    <col min="7698" max="7698" width="9.1640625" style="233" customWidth="1"/>
    <col min="7699" max="7699" width="10.83203125" style="233" bestFit="1" customWidth="1"/>
    <col min="7700" max="7700" width="12.27734375" style="233" bestFit="1" customWidth="1"/>
    <col min="7701" max="7701" width="8" style="233" customWidth="1"/>
    <col min="7702" max="7702" width="10.83203125" style="233" bestFit="1" customWidth="1"/>
    <col min="7703" max="7703" width="12.27734375" style="233" bestFit="1" customWidth="1"/>
    <col min="7704" max="7704" width="8.1640625" style="233" bestFit="1" customWidth="1"/>
    <col min="7705" max="7705" width="10.83203125" style="233" bestFit="1" customWidth="1"/>
    <col min="7706" max="7706" width="12.27734375" style="233" bestFit="1" customWidth="1"/>
    <col min="7707" max="7707" width="18.27734375" style="233" bestFit="1" customWidth="1"/>
    <col min="7708" max="7708" width="10.83203125" style="233" bestFit="1" customWidth="1"/>
    <col min="7709" max="7944" width="8.83203125" style="233"/>
    <col min="7945" max="7945" width="38.27734375" style="233" customWidth="1"/>
    <col min="7946" max="7946" width="23.44140625" style="233" bestFit="1" customWidth="1"/>
    <col min="7947" max="7948" width="9.1640625" style="233" customWidth="1"/>
    <col min="7949" max="7949" width="11.27734375" style="233" bestFit="1" customWidth="1"/>
    <col min="7950" max="7950" width="14.44140625" style="233" bestFit="1" customWidth="1"/>
    <col min="7951" max="7951" width="8.1640625" style="233" customWidth="1"/>
    <col min="7952" max="7952" width="10.83203125" style="233" bestFit="1" customWidth="1"/>
    <col min="7953" max="7953" width="12.27734375" style="233" bestFit="1" customWidth="1"/>
    <col min="7954" max="7954" width="9.1640625" style="233" customWidth="1"/>
    <col min="7955" max="7955" width="10.83203125" style="233" bestFit="1" customWidth="1"/>
    <col min="7956" max="7956" width="12.27734375" style="233" bestFit="1" customWidth="1"/>
    <col min="7957" max="7957" width="8" style="233" customWidth="1"/>
    <col min="7958" max="7958" width="10.83203125" style="233" bestFit="1" customWidth="1"/>
    <col min="7959" max="7959" width="12.27734375" style="233" bestFit="1" customWidth="1"/>
    <col min="7960" max="7960" width="8.1640625" style="233" bestFit="1" customWidth="1"/>
    <col min="7961" max="7961" width="10.83203125" style="233" bestFit="1" customWidth="1"/>
    <col min="7962" max="7962" width="12.27734375" style="233" bestFit="1" customWidth="1"/>
    <col min="7963" max="7963" width="18.27734375" style="233" bestFit="1" customWidth="1"/>
    <col min="7964" max="7964" width="10.83203125" style="233" bestFit="1" customWidth="1"/>
    <col min="7965" max="8200" width="8.83203125" style="233"/>
    <col min="8201" max="8201" width="38.27734375" style="233" customWidth="1"/>
    <col min="8202" max="8202" width="23.44140625" style="233" bestFit="1" customWidth="1"/>
    <col min="8203" max="8204" width="9.1640625" style="233" customWidth="1"/>
    <col min="8205" max="8205" width="11.27734375" style="233" bestFit="1" customWidth="1"/>
    <col min="8206" max="8206" width="14.44140625" style="233" bestFit="1" customWidth="1"/>
    <col min="8207" max="8207" width="8.1640625" style="233" customWidth="1"/>
    <col min="8208" max="8208" width="10.83203125" style="233" bestFit="1" customWidth="1"/>
    <col min="8209" max="8209" width="12.27734375" style="233" bestFit="1" customWidth="1"/>
    <col min="8210" max="8210" width="9.1640625" style="233" customWidth="1"/>
    <col min="8211" max="8211" width="10.83203125" style="233" bestFit="1" customWidth="1"/>
    <col min="8212" max="8212" width="12.27734375" style="233" bestFit="1" customWidth="1"/>
    <col min="8213" max="8213" width="8" style="233" customWidth="1"/>
    <col min="8214" max="8214" width="10.83203125" style="233" bestFit="1" customWidth="1"/>
    <col min="8215" max="8215" width="12.27734375" style="233" bestFit="1" customWidth="1"/>
    <col min="8216" max="8216" width="8.1640625" style="233" bestFit="1" customWidth="1"/>
    <col min="8217" max="8217" width="10.83203125" style="233" bestFit="1" customWidth="1"/>
    <col min="8218" max="8218" width="12.27734375" style="233" bestFit="1" customWidth="1"/>
    <col min="8219" max="8219" width="18.27734375" style="233" bestFit="1" customWidth="1"/>
    <col min="8220" max="8220" width="10.83203125" style="233" bestFit="1" customWidth="1"/>
    <col min="8221" max="8456" width="8.83203125" style="233"/>
    <col min="8457" max="8457" width="38.27734375" style="233" customWidth="1"/>
    <col min="8458" max="8458" width="23.44140625" style="233" bestFit="1" customWidth="1"/>
    <col min="8459" max="8460" width="9.1640625" style="233" customWidth="1"/>
    <col min="8461" max="8461" width="11.27734375" style="233" bestFit="1" customWidth="1"/>
    <col min="8462" max="8462" width="14.44140625" style="233" bestFit="1" customWidth="1"/>
    <col min="8463" max="8463" width="8.1640625" style="233" customWidth="1"/>
    <col min="8464" max="8464" width="10.83203125" style="233" bestFit="1" customWidth="1"/>
    <col min="8465" max="8465" width="12.27734375" style="233" bestFit="1" customWidth="1"/>
    <col min="8466" max="8466" width="9.1640625" style="233" customWidth="1"/>
    <col min="8467" max="8467" width="10.83203125" style="233" bestFit="1" customWidth="1"/>
    <col min="8468" max="8468" width="12.27734375" style="233" bestFit="1" customWidth="1"/>
    <col min="8469" max="8469" width="8" style="233" customWidth="1"/>
    <col min="8470" max="8470" width="10.83203125" style="233" bestFit="1" customWidth="1"/>
    <col min="8471" max="8471" width="12.27734375" style="233" bestFit="1" customWidth="1"/>
    <col min="8472" max="8472" width="8.1640625" style="233" bestFit="1" customWidth="1"/>
    <col min="8473" max="8473" width="10.83203125" style="233" bestFit="1" customWidth="1"/>
    <col min="8474" max="8474" width="12.27734375" style="233" bestFit="1" customWidth="1"/>
    <col min="8475" max="8475" width="18.27734375" style="233" bestFit="1" customWidth="1"/>
    <col min="8476" max="8476" width="10.83203125" style="233" bestFit="1" customWidth="1"/>
    <col min="8477" max="8712" width="8.83203125" style="233"/>
    <col min="8713" max="8713" width="38.27734375" style="233" customWidth="1"/>
    <col min="8714" max="8714" width="23.44140625" style="233" bestFit="1" customWidth="1"/>
    <col min="8715" max="8716" width="9.1640625" style="233" customWidth="1"/>
    <col min="8717" max="8717" width="11.27734375" style="233" bestFit="1" customWidth="1"/>
    <col min="8718" max="8718" width="14.44140625" style="233" bestFit="1" customWidth="1"/>
    <col min="8719" max="8719" width="8.1640625" style="233" customWidth="1"/>
    <col min="8720" max="8720" width="10.83203125" style="233" bestFit="1" customWidth="1"/>
    <col min="8721" max="8721" width="12.27734375" style="233" bestFit="1" customWidth="1"/>
    <col min="8722" max="8722" width="9.1640625" style="233" customWidth="1"/>
    <col min="8723" max="8723" width="10.83203125" style="233" bestFit="1" customWidth="1"/>
    <col min="8724" max="8724" width="12.27734375" style="233" bestFit="1" customWidth="1"/>
    <col min="8725" max="8725" width="8" style="233" customWidth="1"/>
    <col min="8726" max="8726" width="10.83203125" style="233" bestFit="1" customWidth="1"/>
    <col min="8727" max="8727" width="12.27734375" style="233" bestFit="1" customWidth="1"/>
    <col min="8728" max="8728" width="8.1640625" style="233" bestFit="1" customWidth="1"/>
    <col min="8729" max="8729" width="10.83203125" style="233" bestFit="1" customWidth="1"/>
    <col min="8730" max="8730" width="12.27734375" style="233" bestFit="1" customWidth="1"/>
    <col min="8731" max="8731" width="18.27734375" style="233" bestFit="1" customWidth="1"/>
    <col min="8732" max="8732" width="10.83203125" style="233" bestFit="1" customWidth="1"/>
    <col min="8733" max="8968" width="8.83203125" style="233"/>
    <col min="8969" max="8969" width="38.27734375" style="233" customWidth="1"/>
    <col min="8970" max="8970" width="23.44140625" style="233" bestFit="1" customWidth="1"/>
    <col min="8971" max="8972" width="9.1640625" style="233" customWidth="1"/>
    <col min="8973" max="8973" width="11.27734375" style="233" bestFit="1" customWidth="1"/>
    <col min="8974" max="8974" width="14.44140625" style="233" bestFit="1" customWidth="1"/>
    <col min="8975" max="8975" width="8.1640625" style="233" customWidth="1"/>
    <col min="8976" max="8976" width="10.83203125" style="233" bestFit="1" customWidth="1"/>
    <col min="8977" max="8977" width="12.27734375" style="233" bestFit="1" customWidth="1"/>
    <col min="8978" max="8978" width="9.1640625" style="233" customWidth="1"/>
    <col min="8979" max="8979" width="10.83203125" style="233" bestFit="1" customWidth="1"/>
    <col min="8980" max="8980" width="12.27734375" style="233" bestFit="1" customWidth="1"/>
    <col min="8981" max="8981" width="8" style="233" customWidth="1"/>
    <col min="8982" max="8982" width="10.83203125" style="233" bestFit="1" customWidth="1"/>
    <col min="8983" max="8983" width="12.27734375" style="233" bestFit="1" customWidth="1"/>
    <col min="8984" max="8984" width="8.1640625" style="233" bestFit="1" customWidth="1"/>
    <col min="8985" max="8985" width="10.83203125" style="233" bestFit="1" customWidth="1"/>
    <col min="8986" max="8986" width="12.27734375" style="233" bestFit="1" customWidth="1"/>
    <col min="8987" max="8987" width="18.27734375" style="233" bestFit="1" customWidth="1"/>
    <col min="8988" max="8988" width="10.83203125" style="233" bestFit="1" customWidth="1"/>
    <col min="8989" max="9224" width="8.83203125" style="233"/>
    <col min="9225" max="9225" width="38.27734375" style="233" customWidth="1"/>
    <col min="9226" max="9226" width="23.44140625" style="233" bestFit="1" customWidth="1"/>
    <col min="9227" max="9228" width="9.1640625" style="233" customWidth="1"/>
    <col min="9229" max="9229" width="11.27734375" style="233" bestFit="1" customWidth="1"/>
    <col min="9230" max="9230" width="14.44140625" style="233" bestFit="1" customWidth="1"/>
    <col min="9231" max="9231" width="8.1640625" style="233" customWidth="1"/>
    <col min="9232" max="9232" width="10.83203125" style="233" bestFit="1" customWidth="1"/>
    <col min="9233" max="9233" width="12.27734375" style="233" bestFit="1" customWidth="1"/>
    <col min="9234" max="9234" width="9.1640625" style="233" customWidth="1"/>
    <col min="9235" max="9235" width="10.83203125" style="233" bestFit="1" customWidth="1"/>
    <col min="9236" max="9236" width="12.27734375" style="233" bestFit="1" customWidth="1"/>
    <col min="9237" max="9237" width="8" style="233" customWidth="1"/>
    <col min="9238" max="9238" width="10.83203125" style="233" bestFit="1" customWidth="1"/>
    <col min="9239" max="9239" width="12.27734375" style="233" bestFit="1" customWidth="1"/>
    <col min="9240" max="9240" width="8.1640625" style="233" bestFit="1" customWidth="1"/>
    <col min="9241" max="9241" width="10.83203125" style="233" bestFit="1" customWidth="1"/>
    <col min="9242" max="9242" width="12.27734375" style="233" bestFit="1" customWidth="1"/>
    <col min="9243" max="9243" width="18.27734375" style="233" bestFit="1" customWidth="1"/>
    <col min="9244" max="9244" width="10.83203125" style="233" bestFit="1" customWidth="1"/>
    <col min="9245" max="9480" width="8.83203125" style="233"/>
    <col min="9481" max="9481" width="38.27734375" style="233" customWidth="1"/>
    <col min="9482" max="9482" width="23.44140625" style="233" bestFit="1" customWidth="1"/>
    <col min="9483" max="9484" width="9.1640625" style="233" customWidth="1"/>
    <col min="9485" max="9485" width="11.27734375" style="233" bestFit="1" customWidth="1"/>
    <col min="9486" max="9486" width="14.44140625" style="233" bestFit="1" customWidth="1"/>
    <col min="9487" max="9487" width="8.1640625" style="233" customWidth="1"/>
    <col min="9488" max="9488" width="10.83203125" style="233" bestFit="1" customWidth="1"/>
    <col min="9489" max="9489" width="12.27734375" style="233" bestFit="1" customWidth="1"/>
    <col min="9490" max="9490" width="9.1640625" style="233" customWidth="1"/>
    <col min="9491" max="9491" width="10.83203125" style="233" bestFit="1" customWidth="1"/>
    <col min="9492" max="9492" width="12.27734375" style="233" bestFit="1" customWidth="1"/>
    <col min="9493" max="9493" width="8" style="233" customWidth="1"/>
    <col min="9494" max="9494" width="10.83203125" style="233" bestFit="1" customWidth="1"/>
    <col min="9495" max="9495" width="12.27734375" style="233" bestFit="1" customWidth="1"/>
    <col min="9496" max="9496" width="8.1640625" style="233" bestFit="1" customWidth="1"/>
    <col min="9497" max="9497" width="10.83203125" style="233" bestFit="1" customWidth="1"/>
    <col min="9498" max="9498" width="12.27734375" style="233" bestFit="1" customWidth="1"/>
    <col min="9499" max="9499" width="18.27734375" style="233" bestFit="1" customWidth="1"/>
    <col min="9500" max="9500" width="10.83203125" style="233" bestFit="1" customWidth="1"/>
    <col min="9501" max="9736" width="8.83203125" style="233"/>
    <col min="9737" max="9737" width="38.27734375" style="233" customWidth="1"/>
    <col min="9738" max="9738" width="23.44140625" style="233" bestFit="1" customWidth="1"/>
    <col min="9739" max="9740" width="9.1640625" style="233" customWidth="1"/>
    <col min="9741" max="9741" width="11.27734375" style="233" bestFit="1" customWidth="1"/>
    <col min="9742" max="9742" width="14.44140625" style="233" bestFit="1" customWidth="1"/>
    <col min="9743" max="9743" width="8.1640625" style="233" customWidth="1"/>
    <col min="9744" max="9744" width="10.83203125" style="233" bestFit="1" customWidth="1"/>
    <col min="9745" max="9745" width="12.27734375" style="233" bestFit="1" customWidth="1"/>
    <col min="9746" max="9746" width="9.1640625" style="233" customWidth="1"/>
    <col min="9747" max="9747" width="10.83203125" style="233" bestFit="1" customWidth="1"/>
    <col min="9748" max="9748" width="12.27734375" style="233" bestFit="1" customWidth="1"/>
    <col min="9749" max="9749" width="8" style="233" customWidth="1"/>
    <col min="9750" max="9750" width="10.83203125" style="233" bestFit="1" customWidth="1"/>
    <col min="9751" max="9751" width="12.27734375" style="233" bestFit="1" customWidth="1"/>
    <col min="9752" max="9752" width="8.1640625" style="233" bestFit="1" customWidth="1"/>
    <col min="9753" max="9753" width="10.83203125" style="233" bestFit="1" customWidth="1"/>
    <col min="9754" max="9754" width="12.27734375" style="233" bestFit="1" customWidth="1"/>
    <col min="9755" max="9755" width="18.27734375" style="233" bestFit="1" customWidth="1"/>
    <col min="9756" max="9756" width="10.83203125" style="233" bestFit="1" customWidth="1"/>
    <col min="9757" max="9992" width="8.83203125" style="233"/>
    <col min="9993" max="9993" width="38.27734375" style="233" customWidth="1"/>
    <col min="9994" max="9994" width="23.44140625" style="233" bestFit="1" customWidth="1"/>
    <col min="9995" max="9996" width="9.1640625" style="233" customWidth="1"/>
    <col min="9997" max="9997" width="11.27734375" style="233" bestFit="1" customWidth="1"/>
    <col min="9998" max="9998" width="14.44140625" style="233" bestFit="1" customWidth="1"/>
    <col min="9999" max="9999" width="8.1640625" style="233" customWidth="1"/>
    <col min="10000" max="10000" width="10.83203125" style="233" bestFit="1" customWidth="1"/>
    <col min="10001" max="10001" width="12.27734375" style="233" bestFit="1" customWidth="1"/>
    <col min="10002" max="10002" width="9.1640625" style="233" customWidth="1"/>
    <col min="10003" max="10003" width="10.83203125" style="233" bestFit="1" customWidth="1"/>
    <col min="10004" max="10004" width="12.27734375" style="233" bestFit="1" customWidth="1"/>
    <col min="10005" max="10005" width="8" style="233" customWidth="1"/>
    <col min="10006" max="10006" width="10.83203125" style="233" bestFit="1" customWidth="1"/>
    <col min="10007" max="10007" width="12.27734375" style="233" bestFit="1" customWidth="1"/>
    <col min="10008" max="10008" width="8.1640625" style="233" bestFit="1" customWidth="1"/>
    <col min="10009" max="10009" width="10.83203125" style="233" bestFit="1" customWidth="1"/>
    <col min="10010" max="10010" width="12.27734375" style="233" bestFit="1" customWidth="1"/>
    <col min="10011" max="10011" width="18.27734375" style="233" bestFit="1" customWidth="1"/>
    <col min="10012" max="10012" width="10.83203125" style="233" bestFit="1" customWidth="1"/>
    <col min="10013" max="10248" width="8.83203125" style="233"/>
    <col min="10249" max="10249" width="38.27734375" style="233" customWidth="1"/>
    <col min="10250" max="10250" width="23.44140625" style="233" bestFit="1" customWidth="1"/>
    <col min="10251" max="10252" width="9.1640625" style="233" customWidth="1"/>
    <col min="10253" max="10253" width="11.27734375" style="233" bestFit="1" customWidth="1"/>
    <col min="10254" max="10254" width="14.44140625" style="233" bestFit="1" customWidth="1"/>
    <col min="10255" max="10255" width="8.1640625" style="233" customWidth="1"/>
    <col min="10256" max="10256" width="10.83203125" style="233" bestFit="1" customWidth="1"/>
    <col min="10257" max="10257" width="12.27734375" style="233" bestFit="1" customWidth="1"/>
    <col min="10258" max="10258" width="9.1640625" style="233" customWidth="1"/>
    <col min="10259" max="10259" width="10.83203125" style="233" bestFit="1" customWidth="1"/>
    <col min="10260" max="10260" width="12.27734375" style="233" bestFit="1" customWidth="1"/>
    <col min="10261" max="10261" width="8" style="233" customWidth="1"/>
    <col min="10262" max="10262" width="10.83203125" style="233" bestFit="1" customWidth="1"/>
    <col min="10263" max="10263" width="12.27734375" style="233" bestFit="1" customWidth="1"/>
    <col min="10264" max="10264" width="8.1640625" style="233" bestFit="1" customWidth="1"/>
    <col min="10265" max="10265" width="10.83203125" style="233" bestFit="1" customWidth="1"/>
    <col min="10266" max="10266" width="12.27734375" style="233" bestFit="1" customWidth="1"/>
    <col min="10267" max="10267" width="18.27734375" style="233" bestFit="1" customWidth="1"/>
    <col min="10268" max="10268" width="10.83203125" style="233" bestFit="1" customWidth="1"/>
    <col min="10269" max="10504" width="8.83203125" style="233"/>
    <col min="10505" max="10505" width="38.27734375" style="233" customWidth="1"/>
    <col min="10506" max="10506" width="23.44140625" style="233" bestFit="1" customWidth="1"/>
    <col min="10507" max="10508" width="9.1640625" style="233" customWidth="1"/>
    <col min="10509" max="10509" width="11.27734375" style="233" bestFit="1" customWidth="1"/>
    <col min="10510" max="10510" width="14.44140625" style="233" bestFit="1" customWidth="1"/>
    <col min="10511" max="10511" width="8.1640625" style="233" customWidth="1"/>
    <col min="10512" max="10512" width="10.83203125" style="233" bestFit="1" customWidth="1"/>
    <col min="10513" max="10513" width="12.27734375" style="233" bestFit="1" customWidth="1"/>
    <col min="10514" max="10514" width="9.1640625" style="233" customWidth="1"/>
    <col min="10515" max="10515" width="10.83203125" style="233" bestFit="1" customWidth="1"/>
    <col min="10516" max="10516" width="12.27734375" style="233" bestFit="1" customWidth="1"/>
    <col min="10517" max="10517" width="8" style="233" customWidth="1"/>
    <col min="10518" max="10518" width="10.83203125" style="233" bestFit="1" customWidth="1"/>
    <col min="10519" max="10519" width="12.27734375" style="233" bestFit="1" customWidth="1"/>
    <col min="10520" max="10520" width="8.1640625" style="233" bestFit="1" customWidth="1"/>
    <col min="10521" max="10521" width="10.83203125" style="233" bestFit="1" customWidth="1"/>
    <col min="10522" max="10522" width="12.27734375" style="233" bestFit="1" customWidth="1"/>
    <col min="10523" max="10523" width="18.27734375" style="233" bestFit="1" customWidth="1"/>
    <col min="10524" max="10524" width="10.83203125" style="233" bestFit="1" customWidth="1"/>
    <col min="10525" max="10760" width="8.83203125" style="233"/>
    <col min="10761" max="10761" width="38.27734375" style="233" customWidth="1"/>
    <col min="10762" max="10762" width="23.44140625" style="233" bestFit="1" customWidth="1"/>
    <col min="10763" max="10764" width="9.1640625" style="233" customWidth="1"/>
    <col min="10765" max="10765" width="11.27734375" style="233" bestFit="1" customWidth="1"/>
    <col min="10766" max="10766" width="14.44140625" style="233" bestFit="1" customWidth="1"/>
    <col min="10767" max="10767" width="8.1640625" style="233" customWidth="1"/>
    <col min="10768" max="10768" width="10.83203125" style="233" bestFit="1" customWidth="1"/>
    <col min="10769" max="10769" width="12.27734375" style="233" bestFit="1" customWidth="1"/>
    <col min="10770" max="10770" width="9.1640625" style="233" customWidth="1"/>
    <col min="10771" max="10771" width="10.83203125" style="233" bestFit="1" customWidth="1"/>
    <col min="10772" max="10772" width="12.27734375" style="233" bestFit="1" customWidth="1"/>
    <col min="10773" max="10773" width="8" style="233" customWidth="1"/>
    <col min="10774" max="10774" width="10.83203125" style="233" bestFit="1" customWidth="1"/>
    <col min="10775" max="10775" width="12.27734375" style="233" bestFit="1" customWidth="1"/>
    <col min="10776" max="10776" width="8.1640625" style="233" bestFit="1" customWidth="1"/>
    <col min="10777" max="10777" width="10.83203125" style="233" bestFit="1" customWidth="1"/>
    <col min="10778" max="10778" width="12.27734375" style="233" bestFit="1" customWidth="1"/>
    <col min="10779" max="10779" width="18.27734375" style="233" bestFit="1" customWidth="1"/>
    <col min="10780" max="10780" width="10.83203125" style="233" bestFit="1" customWidth="1"/>
    <col min="10781" max="11016" width="8.83203125" style="233"/>
    <col min="11017" max="11017" width="38.27734375" style="233" customWidth="1"/>
    <col min="11018" max="11018" width="23.44140625" style="233" bestFit="1" customWidth="1"/>
    <col min="11019" max="11020" width="9.1640625" style="233" customWidth="1"/>
    <col min="11021" max="11021" width="11.27734375" style="233" bestFit="1" customWidth="1"/>
    <col min="11022" max="11022" width="14.44140625" style="233" bestFit="1" customWidth="1"/>
    <col min="11023" max="11023" width="8.1640625" style="233" customWidth="1"/>
    <col min="11024" max="11024" width="10.83203125" style="233" bestFit="1" customWidth="1"/>
    <col min="11025" max="11025" width="12.27734375" style="233" bestFit="1" customWidth="1"/>
    <col min="11026" max="11026" width="9.1640625" style="233" customWidth="1"/>
    <col min="11027" max="11027" width="10.83203125" style="233" bestFit="1" customWidth="1"/>
    <col min="11028" max="11028" width="12.27734375" style="233" bestFit="1" customWidth="1"/>
    <col min="11029" max="11029" width="8" style="233" customWidth="1"/>
    <col min="11030" max="11030" width="10.83203125" style="233" bestFit="1" customWidth="1"/>
    <col min="11031" max="11031" width="12.27734375" style="233" bestFit="1" customWidth="1"/>
    <col min="11032" max="11032" width="8.1640625" style="233" bestFit="1" customWidth="1"/>
    <col min="11033" max="11033" width="10.83203125" style="233" bestFit="1" customWidth="1"/>
    <col min="11034" max="11034" width="12.27734375" style="233" bestFit="1" customWidth="1"/>
    <col min="11035" max="11035" width="18.27734375" style="233" bestFit="1" customWidth="1"/>
    <col min="11036" max="11036" width="10.83203125" style="233" bestFit="1" customWidth="1"/>
    <col min="11037" max="11272" width="8.83203125" style="233"/>
    <col min="11273" max="11273" width="38.27734375" style="233" customWidth="1"/>
    <col min="11274" max="11274" width="23.44140625" style="233" bestFit="1" customWidth="1"/>
    <col min="11275" max="11276" width="9.1640625" style="233" customWidth="1"/>
    <col min="11277" max="11277" width="11.27734375" style="233" bestFit="1" customWidth="1"/>
    <col min="11278" max="11278" width="14.44140625" style="233" bestFit="1" customWidth="1"/>
    <col min="11279" max="11279" width="8.1640625" style="233" customWidth="1"/>
    <col min="11280" max="11280" width="10.83203125" style="233" bestFit="1" customWidth="1"/>
    <col min="11281" max="11281" width="12.27734375" style="233" bestFit="1" customWidth="1"/>
    <col min="11282" max="11282" width="9.1640625" style="233" customWidth="1"/>
    <col min="11283" max="11283" width="10.83203125" style="233" bestFit="1" customWidth="1"/>
    <col min="11284" max="11284" width="12.27734375" style="233" bestFit="1" customWidth="1"/>
    <col min="11285" max="11285" width="8" style="233" customWidth="1"/>
    <col min="11286" max="11286" width="10.83203125" style="233" bestFit="1" customWidth="1"/>
    <col min="11287" max="11287" width="12.27734375" style="233" bestFit="1" customWidth="1"/>
    <col min="11288" max="11288" width="8.1640625" style="233" bestFit="1" customWidth="1"/>
    <col min="11289" max="11289" width="10.83203125" style="233" bestFit="1" customWidth="1"/>
    <col min="11290" max="11290" width="12.27734375" style="233" bestFit="1" customWidth="1"/>
    <col min="11291" max="11291" width="18.27734375" style="233" bestFit="1" customWidth="1"/>
    <col min="11292" max="11292" width="10.83203125" style="233" bestFit="1" customWidth="1"/>
    <col min="11293" max="11528" width="8.83203125" style="233"/>
    <col min="11529" max="11529" width="38.27734375" style="233" customWidth="1"/>
    <col min="11530" max="11530" width="23.44140625" style="233" bestFit="1" customWidth="1"/>
    <col min="11531" max="11532" width="9.1640625" style="233" customWidth="1"/>
    <col min="11533" max="11533" width="11.27734375" style="233" bestFit="1" customWidth="1"/>
    <col min="11534" max="11534" width="14.44140625" style="233" bestFit="1" customWidth="1"/>
    <col min="11535" max="11535" width="8.1640625" style="233" customWidth="1"/>
    <col min="11536" max="11536" width="10.83203125" style="233" bestFit="1" customWidth="1"/>
    <col min="11537" max="11537" width="12.27734375" style="233" bestFit="1" customWidth="1"/>
    <col min="11538" max="11538" width="9.1640625" style="233" customWidth="1"/>
    <col min="11539" max="11539" width="10.83203125" style="233" bestFit="1" customWidth="1"/>
    <col min="11540" max="11540" width="12.27734375" style="233" bestFit="1" customWidth="1"/>
    <col min="11541" max="11541" width="8" style="233" customWidth="1"/>
    <col min="11542" max="11542" width="10.83203125" style="233" bestFit="1" customWidth="1"/>
    <col min="11543" max="11543" width="12.27734375" style="233" bestFit="1" customWidth="1"/>
    <col min="11544" max="11544" width="8.1640625" style="233" bestFit="1" customWidth="1"/>
    <col min="11545" max="11545" width="10.83203125" style="233" bestFit="1" customWidth="1"/>
    <col min="11546" max="11546" width="12.27734375" style="233" bestFit="1" customWidth="1"/>
    <col min="11547" max="11547" width="18.27734375" style="233" bestFit="1" customWidth="1"/>
    <col min="11548" max="11548" width="10.83203125" style="233" bestFit="1" customWidth="1"/>
    <col min="11549" max="11784" width="8.83203125" style="233"/>
    <col min="11785" max="11785" width="38.27734375" style="233" customWidth="1"/>
    <col min="11786" max="11786" width="23.44140625" style="233" bestFit="1" customWidth="1"/>
    <col min="11787" max="11788" width="9.1640625" style="233" customWidth="1"/>
    <col min="11789" max="11789" width="11.27734375" style="233" bestFit="1" customWidth="1"/>
    <col min="11790" max="11790" width="14.44140625" style="233" bestFit="1" customWidth="1"/>
    <col min="11791" max="11791" width="8.1640625" style="233" customWidth="1"/>
    <col min="11792" max="11792" width="10.83203125" style="233" bestFit="1" customWidth="1"/>
    <col min="11793" max="11793" width="12.27734375" style="233" bestFit="1" customWidth="1"/>
    <col min="11794" max="11794" width="9.1640625" style="233" customWidth="1"/>
    <col min="11795" max="11795" width="10.83203125" style="233" bestFit="1" customWidth="1"/>
    <col min="11796" max="11796" width="12.27734375" style="233" bestFit="1" customWidth="1"/>
    <col min="11797" max="11797" width="8" style="233" customWidth="1"/>
    <col min="11798" max="11798" width="10.83203125" style="233" bestFit="1" customWidth="1"/>
    <col min="11799" max="11799" width="12.27734375" style="233" bestFit="1" customWidth="1"/>
    <col min="11800" max="11800" width="8.1640625" style="233" bestFit="1" customWidth="1"/>
    <col min="11801" max="11801" width="10.83203125" style="233" bestFit="1" customWidth="1"/>
    <col min="11802" max="11802" width="12.27734375" style="233" bestFit="1" customWidth="1"/>
    <col min="11803" max="11803" width="18.27734375" style="233" bestFit="1" customWidth="1"/>
    <col min="11804" max="11804" width="10.83203125" style="233" bestFit="1" customWidth="1"/>
    <col min="11805" max="12040" width="8.83203125" style="233"/>
    <col min="12041" max="12041" width="38.27734375" style="233" customWidth="1"/>
    <col min="12042" max="12042" width="23.44140625" style="233" bestFit="1" customWidth="1"/>
    <col min="12043" max="12044" width="9.1640625" style="233" customWidth="1"/>
    <col min="12045" max="12045" width="11.27734375" style="233" bestFit="1" customWidth="1"/>
    <col min="12046" max="12046" width="14.44140625" style="233" bestFit="1" customWidth="1"/>
    <col min="12047" max="12047" width="8.1640625" style="233" customWidth="1"/>
    <col min="12048" max="12048" width="10.83203125" style="233" bestFit="1" customWidth="1"/>
    <col min="12049" max="12049" width="12.27734375" style="233" bestFit="1" customWidth="1"/>
    <col min="12050" max="12050" width="9.1640625" style="233" customWidth="1"/>
    <col min="12051" max="12051" width="10.83203125" style="233" bestFit="1" customWidth="1"/>
    <col min="12052" max="12052" width="12.27734375" style="233" bestFit="1" customWidth="1"/>
    <col min="12053" max="12053" width="8" style="233" customWidth="1"/>
    <col min="12054" max="12054" width="10.83203125" style="233" bestFit="1" customWidth="1"/>
    <col min="12055" max="12055" width="12.27734375" style="233" bestFit="1" customWidth="1"/>
    <col min="12056" max="12056" width="8.1640625" style="233" bestFit="1" customWidth="1"/>
    <col min="12057" max="12057" width="10.83203125" style="233" bestFit="1" customWidth="1"/>
    <col min="12058" max="12058" width="12.27734375" style="233" bestFit="1" customWidth="1"/>
    <col min="12059" max="12059" width="18.27734375" style="233" bestFit="1" customWidth="1"/>
    <col min="12060" max="12060" width="10.83203125" style="233" bestFit="1" customWidth="1"/>
    <col min="12061" max="12296" width="8.83203125" style="233"/>
    <col min="12297" max="12297" width="38.27734375" style="233" customWidth="1"/>
    <col min="12298" max="12298" width="23.44140625" style="233" bestFit="1" customWidth="1"/>
    <col min="12299" max="12300" width="9.1640625" style="233" customWidth="1"/>
    <col min="12301" max="12301" width="11.27734375" style="233" bestFit="1" customWidth="1"/>
    <col min="12302" max="12302" width="14.44140625" style="233" bestFit="1" customWidth="1"/>
    <col min="12303" max="12303" width="8.1640625" style="233" customWidth="1"/>
    <col min="12304" max="12304" width="10.83203125" style="233" bestFit="1" customWidth="1"/>
    <col min="12305" max="12305" width="12.27734375" style="233" bestFit="1" customWidth="1"/>
    <col min="12306" max="12306" width="9.1640625" style="233" customWidth="1"/>
    <col min="12307" max="12307" width="10.83203125" style="233" bestFit="1" customWidth="1"/>
    <col min="12308" max="12308" width="12.27734375" style="233" bestFit="1" customWidth="1"/>
    <col min="12309" max="12309" width="8" style="233" customWidth="1"/>
    <col min="12310" max="12310" width="10.83203125" style="233" bestFit="1" customWidth="1"/>
    <col min="12311" max="12311" width="12.27734375" style="233" bestFit="1" customWidth="1"/>
    <col min="12312" max="12312" width="8.1640625" style="233" bestFit="1" customWidth="1"/>
    <col min="12313" max="12313" width="10.83203125" style="233" bestFit="1" customWidth="1"/>
    <col min="12314" max="12314" width="12.27734375" style="233" bestFit="1" customWidth="1"/>
    <col min="12315" max="12315" width="18.27734375" style="233" bestFit="1" customWidth="1"/>
    <col min="12316" max="12316" width="10.83203125" style="233" bestFit="1" customWidth="1"/>
    <col min="12317" max="12552" width="8.83203125" style="233"/>
    <col min="12553" max="12553" width="38.27734375" style="233" customWidth="1"/>
    <col min="12554" max="12554" width="23.44140625" style="233" bestFit="1" customWidth="1"/>
    <col min="12555" max="12556" width="9.1640625" style="233" customWidth="1"/>
    <col min="12557" max="12557" width="11.27734375" style="233" bestFit="1" customWidth="1"/>
    <col min="12558" max="12558" width="14.44140625" style="233" bestFit="1" customWidth="1"/>
    <col min="12559" max="12559" width="8.1640625" style="233" customWidth="1"/>
    <col min="12560" max="12560" width="10.83203125" style="233" bestFit="1" customWidth="1"/>
    <col min="12561" max="12561" width="12.27734375" style="233" bestFit="1" customWidth="1"/>
    <col min="12562" max="12562" width="9.1640625" style="233" customWidth="1"/>
    <col min="12563" max="12563" width="10.83203125" style="233" bestFit="1" customWidth="1"/>
    <col min="12564" max="12564" width="12.27734375" style="233" bestFit="1" customWidth="1"/>
    <col min="12565" max="12565" width="8" style="233" customWidth="1"/>
    <col min="12566" max="12566" width="10.83203125" style="233" bestFit="1" customWidth="1"/>
    <col min="12567" max="12567" width="12.27734375" style="233" bestFit="1" customWidth="1"/>
    <col min="12568" max="12568" width="8.1640625" style="233" bestFit="1" customWidth="1"/>
    <col min="12569" max="12569" width="10.83203125" style="233" bestFit="1" customWidth="1"/>
    <col min="12570" max="12570" width="12.27734375" style="233" bestFit="1" customWidth="1"/>
    <col min="12571" max="12571" width="18.27734375" style="233" bestFit="1" customWidth="1"/>
    <col min="12572" max="12572" width="10.83203125" style="233" bestFit="1" customWidth="1"/>
    <col min="12573" max="12808" width="8.83203125" style="233"/>
    <col min="12809" max="12809" width="38.27734375" style="233" customWidth="1"/>
    <col min="12810" max="12810" width="23.44140625" style="233" bestFit="1" customWidth="1"/>
    <col min="12811" max="12812" width="9.1640625" style="233" customWidth="1"/>
    <col min="12813" max="12813" width="11.27734375" style="233" bestFit="1" customWidth="1"/>
    <col min="12814" max="12814" width="14.44140625" style="233" bestFit="1" customWidth="1"/>
    <col min="12815" max="12815" width="8.1640625" style="233" customWidth="1"/>
    <col min="12816" max="12816" width="10.83203125" style="233" bestFit="1" customWidth="1"/>
    <col min="12817" max="12817" width="12.27734375" style="233" bestFit="1" customWidth="1"/>
    <col min="12818" max="12818" width="9.1640625" style="233" customWidth="1"/>
    <col min="12819" max="12819" width="10.83203125" style="233" bestFit="1" customWidth="1"/>
    <col min="12820" max="12820" width="12.27734375" style="233" bestFit="1" customWidth="1"/>
    <col min="12821" max="12821" width="8" style="233" customWidth="1"/>
    <col min="12822" max="12822" width="10.83203125" style="233" bestFit="1" customWidth="1"/>
    <col min="12823" max="12823" width="12.27734375" style="233" bestFit="1" customWidth="1"/>
    <col min="12824" max="12824" width="8.1640625" style="233" bestFit="1" customWidth="1"/>
    <col min="12825" max="12825" width="10.83203125" style="233" bestFit="1" customWidth="1"/>
    <col min="12826" max="12826" width="12.27734375" style="233" bestFit="1" customWidth="1"/>
    <col min="12827" max="12827" width="18.27734375" style="233" bestFit="1" customWidth="1"/>
    <col min="12828" max="12828" width="10.83203125" style="233" bestFit="1" customWidth="1"/>
    <col min="12829" max="13064" width="8.83203125" style="233"/>
    <col min="13065" max="13065" width="38.27734375" style="233" customWidth="1"/>
    <col min="13066" max="13066" width="23.44140625" style="233" bestFit="1" customWidth="1"/>
    <col min="13067" max="13068" width="9.1640625" style="233" customWidth="1"/>
    <col min="13069" max="13069" width="11.27734375" style="233" bestFit="1" customWidth="1"/>
    <col min="13070" max="13070" width="14.44140625" style="233" bestFit="1" customWidth="1"/>
    <col min="13071" max="13071" width="8.1640625" style="233" customWidth="1"/>
    <col min="13072" max="13072" width="10.83203125" style="233" bestFit="1" customWidth="1"/>
    <col min="13073" max="13073" width="12.27734375" style="233" bestFit="1" customWidth="1"/>
    <col min="13074" max="13074" width="9.1640625" style="233" customWidth="1"/>
    <col min="13075" max="13075" width="10.83203125" style="233" bestFit="1" customWidth="1"/>
    <col min="13076" max="13076" width="12.27734375" style="233" bestFit="1" customWidth="1"/>
    <col min="13077" max="13077" width="8" style="233" customWidth="1"/>
    <col min="13078" max="13078" width="10.83203125" style="233" bestFit="1" customWidth="1"/>
    <col min="13079" max="13079" width="12.27734375" style="233" bestFit="1" customWidth="1"/>
    <col min="13080" max="13080" width="8.1640625" style="233" bestFit="1" customWidth="1"/>
    <col min="13081" max="13081" width="10.83203125" style="233" bestFit="1" customWidth="1"/>
    <col min="13082" max="13082" width="12.27734375" style="233" bestFit="1" customWidth="1"/>
    <col min="13083" max="13083" width="18.27734375" style="233" bestFit="1" customWidth="1"/>
    <col min="13084" max="13084" width="10.83203125" style="233" bestFit="1" customWidth="1"/>
    <col min="13085" max="13320" width="8.83203125" style="233"/>
    <col min="13321" max="13321" width="38.27734375" style="233" customWidth="1"/>
    <col min="13322" max="13322" width="23.44140625" style="233" bestFit="1" customWidth="1"/>
    <col min="13323" max="13324" width="9.1640625" style="233" customWidth="1"/>
    <col min="13325" max="13325" width="11.27734375" style="233" bestFit="1" customWidth="1"/>
    <col min="13326" max="13326" width="14.44140625" style="233" bestFit="1" customWidth="1"/>
    <col min="13327" max="13327" width="8.1640625" style="233" customWidth="1"/>
    <col min="13328" max="13328" width="10.83203125" style="233" bestFit="1" customWidth="1"/>
    <col min="13329" max="13329" width="12.27734375" style="233" bestFit="1" customWidth="1"/>
    <col min="13330" max="13330" width="9.1640625" style="233" customWidth="1"/>
    <col min="13331" max="13331" width="10.83203125" style="233" bestFit="1" customWidth="1"/>
    <col min="13332" max="13332" width="12.27734375" style="233" bestFit="1" customWidth="1"/>
    <col min="13333" max="13333" width="8" style="233" customWidth="1"/>
    <col min="13334" max="13334" width="10.83203125" style="233" bestFit="1" customWidth="1"/>
    <col min="13335" max="13335" width="12.27734375" style="233" bestFit="1" customWidth="1"/>
    <col min="13336" max="13336" width="8.1640625" style="233" bestFit="1" customWidth="1"/>
    <col min="13337" max="13337" width="10.83203125" style="233" bestFit="1" customWidth="1"/>
    <col min="13338" max="13338" width="12.27734375" style="233" bestFit="1" customWidth="1"/>
    <col min="13339" max="13339" width="18.27734375" style="233" bestFit="1" customWidth="1"/>
    <col min="13340" max="13340" width="10.83203125" style="233" bestFit="1" customWidth="1"/>
    <col min="13341" max="13576" width="8.83203125" style="233"/>
    <col min="13577" max="13577" width="38.27734375" style="233" customWidth="1"/>
    <col min="13578" max="13578" width="23.44140625" style="233" bestFit="1" customWidth="1"/>
    <col min="13579" max="13580" width="9.1640625" style="233" customWidth="1"/>
    <col min="13581" max="13581" width="11.27734375" style="233" bestFit="1" customWidth="1"/>
    <col min="13582" max="13582" width="14.44140625" style="233" bestFit="1" customWidth="1"/>
    <col min="13583" max="13583" width="8.1640625" style="233" customWidth="1"/>
    <col min="13584" max="13584" width="10.83203125" style="233" bestFit="1" customWidth="1"/>
    <col min="13585" max="13585" width="12.27734375" style="233" bestFit="1" customWidth="1"/>
    <col min="13586" max="13586" width="9.1640625" style="233" customWidth="1"/>
    <col min="13587" max="13587" width="10.83203125" style="233" bestFit="1" customWidth="1"/>
    <col min="13588" max="13588" width="12.27734375" style="233" bestFit="1" customWidth="1"/>
    <col min="13589" max="13589" width="8" style="233" customWidth="1"/>
    <col min="13590" max="13590" width="10.83203125" style="233" bestFit="1" customWidth="1"/>
    <col min="13591" max="13591" width="12.27734375" style="233" bestFit="1" customWidth="1"/>
    <col min="13592" max="13592" width="8.1640625" style="233" bestFit="1" customWidth="1"/>
    <col min="13593" max="13593" width="10.83203125" style="233" bestFit="1" customWidth="1"/>
    <col min="13594" max="13594" width="12.27734375" style="233" bestFit="1" customWidth="1"/>
    <col min="13595" max="13595" width="18.27734375" style="233" bestFit="1" customWidth="1"/>
    <col min="13596" max="13596" width="10.83203125" style="233" bestFit="1" customWidth="1"/>
    <col min="13597" max="13832" width="8.83203125" style="233"/>
    <col min="13833" max="13833" width="38.27734375" style="233" customWidth="1"/>
    <col min="13834" max="13834" width="23.44140625" style="233" bestFit="1" customWidth="1"/>
    <col min="13835" max="13836" width="9.1640625" style="233" customWidth="1"/>
    <col min="13837" max="13837" width="11.27734375" style="233" bestFit="1" customWidth="1"/>
    <col min="13838" max="13838" width="14.44140625" style="233" bestFit="1" customWidth="1"/>
    <col min="13839" max="13839" width="8.1640625" style="233" customWidth="1"/>
    <col min="13840" max="13840" width="10.83203125" style="233" bestFit="1" customWidth="1"/>
    <col min="13841" max="13841" width="12.27734375" style="233" bestFit="1" customWidth="1"/>
    <col min="13842" max="13842" width="9.1640625" style="233" customWidth="1"/>
    <col min="13843" max="13843" width="10.83203125" style="233" bestFit="1" customWidth="1"/>
    <col min="13844" max="13844" width="12.27734375" style="233" bestFit="1" customWidth="1"/>
    <col min="13845" max="13845" width="8" style="233" customWidth="1"/>
    <col min="13846" max="13846" width="10.83203125" style="233" bestFit="1" customWidth="1"/>
    <col min="13847" max="13847" width="12.27734375" style="233" bestFit="1" customWidth="1"/>
    <col min="13848" max="13848" width="8.1640625" style="233" bestFit="1" customWidth="1"/>
    <col min="13849" max="13849" width="10.83203125" style="233" bestFit="1" customWidth="1"/>
    <col min="13850" max="13850" width="12.27734375" style="233" bestFit="1" customWidth="1"/>
    <col min="13851" max="13851" width="18.27734375" style="233" bestFit="1" customWidth="1"/>
    <col min="13852" max="13852" width="10.83203125" style="233" bestFit="1" customWidth="1"/>
    <col min="13853" max="14088" width="8.83203125" style="233"/>
    <col min="14089" max="14089" width="38.27734375" style="233" customWidth="1"/>
    <col min="14090" max="14090" width="23.44140625" style="233" bestFit="1" customWidth="1"/>
    <col min="14091" max="14092" width="9.1640625" style="233" customWidth="1"/>
    <col min="14093" max="14093" width="11.27734375" style="233" bestFit="1" customWidth="1"/>
    <col min="14094" max="14094" width="14.44140625" style="233" bestFit="1" customWidth="1"/>
    <col min="14095" max="14095" width="8.1640625" style="233" customWidth="1"/>
    <col min="14096" max="14096" width="10.83203125" style="233" bestFit="1" customWidth="1"/>
    <col min="14097" max="14097" width="12.27734375" style="233" bestFit="1" customWidth="1"/>
    <col min="14098" max="14098" width="9.1640625" style="233" customWidth="1"/>
    <col min="14099" max="14099" width="10.83203125" style="233" bestFit="1" customWidth="1"/>
    <col min="14100" max="14100" width="12.27734375" style="233" bestFit="1" customWidth="1"/>
    <col min="14101" max="14101" width="8" style="233" customWidth="1"/>
    <col min="14102" max="14102" width="10.83203125" style="233" bestFit="1" customWidth="1"/>
    <col min="14103" max="14103" width="12.27734375" style="233" bestFit="1" customWidth="1"/>
    <col min="14104" max="14104" width="8.1640625" style="233" bestFit="1" customWidth="1"/>
    <col min="14105" max="14105" width="10.83203125" style="233" bestFit="1" customWidth="1"/>
    <col min="14106" max="14106" width="12.27734375" style="233" bestFit="1" customWidth="1"/>
    <col min="14107" max="14107" width="18.27734375" style="233" bestFit="1" customWidth="1"/>
    <col min="14108" max="14108" width="10.83203125" style="233" bestFit="1" customWidth="1"/>
    <col min="14109" max="14344" width="8.83203125" style="233"/>
    <col min="14345" max="14345" width="38.27734375" style="233" customWidth="1"/>
    <col min="14346" max="14346" width="23.44140625" style="233" bestFit="1" customWidth="1"/>
    <col min="14347" max="14348" width="9.1640625" style="233" customWidth="1"/>
    <col min="14349" max="14349" width="11.27734375" style="233" bestFit="1" customWidth="1"/>
    <col min="14350" max="14350" width="14.44140625" style="233" bestFit="1" customWidth="1"/>
    <col min="14351" max="14351" width="8.1640625" style="233" customWidth="1"/>
    <col min="14352" max="14352" width="10.83203125" style="233" bestFit="1" customWidth="1"/>
    <col min="14353" max="14353" width="12.27734375" style="233" bestFit="1" customWidth="1"/>
    <col min="14354" max="14354" width="9.1640625" style="233" customWidth="1"/>
    <col min="14355" max="14355" width="10.83203125" style="233" bestFit="1" customWidth="1"/>
    <col min="14356" max="14356" width="12.27734375" style="233" bestFit="1" customWidth="1"/>
    <col min="14357" max="14357" width="8" style="233" customWidth="1"/>
    <col min="14358" max="14358" width="10.83203125" style="233" bestFit="1" customWidth="1"/>
    <col min="14359" max="14359" width="12.27734375" style="233" bestFit="1" customWidth="1"/>
    <col min="14360" max="14360" width="8.1640625" style="233" bestFit="1" customWidth="1"/>
    <col min="14361" max="14361" width="10.83203125" style="233" bestFit="1" customWidth="1"/>
    <col min="14362" max="14362" width="12.27734375" style="233" bestFit="1" customWidth="1"/>
    <col min="14363" max="14363" width="18.27734375" style="233" bestFit="1" customWidth="1"/>
    <col min="14364" max="14364" width="10.83203125" style="233" bestFit="1" customWidth="1"/>
    <col min="14365" max="14600" width="8.83203125" style="233"/>
    <col min="14601" max="14601" width="38.27734375" style="233" customWidth="1"/>
    <col min="14602" max="14602" width="23.44140625" style="233" bestFit="1" customWidth="1"/>
    <col min="14603" max="14604" width="9.1640625" style="233" customWidth="1"/>
    <col min="14605" max="14605" width="11.27734375" style="233" bestFit="1" customWidth="1"/>
    <col min="14606" max="14606" width="14.44140625" style="233" bestFit="1" customWidth="1"/>
    <col min="14607" max="14607" width="8.1640625" style="233" customWidth="1"/>
    <col min="14608" max="14608" width="10.83203125" style="233" bestFit="1" customWidth="1"/>
    <col min="14609" max="14609" width="12.27734375" style="233" bestFit="1" customWidth="1"/>
    <col min="14610" max="14610" width="9.1640625" style="233" customWidth="1"/>
    <col min="14611" max="14611" width="10.83203125" style="233" bestFit="1" customWidth="1"/>
    <col min="14612" max="14612" width="12.27734375" style="233" bestFit="1" customWidth="1"/>
    <col min="14613" max="14613" width="8" style="233" customWidth="1"/>
    <col min="14614" max="14614" width="10.83203125" style="233" bestFit="1" customWidth="1"/>
    <col min="14615" max="14615" width="12.27734375" style="233" bestFit="1" customWidth="1"/>
    <col min="14616" max="14616" width="8.1640625" style="233" bestFit="1" customWidth="1"/>
    <col min="14617" max="14617" width="10.83203125" style="233" bestFit="1" customWidth="1"/>
    <col min="14618" max="14618" width="12.27734375" style="233" bestFit="1" customWidth="1"/>
    <col min="14619" max="14619" width="18.27734375" style="233" bestFit="1" customWidth="1"/>
    <col min="14620" max="14620" width="10.83203125" style="233" bestFit="1" customWidth="1"/>
    <col min="14621" max="14856" width="8.83203125" style="233"/>
    <col min="14857" max="14857" width="38.27734375" style="233" customWidth="1"/>
    <col min="14858" max="14858" width="23.44140625" style="233" bestFit="1" customWidth="1"/>
    <col min="14859" max="14860" width="9.1640625" style="233" customWidth="1"/>
    <col min="14861" max="14861" width="11.27734375" style="233" bestFit="1" customWidth="1"/>
    <col min="14862" max="14862" width="14.44140625" style="233" bestFit="1" customWidth="1"/>
    <col min="14863" max="14863" width="8.1640625" style="233" customWidth="1"/>
    <col min="14864" max="14864" width="10.83203125" style="233" bestFit="1" customWidth="1"/>
    <col min="14865" max="14865" width="12.27734375" style="233" bestFit="1" customWidth="1"/>
    <col min="14866" max="14866" width="9.1640625" style="233" customWidth="1"/>
    <col min="14867" max="14867" width="10.83203125" style="233" bestFit="1" customWidth="1"/>
    <col min="14868" max="14868" width="12.27734375" style="233" bestFit="1" customWidth="1"/>
    <col min="14869" max="14869" width="8" style="233" customWidth="1"/>
    <col min="14870" max="14870" width="10.83203125" style="233" bestFit="1" customWidth="1"/>
    <col min="14871" max="14871" width="12.27734375" style="233" bestFit="1" customWidth="1"/>
    <col min="14872" max="14872" width="8.1640625" style="233" bestFit="1" customWidth="1"/>
    <col min="14873" max="14873" width="10.83203125" style="233" bestFit="1" customWidth="1"/>
    <col min="14874" max="14874" width="12.27734375" style="233" bestFit="1" customWidth="1"/>
    <col min="14875" max="14875" width="18.27734375" style="233" bestFit="1" customWidth="1"/>
    <col min="14876" max="14876" width="10.83203125" style="233" bestFit="1" customWidth="1"/>
    <col min="14877" max="15112" width="8.83203125" style="233"/>
    <col min="15113" max="15113" width="38.27734375" style="233" customWidth="1"/>
    <col min="15114" max="15114" width="23.44140625" style="233" bestFit="1" customWidth="1"/>
    <col min="15115" max="15116" width="9.1640625" style="233" customWidth="1"/>
    <col min="15117" max="15117" width="11.27734375" style="233" bestFit="1" customWidth="1"/>
    <col min="15118" max="15118" width="14.44140625" style="233" bestFit="1" customWidth="1"/>
    <col min="15119" max="15119" width="8.1640625" style="233" customWidth="1"/>
    <col min="15120" max="15120" width="10.83203125" style="233" bestFit="1" customWidth="1"/>
    <col min="15121" max="15121" width="12.27734375" style="233" bestFit="1" customWidth="1"/>
    <col min="15122" max="15122" width="9.1640625" style="233" customWidth="1"/>
    <col min="15123" max="15123" width="10.83203125" style="233" bestFit="1" customWidth="1"/>
    <col min="15124" max="15124" width="12.27734375" style="233" bestFit="1" customWidth="1"/>
    <col min="15125" max="15125" width="8" style="233" customWidth="1"/>
    <col min="15126" max="15126" width="10.83203125" style="233" bestFit="1" customWidth="1"/>
    <col min="15127" max="15127" width="12.27734375" style="233" bestFit="1" customWidth="1"/>
    <col min="15128" max="15128" width="8.1640625" style="233" bestFit="1" customWidth="1"/>
    <col min="15129" max="15129" width="10.83203125" style="233" bestFit="1" customWidth="1"/>
    <col min="15130" max="15130" width="12.27734375" style="233" bestFit="1" customWidth="1"/>
    <col min="15131" max="15131" width="18.27734375" style="233" bestFit="1" customWidth="1"/>
    <col min="15132" max="15132" width="10.83203125" style="233" bestFit="1" customWidth="1"/>
    <col min="15133" max="15368" width="8.83203125" style="233"/>
    <col min="15369" max="15369" width="38.27734375" style="233" customWidth="1"/>
    <col min="15370" max="15370" width="23.44140625" style="233" bestFit="1" customWidth="1"/>
    <col min="15371" max="15372" width="9.1640625" style="233" customWidth="1"/>
    <col min="15373" max="15373" width="11.27734375" style="233" bestFit="1" customWidth="1"/>
    <col min="15374" max="15374" width="14.44140625" style="233" bestFit="1" customWidth="1"/>
    <col min="15375" max="15375" width="8.1640625" style="233" customWidth="1"/>
    <col min="15376" max="15376" width="10.83203125" style="233" bestFit="1" customWidth="1"/>
    <col min="15377" max="15377" width="12.27734375" style="233" bestFit="1" customWidth="1"/>
    <col min="15378" max="15378" width="9.1640625" style="233" customWidth="1"/>
    <col min="15379" max="15379" width="10.83203125" style="233" bestFit="1" customWidth="1"/>
    <col min="15380" max="15380" width="12.27734375" style="233" bestFit="1" customWidth="1"/>
    <col min="15381" max="15381" width="8" style="233" customWidth="1"/>
    <col min="15382" max="15382" width="10.83203125" style="233" bestFit="1" customWidth="1"/>
    <col min="15383" max="15383" width="12.27734375" style="233" bestFit="1" customWidth="1"/>
    <col min="15384" max="15384" width="8.1640625" style="233" bestFit="1" customWidth="1"/>
    <col min="15385" max="15385" width="10.83203125" style="233" bestFit="1" customWidth="1"/>
    <col min="15386" max="15386" width="12.27734375" style="233" bestFit="1" customWidth="1"/>
    <col min="15387" max="15387" width="18.27734375" style="233" bestFit="1" customWidth="1"/>
    <col min="15388" max="15388" width="10.83203125" style="233" bestFit="1" customWidth="1"/>
    <col min="15389" max="15624" width="8.83203125" style="233"/>
    <col min="15625" max="15625" width="38.27734375" style="233" customWidth="1"/>
    <col min="15626" max="15626" width="23.44140625" style="233" bestFit="1" customWidth="1"/>
    <col min="15627" max="15628" width="9.1640625" style="233" customWidth="1"/>
    <col min="15629" max="15629" width="11.27734375" style="233" bestFit="1" customWidth="1"/>
    <col min="15630" max="15630" width="14.44140625" style="233" bestFit="1" customWidth="1"/>
    <col min="15631" max="15631" width="8.1640625" style="233" customWidth="1"/>
    <col min="15632" max="15632" width="10.83203125" style="233" bestFit="1" customWidth="1"/>
    <col min="15633" max="15633" width="12.27734375" style="233" bestFit="1" customWidth="1"/>
    <col min="15634" max="15634" width="9.1640625" style="233" customWidth="1"/>
    <col min="15635" max="15635" width="10.83203125" style="233" bestFit="1" customWidth="1"/>
    <col min="15636" max="15636" width="12.27734375" style="233" bestFit="1" customWidth="1"/>
    <col min="15637" max="15637" width="8" style="233" customWidth="1"/>
    <col min="15638" max="15638" width="10.83203125" style="233" bestFit="1" customWidth="1"/>
    <col min="15639" max="15639" width="12.27734375" style="233" bestFit="1" customWidth="1"/>
    <col min="15640" max="15640" width="8.1640625" style="233" bestFit="1" customWidth="1"/>
    <col min="15641" max="15641" width="10.83203125" style="233" bestFit="1" customWidth="1"/>
    <col min="15642" max="15642" width="12.27734375" style="233" bestFit="1" customWidth="1"/>
    <col min="15643" max="15643" width="18.27734375" style="233" bestFit="1" customWidth="1"/>
    <col min="15644" max="15644" width="10.83203125" style="233" bestFit="1" customWidth="1"/>
    <col min="15645" max="15880" width="8.83203125" style="233"/>
    <col min="15881" max="15881" width="38.27734375" style="233" customWidth="1"/>
    <col min="15882" max="15882" width="23.44140625" style="233" bestFit="1" customWidth="1"/>
    <col min="15883" max="15884" width="9.1640625" style="233" customWidth="1"/>
    <col min="15885" max="15885" width="11.27734375" style="233" bestFit="1" customWidth="1"/>
    <col min="15886" max="15886" width="14.44140625" style="233" bestFit="1" customWidth="1"/>
    <col min="15887" max="15887" width="8.1640625" style="233" customWidth="1"/>
    <col min="15888" max="15888" width="10.83203125" style="233" bestFit="1" customWidth="1"/>
    <col min="15889" max="15889" width="12.27734375" style="233" bestFit="1" customWidth="1"/>
    <col min="15890" max="15890" width="9.1640625" style="233" customWidth="1"/>
    <col min="15891" max="15891" width="10.83203125" style="233" bestFit="1" customWidth="1"/>
    <col min="15892" max="15892" width="12.27734375" style="233" bestFit="1" customWidth="1"/>
    <col min="15893" max="15893" width="8" style="233" customWidth="1"/>
    <col min="15894" max="15894" width="10.83203125" style="233" bestFit="1" customWidth="1"/>
    <col min="15895" max="15895" width="12.27734375" style="233" bestFit="1" customWidth="1"/>
    <col min="15896" max="15896" width="8.1640625" style="233" bestFit="1" customWidth="1"/>
    <col min="15897" max="15897" width="10.83203125" style="233" bestFit="1" customWidth="1"/>
    <col min="15898" max="15898" width="12.27734375" style="233" bestFit="1" customWidth="1"/>
    <col min="15899" max="15899" width="18.27734375" style="233" bestFit="1" customWidth="1"/>
    <col min="15900" max="15900" width="10.83203125" style="233" bestFit="1" customWidth="1"/>
    <col min="15901" max="16136" width="8.83203125" style="233"/>
    <col min="16137" max="16137" width="38.27734375" style="233" customWidth="1"/>
    <col min="16138" max="16138" width="23.44140625" style="233" bestFit="1" customWidth="1"/>
    <col min="16139" max="16140" width="9.1640625" style="233" customWidth="1"/>
    <col min="16141" max="16141" width="11.27734375" style="233" bestFit="1" customWidth="1"/>
    <col min="16142" max="16142" width="14.44140625" style="233" bestFit="1" customWidth="1"/>
    <col min="16143" max="16143" width="8.1640625" style="233" customWidth="1"/>
    <col min="16144" max="16144" width="10.83203125" style="233" bestFit="1" customWidth="1"/>
    <col min="16145" max="16145" width="12.27734375" style="233" bestFit="1" customWidth="1"/>
    <col min="16146" max="16146" width="9.1640625" style="233" customWidth="1"/>
    <col min="16147" max="16147" width="10.83203125" style="233" bestFit="1" customWidth="1"/>
    <col min="16148" max="16148" width="12.27734375" style="233" bestFit="1" customWidth="1"/>
    <col min="16149" max="16149" width="8" style="233" customWidth="1"/>
    <col min="16150" max="16150" width="10.83203125" style="233" bestFit="1" customWidth="1"/>
    <col min="16151" max="16151" width="12.27734375" style="233" bestFit="1" customWidth="1"/>
    <col min="16152" max="16152" width="8.1640625" style="233" bestFit="1" customWidth="1"/>
    <col min="16153" max="16153" width="10.83203125" style="233" bestFit="1" customWidth="1"/>
    <col min="16154" max="16154" width="12.27734375" style="233" bestFit="1" customWidth="1"/>
    <col min="16155" max="16155" width="18.27734375" style="233" bestFit="1" customWidth="1"/>
    <col min="16156" max="16156" width="10.83203125" style="233" bestFit="1" customWidth="1"/>
    <col min="16157" max="16384" width="8.83203125" style="233"/>
  </cols>
  <sheetData>
    <row r="1" spans="1:36" ht="14.7" thickBot="1"/>
    <row r="2" spans="1:36" ht="23.5" customHeight="1">
      <c r="A2" s="595" t="s">
        <v>63</v>
      </c>
      <c r="B2" s="591" t="s">
        <v>64</v>
      </c>
      <c r="C2" s="584" t="s">
        <v>65</v>
      </c>
      <c r="D2" s="585"/>
      <c r="E2" s="585"/>
      <c r="F2" s="586"/>
      <c r="G2" s="584" t="s">
        <v>66</v>
      </c>
      <c r="H2" s="585"/>
      <c r="I2" s="585"/>
      <c r="J2" s="586"/>
      <c r="K2" s="584" t="s">
        <v>67</v>
      </c>
      <c r="L2" s="585"/>
      <c r="M2" s="585"/>
      <c r="N2" s="586"/>
      <c r="O2" s="584" t="s">
        <v>68</v>
      </c>
      <c r="P2" s="585"/>
      <c r="Q2" s="585"/>
      <c r="R2" s="586"/>
      <c r="S2" s="584" t="s">
        <v>69</v>
      </c>
      <c r="T2" s="585"/>
      <c r="U2" s="585"/>
      <c r="V2" s="586"/>
      <c r="W2" s="593" t="s">
        <v>70</v>
      </c>
      <c r="AE2" s="239"/>
    </row>
    <row r="3" spans="1:36" ht="47.65" customHeight="1">
      <c r="A3" s="596"/>
      <c r="B3" s="592"/>
      <c r="C3" s="240" t="s">
        <v>71</v>
      </c>
      <c r="D3" s="241" t="s">
        <v>72</v>
      </c>
      <c r="E3" s="242" t="s">
        <v>73</v>
      </c>
      <c r="F3" s="243" t="s">
        <v>70</v>
      </c>
      <c r="G3" s="240" t="s">
        <v>71</v>
      </c>
      <c r="H3" s="241" t="s">
        <v>72</v>
      </c>
      <c r="I3" s="244" t="s">
        <v>73</v>
      </c>
      <c r="J3" s="245" t="s">
        <v>70</v>
      </c>
      <c r="K3" s="240" t="s">
        <v>71</v>
      </c>
      <c r="L3" s="241" t="s">
        <v>72</v>
      </c>
      <c r="M3" s="242" t="s">
        <v>73</v>
      </c>
      <c r="N3" s="245" t="s">
        <v>70</v>
      </c>
      <c r="O3" s="240" t="s">
        <v>71</v>
      </c>
      <c r="P3" s="241" t="s">
        <v>72</v>
      </c>
      <c r="Q3" s="244" t="s">
        <v>73</v>
      </c>
      <c r="R3" s="245" t="s">
        <v>70</v>
      </c>
      <c r="S3" s="240" t="s">
        <v>71</v>
      </c>
      <c r="T3" s="241" t="s">
        <v>72</v>
      </c>
      <c r="U3" s="244" t="s">
        <v>73</v>
      </c>
      <c r="V3" s="245" t="s">
        <v>70</v>
      </c>
      <c r="W3" s="594"/>
      <c r="AE3" s="239"/>
      <c r="AF3" s="233" t="s">
        <v>113</v>
      </c>
    </row>
    <row r="4" spans="1:36" ht="20.399999999999999">
      <c r="A4" s="402" t="s">
        <v>74</v>
      </c>
      <c r="B4" s="246"/>
      <c r="C4" s="247"/>
      <c r="D4" s="248"/>
      <c r="E4" s="249"/>
      <c r="F4" s="250"/>
      <c r="G4" s="247"/>
      <c r="H4" s="248"/>
      <c r="I4" s="251"/>
      <c r="J4" s="252"/>
      <c r="K4" s="247"/>
      <c r="L4" s="248"/>
      <c r="M4" s="249"/>
      <c r="N4" s="252"/>
      <c r="O4" s="253"/>
      <c r="P4" s="248"/>
      <c r="Q4" s="251"/>
      <c r="R4" s="252"/>
      <c r="S4" s="253"/>
      <c r="T4" s="248"/>
      <c r="U4" s="251"/>
      <c r="V4" s="254"/>
      <c r="W4" s="409"/>
      <c r="AE4" s="255" t="s">
        <v>114</v>
      </c>
      <c r="AF4" s="255" t="s">
        <v>115</v>
      </c>
      <c r="AG4" s="255" t="s">
        <v>116</v>
      </c>
    </row>
    <row r="5" spans="1:36" s="266" customFormat="1" ht="15" customHeight="1" outlineLevel="1">
      <c r="A5" s="256" t="s">
        <v>48</v>
      </c>
      <c r="B5" s="257"/>
      <c r="C5" s="258"/>
      <c r="D5" s="259"/>
      <c r="E5" s="260"/>
      <c r="F5" s="261"/>
      <c r="G5" s="258"/>
      <c r="H5" s="259"/>
      <c r="I5" s="262"/>
      <c r="J5" s="263"/>
      <c r="K5" s="258"/>
      <c r="L5" s="259"/>
      <c r="M5" s="260"/>
      <c r="N5" s="263"/>
      <c r="O5" s="258"/>
      <c r="P5" s="259"/>
      <c r="Q5" s="262"/>
      <c r="R5" s="263"/>
      <c r="S5" s="258"/>
      <c r="T5" s="259"/>
      <c r="U5" s="262"/>
      <c r="V5" s="263"/>
      <c r="W5" s="410"/>
      <c r="X5" s="265"/>
      <c r="Y5" s="233"/>
      <c r="Z5" s="233"/>
      <c r="AA5" s="233"/>
      <c r="AB5" s="233"/>
      <c r="AC5" s="233"/>
      <c r="AD5" s="233"/>
      <c r="AE5" s="239"/>
    </row>
    <row r="6" spans="1:36" s="266" customFormat="1" ht="15.6" outlineLevel="1">
      <c r="A6" s="267" t="s">
        <v>75</v>
      </c>
      <c r="B6" s="268"/>
      <c r="C6" s="258"/>
      <c r="D6" s="259"/>
      <c r="E6" s="260"/>
      <c r="F6" s="261"/>
      <c r="G6" s="258"/>
      <c r="H6" s="259"/>
      <c r="I6" s="262"/>
      <c r="J6" s="263"/>
      <c r="K6" s="258"/>
      <c r="L6" s="259"/>
      <c r="M6" s="260"/>
      <c r="N6" s="263"/>
      <c r="O6" s="258"/>
      <c r="P6" s="259"/>
      <c r="Q6" s="262"/>
      <c r="R6" s="263"/>
      <c r="S6" s="258"/>
      <c r="T6" s="259"/>
      <c r="U6" s="262"/>
      <c r="V6" s="263"/>
      <c r="W6" s="410"/>
      <c r="X6" s="269"/>
      <c r="Y6" s="233"/>
      <c r="Z6" s="233"/>
      <c r="AA6" s="233"/>
      <c r="AB6" s="233"/>
      <c r="AC6" s="233"/>
      <c r="AD6" s="233"/>
      <c r="AE6" s="239"/>
    </row>
    <row r="7" spans="1:36" ht="15" customHeight="1" outlineLevel="1">
      <c r="A7" s="270" t="str">
        <f>'Program Budget'!D12</f>
        <v xml:space="preserve">Key Personnel: Ex-pat Chief of Party </v>
      </c>
      <c r="B7" s="271" t="str">
        <f>'Program Budget'!F13</f>
        <v>Month</v>
      </c>
      <c r="C7" s="272">
        <f>'Program Budget'!H12</f>
        <v>12083.333333333334</v>
      </c>
      <c r="D7" s="273">
        <f>'Program Budget'!G12</f>
        <v>12</v>
      </c>
      <c r="E7" s="274">
        <f>'Program Budget'!E146</f>
        <v>0.2</v>
      </c>
      <c r="F7" s="275">
        <f>C7*D7*E7</f>
        <v>29000</v>
      </c>
      <c r="G7" s="272">
        <f>C7*1.04</f>
        <v>12566.666666666668</v>
      </c>
      <c r="H7" s="273">
        <f>'Program Budget'!K12</f>
        <v>12</v>
      </c>
      <c r="I7" s="276">
        <f>'Program Budget'!J146</f>
        <v>0.25</v>
      </c>
      <c r="J7" s="275">
        <f>G7*H7*I7</f>
        <v>37700</v>
      </c>
      <c r="K7" s="272">
        <f>G7*1.04</f>
        <v>13069.333333333336</v>
      </c>
      <c r="L7" s="273">
        <f>'Program Budget'!N12</f>
        <v>12</v>
      </c>
      <c r="M7" s="276">
        <f>'Program Budget'!M146</f>
        <v>0.25</v>
      </c>
      <c r="N7" s="275">
        <f>K7*L7*M7</f>
        <v>39208.000000000007</v>
      </c>
      <c r="O7" s="272">
        <f>K7*1.04</f>
        <v>13592.10666666667</v>
      </c>
      <c r="P7" s="273">
        <f>'Program Budget'!Q12</f>
        <v>12</v>
      </c>
      <c r="Q7" s="276">
        <f>'Program Budget'!P146</f>
        <v>0.25</v>
      </c>
      <c r="R7" s="275">
        <f>O7*P7*Q7</f>
        <v>40776.320000000007</v>
      </c>
      <c r="S7" s="272">
        <f>O7*1.04</f>
        <v>14135.790933333337</v>
      </c>
      <c r="T7" s="273">
        <f>'Program Budget'!T12</f>
        <v>12</v>
      </c>
      <c r="U7" s="276">
        <f>'Program Budget'!S146</f>
        <v>0.25</v>
      </c>
      <c r="V7" s="275">
        <f>S7*T7*U7</f>
        <v>42407.372800000012</v>
      </c>
      <c r="W7" s="413">
        <f>F7+J7+N7+R7+V7</f>
        <v>189091.69280000002</v>
      </c>
      <c r="X7" s="278"/>
      <c r="Y7" s="265"/>
      <c r="Z7" s="279"/>
      <c r="AA7" s="279"/>
      <c r="AE7" s="239">
        <v>180</v>
      </c>
      <c r="AF7" s="280" t="s">
        <v>117</v>
      </c>
      <c r="AG7" s="280" t="s">
        <v>118</v>
      </c>
      <c r="AH7" s="281"/>
      <c r="AJ7" s="282"/>
    </row>
    <row r="8" spans="1:36" ht="15" customHeight="1" outlineLevel="1">
      <c r="A8" s="285" t="s">
        <v>76</v>
      </c>
      <c r="B8" s="286"/>
      <c r="C8" s="287"/>
      <c r="D8" s="288"/>
      <c r="E8" s="289"/>
      <c r="F8" s="290">
        <f>SUM(F7:F7)</f>
        <v>29000</v>
      </c>
      <c r="G8" s="287"/>
      <c r="H8" s="288"/>
      <c r="I8" s="291"/>
      <c r="J8" s="290">
        <f>SUM(J7:J7)</f>
        <v>37700</v>
      </c>
      <c r="K8" s="287"/>
      <c r="L8" s="288"/>
      <c r="M8" s="289"/>
      <c r="N8" s="290">
        <f>SUM(N7:N7)</f>
        <v>39208.000000000007</v>
      </c>
      <c r="O8" s="287"/>
      <c r="P8" s="288"/>
      <c r="Q8" s="291"/>
      <c r="R8" s="290">
        <f>SUM(R7:R7)</f>
        <v>40776.320000000007</v>
      </c>
      <c r="S8" s="287"/>
      <c r="T8" s="288"/>
      <c r="U8" s="291"/>
      <c r="V8" s="290">
        <f>SUM(V7:V7)</f>
        <v>42407.372800000012</v>
      </c>
      <c r="W8" s="412">
        <f>+F8+J8+N8+R8+V8</f>
        <v>189091.69280000002</v>
      </c>
      <c r="AE8" s="239"/>
      <c r="AF8" s="280"/>
      <c r="AG8" s="280" t="s">
        <v>119</v>
      </c>
    </row>
    <row r="9" spans="1:36" ht="15" customHeight="1" outlineLevel="1">
      <c r="A9" s="267" t="s">
        <v>83</v>
      </c>
      <c r="B9" s="293"/>
      <c r="C9" s="294"/>
      <c r="D9" s="295"/>
      <c r="E9" s="296"/>
      <c r="F9" s="275"/>
      <c r="G9" s="294"/>
      <c r="H9" s="295"/>
      <c r="I9" s="297"/>
      <c r="J9" s="277"/>
      <c r="K9" s="294"/>
      <c r="L9" s="295"/>
      <c r="M9" s="296"/>
      <c r="N9" s="277"/>
      <c r="O9" s="294"/>
      <c r="P9" s="295"/>
      <c r="Q9" s="297"/>
      <c r="R9" s="277"/>
      <c r="S9" s="294"/>
      <c r="T9" s="295"/>
      <c r="U9" s="297"/>
      <c r="V9" s="277"/>
      <c r="W9" s="429"/>
      <c r="X9" s="269"/>
      <c r="AE9" s="239"/>
      <c r="AF9" s="280"/>
      <c r="AG9" s="280" t="s">
        <v>119</v>
      </c>
      <c r="AJ9" s="282"/>
    </row>
    <row r="10" spans="1:36" ht="15" customHeight="1" outlineLevel="1">
      <c r="A10" s="270" t="str">
        <f>'Program Budget'!D13</f>
        <v>Deputy Chief of Party</v>
      </c>
      <c r="B10" s="271" t="str">
        <f>'Program Budget'!F12</f>
        <v>Month</v>
      </c>
      <c r="C10" s="272">
        <f>'Program Budget'!H13</f>
        <v>7500</v>
      </c>
      <c r="D10" s="273">
        <f>'Program Budget'!G13</f>
        <v>6</v>
      </c>
      <c r="E10" s="274">
        <f>'Program Budget'!E147</f>
        <v>0.1</v>
      </c>
      <c r="F10" s="275">
        <f>C10*D10*E10</f>
        <v>4500</v>
      </c>
      <c r="G10" s="272">
        <f>C10*1.04</f>
        <v>7800</v>
      </c>
      <c r="H10" s="273">
        <f>'Program Budget'!K13</f>
        <v>12</v>
      </c>
      <c r="I10" s="276">
        <f>'Program Budget'!J147</f>
        <v>0.1</v>
      </c>
      <c r="J10" s="275">
        <f>G10*H10*I10</f>
        <v>9360</v>
      </c>
      <c r="K10" s="272">
        <f>G10*1.04</f>
        <v>8112</v>
      </c>
      <c r="L10" s="273">
        <f>'Program Budget'!N13</f>
        <v>12</v>
      </c>
      <c r="M10" s="276">
        <f>'Program Budget'!M147</f>
        <v>0.1</v>
      </c>
      <c r="N10" s="275">
        <f>K10*L10*M10</f>
        <v>9734.4</v>
      </c>
      <c r="O10" s="272">
        <f>K10*1.04</f>
        <v>8436.48</v>
      </c>
      <c r="P10" s="273">
        <f>'Program Budget'!Q13</f>
        <v>12</v>
      </c>
      <c r="Q10" s="276">
        <f>'Program Budget'!P147</f>
        <v>0.1</v>
      </c>
      <c r="R10" s="275">
        <f>O10*P10*Q10</f>
        <v>10123.776</v>
      </c>
      <c r="S10" s="272">
        <f>O10*1.04</f>
        <v>8773.9392000000007</v>
      </c>
      <c r="T10" s="273">
        <f>'Program Budget'!T13</f>
        <v>6</v>
      </c>
      <c r="U10" s="276">
        <f>'Program Budget'!S147</f>
        <v>0.1</v>
      </c>
      <c r="V10" s="275">
        <f>S10*T10*U10</f>
        <v>5264.3635200000008</v>
      </c>
      <c r="W10" s="411">
        <f>F10+J10+N10+R10+V10</f>
        <v>38982.539519999998</v>
      </c>
      <c r="X10" s="278"/>
      <c r="Y10" s="265"/>
      <c r="Z10" s="279"/>
      <c r="AA10" s="279"/>
      <c r="AE10" s="239">
        <v>180</v>
      </c>
      <c r="AF10" s="280" t="s">
        <v>117</v>
      </c>
      <c r="AG10" s="280" t="s">
        <v>118</v>
      </c>
      <c r="AH10" s="281"/>
      <c r="AJ10" s="282"/>
    </row>
    <row r="11" spans="1:36" ht="15" customHeight="1" outlineLevel="1">
      <c r="A11" s="270" t="str">
        <f>'Program Budget'!D148</f>
        <v>Technical Lead Component 1</v>
      </c>
      <c r="B11" s="271" t="str">
        <f>'Program Budget'!F14</f>
        <v>Month</v>
      </c>
      <c r="C11" s="272">
        <f>'Program Budget'!H148</f>
        <v>3333.3333333333335</v>
      </c>
      <c r="D11" s="273">
        <f>'Program Budget'!G148</f>
        <v>6</v>
      </c>
      <c r="E11" s="274">
        <f>'Program Budget'!E148</f>
        <v>0.75</v>
      </c>
      <c r="F11" s="275">
        <f>C11*D11*E11</f>
        <v>15000</v>
      </c>
      <c r="G11" s="272">
        <f>C11*1.04</f>
        <v>3466.666666666667</v>
      </c>
      <c r="H11" s="273">
        <f>'Program Budget'!K148</f>
        <v>12</v>
      </c>
      <c r="I11" s="276">
        <f>'Program Budget'!J148</f>
        <v>1</v>
      </c>
      <c r="J11" s="275">
        <f>G11*H11*I11</f>
        <v>41600</v>
      </c>
      <c r="K11" s="272">
        <f>G11*1.04</f>
        <v>3605.3333333333339</v>
      </c>
      <c r="L11" s="273">
        <f>'Program Budget'!N148</f>
        <v>12</v>
      </c>
      <c r="M11" s="276">
        <f>'Program Budget'!M148</f>
        <v>1</v>
      </c>
      <c r="N11" s="275">
        <f>K11*L11*M11</f>
        <v>43264.000000000007</v>
      </c>
      <c r="O11" s="272">
        <f>K11*1.04</f>
        <v>3749.5466666666675</v>
      </c>
      <c r="P11" s="273">
        <f>'Program Budget'!Q148</f>
        <v>12</v>
      </c>
      <c r="Q11" s="276">
        <f>'Program Budget'!P148</f>
        <v>1</v>
      </c>
      <c r="R11" s="275">
        <f>O11*P11*Q11</f>
        <v>44994.560000000012</v>
      </c>
      <c r="S11" s="272">
        <f>O11*1.04</f>
        <v>3899.5285333333345</v>
      </c>
      <c r="T11" s="273">
        <f>'Program Budget'!T148</f>
        <v>9</v>
      </c>
      <c r="U11" s="276">
        <f>'Program Budget'!S148</f>
        <v>1</v>
      </c>
      <c r="V11" s="275">
        <f>S11*T11*U11</f>
        <v>35095.75680000001</v>
      </c>
      <c r="W11" s="411">
        <f>F11+J11+N11+R11+V11</f>
        <v>179954.3168</v>
      </c>
      <c r="X11" s="278"/>
      <c r="Y11" s="265"/>
      <c r="Z11" s="279"/>
      <c r="AA11" s="279"/>
      <c r="AE11" s="239">
        <v>180</v>
      </c>
      <c r="AF11" s="280" t="s">
        <v>117</v>
      </c>
      <c r="AG11" s="280" t="s">
        <v>118</v>
      </c>
      <c r="AH11" s="281"/>
      <c r="AJ11" s="282"/>
    </row>
    <row r="12" spans="1:36" ht="15" customHeight="1" outlineLevel="1">
      <c r="A12" s="270" t="str">
        <f>'Program Budget'!D149</f>
        <v>Technical Lead Component 2</v>
      </c>
      <c r="B12" s="271" t="str">
        <f>'Program Budget'!F15</f>
        <v>Month</v>
      </c>
      <c r="C12" s="272">
        <f>'Program Budget'!H149</f>
        <v>3333.3333333333335</v>
      </c>
      <c r="D12" s="273">
        <f>'Program Budget'!G149</f>
        <v>6</v>
      </c>
      <c r="E12" s="274">
        <f>'Program Budget'!E149</f>
        <v>0</v>
      </c>
      <c r="F12" s="275">
        <f t="shared" ref="F12:F26" si="0">C12*D12*E12</f>
        <v>0</v>
      </c>
      <c r="G12" s="272">
        <f t="shared" ref="G12:G26" si="1">C12*1.04</f>
        <v>3466.666666666667</v>
      </c>
      <c r="H12" s="273">
        <f>'Program Budget'!K149</f>
        <v>12</v>
      </c>
      <c r="I12" s="276">
        <f>'Program Budget'!J149</f>
        <v>0</v>
      </c>
      <c r="J12" s="275">
        <f t="shared" ref="J12:J26" si="2">G12*H12*I12</f>
        <v>0</v>
      </c>
      <c r="K12" s="272">
        <f t="shared" ref="K12:K26" si="3">G12*1.04</f>
        <v>3605.3333333333339</v>
      </c>
      <c r="L12" s="273">
        <f>'Program Budget'!N149</f>
        <v>12</v>
      </c>
      <c r="M12" s="276">
        <f>'Program Budget'!M149</f>
        <v>0</v>
      </c>
      <c r="N12" s="275">
        <f t="shared" ref="N12:N26" si="4">K12*L12*M12</f>
        <v>0</v>
      </c>
      <c r="O12" s="272">
        <f t="shared" ref="O12:O26" si="5">K12*1.04</f>
        <v>3749.5466666666675</v>
      </c>
      <c r="P12" s="273">
        <f>'Program Budget'!Q149</f>
        <v>12</v>
      </c>
      <c r="Q12" s="276">
        <f>'Program Budget'!P149</f>
        <v>0</v>
      </c>
      <c r="R12" s="275">
        <f t="shared" ref="R12:R26" si="6">O12*P12*Q12</f>
        <v>0</v>
      </c>
      <c r="S12" s="272">
        <f t="shared" ref="S12:S26" si="7">O12*1.04</f>
        <v>3899.5285333333345</v>
      </c>
      <c r="T12" s="273">
        <f>'Program Budget'!T149</f>
        <v>9</v>
      </c>
      <c r="U12" s="276">
        <f>'Program Budget'!S149</f>
        <v>0</v>
      </c>
      <c r="V12" s="275">
        <f t="shared" ref="V12:V26" si="8">S12*T12*U12</f>
        <v>0</v>
      </c>
      <c r="W12" s="411">
        <f t="shared" ref="W12:W26" si="9">F12+J12+N12+R12+V12</f>
        <v>0</v>
      </c>
      <c r="X12" s="278"/>
      <c r="Y12" s="265"/>
      <c r="Z12" s="279"/>
      <c r="AA12" s="279"/>
      <c r="AE12" s="239">
        <v>180</v>
      </c>
      <c r="AF12" s="280" t="s">
        <v>117</v>
      </c>
      <c r="AG12" s="280" t="s">
        <v>118</v>
      </c>
      <c r="AH12" s="281"/>
      <c r="AJ12" s="282"/>
    </row>
    <row r="13" spans="1:36" ht="15" customHeight="1" outlineLevel="1">
      <c r="A13" s="270" t="str">
        <f>'Program Budget'!D150</f>
        <v>Technical Lead Component 3</v>
      </c>
      <c r="B13" s="271" t="str">
        <f>'Program Budget'!F16</f>
        <v>Month</v>
      </c>
      <c r="C13" s="272">
        <f>'Program Budget'!H150</f>
        <v>3333.3333333333335</v>
      </c>
      <c r="D13" s="273">
        <f>'Program Budget'!G150</f>
        <v>6</v>
      </c>
      <c r="E13" s="274">
        <f>'Program Budget'!E150</f>
        <v>0</v>
      </c>
      <c r="F13" s="275">
        <f t="shared" si="0"/>
        <v>0</v>
      </c>
      <c r="G13" s="272">
        <f t="shared" si="1"/>
        <v>3466.666666666667</v>
      </c>
      <c r="H13" s="273">
        <f>'Program Budget'!K150</f>
        <v>12</v>
      </c>
      <c r="I13" s="276">
        <f>'Program Budget'!J150</f>
        <v>0</v>
      </c>
      <c r="J13" s="275">
        <f t="shared" si="2"/>
        <v>0</v>
      </c>
      <c r="K13" s="272">
        <f t="shared" si="3"/>
        <v>3605.3333333333339</v>
      </c>
      <c r="L13" s="273">
        <f>'Program Budget'!N150</f>
        <v>12</v>
      </c>
      <c r="M13" s="276">
        <f>'Program Budget'!M150</f>
        <v>0</v>
      </c>
      <c r="N13" s="275">
        <f t="shared" si="4"/>
        <v>0</v>
      </c>
      <c r="O13" s="272">
        <f t="shared" si="5"/>
        <v>3749.5466666666675</v>
      </c>
      <c r="P13" s="273">
        <f>'Program Budget'!Q150</f>
        <v>12</v>
      </c>
      <c r="Q13" s="276">
        <f>'Program Budget'!P150</f>
        <v>0</v>
      </c>
      <c r="R13" s="275">
        <f t="shared" si="6"/>
        <v>0</v>
      </c>
      <c r="S13" s="272">
        <f t="shared" si="7"/>
        <v>3899.5285333333345</v>
      </c>
      <c r="T13" s="273">
        <f>'Program Budget'!T150</f>
        <v>9</v>
      </c>
      <c r="U13" s="276">
        <f>'Program Budget'!S150</f>
        <v>0</v>
      </c>
      <c r="V13" s="275">
        <f t="shared" si="8"/>
        <v>0</v>
      </c>
      <c r="W13" s="411">
        <f t="shared" si="9"/>
        <v>0</v>
      </c>
      <c r="X13" s="278"/>
      <c r="Y13" s="265"/>
      <c r="Z13" s="279"/>
      <c r="AA13" s="279"/>
      <c r="AE13" s="239">
        <v>180</v>
      </c>
      <c r="AF13" s="280" t="s">
        <v>117</v>
      </c>
      <c r="AG13" s="280" t="s">
        <v>118</v>
      </c>
      <c r="AH13" s="281"/>
      <c r="AJ13" s="282"/>
    </row>
    <row r="14" spans="1:36" ht="15" customHeight="1" outlineLevel="1">
      <c r="A14" s="270" t="str">
        <f>'Program Budget'!D151</f>
        <v>Specialist Component 2</v>
      </c>
      <c r="B14" s="271" t="str">
        <f>'Program Budget'!F17</f>
        <v>Month</v>
      </c>
      <c r="C14" s="272">
        <f>'Program Budget'!H151</f>
        <v>1666.6666666666667</v>
      </c>
      <c r="D14" s="273">
        <f>'Program Budget'!G151</f>
        <v>6</v>
      </c>
      <c r="E14" s="274">
        <f>'Program Budget'!E151</f>
        <v>0</v>
      </c>
      <c r="F14" s="275">
        <f t="shared" ref="F14:F21" si="10">C14*D14*E14</f>
        <v>0</v>
      </c>
      <c r="G14" s="272">
        <f t="shared" ref="G14:G21" si="11">C14*1.04</f>
        <v>1733.3333333333335</v>
      </c>
      <c r="H14" s="273">
        <f>'Program Budget'!K151</f>
        <v>12</v>
      </c>
      <c r="I14" s="276">
        <f>'Program Budget'!J151</f>
        <v>0</v>
      </c>
      <c r="J14" s="275">
        <f t="shared" ref="J14:J21" si="12">G14*H14*I14</f>
        <v>0</v>
      </c>
      <c r="K14" s="272">
        <f t="shared" ref="K14:K21" si="13">G14*1.04</f>
        <v>1802.666666666667</v>
      </c>
      <c r="L14" s="273">
        <f>'Program Budget'!N151</f>
        <v>12</v>
      </c>
      <c r="M14" s="276">
        <f>'Program Budget'!M151</f>
        <v>0</v>
      </c>
      <c r="N14" s="275">
        <f t="shared" ref="N14:N21" si="14">K14*L14*M14</f>
        <v>0</v>
      </c>
      <c r="O14" s="272">
        <f t="shared" ref="O14:O21" si="15">K14*1.04</f>
        <v>1874.7733333333338</v>
      </c>
      <c r="P14" s="273">
        <f>'Program Budget'!Q151</f>
        <v>12</v>
      </c>
      <c r="Q14" s="276">
        <f>'Program Budget'!P151</f>
        <v>0</v>
      </c>
      <c r="R14" s="275">
        <f t="shared" ref="R14:R21" si="16">O14*P14*Q14</f>
        <v>0</v>
      </c>
      <c r="S14" s="272">
        <f t="shared" ref="S14:S21" si="17">O14*1.04</f>
        <v>1949.7642666666673</v>
      </c>
      <c r="T14" s="273">
        <f>'Program Budget'!T151</f>
        <v>6</v>
      </c>
      <c r="U14" s="276">
        <f>'Program Budget'!S151</f>
        <v>0</v>
      </c>
      <c r="V14" s="275">
        <f t="shared" ref="V14:V21" si="18">S14*T14*U14</f>
        <v>0</v>
      </c>
      <c r="W14" s="411">
        <f t="shared" ref="W14:W21" si="19">F14+J14+N14+R14+V14</f>
        <v>0</v>
      </c>
      <c r="X14" s="278"/>
      <c r="Y14" s="265"/>
      <c r="Z14" s="279"/>
      <c r="AA14" s="279"/>
      <c r="AE14" s="239"/>
      <c r="AF14" s="280"/>
      <c r="AG14" s="280"/>
      <c r="AH14" s="281"/>
      <c r="AJ14" s="282"/>
    </row>
    <row r="15" spans="1:36" ht="15" customHeight="1" outlineLevel="1">
      <c r="A15" s="270" t="str">
        <f>'Program Budget'!D152</f>
        <v>Specialist Component 3</v>
      </c>
      <c r="B15" s="271" t="str">
        <f>'Program Budget'!F18</f>
        <v>Month</v>
      </c>
      <c r="C15" s="272">
        <f>'Program Budget'!H152</f>
        <v>1666.6666666666667</v>
      </c>
      <c r="D15" s="273">
        <f>'Program Budget'!G152</f>
        <v>6</v>
      </c>
      <c r="E15" s="274">
        <f>'Program Budget'!E152</f>
        <v>0</v>
      </c>
      <c r="F15" s="275">
        <f t="shared" si="10"/>
        <v>0</v>
      </c>
      <c r="G15" s="272">
        <f t="shared" si="11"/>
        <v>1733.3333333333335</v>
      </c>
      <c r="H15" s="273">
        <f>'Program Budget'!K152</f>
        <v>12</v>
      </c>
      <c r="I15" s="276">
        <f>'Program Budget'!J152</f>
        <v>0</v>
      </c>
      <c r="J15" s="275">
        <f t="shared" si="12"/>
        <v>0</v>
      </c>
      <c r="K15" s="272">
        <f t="shared" si="13"/>
        <v>1802.666666666667</v>
      </c>
      <c r="L15" s="273">
        <f>'Program Budget'!N152</f>
        <v>12</v>
      </c>
      <c r="M15" s="276">
        <f>'Program Budget'!M152</f>
        <v>0</v>
      </c>
      <c r="N15" s="275">
        <f t="shared" si="14"/>
        <v>0</v>
      </c>
      <c r="O15" s="272">
        <f t="shared" si="15"/>
        <v>1874.7733333333338</v>
      </c>
      <c r="P15" s="273">
        <f>'Program Budget'!Q152</f>
        <v>12</v>
      </c>
      <c r="Q15" s="276">
        <f>'Program Budget'!P152</f>
        <v>0</v>
      </c>
      <c r="R15" s="275">
        <f t="shared" si="16"/>
        <v>0</v>
      </c>
      <c r="S15" s="272">
        <f t="shared" si="17"/>
        <v>1949.7642666666673</v>
      </c>
      <c r="T15" s="273">
        <f>'Program Budget'!T152</f>
        <v>6</v>
      </c>
      <c r="U15" s="276">
        <f>'Program Budget'!S152</f>
        <v>0</v>
      </c>
      <c r="V15" s="275">
        <f t="shared" si="18"/>
        <v>0</v>
      </c>
      <c r="W15" s="411">
        <f t="shared" si="19"/>
        <v>0</v>
      </c>
      <c r="X15" s="278"/>
      <c r="Y15" s="265"/>
      <c r="Z15" s="279"/>
      <c r="AA15" s="279"/>
      <c r="AE15" s="239"/>
      <c r="AF15" s="280"/>
      <c r="AG15" s="280"/>
      <c r="AH15" s="281"/>
      <c r="AJ15" s="282"/>
    </row>
    <row r="16" spans="1:36" ht="15" customHeight="1" outlineLevel="1">
      <c r="A16" s="270" t="str">
        <f>'Program Budget'!D153</f>
        <v>Specialist Component 4</v>
      </c>
      <c r="B16" s="271" t="str">
        <f>'Program Budget'!F19</f>
        <v>Month</v>
      </c>
      <c r="C16" s="272">
        <f>'Program Budget'!H153</f>
        <v>1666.6666666666667</v>
      </c>
      <c r="D16" s="273">
        <f>'Program Budget'!G153</f>
        <v>6</v>
      </c>
      <c r="E16" s="274">
        <f>'Program Budget'!E153</f>
        <v>0</v>
      </c>
      <c r="F16" s="275">
        <f t="shared" si="10"/>
        <v>0</v>
      </c>
      <c r="G16" s="272">
        <f t="shared" si="11"/>
        <v>1733.3333333333335</v>
      </c>
      <c r="H16" s="273">
        <f>'Program Budget'!K153</f>
        <v>12</v>
      </c>
      <c r="I16" s="276">
        <f>'Program Budget'!J153</f>
        <v>0</v>
      </c>
      <c r="J16" s="275">
        <f t="shared" si="12"/>
        <v>0</v>
      </c>
      <c r="K16" s="272">
        <f t="shared" si="13"/>
        <v>1802.666666666667</v>
      </c>
      <c r="L16" s="273">
        <f>'Program Budget'!N153</f>
        <v>12</v>
      </c>
      <c r="M16" s="276">
        <f>'Program Budget'!M153</f>
        <v>0</v>
      </c>
      <c r="N16" s="275">
        <f t="shared" si="14"/>
        <v>0</v>
      </c>
      <c r="O16" s="272">
        <f t="shared" si="15"/>
        <v>1874.7733333333338</v>
      </c>
      <c r="P16" s="273">
        <f>'Program Budget'!Q153</f>
        <v>12</v>
      </c>
      <c r="Q16" s="276">
        <f>'Program Budget'!P153</f>
        <v>0</v>
      </c>
      <c r="R16" s="275">
        <f t="shared" si="16"/>
        <v>0</v>
      </c>
      <c r="S16" s="272">
        <f t="shared" si="17"/>
        <v>1949.7642666666673</v>
      </c>
      <c r="T16" s="273">
        <f>'Program Budget'!T153</f>
        <v>6</v>
      </c>
      <c r="U16" s="276">
        <f>'Program Budget'!S153</f>
        <v>0</v>
      </c>
      <c r="V16" s="275">
        <f t="shared" si="18"/>
        <v>0</v>
      </c>
      <c r="W16" s="411">
        <f t="shared" si="19"/>
        <v>0</v>
      </c>
      <c r="X16" s="278"/>
      <c r="Y16" s="265"/>
      <c r="Z16" s="279"/>
      <c r="AA16" s="279"/>
      <c r="AE16" s="239"/>
      <c r="AF16" s="280"/>
      <c r="AG16" s="280"/>
      <c r="AH16" s="281"/>
      <c r="AJ16" s="282"/>
    </row>
    <row r="17" spans="1:36" ht="15" customHeight="1" outlineLevel="1">
      <c r="A17" s="270" t="str">
        <f>'Program Budget'!D154</f>
        <v>Extension Agents (20 Individuals)</v>
      </c>
      <c r="B17" s="271" t="str">
        <f>'Program Budget'!F20</f>
        <v>Month</v>
      </c>
      <c r="C17" s="272">
        <f>'Program Budget'!H154</f>
        <v>23333.333333333336</v>
      </c>
      <c r="D17" s="273">
        <f>'Program Budget'!G154</f>
        <v>3</v>
      </c>
      <c r="E17" s="274">
        <f>'Program Budget'!E154</f>
        <v>0.25</v>
      </c>
      <c r="F17" s="275">
        <f t="shared" si="10"/>
        <v>17500</v>
      </c>
      <c r="G17" s="272">
        <f t="shared" si="11"/>
        <v>24266.666666666672</v>
      </c>
      <c r="H17" s="273">
        <f>'Program Budget'!K154</f>
        <v>12</v>
      </c>
      <c r="I17" s="276">
        <f>'Program Budget'!J154</f>
        <v>0.45</v>
      </c>
      <c r="J17" s="275">
        <f t="shared" si="12"/>
        <v>131040.00000000003</v>
      </c>
      <c r="K17" s="272">
        <f t="shared" si="13"/>
        <v>25237.333333333339</v>
      </c>
      <c r="L17" s="273">
        <f>'Program Budget'!N154</f>
        <v>6</v>
      </c>
      <c r="M17" s="276">
        <f>'Program Budget'!M154</f>
        <v>0.45</v>
      </c>
      <c r="N17" s="275">
        <f t="shared" si="14"/>
        <v>68140.800000000017</v>
      </c>
      <c r="O17" s="272">
        <f t="shared" si="15"/>
        <v>26246.826666666675</v>
      </c>
      <c r="P17" s="273">
        <f>'Program Budget'!Q154</f>
        <v>0</v>
      </c>
      <c r="Q17" s="276">
        <f>'Program Budget'!P154</f>
        <v>0</v>
      </c>
      <c r="R17" s="275">
        <f t="shared" si="16"/>
        <v>0</v>
      </c>
      <c r="S17" s="272">
        <f t="shared" si="17"/>
        <v>27296.699733333342</v>
      </c>
      <c r="T17" s="273">
        <f>'Program Budget'!T154</f>
        <v>0</v>
      </c>
      <c r="U17" s="276">
        <f>'Program Budget'!S154</f>
        <v>0</v>
      </c>
      <c r="V17" s="275">
        <f t="shared" si="18"/>
        <v>0</v>
      </c>
      <c r="W17" s="411">
        <f t="shared" si="19"/>
        <v>216680.80000000005</v>
      </c>
      <c r="X17" s="278"/>
      <c r="Y17" s="265"/>
      <c r="Z17" s="279"/>
      <c r="AA17" s="279"/>
      <c r="AE17" s="239">
        <v>180</v>
      </c>
      <c r="AF17" s="280" t="s">
        <v>117</v>
      </c>
      <c r="AG17" s="280" t="s">
        <v>118</v>
      </c>
      <c r="AH17" s="281"/>
      <c r="AJ17" s="282"/>
    </row>
    <row r="18" spans="1:36" ht="15" customHeight="1" outlineLevel="1">
      <c r="A18" s="270" t="str">
        <f>'Program Budget'!D155</f>
        <v xml:space="preserve">M&amp;E Director </v>
      </c>
      <c r="B18" s="271" t="str">
        <f>'Program Budget'!F21</f>
        <v>Month</v>
      </c>
      <c r="C18" s="272">
        <f>'Program Budget'!H155</f>
        <v>3750</v>
      </c>
      <c r="D18" s="273">
        <f>'Program Budget'!G155</f>
        <v>9</v>
      </c>
      <c r="E18" s="274">
        <f>'Program Budget'!E155</f>
        <v>0.3</v>
      </c>
      <c r="F18" s="275">
        <f t="shared" si="10"/>
        <v>10125</v>
      </c>
      <c r="G18" s="272">
        <f t="shared" si="11"/>
        <v>3900</v>
      </c>
      <c r="H18" s="273">
        <f>'Program Budget'!K155</f>
        <v>12</v>
      </c>
      <c r="I18" s="276">
        <f>'Program Budget'!J155</f>
        <v>0.25</v>
      </c>
      <c r="J18" s="275">
        <f t="shared" si="12"/>
        <v>11700</v>
      </c>
      <c r="K18" s="272">
        <f t="shared" si="13"/>
        <v>4056</v>
      </c>
      <c r="L18" s="273">
        <f>'Program Budget'!N155</f>
        <v>12</v>
      </c>
      <c r="M18" s="276">
        <f>'Program Budget'!M155</f>
        <v>0.25</v>
      </c>
      <c r="N18" s="275">
        <f t="shared" si="14"/>
        <v>12168</v>
      </c>
      <c r="O18" s="272">
        <f t="shared" si="15"/>
        <v>4218.24</v>
      </c>
      <c r="P18" s="273">
        <f>'Program Budget'!Q155</f>
        <v>12</v>
      </c>
      <c r="Q18" s="276">
        <f>'Program Budget'!P155</f>
        <v>0.25</v>
      </c>
      <c r="R18" s="275">
        <f t="shared" si="16"/>
        <v>12654.72</v>
      </c>
      <c r="S18" s="272">
        <f t="shared" si="17"/>
        <v>4386.9696000000004</v>
      </c>
      <c r="T18" s="273">
        <f>'Program Budget'!T155</f>
        <v>12</v>
      </c>
      <c r="U18" s="276">
        <f>'Program Budget'!S155</f>
        <v>0.25</v>
      </c>
      <c r="V18" s="275">
        <f t="shared" si="18"/>
        <v>13160.908800000001</v>
      </c>
      <c r="W18" s="411">
        <f t="shared" si="19"/>
        <v>59808.628800000006</v>
      </c>
      <c r="X18" s="278"/>
      <c r="Y18" s="265"/>
      <c r="Z18" s="279"/>
      <c r="AA18" s="279"/>
      <c r="AE18" s="239">
        <v>180</v>
      </c>
      <c r="AF18" s="280" t="s">
        <v>117</v>
      </c>
      <c r="AG18" s="280" t="s">
        <v>118</v>
      </c>
      <c r="AH18" s="281"/>
      <c r="AJ18" s="282"/>
    </row>
    <row r="19" spans="1:36" ht="15" customHeight="1" outlineLevel="1">
      <c r="A19" s="270" t="str">
        <f>'Program Budget'!D156</f>
        <v>M&amp;E Specialist</v>
      </c>
      <c r="B19" s="271" t="str">
        <f>'Program Budget'!F22</f>
        <v>Month</v>
      </c>
      <c r="C19" s="272">
        <f>'Program Budget'!H156</f>
        <v>2083.3333333333335</v>
      </c>
      <c r="D19" s="273">
        <f>'Program Budget'!G156</f>
        <v>6</v>
      </c>
      <c r="E19" s="274">
        <f>'Program Budget'!E156</f>
        <v>0.2</v>
      </c>
      <c r="F19" s="275">
        <f t="shared" si="10"/>
        <v>2500</v>
      </c>
      <c r="G19" s="272">
        <f t="shared" si="11"/>
        <v>2166.666666666667</v>
      </c>
      <c r="H19" s="273">
        <f>'Program Budget'!K156</f>
        <v>12</v>
      </c>
      <c r="I19" s="276">
        <f>'Program Budget'!J156</f>
        <v>0.25</v>
      </c>
      <c r="J19" s="275">
        <f t="shared" si="12"/>
        <v>6500.0000000000009</v>
      </c>
      <c r="K19" s="272">
        <f t="shared" si="13"/>
        <v>2253.3333333333339</v>
      </c>
      <c r="L19" s="273">
        <f>'Program Budget'!N156</f>
        <v>12</v>
      </c>
      <c r="M19" s="276">
        <f>'Program Budget'!M156</f>
        <v>0.25</v>
      </c>
      <c r="N19" s="275">
        <f t="shared" si="14"/>
        <v>6760.0000000000018</v>
      </c>
      <c r="O19" s="272">
        <f t="shared" si="15"/>
        <v>2343.4666666666672</v>
      </c>
      <c r="P19" s="273">
        <f>'Program Budget'!Q156</f>
        <v>12</v>
      </c>
      <c r="Q19" s="276">
        <f>'Program Budget'!P156</f>
        <v>0.25</v>
      </c>
      <c r="R19" s="275">
        <f t="shared" si="16"/>
        <v>7030.4000000000015</v>
      </c>
      <c r="S19" s="272">
        <f t="shared" si="17"/>
        <v>2437.2053333333338</v>
      </c>
      <c r="T19" s="273">
        <f>'Program Budget'!T156</f>
        <v>10</v>
      </c>
      <c r="U19" s="276">
        <f>'Program Budget'!S156</f>
        <v>0.25</v>
      </c>
      <c r="V19" s="275">
        <f t="shared" si="18"/>
        <v>6093.0133333333342</v>
      </c>
      <c r="W19" s="411">
        <f t="shared" si="19"/>
        <v>28883.413333333338</v>
      </c>
      <c r="X19" s="278"/>
      <c r="Y19" s="265"/>
      <c r="Z19" s="279"/>
      <c r="AA19" s="279"/>
      <c r="AE19" s="239">
        <v>180</v>
      </c>
      <c r="AF19" s="280" t="s">
        <v>117</v>
      </c>
      <c r="AG19" s="280" t="s">
        <v>118</v>
      </c>
      <c r="AH19" s="281"/>
      <c r="AJ19" s="282"/>
    </row>
    <row r="20" spans="1:36" ht="15" customHeight="1" outlineLevel="1">
      <c r="A20" s="270" t="str">
        <f>'Program Budget'!D157</f>
        <v xml:space="preserve">F&amp;A Director </v>
      </c>
      <c r="B20" s="271" t="str">
        <f>'Program Budget'!F23</f>
        <v>Month</v>
      </c>
      <c r="C20" s="272">
        <f>'Program Budget'!H157</f>
        <v>6666.666666666667</v>
      </c>
      <c r="D20" s="273">
        <f>'Program Budget'!G157</f>
        <v>9</v>
      </c>
      <c r="E20" s="274">
        <f>'Program Budget'!E157</f>
        <v>0.2</v>
      </c>
      <c r="F20" s="275">
        <f t="shared" si="10"/>
        <v>12000</v>
      </c>
      <c r="G20" s="272">
        <f t="shared" si="11"/>
        <v>6933.3333333333339</v>
      </c>
      <c r="H20" s="273">
        <f>'Program Budget'!K157</f>
        <v>12</v>
      </c>
      <c r="I20" s="276">
        <f>'Program Budget'!J157</f>
        <v>0.25</v>
      </c>
      <c r="J20" s="275">
        <f t="shared" si="12"/>
        <v>20800</v>
      </c>
      <c r="K20" s="272">
        <f t="shared" si="13"/>
        <v>7210.6666666666679</v>
      </c>
      <c r="L20" s="273">
        <f>'Program Budget'!N157</f>
        <v>12</v>
      </c>
      <c r="M20" s="276">
        <f>'Program Budget'!M157</f>
        <v>0.25</v>
      </c>
      <c r="N20" s="275">
        <f t="shared" si="14"/>
        <v>21632.000000000004</v>
      </c>
      <c r="O20" s="272">
        <f t="shared" si="15"/>
        <v>7499.0933333333351</v>
      </c>
      <c r="P20" s="273">
        <f>'Program Budget'!Q157</f>
        <v>12</v>
      </c>
      <c r="Q20" s="276">
        <f>'Program Budget'!P157</f>
        <v>0.25</v>
      </c>
      <c r="R20" s="275">
        <f t="shared" si="16"/>
        <v>22497.280000000006</v>
      </c>
      <c r="S20" s="272">
        <f t="shared" si="17"/>
        <v>7799.057066666669</v>
      </c>
      <c r="T20" s="273">
        <f>'Program Budget'!T157</f>
        <v>12</v>
      </c>
      <c r="U20" s="276">
        <f>'Program Budget'!S157</f>
        <v>0.25</v>
      </c>
      <c r="V20" s="275">
        <f t="shared" si="18"/>
        <v>23397.171200000008</v>
      </c>
      <c r="W20" s="411">
        <f t="shared" si="19"/>
        <v>100326.45120000001</v>
      </c>
      <c r="X20" s="278"/>
      <c r="Y20" s="265"/>
      <c r="Z20" s="279"/>
      <c r="AA20" s="279"/>
      <c r="AE20" s="239">
        <v>180</v>
      </c>
      <c r="AF20" s="280" t="s">
        <v>117</v>
      </c>
      <c r="AG20" s="280" t="s">
        <v>118</v>
      </c>
      <c r="AH20" s="281"/>
      <c r="AJ20" s="282"/>
    </row>
    <row r="21" spans="1:36" ht="15" customHeight="1" outlineLevel="1">
      <c r="A21" s="270" t="str">
        <f>'Program Budget'!D158</f>
        <v>Human Resource Manager</v>
      </c>
      <c r="B21" s="271" t="str">
        <f>'Program Budget'!F24</f>
        <v>Month</v>
      </c>
      <c r="C21" s="272">
        <f>'Program Budget'!H158</f>
        <v>2916.6666666666665</v>
      </c>
      <c r="D21" s="273">
        <f>'Program Budget'!G158</f>
        <v>9</v>
      </c>
      <c r="E21" s="274">
        <f>'Program Budget'!E158</f>
        <v>0.25</v>
      </c>
      <c r="F21" s="275">
        <f t="shared" si="10"/>
        <v>6562.5</v>
      </c>
      <c r="G21" s="272">
        <f t="shared" si="11"/>
        <v>3033.3333333333335</v>
      </c>
      <c r="H21" s="273">
        <f>'Program Budget'!K158</f>
        <v>12</v>
      </c>
      <c r="I21" s="276">
        <f>'Program Budget'!J158</f>
        <v>0.3</v>
      </c>
      <c r="J21" s="275">
        <f t="shared" si="12"/>
        <v>10920</v>
      </c>
      <c r="K21" s="272">
        <f t="shared" si="13"/>
        <v>3154.666666666667</v>
      </c>
      <c r="L21" s="273">
        <f>'Program Budget'!N158</f>
        <v>12</v>
      </c>
      <c r="M21" s="276">
        <f>'Program Budget'!M158</f>
        <v>0.25</v>
      </c>
      <c r="N21" s="275">
        <f t="shared" si="14"/>
        <v>9464</v>
      </c>
      <c r="O21" s="272">
        <f t="shared" si="15"/>
        <v>3280.8533333333339</v>
      </c>
      <c r="P21" s="273">
        <f>'Program Budget'!Q158</f>
        <v>12</v>
      </c>
      <c r="Q21" s="276">
        <f>'Program Budget'!P158</f>
        <v>0.25</v>
      </c>
      <c r="R21" s="275">
        <f t="shared" si="16"/>
        <v>9842.5600000000013</v>
      </c>
      <c r="S21" s="272">
        <f t="shared" si="17"/>
        <v>3412.0874666666673</v>
      </c>
      <c r="T21" s="273">
        <f>'Program Budget'!T158</f>
        <v>10</v>
      </c>
      <c r="U21" s="276">
        <f>'Program Budget'!S158</f>
        <v>0.25</v>
      </c>
      <c r="V21" s="275">
        <f t="shared" si="18"/>
        <v>8530.2186666666676</v>
      </c>
      <c r="W21" s="411">
        <f t="shared" si="19"/>
        <v>45319.278666666665</v>
      </c>
      <c r="X21" s="278"/>
      <c r="Y21" s="265"/>
      <c r="Z21" s="279"/>
      <c r="AA21" s="279"/>
      <c r="AE21" s="239"/>
      <c r="AF21" s="280"/>
      <c r="AG21" s="280"/>
      <c r="AH21" s="281"/>
      <c r="AJ21" s="282"/>
    </row>
    <row r="22" spans="1:36" ht="15" customHeight="1" outlineLevel="1">
      <c r="A22" s="270" t="str">
        <f>'Program Budget'!D159</f>
        <v>Contracts &amp; Compliance Specialist</v>
      </c>
      <c r="B22" s="271" t="str">
        <f>'Program Budget'!F25</f>
        <v>Month</v>
      </c>
      <c r="C22" s="272">
        <f>'Program Budget'!H159</f>
        <v>2916.6666666666665</v>
      </c>
      <c r="D22" s="273">
        <f>'Program Budget'!G159</f>
        <v>6</v>
      </c>
      <c r="E22" s="274">
        <f>'Program Budget'!E159</f>
        <v>0.25</v>
      </c>
      <c r="F22" s="275">
        <f t="shared" si="0"/>
        <v>4375</v>
      </c>
      <c r="G22" s="272">
        <f t="shared" si="1"/>
        <v>3033.3333333333335</v>
      </c>
      <c r="H22" s="273">
        <f>'Program Budget'!K159</f>
        <v>12</v>
      </c>
      <c r="I22" s="276">
        <f>'Program Budget'!J159</f>
        <v>0.25</v>
      </c>
      <c r="J22" s="275">
        <f t="shared" si="2"/>
        <v>9100</v>
      </c>
      <c r="K22" s="272">
        <f t="shared" si="3"/>
        <v>3154.666666666667</v>
      </c>
      <c r="L22" s="273">
        <f>'Program Budget'!N159</f>
        <v>12</v>
      </c>
      <c r="M22" s="276">
        <f>'Program Budget'!M159</f>
        <v>0.25</v>
      </c>
      <c r="N22" s="275">
        <f t="shared" si="4"/>
        <v>9464</v>
      </c>
      <c r="O22" s="272">
        <f t="shared" si="5"/>
        <v>3280.8533333333339</v>
      </c>
      <c r="P22" s="273">
        <f>'Program Budget'!Q159</f>
        <v>12</v>
      </c>
      <c r="Q22" s="276">
        <f>'Program Budget'!P159</f>
        <v>0.25</v>
      </c>
      <c r="R22" s="275">
        <f t="shared" si="6"/>
        <v>9842.5600000000013</v>
      </c>
      <c r="S22" s="272">
        <f t="shared" si="7"/>
        <v>3412.0874666666673</v>
      </c>
      <c r="T22" s="273">
        <f>'Program Budget'!T159</f>
        <v>9</v>
      </c>
      <c r="U22" s="276">
        <f>'Program Budget'!S159</f>
        <v>0.25</v>
      </c>
      <c r="V22" s="275">
        <f t="shared" si="8"/>
        <v>7677.1968000000015</v>
      </c>
      <c r="W22" s="411">
        <f t="shared" si="9"/>
        <v>40458.756800000003</v>
      </c>
      <c r="X22" s="278"/>
      <c r="Y22" s="265"/>
      <c r="Z22" s="279"/>
      <c r="AA22" s="279"/>
      <c r="AE22" s="239">
        <v>180</v>
      </c>
      <c r="AF22" s="280" t="s">
        <v>117</v>
      </c>
      <c r="AG22" s="280" t="s">
        <v>118</v>
      </c>
      <c r="AH22" s="281"/>
      <c r="AJ22" s="282"/>
    </row>
    <row r="23" spans="1:36" ht="15" customHeight="1" outlineLevel="1">
      <c r="A23" s="270" t="str">
        <f>'Program Budget'!D160</f>
        <v xml:space="preserve">Accountant </v>
      </c>
      <c r="B23" s="271" t="str">
        <f>'Program Budget'!F26</f>
        <v>Month</v>
      </c>
      <c r="C23" s="272">
        <f>'Program Budget'!H160</f>
        <v>1666.6666666666667</v>
      </c>
      <c r="D23" s="273">
        <f>'Program Budget'!G160</f>
        <v>7</v>
      </c>
      <c r="E23" s="274">
        <f>'Program Budget'!E160</f>
        <v>0.2</v>
      </c>
      <c r="F23" s="275">
        <f t="shared" si="0"/>
        <v>2333.3333333333335</v>
      </c>
      <c r="G23" s="272">
        <f t="shared" si="1"/>
        <v>1733.3333333333335</v>
      </c>
      <c r="H23" s="273">
        <f>'Program Budget'!K160</f>
        <v>12</v>
      </c>
      <c r="I23" s="276">
        <f>'Program Budget'!J160</f>
        <v>0.2</v>
      </c>
      <c r="J23" s="275">
        <f t="shared" si="2"/>
        <v>4160</v>
      </c>
      <c r="K23" s="272">
        <f t="shared" si="3"/>
        <v>1802.666666666667</v>
      </c>
      <c r="L23" s="273">
        <f>'Program Budget'!N160</f>
        <v>12</v>
      </c>
      <c r="M23" s="276">
        <f>'Program Budget'!M160</f>
        <v>0.2</v>
      </c>
      <c r="N23" s="275">
        <f t="shared" si="4"/>
        <v>4326.4000000000005</v>
      </c>
      <c r="O23" s="272">
        <f t="shared" si="5"/>
        <v>1874.7733333333338</v>
      </c>
      <c r="P23" s="273">
        <f>'Program Budget'!Q160</f>
        <v>12</v>
      </c>
      <c r="Q23" s="276">
        <f>'Program Budget'!P160</f>
        <v>0.2</v>
      </c>
      <c r="R23" s="275">
        <f t="shared" si="6"/>
        <v>4499.456000000001</v>
      </c>
      <c r="S23" s="272">
        <f t="shared" si="7"/>
        <v>1949.7642666666673</v>
      </c>
      <c r="T23" s="273">
        <f>'Program Budget'!T160</f>
        <v>10</v>
      </c>
      <c r="U23" s="276">
        <f>'Program Budget'!S160</f>
        <v>0.2</v>
      </c>
      <c r="V23" s="275">
        <f t="shared" si="8"/>
        <v>3899.528533333335</v>
      </c>
      <c r="W23" s="411">
        <f t="shared" si="9"/>
        <v>19218.71786666667</v>
      </c>
      <c r="X23" s="278"/>
      <c r="Y23" s="265"/>
      <c r="Z23" s="279"/>
      <c r="AA23" s="279"/>
      <c r="AE23" s="239">
        <v>180</v>
      </c>
      <c r="AF23" s="280" t="s">
        <v>117</v>
      </c>
      <c r="AG23" s="280" t="s">
        <v>118</v>
      </c>
      <c r="AH23" s="281"/>
      <c r="AJ23" s="282"/>
    </row>
    <row r="24" spans="1:36" ht="15" customHeight="1" outlineLevel="1">
      <c r="A24" s="270" t="str">
        <f>'Program Budget'!D161</f>
        <v xml:space="preserve">Administrative Assistant </v>
      </c>
      <c r="B24" s="271" t="str">
        <f>'Program Budget'!F27</f>
        <v>Month</v>
      </c>
      <c r="C24" s="272">
        <f>'Program Budget'!H161</f>
        <v>833.33333333333337</v>
      </c>
      <c r="D24" s="273">
        <f>'Program Budget'!G161</f>
        <v>7</v>
      </c>
      <c r="E24" s="274">
        <f>'Program Budget'!E161</f>
        <v>0.2</v>
      </c>
      <c r="F24" s="275">
        <f t="shared" si="0"/>
        <v>1166.6666666666667</v>
      </c>
      <c r="G24" s="272">
        <f t="shared" si="1"/>
        <v>866.66666666666674</v>
      </c>
      <c r="H24" s="273">
        <f>'Program Budget'!K161</f>
        <v>12</v>
      </c>
      <c r="I24" s="276">
        <f>'Program Budget'!J161</f>
        <v>0.2</v>
      </c>
      <c r="J24" s="275">
        <f t="shared" si="2"/>
        <v>2080</v>
      </c>
      <c r="K24" s="272">
        <f t="shared" si="3"/>
        <v>901.33333333333348</v>
      </c>
      <c r="L24" s="273">
        <f>'Program Budget'!N161</f>
        <v>12</v>
      </c>
      <c r="M24" s="276">
        <f>'Program Budget'!M161</f>
        <v>0.2</v>
      </c>
      <c r="N24" s="275">
        <f t="shared" si="4"/>
        <v>2163.2000000000003</v>
      </c>
      <c r="O24" s="272">
        <f t="shared" si="5"/>
        <v>937.38666666666688</v>
      </c>
      <c r="P24" s="273">
        <f>'Program Budget'!Q161</f>
        <v>12</v>
      </c>
      <c r="Q24" s="276">
        <f>'Program Budget'!P161</f>
        <v>0.2</v>
      </c>
      <c r="R24" s="275">
        <f t="shared" si="6"/>
        <v>2249.7280000000005</v>
      </c>
      <c r="S24" s="272">
        <f t="shared" si="7"/>
        <v>974.88213333333363</v>
      </c>
      <c r="T24" s="273">
        <f>'Program Budget'!T161</f>
        <v>10</v>
      </c>
      <c r="U24" s="276">
        <f>'Program Budget'!S161</f>
        <v>0.2</v>
      </c>
      <c r="V24" s="275">
        <f t="shared" si="8"/>
        <v>1949.7642666666675</v>
      </c>
      <c r="W24" s="411">
        <f t="shared" si="9"/>
        <v>9609.3589333333348</v>
      </c>
      <c r="X24" s="278"/>
      <c r="Y24" s="265"/>
      <c r="Z24" s="279"/>
      <c r="AA24" s="279"/>
      <c r="AE24" s="239">
        <v>180</v>
      </c>
      <c r="AF24" s="280" t="s">
        <v>117</v>
      </c>
      <c r="AG24" s="280" t="s">
        <v>118</v>
      </c>
      <c r="AH24" s="281"/>
      <c r="AJ24" s="282"/>
    </row>
    <row r="25" spans="1:36" ht="15" customHeight="1" outlineLevel="1">
      <c r="A25" s="270" t="str">
        <f>'Program Budget'!D162</f>
        <v>Security Guards</v>
      </c>
      <c r="B25" s="271" t="str">
        <f>'Program Budget'!F28</f>
        <v>Month</v>
      </c>
      <c r="C25" s="272">
        <f>'Program Budget'!H162</f>
        <v>666.66666666666663</v>
      </c>
      <c r="D25" s="273">
        <f>'Program Budget'!G162</f>
        <v>8</v>
      </c>
      <c r="E25" s="274">
        <f>'Program Budget'!E162</f>
        <v>0.2</v>
      </c>
      <c r="F25" s="275">
        <f t="shared" si="0"/>
        <v>1066.6666666666667</v>
      </c>
      <c r="G25" s="272">
        <f t="shared" si="1"/>
        <v>693.33333333333337</v>
      </c>
      <c r="H25" s="273">
        <f>'Program Budget'!K162</f>
        <v>12</v>
      </c>
      <c r="I25" s="276">
        <f>'Program Budget'!J162</f>
        <v>0.25</v>
      </c>
      <c r="J25" s="275">
        <f t="shared" si="2"/>
        <v>2080</v>
      </c>
      <c r="K25" s="272">
        <f t="shared" si="3"/>
        <v>721.06666666666672</v>
      </c>
      <c r="L25" s="273">
        <f>'Program Budget'!N162</f>
        <v>12</v>
      </c>
      <c r="M25" s="276">
        <f>'Program Budget'!M162</f>
        <v>0.25</v>
      </c>
      <c r="N25" s="275">
        <f t="shared" si="4"/>
        <v>2163.2000000000003</v>
      </c>
      <c r="O25" s="272">
        <f t="shared" si="5"/>
        <v>749.90933333333339</v>
      </c>
      <c r="P25" s="273">
        <f>'Program Budget'!Q162</f>
        <v>12</v>
      </c>
      <c r="Q25" s="276">
        <f>'Program Budget'!P162</f>
        <v>0.25</v>
      </c>
      <c r="R25" s="275">
        <f t="shared" si="6"/>
        <v>2249.7280000000001</v>
      </c>
      <c r="S25" s="272">
        <f t="shared" si="7"/>
        <v>779.90570666666679</v>
      </c>
      <c r="T25" s="273">
        <f>'Program Budget'!T162</f>
        <v>10</v>
      </c>
      <c r="U25" s="276">
        <f>'Program Budget'!S162</f>
        <v>0.25</v>
      </c>
      <c r="V25" s="275">
        <f t="shared" si="8"/>
        <v>1949.764266666667</v>
      </c>
      <c r="W25" s="411">
        <f t="shared" si="9"/>
        <v>9509.358933333333</v>
      </c>
      <c r="X25" s="278"/>
      <c r="Y25" s="265"/>
      <c r="Z25" s="279"/>
      <c r="AA25" s="279"/>
      <c r="AE25" s="239">
        <v>180</v>
      </c>
      <c r="AF25" s="280" t="s">
        <v>117</v>
      </c>
      <c r="AG25" s="280" t="s">
        <v>118</v>
      </c>
      <c r="AH25" s="281"/>
      <c r="AJ25" s="282"/>
    </row>
    <row r="26" spans="1:36" ht="15" customHeight="1" outlineLevel="1">
      <c r="A26" s="270" t="str">
        <f>'Program Budget'!D163</f>
        <v>Driver (2 Individuals)</v>
      </c>
      <c r="B26" s="271" t="str">
        <f>'Program Budget'!F29</f>
        <v>Month</v>
      </c>
      <c r="C26" s="272">
        <f>'Program Budget'!H163</f>
        <v>1333.3333333333333</v>
      </c>
      <c r="D26" s="273">
        <f>'Program Budget'!G163</f>
        <v>6</v>
      </c>
      <c r="E26" s="274">
        <f>'Program Budget'!E163</f>
        <v>0.2</v>
      </c>
      <c r="F26" s="275">
        <f t="shared" si="0"/>
        <v>1600</v>
      </c>
      <c r="G26" s="272">
        <f t="shared" si="1"/>
        <v>1386.6666666666667</v>
      </c>
      <c r="H26" s="273">
        <f>'Program Budget'!K163</f>
        <v>12</v>
      </c>
      <c r="I26" s="276">
        <f>'Program Budget'!J163</f>
        <v>0.25</v>
      </c>
      <c r="J26" s="275">
        <f t="shared" si="2"/>
        <v>4160</v>
      </c>
      <c r="K26" s="272">
        <f t="shared" si="3"/>
        <v>1442.1333333333334</v>
      </c>
      <c r="L26" s="273">
        <f>'Program Budget'!N163</f>
        <v>12</v>
      </c>
      <c r="M26" s="276">
        <f>'Program Budget'!M163</f>
        <v>0.25</v>
      </c>
      <c r="N26" s="275">
        <f t="shared" si="4"/>
        <v>4326.4000000000005</v>
      </c>
      <c r="O26" s="272">
        <f t="shared" si="5"/>
        <v>1499.8186666666668</v>
      </c>
      <c r="P26" s="273">
        <f>'Program Budget'!Q163</f>
        <v>12</v>
      </c>
      <c r="Q26" s="276">
        <f>'Program Budget'!P163</f>
        <v>0.25</v>
      </c>
      <c r="R26" s="275">
        <f t="shared" si="6"/>
        <v>4499.4560000000001</v>
      </c>
      <c r="S26" s="272">
        <f t="shared" si="7"/>
        <v>1559.8114133333336</v>
      </c>
      <c r="T26" s="273">
        <f>'Program Budget'!T163</f>
        <v>9</v>
      </c>
      <c r="U26" s="276">
        <f>'Program Budget'!S163</f>
        <v>0.25</v>
      </c>
      <c r="V26" s="275">
        <f t="shared" si="8"/>
        <v>3509.5756800000004</v>
      </c>
      <c r="W26" s="413">
        <f t="shared" si="9"/>
        <v>18095.431680000002</v>
      </c>
      <c r="X26" s="278"/>
      <c r="Y26" s="265"/>
      <c r="Z26" s="279"/>
      <c r="AA26" s="279"/>
      <c r="AE26" s="239">
        <v>180</v>
      </c>
      <c r="AF26" s="280" t="s">
        <v>117</v>
      </c>
      <c r="AG26" s="280" t="s">
        <v>118</v>
      </c>
      <c r="AH26" s="281"/>
      <c r="AJ26" s="282"/>
    </row>
    <row r="27" spans="1:36" ht="15" customHeight="1" outlineLevel="1">
      <c r="A27" s="285" t="s">
        <v>78</v>
      </c>
      <c r="B27" s="286"/>
      <c r="C27" s="287"/>
      <c r="D27" s="288"/>
      <c r="E27" s="289"/>
      <c r="F27" s="299">
        <f>SUM(F10:F26)</f>
        <v>78729.166666666672</v>
      </c>
      <c r="G27" s="287"/>
      <c r="H27" s="288"/>
      <c r="I27" s="291"/>
      <c r="J27" s="299">
        <f>SUM(J10:J26)</f>
        <v>253500.00000000003</v>
      </c>
      <c r="K27" s="287"/>
      <c r="L27" s="288"/>
      <c r="M27" s="289"/>
      <c r="N27" s="299">
        <f>SUM(N10:N26)</f>
        <v>193606.40000000002</v>
      </c>
      <c r="O27" s="287"/>
      <c r="P27" s="288"/>
      <c r="Q27" s="291"/>
      <c r="R27" s="299">
        <f>SUM(R10:R26)</f>
        <v>130484.22400000002</v>
      </c>
      <c r="S27" s="287"/>
      <c r="T27" s="288"/>
      <c r="U27" s="291"/>
      <c r="V27" s="299">
        <f>SUM(V10:V26)</f>
        <v>110527.26186666668</v>
      </c>
      <c r="W27" s="412">
        <f>F27+J27+N27+R27+V27</f>
        <v>766847.05253333342</v>
      </c>
      <c r="AE27" s="239"/>
      <c r="AF27" s="280"/>
      <c r="AG27" s="280"/>
    </row>
    <row r="28" spans="1:36" s="266" customFormat="1" ht="15" customHeight="1" outlineLevel="1">
      <c r="A28" s="302"/>
      <c r="B28" s="293"/>
      <c r="C28" s="294"/>
      <c r="D28" s="295"/>
      <c r="E28" s="236"/>
      <c r="F28" s="275"/>
      <c r="G28" s="294"/>
      <c r="H28" s="295"/>
      <c r="I28" s="236"/>
      <c r="J28" s="275"/>
      <c r="K28" s="294"/>
      <c r="L28" s="295"/>
      <c r="M28" s="236"/>
      <c r="N28" s="275"/>
      <c r="O28" s="294"/>
      <c r="P28" s="295"/>
      <c r="Q28" s="236"/>
      <c r="R28" s="275"/>
      <c r="S28" s="294"/>
      <c r="T28" s="295"/>
      <c r="U28" s="236"/>
      <c r="V28" s="275"/>
      <c r="W28" s="413"/>
      <c r="X28" s="233"/>
      <c r="Y28" s="233"/>
      <c r="Z28" s="233"/>
      <c r="AA28" s="233"/>
      <c r="AB28" s="233"/>
      <c r="AC28" s="233"/>
      <c r="AD28" s="233"/>
      <c r="AE28" s="239"/>
      <c r="AF28" s="280"/>
      <c r="AG28" s="280"/>
      <c r="AH28" s="300"/>
      <c r="AI28" s="301"/>
      <c r="AJ28" s="233"/>
    </row>
    <row r="29" spans="1:36" s="313" customFormat="1" ht="15" customHeight="1">
      <c r="A29" s="303" t="s">
        <v>81</v>
      </c>
      <c r="B29" s="304"/>
      <c r="C29" s="305"/>
      <c r="D29" s="306"/>
      <c r="E29" s="307"/>
      <c r="F29" s="308">
        <f>F27+F8</f>
        <v>107729.16666666667</v>
      </c>
      <c r="G29" s="305"/>
      <c r="H29" s="306"/>
      <c r="I29" s="309"/>
      <c r="J29" s="308">
        <f>J27+J8</f>
        <v>291200</v>
      </c>
      <c r="K29" s="305"/>
      <c r="L29" s="306"/>
      <c r="M29" s="307"/>
      <c r="N29" s="308">
        <f>N27+N8</f>
        <v>232814.40000000002</v>
      </c>
      <c r="O29" s="305"/>
      <c r="P29" s="306"/>
      <c r="Q29" s="309"/>
      <c r="R29" s="308">
        <f>R27+R8</f>
        <v>171260.54400000002</v>
      </c>
      <c r="S29" s="305"/>
      <c r="T29" s="306"/>
      <c r="U29" s="309"/>
      <c r="V29" s="308">
        <f>V27+V8</f>
        <v>152934.63466666668</v>
      </c>
      <c r="W29" s="414">
        <f>+F29+J29+N29+R29+V29</f>
        <v>955938.74533333327</v>
      </c>
      <c r="X29" s="311"/>
      <c r="Y29" s="311"/>
      <c r="Z29" s="311"/>
      <c r="AA29" s="311"/>
      <c r="AB29" s="311"/>
      <c r="AC29" s="312"/>
      <c r="AD29" s="312"/>
      <c r="AE29" s="311"/>
      <c r="AG29" s="313" t="s">
        <v>119</v>
      </c>
      <c r="AJ29" s="312"/>
    </row>
    <row r="30" spans="1:36" s="266" customFormat="1" ht="15" customHeight="1" outlineLevel="1">
      <c r="A30" s="267" t="s">
        <v>82</v>
      </c>
      <c r="B30" s="268"/>
      <c r="C30" s="258"/>
      <c r="D30" s="259"/>
      <c r="E30" s="260"/>
      <c r="F30" s="261"/>
      <c r="G30" s="258"/>
      <c r="H30" s="259"/>
      <c r="I30" s="262"/>
      <c r="J30" s="263"/>
      <c r="K30" s="258"/>
      <c r="L30" s="259"/>
      <c r="M30" s="260"/>
      <c r="N30" s="263"/>
      <c r="O30" s="258"/>
      <c r="P30" s="259"/>
      <c r="Q30" s="262"/>
      <c r="R30" s="263"/>
      <c r="S30" s="258"/>
      <c r="T30" s="259"/>
      <c r="U30" s="262"/>
      <c r="V30" s="263"/>
      <c r="W30" s="410"/>
      <c r="X30" s="233"/>
      <c r="Y30" s="233"/>
      <c r="Z30" s="233"/>
      <c r="AA30" s="233"/>
      <c r="AB30" s="233"/>
      <c r="AC30" s="233"/>
      <c r="AD30" s="233"/>
      <c r="AE30" s="239"/>
      <c r="AJ30" s="233"/>
    </row>
    <row r="31" spans="1:36" s="266" customFormat="1" ht="15" customHeight="1" outlineLevel="1">
      <c r="A31" s="314" t="s">
        <v>75</v>
      </c>
      <c r="B31" s="293" t="str">
        <f>'Program Budget'!F167</f>
        <v>%</v>
      </c>
      <c r="C31" s="421">
        <f>F8</f>
        <v>29000</v>
      </c>
      <c r="D31" s="295">
        <v>1</v>
      </c>
      <c r="E31" s="236">
        <f>'Program Budget'!H168</f>
        <v>0.23469999999999999</v>
      </c>
      <c r="F31" s="275">
        <f>C31*D31*E31</f>
        <v>6806.3</v>
      </c>
      <c r="G31" s="421">
        <f>J8</f>
        <v>37700</v>
      </c>
      <c r="H31" s="295">
        <v>1</v>
      </c>
      <c r="I31" s="236">
        <f>E31</f>
        <v>0.23469999999999999</v>
      </c>
      <c r="J31" s="275">
        <f t="shared" ref="J31:J32" si="20">G31*H31*I31</f>
        <v>8848.19</v>
      </c>
      <c r="K31" s="421">
        <f>N8</f>
        <v>39208.000000000007</v>
      </c>
      <c r="L31" s="295">
        <v>1</v>
      </c>
      <c r="M31" s="236">
        <f>I31</f>
        <v>0.23469999999999999</v>
      </c>
      <c r="N31" s="275">
        <f t="shared" ref="N31:N32" si="21">K31*L31*M31</f>
        <v>9202.1176000000014</v>
      </c>
      <c r="O31" s="421">
        <f>R8</f>
        <v>40776.320000000007</v>
      </c>
      <c r="P31" s="295">
        <v>1</v>
      </c>
      <c r="Q31" s="236">
        <f>M31</f>
        <v>0.23469999999999999</v>
      </c>
      <c r="R31" s="275">
        <f t="shared" ref="R31:R32" si="22">O31*P31*Q31</f>
        <v>9570.2023040000022</v>
      </c>
      <c r="S31" s="421">
        <f>V8</f>
        <v>42407.372800000012</v>
      </c>
      <c r="T31" s="295">
        <v>1</v>
      </c>
      <c r="U31" s="236">
        <f>Q31</f>
        <v>0.23469999999999999</v>
      </c>
      <c r="V31" s="275">
        <f t="shared" ref="V31:V32" si="23">S31*T31*U31</f>
        <v>9953.0103961600016</v>
      </c>
      <c r="W31" s="411">
        <f t="shared" ref="W31:W32" si="24">F31+J31+N31+R31+V31</f>
        <v>44379.820300160012</v>
      </c>
      <c r="X31" s="233"/>
      <c r="Y31" s="233"/>
      <c r="Z31" s="233"/>
      <c r="AA31" s="233"/>
      <c r="AB31" s="233"/>
      <c r="AC31" s="233"/>
      <c r="AD31" s="233"/>
      <c r="AE31" s="239">
        <v>194</v>
      </c>
      <c r="AF31" s="280" t="s">
        <v>120</v>
      </c>
      <c r="AG31" s="280" t="s">
        <v>121</v>
      </c>
      <c r="AJ31" s="233"/>
    </row>
    <row r="32" spans="1:36" s="266" customFormat="1" ht="15" customHeight="1" outlineLevel="1">
      <c r="A32" s="314" t="s">
        <v>83</v>
      </c>
      <c r="B32" s="293" t="str">
        <f>'Program Budget'!F168</f>
        <v>%</v>
      </c>
      <c r="C32" s="421">
        <f>F27</f>
        <v>78729.166666666672</v>
      </c>
      <c r="D32" s="295">
        <v>1</v>
      </c>
      <c r="E32" s="236">
        <f>'Program Budget'!H167</f>
        <v>0.26919999999999999</v>
      </c>
      <c r="F32" s="275">
        <f>C32*D32*E32</f>
        <v>21193.891666666666</v>
      </c>
      <c r="G32" s="421">
        <f>J27</f>
        <v>253500.00000000003</v>
      </c>
      <c r="H32" s="295">
        <v>1</v>
      </c>
      <c r="I32" s="236">
        <f t="shared" ref="I32" si="25">E32</f>
        <v>0.26919999999999999</v>
      </c>
      <c r="J32" s="275">
        <f t="shared" si="20"/>
        <v>68242.200000000012</v>
      </c>
      <c r="K32" s="421">
        <f>N27</f>
        <v>193606.40000000002</v>
      </c>
      <c r="L32" s="295">
        <v>1</v>
      </c>
      <c r="M32" s="236">
        <f t="shared" ref="M32" si="26">I32</f>
        <v>0.26919999999999999</v>
      </c>
      <c r="N32" s="275">
        <f t="shared" si="21"/>
        <v>52118.842880000004</v>
      </c>
      <c r="O32" s="421">
        <f>R27</f>
        <v>130484.22400000002</v>
      </c>
      <c r="P32" s="295">
        <v>1</v>
      </c>
      <c r="Q32" s="236">
        <f t="shared" ref="Q32" si="27">M32</f>
        <v>0.26919999999999999</v>
      </c>
      <c r="R32" s="275">
        <f t="shared" si="22"/>
        <v>35126.353100800006</v>
      </c>
      <c r="S32" s="421">
        <f>V27</f>
        <v>110527.26186666668</v>
      </c>
      <c r="T32" s="295">
        <v>1</v>
      </c>
      <c r="U32" s="236">
        <f t="shared" ref="U32" si="28">Q32</f>
        <v>0.26919999999999999</v>
      </c>
      <c r="V32" s="275">
        <f t="shared" si="23"/>
        <v>29753.938894506671</v>
      </c>
      <c r="W32" s="413">
        <f t="shared" si="24"/>
        <v>206435.22654197336</v>
      </c>
      <c r="X32" s="233"/>
      <c r="Y32" s="233"/>
      <c r="Z32" s="233"/>
      <c r="AA32" s="233"/>
      <c r="AB32" s="233"/>
      <c r="AC32" s="233"/>
      <c r="AD32" s="233"/>
      <c r="AE32" s="315">
        <v>197</v>
      </c>
      <c r="AF32" s="316" t="s">
        <v>122</v>
      </c>
      <c r="AG32" s="316" t="s">
        <v>123</v>
      </c>
      <c r="AJ32" s="233"/>
    </row>
    <row r="33" spans="1:36" ht="15" customHeight="1" outlineLevel="1">
      <c r="A33" s="285" t="s">
        <v>85</v>
      </c>
      <c r="B33" s="286"/>
      <c r="C33" s="287"/>
      <c r="D33" s="288"/>
      <c r="E33" s="289"/>
      <c r="F33" s="290">
        <f>+SUM(F31:F32)</f>
        <v>28000.191666666666</v>
      </c>
      <c r="G33" s="287"/>
      <c r="H33" s="288"/>
      <c r="I33" s="291"/>
      <c r="J33" s="290">
        <f>+SUM(J31:J32)</f>
        <v>77090.390000000014</v>
      </c>
      <c r="K33" s="287"/>
      <c r="L33" s="288"/>
      <c r="M33" s="289"/>
      <c r="N33" s="290">
        <f>+SUM(N31:N32)</f>
        <v>61320.960480000009</v>
      </c>
      <c r="O33" s="287"/>
      <c r="P33" s="288"/>
      <c r="Q33" s="291"/>
      <c r="R33" s="290">
        <f>+SUM(R31:R32)</f>
        <v>44696.555404800005</v>
      </c>
      <c r="S33" s="287"/>
      <c r="T33" s="288"/>
      <c r="U33" s="291"/>
      <c r="V33" s="290">
        <f>+SUM(V31:V32)</f>
        <v>39706.949290666671</v>
      </c>
      <c r="W33" s="412">
        <f>+F33+J33+N33+R33+V33</f>
        <v>250815.04684213334</v>
      </c>
      <c r="AE33" s="239"/>
      <c r="AF33" s="280"/>
      <c r="AG33" s="280"/>
    </row>
    <row r="34" spans="1:36" s="266" customFormat="1" ht="15" customHeight="1" outlineLevel="1">
      <c r="A34" s="267" t="s">
        <v>86</v>
      </c>
      <c r="B34" s="324"/>
      <c r="C34" s="294"/>
      <c r="D34" s="295"/>
      <c r="E34" s="236"/>
      <c r="F34" s="325"/>
      <c r="G34" s="294"/>
      <c r="H34" s="295"/>
      <c r="I34" s="237"/>
      <c r="J34" s="298"/>
      <c r="K34" s="294"/>
      <c r="L34" s="295"/>
      <c r="M34" s="236"/>
      <c r="N34" s="298"/>
      <c r="O34" s="294"/>
      <c r="P34" s="295"/>
      <c r="Q34" s="237"/>
      <c r="R34" s="298"/>
      <c r="S34" s="294"/>
      <c r="T34" s="295"/>
      <c r="U34" s="237"/>
      <c r="V34" s="298"/>
      <c r="W34" s="411">
        <f>+F34+J34+N34+R34+V34</f>
        <v>0</v>
      </c>
      <c r="X34" s="233"/>
      <c r="Y34" s="233"/>
      <c r="Z34" s="233"/>
      <c r="AA34" s="233"/>
      <c r="AB34" s="233"/>
      <c r="AC34" s="233"/>
      <c r="AD34" s="233"/>
      <c r="AE34" s="239"/>
      <c r="AF34" s="280"/>
      <c r="AG34" s="280" t="s">
        <v>119</v>
      </c>
      <c r="AJ34" s="233"/>
    </row>
    <row r="35" spans="1:36" s="266" customFormat="1" ht="15" customHeight="1" outlineLevel="1">
      <c r="A35" s="270" t="str">
        <f>'Program Budget'!D169</f>
        <v>Cost of Living Adjustment for Ex-pat Chief of Party</v>
      </c>
      <c r="B35" s="293" t="str">
        <f>'Program Budget'!F169</f>
        <v>%</v>
      </c>
      <c r="C35" s="423">
        <f>F8</f>
        <v>29000</v>
      </c>
      <c r="D35" s="235">
        <v>1</v>
      </c>
      <c r="E35" s="236">
        <f>'Program Budget'!H169</f>
        <v>0.15</v>
      </c>
      <c r="F35" s="275">
        <f>C35*D35*E35</f>
        <v>4350</v>
      </c>
      <c r="G35" s="423">
        <f>J8</f>
        <v>37700</v>
      </c>
      <c r="H35" s="235">
        <v>1</v>
      </c>
      <c r="I35" s="237">
        <f>E35</f>
        <v>0.15</v>
      </c>
      <c r="J35" s="275">
        <f>G35*H35*I35</f>
        <v>5655</v>
      </c>
      <c r="K35" s="423">
        <f>N8</f>
        <v>39208.000000000007</v>
      </c>
      <c r="L35" s="235">
        <v>1</v>
      </c>
      <c r="M35" s="236">
        <f>I35</f>
        <v>0.15</v>
      </c>
      <c r="N35" s="275">
        <f>K35*L35*M35</f>
        <v>5881.2000000000007</v>
      </c>
      <c r="O35" s="423">
        <f>R8</f>
        <v>40776.320000000007</v>
      </c>
      <c r="P35" s="235">
        <v>1</v>
      </c>
      <c r="Q35" s="237">
        <f>M35</f>
        <v>0.15</v>
      </c>
      <c r="R35" s="275">
        <f>O35*P35*Q35</f>
        <v>6116.4480000000012</v>
      </c>
      <c r="S35" s="423">
        <f>V8</f>
        <v>42407.372800000012</v>
      </c>
      <c r="T35" s="235">
        <v>1</v>
      </c>
      <c r="U35" s="237">
        <f>Q35</f>
        <v>0.15</v>
      </c>
      <c r="V35" s="275">
        <f>S35*T35*U35</f>
        <v>6361.1059200000018</v>
      </c>
      <c r="W35" s="415">
        <f t="shared" ref="W35:W36" si="29">F35+J35+N35+R35+V35</f>
        <v>28363.753920000003</v>
      </c>
      <c r="X35" s="233"/>
      <c r="Y35" s="233"/>
      <c r="Z35" s="233"/>
      <c r="AA35" s="233"/>
      <c r="AB35" s="233"/>
      <c r="AC35" s="233"/>
      <c r="AD35" s="233"/>
      <c r="AE35" s="239"/>
      <c r="AF35" s="284"/>
      <c r="AG35" s="284"/>
      <c r="AJ35" s="233"/>
    </row>
    <row r="36" spans="1:36" s="266" customFormat="1" ht="15" customHeight="1" outlineLevel="1">
      <c r="A36" s="270" t="str">
        <f>'Program Budget'!D170</f>
        <v>Post Hardship for Ex-pat Chief of Party</v>
      </c>
      <c r="B36" s="293" t="str">
        <f>'Program Budget'!F170</f>
        <v>%</v>
      </c>
      <c r="C36" s="423">
        <f>F8</f>
        <v>29000</v>
      </c>
      <c r="D36" s="235">
        <v>1</v>
      </c>
      <c r="E36" s="236">
        <f>'Program Budget'!H170</f>
        <v>0.35</v>
      </c>
      <c r="F36" s="275">
        <f>C36*D36*E36</f>
        <v>10150</v>
      </c>
      <c r="G36" s="423">
        <f>J8</f>
        <v>37700</v>
      </c>
      <c r="H36" s="235">
        <v>1</v>
      </c>
      <c r="I36" s="237">
        <f>E36</f>
        <v>0.35</v>
      </c>
      <c r="J36" s="275">
        <f>G36*H36*I36</f>
        <v>13195</v>
      </c>
      <c r="K36" s="423">
        <f>N8</f>
        <v>39208.000000000007</v>
      </c>
      <c r="L36" s="235">
        <v>1</v>
      </c>
      <c r="M36" s="236">
        <f>I36</f>
        <v>0.35</v>
      </c>
      <c r="N36" s="275">
        <f>K36*L36*M36</f>
        <v>13722.800000000001</v>
      </c>
      <c r="O36" s="423">
        <f>R8</f>
        <v>40776.320000000007</v>
      </c>
      <c r="P36" s="235">
        <v>1</v>
      </c>
      <c r="Q36" s="237">
        <f>M36</f>
        <v>0.35</v>
      </c>
      <c r="R36" s="275">
        <f>O36*P36*Q36</f>
        <v>14271.712000000001</v>
      </c>
      <c r="S36" s="423">
        <f>V8</f>
        <v>42407.372800000012</v>
      </c>
      <c r="T36" s="235">
        <v>1</v>
      </c>
      <c r="U36" s="237">
        <f>Q36</f>
        <v>0.35</v>
      </c>
      <c r="V36" s="275">
        <f>S36*T36*U36</f>
        <v>14842.580480000002</v>
      </c>
      <c r="W36" s="415">
        <f t="shared" si="29"/>
        <v>66182.092480000007</v>
      </c>
      <c r="X36" s="233"/>
      <c r="Y36" s="233"/>
      <c r="Z36" s="233"/>
      <c r="AA36" s="233"/>
      <c r="AB36" s="233"/>
      <c r="AC36" s="233"/>
      <c r="AD36" s="233"/>
      <c r="AE36" s="239"/>
      <c r="AF36" s="284"/>
      <c r="AG36" s="284"/>
      <c r="AJ36" s="233"/>
    </row>
    <row r="37" spans="1:36" ht="15" customHeight="1" outlineLevel="1">
      <c r="A37" s="285" t="s">
        <v>87</v>
      </c>
      <c r="B37" s="286"/>
      <c r="C37" s="287"/>
      <c r="D37" s="288"/>
      <c r="E37" s="289"/>
      <c r="F37" s="290">
        <f>SUM(F35:F36)</f>
        <v>14500</v>
      </c>
      <c r="G37" s="287"/>
      <c r="H37" s="288"/>
      <c r="I37" s="291"/>
      <c r="J37" s="290">
        <f>SUM(J35:J36)</f>
        <v>18850</v>
      </c>
      <c r="K37" s="287"/>
      <c r="L37" s="288"/>
      <c r="M37" s="289"/>
      <c r="N37" s="290">
        <f>SUM(N35:N36)</f>
        <v>19604</v>
      </c>
      <c r="O37" s="287"/>
      <c r="P37" s="288"/>
      <c r="Q37" s="291"/>
      <c r="R37" s="290">
        <f>SUM(R35:R36)</f>
        <v>20388.160000000003</v>
      </c>
      <c r="S37" s="287"/>
      <c r="T37" s="288"/>
      <c r="U37" s="291"/>
      <c r="V37" s="290">
        <f>SUM(V35:V36)</f>
        <v>21203.686400000006</v>
      </c>
      <c r="W37" s="412">
        <f>F37+J37+N37+R37+V37</f>
        <v>94545.846400000009</v>
      </c>
      <c r="AE37" s="239"/>
      <c r="AF37" s="280"/>
      <c r="AG37" s="280"/>
    </row>
    <row r="38" spans="1:36" ht="15" customHeight="1" outlineLevel="1">
      <c r="A38" s="424"/>
      <c r="B38" s="318"/>
      <c r="C38" s="425"/>
      <c r="D38" s="426"/>
      <c r="E38" s="321"/>
      <c r="F38" s="427"/>
      <c r="G38" s="425"/>
      <c r="H38" s="426"/>
      <c r="I38" s="393"/>
      <c r="J38" s="427"/>
      <c r="K38" s="425"/>
      <c r="L38" s="426"/>
      <c r="M38" s="321"/>
      <c r="N38" s="427"/>
      <c r="O38" s="425"/>
      <c r="P38" s="426"/>
      <c r="Q38" s="393"/>
      <c r="R38" s="427"/>
      <c r="S38" s="425"/>
      <c r="T38" s="426"/>
      <c r="U38" s="393"/>
      <c r="V38" s="427"/>
      <c r="W38" s="412"/>
      <c r="AE38" s="239"/>
      <c r="AF38" s="280"/>
      <c r="AG38" s="280"/>
    </row>
    <row r="39" spans="1:36" s="335" customFormat="1" ht="18.3" outlineLevel="1">
      <c r="A39" s="326" t="s">
        <v>88</v>
      </c>
      <c r="B39" s="327"/>
      <c r="C39" s="328"/>
      <c r="D39" s="329"/>
      <c r="E39" s="330"/>
      <c r="F39" s="331">
        <f>F37+F33</f>
        <v>42500.191666666666</v>
      </c>
      <c r="G39" s="328"/>
      <c r="H39" s="329"/>
      <c r="I39" s="332"/>
      <c r="J39" s="331">
        <f>J37+J33</f>
        <v>95940.390000000014</v>
      </c>
      <c r="K39" s="328"/>
      <c r="L39" s="329"/>
      <c r="M39" s="330"/>
      <c r="N39" s="331">
        <f>N37+N33</f>
        <v>80924.960480000009</v>
      </c>
      <c r="O39" s="328"/>
      <c r="P39" s="329"/>
      <c r="Q39" s="332"/>
      <c r="R39" s="331">
        <f>R37+R33</f>
        <v>65084.715404800008</v>
      </c>
      <c r="S39" s="328"/>
      <c r="T39" s="329"/>
      <c r="U39" s="332"/>
      <c r="V39" s="331">
        <f>V37+V33</f>
        <v>60910.635690666677</v>
      </c>
      <c r="W39" s="414">
        <f>+F39+J39+N39+R39+V39</f>
        <v>345360.89324213337</v>
      </c>
      <c r="X39" s="312"/>
      <c r="Y39" s="312"/>
      <c r="Z39" s="312"/>
      <c r="AA39" s="312"/>
      <c r="AB39" s="312"/>
      <c r="AC39" s="312"/>
      <c r="AD39" s="312"/>
      <c r="AE39" s="311">
        <v>287</v>
      </c>
      <c r="AF39" s="333" t="s">
        <v>128</v>
      </c>
      <c r="AG39" s="333" t="s">
        <v>129</v>
      </c>
      <c r="AH39" s="334"/>
      <c r="AJ39" s="312"/>
    </row>
    <row r="40" spans="1:36" s="337" customFormat="1" ht="15.6" outlineLevel="1">
      <c r="A40" s="267" t="s">
        <v>90</v>
      </c>
      <c r="B40" s="268"/>
      <c r="C40" s="234"/>
      <c r="D40" s="235"/>
      <c r="E40" s="260"/>
      <c r="F40" s="275"/>
      <c r="G40" s="234"/>
      <c r="H40" s="235"/>
      <c r="I40" s="262"/>
      <c r="J40" s="275"/>
      <c r="K40" s="234"/>
      <c r="L40" s="235"/>
      <c r="M40" s="260"/>
      <c r="N40" s="275"/>
      <c r="O40" s="234"/>
      <c r="P40" s="235"/>
      <c r="Q40" s="262"/>
      <c r="R40" s="275"/>
      <c r="S40" s="234"/>
      <c r="T40" s="235"/>
      <c r="U40" s="262"/>
      <c r="V40" s="275"/>
      <c r="W40" s="411"/>
      <c r="X40" s="233"/>
      <c r="Y40" s="233"/>
      <c r="Z40" s="233"/>
      <c r="AA40" s="233"/>
      <c r="AB40" s="233"/>
      <c r="AC40" s="233"/>
      <c r="AD40" s="233"/>
      <c r="AE40" s="239"/>
      <c r="AF40" s="280"/>
      <c r="AG40" s="280"/>
      <c r="AH40" s="336"/>
      <c r="AJ40" s="233"/>
    </row>
    <row r="41" spans="1:36" ht="15" customHeight="1" outlineLevel="1">
      <c r="A41" s="270" t="str">
        <f>'Program Budget'!D189</f>
        <v>Local Transportation for Trainings</v>
      </c>
      <c r="B41" s="271" t="str">
        <f>'Program Budget'!F189</f>
        <v>Trip</v>
      </c>
      <c r="C41" s="272">
        <f>'Program Budget'!H189</f>
        <v>100</v>
      </c>
      <c r="D41" s="273">
        <f>'Program Budget'!G189</f>
        <v>6</v>
      </c>
      <c r="E41" s="274">
        <v>1</v>
      </c>
      <c r="F41" s="275">
        <f t="shared" ref="F41:F46" si="30">C41*D41*E41</f>
        <v>600</v>
      </c>
      <c r="G41" s="272">
        <f t="shared" ref="G41" si="31">C41*1.04</f>
        <v>104</v>
      </c>
      <c r="H41" s="273">
        <f>'Program Budget'!K189</f>
        <v>12</v>
      </c>
      <c r="I41" s="274">
        <v>1</v>
      </c>
      <c r="J41" s="275">
        <f t="shared" ref="J41:J46" si="32">G41*H41*I41</f>
        <v>1248</v>
      </c>
      <c r="K41" s="272">
        <f t="shared" ref="K41" si="33">G41*1.04</f>
        <v>108.16</v>
      </c>
      <c r="L41" s="273">
        <f>'Program Budget'!N189</f>
        <v>12</v>
      </c>
      <c r="M41" s="274">
        <v>1</v>
      </c>
      <c r="N41" s="275">
        <f t="shared" ref="N41:N46" si="34">K41*L41*M41</f>
        <v>1297.92</v>
      </c>
      <c r="O41" s="272">
        <f t="shared" ref="O41" si="35">K41*1.04</f>
        <v>112.4864</v>
      </c>
      <c r="P41" s="273">
        <f>'Program Budget'!Q189</f>
        <v>12</v>
      </c>
      <c r="Q41" s="274">
        <v>1</v>
      </c>
      <c r="R41" s="275">
        <f t="shared" ref="R41:R46" si="36">O41*P41*Q41</f>
        <v>1349.8368</v>
      </c>
      <c r="S41" s="272">
        <f t="shared" ref="S41" si="37">O41*1.04</f>
        <v>116.98585600000001</v>
      </c>
      <c r="T41" s="273">
        <f>'Program Budget'!T189</f>
        <v>9</v>
      </c>
      <c r="U41" s="274">
        <v>1</v>
      </c>
      <c r="V41" s="275">
        <f t="shared" ref="V41:V46" si="38">S41*T41*U41</f>
        <v>1052.8727040000001</v>
      </c>
      <c r="W41" s="411">
        <f t="shared" ref="W41:W46" si="39">F41+J41+N41+R41+V41</f>
        <v>5548.6295040000005</v>
      </c>
      <c r="X41" s="278"/>
      <c r="Y41" s="265"/>
      <c r="Z41" s="279"/>
      <c r="AA41" s="279"/>
      <c r="AE41" s="239">
        <v>180</v>
      </c>
      <c r="AF41" s="280" t="s">
        <v>117</v>
      </c>
      <c r="AG41" s="280" t="s">
        <v>118</v>
      </c>
      <c r="AH41" s="281"/>
      <c r="AJ41" s="282"/>
    </row>
    <row r="42" spans="1:36" ht="15" customHeight="1" outlineLevel="1">
      <c r="A42" s="270" t="str">
        <f>'Program Budget'!D191</f>
        <v>Transport Stipends for Participants to attend Trainings</v>
      </c>
      <c r="B42" s="271" t="str">
        <f>'Program Budget'!F191</f>
        <v>Participant</v>
      </c>
      <c r="C42" s="272">
        <f>'Program Budget'!H191</f>
        <v>10</v>
      </c>
      <c r="D42" s="273">
        <f>'Program Budget'!G191</f>
        <v>6000</v>
      </c>
      <c r="E42" s="274">
        <v>1</v>
      </c>
      <c r="F42" s="275">
        <f t="shared" si="30"/>
        <v>60000</v>
      </c>
      <c r="G42" s="272">
        <f t="shared" ref="G42" si="40">C42*1.04</f>
        <v>10.4</v>
      </c>
      <c r="H42" s="273">
        <f>'Program Budget'!K191</f>
        <v>6000</v>
      </c>
      <c r="I42" s="274">
        <v>1</v>
      </c>
      <c r="J42" s="275">
        <f t="shared" si="32"/>
        <v>62400</v>
      </c>
      <c r="K42" s="272">
        <f t="shared" ref="K42" si="41">G42*1.04</f>
        <v>10.816000000000001</v>
      </c>
      <c r="L42" s="273">
        <f>'Program Budget'!N191</f>
        <v>0</v>
      </c>
      <c r="M42" s="274">
        <v>1</v>
      </c>
      <c r="N42" s="275">
        <f t="shared" si="34"/>
        <v>0</v>
      </c>
      <c r="O42" s="272">
        <f t="shared" ref="O42" si="42">K42*1.04</f>
        <v>11.248640000000002</v>
      </c>
      <c r="P42" s="273">
        <f>'Program Budget'!Q191</f>
        <v>0</v>
      </c>
      <c r="Q42" s="274">
        <v>1</v>
      </c>
      <c r="R42" s="275">
        <f t="shared" si="36"/>
        <v>0</v>
      </c>
      <c r="S42" s="272">
        <f t="shared" ref="S42" si="43">O42*1.04</f>
        <v>11.698585600000003</v>
      </c>
      <c r="T42" s="273">
        <f>'Program Budget'!T191</f>
        <v>0</v>
      </c>
      <c r="U42" s="274">
        <v>1</v>
      </c>
      <c r="V42" s="275">
        <f t="shared" si="38"/>
        <v>0</v>
      </c>
      <c r="W42" s="411">
        <f t="shared" si="39"/>
        <v>122400</v>
      </c>
      <c r="X42" s="278"/>
      <c r="Y42" s="265"/>
      <c r="Z42" s="279"/>
      <c r="AA42" s="279"/>
      <c r="AE42" s="239">
        <v>180</v>
      </c>
      <c r="AF42" s="280" t="s">
        <v>117</v>
      </c>
      <c r="AG42" s="280" t="s">
        <v>118</v>
      </c>
      <c r="AH42" s="281"/>
      <c r="AJ42" s="282"/>
    </row>
    <row r="43" spans="1:36" s="337" customFormat="1" ht="15.6" outlineLevel="1">
      <c r="A43" s="267" t="s">
        <v>91</v>
      </c>
      <c r="B43" s="293"/>
      <c r="C43" s="234"/>
      <c r="D43" s="235"/>
      <c r="E43" s="236"/>
      <c r="F43" s="275"/>
      <c r="G43" s="234"/>
      <c r="H43" s="235"/>
      <c r="I43" s="237"/>
      <c r="J43" s="275"/>
      <c r="K43" s="234"/>
      <c r="L43" s="235"/>
      <c r="M43" s="236"/>
      <c r="N43" s="275"/>
      <c r="O43" s="234"/>
      <c r="P43" s="235"/>
      <c r="Q43" s="237"/>
      <c r="R43" s="275"/>
      <c r="S43" s="234"/>
      <c r="T43" s="235"/>
      <c r="U43" s="237"/>
      <c r="V43" s="275"/>
      <c r="W43" s="411"/>
      <c r="X43" s="233"/>
      <c r="Y43" s="233"/>
      <c r="Z43" s="233"/>
      <c r="AA43" s="233"/>
      <c r="AB43" s="233"/>
      <c r="AC43" s="233"/>
      <c r="AD43" s="233"/>
      <c r="AE43" s="239"/>
      <c r="AF43" s="280"/>
      <c r="AG43" s="280"/>
      <c r="AH43" s="336"/>
      <c r="AJ43" s="233"/>
    </row>
    <row r="44" spans="1:36" ht="15" customHeight="1" outlineLevel="1">
      <c r="A44" s="270" t="str">
        <f>'Program Budget'!D188</f>
        <v>Motorcycle and Vehicle Fuel Expense</v>
      </c>
      <c r="B44" s="271" t="str">
        <f>'Program Budget'!F188</f>
        <v>Month</v>
      </c>
      <c r="C44" s="272">
        <f>'Program Budget'!H188</f>
        <v>170</v>
      </c>
      <c r="D44" s="273">
        <f>'Program Budget'!G188</f>
        <v>3</v>
      </c>
      <c r="E44" s="274">
        <v>1</v>
      </c>
      <c r="F44" s="275">
        <f t="shared" si="30"/>
        <v>510</v>
      </c>
      <c r="G44" s="272">
        <f t="shared" ref="G44" si="44">C44*1.04</f>
        <v>176.8</v>
      </c>
      <c r="H44" s="273">
        <f>'Program Budget'!K188</f>
        <v>12</v>
      </c>
      <c r="I44" s="274">
        <v>1</v>
      </c>
      <c r="J44" s="275">
        <f t="shared" si="32"/>
        <v>2121.6000000000004</v>
      </c>
      <c r="K44" s="272">
        <f t="shared" ref="K44" si="45">G44*1.04</f>
        <v>183.87200000000001</v>
      </c>
      <c r="L44" s="273">
        <f>'Program Budget'!N188</f>
        <v>12</v>
      </c>
      <c r="M44" s="274">
        <v>1</v>
      </c>
      <c r="N44" s="275">
        <f t="shared" si="34"/>
        <v>2206.4639999999999</v>
      </c>
      <c r="O44" s="272">
        <f t="shared" ref="O44" si="46">K44*1.04</f>
        <v>191.22688000000002</v>
      </c>
      <c r="P44" s="273">
        <f>'Program Budget'!Q188</f>
        <v>12</v>
      </c>
      <c r="Q44" s="274">
        <v>1</v>
      </c>
      <c r="R44" s="275">
        <f t="shared" si="36"/>
        <v>2294.7225600000002</v>
      </c>
      <c r="S44" s="272">
        <f t="shared" ref="S44" si="47">O44*1.04</f>
        <v>198.87595520000002</v>
      </c>
      <c r="T44" s="273">
        <f>'Program Budget'!T188</f>
        <v>7</v>
      </c>
      <c r="U44" s="274">
        <v>1</v>
      </c>
      <c r="V44" s="275">
        <f t="shared" si="38"/>
        <v>1392.1316864</v>
      </c>
      <c r="W44" s="411">
        <f t="shared" si="39"/>
        <v>8524.9182464000005</v>
      </c>
      <c r="X44" s="278"/>
      <c r="Y44" s="265"/>
      <c r="Z44" s="279"/>
      <c r="AA44" s="279"/>
      <c r="AE44" s="239">
        <v>180</v>
      </c>
      <c r="AF44" s="280" t="s">
        <v>117</v>
      </c>
      <c r="AG44" s="280" t="s">
        <v>118</v>
      </c>
      <c r="AH44" s="281"/>
      <c r="AJ44" s="282"/>
    </row>
    <row r="45" spans="1:36" s="337" customFormat="1" ht="15.6" outlineLevel="1">
      <c r="A45" s="267" t="s">
        <v>92</v>
      </c>
      <c r="B45" s="293"/>
      <c r="C45" s="234"/>
      <c r="D45" s="235"/>
      <c r="E45" s="236"/>
      <c r="F45" s="275"/>
      <c r="G45" s="234"/>
      <c r="H45" s="235"/>
      <c r="I45" s="237"/>
      <c r="J45" s="275"/>
      <c r="K45" s="234"/>
      <c r="L45" s="235"/>
      <c r="M45" s="236"/>
      <c r="N45" s="275"/>
      <c r="O45" s="234"/>
      <c r="P45" s="235"/>
      <c r="Q45" s="237"/>
      <c r="R45" s="275"/>
      <c r="S45" s="234"/>
      <c r="T45" s="235"/>
      <c r="U45" s="237"/>
      <c r="V45" s="275"/>
      <c r="W45" s="411"/>
      <c r="X45" s="233"/>
      <c r="Y45" s="233"/>
      <c r="Z45" s="233"/>
      <c r="AA45" s="233"/>
      <c r="AB45" s="233"/>
      <c r="AC45" s="233"/>
      <c r="AD45" s="233"/>
      <c r="AE45" s="239"/>
      <c r="AF45" s="280"/>
      <c r="AG45" s="280"/>
      <c r="AH45" s="336"/>
      <c r="AJ45" s="233"/>
    </row>
    <row r="46" spans="1:36" ht="15" customHeight="1" outlineLevel="1">
      <c r="A46" s="270" t="str">
        <f>'Program Budget'!D190</f>
        <v>Lodging and M&amp;IE for Trainings</v>
      </c>
      <c r="B46" s="271" t="str">
        <f>'Program Budget'!F190</f>
        <v>Day</v>
      </c>
      <c r="C46" s="272">
        <f>'Program Budget'!H190</f>
        <v>78</v>
      </c>
      <c r="D46" s="273">
        <f>'Program Budget'!G190</f>
        <v>18</v>
      </c>
      <c r="E46" s="274">
        <v>1</v>
      </c>
      <c r="F46" s="275">
        <f t="shared" si="30"/>
        <v>1404</v>
      </c>
      <c r="G46" s="272">
        <f t="shared" ref="G46" si="48">C46*1.04</f>
        <v>81.12</v>
      </c>
      <c r="H46" s="273">
        <f>'Program Budget'!K190</f>
        <v>36</v>
      </c>
      <c r="I46" s="274">
        <v>1</v>
      </c>
      <c r="J46" s="275">
        <f t="shared" si="32"/>
        <v>2920.32</v>
      </c>
      <c r="K46" s="272">
        <f t="shared" ref="K46" si="49">G46*1.04</f>
        <v>84.364800000000002</v>
      </c>
      <c r="L46" s="273">
        <f>'Program Budget'!N190</f>
        <v>36</v>
      </c>
      <c r="M46" s="274">
        <v>1</v>
      </c>
      <c r="N46" s="275">
        <f t="shared" si="34"/>
        <v>3037.1328000000003</v>
      </c>
      <c r="O46" s="272">
        <f t="shared" ref="O46" si="50">K46*1.04</f>
        <v>87.739392000000009</v>
      </c>
      <c r="P46" s="273">
        <f>'Program Budget'!Q190</f>
        <v>36</v>
      </c>
      <c r="Q46" s="274">
        <v>1</v>
      </c>
      <c r="R46" s="275">
        <f t="shared" si="36"/>
        <v>3158.6181120000001</v>
      </c>
      <c r="S46" s="272">
        <f t="shared" ref="S46" si="51">O46*1.04</f>
        <v>91.248967680000007</v>
      </c>
      <c r="T46" s="273">
        <f>'Program Budget'!T190</f>
        <v>27</v>
      </c>
      <c r="U46" s="274">
        <v>1</v>
      </c>
      <c r="V46" s="275">
        <f t="shared" si="38"/>
        <v>2463.7221273600003</v>
      </c>
      <c r="W46" s="411">
        <f t="shared" si="39"/>
        <v>12983.79303936</v>
      </c>
      <c r="X46" s="278"/>
      <c r="Y46" s="265"/>
      <c r="Z46" s="279"/>
      <c r="AA46" s="279"/>
      <c r="AE46" s="239">
        <v>180</v>
      </c>
      <c r="AF46" s="280" t="s">
        <v>117</v>
      </c>
      <c r="AG46" s="280" t="s">
        <v>118</v>
      </c>
      <c r="AH46" s="281"/>
      <c r="AJ46" s="282"/>
    </row>
    <row r="47" spans="1:36" ht="15" customHeight="1" outlineLevel="1">
      <c r="A47" s="270"/>
      <c r="B47" s="271"/>
      <c r="C47" s="272"/>
      <c r="D47" s="273"/>
      <c r="E47" s="274"/>
      <c r="F47" s="275"/>
      <c r="G47" s="272"/>
      <c r="H47" s="273"/>
      <c r="I47" s="274"/>
      <c r="J47" s="275"/>
      <c r="K47" s="272"/>
      <c r="L47" s="273"/>
      <c r="M47" s="274"/>
      <c r="N47" s="275"/>
      <c r="O47" s="272"/>
      <c r="P47" s="273"/>
      <c r="Q47" s="274"/>
      <c r="R47" s="275"/>
      <c r="S47" s="272"/>
      <c r="T47" s="273"/>
      <c r="U47" s="274"/>
      <c r="V47" s="275"/>
      <c r="W47" s="411"/>
      <c r="X47" s="278"/>
      <c r="Y47" s="265"/>
      <c r="Z47" s="279"/>
      <c r="AA47" s="279"/>
      <c r="AE47" s="239"/>
      <c r="AF47" s="284"/>
      <c r="AG47" s="284"/>
      <c r="AH47" s="281"/>
      <c r="AJ47" s="282"/>
    </row>
    <row r="48" spans="1:36" ht="18.3">
      <c r="A48" s="338" t="s">
        <v>93</v>
      </c>
      <c r="B48" s="304"/>
      <c r="C48" s="305"/>
      <c r="D48" s="339"/>
      <c r="E48" s="340"/>
      <c r="F48" s="308">
        <f>SUM(F40:F46)</f>
        <v>62514</v>
      </c>
      <c r="G48" s="305"/>
      <c r="H48" s="339"/>
      <c r="I48" s="309"/>
      <c r="J48" s="308">
        <f>SUM(J40:J46)</f>
        <v>68689.920000000013</v>
      </c>
      <c r="K48" s="305"/>
      <c r="L48" s="339"/>
      <c r="M48" s="340"/>
      <c r="N48" s="308">
        <f>SUM(N40:N46)</f>
        <v>6541.5168000000003</v>
      </c>
      <c r="O48" s="305"/>
      <c r="P48" s="339"/>
      <c r="Q48" s="309"/>
      <c r="R48" s="308">
        <f>SUM(R40:R46)</f>
        <v>6803.1774720000003</v>
      </c>
      <c r="S48" s="305"/>
      <c r="T48" s="339"/>
      <c r="U48" s="309"/>
      <c r="V48" s="308">
        <f>SUM(V40:V46)</f>
        <v>4908.7265177600002</v>
      </c>
      <c r="W48" s="414">
        <f>+F48+J48+N48+R48+V48</f>
        <v>149457.34078976003</v>
      </c>
      <c r="X48" s="239"/>
      <c r="Y48" s="239"/>
      <c r="Z48" s="239"/>
      <c r="AA48" s="239"/>
      <c r="AB48" s="239"/>
      <c r="AE48" s="239"/>
      <c r="AF48" s="266"/>
      <c r="AG48" s="266" t="s">
        <v>119</v>
      </c>
      <c r="AH48" s="266"/>
    </row>
    <row r="49" spans="1:33" ht="15.6" outlineLevel="1">
      <c r="A49" s="267" t="s">
        <v>50</v>
      </c>
      <c r="B49" s="341"/>
      <c r="D49" s="342"/>
      <c r="E49" s="343"/>
      <c r="F49" s="325"/>
      <c r="H49" s="342"/>
      <c r="I49" s="344"/>
      <c r="J49" s="298"/>
      <c r="L49" s="342"/>
      <c r="M49" s="343"/>
      <c r="N49" s="298"/>
      <c r="P49" s="342"/>
      <c r="Q49" s="344"/>
      <c r="R49" s="298"/>
      <c r="T49" s="342"/>
      <c r="U49" s="344"/>
      <c r="V49" s="298"/>
      <c r="W49" s="411"/>
      <c r="AE49" s="239"/>
      <c r="AF49" s="280"/>
      <c r="AG49" s="345"/>
    </row>
    <row r="50" spans="1:33" ht="15.6" outlineLevel="1">
      <c r="A50" s="346" t="str">
        <f>'Program Budget'!D174</f>
        <v>Contract to 6th Grain for GIS Mapping and Remote Sensing Technologies</v>
      </c>
      <c r="B50" s="271" t="str">
        <f>'Program Budget'!F174</f>
        <v>Unit</v>
      </c>
      <c r="C50" s="272">
        <f>'Program Budget'!H174</f>
        <v>300000</v>
      </c>
      <c r="D50" s="273">
        <f>'Program Budget'!G174</f>
        <v>0.5</v>
      </c>
      <c r="E50" s="274">
        <v>1</v>
      </c>
      <c r="F50" s="275">
        <f>C50*D50*E50</f>
        <v>150000</v>
      </c>
      <c r="G50" s="272">
        <f>C50</f>
        <v>300000</v>
      </c>
      <c r="H50" s="273">
        <f>'Program Budget'!K174</f>
        <v>0.5</v>
      </c>
      <c r="I50" s="274">
        <v>1</v>
      </c>
      <c r="J50" s="275">
        <f>G50*H50*I50</f>
        <v>150000</v>
      </c>
      <c r="K50" s="272">
        <f>G50</f>
        <v>300000</v>
      </c>
      <c r="L50" s="273">
        <f>'Program Budget'!N174</f>
        <v>0</v>
      </c>
      <c r="M50" s="274">
        <v>1</v>
      </c>
      <c r="N50" s="275">
        <f>K50*L50*M50</f>
        <v>0</v>
      </c>
      <c r="O50" s="272">
        <f>K50</f>
        <v>300000</v>
      </c>
      <c r="P50" s="273">
        <f>'Program Budget'!Q174</f>
        <v>0</v>
      </c>
      <c r="Q50" s="274">
        <v>1</v>
      </c>
      <c r="R50" s="275">
        <f>O50*P50*Q50</f>
        <v>0</v>
      </c>
      <c r="S50" s="272">
        <f>O50</f>
        <v>300000</v>
      </c>
      <c r="T50" s="273">
        <f>'Program Budget'!T174</f>
        <v>0</v>
      </c>
      <c r="U50" s="274">
        <v>1</v>
      </c>
      <c r="V50" s="275">
        <f>S50*T50*U50</f>
        <v>0</v>
      </c>
      <c r="W50" s="411">
        <f>F50+J50+N50+R50+V50</f>
        <v>300000</v>
      </c>
      <c r="AE50" s="239"/>
      <c r="AF50" s="280"/>
      <c r="AG50" s="345"/>
    </row>
    <row r="51" spans="1:33" ht="15.6" outlineLevel="1">
      <c r="A51" s="346" t="str">
        <f>'Program Budget'!D175</f>
        <v>Expert Technical Irrigation Hydrology Engineers - one for large scale infrastructure and one for on-farm irrigation</v>
      </c>
      <c r="B51" s="271" t="str">
        <f>'Program Budget'!F175</f>
        <v>Month</v>
      </c>
      <c r="C51" s="272">
        <f>'Program Budget'!H175</f>
        <v>6000</v>
      </c>
      <c r="D51" s="273">
        <f>'Program Budget'!G175</f>
        <v>6</v>
      </c>
      <c r="E51" s="274">
        <v>1</v>
      </c>
      <c r="F51" s="275">
        <f>C51*D51*E51</f>
        <v>36000</v>
      </c>
      <c r="G51" s="272">
        <f>C51</f>
        <v>6000</v>
      </c>
      <c r="H51" s="273">
        <f>'Program Budget'!K175</f>
        <v>0</v>
      </c>
      <c r="I51" s="274">
        <v>1</v>
      </c>
      <c r="J51" s="275">
        <f>G51*H51*I51</f>
        <v>0</v>
      </c>
      <c r="K51" s="272">
        <f>G51</f>
        <v>6000</v>
      </c>
      <c r="L51" s="273">
        <f>'Program Budget'!N175</f>
        <v>0</v>
      </c>
      <c r="M51" s="274">
        <v>1</v>
      </c>
      <c r="N51" s="275">
        <f>K51*L51*M51</f>
        <v>0</v>
      </c>
      <c r="O51" s="272">
        <f>K51</f>
        <v>6000</v>
      </c>
      <c r="P51" s="273">
        <f>'Program Budget'!Q175</f>
        <v>0</v>
      </c>
      <c r="Q51" s="274">
        <v>1</v>
      </c>
      <c r="R51" s="275">
        <f>O51*P51*Q51</f>
        <v>0</v>
      </c>
      <c r="S51" s="272">
        <f>O51</f>
        <v>6000</v>
      </c>
      <c r="T51" s="273">
        <f>'Program Budget'!T175</f>
        <v>0</v>
      </c>
      <c r="U51" s="274">
        <v>1</v>
      </c>
      <c r="V51" s="275">
        <f>S51*T51*U51</f>
        <v>0</v>
      </c>
      <c r="W51" s="411">
        <f>F51+J51+N51+R51+V51</f>
        <v>36000</v>
      </c>
      <c r="AE51" s="239"/>
      <c r="AF51" s="280"/>
      <c r="AG51" s="345"/>
    </row>
    <row r="52" spans="1:33" ht="15.6" outlineLevel="1">
      <c r="A52" s="346" t="str">
        <f>'Program Budget'!D176</f>
        <v>Security Services, Risk Assessments, &amp; Security Assessment</v>
      </c>
      <c r="B52" s="271" t="s">
        <v>147</v>
      </c>
      <c r="C52" s="272">
        <v>5000</v>
      </c>
      <c r="D52" s="273">
        <v>1</v>
      </c>
      <c r="E52" s="274">
        <v>1</v>
      </c>
      <c r="F52" s="275">
        <f t="shared" ref="F52:F53" si="52">C52*D52*E52</f>
        <v>5000</v>
      </c>
      <c r="G52" s="272">
        <f t="shared" ref="G52:G53" si="53">C52</f>
        <v>5000</v>
      </c>
      <c r="H52" s="273">
        <v>1</v>
      </c>
      <c r="I52" s="274">
        <v>1</v>
      </c>
      <c r="J52" s="275">
        <f t="shared" ref="J52:J53" si="54">G52*H52*I52</f>
        <v>5000</v>
      </c>
      <c r="K52" s="272">
        <f t="shared" ref="K52:K53" si="55">G52</f>
        <v>5000</v>
      </c>
      <c r="L52" s="273">
        <v>1</v>
      </c>
      <c r="M52" s="274">
        <v>1</v>
      </c>
      <c r="N52" s="275">
        <f t="shared" ref="N52:N53" si="56">K52*L52*M52</f>
        <v>5000</v>
      </c>
      <c r="O52" s="272">
        <f t="shared" ref="O52:O53" si="57">K52</f>
        <v>5000</v>
      </c>
      <c r="P52" s="273">
        <v>1</v>
      </c>
      <c r="Q52" s="274">
        <v>1</v>
      </c>
      <c r="R52" s="275">
        <f t="shared" ref="R52:R53" si="58">O52*P52*Q52</f>
        <v>5000</v>
      </c>
      <c r="S52" s="272">
        <f t="shared" ref="S52:S53" si="59">O52</f>
        <v>5000</v>
      </c>
      <c r="T52" s="273">
        <v>1</v>
      </c>
      <c r="U52" s="274">
        <v>1</v>
      </c>
      <c r="V52" s="275">
        <f t="shared" ref="V52:V53" si="60">S52*T52*U52</f>
        <v>5000</v>
      </c>
      <c r="W52" s="411">
        <f t="shared" ref="W52:W53" si="61">F52+J52+N52+R52+V52</f>
        <v>25000</v>
      </c>
      <c r="AE52" s="239"/>
      <c r="AF52" s="280"/>
      <c r="AG52" s="345"/>
    </row>
    <row r="53" spans="1:33" ht="15.6" outlineLevel="1">
      <c r="A53" s="346" t="str">
        <f>'Program Budget'!D177</f>
        <v>Short-Term Technical Advisors</v>
      </c>
      <c r="B53" s="271" t="str">
        <f>'Program Budget'!F177</f>
        <v>Month</v>
      </c>
      <c r="C53" s="272">
        <f>'Program Budget'!H177</f>
        <v>550</v>
      </c>
      <c r="D53" s="273">
        <f>'Program Budget'!G177</f>
        <v>9</v>
      </c>
      <c r="E53" s="274">
        <v>1</v>
      </c>
      <c r="F53" s="275">
        <f t="shared" si="52"/>
        <v>4950</v>
      </c>
      <c r="G53" s="272">
        <f t="shared" si="53"/>
        <v>550</v>
      </c>
      <c r="H53" s="273">
        <f>'Program Budget'!K177</f>
        <v>12</v>
      </c>
      <c r="I53" s="274">
        <v>1</v>
      </c>
      <c r="J53" s="275">
        <f t="shared" si="54"/>
        <v>6600</v>
      </c>
      <c r="K53" s="272">
        <f t="shared" si="55"/>
        <v>550</v>
      </c>
      <c r="L53" s="273">
        <f>'Program Budget'!N177</f>
        <v>12</v>
      </c>
      <c r="M53" s="274">
        <v>1</v>
      </c>
      <c r="N53" s="275">
        <f t="shared" si="56"/>
        <v>6600</v>
      </c>
      <c r="O53" s="272">
        <f t="shared" si="57"/>
        <v>550</v>
      </c>
      <c r="P53" s="273">
        <f>'Program Budget'!Q177</f>
        <v>12</v>
      </c>
      <c r="Q53" s="274">
        <v>1</v>
      </c>
      <c r="R53" s="275">
        <f t="shared" si="58"/>
        <v>6600</v>
      </c>
      <c r="S53" s="272">
        <f t="shared" si="59"/>
        <v>550</v>
      </c>
      <c r="T53" s="273">
        <f>'Program Budget'!T177</f>
        <v>9</v>
      </c>
      <c r="U53" s="274">
        <v>1</v>
      </c>
      <c r="V53" s="275">
        <f t="shared" si="60"/>
        <v>4950</v>
      </c>
      <c r="W53" s="411">
        <f t="shared" si="61"/>
        <v>29700</v>
      </c>
      <c r="AE53" s="239"/>
      <c r="AF53" s="280"/>
      <c r="AG53" s="345"/>
    </row>
    <row r="54" spans="1:33" ht="15.6" outlineLevel="1">
      <c r="A54" s="346" t="str">
        <f>'Program Budget'!D178</f>
        <v>Technical Advisor of Trade Promotion &amp; Strategic Partnership  &amp; Investment</v>
      </c>
      <c r="B54" s="271" t="str">
        <f>'Program Budget'!F178</f>
        <v>Month</v>
      </c>
      <c r="C54" s="272">
        <f>(150000/12)</f>
        <v>12500</v>
      </c>
      <c r="D54" s="273">
        <f>'Program Budget'!G178</f>
        <v>0</v>
      </c>
      <c r="E54" s="274">
        <v>0</v>
      </c>
      <c r="F54" s="275">
        <f t="shared" ref="F54" si="62">C54*D54*E54</f>
        <v>0</v>
      </c>
      <c r="G54" s="272">
        <f t="shared" ref="G54" si="63">C54</f>
        <v>12500</v>
      </c>
      <c r="H54" s="273">
        <f>'Program Budget'!K178</f>
        <v>12</v>
      </c>
      <c r="I54" s="274">
        <v>0.05</v>
      </c>
      <c r="J54" s="275">
        <f t="shared" ref="J54" si="64">G54*H54*I54</f>
        <v>7500</v>
      </c>
      <c r="K54" s="272">
        <f t="shared" ref="K54" si="65">G54</f>
        <v>12500</v>
      </c>
      <c r="L54" s="273">
        <f>'Program Budget'!N178</f>
        <v>12</v>
      </c>
      <c r="M54" s="274">
        <v>0.05</v>
      </c>
      <c r="N54" s="275">
        <f t="shared" ref="N54" si="66">K54*L54*M54</f>
        <v>7500</v>
      </c>
      <c r="O54" s="272">
        <f t="shared" ref="O54" si="67">K54</f>
        <v>12500</v>
      </c>
      <c r="P54" s="273">
        <f>'Program Budget'!Q178</f>
        <v>12</v>
      </c>
      <c r="Q54" s="274">
        <v>0.05</v>
      </c>
      <c r="R54" s="275">
        <f t="shared" ref="R54" si="68">O54*P54*Q54</f>
        <v>7500</v>
      </c>
      <c r="S54" s="272">
        <f t="shared" ref="S54" si="69">O54</f>
        <v>12500</v>
      </c>
      <c r="T54" s="273">
        <f>'Program Budget'!T178</f>
        <v>9</v>
      </c>
      <c r="U54" s="274">
        <v>0.05</v>
      </c>
      <c r="V54" s="275">
        <f t="shared" ref="V54" si="70">S54*T54*U54</f>
        <v>5625</v>
      </c>
      <c r="W54" s="411">
        <f t="shared" ref="W54" si="71">F54+J54+N54+R54+V54</f>
        <v>28125</v>
      </c>
      <c r="AE54" s="239"/>
      <c r="AF54" s="280"/>
      <c r="AG54" s="345"/>
    </row>
    <row r="55" spans="1:33" ht="15.6" outlineLevel="1">
      <c r="A55" s="346"/>
      <c r="B55" s="271"/>
      <c r="C55" s="272"/>
      <c r="D55" s="273"/>
      <c r="E55" s="274"/>
      <c r="F55" s="275"/>
      <c r="G55" s="272"/>
      <c r="H55" s="273"/>
      <c r="I55" s="274"/>
      <c r="J55" s="275"/>
      <c r="K55" s="272"/>
      <c r="L55" s="273"/>
      <c r="M55" s="274"/>
      <c r="N55" s="275"/>
      <c r="O55" s="272"/>
      <c r="P55" s="273"/>
      <c r="Q55" s="274"/>
      <c r="R55" s="275"/>
      <c r="S55" s="272"/>
      <c r="T55" s="273"/>
      <c r="U55" s="274"/>
      <c r="V55" s="275"/>
      <c r="W55" s="411"/>
      <c r="AE55" s="239"/>
      <c r="AF55" s="280"/>
      <c r="AG55" s="345"/>
    </row>
    <row r="56" spans="1:33" ht="18.3" outlineLevel="1">
      <c r="A56" s="338" t="s">
        <v>94</v>
      </c>
      <c r="B56" s="304"/>
      <c r="C56" s="305"/>
      <c r="D56" s="339"/>
      <c r="E56" s="340"/>
      <c r="F56" s="308">
        <f>SUM(F50:F54)</f>
        <v>195950</v>
      </c>
      <c r="G56" s="305"/>
      <c r="H56" s="339"/>
      <c r="I56" s="309"/>
      <c r="J56" s="308">
        <f>SUM(J50:J54)</f>
        <v>169100</v>
      </c>
      <c r="K56" s="305"/>
      <c r="L56" s="339"/>
      <c r="M56" s="340"/>
      <c r="N56" s="308">
        <f>SUM(N50:N54)</f>
        <v>19100</v>
      </c>
      <c r="O56" s="305"/>
      <c r="P56" s="339"/>
      <c r="Q56" s="309"/>
      <c r="R56" s="308">
        <f>SUM(R50:R54)</f>
        <v>19100</v>
      </c>
      <c r="S56" s="305"/>
      <c r="T56" s="339"/>
      <c r="U56" s="309"/>
      <c r="V56" s="308">
        <f>SUM(V50:V54)</f>
        <v>15575</v>
      </c>
      <c r="W56" s="308">
        <f>SUM(W50:W54)</f>
        <v>418825</v>
      </c>
      <c r="AE56" s="239"/>
      <c r="AF56" s="280"/>
      <c r="AG56" s="345"/>
    </row>
    <row r="57" spans="1:33" ht="15.6" outlineLevel="1">
      <c r="A57" s="267" t="s">
        <v>95</v>
      </c>
      <c r="B57" s="350"/>
      <c r="D57" s="342"/>
      <c r="F57" s="275"/>
      <c r="H57" s="342"/>
      <c r="J57" s="277"/>
      <c r="L57" s="342"/>
      <c r="N57" s="277"/>
      <c r="P57" s="342"/>
      <c r="R57" s="277"/>
      <c r="T57" s="342"/>
      <c r="V57" s="277"/>
      <c r="W57" s="411"/>
      <c r="AE57" s="239"/>
    </row>
    <row r="58" spans="1:33" outlineLevel="1">
      <c r="A58" s="270" t="s">
        <v>148</v>
      </c>
      <c r="B58" s="293"/>
      <c r="D58" s="351"/>
      <c r="F58" s="275">
        <f>C58*D58*E58</f>
        <v>0</v>
      </c>
      <c r="H58" s="351"/>
      <c r="I58" s="236"/>
      <c r="J58" s="275">
        <f t="shared" ref="J58" si="72">G58*H58*I58</f>
        <v>0</v>
      </c>
      <c r="L58" s="351"/>
      <c r="N58" s="275">
        <f t="shared" ref="N58" si="73">K58*L58*M58</f>
        <v>0</v>
      </c>
      <c r="P58" s="351"/>
      <c r="Q58" s="236"/>
      <c r="R58" s="275">
        <f t="shared" ref="R58" si="74">O58*P58*Q58</f>
        <v>0</v>
      </c>
      <c r="T58" s="351"/>
      <c r="U58" s="236"/>
      <c r="V58" s="275">
        <f t="shared" ref="V58" si="75">S58*T58*U58</f>
        <v>0</v>
      </c>
      <c r="W58" s="411">
        <f t="shared" ref="W58" si="76">F58+J58+N58+R58+V58</f>
        <v>0</v>
      </c>
      <c r="AE58" s="239">
        <v>298</v>
      </c>
      <c r="AF58" s="280" t="s">
        <v>149</v>
      </c>
      <c r="AG58" s="280" t="s">
        <v>150</v>
      </c>
    </row>
    <row r="59" spans="1:33" ht="18.3" outlineLevel="1">
      <c r="A59" s="338" t="s">
        <v>96</v>
      </c>
      <c r="B59" s="304"/>
      <c r="C59" s="305"/>
      <c r="D59" s="339"/>
      <c r="E59" s="340"/>
      <c r="F59" s="308">
        <f>SUM(F58:F58)</f>
        <v>0</v>
      </c>
      <c r="G59" s="305"/>
      <c r="H59" s="339"/>
      <c r="I59" s="309"/>
      <c r="J59" s="308">
        <f>SUM(J58:J58)</f>
        <v>0</v>
      </c>
      <c r="K59" s="305"/>
      <c r="L59" s="339"/>
      <c r="M59" s="340"/>
      <c r="N59" s="308">
        <f>SUM(N58:N58)</f>
        <v>0</v>
      </c>
      <c r="O59" s="305"/>
      <c r="P59" s="339"/>
      <c r="Q59" s="309"/>
      <c r="R59" s="308">
        <f>SUM(R58:R58)</f>
        <v>0</v>
      </c>
      <c r="S59" s="305"/>
      <c r="T59" s="339"/>
      <c r="U59" s="309"/>
      <c r="V59" s="308">
        <f>SUM(V58:V58)</f>
        <v>0</v>
      </c>
      <c r="W59" s="414">
        <f>+F59+J59+N59+R59+V59</f>
        <v>0</v>
      </c>
      <c r="AE59" s="239"/>
      <c r="AF59" s="280"/>
      <c r="AG59" s="345"/>
    </row>
    <row r="60" spans="1:33" ht="15.6" outlineLevel="1">
      <c r="A60" s="267" t="s">
        <v>32</v>
      </c>
      <c r="B60" s="293"/>
      <c r="D60" s="342"/>
      <c r="F60" s="275"/>
      <c r="H60" s="342"/>
      <c r="I60" s="236"/>
      <c r="J60" s="275"/>
      <c r="L60" s="342"/>
      <c r="N60" s="275"/>
      <c r="P60" s="342"/>
      <c r="Q60" s="236"/>
      <c r="R60" s="275"/>
      <c r="T60" s="342"/>
      <c r="U60" s="236"/>
      <c r="V60" s="275"/>
      <c r="W60" s="411"/>
      <c r="AE60" s="239"/>
      <c r="AF60" s="280"/>
      <c r="AG60" s="280"/>
    </row>
    <row r="61" spans="1:33" outlineLevel="1">
      <c r="A61" s="270" t="s">
        <v>148</v>
      </c>
      <c r="B61" s="293"/>
      <c r="D61" s="342"/>
      <c r="F61" s="275">
        <f>C61*D61*E61</f>
        <v>0</v>
      </c>
      <c r="H61" s="342"/>
      <c r="I61" s="236"/>
      <c r="J61" s="275">
        <f>G61*H61*I61</f>
        <v>0</v>
      </c>
      <c r="L61" s="342"/>
      <c r="N61" s="275">
        <f>K61*L61*M61</f>
        <v>0</v>
      </c>
      <c r="P61" s="342"/>
      <c r="Q61" s="236"/>
      <c r="R61" s="275">
        <f>O61*P61*Q61</f>
        <v>0</v>
      </c>
      <c r="T61" s="342"/>
      <c r="U61" s="236"/>
      <c r="V61" s="275">
        <f>S61*T61*U61</f>
        <v>0</v>
      </c>
      <c r="W61" s="411">
        <f t="shared" ref="W61" si="77">F61+J61+N61+R61+V61</f>
        <v>0</v>
      </c>
      <c r="AE61" s="239"/>
      <c r="AF61" s="280"/>
      <c r="AG61" s="280"/>
    </row>
    <row r="62" spans="1:33" ht="18.3" outlineLevel="1">
      <c r="A62" s="338" t="s">
        <v>97</v>
      </c>
      <c r="B62" s="304"/>
      <c r="C62" s="305"/>
      <c r="D62" s="339"/>
      <c r="E62" s="340"/>
      <c r="F62" s="308">
        <f>SUM(F58:F58)</f>
        <v>0</v>
      </c>
      <c r="G62" s="305"/>
      <c r="H62" s="339"/>
      <c r="I62" s="309"/>
      <c r="J62" s="308">
        <f>SUM(J58:J58)</f>
        <v>0</v>
      </c>
      <c r="K62" s="305"/>
      <c r="L62" s="339"/>
      <c r="M62" s="340"/>
      <c r="N62" s="308">
        <f>SUM(N58:N58)</f>
        <v>0</v>
      </c>
      <c r="O62" s="305"/>
      <c r="P62" s="339"/>
      <c r="Q62" s="309"/>
      <c r="R62" s="308">
        <f>SUM(R58:R58)</f>
        <v>0</v>
      </c>
      <c r="S62" s="305"/>
      <c r="T62" s="339"/>
      <c r="U62" s="309"/>
      <c r="V62" s="308">
        <f>SUM(V58:V58)</f>
        <v>0</v>
      </c>
      <c r="W62" s="414">
        <f>+F62+J62+N62+R62+V62</f>
        <v>0</v>
      </c>
      <c r="AE62" s="239">
        <v>236</v>
      </c>
      <c r="AF62" s="280" t="s">
        <v>136</v>
      </c>
      <c r="AG62" s="345" t="s">
        <v>137</v>
      </c>
    </row>
    <row r="63" spans="1:33" ht="15.6" outlineLevel="1">
      <c r="A63" s="267" t="s">
        <v>33</v>
      </c>
      <c r="B63" s="341"/>
      <c r="D63" s="342"/>
      <c r="E63" s="343"/>
      <c r="F63" s="325"/>
      <c r="H63" s="342"/>
      <c r="I63" s="344"/>
      <c r="J63" s="298"/>
      <c r="L63" s="342"/>
      <c r="M63" s="343"/>
      <c r="N63" s="298"/>
      <c r="P63" s="342"/>
      <c r="Q63" s="344"/>
      <c r="R63" s="298"/>
      <c r="T63" s="342"/>
      <c r="U63" s="344"/>
      <c r="V63" s="298"/>
      <c r="W63" s="411"/>
      <c r="AE63" s="239">
        <v>236</v>
      </c>
      <c r="AF63" s="280" t="s">
        <v>136</v>
      </c>
      <c r="AG63" s="345" t="s">
        <v>137</v>
      </c>
    </row>
    <row r="64" spans="1:33" ht="15.6" outlineLevel="1">
      <c r="A64" s="346" t="str">
        <f>'Program Budget'!D182</f>
        <v>Seeds and Tools for Demonstration Plots Set-up and Maintenance</v>
      </c>
      <c r="B64" s="271" t="str">
        <f>'Program Budget'!F182</f>
        <v>Unit</v>
      </c>
      <c r="C64" s="272">
        <f>'Program Budget'!H182</f>
        <v>3750</v>
      </c>
      <c r="D64" s="273">
        <f>'Program Budget'!G182</f>
        <v>4</v>
      </c>
      <c r="E64" s="274">
        <v>1</v>
      </c>
      <c r="F64" s="275">
        <f t="shared" ref="F64" si="78">C64*D64*E64</f>
        <v>15000</v>
      </c>
      <c r="G64" s="272">
        <f>C64</f>
        <v>3750</v>
      </c>
      <c r="H64" s="273">
        <f>'Program Budget'!K182</f>
        <v>4</v>
      </c>
      <c r="I64" s="274">
        <v>1</v>
      </c>
      <c r="J64" s="275">
        <f t="shared" ref="J64" si="79">G64*H64*I64</f>
        <v>15000</v>
      </c>
      <c r="K64" s="272">
        <f>G64</f>
        <v>3750</v>
      </c>
      <c r="L64" s="273">
        <f>'Program Budget'!N182</f>
        <v>0</v>
      </c>
      <c r="M64" s="274">
        <v>1</v>
      </c>
      <c r="N64" s="275">
        <f t="shared" ref="N64" si="80">K64*L64*M64</f>
        <v>0</v>
      </c>
      <c r="O64" s="272">
        <f>K64</f>
        <v>3750</v>
      </c>
      <c r="P64" s="273">
        <f>'Program Budget'!Q182</f>
        <v>0</v>
      </c>
      <c r="Q64" s="274">
        <v>1</v>
      </c>
      <c r="R64" s="275">
        <f t="shared" ref="R64" si="81">O64*P64*Q64</f>
        <v>0</v>
      </c>
      <c r="S64" s="272">
        <f>O64</f>
        <v>3750</v>
      </c>
      <c r="T64" s="273">
        <f>'Program Budget'!T182</f>
        <v>0</v>
      </c>
      <c r="U64" s="274">
        <v>1</v>
      </c>
      <c r="V64" s="275">
        <f t="shared" ref="V64" si="82">S64*T64*U64</f>
        <v>0</v>
      </c>
      <c r="W64" s="411">
        <f t="shared" ref="W64" si="83">F64+J64+N64+R64+V64</f>
        <v>30000</v>
      </c>
      <c r="AE64" s="239"/>
      <c r="AF64" s="280"/>
      <c r="AG64" s="345"/>
    </row>
    <row r="65" spans="1:33" ht="15.6" outlineLevel="1">
      <c r="A65" s="346" t="str">
        <f>'Program Budget'!D183</f>
        <v>Motorcycles for Extension Agents</v>
      </c>
      <c r="B65" s="271" t="str">
        <f>'Program Budget'!F183</f>
        <v>Unit</v>
      </c>
      <c r="C65" s="272">
        <f>'Program Budget'!H183</f>
        <v>1100</v>
      </c>
      <c r="D65" s="273">
        <f>'Program Budget'!G183</f>
        <v>9</v>
      </c>
      <c r="E65" s="274">
        <v>1</v>
      </c>
      <c r="F65" s="275">
        <f t="shared" ref="F65:F66" si="84">C65*D65*E65</f>
        <v>9900</v>
      </c>
      <c r="G65" s="272">
        <f t="shared" ref="G65:G66" si="85">C65</f>
        <v>1100</v>
      </c>
      <c r="H65" s="273">
        <f>'Program Budget'!K183</f>
        <v>0</v>
      </c>
      <c r="I65" s="274">
        <v>1</v>
      </c>
      <c r="J65" s="275">
        <f t="shared" ref="J65:J66" si="86">G65*H65*I65</f>
        <v>0</v>
      </c>
      <c r="K65" s="272">
        <f t="shared" ref="K65:K66" si="87">G65</f>
        <v>1100</v>
      </c>
      <c r="L65" s="273">
        <f>'Program Budget'!N183</f>
        <v>0</v>
      </c>
      <c r="M65" s="274">
        <v>1</v>
      </c>
      <c r="N65" s="275">
        <f t="shared" ref="N65:N66" si="88">K65*L65*M65</f>
        <v>0</v>
      </c>
      <c r="O65" s="272">
        <f t="shared" ref="O65:O66" si="89">K65</f>
        <v>1100</v>
      </c>
      <c r="P65" s="273">
        <f>'Program Budget'!Q183</f>
        <v>0</v>
      </c>
      <c r="Q65" s="274">
        <v>1</v>
      </c>
      <c r="R65" s="275">
        <f t="shared" ref="R65:R66" si="90">O65*P65*Q65</f>
        <v>0</v>
      </c>
      <c r="S65" s="272">
        <f t="shared" ref="S65:S66" si="91">O65</f>
        <v>1100</v>
      </c>
      <c r="T65" s="273">
        <f>'Program Budget'!T183</f>
        <v>0</v>
      </c>
      <c r="U65" s="274">
        <v>1</v>
      </c>
      <c r="V65" s="275">
        <f t="shared" ref="V65:V66" si="92">S65*T65*U65</f>
        <v>0</v>
      </c>
      <c r="W65" s="411">
        <f t="shared" ref="W65:W66" si="93">F65+J65+N65+R65+V65</f>
        <v>9900</v>
      </c>
      <c r="AE65" s="239"/>
      <c r="AF65" s="280"/>
      <c r="AG65" s="345"/>
    </row>
    <row r="66" spans="1:33" ht="15.6" outlineLevel="1">
      <c r="A66" s="346" t="str">
        <f>'Program Budget'!D184</f>
        <v>Tablets for Rural Data Collection for Extension Agents</v>
      </c>
      <c r="B66" s="271" t="str">
        <f>'Program Budget'!F184</f>
        <v>Unit</v>
      </c>
      <c r="C66" s="272">
        <f>'Program Budget'!H184</f>
        <v>600</v>
      </c>
      <c r="D66" s="273">
        <f>'Program Budget'!G184</f>
        <v>9</v>
      </c>
      <c r="E66" s="274">
        <v>1</v>
      </c>
      <c r="F66" s="275">
        <f t="shared" si="84"/>
        <v>5400</v>
      </c>
      <c r="G66" s="272">
        <f t="shared" si="85"/>
        <v>600</v>
      </c>
      <c r="H66" s="273">
        <f>'Program Budget'!K184</f>
        <v>0</v>
      </c>
      <c r="I66" s="274">
        <v>1</v>
      </c>
      <c r="J66" s="275">
        <f t="shared" si="86"/>
        <v>0</v>
      </c>
      <c r="K66" s="272">
        <f t="shared" si="87"/>
        <v>600</v>
      </c>
      <c r="L66" s="273">
        <f>'Program Budget'!N184</f>
        <v>0</v>
      </c>
      <c r="M66" s="274">
        <v>1</v>
      </c>
      <c r="N66" s="275">
        <f t="shared" si="88"/>
        <v>0</v>
      </c>
      <c r="O66" s="272">
        <f t="shared" si="89"/>
        <v>600</v>
      </c>
      <c r="P66" s="273">
        <f>'Program Budget'!Q184</f>
        <v>0</v>
      </c>
      <c r="Q66" s="274">
        <v>1</v>
      </c>
      <c r="R66" s="275">
        <f t="shared" si="90"/>
        <v>0</v>
      </c>
      <c r="S66" s="272">
        <f t="shared" si="91"/>
        <v>600</v>
      </c>
      <c r="T66" s="273">
        <f>'Program Budget'!T184</f>
        <v>0</v>
      </c>
      <c r="U66" s="274">
        <v>1</v>
      </c>
      <c r="V66" s="275">
        <f t="shared" si="92"/>
        <v>0</v>
      </c>
      <c r="W66" s="411">
        <f t="shared" si="93"/>
        <v>5400</v>
      </c>
      <c r="AE66" s="239"/>
      <c r="AF66" s="280"/>
      <c r="AG66" s="345"/>
    </row>
    <row r="67" spans="1:33" outlineLevel="1">
      <c r="A67" s="404"/>
      <c r="B67" s="293"/>
      <c r="C67" s="347"/>
      <c r="D67" s="348"/>
      <c r="F67" s="275"/>
      <c r="G67" s="347"/>
      <c r="H67" s="348"/>
      <c r="I67" s="236"/>
      <c r="J67" s="275"/>
      <c r="K67" s="347"/>
      <c r="L67" s="348"/>
      <c r="N67" s="275"/>
      <c r="O67" s="347"/>
      <c r="P67" s="348"/>
      <c r="Q67" s="236"/>
      <c r="R67" s="275"/>
      <c r="S67" s="347"/>
      <c r="T67" s="348"/>
      <c r="U67" s="236"/>
      <c r="V67" s="275"/>
      <c r="W67" s="411"/>
      <c r="AE67" s="239"/>
      <c r="AF67" s="280"/>
      <c r="AG67" s="345"/>
    </row>
    <row r="68" spans="1:33" ht="18.3" outlineLevel="1">
      <c r="A68" s="338" t="s">
        <v>98</v>
      </c>
      <c r="B68" s="304"/>
      <c r="C68" s="305"/>
      <c r="D68" s="339"/>
      <c r="E68" s="340"/>
      <c r="F68" s="308">
        <f>SUM(F64:F67)</f>
        <v>30300</v>
      </c>
      <c r="G68" s="305"/>
      <c r="H68" s="339"/>
      <c r="I68" s="309"/>
      <c r="J68" s="308">
        <f>SUM(J64:J67)</f>
        <v>15000</v>
      </c>
      <c r="K68" s="305"/>
      <c r="L68" s="339"/>
      <c r="M68" s="340"/>
      <c r="N68" s="308">
        <f>SUM(N64:N67)</f>
        <v>0</v>
      </c>
      <c r="O68" s="305"/>
      <c r="P68" s="339"/>
      <c r="Q68" s="309"/>
      <c r="R68" s="308">
        <f>SUM(R64:R67)</f>
        <v>0</v>
      </c>
      <c r="S68" s="305"/>
      <c r="T68" s="339"/>
      <c r="U68" s="309"/>
      <c r="V68" s="308">
        <f>SUM(V64:V67)</f>
        <v>0</v>
      </c>
      <c r="W68" s="414">
        <f>+F68+J68+N68+R68+V68</f>
        <v>45300</v>
      </c>
      <c r="AE68" s="239"/>
      <c r="AF68" s="280"/>
      <c r="AG68" s="345"/>
    </row>
    <row r="69" spans="1:33" ht="15.6" outlineLevel="1">
      <c r="A69" s="353" t="s">
        <v>99</v>
      </c>
      <c r="B69" s="293"/>
      <c r="C69" s="354"/>
      <c r="D69" s="355"/>
      <c r="F69" s="325"/>
      <c r="G69" s="354"/>
      <c r="H69" s="355"/>
      <c r="J69" s="298"/>
      <c r="K69" s="354"/>
      <c r="L69" s="355"/>
      <c r="N69" s="298"/>
      <c r="O69" s="354"/>
      <c r="P69" s="355"/>
      <c r="R69" s="298"/>
      <c r="S69" s="354"/>
      <c r="T69" s="355"/>
      <c r="V69" s="298"/>
      <c r="W69" s="411"/>
      <c r="AE69" s="239"/>
      <c r="AF69" s="280"/>
      <c r="AG69" s="345"/>
    </row>
    <row r="70" spans="1:33" ht="15.6" outlineLevel="1">
      <c r="A70" s="267" t="s">
        <v>138</v>
      </c>
      <c r="B70" s="293"/>
      <c r="C70" s="354"/>
      <c r="D70" s="355"/>
      <c r="F70" s="275"/>
      <c r="G70" s="354"/>
      <c r="H70" s="355"/>
      <c r="I70" s="236"/>
      <c r="J70" s="275"/>
      <c r="K70" s="354"/>
      <c r="L70" s="355"/>
      <c r="N70" s="275"/>
      <c r="O70" s="354"/>
      <c r="P70" s="355"/>
      <c r="Q70" s="236"/>
      <c r="R70" s="275"/>
      <c r="S70" s="354"/>
      <c r="T70" s="355"/>
      <c r="U70" s="236"/>
      <c r="V70" s="275"/>
      <c r="W70" s="411"/>
      <c r="AE70" s="239"/>
      <c r="AF70" s="280"/>
      <c r="AG70" s="345"/>
    </row>
    <row r="71" spans="1:33" ht="15.6" outlineLevel="1">
      <c r="A71" s="346" t="str">
        <f>'Program Budget'!D195</f>
        <v>Development of Technical Package (Design, Printing, &amp; Translation)</v>
      </c>
      <c r="B71" s="271" t="str">
        <f>'Program Budget'!F195</f>
        <v>Unit</v>
      </c>
      <c r="C71" s="272">
        <f>'Program Budget'!H195</f>
        <v>18000</v>
      </c>
      <c r="D71" s="273">
        <f>'Program Budget'!G195</f>
        <v>1</v>
      </c>
      <c r="E71" s="274">
        <v>1</v>
      </c>
      <c r="F71" s="275">
        <f t="shared" ref="F71" si="94">C71*D71*E71</f>
        <v>18000</v>
      </c>
      <c r="G71" s="272">
        <f>C71</f>
        <v>18000</v>
      </c>
      <c r="H71" s="273">
        <f>'Program Budget'!K195</f>
        <v>0</v>
      </c>
      <c r="I71" s="274">
        <v>1</v>
      </c>
      <c r="J71" s="275">
        <f t="shared" ref="J71" si="95">G71*H71*I71</f>
        <v>0</v>
      </c>
      <c r="K71" s="272">
        <f>G71</f>
        <v>18000</v>
      </c>
      <c r="L71" s="273">
        <f>'Program Budget'!N195</f>
        <v>0</v>
      </c>
      <c r="M71" s="274">
        <v>1</v>
      </c>
      <c r="N71" s="275">
        <f t="shared" ref="N71" si="96">K71*L71*M71</f>
        <v>0</v>
      </c>
      <c r="O71" s="272">
        <f>K71</f>
        <v>18000</v>
      </c>
      <c r="P71" s="273">
        <f>'Program Budget'!Q195</f>
        <v>0</v>
      </c>
      <c r="Q71" s="274">
        <v>1</v>
      </c>
      <c r="R71" s="275">
        <f t="shared" ref="R71" si="97">O71*P71*Q71</f>
        <v>0</v>
      </c>
      <c r="S71" s="272">
        <f>O71</f>
        <v>18000</v>
      </c>
      <c r="T71" s="273">
        <f>'Program Budget'!T195</f>
        <v>0</v>
      </c>
      <c r="U71" s="274">
        <v>1</v>
      </c>
      <c r="V71" s="275">
        <f t="shared" ref="V71" si="98">S71*T71*U71</f>
        <v>0</v>
      </c>
      <c r="W71" s="411">
        <f t="shared" ref="W71" si="99">F71+J71+N71+R71+V71</f>
        <v>18000</v>
      </c>
      <c r="AE71" s="239"/>
      <c r="AF71" s="280"/>
      <c r="AG71" s="345"/>
    </row>
    <row r="72" spans="1:33" ht="15.6" outlineLevel="1">
      <c r="A72" s="346" t="str">
        <f>'Program Budget'!D196</f>
        <v>Publish Report for On-farm Irrigation (Design, Printing, &amp; Translation)</v>
      </c>
      <c r="B72" s="271" t="str">
        <f>'Program Budget'!F196</f>
        <v>Unit</v>
      </c>
      <c r="C72" s="272">
        <f>'Program Budget'!H196</f>
        <v>18000</v>
      </c>
      <c r="D72" s="273">
        <f>'Program Budget'!G196</f>
        <v>0</v>
      </c>
      <c r="E72" s="274">
        <v>1</v>
      </c>
      <c r="F72" s="275">
        <f t="shared" ref="F72:F74" si="100">C72*D72*E72</f>
        <v>0</v>
      </c>
      <c r="G72" s="272">
        <f t="shared" ref="G72:G74" si="101">C72</f>
        <v>18000</v>
      </c>
      <c r="H72" s="273">
        <f>'Program Budget'!K196</f>
        <v>1</v>
      </c>
      <c r="I72" s="274">
        <v>1</v>
      </c>
      <c r="J72" s="275">
        <f t="shared" ref="J72:J74" si="102">G72*H72*I72</f>
        <v>18000</v>
      </c>
      <c r="K72" s="272">
        <f t="shared" ref="K72:K74" si="103">G72</f>
        <v>18000</v>
      </c>
      <c r="L72" s="273">
        <f>'Program Budget'!N196</f>
        <v>0</v>
      </c>
      <c r="M72" s="274">
        <v>1</v>
      </c>
      <c r="N72" s="275">
        <f t="shared" ref="N72:N74" si="104">K72*L72*M72</f>
        <v>0</v>
      </c>
      <c r="O72" s="272">
        <f t="shared" ref="O72:O74" si="105">K72</f>
        <v>18000</v>
      </c>
      <c r="P72" s="273">
        <f>'Program Budget'!Q196</f>
        <v>0</v>
      </c>
      <c r="Q72" s="274">
        <v>1</v>
      </c>
      <c r="R72" s="275">
        <f t="shared" ref="R72:R74" si="106">O72*P72*Q72</f>
        <v>0</v>
      </c>
      <c r="S72" s="272">
        <f t="shared" ref="S72:S74" si="107">O72</f>
        <v>18000</v>
      </c>
      <c r="T72" s="273">
        <f>'Program Budget'!T196</f>
        <v>0</v>
      </c>
      <c r="U72" s="274">
        <v>1</v>
      </c>
      <c r="V72" s="275">
        <f t="shared" ref="V72:V74" si="108">S72*T72*U72</f>
        <v>0</v>
      </c>
      <c r="W72" s="411">
        <f t="shared" ref="W72:W74" si="109">F72+J72+N72+R72+V72</f>
        <v>18000</v>
      </c>
      <c r="AE72" s="239"/>
      <c r="AF72" s="280"/>
      <c r="AG72" s="345"/>
    </row>
    <row r="73" spans="1:33" ht="15.6" outlineLevel="1">
      <c r="A73" s="346" t="str">
        <f>'Program Budget'!D197</f>
        <v>Publish Report for Large-Scale Water Infrastructure (Design, Printing, &amp; Translation)</v>
      </c>
      <c r="B73" s="271" t="str">
        <f>'Program Budget'!F197</f>
        <v>Unit</v>
      </c>
      <c r="C73" s="272">
        <f>'Program Budget'!H197</f>
        <v>18000</v>
      </c>
      <c r="D73" s="273">
        <f>'Program Budget'!G197</f>
        <v>0</v>
      </c>
      <c r="E73" s="274">
        <v>1</v>
      </c>
      <c r="F73" s="275">
        <f t="shared" si="100"/>
        <v>0</v>
      </c>
      <c r="G73" s="272">
        <f t="shared" si="101"/>
        <v>18000</v>
      </c>
      <c r="H73" s="273">
        <f>'Program Budget'!K197</f>
        <v>1</v>
      </c>
      <c r="I73" s="274">
        <v>1</v>
      </c>
      <c r="J73" s="275">
        <f t="shared" si="102"/>
        <v>18000</v>
      </c>
      <c r="K73" s="272">
        <f t="shared" si="103"/>
        <v>18000</v>
      </c>
      <c r="L73" s="273">
        <f>'Program Budget'!N197</f>
        <v>0</v>
      </c>
      <c r="M73" s="274">
        <v>1</v>
      </c>
      <c r="N73" s="275">
        <f t="shared" si="104"/>
        <v>0</v>
      </c>
      <c r="O73" s="272">
        <f t="shared" si="105"/>
        <v>18000</v>
      </c>
      <c r="P73" s="273">
        <f>'Program Budget'!Q197</f>
        <v>0</v>
      </c>
      <c r="Q73" s="274">
        <v>1</v>
      </c>
      <c r="R73" s="275">
        <f t="shared" si="106"/>
        <v>0</v>
      </c>
      <c r="S73" s="272">
        <f t="shared" si="107"/>
        <v>18000</v>
      </c>
      <c r="T73" s="273">
        <f>'Program Budget'!T197</f>
        <v>0</v>
      </c>
      <c r="U73" s="274">
        <v>1</v>
      </c>
      <c r="V73" s="275">
        <f t="shared" si="108"/>
        <v>0</v>
      </c>
      <c r="W73" s="411">
        <f t="shared" si="109"/>
        <v>18000</v>
      </c>
      <c r="AE73" s="239"/>
      <c r="AF73" s="280"/>
      <c r="AG73" s="345"/>
    </row>
    <row r="74" spans="1:33" ht="15.6" outlineLevel="1">
      <c r="A74" s="346" t="str">
        <f>'Program Budget'!D198</f>
        <v>Demonstration Plots for Drip and Innovative Irrigation Solutions (2 drip, 2 aspersion/sprinklers and 2 valley pivot plots)</v>
      </c>
      <c r="B74" s="271" t="str">
        <f>'Program Budget'!F198</f>
        <v>Plot</v>
      </c>
      <c r="C74" s="272">
        <f>'Program Budget'!H198</f>
        <v>20000</v>
      </c>
      <c r="D74" s="273">
        <f>'Program Budget'!G198</f>
        <v>3</v>
      </c>
      <c r="E74" s="274">
        <v>1</v>
      </c>
      <c r="F74" s="275">
        <f t="shared" si="100"/>
        <v>60000</v>
      </c>
      <c r="G74" s="272">
        <f t="shared" si="101"/>
        <v>20000</v>
      </c>
      <c r="H74" s="273">
        <f>'Program Budget'!K198</f>
        <v>3</v>
      </c>
      <c r="I74" s="274">
        <v>1</v>
      </c>
      <c r="J74" s="275">
        <f t="shared" si="102"/>
        <v>60000</v>
      </c>
      <c r="K74" s="272">
        <f t="shared" si="103"/>
        <v>20000</v>
      </c>
      <c r="L74" s="273">
        <f>'Program Budget'!N198</f>
        <v>0</v>
      </c>
      <c r="M74" s="274">
        <v>1</v>
      </c>
      <c r="N74" s="275">
        <f t="shared" si="104"/>
        <v>0</v>
      </c>
      <c r="O74" s="272">
        <f t="shared" si="105"/>
        <v>20000</v>
      </c>
      <c r="P74" s="273">
        <f>'Program Budget'!Q198</f>
        <v>0</v>
      </c>
      <c r="Q74" s="274">
        <v>1</v>
      </c>
      <c r="R74" s="275">
        <f t="shared" si="106"/>
        <v>0</v>
      </c>
      <c r="S74" s="272">
        <f t="shared" si="107"/>
        <v>20000</v>
      </c>
      <c r="T74" s="273">
        <f>'Program Budget'!T198</f>
        <v>0</v>
      </c>
      <c r="U74" s="274">
        <v>1</v>
      </c>
      <c r="V74" s="275">
        <f t="shared" si="108"/>
        <v>0</v>
      </c>
      <c r="W74" s="411">
        <f t="shared" si="109"/>
        <v>120000</v>
      </c>
      <c r="AE74" s="239"/>
      <c r="AF74" s="280"/>
      <c r="AG74" s="345"/>
    </row>
    <row r="75" spans="1:33" ht="15.6" outlineLevel="1">
      <c r="A75" s="358"/>
      <c r="B75" s="318"/>
      <c r="C75" s="356"/>
      <c r="D75" s="357"/>
      <c r="E75" s="321"/>
      <c r="F75" s="322"/>
      <c r="G75" s="356"/>
      <c r="H75" s="357"/>
      <c r="I75" s="321"/>
      <c r="J75" s="322"/>
      <c r="K75" s="356"/>
      <c r="L75" s="357"/>
      <c r="M75" s="321"/>
      <c r="N75" s="322"/>
      <c r="O75" s="356"/>
      <c r="P75" s="357"/>
      <c r="Q75" s="321"/>
      <c r="R75" s="322"/>
      <c r="S75" s="356"/>
      <c r="T75" s="357"/>
      <c r="U75" s="321"/>
      <c r="V75" s="322"/>
      <c r="W75" s="411"/>
      <c r="AE75" s="239"/>
      <c r="AF75" s="280"/>
      <c r="AG75" s="345"/>
    </row>
    <row r="76" spans="1:33" ht="18.3" outlineLevel="1">
      <c r="A76" s="359" t="s">
        <v>107</v>
      </c>
      <c r="B76" s="304"/>
      <c r="C76" s="328"/>
      <c r="D76" s="329"/>
      <c r="E76" s="360"/>
      <c r="F76" s="331">
        <f>SUM(F70:F74)</f>
        <v>78000</v>
      </c>
      <c r="G76" s="328"/>
      <c r="H76" s="329"/>
      <c r="I76" s="332"/>
      <c r="J76" s="331">
        <f>SUM(J70:J74)</f>
        <v>96000</v>
      </c>
      <c r="K76" s="328"/>
      <c r="L76" s="329"/>
      <c r="M76" s="360"/>
      <c r="N76" s="331">
        <f>SUM(N70:N74)</f>
        <v>0</v>
      </c>
      <c r="O76" s="328"/>
      <c r="P76" s="329"/>
      <c r="Q76" s="332"/>
      <c r="R76" s="331">
        <f>SUM(R70:R74)</f>
        <v>0</v>
      </c>
      <c r="S76" s="328"/>
      <c r="T76" s="329"/>
      <c r="U76" s="332"/>
      <c r="V76" s="331">
        <f>SUM(V70:V74)</f>
        <v>0</v>
      </c>
      <c r="W76" s="414">
        <f>+F76+J76+N76+R76+V76</f>
        <v>174000</v>
      </c>
      <c r="AE76" s="239">
        <v>250</v>
      </c>
      <c r="AF76" s="280" t="s">
        <v>139</v>
      </c>
      <c r="AG76" s="345" t="s">
        <v>140</v>
      </c>
    </row>
    <row r="77" spans="1:33" ht="15.6" outlineLevel="1">
      <c r="A77" s="361"/>
      <c r="B77" s="316"/>
      <c r="C77" s="354"/>
      <c r="D77" s="355"/>
      <c r="F77" s="275"/>
      <c r="G77" s="354"/>
      <c r="H77" s="355"/>
      <c r="J77" s="277"/>
      <c r="K77" s="354"/>
      <c r="L77" s="355"/>
      <c r="N77" s="277"/>
      <c r="O77" s="354"/>
      <c r="P77" s="355"/>
      <c r="R77" s="277"/>
      <c r="S77" s="354"/>
      <c r="T77" s="355"/>
      <c r="V77" s="277"/>
      <c r="W77" s="411"/>
      <c r="AE77" s="239">
        <v>317</v>
      </c>
      <c r="AF77" s="280" t="s">
        <v>141</v>
      </c>
      <c r="AG77" s="345" t="s">
        <v>142</v>
      </c>
    </row>
    <row r="78" spans="1:33" ht="18.3" outlineLevel="1">
      <c r="A78" s="362" t="s">
        <v>108</v>
      </c>
      <c r="B78" s="363"/>
      <c r="C78" s="364"/>
      <c r="D78" s="365"/>
      <c r="E78" s="366"/>
      <c r="F78" s="367">
        <f>F29+F39+F48+F62+F68+F56+F76</f>
        <v>516993.35833333334</v>
      </c>
      <c r="G78" s="364"/>
      <c r="H78" s="365"/>
      <c r="I78" s="368"/>
      <c r="J78" s="367">
        <f>J29+J39+J48+J62+J68+J56+J76</f>
        <v>735930.31</v>
      </c>
      <c r="K78" s="364"/>
      <c r="L78" s="365"/>
      <c r="M78" s="366"/>
      <c r="N78" s="367">
        <f>N29+N39+N48+N62+N68+N56+N76</f>
        <v>339380.87728000002</v>
      </c>
      <c r="O78" s="364"/>
      <c r="P78" s="365"/>
      <c r="Q78" s="368"/>
      <c r="R78" s="367">
        <f>R29+R39+R48+R62+R68+R56+R76</f>
        <v>262248.43687680003</v>
      </c>
      <c r="S78" s="364"/>
      <c r="T78" s="365"/>
      <c r="U78" s="368"/>
      <c r="V78" s="367">
        <f>V29+V39+V48+V62+V68+V56+V76</f>
        <v>234328.99687509335</v>
      </c>
      <c r="W78" s="417">
        <f>W29+W39+W48+W62+W68+W56+W76</f>
        <v>2088881.9793652266</v>
      </c>
      <c r="AE78" s="239">
        <v>318</v>
      </c>
      <c r="AF78" s="280" t="s">
        <v>143</v>
      </c>
      <c r="AG78" s="345" t="s">
        <v>144</v>
      </c>
    </row>
    <row r="79" spans="1:33">
      <c r="A79" s="407"/>
      <c r="B79" s="316"/>
      <c r="C79" s="354"/>
      <c r="D79" s="355"/>
      <c r="F79" s="275"/>
      <c r="G79" s="354"/>
      <c r="H79" s="355"/>
      <c r="J79" s="277"/>
      <c r="K79" s="354"/>
      <c r="L79" s="355"/>
      <c r="N79" s="277"/>
      <c r="O79" s="354"/>
      <c r="P79" s="355"/>
      <c r="R79" s="277"/>
      <c r="S79" s="354"/>
      <c r="T79" s="355"/>
      <c r="V79" s="277"/>
      <c r="W79" s="411"/>
    </row>
    <row r="80" spans="1:33" ht="20.399999999999999">
      <c r="A80" s="369" t="s">
        <v>54</v>
      </c>
      <c r="B80" s="370"/>
      <c r="C80" s="371"/>
      <c r="D80" s="371"/>
      <c r="E80" s="371"/>
      <c r="F80" s="371"/>
      <c r="G80" s="371"/>
      <c r="H80" s="371"/>
      <c r="I80" s="371"/>
      <c r="J80" s="371"/>
      <c r="K80" s="371"/>
      <c r="L80" s="371"/>
      <c r="M80" s="371"/>
      <c r="N80" s="371"/>
      <c r="O80" s="371"/>
      <c r="P80" s="371"/>
      <c r="Q80" s="371"/>
      <c r="R80" s="371"/>
      <c r="S80" s="371"/>
      <c r="T80" s="371"/>
      <c r="U80" s="371"/>
      <c r="V80" s="371"/>
      <c r="W80" s="418"/>
    </row>
    <row r="81" spans="1:23" ht="15" customHeight="1">
      <c r="A81" s="372" t="s">
        <v>55</v>
      </c>
      <c r="B81" s="428" t="s">
        <v>145</v>
      </c>
      <c r="C81" s="272">
        <v>0</v>
      </c>
      <c r="D81" s="273">
        <v>1</v>
      </c>
      <c r="E81" s="274">
        <v>0.2828</v>
      </c>
      <c r="F81" s="275">
        <f>C81*D81*E81</f>
        <v>0</v>
      </c>
      <c r="G81" s="272">
        <v>0</v>
      </c>
      <c r="H81" s="273">
        <v>1</v>
      </c>
      <c r="I81" s="274">
        <v>0.2828</v>
      </c>
      <c r="J81" s="275">
        <f>G81*H81*I81</f>
        <v>0</v>
      </c>
      <c r="K81" s="272">
        <v>0</v>
      </c>
      <c r="L81" s="273">
        <v>1</v>
      </c>
      <c r="M81" s="274">
        <v>0.2828</v>
      </c>
      <c r="N81" s="275">
        <f>K81*L81*M81</f>
        <v>0</v>
      </c>
      <c r="O81" s="272">
        <v>0</v>
      </c>
      <c r="P81" s="273">
        <v>1</v>
      </c>
      <c r="Q81" s="274">
        <v>0.2828</v>
      </c>
      <c r="R81" s="275">
        <f>O81*P81*Q81</f>
        <v>0</v>
      </c>
      <c r="S81" s="272">
        <v>0</v>
      </c>
      <c r="T81" s="273">
        <v>1</v>
      </c>
      <c r="U81" s="274">
        <v>0.2828</v>
      </c>
      <c r="V81" s="275">
        <f>S81*T81*U81</f>
        <v>0</v>
      </c>
      <c r="W81" s="411">
        <f>F81+J81+N81+R81+V81</f>
        <v>0</v>
      </c>
    </row>
    <row r="82" spans="1:23" ht="15" customHeight="1">
      <c r="A82" s="372" t="s">
        <v>56</v>
      </c>
      <c r="B82" s="428" t="s">
        <v>145</v>
      </c>
      <c r="C82" s="272">
        <f>F78</f>
        <v>516993.35833333334</v>
      </c>
      <c r="D82" s="273">
        <v>1</v>
      </c>
      <c r="E82" s="274">
        <v>0.2828</v>
      </c>
      <c r="F82" s="275">
        <f>C82*D82*E82</f>
        <v>146205.72173666666</v>
      </c>
      <c r="G82" s="272">
        <f>J78</f>
        <v>735930.31</v>
      </c>
      <c r="H82" s="273">
        <v>1</v>
      </c>
      <c r="I82" s="274">
        <v>0.2828</v>
      </c>
      <c r="J82" s="275">
        <f>G82*H82*I82</f>
        <v>208121.09166800001</v>
      </c>
      <c r="K82" s="272">
        <f>N78</f>
        <v>339380.87728000002</v>
      </c>
      <c r="L82" s="273">
        <v>1</v>
      </c>
      <c r="M82" s="274">
        <v>0.2828</v>
      </c>
      <c r="N82" s="275">
        <f>K82*L82*M82</f>
        <v>95976.912094783998</v>
      </c>
      <c r="O82" s="272">
        <f>R78</f>
        <v>262248.43687680003</v>
      </c>
      <c r="P82" s="273">
        <v>1</v>
      </c>
      <c r="Q82" s="274">
        <v>0.2828</v>
      </c>
      <c r="R82" s="275">
        <f>O82*P82*Q82</f>
        <v>74163.857948759047</v>
      </c>
      <c r="S82" s="272">
        <f>V78</f>
        <v>234328.99687509335</v>
      </c>
      <c r="T82" s="273">
        <v>1</v>
      </c>
      <c r="U82" s="274">
        <v>0.2828</v>
      </c>
      <c r="V82" s="275">
        <f>S82*T82*U82</f>
        <v>66268.240316276395</v>
      </c>
      <c r="W82" s="411">
        <f>F82+J82+N82+R82+V82</f>
        <v>590735.82376448624</v>
      </c>
    </row>
    <row r="83" spans="1:23">
      <c r="A83" s="375"/>
      <c r="B83" s="316"/>
      <c r="C83" s="347"/>
      <c r="D83" s="376"/>
      <c r="E83" s="377"/>
      <c r="F83" s="275"/>
      <c r="G83" s="347"/>
      <c r="H83" s="376"/>
      <c r="I83" s="276"/>
      <c r="J83" s="275"/>
      <c r="K83" s="347"/>
      <c r="L83" s="376"/>
      <c r="M83" s="377"/>
      <c r="N83" s="275"/>
      <c r="O83" s="347"/>
      <c r="P83" s="376"/>
      <c r="Q83" s="276"/>
      <c r="R83" s="275"/>
      <c r="S83" s="347"/>
      <c r="T83" s="376"/>
      <c r="U83" s="276"/>
      <c r="V83" s="275"/>
      <c r="W83" s="411"/>
    </row>
    <row r="84" spans="1:23" ht="18.3">
      <c r="A84" s="362" t="s">
        <v>109</v>
      </c>
      <c r="B84" s="363"/>
      <c r="C84" s="364"/>
      <c r="D84" s="365"/>
      <c r="E84" s="366"/>
      <c r="F84" s="367">
        <f>SUM(F81:F83)</f>
        <v>146205.72173666666</v>
      </c>
      <c r="G84" s="364"/>
      <c r="H84" s="365"/>
      <c r="I84" s="368"/>
      <c r="J84" s="367">
        <f>SUM(J81:J83)</f>
        <v>208121.09166800001</v>
      </c>
      <c r="K84" s="364"/>
      <c r="L84" s="365"/>
      <c r="M84" s="366"/>
      <c r="N84" s="367">
        <f>SUM(N81:N83)</f>
        <v>95976.912094783998</v>
      </c>
      <c r="O84" s="364"/>
      <c r="P84" s="365"/>
      <c r="Q84" s="368"/>
      <c r="R84" s="367">
        <f>SUM(R81:R83)</f>
        <v>74163.857948759047</v>
      </c>
      <c r="S84" s="364"/>
      <c r="T84" s="365"/>
      <c r="U84" s="368"/>
      <c r="V84" s="367">
        <f>SUM(V81:V83)</f>
        <v>66268.240316276395</v>
      </c>
      <c r="W84" s="417">
        <f>SUM(W81:W83)</f>
        <v>590735.82376448624</v>
      </c>
    </row>
    <row r="85" spans="1:23">
      <c r="A85" s="275"/>
      <c r="B85" s="316"/>
      <c r="C85" s="347"/>
      <c r="D85" s="376"/>
      <c r="E85" s="377"/>
      <c r="F85" s="275"/>
      <c r="G85" s="347"/>
      <c r="H85" s="376"/>
      <c r="I85" s="276"/>
      <c r="J85" s="275"/>
      <c r="K85" s="347"/>
      <c r="L85" s="376"/>
      <c r="M85" s="377"/>
      <c r="N85" s="275"/>
      <c r="O85" s="347"/>
      <c r="P85" s="376"/>
      <c r="Q85" s="276"/>
      <c r="R85" s="275"/>
      <c r="S85" s="347"/>
      <c r="T85" s="376"/>
      <c r="U85" s="276"/>
      <c r="V85" s="275"/>
      <c r="W85" s="411"/>
    </row>
    <row r="86" spans="1:23" ht="18.3">
      <c r="A86" s="382" t="s">
        <v>110</v>
      </c>
      <c r="B86" s="383"/>
      <c r="C86" s="384"/>
      <c r="D86" s="385"/>
      <c r="E86" s="386"/>
      <c r="F86" s="387">
        <f>F78+F84</f>
        <v>663199.08007000003</v>
      </c>
      <c r="G86" s="384"/>
      <c r="H86" s="385"/>
      <c r="I86" s="388"/>
      <c r="J86" s="387">
        <f>J78+J84</f>
        <v>944051.40166800003</v>
      </c>
      <c r="K86" s="384"/>
      <c r="L86" s="385"/>
      <c r="M86" s="386"/>
      <c r="N86" s="387">
        <f>N78+N84</f>
        <v>435357.78937478398</v>
      </c>
      <c r="O86" s="384"/>
      <c r="P86" s="385"/>
      <c r="Q86" s="388"/>
      <c r="R86" s="387">
        <f>R78+R84</f>
        <v>336412.29482555907</v>
      </c>
      <c r="S86" s="384"/>
      <c r="T86" s="385"/>
      <c r="U86" s="388"/>
      <c r="V86" s="387">
        <f>V78+V84</f>
        <v>300597.23719136976</v>
      </c>
      <c r="W86" s="419">
        <f>F86+J86+N86+R86+V86</f>
        <v>2679617.8031297131</v>
      </c>
    </row>
    <row r="87" spans="1:23" ht="15.6">
      <c r="A87" s="390" t="s">
        <v>146</v>
      </c>
      <c r="B87" s="391"/>
      <c r="C87" s="319"/>
      <c r="D87" s="392"/>
      <c r="E87" s="321"/>
      <c r="F87" s="322">
        <f t="shared" ref="F87" si="110">C87*D87*E87</f>
        <v>0</v>
      </c>
      <c r="G87" s="319"/>
      <c r="H87" s="392"/>
      <c r="I87" s="393"/>
      <c r="J87" s="322">
        <f t="shared" ref="J87" si="111">G87*H87*I87</f>
        <v>0</v>
      </c>
      <c r="K87" s="319"/>
      <c r="L87" s="392"/>
      <c r="M87" s="321"/>
      <c r="N87" s="322">
        <f t="shared" ref="N87" si="112">K87*L87*M87</f>
        <v>0</v>
      </c>
      <c r="O87" s="319"/>
      <c r="P87" s="392"/>
      <c r="Q87" s="393"/>
      <c r="R87" s="322">
        <f t="shared" ref="R87" si="113">O87*P87*Q87</f>
        <v>0</v>
      </c>
      <c r="S87" s="319"/>
      <c r="T87" s="392"/>
      <c r="U87" s="393"/>
      <c r="V87" s="322">
        <f t="shared" ref="V87" si="114">S87*T87*U87</f>
        <v>0</v>
      </c>
      <c r="W87" s="413">
        <f>F87+J87+N87+R87+V87</f>
        <v>0</v>
      </c>
    </row>
    <row r="88" spans="1:23" ht="18.3">
      <c r="A88" s="382" t="s">
        <v>111</v>
      </c>
      <c r="B88" s="383"/>
      <c r="C88" s="384"/>
      <c r="D88" s="385"/>
      <c r="E88" s="386"/>
      <c r="F88" s="387">
        <f>F86+F87</f>
        <v>663199.08007000003</v>
      </c>
      <c r="G88" s="384"/>
      <c r="H88" s="385"/>
      <c r="I88" s="388"/>
      <c r="J88" s="387">
        <f>J86+J87</f>
        <v>944051.40166800003</v>
      </c>
      <c r="K88" s="384"/>
      <c r="L88" s="385"/>
      <c r="M88" s="386"/>
      <c r="N88" s="387">
        <f>N86+N87</f>
        <v>435357.78937478398</v>
      </c>
      <c r="O88" s="384"/>
      <c r="P88" s="385"/>
      <c r="Q88" s="388"/>
      <c r="R88" s="387">
        <f>R86+R87</f>
        <v>336412.29482555907</v>
      </c>
      <c r="S88" s="384"/>
      <c r="T88" s="385"/>
      <c r="U88" s="388"/>
      <c r="V88" s="387">
        <f>V86+V87</f>
        <v>300597.23719136976</v>
      </c>
      <c r="W88" s="419">
        <f>F88+J88+N88+R88+V88</f>
        <v>2679617.8031297131</v>
      </c>
    </row>
    <row r="89" spans="1:23">
      <c r="A89" s="271"/>
      <c r="B89" s="271"/>
      <c r="W89" s="411"/>
    </row>
    <row r="90" spans="1:23" ht="15.6">
      <c r="A90" s="394" t="s">
        <v>112</v>
      </c>
      <c r="B90" s="395"/>
      <c r="C90" s="396"/>
      <c r="D90" s="397"/>
      <c r="E90" s="398"/>
      <c r="F90" s="399"/>
      <c r="G90" s="396"/>
      <c r="H90" s="397"/>
      <c r="I90" s="400"/>
      <c r="J90" s="401"/>
      <c r="K90" s="396"/>
      <c r="L90" s="397"/>
      <c r="M90" s="398"/>
      <c r="N90" s="401"/>
      <c r="O90" s="396"/>
      <c r="P90" s="397"/>
      <c r="Q90" s="400"/>
      <c r="R90" s="401"/>
      <c r="S90" s="396"/>
      <c r="T90" s="397"/>
      <c r="U90" s="400"/>
      <c r="V90" s="401"/>
      <c r="W90" s="420"/>
    </row>
  </sheetData>
  <mergeCells count="8">
    <mergeCell ref="S2:V2"/>
    <mergeCell ref="W2:W3"/>
    <mergeCell ref="A2:A3"/>
    <mergeCell ref="B2:B3"/>
    <mergeCell ref="C2:F2"/>
    <mergeCell ref="G2:J2"/>
    <mergeCell ref="K2:N2"/>
    <mergeCell ref="O2:R2"/>
  </mergeCells>
  <printOptions horizontalCentered="1"/>
  <pageMargins left="0.25" right="0.25" top="0.75" bottom="0.75" header="0.3" footer="0.3"/>
  <pageSetup scale="34" orientation="landscape" r:id="rId1"/>
  <headerFooter alignWithMargins="0"/>
  <rowBreaks count="1" manualBreakCount="1">
    <brk id="85" max="1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F1038-78E6-4C88-B8D5-81AB78946C2D}">
  <sheetPr>
    <tabColor theme="6" tint="0.39997558519241921"/>
    <pageSetUpPr fitToPage="1"/>
  </sheetPr>
  <dimension ref="A1:AJ87"/>
  <sheetViews>
    <sheetView showOutlineSymbols="0" showWhiteSpace="0" zoomScale="70" zoomScaleNormal="70" workbookViewId="0">
      <pane xSplit="2" ySplit="3" topLeftCell="O4" activePane="bottomRight" state="frozen"/>
      <selection pane="topRight"/>
      <selection pane="bottomLeft"/>
      <selection pane="bottomRight" activeCell="S69" sqref="S69"/>
    </sheetView>
  </sheetViews>
  <sheetFormatPr defaultRowHeight="14.4" outlineLevelRow="1" outlineLevelCol="1"/>
  <cols>
    <col min="1" max="1" width="58.71875" style="233" customWidth="1"/>
    <col min="2" max="2" width="13" style="233" customWidth="1"/>
    <col min="3" max="3" width="15.27734375" style="234" customWidth="1" outlineLevel="1"/>
    <col min="4" max="4" width="15.27734375" style="235" customWidth="1" outlineLevel="1"/>
    <col min="5" max="5" width="16.1640625" style="236" customWidth="1" outlineLevel="1"/>
    <col min="6" max="6" width="15.27734375" style="233" customWidth="1"/>
    <col min="7" max="7" width="15.27734375" style="234" customWidth="1" outlineLevel="1"/>
    <col min="8" max="8" width="15.27734375" style="235" customWidth="1" outlineLevel="1"/>
    <col min="9" max="9" width="15.27734375" style="237" customWidth="1" outlineLevel="1"/>
    <col min="10" max="10" width="15.27734375" style="234" customWidth="1"/>
    <col min="11" max="11" width="15.27734375" style="234" customWidth="1" outlineLevel="1"/>
    <col min="12" max="12" width="15.27734375" style="235" customWidth="1" outlineLevel="1"/>
    <col min="13" max="13" width="15.27734375" style="236" customWidth="1" outlineLevel="1"/>
    <col min="14" max="14" width="15.27734375" style="234" customWidth="1"/>
    <col min="15" max="15" width="15.27734375" style="234" customWidth="1" outlineLevel="1"/>
    <col min="16" max="16" width="15.27734375" style="235" customWidth="1" outlineLevel="1"/>
    <col min="17" max="17" width="15.27734375" style="237" customWidth="1" outlineLevel="1"/>
    <col min="18" max="18" width="15.27734375" style="234" customWidth="1"/>
    <col min="19" max="19" width="15.27734375" style="234" customWidth="1" outlineLevel="1"/>
    <col min="20" max="20" width="15.27734375" style="235" customWidth="1" outlineLevel="1"/>
    <col min="21" max="21" width="15.27734375" style="237" customWidth="1" outlineLevel="1"/>
    <col min="22" max="22" width="16.1640625" style="234" customWidth="1"/>
    <col min="23" max="23" width="17.44140625" style="234" customWidth="1"/>
    <col min="24" max="24" width="9" style="233" customWidth="1"/>
    <col min="25" max="25" width="8.71875" style="233" customWidth="1"/>
    <col min="26" max="26" width="10.83203125" style="233" customWidth="1"/>
    <col min="27" max="27" width="8.71875" style="233" customWidth="1"/>
    <col min="28" max="28" width="10.83203125" style="233" customWidth="1"/>
    <col min="29" max="29" width="4.83203125" style="233" customWidth="1"/>
    <col min="30" max="30" width="4.83203125" style="233" hidden="1" customWidth="1"/>
    <col min="31" max="31" width="7" style="238" hidden="1" customWidth="1"/>
    <col min="32" max="32" width="19.27734375" style="233" hidden="1" customWidth="1"/>
    <col min="33" max="33" width="34" style="233" hidden="1" customWidth="1"/>
    <col min="34" max="34" width="9.71875" style="233" hidden="1" customWidth="1"/>
    <col min="35" max="35" width="9.71875" style="233" customWidth="1"/>
    <col min="36" max="36" width="14.27734375" style="233" customWidth="1"/>
    <col min="37" max="264" width="8.83203125" style="233"/>
    <col min="265" max="265" width="38.27734375" style="233" customWidth="1"/>
    <col min="266" max="266" width="23.44140625" style="233" bestFit="1" customWidth="1"/>
    <col min="267" max="268" width="9.1640625" style="233" customWidth="1"/>
    <col min="269" max="269" width="11.27734375" style="233" bestFit="1" customWidth="1"/>
    <col min="270" max="270" width="14.44140625" style="233" bestFit="1" customWidth="1"/>
    <col min="271" max="271" width="8.1640625" style="233" customWidth="1"/>
    <col min="272" max="272" width="10.83203125" style="233" bestFit="1" customWidth="1"/>
    <col min="273" max="273" width="12.27734375" style="233" bestFit="1" customWidth="1"/>
    <col min="274" max="274" width="9.1640625" style="233" customWidth="1"/>
    <col min="275" max="275" width="10.83203125" style="233" bestFit="1" customWidth="1"/>
    <col min="276" max="276" width="12.27734375" style="233" bestFit="1" customWidth="1"/>
    <col min="277" max="277" width="8" style="233" customWidth="1"/>
    <col min="278" max="278" width="10.83203125" style="233" bestFit="1" customWidth="1"/>
    <col min="279" max="279" width="12.27734375" style="233" bestFit="1" customWidth="1"/>
    <col min="280" max="280" width="8.1640625" style="233" bestFit="1" customWidth="1"/>
    <col min="281" max="281" width="10.83203125" style="233" bestFit="1" customWidth="1"/>
    <col min="282" max="282" width="12.27734375" style="233" bestFit="1" customWidth="1"/>
    <col min="283" max="283" width="18.27734375" style="233" bestFit="1" customWidth="1"/>
    <col min="284" max="284" width="10.83203125" style="233" bestFit="1" customWidth="1"/>
    <col min="285" max="520" width="8.83203125" style="233"/>
    <col min="521" max="521" width="38.27734375" style="233" customWidth="1"/>
    <col min="522" max="522" width="23.44140625" style="233" bestFit="1" customWidth="1"/>
    <col min="523" max="524" width="9.1640625" style="233" customWidth="1"/>
    <col min="525" max="525" width="11.27734375" style="233" bestFit="1" customWidth="1"/>
    <col min="526" max="526" width="14.44140625" style="233" bestFit="1" customWidth="1"/>
    <col min="527" max="527" width="8.1640625" style="233" customWidth="1"/>
    <col min="528" max="528" width="10.83203125" style="233" bestFit="1" customWidth="1"/>
    <col min="529" max="529" width="12.27734375" style="233" bestFit="1" customWidth="1"/>
    <col min="530" max="530" width="9.1640625" style="233" customWidth="1"/>
    <col min="531" max="531" width="10.83203125" style="233" bestFit="1" customWidth="1"/>
    <col min="532" max="532" width="12.27734375" style="233" bestFit="1" customWidth="1"/>
    <col min="533" max="533" width="8" style="233" customWidth="1"/>
    <col min="534" max="534" width="10.83203125" style="233" bestFit="1" customWidth="1"/>
    <col min="535" max="535" width="12.27734375" style="233" bestFit="1" customWidth="1"/>
    <col min="536" max="536" width="8.1640625" style="233" bestFit="1" customWidth="1"/>
    <col min="537" max="537" width="10.83203125" style="233" bestFit="1" customWidth="1"/>
    <col min="538" max="538" width="12.27734375" style="233" bestFit="1" customWidth="1"/>
    <col min="539" max="539" width="18.27734375" style="233" bestFit="1" customWidth="1"/>
    <col min="540" max="540" width="10.83203125" style="233" bestFit="1" customWidth="1"/>
    <col min="541" max="776" width="8.83203125" style="233"/>
    <col min="777" max="777" width="38.27734375" style="233" customWidth="1"/>
    <col min="778" max="778" width="23.44140625" style="233" bestFit="1" customWidth="1"/>
    <col min="779" max="780" width="9.1640625" style="233" customWidth="1"/>
    <col min="781" max="781" width="11.27734375" style="233" bestFit="1" customWidth="1"/>
    <col min="782" max="782" width="14.44140625" style="233" bestFit="1" customWidth="1"/>
    <col min="783" max="783" width="8.1640625" style="233" customWidth="1"/>
    <col min="784" max="784" width="10.83203125" style="233" bestFit="1" customWidth="1"/>
    <col min="785" max="785" width="12.27734375" style="233" bestFit="1" customWidth="1"/>
    <col min="786" max="786" width="9.1640625" style="233" customWidth="1"/>
    <col min="787" max="787" width="10.83203125" style="233" bestFit="1" customWidth="1"/>
    <col min="788" max="788" width="12.27734375" style="233" bestFit="1" customWidth="1"/>
    <col min="789" max="789" width="8" style="233" customWidth="1"/>
    <col min="790" max="790" width="10.83203125" style="233" bestFit="1" customWidth="1"/>
    <col min="791" max="791" width="12.27734375" style="233" bestFit="1" customWidth="1"/>
    <col min="792" max="792" width="8.1640625" style="233" bestFit="1" customWidth="1"/>
    <col min="793" max="793" width="10.83203125" style="233" bestFit="1" customWidth="1"/>
    <col min="794" max="794" width="12.27734375" style="233" bestFit="1" customWidth="1"/>
    <col min="795" max="795" width="18.27734375" style="233" bestFit="1" customWidth="1"/>
    <col min="796" max="796" width="10.83203125" style="233" bestFit="1" customWidth="1"/>
    <col min="797" max="1032" width="8.83203125" style="233"/>
    <col min="1033" max="1033" width="38.27734375" style="233" customWidth="1"/>
    <col min="1034" max="1034" width="23.44140625" style="233" bestFit="1" customWidth="1"/>
    <col min="1035" max="1036" width="9.1640625" style="233" customWidth="1"/>
    <col min="1037" max="1037" width="11.27734375" style="233" bestFit="1" customWidth="1"/>
    <col min="1038" max="1038" width="14.44140625" style="233" bestFit="1" customWidth="1"/>
    <col min="1039" max="1039" width="8.1640625" style="233" customWidth="1"/>
    <col min="1040" max="1040" width="10.83203125" style="233" bestFit="1" customWidth="1"/>
    <col min="1041" max="1041" width="12.27734375" style="233" bestFit="1" customWidth="1"/>
    <col min="1042" max="1042" width="9.1640625" style="233" customWidth="1"/>
    <col min="1043" max="1043" width="10.83203125" style="233" bestFit="1" customWidth="1"/>
    <col min="1044" max="1044" width="12.27734375" style="233" bestFit="1" customWidth="1"/>
    <col min="1045" max="1045" width="8" style="233" customWidth="1"/>
    <col min="1046" max="1046" width="10.83203125" style="233" bestFit="1" customWidth="1"/>
    <col min="1047" max="1047" width="12.27734375" style="233" bestFit="1" customWidth="1"/>
    <col min="1048" max="1048" width="8.1640625" style="233" bestFit="1" customWidth="1"/>
    <col min="1049" max="1049" width="10.83203125" style="233" bestFit="1" customWidth="1"/>
    <col min="1050" max="1050" width="12.27734375" style="233" bestFit="1" customWidth="1"/>
    <col min="1051" max="1051" width="18.27734375" style="233" bestFit="1" customWidth="1"/>
    <col min="1052" max="1052" width="10.83203125" style="233" bestFit="1" customWidth="1"/>
    <col min="1053" max="1288" width="8.83203125" style="233"/>
    <col min="1289" max="1289" width="38.27734375" style="233" customWidth="1"/>
    <col min="1290" max="1290" width="23.44140625" style="233" bestFit="1" customWidth="1"/>
    <col min="1291" max="1292" width="9.1640625" style="233" customWidth="1"/>
    <col min="1293" max="1293" width="11.27734375" style="233" bestFit="1" customWidth="1"/>
    <col min="1294" max="1294" width="14.44140625" style="233" bestFit="1" customWidth="1"/>
    <col min="1295" max="1295" width="8.1640625" style="233" customWidth="1"/>
    <col min="1296" max="1296" width="10.83203125" style="233" bestFit="1" customWidth="1"/>
    <col min="1297" max="1297" width="12.27734375" style="233" bestFit="1" customWidth="1"/>
    <col min="1298" max="1298" width="9.1640625" style="233" customWidth="1"/>
    <col min="1299" max="1299" width="10.83203125" style="233" bestFit="1" customWidth="1"/>
    <col min="1300" max="1300" width="12.27734375" style="233" bestFit="1" customWidth="1"/>
    <col min="1301" max="1301" width="8" style="233" customWidth="1"/>
    <col min="1302" max="1302" width="10.83203125" style="233" bestFit="1" customWidth="1"/>
    <col min="1303" max="1303" width="12.27734375" style="233" bestFit="1" customWidth="1"/>
    <col min="1304" max="1304" width="8.1640625" style="233" bestFit="1" customWidth="1"/>
    <col min="1305" max="1305" width="10.83203125" style="233" bestFit="1" customWidth="1"/>
    <col min="1306" max="1306" width="12.27734375" style="233" bestFit="1" customWidth="1"/>
    <col min="1307" max="1307" width="18.27734375" style="233" bestFit="1" customWidth="1"/>
    <col min="1308" max="1308" width="10.83203125" style="233" bestFit="1" customWidth="1"/>
    <col min="1309" max="1544" width="8.83203125" style="233"/>
    <col min="1545" max="1545" width="38.27734375" style="233" customWidth="1"/>
    <col min="1546" max="1546" width="23.44140625" style="233" bestFit="1" customWidth="1"/>
    <col min="1547" max="1548" width="9.1640625" style="233" customWidth="1"/>
    <col min="1549" max="1549" width="11.27734375" style="233" bestFit="1" customWidth="1"/>
    <col min="1550" max="1550" width="14.44140625" style="233" bestFit="1" customWidth="1"/>
    <col min="1551" max="1551" width="8.1640625" style="233" customWidth="1"/>
    <col min="1552" max="1552" width="10.83203125" style="233" bestFit="1" customWidth="1"/>
    <col min="1553" max="1553" width="12.27734375" style="233" bestFit="1" customWidth="1"/>
    <col min="1554" max="1554" width="9.1640625" style="233" customWidth="1"/>
    <col min="1555" max="1555" width="10.83203125" style="233" bestFit="1" customWidth="1"/>
    <col min="1556" max="1556" width="12.27734375" style="233" bestFit="1" customWidth="1"/>
    <col min="1557" max="1557" width="8" style="233" customWidth="1"/>
    <col min="1558" max="1558" width="10.83203125" style="233" bestFit="1" customWidth="1"/>
    <col min="1559" max="1559" width="12.27734375" style="233" bestFit="1" customWidth="1"/>
    <col min="1560" max="1560" width="8.1640625" style="233" bestFit="1" customWidth="1"/>
    <col min="1561" max="1561" width="10.83203125" style="233" bestFit="1" customWidth="1"/>
    <col min="1562" max="1562" width="12.27734375" style="233" bestFit="1" customWidth="1"/>
    <col min="1563" max="1563" width="18.27734375" style="233" bestFit="1" customWidth="1"/>
    <col min="1564" max="1564" width="10.83203125" style="233" bestFit="1" customWidth="1"/>
    <col min="1565" max="1800" width="8.83203125" style="233"/>
    <col min="1801" max="1801" width="38.27734375" style="233" customWidth="1"/>
    <col min="1802" max="1802" width="23.44140625" style="233" bestFit="1" customWidth="1"/>
    <col min="1803" max="1804" width="9.1640625" style="233" customWidth="1"/>
    <col min="1805" max="1805" width="11.27734375" style="233" bestFit="1" customWidth="1"/>
    <col min="1806" max="1806" width="14.44140625" style="233" bestFit="1" customWidth="1"/>
    <col min="1807" max="1807" width="8.1640625" style="233" customWidth="1"/>
    <col min="1808" max="1808" width="10.83203125" style="233" bestFit="1" customWidth="1"/>
    <col min="1809" max="1809" width="12.27734375" style="233" bestFit="1" customWidth="1"/>
    <col min="1810" max="1810" width="9.1640625" style="233" customWidth="1"/>
    <col min="1811" max="1811" width="10.83203125" style="233" bestFit="1" customWidth="1"/>
    <col min="1812" max="1812" width="12.27734375" style="233" bestFit="1" customWidth="1"/>
    <col min="1813" max="1813" width="8" style="233" customWidth="1"/>
    <col min="1814" max="1814" width="10.83203125" style="233" bestFit="1" customWidth="1"/>
    <col min="1815" max="1815" width="12.27734375" style="233" bestFit="1" customWidth="1"/>
    <col min="1816" max="1816" width="8.1640625" style="233" bestFit="1" customWidth="1"/>
    <col min="1817" max="1817" width="10.83203125" style="233" bestFit="1" customWidth="1"/>
    <col min="1818" max="1818" width="12.27734375" style="233" bestFit="1" customWidth="1"/>
    <col min="1819" max="1819" width="18.27734375" style="233" bestFit="1" customWidth="1"/>
    <col min="1820" max="1820" width="10.83203125" style="233" bestFit="1" customWidth="1"/>
    <col min="1821" max="2056" width="8.83203125" style="233"/>
    <col min="2057" max="2057" width="38.27734375" style="233" customWidth="1"/>
    <col min="2058" max="2058" width="23.44140625" style="233" bestFit="1" customWidth="1"/>
    <col min="2059" max="2060" width="9.1640625" style="233" customWidth="1"/>
    <col min="2061" max="2061" width="11.27734375" style="233" bestFit="1" customWidth="1"/>
    <col min="2062" max="2062" width="14.44140625" style="233" bestFit="1" customWidth="1"/>
    <col min="2063" max="2063" width="8.1640625" style="233" customWidth="1"/>
    <col min="2064" max="2064" width="10.83203125" style="233" bestFit="1" customWidth="1"/>
    <col min="2065" max="2065" width="12.27734375" style="233" bestFit="1" customWidth="1"/>
    <col min="2066" max="2066" width="9.1640625" style="233" customWidth="1"/>
    <col min="2067" max="2067" width="10.83203125" style="233" bestFit="1" customWidth="1"/>
    <col min="2068" max="2068" width="12.27734375" style="233" bestFit="1" customWidth="1"/>
    <col min="2069" max="2069" width="8" style="233" customWidth="1"/>
    <col min="2070" max="2070" width="10.83203125" style="233" bestFit="1" customWidth="1"/>
    <col min="2071" max="2071" width="12.27734375" style="233" bestFit="1" customWidth="1"/>
    <col min="2072" max="2072" width="8.1640625" style="233" bestFit="1" customWidth="1"/>
    <col min="2073" max="2073" width="10.83203125" style="233" bestFit="1" customWidth="1"/>
    <col min="2074" max="2074" width="12.27734375" style="233" bestFit="1" customWidth="1"/>
    <col min="2075" max="2075" width="18.27734375" style="233" bestFit="1" customWidth="1"/>
    <col min="2076" max="2076" width="10.83203125" style="233" bestFit="1" customWidth="1"/>
    <col min="2077" max="2312" width="8.83203125" style="233"/>
    <col min="2313" max="2313" width="38.27734375" style="233" customWidth="1"/>
    <col min="2314" max="2314" width="23.44140625" style="233" bestFit="1" customWidth="1"/>
    <col min="2315" max="2316" width="9.1640625" style="233" customWidth="1"/>
    <col min="2317" max="2317" width="11.27734375" style="233" bestFit="1" customWidth="1"/>
    <col min="2318" max="2318" width="14.44140625" style="233" bestFit="1" customWidth="1"/>
    <col min="2319" max="2319" width="8.1640625" style="233" customWidth="1"/>
    <col min="2320" max="2320" width="10.83203125" style="233" bestFit="1" customWidth="1"/>
    <col min="2321" max="2321" width="12.27734375" style="233" bestFit="1" customWidth="1"/>
    <col min="2322" max="2322" width="9.1640625" style="233" customWidth="1"/>
    <col min="2323" max="2323" width="10.83203125" style="233" bestFit="1" customWidth="1"/>
    <col min="2324" max="2324" width="12.27734375" style="233" bestFit="1" customWidth="1"/>
    <col min="2325" max="2325" width="8" style="233" customWidth="1"/>
    <col min="2326" max="2326" width="10.83203125" style="233" bestFit="1" customWidth="1"/>
    <col min="2327" max="2327" width="12.27734375" style="233" bestFit="1" customWidth="1"/>
    <col min="2328" max="2328" width="8.1640625" style="233" bestFit="1" customWidth="1"/>
    <col min="2329" max="2329" width="10.83203125" style="233" bestFit="1" customWidth="1"/>
    <col min="2330" max="2330" width="12.27734375" style="233" bestFit="1" customWidth="1"/>
    <col min="2331" max="2331" width="18.27734375" style="233" bestFit="1" customWidth="1"/>
    <col min="2332" max="2332" width="10.83203125" style="233" bestFit="1" customWidth="1"/>
    <col min="2333" max="2568" width="8.83203125" style="233"/>
    <col min="2569" max="2569" width="38.27734375" style="233" customWidth="1"/>
    <col min="2570" max="2570" width="23.44140625" style="233" bestFit="1" customWidth="1"/>
    <col min="2571" max="2572" width="9.1640625" style="233" customWidth="1"/>
    <col min="2573" max="2573" width="11.27734375" style="233" bestFit="1" customWidth="1"/>
    <col min="2574" max="2574" width="14.44140625" style="233" bestFit="1" customWidth="1"/>
    <col min="2575" max="2575" width="8.1640625" style="233" customWidth="1"/>
    <col min="2576" max="2576" width="10.83203125" style="233" bestFit="1" customWidth="1"/>
    <col min="2577" max="2577" width="12.27734375" style="233" bestFit="1" customWidth="1"/>
    <col min="2578" max="2578" width="9.1640625" style="233" customWidth="1"/>
    <col min="2579" max="2579" width="10.83203125" style="233" bestFit="1" customWidth="1"/>
    <col min="2580" max="2580" width="12.27734375" style="233" bestFit="1" customWidth="1"/>
    <col min="2581" max="2581" width="8" style="233" customWidth="1"/>
    <col min="2582" max="2582" width="10.83203125" style="233" bestFit="1" customWidth="1"/>
    <col min="2583" max="2583" width="12.27734375" style="233" bestFit="1" customWidth="1"/>
    <col min="2584" max="2584" width="8.1640625" style="233" bestFit="1" customWidth="1"/>
    <col min="2585" max="2585" width="10.83203125" style="233" bestFit="1" customWidth="1"/>
    <col min="2586" max="2586" width="12.27734375" style="233" bestFit="1" customWidth="1"/>
    <col min="2587" max="2587" width="18.27734375" style="233" bestFit="1" customWidth="1"/>
    <col min="2588" max="2588" width="10.83203125" style="233" bestFit="1" customWidth="1"/>
    <col min="2589" max="2824" width="8.83203125" style="233"/>
    <col min="2825" max="2825" width="38.27734375" style="233" customWidth="1"/>
    <col min="2826" max="2826" width="23.44140625" style="233" bestFit="1" customWidth="1"/>
    <col min="2827" max="2828" width="9.1640625" style="233" customWidth="1"/>
    <col min="2829" max="2829" width="11.27734375" style="233" bestFit="1" customWidth="1"/>
    <col min="2830" max="2830" width="14.44140625" style="233" bestFit="1" customWidth="1"/>
    <col min="2831" max="2831" width="8.1640625" style="233" customWidth="1"/>
    <col min="2832" max="2832" width="10.83203125" style="233" bestFit="1" customWidth="1"/>
    <col min="2833" max="2833" width="12.27734375" style="233" bestFit="1" customWidth="1"/>
    <col min="2834" max="2834" width="9.1640625" style="233" customWidth="1"/>
    <col min="2835" max="2835" width="10.83203125" style="233" bestFit="1" customWidth="1"/>
    <col min="2836" max="2836" width="12.27734375" style="233" bestFit="1" customWidth="1"/>
    <col min="2837" max="2837" width="8" style="233" customWidth="1"/>
    <col min="2838" max="2838" width="10.83203125" style="233" bestFit="1" customWidth="1"/>
    <col min="2839" max="2839" width="12.27734375" style="233" bestFit="1" customWidth="1"/>
    <col min="2840" max="2840" width="8.1640625" style="233" bestFit="1" customWidth="1"/>
    <col min="2841" max="2841" width="10.83203125" style="233" bestFit="1" customWidth="1"/>
    <col min="2842" max="2842" width="12.27734375" style="233" bestFit="1" customWidth="1"/>
    <col min="2843" max="2843" width="18.27734375" style="233" bestFit="1" customWidth="1"/>
    <col min="2844" max="2844" width="10.83203125" style="233" bestFit="1" customWidth="1"/>
    <col min="2845" max="3080" width="8.83203125" style="233"/>
    <col min="3081" max="3081" width="38.27734375" style="233" customWidth="1"/>
    <col min="3082" max="3082" width="23.44140625" style="233" bestFit="1" customWidth="1"/>
    <col min="3083" max="3084" width="9.1640625" style="233" customWidth="1"/>
    <col min="3085" max="3085" width="11.27734375" style="233" bestFit="1" customWidth="1"/>
    <col min="3086" max="3086" width="14.44140625" style="233" bestFit="1" customWidth="1"/>
    <col min="3087" max="3087" width="8.1640625" style="233" customWidth="1"/>
    <col min="3088" max="3088" width="10.83203125" style="233" bestFit="1" customWidth="1"/>
    <col min="3089" max="3089" width="12.27734375" style="233" bestFit="1" customWidth="1"/>
    <col min="3090" max="3090" width="9.1640625" style="233" customWidth="1"/>
    <col min="3091" max="3091" width="10.83203125" style="233" bestFit="1" customWidth="1"/>
    <col min="3092" max="3092" width="12.27734375" style="233" bestFit="1" customWidth="1"/>
    <col min="3093" max="3093" width="8" style="233" customWidth="1"/>
    <col min="3094" max="3094" width="10.83203125" style="233" bestFit="1" customWidth="1"/>
    <col min="3095" max="3095" width="12.27734375" style="233" bestFit="1" customWidth="1"/>
    <col min="3096" max="3096" width="8.1640625" style="233" bestFit="1" customWidth="1"/>
    <col min="3097" max="3097" width="10.83203125" style="233" bestFit="1" customWidth="1"/>
    <col min="3098" max="3098" width="12.27734375" style="233" bestFit="1" customWidth="1"/>
    <col min="3099" max="3099" width="18.27734375" style="233" bestFit="1" customWidth="1"/>
    <col min="3100" max="3100" width="10.83203125" style="233" bestFit="1" customWidth="1"/>
    <col min="3101" max="3336" width="8.83203125" style="233"/>
    <col min="3337" max="3337" width="38.27734375" style="233" customWidth="1"/>
    <col min="3338" max="3338" width="23.44140625" style="233" bestFit="1" customWidth="1"/>
    <col min="3339" max="3340" width="9.1640625" style="233" customWidth="1"/>
    <col min="3341" max="3341" width="11.27734375" style="233" bestFit="1" customWidth="1"/>
    <col min="3342" max="3342" width="14.44140625" style="233" bestFit="1" customWidth="1"/>
    <col min="3343" max="3343" width="8.1640625" style="233" customWidth="1"/>
    <col min="3344" max="3344" width="10.83203125" style="233" bestFit="1" customWidth="1"/>
    <col min="3345" max="3345" width="12.27734375" style="233" bestFit="1" customWidth="1"/>
    <col min="3346" max="3346" width="9.1640625" style="233" customWidth="1"/>
    <col min="3347" max="3347" width="10.83203125" style="233" bestFit="1" customWidth="1"/>
    <col min="3348" max="3348" width="12.27734375" style="233" bestFit="1" customWidth="1"/>
    <col min="3349" max="3349" width="8" style="233" customWidth="1"/>
    <col min="3350" max="3350" width="10.83203125" style="233" bestFit="1" customWidth="1"/>
    <col min="3351" max="3351" width="12.27734375" style="233" bestFit="1" customWidth="1"/>
    <col min="3352" max="3352" width="8.1640625" style="233" bestFit="1" customWidth="1"/>
    <col min="3353" max="3353" width="10.83203125" style="233" bestFit="1" customWidth="1"/>
    <col min="3354" max="3354" width="12.27734375" style="233" bestFit="1" customWidth="1"/>
    <col min="3355" max="3355" width="18.27734375" style="233" bestFit="1" customWidth="1"/>
    <col min="3356" max="3356" width="10.83203125" style="233" bestFit="1" customWidth="1"/>
    <col min="3357" max="3592" width="8.83203125" style="233"/>
    <col min="3593" max="3593" width="38.27734375" style="233" customWidth="1"/>
    <col min="3594" max="3594" width="23.44140625" style="233" bestFit="1" customWidth="1"/>
    <col min="3595" max="3596" width="9.1640625" style="233" customWidth="1"/>
    <col min="3597" max="3597" width="11.27734375" style="233" bestFit="1" customWidth="1"/>
    <col min="3598" max="3598" width="14.44140625" style="233" bestFit="1" customWidth="1"/>
    <col min="3599" max="3599" width="8.1640625" style="233" customWidth="1"/>
    <col min="3600" max="3600" width="10.83203125" style="233" bestFit="1" customWidth="1"/>
    <col min="3601" max="3601" width="12.27734375" style="233" bestFit="1" customWidth="1"/>
    <col min="3602" max="3602" width="9.1640625" style="233" customWidth="1"/>
    <col min="3603" max="3603" width="10.83203125" style="233" bestFit="1" customWidth="1"/>
    <col min="3604" max="3604" width="12.27734375" style="233" bestFit="1" customWidth="1"/>
    <col min="3605" max="3605" width="8" style="233" customWidth="1"/>
    <col min="3606" max="3606" width="10.83203125" style="233" bestFit="1" customWidth="1"/>
    <col min="3607" max="3607" width="12.27734375" style="233" bestFit="1" customWidth="1"/>
    <col min="3608" max="3608" width="8.1640625" style="233" bestFit="1" customWidth="1"/>
    <col min="3609" max="3609" width="10.83203125" style="233" bestFit="1" customWidth="1"/>
    <col min="3610" max="3610" width="12.27734375" style="233" bestFit="1" customWidth="1"/>
    <col min="3611" max="3611" width="18.27734375" style="233" bestFit="1" customWidth="1"/>
    <col min="3612" max="3612" width="10.83203125" style="233" bestFit="1" customWidth="1"/>
    <col min="3613" max="3848" width="8.83203125" style="233"/>
    <col min="3849" max="3849" width="38.27734375" style="233" customWidth="1"/>
    <col min="3850" max="3850" width="23.44140625" style="233" bestFit="1" customWidth="1"/>
    <col min="3851" max="3852" width="9.1640625" style="233" customWidth="1"/>
    <col min="3853" max="3853" width="11.27734375" style="233" bestFit="1" customWidth="1"/>
    <col min="3854" max="3854" width="14.44140625" style="233" bestFit="1" customWidth="1"/>
    <col min="3855" max="3855" width="8.1640625" style="233" customWidth="1"/>
    <col min="3856" max="3856" width="10.83203125" style="233" bestFit="1" customWidth="1"/>
    <col min="3857" max="3857" width="12.27734375" style="233" bestFit="1" customWidth="1"/>
    <col min="3858" max="3858" width="9.1640625" style="233" customWidth="1"/>
    <col min="3859" max="3859" width="10.83203125" style="233" bestFit="1" customWidth="1"/>
    <col min="3860" max="3860" width="12.27734375" style="233" bestFit="1" customWidth="1"/>
    <col min="3861" max="3861" width="8" style="233" customWidth="1"/>
    <col min="3862" max="3862" width="10.83203125" style="233" bestFit="1" customWidth="1"/>
    <col min="3863" max="3863" width="12.27734375" style="233" bestFit="1" customWidth="1"/>
    <col min="3864" max="3864" width="8.1640625" style="233" bestFit="1" customWidth="1"/>
    <col min="3865" max="3865" width="10.83203125" style="233" bestFit="1" customWidth="1"/>
    <col min="3866" max="3866" width="12.27734375" style="233" bestFit="1" customWidth="1"/>
    <col min="3867" max="3867" width="18.27734375" style="233" bestFit="1" customWidth="1"/>
    <col min="3868" max="3868" width="10.83203125" style="233" bestFit="1" customWidth="1"/>
    <col min="3869" max="4104" width="8.83203125" style="233"/>
    <col min="4105" max="4105" width="38.27734375" style="233" customWidth="1"/>
    <col min="4106" max="4106" width="23.44140625" style="233" bestFit="1" customWidth="1"/>
    <col min="4107" max="4108" width="9.1640625" style="233" customWidth="1"/>
    <col min="4109" max="4109" width="11.27734375" style="233" bestFit="1" customWidth="1"/>
    <col min="4110" max="4110" width="14.44140625" style="233" bestFit="1" customWidth="1"/>
    <col min="4111" max="4111" width="8.1640625" style="233" customWidth="1"/>
    <col min="4112" max="4112" width="10.83203125" style="233" bestFit="1" customWidth="1"/>
    <col min="4113" max="4113" width="12.27734375" style="233" bestFit="1" customWidth="1"/>
    <col min="4114" max="4114" width="9.1640625" style="233" customWidth="1"/>
    <col min="4115" max="4115" width="10.83203125" style="233" bestFit="1" customWidth="1"/>
    <col min="4116" max="4116" width="12.27734375" style="233" bestFit="1" customWidth="1"/>
    <col min="4117" max="4117" width="8" style="233" customWidth="1"/>
    <col min="4118" max="4118" width="10.83203125" style="233" bestFit="1" customWidth="1"/>
    <col min="4119" max="4119" width="12.27734375" style="233" bestFit="1" customWidth="1"/>
    <col min="4120" max="4120" width="8.1640625" style="233" bestFit="1" customWidth="1"/>
    <col min="4121" max="4121" width="10.83203125" style="233" bestFit="1" customWidth="1"/>
    <col min="4122" max="4122" width="12.27734375" style="233" bestFit="1" customWidth="1"/>
    <col min="4123" max="4123" width="18.27734375" style="233" bestFit="1" customWidth="1"/>
    <col min="4124" max="4124" width="10.83203125" style="233" bestFit="1" customWidth="1"/>
    <col min="4125" max="4360" width="8.83203125" style="233"/>
    <col min="4361" max="4361" width="38.27734375" style="233" customWidth="1"/>
    <col min="4362" max="4362" width="23.44140625" style="233" bestFit="1" customWidth="1"/>
    <col min="4363" max="4364" width="9.1640625" style="233" customWidth="1"/>
    <col min="4365" max="4365" width="11.27734375" style="233" bestFit="1" customWidth="1"/>
    <col min="4366" max="4366" width="14.44140625" style="233" bestFit="1" customWidth="1"/>
    <col min="4367" max="4367" width="8.1640625" style="233" customWidth="1"/>
    <col min="4368" max="4368" width="10.83203125" style="233" bestFit="1" customWidth="1"/>
    <col min="4369" max="4369" width="12.27734375" style="233" bestFit="1" customWidth="1"/>
    <col min="4370" max="4370" width="9.1640625" style="233" customWidth="1"/>
    <col min="4371" max="4371" width="10.83203125" style="233" bestFit="1" customWidth="1"/>
    <col min="4372" max="4372" width="12.27734375" style="233" bestFit="1" customWidth="1"/>
    <col min="4373" max="4373" width="8" style="233" customWidth="1"/>
    <col min="4374" max="4374" width="10.83203125" style="233" bestFit="1" customWidth="1"/>
    <col min="4375" max="4375" width="12.27734375" style="233" bestFit="1" customWidth="1"/>
    <col min="4376" max="4376" width="8.1640625" style="233" bestFit="1" customWidth="1"/>
    <col min="4377" max="4377" width="10.83203125" style="233" bestFit="1" customWidth="1"/>
    <col min="4378" max="4378" width="12.27734375" style="233" bestFit="1" customWidth="1"/>
    <col min="4379" max="4379" width="18.27734375" style="233" bestFit="1" customWidth="1"/>
    <col min="4380" max="4380" width="10.83203125" style="233" bestFit="1" customWidth="1"/>
    <col min="4381" max="4616" width="8.83203125" style="233"/>
    <col min="4617" max="4617" width="38.27734375" style="233" customWidth="1"/>
    <col min="4618" max="4618" width="23.44140625" style="233" bestFit="1" customWidth="1"/>
    <col min="4619" max="4620" width="9.1640625" style="233" customWidth="1"/>
    <col min="4621" max="4621" width="11.27734375" style="233" bestFit="1" customWidth="1"/>
    <col min="4622" max="4622" width="14.44140625" style="233" bestFit="1" customWidth="1"/>
    <col min="4623" max="4623" width="8.1640625" style="233" customWidth="1"/>
    <col min="4624" max="4624" width="10.83203125" style="233" bestFit="1" customWidth="1"/>
    <col min="4625" max="4625" width="12.27734375" style="233" bestFit="1" customWidth="1"/>
    <col min="4626" max="4626" width="9.1640625" style="233" customWidth="1"/>
    <col min="4627" max="4627" width="10.83203125" style="233" bestFit="1" customWidth="1"/>
    <col min="4628" max="4628" width="12.27734375" style="233" bestFit="1" customWidth="1"/>
    <col min="4629" max="4629" width="8" style="233" customWidth="1"/>
    <col min="4630" max="4630" width="10.83203125" style="233" bestFit="1" customWidth="1"/>
    <col min="4631" max="4631" width="12.27734375" style="233" bestFit="1" customWidth="1"/>
    <col min="4632" max="4632" width="8.1640625" style="233" bestFit="1" customWidth="1"/>
    <col min="4633" max="4633" width="10.83203125" style="233" bestFit="1" customWidth="1"/>
    <col min="4634" max="4634" width="12.27734375" style="233" bestFit="1" customWidth="1"/>
    <col min="4635" max="4635" width="18.27734375" style="233" bestFit="1" customWidth="1"/>
    <col min="4636" max="4636" width="10.83203125" style="233" bestFit="1" customWidth="1"/>
    <col min="4637" max="4872" width="8.83203125" style="233"/>
    <col min="4873" max="4873" width="38.27734375" style="233" customWidth="1"/>
    <col min="4874" max="4874" width="23.44140625" style="233" bestFit="1" customWidth="1"/>
    <col min="4875" max="4876" width="9.1640625" style="233" customWidth="1"/>
    <col min="4877" max="4877" width="11.27734375" style="233" bestFit="1" customWidth="1"/>
    <col min="4878" max="4878" width="14.44140625" style="233" bestFit="1" customWidth="1"/>
    <col min="4879" max="4879" width="8.1640625" style="233" customWidth="1"/>
    <col min="4880" max="4880" width="10.83203125" style="233" bestFit="1" customWidth="1"/>
    <col min="4881" max="4881" width="12.27734375" style="233" bestFit="1" customWidth="1"/>
    <col min="4882" max="4882" width="9.1640625" style="233" customWidth="1"/>
    <col min="4883" max="4883" width="10.83203125" style="233" bestFit="1" customWidth="1"/>
    <col min="4884" max="4884" width="12.27734375" style="233" bestFit="1" customWidth="1"/>
    <col min="4885" max="4885" width="8" style="233" customWidth="1"/>
    <col min="4886" max="4886" width="10.83203125" style="233" bestFit="1" customWidth="1"/>
    <col min="4887" max="4887" width="12.27734375" style="233" bestFit="1" customWidth="1"/>
    <col min="4888" max="4888" width="8.1640625" style="233" bestFit="1" customWidth="1"/>
    <col min="4889" max="4889" width="10.83203125" style="233" bestFit="1" customWidth="1"/>
    <col min="4890" max="4890" width="12.27734375" style="233" bestFit="1" customWidth="1"/>
    <col min="4891" max="4891" width="18.27734375" style="233" bestFit="1" customWidth="1"/>
    <col min="4892" max="4892" width="10.83203125" style="233" bestFit="1" customWidth="1"/>
    <col min="4893" max="5128" width="8.83203125" style="233"/>
    <col min="5129" max="5129" width="38.27734375" style="233" customWidth="1"/>
    <col min="5130" max="5130" width="23.44140625" style="233" bestFit="1" customWidth="1"/>
    <col min="5131" max="5132" width="9.1640625" style="233" customWidth="1"/>
    <col min="5133" max="5133" width="11.27734375" style="233" bestFit="1" customWidth="1"/>
    <col min="5134" max="5134" width="14.44140625" style="233" bestFit="1" customWidth="1"/>
    <col min="5135" max="5135" width="8.1640625" style="233" customWidth="1"/>
    <col min="5136" max="5136" width="10.83203125" style="233" bestFit="1" customWidth="1"/>
    <col min="5137" max="5137" width="12.27734375" style="233" bestFit="1" customWidth="1"/>
    <col min="5138" max="5138" width="9.1640625" style="233" customWidth="1"/>
    <col min="5139" max="5139" width="10.83203125" style="233" bestFit="1" customWidth="1"/>
    <col min="5140" max="5140" width="12.27734375" style="233" bestFit="1" customWidth="1"/>
    <col min="5141" max="5141" width="8" style="233" customWidth="1"/>
    <col min="5142" max="5142" width="10.83203125" style="233" bestFit="1" customWidth="1"/>
    <col min="5143" max="5143" width="12.27734375" style="233" bestFit="1" customWidth="1"/>
    <col min="5144" max="5144" width="8.1640625" style="233" bestFit="1" customWidth="1"/>
    <col min="5145" max="5145" width="10.83203125" style="233" bestFit="1" customWidth="1"/>
    <col min="5146" max="5146" width="12.27734375" style="233" bestFit="1" customWidth="1"/>
    <col min="5147" max="5147" width="18.27734375" style="233" bestFit="1" customWidth="1"/>
    <col min="5148" max="5148" width="10.83203125" style="233" bestFit="1" customWidth="1"/>
    <col min="5149" max="5384" width="8.83203125" style="233"/>
    <col min="5385" max="5385" width="38.27734375" style="233" customWidth="1"/>
    <col min="5386" max="5386" width="23.44140625" style="233" bestFit="1" customWidth="1"/>
    <col min="5387" max="5388" width="9.1640625" style="233" customWidth="1"/>
    <col min="5389" max="5389" width="11.27734375" style="233" bestFit="1" customWidth="1"/>
    <col min="5390" max="5390" width="14.44140625" style="233" bestFit="1" customWidth="1"/>
    <col min="5391" max="5391" width="8.1640625" style="233" customWidth="1"/>
    <col min="5392" max="5392" width="10.83203125" style="233" bestFit="1" customWidth="1"/>
    <col min="5393" max="5393" width="12.27734375" style="233" bestFit="1" customWidth="1"/>
    <col min="5394" max="5394" width="9.1640625" style="233" customWidth="1"/>
    <col min="5395" max="5395" width="10.83203125" style="233" bestFit="1" customWidth="1"/>
    <col min="5396" max="5396" width="12.27734375" style="233" bestFit="1" customWidth="1"/>
    <col min="5397" max="5397" width="8" style="233" customWidth="1"/>
    <col min="5398" max="5398" width="10.83203125" style="233" bestFit="1" customWidth="1"/>
    <col min="5399" max="5399" width="12.27734375" style="233" bestFit="1" customWidth="1"/>
    <col min="5400" max="5400" width="8.1640625" style="233" bestFit="1" customWidth="1"/>
    <col min="5401" max="5401" width="10.83203125" style="233" bestFit="1" customWidth="1"/>
    <col min="5402" max="5402" width="12.27734375" style="233" bestFit="1" customWidth="1"/>
    <col min="5403" max="5403" width="18.27734375" style="233" bestFit="1" customWidth="1"/>
    <col min="5404" max="5404" width="10.83203125" style="233" bestFit="1" customWidth="1"/>
    <col min="5405" max="5640" width="8.83203125" style="233"/>
    <col min="5641" max="5641" width="38.27734375" style="233" customWidth="1"/>
    <col min="5642" max="5642" width="23.44140625" style="233" bestFit="1" customWidth="1"/>
    <col min="5643" max="5644" width="9.1640625" style="233" customWidth="1"/>
    <col min="5645" max="5645" width="11.27734375" style="233" bestFit="1" customWidth="1"/>
    <col min="5646" max="5646" width="14.44140625" style="233" bestFit="1" customWidth="1"/>
    <col min="5647" max="5647" width="8.1640625" style="233" customWidth="1"/>
    <col min="5648" max="5648" width="10.83203125" style="233" bestFit="1" customWidth="1"/>
    <col min="5649" max="5649" width="12.27734375" style="233" bestFit="1" customWidth="1"/>
    <col min="5650" max="5650" width="9.1640625" style="233" customWidth="1"/>
    <col min="5651" max="5651" width="10.83203125" style="233" bestFit="1" customWidth="1"/>
    <col min="5652" max="5652" width="12.27734375" style="233" bestFit="1" customWidth="1"/>
    <col min="5653" max="5653" width="8" style="233" customWidth="1"/>
    <col min="5654" max="5654" width="10.83203125" style="233" bestFit="1" customWidth="1"/>
    <col min="5655" max="5655" width="12.27734375" style="233" bestFit="1" customWidth="1"/>
    <col min="5656" max="5656" width="8.1640625" style="233" bestFit="1" customWidth="1"/>
    <col min="5657" max="5657" width="10.83203125" style="233" bestFit="1" customWidth="1"/>
    <col min="5658" max="5658" width="12.27734375" style="233" bestFit="1" customWidth="1"/>
    <col min="5659" max="5659" width="18.27734375" style="233" bestFit="1" customWidth="1"/>
    <col min="5660" max="5660" width="10.83203125" style="233" bestFit="1" customWidth="1"/>
    <col min="5661" max="5896" width="8.83203125" style="233"/>
    <col min="5897" max="5897" width="38.27734375" style="233" customWidth="1"/>
    <col min="5898" max="5898" width="23.44140625" style="233" bestFit="1" customWidth="1"/>
    <col min="5899" max="5900" width="9.1640625" style="233" customWidth="1"/>
    <col min="5901" max="5901" width="11.27734375" style="233" bestFit="1" customWidth="1"/>
    <col min="5902" max="5902" width="14.44140625" style="233" bestFit="1" customWidth="1"/>
    <col min="5903" max="5903" width="8.1640625" style="233" customWidth="1"/>
    <col min="5904" max="5904" width="10.83203125" style="233" bestFit="1" customWidth="1"/>
    <col min="5905" max="5905" width="12.27734375" style="233" bestFit="1" customWidth="1"/>
    <col min="5906" max="5906" width="9.1640625" style="233" customWidth="1"/>
    <col min="5907" max="5907" width="10.83203125" style="233" bestFit="1" customWidth="1"/>
    <col min="5908" max="5908" width="12.27734375" style="233" bestFit="1" customWidth="1"/>
    <col min="5909" max="5909" width="8" style="233" customWidth="1"/>
    <col min="5910" max="5910" width="10.83203125" style="233" bestFit="1" customWidth="1"/>
    <col min="5911" max="5911" width="12.27734375" style="233" bestFit="1" customWidth="1"/>
    <col min="5912" max="5912" width="8.1640625" style="233" bestFit="1" customWidth="1"/>
    <col min="5913" max="5913" width="10.83203125" style="233" bestFit="1" customWidth="1"/>
    <col min="5914" max="5914" width="12.27734375" style="233" bestFit="1" customWidth="1"/>
    <col min="5915" max="5915" width="18.27734375" style="233" bestFit="1" customWidth="1"/>
    <col min="5916" max="5916" width="10.83203125" style="233" bestFit="1" customWidth="1"/>
    <col min="5917" max="6152" width="8.83203125" style="233"/>
    <col min="6153" max="6153" width="38.27734375" style="233" customWidth="1"/>
    <col min="6154" max="6154" width="23.44140625" style="233" bestFit="1" customWidth="1"/>
    <col min="6155" max="6156" width="9.1640625" style="233" customWidth="1"/>
    <col min="6157" max="6157" width="11.27734375" style="233" bestFit="1" customWidth="1"/>
    <col min="6158" max="6158" width="14.44140625" style="233" bestFit="1" customWidth="1"/>
    <col min="6159" max="6159" width="8.1640625" style="233" customWidth="1"/>
    <col min="6160" max="6160" width="10.83203125" style="233" bestFit="1" customWidth="1"/>
    <col min="6161" max="6161" width="12.27734375" style="233" bestFit="1" customWidth="1"/>
    <col min="6162" max="6162" width="9.1640625" style="233" customWidth="1"/>
    <col min="6163" max="6163" width="10.83203125" style="233" bestFit="1" customWidth="1"/>
    <col min="6164" max="6164" width="12.27734375" style="233" bestFit="1" customWidth="1"/>
    <col min="6165" max="6165" width="8" style="233" customWidth="1"/>
    <col min="6166" max="6166" width="10.83203125" style="233" bestFit="1" customWidth="1"/>
    <col min="6167" max="6167" width="12.27734375" style="233" bestFit="1" customWidth="1"/>
    <col min="6168" max="6168" width="8.1640625" style="233" bestFit="1" customWidth="1"/>
    <col min="6169" max="6169" width="10.83203125" style="233" bestFit="1" customWidth="1"/>
    <col min="6170" max="6170" width="12.27734375" style="233" bestFit="1" customWidth="1"/>
    <col min="6171" max="6171" width="18.27734375" style="233" bestFit="1" customWidth="1"/>
    <col min="6172" max="6172" width="10.83203125" style="233" bestFit="1" customWidth="1"/>
    <col min="6173" max="6408" width="8.83203125" style="233"/>
    <col min="6409" max="6409" width="38.27734375" style="233" customWidth="1"/>
    <col min="6410" max="6410" width="23.44140625" style="233" bestFit="1" customWidth="1"/>
    <col min="6411" max="6412" width="9.1640625" style="233" customWidth="1"/>
    <col min="6413" max="6413" width="11.27734375" style="233" bestFit="1" customWidth="1"/>
    <col min="6414" max="6414" width="14.44140625" style="233" bestFit="1" customWidth="1"/>
    <col min="6415" max="6415" width="8.1640625" style="233" customWidth="1"/>
    <col min="6416" max="6416" width="10.83203125" style="233" bestFit="1" customWidth="1"/>
    <col min="6417" max="6417" width="12.27734375" style="233" bestFit="1" customWidth="1"/>
    <col min="6418" max="6418" width="9.1640625" style="233" customWidth="1"/>
    <col min="6419" max="6419" width="10.83203125" style="233" bestFit="1" customWidth="1"/>
    <col min="6420" max="6420" width="12.27734375" style="233" bestFit="1" customWidth="1"/>
    <col min="6421" max="6421" width="8" style="233" customWidth="1"/>
    <col min="6422" max="6422" width="10.83203125" style="233" bestFit="1" customWidth="1"/>
    <col min="6423" max="6423" width="12.27734375" style="233" bestFit="1" customWidth="1"/>
    <col min="6424" max="6424" width="8.1640625" style="233" bestFit="1" customWidth="1"/>
    <col min="6425" max="6425" width="10.83203125" style="233" bestFit="1" customWidth="1"/>
    <col min="6426" max="6426" width="12.27734375" style="233" bestFit="1" customWidth="1"/>
    <col min="6427" max="6427" width="18.27734375" style="233" bestFit="1" customWidth="1"/>
    <col min="6428" max="6428" width="10.83203125" style="233" bestFit="1" customWidth="1"/>
    <col min="6429" max="6664" width="8.83203125" style="233"/>
    <col min="6665" max="6665" width="38.27734375" style="233" customWidth="1"/>
    <col min="6666" max="6666" width="23.44140625" style="233" bestFit="1" customWidth="1"/>
    <col min="6667" max="6668" width="9.1640625" style="233" customWidth="1"/>
    <col min="6669" max="6669" width="11.27734375" style="233" bestFit="1" customWidth="1"/>
    <col min="6670" max="6670" width="14.44140625" style="233" bestFit="1" customWidth="1"/>
    <col min="6671" max="6671" width="8.1640625" style="233" customWidth="1"/>
    <col min="6672" max="6672" width="10.83203125" style="233" bestFit="1" customWidth="1"/>
    <col min="6673" max="6673" width="12.27734375" style="233" bestFit="1" customWidth="1"/>
    <col min="6674" max="6674" width="9.1640625" style="233" customWidth="1"/>
    <col min="6675" max="6675" width="10.83203125" style="233" bestFit="1" customWidth="1"/>
    <col min="6676" max="6676" width="12.27734375" style="233" bestFit="1" customWidth="1"/>
    <col min="6677" max="6677" width="8" style="233" customWidth="1"/>
    <col min="6678" max="6678" width="10.83203125" style="233" bestFit="1" customWidth="1"/>
    <col min="6679" max="6679" width="12.27734375" style="233" bestFit="1" customWidth="1"/>
    <col min="6680" max="6680" width="8.1640625" style="233" bestFit="1" customWidth="1"/>
    <col min="6681" max="6681" width="10.83203125" style="233" bestFit="1" customWidth="1"/>
    <col min="6682" max="6682" width="12.27734375" style="233" bestFit="1" customWidth="1"/>
    <col min="6683" max="6683" width="18.27734375" style="233" bestFit="1" customWidth="1"/>
    <col min="6684" max="6684" width="10.83203125" style="233" bestFit="1" customWidth="1"/>
    <col min="6685" max="6920" width="8.83203125" style="233"/>
    <col min="6921" max="6921" width="38.27734375" style="233" customWidth="1"/>
    <col min="6922" max="6922" width="23.44140625" style="233" bestFit="1" customWidth="1"/>
    <col min="6923" max="6924" width="9.1640625" style="233" customWidth="1"/>
    <col min="6925" max="6925" width="11.27734375" style="233" bestFit="1" customWidth="1"/>
    <col min="6926" max="6926" width="14.44140625" style="233" bestFit="1" customWidth="1"/>
    <col min="6927" max="6927" width="8.1640625" style="233" customWidth="1"/>
    <col min="6928" max="6928" width="10.83203125" style="233" bestFit="1" customWidth="1"/>
    <col min="6929" max="6929" width="12.27734375" style="233" bestFit="1" customWidth="1"/>
    <col min="6930" max="6930" width="9.1640625" style="233" customWidth="1"/>
    <col min="6931" max="6931" width="10.83203125" style="233" bestFit="1" customWidth="1"/>
    <col min="6932" max="6932" width="12.27734375" style="233" bestFit="1" customWidth="1"/>
    <col min="6933" max="6933" width="8" style="233" customWidth="1"/>
    <col min="6934" max="6934" width="10.83203125" style="233" bestFit="1" customWidth="1"/>
    <col min="6935" max="6935" width="12.27734375" style="233" bestFit="1" customWidth="1"/>
    <col min="6936" max="6936" width="8.1640625" style="233" bestFit="1" customWidth="1"/>
    <col min="6937" max="6937" width="10.83203125" style="233" bestFit="1" customWidth="1"/>
    <col min="6938" max="6938" width="12.27734375" style="233" bestFit="1" customWidth="1"/>
    <col min="6939" max="6939" width="18.27734375" style="233" bestFit="1" customWidth="1"/>
    <col min="6940" max="6940" width="10.83203125" style="233" bestFit="1" customWidth="1"/>
    <col min="6941" max="7176" width="8.83203125" style="233"/>
    <col min="7177" max="7177" width="38.27734375" style="233" customWidth="1"/>
    <col min="7178" max="7178" width="23.44140625" style="233" bestFit="1" customWidth="1"/>
    <col min="7179" max="7180" width="9.1640625" style="233" customWidth="1"/>
    <col min="7181" max="7181" width="11.27734375" style="233" bestFit="1" customWidth="1"/>
    <col min="7182" max="7182" width="14.44140625" style="233" bestFit="1" customWidth="1"/>
    <col min="7183" max="7183" width="8.1640625" style="233" customWidth="1"/>
    <col min="7184" max="7184" width="10.83203125" style="233" bestFit="1" customWidth="1"/>
    <col min="7185" max="7185" width="12.27734375" style="233" bestFit="1" customWidth="1"/>
    <col min="7186" max="7186" width="9.1640625" style="233" customWidth="1"/>
    <col min="7187" max="7187" width="10.83203125" style="233" bestFit="1" customWidth="1"/>
    <col min="7188" max="7188" width="12.27734375" style="233" bestFit="1" customWidth="1"/>
    <col min="7189" max="7189" width="8" style="233" customWidth="1"/>
    <col min="7190" max="7190" width="10.83203125" style="233" bestFit="1" customWidth="1"/>
    <col min="7191" max="7191" width="12.27734375" style="233" bestFit="1" customWidth="1"/>
    <col min="7192" max="7192" width="8.1640625" style="233" bestFit="1" customWidth="1"/>
    <col min="7193" max="7193" width="10.83203125" style="233" bestFit="1" customWidth="1"/>
    <col min="7194" max="7194" width="12.27734375" style="233" bestFit="1" customWidth="1"/>
    <col min="7195" max="7195" width="18.27734375" style="233" bestFit="1" customWidth="1"/>
    <col min="7196" max="7196" width="10.83203125" style="233" bestFit="1" customWidth="1"/>
    <col min="7197" max="7432" width="8.83203125" style="233"/>
    <col min="7433" max="7433" width="38.27734375" style="233" customWidth="1"/>
    <col min="7434" max="7434" width="23.44140625" style="233" bestFit="1" customWidth="1"/>
    <col min="7435" max="7436" width="9.1640625" style="233" customWidth="1"/>
    <col min="7437" max="7437" width="11.27734375" style="233" bestFit="1" customWidth="1"/>
    <col min="7438" max="7438" width="14.44140625" style="233" bestFit="1" customWidth="1"/>
    <col min="7439" max="7439" width="8.1640625" style="233" customWidth="1"/>
    <col min="7440" max="7440" width="10.83203125" style="233" bestFit="1" customWidth="1"/>
    <col min="7441" max="7441" width="12.27734375" style="233" bestFit="1" customWidth="1"/>
    <col min="7442" max="7442" width="9.1640625" style="233" customWidth="1"/>
    <col min="7443" max="7443" width="10.83203125" style="233" bestFit="1" customWidth="1"/>
    <col min="7444" max="7444" width="12.27734375" style="233" bestFit="1" customWidth="1"/>
    <col min="7445" max="7445" width="8" style="233" customWidth="1"/>
    <col min="7446" max="7446" width="10.83203125" style="233" bestFit="1" customWidth="1"/>
    <col min="7447" max="7447" width="12.27734375" style="233" bestFit="1" customWidth="1"/>
    <col min="7448" max="7448" width="8.1640625" style="233" bestFit="1" customWidth="1"/>
    <col min="7449" max="7449" width="10.83203125" style="233" bestFit="1" customWidth="1"/>
    <col min="7450" max="7450" width="12.27734375" style="233" bestFit="1" customWidth="1"/>
    <col min="7451" max="7451" width="18.27734375" style="233" bestFit="1" customWidth="1"/>
    <col min="7452" max="7452" width="10.83203125" style="233" bestFit="1" customWidth="1"/>
    <col min="7453" max="7688" width="8.83203125" style="233"/>
    <col min="7689" max="7689" width="38.27734375" style="233" customWidth="1"/>
    <col min="7690" max="7690" width="23.44140625" style="233" bestFit="1" customWidth="1"/>
    <col min="7691" max="7692" width="9.1640625" style="233" customWidth="1"/>
    <col min="7693" max="7693" width="11.27734375" style="233" bestFit="1" customWidth="1"/>
    <col min="7694" max="7694" width="14.44140625" style="233" bestFit="1" customWidth="1"/>
    <col min="7695" max="7695" width="8.1640625" style="233" customWidth="1"/>
    <col min="7696" max="7696" width="10.83203125" style="233" bestFit="1" customWidth="1"/>
    <col min="7697" max="7697" width="12.27734375" style="233" bestFit="1" customWidth="1"/>
    <col min="7698" max="7698" width="9.1640625" style="233" customWidth="1"/>
    <col min="7699" max="7699" width="10.83203125" style="233" bestFit="1" customWidth="1"/>
    <col min="7700" max="7700" width="12.27734375" style="233" bestFit="1" customWidth="1"/>
    <col min="7701" max="7701" width="8" style="233" customWidth="1"/>
    <col min="7702" max="7702" width="10.83203125" style="233" bestFit="1" customWidth="1"/>
    <col min="7703" max="7703" width="12.27734375" style="233" bestFit="1" customWidth="1"/>
    <col min="7704" max="7704" width="8.1640625" style="233" bestFit="1" customWidth="1"/>
    <col min="7705" max="7705" width="10.83203125" style="233" bestFit="1" customWidth="1"/>
    <col min="7706" max="7706" width="12.27734375" style="233" bestFit="1" customWidth="1"/>
    <col min="7707" max="7707" width="18.27734375" style="233" bestFit="1" customWidth="1"/>
    <col min="7708" max="7708" width="10.83203125" style="233" bestFit="1" customWidth="1"/>
    <col min="7709" max="7944" width="8.83203125" style="233"/>
    <col min="7945" max="7945" width="38.27734375" style="233" customWidth="1"/>
    <col min="7946" max="7946" width="23.44140625" style="233" bestFit="1" customWidth="1"/>
    <col min="7947" max="7948" width="9.1640625" style="233" customWidth="1"/>
    <col min="7949" max="7949" width="11.27734375" style="233" bestFit="1" customWidth="1"/>
    <col min="7950" max="7950" width="14.44140625" style="233" bestFit="1" customWidth="1"/>
    <col min="7951" max="7951" width="8.1640625" style="233" customWidth="1"/>
    <col min="7952" max="7952" width="10.83203125" style="233" bestFit="1" customWidth="1"/>
    <col min="7953" max="7953" width="12.27734375" style="233" bestFit="1" customWidth="1"/>
    <col min="7954" max="7954" width="9.1640625" style="233" customWidth="1"/>
    <col min="7955" max="7955" width="10.83203125" style="233" bestFit="1" customWidth="1"/>
    <col min="7956" max="7956" width="12.27734375" style="233" bestFit="1" customWidth="1"/>
    <col min="7957" max="7957" width="8" style="233" customWidth="1"/>
    <col min="7958" max="7958" width="10.83203125" style="233" bestFit="1" customWidth="1"/>
    <col min="7959" max="7959" width="12.27734375" style="233" bestFit="1" customWidth="1"/>
    <col min="7960" max="7960" width="8.1640625" style="233" bestFit="1" customWidth="1"/>
    <col min="7961" max="7961" width="10.83203125" style="233" bestFit="1" customWidth="1"/>
    <col min="7962" max="7962" width="12.27734375" style="233" bestFit="1" customWidth="1"/>
    <col min="7963" max="7963" width="18.27734375" style="233" bestFit="1" customWidth="1"/>
    <col min="7964" max="7964" width="10.83203125" style="233" bestFit="1" customWidth="1"/>
    <col min="7965" max="8200" width="8.83203125" style="233"/>
    <col min="8201" max="8201" width="38.27734375" style="233" customWidth="1"/>
    <col min="8202" max="8202" width="23.44140625" style="233" bestFit="1" customWidth="1"/>
    <col min="8203" max="8204" width="9.1640625" style="233" customWidth="1"/>
    <col min="8205" max="8205" width="11.27734375" style="233" bestFit="1" customWidth="1"/>
    <col min="8206" max="8206" width="14.44140625" style="233" bestFit="1" customWidth="1"/>
    <col min="8207" max="8207" width="8.1640625" style="233" customWidth="1"/>
    <col min="8208" max="8208" width="10.83203125" style="233" bestFit="1" customWidth="1"/>
    <col min="8209" max="8209" width="12.27734375" style="233" bestFit="1" customWidth="1"/>
    <col min="8210" max="8210" width="9.1640625" style="233" customWidth="1"/>
    <col min="8211" max="8211" width="10.83203125" style="233" bestFit="1" customWidth="1"/>
    <col min="8212" max="8212" width="12.27734375" style="233" bestFit="1" customWidth="1"/>
    <col min="8213" max="8213" width="8" style="233" customWidth="1"/>
    <col min="8214" max="8214" width="10.83203125" style="233" bestFit="1" customWidth="1"/>
    <col min="8215" max="8215" width="12.27734375" style="233" bestFit="1" customWidth="1"/>
    <col min="8216" max="8216" width="8.1640625" style="233" bestFit="1" customWidth="1"/>
    <col min="8217" max="8217" width="10.83203125" style="233" bestFit="1" customWidth="1"/>
    <col min="8218" max="8218" width="12.27734375" style="233" bestFit="1" customWidth="1"/>
    <col min="8219" max="8219" width="18.27734375" style="233" bestFit="1" customWidth="1"/>
    <col min="8220" max="8220" width="10.83203125" style="233" bestFit="1" customWidth="1"/>
    <col min="8221" max="8456" width="8.83203125" style="233"/>
    <col min="8457" max="8457" width="38.27734375" style="233" customWidth="1"/>
    <col min="8458" max="8458" width="23.44140625" style="233" bestFit="1" customWidth="1"/>
    <col min="8459" max="8460" width="9.1640625" style="233" customWidth="1"/>
    <col min="8461" max="8461" width="11.27734375" style="233" bestFit="1" customWidth="1"/>
    <col min="8462" max="8462" width="14.44140625" style="233" bestFit="1" customWidth="1"/>
    <col min="8463" max="8463" width="8.1640625" style="233" customWidth="1"/>
    <col min="8464" max="8464" width="10.83203125" style="233" bestFit="1" customWidth="1"/>
    <col min="8465" max="8465" width="12.27734375" style="233" bestFit="1" customWidth="1"/>
    <col min="8466" max="8466" width="9.1640625" style="233" customWidth="1"/>
    <col min="8467" max="8467" width="10.83203125" style="233" bestFit="1" customWidth="1"/>
    <col min="8468" max="8468" width="12.27734375" style="233" bestFit="1" customWidth="1"/>
    <col min="8469" max="8469" width="8" style="233" customWidth="1"/>
    <col min="8470" max="8470" width="10.83203125" style="233" bestFit="1" customWidth="1"/>
    <col min="8471" max="8471" width="12.27734375" style="233" bestFit="1" customWidth="1"/>
    <col min="8472" max="8472" width="8.1640625" style="233" bestFit="1" customWidth="1"/>
    <col min="8473" max="8473" width="10.83203125" style="233" bestFit="1" customWidth="1"/>
    <col min="8474" max="8474" width="12.27734375" style="233" bestFit="1" customWidth="1"/>
    <col min="8475" max="8475" width="18.27734375" style="233" bestFit="1" customWidth="1"/>
    <col min="8476" max="8476" width="10.83203125" style="233" bestFit="1" customWidth="1"/>
    <col min="8477" max="8712" width="8.83203125" style="233"/>
    <col min="8713" max="8713" width="38.27734375" style="233" customWidth="1"/>
    <col min="8714" max="8714" width="23.44140625" style="233" bestFit="1" customWidth="1"/>
    <col min="8715" max="8716" width="9.1640625" style="233" customWidth="1"/>
    <col min="8717" max="8717" width="11.27734375" style="233" bestFit="1" customWidth="1"/>
    <col min="8718" max="8718" width="14.44140625" style="233" bestFit="1" customWidth="1"/>
    <col min="8719" max="8719" width="8.1640625" style="233" customWidth="1"/>
    <col min="8720" max="8720" width="10.83203125" style="233" bestFit="1" customWidth="1"/>
    <col min="8721" max="8721" width="12.27734375" style="233" bestFit="1" customWidth="1"/>
    <col min="8722" max="8722" width="9.1640625" style="233" customWidth="1"/>
    <col min="8723" max="8723" width="10.83203125" style="233" bestFit="1" customWidth="1"/>
    <col min="8724" max="8724" width="12.27734375" style="233" bestFit="1" customWidth="1"/>
    <col min="8725" max="8725" width="8" style="233" customWidth="1"/>
    <col min="8726" max="8726" width="10.83203125" style="233" bestFit="1" customWidth="1"/>
    <col min="8727" max="8727" width="12.27734375" style="233" bestFit="1" customWidth="1"/>
    <col min="8728" max="8728" width="8.1640625" style="233" bestFit="1" customWidth="1"/>
    <col min="8729" max="8729" width="10.83203125" style="233" bestFit="1" customWidth="1"/>
    <col min="8730" max="8730" width="12.27734375" style="233" bestFit="1" customWidth="1"/>
    <col min="8731" max="8731" width="18.27734375" style="233" bestFit="1" customWidth="1"/>
    <col min="8732" max="8732" width="10.83203125" style="233" bestFit="1" customWidth="1"/>
    <col min="8733" max="8968" width="8.83203125" style="233"/>
    <col min="8969" max="8969" width="38.27734375" style="233" customWidth="1"/>
    <col min="8970" max="8970" width="23.44140625" style="233" bestFit="1" customWidth="1"/>
    <col min="8971" max="8972" width="9.1640625" style="233" customWidth="1"/>
    <col min="8973" max="8973" width="11.27734375" style="233" bestFit="1" customWidth="1"/>
    <col min="8974" max="8974" width="14.44140625" style="233" bestFit="1" customWidth="1"/>
    <col min="8975" max="8975" width="8.1640625" style="233" customWidth="1"/>
    <col min="8976" max="8976" width="10.83203125" style="233" bestFit="1" customWidth="1"/>
    <col min="8977" max="8977" width="12.27734375" style="233" bestFit="1" customWidth="1"/>
    <col min="8978" max="8978" width="9.1640625" style="233" customWidth="1"/>
    <col min="8979" max="8979" width="10.83203125" style="233" bestFit="1" customWidth="1"/>
    <col min="8980" max="8980" width="12.27734375" style="233" bestFit="1" customWidth="1"/>
    <col min="8981" max="8981" width="8" style="233" customWidth="1"/>
    <col min="8982" max="8982" width="10.83203125" style="233" bestFit="1" customWidth="1"/>
    <col min="8983" max="8983" width="12.27734375" style="233" bestFit="1" customWidth="1"/>
    <col min="8984" max="8984" width="8.1640625" style="233" bestFit="1" customWidth="1"/>
    <col min="8985" max="8985" width="10.83203125" style="233" bestFit="1" customWidth="1"/>
    <col min="8986" max="8986" width="12.27734375" style="233" bestFit="1" customWidth="1"/>
    <col min="8987" max="8987" width="18.27734375" style="233" bestFit="1" customWidth="1"/>
    <col min="8988" max="8988" width="10.83203125" style="233" bestFit="1" customWidth="1"/>
    <col min="8989" max="9224" width="8.83203125" style="233"/>
    <col min="9225" max="9225" width="38.27734375" style="233" customWidth="1"/>
    <col min="9226" max="9226" width="23.44140625" style="233" bestFit="1" customWidth="1"/>
    <col min="9227" max="9228" width="9.1640625" style="233" customWidth="1"/>
    <col min="9229" max="9229" width="11.27734375" style="233" bestFit="1" customWidth="1"/>
    <col min="9230" max="9230" width="14.44140625" style="233" bestFit="1" customWidth="1"/>
    <col min="9231" max="9231" width="8.1640625" style="233" customWidth="1"/>
    <col min="9232" max="9232" width="10.83203125" style="233" bestFit="1" customWidth="1"/>
    <col min="9233" max="9233" width="12.27734375" style="233" bestFit="1" customWidth="1"/>
    <col min="9234" max="9234" width="9.1640625" style="233" customWidth="1"/>
    <col min="9235" max="9235" width="10.83203125" style="233" bestFit="1" customWidth="1"/>
    <col min="9236" max="9236" width="12.27734375" style="233" bestFit="1" customWidth="1"/>
    <col min="9237" max="9237" width="8" style="233" customWidth="1"/>
    <col min="9238" max="9238" width="10.83203125" style="233" bestFit="1" customWidth="1"/>
    <col min="9239" max="9239" width="12.27734375" style="233" bestFit="1" customWidth="1"/>
    <col min="9240" max="9240" width="8.1640625" style="233" bestFit="1" customWidth="1"/>
    <col min="9241" max="9241" width="10.83203125" style="233" bestFit="1" customWidth="1"/>
    <col min="9242" max="9242" width="12.27734375" style="233" bestFit="1" customWidth="1"/>
    <col min="9243" max="9243" width="18.27734375" style="233" bestFit="1" customWidth="1"/>
    <col min="9244" max="9244" width="10.83203125" style="233" bestFit="1" customWidth="1"/>
    <col min="9245" max="9480" width="8.83203125" style="233"/>
    <col min="9481" max="9481" width="38.27734375" style="233" customWidth="1"/>
    <col min="9482" max="9482" width="23.44140625" style="233" bestFit="1" customWidth="1"/>
    <col min="9483" max="9484" width="9.1640625" style="233" customWidth="1"/>
    <col min="9485" max="9485" width="11.27734375" style="233" bestFit="1" customWidth="1"/>
    <col min="9486" max="9486" width="14.44140625" style="233" bestFit="1" customWidth="1"/>
    <col min="9487" max="9487" width="8.1640625" style="233" customWidth="1"/>
    <col min="9488" max="9488" width="10.83203125" style="233" bestFit="1" customWidth="1"/>
    <col min="9489" max="9489" width="12.27734375" style="233" bestFit="1" customWidth="1"/>
    <col min="9490" max="9490" width="9.1640625" style="233" customWidth="1"/>
    <col min="9491" max="9491" width="10.83203125" style="233" bestFit="1" customWidth="1"/>
    <col min="9492" max="9492" width="12.27734375" style="233" bestFit="1" customWidth="1"/>
    <col min="9493" max="9493" width="8" style="233" customWidth="1"/>
    <col min="9494" max="9494" width="10.83203125" style="233" bestFit="1" customWidth="1"/>
    <col min="9495" max="9495" width="12.27734375" style="233" bestFit="1" customWidth="1"/>
    <col min="9496" max="9496" width="8.1640625" style="233" bestFit="1" customWidth="1"/>
    <col min="9497" max="9497" width="10.83203125" style="233" bestFit="1" customWidth="1"/>
    <col min="9498" max="9498" width="12.27734375" style="233" bestFit="1" customWidth="1"/>
    <col min="9499" max="9499" width="18.27734375" style="233" bestFit="1" customWidth="1"/>
    <col min="9500" max="9500" width="10.83203125" style="233" bestFit="1" customWidth="1"/>
    <col min="9501" max="9736" width="8.83203125" style="233"/>
    <col min="9737" max="9737" width="38.27734375" style="233" customWidth="1"/>
    <col min="9738" max="9738" width="23.44140625" style="233" bestFit="1" customWidth="1"/>
    <col min="9739" max="9740" width="9.1640625" style="233" customWidth="1"/>
    <col min="9741" max="9741" width="11.27734375" style="233" bestFit="1" customWidth="1"/>
    <col min="9742" max="9742" width="14.44140625" style="233" bestFit="1" customWidth="1"/>
    <col min="9743" max="9743" width="8.1640625" style="233" customWidth="1"/>
    <col min="9744" max="9744" width="10.83203125" style="233" bestFit="1" customWidth="1"/>
    <col min="9745" max="9745" width="12.27734375" style="233" bestFit="1" customWidth="1"/>
    <col min="9746" max="9746" width="9.1640625" style="233" customWidth="1"/>
    <col min="9747" max="9747" width="10.83203125" style="233" bestFit="1" customWidth="1"/>
    <col min="9748" max="9748" width="12.27734375" style="233" bestFit="1" customWidth="1"/>
    <col min="9749" max="9749" width="8" style="233" customWidth="1"/>
    <col min="9750" max="9750" width="10.83203125" style="233" bestFit="1" customWidth="1"/>
    <col min="9751" max="9751" width="12.27734375" style="233" bestFit="1" customWidth="1"/>
    <col min="9752" max="9752" width="8.1640625" style="233" bestFit="1" customWidth="1"/>
    <col min="9753" max="9753" width="10.83203125" style="233" bestFit="1" customWidth="1"/>
    <col min="9754" max="9754" width="12.27734375" style="233" bestFit="1" customWidth="1"/>
    <col min="9755" max="9755" width="18.27734375" style="233" bestFit="1" customWidth="1"/>
    <col min="9756" max="9756" width="10.83203125" style="233" bestFit="1" customWidth="1"/>
    <col min="9757" max="9992" width="8.83203125" style="233"/>
    <col min="9993" max="9993" width="38.27734375" style="233" customWidth="1"/>
    <col min="9994" max="9994" width="23.44140625" style="233" bestFit="1" customWidth="1"/>
    <col min="9995" max="9996" width="9.1640625" style="233" customWidth="1"/>
    <col min="9997" max="9997" width="11.27734375" style="233" bestFit="1" customWidth="1"/>
    <col min="9998" max="9998" width="14.44140625" style="233" bestFit="1" customWidth="1"/>
    <col min="9999" max="9999" width="8.1640625" style="233" customWidth="1"/>
    <col min="10000" max="10000" width="10.83203125" style="233" bestFit="1" customWidth="1"/>
    <col min="10001" max="10001" width="12.27734375" style="233" bestFit="1" customWidth="1"/>
    <col min="10002" max="10002" width="9.1640625" style="233" customWidth="1"/>
    <col min="10003" max="10003" width="10.83203125" style="233" bestFit="1" customWidth="1"/>
    <col min="10004" max="10004" width="12.27734375" style="233" bestFit="1" customWidth="1"/>
    <col min="10005" max="10005" width="8" style="233" customWidth="1"/>
    <col min="10006" max="10006" width="10.83203125" style="233" bestFit="1" customWidth="1"/>
    <col min="10007" max="10007" width="12.27734375" style="233" bestFit="1" customWidth="1"/>
    <col min="10008" max="10008" width="8.1640625" style="233" bestFit="1" customWidth="1"/>
    <col min="10009" max="10009" width="10.83203125" style="233" bestFit="1" customWidth="1"/>
    <col min="10010" max="10010" width="12.27734375" style="233" bestFit="1" customWidth="1"/>
    <col min="10011" max="10011" width="18.27734375" style="233" bestFit="1" customWidth="1"/>
    <col min="10012" max="10012" width="10.83203125" style="233" bestFit="1" customWidth="1"/>
    <col min="10013" max="10248" width="8.83203125" style="233"/>
    <col min="10249" max="10249" width="38.27734375" style="233" customWidth="1"/>
    <col min="10250" max="10250" width="23.44140625" style="233" bestFit="1" customWidth="1"/>
    <col min="10251" max="10252" width="9.1640625" style="233" customWidth="1"/>
    <col min="10253" max="10253" width="11.27734375" style="233" bestFit="1" customWidth="1"/>
    <col min="10254" max="10254" width="14.44140625" style="233" bestFit="1" customWidth="1"/>
    <col min="10255" max="10255" width="8.1640625" style="233" customWidth="1"/>
    <col min="10256" max="10256" width="10.83203125" style="233" bestFit="1" customWidth="1"/>
    <col min="10257" max="10257" width="12.27734375" style="233" bestFit="1" customWidth="1"/>
    <col min="10258" max="10258" width="9.1640625" style="233" customWidth="1"/>
    <col min="10259" max="10259" width="10.83203125" style="233" bestFit="1" customWidth="1"/>
    <col min="10260" max="10260" width="12.27734375" style="233" bestFit="1" customWidth="1"/>
    <col min="10261" max="10261" width="8" style="233" customWidth="1"/>
    <col min="10262" max="10262" width="10.83203125" style="233" bestFit="1" customWidth="1"/>
    <col min="10263" max="10263" width="12.27734375" style="233" bestFit="1" customWidth="1"/>
    <col min="10264" max="10264" width="8.1640625" style="233" bestFit="1" customWidth="1"/>
    <col min="10265" max="10265" width="10.83203125" style="233" bestFit="1" customWidth="1"/>
    <col min="10266" max="10266" width="12.27734375" style="233" bestFit="1" customWidth="1"/>
    <col min="10267" max="10267" width="18.27734375" style="233" bestFit="1" customWidth="1"/>
    <col min="10268" max="10268" width="10.83203125" style="233" bestFit="1" customWidth="1"/>
    <col min="10269" max="10504" width="8.83203125" style="233"/>
    <col min="10505" max="10505" width="38.27734375" style="233" customWidth="1"/>
    <col min="10506" max="10506" width="23.44140625" style="233" bestFit="1" customWidth="1"/>
    <col min="10507" max="10508" width="9.1640625" style="233" customWidth="1"/>
    <col min="10509" max="10509" width="11.27734375" style="233" bestFit="1" customWidth="1"/>
    <col min="10510" max="10510" width="14.44140625" style="233" bestFit="1" customWidth="1"/>
    <col min="10511" max="10511" width="8.1640625" style="233" customWidth="1"/>
    <col min="10512" max="10512" width="10.83203125" style="233" bestFit="1" customWidth="1"/>
    <col min="10513" max="10513" width="12.27734375" style="233" bestFit="1" customWidth="1"/>
    <col min="10514" max="10514" width="9.1640625" style="233" customWidth="1"/>
    <col min="10515" max="10515" width="10.83203125" style="233" bestFit="1" customWidth="1"/>
    <col min="10516" max="10516" width="12.27734375" style="233" bestFit="1" customWidth="1"/>
    <col min="10517" max="10517" width="8" style="233" customWidth="1"/>
    <col min="10518" max="10518" width="10.83203125" style="233" bestFit="1" customWidth="1"/>
    <col min="10519" max="10519" width="12.27734375" style="233" bestFit="1" customWidth="1"/>
    <col min="10520" max="10520" width="8.1640625" style="233" bestFit="1" customWidth="1"/>
    <col min="10521" max="10521" width="10.83203125" style="233" bestFit="1" customWidth="1"/>
    <col min="10522" max="10522" width="12.27734375" style="233" bestFit="1" customWidth="1"/>
    <col min="10523" max="10523" width="18.27734375" style="233" bestFit="1" customWidth="1"/>
    <col min="10524" max="10524" width="10.83203125" style="233" bestFit="1" customWidth="1"/>
    <col min="10525" max="10760" width="8.83203125" style="233"/>
    <col min="10761" max="10761" width="38.27734375" style="233" customWidth="1"/>
    <col min="10762" max="10762" width="23.44140625" style="233" bestFit="1" customWidth="1"/>
    <col min="10763" max="10764" width="9.1640625" style="233" customWidth="1"/>
    <col min="10765" max="10765" width="11.27734375" style="233" bestFit="1" customWidth="1"/>
    <col min="10766" max="10766" width="14.44140625" style="233" bestFit="1" customWidth="1"/>
    <col min="10767" max="10767" width="8.1640625" style="233" customWidth="1"/>
    <col min="10768" max="10768" width="10.83203125" style="233" bestFit="1" customWidth="1"/>
    <col min="10769" max="10769" width="12.27734375" style="233" bestFit="1" customWidth="1"/>
    <col min="10770" max="10770" width="9.1640625" style="233" customWidth="1"/>
    <col min="10771" max="10771" width="10.83203125" style="233" bestFit="1" customWidth="1"/>
    <col min="10772" max="10772" width="12.27734375" style="233" bestFit="1" customWidth="1"/>
    <col min="10773" max="10773" width="8" style="233" customWidth="1"/>
    <col min="10774" max="10774" width="10.83203125" style="233" bestFit="1" customWidth="1"/>
    <col min="10775" max="10775" width="12.27734375" style="233" bestFit="1" customWidth="1"/>
    <col min="10776" max="10776" width="8.1640625" style="233" bestFit="1" customWidth="1"/>
    <col min="10777" max="10777" width="10.83203125" style="233" bestFit="1" customWidth="1"/>
    <col min="10778" max="10778" width="12.27734375" style="233" bestFit="1" customWidth="1"/>
    <col min="10779" max="10779" width="18.27734375" style="233" bestFit="1" customWidth="1"/>
    <col min="10780" max="10780" width="10.83203125" style="233" bestFit="1" customWidth="1"/>
    <col min="10781" max="11016" width="8.83203125" style="233"/>
    <col min="11017" max="11017" width="38.27734375" style="233" customWidth="1"/>
    <col min="11018" max="11018" width="23.44140625" style="233" bestFit="1" customWidth="1"/>
    <col min="11019" max="11020" width="9.1640625" style="233" customWidth="1"/>
    <col min="11021" max="11021" width="11.27734375" style="233" bestFit="1" customWidth="1"/>
    <col min="11022" max="11022" width="14.44140625" style="233" bestFit="1" customWidth="1"/>
    <col min="11023" max="11023" width="8.1640625" style="233" customWidth="1"/>
    <col min="11024" max="11024" width="10.83203125" style="233" bestFit="1" customWidth="1"/>
    <col min="11025" max="11025" width="12.27734375" style="233" bestFit="1" customWidth="1"/>
    <col min="11026" max="11026" width="9.1640625" style="233" customWidth="1"/>
    <col min="11027" max="11027" width="10.83203125" style="233" bestFit="1" customWidth="1"/>
    <col min="11028" max="11028" width="12.27734375" style="233" bestFit="1" customWidth="1"/>
    <col min="11029" max="11029" width="8" style="233" customWidth="1"/>
    <col min="11030" max="11030" width="10.83203125" style="233" bestFit="1" customWidth="1"/>
    <col min="11031" max="11031" width="12.27734375" style="233" bestFit="1" customWidth="1"/>
    <col min="11032" max="11032" width="8.1640625" style="233" bestFit="1" customWidth="1"/>
    <col min="11033" max="11033" width="10.83203125" style="233" bestFit="1" customWidth="1"/>
    <col min="11034" max="11034" width="12.27734375" style="233" bestFit="1" customWidth="1"/>
    <col min="11035" max="11035" width="18.27734375" style="233" bestFit="1" customWidth="1"/>
    <col min="11036" max="11036" width="10.83203125" style="233" bestFit="1" customWidth="1"/>
    <col min="11037" max="11272" width="8.83203125" style="233"/>
    <col min="11273" max="11273" width="38.27734375" style="233" customWidth="1"/>
    <col min="11274" max="11274" width="23.44140625" style="233" bestFit="1" customWidth="1"/>
    <col min="11275" max="11276" width="9.1640625" style="233" customWidth="1"/>
    <col min="11277" max="11277" width="11.27734375" style="233" bestFit="1" customWidth="1"/>
    <col min="11278" max="11278" width="14.44140625" style="233" bestFit="1" customWidth="1"/>
    <col min="11279" max="11279" width="8.1640625" style="233" customWidth="1"/>
    <col min="11280" max="11280" width="10.83203125" style="233" bestFit="1" customWidth="1"/>
    <col min="11281" max="11281" width="12.27734375" style="233" bestFit="1" customWidth="1"/>
    <col min="11282" max="11282" width="9.1640625" style="233" customWidth="1"/>
    <col min="11283" max="11283" width="10.83203125" style="233" bestFit="1" customWidth="1"/>
    <col min="11284" max="11284" width="12.27734375" style="233" bestFit="1" customWidth="1"/>
    <col min="11285" max="11285" width="8" style="233" customWidth="1"/>
    <col min="11286" max="11286" width="10.83203125" style="233" bestFit="1" customWidth="1"/>
    <col min="11287" max="11287" width="12.27734375" style="233" bestFit="1" customWidth="1"/>
    <col min="11288" max="11288" width="8.1640625" style="233" bestFit="1" customWidth="1"/>
    <col min="11289" max="11289" width="10.83203125" style="233" bestFit="1" customWidth="1"/>
    <col min="11290" max="11290" width="12.27734375" style="233" bestFit="1" customWidth="1"/>
    <col min="11291" max="11291" width="18.27734375" style="233" bestFit="1" customWidth="1"/>
    <col min="11292" max="11292" width="10.83203125" style="233" bestFit="1" customWidth="1"/>
    <col min="11293" max="11528" width="8.83203125" style="233"/>
    <col min="11529" max="11529" width="38.27734375" style="233" customWidth="1"/>
    <col min="11530" max="11530" width="23.44140625" style="233" bestFit="1" customWidth="1"/>
    <col min="11531" max="11532" width="9.1640625" style="233" customWidth="1"/>
    <col min="11533" max="11533" width="11.27734375" style="233" bestFit="1" customWidth="1"/>
    <col min="11534" max="11534" width="14.44140625" style="233" bestFit="1" customWidth="1"/>
    <col min="11535" max="11535" width="8.1640625" style="233" customWidth="1"/>
    <col min="11536" max="11536" width="10.83203125" style="233" bestFit="1" customWidth="1"/>
    <col min="11537" max="11537" width="12.27734375" style="233" bestFit="1" customWidth="1"/>
    <col min="11538" max="11538" width="9.1640625" style="233" customWidth="1"/>
    <col min="11539" max="11539" width="10.83203125" style="233" bestFit="1" customWidth="1"/>
    <col min="11540" max="11540" width="12.27734375" style="233" bestFit="1" customWidth="1"/>
    <col min="11541" max="11541" width="8" style="233" customWidth="1"/>
    <col min="11542" max="11542" width="10.83203125" style="233" bestFit="1" customWidth="1"/>
    <col min="11543" max="11543" width="12.27734375" style="233" bestFit="1" customWidth="1"/>
    <col min="11544" max="11544" width="8.1640625" style="233" bestFit="1" customWidth="1"/>
    <col min="11545" max="11545" width="10.83203125" style="233" bestFit="1" customWidth="1"/>
    <col min="11546" max="11546" width="12.27734375" style="233" bestFit="1" customWidth="1"/>
    <col min="11547" max="11547" width="18.27734375" style="233" bestFit="1" customWidth="1"/>
    <col min="11548" max="11548" width="10.83203125" style="233" bestFit="1" customWidth="1"/>
    <col min="11549" max="11784" width="8.83203125" style="233"/>
    <col min="11785" max="11785" width="38.27734375" style="233" customWidth="1"/>
    <col min="11786" max="11786" width="23.44140625" style="233" bestFit="1" customWidth="1"/>
    <col min="11787" max="11788" width="9.1640625" style="233" customWidth="1"/>
    <col min="11789" max="11789" width="11.27734375" style="233" bestFit="1" customWidth="1"/>
    <col min="11790" max="11790" width="14.44140625" style="233" bestFit="1" customWidth="1"/>
    <col min="11791" max="11791" width="8.1640625" style="233" customWidth="1"/>
    <col min="11792" max="11792" width="10.83203125" style="233" bestFit="1" customWidth="1"/>
    <col min="11793" max="11793" width="12.27734375" style="233" bestFit="1" customWidth="1"/>
    <col min="11794" max="11794" width="9.1640625" style="233" customWidth="1"/>
    <col min="11795" max="11795" width="10.83203125" style="233" bestFit="1" customWidth="1"/>
    <col min="11796" max="11796" width="12.27734375" style="233" bestFit="1" customWidth="1"/>
    <col min="11797" max="11797" width="8" style="233" customWidth="1"/>
    <col min="11798" max="11798" width="10.83203125" style="233" bestFit="1" customWidth="1"/>
    <col min="11799" max="11799" width="12.27734375" style="233" bestFit="1" customWidth="1"/>
    <col min="11800" max="11800" width="8.1640625" style="233" bestFit="1" customWidth="1"/>
    <col min="11801" max="11801" width="10.83203125" style="233" bestFit="1" customWidth="1"/>
    <col min="11802" max="11802" width="12.27734375" style="233" bestFit="1" customWidth="1"/>
    <col min="11803" max="11803" width="18.27734375" style="233" bestFit="1" customWidth="1"/>
    <col min="11804" max="11804" width="10.83203125" style="233" bestFit="1" customWidth="1"/>
    <col min="11805" max="12040" width="8.83203125" style="233"/>
    <col min="12041" max="12041" width="38.27734375" style="233" customWidth="1"/>
    <col min="12042" max="12042" width="23.44140625" style="233" bestFit="1" customWidth="1"/>
    <col min="12043" max="12044" width="9.1640625" style="233" customWidth="1"/>
    <col min="12045" max="12045" width="11.27734375" style="233" bestFit="1" customWidth="1"/>
    <col min="12046" max="12046" width="14.44140625" style="233" bestFit="1" customWidth="1"/>
    <col min="12047" max="12047" width="8.1640625" style="233" customWidth="1"/>
    <col min="12048" max="12048" width="10.83203125" style="233" bestFit="1" customWidth="1"/>
    <col min="12049" max="12049" width="12.27734375" style="233" bestFit="1" customWidth="1"/>
    <col min="12050" max="12050" width="9.1640625" style="233" customWidth="1"/>
    <col min="12051" max="12051" width="10.83203125" style="233" bestFit="1" customWidth="1"/>
    <col min="12052" max="12052" width="12.27734375" style="233" bestFit="1" customWidth="1"/>
    <col min="12053" max="12053" width="8" style="233" customWidth="1"/>
    <col min="12054" max="12054" width="10.83203125" style="233" bestFit="1" customWidth="1"/>
    <col min="12055" max="12055" width="12.27734375" style="233" bestFit="1" customWidth="1"/>
    <col min="12056" max="12056" width="8.1640625" style="233" bestFit="1" customWidth="1"/>
    <col min="12057" max="12057" width="10.83203125" style="233" bestFit="1" customWidth="1"/>
    <col min="12058" max="12058" width="12.27734375" style="233" bestFit="1" customWidth="1"/>
    <col min="12059" max="12059" width="18.27734375" style="233" bestFit="1" customWidth="1"/>
    <col min="12060" max="12060" width="10.83203125" style="233" bestFit="1" customWidth="1"/>
    <col min="12061" max="12296" width="8.83203125" style="233"/>
    <col min="12297" max="12297" width="38.27734375" style="233" customWidth="1"/>
    <col min="12298" max="12298" width="23.44140625" style="233" bestFit="1" customWidth="1"/>
    <col min="12299" max="12300" width="9.1640625" style="233" customWidth="1"/>
    <col min="12301" max="12301" width="11.27734375" style="233" bestFit="1" customWidth="1"/>
    <col min="12302" max="12302" width="14.44140625" style="233" bestFit="1" customWidth="1"/>
    <col min="12303" max="12303" width="8.1640625" style="233" customWidth="1"/>
    <col min="12304" max="12304" width="10.83203125" style="233" bestFit="1" customWidth="1"/>
    <col min="12305" max="12305" width="12.27734375" style="233" bestFit="1" customWidth="1"/>
    <col min="12306" max="12306" width="9.1640625" style="233" customWidth="1"/>
    <col min="12307" max="12307" width="10.83203125" style="233" bestFit="1" customWidth="1"/>
    <col min="12308" max="12308" width="12.27734375" style="233" bestFit="1" customWidth="1"/>
    <col min="12309" max="12309" width="8" style="233" customWidth="1"/>
    <col min="12310" max="12310" width="10.83203125" style="233" bestFit="1" customWidth="1"/>
    <col min="12311" max="12311" width="12.27734375" style="233" bestFit="1" customWidth="1"/>
    <col min="12312" max="12312" width="8.1640625" style="233" bestFit="1" customWidth="1"/>
    <col min="12313" max="12313" width="10.83203125" style="233" bestFit="1" customWidth="1"/>
    <col min="12314" max="12314" width="12.27734375" style="233" bestFit="1" customWidth="1"/>
    <col min="12315" max="12315" width="18.27734375" style="233" bestFit="1" customWidth="1"/>
    <col min="12316" max="12316" width="10.83203125" style="233" bestFit="1" customWidth="1"/>
    <col min="12317" max="12552" width="8.83203125" style="233"/>
    <col min="12553" max="12553" width="38.27734375" style="233" customWidth="1"/>
    <col min="12554" max="12554" width="23.44140625" style="233" bestFit="1" customWidth="1"/>
    <col min="12555" max="12556" width="9.1640625" style="233" customWidth="1"/>
    <col min="12557" max="12557" width="11.27734375" style="233" bestFit="1" customWidth="1"/>
    <col min="12558" max="12558" width="14.44140625" style="233" bestFit="1" customWidth="1"/>
    <col min="12559" max="12559" width="8.1640625" style="233" customWidth="1"/>
    <col min="12560" max="12560" width="10.83203125" style="233" bestFit="1" customWidth="1"/>
    <col min="12561" max="12561" width="12.27734375" style="233" bestFit="1" customWidth="1"/>
    <col min="12562" max="12562" width="9.1640625" style="233" customWidth="1"/>
    <col min="12563" max="12563" width="10.83203125" style="233" bestFit="1" customWidth="1"/>
    <col min="12564" max="12564" width="12.27734375" style="233" bestFit="1" customWidth="1"/>
    <col min="12565" max="12565" width="8" style="233" customWidth="1"/>
    <col min="12566" max="12566" width="10.83203125" style="233" bestFit="1" customWidth="1"/>
    <col min="12567" max="12567" width="12.27734375" style="233" bestFit="1" customWidth="1"/>
    <col min="12568" max="12568" width="8.1640625" style="233" bestFit="1" customWidth="1"/>
    <col min="12569" max="12569" width="10.83203125" style="233" bestFit="1" customWidth="1"/>
    <col min="12570" max="12570" width="12.27734375" style="233" bestFit="1" customWidth="1"/>
    <col min="12571" max="12571" width="18.27734375" style="233" bestFit="1" customWidth="1"/>
    <col min="12572" max="12572" width="10.83203125" style="233" bestFit="1" customWidth="1"/>
    <col min="12573" max="12808" width="8.83203125" style="233"/>
    <col min="12809" max="12809" width="38.27734375" style="233" customWidth="1"/>
    <col min="12810" max="12810" width="23.44140625" style="233" bestFit="1" customWidth="1"/>
    <col min="12811" max="12812" width="9.1640625" style="233" customWidth="1"/>
    <col min="12813" max="12813" width="11.27734375" style="233" bestFit="1" customWidth="1"/>
    <col min="12814" max="12814" width="14.44140625" style="233" bestFit="1" customWidth="1"/>
    <col min="12815" max="12815" width="8.1640625" style="233" customWidth="1"/>
    <col min="12816" max="12816" width="10.83203125" style="233" bestFit="1" customWidth="1"/>
    <col min="12817" max="12817" width="12.27734375" style="233" bestFit="1" customWidth="1"/>
    <col min="12818" max="12818" width="9.1640625" style="233" customWidth="1"/>
    <col min="12819" max="12819" width="10.83203125" style="233" bestFit="1" customWidth="1"/>
    <col min="12820" max="12820" width="12.27734375" style="233" bestFit="1" customWidth="1"/>
    <col min="12821" max="12821" width="8" style="233" customWidth="1"/>
    <col min="12822" max="12822" width="10.83203125" style="233" bestFit="1" customWidth="1"/>
    <col min="12823" max="12823" width="12.27734375" style="233" bestFit="1" customWidth="1"/>
    <col min="12824" max="12824" width="8.1640625" style="233" bestFit="1" customWidth="1"/>
    <col min="12825" max="12825" width="10.83203125" style="233" bestFit="1" customWidth="1"/>
    <col min="12826" max="12826" width="12.27734375" style="233" bestFit="1" customWidth="1"/>
    <col min="12827" max="12827" width="18.27734375" style="233" bestFit="1" customWidth="1"/>
    <col min="12828" max="12828" width="10.83203125" style="233" bestFit="1" customWidth="1"/>
    <col min="12829" max="13064" width="8.83203125" style="233"/>
    <col min="13065" max="13065" width="38.27734375" style="233" customWidth="1"/>
    <col min="13066" max="13066" width="23.44140625" style="233" bestFit="1" customWidth="1"/>
    <col min="13067" max="13068" width="9.1640625" style="233" customWidth="1"/>
    <col min="13069" max="13069" width="11.27734375" style="233" bestFit="1" customWidth="1"/>
    <col min="13070" max="13070" width="14.44140625" style="233" bestFit="1" customWidth="1"/>
    <col min="13071" max="13071" width="8.1640625" style="233" customWidth="1"/>
    <col min="13072" max="13072" width="10.83203125" style="233" bestFit="1" customWidth="1"/>
    <col min="13073" max="13073" width="12.27734375" style="233" bestFit="1" customWidth="1"/>
    <col min="13074" max="13074" width="9.1640625" style="233" customWidth="1"/>
    <col min="13075" max="13075" width="10.83203125" style="233" bestFit="1" customWidth="1"/>
    <col min="13076" max="13076" width="12.27734375" style="233" bestFit="1" customWidth="1"/>
    <col min="13077" max="13077" width="8" style="233" customWidth="1"/>
    <col min="13078" max="13078" width="10.83203125" style="233" bestFit="1" customWidth="1"/>
    <col min="13079" max="13079" width="12.27734375" style="233" bestFit="1" customWidth="1"/>
    <col min="13080" max="13080" width="8.1640625" style="233" bestFit="1" customWidth="1"/>
    <col min="13081" max="13081" width="10.83203125" style="233" bestFit="1" customWidth="1"/>
    <col min="13082" max="13082" width="12.27734375" style="233" bestFit="1" customWidth="1"/>
    <col min="13083" max="13083" width="18.27734375" style="233" bestFit="1" customWidth="1"/>
    <col min="13084" max="13084" width="10.83203125" style="233" bestFit="1" customWidth="1"/>
    <col min="13085" max="13320" width="8.83203125" style="233"/>
    <col min="13321" max="13321" width="38.27734375" style="233" customWidth="1"/>
    <col min="13322" max="13322" width="23.44140625" style="233" bestFit="1" customWidth="1"/>
    <col min="13323" max="13324" width="9.1640625" style="233" customWidth="1"/>
    <col min="13325" max="13325" width="11.27734375" style="233" bestFit="1" customWidth="1"/>
    <col min="13326" max="13326" width="14.44140625" style="233" bestFit="1" customWidth="1"/>
    <col min="13327" max="13327" width="8.1640625" style="233" customWidth="1"/>
    <col min="13328" max="13328" width="10.83203125" style="233" bestFit="1" customWidth="1"/>
    <col min="13329" max="13329" width="12.27734375" style="233" bestFit="1" customWidth="1"/>
    <col min="13330" max="13330" width="9.1640625" style="233" customWidth="1"/>
    <col min="13331" max="13331" width="10.83203125" style="233" bestFit="1" customWidth="1"/>
    <col min="13332" max="13332" width="12.27734375" style="233" bestFit="1" customWidth="1"/>
    <col min="13333" max="13333" width="8" style="233" customWidth="1"/>
    <col min="13334" max="13334" width="10.83203125" style="233" bestFit="1" customWidth="1"/>
    <col min="13335" max="13335" width="12.27734375" style="233" bestFit="1" customWidth="1"/>
    <col min="13336" max="13336" width="8.1640625" style="233" bestFit="1" customWidth="1"/>
    <col min="13337" max="13337" width="10.83203125" style="233" bestFit="1" customWidth="1"/>
    <col min="13338" max="13338" width="12.27734375" style="233" bestFit="1" customWidth="1"/>
    <col min="13339" max="13339" width="18.27734375" style="233" bestFit="1" customWidth="1"/>
    <col min="13340" max="13340" width="10.83203125" style="233" bestFit="1" customWidth="1"/>
    <col min="13341" max="13576" width="8.83203125" style="233"/>
    <col min="13577" max="13577" width="38.27734375" style="233" customWidth="1"/>
    <col min="13578" max="13578" width="23.44140625" style="233" bestFit="1" customWidth="1"/>
    <col min="13579" max="13580" width="9.1640625" style="233" customWidth="1"/>
    <col min="13581" max="13581" width="11.27734375" style="233" bestFit="1" customWidth="1"/>
    <col min="13582" max="13582" width="14.44140625" style="233" bestFit="1" customWidth="1"/>
    <col min="13583" max="13583" width="8.1640625" style="233" customWidth="1"/>
    <col min="13584" max="13584" width="10.83203125" style="233" bestFit="1" customWidth="1"/>
    <col min="13585" max="13585" width="12.27734375" style="233" bestFit="1" customWidth="1"/>
    <col min="13586" max="13586" width="9.1640625" style="233" customWidth="1"/>
    <col min="13587" max="13587" width="10.83203125" style="233" bestFit="1" customWidth="1"/>
    <col min="13588" max="13588" width="12.27734375" style="233" bestFit="1" customWidth="1"/>
    <col min="13589" max="13589" width="8" style="233" customWidth="1"/>
    <col min="13590" max="13590" width="10.83203125" style="233" bestFit="1" customWidth="1"/>
    <col min="13591" max="13591" width="12.27734375" style="233" bestFit="1" customWidth="1"/>
    <col min="13592" max="13592" width="8.1640625" style="233" bestFit="1" customWidth="1"/>
    <col min="13593" max="13593" width="10.83203125" style="233" bestFit="1" customWidth="1"/>
    <col min="13594" max="13594" width="12.27734375" style="233" bestFit="1" customWidth="1"/>
    <col min="13595" max="13595" width="18.27734375" style="233" bestFit="1" customWidth="1"/>
    <col min="13596" max="13596" width="10.83203125" style="233" bestFit="1" customWidth="1"/>
    <col min="13597" max="13832" width="8.83203125" style="233"/>
    <col min="13833" max="13833" width="38.27734375" style="233" customWidth="1"/>
    <col min="13834" max="13834" width="23.44140625" style="233" bestFit="1" customWidth="1"/>
    <col min="13835" max="13836" width="9.1640625" style="233" customWidth="1"/>
    <col min="13837" max="13837" width="11.27734375" style="233" bestFit="1" customWidth="1"/>
    <col min="13838" max="13838" width="14.44140625" style="233" bestFit="1" customWidth="1"/>
    <col min="13839" max="13839" width="8.1640625" style="233" customWidth="1"/>
    <col min="13840" max="13840" width="10.83203125" style="233" bestFit="1" customWidth="1"/>
    <col min="13841" max="13841" width="12.27734375" style="233" bestFit="1" customWidth="1"/>
    <col min="13842" max="13842" width="9.1640625" style="233" customWidth="1"/>
    <col min="13843" max="13843" width="10.83203125" style="233" bestFit="1" customWidth="1"/>
    <col min="13844" max="13844" width="12.27734375" style="233" bestFit="1" customWidth="1"/>
    <col min="13845" max="13845" width="8" style="233" customWidth="1"/>
    <col min="13846" max="13846" width="10.83203125" style="233" bestFit="1" customWidth="1"/>
    <col min="13847" max="13847" width="12.27734375" style="233" bestFit="1" customWidth="1"/>
    <col min="13848" max="13848" width="8.1640625" style="233" bestFit="1" customWidth="1"/>
    <col min="13849" max="13849" width="10.83203125" style="233" bestFit="1" customWidth="1"/>
    <col min="13850" max="13850" width="12.27734375" style="233" bestFit="1" customWidth="1"/>
    <col min="13851" max="13851" width="18.27734375" style="233" bestFit="1" customWidth="1"/>
    <col min="13852" max="13852" width="10.83203125" style="233" bestFit="1" customWidth="1"/>
    <col min="13853" max="14088" width="8.83203125" style="233"/>
    <col min="14089" max="14089" width="38.27734375" style="233" customWidth="1"/>
    <col min="14090" max="14090" width="23.44140625" style="233" bestFit="1" customWidth="1"/>
    <col min="14091" max="14092" width="9.1640625" style="233" customWidth="1"/>
    <col min="14093" max="14093" width="11.27734375" style="233" bestFit="1" customWidth="1"/>
    <col min="14094" max="14094" width="14.44140625" style="233" bestFit="1" customWidth="1"/>
    <col min="14095" max="14095" width="8.1640625" style="233" customWidth="1"/>
    <col min="14096" max="14096" width="10.83203125" style="233" bestFit="1" customWidth="1"/>
    <col min="14097" max="14097" width="12.27734375" style="233" bestFit="1" customWidth="1"/>
    <col min="14098" max="14098" width="9.1640625" style="233" customWidth="1"/>
    <col min="14099" max="14099" width="10.83203125" style="233" bestFit="1" customWidth="1"/>
    <col min="14100" max="14100" width="12.27734375" style="233" bestFit="1" customWidth="1"/>
    <col min="14101" max="14101" width="8" style="233" customWidth="1"/>
    <col min="14102" max="14102" width="10.83203125" style="233" bestFit="1" customWidth="1"/>
    <col min="14103" max="14103" width="12.27734375" style="233" bestFit="1" customWidth="1"/>
    <col min="14104" max="14104" width="8.1640625" style="233" bestFit="1" customWidth="1"/>
    <col min="14105" max="14105" width="10.83203125" style="233" bestFit="1" customWidth="1"/>
    <col min="14106" max="14106" width="12.27734375" style="233" bestFit="1" customWidth="1"/>
    <col min="14107" max="14107" width="18.27734375" style="233" bestFit="1" customWidth="1"/>
    <col min="14108" max="14108" width="10.83203125" style="233" bestFit="1" customWidth="1"/>
    <col min="14109" max="14344" width="8.83203125" style="233"/>
    <col min="14345" max="14345" width="38.27734375" style="233" customWidth="1"/>
    <col min="14346" max="14346" width="23.44140625" style="233" bestFit="1" customWidth="1"/>
    <col min="14347" max="14348" width="9.1640625" style="233" customWidth="1"/>
    <col min="14349" max="14349" width="11.27734375" style="233" bestFit="1" customWidth="1"/>
    <col min="14350" max="14350" width="14.44140625" style="233" bestFit="1" customWidth="1"/>
    <col min="14351" max="14351" width="8.1640625" style="233" customWidth="1"/>
    <col min="14352" max="14352" width="10.83203125" style="233" bestFit="1" customWidth="1"/>
    <col min="14353" max="14353" width="12.27734375" style="233" bestFit="1" customWidth="1"/>
    <col min="14354" max="14354" width="9.1640625" style="233" customWidth="1"/>
    <col min="14355" max="14355" width="10.83203125" style="233" bestFit="1" customWidth="1"/>
    <col min="14356" max="14356" width="12.27734375" style="233" bestFit="1" customWidth="1"/>
    <col min="14357" max="14357" width="8" style="233" customWidth="1"/>
    <col min="14358" max="14358" width="10.83203125" style="233" bestFit="1" customWidth="1"/>
    <col min="14359" max="14359" width="12.27734375" style="233" bestFit="1" customWidth="1"/>
    <col min="14360" max="14360" width="8.1640625" style="233" bestFit="1" customWidth="1"/>
    <col min="14361" max="14361" width="10.83203125" style="233" bestFit="1" customWidth="1"/>
    <col min="14362" max="14362" width="12.27734375" style="233" bestFit="1" customWidth="1"/>
    <col min="14363" max="14363" width="18.27734375" style="233" bestFit="1" customWidth="1"/>
    <col min="14364" max="14364" width="10.83203125" style="233" bestFit="1" customWidth="1"/>
    <col min="14365" max="14600" width="8.83203125" style="233"/>
    <col min="14601" max="14601" width="38.27734375" style="233" customWidth="1"/>
    <col min="14602" max="14602" width="23.44140625" style="233" bestFit="1" customWidth="1"/>
    <col min="14603" max="14604" width="9.1640625" style="233" customWidth="1"/>
    <col min="14605" max="14605" width="11.27734375" style="233" bestFit="1" customWidth="1"/>
    <col min="14606" max="14606" width="14.44140625" style="233" bestFit="1" customWidth="1"/>
    <col min="14607" max="14607" width="8.1640625" style="233" customWidth="1"/>
    <col min="14608" max="14608" width="10.83203125" style="233" bestFit="1" customWidth="1"/>
    <col min="14609" max="14609" width="12.27734375" style="233" bestFit="1" customWidth="1"/>
    <col min="14610" max="14610" width="9.1640625" style="233" customWidth="1"/>
    <col min="14611" max="14611" width="10.83203125" style="233" bestFit="1" customWidth="1"/>
    <col min="14612" max="14612" width="12.27734375" style="233" bestFit="1" customWidth="1"/>
    <col min="14613" max="14613" width="8" style="233" customWidth="1"/>
    <col min="14614" max="14614" width="10.83203125" style="233" bestFit="1" customWidth="1"/>
    <col min="14615" max="14615" width="12.27734375" style="233" bestFit="1" customWidth="1"/>
    <col min="14616" max="14616" width="8.1640625" style="233" bestFit="1" customWidth="1"/>
    <col min="14617" max="14617" width="10.83203125" style="233" bestFit="1" customWidth="1"/>
    <col min="14618" max="14618" width="12.27734375" style="233" bestFit="1" customWidth="1"/>
    <col min="14619" max="14619" width="18.27734375" style="233" bestFit="1" customWidth="1"/>
    <col min="14620" max="14620" width="10.83203125" style="233" bestFit="1" customWidth="1"/>
    <col min="14621" max="14856" width="8.83203125" style="233"/>
    <col min="14857" max="14857" width="38.27734375" style="233" customWidth="1"/>
    <col min="14858" max="14858" width="23.44140625" style="233" bestFit="1" customWidth="1"/>
    <col min="14859" max="14860" width="9.1640625" style="233" customWidth="1"/>
    <col min="14861" max="14861" width="11.27734375" style="233" bestFit="1" customWidth="1"/>
    <col min="14862" max="14862" width="14.44140625" style="233" bestFit="1" customWidth="1"/>
    <col min="14863" max="14863" width="8.1640625" style="233" customWidth="1"/>
    <col min="14864" max="14864" width="10.83203125" style="233" bestFit="1" customWidth="1"/>
    <col min="14865" max="14865" width="12.27734375" style="233" bestFit="1" customWidth="1"/>
    <col min="14866" max="14866" width="9.1640625" style="233" customWidth="1"/>
    <col min="14867" max="14867" width="10.83203125" style="233" bestFit="1" customWidth="1"/>
    <col min="14868" max="14868" width="12.27734375" style="233" bestFit="1" customWidth="1"/>
    <col min="14869" max="14869" width="8" style="233" customWidth="1"/>
    <col min="14870" max="14870" width="10.83203125" style="233" bestFit="1" customWidth="1"/>
    <col min="14871" max="14871" width="12.27734375" style="233" bestFit="1" customWidth="1"/>
    <col min="14872" max="14872" width="8.1640625" style="233" bestFit="1" customWidth="1"/>
    <col min="14873" max="14873" width="10.83203125" style="233" bestFit="1" customWidth="1"/>
    <col min="14874" max="14874" width="12.27734375" style="233" bestFit="1" customWidth="1"/>
    <col min="14875" max="14875" width="18.27734375" style="233" bestFit="1" customWidth="1"/>
    <col min="14876" max="14876" width="10.83203125" style="233" bestFit="1" customWidth="1"/>
    <col min="14877" max="15112" width="8.83203125" style="233"/>
    <col min="15113" max="15113" width="38.27734375" style="233" customWidth="1"/>
    <col min="15114" max="15114" width="23.44140625" style="233" bestFit="1" customWidth="1"/>
    <col min="15115" max="15116" width="9.1640625" style="233" customWidth="1"/>
    <col min="15117" max="15117" width="11.27734375" style="233" bestFit="1" customWidth="1"/>
    <col min="15118" max="15118" width="14.44140625" style="233" bestFit="1" customWidth="1"/>
    <col min="15119" max="15119" width="8.1640625" style="233" customWidth="1"/>
    <col min="15120" max="15120" width="10.83203125" style="233" bestFit="1" customWidth="1"/>
    <col min="15121" max="15121" width="12.27734375" style="233" bestFit="1" customWidth="1"/>
    <col min="15122" max="15122" width="9.1640625" style="233" customWidth="1"/>
    <col min="15123" max="15123" width="10.83203125" style="233" bestFit="1" customWidth="1"/>
    <col min="15124" max="15124" width="12.27734375" style="233" bestFit="1" customWidth="1"/>
    <col min="15125" max="15125" width="8" style="233" customWidth="1"/>
    <col min="15126" max="15126" width="10.83203125" style="233" bestFit="1" customWidth="1"/>
    <col min="15127" max="15127" width="12.27734375" style="233" bestFit="1" customWidth="1"/>
    <col min="15128" max="15128" width="8.1640625" style="233" bestFit="1" customWidth="1"/>
    <col min="15129" max="15129" width="10.83203125" style="233" bestFit="1" customWidth="1"/>
    <col min="15130" max="15130" width="12.27734375" style="233" bestFit="1" customWidth="1"/>
    <col min="15131" max="15131" width="18.27734375" style="233" bestFit="1" customWidth="1"/>
    <col min="15132" max="15132" width="10.83203125" style="233" bestFit="1" customWidth="1"/>
    <col min="15133" max="15368" width="8.83203125" style="233"/>
    <col min="15369" max="15369" width="38.27734375" style="233" customWidth="1"/>
    <col min="15370" max="15370" width="23.44140625" style="233" bestFit="1" customWidth="1"/>
    <col min="15371" max="15372" width="9.1640625" style="233" customWidth="1"/>
    <col min="15373" max="15373" width="11.27734375" style="233" bestFit="1" customWidth="1"/>
    <col min="15374" max="15374" width="14.44140625" style="233" bestFit="1" customWidth="1"/>
    <col min="15375" max="15375" width="8.1640625" style="233" customWidth="1"/>
    <col min="15376" max="15376" width="10.83203125" style="233" bestFit="1" customWidth="1"/>
    <col min="15377" max="15377" width="12.27734375" style="233" bestFit="1" customWidth="1"/>
    <col min="15378" max="15378" width="9.1640625" style="233" customWidth="1"/>
    <col min="15379" max="15379" width="10.83203125" style="233" bestFit="1" customWidth="1"/>
    <col min="15380" max="15380" width="12.27734375" style="233" bestFit="1" customWidth="1"/>
    <col min="15381" max="15381" width="8" style="233" customWidth="1"/>
    <col min="15382" max="15382" width="10.83203125" style="233" bestFit="1" customWidth="1"/>
    <col min="15383" max="15383" width="12.27734375" style="233" bestFit="1" customWidth="1"/>
    <col min="15384" max="15384" width="8.1640625" style="233" bestFit="1" customWidth="1"/>
    <col min="15385" max="15385" width="10.83203125" style="233" bestFit="1" customWidth="1"/>
    <col min="15386" max="15386" width="12.27734375" style="233" bestFit="1" customWidth="1"/>
    <col min="15387" max="15387" width="18.27734375" style="233" bestFit="1" customWidth="1"/>
    <col min="15388" max="15388" width="10.83203125" style="233" bestFit="1" customWidth="1"/>
    <col min="15389" max="15624" width="8.83203125" style="233"/>
    <col min="15625" max="15625" width="38.27734375" style="233" customWidth="1"/>
    <col min="15626" max="15626" width="23.44140625" style="233" bestFit="1" customWidth="1"/>
    <col min="15627" max="15628" width="9.1640625" style="233" customWidth="1"/>
    <col min="15629" max="15629" width="11.27734375" style="233" bestFit="1" customWidth="1"/>
    <col min="15630" max="15630" width="14.44140625" style="233" bestFit="1" customWidth="1"/>
    <col min="15631" max="15631" width="8.1640625" style="233" customWidth="1"/>
    <col min="15632" max="15632" width="10.83203125" style="233" bestFit="1" customWidth="1"/>
    <col min="15633" max="15633" width="12.27734375" style="233" bestFit="1" customWidth="1"/>
    <col min="15634" max="15634" width="9.1640625" style="233" customWidth="1"/>
    <col min="15635" max="15635" width="10.83203125" style="233" bestFit="1" customWidth="1"/>
    <col min="15636" max="15636" width="12.27734375" style="233" bestFit="1" customWidth="1"/>
    <col min="15637" max="15637" width="8" style="233" customWidth="1"/>
    <col min="15638" max="15638" width="10.83203125" style="233" bestFit="1" customWidth="1"/>
    <col min="15639" max="15639" width="12.27734375" style="233" bestFit="1" customWidth="1"/>
    <col min="15640" max="15640" width="8.1640625" style="233" bestFit="1" customWidth="1"/>
    <col min="15641" max="15641" width="10.83203125" style="233" bestFit="1" customWidth="1"/>
    <col min="15642" max="15642" width="12.27734375" style="233" bestFit="1" customWidth="1"/>
    <col min="15643" max="15643" width="18.27734375" style="233" bestFit="1" customWidth="1"/>
    <col min="15644" max="15644" width="10.83203125" style="233" bestFit="1" customWidth="1"/>
    <col min="15645" max="15880" width="8.83203125" style="233"/>
    <col min="15881" max="15881" width="38.27734375" style="233" customWidth="1"/>
    <col min="15882" max="15882" width="23.44140625" style="233" bestFit="1" customWidth="1"/>
    <col min="15883" max="15884" width="9.1640625" style="233" customWidth="1"/>
    <col min="15885" max="15885" width="11.27734375" style="233" bestFit="1" customWidth="1"/>
    <col min="15886" max="15886" width="14.44140625" style="233" bestFit="1" customWidth="1"/>
    <col min="15887" max="15887" width="8.1640625" style="233" customWidth="1"/>
    <col min="15888" max="15888" width="10.83203125" style="233" bestFit="1" customWidth="1"/>
    <col min="15889" max="15889" width="12.27734375" style="233" bestFit="1" customWidth="1"/>
    <col min="15890" max="15890" width="9.1640625" style="233" customWidth="1"/>
    <col min="15891" max="15891" width="10.83203125" style="233" bestFit="1" customWidth="1"/>
    <col min="15892" max="15892" width="12.27734375" style="233" bestFit="1" customWidth="1"/>
    <col min="15893" max="15893" width="8" style="233" customWidth="1"/>
    <col min="15894" max="15894" width="10.83203125" style="233" bestFit="1" customWidth="1"/>
    <col min="15895" max="15895" width="12.27734375" style="233" bestFit="1" customWidth="1"/>
    <col min="15896" max="15896" width="8.1640625" style="233" bestFit="1" customWidth="1"/>
    <col min="15897" max="15897" width="10.83203125" style="233" bestFit="1" customWidth="1"/>
    <col min="15898" max="15898" width="12.27734375" style="233" bestFit="1" customWidth="1"/>
    <col min="15899" max="15899" width="18.27734375" style="233" bestFit="1" customWidth="1"/>
    <col min="15900" max="15900" width="10.83203125" style="233" bestFit="1" customWidth="1"/>
    <col min="15901" max="16136" width="8.83203125" style="233"/>
    <col min="16137" max="16137" width="38.27734375" style="233" customWidth="1"/>
    <col min="16138" max="16138" width="23.44140625" style="233" bestFit="1" customWidth="1"/>
    <col min="16139" max="16140" width="9.1640625" style="233" customWidth="1"/>
    <col min="16141" max="16141" width="11.27734375" style="233" bestFit="1" customWidth="1"/>
    <col min="16142" max="16142" width="14.44140625" style="233" bestFit="1" customWidth="1"/>
    <col min="16143" max="16143" width="8.1640625" style="233" customWidth="1"/>
    <col min="16144" max="16144" width="10.83203125" style="233" bestFit="1" customWidth="1"/>
    <col min="16145" max="16145" width="12.27734375" style="233" bestFit="1" customWidth="1"/>
    <col min="16146" max="16146" width="9.1640625" style="233" customWidth="1"/>
    <col min="16147" max="16147" width="10.83203125" style="233" bestFit="1" customWidth="1"/>
    <col min="16148" max="16148" width="12.27734375" style="233" bestFit="1" customWidth="1"/>
    <col min="16149" max="16149" width="8" style="233" customWidth="1"/>
    <col min="16150" max="16150" width="10.83203125" style="233" bestFit="1" customWidth="1"/>
    <col min="16151" max="16151" width="12.27734375" style="233" bestFit="1" customWidth="1"/>
    <col min="16152" max="16152" width="8.1640625" style="233" bestFit="1" customWidth="1"/>
    <col min="16153" max="16153" width="10.83203125" style="233" bestFit="1" customWidth="1"/>
    <col min="16154" max="16154" width="12.27734375" style="233" bestFit="1" customWidth="1"/>
    <col min="16155" max="16155" width="18.27734375" style="233" bestFit="1" customWidth="1"/>
    <col min="16156" max="16156" width="10.83203125" style="233" bestFit="1" customWidth="1"/>
    <col min="16157" max="16384" width="8.83203125" style="233"/>
  </cols>
  <sheetData>
    <row r="1" spans="1:36" ht="14.7" thickBot="1"/>
    <row r="2" spans="1:36" ht="23.5" customHeight="1">
      <c r="A2" s="595" t="s">
        <v>63</v>
      </c>
      <c r="B2" s="591" t="s">
        <v>64</v>
      </c>
      <c r="C2" s="584" t="s">
        <v>65</v>
      </c>
      <c r="D2" s="585"/>
      <c r="E2" s="585"/>
      <c r="F2" s="586"/>
      <c r="G2" s="584" t="s">
        <v>66</v>
      </c>
      <c r="H2" s="585"/>
      <c r="I2" s="585"/>
      <c r="J2" s="586"/>
      <c r="K2" s="584" t="s">
        <v>67</v>
      </c>
      <c r="L2" s="585"/>
      <c r="M2" s="585"/>
      <c r="N2" s="586"/>
      <c r="O2" s="584" t="s">
        <v>68</v>
      </c>
      <c r="P2" s="585"/>
      <c r="Q2" s="585"/>
      <c r="R2" s="586"/>
      <c r="S2" s="584" t="s">
        <v>69</v>
      </c>
      <c r="T2" s="585"/>
      <c r="U2" s="585"/>
      <c r="V2" s="586"/>
      <c r="W2" s="587" t="s">
        <v>70</v>
      </c>
      <c r="AE2" s="239"/>
    </row>
    <row r="3" spans="1:36" ht="47.65" customHeight="1">
      <c r="A3" s="596"/>
      <c r="B3" s="592"/>
      <c r="C3" s="240" t="s">
        <v>71</v>
      </c>
      <c r="D3" s="241" t="s">
        <v>72</v>
      </c>
      <c r="E3" s="242" t="s">
        <v>73</v>
      </c>
      <c r="F3" s="243" t="s">
        <v>70</v>
      </c>
      <c r="G3" s="240" t="s">
        <v>71</v>
      </c>
      <c r="H3" s="241" t="s">
        <v>72</v>
      </c>
      <c r="I3" s="244" t="s">
        <v>73</v>
      </c>
      <c r="J3" s="245" t="s">
        <v>70</v>
      </c>
      <c r="K3" s="240" t="s">
        <v>71</v>
      </c>
      <c r="L3" s="241" t="s">
        <v>72</v>
      </c>
      <c r="M3" s="242" t="s">
        <v>73</v>
      </c>
      <c r="N3" s="245" t="s">
        <v>70</v>
      </c>
      <c r="O3" s="240" t="s">
        <v>71</v>
      </c>
      <c r="P3" s="241" t="s">
        <v>72</v>
      </c>
      <c r="Q3" s="244" t="s">
        <v>73</v>
      </c>
      <c r="R3" s="245" t="s">
        <v>70</v>
      </c>
      <c r="S3" s="240" t="s">
        <v>71</v>
      </c>
      <c r="T3" s="241" t="s">
        <v>72</v>
      </c>
      <c r="U3" s="244" t="s">
        <v>73</v>
      </c>
      <c r="V3" s="245" t="s">
        <v>70</v>
      </c>
      <c r="W3" s="588"/>
      <c r="AE3" s="239"/>
      <c r="AF3" s="233" t="s">
        <v>113</v>
      </c>
    </row>
    <row r="4" spans="1:36" ht="20.399999999999999">
      <c r="A4" s="402" t="s">
        <v>74</v>
      </c>
      <c r="B4" s="246"/>
      <c r="C4" s="247"/>
      <c r="D4" s="248"/>
      <c r="E4" s="249"/>
      <c r="F4" s="250"/>
      <c r="G4" s="247"/>
      <c r="H4" s="248"/>
      <c r="I4" s="251"/>
      <c r="J4" s="252"/>
      <c r="K4" s="247"/>
      <c r="L4" s="248"/>
      <c r="M4" s="249"/>
      <c r="N4" s="252"/>
      <c r="O4" s="253"/>
      <c r="P4" s="248"/>
      <c r="Q4" s="251"/>
      <c r="R4" s="252"/>
      <c r="S4" s="253"/>
      <c r="T4" s="248"/>
      <c r="U4" s="251"/>
      <c r="V4" s="254"/>
      <c r="W4" s="252"/>
      <c r="AE4" s="255" t="s">
        <v>114</v>
      </c>
      <c r="AF4" s="255" t="s">
        <v>115</v>
      </c>
      <c r="AG4" s="255" t="s">
        <v>116</v>
      </c>
    </row>
    <row r="5" spans="1:36" s="266" customFormat="1" ht="15" customHeight="1" outlineLevel="1">
      <c r="A5" s="256" t="s">
        <v>48</v>
      </c>
      <c r="B5" s="257"/>
      <c r="C5" s="258"/>
      <c r="D5" s="259"/>
      <c r="E5" s="260"/>
      <c r="F5" s="261"/>
      <c r="G5" s="258"/>
      <c r="H5" s="259"/>
      <c r="I5" s="262"/>
      <c r="J5" s="263"/>
      <c r="K5" s="258"/>
      <c r="L5" s="259"/>
      <c r="M5" s="260"/>
      <c r="N5" s="263"/>
      <c r="O5" s="258"/>
      <c r="P5" s="259"/>
      <c r="Q5" s="262"/>
      <c r="R5" s="263"/>
      <c r="S5" s="258"/>
      <c r="T5" s="259"/>
      <c r="U5" s="262"/>
      <c r="V5" s="263"/>
      <c r="W5" s="264"/>
      <c r="X5" s="265"/>
      <c r="Y5" s="233"/>
      <c r="Z5" s="233"/>
      <c r="AA5" s="233"/>
      <c r="AB5" s="233"/>
      <c r="AC5" s="233"/>
      <c r="AD5" s="233"/>
      <c r="AE5" s="239"/>
    </row>
    <row r="6" spans="1:36" s="266" customFormat="1" ht="15.6" outlineLevel="1">
      <c r="A6" s="267" t="s">
        <v>75</v>
      </c>
      <c r="B6" s="268"/>
      <c r="C6" s="258"/>
      <c r="D6" s="259"/>
      <c r="E6" s="260"/>
      <c r="F6" s="261"/>
      <c r="G6" s="258"/>
      <c r="H6" s="259"/>
      <c r="I6" s="262"/>
      <c r="J6" s="263"/>
      <c r="K6" s="258"/>
      <c r="L6" s="259"/>
      <c r="M6" s="260"/>
      <c r="N6" s="263"/>
      <c r="O6" s="258"/>
      <c r="P6" s="259"/>
      <c r="Q6" s="262"/>
      <c r="R6" s="263"/>
      <c r="S6" s="258"/>
      <c r="T6" s="259"/>
      <c r="U6" s="262"/>
      <c r="V6" s="263"/>
      <c r="W6" s="410"/>
      <c r="X6" s="269"/>
      <c r="Y6" s="233"/>
      <c r="Z6" s="233"/>
      <c r="AA6" s="233"/>
      <c r="AB6" s="233"/>
      <c r="AC6" s="233"/>
      <c r="AD6" s="233"/>
      <c r="AE6" s="239"/>
    </row>
    <row r="7" spans="1:36" ht="15" customHeight="1" outlineLevel="1">
      <c r="A7" s="270" t="str">
        <f>'Program Budget'!D12</f>
        <v xml:space="preserve">Key Personnel: Ex-pat Chief of Party </v>
      </c>
      <c r="B7" s="271" t="str">
        <f>'Program Budget'!F13</f>
        <v>Month</v>
      </c>
      <c r="C7" s="272">
        <f>'Program Budget'!H12</f>
        <v>12083.333333333334</v>
      </c>
      <c r="D7" s="273">
        <f>'Program Budget'!G12</f>
        <v>12</v>
      </c>
      <c r="E7" s="274">
        <f>'Program Budget'!E206</f>
        <v>0.2</v>
      </c>
      <c r="F7" s="275">
        <f>C7*D7*E7</f>
        <v>29000</v>
      </c>
      <c r="G7" s="272">
        <f>C7*1.04</f>
        <v>12566.666666666668</v>
      </c>
      <c r="H7" s="273">
        <f>'Program Budget'!K12</f>
        <v>12</v>
      </c>
      <c r="I7" s="276">
        <f>'Program Budget'!J206</f>
        <v>0.2</v>
      </c>
      <c r="J7" s="275">
        <f>G7*H7*I7</f>
        <v>30160</v>
      </c>
      <c r="K7" s="272">
        <f>G7*1.04</f>
        <v>13069.333333333336</v>
      </c>
      <c r="L7" s="273">
        <f>'Program Budget'!N12</f>
        <v>12</v>
      </c>
      <c r="M7" s="276">
        <f>'Program Budget'!M206</f>
        <v>0.2</v>
      </c>
      <c r="N7" s="275">
        <f>K7*L7*M7</f>
        <v>31366.400000000009</v>
      </c>
      <c r="O7" s="272">
        <f>K7*1.04</f>
        <v>13592.10666666667</v>
      </c>
      <c r="P7" s="273">
        <f>'Program Budget'!Q12</f>
        <v>12</v>
      </c>
      <c r="Q7" s="276">
        <f>'Program Budget'!P206</f>
        <v>0.2</v>
      </c>
      <c r="R7" s="275">
        <f>O7*P7*Q7</f>
        <v>32621.056000000008</v>
      </c>
      <c r="S7" s="272">
        <f>O7*1.04</f>
        <v>14135.790933333337</v>
      </c>
      <c r="T7" s="273">
        <f>'Program Budget'!T12</f>
        <v>12</v>
      </c>
      <c r="U7" s="276">
        <f>'Program Budget'!S206</f>
        <v>0.2</v>
      </c>
      <c r="V7" s="275">
        <f>S7*T7*U7</f>
        <v>33925.89824000001</v>
      </c>
      <c r="W7" s="413">
        <f>F7+J7+N7+R7+V7</f>
        <v>157073.35424000002</v>
      </c>
      <c r="X7" s="278"/>
      <c r="Y7" s="265"/>
      <c r="Z7" s="279"/>
      <c r="AA7" s="279"/>
      <c r="AE7" s="239">
        <v>180</v>
      </c>
      <c r="AF7" s="280" t="s">
        <v>117</v>
      </c>
      <c r="AG7" s="280" t="s">
        <v>118</v>
      </c>
      <c r="AH7" s="281"/>
      <c r="AJ7" s="282"/>
    </row>
    <row r="8" spans="1:36" ht="15" customHeight="1" outlineLevel="1">
      <c r="A8" s="285" t="s">
        <v>76</v>
      </c>
      <c r="B8" s="286"/>
      <c r="C8" s="287"/>
      <c r="D8" s="288"/>
      <c r="E8" s="289"/>
      <c r="F8" s="290">
        <f>SUM(F7:F7)</f>
        <v>29000</v>
      </c>
      <c r="G8" s="287"/>
      <c r="H8" s="288"/>
      <c r="I8" s="291"/>
      <c r="J8" s="290">
        <f>SUM(J7:J7)</f>
        <v>30160</v>
      </c>
      <c r="K8" s="287"/>
      <c r="L8" s="288"/>
      <c r="M8" s="289"/>
      <c r="N8" s="290">
        <f>SUM(N7:N7)</f>
        <v>31366.400000000009</v>
      </c>
      <c r="O8" s="287"/>
      <c r="P8" s="288"/>
      <c r="Q8" s="291"/>
      <c r="R8" s="290">
        <f>SUM(R7:R7)</f>
        <v>32621.056000000008</v>
      </c>
      <c r="S8" s="287"/>
      <c r="T8" s="288"/>
      <c r="U8" s="291"/>
      <c r="V8" s="290">
        <f>SUM(V7:V7)</f>
        <v>33925.89824000001</v>
      </c>
      <c r="W8" s="412">
        <f>+F8+J8+N8+R8+V8</f>
        <v>157073.35424000002</v>
      </c>
      <c r="AE8" s="239"/>
      <c r="AF8" s="280"/>
      <c r="AG8" s="280" t="s">
        <v>119</v>
      </c>
    </row>
    <row r="9" spans="1:36" ht="15" customHeight="1" outlineLevel="1">
      <c r="A9" s="267" t="s">
        <v>83</v>
      </c>
      <c r="B9" s="293"/>
      <c r="C9" s="294"/>
      <c r="D9" s="295"/>
      <c r="E9" s="296"/>
      <c r="F9" s="275"/>
      <c r="G9" s="294"/>
      <c r="H9" s="295"/>
      <c r="I9" s="297"/>
      <c r="J9" s="277"/>
      <c r="K9" s="294"/>
      <c r="L9" s="295"/>
      <c r="M9" s="296"/>
      <c r="N9" s="277"/>
      <c r="O9" s="294"/>
      <c r="P9" s="295"/>
      <c r="Q9" s="297"/>
      <c r="R9" s="277"/>
      <c r="S9" s="294"/>
      <c r="T9" s="295"/>
      <c r="U9" s="297"/>
      <c r="V9" s="277"/>
      <c r="W9" s="429"/>
      <c r="X9" s="269"/>
      <c r="AE9" s="239"/>
      <c r="AF9" s="280"/>
      <c r="AG9" s="280" t="s">
        <v>119</v>
      </c>
      <c r="AJ9" s="282"/>
    </row>
    <row r="10" spans="1:36" ht="15" customHeight="1" outlineLevel="1">
      <c r="A10" s="270" t="str">
        <f>'Program Budget'!D13</f>
        <v>Deputy Chief of Party</v>
      </c>
      <c r="B10" s="271" t="str">
        <f>'Program Budget'!F12</f>
        <v>Month</v>
      </c>
      <c r="C10" s="272">
        <f>'Program Budget'!H13</f>
        <v>7500</v>
      </c>
      <c r="D10" s="273">
        <f>'Program Budget'!G13</f>
        <v>6</v>
      </c>
      <c r="E10" s="274">
        <f>'Program Budget'!E207</f>
        <v>0.1</v>
      </c>
      <c r="F10" s="275">
        <f>C10*D10*E10</f>
        <v>4500</v>
      </c>
      <c r="G10" s="272">
        <f>C10*1.04</f>
        <v>7800</v>
      </c>
      <c r="H10" s="273">
        <f>'Program Budget'!K13</f>
        <v>12</v>
      </c>
      <c r="I10" s="276">
        <f>'Program Budget'!J207</f>
        <v>0.1</v>
      </c>
      <c r="J10" s="275">
        <f>G10*H10*I10</f>
        <v>9360</v>
      </c>
      <c r="K10" s="272">
        <f>G10*1.04</f>
        <v>8112</v>
      </c>
      <c r="L10" s="273">
        <f>'Program Budget'!N13</f>
        <v>12</v>
      </c>
      <c r="M10" s="276">
        <f>'Program Budget'!M207</f>
        <v>0.1</v>
      </c>
      <c r="N10" s="275">
        <f>K10*L10*M10</f>
        <v>9734.4</v>
      </c>
      <c r="O10" s="272">
        <f>K10*1.04</f>
        <v>8436.48</v>
      </c>
      <c r="P10" s="273">
        <f>'Program Budget'!Q13</f>
        <v>12</v>
      </c>
      <c r="Q10" s="276">
        <f>'Program Budget'!P207</f>
        <v>0.1</v>
      </c>
      <c r="R10" s="275">
        <f>O10*P10*Q10</f>
        <v>10123.776</v>
      </c>
      <c r="S10" s="272">
        <f>O10*1.04</f>
        <v>8773.9392000000007</v>
      </c>
      <c r="T10" s="273">
        <f>'Program Budget'!T13</f>
        <v>6</v>
      </c>
      <c r="U10" s="276">
        <f>'Program Budget'!S207</f>
        <v>0.1</v>
      </c>
      <c r="V10" s="275">
        <f>S10*T10*U10</f>
        <v>5264.3635200000008</v>
      </c>
      <c r="W10" s="411">
        <f>F10+J10+N10+R10+V10</f>
        <v>38982.539519999998</v>
      </c>
      <c r="X10" s="278"/>
      <c r="Y10" s="265"/>
      <c r="Z10" s="279"/>
      <c r="AA10" s="279"/>
      <c r="AE10" s="239">
        <v>180</v>
      </c>
      <c r="AF10" s="280" t="s">
        <v>117</v>
      </c>
      <c r="AG10" s="280" t="s">
        <v>118</v>
      </c>
      <c r="AH10" s="281"/>
      <c r="AJ10" s="282"/>
    </row>
    <row r="11" spans="1:36" ht="15" customHeight="1" outlineLevel="1">
      <c r="A11" s="270" t="str">
        <f>'Program Budget'!D208</f>
        <v>Technical Lead Component 1</v>
      </c>
      <c r="B11" s="271" t="str">
        <f>'Program Budget'!F208</f>
        <v>Month</v>
      </c>
      <c r="C11" s="272">
        <f>'Program Budget'!H208</f>
        <v>3333.3333333333335</v>
      </c>
      <c r="D11" s="273">
        <f>'Program Budget'!G208</f>
        <v>6</v>
      </c>
      <c r="E11" s="274">
        <f>'Program Budget'!E208</f>
        <v>0</v>
      </c>
      <c r="F11" s="275">
        <f t="shared" ref="F11:F26" si="0">C11*D11*E11</f>
        <v>0</v>
      </c>
      <c r="G11" s="272">
        <f t="shared" ref="G11:G26" si="1">C11*1.04</f>
        <v>3466.666666666667</v>
      </c>
      <c r="H11" s="273">
        <f>'Program Budget'!K208</f>
        <v>12</v>
      </c>
      <c r="I11" s="276">
        <f>'Program Budget'!J208</f>
        <v>0</v>
      </c>
      <c r="J11" s="275">
        <f t="shared" ref="J11:J26" si="2">G11*H11*I11</f>
        <v>0</v>
      </c>
      <c r="K11" s="272">
        <f t="shared" ref="K11:K26" si="3">G11*1.04</f>
        <v>3605.3333333333339</v>
      </c>
      <c r="L11" s="273">
        <f>'Program Budget'!N208</f>
        <v>12</v>
      </c>
      <c r="M11" s="276">
        <f>'Program Budget'!M208</f>
        <v>0</v>
      </c>
      <c r="N11" s="275">
        <f t="shared" ref="N11:N26" si="4">K11*L11*M11</f>
        <v>0</v>
      </c>
      <c r="O11" s="272">
        <f t="shared" ref="O11:O26" si="5">K11*1.04</f>
        <v>3749.5466666666675</v>
      </c>
      <c r="P11" s="273">
        <f>'Program Budget'!Q208</f>
        <v>12</v>
      </c>
      <c r="Q11" s="276">
        <f>'Program Budget'!P208</f>
        <v>0</v>
      </c>
      <c r="R11" s="275">
        <f t="shared" ref="R11:R26" si="6">O11*P11*Q11</f>
        <v>0</v>
      </c>
      <c r="S11" s="272">
        <f t="shared" ref="S11:S26" si="7">O11*1.04</f>
        <v>3899.5285333333345</v>
      </c>
      <c r="T11" s="273">
        <f>'Program Budget'!T208</f>
        <v>9</v>
      </c>
      <c r="U11" s="276">
        <f>'Program Budget'!S208</f>
        <v>0</v>
      </c>
      <c r="V11" s="275">
        <f t="shared" ref="V11:V26" si="8">S11*T11*U11</f>
        <v>0</v>
      </c>
      <c r="W11" s="411">
        <f t="shared" ref="W11:W26" si="9">F11+J11+N11+R11+V11</f>
        <v>0</v>
      </c>
      <c r="X11" s="278"/>
      <c r="Y11" s="265"/>
      <c r="Z11" s="279"/>
      <c r="AA11" s="279"/>
      <c r="AE11" s="239">
        <v>180</v>
      </c>
      <c r="AF11" s="280" t="s">
        <v>117</v>
      </c>
      <c r="AG11" s="280" t="s">
        <v>118</v>
      </c>
      <c r="AH11" s="281"/>
      <c r="AJ11" s="282"/>
    </row>
    <row r="12" spans="1:36" ht="15" customHeight="1" outlineLevel="1">
      <c r="A12" s="270" t="str">
        <f>'Program Budget'!D209</f>
        <v>Technical Lead Component 2</v>
      </c>
      <c r="B12" s="271" t="str">
        <f>'Program Budget'!F209</f>
        <v>Month</v>
      </c>
      <c r="C12" s="272">
        <f>'Program Budget'!H209</f>
        <v>3333.3333333333335</v>
      </c>
      <c r="D12" s="273">
        <f>'Program Budget'!G209</f>
        <v>6</v>
      </c>
      <c r="E12" s="274">
        <f>'Program Budget'!E209</f>
        <v>0.75</v>
      </c>
      <c r="F12" s="275">
        <f t="shared" si="0"/>
        <v>15000</v>
      </c>
      <c r="G12" s="272">
        <f t="shared" si="1"/>
        <v>3466.666666666667</v>
      </c>
      <c r="H12" s="273">
        <f>'Program Budget'!K209</f>
        <v>12</v>
      </c>
      <c r="I12" s="276">
        <f>'Program Budget'!J209</f>
        <v>1</v>
      </c>
      <c r="J12" s="275">
        <f t="shared" si="2"/>
        <v>41600</v>
      </c>
      <c r="K12" s="272">
        <f t="shared" si="3"/>
        <v>3605.3333333333339</v>
      </c>
      <c r="L12" s="273">
        <f>'Program Budget'!N209</f>
        <v>12</v>
      </c>
      <c r="M12" s="276">
        <f>'Program Budget'!M209</f>
        <v>1</v>
      </c>
      <c r="N12" s="275">
        <f t="shared" si="4"/>
        <v>43264.000000000007</v>
      </c>
      <c r="O12" s="272">
        <f t="shared" si="5"/>
        <v>3749.5466666666675</v>
      </c>
      <c r="P12" s="273">
        <f>'Program Budget'!Q209</f>
        <v>12</v>
      </c>
      <c r="Q12" s="276">
        <f>'Program Budget'!P209</f>
        <v>1</v>
      </c>
      <c r="R12" s="275">
        <f t="shared" si="6"/>
        <v>44994.560000000012</v>
      </c>
      <c r="S12" s="272">
        <f t="shared" si="7"/>
        <v>3899.5285333333345</v>
      </c>
      <c r="T12" s="273">
        <f>'Program Budget'!T209</f>
        <v>9</v>
      </c>
      <c r="U12" s="276">
        <f>'Program Budget'!S209</f>
        <v>1</v>
      </c>
      <c r="V12" s="275">
        <f t="shared" si="8"/>
        <v>35095.75680000001</v>
      </c>
      <c r="W12" s="411">
        <f t="shared" si="9"/>
        <v>179954.3168</v>
      </c>
      <c r="X12" s="278"/>
      <c r="Y12" s="265"/>
      <c r="Z12" s="279"/>
      <c r="AA12" s="279"/>
      <c r="AE12" s="239">
        <v>180</v>
      </c>
      <c r="AF12" s="280" t="s">
        <v>117</v>
      </c>
      <c r="AG12" s="280" t="s">
        <v>118</v>
      </c>
      <c r="AH12" s="281"/>
      <c r="AJ12" s="282"/>
    </row>
    <row r="13" spans="1:36" ht="15" customHeight="1" outlineLevel="1">
      <c r="A13" s="270" t="str">
        <f>'Program Budget'!D210</f>
        <v>Technical Lead Component 3</v>
      </c>
      <c r="B13" s="271" t="str">
        <f>'Program Budget'!F210</f>
        <v>Month</v>
      </c>
      <c r="C13" s="272">
        <f>'Program Budget'!H210</f>
        <v>3333.3333333333335</v>
      </c>
      <c r="D13" s="273">
        <f>'Program Budget'!G210</f>
        <v>6</v>
      </c>
      <c r="E13" s="274">
        <f>'Program Budget'!E210</f>
        <v>0</v>
      </c>
      <c r="F13" s="275">
        <f t="shared" si="0"/>
        <v>0</v>
      </c>
      <c r="G13" s="272">
        <f t="shared" si="1"/>
        <v>3466.666666666667</v>
      </c>
      <c r="H13" s="273">
        <f>'Program Budget'!K210</f>
        <v>12</v>
      </c>
      <c r="I13" s="276">
        <f>'Program Budget'!J210</f>
        <v>0</v>
      </c>
      <c r="J13" s="275">
        <f t="shared" si="2"/>
        <v>0</v>
      </c>
      <c r="K13" s="272">
        <f t="shared" si="3"/>
        <v>3605.3333333333339</v>
      </c>
      <c r="L13" s="273">
        <f>'Program Budget'!N210</f>
        <v>12</v>
      </c>
      <c r="M13" s="276">
        <f>'Program Budget'!M210</f>
        <v>0</v>
      </c>
      <c r="N13" s="275">
        <f t="shared" si="4"/>
        <v>0</v>
      </c>
      <c r="O13" s="272">
        <f t="shared" si="5"/>
        <v>3749.5466666666675</v>
      </c>
      <c r="P13" s="273">
        <f>'Program Budget'!Q210</f>
        <v>12</v>
      </c>
      <c r="Q13" s="276">
        <f>'Program Budget'!P210</f>
        <v>0</v>
      </c>
      <c r="R13" s="275">
        <f t="shared" si="6"/>
        <v>0</v>
      </c>
      <c r="S13" s="272">
        <f t="shared" si="7"/>
        <v>3899.5285333333345</v>
      </c>
      <c r="T13" s="273">
        <f>'Program Budget'!T210</f>
        <v>9</v>
      </c>
      <c r="U13" s="276">
        <f>'Program Budget'!S210</f>
        <v>0</v>
      </c>
      <c r="V13" s="275">
        <f t="shared" si="8"/>
        <v>0</v>
      </c>
      <c r="W13" s="411">
        <f t="shared" si="9"/>
        <v>0</v>
      </c>
      <c r="X13" s="278"/>
      <c r="Y13" s="265"/>
      <c r="Z13" s="279"/>
      <c r="AA13" s="279"/>
      <c r="AE13" s="239">
        <v>180</v>
      </c>
      <c r="AF13" s="280" t="s">
        <v>117</v>
      </c>
      <c r="AG13" s="280" t="s">
        <v>118</v>
      </c>
      <c r="AH13" s="281"/>
      <c r="AJ13" s="282"/>
    </row>
    <row r="14" spans="1:36" ht="15" customHeight="1" outlineLevel="1">
      <c r="A14" s="270" t="str">
        <f>'Program Budget'!D211</f>
        <v>Specialist Component 2</v>
      </c>
      <c r="B14" s="271" t="str">
        <f>'Program Budget'!F211</f>
        <v>Month</v>
      </c>
      <c r="C14" s="272">
        <f>'Program Budget'!H211</f>
        <v>1666.6666666666667</v>
      </c>
      <c r="D14" s="273">
        <f>'Program Budget'!G211</f>
        <v>6</v>
      </c>
      <c r="E14" s="274">
        <f>'Program Budget'!E211</f>
        <v>0.8</v>
      </c>
      <c r="F14" s="275">
        <f t="shared" ref="F14:F21" si="10">C14*D14*E14</f>
        <v>8000</v>
      </c>
      <c r="G14" s="272">
        <f t="shared" ref="G14:G21" si="11">C14*1.04</f>
        <v>1733.3333333333335</v>
      </c>
      <c r="H14" s="273">
        <f>'Program Budget'!K211</f>
        <v>12</v>
      </c>
      <c r="I14" s="276">
        <f>'Program Budget'!J211</f>
        <v>1</v>
      </c>
      <c r="J14" s="275">
        <f t="shared" ref="J14:J21" si="12">G14*H14*I14</f>
        <v>20800</v>
      </c>
      <c r="K14" s="272">
        <f t="shared" ref="K14:K21" si="13">G14*1.04</f>
        <v>1802.666666666667</v>
      </c>
      <c r="L14" s="273">
        <f>'Program Budget'!N211</f>
        <v>12</v>
      </c>
      <c r="M14" s="276">
        <f>'Program Budget'!M211</f>
        <v>1</v>
      </c>
      <c r="N14" s="275">
        <f t="shared" ref="N14:N21" si="14">K14*L14*M14</f>
        <v>21632.000000000004</v>
      </c>
      <c r="O14" s="272">
        <f t="shared" ref="O14:O21" si="15">K14*1.04</f>
        <v>1874.7733333333338</v>
      </c>
      <c r="P14" s="273">
        <f>'Program Budget'!Q211</f>
        <v>12</v>
      </c>
      <c r="Q14" s="276">
        <f>'Program Budget'!P211</f>
        <v>1</v>
      </c>
      <c r="R14" s="275">
        <f t="shared" ref="R14:R21" si="16">O14*P14*Q14</f>
        <v>22497.280000000006</v>
      </c>
      <c r="S14" s="272">
        <f t="shared" ref="S14:S21" si="17">O14*1.04</f>
        <v>1949.7642666666673</v>
      </c>
      <c r="T14" s="273">
        <f>'Program Budget'!T211</f>
        <v>6</v>
      </c>
      <c r="U14" s="276">
        <f>'Program Budget'!S211</f>
        <v>1</v>
      </c>
      <c r="V14" s="275">
        <f t="shared" ref="V14:V21" si="18">S14*T14*U14</f>
        <v>11698.585600000004</v>
      </c>
      <c r="W14" s="411">
        <f t="shared" ref="W14:W21" si="19">F14+J14+N14+R14+V14</f>
        <v>84627.865600000005</v>
      </c>
      <c r="X14" s="278"/>
      <c r="Y14" s="265"/>
      <c r="Z14" s="279"/>
      <c r="AA14" s="279"/>
      <c r="AE14" s="239"/>
      <c r="AF14" s="280"/>
      <c r="AG14" s="280"/>
      <c r="AH14" s="281"/>
      <c r="AJ14" s="282"/>
    </row>
    <row r="15" spans="1:36" ht="15" customHeight="1" outlineLevel="1">
      <c r="A15" s="270" t="str">
        <f>'Program Budget'!D212</f>
        <v>Specialist Component 3</v>
      </c>
      <c r="B15" s="271" t="str">
        <f>'Program Budget'!F212</f>
        <v>Month</v>
      </c>
      <c r="C15" s="272">
        <f>'Program Budget'!H212</f>
        <v>1666.6666666666667</v>
      </c>
      <c r="D15" s="273">
        <f>'Program Budget'!G212</f>
        <v>6</v>
      </c>
      <c r="E15" s="274">
        <f>'Program Budget'!E212</f>
        <v>0</v>
      </c>
      <c r="F15" s="275">
        <f t="shared" si="10"/>
        <v>0</v>
      </c>
      <c r="G15" s="272">
        <f t="shared" si="11"/>
        <v>1733.3333333333335</v>
      </c>
      <c r="H15" s="273">
        <f>'Program Budget'!K212</f>
        <v>12</v>
      </c>
      <c r="I15" s="276">
        <f>'Program Budget'!J212</f>
        <v>0</v>
      </c>
      <c r="J15" s="275">
        <f t="shared" si="12"/>
        <v>0</v>
      </c>
      <c r="K15" s="272">
        <f t="shared" si="13"/>
        <v>1802.666666666667</v>
      </c>
      <c r="L15" s="273">
        <f>'Program Budget'!N212</f>
        <v>12</v>
      </c>
      <c r="M15" s="276">
        <f>'Program Budget'!M212</f>
        <v>0</v>
      </c>
      <c r="N15" s="275">
        <f t="shared" si="14"/>
        <v>0</v>
      </c>
      <c r="O15" s="272">
        <f t="shared" si="15"/>
        <v>1874.7733333333338</v>
      </c>
      <c r="P15" s="273">
        <f>'Program Budget'!Q212</f>
        <v>12</v>
      </c>
      <c r="Q15" s="276">
        <f>'Program Budget'!P212</f>
        <v>0</v>
      </c>
      <c r="R15" s="275">
        <f t="shared" si="16"/>
        <v>0</v>
      </c>
      <c r="S15" s="272">
        <f t="shared" si="17"/>
        <v>1949.7642666666673</v>
      </c>
      <c r="T15" s="273">
        <f>'Program Budget'!T212</f>
        <v>6</v>
      </c>
      <c r="U15" s="276">
        <f>'Program Budget'!S212</f>
        <v>0</v>
      </c>
      <c r="V15" s="275">
        <f t="shared" si="18"/>
        <v>0</v>
      </c>
      <c r="W15" s="411">
        <f t="shared" si="19"/>
        <v>0</v>
      </c>
      <c r="X15" s="278"/>
      <c r="Y15" s="265"/>
      <c r="Z15" s="279"/>
      <c r="AA15" s="279"/>
      <c r="AE15" s="239"/>
      <c r="AF15" s="280"/>
      <c r="AG15" s="280"/>
      <c r="AH15" s="281"/>
      <c r="AJ15" s="282"/>
    </row>
    <row r="16" spans="1:36" ht="15" customHeight="1" outlineLevel="1">
      <c r="A16" s="270" t="str">
        <f>'Program Budget'!D213</f>
        <v>Specialist Component 4</v>
      </c>
      <c r="B16" s="271" t="str">
        <f>'Program Budget'!F213</f>
        <v>Month</v>
      </c>
      <c r="C16" s="272">
        <f>'Program Budget'!H213</f>
        <v>1666.6666666666667</v>
      </c>
      <c r="D16" s="273">
        <f>'Program Budget'!G213</f>
        <v>6</v>
      </c>
      <c r="E16" s="274">
        <f>'Program Budget'!E213</f>
        <v>0</v>
      </c>
      <c r="F16" s="275">
        <f t="shared" si="10"/>
        <v>0</v>
      </c>
      <c r="G16" s="272">
        <f t="shared" si="11"/>
        <v>1733.3333333333335</v>
      </c>
      <c r="H16" s="273">
        <f>'Program Budget'!K213</f>
        <v>12</v>
      </c>
      <c r="I16" s="276">
        <f>'Program Budget'!J213</f>
        <v>0</v>
      </c>
      <c r="J16" s="275">
        <f t="shared" si="12"/>
        <v>0</v>
      </c>
      <c r="K16" s="272">
        <f t="shared" si="13"/>
        <v>1802.666666666667</v>
      </c>
      <c r="L16" s="273">
        <f>'Program Budget'!N213</f>
        <v>12</v>
      </c>
      <c r="M16" s="276">
        <f>'Program Budget'!M213</f>
        <v>0</v>
      </c>
      <c r="N16" s="275">
        <f t="shared" si="14"/>
        <v>0</v>
      </c>
      <c r="O16" s="272">
        <f t="shared" si="15"/>
        <v>1874.7733333333338</v>
      </c>
      <c r="P16" s="273">
        <f>'Program Budget'!Q213</f>
        <v>12</v>
      </c>
      <c r="Q16" s="276">
        <f>'Program Budget'!P213</f>
        <v>0</v>
      </c>
      <c r="R16" s="275">
        <f t="shared" si="16"/>
        <v>0</v>
      </c>
      <c r="S16" s="272">
        <f t="shared" si="17"/>
        <v>1949.7642666666673</v>
      </c>
      <c r="T16" s="273">
        <f>'Program Budget'!T213</f>
        <v>6</v>
      </c>
      <c r="U16" s="276">
        <f>'Program Budget'!S213</f>
        <v>0</v>
      </c>
      <c r="V16" s="275">
        <f t="shared" si="18"/>
        <v>0</v>
      </c>
      <c r="W16" s="411">
        <f t="shared" si="19"/>
        <v>0</v>
      </c>
      <c r="X16" s="278"/>
      <c r="Y16" s="265"/>
      <c r="Z16" s="279"/>
      <c r="AA16" s="279"/>
      <c r="AE16" s="239"/>
      <c r="AF16" s="280"/>
      <c r="AG16" s="280"/>
      <c r="AH16" s="281"/>
      <c r="AJ16" s="282"/>
    </row>
    <row r="17" spans="1:36" ht="15" customHeight="1" outlineLevel="1">
      <c r="A17" s="270" t="str">
        <f>'Program Budget'!D214</f>
        <v>Extension Agents (20 Individuals)</v>
      </c>
      <c r="B17" s="271" t="str">
        <f>'Program Budget'!F214</f>
        <v>Month</v>
      </c>
      <c r="C17" s="272">
        <f>'Program Budget'!H214</f>
        <v>23333.333333333336</v>
      </c>
      <c r="D17" s="273">
        <f>'Program Budget'!G214</f>
        <v>3</v>
      </c>
      <c r="E17" s="274">
        <f>'Program Budget'!E214</f>
        <v>0.2</v>
      </c>
      <c r="F17" s="275">
        <f t="shared" si="10"/>
        <v>14000</v>
      </c>
      <c r="G17" s="272">
        <f t="shared" si="11"/>
        <v>24266.666666666672</v>
      </c>
      <c r="H17" s="273">
        <f>'Program Budget'!K214</f>
        <v>12</v>
      </c>
      <c r="I17" s="276">
        <f>'Program Budget'!J214</f>
        <v>0.3</v>
      </c>
      <c r="J17" s="275">
        <f t="shared" si="12"/>
        <v>87360.000000000015</v>
      </c>
      <c r="K17" s="272">
        <f t="shared" si="13"/>
        <v>25237.333333333339</v>
      </c>
      <c r="L17" s="273">
        <f>'Program Budget'!N214</f>
        <v>6</v>
      </c>
      <c r="M17" s="276">
        <f>'Program Budget'!M214</f>
        <v>0.3</v>
      </c>
      <c r="N17" s="275">
        <f t="shared" si="14"/>
        <v>45427.200000000004</v>
      </c>
      <c r="O17" s="272">
        <f t="shared" si="15"/>
        <v>26246.826666666675</v>
      </c>
      <c r="P17" s="273">
        <f>'Program Budget'!Q214</f>
        <v>0</v>
      </c>
      <c r="Q17" s="276">
        <f>'Program Budget'!P214</f>
        <v>0</v>
      </c>
      <c r="R17" s="275">
        <f t="shared" si="16"/>
        <v>0</v>
      </c>
      <c r="S17" s="272">
        <f t="shared" si="17"/>
        <v>27296.699733333342</v>
      </c>
      <c r="T17" s="273">
        <f>'Program Budget'!T214</f>
        <v>0</v>
      </c>
      <c r="U17" s="276">
        <f>'Program Budget'!S214</f>
        <v>0</v>
      </c>
      <c r="V17" s="275">
        <f t="shared" si="18"/>
        <v>0</v>
      </c>
      <c r="W17" s="411">
        <f t="shared" si="19"/>
        <v>146787.20000000001</v>
      </c>
      <c r="X17" s="278"/>
      <c r="Y17" s="265"/>
      <c r="Z17" s="279"/>
      <c r="AA17" s="279"/>
      <c r="AE17" s="239">
        <v>180</v>
      </c>
      <c r="AF17" s="280" t="s">
        <v>117</v>
      </c>
      <c r="AG17" s="280" t="s">
        <v>118</v>
      </c>
      <c r="AH17" s="281"/>
      <c r="AJ17" s="282"/>
    </row>
    <row r="18" spans="1:36" ht="15" customHeight="1" outlineLevel="1">
      <c r="A18" s="270" t="str">
        <f>'Program Budget'!D215</f>
        <v xml:space="preserve">M&amp;E Director </v>
      </c>
      <c r="B18" s="271" t="str">
        <f>'Program Budget'!F215</f>
        <v>Month</v>
      </c>
      <c r="C18" s="272">
        <f>'Program Budget'!H215</f>
        <v>3750</v>
      </c>
      <c r="D18" s="273">
        <f>'Program Budget'!G215</f>
        <v>9</v>
      </c>
      <c r="E18" s="274">
        <f>'Program Budget'!E215</f>
        <v>0.2</v>
      </c>
      <c r="F18" s="275">
        <f t="shared" si="10"/>
        <v>6750</v>
      </c>
      <c r="G18" s="272">
        <f t="shared" si="11"/>
        <v>3900</v>
      </c>
      <c r="H18" s="273">
        <f>'Program Budget'!K215</f>
        <v>12</v>
      </c>
      <c r="I18" s="276">
        <f>'Program Budget'!J215</f>
        <v>0.2</v>
      </c>
      <c r="J18" s="275">
        <f t="shared" si="12"/>
        <v>9360</v>
      </c>
      <c r="K18" s="272">
        <f t="shared" si="13"/>
        <v>4056</v>
      </c>
      <c r="L18" s="273">
        <f>'Program Budget'!N215</f>
        <v>12</v>
      </c>
      <c r="M18" s="276">
        <f>'Program Budget'!M215</f>
        <v>0.2</v>
      </c>
      <c r="N18" s="275">
        <f t="shared" si="14"/>
        <v>9734.4</v>
      </c>
      <c r="O18" s="272">
        <f t="shared" si="15"/>
        <v>4218.24</v>
      </c>
      <c r="P18" s="273">
        <f>'Program Budget'!Q215</f>
        <v>12</v>
      </c>
      <c r="Q18" s="276">
        <f>'Program Budget'!P215</f>
        <v>0.2</v>
      </c>
      <c r="R18" s="275">
        <f t="shared" si="16"/>
        <v>10123.776</v>
      </c>
      <c r="S18" s="272">
        <f t="shared" si="17"/>
        <v>4386.9696000000004</v>
      </c>
      <c r="T18" s="273">
        <f>'Program Budget'!T215</f>
        <v>12</v>
      </c>
      <c r="U18" s="276">
        <f>'Program Budget'!S215</f>
        <v>0.2</v>
      </c>
      <c r="V18" s="275">
        <f t="shared" si="18"/>
        <v>10528.727040000002</v>
      </c>
      <c r="W18" s="411">
        <f t="shared" si="19"/>
        <v>46496.903040000005</v>
      </c>
      <c r="X18" s="278"/>
      <c r="Y18" s="265"/>
      <c r="Z18" s="279"/>
      <c r="AA18" s="279"/>
      <c r="AE18" s="239">
        <v>180</v>
      </c>
      <c r="AF18" s="280" t="s">
        <v>117</v>
      </c>
      <c r="AG18" s="280" t="s">
        <v>118</v>
      </c>
      <c r="AH18" s="281"/>
      <c r="AJ18" s="282"/>
    </row>
    <row r="19" spans="1:36" ht="15" customHeight="1" outlineLevel="1">
      <c r="A19" s="270" t="str">
        <f>'Program Budget'!D216</f>
        <v>M&amp;E Specialist</v>
      </c>
      <c r="B19" s="271" t="str">
        <f>'Program Budget'!F216</f>
        <v>Month</v>
      </c>
      <c r="C19" s="272">
        <f>'Program Budget'!H216</f>
        <v>2083.3333333333335</v>
      </c>
      <c r="D19" s="273">
        <f>'Program Budget'!G216</f>
        <v>6</v>
      </c>
      <c r="E19" s="274">
        <f>'Program Budget'!E216</f>
        <v>0.2</v>
      </c>
      <c r="F19" s="275">
        <f t="shared" si="10"/>
        <v>2500</v>
      </c>
      <c r="G19" s="272">
        <f t="shared" si="11"/>
        <v>2166.666666666667</v>
      </c>
      <c r="H19" s="273">
        <f>'Program Budget'!K216</f>
        <v>12</v>
      </c>
      <c r="I19" s="276">
        <f>'Program Budget'!J216</f>
        <v>0.2</v>
      </c>
      <c r="J19" s="275">
        <f t="shared" si="12"/>
        <v>5200.0000000000009</v>
      </c>
      <c r="K19" s="272">
        <f t="shared" si="13"/>
        <v>2253.3333333333339</v>
      </c>
      <c r="L19" s="273">
        <f>'Program Budget'!N216</f>
        <v>12</v>
      </c>
      <c r="M19" s="276">
        <f>'Program Budget'!M216</f>
        <v>0.2</v>
      </c>
      <c r="N19" s="275">
        <f t="shared" si="14"/>
        <v>5408.0000000000018</v>
      </c>
      <c r="O19" s="272">
        <f t="shared" si="15"/>
        <v>2343.4666666666672</v>
      </c>
      <c r="P19" s="273">
        <f>'Program Budget'!Q216</f>
        <v>12</v>
      </c>
      <c r="Q19" s="276">
        <f>'Program Budget'!P216</f>
        <v>0.2</v>
      </c>
      <c r="R19" s="275">
        <f t="shared" si="16"/>
        <v>5624.3200000000015</v>
      </c>
      <c r="S19" s="272">
        <f t="shared" si="17"/>
        <v>2437.2053333333338</v>
      </c>
      <c r="T19" s="273">
        <f>'Program Budget'!T216</f>
        <v>10</v>
      </c>
      <c r="U19" s="276">
        <f>'Program Budget'!S216</f>
        <v>0.2</v>
      </c>
      <c r="V19" s="275">
        <f t="shared" si="18"/>
        <v>4874.4106666666676</v>
      </c>
      <c r="W19" s="411">
        <f t="shared" si="19"/>
        <v>23606.730666666674</v>
      </c>
      <c r="X19" s="278"/>
      <c r="Y19" s="265"/>
      <c r="Z19" s="279"/>
      <c r="AA19" s="279"/>
      <c r="AE19" s="239">
        <v>180</v>
      </c>
      <c r="AF19" s="280" t="s">
        <v>117</v>
      </c>
      <c r="AG19" s="280" t="s">
        <v>118</v>
      </c>
      <c r="AH19" s="281"/>
      <c r="AJ19" s="282"/>
    </row>
    <row r="20" spans="1:36" ht="15" customHeight="1" outlineLevel="1">
      <c r="A20" s="270" t="str">
        <f>'Program Budget'!D217</f>
        <v xml:space="preserve">F&amp;A Director </v>
      </c>
      <c r="B20" s="271" t="str">
        <f>'Program Budget'!F217</f>
        <v>Month</v>
      </c>
      <c r="C20" s="272">
        <f>'Program Budget'!H217</f>
        <v>6666.666666666667</v>
      </c>
      <c r="D20" s="273">
        <f>'Program Budget'!G217</f>
        <v>9</v>
      </c>
      <c r="E20" s="274">
        <f>'Program Budget'!E217</f>
        <v>0.2</v>
      </c>
      <c r="F20" s="275">
        <f t="shared" si="10"/>
        <v>12000</v>
      </c>
      <c r="G20" s="272">
        <f t="shared" si="11"/>
        <v>6933.3333333333339</v>
      </c>
      <c r="H20" s="273">
        <f>'Program Budget'!K217</f>
        <v>12</v>
      </c>
      <c r="I20" s="276">
        <f>'Program Budget'!J217</f>
        <v>0.2</v>
      </c>
      <c r="J20" s="275">
        <f t="shared" si="12"/>
        <v>16640</v>
      </c>
      <c r="K20" s="272">
        <f t="shared" si="13"/>
        <v>7210.6666666666679</v>
      </c>
      <c r="L20" s="273">
        <f>'Program Budget'!N217</f>
        <v>12</v>
      </c>
      <c r="M20" s="276">
        <f>'Program Budget'!M217</f>
        <v>0.2</v>
      </c>
      <c r="N20" s="275">
        <f t="shared" si="14"/>
        <v>17305.600000000002</v>
      </c>
      <c r="O20" s="272">
        <f t="shared" si="15"/>
        <v>7499.0933333333351</v>
      </c>
      <c r="P20" s="273">
        <f>'Program Budget'!Q217</f>
        <v>12</v>
      </c>
      <c r="Q20" s="276">
        <f>'Program Budget'!P217</f>
        <v>0.2</v>
      </c>
      <c r="R20" s="275">
        <f t="shared" si="16"/>
        <v>17997.824000000004</v>
      </c>
      <c r="S20" s="272">
        <f t="shared" si="17"/>
        <v>7799.057066666669</v>
      </c>
      <c r="T20" s="273">
        <f>'Program Budget'!T217</f>
        <v>12</v>
      </c>
      <c r="U20" s="276">
        <f>'Program Budget'!S217</f>
        <v>0.2</v>
      </c>
      <c r="V20" s="275">
        <f t="shared" si="18"/>
        <v>18717.736960000006</v>
      </c>
      <c r="W20" s="411">
        <f t="shared" si="19"/>
        <v>82661.160960000023</v>
      </c>
      <c r="X20" s="278"/>
      <c r="Y20" s="265"/>
      <c r="Z20" s="279"/>
      <c r="AA20" s="279"/>
      <c r="AE20" s="239">
        <v>180</v>
      </c>
      <c r="AF20" s="280" t="s">
        <v>117</v>
      </c>
      <c r="AG20" s="280" t="s">
        <v>118</v>
      </c>
      <c r="AH20" s="281"/>
      <c r="AJ20" s="282"/>
    </row>
    <row r="21" spans="1:36" ht="15" customHeight="1" outlineLevel="1">
      <c r="A21" s="270" t="str">
        <f>'Program Budget'!D218</f>
        <v>Human Resource Manager</v>
      </c>
      <c r="B21" s="271" t="str">
        <f>'Program Budget'!F218</f>
        <v>Month</v>
      </c>
      <c r="C21" s="272">
        <f>'Program Budget'!H218</f>
        <v>2916.6666666666665</v>
      </c>
      <c r="D21" s="273">
        <f>'Program Budget'!G218</f>
        <v>9</v>
      </c>
      <c r="E21" s="274">
        <f>'Program Budget'!E218</f>
        <v>0.2</v>
      </c>
      <c r="F21" s="275">
        <f t="shared" si="10"/>
        <v>5250</v>
      </c>
      <c r="G21" s="272">
        <f t="shared" si="11"/>
        <v>3033.3333333333335</v>
      </c>
      <c r="H21" s="273">
        <f>'Program Budget'!K218</f>
        <v>12</v>
      </c>
      <c r="I21" s="276">
        <f>'Program Budget'!J218</f>
        <v>0.2</v>
      </c>
      <c r="J21" s="275">
        <f t="shared" si="12"/>
        <v>7280</v>
      </c>
      <c r="K21" s="272">
        <f t="shared" si="13"/>
        <v>3154.666666666667</v>
      </c>
      <c r="L21" s="273">
        <f>'Program Budget'!N218</f>
        <v>12</v>
      </c>
      <c r="M21" s="276">
        <f>'Program Budget'!M218</f>
        <v>0.25</v>
      </c>
      <c r="N21" s="275">
        <f t="shared" si="14"/>
        <v>9464</v>
      </c>
      <c r="O21" s="272">
        <f t="shared" si="15"/>
        <v>3280.8533333333339</v>
      </c>
      <c r="P21" s="273">
        <f>'Program Budget'!Q218</f>
        <v>12</v>
      </c>
      <c r="Q21" s="276">
        <f>'Program Budget'!P218</f>
        <v>0.25</v>
      </c>
      <c r="R21" s="275">
        <f t="shared" si="16"/>
        <v>9842.5600000000013</v>
      </c>
      <c r="S21" s="272">
        <f t="shared" si="17"/>
        <v>3412.0874666666673</v>
      </c>
      <c r="T21" s="273">
        <f>'Program Budget'!T218</f>
        <v>10</v>
      </c>
      <c r="U21" s="276">
        <f>'Program Budget'!S218</f>
        <v>0.25</v>
      </c>
      <c r="V21" s="275">
        <f t="shared" si="18"/>
        <v>8530.2186666666676</v>
      </c>
      <c r="W21" s="411">
        <f t="shared" si="19"/>
        <v>40366.778666666665</v>
      </c>
      <c r="X21" s="278"/>
      <c r="Y21" s="265"/>
      <c r="Z21" s="279"/>
      <c r="AA21" s="279"/>
      <c r="AE21" s="239"/>
      <c r="AF21" s="280"/>
      <c r="AG21" s="280"/>
      <c r="AH21" s="281"/>
      <c r="AJ21" s="282"/>
    </row>
    <row r="22" spans="1:36" ht="15" customHeight="1" outlineLevel="1">
      <c r="A22" s="270" t="str">
        <f>'Program Budget'!D219</f>
        <v>Contracts &amp; Compliance Specialist</v>
      </c>
      <c r="B22" s="271" t="str">
        <f>'Program Budget'!F219</f>
        <v>Month</v>
      </c>
      <c r="C22" s="272">
        <f>'Program Budget'!H219</f>
        <v>2916.6666666666665</v>
      </c>
      <c r="D22" s="273">
        <f>'Program Budget'!G219</f>
        <v>6</v>
      </c>
      <c r="E22" s="274">
        <f>'Program Budget'!E219</f>
        <v>0.25</v>
      </c>
      <c r="F22" s="275">
        <f t="shared" si="0"/>
        <v>4375</v>
      </c>
      <c r="G22" s="272">
        <f t="shared" si="1"/>
        <v>3033.3333333333335</v>
      </c>
      <c r="H22" s="273">
        <f>'Program Budget'!K219</f>
        <v>12</v>
      </c>
      <c r="I22" s="276">
        <f>'Program Budget'!J219</f>
        <v>0.25</v>
      </c>
      <c r="J22" s="275">
        <f t="shared" si="2"/>
        <v>9100</v>
      </c>
      <c r="K22" s="272">
        <f t="shared" si="3"/>
        <v>3154.666666666667</v>
      </c>
      <c r="L22" s="273">
        <f>'Program Budget'!N219</f>
        <v>12</v>
      </c>
      <c r="M22" s="276">
        <f>'Program Budget'!M219</f>
        <v>0.25</v>
      </c>
      <c r="N22" s="275">
        <f t="shared" si="4"/>
        <v>9464</v>
      </c>
      <c r="O22" s="272">
        <f t="shared" si="5"/>
        <v>3280.8533333333339</v>
      </c>
      <c r="P22" s="273">
        <f>'Program Budget'!Q219</f>
        <v>12</v>
      </c>
      <c r="Q22" s="276">
        <f>'Program Budget'!P219</f>
        <v>0.25</v>
      </c>
      <c r="R22" s="275">
        <f t="shared" si="6"/>
        <v>9842.5600000000013</v>
      </c>
      <c r="S22" s="272">
        <f t="shared" si="7"/>
        <v>3412.0874666666673</v>
      </c>
      <c r="T22" s="273">
        <f>'Program Budget'!T219</f>
        <v>9</v>
      </c>
      <c r="U22" s="276">
        <f>'Program Budget'!S219</f>
        <v>0.25</v>
      </c>
      <c r="V22" s="275">
        <f t="shared" si="8"/>
        <v>7677.1968000000015</v>
      </c>
      <c r="W22" s="411">
        <f t="shared" si="9"/>
        <v>40458.756800000003</v>
      </c>
      <c r="X22" s="278"/>
      <c r="Y22" s="265"/>
      <c r="Z22" s="279"/>
      <c r="AA22" s="279"/>
      <c r="AE22" s="239">
        <v>180</v>
      </c>
      <c r="AF22" s="280" t="s">
        <v>117</v>
      </c>
      <c r="AG22" s="280" t="s">
        <v>118</v>
      </c>
      <c r="AH22" s="281"/>
      <c r="AJ22" s="282"/>
    </row>
    <row r="23" spans="1:36" ht="15" customHeight="1" outlineLevel="1">
      <c r="A23" s="270" t="str">
        <f>'Program Budget'!D220</f>
        <v xml:space="preserve">Accountant </v>
      </c>
      <c r="B23" s="271" t="str">
        <f>'Program Budget'!F220</f>
        <v>Month</v>
      </c>
      <c r="C23" s="272">
        <f>'Program Budget'!H220</f>
        <v>1666.6666666666667</v>
      </c>
      <c r="D23" s="273">
        <f>'Program Budget'!G220</f>
        <v>7</v>
      </c>
      <c r="E23" s="274">
        <f>'Program Budget'!E220</f>
        <v>0.2</v>
      </c>
      <c r="F23" s="275">
        <f t="shared" si="0"/>
        <v>2333.3333333333335</v>
      </c>
      <c r="G23" s="272">
        <f t="shared" si="1"/>
        <v>1733.3333333333335</v>
      </c>
      <c r="H23" s="273">
        <f>'Program Budget'!K220</f>
        <v>12</v>
      </c>
      <c r="I23" s="276">
        <f>'Program Budget'!J220</f>
        <v>0.2</v>
      </c>
      <c r="J23" s="275">
        <f t="shared" si="2"/>
        <v>4160</v>
      </c>
      <c r="K23" s="272">
        <f t="shared" si="3"/>
        <v>1802.666666666667</v>
      </c>
      <c r="L23" s="273">
        <f>'Program Budget'!N220</f>
        <v>12</v>
      </c>
      <c r="M23" s="276">
        <f>'Program Budget'!M220</f>
        <v>0.2</v>
      </c>
      <c r="N23" s="275">
        <f t="shared" si="4"/>
        <v>4326.4000000000005</v>
      </c>
      <c r="O23" s="272">
        <f t="shared" si="5"/>
        <v>1874.7733333333338</v>
      </c>
      <c r="P23" s="273">
        <f>'Program Budget'!Q220</f>
        <v>12</v>
      </c>
      <c r="Q23" s="276">
        <f>'Program Budget'!P220</f>
        <v>0.2</v>
      </c>
      <c r="R23" s="275">
        <f t="shared" si="6"/>
        <v>4499.456000000001</v>
      </c>
      <c r="S23" s="272">
        <f t="shared" si="7"/>
        <v>1949.7642666666673</v>
      </c>
      <c r="T23" s="273">
        <f>'Program Budget'!T220</f>
        <v>10</v>
      </c>
      <c r="U23" s="276">
        <f>'Program Budget'!S220</f>
        <v>0.2</v>
      </c>
      <c r="V23" s="275">
        <f t="shared" si="8"/>
        <v>3899.528533333335</v>
      </c>
      <c r="W23" s="411">
        <f t="shared" si="9"/>
        <v>19218.71786666667</v>
      </c>
      <c r="X23" s="278"/>
      <c r="Y23" s="265"/>
      <c r="Z23" s="279"/>
      <c r="AA23" s="279"/>
      <c r="AE23" s="239">
        <v>180</v>
      </c>
      <c r="AF23" s="280" t="s">
        <v>117</v>
      </c>
      <c r="AG23" s="280" t="s">
        <v>118</v>
      </c>
      <c r="AH23" s="281"/>
      <c r="AJ23" s="282"/>
    </row>
    <row r="24" spans="1:36" ht="15" customHeight="1" outlineLevel="1">
      <c r="A24" s="270" t="str">
        <f>'Program Budget'!D221</f>
        <v xml:space="preserve">Administrative Assistant </v>
      </c>
      <c r="B24" s="271" t="str">
        <f>'Program Budget'!F221</f>
        <v>Month</v>
      </c>
      <c r="C24" s="272">
        <f>'Program Budget'!H221</f>
        <v>833.33333333333337</v>
      </c>
      <c r="D24" s="273">
        <f>'Program Budget'!G221</f>
        <v>7</v>
      </c>
      <c r="E24" s="274">
        <f>'Program Budget'!E221</f>
        <v>0.2</v>
      </c>
      <c r="F24" s="275">
        <f t="shared" si="0"/>
        <v>1166.6666666666667</v>
      </c>
      <c r="G24" s="272">
        <f t="shared" si="1"/>
        <v>866.66666666666674</v>
      </c>
      <c r="H24" s="273">
        <f>'Program Budget'!K221</f>
        <v>12</v>
      </c>
      <c r="I24" s="276">
        <f>'Program Budget'!J221</f>
        <v>0.2</v>
      </c>
      <c r="J24" s="275">
        <f t="shared" si="2"/>
        <v>2080</v>
      </c>
      <c r="K24" s="272">
        <f t="shared" si="3"/>
        <v>901.33333333333348</v>
      </c>
      <c r="L24" s="273">
        <f>'Program Budget'!N221</f>
        <v>12</v>
      </c>
      <c r="M24" s="276">
        <f>'Program Budget'!M221</f>
        <v>0.2</v>
      </c>
      <c r="N24" s="275">
        <f t="shared" si="4"/>
        <v>2163.2000000000003</v>
      </c>
      <c r="O24" s="272">
        <f t="shared" si="5"/>
        <v>937.38666666666688</v>
      </c>
      <c r="P24" s="273">
        <f>'Program Budget'!Q221</f>
        <v>12</v>
      </c>
      <c r="Q24" s="276">
        <f>'Program Budget'!P221</f>
        <v>0.2</v>
      </c>
      <c r="R24" s="275">
        <f t="shared" si="6"/>
        <v>2249.7280000000005</v>
      </c>
      <c r="S24" s="272">
        <f t="shared" si="7"/>
        <v>974.88213333333363</v>
      </c>
      <c r="T24" s="273">
        <f>'Program Budget'!T221</f>
        <v>10</v>
      </c>
      <c r="U24" s="276">
        <f>'Program Budget'!S221</f>
        <v>0.2</v>
      </c>
      <c r="V24" s="275">
        <f t="shared" si="8"/>
        <v>1949.7642666666675</v>
      </c>
      <c r="W24" s="411">
        <f t="shared" si="9"/>
        <v>9609.3589333333348</v>
      </c>
      <c r="X24" s="278"/>
      <c r="Y24" s="265"/>
      <c r="Z24" s="279"/>
      <c r="AA24" s="279"/>
      <c r="AE24" s="239">
        <v>180</v>
      </c>
      <c r="AF24" s="280" t="s">
        <v>117</v>
      </c>
      <c r="AG24" s="280" t="s">
        <v>118</v>
      </c>
      <c r="AH24" s="281"/>
      <c r="AJ24" s="282"/>
    </row>
    <row r="25" spans="1:36" ht="15" customHeight="1" outlineLevel="1">
      <c r="A25" s="270" t="str">
        <f>'Program Budget'!D222</f>
        <v>Security Guards</v>
      </c>
      <c r="B25" s="271" t="str">
        <f>'Program Budget'!F222</f>
        <v>Month</v>
      </c>
      <c r="C25" s="272">
        <f>'Program Budget'!H222</f>
        <v>666.66666666666663</v>
      </c>
      <c r="D25" s="273">
        <f>'Program Budget'!G222</f>
        <v>8</v>
      </c>
      <c r="E25" s="274">
        <f>'Program Budget'!E222</f>
        <v>0.2</v>
      </c>
      <c r="F25" s="275">
        <f t="shared" si="0"/>
        <v>1066.6666666666667</v>
      </c>
      <c r="G25" s="272">
        <f t="shared" si="1"/>
        <v>693.33333333333337</v>
      </c>
      <c r="H25" s="273">
        <f>'Program Budget'!K222</f>
        <v>12</v>
      </c>
      <c r="I25" s="276">
        <f>'Program Budget'!J222</f>
        <v>0.25</v>
      </c>
      <c r="J25" s="275">
        <f t="shared" si="2"/>
        <v>2080</v>
      </c>
      <c r="K25" s="272">
        <f t="shared" si="3"/>
        <v>721.06666666666672</v>
      </c>
      <c r="L25" s="273">
        <f>'Program Budget'!N222</f>
        <v>12</v>
      </c>
      <c r="M25" s="276">
        <f>'Program Budget'!M222</f>
        <v>0.25</v>
      </c>
      <c r="N25" s="275">
        <f t="shared" si="4"/>
        <v>2163.2000000000003</v>
      </c>
      <c r="O25" s="272">
        <f t="shared" si="5"/>
        <v>749.90933333333339</v>
      </c>
      <c r="P25" s="273">
        <f>'Program Budget'!Q222</f>
        <v>12</v>
      </c>
      <c r="Q25" s="276">
        <f>'Program Budget'!P222</f>
        <v>0.25</v>
      </c>
      <c r="R25" s="275">
        <f t="shared" si="6"/>
        <v>2249.7280000000001</v>
      </c>
      <c r="S25" s="272">
        <f t="shared" si="7"/>
        <v>779.90570666666679</v>
      </c>
      <c r="T25" s="273">
        <f>'Program Budget'!T222</f>
        <v>10</v>
      </c>
      <c r="U25" s="276">
        <f>'Program Budget'!S222</f>
        <v>0.25</v>
      </c>
      <c r="V25" s="275">
        <f t="shared" si="8"/>
        <v>1949.764266666667</v>
      </c>
      <c r="W25" s="411">
        <f t="shared" si="9"/>
        <v>9509.358933333333</v>
      </c>
      <c r="X25" s="278"/>
      <c r="Y25" s="265"/>
      <c r="Z25" s="279"/>
      <c r="AA25" s="279"/>
      <c r="AE25" s="239">
        <v>180</v>
      </c>
      <c r="AF25" s="280" t="s">
        <v>117</v>
      </c>
      <c r="AG25" s="280" t="s">
        <v>118</v>
      </c>
      <c r="AH25" s="281"/>
      <c r="AJ25" s="282"/>
    </row>
    <row r="26" spans="1:36" ht="15" customHeight="1" outlineLevel="1">
      <c r="A26" s="270" t="str">
        <f>'Program Budget'!D223</f>
        <v>Driver (2 Individuals)</v>
      </c>
      <c r="B26" s="271" t="str">
        <f>'Program Budget'!F223</f>
        <v>Month</v>
      </c>
      <c r="C26" s="272">
        <f>'Program Budget'!H223</f>
        <v>1333.3333333333333</v>
      </c>
      <c r="D26" s="273">
        <f>'Program Budget'!G223</f>
        <v>6</v>
      </c>
      <c r="E26" s="274">
        <f>'Program Budget'!E223</f>
        <v>0.2</v>
      </c>
      <c r="F26" s="275">
        <f t="shared" si="0"/>
        <v>1600</v>
      </c>
      <c r="G26" s="272">
        <f t="shared" si="1"/>
        <v>1386.6666666666667</v>
      </c>
      <c r="H26" s="273">
        <f>'Program Budget'!K223</f>
        <v>12</v>
      </c>
      <c r="I26" s="276">
        <f>'Program Budget'!J223</f>
        <v>0.2</v>
      </c>
      <c r="J26" s="275">
        <f t="shared" si="2"/>
        <v>3328</v>
      </c>
      <c r="K26" s="272">
        <f t="shared" si="3"/>
        <v>1442.1333333333334</v>
      </c>
      <c r="L26" s="273">
        <f>'Program Budget'!N223</f>
        <v>12</v>
      </c>
      <c r="M26" s="276">
        <f>'Program Budget'!M223</f>
        <v>0.2</v>
      </c>
      <c r="N26" s="275">
        <f t="shared" si="4"/>
        <v>3461.1200000000008</v>
      </c>
      <c r="O26" s="272">
        <f t="shared" si="5"/>
        <v>1499.8186666666668</v>
      </c>
      <c r="P26" s="273">
        <f>'Program Budget'!Q223</f>
        <v>12</v>
      </c>
      <c r="Q26" s="276">
        <f>'Program Budget'!P223</f>
        <v>0.2</v>
      </c>
      <c r="R26" s="275">
        <f t="shared" si="6"/>
        <v>3599.5648000000001</v>
      </c>
      <c r="S26" s="272">
        <f t="shared" si="7"/>
        <v>1559.8114133333336</v>
      </c>
      <c r="T26" s="273">
        <f>'Program Budget'!T223</f>
        <v>9</v>
      </c>
      <c r="U26" s="276">
        <f>'Program Budget'!S223</f>
        <v>0.2</v>
      </c>
      <c r="V26" s="275">
        <f t="shared" si="8"/>
        <v>2807.6605440000003</v>
      </c>
      <c r="W26" s="413">
        <f t="shared" si="9"/>
        <v>14796.345344000001</v>
      </c>
      <c r="X26" s="278"/>
      <c r="Y26" s="265"/>
      <c r="Z26" s="279"/>
      <c r="AA26" s="279"/>
      <c r="AE26" s="239">
        <v>180</v>
      </c>
      <c r="AF26" s="280" t="s">
        <v>117</v>
      </c>
      <c r="AG26" s="280" t="s">
        <v>118</v>
      </c>
      <c r="AH26" s="281"/>
      <c r="AJ26" s="282"/>
    </row>
    <row r="27" spans="1:36" ht="15" customHeight="1" outlineLevel="1">
      <c r="A27" s="285" t="s">
        <v>78</v>
      </c>
      <c r="B27" s="286"/>
      <c r="C27" s="287"/>
      <c r="D27" s="288"/>
      <c r="E27" s="289"/>
      <c r="F27" s="299">
        <f>SUM(F10:F26)</f>
        <v>78541.666666666672</v>
      </c>
      <c r="G27" s="287"/>
      <c r="H27" s="288"/>
      <c r="J27" s="299">
        <f>SUM(J10:J26)</f>
        <v>218348</v>
      </c>
      <c r="K27" s="287"/>
      <c r="L27" s="288"/>
      <c r="M27" s="289"/>
      <c r="N27" s="299">
        <f>SUM(N10:N26)</f>
        <v>183547.52000000002</v>
      </c>
      <c r="O27" s="287"/>
      <c r="P27" s="288"/>
      <c r="Q27" s="291"/>
      <c r="R27" s="299">
        <f>SUM(R10:R26)</f>
        <v>143645.13280000002</v>
      </c>
      <c r="S27" s="287"/>
      <c r="T27" s="288"/>
      <c r="U27" s="291"/>
      <c r="V27" s="299">
        <f>SUM(V10:V26)</f>
        <v>112993.71366400002</v>
      </c>
      <c r="W27" s="412">
        <f>F27+J27+N27+R27+V27</f>
        <v>737076.03313066682</v>
      </c>
      <c r="AE27" s="239"/>
      <c r="AF27" s="280"/>
      <c r="AG27" s="280"/>
    </row>
    <row r="28" spans="1:36" s="266" customFormat="1" ht="15" customHeight="1" outlineLevel="1">
      <c r="A28" s="302"/>
      <c r="B28" s="293"/>
      <c r="C28" s="294"/>
      <c r="D28" s="295"/>
      <c r="E28" s="236"/>
      <c r="F28" s="275"/>
      <c r="G28" s="294"/>
      <c r="H28" s="295"/>
      <c r="I28" s="291"/>
      <c r="J28" s="275"/>
      <c r="K28" s="294"/>
      <c r="L28" s="295"/>
      <c r="M28" s="236"/>
      <c r="N28" s="275"/>
      <c r="O28" s="294"/>
      <c r="P28" s="295"/>
      <c r="Q28" s="236"/>
      <c r="R28" s="275"/>
      <c r="S28" s="294"/>
      <c r="T28" s="295"/>
      <c r="U28" s="236"/>
      <c r="V28" s="275"/>
      <c r="W28" s="283"/>
      <c r="X28" s="233"/>
      <c r="Y28" s="233"/>
      <c r="Z28" s="233"/>
      <c r="AA28" s="233"/>
      <c r="AB28" s="233"/>
      <c r="AC28" s="233"/>
      <c r="AD28" s="233"/>
      <c r="AE28" s="239"/>
      <c r="AF28" s="280"/>
      <c r="AG28" s="280"/>
      <c r="AH28" s="300"/>
      <c r="AI28" s="301"/>
      <c r="AJ28" s="233"/>
    </row>
    <row r="29" spans="1:36" s="313" customFormat="1" ht="15" customHeight="1">
      <c r="A29" s="303" t="s">
        <v>81</v>
      </c>
      <c r="B29" s="304"/>
      <c r="C29" s="305"/>
      <c r="D29" s="306"/>
      <c r="E29" s="307"/>
      <c r="F29" s="308">
        <f>F27+F8</f>
        <v>107541.66666666667</v>
      </c>
      <c r="G29" s="305"/>
      <c r="H29" s="306"/>
      <c r="I29" s="309"/>
      <c r="J29" s="308">
        <f>J27+J8</f>
        <v>248508</v>
      </c>
      <c r="K29" s="305"/>
      <c r="L29" s="306"/>
      <c r="M29" s="307"/>
      <c r="N29" s="308">
        <f>N27+N8</f>
        <v>214913.92000000004</v>
      </c>
      <c r="O29" s="305"/>
      <c r="P29" s="306"/>
      <c r="Q29" s="309"/>
      <c r="R29" s="308">
        <f>R27+R8</f>
        <v>176266.18880000003</v>
      </c>
      <c r="S29" s="305"/>
      <c r="T29" s="306"/>
      <c r="U29" s="309"/>
      <c r="V29" s="308">
        <f>V27+V8</f>
        <v>146919.61190400005</v>
      </c>
      <c r="W29" s="310">
        <f>+F29+J29+N29+R29+V29</f>
        <v>894149.38737066672</v>
      </c>
      <c r="X29" s="311"/>
      <c r="Y29" s="311"/>
      <c r="Z29" s="311"/>
      <c r="AA29" s="311"/>
      <c r="AB29" s="311"/>
      <c r="AC29" s="312"/>
      <c r="AD29" s="312"/>
      <c r="AE29" s="311"/>
      <c r="AG29" s="313" t="s">
        <v>119</v>
      </c>
      <c r="AJ29" s="312"/>
    </row>
    <row r="30" spans="1:36" s="266" customFormat="1" ht="15" customHeight="1" outlineLevel="1">
      <c r="A30" s="267" t="s">
        <v>82</v>
      </c>
      <c r="B30" s="268"/>
      <c r="C30" s="258"/>
      <c r="D30" s="259"/>
      <c r="E30" s="260"/>
      <c r="F30" s="261"/>
      <c r="G30" s="258"/>
      <c r="H30" s="259"/>
      <c r="I30" s="262"/>
      <c r="J30" s="263"/>
      <c r="K30" s="258"/>
      <c r="L30" s="259"/>
      <c r="M30" s="260"/>
      <c r="N30" s="263"/>
      <c r="O30" s="258"/>
      <c r="P30" s="259"/>
      <c r="Q30" s="262"/>
      <c r="R30" s="263"/>
      <c r="S30" s="258"/>
      <c r="T30" s="259"/>
      <c r="U30" s="262"/>
      <c r="V30" s="263"/>
      <c r="W30" s="264"/>
      <c r="X30" s="233"/>
      <c r="Y30" s="233"/>
      <c r="Z30" s="233"/>
      <c r="AA30" s="233"/>
      <c r="AB30" s="233"/>
      <c r="AC30" s="233"/>
      <c r="AD30" s="233"/>
      <c r="AE30" s="239"/>
      <c r="AJ30" s="233"/>
    </row>
    <row r="31" spans="1:36" s="266" customFormat="1" ht="15" customHeight="1" outlineLevel="1">
      <c r="A31" s="314" t="s">
        <v>75</v>
      </c>
      <c r="B31" s="293" t="str">
        <f>'Program Budget'!F167</f>
        <v>%</v>
      </c>
      <c r="C31" s="421">
        <f>F8</f>
        <v>29000</v>
      </c>
      <c r="D31" s="295">
        <v>1</v>
      </c>
      <c r="E31" s="236">
        <f>'Program Budget'!H228</f>
        <v>0.23469999999999999</v>
      </c>
      <c r="F31" s="275">
        <f>C31*D31*E31</f>
        <v>6806.3</v>
      </c>
      <c r="G31" s="421">
        <f>J8</f>
        <v>30160</v>
      </c>
      <c r="H31" s="295">
        <v>1</v>
      </c>
      <c r="I31" s="236">
        <f>E31</f>
        <v>0.23469999999999999</v>
      </c>
      <c r="J31" s="275">
        <f t="shared" ref="J31:J32" si="20">G31*H31*I31</f>
        <v>7078.5519999999997</v>
      </c>
      <c r="K31" s="421">
        <f>N8</f>
        <v>31366.400000000009</v>
      </c>
      <c r="L31" s="295">
        <v>1</v>
      </c>
      <c r="M31" s="236">
        <f>I31</f>
        <v>0.23469999999999999</v>
      </c>
      <c r="N31" s="275">
        <f t="shared" ref="N31:N32" si="21">K31*L31*M31</f>
        <v>7361.694080000002</v>
      </c>
      <c r="O31" s="421">
        <f>R8</f>
        <v>32621.056000000008</v>
      </c>
      <c r="P31" s="295">
        <v>1</v>
      </c>
      <c r="Q31" s="236">
        <f>M31</f>
        <v>0.23469999999999999</v>
      </c>
      <c r="R31" s="275">
        <f t="shared" ref="R31:R32" si="22">O31*P31*Q31</f>
        <v>7656.1618432000014</v>
      </c>
      <c r="S31" s="421">
        <f>V8</f>
        <v>33925.89824000001</v>
      </c>
      <c r="T31" s="295">
        <v>1</v>
      </c>
      <c r="U31" s="236">
        <f>Q31</f>
        <v>0.23469999999999999</v>
      </c>
      <c r="V31" s="275">
        <f t="shared" ref="V31:V32" si="23">S31*T31*U31</f>
        <v>7962.408316928002</v>
      </c>
      <c r="W31" s="411">
        <f t="shared" ref="W31:W32" si="24">F31+J31+N31+R31+V31</f>
        <v>36865.116240128002</v>
      </c>
      <c r="X31" s="233"/>
      <c r="Y31" s="233"/>
      <c r="Z31" s="233"/>
      <c r="AA31" s="233"/>
      <c r="AB31" s="233"/>
      <c r="AC31" s="233"/>
      <c r="AD31" s="233"/>
      <c r="AE31" s="239">
        <v>194</v>
      </c>
      <c r="AF31" s="280" t="s">
        <v>120</v>
      </c>
      <c r="AG31" s="280" t="s">
        <v>121</v>
      </c>
      <c r="AJ31" s="233"/>
    </row>
    <row r="32" spans="1:36" s="266" customFormat="1" ht="15" customHeight="1" outlineLevel="1">
      <c r="A32" s="314" t="s">
        <v>83</v>
      </c>
      <c r="B32" s="293" t="str">
        <f>'Program Budget'!F168</f>
        <v>%</v>
      </c>
      <c r="C32" s="421">
        <f>F27</f>
        <v>78541.666666666672</v>
      </c>
      <c r="D32" s="295">
        <v>1</v>
      </c>
      <c r="E32" s="236">
        <f>'Program Budget'!H227</f>
        <v>0.26919999999999999</v>
      </c>
      <c r="F32" s="275">
        <f>C32*D32*E32</f>
        <v>21143.416666666668</v>
      </c>
      <c r="G32" s="421">
        <f>J27</f>
        <v>218348</v>
      </c>
      <c r="H32" s="295">
        <v>1</v>
      </c>
      <c r="I32" s="236">
        <f t="shared" ref="I32" si="25">E32</f>
        <v>0.26919999999999999</v>
      </c>
      <c r="J32" s="275">
        <f t="shared" si="20"/>
        <v>58779.281600000002</v>
      </c>
      <c r="K32" s="421">
        <f>N27</f>
        <v>183547.52000000002</v>
      </c>
      <c r="L32" s="295">
        <v>1</v>
      </c>
      <c r="M32" s="236">
        <f t="shared" ref="M32" si="26">I32</f>
        <v>0.26919999999999999</v>
      </c>
      <c r="N32" s="275">
        <f t="shared" si="21"/>
        <v>49410.992384000005</v>
      </c>
      <c r="O32" s="421">
        <f>R27</f>
        <v>143645.13280000002</v>
      </c>
      <c r="P32" s="295">
        <v>1</v>
      </c>
      <c r="Q32" s="236">
        <f t="shared" ref="Q32" si="27">M32</f>
        <v>0.26919999999999999</v>
      </c>
      <c r="R32" s="275">
        <f t="shared" si="22"/>
        <v>38669.269749760002</v>
      </c>
      <c r="S32" s="421">
        <f>V27</f>
        <v>112993.71366400002</v>
      </c>
      <c r="T32" s="295">
        <v>1</v>
      </c>
      <c r="U32" s="236">
        <f t="shared" ref="U32" si="28">Q32</f>
        <v>0.26919999999999999</v>
      </c>
      <c r="V32" s="275">
        <f t="shared" si="23"/>
        <v>30417.907718348804</v>
      </c>
      <c r="W32" s="413">
        <f t="shared" si="24"/>
        <v>198420.86811877551</v>
      </c>
      <c r="X32" s="233"/>
      <c r="Y32" s="233"/>
      <c r="Z32" s="233"/>
      <c r="AA32" s="233"/>
      <c r="AB32" s="233"/>
      <c r="AC32" s="233"/>
      <c r="AD32" s="233"/>
      <c r="AE32" s="315">
        <v>197</v>
      </c>
      <c r="AF32" s="316" t="s">
        <v>122</v>
      </c>
      <c r="AG32" s="316" t="s">
        <v>123</v>
      </c>
      <c r="AJ32" s="233"/>
    </row>
    <row r="33" spans="1:36" ht="15" customHeight="1" outlineLevel="1">
      <c r="A33" s="285" t="s">
        <v>85</v>
      </c>
      <c r="B33" s="286"/>
      <c r="C33" s="287"/>
      <c r="D33" s="288"/>
      <c r="E33" s="289"/>
      <c r="F33" s="290">
        <f>+SUM(F31:F32)</f>
        <v>27949.716666666667</v>
      </c>
      <c r="G33" s="287"/>
      <c r="H33" s="288"/>
      <c r="I33" s="291"/>
      <c r="J33" s="290">
        <f>+SUM(J31:J32)</f>
        <v>65857.833599999998</v>
      </c>
      <c r="K33" s="287"/>
      <c r="L33" s="288"/>
      <c r="M33" s="289"/>
      <c r="N33" s="290">
        <f>+SUM(N31:N32)</f>
        <v>56772.686464000006</v>
      </c>
      <c r="O33" s="287"/>
      <c r="P33" s="288"/>
      <c r="Q33" s="291"/>
      <c r="R33" s="290">
        <f>+SUM(R31:R32)</f>
        <v>46325.431592960005</v>
      </c>
      <c r="S33" s="287"/>
      <c r="T33" s="288"/>
      <c r="U33" s="291"/>
      <c r="V33" s="290">
        <f>+SUM(V31:V32)</f>
        <v>38380.316035276803</v>
      </c>
      <c r="W33" s="412">
        <f>+F33+J33+N33+R33+V33</f>
        <v>235285.98435890346</v>
      </c>
      <c r="AE33" s="239"/>
      <c r="AF33" s="280"/>
      <c r="AG33" s="280"/>
    </row>
    <row r="34" spans="1:36" s="266" customFormat="1" ht="15" customHeight="1" outlineLevel="1">
      <c r="A34" s="267" t="s">
        <v>86</v>
      </c>
      <c r="B34" s="324"/>
      <c r="C34" s="294"/>
      <c r="D34" s="295"/>
      <c r="E34" s="236"/>
      <c r="F34" s="325"/>
      <c r="G34" s="294"/>
      <c r="H34" s="295"/>
      <c r="I34" s="237"/>
      <c r="J34" s="298"/>
      <c r="K34" s="294"/>
      <c r="L34" s="295"/>
      <c r="M34" s="236"/>
      <c r="N34" s="298"/>
      <c r="O34" s="294"/>
      <c r="P34" s="295"/>
      <c r="Q34" s="237"/>
      <c r="R34" s="298"/>
      <c r="S34" s="294"/>
      <c r="T34" s="295"/>
      <c r="U34" s="237"/>
      <c r="V34" s="298"/>
      <c r="W34" s="411">
        <f>+F34+J34+N34+R34+V34</f>
        <v>0</v>
      </c>
      <c r="X34" s="233"/>
      <c r="Y34" s="233"/>
      <c r="Z34" s="233"/>
      <c r="AA34" s="233"/>
      <c r="AB34" s="233"/>
      <c r="AC34" s="233"/>
      <c r="AD34" s="233"/>
      <c r="AE34" s="239"/>
      <c r="AF34" s="280"/>
      <c r="AG34" s="280" t="s">
        <v>119</v>
      </c>
      <c r="AJ34" s="233"/>
    </row>
    <row r="35" spans="1:36" s="266" customFormat="1" ht="15" customHeight="1" outlineLevel="1">
      <c r="A35" s="270" t="str">
        <f>'Program Budget'!D169</f>
        <v>Cost of Living Adjustment for Ex-pat Chief of Party</v>
      </c>
      <c r="B35" s="293" t="str">
        <f>'Program Budget'!F169</f>
        <v>%</v>
      </c>
      <c r="C35" s="423">
        <f>F8</f>
        <v>29000</v>
      </c>
      <c r="D35" s="235">
        <v>1</v>
      </c>
      <c r="E35" s="236">
        <f>'Program Budget'!H229</f>
        <v>0.15</v>
      </c>
      <c r="F35" s="275">
        <f>C35*D35*E35</f>
        <v>4350</v>
      </c>
      <c r="G35" s="423">
        <f>J8</f>
        <v>30160</v>
      </c>
      <c r="H35" s="235">
        <v>1</v>
      </c>
      <c r="I35" s="237">
        <f>E35</f>
        <v>0.15</v>
      </c>
      <c r="J35" s="275">
        <f>G35*H35*I35</f>
        <v>4524</v>
      </c>
      <c r="K35" s="423">
        <f>N8</f>
        <v>31366.400000000009</v>
      </c>
      <c r="L35" s="235">
        <v>1</v>
      </c>
      <c r="M35" s="236">
        <f>I35</f>
        <v>0.15</v>
      </c>
      <c r="N35" s="275">
        <f>K35*L35*M35</f>
        <v>4704.9600000000009</v>
      </c>
      <c r="O35" s="423">
        <f>R8</f>
        <v>32621.056000000008</v>
      </c>
      <c r="P35" s="235">
        <v>1</v>
      </c>
      <c r="Q35" s="237">
        <f>M35</f>
        <v>0.15</v>
      </c>
      <c r="R35" s="275">
        <f>O35*P35*Q35</f>
        <v>4893.1584000000012</v>
      </c>
      <c r="S35" s="423">
        <f>V8</f>
        <v>33925.89824000001</v>
      </c>
      <c r="T35" s="235">
        <v>1</v>
      </c>
      <c r="U35" s="237">
        <f>Q35</f>
        <v>0.15</v>
      </c>
      <c r="V35" s="275">
        <f>S35*T35*U35</f>
        <v>5088.8847360000009</v>
      </c>
      <c r="W35" s="415">
        <f t="shared" ref="W35:W36" si="29">F35+J35+N35+R35+V35</f>
        <v>23561.003136000003</v>
      </c>
      <c r="X35" s="233"/>
      <c r="Y35" s="233"/>
      <c r="Z35" s="233"/>
      <c r="AA35" s="233"/>
      <c r="AB35" s="233"/>
      <c r="AC35" s="233"/>
      <c r="AD35" s="233"/>
      <c r="AE35" s="239"/>
      <c r="AF35" s="284"/>
      <c r="AG35" s="284"/>
      <c r="AJ35" s="233"/>
    </row>
    <row r="36" spans="1:36" s="266" customFormat="1" ht="15" customHeight="1" outlineLevel="1">
      <c r="A36" s="270" t="str">
        <f>'Program Budget'!D170</f>
        <v>Post Hardship for Ex-pat Chief of Party</v>
      </c>
      <c r="B36" s="293" t="str">
        <f>'Program Budget'!F170</f>
        <v>%</v>
      </c>
      <c r="C36" s="423">
        <f>F8</f>
        <v>29000</v>
      </c>
      <c r="D36" s="235">
        <v>1</v>
      </c>
      <c r="E36" s="236">
        <f>'Program Budget'!H230</f>
        <v>0.35</v>
      </c>
      <c r="F36" s="275">
        <f>C36*D36*E36</f>
        <v>10150</v>
      </c>
      <c r="G36" s="423">
        <f>J8</f>
        <v>30160</v>
      </c>
      <c r="H36" s="235">
        <v>1</v>
      </c>
      <c r="I36" s="237">
        <f>E36</f>
        <v>0.35</v>
      </c>
      <c r="J36" s="275">
        <f>G36*H36*I36</f>
        <v>10556</v>
      </c>
      <c r="K36" s="423">
        <f>N8</f>
        <v>31366.400000000009</v>
      </c>
      <c r="L36" s="235">
        <v>1</v>
      </c>
      <c r="M36" s="236">
        <f>I36</f>
        <v>0.35</v>
      </c>
      <c r="N36" s="275">
        <f>K36*L36*M36</f>
        <v>10978.240000000002</v>
      </c>
      <c r="O36" s="423">
        <f>R8</f>
        <v>32621.056000000008</v>
      </c>
      <c r="P36" s="235">
        <v>1</v>
      </c>
      <c r="Q36" s="237">
        <f>M36</f>
        <v>0.35</v>
      </c>
      <c r="R36" s="275">
        <f>O36*P36*Q36</f>
        <v>11417.369600000002</v>
      </c>
      <c r="S36" s="423">
        <f>V8</f>
        <v>33925.89824000001</v>
      </c>
      <c r="T36" s="235">
        <v>1</v>
      </c>
      <c r="U36" s="237">
        <f>Q36</f>
        <v>0.35</v>
      </c>
      <c r="V36" s="275">
        <f>S36*T36*U36</f>
        <v>11874.064384000003</v>
      </c>
      <c r="W36" s="415">
        <f t="shared" si="29"/>
        <v>54975.673984000008</v>
      </c>
      <c r="X36" s="233"/>
      <c r="Y36" s="233"/>
      <c r="Z36" s="233"/>
      <c r="AA36" s="233"/>
      <c r="AB36" s="233"/>
      <c r="AC36" s="233"/>
      <c r="AD36" s="233"/>
      <c r="AE36" s="239"/>
      <c r="AF36" s="284"/>
      <c r="AG36" s="284"/>
      <c r="AJ36" s="233"/>
    </row>
    <row r="37" spans="1:36" ht="15" customHeight="1" outlineLevel="1">
      <c r="A37" s="285" t="s">
        <v>87</v>
      </c>
      <c r="B37" s="286"/>
      <c r="C37" s="287"/>
      <c r="D37" s="288"/>
      <c r="E37" s="289"/>
      <c r="F37" s="290">
        <f>SUM(F35:F36)</f>
        <v>14500</v>
      </c>
      <c r="G37" s="287"/>
      <c r="H37" s="288"/>
      <c r="I37" s="291"/>
      <c r="J37" s="290">
        <f>SUM(J35:J36)</f>
        <v>15080</v>
      </c>
      <c r="K37" s="287"/>
      <c r="L37" s="288"/>
      <c r="M37" s="289"/>
      <c r="N37" s="290">
        <f>SUM(N35:N36)</f>
        <v>15683.200000000003</v>
      </c>
      <c r="O37" s="287"/>
      <c r="P37" s="288"/>
      <c r="Q37" s="291"/>
      <c r="R37" s="290">
        <f>SUM(R35:R36)</f>
        <v>16310.528000000002</v>
      </c>
      <c r="S37" s="287"/>
      <c r="T37" s="288"/>
      <c r="U37" s="291"/>
      <c r="V37" s="290">
        <f>SUM(V35:V36)</f>
        <v>16962.949120000005</v>
      </c>
      <c r="W37" s="412">
        <f>F37+J37+N37+R37+V37</f>
        <v>78536.677120000008</v>
      </c>
      <c r="AE37" s="239"/>
      <c r="AF37" s="280"/>
      <c r="AG37" s="280"/>
    </row>
    <row r="38" spans="1:36" s="335" customFormat="1" ht="18.3" outlineLevel="1">
      <c r="A38" s="326" t="s">
        <v>88</v>
      </c>
      <c r="B38" s="327"/>
      <c r="C38" s="328"/>
      <c r="D38" s="329"/>
      <c r="E38" s="330"/>
      <c r="F38" s="331">
        <f>F37+F33</f>
        <v>42449.716666666667</v>
      </c>
      <c r="G38" s="328"/>
      <c r="H38" s="329"/>
      <c r="I38" s="332"/>
      <c r="J38" s="331">
        <f>J37+J33</f>
        <v>80937.833599999998</v>
      </c>
      <c r="K38" s="328"/>
      <c r="L38" s="329"/>
      <c r="M38" s="330"/>
      <c r="N38" s="331">
        <f>N37+N33</f>
        <v>72455.88646400001</v>
      </c>
      <c r="O38" s="328"/>
      <c r="P38" s="329"/>
      <c r="Q38" s="332"/>
      <c r="R38" s="331">
        <f>R37+R33</f>
        <v>62635.959592960004</v>
      </c>
      <c r="S38" s="328"/>
      <c r="T38" s="329"/>
      <c r="U38" s="332"/>
      <c r="V38" s="331">
        <f>V37+V33</f>
        <v>55343.265155276807</v>
      </c>
      <c r="W38" s="310">
        <f>+F38+J38+N38+R38+V38</f>
        <v>313822.66147890349</v>
      </c>
      <c r="X38" s="312"/>
      <c r="Y38" s="312"/>
      <c r="Z38" s="312"/>
      <c r="AA38" s="312"/>
      <c r="AB38" s="312"/>
      <c r="AC38" s="312"/>
      <c r="AD38" s="312"/>
      <c r="AE38" s="311">
        <v>287</v>
      </c>
      <c r="AF38" s="333" t="s">
        <v>128</v>
      </c>
      <c r="AG38" s="333" t="s">
        <v>129</v>
      </c>
      <c r="AH38" s="334"/>
      <c r="AJ38" s="312"/>
    </row>
    <row r="39" spans="1:36" s="337" customFormat="1" ht="15.6" outlineLevel="1">
      <c r="A39" s="267" t="s">
        <v>90</v>
      </c>
      <c r="B39" s="268"/>
      <c r="C39" s="234"/>
      <c r="D39" s="235"/>
      <c r="E39" s="260"/>
      <c r="F39" s="275"/>
      <c r="G39" s="234"/>
      <c r="H39" s="235"/>
      <c r="I39" s="262"/>
      <c r="J39" s="275"/>
      <c r="K39" s="234"/>
      <c r="L39" s="235"/>
      <c r="M39" s="260"/>
      <c r="N39" s="275"/>
      <c r="O39" s="234"/>
      <c r="P39" s="235"/>
      <c r="Q39" s="262"/>
      <c r="R39" s="275"/>
      <c r="S39" s="234"/>
      <c r="T39" s="235"/>
      <c r="U39" s="262"/>
      <c r="V39" s="275"/>
      <c r="W39" s="411"/>
      <c r="X39" s="233"/>
      <c r="Y39" s="233"/>
      <c r="Z39" s="233"/>
      <c r="AA39" s="233"/>
      <c r="AB39" s="233"/>
      <c r="AC39" s="233"/>
      <c r="AD39" s="233"/>
      <c r="AE39" s="239"/>
      <c r="AF39" s="280"/>
      <c r="AG39" s="280"/>
      <c r="AH39" s="336"/>
      <c r="AJ39" s="233"/>
    </row>
    <row r="40" spans="1:36" ht="15" customHeight="1" outlineLevel="1">
      <c r="A40" s="270" t="str">
        <f>'Program Budget'!D250</f>
        <v>Local Transportation for Trainings</v>
      </c>
      <c r="B40" s="271" t="str">
        <f>'Program Budget'!F250</f>
        <v>Trip</v>
      </c>
      <c r="C40" s="272">
        <f>'Program Budget'!H250</f>
        <v>100</v>
      </c>
      <c r="D40" s="273">
        <f>'Program Budget'!G250</f>
        <v>6</v>
      </c>
      <c r="E40" s="274">
        <v>1</v>
      </c>
      <c r="F40" s="275">
        <f>C40*D40*E40</f>
        <v>600</v>
      </c>
      <c r="G40" s="272">
        <f t="shared" ref="G40" si="30">C40*1.04</f>
        <v>104</v>
      </c>
      <c r="H40" s="273">
        <f>'Program Budget'!K250</f>
        <v>12</v>
      </c>
      <c r="I40" s="274">
        <v>1</v>
      </c>
      <c r="J40" s="275">
        <f>G40*H40*I40</f>
        <v>1248</v>
      </c>
      <c r="K40" s="272">
        <f t="shared" ref="K40" si="31">G40*1.04</f>
        <v>108.16</v>
      </c>
      <c r="L40" s="273">
        <f>'Program Budget'!N250</f>
        <v>12</v>
      </c>
      <c r="M40" s="274">
        <v>1</v>
      </c>
      <c r="N40" s="275">
        <f>K40*L40*M40</f>
        <v>1297.92</v>
      </c>
      <c r="O40" s="272">
        <f t="shared" ref="O40" si="32">K40*1.04</f>
        <v>112.4864</v>
      </c>
      <c r="P40" s="273">
        <f>'Program Budget'!Q250</f>
        <v>12</v>
      </c>
      <c r="Q40" s="274">
        <v>1</v>
      </c>
      <c r="R40" s="275">
        <f>O40*P40*Q40</f>
        <v>1349.8368</v>
      </c>
      <c r="S40" s="272">
        <f t="shared" ref="S40" si="33">O40*1.04</f>
        <v>116.98585600000001</v>
      </c>
      <c r="T40" s="273">
        <f>'Program Budget'!T250</f>
        <v>9</v>
      </c>
      <c r="U40" s="274">
        <v>1</v>
      </c>
      <c r="V40" s="275">
        <f>S40*T40*U40</f>
        <v>1052.8727040000001</v>
      </c>
      <c r="W40" s="411">
        <f>F40+J40+N40+R40+V40</f>
        <v>5548.6295040000005</v>
      </c>
      <c r="X40" s="278"/>
      <c r="Y40" s="265"/>
      <c r="Z40" s="279"/>
      <c r="AA40" s="279"/>
      <c r="AE40" s="239">
        <v>180</v>
      </c>
      <c r="AF40" s="280" t="s">
        <v>117</v>
      </c>
      <c r="AG40" s="280" t="s">
        <v>118</v>
      </c>
      <c r="AH40" s="281"/>
      <c r="AJ40" s="282"/>
    </row>
    <row r="41" spans="1:36" ht="15" customHeight="1" outlineLevel="1">
      <c r="A41" s="270" t="str">
        <f>'Program Budget'!D252</f>
        <v>Transport Stipends for Participants to attend Farmer Field Schools</v>
      </c>
      <c r="B41" s="271" t="str">
        <f>'Program Budget'!F252</f>
        <v>Participant</v>
      </c>
      <c r="C41" s="272">
        <f>'Program Budget'!H252</f>
        <v>10</v>
      </c>
      <c r="D41" s="273">
        <f>'Program Budget'!G252</f>
        <v>0</v>
      </c>
      <c r="E41" s="274">
        <v>1</v>
      </c>
      <c r="F41" s="275">
        <f t="shared" ref="F41" si="34">C41*D41*E41</f>
        <v>0</v>
      </c>
      <c r="G41" s="272">
        <f t="shared" ref="G41" si="35">C41*1.04</f>
        <v>10.4</v>
      </c>
      <c r="H41" s="273">
        <f>'Program Budget'!K252</f>
        <v>1000</v>
      </c>
      <c r="I41" s="274">
        <v>1</v>
      </c>
      <c r="J41" s="275">
        <f t="shared" ref="J41" si="36">G41*H41*I41</f>
        <v>10400</v>
      </c>
      <c r="K41" s="272">
        <f t="shared" ref="K41" si="37">G41*1.04</f>
        <v>10.816000000000001</v>
      </c>
      <c r="L41" s="273">
        <f>'Program Budget'!N252</f>
        <v>1000</v>
      </c>
      <c r="M41" s="274">
        <v>1</v>
      </c>
      <c r="N41" s="275">
        <f t="shared" ref="N41" si="38">K41*L41*M41</f>
        <v>10816</v>
      </c>
      <c r="O41" s="272">
        <f t="shared" ref="O41" si="39">K41*1.04</f>
        <v>11.248640000000002</v>
      </c>
      <c r="P41" s="273">
        <f>'Program Budget'!Q252</f>
        <v>1000</v>
      </c>
      <c r="Q41" s="274">
        <v>1</v>
      </c>
      <c r="R41" s="275">
        <f t="shared" ref="R41" si="40">O41*P41*Q41</f>
        <v>11248.640000000001</v>
      </c>
      <c r="S41" s="272">
        <f t="shared" ref="S41" si="41">O41*1.04</f>
        <v>11.698585600000003</v>
      </c>
      <c r="T41" s="273">
        <f>'Program Budget'!T252</f>
        <v>0</v>
      </c>
      <c r="U41" s="274">
        <v>1</v>
      </c>
      <c r="V41" s="275">
        <f t="shared" ref="V41" si="42">S41*T41*U41</f>
        <v>0</v>
      </c>
      <c r="W41" s="411">
        <f t="shared" ref="W41" si="43">F41+J41+N41+R41+V41</f>
        <v>32464.639999999999</v>
      </c>
      <c r="X41" s="278"/>
      <c r="Y41" s="265"/>
      <c r="Z41" s="279"/>
      <c r="AA41" s="279"/>
      <c r="AE41" s="239">
        <v>180</v>
      </c>
      <c r="AF41" s="280" t="s">
        <v>117</v>
      </c>
      <c r="AG41" s="280" t="s">
        <v>118</v>
      </c>
      <c r="AH41" s="281"/>
      <c r="AJ41" s="282"/>
    </row>
    <row r="42" spans="1:36" s="337" customFormat="1" ht="15.6" outlineLevel="1">
      <c r="A42" s="267" t="s">
        <v>91</v>
      </c>
      <c r="B42" s="293"/>
      <c r="C42" s="234"/>
      <c r="D42" s="235"/>
      <c r="E42" s="236"/>
      <c r="F42" s="275"/>
      <c r="G42" s="234"/>
      <c r="H42" s="235"/>
      <c r="I42" s="237"/>
      <c r="J42" s="275"/>
      <c r="K42" s="234"/>
      <c r="L42" s="235"/>
      <c r="M42" s="236"/>
      <c r="N42" s="275"/>
      <c r="O42" s="234"/>
      <c r="P42" s="235"/>
      <c r="Q42" s="237"/>
      <c r="R42" s="275"/>
      <c r="S42" s="234"/>
      <c r="T42" s="235"/>
      <c r="U42" s="237"/>
      <c r="V42" s="275"/>
      <c r="W42" s="411"/>
      <c r="X42" s="233"/>
      <c r="Y42" s="233"/>
      <c r="Z42" s="233"/>
      <c r="AA42" s="233"/>
      <c r="AB42" s="233"/>
      <c r="AC42" s="233"/>
      <c r="AD42" s="233"/>
      <c r="AE42" s="239"/>
      <c r="AF42" s="280"/>
      <c r="AG42" s="280"/>
      <c r="AH42" s="336"/>
      <c r="AJ42" s="233"/>
    </row>
    <row r="43" spans="1:36" ht="15" customHeight="1" outlineLevel="1">
      <c r="A43" s="270" t="str">
        <f>'Program Budget'!D249</f>
        <v>Motorcycle and Vehicle Fuel Expense</v>
      </c>
      <c r="B43" s="271" t="str">
        <f>'Program Budget'!F249</f>
        <v>Month</v>
      </c>
      <c r="C43" s="272">
        <f>'Program Budget'!H249</f>
        <v>170</v>
      </c>
      <c r="D43" s="273">
        <f>'Program Budget'!G249</f>
        <v>3</v>
      </c>
      <c r="E43" s="274">
        <v>1</v>
      </c>
      <c r="F43" s="275">
        <f>C43*D43*E43</f>
        <v>510</v>
      </c>
      <c r="G43" s="272">
        <f t="shared" ref="G43" si="44">C43*1.04</f>
        <v>176.8</v>
      </c>
      <c r="H43" s="273">
        <f>'Program Budget'!K249</f>
        <v>12</v>
      </c>
      <c r="I43" s="274">
        <v>1</v>
      </c>
      <c r="J43" s="275">
        <f>G43*H43*I43</f>
        <v>2121.6000000000004</v>
      </c>
      <c r="K43" s="272">
        <f t="shared" ref="K43" si="45">G43*1.04</f>
        <v>183.87200000000001</v>
      </c>
      <c r="L43" s="273">
        <f>'Program Budget'!N249</f>
        <v>12</v>
      </c>
      <c r="M43" s="274">
        <v>1</v>
      </c>
      <c r="N43" s="275">
        <f>K43*L43*M43</f>
        <v>2206.4639999999999</v>
      </c>
      <c r="O43" s="272">
        <f t="shared" ref="O43" si="46">K43*1.04</f>
        <v>191.22688000000002</v>
      </c>
      <c r="P43" s="273">
        <f>'Program Budget'!Q249</f>
        <v>12</v>
      </c>
      <c r="Q43" s="274">
        <v>1</v>
      </c>
      <c r="R43" s="275">
        <f>O43*P43*Q43</f>
        <v>2294.7225600000002</v>
      </c>
      <c r="S43" s="272">
        <f t="shared" ref="S43" si="47">O43*1.04</f>
        <v>198.87595520000002</v>
      </c>
      <c r="T43" s="273">
        <f>'Program Budget'!T249</f>
        <v>7</v>
      </c>
      <c r="U43" s="274">
        <v>1</v>
      </c>
      <c r="V43" s="275">
        <f>S43*T43*U43</f>
        <v>1392.1316864</v>
      </c>
      <c r="W43" s="411">
        <f>F43+J43+N43+R43+V43</f>
        <v>8524.9182464000005</v>
      </c>
      <c r="X43" s="278"/>
      <c r="Y43" s="265"/>
      <c r="Z43" s="279"/>
      <c r="AA43" s="279"/>
      <c r="AE43" s="239">
        <v>180</v>
      </c>
      <c r="AF43" s="280" t="s">
        <v>117</v>
      </c>
      <c r="AG43" s="280" t="s">
        <v>118</v>
      </c>
      <c r="AH43" s="281"/>
      <c r="AJ43" s="282"/>
    </row>
    <row r="44" spans="1:36" s="337" customFormat="1" ht="15.6" outlineLevel="1">
      <c r="A44" s="267" t="s">
        <v>92</v>
      </c>
      <c r="B44" s="293"/>
      <c r="C44" s="234"/>
      <c r="D44" s="235"/>
      <c r="E44" s="236"/>
      <c r="F44" s="275">
        <f>C44*D44*E44</f>
        <v>0</v>
      </c>
      <c r="G44" s="234"/>
      <c r="H44" s="235"/>
      <c r="I44" s="237"/>
      <c r="J44" s="275">
        <f>G44*H44*I44</f>
        <v>0</v>
      </c>
      <c r="K44" s="234"/>
      <c r="L44" s="235"/>
      <c r="M44" s="236"/>
      <c r="N44" s="275">
        <f>K44*L44*M44</f>
        <v>0</v>
      </c>
      <c r="O44" s="234"/>
      <c r="P44" s="235"/>
      <c r="Q44" s="237"/>
      <c r="R44" s="275">
        <f>O44*P44*Q44</f>
        <v>0</v>
      </c>
      <c r="S44" s="234"/>
      <c r="T44" s="235"/>
      <c r="U44" s="237"/>
      <c r="V44" s="275">
        <f>S44*T44*U44</f>
        <v>0</v>
      </c>
      <c r="W44" s="411">
        <f>F44+J44+N44+R44+V44</f>
        <v>0</v>
      </c>
      <c r="X44" s="233"/>
      <c r="Y44" s="233"/>
      <c r="Z44" s="233"/>
      <c r="AA44" s="233"/>
      <c r="AB44" s="233"/>
      <c r="AC44" s="233"/>
      <c r="AD44" s="233"/>
      <c r="AE44" s="239"/>
      <c r="AF44" s="280"/>
      <c r="AG44" s="280"/>
      <c r="AH44" s="336"/>
      <c r="AJ44" s="233"/>
    </row>
    <row r="45" spans="1:36" ht="15" customHeight="1" outlineLevel="1">
      <c r="A45" s="270" t="str">
        <f>'Program Budget'!D251</f>
        <v>Lodging and M&amp;IE for Trainings</v>
      </c>
      <c r="B45" s="271" t="str">
        <f>'Program Budget'!F251</f>
        <v>Day</v>
      </c>
      <c r="C45" s="272">
        <f>'Program Budget'!H251</f>
        <v>78</v>
      </c>
      <c r="D45" s="273">
        <f>'Program Budget'!G251</f>
        <v>18</v>
      </c>
      <c r="E45" s="274">
        <v>1</v>
      </c>
      <c r="F45" s="275">
        <f>C45*D45*E45</f>
        <v>1404</v>
      </c>
      <c r="G45" s="272">
        <f t="shared" ref="G45" si="48">C45*1.04</f>
        <v>81.12</v>
      </c>
      <c r="H45" s="273">
        <f>'Program Budget'!K251</f>
        <v>36</v>
      </c>
      <c r="I45" s="274">
        <v>1</v>
      </c>
      <c r="J45" s="275">
        <f>G45*H45*I45</f>
        <v>2920.32</v>
      </c>
      <c r="K45" s="272">
        <f t="shared" ref="K45" si="49">G45*1.04</f>
        <v>84.364800000000002</v>
      </c>
      <c r="L45" s="273">
        <f>'Program Budget'!N251</f>
        <v>36</v>
      </c>
      <c r="M45" s="274">
        <v>1</v>
      </c>
      <c r="N45" s="275">
        <f>K45*L45*M45</f>
        <v>3037.1328000000003</v>
      </c>
      <c r="O45" s="272">
        <f t="shared" ref="O45" si="50">K45*1.04</f>
        <v>87.739392000000009</v>
      </c>
      <c r="P45" s="273">
        <f>'Program Budget'!Q251</f>
        <v>36</v>
      </c>
      <c r="Q45" s="274">
        <v>1</v>
      </c>
      <c r="R45" s="275">
        <f>O45*P45*Q45</f>
        <v>3158.6181120000001</v>
      </c>
      <c r="S45" s="272">
        <f t="shared" ref="S45" si="51">O45*1.04</f>
        <v>91.248967680000007</v>
      </c>
      <c r="T45" s="273">
        <f>'Program Budget'!T251</f>
        <v>27</v>
      </c>
      <c r="U45" s="274">
        <v>1</v>
      </c>
      <c r="V45" s="275">
        <f>S45*T45*U45</f>
        <v>2463.7221273600003</v>
      </c>
      <c r="W45" s="411">
        <f>F45+J45+N45+R45+V45</f>
        <v>12983.79303936</v>
      </c>
      <c r="X45" s="278"/>
      <c r="Y45" s="265"/>
      <c r="Z45" s="279"/>
      <c r="AA45" s="279"/>
      <c r="AE45" s="239">
        <v>180</v>
      </c>
      <c r="AF45" s="280" t="s">
        <v>117</v>
      </c>
      <c r="AG45" s="280" t="s">
        <v>118</v>
      </c>
      <c r="AH45" s="281"/>
      <c r="AJ45" s="282"/>
    </row>
    <row r="46" spans="1:36" outlineLevel="1">
      <c r="A46" s="403"/>
      <c r="B46" s="293"/>
      <c r="F46" s="275"/>
      <c r="J46" s="275"/>
      <c r="N46" s="275"/>
      <c r="R46" s="275"/>
      <c r="V46" s="275"/>
      <c r="W46" s="277"/>
      <c r="AE46" s="239"/>
      <c r="AF46" s="280"/>
      <c r="AG46" s="280"/>
    </row>
    <row r="47" spans="1:36" ht="18.3">
      <c r="A47" s="338" t="s">
        <v>93</v>
      </c>
      <c r="B47" s="304"/>
      <c r="C47" s="305"/>
      <c r="D47" s="339"/>
      <c r="E47" s="340"/>
      <c r="F47" s="308">
        <f>SUM(F39:F46)</f>
        <v>2514</v>
      </c>
      <c r="G47" s="305"/>
      <c r="H47" s="339"/>
      <c r="I47" s="309"/>
      <c r="J47" s="308">
        <f>SUM(J39:J46)</f>
        <v>16689.920000000002</v>
      </c>
      <c r="K47" s="305"/>
      <c r="L47" s="339"/>
      <c r="M47" s="340"/>
      <c r="N47" s="308">
        <f>SUM(N39:N46)</f>
        <v>17357.516800000001</v>
      </c>
      <c r="O47" s="305"/>
      <c r="P47" s="339"/>
      <c r="Q47" s="309"/>
      <c r="R47" s="308">
        <f>SUM(R39:R46)</f>
        <v>18051.817472000002</v>
      </c>
      <c r="S47" s="305"/>
      <c r="T47" s="339"/>
      <c r="U47" s="309"/>
      <c r="V47" s="308">
        <f>SUM(V39:V46)</f>
        <v>4908.7265177600002</v>
      </c>
      <c r="W47" s="310">
        <f>+F47+J47+N47+R47+V47</f>
        <v>59521.980789760004</v>
      </c>
      <c r="X47" s="239"/>
      <c r="Y47" s="239"/>
      <c r="Z47" s="239"/>
      <c r="AA47" s="239"/>
      <c r="AB47" s="239"/>
      <c r="AE47" s="239"/>
      <c r="AF47" s="266"/>
      <c r="AG47" s="266" t="s">
        <v>119</v>
      </c>
      <c r="AH47" s="266"/>
    </row>
    <row r="48" spans="1:36" ht="15.6" outlineLevel="1">
      <c r="A48" s="267" t="s">
        <v>50</v>
      </c>
      <c r="B48" s="341"/>
      <c r="D48" s="342"/>
      <c r="E48" s="343"/>
      <c r="F48" s="325"/>
      <c r="H48" s="342"/>
      <c r="I48" s="344"/>
      <c r="J48" s="298"/>
      <c r="L48" s="342"/>
      <c r="M48" s="343"/>
      <c r="N48" s="298"/>
      <c r="P48" s="342"/>
      <c r="Q48" s="344"/>
      <c r="R48" s="298"/>
      <c r="T48" s="342"/>
      <c r="U48" s="344"/>
      <c r="V48" s="298"/>
      <c r="W48" s="277"/>
      <c r="AE48" s="239"/>
      <c r="AF48" s="280"/>
      <c r="AG48" s="345"/>
    </row>
    <row r="49" spans="1:33" ht="15.6" outlineLevel="1">
      <c r="A49" s="346" t="str">
        <f>'Program Budget'!D234</f>
        <v>Consultant to Design Materials for Outreach and Awareness Campaign including Translation</v>
      </c>
      <c r="B49" s="271" t="str">
        <f>'Program Budget'!F234</f>
        <v>Unit</v>
      </c>
      <c r="C49" s="272">
        <f>'Program Budget'!H234</f>
        <v>30000</v>
      </c>
      <c r="D49" s="273">
        <f>'Program Budget'!G234</f>
        <v>1</v>
      </c>
      <c r="E49" s="274">
        <v>1</v>
      </c>
      <c r="F49" s="275">
        <f>C49*D49*E49</f>
        <v>30000</v>
      </c>
      <c r="G49" s="272">
        <f>C49</f>
        <v>30000</v>
      </c>
      <c r="H49" s="273">
        <f>'Program Budget'!K234</f>
        <v>0</v>
      </c>
      <c r="I49" s="274">
        <v>1</v>
      </c>
      <c r="J49" s="275">
        <f>G49*H49*I49</f>
        <v>0</v>
      </c>
      <c r="K49" s="272">
        <f>G49</f>
        <v>30000</v>
      </c>
      <c r="L49" s="273">
        <f>'Program Budget'!N234</f>
        <v>0</v>
      </c>
      <c r="M49" s="274">
        <v>1</v>
      </c>
      <c r="N49" s="275">
        <f>K49*L49*M49</f>
        <v>0</v>
      </c>
      <c r="O49" s="272">
        <f>K49</f>
        <v>30000</v>
      </c>
      <c r="P49" s="273">
        <f>'Program Budget'!Q234</f>
        <v>0</v>
      </c>
      <c r="Q49" s="274">
        <v>1</v>
      </c>
      <c r="R49" s="275">
        <f>O49*P49*Q49</f>
        <v>0</v>
      </c>
      <c r="S49" s="272">
        <f>O49</f>
        <v>30000</v>
      </c>
      <c r="T49" s="273">
        <f>'Program Budget'!T234</f>
        <v>0</v>
      </c>
      <c r="U49" s="274">
        <v>1</v>
      </c>
      <c r="V49" s="275">
        <f>S49*T49*U49</f>
        <v>0</v>
      </c>
      <c r="W49" s="411">
        <f>F49+J49+N49+R49+V49</f>
        <v>30000</v>
      </c>
      <c r="AE49" s="239"/>
      <c r="AF49" s="280"/>
      <c r="AG49" s="345"/>
    </row>
    <row r="50" spans="1:33" ht="15.6" outlineLevel="1">
      <c r="A50" s="346" t="str">
        <f>'Program Budget'!D235</f>
        <v>Contract for Dissemination of Outreach and Awareness Campaigns</v>
      </c>
      <c r="B50" s="271" t="str">
        <f>'Program Budget'!F235</f>
        <v>Year</v>
      </c>
      <c r="C50" s="272">
        <f>'Program Budget'!H235</f>
        <v>60000</v>
      </c>
      <c r="D50" s="273">
        <f>'Program Budget'!G235</f>
        <v>0</v>
      </c>
      <c r="E50" s="274">
        <v>1</v>
      </c>
      <c r="F50" s="275">
        <f t="shared" ref="F50:F52" si="52">C50*D50*E50</f>
        <v>0</v>
      </c>
      <c r="G50" s="272">
        <f t="shared" ref="G50:G52" si="53">C50</f>
        <v>60000</v>
      </c>
      <c r="H50" s="273">
        <f>'Program Budget'!K235</f>
        <v>0</v>
      </c>
      <c r="I50" s="274">
        <v>1</v>
      </c>
      <c r="J50" s="275">
        <f t="shared" ref="J50:J52" si="54">G50*H50*I50</f>
        <v>0</v>
      </c>
      <c r="K50" s="272">
        <f t="shared" ref="K50:K52" si="55">G50</f>
        <v>60000</v>
      </c>
      <c r="L50" s="273">
        <f>'Program Budget'!N235</f>
        <v>1</v>
      </c>
      <c r="M50" s="274">
        <v>1</v>
      </c>
      <c r="N50" s="275">
        <f t="shared" ref="N50:N52" si="56">K50*L50*M50</f>
        <v>60000</v>
      </c>
      <c r="O50" s="272">
        <f t="shared" ref="O50:O52" si="57">K50</f>
        <v>60000</v>
      </c>
      <c r="P50" s="273">
        <f>'Program Budget'!Q235</f>
        <v>1</v>
      </c>
      <c r="Q50" s="274">
        <v>1</v>
      </c>
      <c r="R50" s="275">
        <f t="shared" ref="R50:R52" si="58">O50*P50*Q50</f>
        <v>60000</v>
      </c>
      <c r="S50" s="272">
        <f t="shared" ref="S50:S52" si="59">O50</f>
        <v>60000</v>
      </c>
      <c r="T50" s="273">
        <f>'Program Budget'!T235</f>
        <v>1</v>
      </c>
      <c r="U50" s="274">
        <v>1</v>
      </c>
      <c r="V50" s="275">
        <f t="shared" ref="V50:V52" si="60">S50*T50*U50</f>
        <v>60000</v>
      </c>
      <c r="W50" s="411">
        <f t="shared" ref="W50:W52" si="61">F50+J50+N50+R50+V50</f>
        <v>180000</v>
      </c>
      <c r="AE50" s="239"/>
      <c r="AF50" s="280"/>
      <c r="AG50" s="345"/>
    </row>
    <row r="51" spans="1:33" ht="15.6" outlineLevel="1">
      <c r="A51" s="346" t="str">
        <f>'Program Budget'!D236</f>
        <v>Contract Nurseries in Mauritania and Senegal</v>
      </c>
      <c r="B51" s="271" t="str">
        <f>'Program Budget'!F236</f>
        <v>Contract</v>
      </c>
      <c r="C51" s="272">
        <f>'Program Budget'!H236</f>
        <v>10000</v>
      </c>
      <c r="D51" s="273">
        <f>'Program Budget'!G236</f>
        <v>5</v>
      </c>
      <c r="E51" s="274">
        <v>1</v>
      </c>
      <c r="F51" s="275">
        <f t="shared" si="52"/>
        <v>50000</v>
      </c>
      <c r="G51" s="272">
        <f t="shared" si="53"/>
        <v>10000</v>
      </c>
      <c r="H51" s="273">
        <f>'Program Budget'!K236</f>
        <v>0</v>
      </c>
      <c r="I51" s="274">
        <v>1</v>
      </c>
      <c r="J51" s="275">
        <f t="shared" si="54"/>
        <v>0</v>
      </c>
      <c r="K51" s="272">
        <f t="shared" si="55"/>
        <v>10000</v>
      </c>
      <c r="L51" s="273">
        <f>'Program Budget'!N236</f>
        <v>0</v>
      </c>
      <c r="M51" s="274">
        <v>1</v>
      </c>
      <c r="N51" s="275">
        <f t="shared" si="56"/>
        <v>0</v>
      </c>
      <c r="O51" s="272">
        <f t="shared" si="57"/>
        <v>10000</v>
      </c>
      <c r="P51" s="273">
        <f>'Program Budget'!Q236</f>
        <v>0</v>
      </c>
      <c r="Q51" s="274">
        <v>1</v>
      </c>
      <c r="R51" s="275">
        <f t="shared" si="58"/>
        <v>0</v>
      </c>
      <c r="S51" s="272">
        <f t="shared" si="59"/>
        <v>10000</v>
      </c>
      <c r="T51" s="273">
        <f>'Program Budget'!T236</f>
        <v>0</v>
      </c>
      <c r="U51" s="274">
        <v>1</v>
      </c>
      <c r="V51" s="275">
        <f t="shared" si="60"/>
        <v>0</v>
      </c>
      <c r="W51" s="411">
        <f t="shared" si="61"/>
        <v>50000</v>
      </c>
      <c r="AE51" s="239"/>
      <c r="AF51" s="280"/>
      <c r="AG51" s="345"/>
    </row>
    <row r="52" spans="1:33" ht="15.6" outlineLevel="1">
      <c r="A52" s="346" t="str">
        <f>'Program Budget'!D237</f>
        <v>Consultant to Create Outreach and Sensitization Materials for Social Behavioral Change Activities</v>
      </c>
      <c r="B52" s="271" t="str">
        <f>'Program Budget'!F237</f>
        <v>Month</v>
      </c>
      <c r="C52" s="272">
        <f>'Program Budget'!H237</f>
        <v>3000</v>
      </c>
      <c r="D52" s="273">
        <f>'Program Budget'!G237</f>
        <v>0</v>
      </c>
      <c r="E52" s="274">
        <v>1</v>
      </c>
      <c r="F52" s="275">
        <f t="shared" si="52"/>
        <v>0</v>
      </c>
      <c r="G52" s="272">
        <f t="shared" si="53"/>
        <v>3000</v>
      </c>
      <c r="H52" s="273">
        <f>'Program Budget'!K237</f>
        <v>2</v>
      </c>
      <c r="I52" s="274">
        <v>1</v>
      </c>
      <c r="J52" s="275">
        <f t="shared" si="54"/>
        <v>6000</v>
      </c>
      <c r="K52" s="272">
        <f t="shared" si="55"/>
        <v>3000</v>
      </c>
      <c r="L52" s="273">
        <f>'Program Budget'!N237</f>
        <v>2</v>
      </c>
      <c r="M52" s="274">
        <v>1</v>
      </c>
      <c r="N52" s="275">
        <f t="shared" si="56"/>
        <v>6000</v>
      </c>
      <c r="O52" s="272">
        <f t="shared" si="57"/>
        <v>3000</v>
      </c>
      <c r="P52" s="273">
        <f>'Program Budget'!Q237</f>
        <v>2</v>
      </c>
      <c r="Q52" s="274">
        <v>1</v>
      </c>
      <c r="R52" s="275">
        <f t="shared" si="58"/>
        <v>6000</v>
      </c>
      <c r="S52" s="272">
        <f t="shared" si="59"/>
        <v>3000</v>
      </c>
      <c r="T52" s="273">
        <f>'Program Budget'!T237</f>
        <v>0</v>
      </c>
      <c r="U52" s="274">
        <v>1</v>
      </c>
      <c r="V52" s="275">
        <f t="shared" si="60"/>
        <v>0</v>
      </c>
      <c r="W52" s="411">
        <f t="shared" si="61"/>
        <v>18000</v>
      </c>
      <c r="AE52" s="239"/>
      <c r="AF52" s="280"/>
      <c r="AG52" s="345"/>
    </row>
    <row r="53" spans="1:33" ht="15.6" outlineLevel="1">
      <c r="A53" s="346" t="str">
        <f>'Program Budget'!D238</f>
        <v>Security Services, Risk Assessments, &amp; Security Assessment</v>
      </c>
      <c r="B53" s="271" t="str">
        <f>'Program Budget'!F238</f>
        <v>Year</v>
      </c>
      <c r="C53" s="272">
        <f>'Program Budget'!H238</f>
        <v>7000</v>
      </c>
      <c r="D53" s="273">
        <f>'Program Budget'!G238</f>
        <v>1</v>
      </c>
      <c r="E53" s="274">
        <v>1</v>
      </c>
      <c r="F53" s="275">
        <f t="shared" ref="F53:F54" si="62">C53*D53*E53</f>
        <v>7000</v>
      </c>
      <c r="G53" s="272">
        <f t="shared" ref="G53:G54" si="63">C53</f>
        <v>7000</v>
      </c>
      <c r="H53" s="273">
        <f>'Program Budget'!K238</f>
        <v>1</v>
      </c>
      <c r="I53" s="274">
        <v>1</v>
      </c>
      <c r="J53" s="275">
        <f t="shared" ref="J53:J54" si="64">G53*H53*I53</f>
        <v>7000</v>
      </c>
      <c r="K53" s="272">
        <f t="shared" ref="K53:K54" si="65">G53</f>
        <v>7000</v>
      </c>
      <c r="L53" s="273">
        <f>'Program Budget'!N238</f>
        <v>1</v>
      </c>
      <c r="M53" s="274">
        <v>1</v>
      </c>
      <c r="N53" s="275">
        <f t="shared" ref="N53:N54" si="66">K53*L53*M53</f>
        <v>7000</v>
      </c>
      <c r="O53" s="272">
        <f t="shared" ref="O53:O54" si="67">K53</f>
        <v>7000</v>
      </c>
      <c r="P53" s="273">
        <f>'Program Budget'!Q238</f>
        <v>1</v>
      </c>
      <c r="Q53" s="274">
        <v>1</v>
      </c>
      <c r="R53" s="275">
        <f t="shared" ref="R53:R54" si="68">O53*P53*Q53</f>
        <v>7000</v>
      </c>
      <c r="S53" s="272">
        <f t="shared" ref="S53:S54" si="69">O53</f>
        <v>7000</v>
      </c>
      <c r="T53" s="273">
        <f>'Program Budget'!T238</f>
        <v>1</v>
      </c>
      <c r="U53" s="274">
        <v>1</v>
      </c>
      <c r="V53" s="275">
        <f t="shared" ref="V53:V54" si="70">S53*T53*U53</f>
        <v>7000</v>
      </c>
      <c r="W53" s="411">
        <f t="shared" ref="W53:W54" si="71">F53+J53+N53+R53+V53</f>
        <v>35000</v>
      </c>
      <c r="AE53" s="239"/>
      <c r="AF53" s="280"/>
      <c r="AG53" s="345"/>
    </row>
    <row r="54" spans="1:33" ht="15.6" outlineLevel="1">
      <c r="A54" s="346" t="str">
        <f>'Program Budget'!D239</f>
        <v>Short-Term Technical Advisors</v>
      </c>
      <c r="B54" s="271" t="str">
        <f>'Program Budget'!F239</f>
        <v>Month</v>
      </c>
      <c r="C54" s="272">
        <f>'Program Budget'!H239</f>
        <v>500</v>
      </c>
      <c r="D54" s="273">
        <f>'Program Budget'!G239</f>
        <v>9</v>
      </c>
      <c r="E54" s="274">
        <v>1</v>
      </c>
      <c r="F54" s="275">
        <f t="shared" si="62"/>
        <v>4500</v>
      </c>
      <c r="G54" s="272">
        <f t="shared" si="63"/>
        <v>500</v>
      </c>
      <c r="H54" s="273">
        <f>'Program Budget'!K239</f>
        <v>12</v>
      </c>
      <c r="I54" s="274">
        <v>1</v>
      </c>
      <c r="J54" s="275">
        <f t="shared" si="64"/>
        <v>6000</v>
      </c>
      <c r="K54" s="272">
        <f t="shared" si="65"/>
        <v>500</v>
      </c>
      <c r="L54" s="273">
        <f>'Program Budget'!N239</f>
        <v>12</v>
      </c>
      <c r="M54" s="274">
        <v>1</v>
      </c>
      <c r="N54" s="275">
        <f t="shared" si="66"/>
        <v>6000</v>
      </c>
      <c r="O54" s="272">
        <f t="shared" si="67"/>
        <v>500</v>
      </c>
      <c r="P54" s="273">
        <f>'Program Budget'!Q239</f>
        <v>12</v>
      </c>
      <c r="Q54" s="274">
        <v>1</v>
      </c>
      <c r="R54" s="275">
        <f t="shared" si="68"/>
        <v>6000</v>
      </c>
      <c r="S54" s="272">
        <f t="shared" si="69"/>
        <v>500</v>
      </c>
      <c r="T54" s="273">
        <f>'Program Budget'!T239</f>
        <v>9</v>
      </c>
      <c r="U54" s="274">
        <v>1</v>
      </c>
      <c r="V54" s="275">
        <f t="shared" si="70"/>
        <v>4500</v>
      </c>
      <c r="W54" s="411">
        <f t="shared" si="71"/>
        <v>27000</v>
      </c>
      <c r="AE54" s="239"/>
      <c r="AF54" s="280"/>
      <c r="AG54" s="345"/>
    </row>
    <row r="55" spans="1:33" ht="15.6" outlineLevel="1">
      <c r="A55" s="346" t="str">
        <f>'Program Budget'!D240</f>
        <v>Technical Advisor of Trade Promotion &amp; Strategic Partnership  &amp; Investment</v>
      </c>
      <c r="B55" s="271" t="str">
        <f>'Program Budget'!F240</f>
        <v>Month</v>
      </c>
      <c r="C55" s="272">
        <f>(150000/12)</f>
        <v>12500</v>
      </c>
      <c r="D55" s="273">
        <f>'Program Budget'!G240</f>
        <v>0</v>
      </c>
      <c r="E55" s="274">
        <v>0</v>
      </c>
      <c r="F55" s="275">
        <f t="shared" ref="F55" si="72">C55*D55*E55</f>
        <v>0</v>
      </c>
      <c r="G55" s="272">
        <f t="shared" ref="G55" si="73">C55</f>
        <v>12500</v>
      </c>
      <c r="H55" s="273">
        <f>'Program Budget'!K240</f>
        <v>12</v>
      </c>
      <c r="I55" s="274">
        <v>0.05</v>
      </c>
      <c r="J55" s="275">
        <f t="shared" ref="J55" si="74">G55*H55*I55</f>
        <v>7500</v>
      </c>
      <c r="K55" s="272">
        <f t="shared" ref="K55" si="75">G55</f>
        <v>12500</v>
      </c>
      <c r="L55" s="273">
        <f>'Program Budget'!N240</f>
        <v>12</v>
      </c>
      <c r="M55" s="274">
        <v>0.05</v>
      </c>
      <c r="N55" s="275">
        <f t="shared" ref="N55" si="76">K55*L55*M55</f>
        <v>7500</v>
      </c>
      <c r="O55" s="272">
        <f t="shared" ref="O55" si="77">K55</f>
        <v>12500</v>
      </c>
      <c r="P55" s="273">
        <f>'Program Budget'!Q240</f>
        <v>12</v>
      </c>
      <c r="Q55" s="274">
        <v>0.05</v>
      </c>
      <c r="R55" s="275">
        <f t="shared" ref="R55" si="78">O55*P55*Q55</f>
        <v>7500</v>
      </c>
      <c r="S55" s="272">
        <f t="shared" ref="S55" si="79">O55</f>
        <v>12500</v>
      </c>
      <c r="T55" s="273">
        <f>'Program Budget'!T240</f>
        <v>9</v>
      </c>
      <c r="U55" s="274">
        <v>0.05</v>
      </c>
      <c r="V55" s="275">
        <f t="shared" ref="V55" si="80">S55*T55*U55</f>
        <v>5625</v>
      </c>
      <c r="W55" s="411">
        <f t="shared" ref="W55" si="81">F55+J55+N55+R55+V55</f>
        <v>28125</v>
      </c>
      <c r="AE55" s="239"/>
      <c r="AF55" s="280"/>
      <c r="AG55" s="345"/>
    </row>
    <row r="56" spans="1:33" ht="15.6" outlineLevel="1">
      <c r="A56" s="346"/>
      <c r="B56" s="271"/>
      <c r="C56" s="272"/>
      <c r="D56" s="273"/>
      <c r="E56" s="274"/>
      <c r="F56" s="275"/>
      <c r="G56" s="272"/>
      <c r="H56" s="273"/>
      <c r="I56" s="274"/>
      <c r="J56" s="275"/>
      <c r="K56" s="272"/>
      <c r="L56" s="273"/>
      <c r="M56" s="274"/>
      <c r="N56" s="275"/>
      <c r="O56" s="272"/>
      <c r="P56" s="273"/>
      <c r="Q56" s="274"/>
      <c r="R56" s="275"/>
      <c r="S56" s="272"/>
      <c r="T56" s="273"/>
      <c r="U56" s="274"/>
      <c r="V56" s="275"/>
      <c r="W56" s="411"/>
      <c r="AE56" s="239"/>
      <c r="AF56" s="280"/>
      <c r="AG56" s="345"/>
    </row>
    <row r="57" spans="1:33" ht="18.3" outlineLevel="1">
      <c r="A57" s="338" t="s">
        <v>94</v>
      </c>
      <c r="B57" s="304"/>
      <c r="C57" s="305"/>
      <c r="D57" s="339"/>
      <c r="E57" s="340"/>
      <c r="F57" s="308">
        <f>SUM(F49:F56)</f>
        <v>91500</v>
      </c>
      <c r="G57" s="305"/>
      <c r="H57" s="339"/>
      <c r="I57" s="309"/>
      <c r="J57" s="308">
        <f>SUM(J49:J56)</f>
        <v>26500</v>
      </c>
      <c r="K57" s="305"/>
      <c r="L57" s="339"/>
      <c r="M57" s="340"/>
      <c r="N57" s="308">
        <f>SUM(N49:N56)</f>
        <v>86500</v>
      </c>
      <c r="O57" s="305"/>
      <c r="P57" s="339"/>
      <c r="Q57" s="309"/>
      <c r="R57" s="308">
        <f>SUM(R49:R56)</f>
        <v>86500</v>
      </c>
      <c r="S57" s="305"/>
      <c r="T57" s="339"/>
      <c r="U57" s="309"/>
      <c r="V57" s="308">
        <f>SUM(V49:V56)</f>
        <v>77125</v>
      </c>
      <c r="W57" s="308">
        <f>SUM(W49:W56)</f>
        <v>368125</v>
      </c>
      <c r="AE57" s="239"/>
      <c r="AF57" s="280"/>
      <c r="AG57" s="345"/>
    </row>
    <row r="58" spans="1:33" ht="15.6" outlineLevel="1">
      <c r="A58" s="267" t="s">
        <v>95</v>
      </c>
      <c r="B58" s="350"/>
      <c r="D58" s="342"/>
      <c r="F58" s="275"/>
      <c r="H58" s="342"/>
      <c r="J58" s="277"/>
      <c r="L58" s="342"/>
      <c r="N58" s="277"/>
      <c r="P58" s="342"/>
      <c r="R58" s="277"/>
      <c r="T58" s="342"/>
      <c r="V58" s="277"/>
      <c r="W58" s="277"/>
      <c r="AE58" s="239"/>
    </row>
    <row r="59" spans="1:33" outlineLevel="1">
      <c r="A59" s="270" t="s">
        <v>148</v>
      </c>
      <c r="B59" s="293"/>
      <c r="D59" s="351"/>
      <c r="F59" s="275">
        <f>C59*D59*E59</f>
        <v>0</v>
      </c>
      <c r="H59" s="351"/>
      <c r="I59" s="236"/>
      <c r="J59" s="275">
        <f t="shared" ref="J59" si="82">G59*H59*I59</f>
        <v>0</v>
      </c>
      <c r="L59" s="351"/>
      <c r="N59" s="275">
        <f t="shared" ref="N59" si="83">K59*L59*M59</f>
        <v>0</v>
      </c>
      <c r="P59" s="351"/>
      <c r="Q59" s="236"/>
      <c r="R59" s="275">
        <f t="shared" ref="R59" si="84">O59*P59*Q59</f>
        <v>0</v>
      </c>
      <c r="T59" s="351"/>
      <c r="U59" s="236"/>
      <c r="V59" s="275">
        <f t="shared" ref="V59" si="85">S59*T59*U59</f>
        <v>0</v>
      </c>
      <c r="W59" s="277">
        <f t="shared" ref="W59" si="86">F59+J59+N59+R59+V59</f>
        <v>0</v>
      </c>
      <c r="AE59" s="239">
        <v>298</v>
      </c>
      <c r="AF59" s="280" t="s">
        <v>149</v>
      </c>
      <c r="AG59" s="280" t="s">
        <v>150</v>
      </c>
    </row>
    <row r="60" spans="1:33" ht="18.3" outlineLevel="1">
      <c r="A60" s="338" t="s">
        <v>96</v>
      </c>
      <c r="B60" s="304"/>
      <c r="C60" s="305"/>
      <c r="D60" s="339"/>
      <c r="E60" s="340"/>
      <c r="F60" s="308">
        <f>SUM(F59:F59)</f>
        <v>0</v>
      </c>
      <c r="G60" s="305"/>
      <c r="H60" s="339"/>
      <c r="I60" s="309"/>
      <c r="J60" s="308">
        <f>SUM(J59:J59)</f>
        <v>0</v>
      </c>
      <c r="K60" s="305"/>
      <c r="L60" s="339"/>
      <c r="M60" s="340"/>
      <c r="N60" s="308">
        <f>SUM(N59:N59)</f>
        <v>0</v>
      </c>
      <c r="O60" s="305"/>
      <c r="P60" s="339"/>
      <c r="Q60" s="309"/>
      <c r="R60" s="308">
        <f>SUM(R59:R59)</f>
        <v>0</v>
      </c>
      <c r="S60" s="305"/>
      <c r="T60" s="339"/>
      <c r="U60" s="309"/>
      <c r="V60" s="308">
        <f>SUM(V59:V59)</f>
        <v>0</v>
      </c>
      <c r="W60" s="310">
        <f>+F60+J60+N60+R60+V60</f>
        <v>0</v>
      </c>
      <c r="AE60" s="239"/>
      <c r="AF60" s="280"/>
      <c r="AG60" s="345"/>
    </row>
    <row r="61" spans="1:33" ht="15.6" outlineLevel="1">
      <c r="A61" s="267" t="s">
        <v>32</v>
      </c>
      <c r="B61" s="293"/>
      <c r="D61" s="342"/>
      <c r="F61" s="275"/>
      <c r="H61" s="342"/>
      <c r="I61" s="236"/>
      <c r="J61" s="275"/>
      <c r="L61" s="342"/>
      <c r="N61" s="275"/>
      <c r="P61" s="342"/>
      <c r="Q61" s="236"/>
      <c r="R61" s="275"/>
      <c r="T61" s="342"/>
      <c r="U61" s="236"/>
      <c r="V61" s="275"/>
      <c r="W61" s="277"/>
      <c r="AE61" s="239"/>
      <c r="AF61" s="280"/>
      <c r="AG61" s="280"/>
    </row>
    <row r="62" spans="1:33" outlineLevel="1">
      <c r="A62" s="270" t="s">
        <v>148</v>
      </c>
      <c r="B62" s="293"/>
      <c r="D62" s="351"/>
      <c r="F62" s="275">
        <f>C62*D62*E62</f>
        <v>0</v>
      </c>
      <c r="H62" s="351"/>
      <c r="I62" s="236"/>
      <c r="J62" s="275">
        <f t="shared" ref="J62" si="87">G62*H62*I62</f>
        <v>0</v>
      </c>
      <c r="L62" s="351"/>
      <c r="N62" s="275">
        <f t="shared" ref="N62" si="88">K62*L62*M62</f>
        <v>0</v>
      </c>
      <c r="P62" s="351"/>
      <c r="Q62" s="236"/>
      <c r="R62" s="275">
        <f t="shared" ref="R62" si="89">O62*P62*Q62</f>
        <v>0</v>
      </c>
      <c r="T62" s="351"/>
      <c r="U62" s="236"/>
      <c r="V62" s="275">
        <f t="shared" ref="V62" si="90">S62*T62*U62</f>
        <v>0</v>
      </c>
      <c r="W62" s="277">
        <f t="shared" ref="W62" si="91">F62+J62+N62+R62+V62</f>
        <v>0</v>
      </c>
      <c r="AE62" s="239">
        <v>298</v>
      </c>
      <c r="AF62" s="280" t="s">
        <v>149</v>
      </c>
      <c r="AG62" s="280" t="s">
        <v>150</v>
      </c>
    </row>
    <row r="63" spans="1:33" ht="18.3" outlineLevel="1">
      <c r="A63" s="338" t="s">
        <v>97</v>
      </c>
      <c r="B63" s="304"/>
      <c r="C63" s="305"/>
      <c r="D63" s="339"/>
      <c r="E63" s="340"/>
      <c r="F63" s="308">
        <f>SUM(F59:F59)</f>
        <v>0</v>
      </c>
      <c r="G63" s="305"/>
      <c r="H63" s="339"/>
      <c r="I63" s="309"/>
      <c r="J63" s="308">
        <f>SUM(J59:J59)</f>
        <v>0</v>
      </c>
      <c r="K63" s="305"/>
      <c r="L63" s="339"/>
      <c r="M63" s="340"/>
      <c r="N63" s="308">
        <f>SUM(N59:N59)</f>
        <v>0</v>
      </c>
      <c r="O63" s="305"/>
      <c r="P63" s="339"/>
      <c r="Q63" s="309"/>
      <c r="R63" s="308">
        <f>SUM(R59:R59)</f>
        <v>0</v>
      </c>
      <c r="S63" s="305"/>
      <c r="T63" s="339"/>
      <c r="U63" s="309"/>
      <c r="V63" s="308">
        <f>SUM(V59:V59)</f>
        <v>0</v>
      </c>
      <c r="W63" s="310">
        <f>+F63+J63+N63+R63+V63</f>
        <v>0</v>
      </c>
      <c r="AE63" s="239">
        <v>236</v>
      </c>
      <c r="AF63" s="280" t="s">
        <v>136</v>
      </c>
      <c r="AG63" s="345" t="s">
        <v>137</v>
      </c>
    </row>
    <row r="64" spans="1:33" ht="15.6" outlineLevel="1">
      <c r="A64" s="267" t="s">
        <v>33</v>
      </c>
      <c r="B64" s="341"/>
      <c r="D64" s="342"/>
      <c r="E64" s="343"/>
      <c r="F64" s="325"/>
      <c r="H64" s="342"/>
      <c r="I64" s="344"/>
      <c r="J64" s="298"/>
      <c r="L64" s="342"/>
      <c r="M64" s="343"/>
      <c r="N64" s="298"/>
      <c r="P64" s="342"/>
      <c r="Q64" s="344"/>
      <c r="R64" s="298"/>
      <c r="T64" s="342"/>
      <c r="U64" s="344"/>
      <c r="V64" s="298"/>
      <c r="W64" s="277"/>
      <c r="AE64" s="239">
        <v>236</v>
      </c>
      <c r="AF64" s="280" t="s">
        <v>136</v>
      </c>
      <c r="AG64" s="345" t="s">
        <v>137</v>
      </c>
    </row>
    <row r="65" spans="1:33" ht="15.6" outlineLevel="1">
      <c r="A65" s="346" t="str">
        <f>'Program Budget'!D244</f>
        <v>Motorcycles for Extension Agent</v>
      </c>
      <c r="B65" s="271" t="str">
        <f>'Program Budget'!F244</f>
        <v>Unit</v>
      </c>
      <c r="C65" s="272">
        <f>'Program Budget'!H244</f>
        <v>1100</v>
      </c>
      <c r="D65" s="273">
        <f>'Program Budget'!G244</f>
        <v>6</v>
      </c>
      <c r="E65" s="274">
        <v>1</v>
      </c>
      <c r="F65" s="275">
        <f t="shared" ref="F65" si="92">C65*D65*E65</f>
        <v>6600</v>
      </c>
      <c r="G65" s="272">
        <f t="shared" ref="G65" si="93">C65</f>
        <v>1100</v>
      </c>
      <c r="H65" s="273">
        <f>'Program Budget'!K244</f>
        <v>0</v>
      </c>
      <c r="I65" s="274">
        <v>1</v>
      </c>
      <c r="J65" s="275">
        <f t="shared" ref="J65" si="94">G65*H65*I65</f>
        <v>0</v>
      </c>
      <c r="K65" s="272">
        <f t="shared" ref="K65" si="95">G65</f>
        <v>1100</v>
      </c>
      <c r="L65" s="273">
        <f>'Program Budget'!N244</f>
        <v>0</v>
      </c>
      <c r="M65" s="274">
        <v>1</v>
      </c>
      <c r="N65" s="275">
        <f t="shared" ref="N65" si="96">K65*L65*M65</f>
        <v>0</v>
      </c>
      <c r="O65" s="272">
        <f t="shared" ref="O65" si="97">K65</f>
        <v>1100</v>
      </c>
      <c r="P65" s="273">
        <f>'Program Budget'!Q244</f>
        <v>0</v>
      </c>
      <c r="Q65" s="274">
        <v>1</v>
      </c>
      <c r="R65" s="275">
        <f t="shared" ref="R65" si="98">O65*P65*Q65</f>
        <v>0</v>
      </c>
      <c r="S65" s="272">
        <f t="shared" ref="S65" si="99">O65</f>
        <v>1100</v>
      </c>
      <c r="T65" s="273">
        <f>'Program Budget'!T244</f>
        <v>0</v>
      </c>
      <c r="U65" s="274">
        <v>1</v>
      </c>
      <c r="V65" s="275">
        <f t="shared" ref="V65" si="100">S65*T65*U65</f>
        <v>0</v>
      </c>
      <c r="W65" s="411">
        <f t="shared" ref="W65" si="101">F65+J65+N65+R65+V65</f>
        <v>6600</v>
      </c>
      <c r="AE65" s="239"/>
      <c r="AF65" s="280"/>
      <c r="AG65" s="345"/>
    </row>
    <row r="66" spans="1:33" ht="15.6" outlineLevel="1">
      <c r="A66" s="346" t="str">
        <f>'Program Budget'!D245</f>
        <v>Tablets for Rural Data Collection for Extension Agents</v>
      </c>
      <c r="B66" s="271" t="str">
        <f>'Program Budget'!F245</f>
        <v>Unit</v>
      </c>
      <c r="C66" s="272">
        <f>'Program Budget'!H245</f>
        <v>600</v>
      </c>
      <c r="D66" s="273">
        <f>'Program Budget'!G245</f>
        <v>6</v>
      </c>
      <c r="E66" s="274">
        <v>1</v>
      </c>
      <c r="F66" s="275">
        <f t="shared" ref="F66" si="102">C66*D66*E66</f>
        <v>3600</v>
      </c>
      <c r="G66" s="272">
        <f t="shared" ref="G66" si="103">C66</f>
        <v>600</v>
      </c>
      <c r="H66" s="273">
        <f>'Program Budget'!K245</f>
        <v>0</v>
      </c>
      <c r="I66" s="274">
        <v>1</v>
      </c>
      <c r="J66" s="275">
        <f t="shared" ref="J66" si="104">G66*H66*I66</f>
        <v>0</v>
      </c>
      <c r="K66" s="272">
        <f t="shared" ref="K66" si="105">G66</f>
        <v>600</v>
      </c>
      <c r="L66" s="273">
        <f>'Program Budget'!N245</f>
        <v>0</v>
      </c>
      <c r="M66" s="274">
        <v>1</v>
      </c>
      <c r="N66" s="275">
        <f t="shared" ref="N66" si="106">K66*L66*M66</f>
        <v>0</v>
      </c>
      <c r="O66" s="272">
        <f t="shared" ref="O66" si="107">K66</f>
        <v>600</v>
      </c>
      <c r="P66" s="273">
        <f>'Program Budget'!Q245</f>
        <v>0</v>
      </c>
      <c r="Q66" s="274">
        <v>1</v>
      </c>
      <c r="R66" s="275">
        <f t="shared" ref="R66" si="108">O66*P66*Q66</f>
        <v>0</v>
      </c>
      <c r="S66" s="272">
        <f t="shared" ref="S66" si="109">O66</f>
        <v>600</v>
      </c>
      <c r="T66" s="273">
        <f>'Program Budget'!T245</f>
        <v>0</v>
      </c>
      <c r="U66" s="274">
        <v>1</v>
      </c>
      <c r="V66" s="275">
        <f t="shared" ref="V66" si="110">S66*T66*U66</f>
        <v>0</v>
      </c>
      <c r="W66" s="411">
        <f t="shared" ref="W66" si="111">F66+J66+N66+R66+V66</f>
        <v>3600</v>
      </c>
      <c r="AE66" s="239"/>
      <c r="AF66" s="280"/>
      <c r="AG66" s="280"/>
    </row>
    <row r="67" spans="1:33" outlineLevel="1">
      <c r="A67" s="270"/>
      <c r="B67" s="293"/>
      <c r="D67" s="351"/>
      <c r="F67" s="275"/>
      <c r="H67" s="351"/>
      <c r="I67" s="236"/>
      <c r="J67" s="275"/>
      <c r="L67" s="351"/>
      <c r="N67" s="275"/>
      <c r="P67" s="351"/>
      <c r="Q67" s="236"/>
      <c r="R67" s="275"/>
      <c r="T67" s="351"/>
      <c r="U67" s="236"/>
      <c r="V67" s="275"/>
      <c r="W67" s="277"/>
      <c r="AE67" s="239"/>
      <c r="AF67" s="280"/>
      <c r="AG67" s="280"/>
    </row>
    <row r="68" spans="1:33" ht="18.3" outlineLevel="1">
      <c r="A68" s="338" t="s">
        <v>98</v>
      </c>
      <c r="B68" s="304"/>
      <c r="C68" s="305"/>
      <c r="D68" s="339"/>
      <c r="E68" s="340"/>
      <c r="F68" s="308">
        <f>SUM(F65:F67)</f>
        <v>10200</v>
      </c>
      <c r="G68" s="305"/>
      <c r="H68" s="339"/>
      <c r="I68" s="309"/>
      <c r="J68" s="308">
        <f>SUM(J65:J67)</f>
        <v>0</v>
      </c>
      <c r="K68" s="305"/>
      <c r="L68" s="339"/>
      <c r="M68" s="340"/>
      <c r="N68" s="308">
        <f>SUM(N65:N67)</f>
        <v>0</v>
      </c>
      <c r="O68" s="305"/>
      <c r="P68" s="339"/>
      <c r="Q68" s="309"/>
      <c r="R68" s="308">
        <f>SUM(R65:R67)</f>
        <v>0</v>
      </c>
      <c r="S68" s="305"/>
      <c r="T68" s="339"/>
      <c r="U68" s="309"/>
      <c r="V68" s="308">
        <f>SUM(V65:V67)</f>
        <v>0</v>
      </c>
      <c r="W68" s="308">
        <f>SUM(W65:W67)</f>
        <v>10200</v>
      </c>
      <c r="AE68" s="239"/>
      <c r="AF68" s="280"/>
      <c r="AG68" s="345"/>
    </row>
    <row r="69" spans="1:33" ht="15.6" outlineLevel="1">
      <c r="A69" s="353" t="s">
        <v>99</v>
      </c>
      <c r="B69" s="293"/>
      <c r="C69" s="354"/>
      <c r="D69" s="355"/>
      <c r="F69" s="325"/>
      <c r="G69" s="354"/>
      <c r="H69" s="355"/>
      <c r="J69" s="298"/>
      <c r="K69" s="354"/>
      <c r="L69" s="355"/>
      <c r="N69" s="298"/>
      <c r="O69" s="354"/>
      <c r="P69" s="355"/>
      <c r="R69" s="298"/>
      <c r="S69" s="354"/>
      <c r="T69" s="355"/>
      <c r="V69" s="298"/>
      <c r="W69" s="277"/>
      <c r="AE69" s="239"/>
      <c r="AF69" s="280"/>
      <c r="AG69" s="345"/>
    </row>
    <row r="70" spans="1:33" ht="15.6" outlineLevel="1">
      <c r="A70" s="267" t="s">
        <v>138</v>
      </c>
      <c r="B70" s="293"/>
      <c r="C70" s="354"/>
      <c r="D70" s="355"/>
      <c r="F70" s="275"/>
      <c r="G70" s="354"/>
      <c r="H70" s="355"/>
      <c r="I70" s="236"/>
      <c r="J70" s="275"/>
      <c r="K70" s="354"/>
      <c r="L70" s="355"/>
      <c r="N70" s="275"/>
      <c r="O70" s="354"/>
      <c r="P70" s="355"/>
      <c r="Q70" s="236"/>
      <c r="R70" s="275"/>
      <c r="S70" s="354"/>
      <c r="T70" s="355"/>
      <c r="U70" s="236"/>
      <c r="V70" s="275"/>
      <c r="W70" s="277"/>
      <c r="AE70" s="239"/>
      <c r="AF70" s="280"/>
      <c r="AG70" s="345"/>
    </row>
    <row r="71" spans="1:33" ht="15.6" outlineLevel="1">
      <c r="A71" s="346" t="str">
        <f>'Program Budget'!D256</f>
        <v>Farmer Field Schools</v>
      </c>
      <c r="B71" s="271" t="str">
        <f>'Program Budget'!F256</f>
        <v>Training</v>
      </c>
      <c r="C71" s="272">
        <f>'Program Budget'!H256</f>
        <v>10000</v>
      </c>
      <c r="D71" s="273">
        <f>'Program Budget'!G256</f>
        <v>0</v>
      </c>
      <c r="E71" s="274">
        <v>1</v>
      </c>
      <c r="F71" s="275">
        <f t="shared" ref="F71" si="112">C71*D71*E71</f>
        <v>0</v>
      </c>
      <c r="G71" s="272">
        <f>C71</f>
        <v>10000</v>
      </c>
      <c r="H71" s="273">
        <f>'Program Budget'!K256</f>
        <v>6</v>
      </c>
      <c r="I71" s="274">
        <v>1</v>
      </c>
      <c r="J71" s="275">
        <f t="shared" ref="J71" si="113">G71*H71*I71</f>
        <v>60000</v>
      </c>
      <c r="K71" s="272">
        <f>G71</f>
        <v>10000</v>
      </c>
      <c r="L71" s="273">
        <f>'Program Budget'!N256</f>
        <v>6</v>
      </c>
      <c r="M71" s="274">
        <v>1</v>
      </c>
      <c r="N71" s="275">
        <f t="shared" ref="N71" si="114">K71*L71*M71</f>
        <v>60000</v>
      </c>
      <c r="O71" s="272">
        <f>K71</f>
        <v>10000</v>
      </c>
      <c r="P71" s="273">
        <f>'Program Budget'!Q256</f>
        <v>6</v>
      </c>
      <c r="Q71" s="274">
        <v>1</v>
      </c>
      <c r="R71" s="275">
        <f t="shared" ref="R71" si="115">O71*P71*Q71</f>
        <v>60000</v>
      </c>
      <c r="S71" s="272">
        <f>O71</f>
        <v>10000</v>
      </c>
      <c r="T71" s="273">
        <f>'Program Budget'!T256</f>
        <v>0</v>
      </c>
      <c r="U71" s="274">
        <v>1</v>
      </c>
      <c r="V71" s="275">
        <f t="shared" ref="V71" si="116">S71*T71*U71</f>
        <v>0</v>
      </c>
      <c r="W71" s="411">
        <f t="shared" ref="W71" si="117">F71+J71+N71+R71+V71</f>
        <v>180000</v>
      </c>
      <c r="AE71" s="239"/>
      <c r="AF71" s="280"/>
      <c r="AG71" s="345"/>
    </row>
    <row r="72" spans="1:33" ht="15.6" outlineLevel="1">
      <c r="A72" s="358"/>
      <c r="B72" s="318"/>
      <c r="C72" s="356"/>
      <c r="D72" s="357"/>
      <c r="E72" s="321"/>
      <c r="F72" s="322"/>
      <c r="G72" s="356"/>
      <c r="H72" s="357"/>
      <c r="I72" s="321"/>
      <c r="J72" s="322"/>
      <c r="K72" s="356"/>
      <c r="L72" s="357"/>
      <c r="M72" s="321"/>
      <c r="N72" s="322"/>
      <c r="O72" s="356"/>
      <c r="P72" s="357"/>
      <c r="Q72" s="321"/>
      <c r="R72" s="322"/>
      <c r="S72" s="356"/>
      <c r="T72" s="357"/>
      <c r="U72" s="321"/>
      <c r="V72" s="322"/>
      <c r="W72" s="277"/>
      <c r="AE72" s="239"/>
      <c r="AF72" s="280"/>
      <c r="AG72" s="345"/>
    </row>
    <row r="73" spans="1:33" ht="18.3" outlineLevel="1">
      <c r="A73" s="359" t="s">
        <v>107</v>
      </c>
      <c r="B73" s="304"/>
      <c r="C73" s="328"/>
      <c r="D73" s="329"/>
      <c r="E73" s="360"/>
      <c r="F73" s="331">
        <f>SUM(F70:F71)</f>
        <v>0</v>
      </c>
      <c r="G73" s="328"/>
      <c r="H73" s="329"/>
      <c r="I73" s="332"/>
      <c r="J73" s="331">
        <f>SUM(J70:J71)</f>
        <v>60000</v>
      </c>
      <c r="K73" s="328"/>
      <c r="L73" s="329"/>
      <c r="M73" s="360"/>
      <c r="N73" s="331">
        <f>SUM(N70:N71)</f>
        <v>60000</v>
      </c>
      <c r="O73" s="328"/>
      <c r="P73" s="329"/>
      <c r="Q73" s="332"/>
      <c r="R73" s="331">
        <f>SUM(R70:R71)</f>
        <v>60000</v>
      </c>
      <c r="S73" s="328"/>
      <c r="T73" s="329"/>
      <c r="U73" s="332"/>
      <c r="V73" s="331">
        <f>SUM(V70:V71)</f>
        <v>0</v>
      </c>
      <c r="W73" s="310">
        <f>+F73+J73+N73+R73+V73</f>
        <v>180000</v>
      </c>
      <c r="AE73" s="239">
        <v>250</v>
      </c>
      <c r="AF73" s="280" t="s">
        <v>139</v>
      </c>
      <c r="AG73" s="345" t="s">
        <v>140</v>
      </c>
    </row>
    <row r="74" spans="1:33" ht="15.6" outlineLevel="1">
      <c r="A74" s="361"/>
      <c r="B74" s="316"/>
      <c r="C74" s="354"/>
      <c r="D74" s="355"/>
      <c r="F74" s="275"/>
      <c r="G74" s="354"/>
      <c r="H74" s="355"/>
      <c r="J74" s="277"/>
      <c r="K74" s="354"/>
      <c r="L74" s="355"/>
      <c r="N74" s="277"/>
      <c r="O74" s="354"/>
      <c r="P74" s="355"/>
      <c r="R74" s="277"/>
      <c r="S74" s="354"/>
      <c r="T74" s="355"/>
      <c r="V74" s="277"/>
      <c r="W74" s="277"/>
      <c r="AE74" s="239">
        <v>317</v>
      </c>
      <c r="AF74" s="280" t="s">
        <v>141</v>
      </c>
      <c r="AG74" s="345" t="s">
        <v>142</v>
      </c>
    </row>
    <row r="75" spans="1:33" ht="18.3" outlineLevel="1">
      <c r="A75" s="362" t="s">
        <v>108</v>
      </c>
      <c r="B75" s="363"/>
      <c r="C75" s="364"/>
      <c r="D75" s="365"/>
      <c r="E75" s="366"/>
      <c r="F75" s="367">
        <f>F29+F38+F47+F63+F68+F57+F73</f>
        <v>254205.38333333333</v>
      </c>
      <c r="G75" s="364"/>
      <c r="H75" s="365"/>
      <c r="I75" s="368"/>
      <c r="J75" s="367">
        <f>J29+J38+J47+J63+J68+J57+J73</f>
        <v>432635.7536</v>
      </c>
      <c r="K75" s="364"/>
      <c r="L75" s="365"/>
      <c r="M75" s="366"/>
      <c r="N75" s="367">
        <f>N29+N38+N47+N63+N68+N57+N73</f>
        <v>451227.32326400001</v>
      </c>
      <c r="O75" s="364"/>
      <c r="P75" s="365"/>
      <c r="Q75" s="368"/>
      <c r="R75" s="367">
        <f>R29+R38+R47+R63+R68+R57+R73</f>
        <v>403453.96586495999</v>
      </c>
      <c r="S75" s="364"/>
      <c r="T75" s="365"/>
      <c r="U75" s="368"/>
      <c r="V75" s="367">
        <f>V29+V38+V47+V63+V68+V57+V73</f>
        <v>284296.60357703688</v>
      </c>
      <c r="W75" s="367">
        <f>W29+W38+W47+W63+W68+W57+W73</f>
        <v>1825819.02963933</v>
      </c>
      <c r="AE75" s="239">
        <v>318</v>
      </c>
      <c r="AF75" s="280" t="s">
        <v>143</v>
      </c>
      <c r="AG75" s="345" t="s">
        <v>144</v>
      </c>
    </row>
    <row r="76" spans="1:33">
      <c r="A76" s="407"/>
      <c r="B76" s="316"/>
      <c r="C76" s="354"/>
      <c r="D76" s="355"/>
      <c r="F76" s="275"/>
      <c r="G76" s="354"/>
      <c r="H76" s="355"/>
      <c r="J76" s="277"/>
      <c r="K76" s="354"/>
      <c r="L76" s="355"/>
      <c r="N76" s="277"/>
      <c r="O76" s="354"/>
      <c r="P76" s="355"/>
      <c r="R76" s="277"/>
      <c r="S76" s="354"/>
      <c r="T76" s="355"/>
      <c r="V76" s="277"/>
      <c r="W76" s="277"/>
    </row>
    <row r="77" spans="1:33" ht="20.399999999999999">
      <c r="A77" s="369" t="s">
        <v>54</v>
      </c>
      <c r="B77" s="370"/>
      <c r="C77" s="371"/>
      <c r="D77" s="371"/>
      <c r="E77" s="371"/>
      <c r="F77" s="371"/>
      <c r="G77" s="371"/>
      <c r="H77" s="371"/>
      <c r="I77" s="371"/>
      <c r="J77" s="371"/>
      <c r="K77" s="371"/>
      <c r="L77" s="371"/>
      <c r="M77" s="371"/>
      <c r="N77" s="371"/>
      <c r="O77" s="371"/>
      <c r="P77" s="371"/>
      <c r="Q77" s="371"/>
      <c r="R77" s="371"/>
      <c r="S77" s="371"/>
      <c r="T77" s="371"/>
      <c r="U77" s="371"/>
      <c r="V77" s="371"/>
      <c r="W77" s="370"/>
    </row>
    <row r="78" spans="1:33" ht="15" customHeight="1">
      <c r="A78" s="372" t="s">
        <v>55</v>
      </c>
      <c r="B78" s="428" t="s">
        <v>145</v>
      </c>
      <c r="C78" s="272">
        <v>0</v>
      </c>
      <c r="D78" s="273">
        <v>1</v>
      </c>
      <c r="E78" s="274">
        <v>0.2828</v>
      </c>
      <c r="F78" s="275">
        <f>C78*D78*E78</f>
        <v>0</v>
      </c>
      <c r="G78" s="272">
        <v>0</v>
      </c>
      <c r="H78" s="273">
        <v>1</v>
      </c>
      <c r="I78" s="274">
        <v>0.2828</v>
      </c>
      <c r="J78" s="275">
        <f>G78*H78*I78</f>
        <v>0</v>
      </c>
      <c r="K78" s="272">
        <v>0</v>
      </c>
      <c r="L78" s="273">
        <v>1</v>
      </c>
      <c r="M78" s="274">
        <v>0.2828</v>
      </c>
      <c r="N78" s="275">
        <f>K78*L78*M78</f>
        <v>0</v>
      </c>
      <c r="O78" s="272">
        <v>0</v>
      </c>
      <c r="P78" s="273">
        <v>1</v>
      </c>
      <c r="Q78" s="274">
        <v>0.2828</v>
      </c>
      <c r="R78" s="275">
        <f>O78*P78*Q78</f>
        <v>0</v>
      </c>
      <c r="S78" s="272">
        <v>0</v>
      </c>
      <c r="T78" s="273">
        <v>1</v>
      </c>
      <c r="U78" s="274">
        <v>0.2828</v>
      </c>
      <c r="V78" s="275">
        <f>S78*T78*U78</f>
        <v>0</v>
      </c>
      <c r="W78" s="411">
        <f>F78+J78+N78+R78+V78</f>
        <v>0</v>
      </c>
    </row>
    <row r="79" spans="1:33" ht="15" customHeight="1">
      <c r="A79" s="372" t="s">
        <v>56</v>
      </c>
      <c r="B79" s="428" t="s">
        <v>145</v>
      </c>
      <c r="C79" s="272">
        <f>F75</f>
        <v>254205.38333333333</v>
      </c>
      <c r="D79" s="273">
        <v>1</v>
      </c>
      <c r="E79" s="274">
        <v>0.2828</v>
      </c>
      <c r="F79" s="275">
        <f>C79*D79*E79</f>
        <v>71889.282406666665</v>
      </c>
      <c r="G79" s="272">
        <f>J75</f>
        <v>432635.7536</v>
      </c>
      <c r="H79" s="273">
        <v>1</v>
      </c>
      <c r="I79" s="274">
        <v>0.2828</v>
      </c>
      <c r="J79" s="275">
        <f>G79*H79*I79</f>
        <v>122349.39111807999</v>
      </c>
      <c r="K79" s="272">
        <f>N75</f>
        <v>451227.32326400001</v>
      </c>
      <c r="L79" s="273">
        <v>1</v>
      </c>
      <c r="M79" s="274">
        <v>0.2828</v>
      </c>
      <c r="N79" s="275">
        <f>K79*L79*M79</f>
        <v>127607.0870190592</v>
      </c>
      <c r="O79" s="272">
        <f>R75</f>
        <v>403453.96586495999</v>
      </c>
      <c r="P79" s="273">
        <v>1</v>
      </c>
      <c r="Q79" s="274">
        <v>0.2828</v>
      </c>
      <c r="R79" s="275">
        <f>O79*P79*Q79</f>
        <v>114096.78154661068</v>
      </c>
      <c r="S79" s="272">
        <f>V75</f>
        <v>284296.60357703688</v>
      </c>
      <c r="T79" s="273">
        <v>1</v>
      </c>
      <c r="U79" s="274">
        <v>0.2828</v>
      </c>
      <c r="V79" s="275">
        <f>S79*T79*U79</f>
        <v>80399.079491586032</v>
      </c>
      <c r="W79" s="411">
        <f>F79+J79+N79+R79+V79</f>
        <v>516341.62158200261</v>
      </c>
    </row>
    <row r="80" spans="1:33">
      <c r="A80" s="375"/>
      <c r="B80" s="316"/>
      <c r="C80" s="347"/>
      <c r="D80" s="376"/>
      <c r="E80" s="377"/>
      <c r="F80" s="275"/>
      <c r="G80" s="347"/>
      <c r="H80" s="376"/>
      <c r="I80" s="276"/>
      <c r="J80" s="275"/>
      <c r="K80" s="347"/>
      <c r="L80" s="376"/>
      <c r="M80" s="377"/>
      <c r="N80" s="275"/>
      <c r="O80" s="347"/>
      <c r="P80" s="376"/>
      <c r="Q80" s="276"/>
      <c r="R80" s="275"/>
      <c r="S80" s="347"/>
      <c r="T80" s="376"/>
      <c r="U80" s="276"/>
      <c r="V80" s="275"/>
      <c r="W80" s="277"/>
    </row>
    <row r="81" spans="1:23" ht="18.3">
      <c r="A81" s="362" t="s">
        <v>109</v>
      </c>
      <c r="B81" s="363"/>
      <c r="C81" s="364"/>
      <c r="D81" s="365"/>
      <c r="E81" s="366"/>
      <c r="F81" s="367">
        <f>SUM(F78:F80)</f>
        <v>71889.282406666665</v>
      </c>
      <c r="G81" s="364"/>
      <c r="H81" s="365"/>
      <c r="I81" s="368"/>
      <c r="J81" s="367">
        <f>SUM(J78:J80)</f>
        <v>122349.39111807999</v>
      </c>
      <c r="K81" s="364"/>
      <c r="L81" s="365"/>
      <c r="M81" s="366"/>
      <c r="N81" s="367">
        <f>SUM(N78:N80)</f>
        <v>127607.0870190592</v>
      </c>
      <c r="O81" s="364"/>
      <c r="P81" s="365"/>
      <c r="Q81" s="368"/>
      <c r="R81" s="367">
        <f>SUM(R78:R80)</f>
        <v>114096.78154661068</v>
      </c>
      <c r="S81" s="364"/>
      <c r="T81" s="365"/>
      <c r="U81" s="368"/>
      <c r="V81" s="367">
        <f>SUM(V78:V80)</f>
        <v>80399.079491586032</v>
      </c>
      <c r="W81" s="367">
        <f>SUM(W78:W80)</f>
        <v>516341.62158200261</v>
      </c>
    </row>
    <row r="82" spans="1:23">
      <c r="A82" s="275"/>
      <c r="B82" s="316"/>
      <c r="C82" s="347"/>
      <c r="D82" s="376"/>
      <c r="E82" s="377"/>
      <c r="F82" s="275"/>
      <c r="G82" s="347"/>
      <c r="H82" s="376"/>
      <c r="I82" s="276"/>
      <c r="J82" s="275"/>
      <c r="K82" s="347"/>
      <c r="L82" s="376"/>
      <c r="M82" s="377"/>
      <c r="N82" s="275"/>
      <c r="O82" s="347"/>
      <c r="P82" s="376"/>
      <c r="Q82" s="276"/>
      <c r="R82" s="275"/>
      <c r="S82" s="347"/>
      <c r="T82" s="376"/>
      <c r="U82" s="276"/>
      <c r="V82" s="275"/>
      <c r="W82" s="277"/>
    </row>
    <row r="83" spans="1:23" ht="18.3">
      <c r="A83" s="382" t="s">
        <v>110</v>
      </c>
      <c r="B83" s="383"/>
      <c r="C83" s="384"/>
      <c r="D83" s="385"/>
      <c r="E83" s="386"/>
      <c r="F83" s="387">
        <f>F75+F81</f>
        <v>326094.66573999997</v>
      </c>
      <c r="G83" s="384"/>
      <c r="H83" s="385"/>
      <c r="I83" s="388"/>
      <c r="J83" s="387">
        <f>J75+J81</f>
        <v>554985.14471807994</v>
      </c>
      <c r="K83" s="384"/>
      <c r="L83" s="385"/>
      <c r="M83" s="386"/>
      <c r="N83" s="387">
        <f>N75+N81</f>
        <v>578834.41028305923</v>
      </c>
      <c r="O83" s="384"/>
      <c r="P83" s="385"/>
      <c r="Q83" s="388"/>
      <c r="R83" s="387">
        <f>R75+R81</f>
        <v>517550.74741157069</v>
      </c>
      <c r="S83" s="384"/>
      <c r="T83" s="385"/>
      <c r="U83" s="388"/>
      <c r="V83" s="387">
        <f>V75+V81</f>
        <v>364695.68306862289</v>
      </c>
      <c r="W83" s="389">
        <f>F83+J83+N83+R83+V83</f>
        <v>2342160.6512213331</v>
      </c>
    </row>
    <row r="84" spans="1:23" ht="15.6">
      <c r="A84" s="390" t="s">
        <v>146</v>
      </c>
      <c r="B84" s="391"/>
      <c r="C84" s="319"/>
      <c r="D84" s="392"/>
      <c r="E84" s="321"/>
      <c r="F84" s="322">
        <f t="shared" ref="F84" si="118">C84*D84*E84</f>
        <v>0</v>
      </c>
      <c r="G84" s="319"/>
      <c r="H84" s="392"/>
      <c r="I84" s="393"/>
      <c r="J84" s="322">
        <f t="shared" ref="J84" si="119">G84*H84*I84</f>
        <v>0</v>
      </c>
      <c r="K84" s="319"/>
      <c r="L84" s="392"/>
      <c r="M84" s="321"/>
      <c r="N84" s="322">
        <f t="shared" ref="N84" si="120">K84*L84*M84</f>
        <v>0</v>
      </c>
      <c r="O84" s="319"/>
      <c r="P84" s="392"/>
      <c r="Q84" s="393"/>
      <c r="R84" s="322">
        <f t="shared" ref="R84" si="121">O84*P84*Q84</f>
        <v>0</v>
      </c>
      <c r="S84" s="319"/>
      <c r="T84" s="392"/>
      <c r="U84" s="393"/>
      <c r="V84" s="322">
        <f t="shared" ref="V84" si="122">S84*T84*U84</f>
        <v>0</v>
      </c>
      <c r="W84" s="283">
        <f>F84+J84+N84+R84+V84</f>
        <v>0</v>
      </c>
    </row>
    <row r="85" spans="1:23" ht="18.3">
      <c r="A85" s="382" t="s">
        <v>111</v>
      </c>
      <c r="B85" s="383"/>
      <c r="C85" s="384"/>
      <c r="D85" s="385"/>
      <c r="E85" s="386"/>
      <c r="F85" s="387">
        <f>F83+F84</f>
        <v>326094.66573999997</v>
      </c>
      <c r="G85" s="384"/>
      <c r="H85" s="385"/>
      <c r="I85" s="388"/>
      <c r="J85" s="387">
        <f>J83+J84</f>
        <v>554985.14471807994</v>
      </c>
      <c r="K85" s="384"/>
      <c r="L85" s="385"/>
      <c r="M85" s="386"/>
      <c r="N85" s="387">
        <f>N83+N84</f>
        <v>578834.41028305923</v>
      </c>
      <c r="O85" s="384"/>
      <c r="P85" s="385"/>
      <c r="Q85" s="388"/>
      <c r="R85" s="387">
        <f>R83+R84</f>
        <v>517550.74741157069</v>
      </c>
      <c r="S85" s="384"/>
      <c r="T85" s="385"/>
      <c r="U85" s="388"/>
      <c r="V85" s="387">
        <f>V83+V84</f>
        <v>364695.68306862289</v>
      </c>
      <c r="W85" s="389">
        <f>F85+J85+N85+R85+V85</f>
        <v>2342160.6512213331</v>
      </c>
    </row>
    <row r="86" spans="1:23">
      <c r="A86" s="271"/>
      <c r="B86" s="271"/>
      <c r="W86" s="277"/>
    </row>
    <row r="87" spans="1:23" ht="31.2">
      <c r="A87" s="394" t="s">
        <v>112</v>
      </c>
      <c r="B87" s="395"/>
      <c r="C87" s="396"/>
      <c r="D87" s="397"/>
      <c r="E87" s="398"/>
      <c r="F87" s="399"/>
      <c r="G87" s="396"/>
      <c r="H87" s="397"/>
      <c r="I87" s="400"/>
      <c r="J87" s="401"/>
      <c r="K87" s="396"/>
      <c r="L87" s="397"/>
      <c r="M87" s="398"/>
      <c r="N87" s="401"/>
      <c r="O87" s="396"/>
      <c r="P87" s="397"/>
      <c r="Q87" s="400"/>
      <c r="R87" s="401"/>
      <c r="S87" s="396"/>
      <c r="T87" s="397"/>
      <c r="U87" s="400"/>
      <c r="V87" s="401"/>
      <c r="W87" s="401"/>
    </row>
  </sheetData>
  <mergeCells count="8">
    <mergeCell ref="S2:V2"/>
    <mergeCell ref="W2:W3"/>
    <mergeCell ref="A2:A3"/>
    <mergeCell ref="B2:B3"/>
    <mergeCell ref="C2:F2"/>
    <mergeCell ref="G2:J2"/>
    <mergeCell ref="K2:N2"/>
    <mergeCell ref="O2:R2"/>
  </mergeCells>
  <printOptions horizontalCentered="1"/>
  <pageMargins left="0.25" right="0.25" top="0.75" bottom="0.75" header="0.3" footer="0.3"/>
  <pageSetup scale="34" orientation="landscape" r:id="rId1"/>
  <headerFooter alignWithMargins="0"/>
  <rowBreaks count="1" manualBreakCount="1">
    <brk id="82"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997A-A7B0-4E25-9A94-CA9453FD08F2}">
  <sheetPr>
    <tabColor theme="6" tint="0.39997558519241921"/>
    <pageSetUpPr fitToPage="1"/>
  </sheetPr>
  <dimension ref="A1:AJ96"/>
  <sheetViews>
    <sheetView showOutlineSymbols="0" showWhiteSpace="0" zoomScale="70" zoomScaleNormal="70" workbookViewId="0">
      <pane xSplit="2" ySplit="3" topLeftCell="O4" activePane="bottomRight" state="frozen"/>
      <selection pane="topRight"/>
      <selection pane="bottomLeft"/>
      <selection pane="bottomRight" activeCell="W62" sqref="W62"/>
    </sheetView>
  </sheetViews>
  <sheetFormatPr defaultRowHeight="14.4" outlineLevelRow="1" outlineLevelCol="1"/>
  <cols>
    <col min="1" max="1" width="61.27734375" style="233" customWidth="1"/>
    <col min="2" max="2" width="13" style="233" customWidth="1"/>
    <col min="3" max="3" width="15.27734375" style="234" customWidth="1" outlineLevel="1"/>
    <col min="4" max="4" width="15.27734375" style="235" customWidth="1" outlineLevel="1"/>
    <col min="5" max="5" width="16.1640625" style="236" customWidth="1" outlineLevel="1"/>
    <col min="6" max="6" width="15.27734375" style="233" customWidth="1"/>
    <col min="7" max="7" width="15.27734375" style="234" customWidth="1" outlineLevel="1"/>
    <col min="8" max="8" width="15.27734375" style="235" customWidth="1" outlineLevel="1"/>
    <col min="9" max="9" width="15.27734375" style="237" customWidth="1" outlineLevel="1"/>
    <col min="10" max="10" width="15.27734375" style="234" customWidth="1"/>
    <col min="11" max="11" width="15.27734375" style="234" customWidth="1" outlineLevel="1"/>
    <col min="12" max="12" width="15.27734375" style="235" customWidth="1" outlineLevel="1"/>
    <col min="13" max="13" width="15.27734375" style="236" customWidth="1" outlineLevel="1"/>
    <col min="14" max="14" width="15.27734375" style="234" customWidth="1"/>
    <col min="15" max="15" width="15.27734375" style="234" customWidth="1" outlineLevel="1"/>
    <col min="16" max="16" width="15.27734375" style="235" customWidth="1" outlineLevel="1"/>
    <col min="17" max="17" width="15.27734375" style="237" customWidth="1" outlineLevel="1"/>
    <col min="18" max="18" width="15.27734375" style="234" customWidth="1"/>
    <col min="19" max="19" width="15.27734375" style="234" customWidth="1" outlineLevel="1"/>
    <col min="20" max="20" width="15.27734375" style="235" customWidth="1" outlineLevel="1"/>
    <col min="21" max="21" width="15.27734375" style="237" customWidth="1" outlineLevel="1"/>
    <col min="22" max="22" width="16.1640625" style="234" customWidth="1"/>
    <col min="23" max="23" width="17.44140625" style="234" customWidth="1"/>
    <col min="24" max="24" width="9" style="233" customWidth="1"/>
    <col min="25" max="25" width="8.71875" style="233" customWidth="1"/>
    <col min="26" max="26" width="10.83203125" style="233" customWidth="1"/>
    <col min="27" max="27" width="8.71875" style="233" customWidth="1"/>
    <col min="28" max="28" width="10.83203125" style="233" customWidth="1"/>
    <col min="29" max="29" width="4.83203125" style="233" customWidth="1"/>
    <col min="30" max="30" width="4.83203125" style="233" hidden="1" customWidth="1"/>
    <col min="31" max="31" width="7" style="238" hidden="1" customWidth="1"/>
    <col min="32" max="32" width="19.27734375" style="233" hidden="1" customWidth="1"/>
    <col min="33" max="33" width="34" style="233" hidden="1" customWidth="1"/>
    <col min="34" max="34" width="9.71875" style="233" hidden="1" customWidth="1"/>
    <col min="35" max="35" width="9.71875" style="233" customWidth="1"/>
    <col min="36" max="36" width="14.27734375" style="233" customWidth="1"/>
    <col min="37" max="264" width="8.83203125" style="233"/>
    <col min="265" max="265" width="38.27734375" style="233" customWidth="1"/>
    <col min="266" max="266" width="23.44140625" style="233" bestFit="1" customWidth="1"/>
    <col min="267" max="268" width="9.1640625" style="233" customWidth="1"/>
    <col min="269" max="269" width="11.27734375" style="233" bestFit="1" customWidth="1"/>
    <col min="270" max="270" width="14.44140625" style="233" bestFit="1" customWidth="1"/>
    <col min="271" max="271" width="8.1640625" style="233" customWidth="1"/>
    <col min="272" max="272" width="10.83203125" style="233" bestFit="1" customWidth="1"/>
    <col min="273" max="273" width="12.27734375" style="233" bestFit="1" customWidth="1"/>
    <col min="274" max="274" width="9.1640625" style="233" customWidth="1"/>
    <col min="275" max="275" width="10.83203125" style="233" bestFit="1" customWidth="1"/>
    <col min="276" max="276" width="12.27734375" style="233" bestFit="1" customWidth="1"/>
    <col min="277" max="277" width="8" style="233" customWidth="1"/>
    <col min="278" max="278" width="10.83203125" style="233" bestFit="1" customWidth="1"/>
    <col min="279" max="279" width="12.27734375" style="233" bestFit="1" customWidth="1"/>
    <col min="280" max="280" width="8.1640625" style="233" bestFit="1" customWidth="1"/>
    <col min="281" max="281" width="10.83203125" style="233" bestFit="1" customWidth="1"/>
    <col min="282" max="282" width="12.27734375" style="233" bestFit="1" customWidth="1"/>
    <col min="283" max="283" width="18.27734375" style="233" bestFit="1" customWidth="1"/>
    <col min="284" max="284" width="10.83203125" style="233" bestFit="1" customWidth="1"/>
    <col min="285" max="520" width="8.83203125" style="233"/>
    <col min="521" max="521" width="38.27734375" style="233" customWidth="1"/>
    <col min="522" max="522" width="23.44140625" style="233" bestFit="1" customWidth="1"/>
    <col min="523" max="524" width="9.1640625" style="233" customWidth="1"/>
    <col min="525" max="525" width="11.27734375" style="233" bestFit="1" customWidth="1"/>
    <col min="526" max="526" width="14.44140625" style="233" bestFit="1" customWidth="1"/>
    <col min="527" max="527" width="8.1640625" style="233" customWidth="1"/>
    <col min="528" max="528" width="10.83203125" style="233" bestFit="1" customWidth="1"/>
    <col min="529" max="529" width="12.27734375" style="233" bestFit="1" customWidth="1"/>
    <col min="530" max="530" width="9.1640625" style="233" customWidth="1"/>
    <col min="531" max="531" width="10.83203125" style="233" bestFit="1" customWidth="1"/>
    <col min="532" max="532" width="12.27734375" style="233" bestFit="1" customWidth="1"/>
    <col min="533" max="533" width="8" style="233" customWidth="1"/>
    <col min="534" max="534" width="10.83203125" style="233" bestFit="1" customWidth="1"/>
    <col min="535" max="535" width="12.27734375" style="233" bestFit="1" customWidth="1"/>
    <col min="536" max="536" width="8.1640625" style="233" bestFit="1" customWidth="1"/>
    <col min="537" max="537" width="10.83203125" style="233" bestFit="1" customWidth="1"/>
    <col min="538" max="538" width="12.27734375" style="233" bestFit="1" customWidth="1"/>
    <col min="539" max="539" width="18.27734375" style="233" bestFit="1" customWidth="1"/>
    <col min="540" max="540" width="10.83203125" style="233" bestFit="1" customWidth="1"/>
    <col min="541" max="776" width="8.83203125" style="233"/>
    <col min="777" max="777" width="38.27734375" style="233" customWidth="1"/>
    <col min="778" max="778" width="23.44140625" style="233" bestFit="1" customWidth="1"/>
    <col min="779" max="780" width="9.1640625" style="233" customWidth="1"/>
    <col min="781" max="781" width="11.27734375" style="233" bestFit="1" customWidth="1"/>
    <col min="782" max="782" width="14.44140625" style="233" bestFit="1" customWidth="1"/>
    <col min="783" max="783" width="8.1640625" style="233" customWidth="1"/>
    <col min="784" max="784" width="10.83203125" style="233" bestFit="1" customWidth="1"/>
    <col min="785" max="785" width="12.27734375" style="233" bestFit="1" customWidth="1"/>
    <col min="786" max="786" width="9.1640625" style="233" customWidth="1"/>
    <col min="787" max="787" width="10.83203125" style="233" bestFit="1" customWidth="1"/>
    <col min="788" max="788" width="12.27734375" style="233" bestFit="1" customWidth="1"/>
    <col min="789" max="789" width="8" style="233" customWidth="1"/>
    <col min="790" max="790" width="10.83203125" style="233" bestFit="1" customWidth="1"/>
    <col min="791" max="791" width="12.27734375" style="233" bestFit="1" customWidth="1"/>
    <col min="792" max="792" width="8.1640625" style="233" bestFit="1" customWidth="1"/>
    <col min="793" max="793" width="10.83203125" style="233" bestFit="1" customWidth="1"/>
    <col min="794" max="794" width="12.27734375" style="233" bestFit="1" customWidth="1"/>
    <col min="795" max="795" width="18.27734375" style="233" bestFit="1" customWidth="1"/>
    <col min="796" max="796" width="10.83203125" style="233" bestFit="1" customWidth="1"/>
    <col min="797" max="1032" width="8.83203125" style="233"/>
    <col min="1033" max="1033" width="38.27734375" style="233" customWidth="1"/>
    <col min="1034" max="1034" width="23.44140625" style="233" bestFit="1" customWidth="1"/>
    <col min="1035" max="1036" width="9.1640625" style="233" customWidth="1"/>
    <col min="1037" max="1037" width="11.27734375" style="233" bestFit="1" customWidth="1"/>
    <col min="1038" max="1038" width="14.44140625" style="233" bestFit="1" customWidth="1"/>
    <col min="1039" max="1039" width="8.1640625" style="233" customWidth="1"/>
    <col min="1040" max="1040" width="10.83203125" style="233" bestFit="1" customWidth="1"/>
    <col min="1041" max="1041" width="12.27734375" style="233" bestFit="1" customWidth="1"/>
    <col min="1042" max="1042" width="9.1640625" style="233" customWidth="1"/>
    <col min="1043" max="1043" width="10.83203125" style="233" bestFit="1" customWidth="1"/>
    <col min="1044" max="1044" width="12.27734375" style="233" bestFit="1" customWidth="1"/>
    <col min="1045" max="1045" width="8" style="233" customWidth="1"/>
    <col min="1046" max="1046" width="10.83203125" style="233" bestFit="1" customWidth="1"/>
    <col min="1047" max="1047" width="12.27734375" style="233" bestFit="1" customWidth="1"/>
    <col min="1048" max="1048" width="8.1640625" style="233" bestFit="1" customWidth="1"/>
    <col min="1049" max="1049" width="10.83203125" style="233" bestFit="1" customWidth="1"/>
    <col min="1050" max="1050" width="12.27734375" style="233" bestFit="1" customWidth="1"/>
    <col min="1051" max="1051" width="18.27734375" style="233" bestFit="1" customWidth="1"/>
    <col min="1052" max="1052" width="10.83203125" style="233" bestFit="1" customWidth="1"/>
    <col min="1053" max="1288" width="8.83203125" style="233"/>
    <col min="1289" max="1289" width="38.27734375" style="233" customWidth="1"/>
    <col min="1290" max="1290" width="23.44140625" style="233" bestFit="1" customWidth="1"/>
    <col min="1291" max="1292" width="9.1640625" style="233" customWidth="1"/>
    <col min="1293" max="1293" width="11.27734375" style="233" bestFit="1" customWidth="1"/>
    <col min="1294" max="1294" width="14.44140625" style="233" bestFit="1" customWidth="1"/>
    <col min="1295" max="1295" width="8.1640625" style="233" customWidth="1"/>
    <col min="1296" max="1296" width="10.83203125" style="233" bestFit="1" customWidth="1"/>
    <col min="1297" max="1297" width="12.27734375" style="233" bestFit="1" customWidth="1"/>
    <col min="1298" max="1298" width="9.1640625" style="233" customWidth="1"/>
    <col min="1299" max="1299" width="10.83203125" style="233" bestFit="1" customWidth="1"/>
    <col min="1300" max="1300" width="12.27734375" style="233" bestFit="1" customWidth="1"/>
    <col min="1301" max="1301" width="8" style="233" customWidth="1"/>
    <col min="1302" max="1302" width="10.83203125" style="233" bestFit="1" customWidth="1"/>
    <col min="1303" max="1303" width="12.27734375" style="233" bestFit="1" customWidth="1"/>
    <col min="1304" max="1304" width="8.1640625" style="233" bestFit="1" customWidth="1"/>
    <col min="1305" max="1305" width="10.83203125" style="233" bestFit="1" customWidth="1"/>
    <col min="1306" max="1306" width="12.27734375" style="233" bestFit="1" customWidth="1"/>
    <col min="1307" max="1307" width="18.27734375" style="233" bestFit="1" customWidth="1"/>
    <col min="1308" max="1308" width="10.83203125" style="233" bestFit="1" customWidth="1"/>
    <col min="1309" max="1544" width="8.83203125" style="233"/>
    <col min="1545" max="1545" width="38.27734375" style="233" customWidth="1"/>
    <col min="1546" max="1546" width="23.44140625" style="233" bestFit="1" customWidth="1"/>
    <col min="1547" max="1548" width="9.1640625" style="233" customWidth="1"/>
    <col min="1549" max="1549" width="11.27734375" style="233" bestFit="1" customWidth="1"/>
    <col min="1550" max="1550" width="14.44140625" style="233" bestFit="1" customWidth="1"/>
    <col min="1551" max="1551" width="8.1640625" style="233" customWidth="1"/>
    <col min="1552" max="1552" width="10.83203125" style="233" bestFit="1" customWidth="1"/>
    <col min="1553" max="1553" width="12.27734375" style="233" bestFit="1" customWidth="1"/>
    <col min="1554" max="1554" width="9.1640625" style="233" customWidth="1"/>
    <col min="1555" max="1555" width="10.83203125" style="233" bestFit="1" customWidth="1"/>
    <col min="1556" max="1556" width="12.27734375" style="233" bestFit="1" customWidth="1"/>
    <col min="1557" max="1557" width="8" style="233" customWidth="1"/>
    <col min="1558" max="1558" width="10.83203125" style="233" bestFit="1" customWidth="1"/>
    <col min="1559" max="1559" width="12.27734375" style="233" bestFit="1" customWidth="1"/>
    <col min="1560" max="1560" width="8.1640625" style="233" bestFit="1" customWidth="1"/>
    <col min="1561" max="1561" width="10.83203125" style="233" bestFit="1" customWidth="1"/>
    <col min="1562" max="1562" width="12.27734375" style="233" bestFit="1" customWidth="1"/>
    <col min="1563" max="1563" width="18.27734375" style="233" bestFit="1" customWidth="1"/>
    <col min="1564" max="1564" width="10.83203125" style="233" bestFit="1" customWidth="1"/>
    <col min="1565" max="1800" width="8.83203125" style="233"/>
    <col min="1801" max="1801" width="38.27734375" style="233" customWidth="1"/>
    <col min="1802" max="1802" width="23.44140625" style="233" bestFit="1" customWidth="1"/>
    <col min="1803" max="1804" width="9.1640625" style="233" customWidth="1"/>
    <col min="1805" max="1805" width="11.27734375" style="233" bestFit="1" customWidth="1"/>
    <col min="1806" max="1806" width="14.44140625" style="233" bestFit="1" customWidth="1"/>
    <col min="1807" max="1807" width="8.1640625" style="233" customWidth="1"/>
    <col min="1808" max="1808" width="10.83203125" style="233" bestFit="1" customWidth="1"/>
    <col min="1809" max="1809" width="12.27734375" style="233" bestFit="1" customWidth="1"/>
    <col min="1810" max="1810" width="9.1640625" style="233" customWidth="1"/>
    <col min="1811" max="1811" width="10.83203125" style="233" bestFit="1" customWidth="1"/>
    <col min="1812" max="1812" width="12.27734375" style="233" bestFit="1" customWidth="1"/>
    <col min="1813" max="1813" width="8" style="233" customWidth="1"/>
    <col min="1814" max="1814" width="10.83203125" style="233" bestFit="1" customWidth="1"/>
    <col min="1815" max="1815" width="12.27734375" style="233" bestFit="1" customWidth="1"/>
    <col min="1816" max="1816" width="8.1640625" style="233" bestFit="1" customWidth="1"/>
    <col min="1817" max="1817" width="10.83203125" style="233" bestFit="1" customWidth="1"/>
    <col min="1818" max="1818" width="12.27734375" style="233" bestFit="1" customWidth="1"/>
    <col min="1819" max="1819" width="18.27734375" style="233" bestFit="1" customWidth="1"/>
    <col min="1820" max="1820" width="10.83203125" style="233" bestFit="1" customWidth="1"/>
    <col min="1821" max="2056" width="8.83203125" style="233"/>
    <col min="2057" max="2057" width="38.27734375" style="233" customWidth="1"/>
    <col min="2058" max="2058" width="23.44140625" style="233" bestFit="1" customWidth="1"/>
    <col min="2059" max="2060" width="9.1640625" style="233" customWidth="1"/>
    <col min="2061" max="2061" width="11.27734375" style="233" bestFit="1" customWidth="1"/>
    <col min="2062" max="2062" width="14.44140625" style="233" bestFit="1" customWidth="1"/>
    <col min="2063" max="2063" width="8.1640625" style="233" customWidth="1"/>
    <col min="2064" max="2064" width="10.83203125" style="233" bestFit="1" customWidth="1"/>
    <col min="2065" max="2065" width="12.27734375" style="233" bestFit="1" customWidth="1"/>
    <col min="2066" max="2066" width="9.1640625" style="233" customWidth="1"/>
    <col min="2067" max="2067" width="10.83203125" style="233" bestFit="1" customWidth="1"/>
    <col min="2068" max="2068" width="12.27734375" style="233" bestFit="1" customWidth="1"/>
    <col min="2069" max="2069" width="8" style="233" customWidth="1"/>
    <col min="2070" max="2070" width="10.83203125" style="233" bestFit="1" customWidth="1"/>
    <col min="2071" max="2071" width="12.27734375" style="233" bestFit="1" customWidth="1"/>
    <col min="2072" max="2072" width="8.1640625" style="233" bestFit="1" customWidth="1"/>
    <col min="2073" max="2073" width="10.83203125" style="233" bestFit="1" customWidth="1"/>
    <col min="2074" max="2074" width="12.27734375" style="233" bestFit="1" customWidth="1"/>
    <col min="2075" max="2075" width="18.27734375" style="233" bestFit="1" customWidth="1"/>
    <col min="2076" max="2076" width="10.83203125" style="233" bestFit="1" customWidth="1"/>
    <col min="2077" max="2312" width="8.83203125" style="233"/>
    <col min="2313" max="2313" width="38.27734375" style="233" customWidth="1"/>
    <col min="2314" max="2314" width="23.44140625" style="233" bestFit="1" customWidth="1"/>
    <col min="2315" max="2316" width="9.1640625" style="233" customWidth="1"/>
    <col min="2317" max="2317" width="11.27734375" style="233" bestFit="1" customWidth="1"/>
    <col min="2318" max="2318" width="14.44140625" style="233" bestFit="1" customWidth="1"/>
    <col min="2319" max="2319" width="8.1640625" style="233" customWidth="1"/>
    <col min="2320" max="2320" width="10.83203125" style="233" bestFit="1" customWidth="1"/>
    <col min="2321" max="2321" width="12.27734375" style="233" bestFit="1" customWidth="1"/>
    <col min="2322" max="2322" width="9.1640625" style="233" customWidth="1"/>
    <col min="2323" max="2323" width="10.83203125" style="233" bestFit="1" customWidth="1"/>
    <col min="2324" max="2324" width="12.27734375" style="233" bestFit="1" customWidth="1"/>
    <col min="2325" max="2325" width="8" style="233" customWidth="1"/>
    <col min="2326" max="2326" width="10.83203125" style="233" bestFit="1" customWidth="1"/>
    <col min="2327" max="2327" width="12.27734375" style="233" bestFit="1" customWidth="1"/>
    <col min="2328" max="2328" width="8.1640625" style="233" bestFit="1" customWidth="1"/>
    <col min="2329" max="2329" width="10.83203125" style="233" bestFit="1" customWidth="1"/>
    <col min="2330" max="2330" width="12.27734375" style="233" bestFit="1" customWidth="1"/>
    <col min="2331" max="2331" width="18.27734375" style="233" bestFit="1" customWidth="1"/>
    <col min="2332" max="2332" width="10.83203125" style="233" bestFit="1" customWidth="1"/>
    <col min="2333" max="2568" width="8.83203125" style="233"/>
    <col min="2569" max="2569" width="38.27734375" style="233" customWidth="1"/>
    <col min="2570" max="2570" width="23.44140625" style="233" bestFit="1" customWidth="1"/>
    <col min="2571" max="2572" width="9.1640625" style="233" customWidth="1"/>
    <col min="2573" max="2573" width="11.27734375" style="233" bestFit="1" customWidth="1"/>
    <col min="2574" max="2574" width="14.44140625" style="233" bestFit="1" customWidth="1"/>
    <col min="2575" max="2575" width="8.1640625" style="233" customWidth="1"/>
    <col min="2576" max="2576" width="10.83203125" style="233" bestFit="1" customWidth="1"/>
    <col min="2577" max="2577" width="12.27734375" style="233" bestFit="1" customWidth="1"/>
    <col min="2578" max="2578" width="9.1640625" style="233" customWidth="1"/>
    <col min="2579" max="2579" width="10.83203125" style="233" bestFit="1" customWidth="1"/>
    <col min="2580" max="2580" width="12.27734375" style="233" bestFit="1" customWidth="1"/>
    <col min="2581" max="2581" width="8" style="233" customWidth="1"/>
    <col min="2582" max="2582" width="10.83203125" style="233" bestFit="1" customWidth="1"/>
    <col min="2583" max="2583" width="12.27734375" style="233" bestFit="1" customWidth="1"/>
    <col min="2584" max="2584" width="8.1640625" style="233" bestFit="1" customWidth="1"/>
    <col min="2585" max="2585" width="10.83203125" style="233" bestFit="1" customWidth="1"/>
    <col min="2586" max="2586" width="12.27734375" style="233" bestFit="1" customWidth="1"/>
    <col min="2587" max="2587" width="18.27734375" style="233" bestFit="1" customWidth="1"/>
    <col min="2588" max="2588" width="10.83203125" style="233" bestFit="1" customWidth="1"/>
    <col min="2589" max="2824" width="8.83203125" style="233"/>
    <col min="2825" max="2825" width="38.27734375" style="233" customWidth="1"/>
    <col min="2826" max="2826" width="23.44140625" style="233" bestFit="1" customWidth="1"/>
    <col min="2827" max="2828" width="9.1640625" style="233" customWidth="1"/>
    <col min="2829" max="2829" width="11.27734375" style="233" bestFit="1" customWidth="1"/>
    <col min="2830" max="2830" width="14.44140625" style="233" bestFit="1" customWidth="1"/>
    <col min="2831" max="2831" width="8.1640625" style="233" customWidth="1"/>
    <col min="2832" max="2832" width="10.83203125" style="233" bestFit="1" customWidth="1"/>
    <col min="2833" max="2833" width="12.27734375" style="233" bestFit="1" customWidth="1"/>
    <col min="2834" max="2834" width="9.1640625" style="233" customWidth="1"/>
    <col min="2835" max="2835" width="10.83203125" style="233" bestFit="1" customWidth="1"/>
    <col min="2836" max="2836" width="12.27734375" style="233" bestFit="1" customWidth="1"/>
    <col min="2837" max="2837" width="8" style="233" customWidth="1"/>
    <col min="2838" max="2838" width="10.83203125" style="233" bestFit="1" customWidth="1"/>
    <col min="2839" max="2839" width="12.27734375" style="233" bestFit="1" customWidth="1"/>
    <col min="2840" max="2840" width="8.1640625" style="233" bestFit="1" customWidth="1"/>
    <col min="2841" max="2841" width="10.83203125" style="233" bestFit="1" customWidth="1"/>
    <col min="2842" max="2842" width="12.27734375" style="233" bestFit="1" customWidth="1"/>
    <col min="2843" max="2843" width="18.27734375" style="233" bestFit="1" customWidth="1"/>
    <col min="2844" max="2844" width="10.83203125" style="233" bestFit="1" customWidth="1"/>
    <col min="2845" max="3080" width="8.83203125" style="233"/>
    <col min="3081" max="3081" width="38.27734375" style="233" customWidth="1"/>
    <col min="3082" max="3082" width="23.44140625" style="233" bestFit="1" customWidth="1"/>
    <col min="3083" max="3084" width="9.1640625" style="233" customWidth="1"/>
    <col min="3085" max="3085" width="11.27734375" style="233" bestFit="1" customWidth="1"/>
    <col min="3086" max="3086" width="14.44140625" style="233" bestFit="1" customWidth="1"/>
    <col min="3087" max="3087" width="8.1640625" style="233" customWidth="1"/>
    <col min="3088" max="3088" width="10.83203125" style="233" bestFit="1" customWidth="1"/>
    <col min="3089" max="3089" width="12.27734375" style="233" bestFit="1" customWidth="1"/>
    <col min="3090" max="3090" width="9.1640625" style="233" customWidth="1"/>
    <col min="3091" max="3091" width="10.83203125" style="233" bestFit="1" customWidth="1"/>
    <col min="3092" max="3092" width="12.27734375" style="233" bestFit="1" customWidth="1"/>
    <col min="3093" max="3093" width="8" style="233" customWidth="1"/>
    <col min="3094" max="3094" width="10.83203125" style="233" bestFit="1" customWidth="1"/>
    <col min="3095" max="3095" width="12.27734375" style="233" bestFit="1" customWidth="1"/>
    <col min="3096" max="3096" width="8.1640625" style="233" bestFit="1" customWidth="1"/>
    <col min="3097" max="3097" width="10.83203125" style="233" bestFit="1" customWidth="1"/>
    <col min="3098" max="3098" width="12.27734375" style="233" bestFit="1" customWidth="1"/>
    <col min="3099" max="3099" width="18.27734375" style="233" bestFit="1" customWidth="1"/>
    <col min="3100" max="3100" width="10.83203125" style="233" bestFit="1" customWidth="1"/>
    <col min="3101" max="3336" width="8.83203125" style="233"/>
    <col min="3337" max="3337" width="38.27734375" style="233" customWidth="1"/>
    <col min="3338" max="3338" width="23.44140625" style="233" bestFit="1" customWidth="1"/>
    <col min="3339" max="3340" width="9.1640625" style="233" customWidth="1"/>
    <col min="3341" max="3341" width="11.27734375" style="233" bestFit="1" customWidth="1"/>
    <col min="3342" max="3342" width="14.44140625" style="233" bestFit="1" customWidth="1"/>
    <col min="3343" max="3343" width="8.1640625" style="233" customWidth="1"/>
    <col min="3344" max="3344" width="10.83203125" style="233" bestFit="1" customWidth="1"/>
    <col min="3345" max="3345" width="12.27734375" style="233" bestFit="1" customWidth="1"/>
    <col min="3346" max="3346" width="9.1640625" style="233" customWidth="1"/>
    <col min="3347" max="3347" width="10.83203125" style="233" bestFit="1" customWidth="1"/>
    <col min="3348" max="3348" width="12.27734375" style="233" bestFit="1" customWidth="1"/>
    <col min="3349" max="3349" width="8" style="233" customWidth="1"/>
    <col min="3350" max="3350" width="10.83203125" style="233" bestFit="1" customWidth="1"/>
    <col min="3351" max="3351" width="12.27734375" style="233" bestFit="1" customWidth="1"/>
    <col min="3352" max="3352" width="8.1640625" style="233" bestFit="1" customWidth="1"/>
    <col min="3353" max="3353" width="10.83203125" style="233" bestFit="1" customWidth="1"/>
    <col min="3354" max="3354" width="12.27734375" style="233" bestFit="1" customWidth="1"/>
    <col min="3355" max="3355" width="18.27734375" style="233" bestFit="1" customWidth="1"/>
    <col min="3356" max="3356" width="10.83203125" style="233" bestFit="1" customWidth="1"/>
    <col min="3357" max="3592" width="8.83203125" style="233"/>
    <col min="3593" max="3593" width="38.27734375" style="233" customWidth="1"/>
    <col min="3594" max="3594" width="23.44140625" style="233" bestFit="1" customWidth="1"/>
    <col min="3595" max="3596" width="9.1640625" style="233" customWidth="1"/>
    <col min="3597" max="3597" width="11.27734375" style="233" bestFit="1" customWidth="1"/>
    <col min="3598" max="3598" width="14.44140625" style="233" bestFit="1" customWidth="1"/>
    <col min="3599" max="3599" width="8.1640625" style="233" customWidth="1"/>
    <col min="3600" max="3600" width="10.83203125" style="233" bestFit="1" customWidth="1"/>
    <col min="3601" max="3601" width="12.27734375" style="233" bestFit="1" customWidth="1"/>
    <col min="3602" max="3602" width="9.1640625" style="233" customWidth="1"/>
    <col min="3603" max="3603" width="10.83203125" style="233" bestFit="1" customWidth="1"/>
    <col min="3604" max="3604" width="12.27734375" style="233" bestFit="1" customWidth="1"/>
    <col min="3605" max="3605" width="8" style="233" customWidth="1"/>
    <col min="3606" max="3606" width="10.83203125" style="233" bestFit="1" customWidth="1"/>
    <col min="3607" max="3607" width="12.27734375" style="233" bestFit="1" customWidth="1"/>
    <col min="3608" max="3608" width="8.1640625" style="233" bestFit="1" customWidth="1"/>
    <col min="3609" max="3609" width="10.83203125" style="233" bestFit="1" customWidth="1"/>
    <col min="3610" max="3610" width="12.27734375" style="233" bestFit="1" customWidth="1"/>
    <col min="3611" max="3611" width="18.27734375" style="233" bestFit="1" customWidth="1"/>
    <col min="3612" max="3612" width="10.83203125" style="233" bestFit="1" customWidth="1"/>
    <col min="3613" max="3848" width="8.83203125" style="233"/>
    <col min="3849" max="3849" width="38.27734375" style="233" customWidth="1"/>
    <col min="3850" max="3850" width="23.44140625" style="233" bestFit="1" customWidth="1"/>
    <col min="3851" max="3852" width="9.1640625" style="233" customWidth="1"/>
    <col min="3853" max="3853" width="11.27734375" style="233" bestFit="1" customWidth="1"/>
    <col min="3854" max="3854" width="14.44140625" style="233" bestFit="1" customWidth="1"/>
    <col min="3855" max="3855" width="8.1640625" style="233" customWidth="1"/>
    <col min="3856" max="3856" width="10.83203125" style="233" bestFit="1" customWidth="1"/>
    <col min="3857" max="3857" width="12.27734375" style="233" bestFit="1" customWidth="1"/>
    <col min="3858" max="3858" width="9.1640625" style="233" customWidth="1"/>
    <col min="3859" max="3859" width="10.83203125" style="233" bestFit="1" customWidth="1"/>
    <col min="3860" max="3860" width="12.27734375" style="233" bestFit="1" customWidth="1"/>
    <col min="3861" max="3861" width="8" style="233" customWidth="1"/>
    <col min="3862" max="3862" width="10.83203125" style="233" bestFit="1" customWidth="1"/>
    <col min="3863" max="3863" width="12.27734375" style="233" bestFit="1" customWidth="1"/>
    <col min="3864" max="3864" width="8.1640625" style="233" bestFit="1" customWidth="1"/>
    <col min="3865" max="3865" width="10.83203125" style="233" bestFit="1" customWidth="1"/>
    <col min="3866" max="3866" width="12.27734375" style="233" bestFit="1" customWidth="1"/>
    <col min="3867" max="3867" width="18.27734375" style="233" bestFit="1" customWidth="1"/>
    <col min="3868" max="3868" width="10.83203125" style="233" bestFit="1" customWidth="1"/>
    <col min="3869" max="4104" width="8.83203125" style="233"/>
    <col min="4105" max="4105" width="38.27734375" style="233" customWidth="1"/>
    <col min="4106" max="4106" width="23.44140625" style="233" bestFit="1" customWidth="1"/>
    <col min="4107" max="4108" width="9.1640625" style="233" customWidth="1"/>
    <col min="4109" max="4109" width="11.27734375" style="233" bestFit="1" customWidth="1"/>
    <col min="4110" max="4110" width="14.44140625" style="233" bestFit="1" customWidth="1"/>
    <col min="4111" max="4111" width="8.1640625" style="233" customWidth="1"/>
    <col min="4112" max="4112" width="10.83203125" style="233" bestFit="1" customWidth="1"/>
    <col min="4113" max="4113" width="12.27734375" style="233" bestFit="1" customWidth="1"/>
    <col min="4114" max="4114" width="9.1640625" style="233" customWidth="1"/>
    <col min="4115" max="4115" width="10.83203125" style="233" bestFit="1" customWidth="1"/>
    <col min="4116" max="4116" width="12.27734375" style="233" bestFit="1" customWidth="1"/>
    <col min="4117" max="4117" width="8" style="233" customWidth="1"/>
    <col min="4118" max="4118" width="10.83203125" style="233" bestFit="1" customWidth="1"/>
    <col min="4119" max="4119" width="12.27734375" style="233" bestFit="1" customWidth="1"/>
    <col min="4120" max="4120" width="8.1640625" style="233" bestFit="1" customWidth="1"/>
    <col min="4121" max="4121" width="10.83203125" style="233" bestFit="1" customWidth="1"/>
    <col min="4122" max="4122" width="12.27734375" style="233" bestFit="1" customWidth="1"/>
    <col min="4123" max="4123" width="18.27734375" style="233" bestFit="1" customWidth="1"/>
    <col min="4124" max="4124" width="10.83203125" style="233" bestFit="1" customWidth="1"/>
    <col min="4125" max="4360" width="8.83203125" style="233"/>
    <col min="4361" max="4361" width="38.27734375" style="233" customWidth="1"/>
    <col min="4362" max="4362" width="23.44140625" style="233" bestFit="1" customWidth="1"/>
    <col min="4363" max="4364" width="9.1640625" style="233" customWidth="1"/>
    <col min="4365" max="4365" width="11.27734375" style="233" bestFit="1" customWidth="1"/>
    <col min="4366" max="4366" width="14.44140625" style="233" bestFit="1" customWidth="1"/>
    <col min="4367" max="4367" width="8.1640625" style="233" customWidth="1"/>
    <col min="4368" max="4368" width="10.83203125" style="233" bestFit="1" customWidth="1"/>
    <col min="4369" max="4369" width="12.27734375" style="233" bestFit="1" customWidth="1"/>
    <col min="4370" max="4370" width="9.1640625" style="233" customWidth="1"/>
    <col min="4371" max="4371" width="10.83203125" style="233" bestFit="1" customWidth="1"/>
    <col min="4372" max="4372" width="12.27734375" style="233" bestFit="1" customWidth="1"/>
    <col min="4373" max="4373" width="8" style="233" customWidth="1"/>
    <col min="4374" max="4374" width="10.83203125" style="233" bestFit="1" customWidth="1"/>
    <col min="4375" max="4375" width="12.27734375" style="233" bestFit="1" customWidth="1"/>
    <col min="4376" max="4376" width="8.1640625" style="233" bestFit="1" customWidth="1"/>
    <col min="4377" max="4377" width="10.83203125" style="233" bestFit="1" customWidth="1"/>
    <col min="4378" max="4378" width="12.27734375" style="233" bestFit="1" customWidth="1"/>
    <col min="4379" max="4379" width="18.27734375" style="233" bestFit="1" customWidth="1"/>
    <col min="4380" max="4380" width="10.83203125" style="233" bestFit="1" customWidth="1"/>
    <col min="4381" max="4616" width="8.83203125" style="233"/>
    <col min="4617" max="4617" width="38.27734375" style="233" customWidth="1"/>
    <col min="4618" max="4618" width="23.44140625" style="233" bestFit="1" customWidth="1"/>
    <col min="4619" max="4620" width="9.1640625" style="233" customWidth="1"/>
    <col min="4621" max="4621" width="11.27734375" style="233" bestFit="1" customWidth="1"/>
    <col min="4622" max="4622" width="14.44140625" style="233" bestFit="1" customWidth="1"/>
    <col min="4623" max="4623" width="8.1640625" style="233" customWidth="1"/>
    <col min="4624" max="4624" width="10.83203125" style="233" bestFit="1" customWidth="1"/>
    <col min="4625" max="4625" width="12.27734375" style="233" bestFit="1" customWidth="1"/>
    <col min="4626" max="4626" width="9.1640625" style="233" customWidth="1"/>
    <col min="4627" max="4627" width="10.83203125" style="233" bestFit="1" customWidth="1"/>
    <col min="4628" max="4628" width="12.27734375" style="233" bestFit="1" customWidth="1"/>
    <col min="4629" max="4629" width="8" style="233" customWidth="1"/>
    <col min="4630" max="4630" width="10.83203125" style="233" bestFit="1" customWidth="1"/>
    <col min="4631" max="4631" width="12.27734375" style="233" bestFit="1" customWidth="1"/>
    <col min="4632" max="4632" width="8.1640625" style="233" bestFit="1" customWidth="1"/>
    <col min="4633" max="4633" width="10.83203125" style="233" bestFit="1" customWidth="1"/>
    <col min="4634" max="4634" width="12.27734375" style="233" bestFit="1" customWidth="1"/>
    <col min="4635" max="4635" width="18.27734375" style="233" bestFit="1" customWidth="1"/>
    <col min="4636" max="4636" width="10.83203125" style="233" bestFit="1" customWidth="1"/>
    <col min="4637" max="4872" width="8.83203125" style="233"/>
    <col min="4873" max="4873" width="38.27734375" style="233" customWidth="1"/>
    <col min="4874" max="4874" width="23.44140625" style="233" bestFit="1" customWidth="1"/>
    <col min="4875" max="4876" width="9.1640625" style="233" customWidth="1"/>
    <col min="4877" max="4877" width="11.27734375" style="233" bestFit="1" customWidth="1"/>
    <col min="4878" max="4878" width="14.44140625" style="233" bestFit="1" customWidth="1"/>
    <col min="4879" max="4879" width="8.1640625" style="233" customWidth="1"/>
    <col min="4880" max="4880" width="10.83203125" style="233" bestFit="1" customWidth="1"/>
    <col min="4881" max="4881" width="12.27734375" style="233" bestFit="1" customWidth="1"/>
    <col min="4882" max="4882" width="9.1640625" style="233" customWidth="1"/>
    <col min="4883" max="4883" width="10.83203125" style="233" bestFit="1" customWidth="1"/>
    <col min="4884" max="4884" width="12.27734375" style="233" bestFit="1" customWidth="1"/>
    <col min="4885" max="4885" width="8" style="233" customWidth="1"/>
    <col min="4886" max="4886" width="10.83203125" style="233" bestFit="1" customWidth="1"/>
    <col min="4887" max="4887" width="12.27734375" style="233" bestFit="1" customWidth="1"/>
    <col min="4888" max="4888" width="8.1640625" style="233" bestFit="1" customWidth="1"/>
    <col min="4889" max="4889" width="10.83203125" style="233" bestFit="1" customWidth="1"/>
    <col min="4890" max="4890" width="12.27734375" style="233" bestFit="1" customWidth="1"/>
    <col min="4891" max="4891" width="18.27734375" style="233" bestFit="1" customWidth="1"/>
    <col min="4892" max="4892" width="10.83203125" style="233" bestFit="1" customWidth="1"/>
    <col min="4893" max="5128" width="8.83203125" style="233"/>
    <col min="5129" max="5129" width="38.27734375" style="233" customWidth="1"/>
    <col min="5130" max="5130" width="23.44140625" style="233" bestFit="1" customWidth="1"/>
    <col min="5131" max="5132" width="9.1640625" style="233" customWidth="1"/>
    <col min="5133" max="5133" width="11.27734375" style="233" bestFit="1" customWidth="1"/>
    <col min="5134" max="5134" width="14.44140625" style="233" bestFit="1" customWidth="1"/>
    <col min="5135" max="5135" width="8.1640625" style="233" customWidth="1"/>
    <col min="5136" max="5136" width="10.83203125" style="233" bestFit="1" customWidth="1"/>
    <col min="5137" max="5137" width="12.27734375" style="233" bestFit="1" customWidth="1"/>
    <col min="5138" max="5138" width="9.1640625" style="233" customWidth="1"/>
    <col min="5139" max="5139" width="10.83203125" style="233" bestFit="1" customWidth="1"/>
    <col min="5140" max="5140" width="12.27734375" style="233" bestFit="1" customWidth="1"/>
    <col min="5141" max="5141" width="8" style="233" customWidth="1"/>
    <col min="5142" max="5142" width="10.83203125" style="233" bestFit="1" customWidth="1"/>
    <col min="5143" max="5143" width="12.27734375" style="233" bestFit="1" customWidth="1"/>
    <col min="5144" max="5144" width="8.1640625" style="233" bestFit="1" customWidth="1"/>
    <col min="5145" max="5145" width="10.83203125" style="233" bestFit="1" customWidth="1"/>
    <col min="5146" max="5146" width="12.27734375" style="233" bestFit="1" customWidth="1"/>
    <col min="5147" max="5147" width="18.27734375" style="233" bestFit="1" customWidth="1"/>
    <col min="5148" max="5148" width="10.83203125" style="233" bestFit="1" customWidth="1"/>
    <col min="5149" max="5384" width="8.83203125" style="233"/>
    <col min="5385" max="5385" width="38.27734375" style="233" customWidth="1"/>
    <col min="5386" max="5386" width="23.44140625" style="233" bestFit="1" customWidth="1"/>
    <col min="5387" max="5388" width="9.1640625" style="233" customWidth="1"/>
    <col min="5389" max="5389" width="11.27734375" style="233" bestFit="1" customWidth="1"/>
    <col min="5390" max="5390" width="14.44140625" style="233" bestFit="1" customWidth="1"/>
    <col min="5391" max="5391" width="8.1640625" style="233" customWidth="1"/>
    <col min="5392" max="5392" width="10.83203125" style="233" bestFit="1" customWidth="1"/>
    <col min="5393" max="5393" width="12.27734375" style="233" bestFit="1" customWidth="1"/>
    <col min="5394" max="5394" width="9.1640625" style="233" customWidth="1"/>
    <col min="5395" max="5395" width="10.83203125" style="233" bestFit="1" customWidth="1"/>
    <col min="5396" max="5396" width="12.27734375" style="233" bestFit="1" customWidth="1"/>
    <col min="5397" max="5397" width="8" style="233" customWidth="1"/>
    <col min="5398" max="5398" width="10.83203125" style="233" bestFit="1" customWidth="1"/>
    <col min="5399" max="5399" width="12.27734375" style="233" bestFit="1" customWidth="1"/>
    <col min="5400" max="5400" width="8.1640625" style="233" bestFit="1" customWidth="1"/>
    <col min="5401" max="5401" width="10.83203125" style="233" bestFit="1" customWidth="1"/>
    <col min="5402" max="5402" width="12.27734375" style="233" bestFit="1" customWidth="1"/>
    <col min="5403" max="5403" width="18.27734375" style="233" bestFit="1" customWidth="1"/>
    <col min="5404" max="5404" width="10.83203125" style="233" bestFit="1" customWidth="1"/>
    <col min="5405" max="5640" width="8.83203125" style="233"/>
    <col min="5641" max="5641" width="38.27734375" style="233" customWidth="1"/>
    <col min="5642" max="5642" width="23.44140625" style="233" bestFit="1" customWidth="1"/>
    <col min="5643" max="5644" width="9.1640625" style="233" customWidth="1"/>
    <col min="5645" max="5645" width="11.27734375" style="233" bestFit="1" customWidth="1"/>
    <col min="5646" max="5646" width="14.44140625" style="233" bestFit="1" customWidth="1"/>
    <col min="5647" max="5647" width="8.1640625" style="233" customWidth="1"/>
    <col min="5648" max="5648" width="10.83203125" style="233" bestFit="1" customWidth="1"/>
    <col min="5649" max="5649" width="12.27734375" style="233" bestFit="1" customWidth="1"/>
    <col min="5650" max="5650" width="9.1640625" style="233" customWidth="1"/>
    <col min="5651" max="5651" width="10.83203125" style="233" bestFit="1" customWidth="1"/>
    <col min="5652" max="5652" width="12.27734375" style="233" bestFit="1" customWidth="1"/>
    <col min="5653" max="5653" width="8" style="233" customWidth="1"/>
    <col min="5654" max="5654" width="10.83203125" style="233" bestFit="1" customWidth="1"/>
    <col min="5655" max="5655" width="12.27734375" style="233" bestFit="1" customWidth="1"/>
    <col min="5656" max="5656" width="8.1640625" style="233" bestFit="1" customWidth="1"/>
    <col min="5657" max="5657" width="10.83203125" style="233" bestFit="1" customWidth="1"/>
    <col min="5658" max="5658" width="12.27734375" style="233" bestFit="1" customWidth="1"/>
    <col min="5659" max="5659" width="18.27734375" style="233" bestFit="1" customWidth="1"/>
    <col min="5660" max="5660" width="10.83203125" style="233" bestFit="1" customWidth="1"/>
    <col min="5661" max="5896" width="8.83203125" style="233"/>
    <col min="5897" max="5897" width="38.27734375" style="233" customWidth="1"/>
    <col min="5898" max="5898" width="23.44140625" style="233" bestFit="1" customWidth="1"/>
    <col min="5899" max="5900" width="9.1640625" style="233" customWidth="1"/>
    <col min="5901" max="5901" width="11.27734375" style="233" bestFit="1" customWidth="1"/>
    <col min="5902" max="5902" width="14.44140625" style="233" bestFit="1" customWidth="1"/>
    <col min="5903" max="5903" width="8.1640625" style="233" customWidth="1"/>
    <col min="5904" max="5904" width="10.83203125" style="233" bestFit="1" customWidth="1"/>
    <col min="5905" max="5905" width="12.27734375" style="233" bestFit="1" customWidth="1"/>
    <col min="5906" max="5906" width="9.1640625" style="233" customWidth="1"/>
    <col min="5907" max="5907" width="10.83203125" style="233" bestFit="1" customWidth="1"/>
    <col min="5908" max="5908" width="12.27734375" style="233" bestFit="1" customWidth="1"/>
    <col min="5909" max="5909" width="8" style="233" customWidth="1"/>
    <col min="5910" max="5910" width="10.83203125" style="233" bestFit="1" customWidth="1"/>
    <col min="5911" max="5911" width="12.27734375" style="233" bestFit="1" customWidth="1"/>
    <col min="5912" max="5912" width="8.1640625" style="233" bestFit="1" customWidth="1"/>
    <col min="5913" max="5913" width="10.83203125" style="233" bestFit="1" customWidth="1"/>
    <col min="5914" max="5914" width="12.27734375" style="233" bestFit="1" customWidth="1"/>
    <col min="5915" max="5915" width="18.27734375" style="233" bestFit="1" customWidth="1"/>
    <col min="5916" max="5916" width="10.83203125" style="233" bestFit="1" customWidth="1"/>
    <col min="5917" max="6152" width="8.83203125" style="233"/>
    <col min="6153" max="6153" width="38.27734375" style="233" customWidth="1"/>
    <col min="6154" max="6154" width="23.44140625" style="233" bestFit="1" customWidth="1"/>
    <col min="6155" max="6156" width="9.1640625" style="233" customWidth="1"/>
    <col min="6157" max="6157" width="11.27734375" style="233" bestFit="1" customWidth="1"/>
    <col min="6158" max="6158" width="14.44140625" style="233" bestFit="1" customWidth="1"/>
    <col min="6159" max="6159" width="8.1640625" style="233" customWidth="1"/>
    <col min="6160" max="6160" width="10.83203125" style="233" bestFit="1" customWidth="1"/>
    <col min="6161" max="6161" width="12.27734375" style="233" bestFit="1" customWidth="1"/>
    <col min="6162" max="6162" width="9.1640625" style="233" customWidth="1"/>
    <col min="6163" max="6163" width="10.83203125" style="233" bestFit="1" customWidth="1"/>
    <col min="6164" max="6164" width="12.27734375" style="233" bestFit="1" customWidth="1"/>
    <col min="6165" max="6165" width="8" style="233" customWidth="1"/>
    <col min="6166" max="6166" width="10.83203125" style="233" bestFit="1" customWidth="1"/>
    <col min="6167" max="6167" width="12.27734375" style="233" bestFit="1" customWidth="1"/>
    <col min="6168" max="6168" width="8.1640625" style="233" bestFit="1" customWidth="1"/>
    <col min="6169" max="6169" width="10.83203125" style="233" bestFit="1" customWidth="1"/>
    <col min="6170" max="6170" width="12.27734375" style="233" bestFit="1" customWidth="1"/>
    <col min="6171" max="6171" width="18.27734375" style="233" bestFit="1" customWidth="1"/>
    <col min="6172" max="6172" width="10.83203125" style="233" bestFit="1" customWidth="1"/>
    <col min="6173" max="6408" width="8.83203125" style="233"/>
    <col min="6409" max="6409" width="38.27734375" style="233" customWidth="1"/>
    <col min="6410" max="6410" width="23.44140625" style="233" bestFit="1" customWidth="1"/>
    <col min="6411" max="6412" width="9.1640625" style="233" customWidth="1"/>
    <col min="6413" max="6413" width="11.27734375" style="233" bestFit="1" customWidth="1"/>
    <col min="6414" max="6414" width="14.44140625" style="233" bestFit="1" customWidth="1"/>
    <col min="6415" max="6415" width="8.1640625" style="233" customWidth="1"/>
    <col min="6416" max="6416" width="10.83203125" style="233" bestFit="1" customWidth="1"/>
    <col min="6417" max="6417" width="12.27734375" style="233" bestFit="1" customWidth="1"/>
    <col min="6418" max="6418" width="9.1640625" style="233" customWidth="1"/>
    <col min="6419" max="6419" width="10.83203125" style="233" bestFit="1" customWidth="1"/>
    <col min="6420" max="6420" width="12.27734375" style="233" bestFit="1" customWidth="1"/>
    <col min="6421" max="6421" width="8" style="233" customWidth="1"/>
    <col min="6422" max="6422" width="10.83203125" style="233" bestFit="1" customWidth="1"/>
    <col min="6423" max="6423" width="12.27734375" style="233" bestFit="1" customWidth="1"/>
    <col min="6424" max="6424" width="8.1640625" style="233" bestFit="1" customWidth="1"/>
    <col min="6425" max="6425" width="10.83203125" style="233" bestFit="1" customWidth="1"/>
    <col min="6426" max="6426" width="12.27734375" style="233" bestFit="1" customWidth="1"/>
    <col min="6427" max="6427" width="18.27734375" style="233" bestFit="1" customWidth="1"/>
    <col min="6428" max="6428" width="10.83203125" style="233" bestFit="1" customWidth="1"/>
    <col min="6429" max="6664" width="8.83203125" style="233"/>
    <col min="6665" max="6665" width="38.27734375" style="233" customWidth="1"/>
    <col min="6666" max="6666" width="23.44140625" style="233" bestFit="1" customWidth="1"/>
    <col min="6667" max="6668" width="9.1640625" style="233" customWidth="1"/>
    <col min="6669" max="6669" width="11.27734375" style="233" bestFit="1" customWidth="1"/>
    <col min="6670" max="6670" width="14.44140625" style="233" bestFit="1" customWidth="1"/>
    <col min="6671" max="6671" width="8.1640625" style="233" customWidth="1"/>
    <col min="6672" max="6672" width="10.83203125" style="233" bestFit="1" customWidth="1"/>
    <col min="6673" max="6673" width="12.27734375" style="233" bestFit="1" customWidth="1"/>
    <col min="6674" max="6674" width="9.1640625" style="233" customWidth="1"/>
    <col min="6675" max="6675" width="10.83203125" style="233" bestFit="1" customWidth="1"/>
    <col min="6676" max="6676" width="12.27734375" style="233" bestFit="1" customWidth="1"/>
    <col min="6677" max="6677" width="8" style="233" customWidth="1"/>
    <col min="6678" max="6678" width="10.83203125" style="233" bestFit="1" customWidth="1"/>
    <col min="6679" max="6679" width="12.27734375" style="233" bestFit="1" customWidth="1"/>
    <col min="6680" max="6680" width="8.1640625" style="233" bestFit="1" customWidth="1"/>
    <col min="6681" max="6681" width="10.83203125" style="233" bestFit="1" customWidth="1"/>
    <col min="6682" max="6682" width="12.27734375" style="233" bestFit="1" customWidth="1"/>
    <col min="6683" max="6683" width="18.27734375" style="233" bestFit="1" customWidth="1"/>
    <col min="6684" max="6684" width="10.83203125" style="233" bestFit="1" customWidth="1"/>
    <col min="6685" max="6920" width="8.83203125" style="233"/>
    <col min="6921" max="6921" width="38.27734375" style="233" customWidth="1"/>
    <col min="6922" max="6922" width="23.44140625" style="233" bestFit="1" customWidth="1"/>
    <col min="6923" max="6924" width="9.1640625" style="233" customWidth="1"/>
    <col min="6925" max="6925" width="11.27734375" style="233" bestFit="1" customWidth="1"/>
    <col min="6926" max="6926" width="14.44140625" style="233" bestFit="1" customWidth="1"/>
    <col min="6927" max="6927" width="8.1640625" style="233" customWidth="1"/>
    <col min="6928" max="6928" width="10.83203125" style="233" bestFit="1" customWidth="1"/>
    <col min="6929" max="6929" width="12.27734375" style="233" bestFit="1" customWidth="1"/>
    <col min="6930" max="6930" width="9.1640625" style="233" customWidth="1"/>
    <col min="6931" max="6931" width="10.83203125" style="233" bestFit="1" customWidth="1"/>
    <col min="6932" max="6932" width="12.27734375" style="233" bestFit="1" customWidth="1"/>
    <col min="6933" max="6933" width="8" style="233" customWidth="1"/>
    <col min="6934" max="6934" width="10.83203125" style="233" bestFit="1" customWidth="1"/>
    <col min="6935" max="6935" width="12.27734375" style="233" bestFit="1" customWidth="1"/>
    <col min="6936" max="6936" width="8.1640625" style="233" bestFit="1" customWidth="1"/>
    <col min="6937" max="6937" width="10.83203125" style="233" bestFit="1" customWidth="1"/>
    <col min="6938" max="6938" width="12.27734375" style="233" bestFit="1" customWidth="1"/>
    <col min="6939" max="6939" width="18.27734375" style="233" bestFit="1" customWidth="1"/>
    <col min="6940" max="6940" width="10.83203125" style="233" bestFit="1" customWidth="1"/>
    <col min="6941" max="7176" width="8.83203125" style="233"/>
    <col min="7177" max="7177" width="38.27734375" style="233" customWidth="1"/>
    <col min="7178" max="7178" width="23.44140625" style="233" bestFit="1" customWidth="1"/>
    <col min="7179" max="7180" width="9.1640625" style="233" customWidth="1"/>
    <col min="7181" max="7181" width="11.27734375" style="233" bestFit="1" customWidth="1"/>
    <col min="7182" max="7182" width="14.44140625" style="233" bestFit="1" customWidth="1"/>
    <col min="7183" max="7183" width="8.1640625" style="233" customWidth="1"/>
    <col min="7184" max="7184" width="10.83203125" style="233" bestFit="1" customWidth="1"/>
    <col min="7185" max="7185" width="12.27734375" style="233" bestFit="1" customWidth="1"/>
    <col min="7186" max="7186" width="9.1640625" style="233" customWidth="1"/>
    <col min="7187" max="7187" width="10.83203125" style="233" bestFit="1" customWidth="1"/>
    <col min="7188" max="7188" width="12.27734375" style="233" bestFit="1" customWidth="1"/>
    <col min="7189" max="7189" width="8" style="233" customWidth="1"/>
    <col min="7190" max="7190" width="10.83203125" style="233" bestFit="1" customWidth="1"/>
    <col min="7191" max="7191" width="12.27734375" style="233" bestFit="1" customWidth="1"/>
    <col min="7192" max="7192" width="8.1640625" style="233" bestFit="1" customWidth="1"/>
    <col min="7193" max="7193" width="10.83203125" style="233" bestFit="1" customWidth="1"/>
    <col min="7194" max="7194" width="12.27734375" style="233" bestFit="1" customWidth="1"/>
    <col min="7195" max="7195" width="18.27734375" style="233" bestFit="1" customWidth="1"/>
    <col min="7196" max="7196" width="10.83203125" style="233" bestFit="1" customWidth="1"/>
    <col min="7197" max="7432" width="8.83203125" style="233"/>
    <col min="7433" max="7433" width="38.27734375" style="233" customWidth="1"/>
    <col min="7434" max="7434" width="23.44140625" style="233" bestFit="1" customWidth="1"/>
    <col min="7435" max="7436" width="9.1640625" style="233" customWidth="1"/>
    <col min="7437" max="7437" width="11.27734375" style="233" bestFit="1" customWidth="1"/>
    <col min="7438" max="7438" width="14.44140625" style="233" bestFit="1" customWidth="1"/>
    <col min="7439" max="7439" width="8.1640625" style="233" customWidth="1"/>
    <col min="7440" max="7440" width="10.83203125" style="233" bestFit="1" customWidth="1"/>
    <col min="7441" max="7441" width="12.27734375" style="233" bestFit="1" customWidth="1"/>
    <col min="7442" max="7442" width="9.1640625" style="233" customWidth="1"/>
    <col min="7443" max="7443" width="10.83203125" style="233" bestFit="1" customWidth="1"/>
    <col min="7444" max="7444" width="12.27734375" style="233" bestFit="1" customWidth="1"/>
    <col min="7445" max="7445" width="8" style="233" customWidth="1"/>
    <col min="7446" max="7446" width="10.83203125" style="233" bestFit="1" customWidth="1"/>
    <col min="7447" max="7447" width="12.27734375" style="233" bestFit="1" customWidth="1"/>
    <col min="7448" max="7448" width="8.1640625" style="233" bestFit="1" customWidth="1"/>
    <col min="7449" max="7449" width="10.83203125" style="233" bestFit="1" customWidth="1"/>
    <col min="7450" max="7450" width="12.27734375" style="233" bestFit="1" customWidth="1"/>
    <col min="7451" max="7451" width="18.27734375" style="233" bestFit="1" customWidth="1"/>
    <col min="7452" max="7452" width="10.83203125" style="233" bestFit="1" customWidth="1"/>
    <col min="7453" max="7688" width="8.83203125" style="233"/>
    <col min="7689" max="7689" width="38.27734375" style="233" customWidth="1"/>
    <col min="7690" max="7690" width="23.44140625" style="233" bestFit="1" customWidth="1"/>
    <col min="7691" max="7692" width="9.1640625" style="233" customWidth="1"/>
    <col min="7693" max="7693" width="11.27734375" style="233" bestFit="1" customWidth="1"/>
    <col min="7694" max="7694" width="14.44140625" style="233" bestFit="1" customWidth="1"/>
    <col min="7695" max="7695" width="8.1640625" style="233" customWidth="1"/>
    <col min="7696" max="7696" width="10.83203125" style="233" bestFit="1" customWidth="1"/>
    <col min="7697" max="7697" width="12.27734375" style="233" bestFit="1" customWidth="1"/>
    <col min="7698" max="7698" width="9.1640625" style="233" customWidth="1"/>
    <col min="7699" max="7699" width="10.83203125" style="233" bestFit="1" customWidth="1"/>
    <col min="7700" max="7700" width="12.27734375" style="233" bestFit="1" customWidth="1"/>
    <col min="7701" max="7701" width="8" style="233" customWidth="1"/>
    <col min="7702" max="7702" width="10.83203125" style="233" bestFit="1" customWidth="1"/>
    <col min="7703" max="7703" width="12.27734375" style="233" bestFit="1" customWidth="1"/>
    <col min="7704" max="7704" width="8.1640625" style="233" bestFit="1" customWidth="1"/>
    <col min="7705" max="7705" width="10.83203125" style="233" bestFit="1" customWidth="1"/>
    <col min="7706" max="7706" width="12.27734375" style="233" bestFit="1" customWidth="1"/>
    <col min="7707" max="7707" width="18.27734375" style="233" bestFit="1" customWidth="1"/>
    <col min="7708" max="7708" width="10.83203125" style="233" bestFit="1" customWidth="1"/>
    <col min="7709" max="7944" width="8.83203125" style="233"/>
    <col min="7945" max="7945" width="38.27734375" style="233" customWidth="1"/>
    <col min="7946" max="7946" width="23.44140625" style="233" bestFit="1" customWidth="1"/>
    <col min="7947" max="7948" width="9.1640625" style="233" customWidth="1"/>
    <col min="7949" max="7949" width="11.27734375" style="233" bestFit="1" customWidth="1"/>
    <col min="7950" max="7950" width="14.44140625" style="233" bestFit="1" customWidth="1"/>
    <col min="7951" max="7951" width="8.1640625" style="233" customWidth="1"/>
    <col min="7952" max="7952" width="10.83203125" style="233" bestFit="1" customWidth="1"/>
    <col min="7953" max="7953" width="12.27734375" style="233" bestFit="1" customWidth="1"/>
    <col min="7954" max="7954" width="9.1640625" style="233" customWidth="1"/>
    <col min="7955" max="7955" width="10.83203125" style="233" bestFit="1" customWidth="1"/>
    <col min="7956" max="7956" width="12.27734375" style="233" bestFit="1" customWidth="1"/>
    <col min="7957" max="7957" width="8" style="233" customWidth="1"/>
    <col min="7958" max="7958" width="10.83203125" style="233" bestFit="1" customWidth="1"/>
    <col min="7959" max="7959" width="12.27734375" style="233" bestFit="1" customWidth="1"/>
    <col min="7960" max="7960" width="8.1640625" style="233" bestFit="1" customWidth="1"/>
    <col min="7961" max="7961" width="10.83203125" style="233" bestFit="1" customWidth="1"/>
    <col min="7962" max="7962" width="12.27734375" style="233" bestFit="1" customWidth="1"/>
    <col min="7963" max="7963" width="18.27734375" style="233" bestFit="1" customWidth="1"/>
    <col min="7964" max="7964" width="10.83203125" style="233" bestFit="1" customWidth="1"/>
    <col min="7965" max="8200" width="8.83203125" style="233"/>
    <col min="8201" max="8201" width="38.27734375" style="233" customWidth="1"/>
    <col min="8202" max="8202" width="23.44140625" style="233" bestFit="1" customWidth="1"/>
    <col min="8203" max="8204" width="9.1640625" style="233" customWidth="1"/>
    <col min="8205" max="8205" width="11.27734375" style="233" bestFit="1" customWidth="1"/>
    <col min="8206" max="8206" width="14.44140625" style="233" bestFit="1" customWidth="1"/>
    <col min="8207" max="8207" width="8.1640625" style="233" customWidth="1"/>
    <col min="8208" max="8208" width="10.83203125" style="233" bestFit="1" customWidth="1"/>
    <col min="8209" max="8209" width="12.27734375" style="233" bestFit="1" customWidth="1"/>
    <col min="8210" max="8210" width="9.1640625" style="233" customWidth="1"/>
    <col min="8211" max="8211" width="10.83203125" style="233" bestFit="1" customWidth="1"/>
    <col min="8212" max="8212" width="12.27734375" style="233" bestFit="1" customWidth="1"/>
    <col min="8213" max="8213" width="8" style="233" customWidth="1"/>
    <col min="8214" max="8214" width="10.83203125" style="233" bestFit="1" customWidth="1"/>
    <col min="8215" max="8215" width="12.27734375" style="233" bestFit="1" customWidth="1"/>
    <col min="8216" max="8216" width="8.1640625" style="233" bestFit="1" customWidth="1"/>
    <col min="8217" max="8217" width="10.83203125" style="233" bestFit="1" customWidth="1"/>
    <col min="8218" max="8218" width="12.27734375" style="233" bestFit="1" customWidth="1"/>
    <col min="8219" max="8219" width="18.27734375" style="233" bestFit="1" customWidth="1"/>
    <col min="8220" max="8220" width="10.83203125" style="233" bestFit="1" customWidth="1"/>
    <col min="8221" max="8456" width="8.83203125" style="233"/>
    <col min="8457" max="8457" width="38.27734375" style="233" customWidth="1"/>
    <col min="8458" max="8458" width="23.44140625" style="233" bestFit="1" customWidth="1"/>
    <col min="8459" max="8460" width="9.1640625" style="233" customWidth="1"/>
    <col min="8461" max="8461" width="11.27734375" style="233" bestFit="1" customWidth="1"/>
    <col min="8462" max="8462" width="14.44140625" style="233" bestFit="1" customWidth="1"/>
    <col min="8463" max="8463" width="8.1640625" style="233" customWidth="1"/>
    <col min="8464" max="8464" width="10.83203125" style="233" bestFit="1" customWidth="1"/>
    <col min="8465" max="8465" width="12.27734375" style="233" bestFit="1" customWidth="1"/>
    <col min="8466" max="8466" width="9.1640625" style="233" customWidth="1"/>
    <col min="8467" max="8467" width="10.83203125" style="233" bestFit="1" customWidth="1"/>
    <col min="8468" max="8468" width="12.27734375" style="233" bestFit="1" customWidth="1"/>
    <col min="8469" max="8469" width="8" style="233" customWidth="1"/>
    <col min="8470" max="8470" width="10.83203125" style="233" bestFit="1" customWidth="1"/>
    <col min="8471" max="8471" width="12.27734375" style="233" bestFit="1" customWidth="1"/>
    <col min="8472" max="8472" width="8.1640625" style="233" bestFit="1" customWidth="1"/>
    <col min="8473" max="8473" width="10.83203125" style="233" bestFit="1" customWidth="1"/>
    <col min="8474" max="8474" width="12.27734375" style="233" bestFit="1" customWidth="1"/>
    <col min="8475" max="8475" width="18.27734375" style="233" bestFit="1" customWidth="1"/>
    <col min="8476" max="8476" width="10.83203125" style="233" bestFit="1" customWidth="1"/>
    <col min="8477" max="8712" width="8.83203125" style="233"/>
    <col min="8713" max="8713" width="38.27734375" style="233" customWidth="1"/>
    <col min="8714" max="8714" width="23.44140625" style="233" bestFit="1" customWidth="1"/>
    <col min="8715" max="8716" width="9.1640625" style="233" customWidth="1"/>
    <col min="8717" max="8717" width="11.27734375" style="233" bestFit="1" customWidth="1"/>
    <col min="8718" max="8718" width="14.44140625" style="233" bestFit="1" customWidth="1"/>
    <col min="8719" max="8719" width="8.1640625" style="233" customWidth="1"/>
    <col min="8720" max="8720" width="10.83203125" style="233" bestFit="1" customWidth="1"/>
    <col min="8721" max="8721" width="12.27734375" style="233" bestFit="1" customWidth="1"/>
    <col min="8722" max="8722" width="9.1640625" style="233" customWidth="1"/>
    <col min="8723" max="8723" width="10.83203125" style="233" bestFit="1" customWidth="1"/>
    <col min="8724" max="8724" width="12.27734375" style="233" bestFit="1" customWidth="1"/>
    <col min="8725" max="8725" width="8" style="233" customWidth="1"/>
    <col min="8726" max="8726" width="10.83203125" style="233" bestFit="1" customWidth="1"/>
    <col min="8727" max="8727" width="12.27734375" style="233" bestFit="1" customWidth="1"/>
    <col min="8728" max="8728" width="8.1640625" style="233" bestFit="1" customWidth="1"/>
    <col min="8729" max="8729" width="10.83203125" style="233" bestFit="1" customWidth="1"/>
    <col min="8730" max="8730" width="12.27734375" style="233" bestFit="1" customWidth="1"/>
    <col min="8731" max="8731" width="18.27734375" style="233" bestFit="1" customWidth="1"/>
    <col min="8732" max="8732" width="10.83203125" style="233" bestFit="1" customWidth="1"/>
    <col min="8733" max="8968" width="8.83203125" style="233"/>
    <col min="8969" max="8969" width="38.27734375" style="233" customWidth="1"/>
    <col min="8970" max="8970" width="23.44140625" style="233" bestFit="1" customWidth="1"/>
    <col min="8971" max="8972" width="9.1640625" style="233" customWidth="1"/>
    <col min="8973" max="8973" width="11.27734375" style="233" bestFit="1" customWidth="1"/>
    <col min="8974" max="8974" width="14.44140625" style="233" bestFit="1" customWidth="1"/>
    <col min="8975" max="8975" width="8.1640625" style="233" customWidth="1"/>
    <col min="8976" max="8976" width="10.83203125" style="233" bestFit="1" customWidth="1"/>
    <col min="8977" max="8977" width="12.27734375" style="233" bestFit="1" customWidth="1"/>
    <col min="8978" max="8978" width="9.1640625" style="233" customWidth="1"/>
    <col min="8979" max="8979" width="10.83203125" style="233" bestFit="1" customWidth="1"/>
    <col min="8980" max="8980" width="12.27734375" style="233" bestFit="1" customWidth="1"/>
    <col min="8981" max="8981" width="8" style="233" customWidth="1"/>
    <col min="8982" max="8982" width="10.83203125" style="233" bestFit="1" customWidth="1"/>
    <col min="8983" max="8983" width="12.27734375" style="233" bestFit="1" customWidth="1"/>
    <col min="8984" max="8984" width="8.1640625" style="233" bestFit="1" customWidth="1"/>
    <col min="8985" max="8985" width="10.83203125" style="233" bestFit="1" customWidth="1"/>
    <col min="8986" max="8986" width="12.27734375" style="233" bestFit="1" customWidth="1"/>
    <col min="8987" max="8987" width="18.27734375" style="233" bestFit="1" customWidth="1"/>
    <col min="8988" max="8988" width="10.83203125" style="233" bestFit="1" customWidth="1"/>
    <col min="8989" max="9224" width="8.83203125" style="233"/>
    <col min="9225" max="9225" width="38.27734375" style="233" customWidth="1"/>
    <col min="9226" max="9226" width="23.44140625" style="233" bestFit="1" customWidth="1"/>
    <col min="9227" max="9228" width="9.1640625" style="233" customWidth="1"/>
    <col min="9229" max="9229" width="11.27734375" style="233" bestFit="1" customWidth="1"/>
    <col min="9230" max="9230" width="14.44140625" style="233" bestFit="1" customWidth="1"/>
    <col min="9231" max="9231" width="8.1640625" style="233" customWidth="1"/>
    <col min="9232" max="9232" width="10.83203125" style="233" bestFit="1" customWidth="1"/>
    <col min="9233" max="9233" width="12.27734375" style="233" bestFit="1" customWidth="1"/>
    <col min="9234" max="9234" width="9.1640625" style="233" customWidth="1"/>
    <col min="9235" max="9235" width="10.83203125" style="233" bestFit="1" customWidth="1"/>
    <col min="9236" max="9236" width="12.27734375" style="233" bestFit="1" customWidth="1"/>
    <col min="9237" max="9237" width="8" style="233" customWidth="1"/>
    <col min="9238" max="9238" width="10.83203125" style="233" bestFit="1" customWidth="1"/>
    <col min="9239" max="9239" width="12.27734375" style="233" bestFit="1" customWidth="1"/>
    <col min="9240" max="9240" width="8.1640625" style="233" bestFit="1" customWidth="1"/>
    <col min="9241" max="9241" width="10.83203125" style="233" bestFit="1" customWidth="1"/>
    <col min="9242" max="9242" width="12.27734375" style="233" bestFit="1" customWidth="1"/>
    <col min="9243" max="9243" width="18.27734375" style="233" bestFit="1" customWidth="1"/>
    <col min="9244" max="9244" width="10.83203125" style="233" bestFit="1" customWidth="1"/>
    <col min="9245" max="9480" width="8.83203125" style="233"/>
    <col min="9481" max="9481" width="38.27734375" style="233" customWidth="1"/>
    <col min="9482" max="9482" width="23.44140625" style="233" bestFit="1" customWidth="1"/>
    <col min="9483" max="9484" width="9.1640625" style="233" customWidth="1"/>
    <col min="9485" max="9485" width="11.27734375" style="233" bestFit="1" customWidth="1"/>
    <col min="9486" max="9486" width="14.44140625" style="233" bestFit="1" customWidth="1"/>
    <col min="9487" max="9487" width="8.1640625" style="233" customWidth="1"/>
    <col min="9488" max="9488" width="10.83203125" style="233" bestFit="1" customWidth="1"/>
    <col min="9489" max="9489" width="12.27734375" style="233" bestFit="1" customWidth="1"/>
    <col min="9490" max="9490" width="9.1640625" style="233" customWidth="1"/>
    <col min="9491" max="9491" width="10.83203125" style="233" bestFit="1" customWidth="1"/>
    <col min="9492" max="9492" width="12.27734375" style="233" bestFit="1" customWidth="1"/>
    <col min="9493" max="9493" width="8" style="233" customWidth="1"/>
    <col min="9494" max="9494" width="10.83203125" style="233" bestFit="1" customWidth="1"/>
    <col min="9495" max="9495" width="12.27734375" style="233" bestFit="1" customWidth="1"/>
    <col min="9496" max="9496" width="8.1640625" style="233" bestFit="1" customWidth="1"/>
    <col min="9497" max="9497" width="10.83203125" style="233" bestFit="1" customWidth="1"/>
    <col min="9498" max="9498" width="12.27734375" style="233" bestFit="1" customWidth="1"/>
    <col min="9499" max="9499" width="18.27734375" style="233" bestFit="1" customWidth="1"/>
    <col min="9500" max="9500" width="10.83203125" style="233" bestFit="1" customWidth="1"/>
    <col min="9501" max="9736" width="8.83203125" style="233"/>
    <col min="9737" max="9737" width="38.27734375" style="233" customWidth="1"/>
    <col min="9738" max="9738" width="23.44140625" style="233" bestFit="1" customWidth="1"/>
    <col min="9739" max="9740" width="9.1640625" style="233" customWidth="1"/>
    <col min="9741" max="9741" width="11.27734375" style="233" bestFit="1" customWidth="1"/>
    <col min="9742" max="9742" width="14.44140625" style="233" bestFit="1" customWidth="1"/>
    <col min="9743" max="9743" width="8.1640625" style="233" customWidth="1"/>
    <col min="9744" max="9744" width="10.83203125" style="233" bestFit="1" customWidth="1"/>
    <col min="9745" max="9745" width="12.27734375" style="233" bestFit="1" customWidth="1"/>
    <col min="9746" max="9746" width="9.1640625" style="233" customWidth="1"/>
    <col min="9747" max="9747" width="10.83203125" style="233" bestFit="1" customWidth="1"/>
    <col min="9748" max="9748" width="12.27734375" style="233" bestFit="1" customWidth="1"/>
    <col min="9749" max="9749" width="8" style="233" customWidth="1"/>
    <col min="9750" max="9750" width="10.83203125" style="233" bestFit="1" customWidth="1"/>
    <col min="9751" max="9751" width="12.27734375" style="233" bestFit="1" customWidth="1"/>
    <col min="9752" max="9752" width="8.1640625" style="233" bestFit="1" customWidth="1"/>
    <col min="9753" max="9753" width="10.83203125" style="233" bestFit="1" customWidth="1"/>
    <col min="9754" max="9754" width="12.27734375" style="233" bestFit="1" customWidth="1"/>
    <col min="9755" max="9755" width="18.27734375" style="233" bestFit="1" customWidth="1"/>
    <col min="9756" max="9756" width="10.83203125" style="233" bestFit="1" customWidth="1"/>
    <col min="9757" max="9992" width="8.83203125" style="233"/>
    <col min="9993" max="9993" width="38.27734375" style="233" customWidth="1"/>
    <col min="9994" max="9994" width="23.44140625" style="233" bestFit="1" customWidth="1"/>
    <col min="9995" max="9996" width="9.1640625" style="233" customWidth="1"/>
    <col min="9997" max="9997" width="11.27734375" style="233" bestFit="1" customWidth="1"/>
    <col min="9998" max="9998" width="14.44140625" style="233" bestFit="1" customWidth="1"/>
    <col min="9999" max="9999" width="8.1640625" style="233" customWidth="1"/>
    <col min="10000" max="10000" width="10.83203125" style="233" bestFit="1" customWidth="1"/>
    <col min="10001" max="10001" width="12.27734375" style="233" bestFit="1" customWidth="1"/>
    <col min="10002" max="10002" width="9.1640625" style="233" customWidth="1"/>
    <col min="10003" max="10003" width="10.83203125" style="233" bestFit="1" customWidth="1"/>
    <col min="10004" max="10004" width="12.27734375" style="233" bestFit="1" customWidth="1"/>
    <col min="10005" max="10005" width="8" style="233" customWidth="1"/>
    <col min="10006" max="10006" width="10.83203125" style="233" bestFit="1" customWidth="1"/>
    <col min="10007" max="10007" width="12.27734375" style="233" bestFit="1" customWidth="1"/>
    <col min="10008" max="10008" width="8.1640625" style="233" bestFit="1" customWidth="1"/>
    <col min="10009" max="10009" width="10.83203125" style="233" bestFit="1" customWidth="1"/>
    <col min="10010" max="10010" width="12.27734375" style="233" bestFit="1" customWidth="1"/>
    <col min="10011" max="10011" width="18.27734375" style="233" bestFit="1" customWidth="1"/>
    <col min="10012" max="10012" width="10.83203125" style="233" bestFit="1" customWidth="1"/>
    <col min="10013" max="10248" width="8.83203125" style="233"/>
    <col min="10249" max="10249" width="38.27734375" style="233" customWidth="1"/>
    <col min="10250" max="10250" width="23.44140625" style="233" bestFit="1" customWidth="1"/>
    <col min="10251" max="10252" width="9.1640625" style="233" customWidth="1"/>
    <col min="10253" max="10253" width="11.27734375" style="233" bestFit="1" customWidth="1"/>
    <col min="10254" max="10254" width="14.44140625" style="233" bestFit="1" customWidth="1"/>
    <col min="10255" max="10255" width="8.1640625" style="233" customWidth="1"/>
    <col min="10256" max="10256" width="10.83203125" style="233" bestFit="1" customWidth="1"/>
    <col min="10257" max="10257" width="12.27734375" style="233" bestFit="1" customWidth="1"/>
    <col min="10258" max="10258" width="9.1640625" style="233" customWidth="1"/>
    <col min="10259" max="10259" width="10.83203125" style="233" bestFit="1" customWidth="1"/>
    <col min="10260" max="10260" width="12.27734375" style="233" bestFit="1" customWidth="1"/>
    <col min="10261" max="10261" width="8" style="233" customWidth="1"/>
    <col min="10262" max="10262" width="10.83203125" style="233" bestFit="1" customWidth="1"/>
    <col min="10263" max="10263" width="12.27734375" style="233" bestFit="1" customWidth="1"/>
    <col min="10264" max="10264" width="8.1640625" style="233" bestFit="1" customWidth="1"/>
    <col min="10265" max="10265" width="10.83203125" style="233" bestFit="1" customWidth="1"/>
    <col min="10266" max="10266" width="12.27734375" style="233" bestFit="1" customWidth="1"/>
    <col min="10267" max="10267" width="18.27734375" style="233" bestFit="1" customWidth="1"/>
    <col min="10268" max="10268" width="10.83203125" style="233" bestFit="1" customWidth="1"/>
    <col min="10269" max="10504" width="8.83203125" style="233"/>
    <col min="10505" max="10505" width="38.27734375" style="233" customWidth="1"/>
    <col min="10506" max="10506" width="23.44140625" style="233" bestFit="1" customWidth="1"/>
    <col min="10507" max="10508" width="9.1640625" style="233" customWidth="1"/>
    <col min="10509" max="10509" width="11.27734375" style="233" bestFit="1" customWidth="1"/>
    <col min="10510" max="10510" width="14.44140625" style="233" bestFit="1" customWidth="1"/>
    <col min="10511" max="10511" width="8.1640625" style="233" customWidth="1"/>
    <col min="10512" max="10512" width="10.83203125" style="233" bestFit="1" customWidth="1"/>
    <col min="10513" max="10513" width="12.27734375" style="233" bestFit="1" customWidth="1"/>
    <col min="10514" max="10514" width="9.1640625" style="233" customWidth="1"/>
    <col min="10515" max="10515" width="10.83203125" style="233" bestFit="1" customWidth="1"/>
    <col min="10516" max="10516" width="12.27734375" style="233" bestFit="1" customWidth="1"/>
    <col min="10517" max="10517" width="8" style="233" customWidth="1"/>
    <col min="10518" max="10518" width="10.83203125" style="233" bestFit="1" customWidth="1"/>
    <col min="10519" max="10519" width="12.27734375" style="233" bestFit="1" customWidth="1"/>
    <col min="10520" max="10520" width="8.1640625" style="233" bestFit="1" customWidth="1"/>
    <col min="10521" max="10521" width="10.83203125" style="233" bestFit="1" customWidth="1"/>
    <col min="10522" max="10522" width="12.27734375" style="233" bestFit="1" customWidth="1"/>
    <col min="10523" max="10523" width="18.27734375" style="233" bestFit="1" customWidth="1"/>
    <col min="10524" max="10524" width="10.83203125" style="233" bestFit="1" customWidth="1"/>
    <col min="10525" max="10760" width="8.83203125" style="233"/>
    <col min="10761" max="10761" width="38.27734375" style="233" customWidth="1"/>
    <col min="10762" max="10762" width="23.44140625" style="233" bestFit="1" customWidth="1"/>
    <col min="10763" max="10764" width="9.1640625" style="233" customWidth="1"/>
    <col min="10765" max="10765" width="11.27734375" style="233" bestFit="1" customWidth="1"/>
    <col min="10766" max="10766" width="14.44140625" style="233" bestFit="1" customWidth="1"/>
    <col min="10767" max="10767" width="8.1640625" style="233" customWidth="1"/>
    <col min="10768" max="10768" width="10.83203125" style="233" bestFit="1" customWidth="1"/>
    <col min="10769" max="10769" width="12.27734375" style="233" bestFit="1" customWidth="1"/>
    <col min="10770" max="10770" width="9.1640625" style="233" customWidth="1"/>
    <col min="10771" max="10771" width="10.83203125" style="233" bestFit="1" customWidth="1"/>
    <col min="10772" max="10772" width="12.27734375" style="233" bestFit="1" customWidth="1"/>
    <col min="10773" max="10773" width="8" style="233" customWidth="1"/>
    <col min="10774" max="10774" width="10.83203125" style="233" bestFit="1" customWidth="1"/>
    <col min="10775" max="10775" width="12.27734375" style="233" bestFit="1" customWidth="1"/>
    <col min="10776" max="10776" width="8.1640625" style="233" bestFit="1" customWidth="1"/>
    <col min="10777" max="10777" width="10.83203125" style="233" bestFit="1" customWidth="1"/>
    <col min="10778" max="10778" width="12.27734375" style="233" bestFit="1" customWidth="1"/>
    <col min="10779" max="10779" width="18.27734375" style="233" bestFit="1" customWidth="1"/>
    <col min="10780" max="10780" width="10.83203125" style="233" bestFit="1" customWidth="1"/>
    <col min="10781" max="11016" width="8.83203125" style="233"/>
    <col min="11017" max="11017" width="38.27734375" style="233" customWidth="1"/>
    <col min="11018" max="11018" width="23.44140625" style="233" bestFit="1" customWidth="1"/>
    <col min="11019" max="11020" width="9.1640625" style="233" customWidth="1"/>
    <col min="11021" max="11021" width="11.27734375" style="233" bestFit="1" customWidth="1"/>
    <col min="11022" max="11022" width="14.44140625" style="233" bestFit="1" customWidth="1"/>
    <col min="11023" max="11023" width="8.1640625" style="233" customWidth="1"/>
    <col min="11024" max="11024" width="10.83203125" style="233" bestFit="1" customWidth="1"/>
    <col min="11025" max="11025" width="12.27734375" style="233" bestFit="1" customWidth="1"/>
    <col min="11026" max="11026" width="9.1640625" style="233" customWidth="1"/>
    <col min="11027" max="11027" width="10.83203125" style="233" bestFit="1" customWidth="1"/>
    <col min="11028" max="11028" width="12.27734375" style="233" bestFit="1" customWidth="1"/>
    <col min="11029" max="11029" width="8" style="233" customWidth="1"/>
    <col min="11030" max="11030" width="10.83203125" style="233" bestFit="1" customWidth="1"/>
    <col min="11031" max="11031" width="12.27734375" style="233" bestFit="1" customWidth="1"/>
    <col min="11032" max="11032" width="8.1640625" style="233" bestFit="1" customWidth="1"/>
    <col min="11033" max="11033" width="10.83203125" style="233" bestFit="1" customWidth="1"/>
    <col min="11034" max="11034" width="12.27734375" style="233" bestFit="1" customWidth="1"/>
    <col min="11035" max="11035" width="18.27734375" style="233" bestFit="1" customWidth="1"/>
    <col min="11036" max="11036" width="10.83203125" style="233" bestFit="1" customWidth="1"/>
    <col min="11037" max="11272" width="8.83203125" style="233"/>
    <col min="11273" max="11273" width="38.27734375" style="233" customWidth="1"/>
    <col min="11274" max="11274" width="23.44140625" style="233" bestFit="1" customWidth="1"/>
    <col min="11275" max="11276" width="9.1640625" style="233" customWidth="1"/>
    <col min="11277" max="11277" width="11.27734375" style="233" bestFit="1" customWidth="1"/>
    <col min="11278" max="11278" width="14.44140625" style="233" bestFit="1" customWidth="1"/>
    <col min="11279" max="11279" width="8.1640625" style="233" customWidth="1"/>
    <col min="11280" max="11280" width="10.83203125" style="233" bestFit="1" customWidth="1"/>
    <col min="11281" max="11281" width="12.27734375" style="233" bestFit="1" customWidth="1"/>
    <col min="11282" max="11282" width="9.1640625" style="233" customWidth="1"/>
    <col min="11283" max="11283" width="10.83203125" style="233" bestFit="1" customWidth="1"/>
    <col min="11284" max="11284" width="12.27734375" style="233" bestFit="1" customWidth="1"/>
    <col min="11285" max="11285" width="8" style="233" customWidth="1"/>
    <col min="11286" max="11286" width="10.83203125" style="233" bestFit="1" customWidth="1"/>
    <col min="11287" max="11287" width="12.27734375" style="233" bestFit="1" customWidth="1"/>
    <col min="11288" max="11288" width="8.1640625" style="233" bestFit="1" customWidth="1"/>
    <col min="11289" max="11289" width="10.83203125" style="233" bestFit="1" customWidth="1"/>
    <col min="11290" max="11290" width="12.27734375" style="233" bestFit="1" customWidth="1"/>
    <col min="11291" max="11291" width="18.27734375" style="233" bestFit="1" customWidth="1"/>
    <col min="11292" max="11292" width="10.83203125" style="233" bestFit="1" customWidth="1"/>
    <col min="11293" max="11528" width="8.83203125" style="233"/>
    <col min="11529" max="11529" width="38.27734375" style="233" customWidth="1"/>
    <col min="11530" max="11530" width="23.44140625" style="233" bestFit="1" customWidth="1"/>
    <col min="11531" max="11532" width="9.1640625" style="233" customWidth="1"/>
    <col min="11533" max="11533" width="11.27734375" style="233" bestFit="1" customWidth="1"/>
    <col min="11534" max="11534" width="14.44140625" style="233" bestFit="1" customWidth="1"/>
    <col min="11535" max="11535" width="8.1640625" style="233" customWidth="1"/>
    <col min="11536" max="11536" width="10.83203125" style="233" bestFit="1" customWidth="1"/>
    <col min="11537" max="11537" width="12.27734375" style="233" bestFit="1" customWidth="1"/>
    <col min="11538" max="11538" width="9.1640625" style="233" customWidth="1"/>
    <col min="11539" max="11539" width="10.83203125" style="233" bestFit="1" customWidth="1"/>
    <col min="11540" max="11540" width="12.27734375" style="233" bestFit="1" customWidth="1"/>
    <col min="11541" max="11541" width="8" style="233" customWidth="1"/>
    <col min="11542" max="11542" width="10.83203125" style="233" bestFit="1" customWidth="1"/>
    <col min="11543" max="11543" width="12.27734375" style="233" bestFit="1" customWidth="1"/>
    <col min="11544" max="11544" width="8.1640625" style="233" bestFit="1" customWidth="1"/>
    <col min="11545" max="11545" width="10.83203125" style="233" bestFit="1" customWidth="1"/>
    <col min="11546" max="11546" width="12.27734375" style="233" bestFit="1" customWidth="1"/>
    <col min="11547" max="11547" width="18.27734375" style="233" bestFit="1" customWidth="1"/>
    <col min="11548" max="11548" width="10.83203125" style="233" bestFit="1" customWidth="1"/>
    <col min="11549" max="11784" width="8.83203125" style="233"/>
    <col min="11785" max="11785" width="38.27734375" style="233" customWidth="1"/>
    <col min="11786" max="11786" width="23.44140625" style="233" bestFit="1" customWidth="1"/>
    <col min="11787" max="11788" width="9.1640625" style="233" customWidth="1"/>
    <col min="11789" max="11789" width="11.27734375" style="233" bestFit="1" customWidth="1"/>
    <col min="11790" max="11790" width="14.44140625" style="233" bestFit="1" customWidth="1"/>
    <col min="11791" max="11791" width="8.1640625" style="233" customWidth="1"/>
    <col min="11792" max="11792" width="10.83203125" style="233" bestFit="1" customWidth="1"/>
    <col min="11793" max="11793" width="12.27734375" style="233" bestFit="1" customWidth="1"/>
    <col min="11794" max="11794" width="9.1640625" style="233" customWidth="1"/>
    <col min="11795" max="11795" width="10.83203125" style="233" bestFit="1" customWidth="1"/>
    <col min="11796" max="11796" width="12.27734375" style="233" bestFit="1" customWidth="1"/>
    <col min="11797" max="11797" width="8" style="233" customWidth="1"/>
    <col min="11798" max="11798" width="10.83203125" style="233" bestFit="1" customWidth="1"/>
    <col min="11799" max="11799" width="12.27734375" style="233" bestFit="1" customWidth="1"/>
    <col min="11800" max="11800" width="8.1640625" style="233" bestFit="1" customWidth="1"/>
    <col min="11801" max="11801" width="10.83203125" style="233" bestFit="1" customWidth="1"/>
    <col min="11802" max="11802" width="12.27734375" style="233" bestFit="1" customWidth="1"/>
    <col min="11803" max="11803" width="18.27734375" style="233" bestFit="1" customWidth="1"/>
    <col min="11804" max="11804" width="10.83203125" style="233" bestFit="1" customWidth="1"/>
    <col min="11805" max="12040" width="8.83203125" style="233"/>
    <col min="12041" max="12041" width="38.27734375" style="233" customWidth="1"/>
    <col min="12042" max="12042" width="23.44140625" style="233" bestFit="1" customWidth="1"/>
    <col min="12043" max="12044" width="9.1640625" style="233" customWidth="1"/>
    <col min="12045" max="12045" width="11.27734375" style="233" bestFit="1" customWidth="1"/>
    <col min="12046" max="12046" width="14.44140625" style="233" bestFit="1" customWidth="1"/>
    <col min="12047" max="12047" width="8.1640625" style="233" customWidth="1"/>
    <col min="12048" max="12048" width="10.83203125" style="233" bestFit="1" customWidth="1"/>
    <col min="12049" max="12049" width="12.27734375" style="233" bestFit="1" customWidth="1"/>
    <col min="12050" max="12050" width="9.1640625" style="233" customWidth="1"/>
    <col min="12051" max="12051" width="10.83203125" style="233" bestFit="1" customWidth="1"/>
    <col min="12052" max="12052" width="12.27734375" style="233" bestFit="1" customWidth="1"/>
    <col min="12053" max="12053" width="8" style="233" customWidth="1"/>
    <col min="12054" max="12054" width="10.83203125" style="233" bestFit="1" customWidth="1"/>
    <col min="12055" max="12055" width="12.27734375" style="233" bestFit="1" customWidth="1"/>
    <col min="12056" max="12056" width="8.1640625" style="233" bestFit="1" customWidth="1"/>
    <col min="12057" max="12057" width="10.83203125" style="233" bestFit="1" customWidth="1"/>
    <col min="12058" max="12058" width="12.27734375" style="233" bestFit="1" customWidth="1"/>
    <col min="12059" max="12059" width="18.27734375" style="233" bestFit="1" customWidth="1"/>
    <col min="12060" max="12060" width="10.83203125" style="233" bestFit="1" customWidth="1"/>
    <col min="12061" max="12296" width="8.83203125" style="233"/>
    <col min="12297" max="12297" width="38.27734375" style="233" customWidth="1"/>
    <col min="12298" max="12298" width="23.44140625" style="233" bestFit="1" customWidth="1"/>
    <col min="12299" max="12300" width="9.1640625" style="233" customWidth="1"/>
    <col min="12301" max="12301" width="11.27734375" style="233" bestFit="1" customWidth="1"/>
    <col min="12302" max="12302" width="14.44140625" style="233" bestFit="1" customWidth="1"/>
    <col min="12303" max="12303" width="8.1640625" style="233" customWidth="1"/>
    <col min="12304" max="12304" width="10.83203125" style="233" bestFit="1" customWidth="1"/>
    <col min="12305" max="12305" width="12.27734375" style="233" bestFit="1" customWidth="1"/>
    <col min="12306" max="12306" width="9.1640625" style="233" customWidth="1"/>
    <col min="12307" max="12307" width="10.83203125" style="233" bestFit="1" customWidth="1"/>
    <col min="12308" max="12308" width="12.27734375" style="233" bestFit="1" customWidth="1"/>
    <col min="12309" max="12309" width="8" style="233" customWidth="1"/>
    <col min="12310" max="12310" width="10.83203125" style="233" bestFit="1" customWidth="1"/>
    <col min="12311" max="12311" width="12.27734375" style="233" bestFit="1" customWidth="1"/>
    <col min="12312" max="12312" width="8.1640625" style="233" bestFit="1" customWidth="1"/>
    <col min="12313" max="12313" width="10.83203125" style="233" bestFit="1" customWidth="1"/>
    <col min="12314" max="12314" width="12.27734375" style="233" bestFit="1" customWidth="1"/>
    <col min="12315" max="12315" width="18.27734375" style="233" bestFit="1" customWidth="1"/>
    <col min="12316" max="12316" width="10.83203125" style="233" bestFit="1" customWidth="1"/>
    <col min="12317" max="12552" width="8.83203125" style="233"/>
    <col min="12553" max="12553" width="38.27734375" style="233" customWidth="1"/>
    <col min="12554" max="12554" width="23.44140625" style="233" bestFit="1" customWidth="1"/>
    <col min="12555" max="12556" width="9.1640625" style="233" customWidth="1"/>
    <col min="12557" max="12557" width="11.27734375" style="233" bestFit="1" customWidth="1"/>
    <col min="12558" max="12558" width="14.44140625" style="233" bestFit="1" customWidth="1"/>
    <col min="12559" max="12559" width="8.1640625" style="233" customWidth="1"/>
    <col min="12560" max="12560" width="10.83203125" style="233" bestFit="1" customWidth="1"/>
    <col min="12561" max="12561" width="12.27734375" style="233" bestFit="1" customWidth="1"/>
    <col min="12562" max="12562" width="9.1640625" style="233" customWidth="1"/>
    <col min="12563" max="12563" width="10.83203125" style="233" bestFit="1" customWidth="1"/>
    <col min="12564" max="12564" width="12.27734375" style="233" bestFit="1" customWidth="1"/>
    <col min="12565" max="12565" width="8" style="233" customWidth="1"/>
    <col min="12566" max="12566" width="10.83203125" style="233" bestFit="1" customWidth="1"/>
    <col min="12567" max="12567" width="12.27734375" style="233" bestFit="1" customWidth="1"/>
    <col min="12568" max="12568" width="8.1640625" style="233" bestFit="1" customWidth="1"/>
    <col min="12569" max="12569" width="10.83203125" style="233" bestFit="1" customWidth="1"/>
    <col min="12570" max="12570" width="12.27734375" style="233" bestFit="1" customWidth="1"/>
    <col min="12571" max="12571" width="18.27734375" style="233" bestFit="1" customWidth="1"/>
    <col min="12572" max="12572" width="10.83203125" style="233" bestFit="1" customWidth="1"/>
    <col min="12573" max="12808" width="8.83203125" style="233"/>
    <col min="12809" max="12809" width="38.27734375" style="233" customWidth="1"/>
    <col min="12810" max="12810" width="23.44140625" style="233" bestFit="1" customWidth="1"/>
    <col min="12811" max="12812" width="9.1640625" style="233" customWidth="1"/>
    <col min="12813" max="12813" width="11.27734375" style="233" bestFit="1" customWidth="1"/>
    <col min="12814" max="12814" width="14.44140625" style="233" bestFit="1" customWidth="1"/>
    <col min="12815" max="12815" width="8.1640625" style="233" customWidth="1"/>
    <col min="12816" max="12816" width="10.83203125" style="233" bestFit="1" customWidth="1"/>
    <col min="12817" max="12817" width="12.27734375" style="233" bestFit="1" customWidth="1"/>
    <col min="12818" max="12818" width="9.1640625" style="233" customWidth="1"/>
    <col min="12819" max="12819" width="10.83203125" style="233" bestFit="1" customWidth="1"/>
    <col min="12820" max="12820" width="12.27734375" style="233" bestFit="1" customWidth="1"/>
    <col min="12821" max="12821" width="8" style="233" customWidth="1"/>
    <col min="12822" max="12822" width="10.83203125" style="233" bestFit="1" customWidth="1"/>
    <col min="12823" max="12823" width="12.27734375" style="233" bestFit="1" customWidth="1"/>
    <col min="12824" max="12824" width="8.1640625" style="233" bestFit="1" customWidth="1"/>
    <col min="12825" max="12825" width="10.83203125" style="233" bestFit="1" customWidth="1"/>
    <col min="12826" max="12826" width="12.27734375" style="233" bestFit="1" customWidth="1"/>
    <col min="12827" max="12827" width="18.27734375" style="233" bestFit="1" customWidth="1"/>
    <col min="12828" max="12828" width="10.83203125" style="233" bestFit="1" customWidth="1"/>
    <col min="12829" max="13064" width="8.83203125" style="233"/>
    <col min="13065" max="13065" width="38.27734375" style="233" customWidth="1"/>
    <col min="13066" max="13066" width="23.44140625" style="233" bestFit="1" customWidth="1"/>
    <col min="13067" max="13068" width="9.1640625" style="233" customWidth="1"/>
    <col min="13069" max="13069" width="11.27734375" style="233" bestFit="1" customWidth="1"/>
    <col min="13070" max="13070" width="14.44140625" style="233" bestFit="1" customWidth="1"/>
    <col min="13071" max="13071" width="8.1640625" style="233" customWidth="1"/>
    <col min="13072" max="13072" width="10.83203125" style="233" bestFit="1" customWidth="1"/>
    <col min="13073" max="13073" width="12.27734375" style="233" bestFit="1" customWidth="1"/>
    <col min="13074" max="13074" width="9.1640625" style="233" customWidth="1"/>
    <col min="13075" max="13075" width="10.83203125" style="233" bestFit="1" customWidth="1"/>
    <col min="13076" max="13076" width="12.27734375" style="233" bestFit="1" customWidth="1"/>
    <col min="13077" max="13077" width="8" style="233" customWidth="1"/>
    <col min="13078" max="13078" width="10.83203125" style="233" bestFit="1" customWidth="1"/>
    <col min="13079" max="13079" width="12.27734375" style="233" bestFit="1" customWidth="1"/>
    <col min="13080" max="13080" width="8.1640625" style="233" bestFit="1" customWidth="1"/>
    <col min="13081" max="13081" width="10.83203125" style="233" bestFit="1" customWidth="1"/>
    <col min="13082" max="13082" width="12.27734375" style="233" bestFit="1" customWidth="1"/>
    <col min="13083" max="13083" width="18.27734375" style="233" bestFit="1" customWidth="1"/>
    <col min="13084" max="13084" width="10.83203125" style="233" bestFit="1" customWidth="1"/>
    <col min="13085" max="13320" width="8.83203125" style="233"/>
    <col min="13321" max="13321" width="38.27734375" style="233" customWidth="1"/>
    <col min="13322" max="13322" width="23.44140625" style="233" bestFit="1" customWidth="1"/>
    <col min="13323" max="13324" width="9.1640625" style="233" customWidth="1"/>
    <col min="13325" max="13325" width="11.27734375" style="233" bestFit="1" customWidth="1"/>
    <col min="13326" max="13326" width="14.44140625" style="233" bestFit="1" customWidth="1"/>
    <col min="13327" max="13327" width="8.1640625" style="233" customWidth="1"/>
    <col min="13328" max="13328" width="10.83203125" style="233" bestFit="1" customWidth="1"/>
    <col min="13329" max="13329" width="12.27734375" style="233" bestFit="1" customWidth="1"/>
    <col min="13330" max="13330" width="9.1640625" style="233" customWidth="1"/>
    <col min="13331" max="13331" width="10.83203125" style="233" bestFit="1" customWidth="1"/>
    <col min="13332" max="13332" width="12.27734375" style="233" bestFit="1" customWidth="1"/>
    <col min="13333" max="13333" width="8" style="233" customWidth="1"/>
    <col min="13334" max="13334" width="10.83203125" style="233" bestFit="1" customWidth="1"/>
    <col min="13335" max="13335" width="12.27734375" style="233" bestFit="1" customWidth="1"/>
    <col min="13336" max="13336" width="8.1640625" style="233" bestFit="1" customWidth="1"/>
    <col min="13337" max="13337" width="10.83203125" style="233" bestFit="1" customWidth="1"/>
    <col min="13338" max="13338" width="12.27734375" style="233" bestFit="1" customWidth="1"/>
    <col min="13339" max="13339" width="18.27734375" style="233" bestFit="1" customWidth="1"/>
    <col min="13340" max="13340" width="10.83203125" style="233" bestFit="1" customWidth="1"/>
    <col min="13341" max="13576" width="8.83203125" style="233"/>
    <col min="13577" max="13577" width="38.27734375" style="233" customWidth="1"/>
    <col min="13578" max="13578" width="23.44140625" style="233" bestFit="1" customWidth="1"/>
    <col min="13579" max="13580" width="9.1640625" style="233" customWidth="1"/>
    <col min="13581" max="13581" width="11.27734375" style="233" bestFit="1" customWidth="1"/>
    <col min="13582" max="13582" width="14.44140625" style="233" bestFit="1" customWidth="1"/>
    <col min="13583" max="13583" width="8.1640625" style="233" customWidth="1"/>
    <col min="13584" max="13584" width="10.83203125" style="233" bestFit="1" customWidth="1"/>
    <col min="13585" max="13585" width="12.27734375" style="233" bestFit="1" customWidth="1"/>
    <col min="13586" max="13586" width="9.1640625" style="233" customWidth="1"/>
    <col min="13587" max="13587" width="10.83203125" style="233" bestFit="1" customWidth="1"/>
    <col min="13588" max="13588" width="12.27734375" style="233" bestFit="1" customWidth="1"/>
    <col min="13589" max="13589" width="8" style="233" customWidth="1"/>
    <col min="13590" max="13590" width="10.83203125" style="233" bestFit="1" customWidth="1"/>
    <col min="13591" max="13591" width="12.27734375" style="233" bestFit="1" customWidth="1"/>
    <col min="13592" max="13592" width="8.1640625" style="233" bestFit="1" customWidth="1"/>
    <col min="13593" max="13593" width="10.83203125" style="233" bestFit="1" customWidth="1"/>
    <col min="13594" max="13594" width="12.27734375" style="233" bestFit="1" customWidth="1"/>
    <col min="13595" max="13595" width="18.27734375" style="233" bestFit="1" customWidth="1"/>
    <col min="13596" max="13596" width="10.83203125" style="233" bestFit="1" customWidth="1"/>
    <col min="13597" max="13832" width="8.83203125" style="233"/>
    <col min="13833" max="13833" width="38.27734375" style="233" customWidth="1"/>
    <col min="13834" max="13834" width="23.44140625" style="233" bestFit="1" customWidth="1"/>
    <col min="13835" max="13836" width="9.1640625" style="233" customWidth="1"/>
    <col min="13837" max="13837" width="11.27734375" style="233" bestFit="1" customWidth="1"/>
    <col min="13838" max="13838" width="14.44140625" style="233" bestFit="1" customWidth="1"/>
    <col min="13839" max="13839" width="8.1640625" style="233" customWidth="1"/>
    <col min="13840" max="13840" width="10.83203125" style="233" bestFit="1" customWidth="1"/>
    <col min="13841" max="13841" width="12.27734375" style="233" bestFit="1" customWidth="1"/>
    <col min="13842" max="13842" width="9.1640625" style="233" customWidth="1"/>
    <col min="13843" max="13843" width="10.83203125" style="233" bestFit="1" customWidth="1"/>
    <col min="13844" max="13844" width="12.27734375" style="233" bestFit="1" customWidth="1"/>
    <col min="13845" max="13845" width="8" style="233" customWidth="1"/>
    <col min="13846" max="13846" width="10.83203125" style="233" bestFit="1" customWidth="1"/>
    <col min="13847" max="13847" width="12.27734375" style="233" bestFit="1" customWidth="1"/>
    <col min="13848" max="13848" width="8.1640625" style="233" bestFit="1" customWidth="1"/>
    <col min="13849" max="13849" width="10.83203125" style="233" bestFit="1" customWidth="1"/>
    <col min="13850" max="13850" width="12.27734375" style="233" bestFit="1" customWidth="1"/>
    <col min="13851" max="13851" width="18.27734375" style="233" bestFit="1" customWidth="1"/>
    <col min="13852" max="13852" width="10.83203125" style="233" bestFit="1" customWidth="1"/>
    <col min="13853" max="14088" width="8.83203125" style="233"/>
    <col min="14089" max="14089" width="38.27734375" style="233" customWidth="1"/>
    <col min="14090" max="14090" width="23.44140625" style="233" bestFit="1" customWidth="1"/>
    <col min="14091" max="14092" width="9.1640625" style="233" customWidth="1"/>
    <col min="14093" max="14093" width="11.27734375" style="233" bestFit="1" customWidth="1"/>
    <col min="14094" max="14094" width="14.44140625" style="233" bestFit="1" customWidth="1"/>
    <col min="14095" max="14095" width="8.1640625" style="233" customWidth="1"/>
    <col min="14096" max="14096" width="10.83203125" style="233" bestFit="1" customWidth="1"/>
    <col min="14097" max="14097" width="12.27734375" style="233" bestFit="1" customWidth="1"/>
    <col min="14098" max="14098" width="9.1640625" style="233" customWidth="1"/>
    <col min="14099" max="14099" width="10.83203125" style="233" bestFit="1" customWidth="1"/>
    <col min="14100" max="14100" width="12.27734375" style="233" bestFit="1" customWidth="1"/>
    <col min="14101" max="14101" width="8" style="233" customWidth="1"/>
    <col min="14102" max="14102" width="10.83203125" style="233" bestFit="1" customWidth="1"/>
    <col min="14103" max="14103" width="12.27734375" style="233" bestFit="1" customWidth="1"/>
    <col min="14104" max="14104" width="8.1640625" style="233" bestFit="1" customWidth="1"/>
    <col min="14105" max="14105" width="10.83203125" style="233" bestFit="1" customWidth="1"/>
    <col min="14106" max="14106" width="12.27734375" style="233" bestFit="1" customWidth="1"/>
    <col min="14107" max="14107" width="18.27734375" style="233" bestFit="1" customWidth="1"/>
    <col min="14108" max="14108" width="10.83203125" style="233" bestFit="1" customWidth="1"/>
    <col min="14109" max="14344" width="8.83203125" style="233"/>
    <col min="14345" max="14345" width="38.27734375" style="233" customWidth="1"/>
    <col min="14346" max="14346" width="23.44140625" style="233" bestFit="1" customWidth="1"/>
    <col min="14347" max="14348" width="9.1640625" style="233" customWidth="1"/>
    <col min="14349" max="14349" width="11.27734375" style="233" bestFit="1" customWidth="1"/>
    <col min="14350" max="14350" width="14.44140625" style="233" bestFit="1" customWidth="1"/>
    <col min="14351" max="14351" width="8.1640625" style="233" customWidth="1"/>
    <col min="14352" max="14352" width="10.83203125" style="233" bestFit="1" customWidth="1"/>
    <col min="14353" max="14353" width="12.27734375" style="233" bestFit="1" customWidth="1"/>
    <col min="14354" max="14354" width="9.1640625" style="233" customWidth="1"/>
    <col min="14355" max="14355" width="10.83203125" style="233" bestFit="1" customWidth="1"/>
    <col min="14356" max="14356" width="12.27734375" style="233" bestFit="1" customWidth="1"/>
    <col min="14357" max="14357" width="8" style="233" customWidth="1"/>
    <col min="14358" max="14358" width="10.83203125" style="233" bestFit="1" customWidth="1"/>
    <col min="14359" max="14359" width="12.27734375" style="233" bestFit="1" customWidth="1"/>
    <col min="14360" max="14360" width="8.1640625" style="233" bestFit="1" customWidth="1"/>
    <col min="14361" max="14361" width="10.83203125" style="233" bestFit="1" customWidth="1"/>
    <col min="14362" max="14362" width="12.27734375" style="233" bestFit="1" customWidth="1"/>
    <col min="14363" max="14363" width="18.27734375" style="233" bestFit="1" customWidth="1"/>
    <col min="14364" max="14364" width="10.83203125" style="233" bestFit="1" customWidth="1"/>
    <col min="14365" max="14600" width="8.83203125" style="233"/>
    <col min="14601" max="14601" width="38.27734375" style="233" customWidth="1"/>
    <col min="14602" max="14602" width="23.44140625" style="233" bestFit="1" customWidth="1"/>
    <col min="14603" max="14604" width="9.1640625" style="233" customWidth="1"/>
    <col min="14605" max="14605" width="11.27734375" style="233" bestFit="1" customWidth="1"/>
    <col min="14606" max="14606" width="14.44140625" style="233" bestFit="1" customWidth="1"/>
    <col min="14607" max="14607" width="8.1640625" style="233" customWidth="1"/>
    <col min="14608" max="14608" width="10.83203125" style="233" bestFit="1" customWidth="1"/>
    <col min="14609" max="14609" width="12.27734375" style="233" bestFit="1" customWidth="1"/>
    <col min="14610" max="14610" width="9.1640625" style="233" customWidth="1"/>
    <col min="14611" max="14611" width="10.83203125" style="233" bestFit="1" customWidth="1"/>
    <col min="14612" max="14612" width="12.27734375" style="233" bestFit="1" customWidth="1"/>
    <col min="14613" max="14613" width="8" style="233" customWidth="1"/>
    <col min="14614" max="14614" width="10.83203125" style="233" bestFit="1" customWidth="1"/>
    <col min="14615" max="14615" width="12.27734375" style="233" bestFit="1" customWidth="1"/>
    <col min="14616" max="14616" width="8.1640625" style="233" bestFit="1" customWidth="1"/>
    <col min="14617" max="14617" width="10.83203125" style="233" bestFit="1" customWidth="1"/>
    <col min="14618" max="14618" width="12.27734375" style="233" bestFit="1" customWidth="1"/>
    <col min="14619" max="14619" width="18.27734375" style="233" bestFit="1" customWidth="1"/>
    <col min="14620" max="14620" width="10.83203125" style="233" bestFit="1" customWidth="1"/>
    <col min="14621" max="14856" width="8.83203125" style="233"/>
    <col min="14857" max="14857" width="38.27734375" style="233" customWidth="1"/>
    <col min="14858" max="14858" width="23.44140625" style="233" bestFit="1" customWidth="1"/>
    <col min="14859" max="14860" width="9.1640625" style="233" customWidth="1"/>
    <col min="14861" max="14861" width="11.27734375" style="233" bestFit="1" customWidth="1"/>
    <col min="14862" max="14862" width="14.44140625" style="233" bestFit="1" customWidth="1"/>
    <col min="14863" max="14863" width="8.1640625" style="233" customWidth="1"/>
    <col min="14864" max="14864" width="10.83203125" style="233" bestFit="1" customWidth="1"/>
    <col min="14865" max="14865" width="12.27734375" style="233" bestFit="1" customWidth="1"/>
    <col min="14866" max="14866" width="9.1640625" style="233" customWidth="1"/>
    <col min="14867" max="14867" width="10.83203125" style="233" bestFit="1" customWidth="1"/>
    <col min="14868" max="14868" width="12.27734375" style="233" bestFit="1" customWidth="1"/>
    <col min="14869" max="14869" width="8" style="233" customWidth="1"/>
    <col min="14870" max="14870" width="10.83203125" style="233" bestFit="1" customWidth="1"/>
    <col min="14871" max="14871" width="12.27734375" style="233" bestFit="1" customWidth="1"/>
    <col min="14872" max="14872" width="8.1640625" style="233" bestFit="1" customWidth="1"/>
    <col min="14873" max="14873" width="10.83203125" style="233" bestFit="1" customWidth="1"/>
    <col min="14874" max="14874" width="12.27734375" style="233" bestFit="1" customWidth="1"/>
    <col min="14875" max="14875" width="18.27734375" style="233" bestFit="1" customWidth="1"/>
    <col min="14876" max="14876" width="10.83203125" style="233" bestFit="1" customWidth="1"/>
    <col min="14877" max="15112" width="8.83203125" style="233"/>
    <col min="15113" max="15113" width="38.27734375" style="233" customWidth="1"/>
    <col min="15114" max="15114" width="23.44140625" style="233" bestFit="1" customWidth="1"/>
    <col min="15115" max="15116" width="9.1640625" style="233" customWidth="1"/>
    <col min="15117" max="15117" width="11.27734375" style="233" bestFit="1" customWidth="1"/>
    <col min="15118" max="15118" width="14.44140625" style="233" bestFit="1" customWidth="1"/>
    <col min="15119" max="15119" width="8.1640625" style="233" customWidth="1"/>
    <col min="15120" max="15120" width="10.83203125" style="233" bestFit="1" customWidth="1"/>
    <col min="15121" max="15121" width="12.27734375" style="233" bestFit="1" customWidth="1"/>
    <col min="15122" max="15122" width="9.1640625" style="233" customWidth="1"/>
    <col min="15123" max="15123" width="10.83203125" style="233" bestFit="1" customWidth="1"/>
    <col min="15124" max="15124" width="12.27734375" style="233" bestFit="1" customWidth="1"/>
    <col min="15125" max="15125" width="8" style="233" customWidth="1"/>
    <col min="15126" max="15126" width="10.83203125" style="233" bestFit="1" customWidth="1"/>
    <col min="15127" max="15127" width="12.27734375" style="233" bestFit="1" customWidth="1"/>
    <col min="15128" max="15128" width="8.1640625" style="233" bestFit="1" customWidth="1"/>
    <col min="15129" max="15129" width="10.83203125" style="233" bestFit="1" customWidth="1"/>
    <col min="15130" max="15130" width="12.27734375" style="233" bestFit="1" customWidth="1"/>
    <col min="15131" max="15131" width="18.27734375" style="233" bestFit="1" customWidth="1"/>
    <col min="15132" max="15132" width="10.83203125" style="233" bestFit="1" customWidth="1"/>
    <col min="15133" max="15368" width="8.83203125" style="233"/>
    <col min="15369" max="15369" width="38.27734375" style="233" customWidth="1"/>
    <col min="15370" max="15370" width="23.44140625" style="233" bestFit="1" customWidth="1"/>
    <col min="15371" max="15372" width="9.1640625" style="233" customWidth="1"/>
    <col min="15373" max="15373" width="11.27734375" style="233" bestFit="1" customWidth="1"/>
    <col min="15374" max="15374" width="14.44140625" style="233" bestFit="1" customWidth="1"/>
    <col min="15375" max="15375" width="8.1640625" style="233" customWidth="1"/>
    <col min="15376" max="15376" width="10.83203125" style="233" bestFit="1" customWidth="1"/>
    <col min="15377" max="15377" width="12.27734375" style="233" bestFit="1" customWidth="1"/>
    <col min="15378" max="15378" width="9.1640625" style="233" customWidth="1"/>
    <col min="15379" max="15379" width="10.83203125" style="233" bestFit="1" customWidth="1"/>
    <col min="15380" max="15380" width="12.27734375" style="233" bestFit="1" customWidth="1"/>
    <col min="15381" max="15381" width="8" style="233" customWidth="1"/>
    <col min="15382" max="15382" width="10.83203125" style="233" bestFit="1" customWidth="1"/>
    <col min="15383" max="15383" width="12.27734375" style="233" bestFit="1" customWidth="1"/>
    <col min="15384" max="15384" width="8.1640625" style="233" bestFit="1" customWidth="1"/>
    <col min="15385" max="15385" width="10.83203125" style="233" bestFit="1" customWidth="1"/>
    <col min="15386" max="15386" width="12.27734375" style="233" bestFit="1" customWidth="1"/>
    <col min="15387" max="15387" width="18.27734375" style="233" bestFit="1" customWidth="1"/>
    <col min="15388" max="15388" width="10.83203125" style="233" bestFit="1" customWidth="1"/>
    <col min="15389" max="15624" width="8.83203125" style="233"/>
    <col min="15625" max="15625" width="38.27734375" style="233" customWidth="1"/>
    <col min="15626" max="15626" width="23.44140625" style="233" bestFit="1" customWidth="1"/>
    <col min="15627" max="15628" width="9.1640625" style="233" customWidth="1"/>
    <col min="15629" max="15629" width="11.27734375" style="233" bestFit="1" customWidth="1"/>
    <col min="15630" max="15630" width="14.44140625" style="233" bestFit="1" customWidth="1"/>
    <col min="15631" max="15631" width="8.1640625" style="233" customWidth="1"/>
    <col min="15632" max="15632" width="10.83203125" style="233" bestFit="1" customWidth="1"/>
    <col min="15633" max="15633" width="12.27734375" style="233" bestFit="1" customWidth="1"/>
    <col min="15634" max="15634" width="9.1640625" style="233" customWidth="1"/>
    <col min="15635" max="15635" width="10.83203125" style="233" bestFit="1" customWidth="1"/>
    <col min="15636" max="15636" width="12.27734375" style="233" bestFit="1" customWidth="1"/>
    <col min="15637" max="15637" width="8" style="233" customWidth="1"/>
    <col min="15638" max="15638" width="10.83203125" style="233" bestFit="1" customWidth="1"/>
    <col min="15639" max="15639" width="12.27734375" style="233" bestFit="1" customWidth="1"/>
    <col min="15640" max="15640" width="8.1640625" style="233" bestFit="1" customWidth="1"/>
    <col min="15641" max="15641" width="10.83203125" style="233" bestFit="1" customWidth="1"/>
    <col min="15642" max="15642" width="12.27734375" style="233" bestFit="1" customWidth="1"/>
    <col min="15643" max="15643" width="18.27734375" style="233" bestFit="1" customWidth="1"/>
    <col min="15644" max="15644" width="10.83203125" style="233" bestFit="1" customWidth="1"/>
    <col min="15645" max="15880" width="8.83203125" style="233"/>
    <col min="15881" max="15881" width="38.27734375" style="233" customWidth="1"/>
    <col min="15882" max="15882" width="23.44140625" style="233" bestFit="1" customWidth="1"/>
    <col min="15883" max="15884" width="9.1640625" style="233" customWidth="1"/>
    <col min="15885" max="15885" width="11.27734375" style="233" bestFit="1" customWidth="1"/>
    <col min="15886" max="15886" width="14.44140625" style="233" bestFit="1" customWidth="1"/>
    <col min="15887" max="15887" width="8.1640625" style="233" customWidth="1"/>
    <col min="15888" max="15888" width="10.83203125" style="233" bestFit="1" customWidth="1"/>
    <col min="15889" max="15889" width="12.27734375" style="233" bestFit="1" customWidth="1"/>
    <col min="15890" max="15890" width="9.1640625" style="233" customWidth="1"/>
    <col min="15891" max="15891" width="10.83203125" style="233" bestFit="1" customWidth="1"/>
    <col min="15892" max="15892" width="12.27734375" style="233" bestFit="1" customWidth="1"/>
    <col min="15893" max="15893" width="8" style="233" customWidth="1"/>
    <col min="15894" max="15894" width="10.83203125" style="233" bestFit="1" customWidth="1"/>
    <col min="15895" max="15895" width="12.27734375" style="233" bestFit="1" customWidth="1"/>
    <col min="15896" max="15896" width="8.1640625" style="233" bestFit="1" customWidth="1"/>
    <col min="15897" max="15897" width="10.83203125" style="233" bestFit="1" customWidth="1"/>
    <col min="15898" max="15898" width="12.27734375" style="233" bestFit="1" customWidth="1"/>
    <col min="15899" max="15899" width="18.27734375" style="233" bestFit="1" customWidth="1"/>
    <col min="15900" max="15900" width="10.83203125" style="233" bestFit="1" customWidth="1"/>
    <col min="15901" max="16136" width="8.83203125" style="233"/>
    <col min="16137" max="16137" width="38.27734375" style="233" customWidth="1"/>
    <col min="16138" max="16138" width="23.44140625" style="233" bestFit="1" customWidth="1"/>
    <col min="16139" max="16140" width="9.1640625" style="233" customWidth="1"/>
    <col min="16141" max="16141" width="11.27734375" style="233" bestFit="1" customWidth="1"/>
    <col min="16142" max="16142" width="14.44140625" style="233" bestFit="1" customWidth="1"/>
    <col min="16143" max="16143" width="8.1640625" style="233" customWidth="1"/>
    <col min="16144" max="16144" width="10.83203125" style="233" bestFit="1" customWidth="1"/>
    <col min="16145" max="16145" width="12.27734375" style="233" bestFit="1" customWidth="1"/>
    <col min="16146" max="16146" width="9.1640625" style="233" customWidth="1"/>
    <col min="16147" max="16147" width="10.83203125" style="233" bestFit="1" customWidth="1"/>
    <col min="16148" max="16148" width="12.27734375" style="233" bestFit="1" customWidth="1"/>
    <col min="16149" max="16149" width="8" style="233" customWidth="1"/>
    <col min="16150" max="16150" width="10.83203125" style="233" bestFit="1" customWidth="1"/>
    <col min="16151" max="16151" width="12.27734375" style="233" bestFit="1" customWidth="1"/>
    <col min="16152" max="16152" width="8.1640625" style="233" bestFit="1" customWidth="1"/>
    <col min="16153" max="16153" width="10.83203125" style="233" bestFit="1" customWidth="1"/>
    <col min="16154" max="16154" width="12.27734375" style="233" bestFit="1" customWidth="1"/>
    <col min="16155" max="16155" width="18.27734375" style="233" bestFit="1" customWidth="1"/>
    <col min="16156" max="16156" width="10.83203125" style="233" bestFit="1" customWidth="1"/>
    <col min="16157" max="16384" width="8.83203125" style="233"/>
  </cols>
  <sheetData>
    <row r="1" spans="1:36" ht="14.7" thickBot="1"/>
    <row r="2" spans="1:36" ht="23.5" customHeight="1">
      <c r="A2" s="595" t="s">
        <v>63</v>
      </c>
      <c r="B2" s="591" t="s">
        <v>64</v>
      </c>
      <c r="C2" s="584" t="s">
        <v>65</v>
      </c>
      <c r="D2" s="585"/>
      <c r="E2" s="585"/>
      <c r="F2" s="586"/>
      <c r="G2" s="584" t="s">
        <v>66</v>
      </c>
      <c r="H2" s="585"/>
      <c r="I2" s="585"/>
      <c r="J2" s="586"/>
      <c r="K2" s="584" t="s">
        <v>67</v>
      </c>
      <c r="L2" s="585"/>
      <c r="M2" s="585"/>
      <c r="N2" s="586"/>
      <c r="O2" s="584" t="s">
        <v>68</v>
      </c>
      <c r="P2" s="585"/>
      <c r="Q2" s="585"/>
      <c r="R2" s="586"/>
      <c r="S2" s="584" t="s">
        <v>69</v>
      </c>
      <c r="T2" s="585"/>
      <c r="U2" s="585"/>
      <c r="V2" s="586"/>
      <c r="W2" s="587" t="s">
        <v>70</v>
      </c>
      <c r="AE2" s="239"/>
    </row>
    <row r="3" spans="1:36" ht="47.65" customHeight="1">
      <c r="A3" s="596"/>
      <c r="B3" s="592"/>
      <c r="C3" s="240" t="s">
        <v>71</v>
      </c>
      <c r="D3" s="241" t="s">
        <v>72</v>
      </c>
      <c r="E3" s="242" t="s">
        <v>73</v>
      </c>
      <c r="F3" s="243" t="s">
        <v>70</v>
      </c>
      <c r="G3" s="240" t="s">
        <v>71</v>
      </c>
      <c r="H3" s="241" t="s">
        <v>72</v>
      </c>
      <c r="I3" s="244" t="s">
        <v>73</v>
      </c>
      <c r="J3" s="245" t="s">
        <v>70</v>
      </c>
      <c r="K3" s="240" t="s">
        <v>71</v>
      </c>
      <c r="L3" s="241" t="s">
        <v>72</v>
      </c>
      <c r="M3" s="242" t="s">
        <v>73</v>
      </c>
      <c r="N3" s="245" t="s">
        <v>70</v>
      </c>
      <c r="O3" s="240" t="s">
        <v>71</v>
      </c>
      <c r="P3" s="241" t="s">
        <v>72</v>
      </c>
      <c r="Q3" s="244" t="s">
        <v>73</v>
      </c>
      <c r="R3" s="245" t="s">
        <v>70</v>
      </c>
      <c r="S3" s="240" t="s">
        <v>71</v>
      </c>
      <c r="T3" s="241" t="s">
        <v>72</v>
      </c>
      <c r="U3" s="244" t="s">
        <v>73</v>
      </c>
      <c r="V3" s="245" t="s">
        <v>70</v>
      </c>
      <c r="W3" s="588"/>
      <c r="AE3" s="239"/>
      <c r="AF3" s="233" t="s">
        <v>113</v>
      </c>
    </row>
    <row r="4" spans="1:36" ht="20.399999999999999">
      <c r="A4" s="402" t="s">
        <v>74</v>
      </c>
      <c r="B4" s="246"/>
      <c r="C4" s="247"/>
      <c r="D4" s="248"/>
      <c r="E4" s="249"/>
      <c r="F4" s="250"/>
      <c r="G4" s="247"/>
      <c r="H4" s="248"/>
      <c r="I4" s="251"/>
      <c r="J4" s="252"/>
      <c r="K4" s="247"/>
      <c r="L4" s="248"/>
      <c r="M4" s="249"/>
      <c r="N4" s="252"/>
      <c r="O4" s="253"/>
      <c r="P4" s="248"/>
      <c r="Q4" s="251"/>
      <c r="R4" s="252"/>
      <c r="S4" s="253"/>
      <c r="T4" s="248"/>
      <c r="U4" s="251"/>
      <c r="V4" s="254"/>
      <c r="W4" s="252"/>
      <c r="AE4" s="255" t="s">
        <v>114</v>
      </c>
      <c r="AF4" s="255" t="s">
        <v>115</v>
      </c>
      <c r="AG4" s="255" t="s">
        <v>116</v>
      </c>
    </row>
    <row r="5" spans="1:36" s="266" customFormat="1" ht="15" customHeight="1" outlineLevel="1">
      <c r="A5" s="256" t="s">
        <v>48</v>
      </c>
      <c r="B5" s="257"/>
      <c r="C5" s="258"/>
      <c r="D5" s="259"/>
      <c r="E5" s="260"/>
      <c r="F5" s="261"/>
      <c r="G5" s="258"/>
      <c r="H5" s="259"/>
      <c r="I5" s="262"/>
      <c r="J5" s="263"/>
      <c r="K5" s="258"/>
      <c r="L5" s="259"/>
      <c r="M5" s="260"/>
      <c r="N5" s="263"/>
      <c r="O5" s="258"/>
      <c r="P5" s="259"/>
      <c r="Q5" s="262"/>
      <c r="R5" s="263"/>
      <c r="S5" s="258"/>
      <c r="T5" s="259"/>
      <c r="U5" s="262"/>
      <c r="V5" s="263"/>
      <c r="W5" s="264"/>
      <c r="X5" s="265"/>
      <c r="Y5" s="233"/>
      <c r="Z5" s="233"/>
      <c r="AA5" s="233"/>
      <c r="AB5" s="233"/>
      <c r="AC5" s="233"/>
      <c r="AD5" s="233"/>
      <c r="AE5" s="239"/>
    </row>
    <row r="6" spans="1:36" s="266" customFormat="1" ht="15.6" outlineLevel="1">
      <c r="A6" s="267" t="s">
        <v>75</v>
      </c>
      <c r="B6" s="268"/>
      <c r="C6" s="258"/>
      <c r="D6" s="259"/>
      <c r="E6" s="260"/>
      <c r="F6" s="261"/>
      <c r="G6" s="258"/>
      <c r="H6" s="259"/>
      <c r="I6" s="262"/>
      <c r="J6" s="263"/>
      <c r="K6" s="258"/>
      <c r="L6" s="259"/>
      <c r="M6" s="260"/>
      <c r="N6" s="263"/>
      <c r="O6" s="258"/>
      <c r="P6" s="259"/>
      <c r="Q6" s="262"/>
      <c r="R6" s="263"/>
      <c r="S6" s="258"/>
      <c r="T6" s="259"/>
      <c r="U6" s="262"/>
      <c r="V6" s="263"/>
      <c r="W6" s="410"/>
      <c r="X6" s="269"/>
      <c r="Y6" s="233"/>
      <c r="Z6" s="233"/>
      <c r="AA6" s="233"/>
      <c r="AB6" s="233"/>
      <c r="AC6" s="233"/>
      <c r="AD6" s="233"/>
      <c r="AE6" s="239"/>
    </row>
    <row r="7" spans="1:36" ht="15" customHeight="1" outlineLevel="1">
      <c r="A7" s="270" t="str">
        <f>'Program Budget'!D12</f>
        <v xml:space="preserve">Key Personnel: Ex-pat Chief of Party </v>
      </c>
      <c r="B7" s="271" t="str">
        <f>'Program Budget'!F13</f>
        <v>Month</v>
      </c>
      <c r="C7" s="272">
        <f>'Program Budget'!H12</f>
        <v>12083.333333333334</v>
      </c>
      <c r="D7" s="273">
        <f>'Program Budget'!G12</f>
        <v>12</v>
      </c>
      <c r="E7" s="274">
        <f>'Program Budget'!E264</f>
        <v>0.2</v>
      </c>
      <c r="F7" s="275">
        <f>C7*D7*E7</f>
        <v>29000</v>
      </c>
      <c r="G7" s="272">
        <f>C7*1.04</f>
        <v>12566.666666666668</v>
      </c>
      <c r="H7" s="273">
        <f>'Program Budget'!K12</f>
        <v>12</v>
      </c>
      <c r="I7" s="276">
        <f>'Program Budget'!J264</f>
        <v>0.25</v>
      </c>
      <c r="J7" s="275">
        <f>G7*H7*I7</f>
        <v>37700</v>
      </c>
      <c r="K7" s="272">
        <f>G7*1.04</f>
        <v>13069.333333333336</v>
      </c>
      <c r="L7" s="273">
        <f>'Program Budget'!N12</f>
        <v>12</v>
      </c>
      <c r="M7" s="276">
        <f>'Program Budget'!M264</f>
        <v>0.25</v>
      </c>
      <c r="N7" s="275">
        <f>K7*L7*M7</f>
        <v>39208.000000000007</v>
      </c>
      <c r="O7" s="272">
        <f>K7*1.04</f>
        <v>13592.10666666667</v>
      </c>
      <c r="P7" s="273">
        <f>'Program Budget'!Q12</f>
        <v>12</v>
      </c>
      <c r="Q7" s="276">
        <f>'Program Budget'!P264</f>
        <v>0.25</v>
      </c>
      <c r="R7" s="275">
        <f>O7*P7*Q7</f>
        <v>40776.320000000007</v>
      </c>
      <c r="S7" s="272">
        <f>O7*1.04</f>
        <v>14135.790933333337</v>
      </c>
      <c r="T7" s="273">
        <f>'Program Budget'!T12</f>
        <v>12</v>
      </c>
      <c r="U7" s="276">
        <f>'Program Budget'!S264</f>
        <v>0.25</v>
      </c>
      <c r="V7" s="275">
        <f>S7*T7*U7</f>
        <v>42407.372800000012</v>
      </c>
      <c r="W7" s="413">
        <f>F7+J7+N7+R7+V7</f>
        <v>189091.69280000002</v>
      </c>
      <c r="X7" s="278"/>
      <c r="Y7" s="265"/>
      <c r="Z7" s="279"/>
      <c r="AA7" s="279"/>
      <c r="AE7" s="239">
        <v>180</v>
      </c>
      <c r="AF7" s="280" t="s">
        <v>117</v>
      </c>
      <c r="AG7" s="280" t="s">
        <v>118</v>
      </c>
      <c r="AH7" s="281"/>
      <c r="AJ7" s="282"/>
    </row>
    <row r="8" spans="1:36" ht="15" customHeight="1" outlineLevel="1">
      <c r="A8" s="285" t="s">
        <v>76</v>
      </c>
      <c r="B8" s="286"/>
      <c r="C8" s="287"/>
      <c r="D8" s="288"/>
      <c r="E8" s="289"/>
      <c r="F8" s="290">
        <f>SUM(F7:F7)</f>
        <v>29000</v>
      </c>
      <c r="G8" s="287"/>
      <c r="H8" s="288"/>
      <c r="I8" s="291"/>
      <c r="J8" s="290">
        <f>SUM(J7:J7)</f>
        <v>37700</v>
      </c>
      <c r="K8" s="287"/>
      <c r="L8" s="288"/>
      <c r="M8" s="289"/>
      <c r="N8" s="290">
        <f>SUM(N7:N7)</f>
        <v>39208.000000000007</v>
      </c>
      <c r="O8" s="287"/>
      <c r="P8" s="288"/>
      <c r="Q8" s="291"/>
      <c r="R8" s="290">
        <f>SUM(R7:R7)</f>
        <v>40776.320000000007</v>
      </c>
      <c r="S8" s="287"/>
      <c r="T8" s="288"/>
      <c r="U8" s="291"/>
      <c r="V8" s="290">
        <f>SUM(V7:V7)</f>
        <v>42407.372800000012</v>
      </c>
      <c r="W8" s="412">
        <f>+F8+J8+N8+R8+V8</f>
        <v>189091.69280000002</v>
      </c>
      <c r="AE8" s="239"/>
      <c r="AF8" s="280"/>
      <c r="AG8" s="280" t="s">
        <v>119</v>
      </c>
    </row>
    <row r="9" spans="1:36" ht="15" customHeight="1" outlineLevel="1">
      <c r="A9" s="267" t="s">
        <v>83</v>
      </c>
      <c r="B9" s="293"/>
      <c r="C9" s="294"/>
      <c r="D9" s="295"/>
      <c r="E9" s="296"/>
      <c r="F9" s="275"/>
      <c r="G9" s="294"/>
      <c r="H9" s="295"/>
      <c r="I9" s="297"/>
      <c r="J9" s="277"/>
      <c r="K9" s="294"/>
      <c r="L9" s="295"/>
      <c r="M9" s="296"/>
      <c r="N9" s="277"/>
      <c r="O9" s="294"/>
      <c r="P9" s="295"/>
      <c r="Q9" s="297"/>
      <c r="R9" s="277"/>
      <c r="S9" s="294"/>
      <c r="T9" s="295"/>
      <c r="U9" s="297"/>
      <c r="V9" s="277"/>
      <c r="W9" s="429"/>
      <c r="X9" s="269"/>
      <c r="AE9" s="239"/>
      <c r="AF9" s="280"/>
      <c r="AG9" s="280" t="s">
        <v>119</v>
      </c>
      <c r="AJ9" s="282"/>
    </row>
    <row r="10" spans="1:36" ht="15" customHeight="1" outlineLevel="1">
      <c r="A10" s="270" t="str">
        <f>'Program Budget'!D13</f>
        <v>Deputy Chief of Party</v>
      </c>
      <c r="B10" s="271" t="str">
        <f>'Program Budget'!F12</f>
        <v>Month</v>
      </c>
      <c r="C10" s="272">
        <f>'Program Budget'!H13</f>
        <v>7500</v>
      </c>
      <c r="D10" s="273">
        <f>'Program Budget'!G13</f>
        <v>6</v>
      </c>
      <c r="E10" s="274">
        <f>'Program Budget'!E265</f>
        <v>0.1</v>
      </c>
      <c r="F10" s="275">
        <f>C10*D10*E10</f>
        <v>4500</v>
      </c>
      <c r="G10" s="272">
        <f>C10*1.04</f>
        <v>7800</v>
      </c>
      <c r="H10" s="273">
        <f>'Program Budget'!K13</f>
        <v>12</v>
      </c>
      <c r="I10" s="276">
        <f>'Program Budget'!J265</f>
        <v>0.1</v>
      </c>
      <c r="J10" s="275">
        <f>G10*H10*I10</f>
        <v>9360</v>
      </c>
      <c r="K10" s="272">
        <f>G10*1.04</f>
        <v>8112</v>
      </c>
      <c r="L10" s="273">
        <f>'Program Budget'!N13</f>
        <v>12</v>
      </c>
      <c r="M10" s="276">
        <f>'Program Budget'!M265</f>
        <v>0.1</v>
      </c>
      <c r="N10" s="275">
        <f>K10*L10*M10</f>
        <v>9734.4</v>
      </c>
      <c r="O10" s="272">
        <f>K10*1.04</f>
        <v>8436.48</v>
      </c>
      <c r="P10" s="273">
        <f>'Program Budget'!Q13</f>
        <v>12</v>
      </c>
      <c r="Q10" s="276">
        <f>'Program Budget'!P265</f>
        <v>0.1</v>
      </c>
      <c r="R10" s="275">
        <f>O10*P10*Q10</f>
        <v>10123.776</v>
      </c>
      <c r="S10" s="272">
        <f>O10*1.04</f>
        <v>8773.9392000000007</v>
      </c>
      <c r="T10" s="273">
        <f>'Program Budget'!T13</f>
        <v>6</v>
      </c>
      <c r="U10" s="276">
        <f>'Program Budget'!S265</f>
        <v>0.1</v>
      </c>
      <c r="V10" s="275">
        <f>S10*T10*U10</f>
        <v>5264.3635200000008</v>
      </c>
      <c r="W10" s="411">
        <f>F10+J10+N10+R10+V10</f>
        <v>38982.539519999998</v>
      </c>
      <c r="X10" s="278"/>
      <c r="Y10" s="265"/>
      <c r="Z10" s="279"/>
      <c r="AA10" s="279"/>
      <c r="AE10" s="239">
        <v>180</v>
      </c>
      <c r="AF10" s="280" t="s">
        <v>117</v>
      </c>
      <c r="AG10" s="280" t="s">
        <v>118</v>
      </c>
      <c r="AH10" s="281"/>
      <c r="AJ10" s="282"/>
    </row>
    <row r="11" spans="1:36" ht="15" customHeight="1" outlineLevel="1">
      <c r="A11" s="270" t="str">
        <f>'Program Budget'!D266</f>
        <v>Technical Lead Component 1</v>
      </c>
      <c r="B11" s="271" t="str">
        <f>'Program Budget'!F266</f>
        <v>Month</v>
      </c>
      <c r="C11" s="272">
        <f>'Program Budget'!H266</f>
        <v>3333.3333333333335</v>
      </c>
      <c r="D11" s="273">
        <f>'Program Budget'!G266</f>
        <v>6</v>
      </c>
      <c r="E11" s="274">
        <f>'Program Budget'!E266</f>
        <v>0</v>
      </c>
      <c r="F11" s="275">
        <f t="shared" ref="F11:F26" si="0">C11*D11*E11</f>
        <v>0</v>
      </c>
      <c r="G11" s="272">
        <f t="shared" ref="G11:G26" si="1">C11*1.04</f>
        <v>3466.666666666667</v>
      </c>
      <c r="H11" s="273">
        <f>'Program Budget'!K266</f>
        <v>12</v>
      </c>
      <c r="I11" s="276">
        <f>'Program Budget'!J266</f>
        <v>0</v>
      </c>
      <c r="J11" s="275">
        <f t="shared" ref="J11:J26" si="2">G11*H11*I11</f>
        <v>0</v>
      </c>
      <c r="K11" s="272">
        <f t="shared" ref="K11:K26" si="3">G11*1.04</f>
        <v>3605.3333333333339</v>
      </c>
      <c r="L11" s="273">
        <f>'Program Budget'!N266</f>
        <v>12</v>
      </c>
      <c r="M11" s="276">
        <f>'Program Budget'!M266</f>
        <v>0</v>
      </c>
      <c r="N11" s="275">
        <f t="shared" ref="N11:N26" si="4">K11*L11*M11</f>
        <v>0</v>
      </c>
      <c r="O11" s="272">
        <f t="shared" ref="O11:O26" si="5">K11*1.04</f>
        <v>3749.5466666666675</v>
      </c>
      <c r="P11" s="273">
        <f>'Program Budget'!Q266</f>
        <v>12</v>
      </c>
      <c r="Q11" s="276">
        <f>'Program Budget'!P266</f>
        <v>0</v>
      </c>
      <c r="R11" s="275">
        <f t="shared" ref="R11:R26" si="6">O11*P11*Q11</f>
        <v>0</v>
      </c>
      <c r="S11" s="272">
        <f t="shared" ref="S11:S26" si="7">O11*1.04</f>
        <v>3899.5285333333345</v>
      </c>
      <c r="T11" s="273">
        <f>'Program Budget'!T266</f>
        <v>9</v>
      </c>
      <c r="U11" s="276">
        <f>'Program Budget'!S266</f>
        <v>0</v>
      </c>
      <c r="V11" s="275">
        <f t="shared" ref="V11:V26" si="8">S11*T11*U11</f>
        <v>0</v>
      </c>
      <c r="W11" s="411">
        <f t="shared" ref="W11:W26" si="9">F11+J11+N11+R11+V11</f>
        <v>0</v>
      </c>
      <c r="X11" s="278"/>
      <c r="Y11" s="265"/>
      <c r="Z11" s="279"/>
      <c r="AA11" s="279"/>
      <c r="AE11" s="239">
        <v>180</v>
      </c>
      <c r="AF11" s="280" t="s">
        <v>117</v>
      </c>
      <c r="AG11" s="280" t="s">
        <v>118</v>
      </c>
      <c r="AH11" s="281"/>
      <c r="AJ11" s="282"/>
    </row>
    <row r="12" spans="1:36" ht="15" customHeight="1" outlineLevel="1">
      <c r="A12" s="270" t="str">
        <f>'Program Budget'!D267</f>
        <v>Technical Lead Component 2</v>
      </c>
      <c r="B12" s="271" t="str">
        <f>'Program Budget'!F267</f>
        <v>Month</v>
      </c>
      <c r="C12" s="272">
        <f>'Program Budget'!H267</f>
        <v>3333.3333333333335</v>
      </c>
      <c r="D12" s="273">
        <f>'Program Budget'!G267</f>
        <v>6</v>
      </c>
      <c r="E12" s="274">
        <f>'Program Budget'!E267</f>
        <v>0</v>
      </c>
      <c r="F12" s="275">
        <f t="shared" si="0"/>
        <v>0</v>
      </c>
      <c r="G12" s="272">
        <f t="shared" si="1"/>
        <v>3466.666666666667</v>
      </c>
      <c r="H12" s="273">
        <f>'Program Budget'!K267</f>
        <v>12</v>
      </c>
      <c r="I12" s="276">
        <f>'Program Budget'!J267</f>
        <v>0</v>
      </c>
      <c r="J12" s="275">
        <f t="shared" si="2"/>
        <v>0</v>
      </c>
      <c r="K12" s="272">
        <f t="shared" si="3"/>
        <v>3605.3333333333339</v>
      </c>
      <c r="L12" s="273">
        <f>'Program Budget'!N267</f>
        <v>12</v>
      </c>
      <c r="M12" s="276">
        <f>'Program Budget'!M267</f>
        <v>0</v>
      </c>
      <c r="N12" s="275">
        <f t="shared" si="4"/>
        <v>0</v>
      </c>
      <c r="O12" s="272">
        <f t="shared" si="5"/>
        <v>3749.5466666666675</v>
      </c>
      <c r="P12" s="273">
        <f>'Program Budget'!Q267</f>
        <v>12</v>
      </c>
      <c r="Q12" s="276">
        <f>'Program Budget'!P267</f>
        <v>0</v>
      </c>
      <c r="R12" s="275">
        <f t="shared" si="6"/>
        <v>0</v>
      </c>
      <c r="S12" s="272">
        <f t="shared" si="7"/>
        <v>3899.5285333333345</v>
      </c>
      <c r="T12" s="273">
        <f>'Program Budget'!T267</f>
        <v>9</v>
      </c>
      <c r="U12" s="276">
        <f>'Program Budget'!S267</f>
        <v>0</v>
      </c>
      <c r="V12" s="275">
        <f t="shared" si="8"/>
        <v>0</v>
      </c>
      <c r="W12" s="411">
        <f t="shared" si="9"/>
        <v>0</v>
      </c>
      <c r="X12" s="278"/>
      <c r="Y12" s="265"/>
      <c r="Z12" s="279"/>
      <c r="AA12" s="279"/>
      <c r="AE12" s="239">
        <v>180</v>
      </c>
      <c r="AF12" s="280" t="s">
        <v>117</v>
      </c>
      <c r="AG12" s="280" t="s">
        <v>118</v>
      </c>
      <c r="AH12" s="281"/>
      <c r="AJ12" s="282"/>
    </row>
    <row r="13" spans="1:36" ht="15" customHeight="1" outlineLevel="1">
      <c r="A13" s="270" t="str">
        <f>'Program Budget'!D268</f>
        <v>Technical Lead Component 3</v>
      </c>
      <c r="B13" s="271" t="str">
        <f>'Program Budget'!F268</f>
        <v>Month</v>
      </c>
      <c r="C13" s="272">
        <f>'Program Budget'!H268</f>
        <v>3333.3333333333335</v>
      </c>
      <c r="D13" s="273">
        <f>'Program Budget'!G268</f>
        <v>6</v>
      </c>
      <c r="E13" s="274">
        <f>'Program Budget'!E268</f>
        <v>0.75</v>
      </c>
      <c r="F13" s="275">
        <f t="shared" si="0"/>
        <v>15000</v>
      </c>
      <c r="G13" s="272">
        <f t="shared" si="1"/>
        <v>3466.666666666667</v>
      </c>
      <c r="H13" s="273">
        <f>'Program Budget'!K268</f>
        <v>12</v>
      </c>
      <c r="I13" s="276">
        <f>'Program Budget'!J268</f>
        <v>1</v>
      </c>
      <c r="J13" s="275">
        <f t="shared" si="2"/>
        <v>41600</v>
      </c>
      <c r="K13" s="272">
        <f t="shared" si="3"/>
        <v>3605.3333333333339</v>
      </c>
      <c r="L13" s="273">
        <f>'Program Budget'!N268</f>
        <v>12</v>
      </c>
      <c r="M13" s="276">
        <f>'Program Budget'!M268</f>
        <v>1</v>
      </c>
      <c r="N13" s="275">
        <f t="shared" si="4"/>
        <v>43264.000000000007</v>
      </c>
      <c r="O13" s="272">
        <f t="shared" si="5"/>
        <v>3749.5466666666675</v>
      </c>
      <c r="P13" s="273">
        <f>'Program Budget'!Q268</f>
        <v>12</v>
      </c>
      <c r="Q13" s="276">
        <f>'Program Budget'!P268</f>
        <v>1</v>
      </c>
      <c r="R13" s="275">
        <f t="shared" si="6"/>
        <v>44994.560000000012</v>
      </c>
      <c r="S13" s="272">
        <f t="shared" si="7"/>
        <v>3899.5285333333345</v>
      </c>
      <c r="T13" s="273">
        <f>'Program Budget'!T268</f>
        <v>9</v>
      </c>
      <c r="U13" s="276">
        <f>'Program Budget'!S268</f>
        <v>1</v>
      </c>
      <c r="V13" s="275">
        <f t="shared" si="8"/>
        <v>35095.75680000001</v>
      </c>
      <c r="W13" s="411">
        <f t="shared" si="9"/>
        <v>179954.3168</v>
      </c>
      <c r="X13" s="278"/>
      <c r="Y13" s="265"/>
      <c r="Z13" s="279"/>
      <c r="AA13" s="279"/>
      <c r="AE13" s="239">
        <v>180</v>
      </c>
      <c r="AF13" s="280" t="s">
        <v>117</v>
      </c>
      <c r="AG13" s="280" t="s">
        <v>118</v>
      </c>
      <c r="AH13" s="281"/>
      <c r="AJ13" s="282"/>
    </row>
    <row r="14" spans="1:36" ht="15" customHeight="1" outlineLevel="1">
      <c r="A14" s="270" t="str">
        <f>'Program Budget'!D269</f>
        <v>Specialist Component 2</v>
      </c>
      <c r="B14" s="271" t="str">
        <f>'Program Budget'!F269</f>
        <v>Month</v>
      </c>
      <c r="C14" s="272">
        <f>'Program Budget'!H269</f>
        <v>1666.6666666666667</v>
      </c>
      <c r="D14" s="273">
        <f>'Program Budget'!G269</f>
        <v>6</v>
      </c>
      <c r="E14" s="274">
        <f>'Program Budget'!E269</f>
        <v>0</v>
      </c>
      <c r="F14" s="275">
        <f t="shared" ref="F14:F21" si="10">C14*D14*E14</f>
        <v>0</v>
      </c>
      <c r="G14" s="272">
        <f t="shared" ref="G14:G21" si="11">C14*1.04</f>
        <v>1733.3333333333335</v>
      </c>
      <c r="H14" s="273">
        <f>'Program Budget'!K269</f>
        <v>12</v>
      </c>
      <c r="I14" s="276">
        <f>'Program Budget'!J269</f>
        <v>0</v>
      </c>
      <c r="J14" s="275">
        <f t="shared" ref="J14:J21" si="12">G14*H14*I14</f>
        <v>0</v>
      </c>
      <c r="K14" s="272">
        <f t="shared" ref="K14:K21" si="13">G14*1.04</f>
        <v>1802.666666666667</v>
      </c>
      <c r="L14" s="273">
        <f>'Program Budget'!N269</f>
        <v>12</v>
      </c>
      <c r="M14" s="276">
        <f>'Program Budget'!M269</f>
        <v>0</v>
      </c>
      <c r="N14" s="275">
        <f t="shared" ref="N14:N21" si="14">K14*L14*M14</f>
        <v>0</v>
      </c>
      <c r="O14" s="272">
        <f t="shared" ref="O14:O21" si="15">K14*1.04</f>
        <v>1874.7733333333338</v>
      </c>
      <c r="P14" s="273">
        <f>'Program Budget'!Q269</f>
        <v>12</v>
      </c>
      <c r="Q14" s="276">
        <f>'Program Budget'!P269</f>
        <v>0</v>
      </c>
      <c r="R14" s="275">
        <f t="shared" ref="R14:R21" si="16">O14*P14*Q14</f>
        <v>0</v>
      </c>
      <c r="S14" s="272">
        <f t="shared" ref="S14:S21" si="17">O14*1.04</f>
        <v>1949.7642666666673</v>
      </c>
      <c r="T14" s="273">
        <f>'Program Budget'!T269</f>
        <v>6</v>
      </c>
      <c r="U14" s="276">
        <f>'Program Budget'!S269</f>
        <v>0</v>
      </c>
      <c r="V14" s="275">
        <f t="shared" ref="V14:V21" si="18">S14*T14*U14</f>
        <v>0</v>
      </c>
      <c r="W14" s="411">
        <f t="shared" ref="W14:W21" si="19">F14+J14+N14+R14+V14</f>
        <v>0</v>
      </c>
      <c r="X14" s="278"/>
      <c r="Y14" s="265"/>
      <c r="Z14" s="279"/>
      <c r="AA14" s="279"/>
      <c r="AE14" s="239"/>
      <c r="AF14" s="280"/>
      <c r="AG14" s="280"/>
      <c r="AH14" s="281"/>
      <c r="AJ14" s="282"/>
    </row>
    <row r="15" spans="1:36" ht="15" customHeight="1" outlineLevel="1">
      <c r="A15" s="270" t="str">
        <f>'Program Budget'!D270</f>
        <v>Specialist Component 3</v>
      </c>
      <c r="B15" s="271" t="str">
        <f>'Program Budget'!F270</f>
        <v>Month</v>
      </c>
      <c r="C15" s="272">
        <f>'Program Budget'!H270</f>
        <v>1666.6666666666667</v>
      </c>
      <c r="D15" s="273">
        <f>'Program Budget'!G270</f>
        <v>6</v>
      </c>
      <c r="E15" s="274">
        <f>'Program Budget'!E270</f>
        <v>0.8</v>
      </c>
      <c r="F15" s="275">
        <f t="shared" si="10"/>
        <v>8000</v>
      </c>
      <c r="G15" s="272">
        <f t="shared" si="11"/>
        <v>1733.3333333333335</v>
      </c>
      <c r="H15" s="273">
        <f>'Program Budget'!K270</f>
        <v>12</v>
      </c>
      <c r="I15" s="276">
        <f>'Program Budget'!J270</f>
        <v>1</v>
      </c>
      <c r="J15" s="275">
        <f t="shared" si="12"/>
        <v>20800</v>
      </c>
      <c r="K15" s="272">
        <f t="shared" si="13"/>
        <v>1802.666666666667</v>
      </c>
      <c r="L15" s="273">
        <f>'Program Budget'!N270</f>
        <v>12</v>
      </c>
      <c r="M15" s="276">
        <f>'Program Budget'!M270</f>
        <v>1</v>
      </c>
      <c r="N15" s="275">
        <f t="shared" si="14"/>
        <v>21632.000000000004</v>
      </c>
      <c r="O15" s="272">
        <f t="shared" si="15"/>
        <v>1874.7733333333338</v>
      </c>
      <c r="P15" s="273">
        <f>'Program Budget'!Q270</f>
        <v>12</v>
      </c>
      <c r="Q15" s="276">
        <f>'Program Budget'!P270</f>
        <v>1</v>
      </c>
      <c r="R15" s="275">
        <f t="shared" si="16"/>
        <v>22497.280000000006</v>
      </c>
      <c r="S15" s="272">
        <f t="shared" si="17"/>
        <v>1949.7642666666673</v>
      </c>
      <c r="T15" s="273">
        <f>'Program Budget'!T270</f>
        <v>6</v>
      </c>
      <c r="U15" s="276">
        <f>'Program Budget'!S270</f>
        <v>1</v>
      </c>
      <c r="V15" s="275">
        <f t="shared" si="18"/>
        <v>11698.585600000004</v>
      </c>
      <c r="W15" s="411">
        <f t="shared" si="19"/>
        <v>84627.865600000005</v>
      </c>
      <c r="X15" s="278"/>
      <c r="Y15" s="265"/>
      <c r="Z15" s="279"/>
      <c r="AA15" s="279"/>
      <c r="AE15" s="239"/>
      <c r="AF15" s="280"/>
      <c r="AG15" s="280"/>
      <c r="AH15" s="281"/>
      <c r="AJ15" s="282"/>
    </row>
    <row r="16" spans="1:36" ht="15" customHeight="1" outlineLevel="1">
      <c r="A16" s="270" t="str">
        <f>'Program Budget'!D271</f>
        <v>Specialist Component 4</v>
      </c>
      <c r="B16" s="271" t="str">
        <f>'Program Budget'!F271</f>
        <v>Month</v>
      </c>
      <c r="C16" s="272">
        <f>'Program Budget'!H271</f>
        <v>1666.6666666666667</v>
      </c>
      <c r="D16" s="273">
        <f>'Program Budget'!G271</f>
        <v>6</v>
      </c>
      <c r="E16" s="274">
        <f>'Program Budget'!E271</f>
        <v>0</v>
      </c>
      <c r="F16" s="275">
        <f t="shared" si="10"/>
        <v>0</v>
      </c>
      <c r="G16" s="272">
        <f t="shared" si="11"/>
        <v>1733.3333333333335</v>
      </c>
      <c r="H16" s="273">
        <f>'Program Budget'!K271</f>
        <v>12</v>
      </c>
      <c r="I16" s="276">
        <f>'Program Budget'!J271</f>
        <v>0</v>
      </c>
      <c r="J16" s="275">
        <f t="shared" si="12"/>
        <v>0</v>
      </c>
      <c r="K16" s="272">
        <f t="shared" si="13"/>
        <v>1802.666666666667</v>
      </c>
      <c r="L16" s="273">
        <f>'Program Budget'!N271</f>
        <v>12</v>
      </c>
      <c r="M16" s="276">
        <f>'Program Budget'!M271</f>
        <v>0</v>
      </c>
      <c r="N16" s="275">
        <f t="shared" si="14"/>
        <v>0</v>
      </c>
      <c r="O16" s="272">
        <f t="shared" si="15"/>
        <v>1874.7733333333338</v>
      </c>
      <c r="P16" s="273">
        <f>'Program Budget'!Q271</f>
        <v>12</v>
      </c>
      <c r="Q16" s="276">
        <f>'Program Budget'!P271</f>
        <v>0</v>
      </c>
      <c r="R16" s="275">
        <f t="shared" si="16"/>
        <v>0</v>
      </c>
      <c r="S16" s="272">
        <f t="shared" si="17"/>
        <v>1949.7642666666673</v>
      </c>
      <c r="T16" s="273">
        <f>'Program Budget'!T271</f>
        <v>6</v>
      </c>
      <c r="U16" s="276">
        <f>'Program Budget'!S271</f>
        <v>0</v>
      </c>
      <c r="V16" s="275">
        <f t="shared" si="18"/>
        <v>0</v>
      </c>
      <c r="W16" s="411">
        <f t="shared" si="19"/>
        <v>0</v>
      </c>
      <c r="X16" s="278"/>
      <c r="Y16" s="265"/>
      <c r="Z16" s="279"/>
      <c r="AA16" s="279"/>
      <c r="AE16" s="239"/>
      <c r="AF16" s="280"/>
      <c r="AG16" s="280"/>
      <c r="AH16" s="281"/>
      <c r="AJ16" s="282"/>
    </row>
    <row r="17" spans="1:36" ht="15" customHeight="1" outlineLevel="1">
      <c r="A17" s="270" t="str">
        <f>'Program Budget'!D272</f>
        <v>Extension Agents (20 Individuals)</v>
      </c>
      <c r="B17" s="271" t="str">
        <f>'Program Budget'!F272</f>
        <v>Month</v>
      </c>
      <c r="C17" s="272">
        <f>'Program Budget'!H272</f>
        <v>23333.333333333336</v>
      </c>
      <c r="D17" s="273">
        <f>'Program Budget'!G272</f>
        <v>3</v>
      </c>
      <c r="E17" s="274">
        <f>'Program Budget'!E272</f>
        <v>0.2</v>
      </c>
      <c r="F17" s="275">
        <f t="shared" si="10"/>
        <v>14000</v>
      </c>
      <c r="G17" s="272">
        <f t="shared" si="11"/>
        <v>24266.666666666672</v>
      </c>
      <c r="H17" s="273">
        <f>'Program Budget'!K272</f>
        <v>12</v>
      </c>
      <c r="I17" s="276">
        <f>'Program Budget'!J272</f>
        <v>0.2</v>
      </c>
      <c r="J17" s="275">
        <f t="shared" si="12"/>
        <v>58240.000000000015</v>
      </c>
      <c r="K17" s="272">
        <f t="shared" si="13"/>
        <v>25237.333333333339</v>
      </c>
      <c r="L17" s="273">
        <f>'Program Budget'!N272</f>
        <v>6</v>
      </c>
      <c r="M17" s="276">
        <f>'Program Budget'!M272</f>
        <v>0.2</v>
      </c>
      <c r="N17" s="275">
        <f t="shared" si="14"/>
        <v>30284.800000000007</v>
      </c>
      <c r="O17" s="272">
        <f t="shared" si="15"/>
        <v>26246.826666666675</v>
      </c>
      <c r="P17" s="273">
        <f>'Program Budget'!Q272</f>
        <v>0</v>
      </c>
      <c r="Q17" s="276">
        <f>'Program Budget'!P272</f>
        <v>0</v>
      </c>
      <c r="R17" s="275">
        <f t="shared" si="16"/>
        <v>0</v>
      </c>
      <c r="S17" s="272">
        <f t="shared" si="17"/>
        <v>27296.699733333342</v>
      </c>
      <c r="T17" s="273">
        <f>'Program Budget'!T272</f>
        <v>0</v>
      </c>
      <c r="U17" s="276">
        <f>'Program Budget'!S272</f>
        <v>0</v>
      </c>
      <c r="V17" s="275">
        <f t="shared" si="18"/>
        <v>0</v>
      </c>
      <c r="W17" s="411">
        <f t="shared" si="19"/>
        <v>102524.80000000002</v>
      </c>
      <c r="X17" s="278"/>
      <c r="Y17" s="265"/>
      <c r="Z17" s="279"/>
      <c r="AA17" s="279"/>
      <c r="AE17" s="239">
        <v>180</v>
      </c>
      <c r="AF17" s="280" t="s">
        <v>117</v>
      </c>
      <c r="AG17" s="280" t="s">
        <v>118</v>
      </c>
      <c r="AH17" s="281"/>
      <c r="AJ17" s="282"/>
    </row>
    <row r="18" spans="1:36" ht="15" customHeight="1" outlineLevel="1">
      <c r="A18" s="270" t="str">
        <f>'Program Budget'!D273</f>
        <v xml:space="preserve">M&amp;E Director </v>
      </c>
      <c r="B18" s="271" t="str">
        <f>'Program Budget'!F273</f>
        <v>Month</v>
      </c>
      <c r="C18" s="272">
        <f>'Program Budget'!H273</f>
        <v>3750</v>
      </c>
      <c r="D18" s="273">
        <f>'Program Budget'!G273</f>
        <v>9</v>
      </c>
      <c r="E18" s="274">
        <f>'Program Budget'!E273</f>
        <v>0.2</v>
      </c>
      <c r="F18" s="275">
        <f t="shared" si="10"/>
        <v>6750</v>
      </c>
      <c r="G18" s="272">
        <f t="shared" si="11"/>
        <v>3900</v>
      </c>
      <c r="H18" s="273">
        <f>'Program Budget'!K273</f>
        <v>12</v>
      </c>
      <c r="I18" s="276">
        <f>'Program Budget'!J273</f>
        <v>0.25</v>
      </c>
      <c r="J18" s="275">
        <f t="shared" si="12"/>
        <v>11700</v>
      </c>
      <c r="K18" s="272">
        <f t="shared" si="13"/>
        <v>4056</v>
      </c>
      <c r="L18" s="273">
        <f>'Program Budget'!N273</f>
        <v>12</v>
      </c>
      <c r="M18" s="276">
        <f>'Program Budget'!M273</f>
        <v>0.25</v>
      </c>
      <c r="N18" s="275">
        <f t="shared" si="14"/>
        <v>12168</v>
      </c>
      <c r="O18" s="272">
        <f t="shared" si="15"/>
        <v>4218.24</v>
      </c>
      <c r="P18" s="273">
        <f>'Program Budget'!Q273</f>
        <v>12</v>
      </c>
      <c r="Q18" s="276">
        <f>'Program Budget'!P273</f>
        <v>0.25</v>
      </c>
      <c r="R18" s="275">
        <f t="shared" si="16"/>
        <v>12654.72</v>
      </c>
      <c r="S18" s="272">
        <f t="shared" si="17"/>
        <v>4386.9696000000004</v>
      </c>
      <c r="T18" s="273">
        <f>'Program Budget'!T273</f>
        <v>12</v>
      </c>
      <c r="U18" s="276">
        <f>'Program Budget'!S273</f>
        <v>0.25</v>
      </c>
      <c r="V18" s="275">
        <f t="shared" si="18"/>
        <v>13160.908800000001</v>
      </c>
      <c r="W18" s="411">
        <f t="shared" si="19"/>
        <v>56433.628800000006</v>
      </c>
      <c r="X18" s="278"/>
      <c r="Y18" s="265"/>
      <c r="Z18" s="279"/>
      <c r="AA18" s="279"/>
      <c r="AE18" s="239">
        <v>180</v>
      </c>
      <c r="AF18" s="280" t="s">
        <v>117</v>
      </c>
      <c r="AG18" s="280" t="s">
        <v>118</v>
      </c>
      <c r="AH18" s="281"/>
      <c r="AJ18" s="282"/>
    </row>
    <row r="19" spans="1:36" ht="15" customHeight="1" outlineLevel="1">
      <c r="A19" s="270" t="str">
        <f>'Program Budget'!D274</f>
        <v>M&amp;E Specialist</v>
      </c>
      <c r="B19" s="271" t="str">
        <f>'Program Budget'!F274</f>
        <v>Month</v>
      </c>
      <c r="C19" s="272">
        <f>'Program Budget'!H274</f>
        <v>2083.3333333333335</v>
      </c>
      <c r="D19" s="273">
        <f>'Program Budget'!G274</f>
        <v>6</v>
      </c>
      <c r="E19" s="274">
        <f>'Program Budget'!E274</f>
        <v>0.2</v>
      </c>
      <c r="F19" s="275">
        <f t="shared" si="10"/>
        <v>2500</v>
      </c>
      <c r="G19" s="272">
        <f t="shared" si="11"/>
        <v>2166.666666666667</v>
      </c>
      <c r="H19" s="273">
        <f>'Program Budget'!K274</f>
        <v>12</v>
      </c>
      <c r="I19" s="276">
        <f>'Program Budget'!J274</f>
        <v>0.25</v>
      </c>
      <c r="J19" s="275">
        <f t="shared" si="12"/>
        <v>6500.0000000000009</v>
      </c>
      <c r="K19" s="272">
        <f t="shared" si="13"/>
        <v>2253.3333333333339</v>
      </c>
      <c r="L19" s="273">
        <f>'Program Budget'!N274</f>
        <v>12</v>
      </c>
      <c r="M19" s="276">
        <f>'Program Budget'!M274</f>
        <v>0.25</v>
      </c>
      <c r="N19" s="275">
        <f t="shared" si="14"/>
        <v>6760.0000000000018</v>
      </c>
      <c r="O19" s="272">
        <f t="shared" si="15"/>
        <v>2343.4666666666672</v>
      </c>
      <c r="P19" s="273">
        <f>'Program Budget'!Q274</f>
        <v>12</v>
      </c>
      <c r="Q19" s="276">
        <f>'Program Budget'!P274</f>
        <v>0.25</v>
      </c>
      <c r="R19" s="275">
        <f t="shared" si="16"/>
        <v>7030.4000000000015</v>
      </c>
      <c r="S19" s="272">
        <f t="shared" si="17"/>
        <v>2437.2053333333338</v>
      </c>
      <c r="T19" s="273">
        <f>'Program Budget'!T274</f>
        <v>10</v>
      </c>
      <c r="U19" s="276">
        <f>'Program Budget'!S274</f>
        <v>0.25</v>
      </c>
      <c r="V19" s="275">
        <f t="shared" si="18"/>
        <v>6093.0133333333342</v>
      </c>
      <c r="W19" s="411">
        <f t="shared" si="19"/>
        <v>28883.413333333338</v>
      </c>
      <c r="X19" s="278"/>
      <c r="Y19" s="265"/>
      <c r="Z19" s="279"/>
      <c r="AA19" s="279"/>
      <c r="AE19" s="239">
        <v>180</v>
      </c>
      <c r="AF19" s="280" t="s">
        <v>117</v>
      </c>
      <c r="AG19" s="280" t="s">
        <v>118</v>
      </c>
      <c r="AH19" s="281"/>
      <c r="AJ19" s="282"/>
    </row>
    <row r="20" spans="1:36" ht="15" customHeight="1" outlineLevel="1">
      <c r="A20" s="270" t="str">
        <f>'Program Budget'!D275</f>
        <v xml:space="preserve">F&amp;A Director </v>
      </c>
      <c r="B20" s="271" t="str">
        <f>'Program Budget'!F275</f>
        <v>Month</v>
      </c>
      <c r="C20" s="272">
        <f>'Program Budget'!H275</f>
        <v>6666.666666666667</v>
      </c>
      <c r="D20" s="273">
        <f>'Program Budget'!G275</f>
        <v>9</v>
      </c>
      <c r="E20" s="274">
        <f>'Program Budget'!E275</f>
        <v>0.2</v>
      </c>
      <c r="F20" s="275">
        <f t="shared" si="10"/>
        <v>12000</v>
      </c>
      <c r="G20" s="272">
        <f t="shared" si="11"/>
        <v>6933.3333333333339</v>
      </c>
      <c r="H20" s="273">
        <f>'Program Budget'!K275</f>
        <v>12</v>
      </c>
      <c r="I20" s="276">
        <f>'Program Budget'!J275</f>
        <v>0.2</v>
      </c>
      <c r="J20" s="275">
        <f t="shared" si="12"/>
        <v>16640</v>
      </c>
      <c r="K20" s="272">
        <f t="shared" si="13"/>
        <v>7210.6666666666679</v>
      </c>
      <c r="L20" s="273">
        <f>'Program Budget'!N275</f>
        <v>12</v>
      </c>
      <c r="M20" s="276">
        <f>'Program Budget'!M275</f>
        <v>0.2</v>
      </c>
      <c r="N20" s="275">
        <f t="shared" si="14"/>
        <v>17305.600000000002</v>
      </c>
      <c r="O20" s="272">
        <f t="shared" si="15"/>
        <v>7499.0933333333351</v>
      </c>
      <c r="P20" s="273">
        <f>'Program Budget'!Q275</f>
        <v>12</v>
      </c>
      <c r="Q20" s="276">
        <f>'Program Budget'!P275</f>
        <v>0.2</v>
      </c>
      <c r="R20" s="275">
        <f t="shared" si="16"/>
        <v>17997.824000000004</v>
      </c>
      <c r="S20" s="272">
        <f t="shared" si="17"/>
        <v>7799.057066666669</v>
      </c>
      <c r="T20" s="273">
        <f>'Program Budget'!T275</f>
        <v>12</v>
      </c>
      <c r="U20" s="276">
        <f>'Program Budget'!S275</f>
        <v>0.2</v>
      </c>
      <c r="V20" s="275">
        <f t="shared" si="18"/>
        <v>18717.736960000006</v>
      </c>
      <c r="W20" s="411">
        <f t="shared" si="19"/>
        <v>82661.160960000023</v>
      </c>
      <c r="X20" s="278"/>
      <c r="Y20" s="265"/>
      <c r="Z20" s="279"/>
      <c r="AA20" s="279"/>
      <c r="AE20" s="239">
        <v>180</v>
      </c>
      <c r="AF20" s="280" t="s">
        <v>117</v>
      </c>
      <c r="AG20" s="280" t="s">
        <v>118</v>
      </c>
      <c r="AH20" s="281"/>
      <c r="AJ20" s="282"/>
    </row>
    <row r="21" spans="1:36" ht="15" customHeight="1" outlineLevel="1">
      <c r="A21" s="270" t="str">
        <f>'Program Budget'!D276</f>
        <v>Human Resource Manager</v>
      </c>
      <c r="B21" s="271" t="str">
        <f>'Program Budget'!F276</f>
        <v>Month</v>
      </c>
      <c r="C21" s="272">
        <f>'Program Budget'!H276</f>
        <v>2916.6666666666665</v>
      </c>
      <c r="D21" s="273">
        <f>'Program Budget'!G276</f>
        <v>9</v>
      </c>
      <c r="E21" s="274">
        <f>'Program Budget'!E276</f>
        <v>0.2</v>
      </c>
      <c r="F21" s="275">
        <f t="shared" si="10"/>
        <v>5250</v>
      </c>
      <c r="G21" s="272">
        <f t="shared" si="11"/>
        <v>3033.3333333333335</v>
      </c>
      <c r="H21" s="273">
        <f>'Program Budget'!K276</f>
        <v>12</v>
      </c>
      <c r="I21" s="276">
        <f>'Program Budget'!J276</f>
        <v>0.2</v>
      </c>
      <c r="J21" s="275">
        <f t="shared" si="12"/>
        <v>7280</v>
      </c>
      <c r="K21" s="272">
        <f t="shared" si="13"/>
        <v>3154.666666666667</v>
      </c>
      <c r="L21" s="273">
        <f>'Program Budget'!N276</f>
        <v>12</v>
      </c>
      <c r="M21" s="276">
        <f>'Program Budget'!M276</f>
        <v>0.25</v>
      </c>
      <c r="N21" s="275">
        <f t="shared" si="14"/>
        <v>9464</v>
      </c>
      <c r="O21" s="272">
        <f t="shared" si="15"/>
        <v>3280.8533333333339</v>
      </c>
      <c r="P21" s="273">
        <f>'Program Budget'!Q276</f>
        <v>12</v>
      </c>
      <c r="Q21" s="276">
        <f>'Program Budget'!P276</f>
        <v>0.25</v>
      </c>
      <c r="R21" s="275">
        <f t="shared" si="16"/>
        <v>9842.5600000000013</v>
      </c>
      <c r="S21" s="272">
        <f t="shared" si="17"/>
        <v>3412.0874666666673</v>
      </c>
      <c r="T21" s="273">
        <f>'Program Budget'!T276</f>
        <v>10</v>
      </c>
      <c r="U21" s="276">
        <f>'Program Budget'!S276</f>
        <v>0.25</v>
      </c>
      <c r="V21" s="275">
        <f t="shared" si="18"/>
        <v>8530.2186666666676</v>
      </c>
      <c r="W21" s="411">
        <f t="shared" si="19"/>
        <v>40366.778666666665</v>
      </c>
      <c r="X21" s="278"/>
      <c r="Y21" s="265"/>
      <c r="Z21" s="279"/>
      <c r="AA21" s="279"/>
      <c r="AE21" s="239"/>
      <c r="AF21" s="280"/>
      <c r="AG21" s="280"/>
      <c r="AH21" s="281"/>
      <c r="AJ21" s="282"/>
    </row>
    <row r="22" spans="1:36" ht="15" customHeight="1" outlineLevel="1">
      <c r="A22" s="270" t="str">
        <f>'Program Budget'!D277</f>
        <v>Contracts &amp; Compliance Specialist</v>
      </c>
      <c r="B22" s="271" t="str">
        <f>'Program Budget'!F277</f>
        <v>Month</v>
      </c>
      <c r="C22" s="272">
        <f>'Program Budget'!H277</f>
        <v>2916.6666666666665</v>
      </c>
      <c r="D22" s="273">
        <f>'Program Budget'!G277</f>
        <v>6</v>
      </c>
      <c r="E22" s="274">
        <f>'Program Budget'!E277</f>
        <v>0.2</v>
      </c>
      <c r="F22" s="275">
        <f t="shared" si="0"/>
        <v>3500</v>
      </c>
      <c r="G22" s="272">
        <f t="shared" si="1"/>
        <v>3033.3333333333335</v>
      </c>
      <c r="H22" s="273">
        <f>'Program Budget'!K277</f>
        <v>12</v>
      </c>
      <c r="I22" s="276">
        <f>'Program Budget'!J277</f>
        <v>0.2</v>
      </c>
      <c r="J22" s="275">
        <f t="shared" si="2"/>
        <v>7280</v>
      </c>
      <c r="K22" s="272">
        <f t="shared" si="3"/>
        <v>3154.666666666667</v>
      </c>
      <c r="L22" s="273">
        <f>'Program Budget'!N277</f>
        <v>12</v>
      </c>
      <c r="M22" s="276">
        <f>'Program Budget'!M277</f>
        <v>0.2</v>
      </c>
      <c r="N22" s="275">
        <f t="shared" si="4"/>
        <v>7571.2000000000007</v>
      </c>
      <c r="O22" s="272">
        <f t="shared" si="5"/>
        <v>3280.8533333333339</v>
      </c>
      <c r="P22" s="273">
        <f>'Program Budget'!Q277</f>
        <v>12</v>
      </c>
      <c r="Q22" s="276">
        <f>'Program Budget'!P277</f>
        <v>0.2</v>
      </c>
      <c r="R22" s="275">
        <f t="shared" si="6"/>
        <v>7874.0480000000016</v>
      </c>
      <c r="S22" s="272">
        <f t="shared" si="7"/>
        <v>3412.0874666666673</v>
      </c>
      <c r="T22" s="273">
        <f>'Program Budget'!T277</f>
        <v>9</v>
      </c>
      <c r="U22" s="276">
        <f>'Program Budget'!S277</f>
        <v>0.2</v>
      </c>
      <c r="V22" s="275">
        <f t="shared" si="8"/>
        <v>6141.7574400000012</v>
      </c>
      <c r="W22" s="411">
        <f t="shared" si="9"/>
        <v>32367.005440000004</v>
      </c>
      <c r="X22" s="278"/>
      <c r="Y22" s="265"/>
      <c r="Z22" s="279"/>
      <c r="AA22" s="279"/>
      <c r="AE22" s="239">
        <v>180</v>
      </c>
      <c r="AF22" s="280" t="s">
        <v>117</v>
      </c>
      <c r="AG22" s="280" t="s">
        <v>118</v>
      </c>
      <c r="AH22" s="281"/>
      <c r="AJ22" s="282"/>
    </row>
    <row r="23" spans="1:36" ht="15" customHeight="1" outlineLevel="1">
      <c r="A23" s="270" t="str">
        <f>'Program Budget'!D278</f>
        <v xml:space="preserve">Accountant </v>
      </c>
      <c r="B23" s="271" t="str">
        <f>'Program Budget'!F278</f>
        <v>Month</v>
      </c>
      <c r="C23" s="272">
        <f>'Program Budget'!H278</f>
        <v>1666.6666666666667</v>
      </c>
      <c r="D23" s="273">
        <f>'Program Budget'!G278</f>
        <v>7</v>
      </c>
      <c r="E23" s="274">
        <f>'Program Budget'!E278</f>
        <v>0.2</v>
      </c>
      <c r="F23" s="275">
        <f t="shared" si="0"/>
        <v>2333.3333333333335</v>
      </c>
      <c r="G23" s="272">
        <f t="shared" si="1"/>
        <v>1733.3333333333335</v>
      </c>
      <c r="H23" s="273">
        <f>'Program Budget'!K278</f>
        <v>12</v>
      </c>
      <c r="I23" s="276">
        <f>'Program Budget'!J278</f>
        <v>0.2</v>
      </c>
      <c r="J23" s="275">
        <f t="shared" si="2"/>
        <v>4160</v>
      </c>
      <c r="K23" s="272">
        <f t="shared" si="3"/>
        <v>1802.666666666667</v>
      </c>
      <c r="L23" s="273">
        <f>'Program Budget'!N278</f>
        <v>12</v>
      </c>
      <c r="M23" s="276">
        <f>'Program Budget'!M278</f>
        <v>0.2</v>
      </c>
      <c r="N23" s="275">
        <f t="shared" si="4"/>
        <v>4326.4000000000005</v>
      </c>
      <c r="O23" s="272">
        <f t="shared" si="5"/>
        <v>1874.7733333333338</v>
      </c>
      <c r="P23" s="273">
        <f>'Program Budget'!Q278</f>
        <v>12</v>
      </c>
      <c r="Q23" s="276">
        <f>'Program Budget'!P278</f>
        <v>0.2</v>
      </c>
      <c r="R23" s="275">
        <f t="shared" si="6"/>
        <v>4499.456000000001</v>
      </c>
      <c r="S23" s="272">
        <f t="shared" si="7"/>
        <v>1949.7642666666673</v>
      </c>
      <c r="T23" s="273">
        <f>'Program Budget'!T278</f>
        <v>10</v>
      </c>
      <c r="U23" s="276">
        <f>'Program Budget'!S278</f>
        <v>0.2</v>
      </c>
      <c r="V23" s="275">
        <f t="shared" si="8"/>
        <v>3899.528533333335</v>
      </c>
      <c r="W23" s="411">
        <f t="shared" si="9"/>
        <v>19218.71786666667</v>
      </c>
      <c r="X23" s="278"/>
      <c r="Y23" s="265"/>
      <c r="Z23" s="279"/>
      <c r="AA23" s="279"/>
      <c r="AE23" s="239">
        <v>180</v>
      </c>
      <c r="AF23" s="280" t="s">
        <v>117</v>
      </c>
      <c r="AG23" s="280" t="s">
        <v>118</v>
      </c>
      <c r="AH23" s="281"/>
      <c r="AJ23" s="282"/>
    </row>
    <row r="24" spans="1:36" ht="15" customHeight="1" outlineLevel="1">
      <c r="A24" s="270" t="str">
        <f>'Program Budget'!D279</f>
        <v xml:space="preserve">Administrative Assistant </v>
      </c>
      <c r="B24" s="271" t="str">
        <f>'Program Budget'!F279</f>
        <v>Month</v>
      </c>
      <c r="C24" s="272">
        <f>'Program Budget'!H279</f>
        <v>833.33333333333337</v>
      </c>
      <c r="D24" s="273">
        <f>'Program Budget'!G279</f>
        <v>7</v>
      </c>
      <c r="E24" s="274">
        <f>'Program Budget'!E279</f>
        <v>0.2</v>
      </c>
      <c r="F24" s="275">
        <f t="shared" si="0"/>
        <v>1166.6666666666667</v>
      </c>
      <c r="G24" s="272">
        <f t="shared" si="1"/>
        <v>866.66666666666674</v>
      </c>
      <c r="H24" s="273">
        <f>'Program Budget'!K279</f>
        <v>12</v>
      </c>
      <c r="I24" s="276">
        <f>'Program Budget'!J279</f>
        <v>0.2</v>
      </c>
      <c r="J24" s="275">
        <f t="shared" si="2"/>
        <v>2080</v>
      </c>
      <c r="K24" s="272">
        <f t="shared" si="3"/>
        <v>901.33333333333348</v>
      </c>
      <c r="L24" s="273">
        <f>'Program Budget'!N279</f>
        <v>12</v>
      </c>
      <c r="M24" s="276">
        <f>'Program Budget'!M279</f>
        <v>0.2</v>
      </c>
      <c r="N24" s="275">
        <f t="shared" si="4"/>
        <v>2163.2000000000003</v>
      </c>
      <c r="O24" s="272">
        <f t="shared" si="5"/>
        <v>937.38666666666688</v>
      </c>
      <c r="P24" s="273">
        <f>'Program Budget'!Q279</f>
        <v>12</v>
      </c>
      <c r="Q24" s="276">
        <f>'Program Budget'!P279</f>
        <v>0.2</v>
      </c>
      <c r="R24" s="275">
        <f t="shared" si="6"/>
        <v>2249.7280000000005</v>
      </c>
      <c r="S24" s="272">
        <f t="shared" si="7"/>
        <v>974.88213333333363</v>
      </c>
      <c r="T24" s="273">
        <f>'Program Budget'!T279</f>
        <v>10</v>
      </c>
      <c r="U24" s="276">
        <f>'Program Budget'!S279</f>
        <v>0.2</v>
      </c>
      <c r="V24" s="275">
        <f t="shared" si="8"/>
        <v>1949.7642666666675</v>
      </c>
      <c r="W24" s="411">
        <f t="shared" si="9"/>
        <v>9609.3589333333348</v>
      </c>
      <c r="X24" s="278"/>
      <c r="Y24" s="265"/>
      <c r="Z24" s="279"/>
      <c r="AA24" s="279"/>
      <c r="AE24" s="239">
        <v>180</v>
      </c>
      <c r="AF24" s="280" t="s">
        <v>117</v>
      </c>
      <c r="AG24" s="280" t="s">
        <v>118</v>
      </c>
      <c r="AH24" s="281"/>
      <c r="AJ24" s="282"/>
    </row>
    <row r="25" spans="1:36" ht="15" customHeight="1" outlineLevel="1">
      <c r="A25" s="270" t="str">
        <f>'Program Budget'!D280</f>
        <v>Security Guards</v>
      </c>
      <c r="B25" s="271" t="str">
        <f>'Program Budget'!F280</f>
        <v>Month</v>
      </c>
      <c r="C25" s="272">
        <f>'Program Budget'!H280</f>
        <v>666.66666666666663</v>
      </c>
      <c r="D25" s="273">
        <f>'Program Budget'!G280</f>
        <v>8</v>
      </c>
      <c r="E25" s="274">
        <f>'Program Budget'!E280</f>
        <v>0.2</v>
      </c>
      <c r="F25" s="275">
        <f t="shared" si="0"/>
        <v>1066.6666666666667</v>
      </c>
      <c r="G25" s="272">
        <f t="shared" si="1"/>
        <v>693.33333333333337</v>
      </c>
      <c r="H25" s="273">
        <f>'Program Budget'!K280</f>
        <v>12</v>
      </c>
      <c r="I25" s="276">
        <f>'Program Budget'!J280</f>
        <v>0.2</v>
      </c>
      <c r="J25" s="275">
        <f t="shared" si="2"/>
        <v>1664</v>
      </c>
      <c r="K25" s="272">
        <f t="shared" si="3"/>
        <v>721.06666666666672</v>
      </c>
      <c r="L25" s="273">
        <f>'Program Budget'!N280</f>
        <v>12</v>
      </c>
      <c r="M25" s="276">
        <f>'Program Budget'!M280</f>
        <v>0.2</v>
      </c>
      <c r="N25" s="275">
        <f t="shared" si="4"/>
        <v>1730.5600000000004</v>
      </c>
      <c r="O25" s="272">
        <f t="shared" si="5"/>
        <v>749.90933333333339</v>
      </c>
      <c r="P25" s="273">
        <f>'Program Budget'!Q280</f>
        <v>12</v>
      </c>
      <c r="Q25" s="276">
        <f>'Program Budget'!P280</f>
        <v>0.2</v>
      </c>
      <c r="R25" s="275">
        <f t="shared" si="6"/>
        <v>1799.7824000000001</v>
      </c>
      <c r="S25" s="272">
        <f t="shared" si="7"/>
        <v>779.90570666666679</v>
      </c>
      <c r="T25" s="273">
        <f>'Program Budget'!T280</f>
        <v>10</v>
      </c>
      <c r="U25" s="276">
        <f>'Program Budget'!S280</f>
        <v>0.2</v>
      </c>
      <c r="V25" s="275">
        <f t="shared" si="8"/>
        <v>1559.8114133333338</v>
      </c>
      <c r="W25" s="411">
        <f t="shared" si="9"/>
        <v>7820.8204800000012</v>
      </c>
      <c r="X25" s="278"/>
      <c r="Y25" s="265"/>
      <c r="Z25" s="279"/>
      <c r="AA25" s="279"/>
      <c r="AE25" s="239">
        <v>180</v>
      </c>
      <c r="AF25" s="280" t="s">
        <v>117</v>
      </c>
      <c r="AG25" s="280" t="s">
        <v>118</v>
      </c>
      <c r="AH25" s="281"/>
      <c r="AJ25" s="282"/>
    </row>
    <row r="26" spans="1:36" ht="15" customHeight="1" outlineLevel="1">
      <c r="A26" s="270" t="str">
        <f>'Program Budget'!D281</f>
        <v>Driver (2 Individuals)</v>
      </c>
      <c r="B26" s="271" t="str">
        <f>'Program Budget'!F281</f>
        <v>Month</v>
      </c>
      <c r="C26" s="272">
        <f>'Program Budget'!H281</f>
        <v>1333.3333333333333</v>
      </c>
      <c r="D26" s="273">
        <f>'Program Budget'!G281</f>
        <v>6</v>
      </c>
      <c r="E26" s="274">
        <f>'Program Budget'!E281</f>
        <v>0.2</v>
      </c>
      <c r="F26" s="275">
        <f t="shared" si="0"/>
        <v>1600</v>
      </c>
      <c r="G26" s="272">
        <f t="shared" si="1"/>
        <v>1386.6666666666667</v>
      </c>
      <c r="H26" s="273">
        <f>'Program Budget'!K281</f>
        <v>12</v>
      </c>
      <c r="I26" s="276">
        <f>'Program Budget'!J281</f>
        <v>0.25</v>
      </c>
      <c r="J26" s="275">
        <f t="shared" si="2"/>
        <v>4160</v>
      </c>
      <c r="K26" s="272">
        <f t="shared" si="3"/>
        <v>1442.1333333333334</v>
      </c>
      <c r="L26" s="273">
        <f>'Program Budget'!N281</f>
        <v>12</v>
      </c>
      <c r="M26" s="276">
        <f>'Program Budget'!M281</f>
        <v>0.25</v>
      </c>
      <c r="N26" s="275">
        <f t="shared" si="4"/>
        <v>4326.4000000000005</v>
      </c>
      <c r="O26" s="272">
        <f t="shared" si="5"/>
        <v>1499.8186666666668</v>
      </c>
      <c r="P26" s="273">
        <f>'Program Budget'!Q281</f>
        <v>12</v>
      </c>
      <c r="Q26" s="276">
        <f>'Program Budget'!P281</f>
        <v>0.25</v>
      </c>
      <c r="R26" s="275">
        <f t="shared" si="6"/>
        <v>4499.4560000000001</v>
      </c>
      <c r="S26" s="272">
        <f t="shared" si="7"/>
        <v>1559.8114133333336</v>
      </c>
      <c r="T26" s="273">
        <f>'Program Budget'!T281</f>
        <v>9</v>
      </c>
      <c r="U26" s="276">
        <f>'Program Budget'!S281</f>
        <v>0.25</v>
      </c>
      <c r="V26" s="275">
        <f t="shared" si="8"/>
        <v>3509.5756800000004</v>
      </c>
      <c r="W26" s="413">
        <f t="shared" si="9"/>
        <v>18095.431680000002</v>
      </c>
      <c r="X26" s="278"/>
      <c r="Y26" s="265"/>
      <c r="Z26" s="279"/>
      <c r="AA26" s="279"/>
      <c r="AE26" s="239">
        <v>180</v>
      </c>
      <c r="AF26" s="280" t="s">
        <v>117</v>
      </c>
      <c r="AG26" s="280" t="s">
        <v>118</v>
      </c>
      <c r="AH26" s="281"/>
      <c r="AJ26" s="282"/>
    </row>
    <row r="27" spans="1:36" ht="15" customHeight="1" outlineLevel="1">
      <c r="A27" s="285" t="s">
        <v>78</v>
      </c>
      <c r="B27" s="286"/>
      <c r="C27" s="287"/>
      <c r="D27" s="288"/>
      <c r="E27" s="289"/>
      <c r="F27" s="299">
        <f>SUM(F10:F26)</f>
        <v>77666.666666666672</v>
      </c>
      <c r="G27" s="287"/>
      <c r="H27" s="288"/>
      <c r="I27" s="291"/>
      <c r="J27" s="299">
        <f>SUM(J10:J26)</f>
        <v>191464</v>
      </c>
      <c r="K27" s="287"/>
      <c r="L27" s="288"/>
      <c r="M27" s="289"/>
      <c r="N27" s="299">
        <f>SUM(N10:N26)</f>
        <v>170730.56000000003</v>
      </c>
      <c r="O27" s="287"/>
      <c r="P27" s="288"/>
      <c r="Q27" s="291"/>
      <c r="R27" s="299">
        <f>SUM(R10:R26)</f>
        <v>146063.59040000002</v>
      </c>
      <c r="S27" s="287"/>
      <c r="T27" s="288"/>
      <c r="U27" s="291"/>
      <c r="V27" s="299">
        <f>SUM(V10:V26)</f>
        <v>115621.02101333335</v>
      </c>
      <c r="W27" s="412">
        <f>F27+J27+N27+R27+V27</f>
        <v>701545.83808000002</v>
      </c>
      <c r="AE27" s="239"/>
      <c r="AF27" s="280"/>
      <c r="AG27" s="280"/>
    </row>
    <row r="28" spans="1:36" s="266" customFormat="1" ht="15" customHeight="1" outlineLevel="1">
      <c r="A28" s="302"/>
      <c r="B28" s="293"/>
      <c r="C28" s="294"/>
      <c r="D28" s="295"/>
      <c r="E28" s="236"/>
      <c r="F28" s="275"/>
      <c r="G28" s="294"/>
      <c r="H28" s="295"/>
      <c r="I28" s="236"/>
      <c r="J28" s="275"/>
      <c r="K28" s="294"/>
      <c r="L28" s="295"/>
      <c r="M28" s="236"/>
      <c r="N28" s="275"/>
      <c r="O28" s="294"/>
      <c r="P28" s="295"/>
      <c r="Q28" s="236"/>
      <c r="R28" s="275"/>
      <c r="S28" s="294"/>
      <c r="T28" s="295"/>
      <c r="U28" s="236"/>
      <c r="V28" s="275"/>
      <c r="W28" s="283"/>
      <c r="X28" s="233"/>
      <c r="Y28" s="233"/>
      <c r="Z28" s="233"/>
      <c r="AA28" s="233"/>
      <c r="AB28" s="233"/>
      <c r="AC28" s="233"/>
      <c r="AD28" s="233"/>
      <c r="AE28" s="239"/>
      <c r="AF28" s="280"/>
      <c r="AG28" s="280"/>
      <c r="AH28" s="300"/>
      <c r="AI28" s="301"/>
      <c r="AJ28" s="233"/>
    </row>
    <row r="29" spans="1:36" s="313" customFormat="1" ht="15" customHeight="1">
      <c r="A29" s="303" t="s">
        <v>81</v>
      </c>
      <c r="B29" s="304"/>
      <c r="C29" s="305"/>
      <c r="D29" s="306"/>
      <c r="E29" s="307"/>
      <c r="F29" s="308">
        <f>F27+F8</f>
        <v>106666.66666666667</v>
      </c>
      <c r="G29" s="305"/>
      <c r="H29" s="306"/>
      <c r="I29" s="309"/>
      <c r="J29" s="308">
        <f>J27+J8</f>
        <v>229164</v>
      </c>
      <c r="K29" s="305"/>
      <c r="L29" s="306"/>
      <c r="M29" s="307"/>
      <c r="N29" s="308">
        <f>N27+N8</f>
        <v>209938.56000000003</v>
      </c>
      <c r="O29" s="305"/>
      <c r="P29" s="306"/>
      <c r="Q29" s="309"/>
      <c r="R29" s="308">
        <f>R27+R8</f>
        <v>186839.91040000002</v>
      </c>
      <c r="S29" s="305"/>
      <c r="T29" s="306"/>
      <c r="U29" s="309"/>
      <c r="V29" s="308">
        <f>V27+V8</f>
        <v>158028.39381333336</v>
      </c>
      <c r="W29" s="310">
        <f>+F29+J29+N29+R29+V29</f>
        <v>890637.53088000009</v>
      </c>
      <c r="X29" s="311"/>
      <c r="Y29" s="311"/>
      <c r="Z29" s="311"/>
      <c r="AA29" s="311"/>
      <c r="AB29" s="311"/>
      <c r="AC29" s="312"/>
      <c r="AD29" s="312"/>
      <c r="AE29" s="311"/>
      <c r="AG29" s="313" t="s">
        <v>119</v>
      </c>
      <c r="AJ29" s="312"/>
    </row>
    <row r="30" spans="1:36" s="266" customFormat="1" ht="15" customHeight="1" outlineLevel="1">
      <c r="A30" s="267" t="s">
        <v>82</v>
      </c>
      <c r="B30" s="268"/>
      <c r="C30" s="258"/>
      <c r="D30" s="259"/>
      <c r="E30" s="260"/>
      <c r="F30" s="261"/>
      <c r="G30" s="258"/>
      <c r="H30" s="259"/>
      <c r="I30" s="262"/>
      <c r="J30" s="263"/>
      <c r="K30" s="258"/>
      <c r="L30" s="259"/>
      <c r="M30" s="260"/>
      <c r="N30" s="263"/>
      <c r="O30" s="258"/>
      <c r="P30" s="259"/>
      <c r="Q30" s="262"/>
      <c r="R30" s="263"/>
      <c r="S30" s="258"/>
      <c r="T30" s="259"/>
      <c r="U30" s="262"/>
      <c r="V30" s="263"/>
      <c r="W30" s="264"/>
      <c r="X30" s="233"/>
      <c r="Y30" s="233"/>
      <c r="Z30" s="233"/>
      <c r="AA30" s="233"/>
      <c r="AB30" s="233"/>
      <c r="AC30" s="233"/>
      <c r="AD30" s="233"/>
      <c r="AE30" s="239"/>
      <c r="AJ30" s="233"/>
    </row>
    <row r="31" spans="1:36" s="266" customFormat="1" ht="15" customHeight="1" outlineLevel="1">
      <c r="A31" s="314" t="s">
        <v>75</v>
      </c>
      <c r="B31" s="293" t="str">
        <f>'Program Budget'!F167</f>
        <v>%</v>
      </c>
      <c r="C31" s="421">
        <f>F8</f>
        <v>29000</v>
      </c>
      <c r="D31" s="295">
        <v>1</v>
      </c>
      <c r="E31" s="236">
        <f>'Program Budget'!H286</f>
        <v>0.23469999999999999</v>
      </c>
      <c r="F31" s="275">
        <f>C31*D31*E31</f>
        <v>6806.3</v>
      </c>
      <c r="G31" s="421">
        <f>J8</f>
        <v>37700</v>
      </c>
      <c r="H31" s="295">
        <v>1</v>
      </c>
      <c r="I31" s="236">
        <f>E31</f>
        <v>0.23469999999999999</v>
      </c>
      <c r="J31" s="275">
        <f t="shared" ref="J31:J32" si="20">G31*H31*I31</f>
        <v>8848.19</v>
      </c>
      <c r="K31" s="421">
        <f>N8</f>
        <v>39208.000000000007</v>
      </c>
      <c r="L31" s="295">
        <v>1</v>
      </c>
      <c r="M31" s="236">
        <f>I31</f>
        <v>0.23469999999999999</v>
      </c>
      <c r="N31" s="275">
        <f t="shared" ref="N31:N32" si="21">K31*L31*M31</f>
        <v>9202.1176000000014</v>
      </c>
      <c r="O31" s="421">
        <f>R8</f>
        <v>40776.320000000007</v>
      </c>
      <c r="P31" s="295">
        <v>1</v>
      </c>
      <c r="Q31" s="236">
        <f>M31</f>
        <v>0.23469999999999999</v>
      </c>
      <c r="R31" s="275">
        <f t="shared" ref="R31:R32" si="22">O31*P31*Q31</f>
        <v>9570.2023040000022</v>
      </c>
      <c r="S31" s="421">
        <f>V8</f>
        <v>42407.372800000012</v>
      </c>
      <c r="T31" s="295">
        <v>1</v>
      </c>
      <c r="U31" s="236">
        <f>Q31</f>
        <v>0.23469999999999999</v>
      </c>
      <c r="V31" s="275">
        <f t="shared" ref="V31:V32" si="23">S31*T31*U31</f>
        <v>9953.0103961600016</v>
      </c>
      <c r="W31" s="411">
        <f t="shared" ref="W31:W32" si="24">F31+J31+N31+R31+V31</f>
        <v>44379.820300160012</v>
      </c>
      <c r="X31" s="233"/>
      <c r="Y31" s="233"/>
      <c r="Z31" s="233"/>
      <c r="AA31" s="233"/>
      <c r="AB31" s="233"/>
      <c r="AC31" s="233"/>
      <c r="AD31" s="233"/>
      <c r="AE31" s="239">
        <v>194</v>
      </c>
      <c r="AF31" s="280" t="s">
        <v>120</v>
      </c>
      <c r="AG31" s="280" t="s">
        <v>121</v>
      </c>
      <c r="AJ31" s="233"/>
    </row>
    <row r="32" spans="1:36" s="266" customFormat="1" ht="15" customHeight="1" outlineLevel="1">
      <c r="A32" s="314" t="s">
        <v>83</v>
      </c>
      <c r="B32" s="293" t="str">
        <f>'Program Budget'!F168</f>
        <v>%</v>
      </c>
      <c r="C32" s="421">
        <f>F27</f>
        <v>77666.666666666672</v>
      </c>
      <c r="D32" s="295">
        <v>1</v>
      </c>
      <c r="E32" s="236">
        <f>'Program Budget'!H285</f>
        <v>0.26919999999999999</v>
      </c>
      <c r="F32" s="275">
        <f>C32*D32*E32</f>
        <v>20907.866666666669</v>
      </c>
      <c r="G32" s="421">
        <f>J27</f>
        <v>191464</v>
      </c>
      <c r="H32" s="295">
        <v>1</v>
      </c>
      <c r="I32" s="236">
        <f t="shared" ref="I32" si="25">E32</f>
        <v>0.26919999999999999</v>
      </c>
      <c r="J32" s="275">
        <f t="shared" si="20"/>
        <v>51542.108800000002</v>
      </c>
      <c r="K32" s="421">
        <f>N27</f>
        <v>170730.56000000003</v>
      </c>
      <c r="L32" s="295">
        <v>1</v>
      </c>
      <c r="M32" s="236">
        <f t="shared" ref="M32" si="26">I32</f>
        <v>0.26919999999999999</v>
      </c>
      <c r="N32" s="275">
        <f t="shared" si="21"/>
        <v>45960.666752000005</v>
      </c>
      <c r="O32" s="421">
        <f>R27</f>
        <v>146063.59040000002</v>
      </c>
      <c r="P32" s="295">
        <v>1</v>
      </c>
      <c r="Q32" s="236">
        <f t="shared" ref="Q32" si="27">M32</f>
        <v>0.26919999999999999</v>
      </c>
      <c r="R32" s="275">
        <f t="shared" si="22"/>
        <v>39320.318535680002</v>
      </c>
      <c r="S32" s="421">
        <f>V27</f>
        <v>115621.02101333335</v>
      </c>
      <c r="T32" s="295">
        <v>1</v>
      </c>
      <c r="U32" s="236">
        <f t="shared" ref="U32" si="28">Q32</f>
        <v>0.26919999999999999</v>
      </c>
      <c r="V32" s="275">
        <f t="shared" si="23"/>
        <v>31125.178856789335</v>
      </c>
      <c r="W32" s="413">
        <f t="shared" si="24"/>
        <v>188856.13961113602</v>
      </c>
      <c r="X32" s="233"/>
      <c r="Y32" s="233"/>
      <c r="Z32" s="233"/>
      <c r="AA32" s="233"/>
      <c r="AB32" s="233"/>
      <c r="AC32" s="233"/>
      <c r="AD32" s="233"/>
      <c r="AE32" s="315">
        <v>197</v>
      </c>
      <c r="AF32" s="316" t="s">
        <v>122</v>
      </c>
      <c r="AG32" s="316" t="s">
        <v>123</v>
      </c>
      <c r="AJ32" s="233"/>
    </row>
    <row r="33" spans="1:36" ht="15" customHeight="1" outlineLevel="1">
      <c r="A33" s="285" t="s">
        <v>85</v>
      </c>
      <c r="B33" s="286"/>
      <c r="C33" s="287"/>
      <c r="D33" s="288"/>
      <c r="E33" s="289"/>
      <c r="F33" s="290">
        <f>+SUM(F31:F32)</f>
        <v>27714.166666666668</v>
      </c>
      <c r="G33" s="287"/>
      <c r="H33" s="288"/>
      <c r="I33" s="291"/>
      <c r="J33" s="290">
        <f>+SUM(J31:J32)</f>
        <v>60390.298800000004</v>
      </c>
      <c r="K33" s="287"/>
      <c r="L33" s="288"/>
      <c r="M33" s="289"/>
      <c r="N33" s="290">
        <f>+SUM(N31:N32)</f>
        <v>55162.784352000002</v>
      </c>
      <c r="O33" s="287"/>
      <c r="P33" s="288"/>
      <c r="Q33" s="291"/>
      <c r="R33" s="290">
        <f>+SUM(R31:R32)</f>
        <v>48890.520839680001</v>
      </c>
      <c r="S33" s="287"/>
      <c r="T33" s="288"/>
      <c r="U33" s="291"/>
      <c r="V33" s="290">
        <f>+SUM(V31:V32)</f>
        <v>41078.189252949334</v>
      </c>
      <c r="W33" s="412">
        <f>+F33+J33+N33+R33+V33</f>
        <v>233235.95991129597</v>
      </c>
      <c r="AE33" s="239"/>
      <c r="AF33" s="280"/>
      <c r="AG33" s="280"/>
    </row>
    <row r="34" spans="1:36" s="266" customFormat="1" ht="15" customHeight="1" outlineLevel="1">
      <c r="A34" s="267" t="s">
        <v>86</v>
      </c>
      <c r="B34" s="324"/>
      <c r="C34" s="294"/>
      <c r="D34" s="295"/>
      <c r="E34" s="236"/>
      <c r="F34" s="325"/>
      <c r="G34" s="294"/>
      <c r="H34" s="295"/>
      <c r="I34" s="237"/>
      <c r="J34" s="298"/>
      <c r="K34" s="294"/>
      <c r="L34" s="295"/>
      <c r="M34" s="236"/>
      <c r="N34" s="298"/>
      <c r="O34" s="294"/>
      <c r="P34" s="295"/>
      <c r="Q34" s="237"/>
      <c r="R34" s="298"/>
      <c r="S34" s="294"/>
      <c r="T34" s="295"/>
      <c r="U34" s="237"/>
      <c r="V34" s="298"/>
      <c r="W34" s="411">
        <f>+F34+J34+N34+R34+V34</f>
        <v>0</v>
      </c>
      <c r="X34" s="233"/>
      <c r="Y34" s="233"/>
      <c r="Z34" s="233"/>
      <c r="AA34" s="233"/>
      <c r="AB34" s="233"/>
      <c r="AC34" s="233"/>
      <c r="AD34" s="233"/>
      <c r="AE34" s="239"/>
      <c r="AF34" s="280"/>
      <c r="AG34" s="280" t="s">
        <v>119</v>
      </c>
      <c r="AJ34" s="233"/>
    </row>
    <row r="35" spans="1:36" s="266" customFormat="1" ht="15" customHeight="1" outlineLevel="1">
      <c r="A35" s="270" t="str">
        <f>'Program Budget'!D287</f>
        <v>Cost of Living Adjustment for Ex-pat Chief of Party</v>
      </c>
      <c r="B35" s="293" t="str">
        <f>'Program Budget'!F169</f>
        <v>%</v>
      </c>
      <c r="C35" s="423">
        <f>F8</f>
        <v>29000</v>
      </c>
      <c r="D35" s="235">
        <v>1</v>
      </c>
      <c r="E35" s="236">
        <f>'Program Budget'!H287</f>
        <v>0.15</v>
      </c>
      <c r="F35" s="275">
        <f>C35*D35*E35</f>
        <v>4350</v>
      </c>
      <c r="G35" s="423">
        <f>J8</f>
        <v>37700</v>
      </c>
      <c r="H35" s="235">
        <v>1</v>
      </c>
      <c r="I35" s="237">
        <f>E35</f>
        <v>0.15</v>
      </c>
      <c r="J35" s="275">
        <f>G35*H35*I35</f>
        <v>5655</v>
      </c>
      <c r="K35" s="423">
        <f>N8</f>
        <v>39208.000000000007</v>
      </c>
      <c r="L35" s="235">
        <v>1</v>
      </c>
      <c r="M35" s="236">
        <f>I35</f>
        <v>0.15</v>
      </c>
      <c r="N35" s="275">
        <f>K35*L35*M35</f>
        <v>5881.2000000000007</v>
      </c>
      <c r="O35" s="423">
        <f>R8</f>
        <v>40776.320000000007</v>
      </c>
      <c r="P35" s="235">
        <v>1</v>
      </c>
      <c r="Q35" s="237">
        <f>M35</f>
        <v>0.15</v>
      </c>
      <c r="R35" s="275">
        <f>O35*P35*Q35</f>
        <v>6116.4480000000012</v>
      </c>
      <c r="S35" s="423">
        <f>V8</f>
        <v>42407.372800000012</v>
      </c>
      <c r="T35" s="235">
        <v>1</v>
      </c>
      <c r="U35" s="237">
        <f>Q35</f>
        <v>0.15</v>
      </c>
      <c r="V35" s="275">
        <f>S35*T35*U35</f>
        <v>6361.1059200000018</v>
      </c>
      <c r="W35" s="415">
        <f t="shared" ref="W35:W36" si="29">F35+J35+N35+R35+V35</f>
        <v>28363.753920000003</v>
      </c>
      <c r="X35" s="233"/>
      <c r="Y35" s="233"/>
      <c r="Z35" s="233"/>
      <c r="AA35" s="233"/>
      <c r="AB35" s="233"/>
      <c r="AC35" s="233"/>
      <c r="AD35" s="233"/>
      <c r="AE35" s="239"/>
      <c r="AF35" s="284"/>
      <c r="AG35" s="284"/>
      <c r="AJ35" s="233"/>
    </row>
    <row r="36" spans="1:36" s="266" customFormat="1" ht="15" customHeight="1" outlineLevel="1">
      <c r="A36" s="270" t="str">
        <f>'Program Budget'!D288</f>
        <v>Post Hardship for Ex-pat Chief of Party</v>
      </c>
      <c r="B36" s="293" t="str">
        <f>'Program Budget'!F170</f>
        <v>%</v>
      </c>
      <c r="C36" s="423">
        <f>F8</f>
        <v>29000</v>
      </c>
      <c r="D36" s="235">
        <v>1</v>
      </c>
      <c r="E36" s="236">
        <f>'Program Budget'!H288</f>
        <v>0.35</v>
      </c>
      <c r="F36" s="275">
        <f>C36*D36*E36</f>
        <v>10150</v>
      </c>
      <c r="G36" s="423">
        <f>J8</f>
        <v>37700</v>
      </c>
      <c r="H36" s="235">
        <v>1</v>
      </c>
      <c r="I36" s="237">
        <f>E36</f>
        <v>0.35</v>
      </c>
      <c r="J36" s="275">
        <f>G36*H36*I36</f>
        <v>13195</v>
      </c>
      <c r="K36" s="423">
        <f>N8</f>
        <v>39208.000000000007</v>
      </c>
      <c r="L36" s="235">
        <v>1</v>
      </c>
      <c r="M36" s="236">
        <f>I36</f>
        <v>0.35</v>
      </c>
      <c r="N36" s="275">
        <f>K36*L36*M36</f>
        <v>13722.800000000001</v>
      </c>
      <c r="O36" s="423">
        <f>R8</f>
        <v>40776.320000000007</v>
      </c>
      <c r="P36" s="235">
        <v>1</v>
      </c>
      <c r="Q36" s="237">
        <f>M36</f>
        <v>0.35</v>
      </c>
      <c r="R36" s="275">
        <f>O36*P36*Q36</f>
        <v>14271.712000000001</v>
      </c>
      <c r="S36" s="423">
        <f>V8</f>
        <v>42407.372800000012</v>
      </c>
      <c r="T36" s="235">
        <v>1</v>
      </c>
      <c r="U36" s="237">
        <f>Q36</f>
        <v>0.35</v>
      </c>
      <c r="V36" s="275">
        <f>S36*T36*U36</f>
        <v>14842.580480000002</v>
      </c>
      <c r="W36" s="415">
        <f t="shared" si="29"/>
        <v>66182.092480000007</v>
      </c>
      <c r="X36" s="233"/>
      <c r="Y36" s="233"/>
      <c r="Z36" s="233"/>
      <c r="AA36" s="233"/>
      <c r="AB36" s="233"/>
      <c r="AC36" s="233"/>
      <c r="AD36" s="233"/>
      <c r="AE36" s="239"/>
      <c r="AF36" s="284"/>
      <c r="AG36" s="284"/>
      <c r="AJ36" s="233"/>
    </row>
    <row r="37" spans="1:36" ht="15" customHeight="1" outlineLevel="1">
      <c r="A37" s="285" t="s">
        <v>87</v>
      </c>
      <c r="B37" s="286"/>
      <c r="C37" s="287"/>
      <c r="D37" s="288"/>
      <c r="E37" s="289"/>
      <c r="F37" s="290">
        <f>SUM(F35:F36)</f>
        <v>14500</v>
      </c>
      <c r="G37" s="287"/>
      <c r="H37" s="288"/>
      <c r="I37" s="291"/>
      <c r="J37" s="290">
        <f>SUM(J35:J36)</f>
        <v>18850</v>
      </c>
      <c r="K37" s="287"/>
      <c r="L37" s="288"/>
      <c r="M37" s="289"/>
      <c r="N37" s="290">
        <f>SUM(N35:N36)</f>
        <v>19604</v>
      </c>
      <c r="O37" s="287"/>
      <c r="P37" s="288"/>
      <c r="Q37" s="291"/>
      <c r="R37" s="290">
        <f>SUM(R35:R36)</f>
        <v>20388.160000000003</v>
      </c>
      <c r="S37" s="287"/>
      <c r="T37" s="288"/>
      <c r="U37" s="291"/>
      <c r="V37" s="290">
        <f>SUM(V35:V36)</f>
        <v>21203.686400000006</v>
      </c>
      <c r="W37" s="412">
        <f>F37+J37+N37+R37+V37</f>
        <v>94545.846400000009</v>
      </c>
      <c r="AE37" s="239"/>
      <c r="AF37" s="280"/>
      <c r="AG37" s="280"/>
    </row>
    <row r="38" spans="1:36" ht="15" customHeight="1" outlineLevel="1">
      <c r="A38" s="285"/>
      <c r="B38" s="286"/>
      <c r="C38" s="287"/>
      <c r="D38" s="288"/>
      <c r="E38" s="289"/>
      <c r="F38" s="290"/>
      <c r="G38" s="287"/>
      <c r="H38" s="288"/>
      <c r="I38" s="291"/>
      <c r="J38" s="290"/>
      <c r="K38" s="287"/>
      <c r="L38" s="288"/>
      <c r="M38" s="289"/>
      <c r="N38" s="290"/>
      <c r="O38" s="287"/>
      <c r="P38" s="288"/>
      <c r="Q38" s="291"/>
      <c r="R38" s="290"/>
      <c r="S38" s="287"/>
      <c r="T38" s="288"/>
      <c r="U38" s="291"/>
      <c r="V38" s="290"/>
      <c r="W38" s="292"/>
      <c r="AE38" s="239"/>
      <c r="AF38" s="280"/>
      <c r="AG38" s="280"/>
    </row>
    <row r="39" spans="1:36" s="335" customFormat="1" ht="18.3" outlineLevel="1">
      <c r="A39" s="326" t="s">
        <v>88</v>
      </c>
      <c r="B39" s="327"/>
      <c r="C39" s="328"/>
      <c r="D39" s="329"/>
      <c r="E39" s="330"/>
      <c r="F39" s="331">
        <f>F37+F33</f>
        <v>42214.166666666672</v>
      </c>
      <c r="G39" s="328"/>
      <c r="H39" s="329"/>
      <c r="I39" s="332"/>
      <c r="J39" s="331">
        <f>J37+J33</f>
        <v>79240.298800000004</v>
      </c>
      <c r="K39" s="328"/>
      <c r="L39" s="329"/>
      <c r="M39" s="330"/>
      <c r="N39" s="331">
        <f>N37+N33</f>
        <v>74766.784352000002</v>
      </c>
      <c r="O39" s="328"/>
      <c r="P39" s="329"/>
      <c r="Q39" s="332"/>
      <c r="R39" s="331">
        <f>R37+R33</f>
        <v>69278.680839680004</v>
      </c>
      <c r="S39" s="328"/>
      <c r="T39" s="329"/>
      <c r="U39" s="332"/>
      <c r="V39" s="331">
        <f>V37+V33</f>
        <v>62281.87565294934</v>
      </c>
      <c r="W39" s="310">
        <f>+F39+J39+N39+R39+V39</f>
        <v>327781.80631129601</v>
      </c>
      <c r="X39" s="312"/>
      <c r="Y39" s="312"/>
      <c r="Z39" s="312"/>
      <c r="AA39" s="312"/>
      <c r="AB39" s="312"/>
      <c r="AC39" s="312"/>
      <c r="AD39" s="312"/>
      <c r="AE39" s="311">
        <v>287</v>
      </c>
      <c r="AF39" s="333" t="s">
        <v>128</v>
      </c>
      <c r="AG39" s="333" t="s">
        <v>129</v>
      </c>
      <c r="AH39" s="334"/>
      <c r="AJ39" s="312"/>
    </row>
    <row r="40" spans="1:36" s="337" customFormat="1" ht="15.6" outlineLevel="1">
      <c r="A40" s="267" t="s">
        <v>90</v>
      </c>
      <c r="B40" s="268"/>
      <c r="C40" s="234"/>
      <c r="D40" s="235"/>
      <c r="E40" s="260"/>
      <c r="F40" s="275"/>
      <c r="G40" s="234"/>
      <c r="H40" s="235"/>
      <c r="I40" s="262"/>
      <c r="J40" s="275"/>
      <c r="K40" s="234"/>
      <c r="L40" s="235"/>
      <c r="M40" s="260"/>
      <c r="N40" s="275"/>
      <c r="O40" s="234"/>
      <c r="P40" s="235"/>
      <c r="Q40" s="262"/>
      <c r="R40" s="275"/>
      <c r="S40" s="234"/>
      <c r="T40" s="235"/>
      <c r="U40" s="262"/>
      <c r="V40" s="275"/>
      <c r="W40" s="411"/>
      <c r="X40" s="233"/>
      <c r="Y40" s="233"/>
      <c r="Z40" s="233"/>
      <c r="AA40" s="233"/>
      <c r="AB40" s="233"/>
      <c r="AC40" s="233"/>
      <c r="AD40" s="233"/>
      <c r="AE40" s="239"/>
      <c r="AF40" s="280"/>
      <c r="AG40" s="280"/>
      <c r="AH40" s="336"/>
      <c r="AJ40" s="233"/>
    </row>
    <row r="41" spans="1:36" ht="15" customHeight="1" outlineLevel="1">
      <c r="A41" s="270" t="str">
        <f>'Program Budget'!D305</f>
        <v>Local Transportation for Trainings</v>
      </c>
      <c r="B41" s="271" t="str">
        <f>'Program Budget'!F305</f>
        <v>Trip</v>
      </c>
      <c r="C41" s="272">
        <f>'Program Budget'!H305</f>
        <v>100</v>
      </c>
      <c r="D41" s="273">
        <f>'Program Budget'!G305</f>
        <v>6</v>
      </c>
      <c r="E41" s="274">
        <v>1</v>
      </c>
      <c r="F41" s="275">
        <f>C41*D41*E41</f>
        <v>600</v>
      </c>
      <c r="G41" s="272">
        <f t="shared" ref="G41" si="30">C41*1.04</f>
        <v>104</v>
      </c>
      <c r="H41" s="273">
        <f>'Program Budget'!K305</f>
        <v>12</v>
      </c>
      <c r="I41" s="274">
        <v>1</v>
      </c>
      <c r="J41" s="275">
        <f>G41*H41*I41</f>
        <v>1248</v>
      </c>
      <c r="K41" s="272">
        <f t="shared" ref="K41" si="31">G41*1.04</f>
        <v>108.16</v>
      </c>
      <c r="L41" s="273">
        <f>'Program Budget'!N305</f>
        <v>12</v>
      </c>
      <c r="M41" s="274">
        <v>1</v>
      </c>
      <c r="N41" s="275">
        <f>K41*L41*M41</f>
        <v>1297.92</v>
      </c>
      <c r="O41" s="272">
        <f t="shared" ref="O41" si="32">K41*1.04</f>
        <v>112.4864</v>
      </c>
      <c r="P41" s="273">
        <f>'Program Budget'!Q305</f>
        <v>12</v>
      </c>
      <c r="Q41" s="274">
        <v>1</v>
      </c>
      <c r="R41" s="275">
        <f>O41*P41*Q41</f>
        <v>1349.8368</v>
      </c>
      <c r="S41" s="272">
        <f t="shared" ref="S41" si="33">O41*1.04</f>
        <v>116.98585600000001</v>
      </c>
      <c r="T41" s="273">
        <f>'Program Budget'!T305</f>
        <v>9</v>
      </c>
      <c r="U41" s="274">
        <v>1</v>
      </c>
      <c r="V41" s="275">
        <f>S41*T41*U41</f>
        <v>1052.8727040000001</v>
      </c>
      <c r="W41" s="411">
        <f>F41+J41+N41+R41+V41</f>
        <v>5548.6295040000005</v>
      </c>
      <c r="X41" s="278"/>
      <c r="Y41" s="265"/>
      <c r="Z41" s="279"/>
      <c r="AA41" s="279"/>
      <c r="AE41" s="239">
        <v>180</v>
      </c>
      <c r="AF41" s="280" t="s">
        <v>117</v>
      </c>
      <c r="AG41" s="280" t="s">
        <v>118</v>
      </c>
      <c r="AH41" s="281"/>
      <c r="AJ41" s="282"/>
    </row>
    <row r="42" spans="1:36" s="337" customFormat="1" ht="15.6" outlineLevel="1">
      <c r="A42" s="267" t="s">
        <v>91</v>
      </c>
      <c r="B42" s="293"/>
      <c r="C42" s="234"/>
      <c r="D42" s="235"/>
      <c r="E42" s="236"/>
      <c r="F42" s="275"/>
      <c r="G42" s="234"/>
      <c r="H42" s="235"/>
      <c r="I42" s="237"/>
      <c r="J42" s="275"/>
      <c r="K42" s="234"/>
      <c r="L42" s="235"/>
      <c r="M42" s="236"/>
      <c r="N42" s="275"/>
      <c r="O42" s="234"/>
      <c r="P42" s="235"/>
      <c r="Q42" s="237"/>
      <c r="R42" s="275"/>
      <c r="S42" s="234"/>
      <c r="T42" s="235"/>
      <c r="U42" s="237"/>
      <c r="V42" s="275"/>
      <c r="W42" s="411"/>
      <c r="X42" s="233"/>
      <c r="Y42" s="233"/>
      <c r="Z42" s="233"/>
      <c r="AA42" s="233"/>
      <c r="AB42" s="233"/>
      <c r="AC42" s="233"/>
      <c r="AD42" s="233"/>
      <c r="AE42" s="239"/>
      <c r="AF42" s="280"/>
      <c r="AG42" s="280"/>
      <c r="AH42" s="336"/>
      <c r="AJ42" s="233"/>
    </row>
    <row r="43" spans="1:36" ht="15" customHeight="1" outlineLevel="1">
      <c r="A43" s="270" t="str">
        <f>'Program Budget'!D304</f>
        <v>Motorcycle and Vehicle Fuel Expense</v>
      </c>
      <c r="B43" s="271" t="str">
        <f>'Program Budget'!F304</f>
        <v>Month</v>
      </c>
      <c r="C43" s="272">
        <f>'Program Budget'!H304</f>
        <v>150</v>
      </c>
      <c r="D43" s="273">
        <f>'Program Budget'!G304</f>
        <v>3</v>
      </c>
      <c r="E43" s="274">
        <v>1</v>
      </c>
      <c r="F43" s="275">
        <f>C43*D43*E43</f>
        <v>450</v>
      </c>
      <c r="G43" s="272">
        <f t="shared" ref="G43" si="34">C43*1.04</f>
        <v>156</v>
      </c>
      <c r="H43" s="273">
        <f>'Program Budget'!K304</f>
        <v>12</v>
      </c>
      <c r="I43" s="274">
        <v>1</v>
      </c>
      <c r="J43" s="275">
        <f>G43*H43*I43</f>
        <v>1872</v>
      </c>
      <c r="K43" s="272">
        <f t="shared" ref="K43" si="35">G43*1.04</f>
        <v>162.24</v>
      </c>
      <c r="L43" s="273">
        <f>'Program Budget'!N304</f>
        <v>12</v>
      </c>
      <c r="M43" s="274">
        <v>1</v>
      </c>
      <c r="N43" s="275">
        <f>K43*L43*M43</f>
        <v>1946.88</v>
      </c>
      <c r="O43" s="272">
        <f t="shared" ref="O43" si="36">K43*1.04</f>
        <v>168.7296</v>
      </c>
      <c r="P43" s="273">
        <f>'Program Budget'!Q304</f>
        <v>12</v>
      </c>
      <c r="Q43" s="274">
        <v>1</v>
      </c>
      <c r="R43" s="275">
        <f>O43*P43*Q43</f>
        <v>2024.7552000000001</v>
      </c>
      <c r="S43" s="272">
        <f t="shared" ref="S43" si="37">O43*1.04</f>
        <v>175.47878400000002</v>
      </c>
      <c r="T43" s="273">
        <f>'Program Budget'!T304</f>
        <v>7</v>
      </c>
      <c r="U43" s="274">
        <v>1</v>
      </c>
      <c r="V43" s="275">
        <f>S43*T43*U43</f>
        <v>1228.3514880000002</v>
      </c>
      <c r="W43" s="411">
        <f>F43+J43+N43+R43+V43</f>
        <v>7521.9866880000009</v>
      </c>
      <c r="X43" s="278"/>
      <c r="Y43" s="265"/>
      <c r="Z43" s="279"/>
      <c r="AA43" s="279"/>
      <c r="AE43" s="239">
        <v>180</v>
      </c>
      <c r="AF43" s="280" t="s">
        <v>117</v>
      </c>
      <c r="AG43" s="280" t="s">
        <v>118</v>
      </c>
      <c r="AH43" s="281"/>
      <c r="AJ43" s="282"/>
    </row>
    <row r="44" spans="1:36" s="337" customFormat="1" ht="15.6" outlineLevel="1">
      <c r="A44" s="267" t="s">
        <v>92</v>
      </c>
      <c r="B44" s="293"/>
      <c r="C44" s="234"/>
      <c r="D44" s="235"/>
      <c r="E44" s="236"/>
      <c r="F44" s="275"/>
      <c r="G44" s="234"/>
      <c r="H44" s="235"/>
      <c r="I44" s="237"/>
      <c r="J44" s="275"/>
      <c r="K44" s="234"/>
      <c r="L44" s="235"/>
      <c r="M44" s="236"/>
      <c r="N44" s="275"/>
      <c r="O44" s="234"/>
      <c r="P44" s="235"/>
      <c r="Q44" s="237"/>
      <c r="R44" s="275"/>
      <c r="S44" s="234"/>
      <c r="T44" s="235"/>
      <c r="U44" s="237"/>
      <c r="V44" s="275"/>
      <c r="W44" s="411"/>
      <c r="X44" s="233"/>
      <c r="Y44" s="233"/>
      <c r="Z44" s="233"/>
      <c r="AA44" s="233"/>
      <c r="AB44" s="233"/>
      <c r="AC44" s="233"/>
      <c r="AD44" s="233"/>
      <c r="AE44" s="239"/>
      <c r="AF44" s="280"/>
      <c r="AG44" s="280"/>
      <c r="AH44" s="336"/>
      <c r="AJ44" s="233"/>
    </row>
    <row r="45" spans="1:36" ht="15" customHeight="1" outlineLevel="1">
      <c r="A45" s="270" t="str">
        <f>'Program Budget'!D306</f>
        <v>Lodging and M&amp;IE for Trainings</v>
      </c>
      <c r="B45" s="271" t="str">
        <f>'Program Budget'!F306</f>
        <v>Day</v>
      </c>
      <c r="C45" s="272">
        <f>'Program Budget'!H306</f>
        <v>78</v>
      </c>
      <c r="D45" s="273">
        <f>'Program Budget'!G306</f>
        <v>18</v>
      </c>
      <c r="E45" s="274">
        <v>1</v>
      </c>
      <c r="F45" s="275">
        <f>C45*D45*E45</f>
        <v>1404</v>
      </c>
      <c r="G45" s="272">
        <f t="shared" ref="G45" si="38">C45*1.04</f>
        <v>81.12</v>
      </c>
      <c r="H45" s="273">
        <f>'Program Budget'!K306</f>
        <v>36</v>
      </c>
      <c r="I45" s="274">
        <v>1</v>
      </c>
      <c r="J45" s="275">
        <f>G45*H45*I45</f>
        <v>2920.32</v>
      </c>
      <c r="K45" s="272">
        <f t="shared" ref="K45" si="39">G45*1.04</f>
        <v>84.364800000000002</v>
      </c>
      <c r="L45" s="273">
        <f>'Program Budget'!N306</f>
        <v>36</v>
      </c>
      <c r="M45" s="274">
        <v>1</v>
      </c>
      <c r="N45" s="275">
        <f>K45*L45*M45</f>
        <v>3037.1328000000003</v>
      </c>
      <c r="O45" s="272">
        <f t="shared" ref="O45" si="40">K45*1.04</f>
        <v>87.739392000000009</v>
      </c>
      <c r="P45" s="273">
        <f>'Program Budget'!Q306</f>
        <v>36</v>
      </c>
      <c r="Q45" s="274">
        <v>1</v>
      </c>
      <c r="R45" s="275">
        <f>O45*P45*Q45</f>
        <v>3158.6181120000001</v>
      </c>
      <c r="S45" s="272">
        <f t="shared" ref="S45" si="41">O45*1.04</f>
        <v>91.248967680000007</v>
      </c>
      <c r="T45" s="273">
        <f>'Program Budget'!T306</f>
        <v>27</v>
      </c>
      <c r="U45" s="274">
        <v>1</v>
      </c>
      <c r="V45" s="275">
        <f>S45*T45*U45</f>
        <v>2463.7221273600003</v>
      </c>
      <c r="W45" s="411">
        <f>F45+J45+N45+R45+V45</f>
        <v>12983.79303936</v>
      </c>
      <c r="X45" s="278"/>
      <c r="Y45" s="265"/>
      <c r="Z45" s="279"/>
      <c r="AA45" s="279"/>
      <c r="AE45" s="239">
        <v>180</v>
      </c>
      <c r="AF45" s="280" t="s">
        <v>117</v>
      </c>
      <c r="AG45" s="280" t="s">
        <v>118</v>
      </c>
      <c r="AH45" s="281"/>
      <c r="AJ45" s="282"/>
    </row>
    <row r="46" spans="1:36" ht="15" customHeight="1" outlineLevel="1">
      <c r="A46" s="270" t="str">
        <f>'Program Budget'!D307</f>
        <v>Lodging and M&amp;IE for PASP Program Participant</v>
      </c>
      <c r="B46" s="271" t="str">
        <f>'Program Budget'!F307</f>
        <v>Week</v>
      </c>
      <c r="C46" s="272">
        <f>'Program Budget'!H307</f>
        <v>160</v>
      </c>
      <c r="D46" s="273">
        <f>'Program Budget'!G307</f>
        <v>0</v>
      </c>
      <c r="E46" s="274">
        <v>1</v>
      </c>
      <c r="F46" s="275">
        <f>C46*D46*E46</f>
        <v>0</v>
      </c>
      <c r="G46" s="272">
        <f t="shared" ref="G46" si="42">C46*1.04</f>
        <v>166.4</v>
      </c>
      <c r="H46" s="273">
        <f>'Program Budget'!K307</f>
        <v>400</v>
      </c>
      <c r="I46" s="274">
        <v>1</v>
      </c>
      <c r="J46" s="275">
        <f>G46*H46*I46</f>
        <v>66560</v>
      </c>
      <c r="K46" s="272">
        <f t="shared" ref="K46" si="43">G46*1.04</f>
        <v>173.05600000000001</v>
      </c>
      <c r="L46" s="273">
        <f>'Program Budget'!N307</f>
        <v>400</v>
      </c>
      <c r="M46" s="274">
        <v>1</v>
      </c>
      <c r="N46" s="275">
        <f>K46*L46*M46</f>
        <v>69222.400000000009</v>
      </c>
      <c r="O46" s="272">
        <f t="shared" ref="O46" si="44">K46*1.04</f>
        <v>179.97824000000003</v>
      </c>
      <c r="P46" s="273">
        <f>'Program Budget'!Q307</f>
        <v>400</v>
      </c>
      <c r="Q46" s="274">
        <v>1</v>
      </c>
      <c r="R46" s="275">
        <f>O46*P46*Q46</f>
        <v>71991.296000000017</v>
      </c>
      <c r="S46" s="272">
        <f t="shared" ref="S46" si="45">O46*1.04</f>
        <v>187.17736960000005</v>
      </c>
      <c r="T46" s="273">
        <f>'Program Budget'!T307</f>
        <v>0</v>
      </c>
      <c r="U46" s="274">
        <v>1</v>
      </c>
      <c r="V46" s="275">
        <f>S46*T46*U46</f>
        <v>0</v>
      </c>
      <c r="W46" s="411">
        <f>F46+J46+N46+R46+V46</f>
        <v>207773.69600000005</v>
      </c>
      <c r="X46" s="278"/>
      <c r="Y46" s="265"/>
      <c r="Z46" s="279"/>
      <c r="AA46" s="279"/>
      <c r="AE46" s="239">
        <v>180</v>
      </c>
      <c r="AF46" s="280" t="s">
        <v>117</v>
      </c>
      <c r="AG46" s="280" t="s">
        <v>118</v>
      </c>
      <c r="AH46" s="281"/>
      <c r="AJ46" s="282"/>
    </row>
    <row r="47" spans="1:36" outlineLevel="1">
      <c r="A47" s="403"/>
      <c r="B47" s="293"/>
      <c r="F47" s="275"/>
      <c r="J47" s="275"/>
      <c r="N47" s="275"/>
      <c r="R47" s="275"/>
      <c r="V47" s="275"/>
      <c r="W47" s="277"/>
      <c r="AE47" s="239"/>
      <c r="AF47" s="280"/>
      <c r="AG47" s="280"/>
    </row>
    <row r="48" spans="1:36" ht="18.3">
      <c r="A48" s="338" t="s">
        <v>93</v>
      </c>
      <c r="B48" s="304"/>
      <c r="C48" s="305"/>
      <c r="D48" s="339"/>
      <c r="E48" s="340"/>
      <c r="F48" s="308">
        <f>SUM(F40:F47)</f>
        <v>2454</v>
      </c>
      <c r="G48" s="305"/>
      <c r="H48" s="339"/>
      <c r="I48" s="309"/>
      <c r="J48" s="308">
        <f>SUM(J40:J47)</f>
        <v>72600.320000000007</v>
      </c>
      <c r="K48" s="305"/>
      <c r="L48" s="339"/>
      <c r="M48" s="340"/>
      <c r="N48" s="308">
        <f>SUM(N40:N47)</f>
        <v>75504.332800000004</v>
      </c>
      <c r="O48" s="305"/>
      <c r="P48" s="339"/>
      <c r="Q48" s="309"/>
      <c r="R48" s="308">
        <f>SUM(R40:R47)</f>
        <v>78524.506112000017</v>
      </c>
      <c r="S48" s="305"/>
      <c r="T48" s="339"/>
      <c r="U48" s="309"/>
      <c r="V48" s="308">
        <f>SUM(V40:V47)</f>
        <v>4744.9463193600004</v>
      </c>
      <c r="W48" s="310">
        <f>+F48+J48+N48+R48+V48</f>
        <v>233828.10523136001</v>
      </c>
      <c r="X48" s="239"/>
      <c r="Y48" s="239"/>
      <c r="Z48" s="239"/>
      <c r="AA48" s="239"/>
      <c r="AB48" s="239"/>
      <c r="AE48" s="239"/>
      <c r="AF48" s="266"/>
      <c r="AG48" s="266" t="s">
        <v>119</v>
      </c>
      <c r="AH48" s="266"/>
    </row>
    <row r="49" spans="1:33" ht="15.6" outlineLevel="1">
      <c r="A49" s="267" t="s">
        <v>50</v>
      </c>
      <c r="B49" s="341"/>
      <c r="D49" s="342"/>
      <c r="E49" s="343"/>
      <c r="F49" s="325"/>
      <c r="H49" s="342"/>
      <c r="I49" s="344"/>
      <c r="J49" s="298"/>
      <c r="L49" s="342"/>
      <c r="M49" s="343"/>
      <c r="N49" s="298"/>
      <c r="P49" s="342"/>
      <c r="Q49" s="344"/>
      <c r="R49" s="298"/>
      <c r="T49" s="342"/>
      <c r="U49" s="344"/>
      <c r="V49" s="298"/>
      <c r="W49" s="277"/>
      <c r="AE49" s="239"/>
      <c r="AF49" s="280"/>
      <c r="AG49" s="345"/>
    </row>
    <row r="50" spans="1:33" ht="15.6" outlineLevel="1">
      <c r="A50" s="346" t="str">
        <f>'Program Budget'!D292</f>
        <v>Develop Modules for PASP Certification Program</v>
      </c>
      <c r="B50" s="271" t="str">
        <f>'Program Budget'!F292</f>
        <v>Contract</v>
      </c>
      <c r="C50" s="272">
        <f>'Program Budget'!H292</f>
        <v>20000</v>
      </c>
      <c r="D50" s="273">
        <f>'Program Budget'!G292</f>
        <v>1</v>
      </c>
      <c r="E50" s="274">
        <v>1</v>
      </c>
      <c r="F50" s="275">
        <f>C50*D50*E50</f>
        <v>20000</v>
      </c>
      <c r="G50" s="272">
        <f>C50</f>
        <v>20000</v>
      </c>
      <c r="H50" s="273">
        <f>'Program Budget'!K292</f>
        <v>0</v>
      </c>
      <c r="I50" s="274">
        <v>1</v>
      </c>
      <c r="J50" s="275">
        <f>G50*H50*I50</f>
        <v>0</v>
      </c>
      <c r="K50" s="272">
        <f>G50</f>
        <v>20000</v>
      </c>
      <c r="L50" s="273">
        <f>'Program Budget'!N292</f>
        <v>0</v>
      </c>
      <c r="M50" s="274">
        <v>1</v>
      </c>
      <c r="N50" s="275">
        <f>K50*L50*M50</f>
        <v>0</v>
      </c>
      <c r="O50" s="272">
        <f>K50</f>
        <v>20000</v>
      </c>
      <c r="P50" s="273">
        <f>'Program Budget'!Q292</f>
        <v>0</v>
      </c>
      <c r="Q50" s="274">
        <v>1</v>
      </c>
      <c r="R50" s="275">
        <f>O50*P50*Q50</f>
        <v>0</v>
      </c>
      <c r="S50" s="272">
        <f>O50</f>
        <v>20000</v>
      </c>
      <c r="T50" s="273">
        <f>'Program Budget'!T292</f>
        <v>0</v>
      </c>
      <c r="U50" s="274">
        <v>1</v>
      </c>
      <c r="V50" s="275">
        <f>S50*T50*U50</f>
        <v>0</v>
      </c>
      <c r="W50" s="411">
        <f>F50+J50+N50+R50+V50</f>
        <v>20000</v>
      </c>
      <c r="AE50" s="239"/>
      <c r="AF50" s="280"/>
      <c r="AG50" s="345"/>
    </row>
    <row r="51" spans="1:33" ht="15.6" outlineLevel="1">
      <c r="A51" s="346" t="str">
        <f>'Program Budget'!D293</f>
        <v>Security Services, Risk Assessments, &amp; Security Assessment</v>
      </c>
      <c r="B51" s="271" t="str">
        <f>'Program Budget'!F293</f>
        <v>Year</v>
      </c>
      <c r="C51" s="272">
        <f>'Program Budget'!H293</f>
        <v>7000</v>
      </c>
      <c r="D51" s="273">
        <f>'Program Budget'!G293</f>
        <v>1</v>
      </c>
      <c r="E51" s="274">
        <v>1</v>
      </c>
      <c r="F51" s="275">
        <f t="shared" ref="F51:F52" si="46">C51*D51*E51</f>
        <v>7000</v>
      </c>
      <c r="G51" s="272">
        <f t="shared" ref="G51:G52" si="47">C51</f>
        <v>7000</v>
      </c>
      <c r="H51" s="273">
        <f>'Program Budget'!K293</f>
        <v>1</v>
      </c>
      <c r="I51" s="274">
        <v>1</v>
      </c>
      <c r="J51" s="275">
        <f t="shared" ref="J51:J52" si="48">G51*H51*I51</f>
        <v>7000</v>
      </c>
      <c r="K51" s="272">
        <f t="shared" ref="K51:K52" si="49">G51</f>
        <v>7000</v>
      </c>
      <c r="L51" s="273">
        <f>'Program Budget'!N293</f>
        <v>1</v>
      </c>
      <c r="M51" s="274">
        <v>1</v>
      </c>
      <c r="N51" s="275">
        <f t="shared" ref="N51:N52" si="50">K51*L51*M51</f>
        <v>7000</v>
      </c>
      <c r="O51" s="272">
        <f t="shared" ref="O51:O52" si="51">K51</f>
        <v>7000</v>
      </c>
      <c r="P51" s="273">
        <f>'Program Budget'!Q293</f>
        <v>1</v>
      </c>
      <c r="Q51" s="274">
        <v>1</v>
      </c>
      <c r="R51" s="275">
        <f t="shared" ref="R51:R52" si="52">O51*P51*Q51</f>
        <v>7000</v>
      </c>
      <c r="S51" s="272">
        <f t="shared" ref="S51:S52" si="53">O51</f>
        <v>7000</v>
      </c>
      <c r="T51" s="273">
        <f>'Program Budget'!T293</f>
        <v>1</v>
      </c>
      <c r="U51" s="274">
        <v>1</v>
      </c>
      <c r="V51" s="275">
        <f t="shared" ref="V51:V52" si="54">S51*T51*U51</f>
        <v>7000</v>
      </c>
      <c r="W51" s="411">
        <f t="shared" ref="W51:W52" si="55">F51+J51+N51+R51+V51</f>
        <v>35000</v>
      </c>
      <c r="AE51" s="239"/>
      <c r="AF51" s="280"/>
      <c r="AG51" s="345"/>
    </row>
    <row r="52" spans="1:33" ht="15.6" outlineLevel="1">
      <c r="A52" s="346" t="str">
        <f>'Program Budget'!D294</f>
        <v>Short-Term Technical Advisors</v>
      </c>
      <c r="B52" s="271" t="str">
        <f>'Program Budget'!F294</f>
        <v>Month</v>
      </c>
      <c r="C52" s="272">
        <f>'Program Budget'!H294</f>
        <v>500</v>
      </c>
      <c r="D52" s="273">
        <f>'Program Budget'!G294</f>
        <v>9</v>
      </c>
      <c r="E52" s="274">
        <v>1</v>
      </c>
      <c r="F52" s="275">
        <f t="shared" si="46"/>
        <v>4500</v>
      </c>
      <c r="G52" s="272">
        <f t="shared" si="47"/>
        <v>500</v>
      </c>
      <c r="H52" s="273">
        <f>'Program Budget'!K294</f>
        <v>12</v>
      </c>
      <c r="I52" s="274">
        <v>1</v>
      </c>
      <c r="J52" s="275">
        <f t="shared" si="48"/>
        <v>6000</v>
      </c>
      <c r="K52" s="272">
        <f t="shared" si="49"/>
        <v>500</v>
      </c>
      <c r="L52" s="273">
        <f>'Program Budget'!N294</f>
        <v>12</v>
      </c>
      <c r="M52" s="274">
        <v>1</v>
      </c>
      <c r="N52" s="275">
        <f t="shared" si="50"/>
        <v>6000</v>
      </c>
      <c r="O52" s="272">
        <f t="shared" si="51"/>
        <v>500</v>
      </c>
      <c r="P52" s="273">
        <f>'Program Budget'!Q294</f>
        <v>12</v>
      </c>
      <c r="Q52" s="274">
        <v>1</v>
      </c>
      <c r="R52" s="275">
        <f t="shared" si="52"/>
        <v>6000</v>
      </c>
      <c r="S52" s="272">
        <f t="shared" si="53"/>
        <v>500</v>
      </c>
      <c r="T52" s="273">
        <f>'Program Budget'!T294</f>
        <v>9</v>
      </c>
      <c r="U52" s="274">
        <v>1</v>
      </c>
      <c r="V52" s="275">
        <f t="shared" si="54"/>
        <v>4500</v>
      </c>
      <c r="W52" s="411">
        <f t="shared" si="55"/>
        <v>27000</v>
      </c>
      <c r="AE52" s="239"/>
      <c r="AF52" s="280"/>
      <c r="AG52" s="345"/>
    </row>
    <row r="53" spans="1:33" ht="15.6" outlineLevel="1">
      <c r="A53" s="346" t="str">
        <f>'Program Budget'!D295</f>
        <v>Technical Advisor of Trade Promotion &amp; Strategic Partnership  &amp; Investment</v>
      </c>
      <c r="B53" s="271" t="str">
        <f>'Program Budget'!F295</f>
        <v>Month</v>
      </c>
      <c r="C53" s="272">
        <f>(150000/12)</f>
        <v>12500</v>
      </c>
      <c r="D53" s="273">
        <f>'Program Budget'!G295</f>
        <v>0</v>
      </c>
      <c r="E53" s="274">
        <v>0</v>
      </c>
      <c r="F53" s="275">
        <f t="shared" ref="F53" si="56">C53*D53*E53</f>
        <v>0</v>
      </c>
      <c r="G53" s="272">
        <f t="shared" ref="G53" si="57">C53</f>
        <v>12500</v>
      </c>
      <c r="H53" s="273">
        <f>'Program Budget'!K295</f>
        <v>12</v>
      </c>
      <c r="I53" s="274">
        <v>0.05</v>
      </c>
      <c r="J53" s="275">
        <f t="shared" ref="J53" si="58">G53*H53*I53</f>
        <v>7500</v>
      </c>
      <c r="K53" s="272">
        <f t="shared" ref="K53" si="59">G53</f>
        <v>12500</v>
      </c>
      <c r="L53" s="273">
        <f>'Program Budget'!N295</f>
        <v>12</v>
      </c>
      <c r="M53" s="274">
        <v>0.05</v>
      </c>
      <c r="N53" s="275">
        <f t="shared" ref="N53" si="60">K53*L53*M53</f>
        <v>7500</v>
      </c>
      <c r="O53" s="272">
        <f t="shared" ref="O53" si="61">K53</f>
        <v>12500</v>
      </c>
      <c r="P53" s="273">
        <f>'Program Budget'!Q295</f>
        <v>12</v>
      </c>
      <c r="Q53" s="274">
        <v>0.05</v>
      </c>
      <c r="R53" s="275">
        <f t="shared" ref="R53" si="62">O53*P53*Q53</f>
        <v>7500</v>
      </c>
      <c r="S53" s="272">
        <f t="shared" ref="S53" si="63">O53</f>
        <v>12500</v>
      </c>
      <c r="T53" s="273">
        <f>'Program Budget'!T295</f>
        <v>9</v>
      </c>
      <c r="U53" s="274">
        <v>0.05</v>
      </c>
      <c r="V53" s="275">
        <f t="shared" ref="V53" si="64">S53*T53*U53</f>
        <v>5625</v>
      </c>
      <c r="W53" s="411">
        <f t="shared" ref="W53" si="65">F53+J53+N53+R53+V53</f>
        <v>28125</v>
      </c>
      <c r="AE53" s="239"/>
      <c r="AF53" s="280"/>
      <c r="AG53" s="345"/>
    </row>
    <row r="54" spans="1:33" outlineLevel="1">
      <c r="A54" s="404"/>
      <c r="B54" s="293"/>
      <c r="C54" s="347"/>
      <c r="D54" s="348"/>
      <c r="F54" s="275"/>
      <c r="G54" s="347"/>
      <c r="H54" s="348"/>
      <c r="I54" s="236"/>
      <c r="J54" s="275"/>
      <c r="K54" s="347"/>
      <c r="L54" s="348"/>
      <c r="N54" s="275"/>
      <c r="O54" s="347"/>
      <c r="P54" s="348"/>
      <c r="Q54" s="236"/>
      <c r="R54" s="275"/>
      <c r="S54" s="347"/>
      <c r="T54" s="348"/>
      <c r="U54" s="236"/>
      <c r="V54" s="275"/>
      <c r="W54" s="349"/>
      <c r="AE54" s="239"/>
      <c r="AF54" s="280"/>
      <c r="AG54" s="345"/>
    </row>
    <row r="55" spans="1:33" ht="18.3" outlineLevel="1">
      <c r="A55" s="338" t="s">
        <v>94</v>
      </c>
      <c r="B55" s="304"/>
      <c r="C55" s="305"/>
      <c r="D55" s="339"/>
      <c r="E55" s="340"/>
      <c r="F55" s="308">
        <f>SUM(F50:F54)</f>
        <v>31500</v>
      </c>
      <c r="G55" s="305"/>
      <c r="H55" s="339"/>
      <c r="I55" s="309"/>
      <c r="J55" s="308">
        <f>SUM(J50:J54)</f>
        <v>20500</v>
      </c>
      <c r="K55" s="305"/>
      <c r="L55" s="339"/>
      <c r="M55" s="340"/>
      <c r="N55" s="308">
        <f>SUM(N50:N54)</f>
        <v>20500</v>
      </c>
      <c r="O55" s="305"/>
      <c r="P55" s="339"/>
      <c r="Q55" s="309"/>
      <c r="R55" s="308">
        <f>SUM(R50:R54)</f>
        <v>20500</v>
      </c>
      <c r="S55" s="305"/>
      <c r="T55" s="339"/>
      <c r="U55" s="309"/>
      <c r="V55" s="308">
        <f>SUM(V50:V54)</f>
        <v>17125</v>
      </c>
      <c r="W55" s="310">
        <f>+F55+J55+N55+R55+V55</f>
        <v>110125</v>
      </c>
      <c r="AE55" s="239"/>
      <c r="AF55" s="280"/>
      <c r="AG55" s="345"/>
    </row>
    <row r="56" spans="1:33" ht="15.6" outlineLevel="1">
      <c r="A56" s="267" t="s">
        <v>95</v>
      </c>
      <c r="B56" s="350"/>
      <c r="D56" s="342"/>
      <c r="F56" s="275"/>
      <c r="H56" s="342"/>
      <c r="J56" s="277"/>
      <c r="L56" s="342"/>
      <c r="N56" s="277"/>
      <c r="P56" s="342"/>
      <c r="R56" s="277"/>
      <c r="T56" s="342"/>
      <c r="V56" s="277"/>
      <c r="W56" s="277"/>
      <c r="AE56" s="239"/>
    </row>
    <row r="57" spans="1:33" outlineLevel="1">
      <c r="A57" s="270" t="s">
        <v>148</v>
      </c>
      <c r="B57" s="293"/>
      <c r="D57" s="351"/>
      <c r="F57" s="275">
        <f>C57*D57*E57</f>
        <v>0</v>
      </c>
      <c r="H57" s="351"/>
      <c r="I57" s="236"/>
      <c r="J57" s="275">
        <f t="shared" ref="J57" si="66">G57*H57*I57</f>
        <v>0</v>
      </c>
      <c r="L57" s="351"/>
      <c r="N57" s="275">
        <f t="shared" ref="N57" si="67">K57*L57*M57</f>
        <v>0</v>
      </c>
      <c r="P57" s="351"/>
      <c r="Q57" s="236"/>
      <c r="R57" s="275">
        <f t="shared" ref="R57" si="68">O57*P57*Q57</f>
        <v>0</v>
      </c>
      <c r="T57" s="351"/>
      <c r="U57" s="236"/>
      <c r="V57" s="275">
        <f t="shared" ref="V57" si="69">S57*T57*U57</f>
        <v>0</v>
      </c>
      <c r="W57" s="277">
        <f t="shared" ref="W57" si="70">F57+J57+N57+R57+V57</f>
        <v>0</v>
      </c>
      <c r="AE57" s="239">
        <v>298</v>
      </c>
      <c r="AF57" s="280" t="s">
        <v>149</v>
      </c>
      <c r="AG57" s="280" t="s">
        <v>150</v>
      </c>
    </row>
    <row r="58" spans="1:33" ht="18.3" outlineLevel="1">
      <c r="A58" s="338" t="s">
        <v>96</v>
      </c>
      <c r="B58" s="304"/>
      <c r="C58" s="305"/>
      <c r="D58" s="339"/>
      <c r="E58" s="340"/>
      <c r="F58" s="308">
        <f>SUM(F57:F57)</f>
        <v>0</v>
      </c>
      <c r="G58" s="305"/>
      <c r="H58" s="339"/>
      <c r="I58" s="309"/>
      <c r="J58" s="308">
        <f>SUM(J57:J57)</f>
        <v>0</v>
      </c>
      <c r="K58" s="305"/>
      <c r="L58" s="339"/>
      <c r="M58" s="340"/>
      <c r="N58" s="308">
        <f>SUM(N57:N57)</f>
        <v>0</v>
      </c>
      <c r="O58" s="305"/>
      <c r="P58" s="339"/>
      <c r="Q58" s="309"/>
      <c r="R58" s="308">
        <f>SUM(R57:R57)</f>
        <v>0</v>
      </c>
      <c r="S58" s="305"/>
      <c r="T58" s="339"/>
      <c r="U58" s="309"/>
      <c r="V58" s="308">
        <f>SUM(V57:V57)</f>
        <v>0</v>
      </c>
      <c r="W58" s="310">
        <f>+F58+J58+N58+R58+V58</f>
        <v>0</v>
      </c>
      <c r="AE58" s="239"/>
      <c r="AF58" s="280"/>
      <c r="AG58" s="345"/>
    </row>
    <row r="59" spans="1:33" ht="15.6" outlineLevel="1">
      <c r="A59" s="267" t="s">
        <v>32</v>
      </c>
      <c r="B59" s="293"/>
      <c r="D59" s="342"/>
      <c r="F59" s="275"/>
      <c r="H59" s="342"/>
      <c r="I59" s="236"/>
      <c r="J59" s="275"/>
      <c r="L59" s="342"/>
      <c r="N59" s="275"/>
      <c r="P59" s="342"/>
      <c r="Q59" s="236"/>
      <c r="R59" s="275"/>
      <c r="T59" s="342"/>
      <c r="U59" s="236"/>
      <c r="V59" s="275"/>
      <c r="W59" s="277"/>
      <c r="AE59" s="239"/>
      <c r="AF59" s="280"/>
      <c r="AG59" s="280"/>
    </row>
    <row r="60" spans="1:33" outlineLevel="1">
      <c r="A60" s="270" t="s">
        <v>148</v>
      </c>
      <c r="B60" s="293"/>
      <c r="D60" s="342"/>
      <c r="F60" s="275">
        <f>C60*D60*E60</f>
        <v>0</v>
      </c>
      <c r="H60" s="342"/>
      <c r="I60" s="236"/>
      <c r="J60" s="275">
        <f>G60*H60*I60</f>
        <v>0</v>
      </c>
      <c r="L60" s="342"/>
      <c r="N60" s="275">
        <f>K60*L60*M60</f>
        <v>0</v>
      </c>
      <c r="P60" s="342"/>
      <c r="Q60" s="236"/>
      <c r="R60" s="275">
        <f>O60*P60*Q60</f>
        <v>0</v>
      </c>
      <c r="T60" s="342"/>
      <c r="U60" s="236"/>
      <c r="V60" s="275">
        <f>S60*T60*U60</f>
        <v>0</v>
      </c>
      <c r="W60" s="277">
        <f t="shared" ref="W60" si="71">F60+J60+N60+R60+V60</f>
        <v>0</v>
      </c>
      <c r="AE60" s="239"/>
      <c r="AF60" s="280"/>
      <c r="AG60" s="280"/>
    </row>
    <row r="61" spans="1:33" ht="18.3" outlineLevel="1">
      <c r="A61" s="338" t="s">
        <v>97</v>
      </c>
      <c r="B61" s="304"/>
      <c r="C61" s="305"/>
      <c r="D61" s="339"/>
      <c r="E61" s="340"/>
      <c r="F61" s="308">
        <f>SUM(F57:F57)</f>
        <v>0</v>
      </c>
      <c r="G61" s="305"/>
      <c r="H61" s="339"/>
      <c r="I61" s="309"/>
      <c r="J61" s="308">
        <f>SUM(J57:J57)</f>
        <v>0</v>
      </c>
      <c r="K61" s="305"/>
      <c r="L61" s="339"/>
      <c r="M61" s="340"/>
      <c r="N61" s="308">
        <f>SUM(N57:N57)</f>
        <v>0</v>
      </c>
      <c r="O61" s="305"/>
      <c r="P61" s="339"/>
      <c r="Q61" s="309"/>
      <c r="R61" s="308">
        <f>SUM(R57:R57)</f>
        <v>0</v>
      </c>
      <c r="S61" s="305"/>
      <c r="T61" s="339"/>
      <c r="U61" s="309"/>
      <c r="V61" s="308">
        <f>SUM(V57:V57)</f>
        <v>0</v>
      </c>
      <c r="W61" s="310">
        <f>+F61+J61+N61+R61+V61</f>
        <v>0</v>
      </c>
      <c r="AE61" s="239">
        <v>236</v>
      </c>
      <c r="AF61" s="280" t="s">
        <v>136</v>
      </c>
      <c r="AG61" s="345" t="s">
        <v>137</v>
      </c>
    </row>
    <row r="62" spans="1:33" ht="15.6" outlineLevel="1">
      <c r="A62" s="267" t="s">
        <v>33</v>
      </c>
      <c r="B62" s="341"/>
      <c r="D62" s="342"/>
      <c r="E62" s="343"/>
      <c r="F62" s="325"/>
      <c r="H62" s="342"/>
      <c r="I62" s="344"/>
      <c r="J62" s="298"/>
      <c r="L62" s="342"/>
      <c r="M62" s="343"/>
      <c r="N62" s="298"/>
      <c r="P62" s="342"/>
      <c r="Q62" s="344"/>
      <c r="R62" s="298"/>
      <c r="T62" s="342"/>
      <c r="U62" s="344"/>
      <c r="V62" s="298"/>
      <c r="W62" s="277"/>
      <c r="AE62" s="239">
        <v>236</v>
      </c>
      <c r="AF62" s="280" t="s">
        <v>136</v>
      </c>
      <c r="AG62" s="345" t="s">
        <v>137</v>
      </c>
    </row>
    <row r="63" spans="1:33" ht="15.6" outlineLevel="1">
      <c r="A63" s="346" t="str">
        <f>'Program Budget'!D299</f>
        <v>Motorcycles for Extension Agents</v>
      </c>
      <c r="B63" s="271" t="str">
        <f>'Program Budget'!F299</f>
        <v>Unit</v>
      </c>
      <c r="C63" s="272">
        <f>'Program Budget'!H299</f>
        <v>1100</v>
      </c>
      <c r="D63" s="273">
        <f>'Program Budget'!G299</f>
        <v>4</v>
      </c>
      <c r="E63" s="274">
        <v>1</v>
      </c>
      <c r="F63" s="275">
        <f t="shared" ref="F63" si="72">C63*D63*E63</f>
        <v>4400</v>
      </c>
      <c r="G63" s="272">
        <f t="shared" ref="G63" si="73">C63</f>
        <v>1100</v>
      </c>
      <c r="H63" s="273">
        <f>'Program Budget'!K299</f>
        <v>0</v>
      </c>
      <c r="I63" s="274">
        <v>1</v>
      </c>
      <c r="J63" s="275">
        <f t="shared" ref="J63" si="74">G63*H63*I63</f>
        <v>0</v>
      </c>
      <c r="K63" s="272">
        <f t="shared" ref="K63" si="75">G63</f>
        <v>1100</v>
      </c>
      <c r="L63" s="273">
        <f>'Program Budget'!N299</f>
        <v>0</v>
      </c>
      <c r="M63" s="274">
        <v>1</v>
      </c>
      <c r="N63" s="275">
        <f t="shared" ref="N63" si="76">K63*L63*M63</f>
        <v>0</v>
      </c>
      <c r="O63" s="272">
        <f t="shared" ref="O63" si="77">K63</f>
        <v>1100</v>
      </c>
      <c r="P63" s="273">
        <f>'Program Budget'!Q299</f>
        <v>0</v>
      </c>
      <c r="Q63" s="274">
        <v>1</v>
      </c>
      <c r="R63" s="275">
        <f t="shared" ref="R63" si="78">O63*P63*Q63</f>
        <v>0</v>
      </c>
      <c r="S63" s="272">
        <f t="shared" ref="S63" si="79">O63</f>
        <v>1100</v>
      </c>
      <c r="T63" s="273">
        <f>'Program Budget'!T299</f>
        <v>0</v>
      </c>
      <c r="U63" s="274">
        <v>1</v>
      </c>
      <c r="V63" s="275">
        <f t="shared" ref="V63" si="80">S63*T63*U63</f>
        <v>0</v>
      </c>
      <c r="W63" s="411">
        <f t="shared" ref="W63" si="81">F63+J63+N63+R63+V63</f>
        <v>4400</v>
      </c>
      <c r="AE63" s="239"/>
      <c r="AF63" s="280"/>
      <c r="AG63" s="345"/>
    </row>
    <row r="64" spans="1:33" ht="15.6" outlineLevel="1">
      <c r="A64" s="346" t="str">
        <f>'Program Budget'!D300</f>
        <v>Tablets for Rural Data Collection for Extension Agents</v>
      </c>
      <c r="B64" s="271" t="str">
        <f>'Program Budget'!F300</f>
        <v>Unit</v>
      </c>
      <c r="C64" s="272">
        <f>'Program Budget'!H300</f>
        <v>600</v>
      </c>
      <c r="D64" s="273">
        <f>'Program Budget'!G300</f>
        <v>4</v>
      </c>
      <c r="E64" s="274">
        <v>1</v>
      </c>
      <c r="F64" s="275">
        <f t="shared" ref="F64" si="82">C64*D64*E64</f>
        <v>2400</v>
      </c>
      <c r="G64" s="272">
        <f t="shared" ref="G64" si="83">C64</f>
        <v>600</v>
      </c>
      <c r="H64" s="273">
        <f>'Program Budget'!K300</f>
        <v>0</v>
      </c>
      <c r="I64" s="274">
        <v>1</v>
      </c>
      <c r="J64" s="275">
        <f t="shared" ref="J64" si="84">G64*H64*I64</f>
        <v>0</v>
      </c>
      <c r="K64" s="272">
        <f t="shared" ref="K64" si="85">G64</f>
        <v>600</v>
      </c>
      <c r="L64" s="273">
        <f>'Program Budget'!N300</f>
        <v>0</v>
      </c>
      <c r="M64" s="274">
        <v>1</v>
      </c>
      <c r="N64" s="275">
        <f t="shared" ref="N64" si="86">K64*L64*M64</f>
        <v>0</v>
      </c>
      <c r="O64" s="272">
        <f t="shared" ref="O64" si="87">K64</f>
        <v>600</v>
      </c>
      <c r="P64" s="273">
        <f>'Program Budget'!Q300</f>
        <v>0</v>
      </c>
      <c r="Q64" s="274">
        <v>1</v>
      </c>
      <c r="R64" s="275">
        <f t="shared" ref="R64" si="88">O64*P64*Q64</f>
        <v>0</v>
      </c>
      <c r="S64" s="272">
        <f t="shared" ref="S64" si="89">O64</f>
        <v>600</v>
      </c>
      <c r="T64" s="273">
        <f>'Program Budget'!T300</f>
        <v>0</v>
      </c>
      <c r="U64" s="274">
        <v>1</v>
      </c>
      <c r="V64" s="275">
        <f t="shared" ref="V64" si="90">S64*T64*U64</f>
        <v>0</v>
      </c>
      <c r="W64" s="411">
        <f t="shared" ref="W64" si="91">F64+J64+N64+R64+V64</f>
        <v>2400</v>
      </c>
      <c r="AE64" s="239"/>
      <c r="AF64" s="280"/>
      <c r="AG64" s="345"/>
    </row>
    <row r="65" spans="1:33" outlineLevel="1">
      <c r="A65" s="270"/>
      <c r="B65" s="293"/>
      <c r="C65" s="347"/>
      <c r="D65" s="348"/>
      <c r="F65" s="275"/>
      <c r="G65" s="347"/>
      <c r="H65" s="348"/>
      <c r="I65" s="236"/>
      <c r="J65" s="275"/>
      <c r="K65" s="347"/>
      <c r="L65" s="348"/>
      <c r="N65" s="275"/>
      <c r="O65" s="347"/>
      <c r="P65" s="348"/>
      <c r="Q65" s="236"/>
      <c r="R65" s="275"/>
      <c r="S65" s="347"/>
      <c r="T65" s="348"/>
      <c r="U65" s="236"/>
      <c r="V65" s="275"/>
      <c r="W65" s="277"/>
      <c r="AE65" s="239"/>
      <c r="AF65" s="280"/>
      <c r="AG65" s="345"/>
    </row>
    <row r="66" spans="1:33" ht="18.3" outlineLevel="1">
      <c r="A66" s="338" t="s">
        <v>98</v>
      </c>
      <c r="B66" s="304"/>
      <c r="C66" s="305"/>
      <c r="D66" s="339"/>
      <c r="E66" s="340"/>
      <c r="F66" s="308">
        <f>SUM(F62:F65)</f>
        <v>6800</v>
      </c>
      <c r="G66" s="305"/>
      <c r="H66" s="339"/>
      <c r="I66" s="309"/>
      <c r="J66" s="308">
        <f>SUM(J62:J65)</f>
        <v>0</v>
      </c>
      <c r="K66" s="305"/>
      <c r="L66" s="339"/>
      <c r="M66" s="340"/>
      <c r="N66" s="308">
        <f>SUM(N62:N65)</f>
        <v>0</v>
      </c>
      <c r="O66" s="305"/>
      <c r="P66" s="339"/>
      <c r="Q66" s="309"/>
      <c r="R66" s="308">
        <f>SUM(R62:R65)</f>
        <v>0</v>
      </c>
      <c r="S66" s="305"/>
      <c r="T66" s="339"/>
      <c r="U66" s="309"/>
      <c r="V66" s="308">
        <f>SUM(V62:V65)</f>
        <v>0</v>
      </c>
      <c r="W66" s="308">
        <f>SUM(W62:W65)</f>
        <v>6800</v>
      </c>
      <c r="AE66" s="239"/>
      <c r="AF66" s="280"/>
      <c r="AG66" s="345"/>
    </row>
    <row r="67" spans="1:33" ht="15.6" outlineLevel="1">
      <c r="A67" s="353" t="s">
        <v>99</v>
      </c>
      <c r="B67" s="293"/>
      <c r="C67" s="354"/>
      <c r="D67" s="355"/>
      <c r="F67" s="325"/>
      <c r="G67" s="354"/>
      <c r="H67" s="355"/>
      <c r="J67" s="298"/>
      <c r="K67" s="354"/>
      <c r="L67" s="355"/>
      <c r="N67" s="298"/>
      <c r="O67" s="354"/>
      <c r="P67" s="355"/>
      <c r="R67" s="298"/>
      <c r="S67" s="354"/>
      <c r="T67" s="355"/>
      <c r="V67" s="298"/>
      <c r="W67" s="277"/>
      <c r="AE67" s="239"/>
      <c r="AF67" s="280"/>
      <c r="AG67" s="345"/>
    </row>
    <row r="68" spans="1:33" ht="15.6" outlineLevel="1">
      <c r="A68" s="267" t="s">
        <v>100</v>
      </c>
      <c r="B68" s="293"/>
      <c r="C68" s="354"/>
      <c r="D68" s="355"/>
      <c r="F68" s="275"/>
      <c r="G68" s="354"/>
      <c r="H68" s="355"/>
      <c r="I68" s="236"/>
      <c r="J68" s="275"/>
      <c r="K68" s="354"/>
      <c r="L68" s="355"/>
      <c r="N68" s="275"/>
      <c r="O68" s="354"/>
      <c r="P68" s="355"/>
      <c r="Q68" s="236"/>
      <c r="R68" s="275"/>
      <c r="S68" s="354"/>
      <c r="T68" s="355"/>
      <c r="U68" s="236"/>
      <c r="V68" s="275"/>
      <c r="W68" s="277"/>
      <c r="AE68" s="239"/>
      <c r="AF68" s="280"/>
      <c r="AG68" s="345"/>
    </row>
    <row r="69" spans="1:33" ht="15.6" outlineLevel="1">
      <c r="A69" s="346" t="str">
        <f>'Program Budget'!D312</f>
        <v>Stipend for Student Internships for Domestic Internship of 6 Months</v>
      </c>
      <c r="B69" s="271" t="str">
        <f>'Program Budget'!F312</f>
        <v>Stipends</v>
      </c>
      <c r="C69" s="272">
        <f>'Program Budget'!H312</f>
        <v>6000</v>
      </c>
      <c r="D69" s="273">
        <f>'Program Budget'!G312</f>
        <v>0</v>
      </c>
      <c r="E69" s="274">
        <v>1</v>
      </c>
      <c r="F69" s="275">
        <f t="shared" ref="F69" si="92">C69*D69*E69</f>
        <v>0</v>
      </c>
      <c r="G69" s="272">
        <f t="shared" ref="G69" si="93">C69</f>
        <v>6000</v>
      </c>
      <c r="H69" s="273">
        <f>'Program Budget'!K312</f>
        <v>5</v>
      </c>
      <c r="I69" s="274">
        <v>1</v>
      </c>
      <c r="J69" s="275">
        <f t="shared" ref="J69" si="94">G69*H69*I69</f>
        <v>30000</v>
      </c>
      <c r="K69" s="272">
        <f t="shared" ref="K69" si="95">G69</f>
        <v>6000</v>
      </c>
      <c r="L69" s="273">
        <f>'Program Budget'!N312</f>
        <v>5</v>
      </c>
      <c r="M69" s="274">
        <v>1</v>
      </c>
      <c r="N69" s="275">
        <f t="shared" ref="N69" si="96">K69*L69*M69</f>
        <v>30000</v>
      </c>
      <c r="O69" s="272">
        <f t="shared" ref="O69" si="97">K69</f>
        <v>6000</v>
      </c>
      <c r="P69" s="273">
        <f>'Program Budget'!Q312</f>
        <v>5</v>
      </c>
      <c r="Q69" s="274">
        <v>1</v>
      </c>
      <c r="R69" s="275">
        <f t="shared" ref="R69" si="98">O69*P69*Q69</f>
        <v>30000</v>
      </c>
      <c r="S69" s="272">
        <f t="shared" ref="S69" si="99">O69</f>
        <v>6000</v>
      </c>
      <c r="T69" s="273">
        <f>'Program Budget'!T312</f>
        <v>0</v>
      </c>
      <c r="U69" s="274">
        <v>1</v>
      </c>
      <c r="V69" s="275">
        <f t="shared" ref="V69" si="100">S69*T69*U69</f>
        <v>0</v>
      </c>
      <c r="W69" s="411">
        <f t="shared" ref="W69" si="101">F69+J69+N69+R69+V69</f>
        <v>90000</v>
      </c>
      <c r="AE69" s="239"/>
      <c r="AF69" s="280"/>
      <c r="AG69" s="345"/>
    </row>
    <row r="70" spans="1:33" ht="15.6" outlineLevel="1">
      <c r="A70" s="346" t="str">
        <f>'Program Budget'!D313</f>
        <v>Stipend for Student Internships for International Internship of 6 Months</v>
      </c>
      <c r="B70" s="271" t="str">
        <f>'Program Budget'!F313</f>
        <v>Stipends</v>
      </c>
      <c r="C70" s="272">
        <f>'Program Budget'!H313</f>
        <v>18000</v>
      </c>
      <c r="D70" s="273">
        <f>'Program Budget'!G313</f>
        <v>0</v>
      </c>
      <c r="E70" s="274">
        <v>1</v>
      </c>
      <c r="F70" s="275">
        <f t="shared" ref="F70" si="102">C70*D70*E70</f>
        <v>0</v>
      </c>
      <c r="G70" s="272">
        <f t="shared" ref="G70" si="103">C70</f>
        <v>18000</v>
      </c>
      <c r="H70" s="273">
        <f>'Program Budget'!K313</f>
        <v>1</v>
      </c>
      <c r="I70" s="274">
        <v>1</v>
      </c>
      <c r="J70" s="275">
        <f t="shared" ref="J70" si="104">G70*H70*I70</f>
        <v>18000</v>
      </c>
      <c r="K70" s="272">
        <f t="shared" ref="K70" si="105">G70</f>
        <v>18000</v>
      </c>
      <c r="L70" s="273">
        <f>'Program Budget'!N313</f>
        <v>1</v>
      </c>
      <c r="M70" s="274">
        <v>1</v>
      </c>
      <c r="N70" s="275">
        <f t="shared" ref="N70" si="106">K70*L70*M70</f>
        <v>18000</v>
      </c>
      <c r="O70" s="272">
        <f t="shared" ref="O70" si="107">K70</f>
        <v>18000</v>
      </c>
      <c r="P70" s="273">
        <f>'Program Budget'!Q313</f>
        <v>1</v>
      </c>
      <c r="Q70" s="274">
        <v>1</v>
      </c>
      <c r="R70" s="275">
        <f t="shared" ref="R70" si="108">O70*P70*Q70</f>
        <v>18000</v>
      </c>
      <c r="S70" s="272">
        <f t="shared" ref="S70" si="109">O70</f>
        <v>18000</v>
      </c>
      <c r="T70" s="273">
        <f>'Program Budget'!T313</f>
        <v>0</v>
      </c>
      <c r="U70" s="274">
        <v>1</v>
      </c>
      <c r="V70" s="275">
        <f t="shared" ref="V70" si="110">S70*T70*U70</f>
        <v>0</v>
      </c>
      <c r="W70" s="411">
        <f t="shared" ref="W70" si="111">F70+J70+N70+R70+V70</f>
        <v>54000</v>
      </c>
      <c r="AE70" s="239"/>
      <c r="AF70" s="280"/>
      <c r="AG70" s="345"/>
    </row>
    <row r="71" spans="1:33" ht="15.6" outlineLevel="1">
      <c r="A71" s="267" t="s">
        <v>151</v>
      </c>
      <c r="B71" s="293"/>
      <c r="C71" s="354"/>
      <c r="D71" s="355"/>
      <c r="F71" s="275"/>
      <c r="G71" s="354"/>
      <c r="H71" s="355"/>
      <c r="I71" s="236"/>
      <c r="J71" s="275"/>
      <c r="K71" s="354"/>
      <c r="L71" s="355"/>
      <c r="N71" s="275"/>
      <c r="O71" s="354"/>
      <c r="P71" s="355"/>
      <c r="Q71" s="236"/>
      <c r="R71" s="275"/>
      <c r="S71" s="354"/>
      <c r="T71" s="355"/>
      <c r="U71" s="236"/>
      <c r="V71" s="275"/>
      <c r="W71" s="277"/>
      <c r="AE71" s="239"/>
      <c r="AF71" s="280"/>
      <c r="AG71" s="345"/>
    </row>
    <row r="72" spans="1:33" ht="15.6" outlineLevel="1">
      <c r="A72" s="346" t="str">
        <f>'Program Budget'!D315</f>
        <v>Small Grant to Increase Women's Cooperatives' Capacity to Function as Agro-dealers</v>
      </c>
      <c r="B72" s="271" t="str">
        <f>'Program Budget'!F315</f>
        <v>Grant</v>
      </c>
      <c r="C72" s="272">
        <f>'Program Budget'!H315</f>
        <v>3000</v>
      </c>
      <c r="D72" s="273">
        <f>'Program Budget'!G315</f>
        <v>0</v>
      </c>
      <c r="E72" s="274">
        <v>1</v>
      </c>
      <c r="F72" s="275">
        <f t="shared" ref="F72" si="112">C72*D72*E72</f>
        <v>0</v>
      </c>
      <c r="G72" s="272">
        <f t="shared" ref="G72" si="113">C72</f>
        <v>3000</v>
      </c>
      <c r="H72" s="273">
        <f>'Program Budget'!K315</f>
        <v>10</v>
      </c>
      <c r="I72" s="274">
        <v>1</v>
      </c>
      <c r="J72" s="275">
        <f t="shared" ref="J72" si="114">G72*H72*I72</f>
        <v>30000</v>
      </c>
      <c r="K72" s="272">
        <f t="shared" ref="K72" si="115">G72</f>
        <v>3000</v>
      </c>
      <c r="L72" s="273">
        <f>'Program Budget'!N315</f>
        <v>0</v>
      </c>
      <c r="M72" s="274">
        <v>1</v>
      </c>
      <c r="N72" s="275">
        <f t="shared" ref="N72" si="116">K72*L72*M72</f>
        <v>0</v>
      </c>
      <c r="O72" s="272">
        <f t="shared" ref="O72" si="117">K72</f>
        <v>3000</v>
      </c>
      <c r="P72" s="273">
        <f>'Program Budget'!Q315</f>
        <v>0</v>
      </c>
      <c r="Q72" s="274">
        <v>1</v>
      </c>
      <c r="R72" s="275">
        <f t="shared" ref="R72" si="118">O72*P72*Q72</f>
        <v>0</v>
      </c>
      <c r="S72" s="272">
        <f t="shared" ref="S72" si="119">O72</f>
        <v>3000</v>
      </c>
      <c r="T72" s="273">
        <f>'Program Budget'!T315</f>
        <v>0</v>
      </c>
      <c r="U72" s="274">
        <v>1</v>
      </c>
      <c r="V72" s="275">
        <f t="shared" ref="V72" si="120">S72*T72*U72</f>
        <v>0</v>
      </c>
      <c r="W72" s="411">
        <f t="shared" ref="W72" si="121">F72+J72+N72+R72+V72</f>
        <v>30000</v>
      </c>
      <c r="AE72" s="239"/>
      <c r="AF72" s="280"/>
      <c r="AG72" s="345"/>
    </row>
    <row r="73" spans="1:33" ht="15.6" outlineLevel="1">
      <c r="A73" s="267" t="s">
        <v>138</v>
      </c>
      <c r="B73" s="293"/>
      <c r="C73" s="354"/>
      <c r="D73" s="355"/>
      <c r="F73" s="275"/>
      <c r="G73" s="354"/>
      <c r="H73" s="355"/>
      <c r="I73" s="236"/>
      <c r="J73" s="275"/>
      <c r="K73" s="354"/>
      <c r="L73" s="355"/>
      <c r="N73" s="275"/>
      <c r="O73" s="354"/>
      <c r="P73" s="355"/>
      <c r="Q73" s="236"/>
      <c r="R73" s="275"/>
      <c r="S73" s="354"/>
      <c r="T73" s="355"/>
      <c r="U73" s="236"/>
      <c r="V73" s="275"/>
      <c r="W73" s="277"/>
      <c r="AE73" s="239"/>
      <c r="AF73" s="280"/>
      <c r="AG73" s="345"/>
    </row>
    <row r="74" spans="1:33" ht="15.6" outlineLevel="1">
      <c r="A74" s="346" t="str">
        <f>'Program Budget'!D317</f>
        <v xml:space="preserve">Capacity Building Meetings to Increase Women’s Cooperatives’ Capacity </v>
      </c>
      <c r="B74" s="271" t="str">
        <f>'Program Budget'!F317</f>
        <v>Meeting</v>
      </c>
      <c r="C74" s="272">
        <f>'Program Budget'!H317</f>
        <v>550</v>
      </c>
      <c r="D74" s="273">
        <f>'Program Budget'!G317</f>
        <v>0</v>
      </c>
      <c r="E74" s="274">
        <v>1</v>
      </c>
      <c r="F74" s="275">
        <f t="shared" ref="F74:F80" si="122">C74*D74*E74</f>
        <v>0</v>
      </c>
      <c r="G74" s="272">
        <f t="shared" ref="G74:G80" si="123">C74</f>
        <v>550</v>
      </c>
      <c r="H74" s="273">
        <f>'Program Budget'!K317</f>
        <v>40</v>
      </c>
      <c r="I74" s="274">
        <v>1</v>
      </c>
      <c r="J74" s="275">
        <f t="shared" ref="J74:J80" si="124">G74*H74*I74</f>
        <v>22000</v>
      </c>
      <c r="K74" s="272">
        <f t="shared" ref="K74:K80" si="125">G74</f>
        <v>550</v>
      </c>
      <c r="L74" s="273">
        <f>'Program Budget'!N317</f>
        <v>40</v>
      </c>
      <c r="M74" s="274">
        <v>1</v>
      </c>
      <c r="N74" s="275">
        <f t="shared" ref="N74:N80" si="126">K74*L74*M74</f>
        <v>22000</v>
      </c>
      <c r="O74" s="272">
        <f t="shared" ref="O74:O80" si="127">K74</f>
        <v>550</v>
      </c>
      <c r="P74" s="273">
        <f>'Program Budget'!Q317</f>
        <v>0</v>
      </c>
      <c r="Q74" s="274">
        <v>1</v>
      </c>
      <c r="R74" s="275">
        <f t="shared" ref="R74:R80" si="128">O74*P74*Q74</f>
        <v>0</v>
      </c>
      <c r="S74" s="272">
        <f t="shared" ref="S74:S80" si="129">O74</f>
        <v>550</v>
      </c>
      <c r="T74" s="273">
        <f>'Program Budget'!T317</f>
        <v>0</v>
      </c>
      <c r="U74" s="274">
        <v>1</v>
      </c>
      <c r="V74" s="275">
        <f t="shared" ref="V74:V80" si="130">S74*T74*U74</f>
        <v>0</v>
      </c>
      <c r="W74" s="411">
        <f t="shared" ref="W74:W80" si="131">F74+J74+N74+R74+V74</f>
        <v>44000</v>
      </c>
      <c r="AE74" s="239"/>
      <c r="AF74" s="280"/>
      <c r="AG74" s="345"/>
    </row>
    <row r="75" spans="1:33" ht="15.6" outlineLevel="1">
      <c r="A75" s="346" t="str">
        <f>'Program Budget'!D318</f>
        <v>Capacity Building Meetings to Increase Existing Agro-dealers Capacity</v>
      </c>
      <c r="B75" s="271" t="str">
        <f>'Program Budget'!F318</f>
        <v>Meeting</v>
      </c>
      <c r="C75" s="272">
        <f>'Program Budget'!H318</f>
        <v>1000</v>
      </c>
      <c r="D75" s="273">
        <f>'Program Budget'!G318</f>
        <v>0</v>
      </c>
      <c r="E75" s="274">
        <v>1</v>
      </c>
      <c r="F75" s="275">
        <f t="shared" si="122"/>
        <v>0</v>
      </c>
      <c r="G75" s="272">
        <f t="shared" si="123"/>
        <v>1000</v>
      </c>
      <c r="H75" s="273">
        <f>'Program Budget'!K318</f>
        <v>6</v>
      </c>
      <c r="I75" s="274">
        <v>1</v>
      </c>
      <c r="J75" s="275">
        <f t="shared" si="124"/>
        <v>6000</v>
      </c>
      <c r="K75" s="272">
        <f t="shared" si="125"/>
        <v>1000</v>
      </c>
      <c r="L75" s="273">
        <f>'Program Budget'!N318</f>
        <v>6</v>
      </c>
      <c r="M75" s="274">
        <v>1</v>
      </c>
      <c r="N75" s="275">
        <f t="shared" si="126"/>
        <v>6000</v>
      </c>
      <c r="O75" s="272">
        <f t="shared" si="127"/>
        <v>1000</v>
      </c>
      <c r="P75" s="273">
        <f>'Program Budget'!Q318</f>
        <v>0</v>
      </c>
      <c r="Q75" s="274">
        <v>1</v>
      </c>
      <c r="R75" s="275">
        <f t="shared" si="128"/>
        <v>0</v>
      </c>
      <c r="S75" s="272">
        <f t="shared" si="129"/>
        <v>1000</v>
      </c>
      <c r="T75" s="273">
        <f>'Program Budget'!T318</f>
        <v>0</v>
      </c>
      <c r="U75" s="274">
        <v>1</v>
      </c>
      <c r="V75" s="275">
        <f t="shared" si="130"/>
        <v>0</v>
      </c>
      <c r="W75" s="411">
        <f t="shared" si="131"/>
        <v>12000</v>
      </c>
      <c r="AE75" s="239"/>
      <c r="AF75" s="280"/>
      <c r="AG75" s="345"/>
    </row>
    <row r="76" spans="1:33" ht="15.6" outlineLevel="1">
      <c r="A76" s="346" t="str">
        <f>'Program Budget'!D319</f>
        <v>PASP Certification Program</v>
      </c>
      <c r="B76" s="271" t="str">
        <f>'Program Budget'!F319</f>
        <v>Week</v>
      </c>
      <c r="C76" s="272">
        <f>'Program Budget'!H319</f>
        <v>1500</v>
      </c>
      <c r="D76" s="273">
        <f>'Program Budget'!G319</f>
        <v>0</v>
      </c>
      <c r="E76" s="274">
        <v>1</v>
      </c>
      <c r="F76" s="275">
        <f t="shared" si="122"/>
        <v>0</v>
      </c>
      <c r="G76" s="272">
        <f t="shared" si="123"/>
        <v>1500</v>
      </c>
      <c r="H76" s="273">
        <f>'Program Budget'!K319</f>
        <v>8</v>
      </c>
      <c r="I76" s="274">
        <v>1</v>
      </c>
      <c r="J76" s="275">
        <f t="shared" si="124"/>
        <v>12000</v>
      </c>
      <c r="K76" s="272">
        <f t="shared" si="125"/>
        <v>1500</v>
      </c>
      <c r="L76" s="273">
        <f>'Program Budget'!N319</f>
        <v>8</v>
      </c>
      <c r="M76" s="274">
        <v>1</v>
      </c>
      <c r="N76" s="275">
        <f t="shared" si="126"/>
        <v>12000</v>
      </c>
      <c r="O76" s="272">
        <f t="shared" si="127"/>
        <v>1500</v>
      </c>
      <c r="P76" s="273">
        <f>'Program Budget'!Q319</f>
        <v>8</v>
      </c>
      <c r="Q76" s="274">
        <v>1</v>
      </c>
      <c r="R76" s="275">
        <f t="shared" si="128"/>
        <v>12000</v>
      </c>
      <c r="S76" s="272">
        <f t="shared" si="129"/>
        <v>1500</v>
      </c>
      <c r="T76" s="273">
        <f>'Program Budget'!T319</f>
        <v>0</v>
      </c>
      <c r="U76" s="274">
        <v>1</v>
      </c>
      <c r="V76" s="275">
        <f t="shared" si="130"/>
        <v>0</v>
      </c>
      <c r="W76" s="411">
        <f t="shared" si="131"/>
        <v>36000</v>
      </c>
      <c r="AE76" s="239"/>
      <c r="AF76" s="280"/>
      <c r="AG76" s="345"/>
    </row>
    <row r="77" spans="1:33" ht="15.6" outlineLevel="1">
      <c r="A77" s="346" t="str">
        <f>'Program Budget'!D320</f>
        <v>Course on Agricultural Mechanization</v>
      </c>
      <c r="B77" s="271" t="str">
        <f>'Program Budget'!F320</f>
        <v>Course</v>
      </c>
      <c r="C77" s="272">
        <f>'Program Budget'!H320</f>
        <v>100000</v>
      </c>
      <c r="D77" s="273">
        <f>'Program Budget'!G320</f>
        <v>0.5</v>
      </c>
      <c r="E77" s="274">
        <v>1</v>
      </c>
      <c r="F77" s="275">
        <f t="shared" si="122"/>
        <v>50000</v>
      </c>
      <c r="G77" s="272">
        <f t="shared" si="123"/>
        <v>100000</v>
      </c>
      <c r="H77" s="273">
        <f>'Program Budget'!K320</f>
        <v>0.5</v>
      </c>
      <c r="I77" s="274">
        <v>1</v>
      </c>
      <c r="J77" s="275">
        <f t="shared" si="124"/>
        <v>50000</v>
      </c>
      <c r="K77" s="272">
        <f t="shared" si="125"/>
        <v>100000</v>
      </c>
      <c r="L77" s="273">
        <f>'Program Budget'!N320</f>
        <v>0</v>
      </c>
      <c r="M77" s="274">
        <v>1</v>
      </c>
      <c r="N77" s="275">
        <f t="shared" si="126"/>
        <v>0</v>
      </c>
      <c r="O77" s="272">
        <f t="shared" si="127"/>
        <v>100000</v>
      </c>
      <c r="P77" s="273">
        <f>'Program Budget'!Q320</f>
        <v>0</v>
      </c>
      <c r="Q77" s="274">
        <v>1</v>
      </c>
      <c r="R77" s="275">
        <f t="shared" si="128"/>
        <v>0</v>
      </c>
      <c r="S77" s="272">
        <f t="shared" si="129"/>
        <v>100000</v>
      </c>
      <c r="T77" s="273">
        <f>'Program Budget'!T320</f>
        <v>0</v>
      </c>
      <c r="U77" s="274">
        <v>1</v>
      </c>
      <c r="V77" s="275">
        <f t="shared" si="130"/>
        <v>0</v>
      </c>
      <c r="W77" s="411">
        <f t="shared" si="131"/>
        <v>100000</v>
      </c>
      <c r="AE77" s="239"/>
      <c r="AF77" s="280"/>
      <c r="AG77" s="345"/>
    </row>
    <row r="78" spans="1:33" ht="15.6" outlineLevel="1">
      <c r="A78" s="346" t="str">
        <f>'Program Budget'!D321</f>
        <v>Develop Training Materials to Increase Women’s Cooperatives’ &amp; Existing Agro-dealers Capacity (Printing &amp; Translation)</v>
      </c>
      <c r="B78" s="271" t="str">
        <f>'Program Budget'!F321</f>
        <v>Unit</v>
      </c>
      <c r="C78" s="272">
        <f>'Program Budget'!H321</f>
        <v>15000</v>
      </c>
      <c r="D78" s="273">
        <f>'Program Budget'!G321</f>
        <v>0</v>
      </c>
      <c r="E78" s="274">
        <v>1</v>
      </c>
      <c r="F78" s="275">
        <f t="shared" si="122"/>
        <v>0</v>
      </c>
      <c r="G78" s="272">
        <f t="shared" si="123"/>
        <v>15000</v>
      </c>
      <c r="H78" s="273">
        <f>'Program Budget'!K321</f>
        <v>1</v>
      </c>
      <c r="I78" s="274">
        <v>1</v>
      </c>
      <c r="J78" s="275">
        <f t="shared" si="124"/>
        <v>15000</v>
      </c>
      <c r="K78" s="272">
        <f t="shared" si="125"/>
        <v>15000</v>
      </c>
      <c r="L78" s="273">
        <f>'Program Budget'!N321</f>
        <v>0</v>
      </c>
      <c r="M78" s="274">
        <v>1</v>
      </c>
      <c r="N78" s="275">
        <f t="shared" si="126"/>
        <v>0</v>
      </c>
      <c r="O78" s="272">
        <f t="shared" si="127"/>
        <v>15000</v>
      </c>
      <c r="P78" s="273">
        <f>'Program Budget'!Q321</f>
        <v>0</v>
      </c>
      <c r="Q78" s="274">
        <v>1</v>
      </c>
      <c r="R78" s="275">
        <f t="shared" si="128"/>
        <v>0</v>
      </c>
      <c r="S78" s="272">
        <f t="shared" si="129"/>
        <v>15000</v>
      </c>
      <c r="T78" s="273">
        <f>'Program Budget'!T321</f>
        <v>0</v>
      </c>
      <c r="U78" s="274">
        <v>1</v>
      </c>
      <c r="V78" s="275">
        <f t="shared" si="130"/>
        <v>0</v>
      </c>
      <c r="W78" s="411">
        <f t="shared" si="131"/>
        <v>15000</v>
      </c>
      <c r="AE78" s="239"/>
      <c r="AF78" s="280"/>
      <c r="AG78" s="345"/>
    </row>
    <row r="79" spans="1:33" ht="15.6" outlineLevel="1">
      <c r="A79" s="346" t="str">
        <f>'Program Budget'!D322</f>
        <v>Advertising to Facilitate Outgrower Models</v>
      </c>
      <c r="B79" s="271" t="str">
        <f>'Program Budget'!F322</f>
        <v>Year</v>
      </c>
      <c r="C79" s="272">
        <f>'Program Budget'!H322</f>
        <v>2500</v>
      </c>
      <c r="D79" s="273">
        <f>'Program Budget'!G322</f>
        <v>0</v>
      </c>
      <c r="E79" s="274">
        <v>1</v>
      </c>
      <c r="F79" s="275">
        <f t="shared" si="122"/>
        <v>0</v>
      </c>
      <c r="G79" s="272">
        <f t="shared" si="123"/>
        <v>2500</v>
      </c>
      <c r="H79" s="273">
        <f>'Program Budget'!K322</f>
        <v>1</v>
      </c>
      <c r="I79" s="274">
        <v>1</v>
      </c>
      <c r="J79" s="275">
        <f t="shared" si="124"/>
        <v>2500</v>
      </c>
      <c r="K79" s="272">
        <f t="shared" si="125"/>
        <v>2500</v>
      </c>
      <c r="L79" s="273">
        <f>'Program Budget'!N322</f>
        <v>1</v>
      </c>
      <c r="M79" s="274">
        <v>1</v>
      </c>
      <c r="N79" s="275">
        <f t="shared" si="126"/>
        <v>2500</v>
      </c>
      <c r="O79" s="272">
        <f t="shared" si="127"/>
        <v>2500</v>
      </c>
      <c r="P79" s="273">
        <f>'Program Budget'!Q322</f>
        <v>1</v>
      </c>
      <c r="Q79" s="274">
        <v>1</v>
      </c>
      <c r="R79" s="275">
        <f t="shared" si="128"/>
        <v>2500</v>
      </c>
      <c r="S79" s="272">
        <f t="shared" si="129"/>
        <v>2500</v>
      </c>
      <c r="T79" s="273">
        <f>'Program Budget'!T322</f>
        <v>0</v>
      </c>
      <c r="U79" s="274">
        <v>1</v>
      </c>
      <c r="V79" s="275">
        <f t="shared" si="130"/>
        <v>0</v>
      </c>
      <c r="W79" s="411">
        <f t="shared" si="131"/>
        <v>7500</v>
      </c>
      <c r="AE79" s="239"/>
      <c r="AF79" s="280"/>
      <c r="AG79" s="345"/>
    </row>
    <row r="80" spans="1:33" ht="15.6" outlineLevel="1">
      <c r="A80" s="346" t="str">
        <f>'Program Budget'!D323</f>
        <v>Annual Agriculture Expo Event</v>
      </c>
      <c r="B80" s="271" t="str">
        <f>'Program Budget'!F323</f>
        <v>Event</v>
      </c>
      <c r="C80" s="272">
        <f>'Program Budget'!H323</f>
        <v>25000</v>
      </c>
      <c r="D80" s="273">
        <f>'Program Budget'!G323</f>
        <v>0</v>
      </c>
      <c r="E80" s="274">
        <v>1</v>
      </c>
      <c r="F80" s="275">
        <f t="shared" si="122"/>
        <v>0</v>
      </c>
      <c r="G80" s="272">
        <f t="shared" si="123"/>
        <v>25000</v>
      </c>
      <c r="H80" s="273">
        <f>'Program Budget'!K323</f>
        <v>1</v>
      </c>
      <c r="I80" s="274">
        <v>1</v>
      </c>
      <c r="J80" s="275">
        <f t="shared" si="124"/>
        <v>25000</v>
      </c>
      <c r="K80" s="272">
        <f t="shared" si="125"/>
        <v>25000</v>
      </c>
      <c r="L80" s="273">
        <f>'Program Budget'!N323</f>
        <v>0.5</v>
      </c>
      <c r="M80" s="274">
        <v>1</v>
      </c>
      <c r="N80" s="275">
        <f t="shared" si="126"/>
        <v>12500</v>
      </c>
      <c r="O80" s="272">
        <f t="shared" si="127"/>
        <v>25000</v>
      </c>
      <c r="P80" s="273">
        <f>'Program Budget'!Q323</f>
        <v>0</v>
      </c>
      <c r="Q80" s="274">
        <v>1</v>
      </c>
      <c r="R80" s="275">
        <f t="shared" si="128"/>
        <v>0</v>
      </c>
      <c r="S80" s="272">
        <f t="shared" si="129"/>
        <v>25000</v>
      </c>
      <c r="T80" s="273">
        <f>'Program Budget'!T323</f>
        <v>0</v>
      </c>
      <c r="U80" s="274">
        <v>1</v>
      </c>
      <c r="V80" s="275">
        <f t="shared" si="130"/>
        <v>0</v>
      </c>
      <c r="W80" s="411">
        <f t="shared" si="131"/>
        <v>37500</v>
      </c>
      <c r="AE80" s="239"/>
      <c r="AF80" s="280"/>
      <c r="AG80" s="345"/>
    </row>
    <row r="81" spans="1:33" ht="15.6" outlineLevel="1">
      <c r="A81" s="358"/>
      <c r="B81" s="318"/>
      <c r="C81" s="356"/>
      <c r="D81" s="357"/>
      <c r="E81" s="321"/>
      <c r="F81" s="322"/>
      <c r="G81" s="356"/>
      <c r="H81" s="357"/>
      <c r="I81" s="321"/>
      <c r="J81" s="322"/>
      <c r="K81" s="356"/>
      <c r="L81" s="357"/>
      <c r="M81" s="321"/>
      <c r="N81" s="322"/>
      <c r="O81" s="356"/>
      <c r="P81" s="357"/>
      <c r="Q81" s="321"/>
      <c r="R81" s="322"/>
      <c r="S81" s="356"/>
      <c r="T81" s="357"/>
      <c r="U81" s="321"/>
      <c r="V81" s="322"/>
      <c r="W81" s="277"/>
      <c r="AE81" s="239"/>
      <c r="AF81" s="280"/>
      <c r="AG81" s="345"/>
    </row>
    <row r="82" spans="1:33" ht="18.3" outlineLevel="1">
      <c r="A82" s="359" t="s">
        <v>107</v>
      </c>
      <c r="B82" s="304"/>
      <c r="C82" s="328"/>
      <c r="D82" s="329"/>
      <c r="E82" s="360"/>
      <c r="F82" s="331">
        <f>SUM(F69:F80)</f>
        <v>50000</v>
      </c>
      <c r="G82" s="328"/>
      <c r="H82" s="329"/>
      <c r="I82" s="332"/>
      <c r="J82" s="331">
        <f>SUM(J69:J80)</f>
        <v>210500</v>
      </c>
      <c r="K82" s="328"/>
      <c r="L82" s="329"/>
      <c r="M82" s="360"/>
      <c r="N82" s="331">
        <f>SUM(N69:N80)</f>
        <v>103000</v>
      </c>
      <c r="O82" s="328"/>
      <c r="P82" s="329"/>
      <c r="Q82" s="332"/>
      <c r="R82" s="331">
        <f>SUM(R69:R80)</f>
        <v>62500</v>
      </c>
      <c r="S82" s="328"/>
      <c r="T82" s="329"/>
      <c r="U82" s="332"/>
      <c r="V82" s="331">
        <f>SUM(V69:V80)</f>
        <v>0</v>
      </c>
      <c r="W82" s="331">
        <f>SUM(W69:W80)</f>
        <v>426000</v>
      </c>
      <c r="AE82" s="239">
        <v>250</v>
      </c>
      <c r="AF82" s="280" t="s">
        <v>139</v>
      </c>
      <c r="AG82" s="345" t="s">
        <v>140</v>
      </c>
    </row>
    <row r="83" spans="1:33" ht="15.6" outlineLevel="1">
      <c r="A83" s="361"/>
      <c r="B83" s="316"/>
      <c r="C83" s="354"/>
      <c r="D83" s="355"/>
      <c r="F83" s="275"/>
      <c r="G83" s="354"/>
      <c r="H83" s="355"/>
      <c r="J83" s="277"/>
      <c r="K83" s="354"/>
      <c r="L83" s="355"/>
      <c r="N83" s="277"/>
      <c r="O83" s="354"/>
      <c r="P83" s="355"/>
      <c r="R83" s="277"/>
      <c r="S83" s="354"/>
      <c r="T83" s="355"/>
      <c r="V83" s="277"/>
      <c r="W83" s="277"/>
      <c r="AE83" s="239">
        <v>317</v>
      </c>
      <c r="AF83" s="280" t="s">
        <v>141</v>
      </c>
      <c r="AG83" s="345" t="s">
        <v>142</v>
      </c>
    </row>
    <row r="84" spans="1:33" ht="18.3" outlineLevel="1">
      <c r="A84" s="362" t="s">
        <v>108</v>
      </c>
      <c r="B84" s="363"/>
      <c r="C84" s="364"/>
      <c r="D84" s="365"/>
      <c r="E84" s="366"/>
      <c r="F84" s="367">
        <f>F29+F39+F48+F61+F66+F55+F82</f>
        <v>239634.83333333334</v>
      </c>
      <c r="G84" s="364"/>
      <c r="H84" s="365"/>
      <c r="I84" s="368"/>
      <c r="J84" s="367">
        <f>J29+J39+J48+J61+J66+J55+J82</f>
        <v>612004.61880000005</v>
      </c>
      <c r="K84" s="364"/>
      <c r="L84" s="365"/>
      <c r="M84" s="366"/>
      <c r="N84" s="367">
        <f>N29+N39+N48+N61+N66+N55+N82</f>
        <v>483709.67715200002</v>
      </c>
      <c r="O84" s="364"/>
      <c r="P84" s="365"/>
      <c r="Q84" s="368"/>
      <c r="R84" s="367">
        <f>R29+R39+R48+R61+R66+R55+R82</f>
        <v>417643.09735168004</v>
      </c>
      <c r="S84" s="364"/>
      <c r="T84" s="365"/>
      <c r="U84" s="368"/>
      <c r="V84" s="367">
        <f>V29+V39+V48+V61+V66+V55+V82</f>
        <v>242180.21578564268</v>
      </c>
      <c r="W84" s="367">
        <f>W29+W39+W48+W61+W66+W55+W82</f>
        <v>1995172.4424226561</v>
      </c>
      <c r="AE84" s="239">
        <v>318</v>
      </c>
      <c r="AF84" s="280" t="s">
        <v>143</v>
      </c>
      <c r="AG84" s="345" t="s">
        <v>144</v>
      </c>
    </row>
    <row r="85" spans="1:33">
      <c r="A85" s="407"/>
      <c r="B85" s="316"/>
      <c r="C85" s="354"/>
      <c r="D85" s="355"/>
      <c r="F85" s="275"/>
      <c r="G85" s="354"/>
      <c r="H85" s="355"/>
      <c r="J85" s="277"/>
      <c r="K85" s="354"/>
      <c r="L85" s="355"/>
      <c r="N85" s="277"/>
      <c r="O85" s="354"/>
      <c r="P85" s="355"/>
      <c r="R85" s="277"/>
      <c r="S85" s="354"/>
      <c r="T85" s="355"/>
      <c r="V85" s="277"/>
      <c r="W85" s="277"/>
    </row>
    <row r="86" spans="1:33" ht="20.399999999999999">
      <c r="A86" s="369" t="s">
        <v>54</v>
      </c>
      <c r="B86" s="370"/>
      <c r="C86" s="371"/>
      <c r="D86" s="371"/>
      <c r="E86" s="371"/>
      <c r="F86" s="371"/>
      <c r="G86" s="371"/>
      <c r="H86" s="371"/>
      <c r="I86" s="371"/>
      <c r="J86" s="371"/>
      <c r="K86" s="371"/>
      <c r="L86" s="371"/>
      <c r="M86" s="371"/>
      <c r="N86" s="371"/>
      <c r="O86" s="371"/>
      <c r="P86" s="371"/>
      <c r="Q86" s="371"/>
      <c r="R86" s="371"/>
      <c r="S86" s="371"/>
      <c r="T86" s="371"/>
      <c r="U86" s="371"/>
      <c r="V86" s="371"/>
      <c r="W86" s="370"/>
    </row>
    <row r="87" spans="1:33" ht="15" customHeight="1">
      <c r="A87" s="372" t="s">
        <v>55</v>
      </c>
      <c r="B87" s="428" t="s">
        <v>145</v>
      </c>
      <c r="C87" s="272">
        <v>0</v>
      </c>
      <c r="D87" s="273">
        <v>1</v>
      </c>
      <c r="E87" s="274">
        <v>0.2828</v>
      </c>
      <c r="F87" s="275">
        <f>C87*D87*E87</f>
        <v>0</v>
      </c>
      <c r="G87" s="272">
        <v>0</v>
      </c>
      <c r="H87" s="273">
        <v>1</v>
      </c>
      <c r="I87" s="274">
        <v>0.2828</v>
      </c>
      <c r="J87" s="275">
        <f>G87*H87*I87</f>
        <v>0</v>
      </c>
      <c r="K87" s="272">
        <v>0</v>
      </c>
      <c r="L87" s="273">
        <v>1</v>
      </c>
      <c r="M87" s="274">
        <v>0.2828</v>
      </c>
      <c r="N87" s="275">
        <f>K87*L87*M87</f>
        <v>0</v>
      </c>
      <c r="O87" s="272">
        <v>0</v>
      </c>
      <c r="P87" s="273">
        <v>1</v>
      </c>
      <c r="Q87" s="274">
        <v>0.2828</v>
      </c>
      <c r="R87" s="275">
        <f>O87*P87*Q87</f>
        <v>0</v>
      </c>
      <c r="S87" s="272">
        <v>0</v>
      </c>
      <c r="T87" s="273">
        <v>1</v>
      </c>
      <c r="U87" s="274">
        <v>0.2828</v>
      </c>
      <c r="V87" s="275">
        <f>S87*T87*U87</f>
        <v>0</v>
      </c>
      <c r="W87" s="411">
        <f>F87+J87+N87+R87+V87</f>
        <v>0</v>
      </c>
    </row>
    <row r="88" spans="1:33" ht="15" customHeight="1">
      <c r="A88" s="372" t="s">
        <v>56</v>
      </c>
      <c r="B88" s="428" t="s">
        <v>145</v>
      </c>
      <c r="C88" s="272">
        <f>F84</f>
        <v>239634.83333333334</v>
      </c>
      <c r="D88" s="273">
        <v>1</v>
      </c>
      <c r="E88" s="274">
        <v>0.2828</v>
      </c>
      <c r="F88" s="275">
        <f>C88*D88*E88</f>
        <v>67768.730866666665</v>
      </c>
      <c r="G88" s="272">
        <f>J84</f>
        <v>612004.61880000005</v>
      </c>
      <c r="H88" s="273">
        <v>1</v>
      </c>
      <c r="I88" s="274">
        <v>0.2828</v>
      </c>
      <c r="J88" s="275">
        <f>G88*H88*I88</f>
        <v>173074.90619664002</v>
      </c>
      <c r="K88" s="272">
        <f>N84</f>
        <v>483709.67715200002</v>
      </c>
      <c r="L88" s="273">
        <v>1</v>
      </c>
      <c r="M88" s="274">
        <v>0.2828</v>
      </c>
      <c r="N88" s="275">
        <f>K88*L88*M88</f>
        <v>136793.09669858561</v>
      </c>
      <c r="O88" s="272">
        <f>R84</f>
        <v>417643.09735168004</v>
      </c>
      <c r="P88" s="273">
        <v>1</v>
      </c>
      <c r="Q88" s="274">
        <v>0.2828</v>
      </c>
      <c r="R88" s="275">
        <f>O88*P88*Q88</f>
        <v>118109.46793105511</v>
      </c>
      <c r="S88" s="272">
        <f>V84</f>
        <v>242180.21578564268</v>
      </c>
      <c r="T88" s="273">
        <v>1</v>
      </c>
      <c r="U88" s="274">
        <v>0.2828</v>
      </c>
      <c r="V88" s="275">
        <f>S88*T88*U88</f>
        <v>68488.565024179756</v>
      </c>
      <c r="W88" s="411">
        <f>F88+J88+N88+R88+V88</f>
        <v>564234.76671712718</v>
      </c>
    </row>
    <row r="89" spans="1:33">
      <c r="A89" s="375"/>
      <c r="B89" s="316"/>
      <c r="C89" s="347"/>
      <c r="D89" s="376"/>
      <c r="E89" s="377"/>
      <c r="F89" s="275"/>
      <c r="G89" s="272"/>
      <c r="H89" s="376"/>
      <c r="I89" s="276"/>
      <c r="J89" s="275"/>
      <c r="K89" s="272"/>
      <c r="L89" s="376"/>
      <c r="M89" s="377"/>
      <c r="N89" s="275"/>
      <c r="O89" s="272"/>
      <c r="P89" s="376"/>
      <c r="Q89" s="276"/>
      <c r="R89" s="275"/>
      <c r="S89" s="347"/>
      <c r="T89" s="376"/>
      <c r="U89" s="276"/>
      <c r="V89" s="275"/>
      <c r="W89" s="277"/>
    </row>
    <row r="90" spans="1:33" ht="18.3">
      <c r="A90" s="362" t="s">
        <v>109</v>
      </c>
      <c r="B90" s="363"/>
      <c r="C90" s="364"/>
      <c r="D90" s="365"/>
      <c r="E90" s="366"/>
      <c r="F90" s="367">
        <f>SUM(F87:F89)</f>
        <v>67768.730866666665</v>
      </c>
      <c r="G90" s="364"/>
      <c r="H90" s="365"/>
      <c r="I90" s="368"/>
      <c r="J90" s="367">
        <f>SUM(J87:J89)</f>
        <v>173074.90619664002</v>
      </c>
      <c r="K90" s="364"/>
      <c r="L90" s="365"/>
      <c r="M90" s="366"/>
      <c r="N90" s="367">
        <f>SUM(N87:N89)</f>
        <v>136793.09669858561</v>
      </c>
      <c r="O90" s="364"/>
      <c r="P90" s="365"/>
      <c r="Q90" s="368"/>
      <c r="R90" s="367">
        <f>SUM(R87:R89)</f>
        <v>118109.46793105511</v>
      </c>
      <c r="S90" s="364"/>
      <c r="T90" s="365"/>
      <c r="U90" s="368"/>
      <c r="V90" s="367">
        <f>SUM(V87:V89)</f>
        <v>68488.565024179756</v>
      </c>
      <c r="W90" s="367">
        <f>SUM(W87:W89)</f>
        <v>564234.76671712718</v>
      </c>
    </row>
    <row r="91" spans="1:33">
      <c r="A91" s="322"/>
      <c r="B91" s="378"/>
      <c r="C91" s="356"/>
      <c r="D91" s="379"/>
      <c r="E91" s="380"/>
      <c r="F91" s="322"/>
      <c r="G91" s="356"/>
      <c r="H91" s="379"/>
      <c r="I91" s="381"/>
      <c r="J91" s="322"/>
      <c r="K91" s="356"/>
      <c r="L91" s="379"/>
      <c r="M91" s="380"/>
      <c r="N91" s="322"/>
      <c r="O91" s="356"/>
      <c r="P91" s="379"/>
      <c r="Q91" s="381"/>
      <c r="R91" s="322"/>
      <c r="S91" s="356"/>
      <c r="T91" s="379"/>
      <c r="U91" s="381"/>
      <c r="V91" s="322"/>
      <c r="W91" s="283"/>
    </row>
    <row r="92" spans="1:33" ht="18.3">
      <c r="A92" s="382" t="s">
        <v>110</v>
      </c>
      <c r="B92" s="383"/>
      <c r="C92" s="384"/>
      <c r="D92" s="385"/>
      <c r="E92" s="386"/>
      <c r="F92" s="387">
        <f>F84+F90</f>
        <v>307403.56420000002</v>
      </c>
      <c r="G92" s="384"/>
      <c r="H92" s="385"/>
      <c r="I92" s="388"/>
      <c r="J92" s="387">
        <f>J84+J90</f>
        <v>785079.52499664004</v>
      </c>
      <c r="K92" s="384"/>
      <c r="L92" s="385"/>
      <c r="M92" s="386"/>
      <c r="N92" s="387">
        <f>N84+N90</f>
        <v>620502.77385058557</v>
      </c>
      <c r="O92" s="384"/>
      <c r="P92" s="385"/>
      <c r="Q92" s="388"/>
      <c r="R92" s="387">
        <f>R84+R90</f>
        <v>535752.56528273516</v>
      </c>
      <c r="S92" s="384"/>
      <c r="T92" s="385"/>
      <c r="U92" s="388"/>
      <c r="V92" s="387">
        <f>V84+V90</f>
        <v>310668.78080982243</v>
      </c>
      <c r="W92" s="389">
        <f>F92+J92+N92+R92+V92</f>
        <v>2559407.2091397834</v>
      </c>
    </row>
    <row r="93" spans="1:33" ht="15.6">
      <c r="A93" s="390" t="s">
        <v>146</v>
      </c>
      <c r="B93" s="391"/>
      <c r="C93" s="319"/>
      <c r="D93" s="392"/>
      <c r="E93" s="321"/>
      <c r="F93" s="322">
        <f t="shared" ref="F93" si="132">C93*D93*E93</f>
        <v>0</v>
      </c>
      <c r="G93" s="319"/>
      <c r="H93" s="392"/>
      <c r="I93" s="393"/>
      <c r="J93" s="322">
        <f t="shared" ref="J93" si="133">G93*H93*I93</f>
        <v>0</v>
      </c>
      <c r="K93" s="319"/>
      <c r="L93" s="392"/>
      <c r="M93" s="321"/>
      <c r="N93" s="322">
        <f t="shared" ref="N93" si="134">K93*L93*M93</f>
        <v>0</v>
      </c>
      <c r="O93" s="319"/>
      <c r="P93" s="392"/>
      <c r="Q93" s="393"/>
      <c r="R93" s="322">
        <f t="shared" ref="R93" si="135">O93*P93*Q93</f>
        <v>0</v>
      </c>
      <c r="S93" s="319"/>
      <c r="T93" s="392"/>
      <c r="U93" s="393"/>
      <c r="V93" s="322">
        <f t="shared" ref="V93" si="136">S93*T93*U93</f>
        <v>0</v>
      </c>
      <c r="W93" s="283">
        <f>F93+J93+N93+R93+V93</f>
        <v>0</v>
      </c>
    </row>
    <row r="94" spans="1:33" ht="18.3">
      <c r="A94" s="382" t="s">
        <v>111</v>
      </c>
      <c r="B94" s="383"/>
      <c r="C94" s="384"/>
      <c r="D94" s="385"/>
      <c r="E94" s="386"/>
      <c r="F94" s="387">
        <f>F92+F93</f>
        <v>307403.56420000002</v>
      </c>
      <c r="G94" s="384"/>
      <c r="H94" s="385"/>
      <c r="I94" s="388"/>
      <c r="J94" s="387">
        <f>J92+J93</f>
        <v>785079.52499664004</v>
      </c>
      <c r="K94" s="384"/>
      <c r="L94" s="385"/>
      <c r="M94" s="386"/>
      <c r="N94" s="387">
        <f>N92+N93</f>
        <v>620502.77385058557</v>
      </c>
      <c r="O94" s="384"/>
      <c r="P94" s="385"/>
      <c r="Q94" s="388"/>
      <c r="R94" s="387">
        <f>R92+R93</f>
        <v>535752.56528273516</v>
      </c>
      <c r="S94" s="384"/>
      <c r="T94" s="385"/>
      <c r="U94" s="388"/>
      <c r="V94" s="387">
        <f>V92+V93</f>
        <v>310668.78080982243</v>
      </c>
      <c r="W94" s="389">
        <f>F94+J94+N94+R94+V94</f>
        <v>2559407.2091397834</v>
      </c>
    </row>
    <row r="95" spans="1:33">
      <c r="A95" s="271"/>
      <c r="B95" s="271"/>
      <c r="W95" s="277"/>
    </row>
    <row r="96" spans="1:33" ht="31.2">
      <c r="A96" s="394" t="s">
        <v>112</v>
      </c>
      <c r="B96" s="395"/>
      <c r="C96" s="396"/>
      <c r="D96" s="397"/>
      <c r="E96" s="398"/>
      <c r="F96" s="399"/>
      <c r="G96" s="396"/>
      <c r="H96" s="397"/>
      <c r="I96" s="400"/>
      <c r="J96" s="401"/>
      <c r="K96" s="396"/>
      <c r="L96" s="397"/>
      <c r="M96" s="398"/>
      <c r="N96" s="401"/>
      <c r="O96" s="396"/>
      <c r="P96" s="397"/>
      <c r="Q96" s="400"/>
      <c r="R96" s="401"/>
      <c r="S96" s="396"/>
      <c r="T96" s="397"/>
      <c r="U96" s="400"/>
      <c r="V96" s="401"/>
      <c r="W96" s="401"/>
    </row>
  </sheetData>
  <mergeCells count="8">
    <mergeCell ref="S2:V2"/>
    <mergeCell ref="W2:W3"/>
    <mergeCell ref="A2:A3"/>
    <mergeCell ref="B2:B3"/>
    <mergeCell ref="C2:F2"/>
    <mergeCell ref="G2:J2"/>
    <mergeCell ref="K2:N2"/>
    <mergeCell ref="O2:R2"/>
  </mergeCells>
  <printOptions horizontalCentered="1"/>
  <pageMargins left="0.25" right="0.25" top="0.75" bottom="0.75" header="0.3" footer="0.3"/>
  <pageSetup scale="34" orientation="landscape" r:id="rId1"/>
  <headerFooter alignWithMargins="0"/>
  <rowBreaks count="1" manualBreakCount="1">
    <brk id="9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D771-2C60-46C3-AF0F-E518B815F0CC}">
  <sheetPr>
    <tabColor theme="6" tint="0.39997558519241921"/>
    <pageSetUpPr fitToPage="1"/>
  </sheetPr>
  <dimension ref="A1:AJ97"/>
  <sheetViews>
    <sheetView showOutlineSymbols="0" showWhiteSpace="0" zoomScaleNormal="100" workbookViewId="0">
      <pane xSplit="2" ySplit="3" topLeftCell="O70" activePane="bottomRight" state="frozen"/>
      <selection pane="topRight"/>
      <selection pane="bottomLeft"/>
      <selection pane="bottomRight" activeCell="O51" sqref="O51"/>
    </sheetView>
  </sheetViews>
  <sheetFormatPr defaultRowHeight="14.4" outlineLevelRow="1" outlineLevelCol="1"/>
  <cols>
    <col min="1" max="1" width="61.27734375" style="233" customWidth="1"/>
    <col min="2" max="2" width="13" style="233" customWidth="1"/>
    <col min="3" max="3" width="15.27734375" style="234" customWidth="1" outlineLevel="1"/>
    <col min="4" max="4" width="15.27734375" style="235" customWidth="1" outlineLevel="1"/>
    <col min="5" max="5" width="16.1640625" style="236" customWidth="1" outlineLevel="1"/>
    <col min="6" max="6" width="15.27734375" style="233" customWidth="1"/>
    <col min="7" max="7" width="15.27734375" style="234" customWidth="1" outlineLevel="1"/>
    <col min="8" max="8" width="15.27734375" style="235" customWidth="1" outlineLevel="1"/>
    <col min="9" max="9" width="15.27734375" style="237" customWidth="1" outlineLevel="1"/>
    <col min="10" max="10" width="15.27734375" style="234" customWidth="1"/>
    <col min="11" max="11" width="15.27734375" style="234" customWidth="1" outlineLevel="1"/>
    <col min="12" max="12" width="15.27734375" style="235" customWidth="1" outlineLevel="1"/>
    <col min="13" max="13" width="15.27734375" style="236" customWidth="1" outlineLevel="1"/>
    <col min="14" max="14" width="15.27734375" style="234" customWidth="1"/>
    <col min="15" max="15" width="15.27734375" style="234" customWidth="1" outlineLevel="1"/>
    <col min="16" max="16" width="15.27734375" style="235" customWidth="1" outlineLevel="1"/>
    <col min="17" max="17" width="15.27734375" style="237" customWidth="1" outlineLevel="1"/>
    <col min="18" max="18" width="15.27734375" style="234" customWidth="1"/>
    <col min="19" max="19" width="15.27734375" style="234" customWidth="1" outlineLevel="1"/>
    <col min="20" max="20" width="15.27734375" style="235" customWidth="1" outlineLevel="1"/>
    <col min="21" max="21" width="15.27734375" style="237" customWidth="1" outlineLevel="1"/>
    <col min="22" max="22" width="16.1640625" style="234" customWidth="1"/>
    <col min="23" max="23" width="17.44140625" style="234" customWidth="1"/>
    <col min="24" max="24" width="9" style="233" customWidth="1"/>
    <col min="25" max="25" width="10.1640625" style="233" bestFit="1" customWidth="1"/>
    <col min="26" max="26" width="10.83203125" style="233" customWidth="1"/>
    <col min="27" max="27" width="8.71875" style="233" customWidth="1"/>
    <col min="28" max="28" width="10.83203125" style="233" customWidth="1"/>
    <col min="29" max="29" width="4.83203125" style="233" customWidth="1"/>
    <col min="30" max="30" width="4.83203125" style="233" hidden="1" customWidth="1"/>
    <col min="31" max="31" width="7" style="238" hidden="1" customWidth="1"/>
    <col min="32" max="32" width="19.27734375" style="233" hidden="1" customWidth="1"/>
    <col min="33" max="33" width="34" style="233" hidden="1" customWidth="1"/>
    <col min="34" max="34" width="9.71875" style="233" hidden="1" customWidth="1"/>
    <col min="35" max="35" width="9.71875" style="233" customWidth="1"/>
    <col min="36" max="36" width="14.27734375" style="233" customWidth="1"/>
    <col min="37" max="264" width="8.83203125" style="233"/>
    <col min="265" max="265" width="38.27734375" style="233" customWidth="1"/>
    <col min="266" max="266" width="23.44140625" style="233" bestFit="1" customWidth="1"/>
    <col min="267" max="268" width="9.1640625" style="233" customWidth="1"/>
    <col min="269" max="269" width="11.27734375" style="233" bestFit="1" customWidth="1"/>
    <col min="270" max="270" width="14.44140625" style="233" bestFit="1" customWidth="1"/>
    <col min="271" max="271" width="8.1640625" style="233" customWidth="1"/>
    <col min="272" max="272" width="10.83203125" style="233" bestFit="1" customWidth="1"/>
    <col min="273" max="273" width="12.27734375" style="233" bestFit="1" customWidth="1"/>
    <col min="274" max="274" width="9.1640625" style="233" customWidth="1"/>
    <col min="275" max="275" width="10.83203125" style="233" bestFit="1" customWidth="1"/>
    <col min="276" max="276" width="12.27734375" style="233" bestFit="1" customWidth="1"/>
    <col min="277" max="277" width="8" style="233" customWidth="1"/>
    <col min="278" max="278" width="10.83203125" style="233" bestFit="1" customWidth="1"/>
    <col min="279" max="279" width="12.27734375" style="233" bestFit="1" customWidth="1"/>
    <col min="280" max="280" width="8.1640625" style="233" bestFit="1" customWidth="1"/>
    <col min="281" max="281" width="10.83203125" style="233" bestFit="1" customWidth="1"/>
    <col min="282" max="282" width="12.27734375" style="233" bestFit="1" customWidth="1"/>
    <col min="283" max="283" width="18.27734375" style="233" bestFit="1" customWidth="1"/>
    <col min="284" max="284" width="10.83203125" style="233" bestFit="1" customWidth="1"/>
    <col min="285" max="520" width="8.83203125" style="233"/>
    <col min="521" max="521" width="38.27734375" style="233" customWidth="1"/>
    <col min="522" max="522" width="23.44140625" style="233" bestFit="1" customWidth="1"/>
    <col min="523" max="524" width="9.1640625" style="233" customWidth="1"/>
    <col min="525" max="525" width="11.27734375" style="233" bestFit="1" customWidth="1"/>
    <col min="526" max="526" width="14.44140625" style="233" bestFit="1" customWidth="1"/>
    <col min="527" max="527" width="8.1640625" style="233" customWidth="1"/>
    <col min="528" max="528" width="10.83203125" style="233" bestFit="1" customWidth="1"/>
    <col min="529" max="529" width="12.27734375" style="233" bestFit="1" customWidth="1"/>
    <col min="530" max="530" width="9.1640625" style="233" customWidth="1"/>
    <col min="531" max="531" width="10.83203125" style="233" bestFit="1" customWidth="1"/>
    <col min="532" max="532" width="12.27734375" style="233" bestFit="1" customWidth="1"/>
    <col min="533" max="533" width="8" style="233" customWidth="1"/>
    <col min="534" max="534" width="10.83203125" style="233" bestFit="1" customWidth="1"/>
    <col min="535" max="535" width="12.27734375" style="233" bestFit="1" customWidth="1"/>
    <col min="536" max="536" width="8.1640625" style="233" bestFit="1" customWidth="1"/>
    <col min="537" max="537" width="10.83203125" style="233" bestFit="1" customWidth="1"/>
    <col min="538" max="538" width="12.27734375" style="233" bestFit="1" customWidth="1"/>
    <col min="539" max="539" width="18.27734375" style="233" bestFit="1" customWidth="1"/>
    <col min="540" max="540" width="10.83203125" style="233" bestFit="1" customWidth="1"/>
    <col min="541" max="776" width="8.83203125" style="233"/>
    <col min="777" max="777" width="38.27734375" style="233" customWidth="1"/>
    <col min="778" max="778" width="23.44140625" style="233" bestFit="1" customWidth="1"/>
    <col min="779" max="780" width="9.1640625" style="233" customWidth="1"/>
    <col min="781" max="781" width="11.27734375" style="233" bestFit="1" customWidth="1"/>
    <col min="782" max="782" width="14.44140625" style="233" bestFit="1" customWidth="1"/>
    <col min="783" max="783" width="8.1640625" style="233" customWidth="1"/>
    <col min="784" max="784" width="10.83203125" style="233" bestFit="1" customWidth="1"/>
    <col min="785" max="785" width="12.27734375" style="233" bestFit="1" customWidth="1"/>
    <col min="786" max="786" width="9.1640625" style="233" customWidth="1"/>
    <col min="787" max="787" width="10.83203125" style="233" bestFit="1" customWidth="1"/>
    <col min="788" max="788" width="12.27734375" style="233" bestFit="1" customWidth="1"/>
    <col min="789" max="789" width="8" style="233" customWidth="1"/>
    <col min="790" max="790" width="10.83203125" style="233" bestFit="1" customWidth="1"/>
    <col min="791" max="791" width="12.27734375" style="233" bestFit="1" customWidth="1"/>
    <col min="792" max="792" width="8.1640625" style="233" bestFit="1" customWidth="1"/>
    <col min="793" max="793" width="10.83203125" style="233" bestFit="1" customWidth="1"/>
    <col min="794" max="794" width="12.27734375" style="233" bestFit="1" customWidth="1"/>
    <col min="795" max="795" width="18.27734375" style="233" bestFit="1" customWidth="1"/>
    <col min="796" max="796" width="10.83203125" style="233" bestFit="1" customWidth="1"/>
    <col min="797" max="1032" width="8.83203125" style="233"/>
    <col min="1033" max="1033" width="38.27734375" style="233" customWidth="1"/>
    <col min="1034" max="1034" width="23.44140625" style="233" bestFit="1" customWidth="1"/>
    <col min="1035" max="1036" width="9.1640625" style="233" customWidth="1"/>
    <col min="1037" max="1037" width="11.27734375" style="233" bestFit="1" customWidth="1"/>
    <col min="1038" max="1038" width="14.44140625" style="233" bestFit="1" customWidth="1"/>
    <col min="1039" max="1039" width="8.1640625" style="233" customWidth="1"/>
    <col min="1040" max="1040" width="10.83203125" style="233" bestFit="1" customWidth="1"/>
    <col min="1041" max="1041" width="12.27734375" style="233" bestFit="1" customWidth="1"/>
    <col min="1042" max="1042" width="9.1640625" style="233" customWidth="1"/>
    <col min="1043" max="1043" width="10.83203125" style="233" bestFit="1" customWidth="1"/>
    <col min="1044" max="1044" width="12.27734375" style="233" bestFit="1" customWidth="1"/>
    <col min="1045" max="1045" width="8" style="233" customWidth="1"/>
    <col min="1046" max="1046" width="10.83203125" style="233" bestFit="1" customWidth="1"/>
    <col min="1047" max="1047" width="12.27734375" style="233" bestFit="1" customWidth="1"/>
    <col min="1048" max="1048" width="8.1640625" style="233" bestFit="1" customWidth="1"/>
    <col min="1049" max="1049" width="10.83203125" style="233" bestFit="1" customWidth="1"/>
    <col min="1050" max="1050" width="12.27734375" style="233" bestFit="1" customWidth="1"/>
    <col min="1051" max="1051" width="18.27734375" style="233" bestFit="1" customWidth="1"/>
    <col min="1052" max="1052" width="10.83203125" style="233" bestFit="1" customWidth="1"/>
    <col min="1053" max="1288" width="8.83203125" style="233"/>
    <col min="1289" max="1289" width="38.27734375" style="233" customWidth="1"/>
    <col min="1290" max="1290" width="23.44140625" style="233" bestFit="1" customWidth="1"/>
    <col min="1291" max="1292" width="9.1640625" style="233" customWidth="1"/>
    <col min="1293" max="1293" width="11.27734375" style="233" bestFit="1" customWidth="1"/>
    <col min="1294" max="1294" width="14.44140625" style="233" bestFit="1" customWidth="1"/>
    <col min="1295" max="1295" width="8.1640625" style="233" customWidth="1"/>
    <col min="1296" max="1296" width="10.83203125" style="233" bestFit="1" customWidth="1"/>
    <col min="1297" max="1297" width="12.27734375" style="233" bestFit="1" customWidth="1"/>
    <col min="1298" max="1298" width="9.1640625" style="233" customWidth="1"/>
    <col min="1299" max="1299" width="10.83203125" style="233" bestFit="1" customWidth="1"/>
    <col min="1300" max="1300" width="12.27734375" style="233" bestFit="1" customWidth="1"/>
    <col min="1301" max="1301" width="8" style="233" customWidth="1"/>
    <col min="1302" max="1302" width="10.83203125" style="233" bestFit="1" customWidth="1"/>
    <col min="1303" max="1303" width="12.27734375" style="233" bestFit="1" customWidth="1"/>
    <col min="1304" max="1304" width="8.1640625" style="233" bestFit="1" customWidth="1"/>
    <col min="1305" max="1305" width="10.83203125" style="233" bestFit="1" customWidth="1"/>
    <col min="1306" max="1306" width="12.27734375" style="233" bestFit="1" customWidth="1"/>
    <col min="1307" max="1307" width="18.27734375" style="233" bestFit="1" customWidth="1"/>
    <col min="1308" max="1308" width="10.83203125" style="233" bestFit="1" customWidth="1"/>
    <col min="1309" max="1544" width="8.83203125" style="233"/>
    <col min="1545" max="1545" width="38.27734375" style="233" customWidth="1"/>
    <col min="1546" max="1546" width="23.44140625" style="233" bestFit="1" customWidth="1"/>
    <col min="1547" max="1548" width="9.1640625" style="233" customWidth="1"/>
    <col min="1549" max="1549" width="11.27734375" style="233" bestFit="1" customWidth="1"/>
    <col min="1550" max="1550" width="14.44140625" style="233" bestFit="1" customWidth="1"/>
    <col min="1551" max="1551" width="8.1640625" style="233" customWidth="1"/>
    <col min="1552" max="1552" width="10.83203125" style="233" bestFit="1" customWidth="1"/>
    <col min="1553" max="1553" width="12.27734375" style="233" bestFit="1" customWidth="1"/>
    <col min="1554" max="1554" width="9.1640625" style="233" customWidth="1"/>
    <col min="1555" max="1555" width="10.83203125" style="233" bestFit="1" customWidth="1"/>
    <col min="1556" max="1556" width="12.27734375" style="233" bestFit="1" customWidth="1"/>
    <col min="1557" max="1557" width="8" style="233" customWidth="1"/>
    <col min="1558" max="1558" width="10.83203125" style="233" bestFit="1" customWidth="1"/>
    <col min="1559" max="1559" width="12.27734375" style="233" bestFit="1" customWidth="1"/>
    <col min="1560" max="1560" width="8.1640625" style="233" bestFit="1" customWidth="1"/>
    <col min="1561" max="1561" width="10.83203125" style="233" bestFit="1" customWidth="1"/>
    <col min="1562" max="1562" width="12.27734375" style="233" bestFit="1" customWidth="1"/>
    <col min="1563" max="1563" width="18.27734375" style="233" bestFit="1" customWidth="1"/>
    <col min="1564" max="1564" width="10.83203125" style="233" bestFit="1" customWidth="1"/>
    <col min="1565" max="1800" width="8.83203125" style="233"/>
    <col min="1801" max="1801" width="38.27734375" style="233" customWidth="1"/>
    <col min="1802" max="1802" width="23.44140625" style="233" bestFit="1" customWidth="1"/>
    <col min="1803" max="1804" width="9.1640625" style="233" customWidth="1"/>
    <col min="1805" max="1805" width="11.27734375" style="233" bestFit="1" customWidth="1"/>
    <col min="1806" max="1806" width="14.44140625" style="233" bestFit="1" customWidth="1"/>
    <col min="1807" max="1807" width="8.1640625" style="233" customWidth="1"/>
    <col min="1808" max="1808" width="10.83203125" style="233" bestFit="1" customWidth="1"/>
    <col min="1809" max="1809" width="12.27734375" style="233" bestFit="1" customWidth="1"/>
    <col min="1810" max="1810" width="9.1640625" style="233" customWidth="1"/>
    <col min="1811" max="1811" width="10.83203125" style="233" bestFit="1" customWidth="1"/>
    <col min="1812" max="1812" width="12.27734375" style="233" bestFit="1" customWidth="1"/>
    <col min="1813" max="1813" width="8" style="233" customWidth="1"/>
    <col min="1814" max="1814" width="10.83203125" style="233" bestFit="1" customWidth="1"/>
    <col min="1815" max="1815" width="12.27734375" style="233" bestFit="1" customWidth="1"/>
    <col min="1816" max="1816" width="8.1640625" style="233" bestFit="1" customWidth="1"/>
    <col min="1817" max="1817" width="10.83203125" style="233" bestFit="1" customWidth="1"/>
    <col min="1818" max="1818" width="12.27734375" style="233" bestFit="1" customWidth="1"/>
    <col min="1819" max="1819" width="18.27734375" style="233" bestFit="1" customWidth="1"/>
    <col min="1820" max="1820" width="10.83203125" style="233" bestFit="1" customWidth="1"/>
    <col min="1821" max="2056" width="8.83203125" style="233"/>
    <col min="2057" max="2057" width="38.27734375" style="233" customWidth="1"/>
    <col min="2058" max="2058" width="23.44140625" style="233" bestFit="1" customWidth="1"/>
    <col min="2059" max="2060" width="9.1640625" style="233" customWidth="1"/>
    <col min="2061" max="2061" width="11.27734375" style="233" bestFit="1" customWidth="1"/>
    <col min="2062" max="2062" width="14.44140625" style="233" bestFit="1" customWidth="1"/>
    <col min="2063" max="2063" width="8.1640625" style="233" customWidth="1"/>
    <col min="2064" max="2064" width="10.83203125" style="233" bestFit="1" customWidth="1"/>
    <col min="2065" max="2065" width="12.27734375" style="233" bestFit="1" customWidth="1"/>
    <col min="2066" max="2066" width="9.1640625" style="233" customWidth="1"/>
    <col min="2067" max="2067" width="10.83203125" style="233" bestFit="1" customWidth="1"/>
    <col min="2068" max="2068" width="12.27734375" style="233" bestFit="1" customWidth="1"/>
    <col min="2069" max="2069" width="8" style="233" customWidth="1"/>
    <col min="2070" max="2070" width="10.83203125" style="233" bestFit="1" customWidth="1"/>
    <col min="2071" max="2071" width="12.27734375" style="233" bestFit="1" customWidth="1"/>
    <col min="2072" max="2072" width="8.1640625" style="233" bestFit="1" customWidth="1"/>
    <col min="2073" max="2073" width="10.83203125" style="233" bestFit="1" customWidth="1"/>
    <col min="2074" max="2074" width="12.27734375" style="233" bestFit="1" customWidth="1"/>
    <col min="2075" max="2075" width="18.27734375" style="233" bestFit="1" customWidth="1"/>
    <col min="2076" max="2076" width="10.83203125" style="233" bestFit="1" customWidth="1"/>
    <col min="2077" max="2312" width="8.83203125" style="233"/>
    <col min="2313" max="2313" width="38.27734375" style="233" customWidth="1"/>
    <col min="2314" max="2314" width="23.44140625" style="233" bestFit="1" customWidth="1"/>
    <col min="2315" max="2316" width="9.1640625" style="233" customWidth="1"/>
    <col min="2317" max="2317" width="11.27734375" style="233" bestFit="1" customWidth="1"/>
    <col min="2318" max="2318" width="14.44140625" style="233" bestFit="1" customWidth="1"/>
    <col min="2319" max="2319" width="8.1640625" style="233" customWidth="1"/>
    <col min="2320" max="2320" width="10.83203125" style="233" bestFit="1" customWidth="1"/>
    <col min="2321" max="2321" width="12.27734375" style="233" bestFit="1" customWidth="1"/>
    <col min="2322" max="2322" width="9.1640625" style="233" customWidth="1"/>
    <col min="2323" max="2323" width="10.83203125" style="233" bestFit="1" customWidth="1"/>
    <col min="2324" max="2324" width="12.27734375" style="233" bestFit="1" customWidth="1"/>
    <col min="2325" max="2325" width="8" style="233" customWidth="1"/>
    <col min="2326" max="2326" width="10.83203125" style="233" bestFit="1" customWidth="1"/>
    <col min="2327" max="2327" width="12.27734375" style="233" bestFit="1" customWidth="1"/>
    <col min="2328" max="2328" width="8.1640625" style="233" bestFit="1" customWidth="1"/>
    <col min="2329" max="2329" width="10.83203125" style="233" bestFit="1" customWidth="1"/>
    <col min="2330" max="2330" width="12.27734375" style="233" bestFit="1" customWidth="1"/>
    <col min="2331" max="2331" width="18.27734375" style="233" bestFit="1" customWidth="1"/>
    <col min="2332" max="2332" width="10.83203125" style="233" bestFit="1" customWidth="1"/>
    <col min="2333" max="2568" width="8.83203125" style="233"/>
    <col min="2569" max="2569" width="38.27734375" style="233" customWidth="1"/>
    <col min="2570" max="2570" width="23.44140625" style="233" bestFit="1" customWidth="1"/>
    <col min="2571" max="2572" width="9.1640625" style="233" customWidth="1"/>
    <col min="2573" max="2573" width="11.27734375" style="233" bestFit="1" customWidth="1"/>
    <col min="2574" max="2574" width="14.44140625" style="233" bestFit="1" customWidth="1"/>
    <col min="2575" max="2575" width="8.1640625" style="233" customWidth="1"/>
    <col min="2576" max="2576" width="10.83203125" style="233" bestFit="1" customWidth="1"/>
    <col min="2577" max="2577" width="12.27734375" style="233" bestFit="1" customWidth="1"/>
    <col min="2578" max="2578" width="9.1640625" style="233" customWidth="1"/>
    <col min="2579" max="2579" width="10.83203125" style="233" bestFit="1" customWidth="1"/>
    <col min="2580" max="2580" width="12.27734375" style="233" bestFit="1" customWidth="1"/>
    <col min="2581" max="2581" width="8" style="233" customWidth="1"/>
    <col min="2582" max="2582" width="10.83203125" style="233" bestFit="1" customWidth="1"/>
    <col min="2583" max="2583" width="12.27734375" style="233" bestFit="1" customWidth="1"/>
    <col min="2584" max="2584" width="8.1640625" style="233" bestFit="1" customWidth="1"/>
    <col min="2585" max="2585" width="10.83203125" style="233" bestFit="1" customWidth="1"/>
    <col min="2586" max="2586" width="12.27734375" style="233" bestFit="1" customWidth="1"/>
    <col min="2587" max="2587" width="18.27734375" style="233" bestFit="1" customWidth="1"/>
    <col min="2588" max="2588" width="10.83203125" style="233" bestFit="1" customWidth="1"/>
    <col min="2589" max="2824" width="8.83203125" style="233"/>
    <col min="2825" max="2825" width="38.27734375" style="233" customWidth="1"/>
    <col min="2826" max="2826" width="23.44140625" style="233" bestFit="1" customWidth="1"/>
    <col min="2827" max="2828" width="9.1640625" style="233" customWidth="1"/>
    <col min="2829" max="2829" width="11.27734375" style="233" bestFit="1" customWidth="1"/>
    <col min="2830" max="2830" width="14.44140625" style="233" bestFit="1" customWidth="1"/>
    <col min="2831" max="2831" width="8.1640625" style="233" customWidth="1"/>
    <col min="2832" max="2832" width="10.83203125" style="233" bestFit="1" customWidth="1"/>
    <col min="2833" max="2833" width="12.27734375" style="233" bestFit="1" customWidth="1"/>
    <col min="2834" max="2834" width="9.1640625" style="233" customWidth="1"/>
    <col min="2835" max="2835" width="10.83203125" style="233" bestFit="1" customWidth="1"/>
    <col min="2836" max="2836" width="12.27734375" style="233" bestFit="1" customWidth="1"/>
    <col min="2837" max="2837" width="8" style="233" customWidth="1"/>
    <col min="2838" max="2838" width="10.83203125" style="233" bestFit="1" customWidth="1"/>
    <col min="2839" max="2839" width="12.27734375" style="233" bestFit="1" customWidth="1"/>
    <col min="2840" max="2840" width="8.1640625" style="233" bestFit="1" customWidth="1"/>
    <col min="2841" max="2841" width="10.83203125" style="233" bestFit="1" customWidth="1"/>
    <col min="2842" max="2842" width="12.27734375" style="233" bestFit="1" customWidth="1"/>
    <col min="2843" max="2843" width="18.27734375" style="233" bestFit="1" customWidth="1"/>
    <col min="2844" max="2844" width="10.83203125" style="233" bestFit="1" customWidth="1"/>
    <col min="2845" max="3080" width="8.83203125" style="233"/>
    <col min="3081" max="3081" width="38.27734375" style="233" customWidth="1"/>
    <col min="3082" max="3082" width="23.44140625" style="233" bestFit="1" customWidth="1"/>
    <col min="3083" max="3084" width="9.1640625" style="233" customWidth="1"/>
    <col min="3085" max="3085" width="11.27734375" style="233" bestFit="1" customWidth="1"/>
    <col min="3086" max="3086" width="14.44140625" style="233" bestFit="1" customWidth="1"/>
    <col min="3087" max="3087" width="8.1640625" style="233" customWidth="1"/>
    <col min="3088" max="3088" width="10.83203125" style="233" bestFit="1" customWidth="1"/>
    <col min="3089" max="3089" width="12.27734375" style="233" bestFit="1" customWidth="1"/>
    <col min="3090" max="3090" width="9.1640625" style="233" customWidth="1"/>
    <col min="3091" max="3091" width="10.83203125" style="233" bestFit="1" customWidth="1"/>
    <col min="3092" max="3092" width="12.27734375" style="233" bestFit="1" customWidth="1"/>
    <col min="3093" max="3093" width="8" style="233" customWidth="1"/>
    <col min="3094" max="3094" width="10.83203125" style="233" bestFit="1" customWidth="1"/>
    <col min="3095" max="3095" width="12.27734375" style="233" bestFit="1" customWidth="1"/>
    <col min="3096" max="3096" width="8.1640625" style="233" bestFit="1" customWidth="1"/>
    <col min="3097" max="3097" width="10.83203125" style="233" bestFit="1" customWidth="1"/>
    <col min="3098" max="3098" width="12.27734375" style="233" bestFit="1" customWidth="1"/>
    <col min="3099" max="3099" width="18.27734375" style="233" bestFit="1" customWidth="1"/>
    <col min="3100" max="3100" width="10.83203125" style="233" bestFit="1" customWidth="1"/>
    <col min="3101" max="3336" width="8.83203125" style="233"/>
    <col min="3337" max="3337" width="38.27734375" style="233" customWidth="1"/>
    <col min="3338" max="3338" width="23.44140625" style="233" bestFit="1" customWidth="1"/>
    <col min="3339" max="3340" width="9.1640625" style="233" customWidth="1"/>
    <col min="3341" max="3341" width="11.27734375" style="233" bestFit="1" customWidth="1"/>
    <col min="3342" max="3342" width="14.44140625" style="233" bestFit="1" customWidth="1"/>
    <col min="3343" max="3343" width="8.1640625" style="233" customWidth="1"/>
    <col min="3344" max="3344" width="10.83203125" style="233" bestFit="1" customWidth="1"/>
    <col min="3345" max="3345" width="12.27734375" style="233" bestFit="1" customWidth="1"/>
    <col min="3346" max="3346" width="9.1640625" style="233" customWidth="1"/>
    <col min="3347" max="3347" width="10.83203125" style="233" bestFit="1" customWidth="1"/>
    <col min="3348" max="3348" width="12.27734375" style="233" bestFit="1" customWidth="1"/>
    <col min="3349" max="3349" width="8" style="233" customWidth="1"/>
    <col min="3350" max="3350" width="10.83203125" style="233" bestFit="1" customWidth="1"/>
    <col min="3351" max="3351" width="12.27734375" style="233" bestFit="1" customWidth="1"/>
    <col min="3352" max="3352" width="8.1640625" style="233" bestFit="1" customWidth="1"/>
    <col min="3353" max="3353" width="10.83203125" style="233" bestFit="1" customWidth="1"/>
    <col min="3354" max="3354" width="12.27734375" style="233" bestFit="1" customWidth="1"/>
    <col min="3355" max="3355" width="18.27734375" style="233" bestFit="1" customWidth="1"/>
    <col min="3356" max="3356" width="10.83203125" style="233" bestFit="1" customWidth="1"/>
    <col min="3357" max="3592" width="8.83203125" style="233"/>
    <col min="3593" max="3593" width="38.27734375" style="233" customWidth="1"/>
    <col min="3594" max="3594" width="23.44140625" style="233" bestFit="1" customWidth="1"/>
    <col min="3595" max="3596" width="9.1640625" style="233" customWidth="1"/>
    <col min="3597" max="3597" width="11.27734375" style="233" bestFit="1" customWidth="1"/>
    <col min="3598" max="3598" width="14.44140625" style="233" bestFit="1" customWidth="1"/>
    <col min="3599" max="3599" width="8.1640625" style="233" customWidth="1"/>
    <col min="3600" max="3600" width="10.83203125" style="233" bestFit="1" customWidth="1"/>
    <col min="3601" max="3601" width="12.27734375" style="233" bestFit="1" customWidth="1"/>
    <col min="3602" max="3602" width="9.1640625" style="233" customWidth="1"/>
    <col min="3603" max="3603" width="10.83203125" style="233" bestFit="1" customWidth="1"/>
    <col min="3604" max="3604" width="12.27734375" style="233" bestFit="1" customWidth="1"/>
    <col min="3605" max="3605" width="8" style="233" customWidth="1"/>
    <col min="3606" max="3606" width="10.83203125" style="233" bestFit="1" customWidth="1"/>
    <col min="3607" max="3607" width="12.27734375" style="233" bestFit="1" customWidth="1"/>
    <col min="3608" max="3608" width="8.1640625" style="233" bestFit="1" customWidth="1"/>
    <col min="3609" max="3609" width="10.83203125" style="233" bestFit="1" customWidth="1"/>
    <col min="3610" max="3610" width="12.27734375" style="233" bestFit="1" customWidth="1"/>
    <col min="3611" max="3611" width="18.27734375" style="233" bestFit="1" customWidth="1"/>
    <col min="3612" max="3612" width="10.83203125" style="233" bestFit="1" customWidth="1"/>
    <col min="3613" max="3848" width="8.83203125" style="233"/>
    <col min="3849" max="3849" width="38.27734375" style="233" customWidth="1"/>
    <col min="3850" max="3850" width="23.44140625" style="233" bestFit="1" customWidth="1"/>
    <col min="3851" max="3852" width="9.1640625" style="233" customWidth="1"/>
    <col min="3853" max="3853" width="11.27734375" style="233" bestFit="1" customWidth="1"/>
    <col min="3854" max="3854" width="14.44140625" style="233" bestFit="1" customWidth="1"/>
    <col min="3855" max="3855" width="8.1640625" style="233" customWidth="1"/>
    <col min="3856" max="3856" width="10.83203125" style="233" bestFit="1" customWidth="1"/>
    <col min="3857" max="3857" width="12.27734375" style="233" bestFit="1" customWidth="1"/>
    <col min="3858" max="3858" width="9.1640625" style="233" customWidth="1"/>
    <col min="3859" max="3859" width="10.83203125" style="233" bestFit="1" customWidth="1"/>
    <col min="3860" max="3860" width="12.27734375" style="233" bestFit="1" customWidth="1"/>
    <col min="3861" max="3861" width="8" style="233" customWidth="1"/>
    <col min="3862" max="3862" width="10.83203125" style="233" bestFit="1" customWidth="1"/>
    <col min="3863" max="3863" width="12.27734375" style="233" bestFit="1" customWidth="1"/>
    <col min="3864" max="3864" width="8.1640625" style="233" bestFit="1" customWidth="1"/>
    <col min="3865" max="3865" width="10.83203125" style="233" bestFit="1" customWidth="1"/>
    <col min="3866" max="3866" width="12.27734375" style="233" bestFit="1" customWidth="1"/>
    <col min="3867" max="3867" width="18.27734375" style="233" bestFit="1" customWidth="1"/>
    <col min="3868" max="3868" width="10.83203125" style="233" bestFit="1" customWidth="1"/>
    <col min="3869" max="4104" width="8.83203125" style="233"/>
    <col min="4105" max="4105" width="38.27734375" style="233" customWidth="1"/>
    <col min="4106" max="4106" width="23.44140625" style="233" bestFit="1" customWidth="1"/>
    <col min="4107" max="4108" width="9.1640625" style="233" customWidth="1"/>
    <col min="4109" max="4109" width="11.27734375" style="233" bestFit="1" customWidth="1"/>
    <col min="4110" max="4110" width="14.44140625" style="233" bestFit="1" customWidth="1"/>
    <col min="4111" max="4111" width="8.1640625" style="233" customWidth="1"/>
    <col min="4112" max="4112" width="10.83203125" style="233" bestFit="1" customWidth="1"/>
    <col min="4113" max="4113" width="12.27734375" style="233" bestFit="1" customWidth="1"/>
    <col min="4114" max="4114" width="9.1640625" style="233" customWidth="1"/>
    <col min="4115" max="4115" width="10.83203125" style="233" bestFit="1" customWidth="1"/>
    <col min="4116" max="4116" width="12.27734375" style="233" bestFit="1" customWidth="1"/>
    <col min="4117" max="4117" width="8" style="233" customWidth="1"/>
    <col min="4118" max="4118" width="10.83203125" style="233" bestFit="1" customWidth="1"/>
    <col min="4119" max="4119" width="12.27734375" style="233" bestFit="1" customWidth="1"/>
    <col min="4120" max="4120" width="8.1640625" style="233" bestFit="1" customWidth="1"/>
    <col min="4121" max="4121" width="10.83203125" style="233" bestFit="1" customWidth="1"/>
    <col min="4122" max="4122" width="12.27734375" style="233" bestFit="1" customWidth="1"/>
    <col min="4123" max="4123" width="18.27734375" style="233" bestFit="1" customWidth="1"/>
    <col min="4124" max="4124" width="10.83203125" style="233" bestFit="1" customWidth="1"/>
    <col min="4125" max="4360" width="8.83203125" style="233"/>
    <col min="4361" max="4361" width="38.27734375" style="233" customWidth="1"/>
    <col min="4362" max="4362" width="23.44140625" style="233" bestFit="1" customWidth="1"/>
    <col min="4363" max="4364" width="9.1640625" style="233" customWidth="1"/>
    <col min="4365" max="4365" width="11.27734375" style="233" bestFit="1" customWidth="1"/>
    <col min="4366" max="4366" width="14.44140625" style="233" bestFit="1" customWidth="1"/>
    <col min="4367" max="4367" width="8.1640625" style="233" customWidth="1"/>
    <col min="4368" max="4368" width="10.83203125" style="233" bestFit="1" customWidth="1"/>
    <col min="4369" max="4369" width="12.27734375" style="233" bestFit="1" customWidth="1"/>
    <col min="4370" max="4370" width="9.1640625" style="233" customWidth="1"/>
    <col min="4371" max="4371" width="10.83203125" style="233" bestFit="1" customWidth="1"/>
    <col min="4372" max="4372" width="12.27734375" style="233" bestFit="1" customWidth="1"/>
    <col min="4373" max="4373" width="8" style="233" customWidth="1"/>
    <col min="4374" max="4374" width="10.83203125" style="233" bestFit="1" customWidth="1"/>
    <col min="4375" max="4375" width="12.27734375" style="233" bestFit="1" customWidth="1"/>
    <col min="4376" max="4376" width="8.1640625" style="233" bestFit="1" customWidth="1"/>
    <col min="4377" max="4377" width="10.83203125" style="233" bestFit="1" customWidth="1"/>
    <col min="4378" max="4378" width="12.27734375" style="233" bestFit="1" customWidth="1"/>
    <col min="4379" max="4379" width="18.27734375" style="233" bestFit="1" customWidth="1"/>
    <col min="4380" max="4380" width="10.83203125" style="233" bestFit="1" customWidth="1"/>
    <col min="4381" max="4616" width="8.83203125" style="233"/>
    <col min="4617" max="4617" width="38.27734375" style="233" customWidth="1"/>
    <col min="4618" max="4618" width="23.44140625" style="233" bestFit="1" customWidth="1"/>
    <col min="4619" max="4620" width="9.1640625" style="233" customWidth="1"/>
    <col min="4621" max="4621" width="11.27734375" style="233" bestFit="1" customWidth="1"/>
    <col min="4622" max="4622" width="14.44140625" style="233" bestFit="1" customWidth="1"/>
    <col min="4623" max="4623" width="8.1640625" style="233" customWidth="1"/>
    <col min="4624" max="4624" width="10.83203125" style="233" bestFit="1" customWidth="1"/>
    <col min="4625" max="4625" width="12.27734375" style="233" bestFit="1" customWidth="1"/>
    <col min="4626" max="4626" width="9.1640625" style="233" customWidth="1"/>
    <col min="4627" max="4627" width="10.83203125" style="233" bestFit="1" customWidth="1"/>
    <col min="4628" max="4628" width="12.27734375" style="233" bestFit="1" customWidth="1"/>
    <col min="4629" max="4629" width="8" style="233" customWidth="1"/>
    <col min="4630" max="4630" width="10.83203125" style="233" bestFit="1" customWidth="1"/>
    <col min="4631" max="4631" width="12.27734375" style="233" bestFit="1" customWidth="1"/>
    <col min="4632" max="4632" width="8.1640625" style="233" bestFit="1" customWidth="1"/>
    <col min="4633" max="4633" width="10.83203125" style="233" bestFit="1" customWidth="1"/>
    <col min="4634" max="4634" width="12.27734375" style="233" bestFit="1" customWidth="1"/>
    <col min="4635" max="4635" width="18.27734375" style="233" bestFit="1" customWidth="1"/>
    <col min="4636" max="4636" width="10.83203125" style="233" bestFit="1" customWidth="1"/>
    <col min="4637" max="4872" width="8.83203125" style="233"/>
    <col min="4873" max="4873" width="38.27734375" style="233" customWidth="1"/>
    <col min="4874" max="4874" width="23.44140625" style="233" bestFit="1" customWidth="1"/>
    <col min="4875" max="4876" width="9.1640625" style="233" customWidth="1"/>
    <col min="4877" max="4877" width="11.27734375" style="233" bestFit="1" customWidth="1"/>
    <col min="4878" max="4878" width="14.44140625" style="233" bestFit="1" customWidth="1"/>
    <col min="4879" max="4879" width="8.1640625" style="233" customWidth="1"/>
    <col min="4880" max="4880" width="10.83203125" style="233" bestFit="1" customWidth="1"/>
    <col min="4881" max="4881" width="12.27734375" style="233" bestFit="1" customWidth="1"/>
    <col min="4882" max="4882" width="9.1640625" style="233" customWidth="1"/>
    <col min="4883" max="4883" width="10.83203125" style="233" bestFit="1" customWidth="1"/>
    <col min="4884" max="4884" width="12.27734375" style="233" bestFit="1" customWidth="1"/>
    <col min="4885" max="4885" width="8" style="233" customWidth="1"/>
    <col min="4886" max="4886" width="10.83203125" style="233" bestFit="1" customWidth="1"/>
    <col min="4887" max="4887" width="12.27734375" style="233" bestFit="1" customWidth="1"/>
    <col min="4888" max="4888" width="8.1640625" style="233" bestFit="1" customWidth="1"/>
    <col min="4889" max="4889" width="10.83203125" style="233" bestFit="1" customWidth="1"/>
    <col min="4890" max="4890" width="12.27734375" style="233" bestFit="1" customWidth="1"/>
    <col min="4891" max="4891" width="18.27734375" style="233" bestFit="1" customWidth="1"/>
    <col min="4892" max="4892" width="10.83203125" style="233" bestFit="1" customWidth="1"/>
    <col min="4893" max="5128" width="8.83203125" style="233"/>
    <col min="5129" max="5129" width="38.27734375" style="233" customWidth="1"/>
    <col min="5130" max="5130" width="23.44140625" style="233" bestFit="1" customWidth="1"/>
    <col min="5131" max="5132" width="9.1640625" style="233" customWidth="1"/>
    <col min="5133" max="5133" width="11.27734375" style="233" bestFit="1" customWidth="1"/>
    <col min="5134" max="5134" width="14.44140625" style="233" bestFit="1" customWidth="1"/>
    <col min="5135" max="5135" width="8.1640625" style="233" customWidth="1"/>
    <col min="5136" max="5136" width="10.83203125" style="233" bestFit="1" customWidth="1"/>
    <col min="5137" max="5137" width="12.27734375" style="233" bestFit="1" customWidth="1"/>
    <col min="5138" max="5138" width="9.1640625" style="233" customWidth="1"/>
    <col min="5139" max="5139" width="10.83203125" style="233" bestFit="1" customWidth="1"/>
    <col min="5140" max="5140" width="12.27734375" style="233" bestFit="1" customWidth="1"/>
    <col min="5141" max="5141" width="8" style="233" customWidth="1"/>
    <col min="5142" max="5142" width="10.83203125" style="233" bestFit="1" customWidth="1"/>
    <col min="5143" max="5143" width="12.27734375" style="233" bestFit="1" customWidth="1"/>
    <col min="5144" max="5144" width="8.1640625" style="233" bestFit="1" customWidth="1"/>
    <col min="5145" max="5145" width="10.83203125" style="233" bestFit="1" customWidth="1"/>
    <col min="5146" max="5146" width="12.27734375" style="233" bestFit="1" customWidth="1"/>
    <col min="5147" max="5147" width="18.27734375" style="233" bestFit="1" customWidth="1"/>
    <col min="5148" max="5148" width="10.83203125" style="233" bestFit="1" customWidth="1"/>
    <col min="5149" max="5384" width="8.83203125" style="233"/>
    <col min="5385" max="5385" width="38.27734375" style="233" customWidth="1"/>
    <col min="5386" max="5386" width="23.44140625" style="233" bestFit="1" customWidth="1"/>
    <col min="5387" max="5388" width="9.1640625" style="233" customWidth="1"/>
    <col min="5389" max="5389" width="11.27734375" style="233" bestFit="1" customWidth="1"/>
    <col min="5390" max="5390" width="14.44140625" style="233" bestFit="1" customWidth="1"/>
    <col min="5391" max="5391" width="8.1640625" style="233" customWidth="1"/>
    <col min="5392" max="5392" width="10.83203125" style="233" bestFit="1" customWidth="1"/>
    <col min="5393" max="5393" width="12.27734375" style="233" bestFit="1" customWidth="1"/>
    <col min="5394" max="5394" width="9.1640625" style="233" customWidth="1"/>
    <col min="5395" max="5395" width="10.83203125" style="233" bestFit="1" customWidth="1"/>
    <col min="5396" max="5396" width="12.27734375" style="233" bestFit="1" customWidth="1"/>
    <col min="5397" max="5397" width="8" style="233" customWidth="1"/>
    <col min="5398" max="5398" width="10.83203125" style="233" bestFit="1" customWidth="1"/>
    <col min="5399" max="5399" width="12.27734375" style="233" bestFit="1" customWidth="1"/>
    <col min="5400" max="5400" width="8.1640625" style="233" bestFit="1" customWidth="1"/>
    <col min="5401" max="5401" width="10.83203125" style="233" bestFit="1" customWidth="1"/>
    <col min="5402" max="5402" width="12.27734375" style="233" bestFit="1" customWidth="1"/>
    <col min="5403" max="5403" width="18.27734375" style="233" bestFit="1" customWidth="1"/>
    <col min="5404" max="5404" width="10.83203125" style="233" bestFit="1" customWidth="1"/>
    <col min="5405" max="5640" width="8.83203125" style="233"/>
    <col min="5641" max="5641" width="38.27734375" style="233" customWidth="1"/>
    <col min="5642" max="5642" width="23.44140625" style="233" bestFit="1" customWidth="1"/>
    <col min="5643" max="5644" width="9.1640625" style="233" customWidth="1"/>
    <col min="5645" max="5645" width="11.27734375" style="233" bestFit="1" customWidth="1"/>
    <col min="5646" max="5646" width="14.44140625" style="233" bestFit="1" customWidth="1"/>
    <col min="5647" max="5647" width="8.1640625" style="233" customWidth="1"/>
    <col min="5648" max="5648" width="10.83203125" style="233" bestFit="1" customWidth="1"/>
    <col min="5649" max="5649" width="12.27734375" style="233" bestFit="1" customWidth="1"/>
    <col min="5650" max="5650" width="9.1640625" style="233" customWidth="1"/>
    <col min="5651" max="5651" width="10.83203125" style="233" bestFit="1" customWidth="1"/>
    <col min="5652" max="5652" width="12.27734375" style="233" bestFit="1" customWidth="1"/>
    <col min="5653" max="5653" width="8" style="233" customWidth="1"/>
    <col min="5654" max="5654" width="10.83203125" style="233" bestFit="1" customWidth="1"/>
    <col min="5655" max="5655" width="12.27734375" style="233" bestFit="1" customWidth="1"/>
    <col min="5656" max="5656" width="8.1640625" style="233" bestFit="1" customWidth="1"/>
    <col min="5657" max="5657" width="10.83203125" style="233" bestFit="1" customWidth="1"/>
    <col min="5658" max="5658" width="12.27734375" style="233" bestFit="1" customWidth="1"/>
    <col min="5659" max="5659" width="18.27734375" style="233" bestFit="1" customWidth="1"/>
    <col min="5660" max="5660" width="10.83203125" style="233" bestFit="1" customWidth="1"/>
    <col min="5661" max="5896" width="8.83203125" style="233"/>
    <col min="5897" max="5897" width="38.27734375" style="233" customWidth="1"/>
    <col min="5898" max="5898" width="23.44140625" style="233" bestFit="1" customWidth="1"/>
    <col min="5899" max="5900" width="9.1640625" style="233" customWidth="1"/>
    <col min="5901" max="5901" width="11.27734375" style="233" bestFit="1" customWidth="1"/>
    <col min="5902" max="5902" width="14.44140625" style="233" bestFit="1" customWidth="1"/>
    <col min="5903" max="5903" width="8.1640625" style="233" customWidth="1"/>
    <col min="5904" max="5904" width="10.83203125" style="233" bestFit="1" customWidth="1"/>
    <col min="5905" max="5905" width="12.27734375" style="233" bestFit="1" customWidth="1"/>
    <col min="5906" max="5906" width="9.1640625" style="233" customWidth="1"/>
    <col min="5907" max="5907" width="10.83203125" style="233" bestFit="1" customWidth="1"/>
    <col min="5908" max="5908" width="12.27734375" style="233" bestFit="1" customWidth="1"/>
    <col min="5909" max="5909" width="8" style="233" customWidth="1"/>
    <col min="5910" max="5910" width="10.83203125" style="233" bestFit="1" customWidth="1"/>
    <col min="5911" max="5911" width="12.27734375" style="233" bestFit="1" customWidth="1"/>
    <col min="5912" max="5912" width="8.1640625" style="233" bestFit="1" customWidth="1"/>
    <col min="5913" max="5913" width="10.83203125" style="233" bestFit="1" customWidth="1"/>
    <col min="5914" max="5914" width="12.27734375" style="233" bestFit="1" customWidth="1"/>
    <col min="5915" max="5915" width="18.27734375" style="233" bestFit="1" customWidth="1"/>
    <col min="5916" max="5916" width="10.83203125" style="233" bestFit="1" customWidth="1"/>
    <col min="5917" max="6152" width="8.83203125" style="233"/>
    <col min="6153" max="6153" width="38.27734375" style="233" customWidth="1"/>
    <col min="6154" max="6154" width="23.44140625" style="233" bestFit="1" customWidth="1"/>
    <col min="6155" max="6156" width="9.1640625" style="233" customWidth="1"/>
    <col min="6157" max="6157" width="11.27734375" style="233" bestFit="1" customWidth="1"/>
    <col min="6158" max="6158" width="14.44140625" style="233" bestFit="1" customWidth="1"/>
    <col min="6159" max="6159" width="8.1640625" style="233" customWidth="1"/>
    <col min="6160" max="6160" width="10.83203125" style="233" bestFit="1" customWidth="1"/>
    <col min="6161" max="6161" width="12.27734375" style="233" bestFit="1" customWidth="1"/>
    <col min="6162" max="6162" width="9.1640625" style="233" customWidth="1"/>
    <col min="6163" max="6163" width="10.83203125" style="233" bestFit="1" customWidth="1"/>
    <col min="6164" max="6164" width="12.27734375" style="233" bestFit="1" customWidth="1"/>
    <col min="6165" max="6165" width="8" style="233" customWidth="1"/>
    <col min="6166" max="6166" width="10.83203125" style="233" bestFit="1" customWidth="1"/>
    <col min="6167" max="6167" width="12.27734375" style="233" bestFit="1" customWidth="1"/>
    <col min="6168" max="6168" width="8.1640625" style="233" bestFit="1" customWidth="1"/>
    <col min="6169" max="6169" width="10.83203125" style="233" bestFit="1" customWidth="1"/>
    <col min="6170" max="6170" width="12.27734375" style="233" bestFit="1" customWidth="1"/>
    <col min="6171" max="6171" width="18.27734375" style="233" bestFit="1" customWidth="1"/>
    <col min="6172" max="6172" width="10.83203125" style="233" bestFit="1" customWidth="1"/>
    <col min="6173" max="6408" width="8.83203125" style="233"/>
    <col min="6409" max="6409" width="38.27734375" style="233" customWidth="1"/>
    <col min="6410" max="6410" width="23.44140625" style="233" bestFit="1" customWidth="1"/>
    <col min="6411" max="6412" width="9.1640625" style="233" customWidth="1"/>
    <col min="6413" max="6413" width="11.27734375" style="233" bestFit="1" customWidth="1"/>
    <col min="6414" max="6414" width="14.44140625" style="233" bestFit="1" customWidth="1"/>
    <col min="6415" max="6415" width="8.1640625" style="233" customWidth="1"/>
    <col min="6416" max="6416" width="10.83203125" style="233" bestFit="1" customWidth="1"/>
    <col min="6417" max="6417" width="12.27734375" style="233" bestFit="1" customWidth="1"/>
    <col min="6418" max="6418" width="9.1640625" style="233" customWidth="1"/>
    <col min="6419" max="6419" width="10.83203125" style="233" bestFit="1" customWidth="1"/>
    <col min="6420" max="6420" width="12.27734375" style="233" bestFit="1" customWidth="1"/>
    <col min="6421" max="6421" width="8" style="233" customWidth="1"/>
    <col min="6422" max="6422" width="10.83203125" style="233" bestFit="1" customWidth="1"/>
    <col min="6423" max="6423" width="12.27734375" style="233" bestFit="1" customWidth="1"/>
    <col min="6424" max="6424" width="8.1640625" style="233" bestFit="1" customWidth="1"/>
    <col min="6425" max="6425" width="10.83203125" style="233" bestFit="1" customWidth="1"/>
    <col min="6426" max="6426" width="12.27734375" style="233" bestFit="1" customWidth="1"/>
    <col min="6427" max="6427" width="18.27734375" style="233" bestFit="1" customWidth="1"/>
    <col min="6428" max="6428" width="10.83203125" style="233" bestFit="1" customWidth="1"/>
    <col min="6429" max="6664" width="8.83203125" style="233"/>
    <col min="6665" max="6665" width="38.27734375" style="233" customWidth="1"/>
    <col min="6666" max="6666" width="23.44140625" style="233" bestFit="1" customWidth="1"/>
    <col min="6667" max="6668" width="9.1640625" style="233" customWidth="1"/>
    <col min="6669" max="6669" width="11.27734375" style="233" bestFit="1" customWidth="1"/>
    <col min="6670" max="6670" width="14.44140625" style="233" bestFit="1" customWidth="1"/>
    <col min="6671" max="6671" width="8.1640625" style="233" customWidth="1"/>
    <col min="6672" max="6672" width="10.83203125" style="233" bestFit="1" customWidth="1"/>
    <col min="6673" max="6673" width="12.27734375" style="233" bestFit="1" customWidth="1"/>
    <col min="6674" max="6674" width="9.1640625" style="233" customWidth="1"/>
    <col min="6675" max="6675" width="10.83203125" style="233" bestFit="1" customWidth="1"/>
    <col min="6676" max="6676" width="12.27734375" style="233" bestFit="1" customWidth="1"/>
    <col min="6677" max="6677" width="8" style="233" customWidth="1"/>
    <col min="6678" max="6678" width="10.83203125" style="233" bestFit="1" customWidth="1"/>
    <col min="6679" max="6679" width="12.27734375" style="233" bestFit="1" customWidth="1"/>
    <col min="6680" max="6680" width="8.1640625" style="233" bestFit="1" customWidth="1"/>
    <col min="6681" max="6681" width="10.83203125" style="233" bestFit="1" customWidth="1"/>
    <col min="6682" max="6682" width="12.27734375" style="233" bestFit="1" customWidth="1"/>
    <col min="6683" max="6683" width="18.27734375" style="233" bestFit="1" customWidth="1"/>
    <col min="6684" max="6684" width="10.83203125" style="233" bestFit="1" customWidth="1"/>
    <col min="6685" max="6920" width="8.83203125" style="233"/>
    <col min="6921" max="6921" width="38.27734375" style="233" customWidth="1"/>
    <col min="6922" max="6922" width="23.44140625" style="233" bestFit="1" customWidth="1"/>
    <col min="6923" max="6924" width="9.1640625" style="233" customWidth="1"/>
    <col min="6925" max="6925" width="11.27734375" style="233" bestFit="1" customWidth="1"/>
    <col min="6926" max="6926" width="14.44140625" style="233" bestFit="1" customWidth="1"/>
    <col min="6927" max="6927" width="8.1640625" style="233" customWidth="1"/>
    <col min="6928" max="6928" width="10.83203125" style="233" bestFit="1" customWidth="1"/>
    <col min="6929" max="6929" width="12.27734375" style="233" bestFit="1" customWidth="1"/>
    <col min="6930" max="6930" width="9.1640625" style="233" customWidth="1"/>
    <col min="6931" max="6931" width="10.83203125" style="233" bestFit="1" customWidth="1"/>
    <col min="6932" max="6932" width="12.27734375" style="233" bestFit="1" customWidth="1"/>
    <col min="6933" max="6933" width="8" style="233" customWidth="1"/>
    <col min="6934" max="6934" width="10.83203125" style="233" bestFit="1" customWidth="1"/>
    <col min="6935" max="6935" width="12.27734375" style="233" bestFit="1" customWidth="1"/>
    <col min="6936" max="6936" width="8.1640625" style="233" bestFit="1" customWidth="1"/>
    <col min="6937" max="6937" width="10.83203125" style="233" bestFit="1" customWidth="1"/>
    <col min="6938" max="6938" width="12.27734375" style="233" bestFit="1" customWidth="1"/>
    <col min="6939" max="6939" width="18.27734375" style="233" bestFit="1" customWidth="1"/>
    <col min="6940" max="6940" width="10.83203125" style="233" bestFit="1" customWidth="1"/>
    <col min="6941" max="7176" width="8.83203125" style="233"/>
    <col min="7177" max="7177" width="38.27734375" style="233" customWidth="1"/>
    <col min="7178" max="7178" width="23.44140625" style="233" bestFit="1" customWidth="1"/>
    <col min="7179" max="7180" width="9.1640625" style="233" customWidth="1"/>
    <col min="7181" max="7181" width="11.27734375" style="233" bestFit="1" customWidth="1"/>
    <col min="7182" max="7182" width="14.44140625" style="233" bestFit="1" customWidth="1"/>
    <col min="7183" max="7183" width="8.1640625" style="233" customWidth="1"/>
    <col min="7184" max="7184" width="10.83203125" style="233" bestFit="1" customWidth="1"/>
    <col min="7185" max="7185" width="12.27734375" style="233" bestFit="1" customWidth="1"/>
    <col min="7186" max="7186" width="9.1640625" style="233" customWidth="1"/>
    <col min="7187" max="7187" width="10.83203125" style="233" bestFit="1" customWidth="1"/>
    <col min="7188" max="7188" width="12.27734375" style="233" bestFit="1" customWidth="1"/>
    <col min="7189" max="7189" width="8" style="233" customWidth="1"/>
    <col min="7190" max="7190" width="10.83203125" style="233" bestFit="1" customWidth="1"/>
    <col min="7191" max="7191" width="12.27734375" style="233" bestFit="1" customWidth="1"/>
    <col min="7192" max="7192" width="8.1640625" style="233" bestFit="1" customWidth="1"/>
    <col min="7193" max="7193" width="10.83203125" style="233" bestFit="1" customWidth="1"/>
    <col min="7194" max="7194" width="12.27734375" style="233" bestFit="1" customWidth="1"/>
    <col min="7195" max="7195" width="18.27734375" style="233" bestFit="1" customWidth="1"/>
    <col min="7196" max="7196" width="10.83203125" style="233" bestFit="1" customWidth="1"/>
    <col min="7197" max="7432" width="8.83203125" style="233"/>
    <col min="7433" max="7433" width="38.27734375" style="233" customWidth="1"/>
    <col min="7434" max="7434" width="23.44140625" style="233" bestFit="1" customWidth="1"/>
    <col min="7435" max="7436" width="9.1640625" style="233" customWidth="1"/>
    <col min="7437" max="7437" width="11.27734375" style="233" bestFit="1" customWidth="1"/>
    <col min="7438" max="7438" width="14.44140625" style="233" bestFit="1" customWidth="1"/>
    <col min="7439" max="7439" width="8.1640625" style="233" customWidth="1"/>
    <col min="7440" max="7440" width="10.83203125" style="233" bestFit="1" customWidth="1"/>
    <col min="7441" max="7441" width="12.27734375" style="233" bestFit="1" customWidth="1"/>
    <col min="7442" max="7442" width="9.1640625" style="233" customWidth="1"/>
    <col min="7443" max="7443" width="10.83203125" style="233" bestFit="1" customWidth="1"/>
    <col min="7444" max="7444" width="12.27734375" style="233" bestFit="1" customWidth="1"/>
    <col min="7445" max="7445" width="8" style="233" customWidth="1"/>
    <col min="7446" max="7446" width="10.83203125" style="233" bestFit="1" customWidth="1"/>
    <col min="7447" max="7447" width="12.27734375" style="233" bestFit="1" customWidth="1"/>
    <col min="7448" max="7448" width="8.1640625" style="233" bestFit="1" customWidth="1"/>
    <col min="7449" max="7449" width="10.83203125" style="233" bestFit="1" customWidth="1"/>
    <col min="7450" max="7450" width="12.27734375" style="233" bestFit="1" customWidth="1"/>
    <col min="7451" max="7451" width="18.27734375" style="233" bestFit="1" customWidth="1"/>
    <col min="7452" max="7452" width="10.83203125" style="233" bestFit="1" customWidth="1"/>
    <col min="7453" max="7688" width="8.83203125" style="233"/>
    <col min="7689" max="7689" width="38.27734375" style="233" customWidth="1"/>
    <col min="7690" max="7690" width="23.44140625" style="233" bestFit="1" customWidth="1"/>
    <col min="7691" max="7692" width="9.1640625" style="233" customWidth="1"/>
    <col min="7693" max="7693" width="11.27734375" style="233" bestFit="1" customWidth="1"/>
    <col min="7694" max="7694" width="14.44140625" style="233" bestFit="1" customWidth="1"/>
    <col min="7695" max="7695" width="8.1640625" style="233" customWidth="1"/>
    <col min="7696" max="7696" width="10.83203125" style="233" bestFit="1" customWidth="1"/>
    <col min="7697" max="7697" width="12.27734375" style="233" bestFit="1" customWidth="1"/>
    <col min="7698" max="7698" width="9.1640625" style="233" customWidth="1"/>
    <col min="7699" max="7699" width="10.83203125" style="233" bestFit="1" customWidth="1"/>
    <col min="7700" max="7700" width="12.27734375" style="233" bestFit="1" customWidth="1"/>
    <col min="7701" max="7701" width="8" style="233" customWidth="1"/>
    <col min="7702" max="7702" width="10.83203125" style="233" bestFit="1" customWidth="1"/>
    <col min="7703" max="7703" width="12.27734375" style="233" bestFit="1" customWidth="1"/>
    <col min="7704" max="7704" width="8.1640625" style="233" bestFit="1" customWidth="1"/>
    <col min="7705" max="7705" width="10.83203125" style="233" bestFit="1" customWidth="1"/>
    <col min="7706" max="7706" width="12.27734375" style="233" bestFit="1" customWidth="1"/>
    <col min="7707" max="7707" width="18.27734375" style="233" bestFit="1" customWidth="1"/>
    <col min="7708" max="7708" width="10.83203125" style="233" bestFit="1" customWidth="1"/>
    <col min="7709" max="7944" width="8.83203125" style="233"/>
    <col min="7945" max="7945" width="38.27734375" style="233" customWidth="1"/>
    <col min="7946" max="7946" width="23.44140625" style="233" bestFit="1" customWidth="1"/>
    <col min="7947" max="7948" width="9.1640625" style="233" customWidth="1"/>
    <col min="7949" max="7949" width="11.27734375" style="233" bestFit="1" customWidth="1"/>
    <col min="7950" max="7950" width="14.44140625" style="233" bestFit="1" customWidth="1"/>
    <col min="7951" max="7951" width="8.1640625" style="233" customWidth="1"/>
    <col min="7952" max="7952" width="10.83203125" style="233" bestFit="1" customWidth="1"/>
    <col min="7953" max="7953" width="12.27734375" style="233" bestFit="1" customWidth="1"/>
    <col min="7954" max="7954" width="9.1640625" style="233" customWidth="1"/>
    <col min="7955" max="7955" width="10.83203125" style="233" bestFit="1" customWidth="1"/>
    <col min="7956" max="7956" width="12.27734375" style="233" bestFit="1" customWidth="1"/>
    <col min="7957" max="7957" width="8" style="233" customWidth="1"/>
    <col min="7958" max="7958" width="10.83203125" style="233" bestFit="1" customWidth="1"/>
    <col min="7959" max="7959" width="12.27734375" style="233" bestFit="1" customWidth="1"/>
    <col min="7960" max="7960" width="8.1640625" style="233" bestFit="1" customWidth="1"/>
    <col min="7961" max="7961" width="10.83203125" style="233" bestFit="1" customWidth="1"/>
    <col min="7962" max="7962" width="12.27734375" style="233" bestFit="1" customWidth="1"/>
    <col min="7963" max="7963" width="18.27734375" style="233" bestFit="1" customWidth="1"/>
    <col min="7964" max="7964" width="10.83203125" style="233" bestFit="1" customWidth="1"/>
    <col min="7965" max="8200" width="8.83203125" style="233"/>
    <col min="8201" max="8201" width="38.27734375" style="233" customWidth="1"/>
    <col min="8202" max="8202" width="23.44140625" style="233" bestFit="1" customWidth="1"/>
    <col min="8203" max="8204" width="9.1640625" style="233" customWidth="1"/>
    <col min="8205" max="8205" width="11.27734375" style="233" bestFit="1" customWidth="1"/>
    <col min="8206" max="8206" width="14.44140625" style="233" bestFit="1" customWidth="1"/>
    <col min="8207" max="8207" width="8.1640625" style="233" customWidth="1"/>
    <col min="8208" max="8208" width="10.83203125" style="233" bestFit="1" customWidth="1"/>
    <col min="8209" max="8209" width="12.27734375" style="233" bestFit="1" customWidth="1"/>
    <col min="8210" max="8210" width="9.1640625" style="233" customWidth="1"/>
    <col min="8211" max="8211" width="10.83203125" style="233" bestFit="1" customWidth="1"/>
    <col min="8212" max="8212" width="12.27734375" style="233" bestFit="1" customWidth="1"/>
    <col min="8213" max="8213" width="8" style="233" customWidth="1"/>
    <col min="8214" max="8214" width="10.83203125" style="233" bestFit="1" customWidth="1"/>
    <col min="8215" max="8215" width="12.27734375" style="233" bestFit="1" customWidth="1"/>
    <col min="8216" max="8216" width="8.1640625" style="233" bestFit="1" customWidth="1"/>
    <col min="8217" max="8217" width="10.83203125" style="233" bestFit="1" customWidth="1"/>
    <col min="8218" max="8218" width="12.27734375" style="233" bestFit="1" customWidth="1"/>
    <col min="8219" max="8219" width="18.27734375" style="233" bestFit="1" customWidth="1"/>
    <col min="8220" max="8220" width="10.83203125" style="233" bestFit="1" customWidth="1"/>
    <col min="8221" max="8456" width="8.83203125" style="233"/>
    <col min="8457" max="8457" width="38.27734375" style="233" customWidth="1"/>
    <col min="8458" max="8458" width="23.44140625" style="233" bestFit="1" customWidth="1"/>
    <col min="8459" max="8460" width="9.1640625" style="233" customWidth="1"/>
    <col min="8461" max="8461" width="11.27734375" style="233" bestFit="1" customWidth="1"/>
    <col min="8462" max="8462" width="14.44140625" style="233" bestFit="1" customWidth="1"/>
    <col min="8463" max="8463" width="8.1640625" style="233" customWidth="1"/>
    <col min="8464" max="8464" width="10.83203125" style="233" bestFit="1" customWidth="1"/>
    <col min="8465" max="8465" width="12.27734375" style="233" bestFit="1" customWidth="1"/>
    <col min="8466" max="8466" width="9.1640625" style="233" customWidth="1"/>
    <col min="8467" max="8467" width="10.83203125" style="233" bestFit="1" customWidth="1"/>
    <col min="8468" max="8468" width="12.27734375" style="233" bestFit="1" customWidth="1"/>
    <col min="8469" max="8469" width="8" style="233" customWidth="1"/>
    <col min="8470" max="8470" width="10.83203125" style="233" bestFit="1" customWidth="1"/>
    <col min="8471" max="8471" width="12.27734375" style="233" bestFit="1" customWidth="1"/>
    <col min="8472" max="8472" width="8.1640625" style="233" bestFit="1" customWidth="1"/>
    <col min="8473" max="8473" width="10.83203125" style="233" bestFit="1" customWidth="1"/>
    <col min="8474" max="8474" width="12.27734375" style="233" bestFit="1" customWidth="1"/>
    <col min="8475" max="8475" width="18.27734375" style="233" bestFit="1" customWidth="1"/>
    <col min="8476" max="8476" width="10.83203125" style="233" bestFit="1" customWidth="1"/>
    <col min="8477" max="8712" width="8.83203125" style="233"/>
    <col min="8713" max="8713" width="38.27734375" style="233" customWidth="1"/>
    <col min="8714" max="8714" width="23.44140625" style="233" bestFit="1" customWidth="1"/>
    <col min="8715" max="8716" width="9.1640625" style="233" customWidth="1"/>
    <col min="8717" max="8717" width="11.27734375" style="233" bestFit="1" customWidth="1"/>
    <col min="8718" max="8718" width="14.44140625" style="233" bestFit="1" customWidth="1"/>
    <col min="8719" max="8719" width="8.1640625" style="233" customWidth="1"/>
    <col min="8720" max="8720" width="10.83203125" style="233" bestFit="1" customWidth="1"/>
    <col min="8721" max="8721" width="12.27734375" style="233" bestFit="1" customWidth="1"/>
    <col min="8722" max="8722" width="9.1640625" style="233" customWidth="1"/>
    <col min="8723" max="8723" width="10.83203125" style="233" bestFit="1" customWidth="1"/>
    <col min="8724" max="8724" width="12.27734375" style="233" bestFit="1" customWidth="1"/>
    <col min="8725" max="8725" width="8" style="233" customWidth="1"/>
    <col min="8726" max="8726" width="10.83203125" style="233" bestFit="1" customWidth="1"/>
    <col min="8727" max="8727" width="12.27734375" style="233" bestFit="1" customWidth="1"/>
    <col min="8728" max="8728" width="8.1640625" style="233" bestFit="1" customWidth="1"/>
    <col min="8729" max="8729" width="10.83203125" style="233" bestFit="1" customWidth="1"/>
    <col min="8730" max="8730" width="12.27734375" style="233" bestFit="1" customWidth="1"/>
    <col min="8731" max="8731" width="18.27734375" style="233" bestFit="1" customWidth="1"/>
    <col min="8732" max="8732" width="10.83203125" style="233" bestFit="1" customWidth="1"/>
    <col min="8733" max="8968" width="8.83203125" style="233"/>
    <col min="8969" max="8969" width="38.27734375" style="233" customWidth="1"/>
    <col min="8970" max="8970" width="23.44140625" style="233" bestFit="1" customWidth="1"/>
    <col min="8971" max="8972" width="9.1640625" style="233" customWidth="1"/>
    <col min="8973" max="8973" width="11.27734375" style="233" bestFit="1" customWidth="1"/>
    <col min="8974" max="8974" width="14.44140625" style="233" bestFit="1" customWidth="1"/>
    <col min="8975" max="8975" width="8.1640625" style="233" customWidth="1"/>
    <col min="8976" max="8976" width="10.83203125" style="233" bestFit="1" customWidth="1"/>
    <col min="8977" max="8977" width="12.27734375" style="233" bestFit="1" customWidth="1"/>
    <col min="8978" max="8978" width="9.1640625" style="233" customWidth="1"/>
    <col min="8979" max="8979" width="10.83203125" style="233" bestFit="1" customWidth="1"/>
    <col min="8980" max="8980" width="12.27734375" style="233" bestFit="1" customWidth="1"/>
    <col min="8981" max="8981" width="8" style="233" customWidth="1"/>
    <col min="8982" max="8982" width="10.83203125" style="233" bestFit="1" customWidth="1"/>
    <col min="8983" max="8983" width="12.27734375" style="233" bestFit="1" customWidth="1"/>
    <col min="8984" max="8984" width="8.1640625" style="233" bestFit="1" customWidth="1"/>
    <col min="8985" max="8985" width="10.83203125" style="233" bestFit="1" customWidth="1"/>
    <col min="8986" max="8986" width="12.27734375" style="233" bestFit="1" customWidth="1"/>
    <col min="8987" max="8987" width="18.27734375" style="233" bestFit="1" customWidth="1"/>
    <col min="8988" max="8988" width="10.83203125" style="233" bestFit="1" customWidth="1"/>
    <col min="8989" max="9224" width="8.83203125" style="233"/>
    <col min="9225" max="9225" width="38.27734375" style="233" customWidth="1"/>
    <col min="9226" max="9226" width="23.44140625" style="233" bestFit="1" customWidth="1"/>
    <col min="9227" max="9228" width="9.1640625" style="233" customWidth="1"/>
    <col min="9229" max="9229" width="11.27734375" style="233" bestFit="1" customWidth="1"/>
    <col min="9230" max="9230" width="14.44140625" style="233" bestFit="1" customWidth="1"/>
    <col min="9231" max="9231" width="8.1640625" style="233" customWidth="1"/>
    <col min="9232" max="9232" width="10.83203125" style="233" bestFit="1" customWidth="1"/>
    <col min="9233" max="9233" width="12.27734375" style="233" bestFit="1" customWidth="1"/>
    <col min="9234" max="9234" width="9.1640625" style="233" customWidth="1"/>
    <col min="9235" max="9235" width="10.83203125" style="233" bestFit="1" customWidth="1"/>
    <col min="9236" max="9236" width="12.27734375" style="233" bestFit="1" customWidth="1"/>
    <col min="9237" max="9237" width="8" style="233" customWidth="1"/>
    <col min="9238" max="9238" width="10.83203125" style="233" bestFit="1" customWidth="1"/>
    <col min="9239" max="9239" width="12.27734375" style="233" bestFit="1" customWidth="1"/>
    <col min="9240" max="9240" width="8.1640625" style="233" bestFit="1" customWidth="1"/>
    <col min="9241" max="9241" width="10.83203125" style="233" bestFit="1" customWidth="1"/>
    <col min="9242" max="9242" width="12.27734375" style="233" bestFit="1" customWidth="1"/>
    <col min="9243" max="9243" width="18.27734375" style="233" bestFit="1" customWidth="1"/>
    <col min="9244" max="9244" width="10.83203125" style="233" bestFit="1" customWidth="1"/>
    <col min="9245" max="9480" width="8.83203125" style="233"/>
    <col min="9481" max="9481" width="38.27734375" style="233" customWidth="1"/>
    <col min="9482" max="9482" width="23.44140625" style="233" bestFit="1" customWidth="1"/>
    <col min="9483" max="9484" width="9.1640625" style="233" customWidth="1"/>
    <col min="9485" max="9485" width="11.27734375" style="233" bestFit="1" customWidth="1"/>
    <col min="9486" max="9486" width="14.44140625" style="233" bestFit="1" customWidth="1"/>
    <col min="9487" max="9487" width="8.1640625" style="233" customWidth="1"/>
    <col min="9488" max="9488" width="10.83203125" style="233" bestFit="1" customWidth="1"/>
    <col min="9489" max="9489" width="12.27734375" style="233" bestFit="1" customWidth="1"/>
    <col min="9490" max="9490" width="9.1640625" style="233" customWidth="1"/>
    <col min="9491" max="9491" width="10.83203125" style="233" bestFit="1" customWidth="1"/>
    <col min="9492" max="9492" width="12.27734375" style="233" bestFit="1" customWidth="1"/>
    <col min="9493" max="9493" width="8" style="233" customWidth="1"/>
    <col min="9494" max="9494" width="10.83203125" style="233" bestFit="1" customWidth="1"/>
    <col min="9495" max="9495" width="12.27734375" style="233" bestFit="1" customWidth="1"/>
    <col min="9496" max="9496" width="8.1640625" style="233" bestFit="1" customWidth="1"/>
    <col min="9497" max="9497" width="10.83203125" style="233" bestFit="1" customWidth="1"/>
    <col min="9498" max="9498" width="12.27734375" style="233" bestFit="1" customWidth="1"/>
    <col min="9499" max="9499" width="18.27734375" style="233" bestFit="1" customWidth="1"/>
    <col min="9500" max="9500" width="10.83203125" style="233" bestFit="1" customWidth="1"/>
    <col min="9501" max="9736" width="8.83203125" style="233"/>
    <col min="9737" max="9737" width="38.27734375" style="233" customWidth="1"/>
    <col min="9738" max="9738" width="23.44140625" style="233" bestFit="1" customWidth="1"/>
    <col min="9739" max="9740" width="9.1640625" style="233" customWidth="1"/>
    <col min="9741" max="9741" width="11.27734375" style="233" bestFit="1" customWidth="1"/>
    <col min="9742" max="9742" width="14.44140625" style="233" bestFit="1" customWidth="1"/>
    <col min="9743" max="9743" width="8.1640625" style="233" customWidth="1"/>
    <col min="9744" max="9744" width="10.83203125" style="233" bestFit="1" customWidth="1"/>
    <col min="9745" max="9745" width="12.27734375" style="233" bestFit="1" customWidth="1"/>
    <col min="9746" max="9746" width="9.1640625" style="233" customWidth="1"/>
    <col min="9747" max="9747" width="10.83203125" style="233" bestFit="1" customWidth="1"/>
    <col min="9748" max="9748" width="12.27734375" style="233" bestFit="1" customWidth="1"/>
    <col min="9749" max="9749" width="8" style="233" customWidth="1"/>
    <col min="9750" max="9750" width="10.83203125" style="233" bestFit="1" customWidth="1"/>
    <col min="9751" max="9751" width="12.27734375" style="233" bestFit="1" customWidth="1"/>
    <col min="9752" max="9752" width="8.1640625" style="233" bestFit="1" customWidth="1"/>
    <col min="9753" max="9753" width="10.83203125" style="233" bestFit="1" customWidth="1"/>
    <col min="9754" max="9754" width="12.27734375" style="233" bestFit="1" customWidth="1"/>
    <col min="9755" max="9755" width="18.27734375" style="233" bestFit="1" customWidth="1"/>
    <col min="9756" max="9756" width="10.83203125" style="233" bestFit="1" customWidth="1"/>
    <col min="9757" max="9992" width="8.83203125" style="233"/>
    <col min="9993" max="9993" width="38.27734375" style="233" customWidth="1"/>
    <col min="9994" max="9994" width="23.44140625" style="233" bestFit="1" customWidth="1"/>
    <col min="9995" max="9996" width="9.1640625" style="233" customWidth="1"/>
    <col min="9997" max="9997" width="11.27734375" style="233" bestFit="1" customWidth="1"/>
    <col min="9998" max="9998" width="14.44140625" style="233" bestFit="1" customWidth="1"/>
    <col min="9999" max="9999" width="8.1640625" style="233" customWidth="1"/>
    <col min="10000" max="10000" width="10.83203125" style="233" bestFit="1" customWidth="1"/>
    <col min="10001" max="10001" width="12.27734375" style="233" bestFit="1" customWidth="1"/>
    <col min="10002" max="10002" width="9.1640625" style="233" customWidth="1"/>
    <col min="10003" max="10003" width="10.83203125" style="233" bestFit="1" customWidth="1"/>
    <col min="10004" max="10004" width="12.27734375" style="233" bestFit="1" customWidth="1"/>
    <col min="10005" max="10005" width="8" style="233" customWidth="1"/>
    <col min="10006" max="10006" width="10.83203125" style="233" bestFit="1" customWidth="1"/>
    <col min="10007" max="10007" width="12.27734375" style="233" bestFit="1" customWidth="1"/>
    <col min="10008" max="10008" width="8.1640625" style="233" bestFit="1" customWidth="1"/>
    <col min="10009" max="10009" width="10.83203125" style="233" bestFit="1" customWidth="1"/>
    <col min="10010" max="10010" width="12.27734375" style="233" bestFit="1" customWidth="1"/>
    <col min="10011" max="10011" width="18.27734375" style="233" bestFit="1" customWidth="1"/>
    <col min="10012" max="10012" width="10.83203125" style="233" bestFit="1" customWidth="1"/>
    <col min="10013" max="10248" width="8.83203125" style="233"/>
    <col min="10249" max="10249" width="38.27734375" style="233" customWidth="1"/>
    <col min="10250" max="10250" width="23.44140625" style="233" bestFit="1" customWidth="1"/>
    <col min="10251" max="10252" width="9.1640625" style="233" customWidth="1"/>
    <col min="10253" max="10253" width="11.27734375" style="233" bestFit="1" customWidth="1"/>
    <col min="10254" max="10254" width="14.44140625" style="233" bestFit="1" customWidth="1"/>
    <col min="10255" max="10255" width="8.1640625" style="233" customWidth="1"/>
    <col min="10256" max="10256" width="10.83203125" style="233" bestFit="1" customWidth="1"/>
    <col min="10257" max="10257" width="12.27734375" style="233" bestFit="1" customWidth="1"/>
    <col min="10258" max="10258" width="9.1640625" style="233" customWidth="1"/>
    <col min="10259" max="10259" width="10.83203125" style="233" bestFit="1" customWidth="1"/>
    <col min="10260" max="10260" width="12.27734375" style="233" bestFit="1" customWidth="1"/>
    <col min="10261" max="10261" width="8" style="233" customWidth="1"/>
    <col min="10262" max="10262" width="10.83203125" style="233" bestFit="1" customWidth="1"/>
    <col min="10263" max="10263" width="12.27734375" style="233" bestFit="1" customWidth="1"/>
    <col min="10264" max="10264" width="8.1640625" style="233" bestFit="1" customWidth="1"/>
    <col min="10265" max="10265" width="10.83203125" style="233" bestFit="1" customWidth="1"/>
    <col min="10266" max="10266" width="12.27734375" style="233" bestFit="1" customWidth="1"/>
    <col min="10267" max="10267" width="18.27734375" style="233" bestFit="1" customWidth="1"/>
    <col min="10268" max="10268" width="10.83203125" style="233" bestFit="1" customWidth="1"/>
    <col min="10269" max="10504" width="8.83203125" style="233"/>
    <col min="10505" max="10505" width="38.27734375" style="233" customWidth="1"/>
    <col min="10506" max="10506" width="23.44140625" style="233" bestFit="1" customWidth="1"/>
    <col min="10507" max="10508" width="9.1640625" style="233" customWidth="1"/>
    <col min="10509" max="10509" width="11.27734375" style="233" bestFit="1" customWidth="1"/>
    <col min="10510" max="10510" width="14.44140625" style="233" bestFit="1" customWidth="1"/>
    <col min="10511" max="10511" width="8.1640625" style="233" customWidth="1"/>
    <col min="10512" max="10512" width="10.83203125" style="233" bestFit="1" customWidth="1"/>
    <col min="10513" max="10513" width="12.27734375" style="233" bestFit="1" customWidth="1"/>
    <col min="10514" max="10514" width="9.1640625" style="233" customWidth="1"/>
    <col min="10515" max="10515" width="10.83203125" style="233" bestFit="1" customWidth="1"/>
    <col min="10516" max="10516" width="12.27734375" style="233" bestFit="1" customWidth="1"/>
    <col min="10517" max="10517" width="8" style="233" customWidth="1"/>
    <col min="10518" max="10518" width="10.83203125" style="233" bestFit="1" customWidth="1"/>
    <col min="10519" max="10519" width="12.27734375" style="233" bestFit="1" customWidth="1"/>
    <col min="10520" max="10520" width="8.1640625" style="233" bestFit="1" customWidth="1"/>
    <col min="10521" max="10521" width="10.83203125" style="233" bestFit="1" customWidth="1"/>
    <col min="10522" max="10522" width="12.27734375" style="233" bestFit="1" customWidth="1"/>
    <col min="10523" max="10523" width="18.27734375" style="233" bestFit="1" customWidth="1"/>
    <col min="10524" max="10524" width="10.83203125" style="233" bestFit="1" customWidth="1"/>
    <col min="10525" max="10760" width="8.83203125" style="233"/>
    <col min="10761" max="10761" width="38.27734375" style="233" customWidth="1"/>
    <col min="10762" max="10762" width="23.44140625" style="233" bestFit="1" customWidth="1"/>
    <col min="10763" max="10764" width="9.1640625" style="233" customWidth="1"/>
    <col min="10765" max="10765" width="11.27734375" style="233" bestFit="1" customWidth="1"/>
    <col min="10766" max="10766" width="14.44140625" style="233" bestFit="1" customWidth="1"/>
    <col min="10767" max="10767" width="8.1640625" style="233" customWidth="1"/>
    <col min="10768" max="10768" width="10.83203125" style="233" bestFit="1" customWidth="1"/>
    <col min="10769" max="10769" width="12.27734375" style="233" bestFit="1" customWidth="1"/>
    <col min="10770" max="10770" width="9.1640625" style="233" customWidth="1"/>
    <col min="10771" max="10771" width="10.83203125" style="233" bestFit="1" customWidth="1"/>
    <col min="10772" max="10772" width="12.27734375" style="233" bestFit="1" customWidth="1"/>
    <col min="10773" max="10773" width="8" style="233" customWidth="1"/>
    <col min="10774" max="10774" width="10.83203125" style="233" bestFit="1" customWidth="1"/>
    <col min="10775" max="10775" width="12.27734375" style="233" bestFit="1" customWidth="1"/>
    <col min="10776" max="10776" width="8.1640625" style="233" bestFit="1" customWidth="1"/>
    <col min="10777" max="10777" width="10.83203125" style="233" bestFit="1" customWidth="1"/>
    <col min="10778" max="10778" width="12.27734375" style="233" bestFit="1" customWidth="1"/>
    <col min="10779" max="10779" width="18.27734375" style="233" bestFit="1" customWidth="1"/>
    <col min="10780" max="10780" width="10.83203125" style="233" bestFit="1" customWidth="1"/>
    <col min="10781" max="11016" width="8.83203125" style="233"/>
    <col min="11017" max="11017" width="38.27734375" style="233" customWidth="1"/>
    <col min="11018" max="11018" width="23.44140625" style="233" bestFit="1" customWidth="1"/>
    <col min="11019" max="11020" width="9.1640625" style="233" customWidth="1"/>
    <col min="11021" max="11021" width="11.27734375" style="233" bestFit="1" customWidth="1"/>
    <col min="11022" max="11022" width="14.44140625" style="233" bestFit="1" customWidth="1"/>
    <col min="11023" max="11023" width="8.1640625" style="233" customWidth="1"/>
    <col min="11024" max="11024" width="10.83203125" style="233" bestFit="1" customWidth="1"/>
    <col min="11025" max="11025" width="12.27734375" style="233" bestFit="1" customWidth="1"/>
    <col min="11026" max="11026" width="9.1640625" style="233" customWidth="1"/>
    <col min="11027" max="11027" width="10.83203125" style="233" bestFit="1" customWidth="1"/>
    <col min="11028" max="11028" width="12.27734375" style="233" bestFit="1" customWidth="1"/>
    <col min="11029" max="11029" width="8" style="233" customWidth="1"/>
    <col min="11030" max="11030" width="10.83203125" style="233" bestFit="1" customWidth="1"/>
    <col min="11031" max="11031" width="12.27734375" style="233" bestFit="1" customWidth="1"/>
    <col min="11032" max="11032" width="8.1640625" style="233" bestFit="1" customWidth="1"/>
    <col min="11033" max="11033" width="10.83203125" style="233" bestFit="1" customWidth="1"/>
    <col min="11034" max="11034" width="12.27734375" style="233" bestFit="1" customWidth="1"/>
    <col min="11035" max="11035" width="18.27734375" style="233" bestFit="1" customWidth="1"/>
    <col min="11036" max="11036" width="10.83203125" style="233" bestFit="1" customWidth="1"/>
    <col min="11037" max="11272" width="8.83203125" style="233"/>
    <col min="11273" max="11273" width="38.27734375" style="233" customWidth="1"/>
    <col min="11274" max="11274" width="23.44140625" style="233" bestFit="1" customWidth="1"/>
    <col min="11275" max="11276" width="9.1640625" style="233" customWidth="1"/>
    <col min="11277" max="11277" width="11.27734375" style="233" bestFit="1" customWidth="1"/>
    <col min="11278" max="11278" width="14.44140625" style="233" bestFit="1" customWidth="1"/>
    <col min="11279" max="11279" width="8.1640625" style="233" customWidth="1"/>
    <col min="11280" max="11280" width="10.83203125" style="233" bestFit="1" customWidth="1"/>
    <col min="11281" max="11281" width="12.27734375" style="233" bestFit="1" customWidth="1"/>
    <col min="11282" max="11282" width="9.1640625" style="233" customWidth="1"/>
    <col min="11283" max="11283" width="10.83203125" style="233" bestFit="1" customWidth="1"/>
    <col min="11284" max="11284" width="12.27734375" style="233" bestFit="1" customWidth="1"/>
    <col min="11285" max="11285" width="8" style="233" customWidth="1"/>
    <col min="11286" max="11286" width="10.83203125" style="233" bestFit="1" customWidth="1"/>
    <col min="11287" max="11287" width="12.27734375" style="233" bestFit="1" customWidth="1"/>
    <col min="11288" max="11288" width="8.1640625" style="233" bestFit="1" customWidth="1"/>
    <col min="11289" max="11289" width="10.83203125" style="233" bestFit="1" customWidth="1"/>
    <col min="11290" max="11290" width="12.27734375" style="233" bestFit="1" customWidth="1"/>
    <col min="11291" max="11291" width="18.27734375" style="233" bestFit="1" customWidth="1"/>
    <col min="11292" max="11292" width="10.83203125" style="233" bestFit="1" customWidth="1"/>
    <col min="11293" max="11528" width="8.83203125" style="233"/>
    <col min="11529" max="11529" width="38.27734375" style="233" customWidth="1"/>
    <col min="11530" max="11530" width="23.44140625" style="233" bestFit="1" customWidth="1"/>
    <col min="11531" max="11532" width="9.1640625" style="233" customWidth="1"/>
    <col min="11533" max="11533" width="11.27734375" style="233" bestFit="1" customWidth="1"/>
    <col min="11534" max="11534" width="14.44140625" style="233" bestFit="1" customWidth="1"/>
    <col min="11535" max="11535" width="8.1640625" style="233" customWidth="1"/>
    <col min="11536" max="11536" width="10.83203125" style="233" bestFit="1" customWidth="1"/>
    <col min="11537" max="11537" width="12.27734375" style="233" bestFit="1" customWidth="1"/>
    <col min="11538" max="11538" width="9.1640625" style="233" customWidth="1"/>
    <col min="11539" max="11539" width="10.83203125" style="233" bestFit="1" customWidth="1"/>
    <col min="11540" max="11540" width="12.27734375" style="233" bestFit="1" customWidth="1"/>
    <col min="11541" max="11541" width="8" style="233" customWidth="1"/>
    <col min="11542" max="11542" width="10.83203125" style="233" bestFit="1" customWidth="1"/>
    <col min="11543" max="11543" width="12.27734375" style="233" bestFit="1" customWidth="1"/>
    <col min="11544" max="11544" width="8.1640625" style="233" bestFit="1" customWidth="1"/>
    <col min="11545" max="11545" width="10.83203125" style="233" bestFit="1" customWidth="1"/>
    <col min="11546" max="11546" width="12.27734375" style="233" bestFit="1" customWidth="1"/>
    <col min="11547" max="11547" width="18.27734375" style="233" bestFit="1" customWidth="1"/>
    <col min="11548" max="11548" width="10.83203125" style="233" bestFit="1" customWidth="1"/>
    <col min="11549" max="11784" width="8.83203125" style="233"/>
    <col min="11785" max="11785" width="38.27734375" style="233" customWidth="1"/>
    <col min="11786" max="11786" width="23.44140625" style="233" bestFit="1" customWidth="1"/>
    <col min="11787" max="11788" width="9.1640625" style="233" customWidth="1"/>
    <col min="11789" max="11789" width="11.27734375" style="233" bestFit="1" customWidth="1"/>
    <col min="11790" max="11790" width="14.44140625" style="233" bestFit="1" customWidth="1"/>
    <col min="11791" max="11791" width="8.1640625" style="233" customWidth="1"/>
    <col min="11792" max="11792" width="10.83203125" style="233" bestFit="1" customWidth="1"/>
    <col min="11793" max="11793" width="12.27734375" style="233" bestFit="1" customWidth="1"/>
    <col min="11794" max="11794" width="9.1640625" style="233" customWidth="1"/>
    <col min="11795" max="11795" width="10.83203125" style="233" bestFit="1" customWidth="1"/>
    <col min="11796" max="11796" width="12.27734375" style="233" bestFit="1" customWidth="1"/>
    <col min="11797" max="11797" width="8" style="233" customWidth="1"/>
    <col min="11798" max="11798" width="10.83203125" style="233" bestFit="1" customWidth="1"/>
    <col min="11799" max="11799" width="12.27734375" style="233" bestFit="1" customWidth="1"/>
    <col min="11800" max="11800" width="8.1640625" style="233" bestFit="1" customWidth="1"/>
    <col min="11801" max="11801" width="10.83203125" style="233" bestFit="1" customWidth="1"/>
    <col min="11802" max="11802" width="12.27734375" style="233" bestFit="1" customWidth="1"/>
    <col min="11803" max="11803" width="18.27734375" style="233" bestFit="1" customWidth="1"/>
    <col min="11804" max="11804" width="10.83203125" style="233" bestFit="1" customWidth="1"/>
    <col min="11805" max="12040" width="8.83203125" style="233"/>
    <col min="12041" max="12041" width="38.27734375" style="233" customWidth="1"/>
    <col min="12042" max="12042" width="23.44140625" style="233" bestFit="1" customWidth="1"/>
    <col min="12043" max="12044" width="9.1640625" style="233" customWidth="1"/>
    <col min="12045" max="12045" width="11.27734375" style="233" bestFit="1" customWidth="1"/>
    <col min="12046" max="12046" width="14.44140625" style="233" bestFit="1" customWidth="1"/>
    <col min="12047" max="12047" width="8.1640625" style="233" customWidth="1"/>
    <col min="12048" max="12048" width="10.83203125" style="233" bestFit="1" customWidth="1"/>
    <col min="12049" max="12049" width="12.27734375" style="233" bestFit="1" customWidth="1"/>
    <col min="12050" max="12050" width="9.1640625" style="233" customWidth="1"/>
    <col min="12051" max="12051" width="10.83203125" style="233" bestFit="1" customWidth="1"/>
    <col min="12052" max="12052" width="12.27734375" style="233" bestFit="1" customWidth="1"/>
    <col min="12053" max="12053" width="8" style="233" customWidth="1"/>
    <col min="12054" max="12054" width="10.83203125" style="233" bestFit="1" customWidth="1"/>
    <col min="12055" max="12055" width="12.27734375" style="233" bestFit="1" customWidth="1"/>
    <col min="12056" max="12056" width="8.1640625" style="233" bestFit="1" customWidth="1"/>
    <col min="12057" max="12057" width="10.83203125" style="233" bestFit="1" customWidth="1"/>
    <col min="12058" max="12058" width="12.27734375" style="233" bestFit="1" customWidth="1"/>
    <col min="12059" max="12059" width="18.27734375" style="233" bestFit="1" customWidth="1"/>
    <col min="12060" max="12060" width="10.83203125" style="233" bestFit="1" customWidth="1"/>
    <col min="12061" max="12296" width="8.83203125" style="233"/>
    <col min="12297" max="12297" width="38.27734375" style="233" customWidth="1"/>
    <col min="12298" max="12298" width="23.44140625" style="233" bestFit="1" customWidth="1"/>
    <col min="12299" max="12300" width="9.1640625" style="233" customWidth="1"/>
    <col min="12301" max="12301" width="11.27734375" style="233" bestFit="1" customWidth="1"/>
    <col min="12302" max="12302" width="14.44140625" style="233" bestFit="1" customWidth="1"/>
    <col min="12303" max="12303" width="8.1640625" style="233" customWidth="1"/>
    <col min="12304" max="12304" width="10.83203125" style="233" bestFit="1" customWidth="1"/>
    <col min="12305" max="12305" width="12.27734375" style="233" bestFit="1" customWidth="1"/>
    <col min="12306" max="12306" width="9.1640625" style="233" customWidth="1"/>
    <col min="12307" max="12307" width="10.83203125" style="233" bestFit="1" customWidth="1"/>
    <col min="12308" max="12308" width="12.27734375" style="233" bestFit="1" customWidth="1"/>
    <col min="12309" max="12309" width="8" style="233" customWidth="1"/>
    <col min="12310" max="12310" width="10.83203125" style="233" bestFit="1" customWidth="1"/>
    <col min="12311" max="12311" width="12.27734375" style="233" bestFit="1" customWidth="1"/>
    <col min="12312" max="12312" width="8.1640625" style="233" bestFit="1" customWidth="1"/>
    <col min="12313" max="12313" width="10.83203125" style="233" bestFit="1" customWidth="1"/>
    <col min="12314" max="12314" width="12.27734375" style="233" bestFit="1" customWidth="1"/>
    <col min="12315" max="12315" width="18.27734375" style="233" bestFit="1" customWidth="1"/>
    <col min="12316" max="12316" width="10.83203125" style="233" bestFit="1" customWidth="1"/>
    <col min="12317" max="12552" width="8.83203125" style="233"/>
    <col min="12553" max="12553" width="38.27734375" style="233" customWidth="1"/>
    <col min="12554" max="12554" width="23.44140625" style="233" bestFit="1" customWidth="1"/>
    <col min="12555" max="12556" width="9.1640625" style="233" customWidth="1"/>
    <col min="12557" max="12557" width="11.27734375" style="233" bestFit="1" customWidth="1"/>
    <col min="12558" max="12558" width="14.44140625" style="233" bestFit="1" customWidth="1"/>
    <col min="12559" max="12559" width="8.1640625" style="233" customWidth="1"/>
    <col min="12560" max="12560" width="10.83203125" style="233" bestFit="1" customWidth="1"/>
    <col min="12561" max="12561" width="12.27734375" style="233" bestFit="1" customWidth="1"/>
    <col min="12562" max="12562" width="9.1640625" style="233" customWidth="1"/>
    <col min="12563" max="12563" width="10.83203125" style="233" bestFit="1" customWidth="1"/>
    <col min="12564" max="12564" width="12.27734375" style="233" bestFit="1" customWidth="1"/>
    <col min="12565" max="12565" width="8" style="233" customWidth="1"/>
    <col min="12566" max="12566" width="10.83203125" style="233" bestFit="1" customWidth="1"/>
    <col min="12567" max="12567" width="12.27734375" style="233" bestFit="1" customWidth="1"/>
    <col min="12568" max="12568" width="8.1640625" style="233" bestFit="1" customWidth="1"/>
    <col min="12569" max="12569" width="10.83203125" style="233" bestFit="1" customWidth="1"/>
    <col min="12570" max="12570" width="12.27734375" style="233" bestFit="1" customWidth="1"/>
    <col min="12571" max="12571" width="18.27734375" style="233" bestFit="1" customWidth="1"/>
    <col min="12572" max="12572" width="10.83203125" style="233" bestFit="1" customWidth="1"/>
    <col min="12573" max="12808" width="8.83203125" style="233"/>
    <col min="12809" max="12809" width="38.27734375" style="233" customWidth="1"/>
    <col min="12810" max="12810" width="23.44140625" style="233" bestFit="1" customWidth="1"/>
    <col min="12811" max="12812" width="9.1640625" style="233" customWidth="1"/>
    <col min="12813" max="12813" width="11.27734375" style="233" bestFit="1" customWidth="1"/>
    <col min="12814" max="12814" width="14.44140625" style="233" bestFit="1" customWidth="1"/>
    <col min="12815" max="12815" width="8.1640625" style="233" customWidth="1"/>
    <col min="12816" max="12816" width="10.83203125" style="233" bestFit="1" customWidth="1"/>
    <col min="12817" max="12817" width="12.27734375" style="233" bestFit="1" customWidth="1"/>
    <col min="12818" max="12818" width="9.1640625" style="233" customWidth="1"/>
    <col min="12819" max="12819" width="10.83203125" style="233" bestFit="1" customWidth="1"/>
    <col min="12820" max="12820" width="12.27734375" style="233" bestFit="1" customWidth="1"/>
    <col min="12821" max="12821" width="8" style="233" customWidth="1"/>
    <col min="12822" max="12822" width="10.83203125" style="233" bestFit="1" customWidth="1"/>
    <col min="12823" max="12823" width="12.27734375" style="233" bestFit="1" customWidth="1"/>
    <col min="12824" max="12824" width="8.1640625" style="233" bestFit="1" customWidth="1"/>
    <col min="12825" max="12825" width="10.83203125" style="233" bestFit="1" customWidth="1"/>
    <col min="12826" max="12826" width="12.27734375" style="233" bestFit="1" customWidth="1"/>
    <col min="12827" max="12827" width="18.27734375" style="233" bestFit="1" customWidth="1"/>
    <col min="12828" max="12828" width="10.83203125" style="233" bestFit="1" customWidth="1"/>
    <col min="12829" max="13064" width="8.83203125" style="233"/>
    <col min="13065" max="13065" width="38.27734375" style="233" customWidth="1"/>
    <col min="13066" max="13066" width="23.44140625" style="233" bestFit="1" customWidth="1"/>
    <col min="13067" max="13068" width="9.1640625" style="233" customWidth="1"/>
    <col min="13069" max="13069" width="11.27734375" style="233" bestFit="1" customWidth="1"/>
    <col min="13070" max="13070" width="14.44140625" style="233" bestFit="1" customWidth="1"/>
    <col min="13071" max="13071" width="8.1640625" style="233" customWidth="1"/>
    <col min="13072" max="13072" width="10.83203125" style="233" bestFit="1" customWidth="1"/>
    <col min="13073" max="13073" width="12.27734375" style="233" bestFit="1" customWidth="1"/>
    <col min="13074" max="13074" width="9.1640625" style="233" customWidth="1"/>
    <col min="13075" max="13075" width="10.83203125" style="233" bestFit="1" customWidth="1"/>
    <col min="13076" max="13076" width="12.27734375" style="233" bestFit="1" customWidth="1"/>
    <col min="13077" max="13077" width="8" style="233" customWidth="1"/>
    <col min="13078" max="13078" width="10.83203125" style="233" bestFit="1" customWidth="1"/>
    <col min="13079" max="13079" width="12.27734375" style="233" bestFit="1" customWidth="1"/>
    <col min="13080" max="13080" width="8.1640625" style="233" bestFit="1" customWidth="1"/>
    <col min="13081" max="13081" width="10.83203125" style="233" bestFit="1" customWidth="1"/>
    <col min="13082" max="13082" width="12.27734375" style="233" bestFit="1" customWidth="1"/>
    <col min="13083" max="13083" width="18.27734375" style="233" bestFit="1" customWidth="1"/>
    <col min="13084" max="13084" width="10.83203125" style="233" bestFit="1" customWidth="1"/>
    <col min="13085" max="13320" width="8.83203125" style="233"/>
    <col min="13321" max="13321" width="38.27734375" style="233" customWidth="1"/>
    <col min="13322" max="13322" width="23.44140625" style="233" bestFit="1" customWidth="1"/>
    <col min="13323" max="13324" width="9.1640625" style="233" customWidth="1"/>
    <col min="13325" max="13325" width="11.27734375" style="233" bestFit="1" customWidth="1"/>
    <col min="13326" max="13326" width="14.44140625" style="233" bestFit="1" customWidth="1"/>
    <col min="13327" max="13327" width="8.1640625" style="233" customWidth="1"/>
    <col min="13328" max="13328" width="10.83203125" style="233" bestFit="1" customWidth="1"/>
    <col min="13329" max="13329" width="12.27734375" style="233" bestFit="1" customWidth="1"/>
    <col min="13330" max="13330" width="9.1640625" style="233" customWidth="1"/>
    <col min="13331" max="13331" width="10.83203125" style="233" bestFit="1" customWidth="1"/>
    <col min="13332" max="13332" width="12.27734375" style="233" bestFit="1" customWidth="1"/>
    <col min="13333" max="13333" width="8" style="233" customWidth="1"/>
    <col min="13334" max="13334" width="10.83203125" style="233" bestFit="1" customWidth="1"/>
    <col min="13335" max="13335" width="12.27734375" style="233" bestFit="1" customWidth="1"/>
    <col min="13336" max="13336" width="8.1640625" style="233" bestFit="1" customWidth="1"/>
    <col min="13337" max="13337" width="10.83203125" style="233" bestFit="1" customWidth="1"/>
    <col min="13338" max="13338" width="12.27734375" style="233" bestFit="1" customWidth="1"/>
    <col min="13339" max="13339" width="18.27734375" style="233" bestFit="1" customWidth="1"/>
    <col min="13340" max="13340" width="10.83203125" style="233" bestFit="1" customWidth="1"/>
    <col min="13341" max="13576" width="8.83203125" style="233"/>
    <col min="13577" max="13577" width="38.27734375" style="233" customWidth="1"/>
    <col min="13578" max="13578" width="23.44140625" style="233" bestFit="1" customWidth="1"/>
    <col min="13579" max="13580" width="9.1640625" style="233" customWidth="1"/>
    <col min="13581" max="13581" width="11.27734375" style="233" bestFit="1" customWidth="1"/>
    <col min="13582" max="13582" width="14.44140625" style="233" bestFit="1" customWidth="1"/>
    <col min="13583" max="13583" width="8.1640625" style="233" customWidth="1"/>
    <col min="13584" max="13584" width="10.83203125" style="233" bestFit="1" customWidth="1"/>
    <col min="13585" max="13585" width="12.27734375" style="233" bestFit="1" customWidth="1"/>
    <col min="13586" max="13586" width="9.1640625" style="233" customWidth="1"/>
    <col min="13587" max="13587" width="10.83203125" style="233" bestFit="1" customWidth="1"/>
    <col min="13588" max="13588" width="12.27734375" style="233" bestFit="1" customWidth="1"/>
    <col min="13589" max="13589" width="8" style="233" customWidth="1"/>
    <col min="13590" max="13590" width="10.83203125" style="233" bestFit="1" customWidth="1"/>
    <col min="13591" max="13591" width="12.27734375" style="233" bestFit="1" customWidth="1"/>
    <col min="13592" max="13592" width="8.1640625" style="233" bestFit="1" customWidth="1"/>
    <col min="13593" max="13593" width="10.83203125" style="233" bestFit="1" customWidth="1"/>
    <col min="13594" max="13594" width="12.27734375" style="233" bestFit="1" customWidth="1"/>
    <col min="13595" max="13595" width="18.27734375" style="233" bestFit="1" customWidth="1"/>
    <col min="13596" max="13596" width="10.83203125" style="233" bestFit="1" customWidth="1"/>
    <col min="13597" max="13832" width="8.83203125" style="233"/>
    <col min="13833" max="13833" width="38.27734375" style="233" customWidth="1"/>
    <col min="13834" max="13834" width="23.44140625" style="233" bestFit="1" customWidth="1"/>
    <col min="13835" max="13836" width="9.1640625" style="233" customWidth="1"/>
    <col min="13837" max="13837" width="11.27734375" style="233" bestFit="1" customWidth="1"/>
    <col min="13838" max="13838" width="14.44140625" style="233" bestFit="1" customWidth="1"/>
    <col min="13839" max="13839" width="8.1640625" style="233" customWidth="1"/>
    <col min="13840" max="13840" width="10.83203125" style="233" bestFit="1" customWidth="1"/>
    <col min="13841" max="13841" width="12.27734375" style="233" bestFit="1" customWidth="1"/>
    <col min="13842" max="13842" width="9.1640625" style="233" customWidth="1"/>
    <col min="13843" max="13843" width="10.83203125" style="233" bestFit="1" customWidth="1"/>
    <col min="13844" max="13844" width="12.27734375" style="233" bestFit="1" customWidth="1"/>
    <col min="13845" max="13845" width="8" style="233" customWidth="1"/>
    <col min="13846" max="13846" width="10.83203125" style="233" bestFit="1" customWidth="1"/>
    <col min="13847" max="13847" width="12.27734375" style="233" bestFit="1" customWidth="1"/>
    <col min="13848" max="13848" width="8.1640625" style="233" bestFit="1" customWidth="1"/>
    <col min="13849" max="13849" width="10.83203125" style="233" bestFit="1" customWidth="1"/>
    <col min="13850" max="13850" width="12.27734375" style="233" bestFit="1" customWidth="1"/>
    <col min="13851" max="13851" width="18.27734375" style="233" bestFit="1" customWidth="1"/>
    <col min="13852" max="13852" width="10.83203125" style="233" bestFit="1" customWidth="1"/>
    <col min="13853" max="14088" width="8.83203125" style="233"/>
    <col min="14089" max="14089" width="38.27734375" style="233" customWidth="1"/>
    <col min="14090" max="14090" width="23.44140625" style="233" bestFit="1" customWidth="1"/>
    <col min="14091" max="14092" width="9.1640625" style="233" customWidth="1"/>
    <col min="14093" max="14093" width="11.27734375" style="233" bestFit="1" customWidth="1"/>
    <col min="14094" max="14094" width="14.44140625" style="233" bestFit="1" customWidth="1"/>
    <col min="14095" max="14095" width="8.1640625" style="233" customWidth="1"/>
    <col min="14096" max="14096" width="10.83203125" style="233" bestFit="1" customWidth="1"/>
    <col min="14097" max="14097" width="12.27734375" style="233" bestFit="1" customWidth="1"/>
    <col min="14098" max="14098" width="9.1640625" style="233" customWidth="1"/>
    <col min="14099" max="14099" width="10.83203125" style="233" bestFit="1" customWidth="1"/>
    <col min="14100" max="14100" width="12.27734375" style="233" bestFit="1" customWidth="1"/>
    <col min="14101" max="14101" width="8" style="233" customWidth="1"/>
    <col min="14102" max="14102" width="10.83203125" style="233" bestFit="1" customWidth="1"/>
    <col min="14103" max="14103" width="12.27734375" style="233" bestFit="1" customWidth="1"/>
    <col min="14104" max="14104" width="8.1640625" style="233" bestFit="1" customWidth="1"/>
    <col min="14105" max="14105" width="10.83203125" style="233" bestFit="1" customWidth="1"/>
    <col min="14106" max="14106" width="12.27734375" style="233" bestFit="1" customWidth="1"/>
    <col min="14107" max="14107" width="18.27734375" style="233" bestFit="1" customWidth="1"/>
    <col min="14108" max="14108" width="10.83203125" style="233" bestFit="1" customWidth="1"/>
    <col min="14109" max="14344" width="8.83203125" style="233"/>
    <col min="14345" max="14345" width="38.27734375" style="233" customWidth="1"/>
    <col min="14346" max="14346" width="23.44140625" style="233" bestFit="1" customWidth="1"/>
    <col min="14347" max="14348" width="9.1640625" style="233" customWidth="1"/>
    <col min="14349" max="14349" width="11.27734375" style="233" bestFit="1" customWidth="1"/>
    <col min="14350" max="14350" width="14.44140625" style="233" bestFit="1" customWidth="1"/>
    <col min="14351" max="14351" width="8.1640625" style="233" customWidth="1"/>
    <col min="14352" max="14352" width="10.83203125" style="233" bestFit="1" customWidth="1"/>
    <col min="14353" max="14353" width="12.27734375" style="233" bestFit="1" customWidth="1"/>
    <col min="14354" max="14354" width="9.1640625" style="233" customWidth="1"/>
    <col min="14355" max="14355" width="10.83203125" style="233" bestFit="1" customWidth="1"/>
    <col min="14356" max="14356" width="12.27734375" style="233" bestFit="1" customWidth="1"/>
    <col min="14357" max="14357" width="8" style="233" customWidth="1"/>
    <col min="14358" max="14358" width="10.83203125" style="233" bestFit="1" customWidth="1"/>
    <col min="14359" max="14359" width="12.27734375" style="233" bestFit="1" customWidth="1"/>
    <col min="14360" max="14360" width="8.1640625" style="233" bestFit="1" customWidth="1"/>
    <col min="14361" max="14361" width="10.83203125" style="233" bestFit="1" customWidth="1"/>
    <col min="14362" max="14362" width="12.27734375" style="233" bestFit="1" customWidth="1"/>
    <col min="14363" max="14363" width="18.27734375" style="233" bestFit="1" customWidth="1"/>
    <col min="14364" max="14364" width="10.83203125" style="233" bestFit="1" customWidth="1"/>
    <col min="14365" max="14600" width="8.83203125" style="233"/>
    <col min="14601" max="14601" width="38.27734375" style="233" customWidth="1"/>
    <col min="14602" max="14602" width="23.44140625" style="233" bestFit="1" customWidth="1"/>
    <col min="14603" max="14604" width="9.1640625" style="233" customWidth="1"/>
    <col min="14605" max="14605" width="11.27734375" style="233" bestFit="1" customWidth="1"/>
    <col min="14606" max="14606" width="14.44140625" style="233" bestFit="1" customWidth="1"/>
    <col min="14607" max="14607" width="8.1640625" style="233" customWidth="1"/>
    <col min="14608" max="14608" width="10.83203125" style="233" bestFit="1" customWidth="1"/>
    <col min="14609" max="14609" width="12.27734375" style="233" bestFit="1" customWidth="1"/>
    <col min="14610" max="14610" width="9.1640625" style="233" customWidth="1"/>
    <col min="14611" max="14611" width="10.83203125" style="233" bestFit="1" customWidth="1"/>
    <col min="14612" max="14612" width="12.27734375" style="233" bestFit="1" customWidth="1"/>
    <col min="14613" max="14613" width="8" style="233" customWidth="1"/>
    <col min="14614" max="14614" width="10.83203125" style="233" bestFit="1" customWidth="1"/>
    <col min="14615" max="14615" width="12.27734375" style="233" bestFit="1" customWidth="1"/>
    <col min="14616" max="14616" width="8.1640625" style="233" bestFit="1" customWidth="1"/>
    <col min="14617" max="14617" width="10.83203125" style="233" bestFit="1" customWidth="1"/>
    <col min="14618" max="14618" width="12.27734375" style="233" bestFit="1" customWidth="1"/>
    <col min="14619" max="14619" width="18.27734375" style="233" bestFit="1" customWidth="1"/>
    <col min="14620" max="14620" width="10.83203125" style="233" bestFit="1" customWidth="1"/>
    <col min="14621" max="14856" width="8.83203125" style="233"/>
    <col min="14857" max="14857" width="38.27734375" style="233" customWidth="1"/>
    <col min="14858" max="14858" width="23.44140625" style="233" bestFit="1" customWidth="1"/>
    <col min="14859" max="14860" width="9.1640625" style="233" customWidth="1"/>
    <col min="14861" max="14861" width="11.27734375" style="233" bestFit="1" customWidth="1"/>
    <col min="14862" max="14862" width="14.44140625" style="233" bestFit="1" customWidth="1"/>
    <col min="14863" max="14863" width="8.1640625" style="233" customWidth="1"/>
    <col min="14864" max="14864" width="10.83203125" style="233" bestFit="1" customWidth="1"/>
    <col min="14865" max="14865" width="12.27734375" style="233" bestFit="1" customWidth="1"/>
    <col min="14866" max="14866" width="9.1640625" style="233" customWidth="1"/>
    <col min="14867" max="14867" width="10.83203125" style="233" bestFit="1" customWidth="1"/>
    <col min="14868" max="14868" width="12.27734375" style="233" bestFit="1" customWidth="1"/>
    <col min="14869" max="14869" width="8" style="233" customWidth="1"/>
    <col min="14870" max="14870" width="10.83203125" style="233" bestFit="1" customWidth="1"/>
    <col min="14871" max="14871" width="12.27734375" style="233" bestFit="1" customWidth="1"/>
    <col min="14872" max="14872" width="8.1640625" style="233" bestFit="1" customWidth="1"/>
    <col min="14873" max="14873" width="10.83203125" style="233" bestFit="1" customWidth="1"/>
    <col min="14874" max="14874" width="12.27734375" style="233" bestFit="1" customWidth="1"/>
    <col min="14875" max="14875" width="18.27734375" style="233" bestFit="1" customWidth="1"/>
    <col min="14876" max="14876" width="10.83203125" style="233" bestFit="1" customWidth="1"/>
    <col min="14877" max="15112" width="8.83203125" style="233"/>
    <col min="15113" max="15113" width="38.27734375" style="233" customWidth="1"/>
    <col min="15114" max="15114" width="23.44140625" style="233" bestFit="1" customWidth="1"/>
    <col min="15115" max="15116" width="9.1640625" style="233" customWidth="1"/>
    <col min="15117" max="15117" width="11.27734375" style="233" bestFit="1" customWidth="1"/>
    <col min="15118" max="15118" width="14.44140625" style="233" bestFit="1" customWidth="1"/>
    <col min="15119" max="15119" width="8.1640625" style="233" customWidth="1"/>
    <col min="15120" max="15120" width="10.83203125" style="233" bestFit="1" customWidth="1"/>
    <col min="15121" max="15121" width="12.27734375" style="233" bestFit="1" customWidth="1"/>
    <col min="15122" max="15122" width="9.1640625" style="233" customWidth="1"/>
    <col min="15123" max="15123" width="10.83203125" style="233" bestFit="1" customWidth="1"/>
    <col min="15124" max="15124" width="12.27734375" style="233" bestFit="1" customWidth="1"/>
    <col min="15125" max="15125" width="8" style="233" customWidth="1"/>
    <col min="15126" max="15126" width="10.83203125" style="233" bestFit="1" customWidth="1"/>
    <col min="15127" max="15127" width="12.27734375" style="233" bestFit="1" customWidth="1"/>
    <col min="15128" max="15128" width="8.1640625" style="233" bestFit="1" customWidth="1"/>
    <col min="15129" max="15129" width="10.83203125" style="233" bestFit="1" customWidth="1"/>
    <col min="15130" max="15130" width="12.27734375" style="233" bestFit="1" customWidth="1"/>
    <col min="15131" max="15131" width="18.27734375" style="233" bestFit="1" customWidth="1"/>
    <col min="15132" max="15132" width="10.83203125" style="233" bestFit="1" customWidth="1"/>
    <col min="15133" max="15368" width="8.83203125" style="233"/>
    <col min="15369" max="15369" width="38.27734375" style="233" customWidth="1"/>
    <col min="15370" max="15370" width="23.44140625" style="233" bestFit="1" customWidth="1"/>
    <col min="15371" max="15372" width="9.1640625" style="233" customWidth="1"/>
    <col min="15373" max="15373" width="11.27734375" style="233" bestFit="1" customWidth="1"/>
    <col min="15374" max="15374" width="14.44140625" style="233" bestFit="1" customWidth="1"/>
    <col min="15375" max="15375" width="8.1640625" style="233" customWidth="1"/>
    <col min="15376" max="15376" width="10.83203125" style="233" bestFit="1" customWidth="1"/>
    <col min="15377" max="15377" width="12.27734375" style="233" bestFit="1" customWidth="1"/>
    <col min="15378" max="15378" width="9.1640625" style="233" customWidth="1"/>
    <col min="15379" max="15379" width="10.83203125" style="233" bestFit="1" customWidth="1"/>
    <col min="15380" max="15380" width="12.27734375" style="233" bestFit="1" customWidth="1"/>
    <col min="15381" max="15381" width="8" style="233" customWidth="1"/>
    <col min="15382" max="15382" width="10.83203125" style="233" bestFit="1" customWidth="1"/>
    <col min="15383" max="15383" width="12.27734375" style="233" bestFit="1" customWidth="1"/>
    <col min="15384" max="15384" width="8.1640625" style="233" bestFit="1" customWidth="1"/>
    <col min="15385" max="15385" width="10.83203125" style="233" bestFit="1" customWidth="1"/>
    <col min="15386" max="15386" width="12.27734375" style="233" bestFit="1" customWidth="1"/>
    <col min="15387" max="15387" width="18.27734375" style="233" bestFit="1" customWidth="1"/>
    <col min="15388" max="15388" width="10.83203125" style="233" bestFit="1" customWidth="1"/>
    <col min="15389" max="15624" width="8.83203125" style="233"/>
    <col min="15625" max="15625" width="38.27734375" style="233" customWidth="1"/>
    <col min="15626" max="15626" width="23.44140625" style="233" bestFit="1" customWidth="1"/>
    <col min="15627" max="15628" width="9.1640625" style="233" customWidth="1"/>
    <col min="15629" max="15629" width="11.27734375" style="233" bestFit="1" customWidth="1"/>
    <col min="15630" max="15630" width="14.44140625" style="233" bestFit="1" customWidth="1"/>
    <col min="15631" max="15631" width="8.1640625" style="233" customWidth="1"/>
    <col min="15632" max="15632" width="10.83203125" style="233" bestFit="1" customWidth="1"/>
    <col min="15633" max="15633" width="12.27734375" style="233" bestFit="1" customWidth="1"/>
    <col min="15634" max="15634" width="9.1640625" style="233" customWidth="1"/>
    <col min="15635" max="15635" width="10.83203125" style="233" bestFit="1" customWidth="1"/>
    <col min="15636" max="15636" width="12.27734375" style="233" bestFit="1" customWidth="1"/>
    <col min="15637" max="15637" width="8" style="233" customWidth="1"/>
    <col min="15638" max="15638" width="10.83203125" style="233" bestFit="1" customWidth="1"/>
    <col min="15639" max="15639" width="12.27734375" style="233" bestFit="1" customWidth="1"/>
    <col min="15640" max="15640" width="8.1640625" style="233" bestFit="1" customWidth="1"/>
    <col min="15641" max="15641" width="10.83203125" style="233" bestFit="1" customWidth="1"/>
    <col min="15642" max="15642" width="12.27734375" style="233" bestFit="1" customWidth="1"/>
    <col min="15643" max="15643" width="18.27734375" style="233" bestFit="1" customWidth="1"/>
    <col min="15644" max="15644" width="10.83203125" style="233" bestFit="1" customWidth="1"/>
    <col min="15645" max="15880" width="8.83203125" style="233"/>
    <col min="15881" max="15881" width="38.27734375" style="233" customWidth="1"/>
    <col min="15882" max="15882" width="23.44140625" style="233" bestFit="1" customWidth="1"/>
    <col min="15883" max="15884" width="9.1640625" style="233" customWidth="1"/>
    <col min="15885" max="15885" width="11.27734375" style="233" bestFit="1" customWidth="1"/>
    <col min="15886" max="15886" width="14.44140625" style="233" bestFit="1" customWidth="1"/>
    <col min="15887" max="15887" width="8.1640625" style="233" customWidth="1"/>
    <col min="15888" max="15888" width="10.83203125" style="233" bestFit="1" customWidth="1"/>
    <col min="15889" max="15889" width="12.27734375" style="233" bestFit="1" customWidth="1"/>
    <col min="15890" max="15890" width="9.1640625" style="233" customWidth="1"/>
    <col min="15891" max="15891" width="10.83203125" style="233" bestFit="1" customWidth="1"/>
    <col min="15892" max="15892" width="12.27734375" style="233" bestFit="1" customWidth="1"/>
    <col min="15893" max="15893" width="8" style="233" customWidth="1"/>
    <col min="15894" max="15894" width="10.83203125" style="233" bestFit="1" customWidth="1"/>
    <col min="15895" max="15895" width="12.27734375" style="233" bestFit="1" customWidth="1"/>
    <col min="15896" max="15896" width="8.1640625" style="233" bestFit="1" customWidth="1"/>
    <col min="15897" max="15897" width="10.83203125" style="233" bestFit="1" customWidth="1"/>
    <col min="15898" max="15898" width="12.27734375" style="233" bestFit="1" customWidth="1"/>
    <col min="15899" max="15899" width="18.27734375" style="233" bestFit="1" customWidth="1"/>
    <col min="15900" max="15900" width="10.83203125" style="233" bestFit="1" customWidth="1"/>
    <col min="15901" max="16136" width="8.83203125" style="233"/>
    <col min="16137" max="16137" width="38.27734375" style="233" customWidth="1"/>
    <col min="16138" max="16138" width="23.44140625" style="233" bestFit="1" customWidth="1"/>
    <col min="16139" max="16140" width="9.1640625" style="233" customWidth="1"/>
    <col min="16141" max="16141" width="11.27734375" style="233" bestFit="1" customWidth="1"/>
    <col min="16142" max="16142" width="14.44140625" style="233" bestFit="1" customWidth="1"/>
    <col min="16143" max="16143" width="8.1640625" style="233" customWidth="1"/>
    <col min="16144" max="16144" width="10.83203125" style="233" bestFit="1" customWidth="1"/>
    <col min="16145" max="16145" width="12.27734375" style="233" bestFit="1" customWidth="1"/>
    <col min="16146" max="16146" width="9.1640625" style="233" customWidth="1"/>
    <col min="16147" max="16147" width="10.83203125" style="233" bestFit="1" customWidth="1"/>
    <col min="16148" max="16148" width="12.27734375" style="233" bestFit="1" customWidth="1"/>
    <col min="16149" max="16149" width="8" style="233" customWidth="1"/>
    <col min="16150" max="16150" width="10.83203125" style="233" bestFit="1" customWidth="1"/>
    <col min="16151" max="16151" width="12.27734375" style="233" bestFit="1" customWidth="1"/>
    <col min="16152" max="16152" width="8.1640625" style="233" bestFit="1" customWidth="1"/>
    <col min="16153" max="16153" width="10.83203125" style="233" bestFit="1" customWidth="1"/>
    <col min="16154" max="16154" width="12.27734375" style="233" bestFit="1" customWidth="1"/>
    <col min="16155" max="16155" width="18.27734375" style="233" bestFit="1" customWidth="1"/>
    <col min="16156" max="16156" width="10.83203125" style="233" bestFit="1" customWidth="1"/>
    <col min="16157" max="16384" width="8.83203125" style="233"/>
  </cols>
  <sheetData>
    <row r="1" spans="1:36" ht="14.7" thickBot="1"/>
    <row r="2" spans="1:36" ht="23.5" customHeight="1">
      <c r="A2" s="595" t="s">
        <v>63</v>
      </c>
      <c r="B2" s="591" t="s">
        <v>64</v>
      </c>
      <c r="C2" s="584" t="s">
        <v>65</v>
      </c>
      <c r="D2" s="585"/>
      <c r="E2" s="585"/>
      <c r="F2" s="586"/>
      <c r="G2" s="584" t="s">
        <v>66</v>
      </c>
      <c r="H2" s="585"/>
      <c r="I2" s="585"/>
      <c r="J2" s="586"/>
      <c r="K2" s="584" t="s">
        <v>67</v>
      </c>
      <c r="L2" s="585"/>
      <c r="M2" s="585"/>
      <c r="N2" s="586"/>
      <c r="O2" s="584" t="s">
        <v>68</v>
      </c>
      <c r="P2" s="585"/>
      <c r="Q2" s="585"/>
      <c r="R2" s="586"/>
      <c r="S2" s="584" t="s">
        <v>69</v>
      </c>
      <c r="T2" s="585"/>
      <c r="U2" s="585"/>
      <c r="V2" s="586"/>
      <c r="W2" s="587" t="s">
        <v>70</v>
      </c>
      <c r="AE2" s="239"/>
    </row>
    <row r="3" spans="1:36" ht="47.65" customHeight="1">
      <c r="A3" s="596"/>
      <c r="B3" s="592"/>
      <c r="C3" s="240" t="s">
        <v>71</v>
      </c>
      <c r="D3" s="241" t="s">
        <v>72</v>
      </c>
      <c r="E3" s="242" t="s">
        <v>73</v>
      </c>
      <c r="F3" s="243" t="s">
        <v>70</v>
      </c>
      <c r="G3" s="240" t="s">
        <v>71</v>
      </c>
      <c r="H3" s="241" t="s">
        <v>72</v>
      </c>
      <c r="I3" s="244" t="s">
        <v>73</v>
      </c>
      <c r="J3" s="245" t="s">
        <v>70</v>
      </c>
      <c r="K3" s="240" t="s">
        <v>71</v>
      </c>
      <c r="L3" s="241" t="s">
        <v>72</v>
      </c>
      <c r="M3" s="242" t="s">
        <v>73</v>
      </c>
      <c r="N3" s="245" t="s">
        <v>70</v>
      </c>
      <c r="O3" s="240" t="s">
        <v>71</v>
      </c>
      <c r="P3" s="241" t="s">
        <v>72</v>
      </c>
      <c r="Q3" s="244" t="s">
        <v>73</v>
      </c>
      <c r="R3" s="245" t="s">
        <v>70</v>
      </c>
      <c r="S3" s="240" t="s">
        <v>71</v>
      </c>
      <c r="T3" s="241" t="s">
        <v>72</v>
      </c>
      <c r="U3" s="244" t="s">
        <v>73</v>
      </c>
      <c r="V3" s="245" t="s">
        <v>70</v>
      </c>
      <c r="W3" s="588"/>
      <c r="AE3" s="239"/>
      <c r="AF3" s="233" t="s">
        <v>113</v>
      </c>
    </row>
    <row r="4" spans="1:36" ht="20.399999999999999">
      <c r="A4" s="402" t="s">
        <v>74</v>
      </c>
      <c r="B4" s="246"/>
      <c r="C4" s="247"/>
      <c r="D4" s="248"/>
      <c r="E4" s="249"/>
      <c r="F4" s="250"/>
      <c r="G4" s="247"/>
      <c r="H4" s="248"/>
      <c r="I4" s="251"/>
      <c r="J4" s="252"/>
      <c r="K4" s="247"/>
      <c r="L4" s="248"/>
      <c r="M4" s="249"/>
      <c r="N4" s="252"/>
      <c r="O4" s="253"/>
      <c r="P4" s="248"/>
      <c r="Q4" s="251"/>
      <c r="R4" s="252"/>
      <c r="S4" s="253"/>
      <c r="T4" s="248"/>
      <c r="U4" s="251"/>
      <c r="V4" s="254"/>
      <c r="W4" s="252"/>
      <c r="AE4" s="255" t="s">
        <v>114</v>
      </c>
      <c r="AF4" s="255" t="s">
        <v>115</v>
      </c>
      <c r="AG4" s="255" t="s">
        <v>116</v>
      </c>
    </row>
    <row r="5" spans="1:36" s="266" customFormat="1" ht="15" customHeight="1" outlineLevel="1">
      <c r="A5" s="256" t="s">
        <v>48</v>
      </c>
      <c r="B5" s="257"/>
      <c r="C5" s="258"/>
      <c r="D5" s="259"/>
      <c r="E5" s="260"/>
      <c r="F5" s="261"/>
      <c r="G5" s="258"/>
      <c r="H5" s="259"/>
      <c r="I5" s="262"/>
      <c r="J5" s="263"/>
      <c r="K5" s="258"/>
      <c r="L5" s="259"/>
      <c r="M5" s="260"/>
      <c r="N5" s="263"/>
      <c r="O5" s="258"/>
      <c r="P5" s="259"/>
      <c r="Q5" s="262"/>
      <c r="R5" s="263"/>
      <c r="S5" s="258"/>
      <c r="T5" s="259"/>
      <c r="U5" s="262"/>
      <c r="V5" s="263"/>
      <c r="W5" s="264"/>
      <c r="X5" s="265"/>
      <c r="Y5" s="233"/>
      <c r="Z5" s="233"/>
      <c r="AA5" s="233"/>
      <c r="AB5" s="233"/>
      <c r="AC5" s="233"/>
      <c r="AD5" s="233"/>
      <c r="AE5" s="239"/>
    </row>
    <row r="6" spans="1:36" s="266" customFormat="1" ht="15.6" outlineLevel="1">
      <c r="A6" s="267" t="s">
        <v>75</v>
      </c>
      <c r="B6" s="268"/>
      <c r="C6" s="258"/>
      <c r="D6" s="259"/>
      <c r="E6" s="260"/>
      <c r="F6" s="261"/>
      <c r="G6" s="258"/>
      <c r="H6" s="259"/>
      <c r="I6" s="262"/>
      <c r="J6" s="263"/>
      <c r="K6" s="258"/>
      <c r="L6" s="259"/>
      <c r="M6" s="260"/>
      <c r="N6" s="263"/>
      <c r="O6" s="258"/>
      <c r="P6" s="259"/>
      <c r="Q6" s="262"/>
      <c r="R6" s="263"/>
      <c r="S6" s="258"/>
      <c r="T6" s="259"/>
      <c r="U6" s="262"/>
      <c r="V6" s="263"/>
      <c r="W6" s="410"/>
      <c r="X6" s="269"/>
      <c r="Y6" s="233"/>
      <c r="Z6" s="233"/>
      <c r="AA6" s="233"/>
      <c r="AB6" s="233"/>
      <c r="AC6" s="233"/>
      <c r="AD6" s="233"/>
      <c r="AE6" s="239"/>
    </row>
    <row r="7" spans="1:36" ht="15" customHeight="1" outlineLevel="1">
      <c r="A7" s="270" t="str">
        <f>'Program Budget'!D12</f>
        <v xml:space="preserve">Key Personnel: Ex-pat Chief of Party </v>
      </c>
      <c r="B7" s="271" t="str">
        <f>'Program Budget'!F13</f>
        <v>Month</v>
      </c>
      <c r="C7" s="272">
        <f>'Program Budget'!H12</f>
        <v>12083.333333333334</v>
      </c>
      <c r="D7" s="273">
        <f>'Program Budget'!G12</f>
        <v>12</v>
      </c>
      <c r="E7" s="274">
        <f>'Program Budget'!E331</f>
        <v>0.2</v>
      </c>
      <c r="F7" s="275">
        <f>C7*D7*E7</f>
        <v>29000</v>
      </c>
      <c r="G7" s="272">
        <f>C7*1.04</f>
        <v>12566.666666666668</v>
      </c>
      <c r="H7" s="273">
        <f>'Program Budget'!K12</f>
        <v>12</v>
      </c>
      <c r="I7" s="276">
        <f>'Program Budget'!J331</f>
        <v>0.25</v>
      </c>
      <c r="J7" s="275">
        <f>G7*H7*I7</f>
        <v>37700</v>
      </c>
      <c r="K7" s="272">
        <f>G7*1.04</f>
        <v>13069.333333333336</v>
      </c>
      <c r="L7" s="273">
        <f>'Program Budget'!N12</f>
        <v>12</v>
      </c>
      <c r="M7" s="276">
        <f>'Program Budget'!M331</f>
        <v>0.25</v>
      </c>
      <c r="N7" s="275">
        <f>K7*L7*M7</f>
        <v>39208.000000000007</v>
      </c>
      <c r="O7" s="272">
        <f>K7*1.04</f>
        <v>13592.10666666667</v>
      </c>
      <c r="P7" s="273">
        <f>'Program Budget'!Q12</f>
        <v>12</v>
      </c>
      <c r="Q7" s="276">
        <f>'Program Budget'!P331</f>
        <v>0.25</v>
      </c>
      <c r="R7" s="275">
        <f>O7*P7*Q7</f>
        <v>40776.320000000007</v>
      </c>
      <c r="S7" s="272">
        <f>O7*1.04</f>
        <v>14135.790933333337</v>
      </c>
      <c r="T7" s="273">
        <f>'Program Budget'!T12</f>
        <v>12</v>
      </c>
      <c r="U7" s="276">
        <f>'Program Budget'!S331</f>
        <v>0.25</v>
      </c>
      <c r="V7" s="275">
        <f>S7*T7*U7</f>
        <v>42407.372800000012</v>
      </c>
      <c r="W7" s="413">
        <f>F7+J7+N7+R7+V7</f>
        <v>189091.69280000002</v>
      </c>
      <c r="X7" s="278"/>
      <c r="Y7" s="265"/>
      <c r="Z7" s="279"/>
      <c r="AA7" s="279"/>
      <c r="AE7" s="239">
        <v>180</v>
      </c>
      <c r="AF7" s="280" t="s">
        <v>117</v>
      </c>
      <c r="AG7" s="280" t="s">
        <v>118</v>
      </c>
      <c r="AH7" s="281"/>
      <c r="AJ7" s="282"/>
    </row>
    <row r="8" spans="1:36" ht="15" customHeight="1" outlineLevel="1">
      <c r="A8" s="285" t="s">
        <v>76</v>
      </c>
      <c r="B8" s="286"/>
      <c r="C8" s="287"/>
      <c r="D8" s="288"/>
      <c r="E8" s="289"/>
      <c r="F8" s="290">
        <f>SUM(F7:F7)</f>
        <v>29000</v>
      </c>
      <c r="G8" s="287"/>
      <c r="H8" s="288"/>
      <c r="I8" s="291"/>
      <c r="J8" s="290">
        <f>SUM(J7:J7)</f>
        <v>37700</v>
      </c>
      <c r="K8" s="287"/>
      <c r="L8" s="288"/>
      <c r="M8" s="289"/>
      <c r="N8" s="290">
        <f>SUM(N7:N7)</f>
        <v>39208.000000000007</v>
      </c>
      <c r="O8" s="287"/>
      <c r="P8" s="288"/>
      <c r="Q8" s="291"/>
      <c r="R8" s="290">
        <f>SUM(R7:R7)</f>
        <v>40776.320000000007</v>
      </c>
      <c r="S8" s="287"/>
      <c r="T8" s="288"/>
      <c r="U8" s="291"/>
      <c r="V8" s="290">
        <f>SUM(V7:V7)</f>
        <v>42407.372800000012</v>
      </c>
      <c r="W8" s="412">
        <f>+F8+J8+N8+R8+V8</f>
        <v>189091.69280000002</v>
      </c>
      <c r="AE8" s="239"/>
      <c r="AF8" s="280"/>
      <c r="AG8" s="280" t="s">
        <v>119</v>
      </c>
    </row>
    <row r="9" spans="1:36" ht="15" customHeight="1" outlineLevel="1">
      <c r="A9" s="267" t="s">
        <v>83</v>
      </c>
      <c r="B9" s="293"/>
      <c r="C9" s="294"/>
      <c r="D9" s="295"/>
      <c r="E9" s="296"/>
      <c r="F9" s="275"/>
      <c r="G9" s="294"/>
      <c r="H9" s="295"/>
      <c r="I9" s="297"/>
      <c r="J9" s="277"/>
      <c r="K9" s="294"/>
      <c r="L9" s="295"/>
      <c r="M9" s="296"/>
      <c r="N9" s="277"/>
      <c r="O9" s="294"/>
      <c r="P9" s="295"/>
      <c r="Q9" s="297"/>
      <c r="R9" s="277"/>
      <c r="S9" s="294"/>
      <c r="T9" s="295"/>
      <c r="U9" s="297"/>
      <c r="V9" s="277"/>
      <c r="W9" s="429"/>
      <c r="X9" s="269"/>
      <c r="AE9" s="239"/>
      <c r="AF9" s="280"/>
      <c r="AG9" s="280" t="s">
        <v>119</v>
      </c>
      <c r="AJ9" s="282"/>
    </row>
    <row r="10" spans="1:36" ht="15" customHeight="1" outlineLevel="1">
      <c r="A10" s="270" t="str">
        <f>'Program Budget'!D13</f>
        <v>Deputy Chief of Party</v>
      </c>
      <c r="B10" s="271" t="str">
        <f>'Program Budget'!F12</f>
        <v>Month</v>
      </c>
      <c r="C10" s="272">
        <f>'Program Budget'!H13</f>
        <v>7500</v>
      </c>
      <c r="D10" s="273">
        <f>'Program Budget'!G13</f>
        <v>6</v>
      </c>
      <c r="E10" s="274">
        <f>'Program Budget'!E332</f>
        <v>0.5</v>
      </c>
      <c r="F10" s="275">
        <f>C10*D10*E10</f>
        <v>22500</v>
      </c>
      <c r="G10" s="272">
        <f>C10*1.04</f>
        <v>7800</v>
      </c>
      <c r="H10" s="273">
        <f>'Program Budget'!K13</f>
        <v>12</v>
      </c>
      <c r="I10" s="276">
        <f>'Program Budget'!J332</f>
        <v>0.7</v>
      </c>
      <c r="J10" s="275">
        <f>G10*H10*I10</f>
        <v>65519.999999999993</v>
      </c>
      <c r="K10" s="272">
        <f>G10*1.04</f>
        <v>8112</v>
      </c>
      <c r="L10" s="273">
        <f>'Program Budget'!N13</f>
        <v>12</v>
      </c>
      <c r="M10" s="276">
        <f>'Program Budget'!M332</f>
        <v>0.7</v>
      </c>
      <c r="N10" s="275">
        <f>K10*L10*M10</f>
        <v>68140.800000000003</v>
      </c>
      <c r="O10" s="272">
        <f>K10*1.04</f>
        <v>8436.48</v>
      </c>
      <c r="P10" s="273">
        <f>'Program Budget'!Q13</f>
        <v>12</v>
      </c>
      <c r="Q10" s="276">
        <f>'Program Budget'!P332</f>
        <v>0.7</v>
      </c>
      <c r="R10" s="275">
        <f>O10*P10*Q10</f>
        <v>70866.431999999986</v>
      </c>
      <c r="S10" s="272">
        <f>O10*1.04</f>
        <v>8773.9392000000007</v>
      </c>
      <c r="T10" s="273">
        <f>'Program Budget'!T13</f>
        <v>6</v>
      </c>
      <c r="U10" s="276">
        <f>'Program Budget'!S332</f>
        <v>0.7</v>
      </c>
      <c r="V10" s="275">
        <f>S10*T10*U10</f>
        <v>36850.54464</v>
      </c>
      <c r="W10" s="411">
        <f>F10+J10+N10+R10+V10</f>
        <v>263877.77663999994</v>
      </c>
      <c r="X10" s="278"/>
      <c r="Y10" s="265"/>
      <c r="Z10" s="279"/>
      <c r="AA10" s="279"/>
      <c r="AE10" s="239">
        <v>180</v>
      </c>
      <c r="AF10" s="280" t="s">
        <v>117</v>
      </c>
      <c r="AG10" s="280" t="s">
        <v>118</v>
      </c>
      <c r="AH10" s="281"/>
      <c r="AJ10" s="282"/>
    </row>
    <row r="11" spans="1:36" ht="15" customHeight="1" outlineLevel="1">
      <c r="A11" s="270" t="str">
        <f>'Program Budget'!D333</f>
        <v>Technical Lead Component 1</v>
      </c>
      <c r="B11" s="271" t="str">
        <f>'Program Budget'!F333</f>
        <v>Month</v>
      </c>
      <c r="C11" s="272">
        <f>'Program Budget'!H333</f>
        <v>3333.3333333333335</v>
      </c>
      <c r="D11" s="273">
        <f>'Program Budget'!G333</f>
        <v>6</v>
      </c>
      <c r="E11" s="274">
        <f>'Program Budget'!E333</f>
        <v>0</v>
      </c>
      <c r="F11" s="275">
        <f t="shared" ref="F11:F26" si="0">C11*D11*E11</f>
        <v>0</v>
      </c>
      <c r="G11" s="272">
        <f t="shared" ref="G11:G26" si="1">C11*1.04</f>
        <v>3466.666666666667</v>
      </c>
      <c r="H11" s="273">
        <f>'Program Budget'!K333</f>
        <v>12</v>
      </c>
      <c r="I11" s="276">
        <f>'Program Budget'!J333</f>
        <v>0</v>
      </c>
      <c r="J11" s="275">
        <f t="shared" ref="J11:J26" si="2">G11*H11*I11</f>
        <v>0</v>
      </c>
      <c r="K11" s="272">
        <f t="shared" ref="K11:K26" si="3">G11*1.04</f>
        <v>3605.3333333333339</v>
      </c>
      <c r="L11" s="273">
        <f>'Program Budget'!N333</f>
        <v>12</v>
      </c>
      <c r="M11" s="276">
        <f>'Program Budget'!M333</f>
        <v>0</v>
      </c>
      <c r="N11" s="275">
        <f t="shared" ref="N11:N26" si="4">K11*L11*M11</f>
        <v>0</v>
      </c>
      <c r="O11" s="272">
        <f t="shared" ref="O11:O26" si="5">K11*1.04</f>
        <v>3749.5466666666675</v>
      </c>
      <c r="P11" s="273">
        <f>'Program Budget'!Q333</f>
        <v>12</v>
      </c>
      <c r="Q11" s="276">
        <f>'Program Budget'!P333</f>
        <v>0</v>
      </c>
      <c r="R11" s="275">
        <f t="shared" ref="R11:R26" si="6">O11*P11*Q11</f>
        <v>0</v>
      </c>
      <c r="S11" s="272">
        <f t="shared" ref="S11:S26" si="7">O11*1.04</f>
        <v>3899.5285333333345</v>
      </c>
      <c r="T11" s="273">
        <f>'Program Budget'!T333</f>
        <v>9</v>
      </c>
      <c r="U11" s="276">
        <f>'Program Budget'!S333</f>
        <v>0</v>
      </c>
      <c r="V11" s="275">
        <f t="shared" ref="V11:V26" si="8">S11*T11*U11</f>
        <v>0</v>
      </c>
      <c r="W11" s="411">
        <f t="shared" ref="W11:W26" si="9">F11+J11+N11+R11+V11</f>
        <v>0</v>
      </c>
      <c r="X11" s="278"/>
      <c r="Y11" s="265"/>
      <c r="Z11" s="279"/>
      <c r="AA11" s="279"/>
      <c r="AE11" s="239">
        <v>180</v>
      </c>
      <c r="AF11" s="280" t="s">
        <v>117</v>
      </c>
      <c r="AG11" s="280" t="s">
        <v>118</v>
      </c>
      <c r="AH11" s="281"/>
      <c r="AJ11" s="282"/>
    </row>
    <row r="12" spans="1:36" ht="15" customHeight="1" outlineLevel="1">
      <c r="A12" s="270" t="str">
        <f>'Program Budget'!D334</f>
        <v>Technical Lead Component 2</v>
      </c>
      <c r="B12" s="271" t="str">
        <f>'Program Budget'!F334</f>
        <v>Month</v>
      </c>
      <c r="C12" s="272">
        <f>'Program Budget'!H334</f>
        <v>3333.3333333333335</v>
      </c>
      <c r="D12" s="273">
        <f>'Program Budget'!G334</f>
        <v>6</v>
      </c>
      <c r="E12" s="274">
        <f>'Program Budget'!E334</f>
        <v>0</v>
      </c>
      <c r="F12" s="275">
        <f t="shared" si="0"/>
        <v>0</v>
      </c>
      <c r="G12" s="272">
        <f t="shared" si="1"/>
        <v>3466.666666666667</v>
      </c>
      <c r="H12" s="273">
        <f>'Program Budget'!K334</f>
        <v>12</v>
      </c>
      <c r="I12" s="276">
        <f>'Program Budget'!J334</f>
        <v>0</v>
      </c>
      <c r="J12" s="275">
        <f t="shared" si="2"/>
        <v>0</v>
      </c>
      <c r="K12" s="272">
        <f t="shared" si="3"/>
        <v>3605.3333333333339</v>
      </c>
      <c r="L12" s="273">
        <f>'Program Budget'!N334</f>
        <v>12</v>
      </c>
      <c r="M12" s="276">
        <f>'Program Budget'!M334</f>
        <v>0</v>
      </c>
      <c r="N12" s="275">
        <f t="shared" si="4"/>
        <v>0</v>
      </c>
      <c r="O12" s="272">
        <f t="shared" si="5"/>
        <v>3749.5466666666675</v>
      </c>
      <c r="P12" s="273">
        <f>'Program Budget'!Q334</f>
        <v>12</v>
      </c>
      <c r="Q12" s="276">
        <f>'Program Budget'!P334</f>
        <v>0</v>
      </c>
      <c r="R12" s="275">
        <f t="shared" si="6"/>
        <v>0</v>
      </c>
      <c r="S12" s="272">
        <f t="shared" si="7"/>
        <v>3899.5285333333345</v>
      </c>
      <c r="T12" s="273">
        <f>'Program Budget'!T334</f>
        <v>9</v>
      </c>
      <c r="U12" s="276">
        <f>'Program Budget'!S334</f>
        <v>0</v>
      </c>
      <c r="V12" s="275">
        <f t="shared" si="8"/>
        <v>0</v>
      </c>
      <c r="W12" s="411">
        <f t="shared" si="9"/>
        <v>0</v>
      </c>
      <c r="X12" s="278"/>
      <c r="Y12" s="265"/>
      <c r="Z12" s="279"/>
      <c r="AA12" s="279"/>
      <c r="AE12" s="239">
        <v>180</v>
      </c>
      <c r="AF12" s="280" t="s">
        <v>117</v>
      </c>
      <c r="AG12" s="280" t="s">
        <v>118</v>
      </c>
      <c r="AH12" s="281"/>
      <c r="AJ12" s="282"/>
    </row>
    <row r="13" spans="1:36" ht="15" customHeight="1" outlineLevel="1">
      <c r="A13" s="270" t="str">
        <f>'Program Budget'!D335</f>
        <v>Technical Lead Component 3</v>
      </c>
      <c r="B13" s="271" t="str">
        <f>'Program Budget'!F335</f>
        <v>Month</v>
      </c>
      <c r="C13" s="272">
        <f>'Program Budget'!H335</f>
        <v>3333.3333333333335</v>
      </c>
      <c r="D13" s="273">
        <f>'Program Budget'!G335</f>
        <v>6</v>
      </c>
      <c r="E13" s="274">
        <f>'Program Budget'!E335</f>
        <v>0</v>
      </c>
      <c r="F13" s="275">
        <f t="shared" si="0"/>
        <v>0</v>
      </c>
      <c r="G13" s="272">
        <f t="shared" si="1"/>
        <v>3466.666666666667</v>
      </c>
      <c r="H13" s="273">
        <f>'Program Budget'!K335</f>
        <v>12</v>
      </c>
      <c r="I13" s="276">
        <f>'Program Budget'!J335</f>
        <v>0</v>
      </c>
      <c r="J13" s="275">
        <f t="shared" si="2"/>
        <v>0</v>
      </c>
      <c r="K13" s="272">
        <f t="shared" si="3"/>
        <v>3605.3333333333339</v>
      </c>
      <c r="L13" s="273">
        <f>'Program Budget'!N335</f>
        <v>12</v>
      </c>
      <c r="M13" s="276">
        <f>'Program Budget'!M335</f>
        <v>0</v>
      </c>
      <c r="N13" s="275">
        <f t="shared" si="4"/>
        <v>0</v>
      </c>
      <c r="O13" s="272">
        <f t="shared" si="5"/>
        <v>3749.5466666666675</v>
      </c>
      <c r="P13" s="273">
        <f>'Program Budget'!Q335</f>
        <v>12</v>
      </c>
      <c r="Q13" s="276">
        <f>'Program Budget'!P335</f>
        <v>0</v>
      </c>
      <c r="R13" s="275">
        <f t="shared" si="6"/>
        <v>0</v>
      </c>
      <c r="S13" s="272">
        <f t="shared" si="7"/>
        <v>3899.5285333333345</v>
      </c>
      <c r="T13" s="273">
        <f>'Program Budget'!T335</f>
        <v>9</v>
      </c>
      <c r="U13" s="276">
        <f>'Program Budget'!S335</f>
        <v>0</v>
      </c>
      <c r="V13" s="275">
        <f t="shared" si="8"/>
        <v>0</v>
      </c>
      <c r="W13" s="411">
        <f t="shared" si="9"/>
        <v>0</v>
      </c>
      <c r="X13" s="278"/>
      <c r="Y13" s="265"/>
      <c r="Z13" s="279"/>
      <c r="AA13" s="279"/>
      <c r="AE13" s="239">
        <v>180</v>
      </c>
      <c r="AF13" s="280" t="s">
        <v>117</v>
      </c>
      <c r="AG13" s="280" t="s">
        <v>118</v>
      </c>
      <c r="AH13" s="281"/>
      <c r="AJ13" s="282"/>
    </row>
    <row r="14" spans="1:36" ht="15" customHeight="1" outlineLevel="1">
      <c r="A14" s="270" t="str">
        <f>'Program Budget'!D336</f>
        <v>Specialist Component 2</v>
      </c>
      <c r="B14" s="271" t="str">
        <f>'Program Budget'!F336</f>
        <v>Month</v>
      </c>
      <c r="C14" s="272">
        <f>'Program Budget'!H336</f>
        <v>1666.6666666666667</v>
      </c>
      <c r="D14" s="273">
        <f>'Program Budget'!G336</f>
        <v>6</v>
      </c>
      <c r="E14" s="274">
        <f>'Program Budget'!E336</f>
        <v>0</v>
      </c>
      <c r="F14" s="275">
        <f t="shared" ref="F14:F21" si="10">C14*D14*E14</f>
        <v>0</v>
      </c>
      <c r="G14" s="272">
        <f t="shared" ref="G14:G21" si="11">C14*1.04</f>
        <v>1733.3333333333335</v>
      </c>
      <c r="H14" s="273">
        <f>'Program Budget'!K336</f>
        <v>12</v>
      </c>
      <c r="I14" s="276">
        <f>'Program Budget'!J336</f>
        <v>0</v>
      </c>
      <c r="J14" s="275">
        <f t="shared" ref="J14:J21" si="12">G14*H14*I14</f>
        <v>0</v>
      </c>
      <c r="K14" s="272">
        <f t="shared" ref="K14:K21" si="13">G14*1.04</f>
        <v>1802.666666666667</v>
      </c>
      <c r="L14" s="273">
        <f>'Program Budget'!N336</f>
        <v>12</v>
      </c>
      <c r="M14" s="276">
        <f>'Program Budget'!M336</f>
        <v>0</v>
      </c>
      <c r="N14" s="275">
        <f t="shared" ref="N14:N21" si="14">K14*L14*M14</f>
        <v>0</v>
      </c>
      <c r="O14" s="272">
        <f t="shared" ref="O14:O21" si="15">K14*1.04</f>
        <v>1874.7733333333338</v>
      </c>
      <c r="P14" s="273">
        <f>'Program Budget'!Q336</f>
        <v>12</v>
      </c>
      <c r="Q14" s="276">
        <f>'Program Budget'!P336</f>
        <v>0</v>
      </c>
      <c r="R14" s="275">
        <f t="shared" ref="R14:R21" si="16">O14*P14*Q14</f>
        <v>0</v>
      </c>
      <c r="S14" s="272">
        <f t="shared" ref="S14:S21" si="17">O14*1.04</f>
        <v>1949.7642666666673</v>
      </c>
      <c r="T14" s="273">
        <f>'Program Budget'!T336</f>
        <v>6</v>
      </c>
      <c r="U14" s="276">
        <f>'Program Budget'!S336</f>
        <v>0</v>
      </c>
      <c r="V14" s="275">
        <f t="shared" ref="V14:V21" si="18">S14*T14*U14</f>
        <v>0</v>
      </c>
      <c r="W14" s="411">
        <f t="shared" ref="W14:W21" si="19">F14+J14+N14+R14+V14</f>
        <v>0</v>
      </c>
      <c r="X14" s="278"/>
      <c r="Y14" s="265"/>
      <c r="Z14" s="279"/>
      <c r="AA14" s="279"/>
      <c r="AE14" s="239"/>
      <c r="AF14" s="280"/>
      <c r="AG14" s="280"/>
      <c r="AH14" s="281"/>
      <c r="AJ14" s="282"/>
    </row>
    <row r="15" spans="1:36" ht="15" customHeight="1" outlineLevel="1">
      <c r="A15" s="270" t="str">
        <f>'Program Budget'!D337</f>
        <v>Specialist Component 3</v>
      </c>
      <c r="B15" s="271" t="str">
        <f>'Program Budget'!F337</f>
        <v>Month</v>
      </c>
      <c r="C15" s="272">
        <f>'Program Budget'!H337</f>
        <v>1666.6666666666667</v>
      </c>
      <c r="D15" s="273">
        <f>'Program Budget'!G337</f>
        <v>6</v>
      </c>
      <c r="E15" s="274">
        <f>'Program Budget'!E337</f>
        <v>0</v>
      </c>
      <c r="F15" s="275">
        <f t="shared" si="10"/>
        <v>0</v>
      </c>
      <c r="G15" s="272">
        <f t="shared" si="11"/>
        <v>1733.3333333333335</v>
      </c>
      <c r="H15" s="273">
        <f>'Program Budget'!K337</f>
        <v>12</v>
      </c>
      <c r="I15" s="276">
        <f>'Program Budget'!J337</f>
        <v>0</v>
      </c>
      <c r="J15" s="275">
        <f t="shared" si="12"/>
        <v>0</v>
      </c>
      <c r="K15" s="272">
        <f t="shared" si="13"/>
        <v>1802.666666666667</v>
      </c>
      <c r="L15" s="273">
        <f>'Program Budget'!N337</f>
        <v>12</v>
      </c>
      <c r="M15" s="276">
        <f>'Program Budget'!M337</f>
        <v>0</v>
      </c>
      <c r="N15" s="275">
        <f t="shared" si="14"/>
        <v>0</v>
      </c>
      <c r="O15" s="272">
        <f t="shared" si="15"/>
        <v>1874.7733333333338</v>
      </c>
      <c r="P15" s="273">
        <f>'Program Budget'!Q337</f>
        <v>12</v>
      </c>
      <c r="Q15" s="276">
        <f>'Program Budget'!P337</f>
        <v>0</v>
      </c>
      <c r="R15" s="275">
        <f t="shared" si="16"/>
        <v>0</v>
      </c>
      <c r="S15" s="272">
        <f t="shared" si="17"/>
        <v>1949.7642666666673</v>
      </c>
      <c r="T15" s="273">
        <f>'Program Budget'!T337</f>
        <v>6</v>
      </c>
      <c r="U15" s="276">
        <f>'Program Budget'!S337</f>
        <v>0</v>
      </c>
      <c r="V15" s="275">
        <f t="shared" si="18"/>
        <v>0</v>
      </c>
      <c r="W15" s="411">
        <f t="shared" si="19"/>
        <v>0</v>
      </c>
      <c r="X15" s="278"/>
      <c r="Y15" s="265"/>
      <c r="Z15" s="279"/>
      <c r="AA15" s="279"/>
      <c r="AE15" s="239"/>
      <c r="AF15" s="280"/>
      <c r="AG15" s="280"/>
      <c r="AH15" s="281"/>
      <c r="AJ15" s="282"/>
    </row>
    <row r="16" spans="1:36" ht="15" customHeight="1" outlineLevel="1">
      <c r="A16" s="270" t="str">
        <f>'Program Budget'!D338</f>
        <v>Specialist Component 4</v>
      </c>
      <c r="B16" s="271" t="str">
        <f>'Program Budget'!F338</f>
        <v>Month</v>
      </c>
      <c r="C16" s="272">
        <f>'Program Budget'!H338</f>
        <v>1666.6666666666667</v>
      </c>
      <c r="D16" s="273">
        <f>'Program Budget'!G338</f>
        <v>6</v>
      </c>
      <c r="E16" s="274">
        <f>'Program Budget'!E338</f>
        <v>0.8</v>
      </c>
      <c r="F16" s="275">
        <f t="shared" si="10"/>
        <v>8000</v>
      </c>
      <c r="G16" s="272">
        <f t="shared" si="11"/>
        <v>1733.3333333333335</v>
      </c>
      <c r="H16" s="273">
        <f>'Program Budget'!K338</f>
        <v>12</v>
      </c>
      <c r="I16" s="276">
        <f>'Program Budget'!J338</f>
        <v>1</v>
      </c>
      <c r="J16" s="275">
        <f t="shared" si="12"/>
        <v>20800</v>
      </c>
      <c r="K16" s="272">
        <f t="shared" si="13"/>
        <v>1802.666666666667</v>
      </c>
      <c r="L16" s="273">
        <f>'Program Budget'!N338</f>
        <v>12</v>
      </c>
      <c r="M16" s="276">
        <f>'Program Budget'!M338</f>
        <v>1</v>
      </c>
      <c r="N16" s="275">
        <f t="shared" si="14"/>
        <v>21632.000000000004</v>
      </c>
      <c r="O16" s="272">
        <f t="shared" si="15"/>
        <v>1874.7733333333338</v>
      </c>
      <c r="P16" s="273">
        <f>'Program Budget'!Q338</f>
        <v>12</v>
      </c>
      <c r="Q16" s="276">
        <f>'Program Budget'!P338</f>
        <v>1</v>
      </c>
      <c r="R16" s="275">
        <f t="shared" si="16"/>
        <v>22497.280000000006</v>
      </c>
      <c r="S16" s="272">
        <f t="shared" si="17"/>
        <v>1949.7642666666673</v>
      </c>
      <c r="T16" s="273">
        <f>'Program Budget'!T338</f>
        <v>6</v>
      </c>
      <c r="U16" s="276">
        <f>'Program Budget'!S338</f>
        <v>1</v>
      </c>
      <c r="V16" s="275">
        <f t="shared" si="18"/>
        <v>11698.585600000004</v>
      </c>
      <c r="W16" s="411">
        <f t="shared" si="19"/>
        <v>84627.865600000005</v>
      </c>
      <c r="X16" s="278"/>
      <c r="Y16" s="265"/>
      <c r="Z16" s="279"/>
      <c r="AA16" s="279"/>
      <c r="AE16" s="239"/>
      <c r="AF16" s="280"/>
      <c r="AG16" s="280"/>
      <c r="AH16" s="281"/>
      <c r="AJ16" s="282"/>
    </row>
    <row r="17" spans="1:36" ht="15" customHeight="1" outlineLevel="1">
      <c r="A17" s="270" t="str">
        <f>'Program Budget'!D339</f>
        <v>Extension Agents (20 Individuals)</v>
      </c>
      <c r="B17" s="271" t="str">
        <f>'Program Budget'!F339</f>
        <v>Month</v>
      </c>
      <c r="C17" s="272">
        <f>'Program Budget'!H339</f>
        <v>23333.333333333336</v>
      </c>
      <c r="D17" s="273">
        <f>'Program Budget'!G339</f>
        <v>3</v>
      </c>
      <c r="E17" s="274">
        <f>'Program Budget'!E339</f>
        <v>0.25</v>
      </c>
      <c r="F17" s="275">
        <f t="shared" si="10"/>
        <v>17500</v>
      </c>
      <c r="G17" s="272">
        <f t="shared" si="11"/>
        <v>24266.666666666672</v>
      </c>
      <c r="H17" s="273">
        <f>'Program Budget'!K339</f>
        <v>12</v>
      </c>
      <c r="I17" s="276">
        <f>'Program Budget'!J339</f>
        <v>0.05</v>
      </c>
      <c r="J17" s="275">
        <f t="shared" si="12"/>
        <v>14560.000000000004</v>
      </c>
      <c r="K17" s="272">
        <f t="shared" si="13"/>
        <v>25237.333333333339</v>
      </c>
      <c r="L17" s="273">
        <f>'Program Budget'!N339</f>
        <v>6</v>
      </c>
      <c r="M17" s="276">
        <f>'Program Budget'!M339</f>
        <v>0.05</v>
      </c>
      <c r="N17" s="275">
        <f t="shared" si="14"/>
        <v>7571.2000000000016</v>
      </c>
      <c r="O17" s="272">
        <f t="shared" si="15"/>
        <v>26246.826666666675</v>
      </c>
      <c r="P17" s="273">
        <f>'Program Budget'!Q339</f>
        <v>0</v>
      </c>
      <c r="Q17" s="276">
        <f>'Program Budget'!P339</f>
        <v>0</v>
      </c>
      <c r="R17" s="275">
        <f t="shared" si="16"/>
        <v>0</v>
      </c>
      <c r="S17" s="272">
        <f t="shared" si="17"/>
        <v>27296.699733333342</v>
      </c>
      <c r="T17" s="273">
        <f>'Program Budget'!T339</f>
        <v>0</v>
      </c>
      <c r="U17" s="276">
        <f>'Program Budget'!S339</f>
        <v>0</v>
      </c>
      <c r="V17" s="275">
        <f t="shared" si="18"/>
        <v>0</v>
      </c>
      <c r="W17" s="411">
        <f t="shared" si="19"/>
        <v>39631.200000000004</v>
      </c>
      <c r="X17" s="278"/>
      <c r="Y17" s="265"/>
      <c r="Z17" s="279"/>
      <c r="AA17" s="279"/>
      <c r="AE17" s="239">
        <v>180</v>
      </c>
      <c r="AF17" s="280" t="s">
        <v>117</v>
      </c>
      <c r="AG17" s="280" t="s">
        <v>118</v>
      </c>
      <c r="AH17" s="281"/>
      <c r="AJ17" s="282"/>
    </row>
    <row r="18" spans="1:36" ht="15" customHeight="1" outlineLevel="1">
      <c r="A18" s="270" t="str">
        <f>'Program Budget'!D340</f>
        <v xml:space="preserve">M&amp;E Director </v>
      </c>
      <c r="B18" s="271" t="str">
        <f>'Program Budget'!F340</f>
        <v>Month</v>
      </c>
      <c r="C18" s="272">
        <f>'Program Budget'!H340</f>
        <v>3750</v>
      </c>
      <c r="D18" s="273">
        <f>'Program Budget'!G340</f>
        <v>9</v>
      </c>
      <c r="E18" s="274">
        <f>'Program Budget'!E340</f>
        <v>0.15</v>
      </c>
      <c r="F18" s="275">
        <f t="shared" si="10"/>
        <v>5062.5</v>
      </c>
      <c r="G18" s="272">
        <f t="shared" si="11"/>
        <v>3900</v>
      </c>
      <c r="H18" s="273">
        <f>'Program Budget'!K340</f>
        <v>12</v>
      </c>
      <c r="I18" s="276">
        <f>'Program Budget'!J340</f>
        <v>0.25</v>
      </c>
      <c r="J18" s="275">
        <f t="shared" si="12"/>
        <v>11700</v>
      </c>
      <c r="K18" s="272">
        <f t="shared" si="13"/>
        <v>4056</v>
      </c>
      <c r="L18" s="273">
        <f>'Program Budget'!N340</f>
        <v>12</v>
      </c>
      <c r="M18" s="276">
        <f>'Program Budget'!M340</f>
        <v>0.25</v>
      </c>
      <c r="N18" s="275">
        <f t="shared" si="14"/>
        <v>12168</v>
      </c>
      <c r="O18" s="272">
        <f t="shared" si="15"/>
        <v>4218.24</v>
      </c>
      <c r="P18" s="273">
        <f>'Program Budget'!Q340</f>
        <v>12</v>
      </c>
      <c r="Q18" s="276">
        <f>'Program Budget'!P340</f>
        <v>0.25</v>
      </c>
      <c r="R18" s="275">
        <f t="shared" si="16"/>
        <v>12654.72</v>
      </c>
      <c r="S18" s="272">
        <f t="shared" si="17"/>
        <v>4386.9696000000004</v>
      </c>
      <c r="T18" s="273">
        <f>'Program Budget'!T340</f>
        <v>12</v>
      </c>
      <c r="U18" s="276">
        <f>'Program Budget'!S340</f>
        <v>0.25</v>
      </c>
      <c r="V18" s="275">
        <f t="shared" si="18"/>
        <v>13160.908800000001</v>
      </c>
      <c r="W18" s="411">
        <f t="shared" si="19"/>
        <v>54746.128800000006</v>
      </c>
      <c r="X18" s="278"/>
      <c r="Y18" s="265"/>
      <c r="Z18" s="279"/>
      <c r="AA18" s="279"/>
      <c r="AE18" s="239">
        <v>180</v>
      </c>
      <c r="AF18" s="280" t="s">
        <v>117</v>
      </c>
      <c r="AG18" s="280" t="s">
        <v>118</v>
      </c>
      <c r="AH18" s="281"/>
      <c r="AJ18" s="282"/>
    </row>
    <row r="19" spans="1:36" ht="15" customHeight="1" outlineLevel="1">
      <c r="A19" s="270" t="str">
        <f>'Program Budget'!D341</f>
        <v>M&amp;E Specialist</v>
      </c>
      <c r="B19" s="271" t="str">
        <f>'Program Budget'!F341</f>
        <v>Month</v>
      </c>
      <c r="C19" s="272">
        <f>'Program Budget'!H341</f>
        <v>2083.3333333333335</v>
      </c>
      <c r="D19" s="273">
        <f>'Program Budget'!G341</f>
        <v>6</v>
      </c>
      <c r="E19" s="274">
        <f>'Program Budget'!E341</f>
        <v>0.25</v>
      </c>
      <c r="F19" s="275">
        <f t="shared" si="10"/>
        <v>3125</v>
      </c>
      <c r="G19" s="272">
        <f t="shared" si="11"/>
        <v>2166.666666666667</v>
      </c>
      <c r="H19" s="273">
        <f>'Program Budget'!K341</f>
        <v>12</v>
      </c>
      <c r="I19" s="276">
        <f>'Program Budget'!J341</f>
        <v>0.25</v>
      </c>
      <c r="J19" s="275">
        <f t="shared" si="12"/>
        <v>6500.0000000000009</v>
      </c>
      <c r="K19" s="272">
        <f t="shared" si="13"/>
        <v>2253.3333333333339</v>
      </c>
      <c r="L19" s="273">
        <f>'Program Budget'!N341</f>
        <v>12</v>
      </c>
      <c r="M19" s="276">
        <f>'Program Budget'!M341</f>
        <v>0.25</v>
      </c>
      <c r="N19" s="275">
        <f t="shared" si="14"/>
        <v>6760.0000000000018</v>
      </c>
      <c r="O19" s="272">
        <f t="shared" si="15"/>
        <v>2343.4666666666672</v>
      </c>
      <c r="P19" s="273">
        <f>'Program Budget'!Q341</f>
        <v>12</v>
      </c>
      <c r="Q19" s="276">
        <f>'Program Budget'!P341</f>
        <v>0.25</v>
      </c>
      <c r="R19" s="275">
        <f t="shared" si="16"/>
        <v>7030.4000000000015</v>
      </c>
      <c r="S19" s="272">
        <f t="shared" si="17"/>
        <v>2437.2053333333338</v>
      </c>
      <c r="T19" s="273">
        <f>'Program Budget'!T341</f>
        <v>10</v>
      </c>
      <c r="U19" s="276">
        <f>'Program Budget'!S341</f>
        <v>0.25</v>
      </c>
      <c r="V19" s="275">
        <f t="shared" si="18"/>
        <v>6093.0133333333342</v>
      </c>
      <c r="W19" s="411">
        <f t="shared" si="19"/>
        <v>29508.413333333338</v>
      </c>
      <c r="X19" s="278"/>
      <c r="Y19" s="265"/>
      <c r="Z19" s="279"/>
      <c r="AA19" s="279"/>
      <c r="AE19" s="239">
        <v>180</v>
      </c>
      <c r="AF19" s="280" t="s">
        <v>117</v>
      </c>
      <c r="AG19" s="280" t="s">
        <v>118</v>
      </c>
      <c r="AH19" s="281"/>
      <c r="AJ19" s="282"/>
    </row>
    <row r="20" spans="1:36" ht="15" customHeight="1" outlineLevel="1">
      <c r="A20" s="270" t="str">
        <f>'Program Budget'!D342</f>
        <v xml:space="preserve">F&amp;A Director </v>
      </c>
      <c r="B20" s="271" t="str">
        <f>'Program Budget'!F342</f>
        <v>Month</v>
      </c>
      <c r="C20" s="272">
        <f>'Program Budget'!H342</f>
        <v>6666.666666666667</v>
      </c>
      <c r="D20" s="273">
        <f>'Program Budget'!G342</f>
        <v>9</v>
      </c>
      <c r="E20" s="274">
        <f>'Program Budget'!E342</f>
        <v>0.2</v>
      </c>
      <c r="F20" s="275">
        <f t="shared" si="10"/>
        <v>12000</v>
      </c>
      <c r="G20" s="272">
        <f t="shared" si="11"/>
        <v>6933.3333333333339</v>
      </c>
      <c r="H20" s="273">
        <f>'Program Budget'!K342</f>
        <v>12</v>
      </c>
      <c r="I20" s="276">
        <f>'Program Budget'!J342</f>
        <v>0.25</v>
      </c>
      <c r="J20" s="275">
        <f t="shared" si="12"/>
        <v>20800</v>
      </c>
      <c r="K20" s="272">
        <f t="shared" si="13"/>
        <v>7210.6666666666679</v>
      </c>
      <c r="L20" s="273">
        <f>'Program Budget'!N342</f>
        <v>12</v>
      </c>
      <c r="M20" s="276">
        <f>'Program Budget'!M342</f>
        <v>0.25</v>
      </c>
      <c r="N20" s="275">
        <f t="shared" si="14"/>
        <v>21632.000000000004</v>
      </c>
      <c r="O20" s="272">
        <f t="shared" si="15"/>
        <v>7499.0933333333351</v>
      </c>
      <c r="P20" s="273">
        <f>'Program Budget'!Q342</f>
        <v>12</v>
      </c>
      <c r="Q20" s="276">
        <f>'Program Budget'!P342</f>
        <v>0.25</v>
      </c>
      <c r="R20" s="275">
        <f t="shared" si="16"/>
        <v>22497.280000000006</v>
      </c>
      <c r="S20" s="272">
        <f t="shared" si="17"/>
        <v>7799.057066666669</v>
      </c>
      <c r="T20" s="273">
        <f>'Program Budget'!T342</f>
        <v>12</v>
      </c>
      <c r="U20" s="276">
        <f>'Program Budget'!S342</f>
        <v>0.25</v>
      </c>
      <c r="V20" s="275">
        <f t="shared" si="18"/>
        <v>23397.171200000008</v>
      </c>
      <c r="W20" s="411">
        <f t="shared" si="19"/>
        <v>100326.45120000001</v>
      </c>
      <c r="X20" s="278"/>
      <c r="Y20" s="265"/>
      <c r="Z20" s="279"/>
      <c r="AA20" s="279"/>
      <c r="AE20" s="239">
        <v>180</v>
      </c>
      <c r="AF20" s="280" t="s">
        <v>117</v>
      </c>
      <c r="AG20" s="280" t="s">
        <v>118</v>
      </c>
      <c r="AH20" s="281"/>
      <c r="AJ20" s="282"/>
    </row>
    <row r="21" spans="1:36" ht="15" customHeight="1" outlineLevel="1">
      <c r="A21" s="270" t="str">
        <f>'Program Budget'!D343</f>
        <v>Human Resource Manager</v>
      </c>
      <c r="B21" s="271" t="str">
        <f>'Program Budget'!F343</f>
        <v>Month</v>
      </c>
      <c r="C21" s="272">
        <f>'Program Budget'!H343</f>
        <v>2916.6666666666665</v>
      </c>
      <c r="D21" s="273">
        <f>'Program Budget'!G343</f>
        <v>9</v>
      </c>
      <c r="E21" s="274">
        <f>'Program Budget'!E343</f>
        <v>0.1</v>
      </c>
      <c r="F21" s="275">
        <f t="shared" si="10"/>
        <v>2625</v>
      </c>
      <c r="G21" s="272">
        <f t="shared" si="11"/>
        <v>3033.3333333333335</v>
      </c>
      <c r="H21" s="273">
        <f>'Program Budget'!K343</f>
        <v>12</v>
      </c>
      <c r="I21" s="276">
        <f>'Program Budget'!J343</f>
        <v>0.2</v>
      </c>
      <c r="J21" s="275">
        <f t="shared" si="12"/>
        <v>7280</v>
      </c>
      <c r="K21" s="272">
        <f t="shared" si="13"/>
        <v>3154.666666666667</v>
      </c>
      <c r="L21" s="273">
        <f>'Program Budget'!N343</f>
        <v>12</v>
      </c>
      <c r="M21" s="276">
        <f>'Program Budget'!M343</f>
        <v>0.2</v>
      </c>
      <c r="N21" s="275">
        <f t="shared" si="14"/>
        <v>7571.2000000000007</v>
      </c>
      <c r="O21" s="272">
        <f t="shared" si="15"/>
        <v>3280.8533333333339</v>
      </c>
      <c r="P21" s="273">
        <f>'Program Budget'!Q343</f>
        <v>12</v>
      </c>
      <c r="Q21" s="276">
        <f>'Program Budget'!P343</f>
        <v>0.2</v>
      </c>
      <c r="R21" s="275">
        <f t="shared" si="16"/>
        <v>7874.0480000000016</v>
      </c>
      <c r="S21" s="272">
        <f t="shared" si="17"/>
        <v>3412.0874666666673</v>
      </c>
      <c r="T21" s="273">
        <f>'Program Budget'!T343</f>
        <v>10</v>
      </c>
      <c r="U21" s="276">
        <f>'Program Budget'!S343</f>
        <v>0.2</v>
      </c>
      <c r="V21" s="275">
        <f t="shared" si="18"/>
        <v>6824.1749333333346</v>
      </c>
      <c r="W21" s="411">
        <f t="shared" si="19"/>
        <v>32174.422933333339</v>
      </c>
      <c r="X21" s="278"/>
      <c r="Y21" s="265"/>
      <c r="Z21" s="279"/>
      <c r="AA21" s="279"/>
      <c r="AE21" s="239"/>
      <c r="AF21" s="280"/>
      <c r="AG21" s="280"/>
      <c r="AH21" s="281"/>
      <c r="AJ21" s="282"/>
    </row>
    <row r="22" spans="1:36" ht="15" customHeight="1" outlineLevel="1">
      <c r="A22" s="270" t="str">
        <f>'Program Budget'!D344</f>
        <v>Contracts &amp; Compliance Specialist</v>
      </c>
      <c r="B22" s="271" t="str">
        <f>'Program Budget'!F344</f>
        <v>Month</v>
      </c>
      <c r="C22" s="272">
        <f>'Program Budget'!H344</f>
        <v>2916.6666666666665</v>
      </c>
      <c r="D22" s="273">
        <f>'Program Budget'!G344</f>
        <v>6</v>
      </c>
      <c r="E22" s="274">
        <f>'Program Budget'!E344</f>
        <v>0.2</v>
      </c>
      <c r="F22" s="275">
        <f t="shared" si="0"/>
        <v>3500</v>
      </c>
      <c r="G22" s="272">
        <f t="shared" si="1"/>
        <v>3033.3333333333335</v>
      </c>
      <c r="H22" s="273">
        <f>'Program Budget'!K344</f>
        <v>12</v>
      </c>
      <c r="I22" s="276">
        <f>'Program Budget'!J344</f>
        <v>0.25</v>
      </c>
      <c r="J22" s="275">
        <f t="shared" si="2"/>
        <v>9100</v>
      </c>
      <c r="K22" s="272">
        <f t="shared" si="3"/>
        <v>3154.666666666667</v>
      </c>
      <c r="L22" s="273">
        <f>'Program Budget'!N344</f>
        <v>12</v>
      </c>
      <c r="M22" s="276">
        <f>'Program Budget'!M344</f>
        <v>0.25</v>
      </c>
      <c r="N22" s="275">
        <f t="shared" si="4"/>
        <v>9464</v>
      </c>
      <c r="O22" s="272">
        <f t="shared" si="5"/>
        <v>3280.8533333333339</v>
      </c>
      <c r="P22" s="273">
        <f>'Program Budget'!Q344</f>
        <v>12</v>
      </c>
      <c r="Q22" s="276">
        <f>'Program Budget'!P344</f>
        <v>0.25</v>
      </c>
      <c r="R22" s="275">
        <f t="shared" si="6"/>
        <v>9842.5600000000013</v>
      </c>
      <c r="S22" s="272">
        <f t="shared" si="7"/>
        <v>3412.0874666666673</v>
      </c>
      <c r="T22" s="273">
        <f>'Program Budget'!T344</f>
        <v>9</v>
      </c>
      <c r="U22" s="276">
        <f>'Program Budget'!S344</f>
        <v>0.25</v>
      </c>
      <c r="V22" s="275">
        <f t="shared" si="8"/>
        <v>7677.1968000000015</v>
      </c>
      <c r="W22" s="411">
        <f t="shared" si="9"/>
        <v>39583.756800000003</v>
      </c>
      <c r="X22" s="278"/>
      <c r="Y22" s="265"/>
      <c r="Z22" s="279"/>
      <c r="AA22" s="279"/>
      <c r="AE22" s="239">
        <v>180</v>
      </c>
      <c r="AF22" s="280" t="s">
        <v>117</v>
      </c>
      <c r="AG22" s="280" t="s">
        <v>118</v>
      </c>
      <c r="AH22" s="281"/>
      <c r="AJ22" s="282"/>
    </row>
    <row r="23" spans="1:36" ht="15" customHeight="1" outlineLevel="1">
      <c r="A23" s="270" t="str">
        <f>'Program Budget'!D345</f>
        <v xml:space="preserve">Accountant </v>
      </c>
      <c r="B23" s="271" t="str">
        <f>'Program Budget'!F345</f>
        <v>Month</v>
      </c>
      <c r="C23" s="272">
        <f>'Program Budget'!H345</f>
        <v>1666.6666666666667</v>
      </c>
      <c r="D23" s="273">
        <f>'Program Budget'!G345</f>
        <v>7</v>
      </c>
      <c r="E23" s="274">
        <f>'Program Budget'!E345</f>
        <v>0.2</v>
      </c>
      <c r="F23" s="275">
        <f t="shared" si="0"/>
        <v>2333.3333333333335</v>
      </c>
      <c r="G23" s="272">
        <f t="shared" si="1"/>
        <v>1733.3333333333335</v>
      </c>
      <c r="H23" s="273">
        <f>'Program Budget'!K345</f>
        <v>12</v>
      </c>
      <c r="I23" s="276">
        <f>'Program Budget'!J345</f>
        <v>0.2</v>
      </c>
      <c r="J23" s="275">
        <f t="shared" si="2"/>
        <v>4160</v>
      </c>
      <c r="K23" s="272">
        <f t="shared" si="3"/>
        <v>1802.666666666667</v>
      </c>
      <c r="L23" s="273">
        <f>'Program Budget'!N345</f>
        <v>12</v>
      </c>
      <c r="M23" s="276">
        <f>'Program Budget'!M345</f>
        <v>0.2</v>
      </c>
      <c r="N23" s="275">
        <f t="shared" si="4"/>
        <v>4326.4000000000005</v>
      </c>
      <c r="O23" s="272">
        <f t="shared" si="5"/>
        <v>1874.7733333333338</v>
      </c>
      <c r="P23" s="273">
        <f>'Program Budget'!Q345</f>
        <v>12</v>
      </c>
      <c r="Q23" s="276">
        <f>'Program Budget'!P345</f>
        <v>0.2</v>
      </c>
      <c r="R23" s="275">
        <f t="shared" si="6"/>
        <v>4499.456000000001</v>
      </c>
      <c r="S23" s="272">
        <f t="shared" si="7"/>
        <v>1949.7642666666673</v>
      </c>
      <c r="T23" s="273">
        <f>'Program Budget'!T345</f>
        <v>10</v>
      </c>
      <c r="U23" s="276">
        <f>'Program Budget'!S345</f>
        <v>0.2</v>
      </c>
      <c r="V23" s="275">
        <f t="shared" si="8"/>
        <v>3899.528533333335</v>
      </c>
      <c r="W23" s="411">
        <f t="shared" si="9"/>
        <v>19218.71786666667</v>
      </c>
      <c r="X23" s="278"/>
      <c r="Y23" s="265"/>
      <c r="Z23" s="279"/>
      <c r="AA23" s="279"/>
      <c r="AE23" s="239">
        <v>180</v>
      </c>
      <c r="AF23" s="280" t="s">
        <v>117</v>
      </c>
      <c r="AG23" s="280" t="s">
        <v>118</v>
      </c>
      <c r="AH23" s="281"/>
      <c r="AJ23" s="282"/>
    </row>
    <row r="24" spans="1:36" ht="15" customHeight="1" outlineLevel="1">
      <c r="A24" s="270" t="str">
        <f>'Program Budget'!D346</f>
        <v xml:space="preserve">Administrative Assistant </v>
      </c>
      <c r="B24" s="271" t="str">
        <f>'Program Budget'!F346</f>
        <v>Month</v>
      </c>
      <c r="C24" s="272">
        <f>'Program Budget'!H346</f>
        <v>833.33333333333337</v>
      </c>
      <c r="D24" s="273">
        <f>'Program Budget'!G346</f>
        <v>7</v>
      </c>
      <c r="E24" s="274">
        <f>'Program Budget'!E346</f>
        <v>0.2</v>
      </c>
      <c r="F24" s="275">
        <f t="shared" si="0"/>
        <v>1166.6666666666667</v>
      </c>
      <c r="G24" s="272">
        <f t="shared" si="1"/>
        <v>866.66666666666674</v>
      </c>
      <c r="H24" s="273">
        <f>'Program Budget'!K346</f>
        <v>12</v>
      </c>
      <c r="I24" s="276">
        <f>'Program Budget'!J346</f>
        <v>0.2</v>
      </c>
      <c r="J24" s="275">
        <f t="shared" si="2"/>
        <v>2080</v>
      </c>
      <c r="K24" s="272">
        <f t="shared" si="3"/>
        <v>901.33333333333348</v>
      </c>
      <c r="L24" s="273">
        <f>'Program Budget'!N346</f>
        <v>12</v>
      </c>
      <c r="M24" s="276">
        <f>'Program Budget'!M346</f>
        <v>0.2</v>
      </c>
      <c r="N24" s="275">
        <f t="shared" si="4"/>
        <v>2163.2000000000003</v>
      </c>
      <c r="O24" s="272">
        <f t="shared" si="5"/>
        <v>937.38666666666688</v>
      </c>
      <c r="P24" s="273">
        <f>'Program Budget'!Q346</f>
        <v>12</v>
      </c>
      <c r="Q24" s="276">
        <f>'Program Budget'!P346</f>
        <v>0.2</v>
      </c>
      <c r="R24" s="275">
        <f t="shared" si="6"/>
        <v>2249.7280000000005</v>
      </c>
      <c r="S24" s="272">
        <f t="shared" si="7"/>
        <v>974.88213333333363</v>
      </c>
      <c r="T24" s="273">
        <f>'Program Budget'!T346</f>
        <v>10</v>
      </c>
      <c r="U24" s="276">
        <f>'Program Budget'!S346</f>
        <v>0.2</v>
      </c>
      <c r="V24" s="275">
        <f t="shared" si="8"/>
        <v>1949.7642666666675</v>
      </c>
      <c r="W24" s="411">
        <f t="shared" si="9"/>
        <v>9609.3589333333348</v>
      </c>
      <c r="X24" s="278"/>
      <c r="Y24" s="265"/>
      <c r="Z24" s="279"/>
      <c r="AA24" s="279"/>
      <c r="AE24" s="239">
        <v>180</v>
      </c>
      <c r="AF24" s="280" t="s">
        <v>117</v>
      </c>
      <c r="AG24" s="280" t="s">
        <v>118</v>
      </c>
      <c r="AH24" s="281"/>
      <c r="AJ24" s="282"/>
    </row>
    <row r="25" spans="1:36" ht="15" customHeight="1" outlineLevel="1">
      <c r="A25" s="270" t="str">
        <f>'Program Budget'!D347</f>
        <v>Security Guards</v>
      </c>
      <c r="B25" s="271" t="str">
        <f>'Program Budget'!F347</f>
        <v>Month</v>
      </c>
      <c r="C25" s="272">
        <f>'Program Budget'!H347</f>
        <v>666.66666666666663</v>
      </c>
      <c r="D25" s="273">
        <f>'Program Budget'!G347</f>
        <v>8</v>
      </c>
      <c r="E25" s="274">
        <f>'Program Budget'!E347</f>
        <v>0.2</v>
      </c>
      <c r="F25" s="275">
        <f t="shared" si="0"/>
        <v>1066.6666666666667</v>
      </c>
      <c r="G25" s="272">
        <f t="shared" si="1"/>
        <v>693.33333333333337</v>
      </c>
      <c r="H25" s="273">
        <f>'Program Budget'!K347</f>
        <v>12</v>
      </c>
      <c r="I25" s="276">
        <f>'Program Budget'!J347</f>
        <v>0.25</v>
      </c>
      <c r="J25" s="275">
        <f t="shared" si="2"/>
        <v>2080</v>
      </c>
      <c r="K25" s="272">
        <f t="shared" si="3"/>
        <v>721.06666666666672</v>
      </c>
      <c r="L25" s="273">
        <f>'Program Budget'!N347</f>
        <v>12</v>
      </c>
      <c r="M25" s="276">
        <f>'Program Budget'!M347</f>
        <v>0.25</v>
      </c>
      <c r="N25" s="275">
        <f t="shared" si="4"/>
        <v>2163.2000000000003</v>
      </c>
      <c r="O25" s="272">
        <f t="shared" si="5"/>
        <v>749.90933333333339</v>
      </c>
      <c r="P25" s="273">
        <f>'Program Budget'!Q347</f>
        <v>12</v>
      </c>
      <c r="Q25" s="276">
        <f>'Program Budget'!P347</f>
        <v>0.25</v>
      </c>
      <c r="R25" s="275">
        <f t="shared" si="6"/>
        <v>2249.7280000000001</v>
      </c>
      <c r="S25" s="272">
        <f t="shared" si="7"/>
        <v>779.90570666666679</v>
      </c>
      <c r="T25" s="273">
        <f>'Program Budget'!T347</f>
        <v>10</v>
      </c>
      <c r="U25" s="276">
        <f>'Program Budget'!S347</f>
        <v>0.25</v>
      </c>
      <c r="V25" s="275">
        <f t="shared" si="8"/>
        <v>1949.764266666667</v>
      </c>
      <c r="W25" s="411">
        <f t="shared" si="9"/>
        <v>9509.358933333333</v>
      </c>
      <c r="X25" s="278"/>
      <c r="Y25" s="265"/>
      <c r="Z25" s="279"/>
      <c r="AA25" s="279"/>
      <c r="AE25" s="239">
        <v>180</v>
      </c>
      <c r="AF25" s="280" t="s">
        <v>117</v>
      </c>
      <c r="AG25" s="280" t="s">
        <v>118</v>
      </c>
      <c r="AH25" s="281"/>
      <c r="AJ25" s="282"/>
    </row>
    <row r="26" spans="1:36" ht="15" customHeight="1" outlineLevel="1">
      <c r="A26" s="270" t="str">
        <f>'Program Budget'!D348</f>
        <v>Driver (2 Individuals)</v>
      </c>
      <c r="B26" s="271" t="str">
        <f>'Program Budget'!F348</f>
        <v>Month</v>
      </c>
      <c r="C26" s="272">
        <f>'Program Budget'!H348</f>
        <v>1333.3333333333333</v>
      </c>
      <c r="D26" s="273">
        <f>'Program Budget'!G348</f>
        <v>6</v>
      </c>
      <c r="E26" s="274">
        <f>'Program Budget'!E348</f>
        <v>0.2</v>
      </c>
      <c r="F26" s="275">
        <f t="shared" si="0"/>
        <v>1600</v>
      </c>
      <c r="G26" s="272">
        <f t="shared" si="1"/>
        <v>1386.6666666666667</v>
      </c>
      <c r="H26" s="273">
        <f>'Program Budget'!K348</f>
        <v>12</v>
      </c>
      <c r="I26" s="276">
        <f>'Program Budget'!J348</f>
        <v>0.25</v>
      </c>
      <c r="J26" s="275">
        <f t="shared" si="2"/>
        <v>4160</v>
      </c>
      <c r="K26" s="272">
        <f t="shared" si="3"/>
        <v>1442.1333333333334</v>
      </c>
      <c r="L26" s="273">
        <f>'Program Budget'!N348</f>
        <v>12</v>
      </c>
      <c r="M26" s="276">
        <f>'Program Budget'!M348</f>
        <v>0.25</v>
      </c>
      <c r="N26" s="275">
        <f t="shared" si="4"/>
        <v>4326.4000000000005</v>
      </c>
      <c r="O26" s="272">
        <f t="shared" si="5"/>
        <v>1499.8186666666668</v>
      </c>
      <c r="P26" s="273">
        <f>'Program Budget'!Q348</f>
        <v>12</v>
      </c>
      <c r="Q26" s="276">
        <f>'Program Budget'!P348</f>
        <v>0.25</v>
      </c>
      <c r="R26" s="275">
        <f t="shared" si="6"/>
        <v>4499.4560000000001</v>
      </c>
      <c r="S26" s="272">
        <f t="shared" si="7"/>
        <v>1559.8114133333336</v>
      </c>
      <c r="T26" s="273">
        <f>'Program Budget'!T348</f>
        <v>9</v>
      </c>
      <c r="U26" s="276">
        <f>'Program Budget'!S348</f>
        <v>0.25</v>
      </c>
      <c r="V26" s="275">
        <f t="shared" si="8"/>
        <v>3509.5756800000004</v>
      </c>
      <c r="W26" s="413">
        <f t="shared" si="9"/>
        <v>18095.431680000002</v>
      </c>
      <c r="X26" s="278"/>
      <c r="Y26" s="265"/>
      <c r="Z26" s="279"/>
      <c r="AA26" s="279"/>
      <c r="AE26" s="239">
        <v>180</v>
      </c>
      <c r="AF26" s="280" t="s">
        <v>117</v>
      </c>
      <c r="AG26" s="280" t="s">
        <v>118</v>
      </c>
      <c r="AH26" s="281"/>
      <c r="AJ26" s="282"/>
    </row>
    <row r="27" spans="1:36" ht="15" customHeight="1" outlineLevel="1">
      <c r="A27" s="285" t="s">
        <v>78</v>
      </c>
      <c r="B27" s="286"/>
      <c r="C27" s="287"/>
      <c r="D27" s="288"/>
      <c r="E27" s="289"/>
      <c r="F27" s="299">
        <f>SUM(F10:F26)</f>
        <v>80479.166666666672</v>
      </c>
      <c r="G27" s="287"/>
      <c r="H27" s="288"/>
      <c r="I27" s="291"/>
      <c r="J27" s="299">
        <f>SUM(J10:J26)</f>
        <v>168740</v>
      </c>
      <c r="K27" s="287"/>
      <c r="L27" s="288"/>
      <c r="M27" s="289"/>
      <c r="N27" s="299">
        <f>SUM(N10:N26)</f>
        <v>167918.40000000002</v>
      </c>
      <c r="O27" s="287"/>
      <c r="P27" s="288"/>
      <c r="Q27" s="291"/>
      <c r="R27" s="299">
        <f>SUM(R10:R26)</f>
        <v>166761.08800000002</v>
      </c>
      <c r="S27" s="287"/>
      <c r="T27" s="288"/>
      <c r="U27" s="291"/>
      <c r="V27" s="299">
        <f>SUM(V10:V26)</f>
        <v>117010.22805333334</v>
      </c>
      <c r="W27" s="412">
        <f>F27+J27+N27+R27+V27</f>
        <v>700908.88272000011</v>
      </c>
      <c r="AE27" s="239"/>
      <c r="AF27" s="280"/>
      <c r="AG27" s="280"/>
    </row>
    <row r="28" spans="1:36" s="313" customFormat="1" ht="15" customHeight="1">
      <c r="A28" s="303" t="s">
        <v>81</v>
      </c>
      <c r="B28" s="304"/>
      <c r="C28" s="305"/>
      <c r="D28" s="306"/>
      <c r="E28" s="307"/>
      <c r="F28" s="308">
        <f>F27+F8</f>
        <v>109479.16666666667</v>
      </c>
      <c r="G28" s="305"/>
      <c r="H28" s="306"/>
      <c r="I28" s="309"/>
      <c r="J28" s="308">
        <f>J27+J8</f>
        <v>206440</v>
      </c>
      <c r="K28" s="305"/>
      <c r="L28" s="306"/>
      <c r="M28" s="307"/>
      <c r="N28" s="308">
        <f>N27+N8</f>
        <v>207126.40000000002</v>
      </c>
      <c r="O28" s="305"/>
      <c r="P28" s="306"/>
      <c r="Q28" s="309"/>
      <c r="R28" s="308">
        <f>R27+R8</f>
        <v>207537.40800000002</v>
      </c>
      <c r="S28" s="305"/>
      <c r="T28" s="306"/>
      <c r="U28" s="309"/>
      <c r="V28" s="308">
        <f>V27+V8</f>
        <v>159417.60085333337</v>
      </c>
      <c r="W28" s="310">
        <f>+F28+J28+N28+R28+V28</f>
        <v>890000.57552000007</v>
      </c>
      <c r="X28" s="311"/>
      <c r="Y28" s="311"/>
      <c r="Z28" s="311"/>
      <c r="AA28" s="311"/>
      <c r="AB28" s="311"/>
      <c r="AC28" s="312"/>
      <c r="AD28" s="312"/>
      <c r="AE28" s="311"/>
      <c r="AG28" s="313" t="s">
        <v>119</v>
      </c>
      <c r="AJ28" s="312"/>
    </row>
    <row r="29" spans="1:36" s="266" customFormat="1" ht="15" customHeight="1" outlineLevel="1">
      <c r="A29" s="267" t="s">
        <v>82</v>
      </c>
      <c r="B29" s="268"/>
      <c r="C29" s="258"/>
      <c r="D29" s="259"/>
      <c r="E29" s="260"/>
      <c r="F29" s="261"/>
      <c r="G29" s="258"/>
      <c r="H29" s="259"/>
      <c r="I29" s="262"/>
      <c r="J29" s="263"/>
      <c r="K29" s="258"/>
      <c r="L29" s="259"/>
      <c r="M29" s="260"/>
      <c r="N29" s="263"/>
      <c r="O29" s="258"/>
      <c r="P29" s="259"/>
      <c r="Q29" s="262"/>
      <c r="R29" s="263"/>
      <c r="S29" s="258"/>
      <c r="T29" s="259"/>
      <c r="U29" s="262"/>
      <c r="V29" s="263"/>
      <c r="W29" s="264"/>
      <c r="X29" s="233"/>
      <c r="Y29" s="233"/>
      <c r="Z29" s="233"/>
      <c r="AA29" s="233"/>
      <c r="AB29" s="233"/>
      <c r="AC29" s="233"/>
      <c r="AD29" s="233"/>
      <c r="AE29" s="239"/>
      <c r="AJ29" s="233"/>
    </row>
    <row r="30" spans="1:36" s="266" customFormat="1" ht="15" customHeight="1" outlineLevel="1">
      <c r="A30" s="314" t="s">
        <v>75</v>
      </c>
      <c r="B30" s="293" t="str">
        <f>'Program Budget'!F352</f>
        <v>%</v>
      </c>
      <c r="C30" s="421">
        <f>F7</f>
        <v>29000</v>
      </c>
      <c r="D30" s="295">
        <v>1</v>
      </c>
      <c r="E30" s="236">
        <f>'Program Budget'!H353</f>
        <v>0.23469999999999999</v>
      </c>
      <c r="F30" s="275">
        <f>C30*D30*E30</f>
        <v>6806.3</v>
      </c>
      <c r="G30" s="421">
        <f>J7</f>
        <v>37700</v>
      </c>
      <c r="H30" s="295">
        <v>1</v>
      </c>
      <c r="I30" s="236">
        <f>E30</f>
        <v>0.23469999999999999</v>
      </c>
      <c r="J30" s="275">
        <f t="shared" ref="J30:J31" si="20">G30*H30*I30</f>
        <v>8848.19</v>
      </c>
      <c r="K30" s="421">
        <f>N7</f>
        <v>39208.000000000007</v>
      </c>
      <c r="L30" s="295">
        <v>1</v>
      </c>
      <c r="M30" s="236">
        <f>I30</f>
        <v>0.23469999999999999</v>
      </c>
      <c r="N30" s="275">
        <f t="shared" ref="N30:N31" si="21">K30*L30*M30</f>
        <v>9202.1176000000014</v>
      </c>
      <c r="O30" s="421">
        <f>R7</f>
        <v>40776.320000000007</v>
      </c>
      <c r="P30" s="295">
        <v>1</v>
      </c>
      <c r="Q30" s="236">
        <f>M30</f>
        <v>0.23469999999999999</v>
      </c>
      <c r="R30" s="275">
        <f t="shared" ref="R30:R31" si="22">O30*P30*Q30</f>
        <v>9570.2023040000022</v>
      </c>
      <c r="S30" s="421">
        <f>V7</f>
        <v>42407.372800000012</v>
      </c>
      <c r="T30" s="295">
        <v>1</v>
      </c>
      <c r="U30" s="236">
        <f>Q30</f>
        <v>0.23469999999999999</v>
      </c>
      <c r="V30" s="275">
        <f t="shared" ref="V30:V31" si="23">S30*T30*U30</f>
        <v>9953.0103961600016</v>
      </c>
      <c r="W30" s="411">
        <f t="shared" ref="W30:W31" si="24">F30+J30+N30+R30+V30</f>
        <v>44379.820300160012</v>
      </c>
      <c r="X30" s="233"/>
      <c r="Y30" s="233"/>
      <c r="Z30" s="233"/>
      <c r="AA30" s="233"/>
      <c r="AB30" s="233"/>
      <c r="AC30" s="233"/>
      <c r="AD30" s="233"/>
      <c r="AE30" s="239">
        <v>194</v>
      </c>
      <c r="AF30" s="280" t="s">
        <v>120</v>
      </c>
      <c r="AG30" s="280" t="s">
        <v>121</v>
      </c>
      <c r="AJ30" s="233"/>
    </row>
    <row r="31" spans="1:36" s="266" customFormat="1" ht="15" customHeight="1" outlineLevel="1">
      <c r="A31" s="314" t="s">
        <v>83</v>
      </c>
      <c r="B31" s="293" t="str">
        <f>'Program Budget'!F353</f>
        <v>%</v>
      </c>
      <c r="C31" s="421">
        <f>F27</f>
        <v>80479.166666666672</v>
      </c>
      <c r="D31" s="295">
        <v>1</v>
      </c>
      <c r="E31" s="236">
        <f>'Program Budget'!H352</f>
        <v>0.26919999999999999</v>
      </c>
      <c r="F31" s="275">
        <f>C31*D31*E31</f>
        <v>21664.991666666669</v>
      </c>
      <c r="G31" s="421">
        <f>J27</f>
        <v>168740</v>
      </c>
      <c r="H31" s="295">
        <v>1</v>
      </c>
      <c r="I31" s="236">
        <f t="shared" ref="I31" si="25">E31</f>
        <v>0.26919999999999999</v>
      </c>
      <c r="J31" s="275">
        <f t="shared" si="20"/>
        <v>45424.807999999997</v>
      </c>
      <c r="K31" s="421">
        <f>N27</f>
        <v>167918.40000000002</v>
      </c>
      <c r="L31" s="295">
        <v>1</v>
      </c>
      <c r="M31" s="236">
        <f t="shared" ref="M31" si="26">I31</f>
        <v>0.26919999999999999</v>
      </c>
      <c r="N31" s="275">
        <f t="shared" si="21"/>
        <v>45203.633280000002</v>
      </c>
      <c r="O31" s="421">
        <f>R27</f>
        <v>166761.08800000002</v>
      </c>
      <c r="P31" s="295">
        <v>1</v>
      </c>
      <c r="Q31" s="236">
        <f t="shared" ref="Q31" si="27">M31</f>
        <v>0.26919999999999999</v>
      </c>
      <c r="R31" s="275">
        <f t="shared" si="22"/>
        <v>44892.084889600002</v>
      </c>
      <c r="S31" s="421">
        <f>V27</f>
        <v>117010.22805333334</v>
      </c>
      <c r="T31" s="295">
        <v>1</v>
      </c>
      <c r="U31" s="236">
        <f t="shared" ref="U31" si="28">Q31</f>
        <v>0.26919999999999999</v>
      </c>
      <c r="V31" s="275">
        <f t="shared" si="23"/>
        <v>31499.153391957334</v>
      </c>
      <c r="W31" s="413">
        <f t="shared" si="24"/>
        <v>188684.671228224</v>
      </c>
      <c r="X31" s="233"/>
      <c r="Y31" s="233"/>
      <c r="Z31" s="233"/>
      <c r="AA31" s="233"/>
      <c r="AB31" s="233"/>
      <c r="AC31" s="233"/>
      <c r="AD31" s="233"/>
      <c r="AE31" s="315">
        <v>197</v>
      </c>
      <c r="AF31" s="316" t="s">
        <v>122</v>
      </c>
      <c r="AG31" s="316" t="s">
        <v>123</v>
      </c>
      <c r="AJ31" s="233"/>
    </row>
    <row r="32" spans="1:36" ht="15" customHeight="1" outlineLevel="1">
      <c r="A32" s="285" t="s">
        <v>85</v>
      </c>
      <c r="B32" s="286"/>
      <c r="C32" s="287"/>
      <c r="D32" s="288"/>
      <c r="E32" s="289"/>
      <c r="F32" s="290">
        <f>+SUM(F30:F31)</f>
        <v>28471.291666666668</v>
      </c>
      <c r="G32" s="287"/>
      <c r="H32" s="288"/>
      <c r="I32" s="291"/>
      <c r="J32" s="290">
        <f>+SUM(J30:J31)</f>
        <v>54272.998</v>
      </c>
      <c r="K32" s="287"/>
      <c r="L32" s="288"/>
      <c r="M32" s="289"/>
      <c r="N32" s="290">
        <f>+SUM(N30:N31)</f>
        <v>54405.750880000007</v>
      </c>
      <c r="O32" s="287"/>
      <c r="P32" s="288"/>
      <c r="Q32" s="291"/>
      <c r="R32" s="290">
        <f>+SUM(R30:R31)</f>
        <v>54462.287193600001</v>
      </c>
      <c r="S32" s="287"/>
      <c r="T32" s="288"/>
      <c r="U32" s="291"/>
      <c r="V32" s="290">
        <f>+SUM(V30:V31)</f>
        <v>41452.163788117337</v>
      </c>
      <c r="W32" s="412">
        <f>+F32+J32+N32+R32+V32</f>
        <v>233064.49152838398</v>
      </c>
      <c r="AE32" s="239"/>
      <c r="AF32" s="280"/>
      <c r="AG32" s="280"/>
    </row>
    <row r="33" spans="1:36" s="266" customFormat="1" ht="15" customHeight="1" outlineLevel="1">
      <c r="A33" s="267" t="s">
        <v>86</v>
      </c>
      <c r="B33" s="324"/>
      <c r="C33" s="294"/>
      <c r="D33" s="295"/>
      <c r="E33" s="236"/>
      <c r="F33" s="325"/>
      <c r="G33" s="294"/>
      <c r="H33" s="295"/>
      <c r="I33" s="237"/>
      <c r="J33" s="298"/>
      <c r="K33" s="294"/>
      <c r="L33" s="295"/>
      <c r="M33" s="236"/>
      <c r="N33" s="298"/>
      <c r="O33" s="294"/>
      <c r="P33" s="295"/>
      <c r="Q33" s="237"/>
      <c r="R33" s="298"/>
      <c r="S33" s="294"/>
      <c r="T33" s="295"/>
      <c r="U33" s="237"/>
      <c r="V33" s="298"/>
      <c r="W33" s="411">
        <f>+F33+J33+N33+R33+V33</f>
        <v>0</v>
      </c>
      <c r="X33" s="233"/>
      <c r="Y33" s="233"/>
      <c r="Z33" s="233"/>
      <c r="AA33" s="233"/>
      <c r="AB33" s="233"/>
      <c r="AC33" s="233"/>
      <c r="AD33" s="233"/>
      <c r="AE33" s="239"/>
      <c r="AF33" s="280"/>
      <c r="AG33" s="280" t="s">
        <v>119</v>
      </c>
      <c r="AJ33" s="233"/>
    </row>
    <row r="34" spans="1:36" s="266" customFormat="1" ht="15" customHeight="1" outlineLevel="1">
      <c r="A34" s="270" t="str">
        <f>'Program Budget'!D354</f>
        <v>Cost of Living Adjustment for Ex-pat Chief of Party</v>
      </c>
      <c r="B34" s="293" t="str">
        <f>'Program Budget'!F354</f>
        <v>%</v>
      </c>
      <c r="C34" s="423">
        <f>F7</f>
        <v>29000</v>
      </c>
      <c r="D34" s="235">
        <v>1</v>
      </c>
      <c r="E34" s="236">
        <f>'Program Budget'!H354</f>
        <v>0.15</v>
      </c>
      <c r="F34" s="275">
        <f>C34*D34*E34</f>
        <v>4350</v>
      </c>
      <c r="G34" s="423">
        <f>J7</f>
        <v>37700</v>
      </c>
      <c r="H34" s="235">
        <v>1</v>
      </c>
      <c r="I34" s="237">
        <f>E34</f>
        <v>0.15</v>
      </c>
      <c r="J34" s="275">
        <f>G34*H34*I34</f>
        <v>5655</v>
      </c>
      <c r="K34" s="423">
        <f>N7</f>
        <v>39208.000000000007</v>
      </c>
      <c r="L34" s="235">
        <v>1</v>
      </c>
      <c r="M34" s="236">
        <f>I34</f>
        <v>0.15</v>
      </c>
      <c r="N34" s="275">
        <f>K34*L34*M34</f>
        <v>5881.2000000000007</v>
      </c>
      <c r="O34" s="423">
        <f>R7</f>
        <v>40776.320000000007</v>
      </c>
      <c r="P34" s="235">
        <v>1</v>
      </c>
      <c r="Q34" s="237">
        <f>M34</f>
        <v>0.15</v>
      </c>
      <c r="R34" s="275">
        <f>O34*P34*Q34</f>
        <v>6116.4480000000012</v>
      </c>
      <c r="S34" s="423">
        <f>V7</f>
        <v>42407.372800000012</v>
      </c>
      <c r="T34" s="235">
        <v>1</v>
      </c>
      <c r="U34" s="237">
        <f>Q34</f>
        <v>0.15</v>
      </c>
      <c r="V34" s="275">
        <f>S34*T34*U34</f>
        <v>6361.1059200000018</v>
      </c>
      <c r="W34" s="415">
        <f t="shared" ref="W34:W35" si="29">F34+J34+N34+R34+V34</f>
        <v>28363.753920000003</v>
      </c>
      <c r="X34" s="233"/>
      <c r="Y34" s="233"/>
      <c r="Z34" s="233"/>
      <c r="AA34" s="233"/>
      <c r="AB34" s="233"/>
      <c r="AC34" s="233"/>
      <c r="AD34" s="233"/>
      <c r="AE34" s="239"/>
      <c r="AF34" s="284"/>
      <c r="AG34" s="284"/>
      <c r="AJ34" s="233"/>
    </row>
    <row r="35" spans="1:36" s="266" customFormat="1" ht="15" customHeight="1" outlineLevel="1">
      <c r="A35" s="270" t="str">
        <f>'Program Budget'!D355</f>
        <v>Post Hardship for Ex-pat Chief of Party</v>
      </c>
      <c r="B35" s="293" t="str">
        <f>'Program Budget'!F355</f>
        <v>%</v>
      </c>
      <c r="C35" s="423">
        <f>F7</f>
        <v>29000</v>
      </c>
      <c r="D35" s="235">
        <v>1</v>
      </c>
      <c r="E35" s="236">
        <f>'Program Budget'!H355</f>
        <v>0.35</v>
      </c>
      <c r="F35" s="275">
        <f>C35*D35*E35</f>
        <v>10150</v>
      </c>
      <c r="G35" s="423">
        <f>J7</f>
        <v>37700</v>
      </c>
      <c r="H35" s="235">
        <v>1</v>
      </c>
      <c r="I35" s="237">
        <f>E35</f>
        <v>0.35</v>
      </c>
      <c r="J35" s="275">
        <f>G35*H35*I35</f>
        <v>13195</v>
      </c>
      <c r="K35" s="423">
        <f>N7</f>
        <v>39208.000000000007</v>
      </c>
      <c r="L35" s="235">
        <v>1</v>
      </c>
      <c r="M35" s="236">
        <f>I35</f>
        <v>0.35</v>
      </c>
      <c r="N35" s="275">
        <f>K35*L35*M35</f>
        <v>13722.800000000001</v>
      </c>
      <c r="O35" s="423">
        <f>R7</f>
        <v>40776.320000000007</v>
      </c>
      <c r="P35" s="235">
        <v>1</v>
      </c>
      <c r="Q35" s="237">
        <f>M35</f>
        <v>0.35</v>
      </c>
      <c r="R35" s="275">
        <f>O35*P35*Q35</f>
        <v>14271.712000000001</v>
      </c>
      <c r="S35" s="423">
        <f>V7</f>
        <v>42407.372800000012</v>
      </c>
      <c r="T35" s="235">
        <v>1</v>
      </c>
      <c r="U35" s="237">
        <f>Q35</f>
        <v>0.35</v>
      </c>
      <c r="V35" s="275">
        <f>S35*T35*U35</f>
        <v>14842.580480000002</v>
      </c>
      <c r="W35" s="415">
        <f t="shared" si="29"/>
        <v>66182.092480000007</v>
      </c>
      <c r="X35" s="233"/>
      <c r="Y35" s="233"/>
      <c r="Z35" s="233"/>
      <c r="AA35" s="233"/>
      <c r="AB35" s="233"/>
      <c r="AC35" s="233"/>
      <c r="AD35" s="233"/>
      <c r="AE35" s="239"/>
      <c r="AF35" s="284"/>
      <c r="AG35" s="284"/>
      <c r="AJ35" s="233"/>
    </row>
    <row r="36" spans="1:36" ht="15" customHeight="1" outlineLevel="1">
      <c r="A36" s="285" t="s">
        <v>87</v>
      </c>
      <c r="B36" s="286"/>
      <c r="C36" s="287"/>
      <c r="D36" s="288"/>
      <c r="E36" s="289"/>
      <c r="F36" s="290">
        <f>SUM(F34:F35)</f>
        <v>14500</v>
      </c>
      <c r="G36" s="287"/>
      <c r="H36" s="288"/>
      <c r="I36" s="291"/>
      <c r="J36" s="290">
        <f>SUM(J34:J35)</f>
        <v>18850</v>
      </c>
      <c r="K36" s="287"/>
      <c r="L36" s="288"/>
      <c r="M36" s="289"/>
      <c r="N36" s="290">
        <f>SUM(N34:N35)</f>
        <v>19604</v>
      </c>
      <c r="O36" s="287"/>
      <c r="P36" s="288"/>
      <c r="Q36" s="291"/>
      <c r="R36" s="290">
        <f>SUM(R34:R35)</f>
        <v>20388.160000000003</v>
      </c>
      <c r="S36" s="287"/>
      <c r="T36" s="288"/>
      <c r="U36" s="291"/>
      <c r="V36" s="290">
        <f>SUM(V34:V35)</f>
        <v>21203.686400000006</v>
      </c>
      <c r="W36" s="412">
        <f>F36+J36+N36+R36+V36</f>
        <v>94545.846400000009</v>
      </c>
      <c r="AE36" s="239"/>
      <c r="AF36" s="280"/>
      <c r="AG36" s="280"/>
    </row>
    <row r="37" spans="1:36" s="335" customFormat="1" ht="18.3" outlineLevel="1">
      <c r="A37" s="326" t="s">
        <v>88</v>
      </c>
      <c r="B37" s="327"/>
      <c r="C37" s="328"/>
      <c r="D37" s="329"/>
      <c r="E37" s="330"/>
      <c r="F37" s="331">
        <f>F36+F32</f>
        <v>42971.291666666672</v>
      </c>
      <c r="G37" s="328"/>
      <c r="H37" s="329"/>
      <c r="I37" s="332"/>
      <c r="J37" s="331">
        <f>J36+J32</f>
        <v>73122.997999999992</v>
      </c>
      <c r="K37" s="328"/>
      <c r="L37" s="329"/>
      <c r="M37" s="330"/>
      <c r="N37" s="331">
        <f>N36+N32</f>
        <v>74009.750880000007</v>
      </c>
      <c r="O37" s="328"/>
      <c r="P37" s="329"/>
      <c r="Q37" s="332"/>
      <c r="R37" s="331">
        <f>R36+R32</f>
        <v>74850.447193600005</v>
      </c>
      <c r="S37" s="328"/>
      <c r="T37" s="329"/>
      <c r="U37" s="332"/>
      <c r="V37" s="331">
        <f>V36+V32</f>
        <v>62655.850188117343</v>
      </c>
      <c r="W37" s="310">
        <f>+F37+J37+N37+R37+V37</f>
        <v>327610.33792838402</v>
      </c>
      <c r="X37" s="312"/>
      <c r="Y37" s="312"/>
      <c r="Z37" s="312"/>
      <c r="AA37" s="312"/>
      <c r="AB37" s="312"/>
      <c r="AC37" s="312"/>
      <c r="AD37" s="312"/>
      <c r="AE37" s="311">
        <v>287</v>
      </c>
      <c r="AF37" s="333" t="s">
        <v>128</v>
      </c>
      <c r="AG37" s="333" t="s">
        <v>129</v>
      </c>
      <c r="AH37" s="334"/>
      <c r="AJ37" s="312"/>
    </row>
    <row r="38" spans="1:36" s="337" customFormat="1" ht="15.6" outlineLevel="1">
      <c r="A38" s="267" t="s">
        <v>90</v>
      </c>
      <c r="B38" s="268"/>
      <c r="C38" s="234"/>
      <c r="D38" s="235"/>
      <c r="E38" s="260"/>
      <c r="F38" s="275"/>
      <c r="G38" s="234"/>
      <c r="H38" s="235"/>
      <c r="I38" s="262"/>
      <c r="J38" s="275"/>
      <c r="K38" s="234"/>
      <c r="L38" s="235"/>
      <c r="M38" s="260"/>
      <c r="N38" s="275"/>
      <c r="O38" s="234"/>
      <c r="P38" s="235"/>
      <c r="Q38" s="262"/>
      <c r="R38" s="275"/>
      <c r="S38" s="234"/>
      <c r="T38" s="235"/>
      <c r="U38" s="262"/>
      <c r="V38" s="275"/>
      <c r="W38" s="411"/>
      <c r="X38" s="233"/>
      <c r="Y38" s="233"/>
      <c r="Z38" s="233"/>
      <c r="AA38" s="233"/>
      <c r="AB38" s="233"/>
      <c r="AC38" s="233"/>
      <c r="AD38" s="233"/>
      <c r="AE38" s="239"/>
      <c r="AF38" s="280"/>
      <c r="AG38" s="280"/>
      <c r="AH38" s="336"/>
      <c r="AJ38" s="233"/>
    </row>
    <row r="39" spans="1:36" ht="15" customHeight="1" outlineLevel="1">
      <c r="A39" s="270" t="str">
        <f>'Program Budget'!D379</f>
        <v>Local Transportation for Trainings</v>
      </c>
      <c r="B39" s="271" t="str">
        <f>'Program Budget'!F379</f>
        <v>Trip</v>
      </c>
      <c r="C39" s="272">
        <f>'Program Budget'!H379</f>
        <v>100</v>
      </c>
      <c r="D39" s="273">
        <f>'Program Budget'!G379</f>
        <v>6</v>
      </c>
      <c r="E39" s="274">
        <v>1</v>
      </c>
      <c r="F39" s="275">
        <f>C39*D39*E39</f>
        <v>600</v>
      </c>
      <c r="G39" s="272">
        <f t="shared" ref="G39" si="30">C39*1.04</f>
        <v>104</v>
      </c>
      <c r="H39" s="273">
        <f>'Program Budget'!K379</f>
        <v>12</v>
      </c>
      <c r="I39" s="274">
        <v>1</v>
      </c>
      <c r="J39" s="275">
        <f>G39*H39*I39</f>
        <v>1248</v>
      </c>
      <c r="K39" s="272">
        <f t="shared" ref="K39" si="31">G39*1.04</f>
        <v>108.16</v>
      </c>
      <c r="L39" s="273">
        <f>'Program Budget'!N379</f>
        <v>12</v>
      </c>
      <c r="M39" s="274">
        <v>1</v>
      </c>
      <c r="N39" s="275">
        <f>K39*L39*M39</f>
        <v>1297.92</v>
      </c>
      <c r="O39" s="272">
        <f t="shared" ref="O39" si="32">K39*1.04</f>
        <v>112.4864</v>
      </c>
      <c r="P39" s="273">
        <f>'Program Budget'!Q379</f>
        <v>12</v>
      </c>
      <c r="Q39" s="274">
        <v>1</v>
      </c>
      <c r="R39" s="275">
        <f>O39*P39*Q39</f>
        <v>1349.8368</v>
      </c>
      <c r="S39" s="272">
        <f t="shared" ref="S39" si="33">O39*1.04</f>
        <v>116.98585600000001</v>
      </c>
      <c r="T39" s="273">
        <f>'Program Budget'!T379</f>
        <v>9</v>
      </c>
      <c r="U39" s="274">
        <v>1</v>
      </c>
      <c r="V39" s="275">
        <f>S39*T39*U39</f>
        <v>1052.8727040000001</v>
      </c>
      <c r="W39" s="411">
        <f>F39+J39+N39+R39+V39</f>
        <v>5548.6295040000005</v>
      </c>
      <c r="X39" s="278"/>
      <c r="Y39" s="265"/>
      <c r="Z39" s="279"/>
      <c r="AA39" s="279"/>
      <c r="AE39" s="239">
        <v>180</v>
      </c>
      <c r="AF39" s="280" t="s">
        <v>117</v>
      </c>
      <c r="AG39" s="280" t="s">
        <v>118</v>
      </c>
      <c r="AH39" s="281"/>
      <c r="AJ39" s="282"/>
    </row>
    <row r="40" spans="1:36" ht="15" customHeight="1" outlineLevel="1">
      <c r="A40" s="270" t="str">
        <f>'Program Budget'!D382</f>
        <v>Transport Costs for Trade Shows and Events</v>
      </c>
      <c r="B40" s="271" t="str">
        <f>'Program Budget'!F382</f>
        <v>Trip</v>
      </c>
      <c r="C40" s="272">
        <f>'Program Budget'!H382</f>
        <v>1800</v>
      </c>
      <c r="D40" s="273">
        <f>'Program Budget'!G382</f>
        <v>4</v>
      </c>
      <c r="E40" s="274">
        <v>1</v>
      </c>
      <c r="F40" s="275">
        <f t="shared" ref="F40" si="34">C40*D40*E40</f>
        <v>7200</v>
      </c>
      <c r="G40" s="272">
        <f t="shared" ref="G40" si="35">C40*1.04</f>
        <v>1872</v>
      </c>
      <c r="H40" s="273">
        <f>'Program Budget'!K382</f>
        <v>4</v>
      </c>
      <c r="I40" s="274">
        <v>1</v>
      </c>
      <c r="J40" s="275">
        <f t="shared" ref="J40" si="36">G40*H40*I40</f>
        <v>7488</v>
      </c>
      <c r="K40" s="272">
        <f t="shared" ref="K40" si="37">G40*1.04</f>
        <v>1946.88</v>
      </c>
      <c r="L40" s="273">
        <f>'Program Budget'!N382</f>
        <v>4</v>
      </c>
      <c r="M40" s="274">
        <v>1</v>
      </c>
      <c r="N40" s="275">
        <f t="shared" ref="N40" si="38">K40*L40*M40</f>
        <v>7787.52</v>
      </c>
      <c r="O40" s="272">
        <f t="shared" ref="O40" si="39">K40*1.04</f>
        <v>2024.7552000000003</v>
      </c>
      <c r="P40" s="273">
        <f>'Program Budget'!Q382</f>
        <v>4</v>
      </c>
      <c r="Q40" s="274">
        <v>1</v>
      </c>
      <c r="R40" s="275">
        <f t="shared" ref="R40" si="40">O40*P40*Q40</f>
        <v>8099.0208000000011</v>
      </c>
      <c r="S40" s="272">
        <f t="shared" ref="S40" si="41">O40*1.04</f>
        <v>2105.7454080000002</v>
      </c>
      <c r="T40" s="273">
        <f>'Program Budget'!T382</f>
        <v>4</v>
      </c>
      <c r="U40" s="274">
        <v>1</v>
      </c>
      <c r="V40" s="275">
        <f t="shared" ref="V40" si="42">S40*T40*U40</f>
        <v>8422.9816320000009</v>
      </c>
      <c r="W40" s="411">
        <f t="shared" ref="W40" si="43">F40+J40+N40+R40+V40</f>
        <v>38997.522432000005</v>
      </c>
      <c r="X40" s="278"/>
      <c r="Y40" s="265"/>
      <c r="Z40" s="279"/>
      <c r="AA40" s="279"/>
      <c r="AE40" s="239"/>
      <c r="AF40" s="280"/>
      <c r="AG40" s="280"/>
      <c r="AH40" s="281"/>
      <c r="AJ40" s="282"/>
    </row>
    <row r="41" spans="1:36" s="337" customFormat="1" ht="15.6" outlineLevel="1">
      <c r="A41" s="267" t="s">
        <v>91</v>
      </c>
      <c r="B41" s="293"/>
      <c r="C41" s="234"/>
      <c r="D41" s="235"/>
      <c r="E41" s="236"/>
      <c r="F41" s="275"/>
      <c r="G41" s="234"/>
      <c r="H41" s="235"/>
      <c r="I41" s="237"/>
      <c r="J41" s="275"/>
      <c r="K41" s="234"/>
      <c r="L41" s="235"/>
      <c r="M41" s="236"/>
      <c r="N41" s="275"/>
      <c r="O41" s="234"/>
      <c r="P41" s="235"/>
      <c r="Q41" s="237"/>
      <c r="R41" s="275"/>
      <c r="S41" s="234"/>
      <c r="T41" s="235"/>
      <c r="U41" s="237"/>
      <c r="V41" s="275"/>
      <c r="W41" s="411"/>
      <c r="X41" s="233"/>
      <c r="Y41" s="233"/>
      <c r="Z41" s="233"/>
      <c r="AA41" s="233"/>
      <c r="AB41" s="233"/>
      <c r="AC41" s="233"/>
      <c r="AD41" s="233"/>
      <c r="AE41" s="239"/>
      <c r="AF41" s="280"/>
      <c r="AG41" s="280"/>
      <c r="AH41" s="336"/>
      <c r="AJ41" s="233"/>
    </row>
    <row r="42" spans="1:36" ht="15" customHeight="1" outlineLevel="1">
      <c r="A42" s="270" t="str">
        <f>'Program Budget'!D378</f>
        <v>Motorcycle and Vehicle Fuel Expense</v>
      </c>
      <c r="B42" s="271" t="str">
        <f>'Program Budget'!F378</f>
        <v>Month</v>
      </c>
      <c r="C42" s="272">
        <f>'Program Budget'!H378</f>
        <v>100</v>
      </c>
      <c r="D42" s="273">
        <f>'Program Budget'!G378</f>
        <v>3</v>
      </c>
      <c r="E42" s="274">
        <v>1</v>
      </c>
      <c r="F42" s="275">
        <f>C42*D42*E42</f>
        <v>300</v>
      </c>
      <c r="G42" s="272">
        <f>C42*1.04</f>
        <v>104</v>
      </c>
      <c r="H42" s="273">
        <f>'Program Budget'!K378</f>
        <v>12</v>
      </c>
      <c r="I42" s="274">
        <v>1</v>
      </c>
      <c r="J42" s="275">
        <f>G42*H42*I42</f>
        <v>1248</v>
      </c>
      <c r="K42" s="272">
        <f t="shared" ref="K42" si="44">G42*1.04</f>
        <v>108.16</v>
      </c>
      <c r="L42" s="273">
        <f>'Program Budget'!N378</f>
        <v>12</v>
      </c>
      <c r="M42" s="274">
        <v>1</v>
      </c>
      <c r="N42" s="275">
        <f>K42*L42*M42</f>
        <v>1297.92</v>
      </c>
      <c r="O42" s="272">
        <f t="shared" ref="O42" si="45">K42*1.04</f>
        <v>112.4864</v>
      </c>
      <c r="P42" s="273">
        <f>'Program Budget'!Q378</f>
        <v>12</v>
      </c>
      <c r="Q42" s="274">
        <v>1</v>
      </c>
      <c r="R42" s="275">
        <f>O42*P42*Q42</f>
        <v>1349.8368</v>
      </c>
      <c r="S42" s="272">
        <f>O42*1.04</f>
        <v>116.98585600000001</v>
      </c>
      <c r="T42" s="273">
        <f>'Program Budget'!T378</f>
        <v>7</v>
      </c>
      <c r="U42" s="274">
        <v>1</v>
      </c>
      <c r="V42" s="275">
        <f>S42*T42*U42</f>
        <v>818.90099200000009</v>
      </c>
      <c r="W42" s="411">
        <f>F42+J42+N42+R42+V42</f>
        <v>5014.657792</v>
      </c>
      <c r="X42" s="278"/>
      <c r="Y42" s="265"/>
      <c r="Z42" s="279"/>
      <c r="AA42" s="279"/>
      <c r="AE42" s="239">
        <v>180</v>
      </c>
      <c r="AF42" s="280" t="s">
        <v>117</v>
      </c>
      <c r="AG42" s="280" t="s">
        <v>118</v>
      </c>
      <c r="AH42" s="281"/>
      <c r="AJ42" s="282"/>
    </row>
    <row r="43" spans="1:36" s="337" customFormat="1" ht="15.6" outlineLevel="1">
      <c r="A43" s="267" t="s">
        <v>92</v>
      </c>
      <c r="B43" s="293"/>
      <c r="C43" s="234"/>
      <c r="D43" s="235"/>
      <c r="E43" s="236"/>
      <c r="F43" s="275"/>
      <c r="G43" s="234"/>
      <c r="H43" s="235"/>
      <c r="I43" s="237"/>
      <c r="J43" s="275"/>
      <c r="K43" s="234"/>
      <c r="L43" s="235"/>
      <c r="M43" s="236"/>
      <c r="N43" s="275"/>
      <c r="O43" s="234"/>
      <c r="P43" s="235"/>
      <c r="Q43" s="237"/>
      <c r="R43" s="275"/>
      <c r="S43" s="234"/>
      <c r="T43" s="235"/>
      <c r="U43" s="237"/>
      <c r="V43" s="275"/>
      <c r="W43" s="411"/>
      <c r="X43" s="233"/>
      <c r="Y43" s="233"/>
      <c r="Z43" s="233"/>
      <c r="AA43" s="233"/>
      <c r="AB43" s="233"/>
      <c r="AC43" s="233"/>
      <c r="AD43" s="233"/>
      <c r="AE43" s="239"/>
      <c r="AF43" s="280"/>
      <c r="AG43" s="280"/>
      <c r="AH43" s="336"/>
      <c r="AJ43" s="233"/>
    </row>
    <row r="44" spans="1:36" ht="15" customHeight="1" outlineLevel="1">
      <c r="A44" s="270" t="str">
        <f>'Program Budget'!D380</f>
        <v>Lodging and M&amp;IE for Trainings</v>
      </c>
      <c r="B44" s="271" t="str">
        <f>'Program Budget'!F380</f>
        <v>Day</v>
      </c>
      <c r="C44" s="272">
        <f>'Program Budget'!H380</f>
        <v>78</v>
      </c>
      <c r="D44" s="273">
        <f>'Program Budget'!G380</f>
        <v>18</v>
      </c>
      <c r="E44" s="274">
        <v>1</v>
      </c>
      <c r="F44" s="275">
        <f>C44*D44*E44</f>
        <v>1404</v>
      </c>
      <c r="G44" s="272">
        <f t="shared" ref="G44" si="46">C44*1.04</f>
        <v>81.12</v>
      </c>
      <c r="H44" s="273">
        <f>'Program Budget'!K380</f>
        <v>36</v>
      </c>
      <c r="I44" s="274">
        <v>1</v>
      </c>
      <c r="J44" s="275">
        <f>G44*H44*I44</f>
        <v>2920.32</v>
      </c>
      <c r="K44" s="272">
        <f t="shared" ref="K44" si="47">G44*1.04</f>
        <v>84.364800000000002</v>
      </c>
      <c r="L44" s="273">
        <f>'Program Budget'!N380</f>
        <v>36</v>
      </c>
      <c r="M44" s="274">
        <v>1</v>
      </c>
      <c r="N44" s="275">
        <f>K44*L44*M44</f>
        <v>3037.1328000000003</v>
      </c>
      <c r="O44" s="272">
        <f t="shared" ref="O44" si="48">K44*1.04</f>
        <v>87.739392000000009</v>
      </c>
      <c r="P44" s="273">
        <f>'Program Budget'!Q380</f>
        <v>36</v>
      </c>
      <c r="Q44" s="274">
        <v>1</v>
      </c>
      <c r="R44" s="275">
        <f>O44*P44*Q44</f>
        <v>3158.6181120000001</v>
      </c>
      <c r="S44" s="272">
        <f t="shared" ref="S44" si="49">O44*1.04</f>
        <v>91.248967680000007</v>
      </c>
      <c r="T44" s="273">
        <f>'Program Budget'!T380</f>
        <v>27</v>
      </c>
      <c r="U44" s="274">
        <v>1</v>
      </c>
      <c r="V44" s="275">
        <f>S44*T44*U44</f>
        <v>2463.7221273600003</v>
      </c>
      <c r="W44" s="411">
        <f>F44+J44+N44+R44+V44</f>
        <v>12983.79303936</v>
      </c>
      <c r="X44" s="278"/>
      <c r="Y44" s="265"/>
      <c r="Z44" s="279"/>
      <c r="AA44" s="279"/>
      <c r="AE44" s="239">
        <v>180</v>
      </c>
      <c r="AF44" s="280" t="s">
        <v>117</v>
      </c>
      <c r="AG44" s="280" t="s">
        <v>118</v>
      </c>
      <c r="AH44" s="281"/>
      <c r="AJ44" s="282"/>
    </row>
    <row r="45" spans="1:36" ht="15" customHeight="1" outlineLevel="1">
      <c r="A45" s="270" t="str">
        <f>'Program Budget'!D383</f>
        <v>Lodging and M&amp;IE for Trade Shows and Events</v>
      </c>
      <c r="B45" s="271" t="str">
        <f>'Program Budget'!F383</f>
        <v>Day</v>
      </c>
      <c r="C45" s="272">
        <f>'Program Budget'!H383</f>
        <v>160</v>
      </c>
      <c r="D45" s="273">
        <f>'Program Budget'!G383</f>
        <v>20</v>
      </c>
      <c r="E45" s="274">
        <v>1</v>
      </c>
      <c r="F45" s="275">
        <f t="shared" ref="F45" si="50">C45*D45*E45</f>
        <v>3200</v>
      </c>
      <c r="G45" s="272">
        <f t="shared" ref="G45" si="51">C45*1.04</f>
        <v>166.4</v>
      </c>
      <c r="H45" s="273">
        <f>'Program Budget'!K383</f>
        <v>20</v>
      </c>
      <c r="I45" s="274">
        <v>1</v>
      </c>
      <c r="J45" s="275">
        <f t="shared" ref="J45" si="52">G45*H45*I45</f>
        <v>3328</v>
      </c>
      <c r="K45" s="272">
        <f t="shared" ref="K45" si="53">G45*1.04</f>
        <v>173.05600000000001</v>
      </c>
      <c r="L45" s="273">
        <f>'Program Budget'!N383</f>
        <v>20</v>
      </c>
      <c r="M45" s="274">
        <v>1</v>
      </c>
      <c r="N45" s="275">
        <f t="shared" ref="N45" si="54">K45*L45*M45</f>
        <v>3461.1200000000003</v>
      </c>
      <c r="O45" s="272">
        <f t="shared" ref="O45" si="55">K45*1.04</f>
        <v>179.97824000000003</v>
      </c>
      <c r="P45" s="273">
        <f>'Program Budget'!Q383</f>
        <v>20</v>
      </c>
      <c r="Q45" s="274">
        <v>1</v>
      </c>
      <c r="R45" s="275">
        <f t="shared" ref="R45" si="56">O45*P45*Q45</f>
        <v>3599.5648000000006</v>
      </c>
      <c r="S45" s="272">
        <f t="shared" ref="S45" si="57">O45*1.04</f>
        <v>187.17736960000005</v>
      </c>
      <c r="T45" s="273">
        <f>'Program Budget'!T383</f>
        <v>20</v>
      </c>
      <c r="U45" s="274">
        <v>1</v>
      </c>
      <c r="V45" s="275">
        <f t="shared" ref="V45" si="58">S45*T45*U45</f>
        <v>3743.5473920000009</v>
      </c>
      <c r="W45" s="411">
        <f t="shared" ref="W45" si="59">F45+J45+N45+R45+V45</f>
        <v>17332.232192000003</v>
      </c>
      <c r="X45" s="278"/>
      <c r="Y45" s="265"/>
      <c r="Z45" s="279"/>
      <c r="AA45" s="279"/>
      <c r="AE45" s="239">
        <v>180</v>
      </c>
      <c r="AF45" s="280" t="s">
        <v>117</v>
      </c>
      <c r="AG45" s="280" t="s">
        <v>118</v>
      </c>
      <c r="AH45" s="281"/>
      <c r="AJ45" s="282"/>
    </row>
    <row r="46" spans="1:36" outlineLevel="1">
      <c r="A46" s="403"/>
      <c r="B46" s="293"/>
      <c r="F46" s="275"/>
      <c r="J46" s="275"/>
      <c r="N46" s="275"/>
      <c r="R46" s="275"/>
      <c r="V46" s="275"/>
      <c r="W46" s="277"/>
      <c r="AE46" s="239"/>
      <c r="AF46" s="280"/>
      <c r="AG46" s="280"/>
    </row>
    <row r="47" spans="1:36" ht="18.3">
      <c r="A47" s="338" t="s">
        <v>93</v>
      </c>
      <c r="B47" s="304"/>
      <c r="C47" s="305"/>
      <c r="D47" s="339"/>
      <c r="E47" s="340"/>
      <c r="F47" s="308">
        <f>SUM(F39:F46)</f>
        <v>12704</v>
      </c>
      <c r="G47" s="305"/>
      <c r="H47" s="339"/>
      <c r="I47" s="309"/>
      <c r="J47" s="308">
        <f>SUM(J39:J46)</f>
        <v>16232.32</v>
      </c>
      <c r="K47" s="305"/>
      <c r="L47" s="339"/>
      <c r="M47" s="340"/>
      <c r="N47" s="308">
        <f>SUM(N39:N46)</f>
        <v>16881.612799999999</v>
      </c>
      <c r="O47" s="305"/>
      <c r="P47" s="339"/>
      <c r="Q47" s="309"/>
      <c r="R47" s="308">
        <f>SUM(R39:R46)</f>
        <v>17556.877312000001</v>
      </c>
      <c r="S47" s="305"/>
      <c r="T47" s="339"/>
      <c r="U47" s="309"/>
      <c r="V47" s="308">
        <f>SUM(V39:V46)</f>
        <v>16502.024847360004</v>
      </c>
      <c r="W47" s="310">
        <f>+F47+J47+N47+R47+V47</f>
        <v>79876.83495936</v>
      </c>
      <c r="X47" s="239"/>
      <c r="Y47" s="239"/>
      <c r="Z47" s="239"/>
      <c r="AA47" s="239"/>
      <c r="AB47" s="239"/>
      <c r="AE47" s="239"/>
      <c r="AF47" s="266"/>
      <c r="AG47" s="266" t="s">
        <v>119</v>
      </c>
      <c r="AH47" s="266"/>
    </row>
    <row r="48" spans="1:36" ht="15.6" outlineLevel="1">
      <c r="A48" s="267" t="s">
        <v>50</v>
      </c>
      <c r="B48" s="341"/>
      <c r="D48" s="342"/>
      <c r="E48" s="343"/>
      <c r="F48" s="325"/>
      <c r="H48" s="342"/>
      <c r="I48" s="344"/>
      <c r="J48" s="298"/>
      <c r="L48" s="342"/>
      <c r="M48" s="343"/>
      <c r="N48" s="298"/>
      <c r="P48" s="342"/>
      <c r="Q48" s="344"/>
      <c r="R48" s="298"/>
      <c r="T48" s="342"/>
      <c r="U48" s="344"/>
      <c r="V48" s="298"/>
      <c r="W48" s="277"/>
      <c r="AE48" s="239"/>
      <c r="AF48" s="280"/>
      <c r="AG48" s="345"/>
    </row>
    <row r="49" spans="1:33" ht="15.6" outlineLevel="1">
      <c r="A49" s="346" t="str">
        <f>'Program Budget'!D359</f>
        <v>Cold Chain Feasibility Study</v>
      </c>
      <c r="B49" s="271" t="str">
        <f>'Program Budget'!F288</f>
        <v>%</v>
      </c>
      <c r="C49" s="272">
        <f>'Program Budget'!H359</f>
        <v>350000</v>
      </c>
      <c r="D49" s="273">
        <f>'Program Budget'!G359</f>
        <v>0.5</v>
      </c>
      <c r="E49" s="274">
        <v>1</v>
      </c>
      <c r="F49" s="275">
        <f>C49*D49*E49</f>
        <v>175000</v>
      </c>
      <c r="G49" s="272">
        <f>C49</f>
        <v>350000</v>
      </c>
      <c r="H49" s="273">
        <f>'Program Budget'!K359</f>
        <v>0.5</v>
      </c>
      <c r="I49" s="274">
        <v>1</v>
      </c>
      <c r="J49" s="275">
        <f>G49*H49*I49</f>
        <v>175000</v>
      </c>
      <c r="K49" s="272">
        <f>G49</f>
        <v>350000</v>
      </c>
      <c r="L49" s="273">
        <f>'Program Budget'!N359</f>
        <v>0</v>
      </c>
      <c r="M49" s="274">
        <v>1</v>
      </c>
      <c r="N49" s="275">
        <f>K49*L49*M49</f>
        <v>0</v>
      </c>
      <c r="O49" s="272">
        <f>K49</f>
        <v>350000</v>
      </c>
      <c r="P49" s="273">
        <f>'Program Budget'!Q359</f>
        <v>0</v>
      </c>
      <c r="Q49" s="274">
        <v>1</v>
      </c>
      <c r="R49" s="275">
        <f>O49*P49*Q49</f>
        <v>0</v>
      </c>
      <c r="S49" s="272">
        <f>O49</f>
        <v>350000</v>
      </c>
      <c r="T49" s="273">
        <f>'Program Budget'!T359</f>
        <v>0</v>
      </c>
      <c r="U49" s="274">
        <v>1</v>
      </c>
      <c r="V49" s="275">
        <f>S49*T49*U49</f>
        <v>0</v>
      </c>
      <c r="W49" s="411">
        <f>F49+J49+N49+R49+V49</f>
        <v>350000</v>
      </c>
      <c r="AE49" s="239"/>
      <c r="AF49" s="280"/>
      <c r="AG49" s="345"/>
    </row>
    <row r="50" spans="1:33" ht="15.6" outlineLevel="1">
      <c r="A50" s="346" t="str">
        <f>'Program Budget'!D360</f>
        <v>Security Services, Risk Assessments, &amp; Security Assessment</v>
      </c>
      <c r="B50" s="271">
        <f>'Program Budget'!F289</f>
        <v>0</v>
      </c>
      <c r="C50" s="272">
        <f>'Program Budget'!H360</f>
        <v>7000</v>
      </c>
      <c r="D50" s="273">
        <f>'Program Budget'!G360</f>
        <v>1</v>
      </c>
      <c r="E50" s="274">
        <v>1</v>
      </c>
      <c r="F50" s="275">
        <f t="shared" ref="F50:F51" si="60">C50*D50*E50</f>
        <v>7000</v>
      </c>
      <c r="G50" s="272">
        <f t="shared" ref="G50:G51" si="61">C50</f>
        <v>7000</v>
      </c>
      <c r="H50" s="273">
        <f>'Program Budget'!K360</f>
        <v>1</v>
      </c>
      <c r="I50" s="274">
        <v>1</v>
      </c>
      <c r="J50" s="275">
        <f t="shared" ref="J50:J51" si="62">G50*H50*I50</f>
        <v>7000</v>
      </c>
      <c r="K50" s="272">
        <f t="shared" ref="K50:K51" si="63">G50</f>
        <v>7000</v>
      </c>
      <c r="L50" s="273">
        <f>'Program Budget'!N360</f>
        <v>1</v>
      </c>
      <c r="M50" s="274">
        <v>1</v>
      </c>
      <c r="N50" s="275">
        <f t="shared" ref="N50:N51" si="64">K50*L50*M50</f>
        <v>7000</v>
      </c>
      <c r="O50" s="272">
        <f t="shared" ref="O50:O51" si="65">K50</f>
        <v>7000</v>
      </c>
      <c r="P50" s="273">
        <f>'Program Budget'!Q360</f>
        <v>1</v>
      </c>
      <c r="Q50" s="274">
        <v>1</v>
      </c>
      <c r="R50" s="275">
        <f t="shared" ref="R50:R51" si="66">O50*P50*Q50</f>
        <v>7000</v>
      </c>
      <c r="S50" s="272">
        <f t="shared" ref="S50:S51" si="67">O50</f>
        <v>7000</v>
      </c>
      <c r="T50" s="273">
        <f>'Program Budget'!T360</f>
        <v>1</v>
      </c>
      <c r="U50" s="274">
        <v>1</v>
      </c>
      <c r="V50" s="275">
        <f t="shared" ref="V50:V51" si="68">S50*T50*U50</f>
        <v>7000</v>
      </c>
      <c r="W50" s="411">
        <f t="shared" ref="W50:W51" si="69">F50+J50+N50+R50+V50</f>
        <v>35000</v>
      </c>
      <c r="AE50" s="239"/>
      <c r="AF50" s="280"/>
      <c r="AG50" s="345"/>
    </row>
    <row r="51" spans="1:33" ht="15.6" outlineLevel="1">
      <c r="A51" s="346" t="str">
        <f>'Program Budget'!D361</f>
        <v>Short-Term Technical Advisors</v>
      </c>
      <c r="B51" s="271">
        <f>'Program Budget'!F290</f>
        <v>0</v>
      </c>
      <c r="C51" s="272">
        <f>'Program Budget'!H361</f>
        <v>600</v>
      </c>
      <c r="D51" s="273">
        <f>'Program Budget'!G361</f>
        <v>9</v>
      </c>
      <c r="E51" s="274">
        <v>1</v>
      </c>
      <c r="F51" s="275">
        <f t="shared" si="60"/>
        <v>5400</v>
      </c>
      <c r="G51" s="272">
        <f t="shared" si="61"/>
        <v>600</v>
      </c>
      <c r="H51" s="273">
        <f>'Program Budget'!K361</f>
        <v>12</v>
      </c>
      <c r="I51" s="274">
        <v>1</v>
      </c>
      <c r="J51" s="275">
        <f t="shared" si="62"/>
        <v>7200</v>
      </c>
      <c r="K51" s="272">
        <f t="shared" si="63"/>
        <v>600</v>
      </c>
      <c r="L51" s="273">
        <f>'Program Budget'!N361</f>
        <v>12</v>
      </c>
      <c r="M51" s="274">
        <v>1</v>
      </c>
      <c r="N51" s="275">
        <f t="shared" si="64"/>
        <v>7200</v>
      </c>
      <c r="O51" s="272">
        <f t="shared" si="65"/>
        <v>600</v>
      </c>
      <c r="P51" s="273">
        <f>'Program Budget'!Q361</f>
        <v>12</v>
      </c>
      <c r="Q51" s="274">
        <v>1</v>
      </c>
      <c r="R51" s="275">
        <f t="shared" si="66"/>
        <v>7200</v>
      </c>
      <c r="S51" s="272">
        <f t="shared" si="67"/>
        <v>600</v>
      </c>
      <c r="T51" s="273">
        <f>'Program Budget'!T361</f>
        <v>9</v>
      </c>
      <c r="U51" s="274">
        <v>1</v>
      </c>
      <c r="V51" s="275">
        <f t="shared" si="68"/>
        <v>5400</v>
      </c>
      <c r="W51" s="411">
        <f t="shared" si="69"/>
        <v>32400</v>
      </c>
      <c r="AE51" s="239"/>
      <c r="AF51" s="280"/>
      <c r="AG51" s="345"/>
    </row>
    <row r="52" spans="1:33" ht="15.6" outlineLevel="1">
      <c r="A52" s="346" t="str">
        <f>'Program Budget'!D362</f>
        <v>Technical Advisor of Trade Promotion &amp; Strategic Partnership  &amp; Investment</v>
      </c>
      <c r="B52" s="271">
        <f>'Program Budget'!F291</f>
        <v>0</v>
      </c>
      <c r="C52" s="272">
        <f>(150000/12)</f>
        <v>12500</v>
      </c>
      <c r="D52" s="273">
        <f>'Program Budget'!G362</f>
        <v>12</v>
      </c>
      <c r="E52" s="274">
        <v>0.15</v>
      </c>
      <c r="F52" s="275">
        <f t="shared" ref="F52" si="70">C52*D52*E52</f>
        <v>22500</v>
      </c>
      <c r="G52" s="272">
        <f t="shared" ref="G52" si="71">C52</f>
        <v>12500</v>
      </c>
      <c r="H52" s="273">
        <f>'Program Budget'!K362</f>
        <v>12</v>
      </c>
      <c r="I52" s="274">
        <v>0.15</v>
      </c>
      <c r="J52" s="275">
        <f t="shared" ref="J52" si="72">G52*H52*I52</f>
        <v>22500</v>
      </c>
      <c r="K52" s="272">
        <f t="shared" ref="K52" si="73">G52</f>
        <v>12500</v>
      </c>
      <c r="L52" s="273">
        <f>'Program Budget'!N362</f>
        <v>12</v>
      </c>
      <c r="M52" s="274">
        <v>0.15</v>
      </c>
      <c r="N52" s="275">
        <f t="shared" ref="N52" si="74">K52*L52*M52</f>
        <v>22500</v>
      </c>
      <c r="O52" s="272">
        <f t="shared" ref="O52" si="75">K52</f>
        <v>12500</v>
      </c>
      <c r="P52" s="273">
        <f>'Program Budget'!Q362</f>
        <v>12</v>
      </c>
      <c r="Q52" s="274">
        <v>0.15</v>
      </c>
      <c r="R52" s="275">
        <f t="shared" ref="R52" si="76">O52*P52*Q52</f>
        <v>22500</v>
      </c>
      <c r="S52" s="272">
        <f t="shared" ref="S52" si="77">O52</f>
        <v>12500</v>
      </c>
      <c r="T52" s="273">
        <f>'Program Budget'!T362</f>
        <v>9</v>
      </c>
      <c r="U52" s="274">
        <v>0.15</v>
      </c>
      <c r="V52" s="275">
        <f t="shared" ref="V52" si="78">S52*T52*U52</f>
        <v>16875</v>
      </c>
      <c r="W52" s="411">
        <f t="shared" ref="W52" si="79">F52+J52+N52+R52+V52</f>
        <v>106875</v>
      </c>
      <c r="AE52" s="239"/>
      <c r="AF52" s="280"/>
      <c r="AG52" s="345"/>
    </row>
    <row r="53" spans="1:33" outlineLevel="1">
      <c r="A53" s="404"/>
      <c r="B53" s="293"/>
      <c r="C53" s="347"/>
      <c r="D53" s="348"/>
      <c r="F53" s="275"/>
      <c r="G53" s="347"/>
      <c r="H53" s="348"/>
      <c r="I53" s="236"/>
      <c r="J53" s="275"/>
      <c r="K53" s="347"/>
      <c r="L53" s="348"/>
      <c r="N53" s="275"/>
      <c r="O53" s="347"/>
      <c r="P53" s="348"/>
      <c r="Q53" s="236"/>
      <c r="R53" s="275"/>
      <c r="S53" s="347"/>
      <c r="T53" s="348"/>
      <c r="U53" s="236"/>
      <c r="V53" s="275"/>
      <c r="W53" s="349"/>
      <c r="AE53" s="239"/>
      <c r="AF53" s="280"/>
      <c r="AG53" s="345"/>
    </row>
    <row r="54" spans="1:33" ht="18.3" outlineLevel="1">
      <c r="A54" s="338" t="s">
        <v>94</v>
      </c>
      <c r="B54" s="304"/>
      <c r="C54" s="305"/>
      <c r="D54" s="339"/>
      <c r="E54" s="340"/>
      <c r="F54" s="308">
        <f>SUM(F49:F53)</f>
        <v>209900</v>
      </c>
      <c r="G54" s="305"/>
      <c r="H54" s="339"/>
      <c r="I54" s="309"/>
      <c r="J54" s="308">
        <f>SUM(J49:J53)</f>
        <v>211700</v>
      </c>
      <c r="K54" s="305"/>
      <c r="L54" s="339"/>
      <c r="M54" s="340"/>
      <c r="N54" s="308">
        <f>SUM(N49:N53)</f>
        <v>36700</v>
      </c>
      <c r="O54" s="305"/>
      <c r="P54" s="339"/>
      <c r="Q54" s="309"/>
      <c r="R54" s="308">
        <f>SUM(R49:R53)</f>
        <v>36700</v>
      </c>
      <c r="S54" s="305"/>
      <c r="T54" s="339"/>
      <c r="U54" s="309"/>
      <c r="V54" s="308">
        <f>SUM(V49:V53)</f>
        <v>29275</v>
      </c>
      <c r="W54" s="310">
        <f>+F54+J54+N54+R54+V54</f>
        <v>524275</v>
      </c>
      <c r="AE54" s="239"/>
      <c r="AF54" s="280"/>
      <c r="AG54" s="345"/>
    </row>
    <row r="55" spans="1:33" ht="15.6" outlineLevel="1">
      <c r="A55" s="267" t="s">
        <v>95</v>
      </c>
      <c r="B55" s="350"/>
      <c r="D55" s="342"/>
      <c r="F55" s="275"/>
      <c r="H55" s="342"/>
      <c r="J55" s="277"/>
      <c r="L55" s="342"/>
      <c r="N55" s="277"/>
      <c r="P55" s="342"/>
      <c r="R55" s="277"/>
      <c r="T55" s="342"/>
      <c r="V55" s="277"/>
      <c r="W55" s="277"/>
      <c r="AE55" s="239"/>
    </row>
    <row r="56" spans="1:33" ht="15.6" outlineLevel="1">
      <c r="A56" s="346" t="str">
        <f>'Program Budget'!D366</f>
        <v>Post Harvest Processing Equipment and Infrastructure</v>
      </c>
      <c r="B56" s="271" t="str">
        <f>'Program Budget'!F366</f>
        <v>Unit</v>
      </c>
      <c r="C56" s="272">
        <f>'Program Budget'!H366</f>
        <v>150000</v>
      </c>
      <c r="D56" s="273">
        <f>'Program Budget'!G366</f>
        <v>0</v>
      </c>
      <c r="E56" s="274">
        <v>1</v>
      </c>
      <c r="F56" s="275">
        <f t="shared" ref="F56" si="80">C56*D56*E56</f>
        <v>0</v>
      </c>
      <c r="G56" s="272">
        <f>C56</f>
        <v>150000</v>
      </c>
      <c r="H56" s="273">
        <f>'Program Budget'!K366</f>
        <v>0</v>
      </c>
      <c r="I56" s="274">
        <v>1</v>
      </c>
      <c r="J56" s="275">
        <f t="shared" ref="J56" si="81">G56*H56*I56</f>
        <v>0</v>
      </c>
      <c r="K56" s="272">
        <f>G56</f>
        <v>150000</v>
      </c>
      <c r="L56" s="273">
        <f>'Program Budget'!N366</f>
        <v>1</v>
      </c>
      <c r="M56" s="274">
        <v>1</v>
      </c>
      <c r="N56" s="275">
        <f t="shared" ref="N56" si="82">K56*L56*M56</f>
        <v>150000</v>
      </c>
      <c r="O56" s="272">
        <f>K56</f>
        <v>150000</v>
      </c>
      <c r="P56" s="273">
        <f>'Program Budget'!Q366</f>
        <v>0</v>
      </c>
      <c r="Q56" s="274">
        <v>1</v>
      </c>
      <c r="R56" s="275">
        <f t="shared" ref="R56" si="83">O56*P56*Q56</f>
        <v>0</v>
      </c>
      <c r="S56" s="272">
        <f>O56</f>
        <v>150000</v>
      </c>
      <c r="T56" s="273">
        <f>'Program Budget'!T366</f>
        <v>0</v>
      </c>
      <c r="U56" s="274">
        <v>1</v>
      </c>
      <c r="V56" s="275">
        <f t="shared" ref="V56" si="84">S56*T56*U56</f>
        <v>0</v>
      </c>
      <c r="W56" s="411">
        <f t="shared" ref="W56" si="85">F56+J56+N56+R56+V56</f>
        <v>150000</v>
      </c>
      <c r="AE56" s="239"/>
      <c r="AF56" s="280"/>
      <c r="AG56" s="345"/>
    </row>
    <row r="57" spans="1:33" ht="15.6" outlineLevel="1">
      <c r="A57" s="346" t="str">
        <f>'Program Budget'!D367</f>
        <v>Co-invest in Small-Scale Processing Infrastructure for Cooperatives</v>
      </c>
      <c r="B57" s="271" t="str">
        <f>'Program Budget'!F367</f>
        <v>Cooperative</v>
      </c>
      <c r="C57" s="272">
        <f>'Program Budget'!H367</f>
        <v>10000</v>
      </c>
      <c r="D57" s="273">
        <f>'Program Budget'!G367</f>
        <v>0</v>
      </c>
      <c r="E57" s="274">
        <v>1</v>
      </c>
      <c r="F57" s="275">
        <f t="shared" ref="F57:F59" si="86">C57*D57*E57</f>
        <v>0</v>
      </c>
      <c r="G57" s="272">
        <f t="shared" ref="G57:G59" si="87">C57</f>
        <v>10000</v>
      </c>
      <c r="H57" s="273">
        <f>'Program Budget'!K367</f>
        <v>5</v>
      </c>
      <c r="I57" s="274">
        <v>1</v>
      </c>
      <c r="J57" s="275">
        <f t="shared" ref="J57:J59" si="88">G57*H57*I57</f>
        <v>50000</v>
      </c>
      <c r="K57" s="272">
        <f t="shared" ref="K57:K59" si="89">G57</f>
        <v>10000</v>
      </c>
      <c r="L57" s="273">
        <f>'Program Budget'!N367</f>
        <v>5</v>
      </c>
      <c r="M57" s="274">
        <v>1</v>
      </c>
      <c r="N57" s="275">
        <f t="shared" ref="N57:N59" si="90">K57*L57*M57</f>
        <v>50000</v>
      </c>
      <c r="O57" s="272">
        <f t="shared" ref="O57:O59" si="91">K57</f>
        <v>10000</v>
      </c>
      <c r="P57" s="273">
        <f>'Program Budget'!Q367</f>
        <v>0</v>
      </c>
      <c r="Q57" s="274">
        <v>1</v>
      </c>
      <c r="R57" s="275">
        <f t="shared" ref="R57:R59" si="92">O57*P57*Q57</f>
        <v>0</v>
      </c>
      <c r="S57" s="272">
        <f t="shared" ref="S57:S59" si="93">O57</f>
        <v>10000</v>
      </c>
      <c r="T57" s="273">
        <f>'Program Budget'!T367</f>
        <v>0</v>
      </c>
      <c r="U57" s="274">
        <v>1</v>
      </c>
      <c r="V57" s="275">
        <f t="shared" ref="V57:V59" si="94">S57*T57*U57</f>
        <v>0</v>
      </c>
      <c r="W57" s="411">
        <f t="shared" ref="W57:W59" si="95">F57+J57+N57+R57+V57</f>
        <v>100000</v>
      </c>
      <c r="AE57" s="239"/>
      <c r="AF57" s="280"/>
      <c r="AG57" s="345"/>
    </row>
    <row r="58" spans="1:33" ht="15.6" outlineLevel="1">
      <c r="A58" s="346" t="str">
        <f>'Program Budget'!D368</f>
        <v>Large Scale Cold and Dry Storage Equipment and Infrastructure</v>
      </c>
      <c r="B58" s="271" t="str">
        <f>'Program Budget'!F368</f>
        <v>Unit</v>
      </c>
      <c r="C58" s="272">
        <f>'Program Budget'!H368</f>
        <v>226150</v>
      </c>
      <c r="D58" s="273">
        <f>'Program Budget'!G368</f>
        <v>0</v>
      </c>
      <c r="E58" s="274">
        <v>1</v>
      </c>
      <c r="F58" s="275">
        <f t="shared" si="86"/>
        <v>0</v>
      </c>
      <c r="G58" s="272">
        <f t="shared" si="87"/>
        <v>226150</v>
      </c>
      <c r="H58" s="273">
        <f>'Program Budget'!K368</f>
        <v>1</v>
      </c>
      <c r="I58" s="274">
        <v>1</v>
      </c>
      <c r="J58" s="275">
        <f t="shared" si="88"/>
        <v>226150</v>
      </c>
      <c r="K58" s="272">
        <f t="shared" si="89"/>
        <v>226150</v>
      </c>
      <c r="L58" s="273">
        <f>'Program Budget'!N368</f>
        <v>0</v>
      </c>
      <c r="M58" s="274">
        <v>1</v>
      </c>
      <c r="N58" s="275">
        <f t="shared" si="90"/>
        <v>0</v>
      </c>
      <c r="O58" s="272">
        <f t="shared" si="91"/>
        <v>226150</v>
      </c>
      <c r="P58" s="273">
        <f>'Program Budget'!Q368</f>
        <v>0</v>
      </c>
      <c r="Q58" s="274">
        <v>1</v>
      </c>
      <c r="R58" s="275">
        <f t="shared" si="92"/>
        <v>0</v>
      </c>
      <c r="S58" s="272">
        <f t="shared" si="93"/>
        <v>226150</v>
      </c>
      <c r="T58" s="273">
        <f>'Program Budget'!T368</f>
        <v>0</v>
      </c>
      <c r="U58" s="274">
        <v>1</v>
      </c>
      <c r="V58" s="275">
        <f t="shared" si="94"/>
        <v>0</v>
      </c>
      <c r="W58" s="411">
        <f t="shared" si="95"/>
        <v>226150</v>
      </c>
      <c r="AE58" s="239"/>
      <c r="AF58" s="280"/>
      <c r="AG58" s="345"/>
    </row>
    <row r="59" spans="1:33" ht="15.6" outlineLevel="1">
      <c r="A59" s="346" t="str">
        <f>'Program Budget'!D369</f>
        <v>Transformation Equipment for Waste Reduction</v>
      </c>
      <c r="B59" s="271" t="str">
        <f>'Program Budget'!F369</f>
        <v>Unit</v>
      </c>
      <c r="C59" s="272">
        <f>'Program Budget'!H369</f>
        <v>63500</v>
      </c>
      <c r="D59" s="273">
        <f>'Program Budget'!G369</f>
        <v>0</v>
      </c>
      <c r="E59" s="274">
        <v>1</v>
      </c>
      <c r="F59" s="275">
        <f t="shared" si="86"/>
        <v>0</v>
      </c>
      <c r="G59" s="272">
        <f t="shared" si="87"/>
        <v>63500</v>
      </c>
      <c r="H59" s="273">
        <f>'Program Budget'!K369</f>
        <v>0</v>
      </c>
      <c r="I59" s="274">
        <v>1</v>
      </c>
      <c r="J59" s="275">
        <f t="shared" si="88"/>
        <v>0</v>
      </c>
      <c r="K59" s="272">
        <f t="shared" si="89"/>
        <v>63500</v>
      </c>
      <c r="L59" s="273">
        <f>'Program Budget'!N369</f>
        <v>1</v>
      </c>
      <c r="M59" s="274">
        <v>1</v>
      </c>
      <c r="N59" s="275">
        <f t="shared" si="90"/>
        <v>63500</v>
      </c>
      <c r="O59" s="272">
        <f t="shared" si="91"/>
        <v>63500</v>
      </c>
      <c r="P59" s="273">
        <f>'Program Budget'!Q369</f>
        <v>0</v>
      </c>
      <c r="Q59" s="274">
        <v>1</v>
      </c>
      <c r="R59" s="275">
        <f t="shared" si="92"/>
        <v>0</v>
      </c>
      <c r="S59" s="272">
        <f t="shared" si="93"/>
        <v>63500</v>
      </c>
      <c r="T59" s="273">
        <f>'Program Budget'!T369</f>
        <v>0</v>
      </c>
      <c r="U59" s="274">
        <v>1</v>
      </c>
      <c r="V59" s="275">
        <f t="shared" si="94"/>
        <v>0</v>
      </c>
      <c r="W59" s="411">
        <f t="shared" si="95"/>
        <v>63500</v>
      </c>
      <c r="AE59" s="239"/>
      <c r="AF59" s="280"/>
      <c r="AG59" s="345"/>
    </row>
    <row r="60" spans="1:33" outlineLevel="1">
      <c r="A60" s="270"/>
      <c r="B60" s="293"/>
      <c r="D60" s="351"/>
      <c r="F60" s="275"/>
      <c r="H60" s="351"/>
      <c r="I60" s="236"/>
      <c r="J60" s="275"/>
      <c r="L60" s="351"/>
      <c r="N60" s="275"/>
      <c r="P60" s="351"/>
      <c r="Q60" s="236"/>
      <c r="R60" s="275"/>
      <c r="T60" s="351"/>
      <c r="U60" s="236"/>
      <c r="V60" s="275"/>
      <c r="W60" s="277"/>
      <c r="AE60" s="239"/>
      <c r="AF60" s="280"/>
      <c r="AG60" s="280"/>
    </row>
    <row r="61" spans="1:33" ht="18.3" outlineLevel="1">
      <c r="A61" s="338" t="s">
        <v>96</v>
      </c>
      <c r="B61" s="304"/>
      <c r="C61" s="305"/>
      <c r="D61" s="339"/>
      <c r="E61" s="340"/>
      <c r="F61" s="308">
        <f>SUM(F56:F60)</f>
        <v>0</v>
      </c>
      <c r="G61" s="305"/>
      <c r="H61" s="339"/>
      <c r="I61" s="309"/>
      <c r="J61" s="308">
        <f>SUM(J56:J60)</f>
        <v>276150</v>
      </c>
      <c r="K61" s="305"/>
      <c r="L61" s="339"/>
      <c r="M61" s="340"/>
      <c r="N61" s="308">
        <f>SUM(N56:N60)</f>
        <v>263500</v>
      </c>
      <c r="O61" s="305"/>
      <c r="P61" s="339"/>
      <c r="Q61" s="309"/>
      <c r="R61" s="308">
        <f>SUM(R56:R60)</f>
        <v>0</v>
      </c>
      <c r="S61" s="305"/>
      <c r="T61" s="339"/>
      <c r="U61" s="309"/>
      <c r="V61" s="308">
        <f>SUM(V56:V60)</f>
        <v>0</v>
      </c>
      <c r="W61" s="310">
        <f>+F61+J61+N61+R61+V61</f>
        <v>539650</v>
      </c>
      <c r="AE61" s="239"/>
      <c r="AF61" s="280"/>
      <c r="AG61" s="345"/>
    </row>
    <row r="62" spans="1:33" ht="15.6" outlineLevel="1">
      <c r="A62" s="267" t="s">
        <v>32</v>
      </c>
      <c r="B62" s="293"/>
      <c r="D62" s="342"/>
      <c r="F62" s="275"/>
      <c r="H62" s="342"/>
      <c r="I62" s="236"/>
      <c r="J62" s="275"/>
      <c r="L62" s="342"/>
      <c r="N62" s="275"/>
      <c r="P62" s="342"/>
      <c r="Q62" s="236"/>
      <c r="R62" s="275"/>
      <c r="T62" s="342"/>
      <c r="U62" s="236"/>
      <c r="V62" s="275"/>
      <c r="W62" s="277"/>
      <c r="AE62" s="239"/>
      <c r="AF62" s="280"/>
      <c r="AG62" s="280"/>
    </row>
    <row r="63" spans="1:33" outlineLevel="1">
      <c r="A63" s="270" t="s">
        <v>148</v>
      </c>
      <c r="B63" s="293"/>
      <c r="D63" s="342"/>
      <c r="F63" s="275"/>
      <c r="H63" s="342"/>
      <c r="I63" s="236"/>
      <c r="J63" s="275"/>
      <c r="L63" s="342"/>
      <c r="N63" s="275"/>
      <c r="P63" s="342"/>
      <c r="Q63" s="236"/>
      <c r="R63" s="275"/>
      <c r="T63" s="342"/>
      <c r="U63" s="236"/>
      <c r="V63" s="275"/>
      <c r="W63" s="277"/>
      <c r="AE63" s="239"/>
      <c r="AF63" s="280"/>
      <c r="AG63" s="280"/>
    </row>
    <row r="64" spans="1:33" ht="18.3" outlineLevel="1">
      <c r="A64" s="338" t="s">
        <v>97</v>
      </c>
      <c r="B64" s="304"/>
      <c r="C64" s="305"/>
      <c r="D64" s="339"/>
      <c r="E64" s="340"/>
      <c r="F64" s="308">
        <f>SUM(F60:F60)</f>
        <v>0</v>
      </c>
      <c r="G64" s="305"/>
      <c r="H64" s="339"/>
      <c r="I64" s="309"/>
      <c r="J64" s="308">
        <f>SUM(J60:J60)</f>
        <v>0</v>
      </c>
      <c r="K64" s="305"/>
      <c r="L64" s="339"/>
      <c r="M64" s="340"/>
      <c r="N64" s="308">
        <f>SUM(N60:N60)</f>
        <v>0</v>
      </c>
      <c r="O64" s="305"/>
      <c r="P64" s="339"/>
      <c r="Q64" s="309"/>
      <c r="R64" s="308">
        <f>SUM(R60:R60)</f>
        <v>0</v>
      </c>
      <c r="S64" s="305"/>
      <c r="T64" s="339"/>
      <c r="U64" s="309"/>
      <c r="V64" s="308">
        <f>SUM(V60:V60)</f>
        <v>0</v>
      </c>
      <c r="W64" s="310">
        <f>+F64+J64+N64+R64+V64</f>
        <v>0</v>
      </c>
      <c r="AE64" s="239">
        <v>236</v>
      </c>
      <c r="AF64" s="280" t="s">
        <v>136</v>
      </c>
      <c r="AG64" s="345" t="s">
        <v>137</v>
      </c>
    </row>
    <row r="65" spans="1:33" ht="15.6" outlineLevel="1">
      <c r="A65" s="267" t="s">
        <v>33</v>
      </c>
      <c r="B65" s="341"/>
      <c r="D65" s="342"/>
      <c r="E65" s="343"/>
      <c r="F65" s="325"/>
      <c r="H65" s="342"/>
      <c r="I65" s="344"/>
      <c r="J65" s="298"/>
      <c r="L65" s="342"/>
      <c r="M65" s="343"/>
      <c r="N65" s="298"/>
      <c r="P65" s="342"/>
      <c r="Q65" s="344"/>
      <c r="R65" s="298"/>
      <c r="T65" s="342"/>
      <c r="U65" s="344"/>
      <c r="V65" s="298"/>
      <c r="W65" s="277"/>
      <c r="AE65" s="239">
        <v>236</v>
      </c>
      <c r="AF65" s="280" t="s">
        <v>136</v>
      </c>
      <c r="AG65" s="345" t="s">
        <v>137</v>
      </c>
    </row>
    <row r="66" spans="1:33" ht="15.6" outlineLevel="1">
      <c r="A66" s="346" t="str">
        <f>'Program Budget'!D373</f>
        <v>Motorcycles for Extension Agent</v>
      </c>
      <c r="B66" s="271" t="str">
        <f>'Program Budget'!F373</f>
        <v>Unit</v>
      </c>
      <c r="C66" s="272">
        <f>'Program Budget'!H373</f>
        <v>1100</v>
      </c>
      <c r="D66" s="273">
        <f>'Program Budget'!G373</f>
        <v>1</v>
      </c>
      <c r="E66" s="274">
        <v>1</v>
      </c>
      <c r="F66" s="275">
        <f t="shared" ref="F66" si="96">C66*D66*E66</f>
        <v>1100</v>
      </c>
      <c r="G66" s="272">
        <f t="shared" ref="G66" si="97">C66</f>
        <v>1100</v>
      </c>
      <c r="H66" s="273">
        <f>'Program Budget'!K373</f>
        <v>0</v>
      </c>
      <c r="I66" s="274">
        <v>1</v>
      </c>
      <c r="J66" s="275">
        <f t="shared" ref="J66" si="98">G66*H66*I66</f>
        <v>0</v>
      </c>
      <c r="K66" s="272">
        <f t="shared" ref="K66" si="99">G66</f>
        <v>1100</v>
      </c>
      <c r="L66" s="273">
        <f>'Program Budget'!N373</f>
        <v>0</v>
      </c>
      <c r="M66" s="274">
        <v>1</v>
      </c>
      <c r="N66" s="275">
        <f t="shared" ref="N66" si="100">K66*L66*M66</f>
        <v>0</v>
      </c>
      <c r="O66" s="272">
        <f t="shared" ref="O66" si="101">K66</f>
        <v>1100</v>
      </c>
      <c r="P66" s="273">
        <f>'Program Budget'!Q373</f>
        <v>0</v>
      </c>
      <c r="Q66" s="274">
        <v>1</v>
      </c>
      <c r="R66" s="275">
        <f t="shared" ref="R66" si="102">O66*P66*Q66</f>
        <v>0</v>
      </c>
      <c r="S66" s="272">
        <f t="shared" ref="S66" si="103">O66</f>
        <v>1100</v>
      </c>
      <c r="T66" s="273">
        <f>'Program Budget'!T373</f>
        <v>0</v>
      </c>
      <c r="U66" s="274">
        <v>1</v>
      </c>
      <c r="V66" s="275">
        <f t="shared" ref="V66" si="104">S66*T66*U66</f>
        <v>0</v>
      </c>
      <c r="W66" s="411">
        <f t="shared" ref="W66" si="105">F66+J66+N66+R66+V66</f>
        <v>1100</v>
      </c>
      <c r="AE66" s="239"/>
      <c r="AF66" s="280"/>
      <c r="AG66" s="345"/>
    </row>
    <row r="67" spans="1:33" ht="15.6" outlineLevel="1">
      <c r="A67" s="346" t="str">
        <f>'Program Budget'!D374</f>
        <v>Tablets for Rural Data Collection for Extension Agent</v>
      </c>
      <c r="B67" s="271" t="str">
        <f>'Program Budget'!F374</f>
        <v>Unit</v>
      </c>
      <c r="C67" s="272">
        <f>'Program Budget'!H374</f>
        <v>600</v>
      </c>
      <c r="D67" s="273">
        <f>'Program Budget'!G374</f>
        <v>1</v>
      </c>
      <c r="E67" s="274">
        <v>1</v>
      </c>
      <c r="F67" s="275">
        <f t="shared" ref="F67" si="106">C67*D67*E67</f>
        <v>600</v>
      </c>
      <c r="G67" s="272">
        <f t="shared" ref="G67" si="107">C67</f>
        <v>600</v>
      </c>
      <c r="H67" s="273">
        <f>'Program Budget'!K374</f>
        <v>0</v>
      </c>
      <c r="I67" s="274">
        <v>1</v>
      </c>
      <c r="J67" s="275">
        <f t="shared" ref="J67" si="108">G67*H67*I67</f>
        <v>0</v>
      </c>
      <c r="K67" s="272">
        <f t="shared" ref="K67" si="109">G67</f>
        <v>600</v>
      </c>
      <c r="L67" s="273">
        <f>'Program Budget'!N374</f>
        <v>0</v>
      </c>
      <c r="M67" s="274">
        <v>1</v>
      </c>
      <c r="N67" s="275">
        <f t="shared" ref="N67" si="110">K67*L67*M67</f>
        <v>0</v>
      </c>
      <c r="O67" s="272">
        <f t="shared" ref="O67" si="111">K67</f>
        <v>600</v>
      </c>
      <c r="P67" s="273">
        <f>'Program Budget'!Q374</f>
        <v>0</v>
      </c>
      <c r="Q67" s="274">
        <v>1</v>
      </c>
      <c r="R67" s="275">
        <f t="shared" ref="R67" si="112">O67*P67*Q67</f>
        <v>0</v>
      </c>
      <c r="S67" s="272">
        <f t="shared" ref="S67" si="113">O67</f>
        <v>600</v>
      </c>
      <c r="T67" s="273">
        <f>'Program Budget'!T374</f>
        <v>0</v>
      </c>
      <c r="U67" s="274">
        <v>1</v>
      </c>
      <c r="V67" s="275">
        <f t="shared" ref="V67" si="114">S67*T67*U67</f>
        <v>0</v>
      </c>
      <c r="W67" s="411">
        <f t="shared" ref="W67" si="115">F67+J67+N67+R67+V67</f>
        <v>600</v>
      </c>
      <c r="AE67" s="239"/>
      <c r="AF67" s="280"/>
      <c r="AG67" s="280"/>
    </row>
    <row r="68" spans="1:33" outlineLevel="1">
      <c r="A68" s="270"/>
      <c r="B68" s="293"/>
      <c r="D68" s="342"/>
      <c r="F68" s="275"/>
      <c r="H68" s="342"/>
      <c r="I68" s="236"/>
      <c r="J68" s="275"/>
      <c r="L68" s="342"/>
      <c r="N68" s="275"/>
      <c r="P68" s="342"/>
      <c r="Q68" s="236"/>
      <c r="R68" s="275"/>
      <c r="T68" s="342"/>
      <c r="U68" s="236"/>
      <c r="V68" s="275"/>
      <c r="W68" s="277"/>
      <c r="AE68" s="239"/>
      <c r="AF68" s="280"/>
      <c r="AG68" s="280"/>
    </row>
    <row r="69" spans="1:33" ht="18.3" outlineLevel="1">
      <c r="A69" s="338" t="s">
        <v>98</v>
      </c>
      <c r="B69" s="304"/>
      <c r="C69" s="305"/>
      <c r="D69" s="339"/>
      <c r="E69" s="340"/>
      <c r="F69" s="308">
        <f>SUM(F66:F68)</f>
        <v>1700</v>
      </c>
      <c r="G69" s="305"/>
      <c r="H69" s="339"/>
      <c r="I69" s="309"/>
      <c r="J69" s="308">
        <f>SUM(J66:J68)</f>
        <v>0</v>
      </c>
      <c r="K69" s="305"/>
      <c r="L69" s="339"/>
      <c r="M69" s="340"/>
      <c r="N69" s="308">
        <f>SUM(N66:N68)</f>
        <v>0</v>
      </c>
      <c r="O69" s="305"/>
      <c r="P69" s="339"/>
      <c r="Q69" s="309"/>
      <c r="R69" s="308">
        <f>SUM(R66:R68)</f>
        <v>0</v>
      </c>
      <c r="S69" s="305"/>
      <c r="T69" s="339"/>
      <c r="U69" s="309"/>
      <c r="V69" s="308">
        <f>SUM(V66:V68)</f>
        <v>0</v>
      </c>
      <c r="W69" s="308">
        <f>SUM(W66:W68)</f>
        <v>1700</v>
      </c>
      <c r="AE69" s="239"/>
      <c r="AF69" s="280"/>
      <c r="AG69" s="345"/>
    </row>
    <row r="70" spans="1:33" ht="15.6" outlineLevel="1">
      <c r="A70" s="353" t="s">
        <v>99</v>
      </c>
      <c r="B70" s="293"/>
      <c r="C70" s="354"/>
      <c r="D70" s="355"/>
      <c r="F70" s="325"/>
      <c r="G70" s="354"/>
      <c r="H70" s="355"/>
      <c r="J70" s="298"/>
      <c r="K70" s="354"/>
      <c r="L70" s="355"/>
      <c r="N70" s="298"/>
      <c r="O70" s="354"/>
      <c r="P70" s="355"/>
      <c r="R70" s="298"/>
      <c r="S70" s="354"/>
      <c r="T70" s="355"/>
      <c r="V70" s="298"/>
      <c r="W70" s="277"/>
      <c r="AE70" s="239"/>
      <c r="AF70" s="280"/>
      <c r="AG70" s="345"/>
    </row>
    <row r="71" spans="1:33" ht="15.6" outlineLevel="1">
      <c r="A71" s="267" t="s">
        <v>151</v>
      </c>
      <c r="B71" s="293"/>
      <c r="C71" s="354"/>
      <c r="D71" s="355"/>
      <c r="F71" s="275"/>
      <c r="G71" s="354"/>
      <c r="H71" s="355"/>
      <c r="I71" s="236"/>
      <c r="J71" s="275"/>
      <c r="K71" s="354"/>
      <c r="L71" s="355"/>
      <c r="N71" s="275"/>
      <c r="O71" s="354"/>
      <c r="P71" s="355"/>
      <c r="Q71" s="236"/>
      <c r="R71" s="275"/>
      <c r="S71" s="354"/>
      <c r="T71" s="355"/>
      <c r="U71" s="236"/>
      <c r="V71" s="275"/>
      <c r="W71" s="277"/>
      <c r="AE71" s="239"/>
      <c r="AF71" s="280"/>
      <c r="AG71" s="345"/>
    </row>
    <row r="72" spans="1:33" ht="15.6" outlineLevel="1">
      <c r="A72" s="346" t="str">
        <f>'Program Budget'!D388</f>
        <v>Small Grant to Cooperatives to Increase Small Scale Cold Storage Capacity</v>
      </c>
      <c r="B72" s="271" t="str">
        <f>'Program Budget'!F388</f>
        <v>Grant</v>
      </c>
      <c r="C72" s="272">
        <f>'Program Budget'!H388</f>
        <v>20000</v>
      </c>
      <c r="D72" s="273">
        <f>'Program Budget'!G388</f>
        <v>0</v>
      </c>
      <c r="E72" s="274">
        <v>1</v>
      </c>
      <c r="F72" s="275">
        <f t="shared" ref="F72" si="116">C72*D72*E72</f>
        <v>0</v>
      </c>
      <c r="G72" s="272">
        <f>C72</f>
        <v>20000</v>
      </c>
      <c r="H72" s="273">
        <f>'Program Budget'!K388</f>
        <v>0</v>
      </c>
      <c r="I72" s="274">
        <v>1</v>
      </c>
      <c r="J72" s="275">
        <f t="shared" ref="J72" si="117">G72*H72*I72</f>
        <v>0</v>
      </c>
      <c r="K72" s="272">
        <f>G72</f>
        <v>20000</v>
      </c>
      <c r="L72" s="273">
        <f>'Program Budget'!N388</f>
        <v>10</v>
      </c>
      <c r="M72" s="274">
        <v>1</v>
      </c>
      <c r="N72" s="275">
        <f t="shared" ref="N72" si="118">K72*L72*M72</f>
        <v>200000</v>
      </c>
      <c r="O72" s="272">
        <f>K72</f>
        <v>20000</v>
      </c>
      <c r="P72" s="273">
        <f>'Program Budget'!Q388</f>
        <v>0</v>
      </c>
      <c r="Q72" s="274">
        <v>1</v>
      </c>
      <c r="R72" s="275">
        <f t="shared" ref="R72" si="119">O72*P72*Q72</f>
        <v>0</v>
      </c>
      <c r="S72" s="272">
        <f>O72</f>
        <v>20000</v>
      </c>
      <c r="T72" s="273">
        <f>'Program Budget'!T388</f>
        <v>0</v>
      </c>
      <c r="U72" s="274">
        <v>1</v>
      </c>
      <c r="V72" s="275">
        <f t="shared" ref="V72" si="120">S72*T72*U72</f>
        <v>0</v>
      </c>
      <c r="W72" s="411">
        <f t="shared" ref="W72" si="121">F72+J72+N72+R72+V72</f>
        <v>200000</v>
      </c>
      <c r="AE72" s="239"/>
      <c r="AF72" s="280"/>
      <c r="AG72" s="345"/>
    </row>
    <row r="73" spans="1:33" ht="15.6" outlineLevel="1">
      <c r="A73" s="346" t="str">
        <f>'Program Budget'!D389</f>
        <v>Communications Cost to Release RFP to Co-invest in Export-Scale Processing Infrastructure</v>
      </c>
      <c r="B73" s="271" t="str">
        <f>'Program Budget'!F389</f>
        <v>Unit</v>
      </c>
      <c r="C73" s="272">
        <f>'Program Budget'!H389</f>
        <v>1000</v>
      </c>
      <c r="D73" s="273">
        <f>'Program Budget'!G389</f>
        <v>0</v>
      </c>
      <c r="E73" s="274">
        <v>1</v>
      </c>
      <c r="F73" s="275">
        <f t="shared" ref="F73:F78" si="122">C73*D73*E73</f>
        <v>0</v>
      </c>
      <c r="G73" s="272">
        <f t="shared" ref="G73:G78" si="123">C73</f>
        <v>1000</v>
      </c>
      <c r="H73" s="273">
        <f>'Program Budget'!K389</f>
        <v>1</v>
      </c>
      <c r="I73" s="274">
        <v>1</v>
      </c>
      <c r="J73" s="275">
        <f t="shared" ref="J73:J78" si="124">G73*H73*I73</f>
        <v>1000</v>
      </c>
      <c r="K73" s="272">
        <f t="shared" ref="K73:K78" si="125">G73</f>
        <v>1000</v>
      </c>
      <c r="L73" s="273">
        <f>'Program Budget'!N389</f>
        <v>0</v>
      </c>
      <c r="M73" s="274">
        <v>1</v>
      </c>
      <c r="N73" s="275">
        <f t="shared" ref="N73:N78" si="126">K73*L73*M73</f>
        <v>0</v>
      </c>
      <c r="O73" s="272">
        <f t="shared" ref="O73:O78" si="127">K73</f>
        <v>1000</v>
      </c>
      <c r="P73" s="273">
        <f>'Program Budget'!Q389</f>
        <v>0</v>
      </c>
      <c r="Q73" s="274">
        <v>1</v>
      </c>
      <c r="R73" s="275">
        <f t="shared" ref="R73:R78" si="128">O73*P73*Q73</f>
        <v>0</v>
      </c>
      <c r="S73" s="272">
        <f t="shared" ref="S73:S78" si="129">O73</f>
        <v>1000</v>
      </c>
      <c r="T73" s="273">
        <f>'Program Budget'!T389</f>
        <v>0</v>
      </c>
      <c r="U73" s="274">
        <v>1</v>
      </c>
      <c r="V73" s="275">
        <f t="shared" ref="V73:V78" si="130">S73*T73*U73</f>
        <v>0</v>
      </c>
      <c r="W73" s="411">
        <f t="shared" ref="W73:W78" si="131">F73+J73+N73+R73+V73</f>
        <v>1000</v>
      </c>
      <c r="AE73" s="239"/>
      <c r="AF73" s="280"/>
      <c r="AG73" s="345"/>
    </row>
    <row r="74" spans="1:33" ht="15.6" outlineLevel="1">
      <c r="A74" s="346" t="str">
        <f>'Program Budget'!D390</f>
        <v>Communications Cost to Release RFP to Co-invest in Cold and Dry Storage</v>
      </c>
      <c r="B74" s="271" t="str">
        <f>'Program Budget'!F390</f>
        <v>Unit</v>
      </c>
      <c r="C74" s="272">
        <f>'Program Budget'!H390</f>
        <v>1000</v>
      </c>
      <c r="D74" s="273">
        <f>'Program Budget'!G390</f>
        <v>0</v>
      </c>
      <c r="E74" s="274">
        <v>1</v>
      </c>
      <c r="F74" s="275">
        <f t="shared" si="122"/>
        <v>0</v>
      </c>
      <c r="G74" s="272">
        <f t="shared" si="123"/>
        <v>1000</v>
      </c>
      <c r="H74" s="273">
        <f>'Program Budget'!K390</f>
        <v>1</v>
      </c>
      <c r="I74" s="274">
        <v>1</v>
      </c>
      <c r="J74" s="275">
        <f t="shared" si="124"/>
        <v>1000</v>
      </c>
      <c r="K74" s="272">
        <f t="shared" si="125"/>
        <v>1000</v>
      </c>
      <c r="L74" s="273">
        <f>'Program Budget'!N390</f>
        <v>0</v>
      </c>
      <c r="M74" s="274">
        <v>1</v>
      </c>
      <c r="N74" s="275">
        <f t="shared" si="126"/>
        <v>0</v>
      </c>
      <c r="O74" s="272">
        <f t="shared" si="127"/>
        <v>1000</v>
      </c>
      <c r="P74" s="273">
        <f>'Program Budget'!Q390</f>
        <v>0</v>
      </c>
      <c r="Q74" s="274">
        <v>1</v>
      </c>
      <c r="R74" s="275">
        <f t="shared" si="128"/>
        <v>0</v>
      </c>
      <c r="S74" s="272">
        <f t="shared" si="129"/>
        <v>1000</v>
      </c>
      <c r="T74" s="273">
        <f>'Program Budget'!T390</f>
        <v>0</v>
      </c>
      <c r="U74" s="274">
        <v>1</v>
      </c>
      <c r="V74" s="275">
        <f t="shared" si="130"/>
        <v>0</v>
      </c>
      <c r="W74" s="411">
        <f t="shared" si="131"/>
        <v>1000</v>
      </c>
      <c r="AE74" s="239"/>
      <c r="AF74" s="280"/>
      <c r="AG74" s="345"/>
    </row>
    <row r="75" spans="1:33" ht="15.6" outlineLevel="1">
      <c r="A75" s="346" t="str">
        <f>'Program Budget'!D391</f>
        <v>Communications Cost to Release RFP to Innovative Waste Utilization Businesses</v>
      </c>
      <c r="B75" s="271" t="str">
        <f>'Program Budget'!F391</f>
        <v>Unit</v>
      </c>
      <c r="C75" s="272">
        <f>'Program Budget'!H391</f>
        <v>500</v>
      </c>
      <c r="D75" s="273">
        <f>'Program Budget'!G391</f>
        <v>0</v>
      </c>
      <c r="E75" s="274">
        <v>1</v>
      </c>
      <c r="F75" s="275">
        <f t="shared" si="122"/>
        <v>0</v>
      </c>
      <c r="G75" s="272">
        <f t="shared" si="123"/>
        <v>500</v>
      </c>
      <c r="H75" s="273">
        <f>'Program Budget'!K391</f>
        <v>1</v>
      </c>
      <c r="I75" s="274">
        <v>1</v>
      </c>
      <c r="J75" s="275">
        <f t="shared" si="124"/>
        <v>500</v>
      </c>
      <c r="K75" s="272">
        <f t="shared" si="125"/>
        <v>500</v>
      </c>
      <c r="L75" s="273">
        <f>'Program Budget'!N391</f>
        <v>0</v>
      </c>
      <c r="M75" s="274">
        <v>1</v>
      </c>
      <c r="N75" s="275">
        <f t="shared" si="126"/>
        <v>0</v>
      </c>
      <c r="O75" s="272">
        <f t="shared" si="127"/>
        <v>500</v>
      </c>
      <c r="P75" s="273">
        <f>'Program Budget'!Q391</f>
        <v>0</v>
      </c>
      <c r="Q75" s="274">
        <v>1</v>
      </c>
      <c r="R75" s="275">
        <f t="shared" si="128"/>
        <v>0</v>
      </c>
      <c r="S75" s="272">
        <f t="shared" si="129"/>
        <v>500</v>
      </c>
      <c r="T75" s="273">
        <f>'Program Budget'!T391</f>
        <v>0</v>
      </c>
      <c r="U75" s="274">
        <v>1</v>
      </c>
      <c r="V75" s="275">
        <f t="shared" si="130"/>
        <v>0</v>
      </c>
      <c r="W75" s="411">
        <f t="shared" si="131"/>
        <v>500</v>
      </c>
      <c r="AE75" s="239"/>
      <c r="AF75" s="280"/>
      <c r="AG75" s="345"/>
    </row>
    <row r="76" spans="1:33" ht="15.6" outlineLevel="1">
      <c r="A76" s="346" t="str">
        <f>'Program Budget'!D392</f>
        <v>Investment Roundtables</v>
      </c>
      <c r="B76" s="271" t="str">
        <f>'Program Budget'!F392</f>
        <v>Roundtable</v>
      </c>
      <c r="C76" s="272">
        <f>'Program Budget'!H392</f>
        <v>3000</v>
      </c>
      <c r="D76" s="273">
        <f>'Program Budget'!G392</f>
        <v>1</v>
      </c>
      <c r="E76" s="274">
        <v>1</v>
      </c>
      <c r="F76" s="275">
        <f t="shared" si="122"/>
        <v>3000</v>
      </c>
      <c r="G76" s="272">
        <f t="shared" si="123"/>
        <v>3000</v>
      </c>
      <c r="H76" s="273">
        <f>'Program Budget'!K392</f>
        <v>1</v>
      </c>
      <c r="I76" s="274">
        <v>1</v>
      </c>
      <c r="J76" s="275">
        <f t="shared" si="124"/>
        <v>3000</v>
      </c>
      <c r="K76" s="272">
        <f t="shared" si="125"/>
        <v>3000</v>
      </c>
      <c r="L76" s="273">
        <f>'Program Budget'!N392</f>
        <v>2</v>
      </c>
      <c r="M76" s="274">
        <v>1</v>
      </c>
      <c r="N76" s="275">
        <f t="shared" si="126"/>
        <v>6000</v>
      </c>
      <c r="O76" s="272">
        <f t="shared" si="127"/>
        <v>3000</v>
      </c>
      <c r="P76" s="273">
        <f>'Program Budget'!Q392</f>
        <v>1</v>
      </c>
      <c r="Q76" s="274">
        <v>1</v>
      </c>
      <c r="R76" s="275">
        <f t="shared" si="128"/>
        <v>3000</v>
      </c>
      <c r="S76" s="272">
        <f t="shared" si="129"/>
        <v>3000</v>
      </c>
      <c r="T76" s="273">
        <f>'Program Budget'!T392</f>
        <v>1</v>
      </c>
      <c r="U76" s="274">
        <v>1</v>
      </c>
      <c r="V76" s="275">
        <f t="shared" si="130"/>
        <v>3000</v>
      </c>
      <c r="W76" s="411">
        <f t="shared" si="131"/>
        <v>18000</v>
      </c>
      <c r="AE76" s="239"/>
      <c r="AF76" s="280"/>
      <c r="AG76" s="345"/>
    </row>
    <row r="77" spans="1:33" ht="15.6" outlineLevel="1">
      <c r="A77" s="346" t="str">
        <f>'Program Budget'!D393</f>
        <v>Food Safety Training for Farmers and Processors</v>
      </c>
      <c r="B77" s="271" t="str">
        <f>'Program Budget'!F393</f>
        <v>Training</v>
      </c>
      <c r="C77" s="272">
        <f>'Program Budget'!H393</f>
        <v>2600</v>
      </c>
      <c r="D77" s="273">
        <f>'Program Budget'!G393</f>
        <v>0</v>
      </c>
      <c r="E77" s="274">
        <v>1</v>
      </c>
      <c r="F77" s="275">
        <f t="shared" si="122"/>
        <v>0</v>
      </c>
      <c r="G77" s="272">
        <f t="shared" si="123"/>
        <v>2600</v>
      </c>
      <c r="H77" s="273">
        <f>'Program Budget'!K393</f>
        <v>2</v>
      </c>
      <c r="I77" s="274">
        <v>1</v>
      </c>
      <c r="J77" s="275">
        <f t="shared" si="124"/>
        <v>5200</v>
      </c>
      <c r="K77" s="272">
        <f t="shared" si="125"/>
        <v>2600</v>
      </c>
      <c r="L77" s="273">
        <f>'Program Budget'!N393</f>
        <v>2</v>
      </c>
      <c r="M77" s="274">
        <v>1</v>
      </c>
      <c r="N77" s="275">
        <f t="shared" si="126"/>
        <v>5200</v>
      </c>
      <c r="O77" s="272">
        <f t="shared" si="127"/>
        <v>2600</v>
      </c>
      <c r="P77" s="273">
        <f>'Program Budget'!Q393</f>
        <v>0</v>
      </c>
      <c r="Q77" s="274">
        <v>1</v>
      </c>
      <c r="R77" s="275">
        <f t="shared" si="128"/>
        <v>0</v>
      </c>
      <c r="S77" s="272">
        <f t="shared" si="129"/>
        <v>2600</v>
      </c>
      <c r="T77" s="273">
        <f>'Program Budget'!T393</f>
        <v>0</v>
      </c>
      <c r="U77" s="274">
        <v>1</v>
      </c>
      <c r="V77" s="275">
        <f t="shared" si="130"/>
        <v>0</v>
      </c>
      <c r="W77" s="411">
        <f t="shared" si="131"/>
        <v>10400</v>
      </c>
      <c r="AE77" s="239"/>
      <c r="AF77" s="280"/>
      <c r="AG77" s="345"/>
    </row>
    <row r="78" spans="1:33" ht="15.6" outlineLevel="1">
      <c r="A78" s="346" t="str">
        <f>'Program Budget'!D394</f>
        <v>Event Registration for Trade Shows</v>
      </c>
      <c r="B78" s="271" t="str">
        <f>'Program Budget'!F394</f>
        <v>Event</v>
      </c>
      <c r="C78" s="272">
        <f>'Program Budget'!H394</f>
        <v>500</v>
      </c>
      <c r="D78" s="273">
        <f>'Program Budget'!G394</f>
        <v>4</v>
      </c>
      <c r="E78" s="274">
        <v>1</v>
      </c>
      <c r="F78" s="275">
        <f t="shared" si="122"/>
        <v>2000</v>
      </c>
      <c r="G78" s="272">
        <f t="shared" si="123"/>
        <v>500</v>
      </c>
      <c r="H78" s="273">
        <f>'Program Budget'!K394</f>
        <v>4</v>
      </c>
      <c r="I78" s="274">
        <v>1</v>
      </c>
      <c r="J78" s="275">
        <f t="shared" si="124"/>
        <v>2000</v>
      </c>
      <c r="K78" s="272">
        <f t="shared" si="125"/>
        <v>500</v>
      </c>
      <c r="L78" s="273">
        <f>'Program Budget'!N394</f>
        <v>4</v>
      </c>
      <c r="M78" s="274">
        <v>1</v>
      </c>
      <c r="N78" s="275">
        <f t="shared" si="126"/>
        <v>2000</v>
      </c>
      <c r="O78" s="272">
        <f t="shared" si="127"/>
        <v>500</v>
      </c>
      <c r="P78" s="273">
        <f>'Program Budget'!Q394</f>
        <v>4</v>
      </c>
      <c r="Q78" s="274">
        <v>1</v>
      </c>
      <c r="R78" s="275">
        <f t="shared" si="128"/>
        <v>2000</v>
      </c>
      <c r="S78" s="272">
        <f t="shared" si="129"/>
        <v>500</v>
      </c>
      <c r="T78" s="273">
        <f>'Program Budget'!T394</f>
        <v>4</v>
      </c>
      <c r="U78" s="274">
        <v>1</v>
      </c>
      <c r="V78" s="275">
        <f t="shared" si="130"/>
        <v>2000</v>
      </c>
      <c r="W78" s="411">
        <f t="shared" si="131"/>
        <v>10000</v>
      </c>
      <c r="AE78" s="239"/>
      <c r="AF78" s="280"/>
      <c r="AG78" s="345"/>
    </row>
    <row r="79" spans="1:33" ht="15.6" outlineLevel="1">
      <c r="A79" s="358"/>
      <c r="B79" s="318"/>
      <c r="C79" s="356"/>
      <c r="D79" s="357"/>
      <c r="E79" s="321"/>
      <c r="F79" s="322"/>
      <c r="G79" s="356"/>
      <c r="H79" s="357"/>
      <c r="I79" s="321"/>
      <c r="J79" s="322"/>
      <c r="K79" s="356"/>
      <c r="L79" s="357"/>
      <c r="M79" s="321"/>
      <c r="N79" s="322"/>
      <c r="O79" s="356"/>
      <c r="P79" s="357"/>
      <c r="Q79" s="321"/>
      <c r="R79" s="322"/>
      <c r="S79" s="356"/>
      <c r="T79" s="357"/>
      <c r="U79" s="321"/>
      <c r="V79" s="322"/>
      <c r="W79" s="277"/>
      <c r="AE79" s="239"/>
      <c r="AF79" s="280"/>
      <c r="AG79" s="345"/>
    </row>
    <row r="80" spans="1:33" ht="18.3" outlineLevel="1">
      <c r="A80" s="359" t="s">
        <v>107</v>
      </c>
      <c r="B80" s="304"/>
      <c r="C80" s="328"/>
      <c r="D80" s="329"/>
      <c r="E80" s="360"/>
      <c r="F80" s="331">
        <f>SUM(F71:F78)</f>
        <v>5000</v>
      </c>
      <c r="G80" s="328"/>
      <c r="H80" s="329"/>
      <c r="I80" s="332"/>
      <c r="J80" s="331">
        <f>SUM(J71:J78)</f>
        <v>12700</v>
      </c>
      <c r="K80" s="328"/>
      <c r="L80" s="329"/>
      <c r="M80" s="360"/>
      <c r="N80" s="331">
        <f>SUM(N71:N78)</f>
        <v>213200</v>
      </c>
      <c r="O80" s="328"/>
      <c r="P80" s="329"/>
      <c r="Q80" s="332"/>
      <c r="R80" s="331">
        <f>SUM(R71:R78)</f>
        <v>5000</v>
      </c>
      <c r="S80" s="328"/>
      <c r="T80" s="329"/>
      <c r="U80" s="332"/>
      <c r="V80" s="331">
        <f>SUM(V71:V78)</f>
        <v>5000</v>
      </c>
      <c r="W80" s="310">
        <f>+F80+J80+N80+R80+V80</f>
        <v>240900</v>
      </c>
      <c r="AE80" s="239">
        <v>250</v>
      </c>
      <c r="AF80" s="280" t="s">
        <v>139</v>
      </c>
      <c r="AG80" s="345" t="s">
        <v>140</v>
      </c>
    </row>
    <row r="81" spans="1:33" ht="15.6" outlineLevel="1">
      <c r="A81" s="361"/>
      <c r="B81" s="316"/>
      <c r="C81" s="354"/>
      <c r="D81" s="355"/>
      <c r="F81" s="275"/>
      <c r="G81" s="354"/>
      <c r="H81" s="355"/>
      <c r="J81" s="277"/>
      <c r="K81" s="354"/>
      <c r="L81" s="355"/>
      <c r="N81" s="277"/>
      <c r="O81" s="354"/>
      <c r="P81" s="355"/>
      <c r="R81" s="277"/>
      <c r="S81" s="354"/>
      <c r="T81" s="355"/>
      <c r="V81" s="277"/>
      <c r="W81" s="277"/>
      <c r="AE81" s="239">
        <v>317</v>
      </c>
      <c r="AF81" s="280" t="s">
        <v>141</v>
      </c>
      <c r="AG81" s="345" t="s">
        <v>142</v>
      </c>
    </row>
    <row r="82" spans="1:33" ht="18.3" outlineLevel="1">
      <c r="A82" s="362" t="s">
        <v>108</v>
      </c>
      <c r="B82" s="363"/>
      <c r="C82" s="364"/>
      <c r="D82" s="365"/>
      <c r="E82" s="366"/>
      <c r="F82" s="367">
        <f>F28+F37+F47+F64+F69+F54+F80+F61</f>
        <v>381754.45833333337</v>
      </c>
      <c r="G82" s="364"/>
      <c r="H82" s="365"/>
      <c r="I82" s="368"/>
      <c r="J82" s="367">
        <f>J28+J37+J47+J64+J69+J54+J80+J61</f>
        <v>796345.31799999997</v>
      </c>
      <c r="K82" s="364"/>
      <c r="L82" s="365"/>
      <c r="M82" s="366"/>
      <c r="N82" s="367">
        <f>N28+N37+N47+N64+N69+N54+N80+N61</f>
        <v>811417.76368000009</v>
      </c>
      <c r="O82" s="364"/>
      <c r="P82" s="365"/>
      <c r="Q82" s="368"/>
      <c r="R82" s="367">
        <f>R28+R37+R47+R64+R69+R54+R80+R61</f>
        <v>341644.73250560008</v>
      </c>
      <c r="S82" s="364"/>
      <c r="T82" s="365"/>
      <c r="U82" s="368"/>
      <c r="V82" s="367">
        <f>V28+V37+V47+V64+V69+V54+V80+V61</f>
        <v>272850.4758888107</v>
      </c>
      <c r="W82" s="367">
        <f>W28+W37+W47+W64+W69+W54+W80+W61</f>
        <v>2604012.7484077439</v>
      </c>
      <c r="AE82" s="239">
        <v>318</v>
      </c>
      <c r="AF82" s="280" t="s">
        <v>143</v>
      </c>
      <c r="AG82" s="345" t="s">
        <v>144</v>
      </c>
    </row>
    <row r="83" spans="1:33">
      <c r="A83" s="407"/>
      <c r="B83" s="316"/>
      <c r="C83" s="354"/>
      <c r="D83" s="355"/>
      <c r="F83" s="275"/>
      <c r="G83" s="354"/>
      <c r="H83" s="355"/>
      <c r="J83" s="277"/>
      <c r="K83" s="354"/>
      <c r="L83" s="355"/>
      <c r="N83" s="277"/>
      <c r="O83" s="354"/>
      <c r="P83" s="355"/>
      <c r="R83" s="277"/>
      <c r="S83" s="354"/>
      <c r="T83" s="355"/>
      <c r="V83" s="277"/>
      <c r="W83" s="277"/>
    </row>
    <row r="84" spans="1:33" ht="20.399999999999999">
      <c r="A84" s="369" t="s">
        <v>54</v>
      </c>
      <c r="B84" s="370"/>
      <c r="C84" s="371"/>
      <c r="D84" s="371"/>
      <c r="E84" s="371"/>
      <c r="F84" s="371"/>
      <c r="G84" s="371"/>
      <c r="H84" s="371"/>
      <c r="I84" s="371"/>
      <c r="J84" s="371"/>
      <c r="K84" s="371"/>
      <c r="L84" s="371"/>
      <c r="M84" s="371"/>
      <c r="N84" s="371"/>
      <c r="O84" s="371"/>
      <c r="P84" s="371"/>
      <c r="Q84" s="371"/>
      <c r="R84" s="371"/>
      <c r="S84" s="371"/>
      <c r="T84" s="371"/>
      <c r="U84" s="371"/>
      <c r="V84" s="371"/>
      <c r="W84" s="370"/>
    </row>
    <row r="85" spans="1:33" ht="15" customHeight="1">
      <c r="A85" s="372" t="s">
        <v>55</v>
      </c>
      <c r="B85" s="428" t="s">
        <v>145</v>
      </c>
      <c r="C85" s="272">
        <v>0</v>
      </c>
      <c r="D85" s="273">
        <v>1</v>
      </c>
      <c r="E85" s="274">
        <v>0.2828</v>
      </c>
      <c r="F85" s="275">
        <f>C85*D85*E85</f>
        <v>0</v>
      </c>
      <c r="G85" s="272">
        <v>0</v>
      </c>
      <c r="H85" s="273">
        <v>1</v>
      </c>
      <c r="I85" s="274">
        <v>0.2828</v>
      </c>
      <c r="J85" s="275">
        <f>G85*H85*I85</f>
        <v>0</v>
      </c>
      <c r="K85" s="272">
        <v>0</v>
      </c>
      <c r="L85" s="273">
        <v>1</v>
      </c>
      <c r="M85" s="274">
        <v>0.2828</v>
      </c>
      <c r="N85" s="275">
        <f>K85*L85*M85</f>
        <v>0</v>
      </c>
      <c r="O85" s="272">
        <v>0</v>
      </c>
      <c r="P85" s="273">
        <v>1</v>
      </c>
      <c r="Q85" s="274">
        <v>0.2828</v>
      </c>
      <c r="R85" s="275">
        <f>O85*P85*Q85</f>
        <v>0</v>
      </c>
      <c r="S85" s="272">
        <v>0</v>
      </c>
      <c r="T85" s="273">
        <v>1</v>
      </c>
      <c r="U85" s="274">
        <v>0.2828</v>
      </c>
      <c r="V85" s="275">
        <f>S85*T85*U85</f>
        <v>0</v>
      </c>
      <c r="W85" s="411">
        <f>F85+J85+N85+R85+V85</f>
        <v>0</v>
      </c>
    </row>
    <row r="86" spans="1:33" ht="15" customHeight="1">
      <c r="A86" s="372" t="s">
        <v>56</v>
      </c>
      <c r="B86" s="428" t="s">
        <v>145</v>
      </c>
      <c r="C86" s="272">
        <f>F82</f>
        <v>381754.45833333337</v>
      </c>
      <c r="D86" s="273">
        <v>1</v>
      </c>
      <c r="E86" s="274">
        <v>0.2828</v>
      </c>
      <c r="F86" s="275">
        <f>C86*D86*E86</f>
        <v>107960.16081666667</v>
      </c>
      <c r="G86" s="430">
        <f>J82</f>
        <v>796345.31799999997</v>
      </c>
      <c r="H86" s="273">
        <v>1</v>
      </c>
      <c r="I86" s="274">
        <v>0.2828</v>
      </c>
      <c r="J86" s="275">
        <f>G86*H86*I86</f>
        <v>225206.4559304</v>
      </c>
      <c r="K86" s="272">
        <f>N82</f>
        <v>811417.76368000009</v>
      </c>
      <c r="L86" s="273">
        <v>1</v>
      </c>
      <c r="M86" s="274">
        <v>0.2828</v>
      </c>
      <c r="N86" s="275">
        <f>K86*L86*M86</f>
        <v>229468.94356870401</v>
      </c>
      <c r="O86" s="272">
        <f>R82</f>
        <v>341644.73250560008</v>
      </c>
      <c r="P86" s="273">
        <v>1</v>
      </c>
      <c r="Q86" s="274">
        <v>0.2828</v>
      </c>
      <c r="R86" s="275">
        <f>O86*P86*Q86</f>
        <v>96617.130352583699</v>
      </c>
      <c r="S86" s="272">
        <f>V82</f>
        <v>272850.4758888107</v>
      </c>
      <c r="T86" s="273">
        <v>1</v>
      </c>
      <c r="U86" s="274">
        <v>0.2828</v>
      </c>
      <c r="V86" s="275">
        <f>S86*T86*U86</f>
        <v>77162.114581355665</v>
      </c>
      <c r="W86" s="411">
        <f>F86+J86+N86+R86+V86</f>
        <v>736414.8052497101</v>
      </c>
    </row>
    <row r="87" spans="1:33">
      <c r="A87" s="375"/>
      <c r="B87" s="316"/>
      <c r="C87" s="347"/>
      <c r="D87" s="376"/>
      <c r="E87" s="377"/>
      <c r="F87" s="275"/>
      <c r="G87" s="347"/>
      <c r="H87" s="376"/>
      <c r="I87" s="276"/>
      <c r="J87" s="275"/>
      <c r="K87" s="347"/>
      <c r="L87" s="376"/>
      <c r="M87" s="377"/>
      <c r="N87" s="275"/>
      <c r="O87" s="347"/>
      <c r="P87" s="376"/>
      <c r="Q87" s="276"/>
      <c r="R87" s="275"/>
      <c r="S87" s="347"/>
      <c r="T87" s="376"/>
      <c r="U87" s="276"/>
      <c r="V87" s="275"/>
      <c r="W87" s="277"/>
    </row>
    <row r="88" spans="1:33" ht="18.3">
      <c r="A88" s="362" t="s">
        <v>109</v>
      </c>
      <c r="B88" s="363"/>
      <c r="C88" s="364"/>
      <c r="D88" s="365"/>
      <c r="E88" s="366"/>
      <c r="F88" s="367">
        <f>SUM(F85:F87)</f>
        <v>107960.16081666667</v>
      </c>
      <c r="G88" s="364"/>
      <c r="H88" s="365"/>
      <c r="I88" s="368"/>
      <c r="J88" s="367">
        <f>SUM(J85:J87)</f>
        <v>225206.4559304</v>
      </c>
      <c r="K88" s="364"/>
      <c r="L88" s="365"/>
      <c r="M88" s="366"/>
      <c r="N88" s="367">
        <f>SUM(N85:N87)</f>
        <v>229468.94356870401</v>
      </c>
      <c r="O88" s="364"/>
      <c r="P88" s="365"/>
      <c r="Q88" s="368"/>
      <c r="R88" s="367">
        <f>SUM(R85:R87)</f>
        <v>96617.130352583699</v>
      </c>
      <c r="S88" s="364"/>
      <c r="T88" s="365"/>
      <c r="U88" s="368"/>
      <c r="V88" s="367">
        <f>SUM(V85:V87)</f>
        <v>77162.114581355665</v>
      </c>
      <c r="W88" s="367">
        <f>SUM(W85:W87)</f>
        <v>736414.8052497101</v>
      </c>
    </row>
    <row r="89" spans="1:33">
      <c r="A89" s="322"/>
      <c r="B89" s="378"/>
      <c r="C89" s="356"/>
      <c r="D89" s="379"/>
      <c r="E89" s="380"/>
      <c r="F89" s="322"/>
      <c r="G89" s="356"/>
      <c r="H89" s="379"/>
      <c r="I89" s="381"/>
      <c r="J89" s="322"/>
      <c r="K89" s="356"/>
      <c r="L89" s="379"/>
      <c r="M89" s="380"/>
      <c r="N89" s="322"/>
      <c r="O89" s="356"/>
      <c r="P89" s="379"/>
      <c r="Q89" s="381"/>
      <c r="R89" s="322"/>
      <c r="S89" s="356"/>
      <c r="T89" s="379"/>
      <c r="U89" s="381"/>
      <c r="V89" s="322"/>
      <c r="W89" s="283"/>
    </row>
    <row r="90" spans="1:33" ht="18.3">
      <c r="A90" s="382" t="s">
        <v>110</v>
      </c>
      <c r="B90" s="383"/>
      <c r="C90" s="384"/>
      <c r="D90" s="385"/>
      <c r="E90" s="386"/>
      <c r="F90" s="387">
        <f>F82+F88</f>
        <v>489714.61915000004</v>
      </c>
      <c r="G90" s="384"/>
      <c r="H90" s="385"/>
      <c r="I90" s="388"/>
      <c r="J90" s="387">
        <f>J82+J88</f>
        <v>1021551.7739303999</v>
      </c>
      <c r="K90" s="384"/>
      <c r="L90" s="385"/>
      <c r="M90" s="386"/>
      <c r="N90" s="387">
        <f>N82+N88</f>
        <v>1040886.707248704</v>
      </c>
      <c r="O90" s="384"/>
      <c r="P90" s="385"/>
      <c r="Q90" s="388"/>
      <c r="R90" s="387">
        <f>R82+R88</f>
        <v>438261.8628581838</v>
      </c>
      <c r="S90" s="384"/>
      <c r="T90" s="385"/>
      <c r="U90" s="388"/>
      <c r="V90" s="387">
        <f>V82+V88</f>
        <v>350012.59047016635</v>
      </c>
      <c r="W90" s="389">
        <f>F90+J90+N90+R90+V90</f>
        <v>3340427.553657454</v>
      </c>
    </row>
    <row r="91" spans="1:33" ht="15.6" outlineLevel="1">
      <c r="A91" s="346" t="str">
        <f>'Program Budget'!D398</f>
        <v>Venue Space for Investment Roundtables</v>
      </c>
      <c r="B91" s="271" t="str">
        <f>'Program Budget'!F398</f>
        <v>Roundtable</v>
      </c>
      <c r="C91" s="272">
        <f>'Program Budget'!H398</f>
        <v>166.6</v>
      </c>
      <c r="D91" s="273">
        <f>'Program Budget'!G398</f>
        <v>1</v>
      </c>
      <c r="E91" s="274">
        <v>1</v>
      </c>
      <c r="F91" s="275">
        <f t="shared" ref="F91" si="132">C91*D91*E91</f>
        <v>166.6</v>
      </c>
      <c r="G91" s="272">
        <f t="shared" ref="G91" si="133">C91</f>
        <v>166.6</v>
      </c>
      <c r="H91" s="273">
        <f>'Program Budget'!K398</f>
        <v>1</v>
      </c>
      <c r="I91" s="274">
        <v>1</v>
      </c>
      <c r="J91" s="275">
        <f t="shared" ref="J91" si="134">G91*H91*I91</f>
        <v>166.6</v>
      </c>
      <c r="K91" s="272">
        <f t="shared" ref="K91" si="135">G91</f>
        <v>166.6</v>
      </c>
      <c r="L91" s="273">
        <f>'Program Budget'!N398</f>
        <v>2</v>
      </c>
      <c r="M91" s="274">
        <v>1</v>
      </c>
      <c r="N91" s="275">
        <f>K91*L91*M91</f>
        <v>333.2</v>
      </c>
      <c r="O91" s="272">
        <f t="shared" ref="O91" si="136">K91</f>
        <v>166.6</v>
      </c>
      <c r="P91" s="273">
        <f>'Program Budget'!Q398</f>
        <v>1</v>
      </c>
      <c r="Q91" s="274">
        <v>1</v>
      </c>
      <c r="R91" s="275">
        <f t="shared" ref="R91" si="137">O91*P91*Q91</f>
        <v>166.6</v>
      </c>
      <c r="S91" s="272">
        <f t="shared" ref="S91" si="138">O91</f>
        <v>166.6</v>
      </c>
      <c r="T91" s="273">
        <f>'Program Budget'!T398</f>
        <v>1</v>
      </c>
      <c r="U91" s="274">
        <v>1</v>
      </c>
      <c r="V91" s="275">
        <f t="shared" ref="V91" si="139">S91*T91*U91</f>
        <v>166.6</v>
      </c>
      <c r="W91" s="411">
        <f t="shared" ref="W91" si="140">F91+J91+N91+R91+V91</f>
        <v>999.6</v>
      </c>
      <c r="AE91" s="239"/>
      <c r="AF91" s="280"/>
      <c r="AG91" s="345"/>
    </row>
    <row r="92" spans="1:33" ht="15.6" outlineLevel="1">
      <c r="A92" s="346" t="str">
        <f>'Program Budget'!D399</f>
        <v>Cost Share for Post Harvest Processing Equipment and Infrastructure</v>
      </c>
      <c r="B92" s="271" t="str">
        <f>'Program Budget'!F399</f>
        <v>Unit</v>
      </c>
      <c r="C92" s="272">
        <f>'Program Budget'!H399</f>
        <v>210000</v>
      </c>
      <c r="D92" s="273">
        <f>'Program Budget'!G399</f>
        <v>0</v>
      </c>
      <c r="E92" s="274">
        <v>1</v>
      </c>
      <c r="F92" s="275">
        <f t="shared" ref="F92:F94" si="141">C92*D92*E92</f>
        <v>0</v>
      </c>
      <c r="G92" s="272">
        <f t="shared" ref="G92:G94" si="142">C92</f>
        <v>210000</v>
      </c>
      <c r="H92" s="273">
        <f>'Program Budget'!K399</f>
        <v>0</v>
      </c>
      <c r="I92" s="274">
        <v>1</v>
      </c>
      <c r="J92" s="275">
        <f t="shared" ref="J92:J94" si="143">G92*H92*I92</f>
        <v>0</v>
      </c>
      <c r="K92" s="272">
        <f t="shared" ref="K92:K94" si="144">G92</f>
        <v>210000</v>
      </c>
      <c r="L92" s="273">
        <f>'Program Budget'!N399</f>
        <v>1</v>
      </c>
      <c r="M92" s="274">
        <v>1</v>
      </c>
      <c r="N92" s="275">
        <f t="shared" ref="N92:N94" si="145">K92*L92*M92</f>
        <v>210000</v>
      </c>
      <c r="O92" s="272">
        <f t="shared" ref="O92:O94" si="146">K92</f>
        <v>210000</v>
      </c>
      <c r="P92" s="273">
        <f>'Program Budget'!Q399</f>
        <v>0</v>
      </c>
      <c r="Q92" s="274">
        <v>1</v>
      </c>
      <c r="R92" s="275">
        <f t="shared" ref="R92:R94" si="147">O92*P92*Q92</f>
        <v>0</v>
      </c>
      <c r="S92" s="272">
        <f t="shared" ref="S92:S94" si="148">O92</f>
        <v>210000</v>
      </c>
      <c r="T92" s="273">
        <f>'Program Budget'!T399</f>
        <v>0</v>
      </c>
      <c r="U92" s="274">
        <v>1</v>
      </c>
      <c r="V92" s="275">
        <f t="shared" ref="V92:V94" si="149">S92*T92*U92</f>
        <v>0</v>
      </c>
      <c r="W92" s="411">
        <f t="shared" ref="W92:W94" si="150">F92+J92+N92+R92+V92</f>
        <v>210000</v>
      </c>
      <c r="AE92" s="239"/>
      <c r="AF92" s="284"/>
      <c r="AG92" s="284"/>
    </row>
    <row r="93" spans="1:33" ht="15.6" outlineLevel="1">
      <c r="A93" s="346" t="str">
        <f>'Program Budget'!D400</f>
        <v>Cost Share for Co-invest in Small-Scale Processing Infrastructure for Cooperatives</v>
      </c>
      <c r="B93" s="271" t="str">
        <f>'Program Budget'!F400</f>
        <v>Cooperative</v>
      </c>
      <c r="C93" s="272">
        <f>'Program Budget'!H400</f>
        <v>5000</v>
      </c>
      <c r="D93" s="273">
        <f>'Program Budget'!G400</f>
        <v>0</v>
      </c>
      <c r="E93" s="274">
        <v>1</v>
      </c>
      <c r="F93" s="275">
        <f t="shared" si="141"/>
        <v>0</v>
      </c>
      <c r="G93" s="272">
        <f t="shared" si="142"/>
        <v>5000</v>
      </c>
      <c r="H93" s="273">
        <f>'Program Budget'!K400</f>
        <v>5</v>
      </c>
      <c r="I93" s="274">
        <v>1</v>
      </c>
      <c r="J93" s="275">
        <f t="shared" si="143"/>
        <v>25000</v>
      </c>
      <c r="K93" s="272">
        <f t="shared" si="144"/>
        <v>5000</v>
      </c>
      <c r="L93" s="273">
        <f>'Program Budget'!N400</f>
        <v>5</v>
      </c>
      <c r="M93" s="274">
        <v>1</v>
      </c>
      <c r="N93" s="275">
        <f t="shared" si="145"/>
        <v>25000</v>
      </c>
      <c r="O93" s="272">
        <f t="shared" si="146"/>
        <v>5000</v>
      </c>
      <c r="P93" s="273">
        <f>'Program Budget'!Q400</f>
        <v>0</v>
      </c>
      <c r="Q93" s="274">
        <v>1</v>
      </c>
      <c r="R93" s="275">
        <f t="shared" si="147"/>
        <v>0</v>
      </c>
      <c r="S93" s="272">
        <f t="shared" si="148"/>
        <v>5000</v>
      </c>
      <c r="T93" s="273">
        <f>'Program Budget'!T400</f>
        <v>0</v>
      </c>
      <c r="U93" s="274">
        <v>1</v>
      </c>
      <c r="V93" s="275">
        <f t="shared" si="149"/>
        <v>0</v>
      </c>
      <c r="W93" s="411">
        <f t="shared" si="150"/>
        <v>50000</v>
      </c>
      <c r="AE93" s="239"/>
      <c r="AF93" s="284"/>
      <c r="AG93" s="284"/>
    </row>
    <row r="94" spans="1:33" ht="15.6" outlineLevel="1">
      <c r="A94" s="346" t="str">
        <f>'Program Budget'!D401</f>
        <v>Cost Share for Large Scale Cold and Dry Storage Equipment and Infrastructure</v>
      </c>
      <c r="B94" s="271" t="str">
        <f>'Program Budget'!F401</f>
        <v>Unit</v>
      </c>
      <c r="C94" s="272">
        <f>'Program Budget'!H401</f>
        <v>339000</v>
      </c>
      <c r="D94" s="273">
        <f>'Program Budget'!G401</f>
        <v>0</v>
      </c>
      <c r="E94" s="274">
        <v>1</v>
      </c>
      <c r="F94" s="275">
        <f t="shared" si="141"/>
        <v>0</v>
      </c>
      <c r="G94" s="272">
        <f t="shared" si="142"/>
        <v>339000</v>
      </c>
      <c r="H94" s="273">
        <f>'Program Budget'!K401</f>
        <v>1</v>
      </c>
      <c r="I94" s="274">
        <v>1</v>
      </c>
      <c r="J94" s="275">
        <f t="shared" si="143"/>
        <v>339000</v>
      </c>
      <c r="K94" s="272">
        <f t="shared" si="144"/>
        <v>339000</v>
      </c>
      <c r="L94" s="273">
        <f>'Program Budget'!N401</f>
        <v>0</v>
      </c>
      <c r="M94" s="274">
        <v>1</v>
      </c>
      <c r="N94" s="275">
        <f t="shared" si="145"/>
        <v>0</v>
      </c>
      <c r="O94" s="272">
        <f t="shared" si="146"/>
        <v>339000</v>
      </c>
      <c r="P94" s="273">
        <f>'Program Budget'!Q401</f>
        <v>0</v>
      </c>
      <c r="Q94" s="274">
        <v>1</v>
      </c>
      <c r="R94" s="275">
        <f t="shared" si="147"/>
        <v>0</v>
      </c>
      <c r="S94" s="272">
        <f t="shared" si="148"/>
        <v>339000</v>
      </c>
      <c r="T94" s="273">
        <f>'Program Budget'!T401</f>
        <v>0</v>
      </c>
      <c r="U94" s="274">
        <v>1</v>
      </c>
      <c r="V94" s="275">
        <f t="shared" si="149"/>
        <v>0</v>
      </c>
      <c r="W94" s="411">
        <f t="shared" si="150"/>
        <v>339000</v>
      </c>
      <c r="AE94" s="239"/>
      <c r="AF94" s="284"/>
      <c r="AG94" s="284"/>
    </row>
    <row r="95" spans="1:33" ht="18.3">
      <c r="A95" s="382" t="s">
        <v>111</v>
      </c>
      <c r="B95" s="383"/>
      <c r="C95" s="384"/>
      <c r="D95" s="385"/>
      <c r="E95" s="386"/>
      <c r="F95" s="387">
        <f>SUM(F90:F94)</f>
        <v>489881.21915000002</v>
      </c>
      <c r="G95" s="384"/>
      <c r="H95" s="385"/>
      <c r="I95" s="388"/>
      <c r="J95" s="387">
        <f>SUM(J90:J94)</f>
        <v>1385718.3739303998</v>
      </c>
      <c r="K95" s="384"/>
      <c r="L95" s="385"/>
      <c r="M95" s="386"/>
      <c r="N95" s="387">
        <f>SUM(N90:N94)</f>
        <v>1276219.907248704</v>
      </c>
      <c r="O95" s="384"/>
      <c r="P95" s="385"/>
      <c r="Q95" s="388"/>
      <c r="R95" s="387">
        <f>SUM(R90:R94)</f>
        <v>438428.46285818378</v>
      </c>
      <c r="S95" s="384"/>
      <c r="T95" s="385"/>
      <c r="U95" s="388"/>
      <c r="V95" s="387">
        <f>SUM(V90:V94)</f>
        <v>350179.19047016633</v>
      </c>
      <c r="W95" s="389">
        <f>F95+J95+N95+R95+V95</f>
        <v>3940427.1536574541</v>
      </c>
    </row>
    <row r="96" spans="1:33">
      <c r="A96" s="271"/>
      <c r="B96" s="271"/>
      <c r="W96" s="277"/>
    </row>
    <row r="97" spans="1:23" ht="31.2">
      <c r="A97" s="394" t="s">
        <v>112</v>
      </c>
      <c r="B97" s="395"/>
      <c r="C97" s="396"/>
      <c r="D97" s="397"/>
      <c r="E97" s="398"/>
      <c r="F97" s="399"/>
      <c r="G97" s="396"/>
      <c r="H97" s="397"/>
      <c r="I97" s="400"/>
      <c r="J97" s="401"/>
      <c r="K97" s="396"/>
      <c r="L97" s="397"/>
      <c r="M97" s="398"/>
      <c r="N97" s="401"/>
      <c r="O97" s="396"/>
      <c r="P97" s="397"/>
      <c r="Q97" s="400"/>
      <c r="R97" s="401"/>
      <c r="S97" s="396"/>
      <c r="T97" s="397"/>
      <c r="U97" s="400"/>
      <c r="V97" s="401"/>
      <c r="W97" s="401"/>
    </row>
  </sheetData>
  <mergeCells count="8">
    <mergeCell ref="S2:V2"/>
    <mergeCell ref="W2:W3"/>
    <mergeCell ref="A2:A3"/>
    <mergeCell ref="B2:B3"/>
    <mergeCell ref="C2:F2"/>
    <mergeCell ref="G2:J2"/>
    <mergeCell ref="K2:N2"/>
    <mergeCell ref="O2:R2"/>
  </mergeCells>
  <printOptions horizontalCentered="1"/>
  <pageMargins left="0.25" right="0.25" top="0.75" bottom="0.75" header="0.3" footer="0.3"/>
  <pageSetup scale="34" orientation="landscape" r:id="rId1"/>
  <headerFooter alignWithMargins="0"/>
  <rowBreaks count="1" manualBreakCount="1">
    <brk id="89"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423"/>
  <sheetViews>
    <sheetView tabSelected="1" zoomScaleNormal="100" zoomScaleSheetLayoutView="90" workbookViewId="0">
      <pane xSplit="4" ySplit="9" topLeftCell="E91" activePane="bottomRight" state="frozen"/>
      <selection pane="topRight" activeCell="C1" sqref="C1"/>
      <selection pane="bottomLeft" activeCell="A11" sqref="A11"/>
      <selection pane="bottomRight" activeCell="D103" sqref="D103"/>
    </sheetView>
  </sheetViews>
  <sheetFormatPr defaultColWidth="11.44140625" defaultRowHeight="12.6"/>
  <cols>
    <col min="1" max="1" width="16" style="54" bestFit="1" customWidth="1"/>
    <col min="2" max="2" width="11.83203125" style="54" customWidth="1"/>
    <col min="3" max="3" width="8.27734375" style="54" customWidth="1"/>
    <col min="4" max="4" width="51.83203125" style="54" customWidth="1"/>
    <col min="5" max="5" width="11.27734375" style="177" customWidth="1"/>
    <col min="6" max="6" width="9.5546875" style="54" bestFit="1" customWidth="1"/>
    <col min="7" max="7" width="7.5546875" style="54" bestFit="1" customWidth="1"/>
    <col min="8" max="8" width="11.5546875" style="97" bestFit="1" customWidth="1"/>
    <col min="9" max="9" width="11.44140625" style="78" customWidth="1"/>
    <col min="10" max="10" width="11.27734375" style="76" customWidth="1"/>
    <col min="11" max="11" width="8.1640625" style="78" bestFit="1" customWidth="1"/>
    <col min="12" max="12" width="11.44140625" style="78" customWidth="1"/>
    <col min="13" max="13" width="11.27734375" style="76" customWidth="1"/>
    <col min="14" max="14" width="7.44140625" style="78" customWidth="1"/>
    <col min="15" max="15" width="11.44140625" style="78" bestFit="1" customWidth="1"/>
    <col min="16" max="16" width="11.1640625" style="76" bestFit="1" customWidth="1"/>
    <col min="17" max="17" width="7.1640625" style="78" bestFit="1" customWidth="1"/>
    <col min="18" max="18" width="10.27734375" style="78" customWidth="1"/>
    <col min="19" max="19" width="11.27734375" style="76" customWidth="1"/>
    <col min="20" max="20" width="8.5546875" style="78" customWidth="1"/>
    <col min="21" max="21" width="10.27734375" style="78" customWidth="1"/>
    <col min="22" max="22" width="12.71875" style="78" bestFit="1" customWidth="1"/>
    <col min="23" max="23" width="12.44140625" style="78" customWidth="1"/>
    <col min="24" max="24" width="11.44140625" style="78" customWidth="1"/>
    <col min="25" max="16384" width="11.44140625" style="52"/>
  </cols>
  <sheetData>
    <row r="1" spans="1:24" ht="13.8">
      <c r="A1" s="52"/>
      <c r="B1" s="52"/>
      <c r="C1" s="52"/>
      <c r="D1" s="597" t="s">
        <v>152</v>
      </c>
      <c r="E1" s="597"/>
      <c r="F1" s="597"/>
      <c r="G1" s="597"/>
      <c r="H1" s="597"/>
      <c r="I1" s="597"/>
      <c r="J1" s="597"/>
      <c r="K1" s="597"/>
      <c r="L1" s="597"/>
      <c r="M1" s="597"/>
      <c r="N1" s="597"/>
      <c r="O1" s="597"/>
      <c r="P1" s="597"/>
      <c r="Q1" s="597"/>
      <c r="R1" s="597"/>
      <c r="S1" s="597"/>
      <c r="T1" s="597"/>
      <c r="U1" s="597"/>
      <c r="V1" s="597"/>
      <c r="W1" s="597"/>
      <c r="X1" s="597"/>
    </row>
    <row r="2" spans="1:24" ht="13.8">
      <c r="A2" s="52"/>
      <c r="B2" s="52"/>
      <c r="C2" s="52"/>
      <c r="D2" s="599" t="s">
        <v>153</v>
      </c>
      <c r="E2" s="599"/>
      <c r="F2" s="599"/>
      <c r="G2" s="599"/>
      <c r="H2" s="599"/>
      <c r="I2" s="599"/>
      <c r="J2" s="599"/>
      <c r="K2" s="599"/>
      <c r="L2" s="599"/>
      <c r="M2" s="599"/>
      <c r="N2" s="599"/>
      <c r="O2" s="599"/>
      <c r="P2" s="599"/>
      <c r="Q2" s="599"/>
      <c r="R2" s="599"/>
      <c r="S2" s="599"/>
      <c r="T2" s="599"/>
      <c r="U2" s="599"/>
      <c r="V2" s="599"/>
      <c r="W2" s="599"/>
      <c r="X2" s="599"/>
    </row>
    <row r="3" spans="1:24" ht="14.1" thickBot="1">
      <c r="A3" s="52"/>
      <c r="B3" s="52"/>
      <c r="C3" s="52"/>
      <c r="D3" s="597" t="s">
        <v>154</v>
      </c>
      <c r="E3" s="597"/>
      <c r="F3" s="597"/>
      <c r="G3" s="597"/>
      <c r="H3" s="597"/>
      <c r="I3" s="597"/>
      <c r="J3" s="597"/>
      <c r="K3" s="597"/>
      <c r="L3" s="597"/>
      <c r="M3" s="597"/>
      <c r="N3" s="597"/>
      <c r="O3" s="597"/>
      <c r="P3" s="597"/>
      <c r="Q3" s="597"/>
      <c r="R3" s="597"/>
      <c r="S3" s="597"/>
      <c r="T3" s="597"/>
      <c r="U3" s="597"/>
      <c r="V3" s="597"/>
      <c r="W3" s="597"/>
      <c r="X3" s="597"/>
    </row>
    <row r="4" spans="1:24" ht="14.1">
      <c r="A4" s="532" t="s">
        <v>155</v>
      </c>
      <c r="B4" s="533" t="s">
        <v>156</v>
      </c>
      <c r="C4" s="52"/>
      <c r="D4" s="597" t="s">
        <v>157</v>
      </c>
      <c r="E4" s="597"/>
      <c r="F4" s="597"/>
      <c r="G4" s="597"/>
      <c r="H4" s="597"/>
      <c r="I4" s="597"/>
      <c r="J4" s="597"/>
      <c r="K4" s="597"/>
      <c r="L4" s="597"/>
      <c r="M4" s="597"/>
      <c r="N4" s="597"/>
      <c r="O4" s="597"/>
      <c r="P4" s="597"/>
      <c r="Q4" s="597"/>
      <c r="R4" s="597"/>
      <c r="S4" s="597"/>
      <c r="T4" s="597"/>
      <c r="U4" s="597"/>
      <c r="V4" s="597"/>
      <c r="W4" s="597"/>
      <c r="X4" s="597"/>
    </row>
    <row r="5" spans="1:24" ht="14.1">
      <c r="A5" s="534" t="s">
        <v>158</v>
      </c>
      <c r="B5" s="535">
        <v>30100</v>
      </c>
      <c r="C5" s="52"/>
      <c r="D5" s="598" t="s">
        <v>159</v>
      </c>
      <c r="E5" s="598"/>
      <c r="F5" s="48"/>
      <c r="G5" s="48"/>
      <c r="H5" s="48"/>
      <c r="I5" s="48"/>
      <c r="J5" s="48"/>
      <c r="K5" s="48"/>
      <c r="L5" s="48"/>
      <c r="M5" s="48"/>
      <c r="N5" s="48"/>
      <c r="O5" s="48"/>
      <c r="P5" s="48"/>
      <c r="Q5" s="48"/>
      <c r="R5" s="48"/>
      <c r="S5" s="48"/>
      <c r="T5" s="48"/>
      <c r="U5" s="48"/>
      <c r="V5" s="48"/>
      <c r="W5" s="48"/>
      <c r="X5" s="48"/>
    </row>
    <row r="6" spans="1:24" ht="14.4" thickBot="1">
      <c r="A6" s="536" t="s">
        <v>160</v>
      </c>
      <c r="B6" s="537" t="s">
        <v>161</v>
      </c>
      <c r="C6" s="52"/>
      <c r="D6" s="68" t="s">
        <v>162</v>
      </c>
      <c r="E6" s="165">
        <v>1.04</v>
      </c>
    </row>
    <row r="7" spans="1:24">
      <c r="A7" s="52"/>
      <c r="B7" s="52"/>
      <c r="C7" s="52"/>
      <c r="D7" s="68" t="s">
        <v>163</v>
      </c>
      <c r="E7" s="165">
        <v>1.04</v>
      </c>
    </row>
    <row r="8" spans="1:24" hidden="1">
      <c r="A8" s="52"/>
      <c r="B8" s="52"/>
      <c r="C8" s="52"/>
    </row>
    <row r="9" spans="1:24" ht="37.5" thickBot="1">
      <c r="A9" s="80" t="s">
        <v>164</v>
      </c>
      <c r="B9" s="80" t="s">
        <v>165</v>
      </c>
      <c r="C9" s="80" t="s">
        <v>166</v>
      </c>
      <c r="D9" s="80" t="s">
        <v>167</v>
      </c>
      <c r="E9" s="121" t="s">
        <v>168</v>
      </c>
      <c r="F9" s="80" t="s">
        <v>169</v>
      </c>
      <c r="G9" s="80" t="s">
        <v>170</v>
      </c>
      <c r="H9" s="81" t="s">
        <v>171</v>
      </c>
      <c r="I9" s="82" t="s">
        <v>172</v>
      </c>
      <c r="J9" s="121" t="s">
        <v>173</v>
      </c>
      <c r="K9" s="80" t="s">
        <v>170</v>
      </c>
      <c r="L9" s="82" t="s">
        <v>174</v>
      </c>
      <c r="M9" s="121" t="s">
        <v>175</v>
      </c>
      <c r="N9" s="80" t="s">
        <v>170</v>
      </c>
      <c r="O9" s="82" t="s">
        <v>176</v>
      </c>
      <c r="P9" s="121" t="s">
        <v>177</v>
      </c>
      <c r="Q9" s="80" t="s">
        <v>170</v>
      </c>
      <c r="R9" s="82" t="s">
        <v>178</v>
      </c>
      <c r="S9" s="121" t="s">
        <v>179</v>
      </c>
      <c r="T9" s="82" t="s">
        <v>170</v>
      </c>
      <c r="U9" s="82" t="s">
        <v>180</v>
      </c>
      <c r="V9" s="82" t="s">
        <v>181</v>
      </c>
      <c r="W9" s="81" t="s">
        <v>182</v>
      </c>
      <c r="X9" s="81" t="s">
        <v>183</v>
      </c>
    </row>
    <row r="10" spans="1:24">
      <c r="A10" s="83"/>
      <c r="B10" s="83" t="s">
        <v>184</v>
      </c>
      <c r="C10" s="83"/>
      <c r="D10" s="83" t="s">
        <v>185</v>
      </c>
      <c r="E10" s="166"/>
      <c r="F10" s="84"/>
      <c r="G10" s="84"/>
      <c r="H10" s="85"/>
      <c r="I10" s="86"/>
      <c r="J10" s="166"/>
      <c r="K10" s="86"/>
      <c r="L10" s="86"/>
      <c r="M10" s="166"/>
      <c r="N10" s="86"/>
      <c r="O10" s="86"/>
      <c r="P10" s="166"/>
      <c r="Q10" s="86"/>
      <c r="R10" s="86"/>
      <c r="S10" s="166"/>
      <c r="T10" s="86"/>
      <c r="U10" s="86"/>
      <c r="V10" s="86"/>
      <c r="W10" s="86"/>
      <c r="X10" s="86"/>
    </row>
    <row r="11" spans="1:24" ht="14.5" customHeight="1">
      <c r="A11" s="122"/>
      <c r="B11" s="122"/>
      <c r="C11" s="122"/>
      <c r="D11" s="122" t="s">
        <v>186</v>
      </c>
      <c r="E11" s="167"/>
      <c r="F11" s="123"/>
      <c r="G11" s="124"/>
      <c r="H11" s="125"/>
      <c r="I11" s="126"/>
      <c r="J11" s="167"/>
      <c r="K11" s="126"/>
      <c r="L11" s="126"/>
      <c r="M11" s="167"/>
      <c r="N11" s="126"/>
      <c r="O11" s="126"/>
      <c r="P11" s="167"/>
      <c r="Q11" s="126"/>
      <c r="R11" s="126"/>
      <c r="S11" s="167"/>
      <c r="T11" s="126"/>
      <c r="U11" s="126"/>
      <c r="V11" s="126"/>
      <c r="W11" s="126"/>
      <c r="X11" s="126"/>
    </row>
    <row r="12" spans="1:24">
      <c r="A12" s="54" t="s">
        <v>187</v>
      </c>
      <c r="B12" s="54">
        <v>70000</v>
      </c>
      <c r="C12" s="54" t="s">
        <v>188</v>
      </c>
      <c r="D12" s="54" t="s">
        <v>189</v>
      </c>
      <c r="E12" s="168">
        <f>'LOE Breakdown by Year'!D11</f>
        <v>0.2</v>
      </c>
      <c r="F12" s="96" t="s">
        <v>190</v>
      </c>
      <c r="G12" s="90">
        <v>12</v>
      </c>
      <c r="H12" s="90">
        <f>145000/12</f>
        <v>12083.333333333334</v>
      </c>
      <c r="I12" s="90">
        <f t="shared" ref="I12:I20" si="0">G12*H12*E12</f>
        <v>29000</v>
      </c>
      <c r="J12" s="168">
        <f>'LOE Breakdown by Year'!D38</f>
        <v>0.05</v>
      </c>
      <c r="K12" s="90">
        <v>12</v>
      </c>
      <c r="L12" s="90">
        <f>K12*H12*$E$7*$J12</f>
        <v>7540</v>
      </c>
      <c r="M12" s="168">
        <f>'LOE Breakdown by Year'!D65</f>
        <v>0.05</v>
      </c>
      <c r="N12" s="90">
        <v>12</v>
      </c>
      <c r="O12" s="90">
        <f t="shared" ref="O12:O28" si="1">N12*H12*$M12*$E$7*$E$7</f>
        <v>7841.6</v>
      </c>
      <c r="P12" s="168">
        <f>'LOE Breakdown by Year'!D92</f>
        <v>0.05</v>
      </c>
      <c r="Q12" s="90">
        <v>12</v>
      </c>
      <c r="R12" s="90">
        <f>Q12*H12*$P12*$E$7*$E$7*$E$7</f>
        <v>8155.264000000001</v>
      </c>
      <c r="S12" s="168">
        <f>'LOE Breakdown by Year'!D119</f>
        <v>0.05</v>
      </c>
      <c r="T12" s="90">
        <v>12</v>
      </c>
      <c r="U12" s="90">
        <f>T12*H12*$S12*$E$7*$E$7*$E$7*$E$7</f>
        <v>8481.4745600000006</v>
      </c>
      <c r="V12" s="90">
        <f>SUM(R12,O12,L12,I12,U12)</f>
        <v>61018.338560000004</v>
      </c>
      <c r="W12" s="90">
        <v>0</v>
      </c>
      <c r="X12" s="90">
        <f>SUM(V12:W12)</f>
        <v>61018.338560000004</v>
      </c>
    </row>
    <row r="13" spans="1:24">
      <c r="A13" s="54" t="s">
        <v>187</v>
      </c>
      <c r="B13" s="54">
        <v>70000</v>
      </c>
      <c r="C13" s="54" t="s">
        <v>188</v>
      </c>
      <c r="D13" s="54" t="s">
        <v>191</v>
      </c>
      <c r="E13" s="168">
        <f>'LOE Breakdown by Year'!D12</f>
        <v>0.2</v>
      </c>
      <c r="F13" s="96" t="s">
        <v>190</v>
      </c>
      <c r="G13" s="90">
        <v>6</v>
      </c>
      <c r="H13" s="90">
        <f>90000/12</f>
        <v>7500</v>
      </c>
      <c r="I13" s="90">
        <f>G13*H13*E13</f>
        <v>9000</v>
      </c>
      <c r="J13" s="168">
        <f>'LOE Breakdown by Year'!D39</f>
        <v>0</v>
      </c>
      <c r="K13" s="90">
        <v>12</v>
      </c>
      <c r="L13" s="90">
        <f t="shared" ref="L13:L28" si="2">K13*H13*$E$7*$J13</f>
        <v>0</v>
      </c>
      <c r="M13" s="168">
        <f>'LOE Breakdown by Year'!D66</f>
        <v>0</v>
      </c>
      <c r="N13" s="90">
        <v>12</v>
      </c>
      <c r="O13" s="90">
        <f t="shared" si="1"/>
        <v>0</v>
      </c>
      <c r="P13" s="168">
        <f>'LOE Breakdown by Year'!D93</f>
        <v>0</v>
      </c>
      <c r="Q13" s="90">
        <v>12</v>
      </c>
      <c r="R13" s="90">
        <f>Q13*H13*$P13*$E$7*$E$7*$E$7</f>
        <v>0</v>
      </c>
      <c r="S13" s="168">
        <f>'LOE Breakdown by Year'!D120</f>
        <v>0</v>
      </c>
      <c r="T13" s="90">
        <v>6</v>
      </c>
      <c r="U13" s="90">
        <f t="shared" ref="U13:U28" si="3">T13*H13*$S13*$E$7*$E$7*$E$7*$E$7</f>
        <v>0</v>
      </c>
      <c r="V13" s="90">
        <f t="shared" ref="V13:V28" si="4">SUM(R13,O13,L13,I13,U13)</f>
        <v>9000</v>
      </c>
      <c r="W13" s="90">
        <v>0</v>
      </c>
      <c r="X13" s="90">
        <f>SUM(V13:W13)</f>
        <v>9000</v>
      </c>
    </row>
    <row r="14" spans="1:24">
      <c r="A14" s="54" t="s">
        <v>187</v>
      </c>
      <c r="B14" s="54">
        <v>70000</v>
      </c>
      <c r="C14" s="54" t="s">
        <v>188</v>
      </c>
      <c r="D14" s="54" t="s">
        <v>192</v>
      </c>
      <c r="E14" s="168">
        <f>'LOE Breakdown by Year'!D13</f>
        <v>0.25</v>
      </c>
      <c r="F14" s="96" t="s">
        <v>190</v>
      </c>
      <c r="G14" s="90">
        <v>6</v>
      </c>
      <c r="H14" s="90">
        <f>40000/12</f>
        <v>3333.3333333333335</v>
      </c>
      <c r="I14" s="90">
        <f t="shared" si="0"/>
        <v>5000</v>
      </c>
      <c r="J14" s="168">
        <f>'LOE Breakdown by Year'!D40</f>
        <v>0</v>
      </c>
      <c r="K14" s="90">
        <v>12</v>
      </c>
      <c r="L14" s="90">
        <f t="shared" si="2"/>
        <v>0</v>
      </c>
      <c r="M14" s="168">
        <f>'LOE Breakdown by Year'!D67</f>
        <v>0</v>
      </c>
      <c r="N14" s="90">
        <v>12</v>
      </c>
      <c r="O14" s="90">
        <f t="shared" si="1"/>
        <v>0</v>
      </c>
      <c r="P14" s="168">
        <f>'LOE Breakdown by Year'!D94</f>
        <v>0</v>
      </c>
      <c r="Q14" s="90">
        <v>12</v>
      </c>
      <c r="R14" s="90">
        <f t="shared" ref="R14:R28" si="5">Q14*H14*$P14*$E$7*$E$7*$E$7</f>
        <v>0</v>
      </c>
      <c r="S14" s="168">
        <f>'LOE Breakdown by Year'!D121</f>
        <v>0</v>
      </c>
      <c r="T14" s="90">
        <v>9</v>
      </c>
      <c r="U14" s="90">
        <f t="shared" si="3"/>
        <v>0</v>
      </c>
      <c r="V14" s="90">
        <f t="shared" si="4"/>
        <v>5000</v>
      </c>
      <c r="W14" s="90">
        <v>0</v>
      </c>
      <c r="X14" s="90">
        <f t="shared" ref="X14:X16" si="6">SUM(V14:W14)</f>
        <v>5000</v>
      </c>
    </row>
    <row r="15" spans="1:24">
      <c r="A15" s="54" t="s">
        <v>187</v>
      </c>
      <c r="B15" s="54">
        <v>70000</v>
      </c>
      <c r="C15" s="54" t="s">
        <v>188</v>
      </c>
      <c r="D15" s="54" t="s">
        <v>193</v>
      </c>
      <c r="E15" s="168">
        <f>'LOE Breakdown by Year'!D14</f>
        <v>0.25</v>
      </c>
      <c r="F15" s="96" t="s">
        <v>190</v>
      </c>
      <c r="G15" s="90">
        <v>6</v>
      </c>
      <c r="H15" s="90">
        <f>40000/12</f>
        <v>3333.3333333333335</v>
      </c>
      <c r="I15" s="90">
        <f t="shared" si="0"/>
        <v>5000</v>
      </c>
      <c r="J15" s="168">
        <f>'LOE Breakdown by Year'!D41</f>
        <v>0</v>
      </c>
      <c r="K15" s="90">
        <v>12</v>
      </c>
      <c r="L15" s="90">
        <f t="shared" si="2"/>
        <v>0</v>
      </c>
      <c r="M15" s="168">
        <f>'LOE Breakdown by Year'!D68</f>
        <v>0</v>
      </c>
      <c r="N15" s="90">
        <v>12</v>
      </c>
      <c r="O15" s="90">
        <f t="shared" si="1"/>
        <v>0</v>
      </c>
      <c r="P15" s="168">
        <f>'LOE Breakdown by Year'!D95</f>
        <v>0</v>
      </c>
      <c r="Q15" s="90">
        <v>12</v>
      </c>
      <c r="R15" s="90">
        <f t="shared" si="5"/>
        <v>0</v>
      </c>
      <c r="S15" s="168">
        <f>'LOE Breakdown by Year'!D122</f>
        <v>0</v>
      </c>
      <c r="T15" s="90">
        <v>9</v>
      </c>
      <c r="U15" s="90">
        <f t="shared" si="3"/>
        <v>0</v>
      </c>
      <c r="V15" s="90">
        <f t="shared" si="4"/>
        <v>5000</v>
      </c>
      <c r="W15" s="90">
        <v>0</v>
      </c>
      <c r="X15" s="90">
        <f t="shared" si="6"/>
        <v>5000</v>
      </c>
    </row>
    <row r="16" spans="1:24">
      <c r="A16" s="54" t="s">
        <v>187</v>
      </c>
      <c r="B16" s="54">
        <v>70000</v>
      </c>
      <c r="C16" s="54" t="s">
        <v>188</v>
      </c>
      <c r="D16" s="54" t="s">
        <v>194</v>
      </c>
      <c r="E16" s="168">
        <f>'LOE Breakdown by Year'!D15</f>
        <v>0.25</v>
      </c>
      <c r="F16" s="96" t="s">
        <v>190</v>
      </c>
      <c r="G16" s="90">
        <v>6</v>
      </c>
      <c r="H16" s="90">
        <f>40000/12</f>
        <v>3333.3333333333335</v>
      </c>
      <c r="I16" s="90">
        <f t="shared" si="0"/>
        <v>5000</v>
      </c>
      <c r="J16" s="168">
        <f>'LOE Breakdown by Year'!D42</f>
        <v>0</v>
      </c>
      <c r="K16" s="90">
        <v>12</v>
      </c>
      <c r="L16" s="90">
        <f t="shared" si="2"/>
        <v>0</v>
      </c>
      <c r="M16" s="168">
        <f>'LOE Breakdown by Year'!D69</f>
        <v>0</v>
      </c>
      <c r="N16" s="90">
        <v>12</v>
      </c>
      <c r="O16" s="90">
        <f t="shared" si="1"/>
        <v>0</v>
      </c>
      <c r="P16" s="168">
        <f>'LOE Breakdown by Year'!D96</f>
        <v>0</v>
      </c>
      <c r="Q16" s="90">
        <v>12</v>
      </c>
      <c r="R16" s="90">
        <f t="shared" si="5"/>
        <v>0</v>
      </c>
      <c r="S16" s="168">
        <f>'LOE Breakdown by Year'!D123</f>
        <v>0</v>
      </c>
      <c r="T16" s="90">
        <v>9</v>
      </c>
      <c r="U16" s="90">
        <f t="shared" si="3"/>
        <v>0</v>
      </c>
      <c r="V16" s="90">
        <f t="shared" si="4"/>
        <v>5000</v>
      </c>
      <c r="W16" s="90">
        <v>0</v>
      </c>
      <c r="X16" s="90">
        <f t="shared" si="6"/>
        <v>5000</v>
      </c>
    </row>
    <row r="17" spans="1:24">
      <c r="A17" s="54" t="s">
        <v>187</v>
      </c>
      <c r="B17" s="54">
        <v>70000</v>
      </c>
      <c r="C17" s="54" t="s">
        <v>188</v>
      </c>
      <c r="D17" s="54" t="s">
        <v>195</v>
      </c>
      <c r="E17" s="168">
        <f>'LOE Breakdown by Year'!D16</f>
        <v>0.2</v>
      </c>
      <c r="F17" s="96" t="s">
        <v>190</v>
      </c>
      <c r="G17" s="90">
        <v>6</v>
      </c>
      <c r="H17" s="90">
        <f>20000/12</f>
        <v>1666.6666666666667</v>
      </c>
      <c r="I17" s="90">
        <f t="shared" ref="I17:I19" si="7">G17*H17*E17</f>
        <v>2000</v>
      </c>
      <c r="J17" s="168">
        <f>'LOE Breakdown by Year'!D43</f>
        <v>0</v>
      </c>
      <c r="K17" s="90">
        <v>12</v>
      </c>
      <c r="L17" s="90">
        <f t="shared" ref="L17:L19" si="8">K17*H17*$E$7*$J17</f>
        <v>0</v>
      </c>
      <c r="M17" s="168">
        <f>'LOE Breakdown by Year'!D70</f>
        <v>0</v>
      </c>
      <c r="N17" s="90">
        <v>12</v>
      </c>
      <c r="O17" s="90">
        <f t="shared" ref="O17:O19" si="9">N17*H17*$M17*$E$7*$E$7</f>
        <v>0</v>
      </c>
      <c r="P17" s="168">
        <f>'LOE Breakdown by Year'!D97</f>
        <v>0</v>
      </c>
      <c r="Q17" s="90">
        <v>12</v>
      </c>
      <c r="R17" s="90">
        <f t="shared" ref="R17:R19" si="10">Q17*H17*$P17*$E$7*$E$7*$E$7</f>
        <v>0</v>
      </c>
      <c r="S17" s="168">
        <f>'LOE Breakdown by Year'!D124</f>
        <v>0</v>
      </c>
      <c r="T17" s="90">
        <v>6</v>
      </c>
      <c r="U17" s="90">
        <f t="shared" ref="U17:U19" si="11">T17*H17*$S17*$E$7*$E$7*$E$7*$E$7</f>
        <v>0</v>
      </c>
      <c r="V17" s="90">
        <f t="shared" ref="V17:V19" si="12">SUM(R17,O17,L17,I17,U17)</f>
        <v>2000</v>
      </c>
      <c r="W17" s="90">
        <v>0</v>
      </c>
      <c r="X17" s="90">
        <f t="shared" ref="X17:X19" si="13">SUM(V17:W17)</f>
        <v>2000</v>
      </c>
    </row>
    <row r="18" spans="1:24">
      <c r="A18" s="54" t="s">
        <v>187</v>
      </c>
      <c r="B18" s="54">
        <v>70000</v>
      </c>
      <c r="C18" s="54" t="s">
        <v>188</v>
      </c>
      <c r="D18" s="54" t="s">
        <v>196</v>
      </c>
      <c r="E18" s="168">
        <f>'LOE Breakdown by Year'!D17</f>
        <v>0.2</v>
      </c>
      <c r="F18" s="96" t="s">
        <v>190</v>
      </c>
      <c r="G18" s="90">
        <v>6</v>
      </c>
      <c r="H18" s="90">
        <f>20000/12</f>
        <v>1666.6666666666667</v>
      </c>
      <c r="I18" s="90">
        <f t="shared" si="7"/>
        <v>2000</v>
      </c>
      <c r="J18" s="168">
        <f>'LOE Breakdown by Year'!D44</f>
        <v>0</v>
      </c>
      <c r="K18" s="90">
        <v>12</v>
      </c>
      <c r="L18" s="90">
        <f t="shared" si="8"/>
        <v>0</v>
      </c>
      <c r="M18" s="168">
        <f>'LOE Breakdown by Year'!D71</f>
        <v>0</v>
      </c>
      <c r="N18" s="90">
        <v>12</v>
      </c>
      <c r="O18" s="90">
        <f t="shared" si="9"/>
        <v>0</v>
      </c>
      <c r="P18" s="168">
        <f>'LOE Breakdown by Year'!D98</f>
        <v>0</v>
      </c>
      <c r="Q18" s="90">
        <v>12</v>
      </c>
      <c r="R18" s="90">
        <f t="shared" si="10"/>
        <v>0</v>
      </c>
      <c r="S18" s="168">
        <f>'LOE Breakdown by Year'!D125</f>
        <v>0</v>
      </c>
      <c r="T18" s="90">
        <v>6</v>
      </c>
      <c r="U18" s="90">
        <f t="shared" si="11"/>
        <v>0</v>
      </c>
      <c r="V18" s="90">
        <f t="shared" si="12"/>
        <v>2000</v>
      </c>
      <c r="W18" s="90">
        <v>0</v>
      </c>
      <c r="X18" s="90">
        <f t="shared" si="13"/>
        <v>2000</v>
      </c>
    </row>
    <row r="19" spans="1:24">
      <c r="A19" s="54" t="s">
        <v>187</v>
      </c>
      <c r="B19" s="54">
        <v>70000</v>
      </c>
      <c r="C19" s="54" t="s">
        <v>188</v>
      </c>
      <c r="D19" s="54" t="s">
        <v>197</v>
      </c>
      <c r="E19" s="168">
        <f>'LOE Breakdown by Year'!D18</f>
        <v>0.2</v>
      </c>
      <c r="F19" s="96" t="s">
        <v>190</v>
      </c>
      <c r="G19" s="90">
        <v>6</v>
      </c>
      <c r="H19" s="90">
        <f>20000/12</f>
        <v>1666.6666666666667</v>
      </c>
      <c r="I19" s="90">
        <f t="shared" si="7"/>
        <v>2000</v>
      </c>
      <c r="J19" s="168">
        <f>'LOE Breakdown by Year'!D45</f>
        <v>0</v>
      </c>
      <c r="K19" s="90">
        <v>12</v>
      </c>
      <c r="L19" s="90">
        <f t="shared" si="8"/>
        <v>0</v>
      </c>
      <c r="M19" s="168">
        <f>'LOE Breakdown by Year'!D72</f>
        <v>0</v>
      </c>
      <c r="N19" s="90">
        <v>12</v>
      </c>
      <c r="O19" s="90">
        <f t="shared" si="9"/>
        <v>0</v>
      </c>
      <c r="P19" s="168">
        <f>'LOE Breakdown by Year'!D99</f>
        <v>0</v>
      </c>
      <c r="Q19" s="90">
        <v>12</v>
      </c>
      <c r="R19" s="90">
        <f t="shared" si="10"/>
        <v>0</v>
      </c>
      <c r="S19" s="168">
        <f>'LOE Breakdown by Year'!D126</f>
        <v>0</v>
      </c>
      <c r="T19" s="90">
        <v>6</v>
      </c>
      <c r="U19" s="90">
        <f t="shared" si="11"/>
        <v>0</v>
      </c>
      <c r="V19" s="90">
        <f t="shared" si="12"/>
        <v>2000</v>
      </c>
      <c r="W19" s="90">
        <v>0</v>
      </c>
      <c r="X19" s="90">
        <f t="shared" si="13"/>
        <v>2000</v>
      </c>
    </row>
    <row r="20" spans="1:24">
      <c r="A20" s="54" t="s">
        <v>187</v>
      </c>
      <c r="B20" s="54">
        <v>70000</v>
      </c>
      <c r="C20" s="54" t="s">
        <v>188</v>
      </c>
      <c r="D20" s="54" t="s">
        <v>198</v>
      </c>
      <c r="E20" s="168">
        <f>'LOE Breakdown by Year'!D19</f>
        <v>0.1</v>
      </c>
      <c r="F20" s="96" t="s">
        <v>190</v>
      </c>
      <c r="G20" s="90">
        <v>3</v>
      </c>
      <c r="H20" s="90">
        <f>(14000/12)*20</f>
        <v>23333.333333333336</v>
      </c>
      <c r="I20" s="90">
        <f t="shared" si="0"/>
        <v>7000</v>
      </c>
      <c r="J20" s="168">
        <f>'LOE Breakdown by Year'!D46</f>
        <v>0</v>
      </c>
      <c r="K20" s="90">
        <v>12</v>
      </c>
      <c r="L20" s="90">
        <f t="shared" si="2"/>
        <v>0</v>
      </c>
      <c r="M20" s="168">
        <f>'LOE Breakdown by Year'!D73</f>
        <v>0</v>
      </c>
      <c r="N20" s="90">
        <v>6</v>
      </c>
      <c r="O20" s="90">
        <f t="shared" si="1"/>
        <v>0</v>
      </c>
      <c r="P20" s="168">
        <f>'LOE Breakdown by Year'!D100</f>
        <v>0</v>
      </c>
      <c r="Q20" s="90">
        <v>0</v>
      </c>
      <c r="R20" s="90">
        <f t="shared" si="5"/>
        <v>0</v>
      </c>
      <c r="S20" s="168">
        <f>'LOE Breakdown by Year'!D127</f>
        <v>0</v>
      </c>
      <c r="T20" s="90">
        <v>0</v>
      </c>
      <c r="U20" s="90">
        <f t="shared" si="3"/>
        <v>0</v>
      </c>
      <c r="V20" s="90">
        <f t="shared" si="4"/>
        <v>7000</v>
      </c>
      <c r="W20" s="90">
        <v>0</v>
      </c>
      <c r="X20" s="90">
        <f>SUM(V20:W20)</f>
        <v>7000</v>
      </c>
    </row>
    <row r="21" spans="1:24">
      <c r="A21" s="54" t="s">
        <v>187</v>
      </c>
      <c r="B21" s="54">
        <v>70000</v>
      </c>
      <c r="C21" s="54" t="s">
        <v>188</v>
      </c>
      <c r="D21" s="54" t="s">
        <v>199</v>
      </c>
      <c r="E21" s="168">
        <f>'LOE Breakdown by Year'!D20</f>
        <v>0.15</v>
      </c>
      <c r="F21" s="96" t="s">
        <v>190</v>
      </c>
      <c r="G21" s="90">
        <v>9</v>
      </c>
      <c r="H21" s="90">
        <f>45000/12</f>
        <v>3750</v>
      </c>
      <c r="I21" s="90">
        <f>G21*H21*E21</f>
        <v>5062.5</v>
      </c>
      <c r="J21" s="168">
        <f>'LOE Breakdown by Year'!D47</f>
        <v>0.05</v>
      </c>
      <c r="K21" s="90">
        <v>12</v>
      </c>
      <c r="L21" s="90">
        <f>K21*H21*$E$7*$J21</f>
        <v>2340</v>
      </c>
      <c r="M21" s="168">
        <f>'LOE Breakdown by Year'!D74</f>
        <v>0.05</v>
      </c>
      <c r="N21" s="90">
        <v>12</v>
      </c>
      <c r="O21" s="90">
        <f t="shared" ref="O21:O27" si="14">N21*H21*$M21*$E$7*$E$7</f>
        <v>2433.6</v>
      </c>
      <c r="P21" s="168">
        <f>'LOE Breakdown by Year'!D101</f>
        <v>0.05</v>
      </c>
      <c r="Q21" s="90">
        <v>12</v>
      </c>
      <c r="R21" s="90">
        <f t="shared" si="5"/>
        <v>2530.944</v>
      </c>
      <c r="S21" s="168">
        <f>'LOE Breakdown by Year'!D128</f>
        <v>0.05</v>
      </c>
      <c r="T21" s="90">
        <v>12</v>
      </c>
      <c r="U21" s="90">
        <f t="shared" si="3"/>
        <v>2632.1817599999999</v>
      </c>
      <c r="V21" s="90">
        <f t="shared" ref="V21:V27" si="15">SUM(R21,O21,L21,I21,U21)</f>
        <v>14999.225759999999</v>
      </c>
      <c r="W21" s="90">
        <v>0</v>
      </c>
      <c r="X21" s="90">
        <f>SUM(V21:W21)</f>
        <v>14999.225759999999</v>
      </c>
    </row>
    <row r="22" spans="1:24">
      <c r="A22" s="54" t="s">
        <v>187</v>
      </c>
      <c r="B22" s="54">
        <v>70000</v>
      </c>
      <c r="C22" s="54" t="s">
        <v>188</v>
      </c>
      <c r="D22" s="54" t="s">
        <v>200</v>
      </c>
      <c r="E22" s="168">
        <f>'LOE Breakdown by Year'!D21</f>
        <v>0.15</v>
      </c>
      <c r="F22" s="96" t="s">
        <v>190</v>
      </c>
      <c r="G22" s="90">
        <v>6</v>
      </c>
      <c r="H22" s="90">
        <f>25000/12</f>
        <v>2083.3333333333335</v>
      </c>
      <c r="I22" s="90">
        <f>G22*H22*E22</f>
        <v>1875</v>
      </c>
      <c r="J22" s="168">
        <f>'LOE Breakdown by Year'!D48</f>
        <v>0.05</v>
      </c>
      <c r="K22" s="90">
        <v>12</v>
      </c>
      <c r="L22" s="90">
        <f t="shared" ref="L22:L27" si="16">K22*H22*$E$7*$J22</f>
        <v>1300</v>
      </c>
      <c r="M22" s="168">
        <f>'LOE Breakdown by Year'!D75</f>
        <v>0.05</v>
      </c>
      <c r="N22" s="90">
        <v>12</v>
      </c>
      <c r="O22" s="90">
        <f t="shared" si="14"/>
        <v>1352</v>
      </c>
      <c r="P22" s="168">
        <f>'LOE Breakdown by Year'!D102</f>
        <v>0.05</v>
      </c>
      <c r="Q22" s="90">
        <v>12</v>
      </c>
      <c r="R22" s="90">
        <f t="shared" ref="R22:R27" si="17">Q22*H22*$P22*$E$7*$E$7*$E$7</f>
        <v>1406.0800000000002</v>
      </c>
      <c r="S22" s="168">
        <f>'LOE Breakdown by Year'!D129</f>
        <v>0.05</v>
      </c>
      <c r="T22" s="90">
        <v>10</v>
      </c>
      <c r="U22" s="90">
        <f t="shared" ref="U22:U27" si="18">T22*H22*$S22*$E$7*$E$7*$E$7*$E$7</f>
        <v>1218.6026666666669</v>
      </c>
      <c r="V22" s="90">
        <f t="shared" si="15"/>
        <v>7151.6826666666666</v>
      </c>
      <c r="W22" s="90">
        <v>0</v>
      </c>
      <c r="X22" s="90">
        <f t="shared" ref="X22:X23" si="19">SUM(V22:W22)</f>
        <v>7151.6826666666666</v>
      </c>
    </row>
    <row r="23" spans="1:24">
      <c r="A23" s="54" t="s">
        <v>187</v>
      </c>
      <c r="B23" s="54">
        <v>70000</v>
      </c>
      <c r="C23" s="54" t="s">
        <v>188</v>
      </c>
      <c r="D23" s="54" t="s">
        <v>201</v>
      </c>
      <c r="E23" s="168">
        <f>'LOE Breakdown by Year'!D22</f>
        <v>0.2</v>
      </c>
      <c r="F23" s="96" t="s">
        <v>190</v>
      </c>
      <c r="G23" s="90">
        <v>9</v>
      </c>
      <c r="H23" s="90">
        <f>80000/12</f>
        <v>6666.666666666667</v>
      </c>
      <c r="I23" s="90">
        <f t="shared" ref="I23:I27" si="20">G23*H23*E23</f>
        <v>12000</v>
      </c>
      <c r="J23" s="168">
        <f>'LOE Breakdown by Year'!D49</f>
        <v>0.1</v>
      </c>
      <c r="K23" s="90">
        <v>12</v>
      </c>
      <c r="L23" s="90">
        <f t="shared" si="16"/>
        <v>8320</v>
      </c>
      <c r="M23" s="168">
        <f>'LOE Breakdown by Year'!D76</f>
        <v>0.1</v>
      </c>
      <c r="N23" s="90">
        <v>12</v>
      </c>
      <c r="O23" s="90">
        <f t="shared" si="14"/>
        <v>8652.8000000000011</v>
      </c>
      <c r="P23" s="168">
        <f>'LOE Breakdown by Year'!D103</f>
        <v>0.1</v>
      </c>
      <c r="Q23" s="90">
        <v>12</v>
      </c>
      <c r="R23" s="90">
        <f t="shared" si="17"/>
        <v>8998.9120000000021</v>
      </c>
      <c r="S23" s="168">
        <f>'LOE Breakdown by Year'!D130</f>
        <v>0.1</v>
      </c>
      <c r="T23" s="90">
        <v>12</v>
      </c>
      <c r="U23" s="90">
        <f t="shared" si="18"/>
        <v>9358.8684800000028</v>
      </c>
      <c r="V23" s="90">
        <f t="shared" si="15"/>
        <v>47330.580480000004</v>
      </c>
      <c r="W23" s="90">
        <v>0</v>
      </c>
      <c r="X23" s="90">
        <f t="shared" si="19"/>
        <v>47330.580480000004</v>
      </c>
    </row>
    <row r="24" spans="1:24">
      <c r="A24" s="54" t="s">
        <v>187</v>
      </c>
      <c r="B24" s="54">
        <v>70000</v>
      </c>
      <c r="C24" s="54" t="s">
        <v>188</v>
      </c>
      <c r="D24" s="54" t="s">
        <v>202</v>
      </c>
      <c r="E24" s="168">
        <f>'LOE Breakdown by Year'!D23</f>
        <v>0.25</v>
      </c>
      <c r="F24" s="96" t="s">
        <v>190</v>
      </c>
      <c r="G24" s="90">
        <v>9</v>
      </c>
      <c r="H24" s="90">
        <f>35000/12</f>
        <v>2916.6666666666665</v>
      </c>
      <c r="I24" s="90">
        <f t="shared" ref="I24" si="21">G24*H24*E24</f>
        <v>6562.5</v>
      </c>
      <c r="J24" s="168">
        <f>'LOE Breakdown by Year'!D50</f>
        <v>0.1</v>
      </c>
      <c r="K24" s="90">
        <v>12</v>
      </c>
      <c r="L24" s="90">
        <f t="shared" ref="L24" si="22">K24*H24*$E$7*$J24</f>
        <v>3640</v>
      </c>
      <c r="M24" s="168">
        <f>'LOE Breakdown by Year'!D77</f>
        <v>0.05</v>
      </c>
      <c r="N24" s="90">
        <v>12</v>
      </c>
      <c r="O24" s="90">
        <f t="shared" ref="O24" si="23">N24*H24*$M24*$E$7*$E$7</f>
        <v>1892.8</v>
      </c>
      <c r="P24" s="168">
        <f>'LOE Breakdown by Year'!D104</f>
        <v>0.05</v>
      </c>
      <c r="Q24" s="90">
        <v>12</v>
      </c>
      <c r="R24" s="90">
        <f t="shared" ref="R24" si="24">Q24*H24*$P24*$E$7*$E$7*$E$7</f>
        <v>1968.5119999999999</v>
      </c>
      <c r="S24" s="168">
        <f>'LOE Breakdown by Year'!D131</f>
        <v>0.05</v>
      </c>
      <c r="T24" s="90">
        <v>10</v>
      </c>
      <c r="U24" s="90">
        <f t="shared" ref="U24" si="25">T24*H24*$S24*$E$7*$E$7*$E$7*$E$7</f>
        <v>1706.0437333333336</v>
      </c>
      <c r="V24" s="90">
        <f t="shared" ref="V24" si="26">SUM(R24,O24,L24,I24,U24)</f>
        <v>15769.855733333334</v>
      </c>
      <c r="W24" s="90">
        <v>0</v>
      </c>
      <c r="X24" s="90">
        <f t="shared" ref="X24" si="27">SUM(V24:W24)</f>
        <v>15769.855733333334</v>
      </c>
    </row>
    <row r="25" spans="1:24">
      <c r="A25" s="54" t="s">
        <v>187</v>
      </c>
      <c r="B25" s="54">
        <v>70000</v>
      </c>
      <c r="C25" s="54" t="s">
        <v>188</v>
      </c>
      <c r="D25" s="54" t="s">
        <v>203</v>
      </c>
      <c r="E25" s="168">
        <f>'LOE Breakdown by Year'!D24</f>
        <v>0.1</v>
      </c>
      <c r="F25" s="96" t="s">
        <v>190</v>
      </c>
      <c r="G25" s="90">
        <v>6</v>
      </c>
      <c r="H25" s="90">
        <f>35000/12</f>
        <v>2916.6666666666665</v>
      </c>
      <c r="I25" s="90">
        <f t="shared" si="20"/>
        <v>1750</v>
      </c>
      <c r="J25" s="168">
        <f>'LOE Breakdown by Year'!D51</f>
        <v>0.05</v>
      </c>
      <c r="K25" s="90">
        <v>12</v>
      </c>
      <c r="L25" s="90">
        <f t="shared" si="16"/>
        <v>1820</v>
      </c>
      <c r="M25" s="168">
        <f>'LOE Breakdown by Year'!D78</f>
        <v>0.05</v>
      </c>
      <c r="N25" s="90">
        <v>12</v>
      </c>
      <c r="O25" s="90">
        <f t="shared" si="14"/>
        <v>1892.8</v>
      </c>
      <c r="P25" s="168">
        <f>'LOE Breakdown by Year'!D105</f>
        <v>0.05</v>
      </c>
      <c r="Q25" s="90">
        <v>12</v>
      </c>
      <c r="R25" s="90">
        <f t="shared" si="17"/>
        <v>1968.5119999999999</v>
      </c>
      <c r="S25" s="168">
        <f>'LOE Breakdown by Year'!D132</f>
        <v>0.05</v>
      </c>
      <c r="T25" s="90">
        <v>9</v>
      </c>
      <c r="U25" s="90">
        <f t="shared" si="18"/>
        <v>1535.4393600000003</v>
      </c>
      <c r="V25" s="90">
        <f t="shared" si="15"/>
        <v>8966.7513600000002</v>
      </c>
      <c r="W25" s="90">
        <v>0</v>
      </c>
      <c r="X25" s="90">
        <f>SUM(V25:W25)</f>
        <v>8966.7513600000002</v>
      </c>
    </row>
    <row r="26" spans="1:24">
      <c r="A26" s="54" t="s">
        <v>187</v>
      </c>
      <c r="B26" s="54">
        <v>70000</v>
      </c>
      <c r="C26" s="54" t="s">
        <v>188</v>
      </c>
      <c r="D26" s="54" t="s">
        <v>204</v>
      </c>
      <c r="E26" s="168">
        <f>'LOE Breakdown by Year'!D25</f>
        <v>0.2</v>
      </c>
      <c r="F26" s="96" t="s">
        <v>190</v>
      </c>
      <c r="G26" s="90">
        <v>7</v>
      </c>
      <c r="H26" s="90">
        <f>20000/12</f>
        <v>1666.6666666666667</v>
      </c>
      <c r="I26" s="90">
        <f t="shared" si="20"/>
        <v>2333.3333333333335</v>
      </c>
      <c r="J26" s="168">
        <f>'LOE Breakdown by Year'!D52</f>
        <v>0.2</v>
      </c>
      <c r="K26" s="90">
        <v>12</v>
      </c>
      <c r="L26" s="90">
        <f>K26*H26*$E$7*$J26</f>
        <v>4160</v>
      </c>
      <c r="M26" s="168">
        <f>'LOE Breakdown by Year'!D79</f>
        <v>0.2</v>
      </c>
      <c r="N26" s="90">
        <v>12</v>
      </c>
      <c r="O26" s="90">
        <f t="shared" si="14"/>
        <v>4326.4000000000005</v>
      </c>
      <c r="P26" s="168">
        <f>'LOE Breakdown by Year'!D106</f>
        <v>0.2</v>
      </c>
      <c r="Q26" s="90">
        <v>12</v>
      </c>
      <c r="R26" s="90">
        <f t="shared" si="17"/>
        <v>4499.456000000001</v>
      </c>
      <c r="S26" s="168">
        <f>'LOE Breakdown by Year'!D133</f>
        <v>0.2</v>
      </c>
      <c r="T26" s="90">
        <v>10</v>
      </c>
      <c r="U26" s="90">
        <f t="shared" si="18"/>
        <v>3899.528533333335</v>
      </c>
      <c r="V26" s="90">
        <f t="shared" si="15"/>
        <v>19218.71786666667</v>
      </c>
      <c r="W26" s="90">
        <v>0</v>
      </c>
      <c r="X26" s="90">
        <f>SUM(V26:W26)</f>
        <v>19218.71786666667</v>
      </c>
    </row>
    <row r="27" spans="1:24">
      <c r="A27" s="54" t="s">
        <v>187</v>
      </c>
      <c r="B27" s="54">
        <v>70000</v>
      </c>
      <c r="C27" s="54" t="s">
        <v>188</v>
      </c>
      <c r="D27" s="54" t="s">
        <v>205</v>
      </c>
      <c r="E27" s="168">
        <f>'LOE Breakdown by Year'!D26</f>
        <v>0.2</v>
      </c>
      <c r="F27" s="96" t="s">
        <v>190</v>
      </c>
      <c r="G27" s="90">
        <v>7</v>
      </c>
      <c r="H27" s="90">
        <f>10000/12</f>
        <v>833.33333333333337</v>
      </c>
      <c r="I27" s="90">
        <f t="shared" si="20"/>
        <v>1166.6666666666667</v>
      </c>
      <c r="J27" s="168">
        <f>'LOE Breakdown by Year'!D53</f>
        <v>0.2</v>
      </c>
      <c r="K27" s="90">
        <v>12</v>
      </c>
      <c r="L27" s="90">
        <f t="shared" si="16"/>
        <v>2080</v>
      </c>
      <c r="M27" s="168">
        <f>'LOE Breakdown by Year'!D80</f>
        <v>0.2</v>
      </c>
      <c r="N27" s="90">
        <v>12</v>
      </c>
      <c r="O27" s="90">
        <f t="shared" si="14"/>
        <v>2163.2000000000003</v>
      </c>
      <c r="P27" s="168">
        <f>'LOE Breakdown by Year'!D107</f>
        <v>0.2</v>
      </c>
      <c r="Q27" s="90">
        <v>12</v>
      </c>
      <c r="R27" s="90">
        <f t="shared" si="17"/>
        <v>2249.7280000000005</v>
      </c>
      <c r="S27" s="168">
        <f>'LOE Breakdown by Year'!D134</f>
        <v>0.2</v>
      </c>
      <c r="T27" s="90">
        <v>10</v>
      </c>
      <c r="U27" s="90">
        <f t="shared" si="18"/>
        <v>1949.7642666666675</v>
      </c>
      <c r="V27" s="90">
        <f t="shared" si="15"/>
        <v>9609.3589333333348</v>
      </c>
      <c r="W27" s="90">
        <v>0</v>
      </c>
      <c r="X27" s="90">
        <f>SUM(V27:W27)</f>
        <v>9609.3589333333348</v>
      </c>
    </row>
    <row r="28" spans="1:24">
      <c r="A28" s="54" t="s">
        <v>187</v>
      </c>
      <c r="B28" s="54">
        <v>70000</v>
      </c>
      <c r="C28" s="54" t="s">
        <v>188</v>
      </c>
      <c r="D28" s="54" t="s">
        <v>206</v>
      </c>
      <c r="E28" s="168">
        <f>'LOE Breakdown by Year'!D27</f>
        <v>0.2</v>
      </c>
      <c r="F28" s="96" t="s">
        <v>190</v>
      </c>
      <c r="G28" s="90">
        <v>8</v>
      </c>
      <c r="H28" s="90">
        <f>8000/12</f>
        <v>666.66666666666663</v>
      </c>
      <c r="I28" s="90">
        <f>G28*H28*E28</f>
        <v>1066.6666666666667</v>
      </c>
      <c r="J28" s="168">
        <f>'LOE Breakdown by Year'!D54</f>
        <v>0.05</v>
      </c>
      <c r="K28" s="90">
        <v>12</v>
      </c>
      <c r="L28" s="90">
        <f t="shared" si="2"/>
        <v>416</v>
      </c>
      <c r="M28" s="168">
        <f>'LOE Breakdown by Year'!D81</f>
        <v>0.05</v>
      </c>
      <c r="N28" s="90">
        <v>12</v>
      </c>
      <c r="O28" s="90">
        <f t="shared" si="1"/>
        <v>432.64</v>
      </c>
      <c r="P28" s="168">
        <f>'LOE Breakdown by Year'!D108</f>
        <v>0.05</v>
      </c>
      <c r="Q28" s="90">
        <v>12</v>
      </c>
      <c r="R28" s="90">
        <f t="shared" si="5"/>
        <v>449.94560000000001</v>
      </c>
      <c r="S28" s="168">
        <f>'LOE Breakdown by Year'!D135</f>
        <v>0.05</v>
      </c>
      <c r="T28" s="90">
        <v>10</v>
      </c>
      <c r="U28" s="90">
        <f t="shared" si="3"/>
        <v>389.95285333333339</v>
      </c>
      <c r="V28" s="90">
        <f t="shared" si="4"/>
        <v>2755.2051199999996</v>
      </c>
      <c r="W28" s="90">
        <v>0</v>
      </c>
      <c r="X28" s="90">
        <f>SUM(V28:W28)</f>
        <v>2755.2051199999996</v>
      </c>
    </row>
    <row r="29" spans="1:24">
      <c r="A29" s="54" t="s">
        <v>187</v>
      </c>
      <c r="B29" s="54">
        <v>70000</v>
      </c>
      <c r="C29" s="54" t="s">
        <v>188</v>
      </c>
      <c r="D29" s="54" t="s">
        <v>207</v>
      </c>
      <c r="E29" s="168">
        <f>'LOE Breakdown by Year'!D28</f>
        <v>0.2</v>
      </c>
      <c r="F29" s="96" t="s">
        <v>190</v>
      </c>
      <c r="G29" s="90">
        <v>6</v>
      </c>
      <c r="H29" s="90">
        <f>(8000/12)*2</f>
        <v>1333.3333333333333</v>
      </c>
      <c r="I29" s="90">
        <f t="shared" ref="I29" si="28">G29*H29*E29</f>
        <v>1600</v>
      </c>
      <c r="J29" s="168">
        <f>'LOE Breakdown by Year'!D55</f>
        <v>0.05</v>
      </c>
      <c r="K29" s="90">
        <v>12</v>
      </c>
      <c r="L29" s="90">
        <f t="shared" ref="L29" si="29">K29*H29*$E$7*$J29</f>
        <v>832</v>
      </c>
      <c r="M29" s="168">
        <f>'LOE Breakdown by Year'!D82</f>
        <v>0.05</v>
      </c>
      <c r="N29" s="90">
        <v>12</v>
      </c>
      <c r="O29" s="90">
        <f t="shared" ref="O29" si="30">N29*H29*$M29*$E$7*$E$7</f>
        <v>865.28</v>
      </c>
      <c r="P29" s="168">
        <f>'LOE Breakdown by Year'!D109</f>
        <v>0.05</v>
      </c>
      <c r="Q29" s="90">
        <v>12</v>
      </c>
      <c r="R29" s="90">
        <f t="shared" ref="R29" si="31">Q29*H29*$P29*$E$7*$E$7*$E$7</f>
        <v>899.89120000000003</v>
      </c>
      <c r="S29" s="168">
        <f>'LOE Breakdown by Year'!D136</f>
        <v>0.05</v>
      </c>
      <c r="T29" s="90">
        <v>9</v>
      </c>
      <c r="U29" s="90">
        <f t="shared" ref="U29" si="32">T29*H29*$S29*$E$7*$E$7*$E$7*$E$7</f>
        <v>701.91513600000008</v>
      </c>
      <c r="V29" s="90">
        <f t="shared" ref="V29" si="33">SUM(R29,O29,L29,I29,U29)</f>
        <v>4899.0863360000003</v>
      </c>
      <c r="W29" s="90">
        <v>0</v>
      </c>
      <c r="X29" s="90">
        <f>SUM(V29:W29)</f>
        <v>4899.0863360000003</v>
      </c>
    </row>
    <row r="30" spans="1:24">
      <c r="A30" s="122"/>
      <c r="B30" s="122"/>
      <c r="C30" s="122"/>
      <c r="D30" s="122" t="s">
        <v>208</v>
      </c>
      <c r="E30" s="170"/>
      <c r="F30" s="127"/>
      <c r="G30" s="128"/>
      <c r="H30" s="128"/>
      <c r="I30" s="128"/>
      <c r="J30" s="170"/>
      <c r="K30" s="128"/>
      <c r="L30" s="128"/>
      <c r="M30" s="170"/>
      <c r="N30" s="128"/>
      <c r="O30" s="128"/>
      <c r="P30" s="170"/>
      <c r="Q30" s="128"/>
      <c r="R30" s="128"/>
      <c r="S30" s="170"/>
      <c r="T30" s="128"/>
      <c r="U30" s="128"/>
      <c r="V30" s="128"/>
      <c r="W30" s="128"/>
      <c r="X30" s="128"/>
    </row>
    <row r="31" spans="1:24">
      <c r="A31" s="54" t="s">
        <v>187</v>
      </c>
      <c r="B31" s="54">
        <v>50000</v>
      </c>
      <c r="C31" s="54" t="s">
        <v>188</v>
      </c>
      <c r="D31" s="54" t="s">
        <v>209</v>
      </c>
      <c r="E31" s="169">
        <f>'LOE Breakdown by Year'!D30</f>
        <v>0.2</v>
      </c>
      <c r="F31" s="96" t="s">
        <v>190</v>
      </c>
      <c r="G31" s="90">
        <v>12</v>
      </c>
      <c r="H31" s="90">
        <f>135000/12</f>
        <v>11250</v>
      </c>
      <c r="I31" s="90">
        <f>G31*H31*E31</f>
        <v>27000</v>
      </c>
      <c r="J31" s="169">
        <f>'LOE Breakdown by Year'!D57</f>
        <v>0.2</v>
      </c>
      <c r="K31" s="90">
        <v>12</v>
      </c>
      <c r="L31" s="90">
        <f t="shared" ref="L31" si="34">K31*H31*$E$7*$J31</f>
        <v>28080</v>
      </c>
      <c r="M31" s="169">
        <f>'LOE Breakdown by Year'!D84</f>
        <v>0.2</v>
      </c>
      <c r="N31" s="90">
        <v>12</v>
      </c>
      <c r="O31" s="90">
        <f>N31*H31*$M31*$E$7*$E$7</f>
        <v>29203.200000000001</v>
      </c>
      <c r="P31" s="169">
        <f>'LOE Breakdown by Year'!D111</f>
        <v>0.2</v>
      </c>
      <c r="Q31" s="90">
        <v>12</v>
      </c>
      <c r="R31" s="90">
        <f>Q31*H31*$P31*$E$7*$E$7*$E$7</f>
        <v>30371.328000000001</v>
      </c>
      <c r="S31" s="169">
        <f>'LOE Breakdown by Year'!D138</f>
        <v>0.2</v>
      </c>
      <c r="T31" s="90">
        <v>12</v>
      </c>
      <c r="U31" s="90">
        <f t="shared" ref="U31" si="35">T31*H31*$S31*$E$7*$E$7*$E$7*$E$7</f>
        <v>31586.181120000001</v>
      </c>
      <c r="V31" s="90">
        <f t="shared" ref="V31" si="36">SUM(R31,O31,L31,I31,U31)</f>
        <v>146240.70912000001</v>
      </c>
      <c r="W31" s="90">
        <v>0</v>
      </c>
      <c r="X31" s="90">
        <f>SUM(V31:W31)</f>
        <v>146240.70912000001</v>
      </c>
    </row>
    <row r="32" spans="1:24">
      <c r="A32" s="54" t="s">
        <v>187</v>
      </c>
      <c r="B32" s="54">
        <v>50000</v>
      </c>
      <c r="C32" s="54" t="s">
        <v>188</v>
      </c>
      <c r="D32" s="54" t="s">
        <v>210</v>
      </c>
      <c r="E32" s="169">
        <f>'LOE Breakdown by Year'!D31</f>
        <v>1</v>
      </c>
      <c r="F32" s="96" t="s">
        <v>190</v>
      </c>
      <c r="G32" s="90">
        <v>12</v>
      </c>
      <c r="H32" s="90">
        <f>83000/12</f>
        <v>6916.666666666667</v>
      </c>
      <c r="I32" s="90">
        <f>G32*H32*E32</f>
        <v>83000</v>
      </c>
      <c r="J32" s="169">
        <f>'LOE Breakdown by Year'!D58</f>
        <v>1</v>
      </c>
      <c r="K32" s="90">
        <v>12</v>
      </c>
      <c r="L32" s="90">
        <f t="shared" ref="L32" si="37">K32*H32*$E$7*$J32</f>
        <v>86320</v>
      </c>
      <c r="M32" s="169">
        <f>'LOE Breakdown by Year'!D85</f>
        <v>1</v>
      </c>
      <c r="N32" s="90">
        <v>12</v>
      </c>
      <c r="O32" s="90">
        <f>N32*H32*$M32*$E$7*$E$7</f>
        <v>89772.800000000003</v>
      </c>
      <c r="P32" s="169">
        <f>'LOE Breakdown by Year'!D112</f>
        <v>1</v>
      </c>
      <c r="Q32" s="90">
        <v>12</v>
      </c>
      <c r="R32" s="90">
        <f>Q32*H32*$P32*$E$7*$E$7*$E$7</f>
        <v>93363.712</v>
      </c>
      <c r="S32" s="169">
        <f>'LOE Breakdown by Year'!D139</f>
        <v>1</v>
      </c>
      <c r="T32" s="90">
        <v>12</v>
      </c>
      <c r="U32" s="90">
        <f t="shared" ref="U32" si="38">T32*H32*$S32*$E$7*$E$7*$E$7*$E$7</f>
        <v>97098.260479999997</v>
      </c>
      <c r="V32" s="90">
        <f t="shared" ref="V32" si="39">SUM(R32,O32,L32,I32,U32)</f>
        <v>449554.77247999999</v>
      </c>
      <c r="W32" s="90">
        <v>0</v>
      </c>
      <c r="X32" s="90">
        <f>SUM(V32:W32)</f>
        <v>449554.77247999999</v>
      </c>
    </row>
    <row r="33" spans="1:24">
      <c r="E33" s="168"/>
      <c r="F33" s="96"/>
      <c r="G33" s="90"/>
      <c r="H33" s="90"/>
      <c r="I33" s="90"/>
      <c r="J33" s="168"/>
      <c r="K33" s="90"/>
      <c r="L33" s="90"/>
      <c r="M33" s="168"/>
      <c r="N33" s="90"/>
      <c r="O33" s="90"/>
      <c r="P33" s="168"/>
      <c r="Q33" s="90"/>
      <c r="R33" s="90"/>
      <c r="S33" s="168"/>
      <c r="T33" s="90"/>
      <c r="U33" s="90"/>
      <c r="V33" s="90"/>
      <c r="W33" s="90"/>
      <c r="X33" s="90"/>
    </row>
    <row r="34" spans="1:24" ht="12.9" thickBot="1">
      <c r="A34" s="100"/>
      <c r="B34" s="100"/>
      <c r="C34" s="100"/>
      <c r="D34" s="100" t="s">
        <v>211</v>
      </c>
      <c r="E34" s="171"/>
      <c r="F34" s="100"/>
      <c r="G34" s="100"/>
      <c r="H34" s="100"/>
      <c r="I34" s="103">
        <f>SUM(I12:I32)</f>
        <v>209416.66666666669</v>
      </c>
      <c r="J34" s="171"/>
      <c r="K34" s="103"/>
      <c r="L34" s="103">
        <f>SUM(L12:L32)</f>
        <v>146848</v>
      </c>
      <c r="M34" s="171"/>
      <c r="N34" s="103"/>
      <c r="O34" s="103">
        <f>SUM(O12:O32)</f>
        <v>150829.12</v>
      </c>
      <c r="P34" s="171"/>
      <c r="Q34" s="103"/>
      <c r="R34" s="103">
        <f>SUM(R12:R32)</f>
        <v>156862.28479999999</v>
      </c>
      <c r="S34" s="171"/>
      <c r="T34" s="103"/>
      <c r="U34" s="103">
        <f>SUM(U12:U32)</f>
        <v>160558.21294933333</v>
      </c>
      <c r="V34" s="103">
        <f>SUM(V12:V32)</f>
        <v>824514.28441600001</v>
      </c>
      <c r="W34" s="103">
        <f>SUM(W12:W32)</f>
        <v>0</v>
      </c>
      <c r="X34" s="103">
        <f>SUM(X12:X32)</f>
        <v>824514.28441600001</v>
      </c>
    </row>
    <row r="35" spans="1:24">
      <c r="A35" s="129"/>
      <c r="B35" s="129"/>
      <c r="C35" s="129"/>
      <c r="D35" s="129"/>
      <c r="E35" s="172"/>
      <c r="F35" s="129"/>
      <c r="G35" s="109"/>
      <c r="H35" s="109"/>
      <c r="I35" s="109"/>
      <c r="J35" s="172"/>
      <c r="K35" s="109"/>
      <c r="L35" s="109"/>
      <c r="M35" s="172"/>
      <c r="N35" s="109"/>
      <c r="O35" s="109"/>
      <c r="P35" s="172"/>
      <c r="Q35" s="109"/>
      <c r="R35" s="109"/>
      <c r="S35" s="172"/>
      <c r="T35" s="109"/>
      <c r="U35" s="109"/>
      <c r="V35" s="109"/>
      <c r="W35" s="109"/>
      <c r="X35" s="109"/>
    </row>
    <row r="36" spans="1:24">
      <c r="A36" s="84"/>
      <c r="B36" s="84"/>
      <c r="C36" s="84"/>
      <c r="D36" s="84" t="s">
        <v>212</v>
      </c>
      <c r="E36" s="173"/>
      <c r="F36" s="84"/>
      <c r="G36" s="84"/>
      <c r="H36" s="85"/>
      <c r="I36" s="86"/>
      <c r="J36" s="173"/>
      <c r="K36" s="86"/>
      <c r="L36" s="86"/>
      <c r="M36" s="173"/>
      <c r="N36" s="86"/>
      <c r="O36" s="86"/>
      <c r="P36" s="173"/>
      <c r="Q36" s="86"/>
      <c r="R36" s="86"/>
      <c r="S36" s="173"/>
      <c r="T36" s="86"/>
      <c r="U36" s="86"/>
      <c r="V36" s="86"/>
      <c r="W36" s="86"/>
      <c r="X36" s="86"/>
    </row>
    <row r="37" spans="1:24">
      <c r="A37" s="54" t="s">
        <v>213</v>
      </c>
      <c r="B37" s="54">
        <v>70015</v>
      </c>
      <c r="C37" s="54" t="s">
        <v>188</v>
      </c>
      <c r="D37" s="54" t="s">
        <v>214</v>
      </c>
      <c r="E37" s="169"/>
      <c r="F37" s="130" t="s">
        <v>145</v>
      </c>
      <c r="G37" s="90"/>
      <c r="H37" s="106">
        <v>0.26919999999999999</v>
      </c>
      <c r="I37" s="90">
        <f>(SUM(I13:I29))*$H$37</f>
        <v>18956.166666666668</v>
      </c>
      <c r="J37" s="169"/>
      <c r="K37" s="90"/>
      <c r="L37" s="90">
        <f>(SUM(L13:L29))*$H$37</f>
        <v>6705.2335999999996</v>
      </c>
      <c r="M37" s="169"/>
      <c r="N37" s="90"/>
      <c r="O37" s="90">
        <f>(SUM(O13:O29))*$H$37</f>
        <v>6463.9011840000003</v>
      </c>
      <c r="P37" s="169"/>
      <c r="Q37" s="90"/>
      <c r="R37" s="90">
        <f>(SUM(R13:R29))*$H$37</f>
        <v>6722.4572313600011</v>
      </c>
      <c r="S37" s="169"/>
      <c r="T37" s="90"/>
      <c r="U37" s="90">
        <f>(SUM(U13:U29))*$H$37</f>
        <v>6297.2062956885356</v>
      </c>
      <c r="V37" s="90">
        <f t="shared" ref="V37:V38" si="40">SUM(R37,O37,L37,I37,U37)</f>
        <v>45144.964977715208</v>
      </c>
      <c r="W37" s="109">
        <v>0</v>
      </c>
      <c r="X37" s="538">
        <f t="shared" ref="X37:X39" si="41">SUM(V37:W37)</f>
        <v>45144.964977715208</v>
      </c>
    </row>
    <row r="38" spans="1:24">
      <c r="A38" s="54" t="s">
        <v>213</v>
      </c>
      <c r="B38" s="54">
        <v>50900</v>
      </c>
      <c r="C38" s="54" t="s">
        <v>188</v>
      </c>
      <c r="D38" s="54" t="s">
        <v>215</v>
      </c>
      <c r="E38" s="169"/>
      <c r="F38" s="130" t="s">
        <v>145</v>
      </c>
      <c r="G38" s="223"/>
      <c r="H38" s="110">
        <v>0.23469999999999999</v>
      </c>
      <c r="I38" s="90">
        <f>(I32+I31)*$H$38</f>
        <v>25817</v>
      </c>
      <c r="J38" s="169"/>
      <c r="K38" s="90"/>
      <c r="L38" s="90">
        <f>(L32+L31)*$H$38</f>
        <v>26849.68</v>
      </c>
      <c r="M38" s="169"/>
      <c r="N38" s="90"/>
      <c r="O38" s="90">
        <f>(O32+O31)*$H$38</f>
        <v>27923.6672</v>
      </c>
      <c r="P38" s="169"/>
      <c r="Q38" s="90"/>
      <c r="R38" s="90">
        <f>(R32+R31)*$H$38</f>
        <v>29040.613888</v>
      </c>
      <c r="S38" s="169"/>
      <c r="T38" s="90"/>
      <c r="U38" s="90">
        <f>(U32+U31)*$H$38</f>
        <v>30202.238443519997</v>
      </c>
      <c r="V38" s="90">
        <f t="shared" si="40"/>
        <v>139833.19953152002</v>
      </c>
      <c r="W38" s="109">
        <v>0</v>
      </c>
      <c r="X38" s="539">
        <f t="shared" si="41"/>
        <v>139833.19953152002</v>
      </c>
    </row>
    <row r="39" spans="1:24">
      <c r="A39" s="54" t="s">
        <v>213</v>
      </c>
      <c r="B39" s="54">
        <v>70015</v>
      </c>
      <c r="C39" s="54" t="s">
        <v>188</v>
      </c>
      <c r="D39" s="91" t="s">
        <v>216</v>
      </c>
      <c r="E39" s="174"/>
      <c r="F39" s="130" t="s">
        <v>145</v>
      </c>
      <c r="H39" s="110">
        <f>23.47%</f>
        <v>0.23469999999999999</v>
      </c>
      <c r="I39" s="131">
        <f>I12*$H$39</f>
        <v>6806.3</v>
      </c>
      <c r="J39" s="174"/>
      <c r="K39" s="131"/>
      <c r="L39" s="131">
        <f>L12*$H$39</f>
        <v>1769.6379999999999</v>
      </c>
      <c r="M39" s="174"/>
      <c r="N39" s="131"/>
      <c r="O39" s="131">
        <f>O12*$H$39</f>
        <v>1840.4235200000001</v>
      </c>
      <c r="P39" s="174"/>
      <c r="Q39" s="131"/>
      <c r="R39" s="131">
        <f>R12*$H$39</f>
        <v>1914.0404608000001</v>
      </c>
      <c r="S39" s="174"/>
      <c r="T39" s="131"/>
      <c r="U39" s="131">
        <f>U12*$H$39</f>
        <v>1990.6020792320001</v>
      </c>
      <c r="V39" s="90">
        <f t="shared" ref="V39" si="42">SUM(R39,O39,L39,I39,U39)</f>
        <v>14321.004060032001</v>
      </c>
      <c r="W39" s="90" t="s">
        <v>217</v>
      </c>
      <c r="X39" s="540">
        <f t="shared" si="41"/>
        <v>14321.004060032001</v>
      </c>
    </row>
    <row r="40" spans="1:24">
      <c r="A40" s="91" t="s">
        <v>218</v>
      </c>
      <c r="B40" s="52">
        <v>50201</v>
      </c>
      <c r="C40" s="54" t="s">
        <v>188</v>
      </c>
      <c r="D40" s="91" t="s">
        <v>219</v>
      </c>
      <c r="E40" s="174"/>
      <c r="F40" s="130" t="s">
        <v>145</v>
      </c>
      <c r="H40" s="110">
        <v>0.15</v>
      </c>
      <c r="I40" s="131">
        <f>I12*$H$40</f>
        <v>4350</v>
      </c>
      <c r="J40" s="174"/>
      <c r="K40" s="131"/>
      <c r="L40" s="131">
        <f>L12*$H$40</f>
        <v>1131</v>
      </c>
      <c r="M40" s="174"/>
      <c r="N40" s="131"/>
      <c r="O40" s="131">
        <f>O12*$H$40</f>
        <v>1176.24</v>
      </c>
      <c r="P40" s="174"/>
      <c r="Q40" s="131"/>
      <c r="R40" s="131">
        <f>R12*$H$40</f>
        <v>1223.2896000000001</v>
      </c>
      <c r="S40" s="174"/>
      <c r="T40" s="131"/>
      <c r="U40" s="131">
        <f>U12*$H$40</f>
        <v>1272.221184</v>
      </c>
      <c r="V40" s="90">
        <f t="shared" ref="V40" si="43">SUM(R40,O40,L40,I40,U40)</f>
        <v>9152.7507839999998</v>
      </c>
      <c r="W40" s="90" t="s">
        <v>217</v>
      </c>
      <c r="X40" s="90">
        <f t="shared" ref="X40" si="44">SUM(V40:W40)</f>
        <v>9152.7507839999998</v>
      </c>
    </row>
    <row r="41" spans="1:24">
      <c r="A41" s="52" t="s">
        <v>220</v>
      </c>
      <c r="B41" s="52">
        <v>50202</v>
      </c>
      <c r="C41" s="54" t="s">
        <v>188</v>
      </c>
      <c r="D41" s="91" t="s">
        <v>221</v>
      </c>
      <c r="E41" s="174"/>
      <c r="F41" s="130" t="s">
        <v>145</v>
      </c>
      <c r="H41" s="110">
        <v>0.35</v>
      </c>
      <c r="I41" s="131">
        <f>I12*$H$41</f>
        <v>10150</v>
      </c>
      <c r="J41" s="174"/>
      <c r="K41" s="131"/>
      <c r="L41" s="131">
        <f>L12*$H$41</f>
        <v>2639</v>
      </c>
      <c r="M41" s="174"/>
      <c r="N41" s="131"/>
      <c r="O41" s="131">
        <f>O12*$H$41</f>
        <v>2744.56</v>
      </c>
      <c r="P41" s="174"/>
      <c r="Q41" s="131"/>
      <c r="R41" s="131">
        <f>R12*$H$41</f>
        <v>2854.3424</v>
      </c>
      <c r="S41" s="174"/>
      <c r="T41" s="131"/>
      <c r="U41" s="131">
        <f>U12*$H$41</f>
        <v>2968.5160959999998</v>
      </c>
      <c r="V41" s="90">
        <f t="shared" ref="V41:V47" si="45">SUM(R41,O41,L41,I41,U41)</f>
        <v>21356.418495999998</v>
      </c>
      <c r="W41" s="90" t="s">
        <v>217</v>
      </c>
      <c r="X41" s="90">
        <f t="shared" ref="X41" si="46">SUM(V41:W41)</f>
        <v>21356.418495999998</v>
      </c>
    </row>
    <row r="42" spans="1:24">
      <c r="A42" s="52" t="s">
        <v>222</v>
      </c>
      <c r="B42" s="52">
        <v>50203</v>
      </c>
      <c r="C42" s="54" t="s">
        <v>188</v>
      </c>
      <c r="D42" s="54" t="s">
        <v>223</v>
      </c>
      <c r="E42" s="174"/>
      <c r="F42" s="54" t="s">
        <v>190</v>
      </c>
      <c r="G42" s="90">
        <f>G12</f>
        <v>12</v>
      </c>
      <c r="H42" s="90">
        <f>19200/12</f>
        <v>1600</v>
      </c>
      <c r="I42" s="90">
        <f t="shared" ref="I42:I47" si="47">G42*H42</f>
        <v>19200</v>
      </c>
      <c r="J42" s="177"/>
      <c r="K42" s="90">
        <f>K12</f>
        <v>12</v>
      </c>
      <c r="L42" s="90">
        <f t="shared" ref="L42:L47" si="48">H42*K42*$E$6</f>
        <v>19968</v>
      </c>
      <c r="M42" s="177"/>
      <c r="N42" s="90">
        <f>N12</f>
        <v>12</v>
      </c>
      <c r="O42" s="90">
        <f t="shared" ref="O42:O47" si="49">H42*N42*$E$6*$E$6</f>
        <v>20766.72</v>
      </c>
      <c r="P42" s="177"/>
      <c r="Q42" s="90">
        <f>Q12</f>
        <v>12</v>
      </c>
      <c r="R42" s="90">
        <f t="shared" ref="R42:R47" si="50">H42*Q42*$E$6*$E$6*$E$6</f>
        <v>21597.388800000001</v>
      </c>
      <c r="S42" s="177"/>
      <c r="T42" s="90">
        <f>T12</f>
        <v>12</v>
      </c>
      <c r="U42" s="90">
        <f t="shared" ref="U42:U47" si="51">T42*H42*$E$6*$E$6*$E$6*$E$6</f>
        <v>22461.284352000002</v>
      </c>
      <c r="V42" s="90">
        <f t="shared" si="45"/>
        <v>103993.393152</v>
      </c>
      <c r="W42" s="90" t="s">
        <v>217</v>
      </c>
      <c r="X42" s="541">
        <f t="shared" ref="X42:X47" si="52">SUM(V42:W42)</f>
        <v>103993.393152</v>
      </c>
    </row>
    <row r="43" spans="1:24">
      <c r="A43" s="54" t="s">
        <v>224</v>
      </c>
      <c r="B43" s="52">
        <v>50205</v>
      </c>
      <c r="C43" s="54" t="s">
        <v>188</v>
      </c>
      <c r="D43" s="54" t="s">
        <v>225</v>
      </c>
      <c r="E43" s="174"/>
      <c r="F43" s="54" t="s">
        <v>226</v>
      </c>
      <c r="G43" s="90">
        <v>2</v>
      </c>
      <c r="H43" s="90">
        <v>1700</v>
      </c>
      <c r="I43" s="90">
        <f t="shared" si="47"/>
        <v>3400</v>
      </c>
      <c r="J43" s="177"/>
      <c r="K43" s="90">
        <f>K41</f>
        <v>0</v>
      </c>
      <c r="L43" s="90">
        <f t="shared" si="48"/>
        <v>0</v>
      </c>
      <c r="M43" s="177"/>
      <c r="N43" s="90">
        <f>N41</f>
        <v>0</v>
      </c>
      <c r="O43" s="90">
        <f t="shared" si="49"/>
        <v>0</v>
      </c>
      <c r="P43" s="177"/>
      <c r="Q43" s="90">
        <f>Q41</f>
        <v>0</v>
      </c>
      <c r="R43" s="90">
        <f t="shared" si="50"/>
        <v>0</v>
      </c>
      <c r="S43" s="177"/>
      <c r="T43" s="90">
        <v>2</v>
      </c>
      <c r="U43" s="90">
        <f t="shared" si="51"/>
        <v>3977.5191040000004</v>
      </c>
      <c r="V43" s="90">
        <f t="shared" si="45"/>
        <v>7377.5191040000009</v>
      </c>
      <c r="W43" s="90" t="s">
        <v>217</v>
      </c>
      <c r="X43" s="539">
        <f t="shared" si="52"/>
        <v>7377.5191040000009</v>
      </c>
    </row>
    <row r="44" spans="1:24" ht="25.2">
      <c r="A44" s="54" t="s">
        <v>224</v>
      </c>
      <c r="B44" s="52">
        <v>50205</v>
      </c>
      <c r="C44" s="54" t="s">
        <v>188</v>
      </c>
      <c r="D44" s="54" t="s">
        <v>227</v>
      </c>
      <c r="E44" s="174"/>
      <c r="F44" s="54" t="s">
        <v>226</v>
      </c>
      <c r="G44" s="90">
        <v>2</v>
      </c>
      <c r="H44" s="90">
        <v>150</v>
      </c>
      <c r="I44" s="90">
        <f t="shared" si="47"/>
        <v>300</v>
      </c>
      <c r="J44" s="177"/>
      <c r="K44" s="90">
        <v>0</v>
      </c>
      <c r="L44" s="90">
        <f t="shared" si="48"/>
        <v>0</v>
      </c>
      <c r="M44" s="177"/>
      <c r="N44" s="90">
        <v>0</v>
      </c>
      <c r="O44" s="90">
        <f t="shared" si="49"/>
        <v>0</v>
      </c>
      <c r="P44" s="177"/>
      <c r="Q44" s="90">
        <v>0</v>
      </c>
      <c r="R44" s="90">
        <f t="shared" si="50"/>
        <v>0</v>
      </c>
      <c r="S44" s="177"/>
      <c r="T44" s="90">
        <v>2</v>
      </c>
      <c r="U44" s="90">
        <f t="shared" si="51"/>
        <v>350.95756800000004</v>
      </c>
      <c r="V44" s="90">
        <f t="shared" si="45"/>
        <v>650.95756800000004</v>
      </c>
      <c r="W44" s="90" t="s">
        <v>217</v>
      </c>
      <c r="X44" s="539">
        <f t="shared" si="52"/>
        <v>650.95756800000004</v>
      </c>
    </row>
    <row r="45" spans="1:24" ht="25.2">
      <c r="A45" s="54" t="s">
        <v>224</v>
      </c>
      <c r="B45" s="52">
        <v>50205</v>
      </c>
      <c r="C45" s="54" t="s">
        <v>188</v>
      </c>
      <c r="D45" s="54" t="s">
        <v>228</v>
      </c>
      <c r="E45" s="174"/>
      <c r="F45" s="54" t="s">
        <v>147</v>
      </c>
      <c r="G45" s="90">
        <v>1</v>
      </c>
      <c r="H45" s="90">
        <f>10691*2</f>
        <v>21382</v>
      </c>
      <c r="I45" s="90">
        <f t="shared" si="47"/>
        <v>21382</v>
      </c>
      <c r="J45" s="177"/>
      <c r="K45" s="90">
        <v>0</v>
      </c>
      <c r="L45" s="90">
        <f t="shared" si="48"/>
        <v>0</v>
      </c>
      <c r="M45" s="177"/>
      <c r="N45" s="90">
        <v>0</v>
      </c>
      <c r="O45" s="90">
        <f t="shared" si="49"/>
        <v>0</v>
      </c>
      <c r="P45" s="177"/>
      <c r="Q45" s="90">
        <v>0</v>
      </c>
      <c r="R45" s="90">
        <f t="shared" si="50"/>
        <v>0</v>
      </c>
      <c r="S45" s="177"/>
      <c r="T45" s="90">
        <v>1</v>
      </c>
      <c r="U45" s="90">
        <f t="shared" si="51"/>
        <v>25013.915729920001</v>
      </c>
      <c r="V45" s="90">
        <f t="shared" si="45"/>
        <v>46395.915729920001</v>
      </c>
      <c r="W45" s="90" t="s">
        <v>217</v>
      </c>
      <c r="X45" s="539">
        <f t="shared" si="52"/>
        <v>46395.915729920001</v>
      </c>
    </row>
    <row r="46" spans="1:24">
      <c r="A46" s="54" t="s">
        <v>224</v>
      </c>
      <c r="B46" s="52">
        <v>50205</v>
      </c>
      <c r="C46" s="54" t="s">
        <v>188</v>
      </c>
      <c r="D46" s="54" t="s">
        <v>229</v>
      </c>
      <c r="E46" s="174"/>
      <c r="F46" s="54" t="s">
        <v>147</v>
      </c>
      <c r="G46" s="90">
        <v>1</v>
      </c>
      <c r="H46" s="90">
        <f>(H45*(0.23))</f>
        <v>4917.8600000000006</v>
      </c>
      <c r="I46" s="90">
        <f t="shared" si="47"/>
        <v>4917.8600000000006</v>
      </c>
      <c r="J46" s="177"/>
      <c r="K46" s="90">
        <v>0</v>
      </c>
      <c r="L46" s="90">
        <f t="shared" si="48"/>
        <v>0</v>
      </c>
      <c r="M46" s="177"/>
      <c r="N46" s="90">
        <v>0</v>
      </c>
      <c r="O46" s="90">
        <f t="shared" si="49"/>
        <v>0</v>
      </c>
      <c r="P46" s="177"/>
      <c r="Q46" s="90">
        <v>0</v>
      </c>
      <c r="R46" s="90">
        <f t="shared" si="50"/>
        <v>0</v>
      </c>
      <c r="S46" s="177"/>
      <c r="T46" s="90">
        <v>1</v>
      </c>
      <c r="U46" s="90">
        <f>ROUNDUP(T46*H46*$E$6*$E$6*$E$6*$E$6,0)</f>
        <v>5754</v>
      </c>
      <c r="V46" s="90">
        <f t="shared" si="45"/>
        <v>10671.86</v>
      </c>
      <c r="W46" s="90" t="s">
        <v>217</v>
      </c>
      <c r="X46" s="539">
        <f t="shared" si="52"/>
        <v>10671.86</v>
      </c>
    </row>
    <row r="47" spans="1:24">
      <c r="A47" s="52" t="s">
        <v>230</v>
      </c>
      <c r="B47" s="52">
        <v>50206</v>
      </c>
      <c r="C47" s="54" t="s">
        <v>188</v>
      </c>
      <c r="D47" s="54" t="s">
        <v>231</v>
      </c>
      <c r="E47" s="174"/>
      <c r="F47" s="54" t="s">
        <v>226</v>
      </c>
      <c r="G47" s="90">
        <v>0</v>
      </c>
      <c r="H47" s="90">
        <v>1700</v>
      </c>
      <c r="I47" s="90">
        <f t="shared" si="47"/>
        <v>0</v>
      </c>
      <c r="J47" s="177"/>
      <c r="K47" s="90">
        <v>1</v>
      </c>
      <c r="L47" s="90">
        <f t="shared" si="48"/>
        <v>1768</v>
      </c>
      <c r="M47" s="177"/>
      <c r="N47" s="90">
        <v>1</v>
      </c>
      <c r="O47" s="90">
        <f t="shared" si="49"/>
        <v>1838.72</v>
      </c>
      <c r="P47" s="177"/>
      <c r="Q47" s="90">
        <v>1</v>
      </c>
      <c r="R47" s="90">
        <f t="shared" si="50"/>
        <v>1912.2688000000001</v>
      </c>
      <c r="S47" s="177"/>
      <c r="T47" s="90">
        <v>1</v>
      </c>
      <c r="U47" s="90">
        <f t="shared" si="51"/>
        <v>1988.7595520000002</v>
      </c>
      <c r="V47" s="90">
        <f t="shared" si="45"/>
        <v>7507.7483520000005</v>
      </c>
      <c r="W47" s="90" t="s">
        <v>217</v>
      </c>
      <c r="X47" s="541">
        <f t="shared" si="52"/>
        <v>7507.7483520000005</v>
      </c>
    </row>
    <row r="48" spans="1:24">
      <c r="A48" s="91"/>
      <c r="B48" s="91"/>
      <c r="C48" s="91"/>
      <c r="D48" s="91"/>
      <c r="E48" s="174"/>
      <c r="I48" s="90"/>
      <c r="J48" s="174"/>
      <c r="K48" s="90"/>
      <c r="L48" s="90"/>
      <c r="M48" s="174"/>
      <c r="N48" s="90"/>
      <c r="O48" s="90"/>
      <c r="P48" s="174"/>
      <c r="Q48" s="90"/>
      <c r="R48" s="90"/>
      <c r="S48" s="174"/>
      <c r="T48" s="90"/>
      <c r="U48" s="90"/>
      <c r="V48" s="90"/>
      <c r="W48" s="90"/>
      <c r="X48" s="90"/>
    </row>
    <row r="49" spans="1:24" ht="12.9" thickBot="1">
      <c r="A49" s="113"/>
      <c r="B49" s="113"/>
      <c r="C49" s="113"/>
      <c r="D49" s="113" t="s">
        <v>232</v>
      </c>
      <c r="E49" s="175"/>
      <c r="F49" s="100"/>
      <c r="G49" s="113"/>
      <c r="H49" s="102"/>
      <c r="I49" s="103">
        <f>SUM(I37:I48)</f>
        <v>115279.32666666668</v>
      </c>
      <c r="J49" s="175"/>
      <c r="K49" s="103"/>
      <c r="L49" s="103">
        <f>SUM(L37:L48)</f>
        <v>60830.551599999999</v>
      </c>
      <c r="M49" s="175"/>
      <c r="N49" s="103"/>
      <c r="O49" s="103">
        <f>SUM(O37:O48)</f>
        <v>62754.231903999993</v>
      </c>
      <c r="P49" s="175"/>
      <c r="Q49" s="103"/>
      <c r="R49" s="103">
        <f>SUM(R37:R48)</f>
        <v>65264.401180159999</v>
      </c>
      <c r="S49" s="175"/>
      <c r="T49" s="103"/>
      <c r="U49" s="103">
        <f>SUM(U37:U48)</f>
        <v>102277.22040436055</v>
      </c>
      <c r="V49" s="103">
        <f>SUM(V37:V48)</f>
        <v>406405.73175518727</v>
      </c>
      <c r="W49" s="103">
        <f>SUM(W37:W48)</f>
        <v>0</v>
      </c>
      <c r="X49" s="103">
        <f>SUM(X37:X48)</f>
        <v>406405.73175518727</v>
      </c>
    </row>
    <row r="50" spans="1:24">
      <c r="A50" s="129"/>
      <c r="B50" s="129"/>
      <c r="C50" s="129"/>
      <c r="D50" s="129"/>
      <c r="E50" s="172"/>
      <c r="F50" s="129"/>
      <c r="G50" s="109"/>
      <c r="H50" s="109"/>
      <c r="I50" s="109"/>
      <c r="J50" s="172"/>
      <c r="K50" s="109"/>
      <c r="L50" s="109"/>
      <c r="M50" s="172"/>
      <c r="N50" s="109"/>
      <c r="O50" s="109"/>
      <c r="P50" s="172"/>
      <c r="Q50" s="109"/>
      <c r="R50" s="109"/>
      <c r="S50" s="172"/>
      <c r="T50" s="109"/>
      <c r="U50" s="109"/>
      <c r="V50" s="109"/>
      <c r="W50" s="109"/>
      <c r="X50" s="109"/>
    </row>
    <row r="51" spans="1:24">
      <c r="A51" s="84"/>
      <c r="B51" s="84"/>
      <c r="C51" s="84"/>
      <c r="D51" s="84" t="s">
        <v>29</v>
      </c>
      <c r="E51" s="173"/>
      <c r="F51" s="84"/>
      <c r="G51" s="84"/>
      <c r="H51" s="85"/>
      <c r="I51" s="86"/>
      <c r="J51" s="173"/>
      <c r="K51" s="86"/>
      <c r="L51" s="86"/>
      <c r="M51" s="173"/>
      <c r="N51" s="86"/>
      <c r="O51" s="86"/>
      <c r="P51" s="173"/>
      <c r="Q51" s="86"/>
      <c r="R51" s="86"/>
      <c r="S51" s="173"/>
      <c r="T51" s="86"/>
      <c r="U51" s="86"/>
      <c r="V51" s="86"/>
      <c r="W51" s="86"/>
      <c r="X51" s="86"/>
    </row>
    <row r="52" spans="1:24">
      <c r="A52" s="122"/>
      <c r="B52" s="122"/>
      <c r="C52" s="122"/>
      <c r="D52" s="122" t="s">
        <v>233</v>
      </c>
      <c r="E52" s="176"/>
      <c r="F52" s="132"/>
      <c r="G52" s="133"/>
      <c r="H52" s="128"/>
      <c r="I52" s="128"/>
      <c r="J52" s="176"/>
      <c r="K52" s="128"/>
      <c r="L52" s="128"/>
      <c r="M52" s="176"/>
      <c r="N52" s="128"/>
      <c r="O52" s="128"/>
      <c r="P52" s="176"/>
      <c r="Q52" s="128"/>
      <c r="R52" s="128"/>
      <c r="S52" s="176"/>
      <c r="T52" s="128"/>
      <c r="U52" s="128"/>
      <c r="V52" s="128"/>
      <c r="W52" s="128"/>
      <c r="X52" s="128"/>
    </row>
    <row r="53" spans="1:24">
      <c r="A53" s="54" t="s">
        <v>234</v>
      </c>
      <c r="B53" s="54">
        <v>86040</v>
      </c>
      <c r="C53" s="54" t="s">
        <v>188</v>
      </c>
      <c r="D53" s="54" t="s">
        <v>235</v>
      </c>
      <c r="F53" s="54" t="s">
        <v>226</v>
      </c>
      <c r="G53" s="90">
        <v>4</v>
      </c>
      <c r="H53" s="90">
        <v>1700</v>
      </c>
      <c r="I53" s="90">
        <f>G53*H53</f>
        <v>6800</v>
      </c>
      <c r="J53" s="177"/>
      <c r="K53" s="90">
        <v>4</v>
      </c>
      <c r="L53" s="90">
        <f>H53*K53*$E$6</f>
        <v>7072</v>
      </c>
      <c r="M53" s="177"/>
      <c r="N53" s="90">
        <v>4</v>
      </c>
      <c r="O53" s="90">
        <f>H53*N53*$E$6*$E$6</f>
        <v>7354.88</v>
      </c>
      <c r="P53" s="177"/>
      <c r="Q53" s="90">
        <v>4</v>
      </c>
      <c r="R53" s="90">
        <f>H53*Q53*$E$6*$E$6*$E$6</f>
        <v>7649.0752000000002</v>
      </c>
      <c r="S53" s="177"/>
      <c r="T53" s="90">
        <v>4</v>
      </c>
      <c r="U53" s="90">
        <f>T53*H53*$E$6*$E$6*$E$6*$E$6</f>
        <v>7955.0382080000009</v>
      </c>
      <c r="V53" s="90">
        <f t="shared" ref="V53:V65" si="53">SUM(R53,O53,L53,I53,U53)</f>
        <v>36830.993408000002</v>
      </c>
      <c r="W53" s="90" t="s">
        <v>217</v>
      </c>
      <c r="X53" s="538">
        <f>SUM(V53:W53)</f>
        <v>36830.993408000002</v>
      </c>
    </row>
    <row r="54" spans="1:24" ht="37.799999999999997">
      <c r="A54" s="54" t="s">
        <v>236</v>
      </c>
      <c r="B54" s="54" t="s">
        <v>237</v>
      </c>
      <c r="C54" s="54" t="s">
        <v>188</v>
      </c>
      <c r="D54" s="54" t="s">
        <v>238</v>
      </c>
      <c r="F54" s="54" t="s">
        <v>239</v>
      </c>
      <c r="G54" s="90">
        <f>G53*7</f>
        <v>28</v>
      </c>
      <c r="H54" s="90">
        <v>169</v>
      </c>
      <c r="I54" s="90">
        <f>G54*H54</f>
        <v>4732</v>
      </c>
      <c r="J54" s="177"/>
      <c r="K54" s="90">
        <f>K53*7</f>
        <v>28</v>
      </c>
      <c r="L54" s="90">
        <f t="shared" ref="L54:L56" si="54">H54*K54*$E$6</f>
        <v>4921.28</v>
      </c>
      <c r="M54" s="177"/>
      <c r="N54" s="90">
        <f>N53*7</f>
        <v>28</v>
      </c>
      <c r="O54" s="90">
        <f t="shared" ref="O54:O56" si="55">H54*N54*$E$6*$E$6</f>
        <v>5118.1311999999998</v>
      </c>
      <c r="P54" s="177"/>
      <c r="Q54" s="90">
        <f>Q53*7</f>
        <v>28</v>
      </c>
      <c r="R54" s="90">
        <f t="shared" ref="R54:R56" si="56">H54*Q54*$E$6*$E$6*$E$6</f>
        <v>5322.8564479999995</v>
      </c>
      <c r="S54" s="177"/>
      <c r="T54" s="90">
        <f>T53*7</f>
        <v>28</v>
      </c>
      <c r="U54" s="90">
        <f t="shared" ref="U54:U56" si="57">T54*H54*$E$6*$E$6*$E$6*$E$6</f>
        <v>5535.7707059199993</v>
      </c>
      <c r="V54" s="90">
        <f t="shared" si="53"/>
        <v>25630.038353919997</v>
      </c>
      <c r="W54" s="90" t="s">
        <v>217</v>
      </c>
      <c r="X54" s="538">
        <f>SUM(V54:W54)</f>
        <v>25630.038353919997</v>
      </c>
    </row>
    <row r="55" spans="1:24">
      <c r="A55" s="54" t="s">
        <v>236</v>
      </c>
      <c r="B55" s="54">
        <v>86000</v>
      </c>
      <c r="C55" s="54" t="s">
        <v>188</v>
      </c>
      <c r="D55" s="54" t="s">
        <v>240</v>
      </c>
      <c r="F55" s="54" t="s">
        <v>226</v>
      </c>
      <c r="G55" s="90">
        <f>G53</f>
        <v>4</v>
      </c>
      <c r="H55" s="90">
        <v>250</v>
      </c>
      <c r="I55" s="90">
        <f>G55*H55</f>
        <v>1000</v>
      </c>
      <c r="J55" s="177"/>
      <c r="K55" s="90">
        <f>K53</f>
        <v>4</v>
      </c>
      <c r="L55" s="90">
        <f t="shared" si="54"/>
        <v>1040</v>
      </c>
      <c r="M55" s="177"/>
      <c r="N55" s="90">
        <f>N53</f>
        <v>4</v>
      </c>
      <c r="O55" s="90">
        <f t="shared" si="55"/>
        <v>1081.6000000000001</v>
      </c>
      <c r="P55" s="177"/>
      <c r="Q55" s="90">
        <f>Q53</f>
        <v>4</v>
      </c>
      <c r="R55" s="90">
        <f t="shared" si="56"/>
        <v>1124.8640000000003</v>
      </c>
      <c r="S55" s="177"/>
      <c r="T55" s="90">
        <f>T53</f>
        <v>4</v>
      </c>
      <c r="U55" s="90">
        <f t="shared" si="57"/>
        <v>1169.8585600000004</v>
      </c>
      <c r="V55" s="90">
        <f t="shared" si="53"/>
        <v>5416.3225600000005</v>
      </c>
      <c r="W55" s="90" t="s">
        <v>217</v>
      </c>
      <c r="X55" s="539">
        <f>SUM(V55:W55)</f>
        <v>5416.3225600000005</v>
      </c>
    </row>
    <row r="56" spans="1:24">
      <c r="A56" s="54" t="s">
        <v>236</v>
      </c>
      <c r="B56" s="54">
        <v>86050</v>
      </c>
      <c r="C56" s="54" t="s">
        <v>188</v>
      </c>
      <c r="D56" s="54" t="s">
        <v>241</v>
      </c>
      <c r="F56" s="54" t="s">
        <v>226</v>
      </c>
      <c r="G56" s="90">
        <f>G53</f>
        <v>4</v>
      </c>
      <c r="H56" s="90">
        <v>50</v>
      </c>
      <c r="I56" s="90">
        <f>G56*H56</f>
        <v>200</v>
      </c>
      <c r="J56" s="177"/>
      <c r="K56" s="90">
        <f>K53</f>
        <v>4</v>
      </c>
      <c r="L56" s="90">
        <f t="shared" si="54"/>
        <v>208</v>
      </c>
      <c r="M56" s="177"/>
      <c r="N56" s="90">
        <f>N53</f>
        <v>4</v>
      </c>
      <c r="O56" s="90">
        <f t="shared" si="55"/>
        <v>216.32</v>
      </c>
      <c r="P56" s="177"/>
      <c r="Q56" s="90">
        <f>Q53</f>
        <v>4</v>
      </c>
      <c r="R56" s="90">
        <f t="shared" si="56"/>
        <v>224.97280000000001</v>
      </c>
      <c r="S56" s="177"/>
      <c r="T56" s="90">
        <f>T53</f>
        <v>4</v>
      </c>
      <c r="U56" s="90">
        <f t="shared" si="57"/>
        <v>233.97171200000003</v>
      </c>
      <c r="V56" s="90">
        <f t="shared" si="53"/>
        <v>1083.264512</v>
      </c>
      <c r="W56" s="90" t="s">
        <v>217</v>
      </c>
      <c r="X56" s="540">
        <f>SUM(V56:W56)</f>
        <v>1083.264512</v>
      </c>
    </row>
    <row r="57" spans="1:24">
      <c r="A57" s="122"/>
      <c r="B57" s="122"/>
      <c r="C57" s="122"/>
      <c r="D57" s="122" t="s">
        <v>242</v>
      </c>
      <c r="E57" s="176"/>
      <c r="F57" s="132"/>
      <c r="G57" s="128"/>
      <c r="H57" s="128"/>
      <c r="I57" s="128"/>
      <c r="J57" s="176"/>
      <c r="K57" s="128"/>
      <c r="L57" s="128"/>
      <c r="M57" s="176"/>
      <c r="N57" s="128"/>
      <c r="O57" s="128"/>
      <c r="P57" s="176"/>
      <c r="Q57" s="128"/>
      <c r="R57" s="128"/>
      <c r="S57" s="176"/>
      <c r="T57" s="128"/>
      <c r="U57" s="128"/>
      <c r="V57" s="128"/>
      <c r="W57" s="128"/>
      <c r="X57" s="128"/>
    </row>
    <row r="58" spans="1:24">
      <c r="A58" s="54" t="s">
        <v>243</v>
      </c>
      <c r="B58" s="54">
        <v>86040</v>
      </c>
      <c r="C58" s="54" t="s">
        <v>188</v>
      </c>
      <c r="D58" s="54" t="s">
        <v>244</v>
      </c>
      <c r="F58" s="54" t="s">
        <v>226</v>
      </c>
      <c r="G58" s="90">
        <v>3</v>
      </c>
      <c r="H58" s="90">
        <v>1700</v>
      </c>
      <c r="I58" s="90">
        <f>G58*H58</f>
        <v>5100</v>
      </c>
      <c r="J58" s="177"/>
      <c r="K58" s="90">
        <v>3</v>
      </c>
      <c r="L58" s="90">
        <f>H58*K58*$E$6</f>
        <v>5304</v>
      </c>
      <c r="M58" s="177"/>
      <c r="N58" s="90">
        <v>3</v>
      </c>
      <c r="O58" s="90">
        <f>H58*N58*$E$6*$E$6</f>
        <v>5516.16</v>
      </c>
      <c r="P58" s="177"/>
      <c r="Q58" s="90">
        <v>3</v>
      </c>
      <c r="R58" s="90">
        <f>H58*Q58*$E$6*$E$6*$E$6</f>
        <v>5736.8064000000004</v>
      </c>
      <c r="S58" s="177"/>
      <c r="T58" s="90">
        <v>3</v>
      </c>
      <c r="U58" s="90">
        <f>T58*H58*$E$6*$E$6*$E$6*$E$6</f>
        <v>5966.2786560000004</v>
      </c>
      <c r="V58" s="90">
        <f t="shared" si="53"/>
        <v>27623.245056</v>
      </c>
      <c r="W58" s="90" t="s">
        <v>217</v>
      </c>
      <c r="X58" s="90">
        <f>SUM(V58:W58)</f>
        <v>27623.245056</v>
      </c>
    </row>
    <row r="59" spans="1:24" ht="37.799999999999997">
      <c r="A59" s="54" t="s">
        <v>243</v>
      </c>
      <c r="B59" s="54" t="s">
        <v>237</v>
      </c>
      <c r="C59" s="54" t="s">
        <v>188</v>
      </c>
      <c r="D59" s="54" t="s">
        <v>245</v>
      </c>
      <c r="F59" s="54" t="s">
        <v>239</v>
      </c>
      <c r="G59" s="90">
        <f>7*G58</f>
        <v>21</v>
      </c>
      <c r="H59" s="90">
        <v>169</v>
      </c>
      <c r="I59" s="90">
        <f>G59*H59</f>
        <v>3549</v>
      </c>
      <c r="J59" s="177"/>
      <c r="K59" s="90">
        <f>7*K58</f>
        <v>21</v>
      </c>
      <c r="L59" s="90">
        <f t="shared" ref="L59:L61" si="58">H59*K59*$E$6</f>
        <v>3690.96</v>
      </c>
      <c r="M59" s="177"/>
      <c r="N59" s="90">
        <f>7*N58</f>
        <v>21</v>
      </c>
      <c r="O59" s="90">
        <f t="shared" ref="O59:O65" si="59">H59*N59*$E$6*$E$6</f>
        <v>3838.5984000000003</v>
      </c>
      <c r="P59" s="177"/>
      <c r="Q59" s="90">
        <f>7*Q58</f>
        <v>21</v>
      </c>
      <c r="R59" s="90">
        <f t="shared" ref="R59:R61" si="60">H59*Q59*$E$6*$E$6*$E$6</f>
        <v>3992.1423360000003</v>
      </c>
      <c r="S59" s="177"/>
      <c r="T59" s="90">
        <f>7*T58</f>
        <v>21</v>
      </c>
      <c r="U59" s="90">
        <f t="shared" ref="U59:U65" si="61">T59*H59*$E$6*$E$6*$E$6*$E$6</f>
        <v>4151.8280294400001</v>
      </c>
      <c r="V59" s="90">
        <f t="shared" si="53"/>
        <v>19222.528765440002</v>
      </c>
      <c r="W59" s="90" t="s">
        <v>217</v>
      </c>
      <c r="X59" s="90">
        <f>SUM(V59:W59)</f>
        <v>19222.528765440002</v>
      </c>
    </row>
    <row r="60" spans="1:24">
      <c r="A60" s="54" t="s">
        <v>243</v>
      </c>
      <c r="B60" s="54">
        <v>86000</v>
      </c>
      <c r="C60" s="54" t="s">
        <v>188</v>
      </c>
      <c r="D60" s="54" t="s">
        <v>246</v>
      </c>
      <c r="F60" s="54" t="s">
        <v>226</v>
      </c>
      <c r="G60" s="90">
        <f>G58</f>
        <v>3</v>
      </c>
      <c r="H60" s="90">
        <v>250</v>
      </c>
      <c r="I60" s="90">
        <f>G60*H60</f>
        <v>750</v>
      </c>
      <c r="J60" s="177"/>
      <c r="K60" s="90">
        <f>K58</f>
        <v>3</v>
      </c>
      <c r="L60" s="90">
        <f t="shared" si="58"/>
        <v>780</v>
      </c>
      <c r="M60" s="177"/>
      <c r="N60" s="90">
        <f>N58</f>
        <v>3</v>
      </c>
      <c r="O60" s="90">
        <f t="shared" si="59"/>
        <v>811.2</v>
      </c>
      <c r="P60" s="177"/>
      <c r="Q60" s="90">
        <f>Q58</f>
        <v>3</v>
      </c>
      <c r="R60" s="90">
        <f t="shared" si="60"/>
        <v>843.64800000000002</v>
      </c>
      <c r="S60" s="177"/>
      <c r="T60" s="90">
        <f>T58</f>
        <v>3</v>
      </c>
      <c r="U60" s="90">
        <f t="shared" si="61"/>
        <v>877.39392000000009</v>
      </c>
      <c r="V60" s="90">
        <f t="shared" si="53"/>
        <v>4062.2419199999999</v>
      </c>
      <c r="W60" s="90" t="s">
        <v>217</v>
      </c>
      <c r="X60" s="90">
        <f>SUM(V60:W60)</f>
        <v>4062.2419199999999</v>
      </c>
    </row>
    <row r="61" spans="1:24">
      <c r="A61" s="54" t="s">
        <v>243</v>
      </c>
      <c r="B61" s="54">
        <v>86050</v>
      </c>
      <c r="C61" s="54" t="s">
        <v>188</v>
      </c>
      <c r="D61" s="54" t="s">
        <v>247</v>
      </c>
      <c r="F61" s="54" t="s">
        <v>226</v>
      </c>
      <c r="G61" s="90">
        <f>G58</f>
        <v>3</v>
      </c>
      <c r="H61" s="90">
        <v>50</v>
      </c>
      <c r="I61" s="90">
        <f>G61*H61</f>
        <v>150</v>
      </c>
      <c r="J61" s="177"/>
      <c r="K61" s="90">
        <f>K58</f>
        <v>3</v>
      </c>
      <c r="L61" s="90">
        <f t="shared" si="58"/>
        <v>156</v>
      </c>
      <c r="M61" s="177"/>
      <c r="N61" s="90">
        <f>N58</f>
        <v>3</v>
      </c>
      <c r="O61" s="90">
        <f t="shared" si="59"/>
        <v>162.24</v>
      </c>
      <c r="P61" s="177"/>
      <c r="Q61" s="90">
        <f>Q58</f>
        <v>3</v>
      </c>
      <c r="R61" s="90">
        <f t="shared" si="60"/>
        <v>168.7296</v>
      </c>
      <c r="S61" s="177"/>
      <c r="T61" s="90">
        <f>T58</f>
        <v>3</v>
      </c>
      <c r="U61" s="90">
        <f t="shared" si="61"/>
        <v>175.47878400000002</v>
      </c>
      <c r="V61" s="90">
        <f t="shared" si="53"/>
        <v>812.44838400000003</v>
      </c>
      <c r="W61" s="90" t="s">
        <v>217</v>
      </c>
      <c r="X61" s="90">
        <f>SUM(V61:W61)</f>
        <v>812.44838400000003</v>
      </c>
    </row>
    <row r="62" spans="1:24">
      <c r="A62" s="122"/>
      <c r="B62" s="122"/>
      <c r="C62" s="122"/>
      <c r="D62" s="122" t="s">
        <v>248</v>
      </c>
      <c r="E62" s="176"/>
      <c r="F62" s="132"/>
      <c r="G62" s="128"/>
      <c r="H62" s="128"/>
      <c r="I62" s="128"/>
      <c r="J62" s="176"/>
      <c r="K62" s="128"/>
      <c r="L62" s="128"/>
      <c r="M62" s="176"/>
      <c r="N62" s="128"/>
      <c r="O62" s="128"/>
      <c r="P62" s="176"/>
      <c r="Q62" s="128"/>
      <c r="R62" s="128"/>
      <c r="S62" s="176"/>
      <c r="T62" s="128"/>
      <c r="U62" s="128"/>
      <c r="V62" s="128"/>
      <c r="W62" s="128"/>
      <c r="X62" s="128"/>
    </row>
    <row r="63" spans="1:24">
      <c r="A63" s="54" t="s">
        <v>249</v>
      </c>
      <c r="B63" s="54">
        <v>86000</v>
      </c>
      <c r="C63" s="54" t="s">
        <v>188</v>
      </c>
      <c r="D63" s="54" t="s">
        <v>250</v>
      </c>
      <c r="E63" s="174"/>
      <c r="F63" s="54" t="s">
        <v>190</v>
      </c>
      <c r="G63" s="90">
        <v>3</v>
      </c>
      <c r="H63" s="90">
        <v>150</v>
      </c>
      <c r="I63" s="90">
        <f>G63*H63</f>
        <v>450</v>
      </c>
      <c r="J63" s="174"/>
      <c r="K63" s="90">
        <v>12</v>
      </c>
      <c r="L63" s="90">
        <f>H63*K63*$E$6</f>
        <v>1872</v>
      </c>
      <c r="M63" s="174"/>
      <c r="N63" s="90">
        <v>12</v>
      </c>
      <c r="O63" s="90">
        <f t="shared" si="59"/>
        <v>1946.88</v>
      </c>
      <c r="P63" s="174"/>
      <c r="Q63" s="90">
        <v>12</v>
      </c>
      <c r="R63" s="90">
        <f>H63*Q63*$E$6*$E$6*$E$6</f>
        <v>2024.7552000000003</v>
      </c>
      <c r="S63" s="174"/>
      <c r="T63" s="90">
        <v>7</v>
      </c>
      <c r="U63" s="90">
        <f t="shared" si="61"/>
        <v>1228.3514880000002</v>
      </c>
      <c r="V63" s="90">
        <f t="shared" ref="V63" si="62">SUM(R63,O63,L63,I63,U63)</f>
        <v>7521.9866880000009</v>
      </c>
      <c r="W63" s="90" t="s">
        <v>217</v>
      </c>
      <c r="X63" s="538">
        <f>SUM(V63:W63)</f>
        <v>7521.9866880000009</v>
      </c>
    </row>
    <row r="64" spans="1:24">
      <c r="A64" s="54" t="s">
        <v>249</v>
      </c>
      <c r="B64" s="54">
        <v>86000</v>
      </c>
      <c r="C64" s="54" t="s">
        <v>188</v>
      </c>
      <c r="D64" s="54" t="s">
        <v>251</v>
      </c>
      <c r="F64" s="54" t="s">
        <v>226</v>
      </c>
      <c r="G64" s="90">
        <f>12*3</f>
        <v>36</v>
      </c>
      <c r="H64" s="90">
        <v>100</v>
      </c>
      <c r="I64" s="90">
        <f>G64*H64</f>
        <v>3600</v>
      </c>
      <c r="J64" s="177"/>
      <c r="K64" s="90">
        <f>12*3</f>
        <v>36</v>
      </c>
      <c r="L64" s="90">
        <f t="shared" ref="L64:L65" si="63">H64*K64*$E$6</f>
        <v>3744</v>
      </c>
      <c r="M64" s="177"/>
      <c r="N64" s="90">
        <f>12*3</f>
        <v>36</v>
      </c>
      <c r="O64" s="90">
        <f t="shared" si="59"/>
        <v>3893.76</v>
      </c>
      <c r="P64" s="177"/>
      <c r="Q64" s="90">
        <f>12*3</f>
        <v>36</v>
      </c>
      <c r="R64" s="90">
        <f t="shared" ref="R64:R65" si="64">H64*Q64*$E$6*$E$6*$E$6</f>
        <v>4049.5104000000006</v>
      </c>
      <c r="S64" s="177"/>
      <c r="T64" s="90">
        <f>12*3</f>
        <v>36</v>
      </c>
      <c r="U64" s="90">
        <f t="shared" si="61"/>
        <v>4211.4908160000005</v>
      </c>
      <c r="V64" s="90">
        <f t="shared" si="53"/>
        <v>19498.761216000003</v>
      </c>
      <c r="W64" s="90" t="s">
        <v>217</v>
      </c>
      <c r="X64" s="539">
        <f>SUM(V64:W64)</f>
        <v>19498.761216000003</v>
      </c>
    </row>
    <row r="65" spans="1:24" ht="37.799999999999997">
      <c r="A65" s="54" t="s">
        <v>249</v>
      </c>
      <c r="B65" s="54" t="s">
        <v>237</v>
      </c>
      <c r="C65" s="54" t="s">
        <v>188</v>
      </c>
      <c r="D65" s="54" t="s">
        <v>252</v>
      </c>
      <c r="F65" s="54" t="s">
        <v>239</v>
      </c>
      <c r="G65" s="90">
        <f>4*G64</f>
        <v>144</v>
      </c>
      <c r="H65" s="90">
        <v>78</v>
      </c>
      <c r="I65" s="90">
        <f>G65*H65</f>
        <v>11232</v>
      </c>
      <c r="J65" s="177"/>
      <c r="K65" s="90">
        <f>4*K64</f>
        <v>144</v>
      </c>
      <c r="L65" s="90">
        <f t="shared" si="63"/>
        <v>11681.28</v>
      </c>
      <c r="M65" s="177"/>
      <c r="N65" s="90">
        <f>4*N64</f>
        <v>144</v>
      </c>
      <c r="O65" s="90">
        <f t="shared" si="59"/>
        <v>12148.531200000001</v>
      </c>
      <c r="P65" s="177"/>
      <c r="Q65" s="90">
        <f>4*Q64</f>
        <v>144</v>
      </c>
      <c r="R65" s="90">
        <f t="shared" si="64"/>
        <v>12634.472448000002</v>
      </c>
      <c r="S65" s="177"/>
      <c r="T65" s="90">
        <f>4*T64</f>
        <v>144</v>
      </c>
      <c r="U65" s="90">
        <f t="shared" si="61"/>
        <v>13139.851345920002</v>
      </c>
      <c r="V65" s="90">
        <f t="shared" si="53"/>
        <v>60836.134993920008</v>
      </c>
      <c r="W65" s="90" t="s">
        <v>217</v>
      </c>
      <c r="X65" s="540">
        <f>SUM(V65:W65)</f>
        <v>60836.134993920008</v>
      </c>
    </row>
    <row r="66" spans="1:24">
      <c r="A66" s="100"/>
      <c r="B66" s="100"/>
      <c r="C66" s="100"/>
      <c r="D66" s="100" t="s">
        <v>253</v>
      </c>
      <c r="E66" s="175"/>
      <c r="F66" s="101"/>
      <c r="G66" s="101"/>
      <c r="H66" s="102"/>
      <c r="I66" s="103">
        <f>SUM(I52:I65)</f>
        <v>37563</v>
      </c>
      <c r="J66" s="175"/>
      <c r="K66" s="103"/>
      <c r="L66" s="103">
        <f>SUM(L52:L65)</f>
        <v>40469.519999999997</v>
      </c>
      <c r="M66" s="175"/>
      <c r="N66" s="103"/>
      <c r="O66" s="103">
        <f>SUM(O52:O65)</f>
        <v>42088.300800000012</v>
      </c>
      <c r="P66" s="175"/>
      <c r="Q66" s="103"/>
      <c r="R66" s="103">
        <f>SUM(R52:R65)</f>
        <v>43771.832832</v>
      </c>
      <c r="S66" s="175"/>
      <c r="T66" s="103"/>
      <c r="U66" s="103">
        <f>SUM(U52:U65)</f>
        <v>44645.312225280002</v>
      </c>
      <c r="V66" s="103">
        <f>SUM(V52:V65)</f>
        <v>208537.96585728001</v>
      </c>
      <c r="W66" s="103">
        <f>SUM(W52:W65)</f>
        <v>0</v>
      </c>
      <c r="X66" s="103">
        <f>SUM(X52:X65)</f>
        <v>208537.96585728001</v>
      </c>
    </row>
    <row r="67" spans="1:24">
      <c r="A67" s="129"/>
      <c r="B67" s="129"/>
      <c r="C67" s="129"/>
      <c r="D67" s="129"/>
      <c r="E67" s="172"/>
      <c r="F67" s="129"/>
      <c r="G67" s="109"/>
      <c r="H67" s="109"/>
      <c r="I67" s="109"/>
      <c r="J67" s="172"/>
      <c r="K67" s="109"/>
      <c r="L67" s="109"/>
      <c r="M67" s="172"/>
      <c r="N67" s="109"/>
      <c r="O67" s="109"/>
      <c r="P67" s="172"/>
      <c r="Q67" s="109"/>
      <c r="R67" s="109"/>
      <c r="S67" s="172"/>
      <c r="T67" s="109"/>
      <c r="U67" s="109"/>
      <c r="V67" s="109"/>
      <c r="W67" s="109"/>
      <c r="X67" s="109"/>
    </row>
    <row r="68" spans="1:24">
      <c r="A68" s="84"/>
      <c r="B68" s="84"/>
      <c r="C68" s="84"/>
      <c r="D68" s="84" t="s">
        <v>30</v>
      </c>
      <c r="E68" s="173"/>
      <c r="F68" s="84"/>
      <c r="G68" s="84"/>
      <c r="H68" s="85"/>
      <c r="I68" s="86"/>
      <c r="J68" s="173"/>
      <c r="K68" s="86"/>
      <c r="L68" s="86"/>
      <c r="M68" s="173"/>
      <c r="N68" s="86"/>
      <c r="O68" s="86"/>
      <c r="P68" s="173"/>
      <c r="Q68" s="86"/>
      <c r="R68" s="86"/>
      <c r="S68" s="173"/>
      <c r="T68" s="86"/>
      <c r="U68" s="86"/>
      <c r="V68" s="86"/>
      <c r="W68" s="86"/>
      <c r="X68" s="86"/>
    </row>
    <row r="69" spans="1:24">
      <c r="A69" s="52" t="s">
        <v>254</v>
      </c>
      <c r="B69" s="54">
        <v>81010</v>
      </c>
      <c r="C69" s="54" t="s">
        <v>188</v>
      </c>
      <c r="D69" s="54" t="s">
        <v>255</v>
      </c>
      <c r="E69" s="174"/>
      <c r="F69" s="130" t="s">
        <v>145</v>
      </c>
      <c r="G69" s="90">
        <v>0.5</v>
      </c>
      <c r="H69" s="231">
        <v>0.02</v>
      </c>
      <c r="I69" s="90">
        <f>H69*14000000*0.5</f>
        <v>140000</v>
      </c>
      <c r="J69" s="174"/>
      <c r="K69" s="90">
        <v>0.5</v>
      </c>
      <c r="L69" s="90">
        <f>H69*14000000*0.5</f>
        <v>140000</v>
      </c>
      <c r="M69" s="174"/>
      <c r="N69" s="90">
        <v>0</v>
      </c>
      <c r="O69" s="90">
        <f t="shared" ref="O69:O70" si="65">N69*H69</f>
        <v>0</v>
      </c>
      <c r="P69" s="174"/>
      <c r="Q69" s="90">
        <v>0</v>
      </c>
      <c r="R69" s="90">
        <f t="shared" ref="R69:R70" si="66">Q69*H69</f>
        <v>0</v>
      </c>
      <c r="S69" s="174"/>
      <c r="T69" s="90">
        <v>0</v>
      </c>
      <c r="U69" s="90">
        <f t="shared" ref="U69:U70" si="67">T69*H69</f>
        <v>0</v>
      </c>
      <c r="V69" s="90">
        <f t="shared" ref="V69:V70" si="68">SUM(R69,O69,L69,I69,U69)</f>
        <v>280000</v>
      </c>
      <c r="W69" s="90">
        <v>0</v>
      </c>
      <c r="X69" s="541">
        <f t="shared" ref="X69:X70" si="69">V69+W69</f>
        <v>280000</v>
      </c>
    </row>
    <row r="70" spans="1:24">
      <c r="A70" s="52" t="s">
        <v>256</v>
      </c>
      <c r="B70" s="54">
        <v>81010</v>
      </c>
      <c r="C70" s="54" t="s">
        <v>188</v>
      </c>
      <c r="D70" s="54" t="s">
        <v>257</v>
      </c>
      <c r="E70" s="174"/>
      <c r="F70" s="95" t="s">
        <v>258</v>
      </c>
      <c r="G70" s="90">
        <v>0</v>
      </c>
      <c r="H70" s="90">
        <v>48000</v>
      </c>
      <c r="I70" s="90">
        <f t="shared" ref="I70:I75" si="70">G70*H70</f>
        <v>0</v>
      </c>
      <c r="J70" s="174"/>
      <c r="K70" s="90">
        <v>1</v>
      </c>
      <c r="L70" s="90">
        <f t="shared" ref="L70" si="71">K70*H70</f>
        <v>48000</v>
      </c>
      <c r="M70" s="174"/>
      <c r="N70" s="90">
        <v>0</v>
      </c>
      <c r="O70" s="90">
        <f t="shared" si="65"/>
        <v>0</v>
      </c>
      <c r="P70" s="174"/>
      <c r="Q70" s="90">
        <v>0</v>
      </c>
      <c r="R70" s="90">
        <f t="shared" si="66"/>
        <v>0</v>
      </c>
      <c r="S70" s="174"/>
      <c r="T70" s="90">
        <v>0</v>
      </c>
      <c r="U70" s="90">
        <f t="shared" si="67"/>
        <v>0</v>
      </c>
      <c r="V70" s="90">
        <f t="shared" si="68"/>
        <v>48000</v>
      </c>
      <c r="W70" s="90">
        <v>0</v>
      </c>
      <c r="X70" s="540">
        <f t="shared" si="69"/>
        <v>48000</v>
      </c>
    </row>
    <row r="71" spans="1:24">
      <c r="A71" s="52" t="s">
        <v>259</v>
      </c>
      <c r="B71" s="54">
        <v>82100</v>
      </c>
      <c r="C71" s="54" t="s">
        <v>188</v>
      </c>
      <c r="D71" s="54" t="s">
        <v>260</v>
      </c>
      <c r="E71" s="174"/>
      <c r="F71" s="95" t="s">
        <v>147</v>
      </c>
      <c r="G71" s="90">
        <v>1</v>
      </c>
      <c r="H71" s="90">
        <v>8000</v>
      </c>
      <c r="I71" s="90">
        <f t="shared" si="70"/>
        <v>8000</v>
      </c>
      <c r="J71" s="174"/>
      <c r="K71" s="90">
        <v>1</v>
      </c>
      <c r="L71" s="90">
        <f t="shared" ref="L71:L74" si="72">K71*H71</f>
        <v>8000</v>
      </c>
      <c r="M71" s="174"/>
      <c r="N71" s="90">
        <v>1</v>
      </c>
      <c r="O71" s="90">
        <f t="shared" ref="O71:O74" si="73">N71*H71</f>
        <v>8000</v>
      </c>
      <c r="P71" s="174"/>
      <c r="Q71" s="90">
        <v>1</v>
      </c>
      <c r="R71" s="90">
        <f t="shared" ref="R71:R74" si="74">Q71*H71</f>
        <v>8000</v>
      </c>
      <c r="S71" s="174"/>
      <c r="T71" s="90">
        <v>1</v>
      </c>
      <c r="U71" s="90">
        <f>T71*H71</f>
        <v>8000</v>
      </c>
      <c r="V71" s="90">
        <f t="shared" ref="V71:V89" si="75">SUM(R71,O71,L71,I71,U71)</f>
        <v>40000</v>
      </c>
      <c r="W71" s="90">
        <v>0</v>
      </c>
      <c r="X71" s="539">
        <f t="shared" ref="X71:X82" si="76">V71+W71</f>
        <v>40000</v>
      </c>
    </row>
    <row r="72" spans="1:24">
      <c r="A72" s="52" t="s">
        <v>261</v>
      </c>
      <c r="B72" s="54">
        <v>81010</v>
      </c>
      <c r="C72" s="54" t="s">
        <v>188</v>
      </c>
      <c r="D72" s="54" t="s">
        <v>262</v>
      </c>
      <c r="E72" s="174"/>
      <c r="F72" s="95" t="s">
        <v>147</v>
      </c>
      <c r="G72" s="90">
        <v>1</v>
      </c>
      <c r="H72" s="90">
        <v>3000</v>
      </c>
      <c r="I72" s="90">
        <f t="shared" si="70"/>
        <v>3000</v>
      </c>
      <c r="J72" s="174"/>
      <c r="K72" s="90">
        <v>1</v>
      </c>
      <c r="L72" s="90">
        <f t="shared" si="72"/>
        <v>3000</v>
      </c>
      <c r="M72" s="174"/>
      <c r="N72" s="90">
        <v>1</v>
      </c>
      <c r="O72" s="90">
        <f t="shared" si="73"/>
        <v>3000</v>
      </c>
      <c r="P72" s="174"/>
      <c r="Q72" s="90">
        <v>1</v>
      </c>
      <c r="R72" s="90">
        <f t="shared" si="74"/>
        <v>3000</v>
      </c>
      <c r="S72" s="174"/>
      <c r="T72" s="90">
        <v>1</v>
      </c>
      <c r="U72" s="90">
        <f>T72*H72</f>
        <v>3000</v>
      </c>
      <c r="V72" s="90">
        <f t="shared" si="75"/>
        <v>15000</v>
      </c>
      <c r="W72" s="90">
        <v>0</v>
      </c>
      <c r="X72" s="541">
        <f>V72+W72</f>
        <v>15000</v>
      </c>
    </row>
    <row r="73" spans="1:24">
      <c r="A73" s="54" t="s">
        <v>263</v>
      </c>
      <c r="B73" s="54">
        <v>86110</v>
      </c>
      <c r="C73" s="54" t="s">
        <v>188</v>
      </c>
      <c r="D73" s="54" t="s">
        <v>264</v>
      </c>
      <c r="E73" s="174"/>
      <c r="F73" s="95" t="s">
        <v>147</v>
      </c>
      <c r="G73" s="90">
        <v>1</v>
      </c>
      <c r="H73" s="90">
        <v>500</v>
      </c>
      <c r="I73" s="90">
        <f t="shared" si="70"/>
        <v>500</v>
      </c>
      <c r="J73" s="174"/>
      <c r="K73" s="90">
        <v>1</v>
      </c>
      <c r="L73" s="90">
        <f t="shared" ref="L73" si="77">K73*H73</f>
        <v>500</v>
      </c>
      <c r="M73" s="174"/>
      <c r="N73" s="90">
        <v>1</v>
      </c>
      <c r="O73" s="90">
        <f t="shared" ref="O73" si="78">N73*H73</f>
        <v>500</v>
      </c>
      <c r="P73" s="174"/>
      <c r="Q73" s="90">
        <v>1</v>
      </c>
      <c r="R73" s="90">
        <f t="shared" ref="R73" si="79">Q73*H73</f>
        <v>500</v>
      </c>
      <c r="S73" s="174"/>
      <c r="T73" s="90">
        <v>1</v>
      </c>
      <c r="U73" s="90">
        <f>T73*H73</f>
        <v>500</v>
      </c>
      <c r="V73" s="90">
        <f t="shared" ref="V73" si="80">SUM(R73,O73,L73,I73,U73)</f>
        <v>2500</v>
      </c>
      <c r="W73" s="90">
        <v>0</v>
      </c>
      <c r="X73" s="90">
        <f>V73+W73</f>
        <v>2500</v>
      </c>
    </row>
    <row r="74" spans="1:24">
      <c r="A74" s="52" t="s">
        <v>265</v>
      </c>
      <c r="B74" s="54">
        <v>81000</v>
      </c>
      <c r="C74" s="54" t="s">
        <v>188</v>
      </c>
      <c r="D74" s="54" t="s">
        <v>266</v>
      </c>
      <c r="E74" s="174"/>
      <c r="F74" s="95" t="s">
        <v>190</v>
      </c>
      <c r="G74" s="90">
        <v>9</v>
      </c>
      <c r="H74" s="90">
        <v>425</v>
      </c>
      <c r="I74" s="90">
        <f t="shared" si="70"/>
        <v>3825</v>
      </c>
      <c r="J74" s="174"/>
      <c r="K74" s="90">
        <v>12</v>
      </c>
      <c r="L74" s="90">
        <f t="shared" si="72"/>
        <v>5100</v>
      </c>
      <c r="M74" s="174"/>
      <c r="N74" s="90">
        <v>12</v>
      </c>
      <c r="O74" s="90">
        <f t="shared" si="73"/>
        <v>5100</v>
      </c>
      <c r="P74" s="174"/>
      <c r="Q74" s="90">
        <v>12</v>
      </c>
      <c r="R74" s="90">
        <f t="shared" si="74"/>
        <v>5100</v>
      </c>
      <c r="S74" s="174"/>
      <c r="T74" s="90">
        <v>9</v>
      </c>
      <c r="U74" s="90">
        <f t="shared" ref="U74" si="81">T74*H74</f>
        <v>3825</v>
      </c>
      <c r="V74" s="90">
        <f t="shared" si="75"/>
        <v>22950</v>
      </c>
      <c r="W74" s="90">
        <v>0</v>
      </c>
      <c r="X74" s="538">
        <f t="shared" ref="X74" si="82">V74+W74</f>
        <v>22950</v>
      </c>
    </row>
    <row r="75" spans="1:24">
      <c r="A75" s="52" t="s">
        <v>265</v>
      </c>
      <c r="B75" s="54">
        <v>81000</v>
      </c>
      <c r="C75" s="54" t="s">
        <v>188</v>
      </c>
      <c r="D75" s="54" t="s">
        <v>267</v>
      </c>
      <c r="E75" s="174"/>
      <c r="F75" s="95" t="s">
        <v>239</v>
      </c>
      <c r="G75" s="90">
        <v>30</v>
      </c>
      <c r="H75" s="90">
        <v>705</v>
      </c>
      <c r="I75" s="90">
        <f t="shared" si="70"/>
        <v>21150</v>
      </c>
      <c r="J75" s="174"/>
      <c r="K75" s="90">
        <v>0</v>
      </c>
      <c r="L75" s="90">
        <f t="shared" ref="L75:L76" si="83">K75*H75</f>
        <v>0</v>
      </c>
      <c r="M75" s="174"/>
      <c r="N75" s="90">
        <v>0</v>
      </c>
      <c r="O75" s="90">
        <f t="shared" ref="O75:O76" si="84">N75*H75</f>
        <v>0</v>
      </c>
      <c r="P75" s="174"/>
      <c r="Q75" s="90">
        <v>0</v>
      </c>
      <c r="R75" s="90">
        <f t="shared" ref="R75:R76" si="85">Q75*H75</f>
        <v>0</v>
      </c>
      <c r="S75" s="174"/>
      <c r="T75" s="90">
        <v>0</v>
      </c>
      <c r="U75" s="90">
        <f t="shared" ref="U75:U76" si="86">T75*H75</f>
        <v>0</v>
      </c>
      <c r="V75" s="90">
        <f t="shared" ref="V75:V76" si="87">SUM(R75,O75,L75,I75,U75)</f>
        <v>21150</v>
      </c>
      <c r="W75" s="90">
        <v>0</v>
      </c>
      <c r="X75" s="540">
        <f>V75+W75</f>
        <v>21150</v>
      </c>
    </row>
    <row r="76" spans="1:24" ht="25.2">
      <c r="A76" s="54" t="s">
        <v>268</v>
      </c>
      <c r="B76" s="54">
        <v>81000</v>
      </c>
      <c r="C76" s="54" t="s">
        <v>188</v>
      </c>
      <c r="D76" s="54" t="s">
        <v>269</v>
      </c>
      <c r="E76" s="174"/>
      <c r="F76" s="95" t="s">
        <v>190</v>
      </c>
      <c r="G76" s="90">
        <v>12</v>
      </c>
      <c r="H76" s="90">
        <f>(150000/12)*15%</f>
        <v>1875</v>
      </c>
      <c r="I76" s="90">
        <f t="shared" ref="I76" si="88">G76*H76</f>
        <v>22500</v>
      </c>
      <c r="J76" s="174"/>
      <c r="K76" s="90">
        <v>0</v>
      </c>
      <c r="L76" s="90">
        <f t="shared" si="83"/>
        <v>0</v>
      </c>
      <c r="M76" s="174"/>
      <c r="N76" s="90">
        <v>0</v>
      </c>
      <c r="O76" s="90">
        <f t="shared" si="84"/>
        <v>0</v>
      </c>
      <c r="P76" s="174"/>
      <c r="Q76" s="90">
        <v>0</v>
      </c>
      <c r="R76" s="90">
        <f t="shared" si="85"/>
        <v>0</v>
      </c>
      <c r="S76" s="174"/>
      <c r="T76" s="90">
        <v>0</v>
      </c>
      <c r="U76" s="90">
        <f t="shared" si="86"/>
        <v>0</v>
      </c>
      <c r="V76" s="90">
        <f t="shared" si="87"/>
        <v>22500</v>
      </c>
      <c r="W76" s="90">
        <v>0</v>
      </c>
      <c r="X76" s="90">
        <f t="shared" ref="X76" si="89">V76+W76</f>
        <v>22500</v>
      </c>
    </row>
    <row r="77" spans="1:24">
      <c r="A77" s="135"/>
      <c r="B77" s="135"/>
      <c r="C77" s="135"/>
      <c r="D77" s="135" t="s">
        <v>270</v>
      </c>
      <c r="E77" s="178"/>
      <c r="F77" s="136"/>
      <c r="G77" s="137"/>
      <c r="H77" s="138"/>
      <c r="I77" s="139"/>
      <c r="J77" s="178"/>
      <c r="K77" s="139"/>
      <c r="L77" s="139"/>
      <c r="M77" s="178"/>
      <c r="N77" s="139"/>
      <c r="O77" s="139"/>
      <c r="P77" s="178"/>
      <c r="Q77" s="139"/>
      <c r="R77" s="139"/>
      <c r="S77" s="178"/>
      <c r="T77" s="139"/>
      <c r="U77" s="139"/>
      <c r="V77" s="139"/>
      <c r="W77" s="139"/>
      <c r="X77" s="139"/>
    </row>
    <row r="78" spans="1:24">
      <c r="A78" s="140"/>
      <c r="B78" s="140"/>
      <c r="C78" s="140"/>
      <c r="D78" s="140" t="s">
        <v>271</v>
      </c>
      <c r="E78" s="176"/>
      <c r="F78" s="132"/>
      <c r="G78" s="132"/>
      <c r="H78" s="133"/>
      <c r="I78" s="141"/>
      <c r="J78" s="176"/>
      <c r="K78" s="141"/>
      <c r="L78" s="141"/>
      <c r="M78" s="176"/>
      <c r="N78" s="141"/>
      <c r="O78" s="141"/>
      <c r="P78" s="176"/>
      <c r="Q78" s="141"/>
      <c r="R78" s="141"/>
      <c r="S78" s="176"/>
      <c r="T78" s="141"/>
      <c r="U78" s="141"/>
      <c r="V78" s="128"/>
      <c r="W78" s="128"/>
      <c r="X78" s="141"/>
    </row>
    <row r="79" spans="1:24">
      <c r="A79" s="52" t="s">
        <v>272</v>
      </c>
      <c r="B79" s="54">
        <v>81010</v>
      </c>
      <c r="C79" s="54" t="s">
        <v>188</v>
      </c>
      <c r="D79" s="54" t="s">
        <v>273</v>
      </c>
      <c r="E79" s="174"/>
      <c r="F79" s="96" t="s">
        <v>258</v>
      </c>
      <c r="G79" s="90">
        <v>1</v>
      </c>
      <c r="H79" s="90">
        <v>150000</v>
      </c>
      <c r="I79" s="90">
        <f>G79*H79</f>
        <v>150000</v>
      </c>
      <c r="J79" s="174"/>
      <c r="K79" s="90">
        <v>0</v>
      </c>
      <c r="L79" s="90">
        <f>K79*H79</f>
        <v>0</v>
      </c>
      <c r="M79" s="174"/>
      <c r="N79" s="90">
        <v>0</v>
      </c>
      <c r="O79" s="90">
        <f>N79*H79</f>
        <v>0</v>
      </c>
      <c r="P79" s="174"/>
      <c r="Q79" s="90">
        <v>0</v>
      </c>
      <c r="R79" s="90">
        <f>Q79*H79</f>
        <v>0</v>
      </c>
      <c r="S79" s="174"/>
      <c r="T79" s="90">
        <v>0</v>
      </c>
      <c r="U79" s="90">
        <f>T79*H79</f>
        <v>0</v>
      </c>
      <c r="V79" s="90">
        <f t="shared" ref="V79:V81" si="90">SUM(R79,O79,L79,I79,U79)</f>
        <v>150000</v>
      </c>
      <c r="W79" s="90">
        <v>0</v>
      </c>
      <c r="X79" s="538">
        <f t="shared" ref="X79" si="91">V79+W79</f>
        <v>150000</v>
      </c>
    </row>
    <row r="80" spans="1:24">
      <c r="A80" s="52" t="s">
        <v>274</v>
      </c>
      <c r="B80" s="54">
        <v>81010</v>
      </c>
      <c r="C80" s="54" t="s">
        <v>188</v>
      </c>
      <c r="D80" s="54" t="s">
        <v>275</v>
      </c>
      <c r="E80" s="174"/>
      <c r="F80" s="96" t="s">
        <v>258</v>
      </c>
      <c r="G80" s="90">
        <v>0</v>
      </c>
      <c r="H80" s="90">
        <v>160000</v>
      </c>
      <c r="I80" s="90">
        <f t="shared" ref="I80:I81" si="92">G80*H80</f>
        <v>0</v>
      </c>
      <c r="J80" s="174"/>
      <c r="K80" s="90">
        <v>0</v>
      </c>
      <c r="L80" s="90">
        <f>K80*H80</f>
        <v>0</v>
      </c>
      <c r="M80" s="174"/>
      <c r="N80" s="90">
        <v>1</v>
      </c>
      <c r="O80" s="90">
        <f>N80*H80</f>
        <v>160000</v>
      </c>
      <c r="P80" s="174"/>
      <c r="Q80" s="90">
        <v>0</v>
      </c>
      <c r="R80" s="90">
        <f>Q80*H80</f>
        <v>0</v>
      </c>
      <c r="S80" s="174"/>
      <c r="T80" s="90">
        <v>0</v>
      </c>
      <c r="U80" s="90">
        <f>T80*H80</f>
        <v>0</v>
      </c>
      <c r="V80" s="90">
        <f t="shared" si="90"/>
        <v>160000</v>
      </c>
      <c r="W80" s="90">
        <v>0</v>
      </c>
      <c r="X80" s="541">
        <f>V80+W80</f>
        <v>160000</v>
      </c>
    </row>
    <row r="81" spans="1:24">
      <c r="A81" s="52" t="s">
        <v>276</v>
      </c>
      <c r="B81" s="54">
        <v>81010</v>
      </c>
      <c r="C81" s="54" t="s">
        <v>188</v>
      </c>
      <c r="D81" s="54" t="s">
        <v>277</v>
      </c>
      <c r="E81" s="174"/>
      <c r="F81" s="96" t="s">
        <v>258</v>
      </c>
      <c r="G81" s="90">
        <v>0</v>
      </c>
      <c r="H81" s="90">
        <v>175000</v>
      </c>
      <c r="I81" s="90">
        <f t="shared" si="92"/>
        <v>0</v>
      </c>
      <c r="J81" s="174"/>
      <c r="K81" s="90">
        <v>0</v>
      </c>
      <c r="L81" s="90">
        <f>K81*H81</f>
        <v>0</v>
      </c>
      <c r="M81" s="174"/>
      <c r="N81" s="90">
        <v>0</v>
      </c>
      <c r="O81" s="90">
        <f>N81*H81</f>
        <v>0</v>
      </c>
      <c r="P81" s="174"/>
      <c r="Q81" s="90">
        <v>0</v>
      </c>
      <c r="R81" s="90">
        <f>Q81*H81</f>
        <v>0</v>
      </c>
      <c r="S81" s="174"/>
      <c r="T81" s="90">
        <v>1</v>
      </c>
      <c r="U81" s="90">
        <f>T81*H81</f>
        <v>175000</v>
      </c>
      <c r="V81" s="90">
        <f t="shared" si="90"/>
        <v>175000</v>
      </c>
      <c r="W81" s="90">
        <v>0</v>
      </c>
      <c r="X81" s="540">
        <f t="shared" ref="X81" si="93">V81+W81</f>
        <v>175000</v>
      </c>
    </row>
    <row r="82" spans="1:24">
      <c r="A82" s="54" t="s">
        <v>278</v>
      </c>
      <c r="B82" s="54">
        <v>81010</v>
      </c>
      <c r="C82" s="54" t="s">
        <v>188</v>
      </c>
      <c r="D82" s="54" t="s">
        <v>279</v>
      </c>
      <c r="E82" s="174"/>
      <c r="F82" s="96" t="s">
        <v>258</v>
      </c>
      <c r="G82" s="90">
        <v>0</v>
      </c>
      <c r="H82" s="90">
        <v>200000</v>
      </c>
      <c r="I82" s="90">
        <f t="shared" ref="I82" si="94">G82*H82</f>
        <v>0</v>
      </c>
      <c r="J82" s="174"/>
      <c r="K82" s="90">
        <v>0</v>
      </c>
      <c r="L82" s="90">
        <f>K82*H82</f>
        <v>0</v>
      </c>
      <c r="M82" s="174"/>
      <c r="N82" s="90">
        <v>0</v>
      </c>
      <c r="O82" s="90">
        <f>N82*H82</f>
        <v>0</v>
      </c>
      <c r="P82" s="174"/>
      <c r="Q82" s="90">
        <v>0</v>
      </c>
      <c r="R82" s="90">
        <f>Q82*H82</f>
        <v>0</v>
      </c>
      <c r="S82" s="174"/>
      <c r="T82" s="90">
        <v>1</v>
      </c>
      <c r="U82" s="90">
        <f>T82*H82</f>
        <v>200000</v>
      </c>
      <c r="V82" s="90">
        <f t="shared" si="75"/>
        <v>200000</v>
      </c>
      <c r="W82" s="90">
        <v>0</v>
      </c>
      <c r="X82" s="90">
        <f t="shared" si="76"/>
        <v>200000</v>
      </c>
    </row>
    <row r="83" spans="1:24">
      <c r="A83" s="54" t="s">
        <v>280</v>
      </c>
      <c r="B83" s="54">
        <v>81010</v>
      </c>
      <c r="C83" s="54" t="s">
        <v>188</v>
      </c>
      <c r="D83" s="54" t="s">
        <v>281</v>
      </c>
      <c r="E83" s="174"/>
      <c r="F83" s="96" t="s">
        <v>258</v>
      </c>
      <c r="G83" s="90">
        <v>0</v>
      </c>
      <c r="H83" s="90">
        <v>100000</v>
      </c>
      <c r="I83" s="90">
        <f>H83*G83</f>
        <v>0</v>
      </c>
      <c r="J83" s="174"/>
      <c r="K83" s="90">
        <v>1</v>
      </c>
      <c r="L83" s="90">
        <f>K83*H83</f>
        <v>100000</v>
      </c>
      <c r="M83" s="174"/>
      <c r="N83" s="90">
        <v>1</v>
      </c>
      <c r="O83" s="90">
        <f>N83*H83</f>
        <v>100000</v>
      </c>
      <c r="P83" s="174"/>
      <c r="Q83" s="90">
        <v>0</v>
      </c>
      <c r="R83" s="90">
        <f>Q83*H83</f>
        <v>0</v>
      </c>
      <c r="S83" s="174"/>
      <c r="T83" s="90">
        <v>0</v>
      </c>
      <c r="U83" s="90">
        <f>T83*H83</f>
        <v>0</v>
      </c>
      <c r="V83" s="90">
        <f t="shared" ref="V83" si="95">SUM(R83,O83,L83,I83,U83)</f>
        <v>200000</v>
      </c>
      <c r="W83" s="90">
        <v>0</v>
      </c>
      <c r="X83" s="90">
        <f t="shared" ref="X83" si="96">V83+W83</f>
        <v>200000</v>
      </c>
    </row>
    <row r="84" spans="1:24">
      <c r="A84" s="140"/>
      <c r="B84" s="140"/>
      <c r="C84" s="140"/>
      <c r="D84" s="140" t="s">
        <v>282</v>
      </c>
      <c r="E84" s="176"/>
      <c r="F84" s="132"/>
      <c r="G84" s="132"/>
      <c r="H84" s="133"/>
      <c r="I84" s="141"/>
      <c r="J84" s="176"/>
      <c r="K84" s="141"/>
      <c r="L84" s="141"/>
      <c r="M84" s="176"/>
      <c r="N84" s="141"/>
      <c r="O84" s="141"/>
      <c r="P84" s="176"/>
      <c r="Q84" s="141"/>
      <c r="R84" s="141"/>
      <c r="S84" s="176"/>
      <c r="T84" s="141"/>
      <c r="U84" s="141"/>
      <c r="V84" s="128"/>
      <c r="W84" s="128"/>
      <c r="X84" s="141"/>
    </row>
    <row r="85" spans="1:24" ht="50.4">
      <c r="A85" s="54" t="s">
        <v>283</v>
      </c>
      <c r="B85" s="54" t="s">
        <v>284</v>
      </c>
      <c r="C85" s="54" t="s">
        <v>188</v>
      </c>
      <c r="D85" s="91" t="s">
        <v>285</v>
      </c>
      <c r="E85" s="174"/>
      <c r="F85" s="54" t="s">
        <v>286</v>
      </c>
      <c r="G85" s="54">
        <v>1</v>
      </c>
      <c r="H85" s="97">
        <v>10000</v>
      </c>
      <c r="I85" s="78">
        <f>G85*H85</f>
        <v>10000</v>
      </c>
      <c r="J85" s="174"/>
      <c r="K85" s="90">
        <v>0</v>
      </c>
      <c r="L85" s="90">
        <f>K85*H85</f>
        <v>0</v>
      </c>
      <c r="M85" s="174"/>
      <c r="N85" s="90">
        <v>0</v>
      </c>
      <c r="O85" s="90">
        <f>N85*H85</f>
        <v>0</v>
      </c>
      <c r="P85" s="174"/>
      <c r="Q85" s="90">
        <v>0</v>
      </c>
      <c r="R85" s="90">
        <f>Q85*H85</f>
        <v>0</v>
      </c>
      <c r="S85" s="174"/>
      <c r="T85" s="90">
        <v>0</v>
      </c>
      <c r="U85" s="90">
        <f>T85*H85</f>
        <v>0</v>
      </c>
      <c r="V85" s="90">
        <f t="shared" si="75"/>
        <v>10000</v>
      </c>
      <c r="W85" s="90" t="s">
        <v>217</v>
      </c>
      <c r="X85" s="538">
        <f>SUM(V85:W85)</f>
        <v>10000</v>
      </c>
    </row>
    <row r="86" spans="1:24" ht="50.4">
      <c r="A86" s="54" t="s">
        <v>283</v>
      </c>
      <c r="B86" s="54" t="s">
        <v>284</v>
      </c>
      <c r="C86" s="54" t="s">
        <v>188</v>
      </c>
      <c r="D86" s="91" t="s">
        <v>287</v>
      </c>
      <c r="E86" s="174"/>
      <c r="F86" s="54" t="s">
        <v>147</v>
      </c>
      <c r="G86" s="54">
        <v>0</v>
      </c>
      <c r="H86" s="97">
        <v>2000</v>
      </c>
      <c r="I86" s="78">
        <f>G86*H86</f>
        <v>0</v>
      </c>
      <c r="J86" s="174"/>
      <c r="K86" s="90">
        <v>1</v>
      </c>
      <c r="L86" s="90">
        <f>K86*H86</f>
        <v>2000</v>
      </c>
      <c r="M86" s="174"/>
      <c r="N86" s="90">
        <v>1</v>
      </c>
      <c r="O86" s="90">
        <f>N86*H86</f>
        <v>2000</v>
      </c>
      <c r="P86" s="174"/>
      <c r="Q86" s="90">
        <v>1</v>
      </c>
      <c r="R86" s="90">
        <f>Q86*H86</f>
        <v>2000</v>
      </c>
      <c r="S86" s="174"/>
      <c r="T86" s="90">
        <v>1</v>
      </c>
      <c r="U86" s="90">
        <f>T86*H86</f>
        <v>2000</v>
      </c>
      <c r="V86" s="90">
        <f t="shared" ref="V86" si="97">SUM(R86,O86,L86,I86,U86)</f>
        <v>8000</v>
      </c>
      <c r="W86" s="90" t="s">
        <v>217</v>
      </c>
      <c r="X86" s="539">
        <f>SUM(V86:W86)</f>
        <v>8000</v>
      </c>
    </row>
    <row r="87" spans="1:24" ht="25.2">
      <c r="A87" s="54" t="s">
        <v>283</v>
      </c>
      <c r="B87" s="91">
        <v>87000</v>
      </c>
      <c r="C87" s="54" t="s">
        <v>188</v>
      </c>
      <c r="D87" s="91" t="s">
        <v>288</v>
      </c>
      <c r="E87" s="174"/>
      <c r="F87" s="54" t="s">
        <v>289</v>
      </c>
      <c r="G87" s="54">
        <v>1</v>
      </c>
      <c r="H87" s="97">
        <v>6000</v>
      </c>
      <c r="I87" s="78">
        <f>G87*H87</f>
        <v>6000</v>
      </c>
      <c r="J87" s="174"/>
      <c r="K87" s="90">
        <v>1</v>
      </c>
      <c r="L87" s="90">
        <f>K87*H87</f>
        <v>6000</v>
      </c>
      <c r="M87" s="174"/>
      <c r="N87" s="90">
        <v>1</v>
      </c>
      <c r="O87" s="90">
        <f>N87*H87</f>
        <v>6000</v>
      </c>
      <c r="P87" s="174"/>
      <c r="Q87" s="90">
        <v>1</v>
      </c>
      <c r="R87" s="90">
        <f>Q87*H87</f>
        <v>6000</v>
      </c>
      <c r="S87" s="174"/>
      <c r="T87" s="90">
        <v>1</v>
      </c>
      <c r="U87" s="90">
        <f>T87*H87</f>
        <v>6000</v>
      </c>
      <c r="V87" s="90">
        <f t="shared" si="75"/>
        <v>30000</v>
      </c>
      <c r="W87" s="90" t="s">
        <v>217</v>
      </c>
      <c r="X87" s="540">
        <f>SUM(V87:W87)</f>
        <v>30000</v>
      </c>
    </row>
    <row r="88" spans="1:24">
      <c r="A88" s="140"/>
      <c r="B88" s="140"/>
      <c r="C88" s="140"/>
      <c r="D88" s="140" t="s">
        <v>290</v>
      </c>
      <c r="E88" s="176"/>
      <c r="F88" s="142"/>
      <c r="G88" s="143"/>
      <c r="H88" s="143"/>
      <c r="I88" s="143"/>
      <c r="J88" s="176"/>
      <c r="K88" s="143"/>
      <c r="L88" s="143"/>
      <c r="M88" s="176"/>
      <c r="N88" s="143"/>
      <c r="O88" s="143"/>
      <c r="P88" s="176"/>
      <c r="Q88" s="143"/>
      <c r="R88" s="143"/>
      <c r="S88" s="176"/>
      <c r="T88" s="143"/>
      <c r="U88" s="143"/>
      <c r="V88" s="128"/>
      <c r="W88" s="128"/>
      <c r="X88" s="143"/>
    </row>
    <row r="89" spans="1:24" ht="28" customHeight="1">
      <c r="A89" s="52" t="s">
        <v>291</v>
      </c>
      <c r="B89" s="54" t="s">
        <v>292</v>
      </c>
      <c r="C89" s="54" t="s">
        <v>188</v>
      </c>
      <c r="D89" s="54" t="s">
        <v>293</v>
      </c>
      <c r="F89" s="54" t="s">
        <v>147</v>
      </c>
      <c r="G89" s="90">
        <v>1</v>
      </c>
      <c r="H89" s="90">
        <v>6500</v>
      </c>
      <c r="I89" s="90">
        <f>G89*H89</f>
        <v>6500</v>
      </c>
      <c r="J89" s="177"/>
      <c r="K89" s="90">
        <v>1</v>
      </c>
      <c r="L89" s="90">
        <f>K89*H89</f>
        <v>6500</v>
      </c>
      <c r="M89" s="177"/>
      <c r="N89" s="90">
        <v>1</v>
      </c>
      <c r="O89" s="90">
        <f>N89*H89</f>
        <v>6500</v>
      </c>
      <c r="P89" s="177"/>
      <c r="Q89" s="90">
        <v>1</v>
      </c>
      <c r="R89" s="90">
        <f>Q89*H89</f>
        <v>6500</v>
      </c>
      <c r="S89" s="177"/>
      <c r="T89" s="90">
        <v>1</v>
      </c>
      <c r="U89" s="90">
        <f>T89*H89</f>
        <v>6500</v>
      </c>
      <c r="V89" s="90">
        <f t="shared" si="75"/>
        <v>32500</v>
      </c>
      <c r="W89" s="109"/>
      <c r="X89" s="541">
        <f>SUM(V89:W89)</f>
        <v>32500</v>
      </c>
    </row>
    <row r="90" spans="1:24" s="146" customFormat="1" ht="12.3">
      <c r="A90" s="135"/>
      <c r="B90" s="135"/>
      <c r="C90" s="135"/>
      <c r="D90" s="135" t="s">
        <v>294</v>
      </c>
      <c r="E90" s="178"/>
      <c r="F90" s="144"/>
      <c r="G90" s="145"/>
      <c r="H90" s="145"/>
      <c r="I90" s="145">
        <f>SUM(I78:I89)</f>
        <v>172500</v>
      </c>
      <c r="J90" s="178"/>
      <c r="K90" s="145"/>
      <c r="L90" s="145">
        <f>SUM(L78:L89)</f>
        <v>114500</v>
      </c>
      <c r="M90" s="178"/>
      <c r="N90" s="145"/>
      <c r="O90" s="145">
        <f>SUM(O78:O89)</f>
        <v>274500</v>
      </c>
      <c r="P90" s="178"/>
      <c r="Q90" s="145"/>
      <c r="R90" s="145">
        <f>SUM(R78:R89)</f>
        <v>14500</v>
      </c>
      <c r="S90" s="178"/>
      <c r="T90" s="145"/>
      <c r="U90" s="145">
        <f>SUM(U78:U89)</f>
        <v>389500</v>
      </c>
      <c r="V90" s="145">
        <f>SUM(V78:V89)</f>
        <v>965500</v>
      </c>
      <c r="W90" s="145">
        <f>SUM(W78:W89)</f>
        <v>0</v>
      </c>
      <c r="X90" s="145">
        <f>SUM(X78:X89)</f>
        <v>965500</v>
      </c>
    </row>
    <row r="91" spans="1:24">
      <c r="E91" s="174"/>
      <c r="F91" s="95"/>
      <c r="G91" s="90"/>
      <c r="H91" s="90"/>
      <c r="I91" s="90"/>
      <c r="J91" s="174"/>
      <c r="K91" s="90"/>
      <c r="L91" s="90"/>
      <c r="M91" s="174"/>
      <c r="N91" s="90"/>
      <c r="O91" s="90"/>
      <c r="P91" s="174"/>
      <c r="Q91" s="90"/>
      <c r="R91" s="90"/>
      <c r="S91" s="174"/>
      <c r="T91" s="90"/>
      <c r="U91" s="90"/>
      <c r="V91" s="90"/>
      <c r="W91" s="90"/>
      <c r="X91" s="90"/>
    </row>
    <row r="92" spans="1:24" ht="12.9" thickBot="1">
      <c r="A92" s="100"/>
      <c r="B92" s="100"/>
      <c r="C92" s="100"/>
      <c r="D92" s="100" t="s">
        <v>295</v>
      </c>
      <c r="E92" s="175"/>
      <c r="F92" s="101"/>
      <c r="G92" s="101"/>
      <c r="H92" s="102"/>
      <c r="I92" s="103">
        <f>SUM(I69:I89)</f>
        <v>371475</v>
      </c>
      <c r="J92" s="175"/>
      <c r="K92" s="103"/>
      <c r="L92" s="103">
        <f>SUM(L69:L89)</f>
        <v>319100</v>
      </c>
      <c r="M92" s="175"/>
      <c r="N92" s="103"/>
      <c r="O92" s="103">
        <f>SUM(O69:O89)</f>
        <v>291100</v>
      </c>
      <c r="P92" s="175"/>
      <c r="Q92" s="103"/>
      <c r="R92" s="103">
        <f>SUM(R69:R89)</f>
        <v>31100</v>
      </c>
      <c r="S92" s="175"/>
      <c r="T92" s="103"/>
      <c r="U92" s="103">
        <f>SUM(U69:U89)</f>
        <v>404825</v>
      </c>
      <c r="V92" s="103">
        <f>SUM(V69:V89)</f>
        <v>1417600</v>
      </c>
      <c r="W92" s="103">
        <f>SUM(W69:W89)</f>
        <v>0</v>
      </c>
      <c r="X92" s="111">
        <f>SUM(V92:W92)</f>
        <v>1417600</v>
      </c>
    </row>
    <row r="93" spans="1:24">
      <c r="A93" s="129"/>
      <c r="B93" s="129"/>
      <c r="C93" s="129"/>
      <c r="D93" s="129"/>
      <c r="E93" s="172"/>
      <c r="F93" s="129"/>
      <c r="G93" s="109"/>
      <c r="H93" s="109"/>
      <c r="I93" s="109"/>
      <c r="J93" s="172"/>
      <c r="K93" s="109"/>
      <c r="L93" s="109"/>
      <c r="M93" s="172"/>
      <c r="N93" s="109"/>
      <c r="O93" s="109"/>
      <c r="P93" s="172"/>
      <c r="Q93" s="109"/>
      <c r="R93" s="109"/>
      <c r="S93" s="172"/>
      <c r="T93" s="109"/>
      <c r="U93" s="109"/>
      <c r="V93" s="109"/>
      <c r="W93" s="109"/>
      <c r="X93" s="109"/>
    </row>
    <row r="94" spans="1:24">
      <c r="A94" s="84"/>
      <c r="B94" s="84"/>
      <c r="C94" s="84"/>
      <c r="D94" s="84" t="s">
        <v>31</v>
      </c>
      <c r="E94" s="173"/>
      <c r="F94" s="84"/>
      <c r="G94" s="84"/>
      <c r="H94" s="85"/>
      <c r="I94" s="86"/>
      <c r="J94" s="173"/>
      <c r="K94" s="86"/>
      <c r="L94" s="86"/>
      <c r="M94" s="173"/>
      <c r="N94" s="86"/>
      <c r="O94" s="86"/>
      <c r="P94" s="173"/>
      <c r="Q94" s="86"/>
      <c r="R94" s="86"/>
      <c r="S94" s="173"/>
      <c r="T94" s="86"/>
      <c r="U94" s="86"/>
      <c r="V94" s="86"/>
      <c r="W94" s="86"/>
      <c r="X94" s="86"/>
    </row>
    <row r="95" spans="1:24">
      <c r="A95" s="52" t="s">
        <v>296</v>
      </c>
      <c r="B95" s="54">
        <v>85200</v>
      </c>
      <c r="C95" s="54" t="s">
        <v>188</v>
      </c>
      <c r="D95" s="54" t="s">
        <v>297</v>
      </c>
      <c r="E95" s="174"/>
      <c r="F95" s="96" t="s">
        <v>258</v>
      </c>
      <c r="G95" s="90">
        <v>2</v>
      </c>
      <c r="H95" s="90">
        <v>65000</v>
      </c>
      <c r="I95" s="90">
        <f>G95*H95</f>
        <v>130000</v>
      </c>
      <c r="J95" s="174"/>
      <c r="K95" s="90">
        <v>0</v>
      </c>
      <c r="L95" s="90">
        <f>K95*H95</f>
        <v>0</v>
      </c>
      <c r="M95" s="174"/>
      <c r="N95" s="90">
        <v>0</v>
      </c>
      <c r="O95" s="90">
        <f>N95*H95</f>
        <v>0</v>
      </c>
      <c r="P95" s="174"/>
      <c r="Q95" s="90">
        <v>0</v>
      </c>
      <c r="R95" s="90">
        <f>Q95*H95</f>
        <v>0</v>
      </c>
      <c r="S95" s="174"/>
      <c r="T95" s="90">
        <v>0</v>
      </c>
      <c r="U95" s="90">
        <f>T95*K95</f>
        <v>0</v>
      </c>
      <c r="V95" s="90">
        <f t="shared" ref="V95" si="98">SUM(R95,O95,L95,I95,U95)</f>
        <v>130000</v>
      </c>
      <c r="W95" s="90">
        <v>0</v>
      </c>
      <c r="X95" s="541">
        <f>V95+W95</f>
        <v>130000</v>
      </c>
    </row>
    <row r="96" spans="1:24">
      <c r="E96" s="174"/>
      <c r="F96" s="95"/>
      <c r="G96" s="90"/>
      <c r="H96" s="90"/>
      <c r="I96" s="90"/>
      <c r="J96" s="174"/>
      <c r="K96" s="90"/>
      <c r="L96" s="90"/>
      <c r="M96" s="174"/>
      <c r="N96" s="90"/>
      <c r="O96" s="90"/>
      <c r="P96" s="174"/>
      <c r="Q96" s="90"/>
      <c r="R96" s="90"/>
      <c r="S96" s="174"/>
      <c r="T96" s="90"/>
      <c r="U96" s="90"/>
      <c r="V96" s="90"/>
      <c r="W96" s="90"/>
      <c r="X96" s="90"/>
    </row>
    <row r="97" spans="1:24" ht="12.9" thickBot="1">
      <c r="A97" s="100"/>
      <c r="B97" s="100"/>
      <c r="C97" s="100"/>
      <c r="D97" s="100" t="s">
        <v>298</v>
      </c>
      <c r="E97" s="175"/>
      <c r="F97" s="101"/>
      <c r="G97" s="101"/>
      <c r="H97" s="102"/>
      <c r="I97" s="103">
        <f>SUM(I95:I95)</f>
        <v>130000</v>
      </c>
      <c r="J97" s="175"/>
      <c r="K97" s="103"/>
      <c r="L97" s="103">
        <f>SUM(L95:L95)</f>
        <v>0</v>
      </c>
      <c r="M97" s="175"/>
      <c r="N97" s="103"/>
      <c r="O97" s="103">
        <f>SUM(O95:O95)</f>
        <v>0</v>
      </c>
      <c r="P97" s="175"/>
      <c r="Q97" s="103"/>
      <c r="R97" s="103">
        <f>SUM(R95:R95)</f>
        <v>0</v>
      </c>
      <c r="S97" s="175"/>
      <c r="T97" s="103"/>
      <c r="U97" s="103">
        <f>SUM(U95:U95)</f>
        <v>0</v>
      </c>
      <c r="V97" s="103">
        <f>SUM(V95:V96)</f>
        <v>130000</v>
      </c>
      <c r="W97" s="103">
        <f>SUM(W95:W95)</f>
        <v>0</v>
      </c>
      <c r="X97" s="111">
        <f>SUM(V97:W97)</f>
        <v>130000</v>
      </c>
    </row>
    <row r="98" spans="1:24">
      <c r="A98" s="129"/>
      <c r="B98" s="129"/>
      <c r="C98" s="129"/>
      <c r="D98" s="129"/>
      <c r="E98" s="172"/>
      <c r="F98" s="129"/>
      <c r="G98" s="109"/>
      <c r="H98" s="109"/>
      <c r="I98" s="109"/>
      <c r="J98" s="172"/>
      <c r="K98" s="109"/>
      <c r="L98" s="109"/>
      <c r="M98" s="172"/>
      <c r="N98" s="109"/>
      <c r="O98" s="109"/>
      <c r="P98" s="172"/>
      <c r="Q98" s="109"/>
      <c r="R98" s="109"/>
      <c r="S98" s="172"/>
      <c r="T98" s="109"/>
      <c r="U98" s="109"/>
      <c r="V98" s="109"/>
      <c r="W98" s="109"/>
      <c r="X98" s="109"/>
    </row>
    <row r="99" spans="1:24">
      <c r="A99" s="84"/>
      <c r="B99" s="84"/>
      <c r="C99" s="84"/>
      <c r="D99" s="84" t="s">
        <v>299</v>
      </c>
      <c r="E99" s="173"/>
      <c r="F99" s="84"/>
      <c r="G99" s="84"/>
      <c r="H99" s="85"/>
      <c r="I99" s="86"/>
      <c r="J99" s="173"/>
      <c r="K99" s="86"/>
      <c r="L99" s="86"/>
      <c r="M99" s="173"/>
      <c r="N99" s="86"/>
      <c r="O99" s="86"/>
      <c r="P99" s="173"/>
      <c r="Q99" s="86"/>
      <c r="R99" s="86"/>
      <c r="S99" s="173"/>
      <c r="T99" s="86"/>
      <c r="U99" s="86"/>
      <c r="V99" s="86"/>
      <c r="W99" s="86"/>
      <c r="X99" s="86"/>
    </row>
    <row r="100" spans="1:24">
      <c r="A100" s="140"/>
      <c r="B100" s="140"/>
      <c r="C100" s="140"/>
      <c r="D100" s="140" t="s">
        <v>300</v>
      </c>
      <c r="E100" s="183"/>
      <c r="F100" s="140"/>
      <c r="G100" s="140"/>
      <c r="H100" s="140"/>
      <c r="I100" s="140"/>
      <c r="J100" s="183"/>
      <c r="K100" s="140"/>
      <c r="L100" s="140"/>
      <c r="M100" s="183"/>
      <c r="N100" s="140"/>
      <c r="O100" s="140"/>
      <c r="P100" s="183"/>
      <c r="Q100" s="140"/>
      <c r="R100" s="140"/>
      <c r="S100" s="183"/>
      <c r="T100" s="140"/>
      <c r="U100" s="140"/>
      <c r="V100" s="140"/>
      <c r="W100" s="140"/>
      <c r="X100" s="140"/>
    </row>
    <row r="101" spans="1:24">
      <c r="A101" s="54" t="s">
        <v>301</v>
      </c>
      <c r="B101" s="54">
        <v>82030</v>
      </c>
      <c r="C101" s="54" t="s">
        <v>188</v>
      </c>
      <c r="D101" s="54" t="s">
        <v>302</v>
      </c>
      <c r="F101" s="95" t="s">
        <v>190</v>
      </c>
      <c r="G101" s="90">
        <v>3</v>
      </c>
      <c r="H101" s="90">
        <v>200</v>
      </c>
      <c r="I101" s="90">
        <f t="shared" ref="I101" si="99">G101*H101</f>
        <v>600</v>
      </c>
      <c r="J101" s="177"/>
      <c r="K101" s="90">
        <v>12</v>
      </c>
      <c r="L101" s="90">
        <f t="shared" ref="L101:L112" si="100">K101*H101*$E$6</f>
        <v>2496</v>
      </c>
      <c r="M101" s="177"/>
      <c r="N101" s="90">
        <v>12</v>
      </c>
      <c r="O101" s="90">
        <f t="shared" ref="O101:O112" si="101">N101*H101*$E$6*$E$6</f>
        <v>2595.84</v>
      </c>
      <c r="P101" s="177"/>
      <c r="Q101" s="90">
        <v>12</v>
      </c>
      <c r="R101" s="90">
        <f t="shared" ref="R101:R112" si="102">Q101*H101*$E$6*$E$6*$E$6</f>
        <v>2699.6736000000001</v>
      </c>
      <c r="S101" s="177"/>
      <c r="T101" s="90">
        <v>6</v>
      </c>
      <c r="U101" s="90">
        <f t="shared" ref="U101:U112" si="103">T101*H101*$E$6*$E$6*$E$6*$E$6</f>
        <v>1403.8302720000002</v>
      </c>
      <c r="V101" s="90">
        <f t="shared" ref="V101:V112" si="104">SUM(R101,O101,L101,I101,U101)</f>
        <v>9795.3438720000013</v>
      </c>
      <c r="W101" s="90">
        <v>0</v>
      </c>
      <c r="X101" s="541">
        <f t="shared" ref="X101" si="105">V101+W101</f>
        <v>9795.3438720000013</v>
      </c>
    </row>
    <row r="102" spans="1:24">
      <c r="A102" s="52" t="s">
        <v>303</v>
      </c>
      <c r="B102" s="54">
        <v>85180</v>
      </c>
      <c r="C102" s="54" t="s">
        <v>188</v>
      </c>
      <c r="D102" s="54" t="s">
        <v>304</v>
      </c>
      <c r="E102" s="174"/>
      <c r="F102" s="95" t="s">
        <v>190</v>
      </c>
      <c r="G102" s="90">
        <v>3</v>
      </c>
      <c r="H102" s="90">
        <v>3100</v>
      </c>
      <c r="I102" s="90">
        <f t="shared" ref="I102" si="106">G102*H102</f>
        <v>9300</v>
      </c>
      <c r="J102" s="174"/>
      <c r="K102" s="90">
        <v>12</v>
      </c>
      <c r="L102" s="90">
        <f>K102*H102*$E$6</f>
        <v>38688</v>
      </c>
      <c r="M102" s="174"/>
      <c r="N102" s="90">
        <v>12</v>
      </c>
      <c r="O102" s="90">
        <f>N102*H102*$E$6*$E$6</f>
        <v>40235.520000000004</v>
      </c>
      <c r="P102" s="174"/>
      <c r="Q102" s="90">
        <v>12</v>
      </c>
      <c r="R102" s="90">
        <f t="shared" ref="R102" si="107">Q102*H102*$E$6*$E$6*$E$6</f>
        <v>41844.940800000004</v>
      </c>
      <c r="S102" s="174"/>
      <c r="T102" s="90">
        <v>6</v>
      </c>
      <c r="U102" s="90">
        <f t="shared" ref="U102" si="108">T102*H102*$E$6*$E$6*$E$6*$E$6</f>
        <v>21759.369216000003</v>
      </c>
      <c r="V102" s="90">
        <f t="shared" ref="V102" si="109">SUM(R102,O102,L102,I102,U102)</f>
        <v>151827.83001599999</v>
      </c>
      <c r="W102" s="90">
        <v>0</v>
      </c>
      <c r="X102" s="90">
        <f t="shared" ref="X102" si="110">V102+W102</f>
        <v>151827.83001599999</v>
      </c>
    </row>
    <row r="103" spans="1:24">
      <c r="A103" s="140"/>
      <c r="B103" s="140"/>
      <c r="C103" s="140"/>
      <c r="D103" s="140" t="s">
        <v>305</v>
      </c>
      <c r="E103" s="183"/>
      <c r="F103" s="140"/>
      <c r="G103" s="140"/>
      <c r="H103" s="140"/>
      <c r="I103" s="140"/>
      <c r="J103" s="183"/>
      <c r="K103" s="140"/>
      <c r="L103" s="140"/>
      <c r="M103" s="183"/>
      <c r="N103" s="140"/>
      <c r="O103" s="140"/>
      <c r="P103" s="183"/>
      <c r="Q103" s="140"/>
      <c r="R103" s="140"/>
      <c r="S103" s="183"/>
      <c r="T103" s="140"/>
      <c r="U103" s="140"/>
      <c r="V103" s="140"/>
      <c r="W103" s="140"/>
      <c r="X103" s="140"/>
    </row>
    <row r="104" spans="1:24">
      <c r="A104" s="54" t="s">
        <v>301</v>
      </c>
      <c r="B104" s="54">
        <v>82030</v>
      </c>
      <c r="C104" s="54" t="s">
        <v>188</v>
      </c>
      <c r="D104" s="54" t="s">
        <v>306</v>
      </c>
      <c r="F104" s="95" t="s">
        <v>190</v>
      </c>
      <c r="G104" s="90">
        <v>3</v>
      </c>
      <c r="H104" s="90">
        <v>100</v>
      </c>
      <c r="I104" s="90">
        <f t="shared" ref="I104:I105" si="111">G104*H104</f>
        <v>300</v>
      </c>
      <c r="J104" s="177"/>
      <c r="K104" s="90">
        <v>12</v>
      </c>
      <c r="L104" s="90">
        <f t="shared" ref="L104" si="112">K104*H104*$E$6</f>
        <v>1248</v>
      </c>
      <c r="M104" s="177"/>
      <c r="N104" s="90">
        <v>12</v>
      </c>
      <c r="O104" s="90">
        <f t="shared" ref="O104" si="113">N104*H104*$E$6*$E$6</f>
        <v>1297.92</v>
      </c>
      <c r="P104" s="177"/>
      <c r="Q104" s="90">
        <v>12</v>
      </c>
      <c r="R104" s="90">
        <f t="shared" ref="R104:R105" si="114">Q104*H104*$E$6*$E$6*$E$6</f>
        <v>1349.8368</v>
      </c>
      <c r="S104" s="177"/>
      <c r="T104" s="90">
        <v>6</v>
      </c>
      <c r="U104" s="90">
        <f t="shared" ref="U104:U105" si="115">T104*H104*$E$6*$E$6*$E$6*$E$6</f>
        <v>701.91513600000008</v>
      </c>
      <c r="V104" s="90">
        <f t="shared" ref="V104:V105" si="116">SUM(R104,O104,L104,I104,U104)</f>
        <v>4897.6719360000006</v>
      </c>
      <c r="W104" s="90">
        <v>0</v>
      </c>
      <c r="X104" s="90">
        <f t="shared" ref="X104:X105" si="117">V104+W104</f>
        <v>4897.6719360000006</v>
      </c>
    </row>
    <row r="105" spans="1:24">
      <c r="A105" s="52" t="s">
        <v>303</v>
      </c>
      <c r="B105" s="54">
        <v>85180</v>
      </c>
      <c r="C105" s="54" t="s">
        <v>188</v>
      </c>
      <c r="D105" s="54" t="s">
        <v>307</v>
      </c>
      <c r="E105" s="174"/>
      <c r="F105" s="95" t="s">
        <v>190</v>
      </c>
      <c r="G105" s="90">
        <v>3</v>
      </c>
      <c r="H105" s="90">
        <v>2500</v>
      </c>
      <c r="I105" s="90">
        <f t="shared" si="111"/>
        <v>7500</v>
      </c>
      <c r="J105" s="174"/>
      <c r="K105" s="90">
        <v>12</v>
      </c>
      <c r="L105" s="90">
        <f>K105*H105*$E$6</f>
        <v>31200</v>
      </c>
      <c r="M105" s="174"/>
      <c r="N105" s="90">
        <v>12</v>
      </c>
      <c r="O105" s="90">
        <f>N105*H105*$E$6*$E$6</f>
        <v>32448</v>
      </c>
      <c r="P105" s="174"/>
      <c r="Q105" s="90">
        <v>12</v>
      </c>
      <c r="R105" s="90">
        <f t="shared" si="114"/>
        <v>33745.919999999998</v>
      </c>
      <c r="S105" s="174"/>
      <c r="T105" s="90">
        <v>6</v>
      </c>
      <c r="U105" s="90">
        <f t="shared" si="115"/>
        <v>17547.878400000001</v>
      </c>
      <c r="V105" s="90">
        <f t="shared" si="116"/>
        <v>122441.7984</v>
      </c>
      <c r="W105" s="90">
        <v>0</v>
      </c>
      <c r="X105" s="90">
        <f t="shared" si="117"/>
        <v>122441.7984</v>
      </c>
    </row>
    <row r="106" spans="1:24">
      <c r="A106" s="140"/>
      <c r="B106" s="140"/>
      <c r="C106" s="140"/>
      <c r="D106" s="140" t="s">
        <v>308</v>
      </c>
      <c r="E106" s="183"/>
      <c r="F106" s="140"/>
      <c r="G106" s="140"/>
      <c r="H106" s="140"/>
      <c r="I106" s="140"/>
      <c r="J106" s="183"/>
      <c r="K106" s="140"/>
      <c r="L106" s="140"/>
      <c r="M106" s="183"/>
      <c r="N106" s="140"/>
      <c r="O106" s="140"/>
      <c r="P106" s="183"/>
      <c r="Q106" s="140"/>
      <c r="R106" s="140"/>
      <c r="S106" s="183"/>
      <c r="T106" s="140"/>
      <c r="U106" s="140"/>
      <c r="V106" s="140"/>
      <c r="W106" s="140"/>
      <c r="X106" s="140"/>
    </row>
    <row r="107" spans="1:24">
      <c r="A107" s="54" t="s">
        <v>309</v>
      </c>
      <c r="B107" s="54">
        <v>90900</v>
      </c>
      <c r="C107" s="54" t="s">
        <v>188</v>
      </c>
      <c r="D107" s="54" t="s">
        <v>310</v>
      </c>
      <c r="E107" s="174"/>
      <c r="F107" s="95" t="s">
        <v>190</v>
      </c>
      <c r="G107" s="90">
        <v>9</v>
      </c>
      <c r="H107" s="90">
        <v>100</v>
      </c>
      <c r="I107" s="90">
        <f t="shared" ref="I107:I112" si="118">G107*H107</f>
        <v>900</v>
      </c>
      <c r="J107" s="174"/>
      <c r="K107" s="90">
        <v>12</v>
      </c>
      <c r="L107" s="90">
        <f t="shared" ref="L107" si="119">K107*H107*$E$6</f>
        <v>1248</v>
      </c>
      <c r="M107" s="174"/>
      <c r="N107" s="90">
        <v>12</v>
      </c>
      <c r="O107" s="90">
        <f t="shared" ref="O107" si="120">N107*H107*$E$6*$E$6</f>
        <v>1297.92</v>
      </c>
      <c r="P107" s="174"/>
      <c r="Q107" s="90">
        <v>12</v>
      </c>
      <c r="R107" s="90">
        <f t="shared" ref="R107" si="121">Q107*H107*$E$6*$E$6*$E$6</f>
        <v>1349.8368</v>
      </c>
      <c r="S107" s="174"/>
      <c r="T107" s="90">
        <v>6</v>
      </c>
      <c r="U107" s="90">
        <f t="shared" ref="U107" si="122">T107*H107*$E$6*$E$6*$E$6*$E$6</f>
        <v>701.91513600000008</v>
      </c>
      <c r="V107" s="90">
        <f t="shared" ref="V107" si="123">SUM(R107,O107,L107,I107,U107)</f>
        <v>5497.6719360000006</v>
      </c>
      <c r="W107" s="90">
        <v>0</v>
      </c>
      <c r="X107" s="541">
        <f t="shared" ref="X107:X112" si="124">V107+W107</f>
        <v>5497.6719360000006</v>
      </c>
    </row>
    <row r="108" spans="1:24">
      <c r="A108" s="54" t="s">
        <v>311</v>
      </c>
      <c r="B108" s="54">
        <v>82350</v>
      </c>
      <c r="C108" s="54" t="s">
        <v>188</v>
      </c>
      <c r="D108" s="54" t="s">
        <v>312</v>
      </c>
      <c r="F108" s="95" t="s">
        <v>190</v>
      </c>
      <c r="G108" s="90">
        <v>9</v>
      </c>
      <c r="H108" s="90">
        <v>35</v>
      </c>
      <c r="I108" s="90">
        <f t="shared" si="118"/>
        <v>315</v>
      </c>
      <c r="J108" s="177"/>
      <c r="K108" s="90">
        <v>12</v>
      </c>
      <c r="L108" s="90">
        <f>K108*H108*$E$6</f>
        <v>436.8</v>
      </c>
      <c r="M108" s="177"/>
      <c r="N108" s="90">
        <v>12</v>
      </c>
      <c r="O108" s="90">
        <f>N108*H108*$E$6*$E$6</f>
        <v>454.27200000000005</v>
      </c>
      <c r="P108" s="177"/>
      <c r="Q108" s="90">
        <v>12</v>
      </c>
      <c r="R108" s="90">
        <f>Q108*H108*$E$6*$E$6*$E$6</f>
        <v>472.44288000000006</v>
      </c>
      <c r="S108" s="177"/>
      <c r="T108" s="90">
        <v>6</v>
      </c>
      <c r="U108" s="90">
        <f>T108*H108*$E$6*$E$6*$E$6*$E$6</f>
        <v>245.67029760000003</v>
      </c>
      <c r="V108" s="90">
        <f t="shared" ref="V108" si="125">SUM(R108,O108,L108,I108,U108)</f>
        <v>1924.1851776000003</v>
      </c>
      <c r="W108" s="90">
        <v>0</v>
      </c>
      <c r="X108" s="90">
        <f t="shared" si="124"/>
        <v>1924.1851776000003</v>
      </c>
    </row>
    <row r="109" spans="1:24">
      <c r="A109" s="52" t="s">
        <v>313</v>
      </c>
      <c r="B109" s="54">
        <v>90450</v>
      </c>
      <c r="C109" s="54" t="s">
        <v>188</v>
      </c>
      <c r="D109" s="54" t="s">
        <v>314</v>
      </c>
      <c r="F109" s="95" t="s">
        <v>147</v>
      </c>
      <c r="G109" s="90">
        <v>1</v>
      </c>
      <c r="H109" s="90">
        <v>500</v>
      </c>
      <c r="I109" s="90">
        <f t="shared" si="118"/>
        <v>500</v>
      </c>
      <c r="J109" s="177"/>
      <c r="K109" s="90">
        <v>1</v>
      </c>
      <c r="L109" s="90">
        <f>K109*H109*$E$6</f>
        <v>520</v>
      </c>
      <c r="M109" s="177"/>
      <c r="N109" s="90">
        <v>1</v>
      </c>
      <c r="O109" s="90">
        <f t="shared" si="101"/>
        <v>540.80000000000007</v>
      </c>
      <c r="P109" s="177"/>
      <c r="Q109" s="90">
        <v>1</v>
      </c>
      <c r="R109" s="90">
        <f t="shared" si="102"/>
        <v>562.43200000000013</v>
      </c>
      <c r="S109" s="177"/>
      <c r="T109" s="90">
        <v>1</v>
      </c>
      <c r="U109" s="90">
        <f t="shared" si="103"/>
        <v>584.92928000000018</v>
      </c>
      <c r="V109" s="90">
        <f t="shared" si="104"/>
        <v>2708.1612800000003</v>
      </c>
      <c r="W109" s="90">
        <v>0</v>
      </c>
      <c r="X109" s="541">
        <f t="shared" si="124"/>
        <v>2708.1612800000003</v>
      </c>
    </row>
    <row r="110" spans="1:24">
      <c r="A110" s="54" t="s">
        <v>315</v>
      </c>
      <c r="B110" s="54">
        <v>87010</v>
      </c>
      <c r="C110" s="54" t="s">
        <v>188</v>
      </c>
      <c r="D110" s="54" t="s">
        <v>316</v>
      </c>
      <c r="E110" s="174"/>
      <c r="F110" s="95" t="s">
        <v>190</v>
      </c>
      <c r="G110" s="90">
        <v>9</v>
      </c>
      <c r="H110" s="90">
        <v>250</v>
      </c>
      <c r="I110" s="90">
        <f t="shared" si="118"/>
        <v>2250</v>
      </c>
      <c r="J110" s="174"/>
      <c r="K110" s="90">
        <v>12</v>
      </c>
      <c r="L110" s="90">
        <f t="shared" si="100"/>
        <v>3120</v>
      </c>
      <c r="M110" s="174"/>
      <c r="N110" s="90">
        <v>12</v>
      </c>
      <c r="O110" s="90">
        <f t="shared" si="101"/>
        <v>3244.8</v>
      </c>
      <c r="P110" s="174"/>
      <c r="Q110" s="90">
        <v>12</v>
      </c>
      <c r="R110" s="90">
        <f t="shared" si="102"/>
        <v>3374.5920000000001</v>
      </c>
      <c r="S110" s="174"/>
      <c r="T110" s="90">
        <v>6</v>
      </c>
      <c r="U110" s="90">
        <f t="shared" si="103"/>
        <v>1754.7878400000002</v>
      </c>
      <c r="V110" s="90">
        <f t="shared" si="104"/>
        <v>13744.179840000001</v>
      </c>
      <c r="W110" s="90">
        <v>0</v>
      </c>
      <c r="X110" s="90">
        <f t="shared" si="124"/>
        <v>13744.179840000001</v>
      </c>
    </row>
    <row r="111" spans="1:24">
      <c r="A111" s="54" t="s">
        <v>317</v>
      </c>
      <c r="B111" s="54">
        <v>81030</v>
      </c>
      <c r="C111" s="54" t="s">
        <v>188</v>
      </c>
      <c r="D111" s="54" t="s">
        <v>318</v>
      </c>
      <c r="E111" s="174"/>
      <c r="F111" s="95" t="s">
        <v>190</v>
      </c>
      <c r="G111" s="90">
        <v>9</v>
      </c>
      <c r="H111" s="90">
        <v>325</v>
      </c>
      <c r="I111" s="90">
        <f t="shared" si="118"/>
        <v>2925</v>
      </c>
      <c r="J111" s="174"/>
      <c r="K111" s="90">
        <v>12</v>
      </c>
      <c r="L111" s="90">
        <f>K111*H111*$E$6</f>
        <v>4056</v>
      </c>
      <c r="M111" s="174"/>
      <c r="N111" s="90">
        <v>12</v>
      </c>
      <c r="O111" s="90">
        <f t="shared" ref="O111" si="126">N111*H111*$E$6*$E$6</f>
        <v>4218.24</v>
      </c>
      <c r="P111" s="174"/>
      <c r="Q111" s="90">
        <v>12</v>
      </c>
      <c r="R111" s="90">
        <f t="shared" ref="R111" si="127">Q111*H111*$E$6*$E$6*$E$6</f>
        <v>4386.9696000000004</v>
      </c>
      <c r="S111" s="174"/>
      <c r="T111" s="90">
        <v>9</v>
      </c>
      <c r="U111" s="90">
        <f t="shared" ref="U111" si="128">T111*H111*$E$6*$E$6*$E$6*$E$6</f>
        <v>3421.8362880000004</v>
      </c>
      <c r="V111" s="90">
        <f t="shared" ref="V111" si="129">SUM(R111,O111,L111,I111,U111)</f>
        <v>19008.045888000001</v>
      </c>
      <c r="W111" s="90">
        <v>0</v>
      </c>
      <c r="X111" s="90">
        <f t="shared" si="124"/>
        <v>19008.045888000001</v>
      </c>
    </row>
    <row r="112" spans="1:24" ht="25.2">
      <c r="A112" s="52" t="s">
        <v>319</v>
      </c>
      <c r="B112" s="54">
        <v>89400</v>
      </c>
      <c r="C112" s="54" t="s">
        <v>188</v>
      </c>
      <c r="D112" s="54" t="s">
        <v>320</v>
      </c>
      <c r="E112" s="174"/>
      <c r="F112" s="95" t="s">
        <v>190</v>
      </c>
      <c r="G112" s="90">
        <v>9</v>
      </c>
      <c r="H112" s="90">
        <v>900</v>
      </c>
      <c r="I112" s="90">
        <f t="shared" si="118"/>
        <v>8100</v>
      </c>
      <c r="J112" s="174"/>
      <c r="K112" s="90">
        <v>12</v>
      </c>
      <c r="L112" s="90">
        <f t="shared" si="100"/>
        <v>11232</v>
      </c>
      <c r="M112" s="174"/>
      <c r="N112" s="90">
        <v>12</v>
      </c>
      <c r="O112" s="90">
        <f t="shared" si="101"/>
        <v>11681.28</v>
      </c>
      <c r="P112" s="174"/>
      <c r="Q112" s="90">
        <v>12</v>
      </c>
      <c r="R112" s="90">
        <f t="shared" si="102"/>
        <v>12148.531200000001</v>
      </c>
      <c r="S112" s="174"/>
      <c r="T112" s="90">
        <v>9</v>
      </c>
      <c r="U112" s="90">
        <f t="shared" si="103"/>
        <v>9475.8543360000021</v>
      </c>
      <c r="V112" s="90">
        <f t="shared" si="104"/>
        <v>52637.665536000008</v>
      </c>
      <c r="W112" s="90">
        <v>0</v>
      </c>
      <c r="X112" s="90">
        <f t="shared" si="124"/>
        <v>52637.665536000008</v>
      </c>
    </row>
    <row r="113" spans="1:25">
      <c r="E113" s="174"/>
      <c r="F113" s="95"/>
      <c r="J113" s="174"/>
      <c r="M113" s="174"/>
      <c r="P113" s="174"/>
      <c r="S113" s="174"/>
    </row>
    <row r="114" spans="1:25" ht="12.9" thickBot="1">
      <c r="A114" s="100"/>
      <c r="B114" s="100"/>
      <c r="C114" s="100"/>
      <c r="D114" s="100" t="s">
        <v>321</v>
      </c>
      <c r="E114" s="175"/>
      <c r="F114" s="100"/>
      <c r="G114" s="100"/>
      <c r="H114" s="114"/>
      <c r="I114" s="115">
        <f>SUM(I101:I112)</f>
        <v>32690</v>
      </c>
      <c r="J114" s="175"/>
      <c r="K114" s="115"/>
      <c r="L114" s="115">
        <f>SUM(L101:L112)</f>
        <v>94244.800000000003</v>
      </c>
      <c r="M114" s="175"/>
      <c r="N114" s="115"/>
      <c r="O114" s="115">
        <f>SUM(O101:O112)</f>
        <v>98014.592000000004</v>
      </c>
      <c r="P114" s="175"/>
      <c r="Q114" s="115"/>
      <c r="R114" s="115">
        <f>SUM(R101:R112)</f>
        <v>101935.17568</v>
      </c>
      <c r="S114" s="175"/>
      <c r="T114" s="115"/>
      <c r="U114" s="115">
        <f>SUM(U101:U112)</f>
        <v>57597.986201600004</v>
      </c>
      <c r="V114" s="115">
        <f>SUM(V101:V112)</f>
        <v>384482.55388159998</v>
      </c>
      <c r="W114" s="115">
        <f>SUM(W101:W112)</f>
        <v>0</v>
      </c>
      <c r="X114" s="115">
        <f>SUM(X101:X112)</f>
        <v>384482.55388159998</v>
      </c>
    </row>
    <row r="115" spans="1:25">
      <c r="A115" s="129"/>
      <c r="B115" s="129"/>
      <c r="C115" s="129"/>
      <c r="D115" s="129"/>
      <c r="E115" s="172"/>
      <c r="F115" s="129"/>
      <c r="G115" s="109"/>
      <c r="H115" s="109"/>
      <c r="I115" s="109"/>
      <c r="J115" s="172"/>
      <c r="K115" s="109"/>
      <c r="L115" s="109"/>
      <c r="M115" s="172"/>
      <c r="N115" s="109"/>
      <c r="O115" s="109"/>
      <c r="P115" s="172"/>
      <c r="Q115" s="109"/>
      <c r="R115" s="109"/>
      <c r="S115" s="172"/>
      <c r="T115" s="109"/>
      <c r="U115" s="109"/>
      <c r="V115" s="109"/>
      <c r="W115" s="109"/>
      <c r="X115" s="109"/>
    </row>
    <row r="116" spans="1:25">
      <c r="A116" s="84"/>
      <c r="B116" s="84"/>
      <c r="C116" s="84"/>
      <c r="D116" s="84" t="s">
        <v>322</v>
      </c>
      <c r="E116" s="173"/>
      <c r="F116" s="84"/>
      <c r="G116" s="84"/>
      <c r="H116" s="85"/>
      <c r="I116" s="86"/>
      <c r="J116" s="173"/>
      <c r="K116" s="86"/>
      <c r="L116" s="86"/>
      <c r="M116" s="173"/>
      <c r="N116" s="86"/>
      <c r="O116" s="86"/>
      <c r="P116" s="173"/>
      <c r="Q116" s="86"/>
      <c r="R116" s="86"/>
      <c r="S116" s="173"/>
      <c r="T116" s="86"/>
      <c r="U116" s="86"/>
      <c r="V116" s="86"/>
      <c r="W116" s="86"/>
      <c r="X116" s="86"/>
    </row>
    <row r="117" spans="1:25">
      <c r="A117" s="54" t="s">
        <v>323</v>
      </c>
      <c r="B117" s="54">
        <v>82401</v>
      </c>
      <c r="C117" s="54" t="s">
        <v>188</v>
      </c>
      <c r="D117" s="54" t="s">
        <v>324</v>
      </c>
      <c r="E117" s="174"/>
      <c r="F117" s="96" t="s">
        <v>258</v>
      </c>
      <c r="G117" s="90">
        <v>12</v>
      </c>
      <c r="H117" s="90">
        <v>1050</v>
      </c>
      <c r="I117" s="90">
        <f t="shared" ref="I117:I127" si="130">G117*H117</f>
        <v>12600</v>
      </c>
      <c r="J117" s="174"/>
      <c r="K117" s="90">
        <v>0</v>
      </c>
      <c r="L117" s="90">
        <f t="shared" ref="L117:L122" si="131">K117*H117</f>
        <v>0</v>
      </c>
      <c r="M117" s="174"/>
      <c r="N117" s="90">
        <v>0</v>
      </c>
      <c r="O117" s="90">
        <f t="shared" ref="O117:O122" si="132">N117*H117</f>
        <v>0</v>
      </c>
      <c r="P117" s="174"/>
      <c r="Q117" s="90">
        <v>0</v>
      </c>
      <c r="R117" s="90">
        <f t="shared" ref="R117:R122" si="133">Q117*H117</f>
        <v>0</v>
      </c>
      <c r="S117" s="174"/>
      <c r="T117" s="90">
        <v>0</v>
      </c>
      <c r="U117" s="90">
        <f t="shared" ref="U117:U122" si="134">T117*K117</f>
        <v>0</v>
      </c>
      <c r="V117" s="90">
        <f t="shared" ref="V117:V127" si="135">SUM(R117,O117,L117,I117,U117)</f>
        <v>12600</v>
      </c>
      <c r="W117" s="90">
        <v>0</v>
      </c>
      <c r="X117" s="90">
        <f t="shared" ref="X117:X127" si="136">V117+W117</f>
        <v>12600</v>
      </c>
    </row>
    <row r="118" spans="1:25">
      <c r="A118" s="54" t="s">
        <v>323</v>
      </c>
      <c r="B118" s="54">
        <v>82401</v>
      </c>
      <c r="C118" s="54" t="s">
        <v>188</v>
      </c>
      <c r="D118" s="54" t="s">
        <v>325</v>
      </c>
      <c r="E118" s="174"/>
      <c r="F118" s="96" t="s">
        <v>258</v>
      </c>
      <c r="G118" s="90">
        <v>2</v>
      </c>
      <c r="H118" s="90">
        <v>265</v>
      </c>
      <c r="I118" s="90">
        <f>G118*H118</f>
        <v>530</v>
      </c>
      <c r="J118" s="174"/>
      <c r="K118" s="90">
        <v>0</v>
      </c>
      <c r="L118" s="90">
        <f>K118*H118</f>
        <v>0</v>
      </c>
      <c r="M118" s="174"/>
      <c r="N118" s="90">
        <v>0</v>
      </c>
      <c r="O118" s="90">
        <f>N118*H118</f>
        <v>0</v>
      </c>
      <c r="P118" s="174"/>
      <c r="Q118" s="90">
        <v>0</v>
      </c>
      <c r="R118" s="90">
        <f>Q118*H118</f>
        <v>0</v>
      </c>
      <c r="S118" s="174"/>
      <c r="T118" s="90">
        <v>0</v>
      </c>
      <c r="U118" s="90">
        <f>T118*K118</f>
        <v>0</v>
      </c>
      <c r="V118" s="90">
        <f t="shared" si="135"/>
        <v>530</v>
      </c>
      <c r="W118" s="90">
        <v>0</v>
      </c>
      <c r="X118" s="90">
        <f>V118+W118</f>
        <v>530</v>
      </c>
    </row>
    <row r="119" spans="1:25">
      <c r="A119" s="54" t="s">
        <v>323</v>
      </c>
      <c r="B119" s="54">
        <v>82401</v>
      </c>
      <c r="C119" s="54" t="s">
        <v>188</v>
      </c>
      <c r="D119" s="54" t="s">
        <v>326</v>
      </c>
      <c r="E119" s="174"/>
      <c r="F119" s="96" t="s">
        <v>258</v>
      </c>
      <c r="G119" s="90">
        <v>1</v>
      </c>
      <c r="H119" s="90">
        <v>246.24</v>
      </c>
      <c r="I119" s="90">
        <f t="shared" si="130"/>
        <v>246.24</v>
      </c>
      <c r="J119" s="174"/>
      <c r="K119" s="90">
        <v>0</v>
      </c>
      <c r="L119" s="90">
        <f t="shared" si="131"/>
        <v>0</v>
      </c>
      <c r="M119" s="174"/>
      <c r="N119" s="90">
        <v>0</v>
      </c>
      <c r="O119" s="90">
        <f t="shared" si="132"/>
        <v>0</v>
      </c>
      <c r="P119" s="174"/>
      <c r="Q119" s="90">
        <v>0</v>
      </c>
      <c r="R119" s="90">
        <f t="shared" si="133"/>
        <v>0</v>
      </c>
      <c r="S119" s="174"/>
      <c r="T119" s="90">
        <v>0</v>
      </c>
      <c r="U119" s="90">
        <f t="shared" si="134"/>
        <v>0</v>
      </c>
      <c r="V119" s="90">
        <f t="shared" si="135"/>
        <v>246.24</v>
      </c>
      <c r="W119" s="90">
        <v>0</v>
      </c>
      <c r="X119" s="90">
        <f t="shared" si="136"/>
        <v>246.24</v>
      </c>
    </row>
    <row r="120" spans="1:25">
      <c r="A120" s="54" t="s">
        <v>323</v>
      </c>
      <c r="B120" s="54">
        <v>82401</v>
      </c>
      <c r="C120" s="54" t="s">
        <v>188</v>
      </c>
      <c r="D120" s="54" t="s">
        <v>327</v>
      </c>
      <c r="E120" s="174"/>
      <c r="F120" s="96" t="s">
        <v>258</v>
      </c>
      <c r="G120" s="90">
        <v>16</v>
      </c>
      <c r="H120" s="90">
        <v>300</v>
      </c>
      <c r="I120" s="90">
        <f t="shared" si="130"/>
        <v>4800</v>
      </c>
      <c r="J120" s="174"/>
      <c r="K120" s="90">
        <v>0</v>
      </c>
      <c r="L120" s="90">
        <f t="shared" si="131"/>
        <v>0</v>
      </c>
      <c r="M120" s="174"/>
      <c r="N120" s="90">
        <v>0</v>
      </c>
      <c r="O120" s="90">
        <f t="shared" si="132"/>
        <v>0</v>
      </c>
      <c r="P120" s="174"/>
      <c r="Q120" s="90">
        <v>0</v>
      </c>
      <c r="R120" s="90">
        <f t="shared" si="133"/>
        <v>0</v>
      </c>
      <c r="S120" s="174"/>
      <c r="T120" s="90">
        <v>0</v>
      </c>
      <c r="U120" s="90">
        <f t="shared" si="134"/>
        <v>0</v>
      </c>
      <c r="V120" s="90">
        <f t="shared" si="135"/>
        <v>4800</v>
      </c>
      <c r="W120" s="90">
        <v>0</v>
      </c>
      <c r="X120" s="90">
        <f t="shared" si="136"/>
        <v>4800</v>
      </c>
    </row>
    <row r="121" spans="1:25">
      <c r="A121" s="54" t="s">
        <v>323</v>
      </c>
      <c r="B121" s="54">
        <v>82401</v>
      </c>
      <c r="C121" s="54" t="s">
        <v>188</v>
      </c>
      <c r="D121" s="54" t="s">
        <v>328</v>
      </c>
      <c r="E121" s="174"/>
      <c r="F121" s="96" t="s">
        <v>258</v>
      </c>
      <c r="G121" s="90">
        <f>16+20</f>
        <v>36</v>
      </c>
      <c r="H121" s="90">
        <v>60</v>
      </c>
      <c r="I121" s="90">
        <f t="shared" si="130"/>
        <v>2160</v>
      </c>
      <c r="J121" s="174"/>
      <c r="K121" s="90">
        <v>0</v>
      </c>
      <c r="L121" s="90">
        <f t="shared" si="131"/>
        <v>0</v>
      </c>
      <c r="M121" s="174"/>
      <c r="N121" s="90">
        <v>0</v>
      </c>
      <c r="O121" s="90">
        <f t="shared" si="132"/>
        <v>0</v>
      </c>
      <c r="P121" s="174"/>
      <c r="Q121" s="90">
        <v>0</v>
      </c>
      <c r="R121" s="90">
        <f t="shared" si="133"/>
        <v>0</v>
      </c>
      <c r="S121" s="174"/>
      <c r="T121" s="90">
        <v>0</v>
      </c>
      <c r="U121" s="90">
        <f t="shared" si="134"/>
        <v>0</v>
      </c>
      <c r="V121" s="90">
        <f t="shared" si="135"/>
        <v>2160</v>
      </c>
      <c r="W121" s="90">
        <v>0</v>
      </c>
      <c r="X121" s="90">
        <f t="shared" si="136"/>
        <v>2160</v>
      </c>
      <c r="Y121" s="531"/>
    </row>
    <row r="122" spans="1:25">
      <c r="A122" s="54" t="s">
        <v>323</v>
      </c>
      <c r="B122" s="54">
        <v>82401</v>
      </c>
      <c r="C122" s="54" t="s">
        <v>188</v>
      </c>
      <c r="D122" s="54" t="s">
        <v>329</v>
      </c>
      <c r="E122" s="174"/>
      <c r="F122" s="96" t="s">
        <v>258</v>
      </c>
      <c r="G122" s="90">
        <v>2</v>
      </c>
      <c r="H122" s="90">
        <v>350</v>
      </c>
      <c r="I122" s="90">
        <f t="shared" si="130"/>
        <v>700</v>
      </c>
      <c r="J122" s="174"/>
      <c r="K122" s="90">
        <v>0</v>
      </c>
      <c r="L122" s="90">
        <f t="shared" si="131"/>
        <v>0</v>
      </c>
      <c r="M122" s="174"/>
      <c r="N122" s="90">
        <v>0</v>
      </c>
      <c r="O122" s="90">
        <f t="shared" si="132"/>
        <v>0</v>
      </c>
      <c r="P122" s="174"/>
      <c r="Q122" s="90">
        <v>0</v>
      </c>
      <c r="R122" s="90">
        <f t="shared" si="133"/>
        <v>0</v>
      </c>
      <c r="S122" s="174"/>
      <c r="T122" s="90">
        <v>0</v>
      </c>
      <c r="U122" s="90">
        <f t="shared" si="134"/>
        <v>0</v>
      </c>
      <c r="V122" s="90">
        <f t="shared" si="135"/>
        <v>700</v>
      </c>
      <c r="W122" s="90">
        <v>0</v>
      </c>
      <c r="X122" s="90">
        <f t="shared" si="136"/>
        <v>700</v>
      </c>
    </row>
    <row r="123" spans="1:25">
      <c r="A123" s="54" t="s">
        <v>323</v>
      </c>
      <c r="B123" s="54">
        <v>82401</v>
      </c>
      <c r="C123" s="54" t="s">
        <v>188</v>
      </c>
      <c r="D123" s="54" t="s">
        <v>330</v>
      </c>
      <c r="E123" s="174"/>
      <c r="F123" s="96" t="s">
        <v>258</v>
      </c>
      <c r="G123" s="90">
        <f>2*2</f>
        <v>4</v>
      </c>
      <c r="H123" s="90">
        <v>150</v>
      </c>
      <c r="I123" s="90">
        <f t="shared" ref="I123:I125" si="137">G123*H123</f>
        <v>600</v>
      </c>
      <c r="J123" s="174"/>
      <c r="K123" s="90">
        <v>0</v>
      </c>
      <c r="L123" s="90">
        <f t="shared" ref="L123:L125" si="138">K123*H123</f>
        <v>0</v>
      </c>
      <c r="M123" s="174"/>
      <c r="N123" s="90">
        <v>0</v>
      </c>
      <c r="O123" s="90">
        <f t="shared" ref="O123:O125" si="139">N123*H123</f>
        <v>0</v>
      </c>
      <c r="P123" s="174"/>
      <c r="Q123" s="90">
        <v>0</v>
      </c>
      <c r="R123" s="90">
        <f t="shared" ref="R123:R125" si="140">Q123*H123</f>
        <v>0</v>
      </c>
      <c r="S123" s="174"/>
      <c r="T123" s="90">
        <v>0</v>
      </c>
      <c r="U123" s="90">
        <f t="shared" ref="U123:U125" si="141">T123*K123</f>
        <v>0</v>
      </c>
      <c r="V123" s="90">
        <f t="shared" ref="V123:V125" si="142">SUM(R123,O123,L123,I123,U123)</f>
        <v>600</v>
      </c>
      <c r="W123" s="90">
        <v>0</v>
      </c>
      <c r="X123" s="90">
        <f t="shared" ref="X123:X125" si="143">V123+W123</f>
        <v>600</v>
      </c>
    </row>
    <row r="124" spans="1:25">
      <c r="A124" s="54" t="s">
        <v>323</v>
      </c>
      <c r="B124" s="54">
        <v>82401</v>
      </c>
      <c r="C124" s="54" t="s">
        <v>188</v>
      </c>
      <c r="D124" s="54" t="s">
        <v>331</v>
      </c>
      <c r="E124" s="174"/>
      <c r="F124" s="96" t="s">
        <v>258</v>
      </c>
      <c r="G124" s="90">
        <v>2</v>
      </c>
      <c r="H124" s="90">
        <v>130</v>
      </c>
      <c r="I124" s="90">
        <f t="shared" si="137"/>
        <v>260</v>
      </c>
      <c r="J124" s="174"/>
      <c r="K124" s="90">
        <v>0</v>
      </c>
      <c r="L124" s="90">
        <f t="shared" si="138"/>
        <v>0</v>
      </c>
      <c r="M124" s="174"/>
      <c r="N124" s="90">
        <v>0</v>
      </c>
      <c r="O124" s="90">
        <f t="shared" si="139"/>
        <v>0</v>
      </c>
      <c r="P124" s="174"/>
      <c r="Q124" s="90">
        <v>0</v>
      </c>
      <c r="R124" s="90">
        <f t="shared" si="140"/>
        <v>0</v>
      </c>
      <c r="S124" s="174"/>
      <c r="T124" s="90">
        <v>0</v>
      </c>
      <c r="U124" s="90">
        <f t="shared" si="141"/>
        <v>0</v>
      </c>
      <c r="V124" s="90">
        <f t="shared" si="142"/>
        <v>260</v>
      </c>
      <c r="W124" s="90">
        <v>0</v>
      </c>
      <c r="X124" s="90">
        <f t="shared" si="143"/>
        <v>260</v>
      </c>
    </row>
    <row r="125" spans="1:25">
      <c r="A125" s="54" t="s">
        <v>323</v>
      </c>
      <c r="B125" s="54">
        <v>82401</v>
      </c>
      <c r="C125" s="54" t="s">
        <v>188</v>
      </c>
      <c r="D125" s="54" t="s">
        <v>332</v>
      </c>
      <c r="E125" s="174"/>
      <c r="F125" s="96" t="s">
        <v>258</v>
      </c>
      <c r="G125" s="90">
        <v>2</v>
      </c>
      <c r="H125" s="90">
        <v>140</v>
      </c>
      <c r="I125" s="90">
        <f t="shared" si="137"/>
        <v>280</v>
      </c>
      <c r="J125" s="174"/>
      <c r="K125" s="90">
        <v>0</v>
      </c>
      <c r="L125" s="90">
        <f t="shared" si="138"/>
        <v>0</v>
      </c>
      <c r="M125" s="174"/>
      <c r="N125" s="90">
        <v>0</v>
      </c>
      <c r="O125" s="90">
        <f t="shared" si="139"/>
        <v>0</v>
      </c>
      <c r="P125" s="174"/>
      <c r="Q125" s="90">
        <v>0</v>
      </c>
      <c r="R125" s="90">
        <f t="shared" si="140"/>
        <v>0</v>
      </c>
      <c r="S125" s="174"/>
      <c r="T125" s="90">
        <v>0</v>
      </c>
      <c r="U125" s="90">
        <f t="shared" si="141"/>
        <v>0</v>
      </c>
      <c r="V125" s="90">
        <f t="shared" si="142"/>
        <v>280</v>
      </c>
      <c r="W125" s="90">
        <v>0</v>
      </c>
      <c r="X125" s="90">
        <f t="shared" si="143"/>
        <v>280</v>
      </c>
    </row>
    <row r="126" spans="1:25">
      <c r="A126" s="54" t="s">
        <v>323</v>
      </c>
      <c r="B126" s="54">
        <v>82401</v>
      </c>
      <c r="C126" s="54" t="s">
        <v>188</v>
      </c>
      <c r="D126" s="54" t="s">
        <v>333</v>
      </c>
      <c r="E126" s="174"/>
      <c r="F126" s="96" t="s">
        <v>258</v>
      </c>
      <c r="G126" s="90">
        <v>2</v>
      </c>
      <c r="H126" s="90">
        <v>596</v>
      </c>
      <c r="I126" s="90">
        <f t="shared" ref="I126" si="144">G126*H126</f>
        <v>1192</v>
      </c>
      <c r="J126" s="174"/>
      <c r="K126" s="90">
        <v>0</v>
      </c>
      <c r="L126" s="90">
        <f t="shared" ref="L126" si="145">K126*H126</f>
        <v>0</v>
      </c>
      <c r="M126" s="174"/>
      <c r="N126" s="90">
        <v>0</v>
      </c>
      <c r="O126" s="90">
        <f t="shared" ref="O126" si="146">N126*H126</f>
        <v>0</v>
      </c>
      <c r="P126" s="174"/>
      <c r="Q126" s="90">
        <v>0</v>
      </c>
      <c r="R126" s="90">
        <f t="shared" ref="R126" si="147">Q126*H126</f>
        <v>0</v>
      </c>
      <c r="S126" s="174"/>
      <c r="T126" s="90">
        <v>0</v>
      </c>
      <c r="U126" s="90">
        <f t="shared" ref="U126" si="148">T126*K126</f>
        <v>0</v>
      </c>
      <c r="V126" s="90">
        <f t="shared" ref="V126" si="149">SUM(R126,O126,L126,I126,U126)</f>
        <v>1192</v>
      </c>
      <c r="W126" s="90">
        <v>0</v>
      </c>
      <c r="X126" s="90">
        <f t="shared" ref="X126" si="150">V126+W126</f>
        <v>1192</v>
      </c>
    </row>
    <row r="127" spans="1:25">
      <c r="A127" s="54" t="s">
        <v>323</v>
      </c>
      <c r="B127" s="54">
        <v>82401</v>
      </c>
      <c r="C127" s="54" t="s">
        <v>188</v>
      </c>
      <c r="D127" s="54" t="s">
        <v>334</v>
      </c>
      <c r="F127" s="95" t="s">
        <v>190</v>
      </c>
      <c r="G127" s="90">
        <v>9</v>
      </c>
      <c r="H127" s="90">
        <v>250</v>
      </c>
      <c r="I127" s="90">
        <f t="shared" si="130"/>
        <v>2250</v>
      </c>
      <c r="J127" s="177"/>
      <c r="K127" s="90">
        <v>12</v>
      </c>
      <c r="L127" s="90">
        <f>K127*H127*$E$6</f>
        <v>3120</v>
      </c>
      <c r="M127" s="177"/>
      <c r="N127" s="90">
        <v>12</v>
      </c>
      <c r="O127" s="90">
        <f t="shared" ref="O127" si="151">N127*H127*$E$6*$E$6</f>
        <v>3244.8</v>
      </c>
      <c r="P127" s="177"/>
      <c r="Q127" s="90">
        <v>12</v>
      </c>
      <c r="R127" s="90">
        <f t="shared" ref="R127" si="152">Q127*H127*$E$6*$E$6*$E$6</f>
        <v>3374.5920000000001</v>
      </c>
      <c r="S127" s="177"/>
      <c r="T127" s="90">
        <v>6</v>
      </c>
      <c r="U127" s="90">
        <f t="shared" ref="U127" si="153">T127*H127*$E$6*$E$6*$E$6*$E$6</f>
        <v>1754.7878400000002</v>
      </c>
      <c r="V127" s="90">
        <f t="shared" si="135"/>
        <v>13744.179840000001</v>
      </c>
      <c r="W127" s="90">
        <v>0</v>
      </c>
      <c r="X127" s="90">
        <f t="shared" si="136"/>
        <v>13744.179840000001</v>
      </c>
    </row>
    <row r="128" spans="1:25">
      <c r="E128" s="174"/>
      <c r="F128" s="95"/>
      <c r="J128" s="174"/>
      <c r="M128" s="174"/>
      <c r="P128" s="174"/>
      <c r="S128" s="174"/>
    </row>
    <row r="129" spans="1:24" ht="12.9" thickBot="1">
      <c r="A129" s="100"/>
      <c r="B129" s="100"/>
      <c r="C129" s="100"/>
      <c r="D129" s="100" t="s">
        <v>335</v>
      </c>
      <c r="E129" s="175"/>
      <c r="F129" s="100"/>
      <c r="G129" s="100"/>
      <c r="H129" s="114"/>
      <c r="I129" s="115">
        <f>SUM(I117:I128)</f>
        <v>25618.239999999998</v>
      </c>
      <c r="J129" s="175"/>
      <c r="K129" s="115"/>
      <c r="L129" s="115">
        <f>SUM(L117:L128)</f>
        <v>3120</v>
      </c>
      <c r="M129" s="175"/>
      <c r="N129" s="115"/>
      <c r="O129" s="115">
        <f>SUM(O117:O128)</f>
        <v>3244.8</v>
      </c>
      <c r="P129" s="175"/>
      <c r="Q129" s="115"/>
      <c r="R129" s="115">
        <f>SUM(R117:R128)</f>
        <v>3374.5920000000001</v>
      </c>
      <c r="S129" s="175"/>
      <c r="T129" s="115"/>
      <c r="U129" s="115">
        <f>SUM(U117:U128)</f>
        <v>1754.7878400000002</v>
      </c>
      <c r="V129" s="115">
        <f>SUM(V117:V128)</f>
        <v>37112.419840000002</v>
      </c>
      <c r="W129" s="115">
        <f>SUM(W117:W128)</f>
        <v>0</v>
      </c>
      <c r="X129" s="115">
        <f>SUM(X117:X128)</f>
        <v>37112.419840000002</v>
      </c>
    </row>
    <row r="130" spans="1:24">
      <c r="A130" s="129"/>
      <c r="B130" s="129"/>
      <c r="C130" s="129"/>
      <c r="D130" s="129"/>
      <c r="E130" s="172"/>
      <c r="F130" s="129"/>
      <c r="G130" s="109"/>
      <c r="H130" s="109"/>
      <c r="I130" s="109"/>
      <c r="J130" s="172"/>
      <c r="K130" s="109"/>
      <c r="L130" s="109"/>
      <c r="M130" s="172"/>
      <c r="N130" s="109"/>
      <c r="O130" s="109"/>
      <c r="P130" s="172"/>
      <c r="Q130" s="109"/>
      <c r="R130" s="109"/>
      <c r="S130" s="172"/>
      <c r="T130" s="109"/>
      <c r="U130" s="109"/>
      <c r="V130" s="109"/>
      <c r="W130" s="109"/>
      <c r="X130" s="109"/>
    </row>
    <row r="131" spans="1:24">
      <c r="A131" s="84"/>
      <c r="B131" s="84"/>
      <c r="C131" s="84"/>
      <c r="D131" s="84" t="s">
        <v>34</v>
      </c>
      <c r="E131" s="173"/>
      <c r="F131" s="84"/>
      <c r="G131" s="84"/>
      <c r="H131" s="85"/>
      <c r="I131" s="86"/>
      <c r="J131" s="173"/>
      <c r="K131" s="86"/>
      <c r="L131" s="86"/>
      <c r="M131" s="173"/>
      <c r="N131" s="86"/>
      <c r="O131" s="86"/>
      <c r="P131" s="173"/>
      <c r="Q131" s="86"/>
      <c r="R131" s="86"/>
      <c r="S131" s="173"/>
      <c r="T131" s="86"/>
      <c r="U131" s="86"/>
      <c r="V131" s="86"/>
      <c r="W131" s="86"/>
      <c r="X131" s="86"/>
    </row>
    <row r="132" spans="1:24">
      <c r="A132" s="54" t="s">
        <v>336</v>
      </c>
      <c r="B132" s="54">
        <v>87000</v>
      </c>
      <c r="C132" s="54" t="s">
        <v>188</v>
      </c>
      <c r="D132" s="54" t="s">
        <v>337</v>
      </c>
      <c r="E132" s="174"/>
      <c r="F132" s="95" t="s">
        <v>258</v>
      </c>
      <c r="G132" s="90">
        <v>5</v>
      </c>
      <c r="H132" s="90">
        <v>1500</v>
      </c>
      <c r="I132" s="90">
        <f>G132*H132</f>
        <v>7500</v>
      </c>
      <c r="J132" s="174"/>
      <c r="K132" s="90">
        <v>5</v>
      </c>
      <c r="L132" s="90">
        <f t="shared" ref="L132" si="154">K132*H132</f>
        <v>7500</v>
      </c>
      <c r="M132" s="177"/>
      <c r="N132" s="90">
        <v>5</v>
      </c>
      <c r="O132" s="90">
        <f t="shared" ref="O132" si="155">N132*H132</f>
        <v>7500</v>
      </c>
      <c r="P132" s="177"/>
      <c r="Q132" s="90">
        <v>5</v>
      </c>
      <c r="R132" s="90">
        <f t="shared" ref="R132" si="156">Q132*H132</f>
        <v>7500</v>
      </c>
      <c r="S132" s="177"/>
      <c r="T132" s="90">
        <v>5</v>
      </c>
      <c r="U132" s="90">
        <f>T132*H132</f>
        <v>7500</v>
      </c>
      <c r="V132" s="90">
        <f>SUM(R132,O132,L132,I132,U132)</f>
        <v>37500</v>
      </c>
      <c r="W132" s="90">
        <v>0</v>
      </c>
      <c r="X132" s="90">
        <f>V132+W132</f>
        <v>37500</v>
      </c>
    </row>
    <row r="133" spans="1:24">
      <c r="A133" s="140"/>
      <c r="B133" s="140"/>
      <c r="C133" s="140"/>
      <c r="D133" s="140" t="s">
        <v>338</v>
      </c>
      <c r="E133" s="183"/>
      <c r="F133" s="140"/>
      <c r="G133" s="140"/>
      <c r="H133" s="140"/>
      <c r="I133" s="140"/>
      <c r="J133" s="183"/>
      <c r="K133" s="140"/>
      <c r="L133" s="140"/>
      <c r="M133" s="183"/>
      <c r="N133" s="140"/>
      <c r="O133" s="140"/>
      <c r="P133" s="183"/>
      <c r="Q133" s="140"/>
      <c r="R133" s="140"/>
      <c r="S133" s="183"/>
      <c r="T133" s="140"/>
      <c r="U133" s="140"/>
      <c r="V133" s="140"/>
      <c r="W133" s="140"/>
      <c r="X133" s="140"/>
    </row>
    <row r="134" spans="1:24" ht="37.799999999999997">
      <c r="A134" s="54" t="s">
        <v>339</v>
      </c>
      <c r="B134" s="54" t="s">
        <v>340</v>
      </c>
      <c r="C134" s="54" t="s">
        <v>188</v>
      </c>
      <c r="D134" s="54" t="s">
        <v>341</v>
      </c>
      <c r="E134" s="174"/>
      <c r="F134" s="95" t="s">
        <v>147</v>
      </c>
      <c r="G134" s="90">
        <v>1</v>
      </c>
      <c r="H134" s="90">
        <v>1500</v>
      </c>
      <c r="I134" s="90">
        <f t="shared" ref="I134" si="157">G134*H134</f>
        <v>1500</v>
      </c>
      <c r="J134" s="174"/>
      <c r="K134" s="90">
        <v>1</v>
      </c>
      <c r="L134" s="90">
        <f t="shared" ref="L134:L136" si="158">K134*H134*$E$6</f>
        <v>1560</v>
      </c>
      <c r="M134" s="174"/>
      <c r="N134" s="90">
        <v>1</v>
      </c>
      <c r="O134" s="90">
        <f t="shared" ref="O134:O136" si="159">N134*H134*$E$6*$E$6</f>
        <v>1622.4</v>
      </c>
      <c r="P134" s="174"/>
      <c r="Q134" s="90">
        <v>1</v>
      </c>
      <c r="R134" s="90">
        <f t="shared" ref="R134:R136" si="160">Q134*H134*$E$6*$E$6*$E$6</f>
        <v>1687.296</v>
      </c>
      <c r="S134" s="174"/>
      <c r="T134" s="90">
        <v>1</v>
      </c>
      <c r="U134" s="90">
        <f t="shared" ref="U134:U136" si="161">T134*H134*$E$6*$E$6*$E$6*$E$6</f>
        <v>1754.7878400000002</v>
      </c>
      <c r="V134" s="90">
        <f>SUM(R134,O134,L134,I134,U134)</f>
        <v>8124.4838399999999</v>
      </c>
      <c r="W134" s="90">
        <v>0</v>
      </c>
      <c r="X134" s="90">
        <f>V134+W134</f>
        <v>8124.4838399999999</v>
      </c>
    </row>
    <row r="135" spans="1:24">
      <c r="A135" s="54" t="s">
        <v>339</v>
      </c>
      <c r="B135" s="54">
        <v>85105</v>
      </c>
      <c r="C135" s="54" t="s">
        <v>188</v>
      </c>
      <c r="D135" s="54" t="s">
        <v>342</v>
      </c>
      <c r="E135" s="174"/>
      <c r="F135" s="95" t="s">
        <v>147</v>
      </c>
      <c r="G135" s="90">
        <v>1</v>
      </c>
      <c r="H135" s="90">
        <v>1200</v>
      </c>
      <c r="I135" s="90">
        <f>G135*H135</f>
        <v>1200</v>
      </c>
      <c r="J135" s="174"/>
      <c r="K135" s="90">
        <v>1</v>
      </c>
      <c r="L135" s="90">
        <f t="shared" si="158"/>
        <v>1248</v>
      </c>
      <c r="M135" s="174"/>
      <c r="N135" s="90">
        <v>1</v>
      </c>
      <c r="O135" s="90">
        <f t="shared" si="159"/>
        <v>1297.92</v>
      </c>
      <c r="P135" s="174"/>
      <c r="Q135" s="90">
        <v>1</v>
      </c>
      <c r="R135" s="90">
        <f t="shared" si="160"/>
        <v>1349.8368</v>
      </c>
      <c r="S135" s="174"/>
      <c r="T135" s="90">
        <v>1</v>
      </c>
      <c r="U135" s="90">
        <f t="shared" si="161"/>
        <v>1403.8302720000002</v>
      </c>
      <c r="V135" s="90">
        <f t="shared" ref="V135" si="162">SUM(R135,O135,L135,I135,U135)</f>
        <v>6499.5870720000003</v>
      </c>
      <c r="W135" s="90">
        <v>0</v>
      </c>
      <c r="X135" s="90">
        <f>V135+W135</f>
        <v>6499.5870720000003</v>
      </c>
    </row>
    <row r="136" spans="1:24">
      <c r="A136" s="54" t="s">
        <v>339</v>
      </c>
      <c r="B136" s="54">
        <v>85105</v>
      </c>
      <c r="C136" s="54" t="s">
        <v>188</v>
      </c>
      <c r="D136" s="54" t="s">
        <v>343</v>
      </c>
      <c r="E136" s="174"/>
      <c r="F136" s="95" t="s">
        <v>190</v>
      </c>
      <c r="G136" s="90">
        <v>3</v>
      </c>
      <c r="H136" s="90">
        <v>275</v>
      </c>
      <c r="I136" s="90">
        <f>G136*H136</f>
        <v>825</v>
      </c>
      <c r="J136" s="174"/>
      <c r="K136" s="90">
        <v>12</v>
      </c>
      <c r="L136" s="90">
        <f t="shared" si="158"/>
        <v>3432</v>
      </c>
      <c r="M136" s="174"/>
      <c r="N136" s="90">
        <v>12</v>
      </c>
      <c r="O136" s="90">
        <f t="shared" si="159"/>
        <v>3569.28</v>
      </c>
      <c r="P136" s="174"/>
      <c r="Q136" s="90">
        <v>12</v>
      </c>
      <c r="R136" s="90">
        <f t="shared" si="160"/>
        <v>3712.0512000000003</v>
      </c>
      <c r="S136" s="174"/>
      <c r="T136" s="90">
        <v>6</v>
      </c>
      <c r="U136" s="90">
        <f t="shared" si="161"/>
        <v>1930.2666240000003</v>
      </c>
      <c r="V136" s="90">
        <f t="shared" ref="V136" si="163">SUM(R136,O136,L136,I136,U136)</f>
        <v>13468.597824</v>
      </c>
      <c r="W136" s="90">
        <v>0</v>
      </c>
      <c r="X136" s="90">
        <f>V136+W136</f>
        <v>13468.597824</v>
      </c>
    </row>
    <row r="137" spans="1:24">
      <c r="A137" s="140"/>
      <c r="B137" s="140"/>
      <c r="C137" s="140"/>
      <c r="D137" s="140" t="s">
        <v>106</v>
      </c>
      <c r="E137" s="183"/>
      <c r="F137" s="140"/>
      <c r="G137" s="140"/>
      <c r="H137" s="140"/>
      <c r="I137" s="140"/>
      <c r="J137" s="183"/>
      <c r="K137" s="140"/>
      <c r="L137" s="140"/>
      <c r="M137" s="183"/>
      <c r="N137" s="140"/>
      <c r="O137" s="140"/>
      <c r="P137" s="183"/>
      <c r="Q137" s="140"/>
      <c r="R137" s="140"/>
      <c r="S137" s="183"/>
      <c r="T137" s="140"/>
      <c r="U137" s="140"/>
      <c r="V137" s="140"/>
      <c r="W137" s="140"/>
      <c r="X137" s="140"/>
    </row>
    <row r="138" spans="1:24">
      <c r="A138" s="54" t="s">
        <v>344</v>
      </c>
      <c r="B138" s="54">
        <v>89500</v>
      </c>
      <c r="C138" s="54" t="s">
        <v>188</v>
      </c>
      <c r="D138" s="54" t="s">
        <v>345</v>
      </c>
      <c r="E138" s="174"/>
      <c r="F138" s="95" t="s">
        <v>147</v>
      </c>
      <c r="G138" s="90">
        <v>1</v>
      </c>
      <c r="H138" s="90">
        <v>500</v>
      </c>
      <c r="I138" s="90">
        <f t="shared" ref="I138" si="164">G138*H138</f>
        <v>500</v>
      </c>
      <c r="J138" s="174"/>
      <c r="K138" s="90">
        <v>1</v>
      </c>
      <c r="L138" s="90">
        <f t="shared" ref="L138" si="165">K138*H138*$E$6</f>
        <v>520</v>
      </c>
      <c r="M138" s="174"/>
      <c r="N138" s="90">
        <v>1</v>
      </c>
      <c r="O138" s="90">
        <f t="shared" ref="O138" si="166">N138*H138*$E$6*$E$6</f>
        <v>540.80000000000007</v>
      </c>
      <c r="P138" s="174"/>
      <c r="Q138" s="90">
        <v>1</v>
      </c>
      <c r="R138" s="90">
        <f t="shared" ref="R138" si="167">Q138*H138*$E$6*$E$6*$E$6</f>
        <v>562.43200000000013</v>
      </c>
      <c r="S138" s="174"/>
      <c r="T138" s="90">
        <v>1</v>
      </c>
      <c r="U138" s="90">
        <f t="shared" ref="U138" si="168">T138*H138*$E$6*$E$6*$E$6*$E$6</f>
        <v>584.92928000000018</v>
      </c>
      <c r="V138" s="90">
        <f t="shared" ref="V138" si="169">SUM(R138,O138,L138,I138,U138)</f>
        <v>2708.1612800000003</v>
      </c>
      <c r="W138" s="90">
        <v>0</v>
      </c>
      <c r="X138" s="90">
        <f>V138+W138</f>
        <v>2708.1612800000003</v>
      </c>
    </row>
    <row r="139" spans="1:24">
      <c r="A139" s="54" t="s">
        <v>344</v>
      </c>
      <c r="B139" s="54">
        <v>89500</v>
      </c>
      <c r="C139" s="54" t="s">
        <v>188</v>
      </c>
      <c r="D139" s="54" t="s">
        <v>346</v>
      </c>
      <c r="F139" s="95" t="s">
        <v>147</v>
      </c>
      <c r="G139" s="90">
        <v>20</v>
      </c>
      <c r="H139" s="90">
        <v>75</v>
      </c>
      <c r="I139" s="90">
        <f>G139*H139</f>
        <v>1500</v>
      </c>
      <c r="J139" s="177"/>
      <c r="K139" s="90">
        <v>20</v>
      </c>
      <c r="L139" s="90">
        <f>K139*H139*$E$6</f>
        <v>1560</v>
      </c>
      <c r="M139" s="177"/>
      <c r="N139" s="90">
        <v>20</v>
      </c>
      <c r="O139" s="90">
        <f>N139*H139*$E$6*$E$6</f>
        <v>1622.4</v>
      </c>
      <c r="P139" s="177"/>
      <c r="Q139" s="90">
        <v>20</v>
      </c>
      <c r="R139" s="90">
        <f>Q139*H139*$E$6*$E$6*$E$6</f>
        <v>1687.296</v>
      </c>
      <c r="S139" s="177"/>
      <c r="T139" s="90">
        <v>20</v>
      </c>
      <c r="U139" s="90">
        <f>T139*H139*$E$6*$E$6*$E$6*$E$6</f>
        <v>1754.7878400000002</v>
      </c>
      <c r="V139" s="90">
        <f>SUM(R139,O139,L139,I139,U139)</f>
        <v>8124.4838399999999</v>
      </c>
      <c r="W139" s="90">
        <v>0</v>
      </c>
      <c r="X139" s="90">
        <f>V139+W139</f>
        <v>8124.4838399999999</v>
      </c>
    </row>
    <row r="140" spans="1:24">
      <c r="A140" s="54" t="s">
        <v>344</v>
      </c>
      <c r="B140" s="54">
        <v>89500</v>
      </c>
      <c r="C140" s="54" t="s">
        <v>188</v>
      </c>
      <c r="D140" s="54" t="s">
        <v>347</v>
      </c>
      <c r="E140" s="174"/>
      <c r="F140" s="95" t="s">
        <v>147</v>
      </c>
      <c r="G140" s="90">
        <f>G95</f>
        <v>2</v>
      </c>
      <c r="H140" s="90">
        <v>200</v>
      </c>
      <c r="I140" s="90">
        <f>G140*H140</f>
        <v>400</v>
      </c>
      <c r="J140" s="174"/>
      <c r="K140" s="90">
        <f>G95</f>
        <v>2</v>
      </c>
      <c r="L140" s="90">
        <f t="shared" ref="L140" si="170">K140*H140*$E$6</f>
        <v>416</v>
      </c>
      <c r="M140" s="174"/>
      <c r="N140" s="90">
        <f>G95</f>
        <v>2</v>
      </c>
      <c r="O140" s="90">
        <f t="shared" ref="O140" si="171">N140*H140*$E$6*$E$6</f>
        <v>432.64</v>
      </c>
      <c r="P140" s="174"/>
      <c r="Q140" s="90">
        <f>G95</f>
        <v>2</v>
      </c>
      <c r="R140" s="90">
        <f t="shared" ref="R140" si="172">Q140*H140*$E$6*$E$6*$E$6</f>
        <v>449.94560000000001</v>
      </c>
      <c r="S140" s="174"/>
      <c r="T140" s="90">
        <f>G95</f>
        <v>2</v>
      </c>
      <c r="U140" s="90">
        <f t="shared" ref="U140" si="173">T140*H140*$E$6*$E$6*$E$6*$E$6</f>
        <v>467.94342400000005</v>
      </c>
      <c r="V140" s="90">
        <f t="shared" ref="V140" si="174">SUM(R140,O140,L140,I140,U140)</f>
        <v>2166.5290239999999</v>
      </c>
      <c r="W140" s="90">
        <v>0</v>
      </c>
      <c r="X140" s="90">
        <f>V140+W140</f>
        <v>2166.5290239999999</v>
      </c>
    </row>
    <row r="141" spans="1:24" ht="12.9" thickBot="1">
      <c r="A141" s="100"/>
      <c r="B141" s="100"/>
      <c r="C141" s="100"/>
      <c r="D141" s="100" t="s">
        <v>348</v>
      </c>
      <c r="E141" s="175"/>
      <c r="F141" s="100"/>
      <c r="G141" s="100"/>
      <c r="H141" s="114"/>
      <c r="I141" s="115">
        <f>SUM(I132:I140)</f>
        <v>13425</v>
      </c>
      <c r="J141" s="175"/>
      <c r="K141" s="115"/>
      <c r="L141" s="115">
        <f>SUM(L132:L140)</f>
        <v>16236</v>
      </c>
      <c r="M141" s="175"/>
      <c r="N141" s="115"/>
      <c r="O141" s="115">
        <f>SUM(O132:O140)</f>
        <v>16585.439999999999</v>
      </c>
      <c r="P141" s="175"/>
      <c r="Q141" s="115"/>
      <c r="R141" s="115">
        <f>SUM(R132:R140)</f>
        <v>16948.857599999999</v>
      </c>
      <c r="S141" s="175"/>
      <c r="T141" s="115"/>
      <c r="U141" s="115">
        <f>SUM(U132:U140)</f>
        <v>15396.545280000002</v>
      </c>
      <c r="V141" s="115">
        <f>SUM(V132:V140)</f>
        <v>78591.842880000011</v>
      </c>
      <c r="W141" s="115">
        <f>SUM(W132:W140)</f>
        <v>0</v>
      </c>
      <c r="X141" s="115">
        <f>SUM(X132:X140)</f>
        <v>78591.842880000011</v>
      </c>
    </row>
    <row r="142" spans="1:24">
      <c r="A142" s="129"/>
      <c r="B142" s="129"/>
      <c r="C142" s="129"/>
      <c r="D142" s="129"/>
      <c r="E142" s="172"/>
      <c r="F142" s="129"/>
      <c r="G142" s="109"/>
      <c r="H142" s="109"/>
      <c r="I142" s="109"/>
      <c r="J142" s="172"/>
      <c r="K142" s="109"/>
      <c r="L142" s="109"/>
      <c r="M142" s="172"/>
      <c r="N142" s="109"/>
      <c r="O142" s="109"/>
      <c r="P142" s="172"/>
      <c r="Q142" s="109"/>
      <c r="R142" s="109"/>
      <c r="S142" s="172"/>
      <c r="T142" s="109"/>
      <c r="U142" s="109"/>
      <c r="V142" s="109"/>
      <c r="W142" s="109"/>
      <c r="X142" s="109"/>
    </row>
    <row r="143" spans="1:24">
      <c r="A143" s="147"/>
      <c r="B143" s="147"/>
      <c r="C143" s="147"/>
      <c r="D143" s="147" t="str">
        <f>'USDA Budget Summary'!A28</f>
        <v>Activity 1: Increase Production and Farmer Resiliency</v>
      </c>
      <c r="E143" s="179"/>
      <c r="F143" s="84"/>
      <c r="G143" s="84"/>
      <c r="H143" s="85"/>
      <c r="I143" s="148"/>
      <c r="J143" s="179"/>
      <c r="K143" s="148"/>
      <c r="L143" s="148"/>
      <c r="M143" s="179"/>
      <c r="N143" s="148"/>
      <c r="O143" s="148"/>
      <c r="P143" s="179"/>
      <c r="Q143" s="148"/>
      <c r="R143" s="148"/>
      <c r="S143" s="179"/>
      <c r="T143" s="148"/>
      <c r="U143" s="148"/>
      <c r="V143" s="148"/>
      <c r="W143" s="149"/>
      <c r="X143" s="148"/>
    </row>
    <row r="144" spans="1:24">
      <c r="A144" s="150"/>
      <c r="B144" s="150"/>
      <c r="C144" s="150"/>
      <c r="D144" s="150" t="s">
        <v>349</v>
      </c>
      <c r="E144" s="180"/>
      <c r="F144" s="151"/>
      <c r="G144" s="152"/>
      <c r="H144" s="152"/>
      <c r="I144" s="152"/>
      <c r="J144" s="180"/>
      <c r="K144" s="152"/>
      <c r="L144" s="152"/>
      <c r="M144" s="180"/>
      <c r="N144" s="152"/>
      <c r="O144" s="152"/>
      <c r="P144" s="180"/>
      <c r="Q144" s="152"/>
      <c r="R144" s="152"/>
      <c r="S144" s="180"/>
      <c r="T144" s="152"/>
      <c r="U144" s="152"/>
      <c r="V144" s="152"/>
      <c r="W144" s="152"/>
      <c r="X144" s="152"/>
    </row>
    <row r="145" spans="1:24">
      <c r="A145" s="87"/>
      <c r="B145" s="87"/>
      <c r="C145" s="87"/>
      <c r="D145" s="87" t="s">
        <v>350</v>
      </c>
      <c r="E145" s="181"/>
      <c r="F145" s="92"/>
      <c r="G145" s="93"/>
      <c r="H145" s="93"/>
      <c r="I145" s="93"/>
      <c r="J145" s="181"/>
      <c r="K145" s="93"/>
      <c r="L145" s="93"/>
      <c r="M145" s="181"/>
      <c r="N145" s="93"/>
      <c r="O145" s="93"/>
      <c r="P145" s="181"/>
      <c r="Q145" s="93"/>
      <c r="R145" s="93"/>
      <c r="S145" s="181"/>
      <c r="T145" s="93"/>
      <c r="U145" s="93"/>
      <c r="V145" s="93"/>
      <c r="W145" s="93"/>
      <c r="X145" s="93"/>
    </row>
    <row r="146" spans="1:24">
      <c r="A146" s="54" t="s">
        <v>351</v>
      </c>
      <c r="B146" s="54">
        <v>70000</v>
      </c>
      <c r="C146" s="54" t="s">
        <v>188</v>
      </c>
      <c r="D146" s="54" t="str">
        <f t="shared" ref="D146:D163" si="175">D12</f>
        <v xml:space="preserve">Key Personnel: Ex-pat Chief of Party </v>
      </c>
      <c r="E146" s="168">
        <f>'LOE Breakdown by Year'!E11</f>
        <v>0.2</v>
      </c>
      <c r="F146" s="96" t="s">
        <v>190</v>
      </c>
      <c r="G146" s="90">
        <f t="shared" ref="G146:H163" si="176">G12</f>
        <v>12</v>
      </c>
      <c r="H146" s="90">
        <f t="shared" si="176"/>
        <v>12083.333333333334</v>
      </c>
      <c r="I146" s="90">
        <f t="shared" ref="I146" si="177">G146*H146*E146</f>
        <v>29000</v>
      </c>
      <c r="J146" s="168">
        <f>'LOE Breakdown by Year'!E38</f>
        <v>0.25</v>
      </c>
      <c r="K146" s="90">
        <f t="shared" ref="K146:K163" si="178">K12</f>
        <v>12</v>
      </c>
      <c r="L146" s="90">
        <f>K146*H146*$E$7*$J146</f>
        <v>37700</v>
      </c>
      <c r="M146" s="168">
        <f>'LOE Breakdown by Year'!E65</f>
        <v>0.25</v>
      </c>
      <c r="N146" s="90">
        <f t="shared" ref="N146:N163" si="179">N12</f>
        <v>12</v>
      </c>
      <c r="O146" s="90">
        <f t="shared" ref="O146" si="180">N146*H146*$M146*$E$7*$E$7</f>
        <v>39208</v>
      </c>
      <c r="P146" s="168">
        <f>'LOE Breakdown by Year'!E92</f>
        <v>0.25</v>
      </c>
      <c r="Q146" s="90">
        <f t="shared" ref="Q146:Q163" si="181">Q12</f>
        <v>12</v>
      </c>
      <c r="R146" s="90">
        <f t="shared" ref="R146" si="182">Q146*H146*$P146*$E$7*$E$7*$E$7</f>
        <v>40776.32</v>
      </c>
      <c r="S146" s="168">
        <f>'LOE Breakdown by Year'!E119</f>
        <v>0.25</v>
      </c>
      <c r="T146" s="90">
        <f t="shared" ref="T146:T163" si="183">T12</f>
        <v>12</v>
      </c>
      <c r="U146" s="90">
        <f t="shared" ref="U146" si="184">T146*H146*$S146*$E$7*$E$7*$E$7*$E$7</f>
        <v>42407.372800000005</v>
      </c>
      <c r="V146" s="90">
        <f t="shared" ref="V146" si="185">SUM(R146,O146,L146,I146,U146)</f>
        <v>189091.69280000002</v>
      </c>
      <c r="W146" s="90">
        <v>0</v>
      </c>
      <c r="X146" s="90">
        <f t="shared" ref="X146" si="186">SUM(V146:W146)</f>
        <v>189091.69280000002</v>
      </c>
    </row>
    <row r="147" spans="1:24">
      <c r="A147" s="54" t="s">
        <v>351</v>
      </c>
      <c r="B147" s="54">
        <v>70000</v>
      </c>
      <c r="C147" s="54" t="s">
        <v>188</v>
      </c>
      <c r="D147" s="54" t="str">
        <f t="shared" si="175"/>
        <v>Deputy Chief of Party</v>
      </c>
      <c r="E147" s="168">
        <f>'LOE Breakdown by Year'!E12</f>
        <v>0.1</v>
      </c>
      <c r="F147" s="96" t="s">
        <v>190</v>
      </c>
      <c r="G147" s="90">
        <f t="shared" si="176"/>
        <v>6</v>
      </c>
      <c r="H147" s="90">
        <f t="shared" si="176"/>
        <v>7500</v>
      </c>
      <c r="I147" s="90">
        <f t="shared" ref="I147:I163" si="187">G147*H147*E147</f>
        <v>4500</v>
      </c>
      <c r="J147" s="168">
        <f>'LOE Breakdown by Year'!E39</f>
        <v>0.1</v>
      </c>
      <c r="K147" s="90">
        <f t="shared" si="178"/>
        <v>12</v>
      </c>
      <c r="L147" s="90">
        <f t="shared" ref="L147:L163" si="188">K147*H147*$E$7*$J147</f>
        <v>9360</v>
      </c>
      <c r="M147" s="168">
        <f>'LOE Breakdown by Year'!E66</f>
        <v>0.1</v>
      </c>
      <c r="N147" s="90">
        <f t="shared" si="179"/>
        <v>12</v>
      </c>
      <c r="O147" s="90">
        <f t="shared" ref="O147:O163" si="189">N147*H147*$M147*$E$7*$E$7</f>
        <v>9734.4</v>
      </c>
      <c r="P147" s="168">
        <f>'LOE Breakdown by Year'!E93</f>
        <v>0.1</v>
      </c>
      <c r="Q147" s="90">
        <f t="shared" si="181"/>
        <v>12</v>
      </c>
      <c r="R147" s="90">
        <f t="shared" ref="R147:R163" si="190">Q147*H147*$P147*$E$7*$E$7*$E$7</f>
        <v>10123.776</v>
      </c>
      <c r="S147" s="168">
        <f>'LOE Breakdown by Year'!E120</f>
        <v>0.1</v>
      </c>
      <c r="T147" s="90">
        <f t="shared" si="183"/>
        <v>6</v>
      </c>
      <c r="U147" s="90">
        <f t="shared" ref="U147:U163" si="191">T147*H147*$S147*$E$7*$E$7*$E$7*$E$7</f>
        <v>5264.3635199999999</v>
      </c>
      <c r="V147" s="90">
        <f t="shared" ref="V147:V163" si="192">SUM(R147,O147,L147,I147,U147)</f>
        <v>38982.539519999998</v>
      </c>
      <c r="W147" s="90">
        <v>0</v>
      </c>
      <c r="X147" s="90">
        <f t="shared" ref="X147:X163" si="193">SUM(V147:W147)</f>
        <v>38982.539519999998</v>
      </c>
    </row>
    <row r="148" spans="1:24">
      <c r="A148" s="54" t="s">
        <v>351</v>
      </c>
      <c r="B148" s="54">
        <v>70000</v>
      </c>
      <c r="C148" s="54" t="s">
        <v>188</v>
      </c>
      <c r="D148" s="54" t="str">
        <f t="shared" si="175"/>
        <v>Technical Lead Component 1</v>
      </c>
      <c r="E148" s="168">
        <f>'LOE Breakdown by Year'!E13</f>
        <v>0.75</v>
      </c>
      <c r="F148" s="96" t="s">
        <v>190</v>
      </c>
      <c r="G148" s="90">
        <f t="shared" si="176"/>
        <v>6</v>
      </c>
      <c r="H148" s="90">
        <f t="shared" si="176"/>
        <v>3333.3333333333335</v>
      </c>
      <c r="I148" s="90">
        <f t="shared" si="187"/>
        <v>15000</v>
      </c>
      <c r="J148" s="168">
        <f>'LOE Breakdown by Year'!E40</f>
        <v>1</v>
      </c>
      <c r="K148" s="90">
        <f t="shared" si="178"/>
        <v>12</v>
      </c>
      <c r="L148" s="90">
        <f t="shared" si="188"/>
        <v>41600</v>
      </c>
      <c r="M148" s="168">
        <f>'LOE Breakdown by Year'!E67</f>
        <v>1</v>
      </c>
      <c r="N148" s="90">
        <f t="shared" si="179"/>
        <v>12</v>
      </c>
      <c r="O148" s="90">
        <f t="shared" si="189"/>
        <v>43264</v>
      </c>
      <c r="P148" s="168">
        <f>'LOE Breakdown by Year'!E94</f>
        <v>1</v>
      </c>
      <c r="Q148" s="90">
        <f t="shared" si="181"/>
        <v>12</v>
      </c>
      <c r="R148" s="90">
        <f t="shared" si="190"/>
        <v>44994.560000000005</v>
      </c>
      <c r="S148" s="168">
        <f>'LOE Breakdown by Year'!E121</f>
        <v>1</v>
      </c>
      <c r="T148" s="90">
        <f t="shared" si="183"/>
        <v>9</v>
      </c>
      <c r="U148" s="90">
        <f t="shared" si="191"/>
        <v>35095.756800000003</v>
      </c>
      <c r="V148" s="90">
        <f t="shared" si="192"/>
        <v>179954.3168</v>
      </c>
      <c r="W148" s="90">
        <v>0</v>
      </c>
      <c r="X148" s="90">
        <f t="shared" si="193"/>
        <v>179954.3168</v>
      </c>
    </row>
    <row r="149" spans="1:24">
      <c r="A149" s="54" t="s">
        <v>351</v>
      </c>
      <c r="B149" s="54">
        <v>70000</v>
      </c>
      <c r="C149" s="54" t="s">
        <v>188</v>
      </c>
      <c r="D149" s="54" t="str">
        <f t="shared" si="175"/>
        <v>Technical Lead Component 2</v>
      </c>
      <c r="E149" s="168">
        <f>'LOE Breakdown by Year'!E14</f>
        <v>0</v>
      </c>
      <c r="F149" s="96" t="s">
        <v>190</v>
      </c>
      <c r="G149" s="90">
        <f t="shared" si="176"/>
        <v>6</v>
      </c>
      <c r="H149" s="90">
        <f t="shared" si="176"/>
        <v>3333.3333333333335</v>
      </c>
      <c r="I149" s="90">
        <f t="shared" si="187"/>
        <v>0</v>
      </c>
      <c r="J149" s="168">
        <f>'LOE Breakdown by Year'!E41</f>
        <v>0</v>
      </c>
      <c r="K149" s="90">
        <f t="shared" si="178"/>
        <v>12</v>
      </c>
      <c r="L149" s="90">
        <f t="shared" si="188"/>
        <v>0</v>
      </c>
      <c r="M149" s="168">
        <f>'LOE Breakdown by Year'!E68</f>
        <v>0</v>
      </c>
      <c r="N149" s="90">
        <f t="shared" si="179"/>
        <v>12</v>
      </c>
      <c r="O149" s="90">
        <f t="shared" si="189"/>
        <v>0</v>
      </c>
      <c r="P149" s="168">
        <f>'LOE Breakdown by Year'!E95</f>
        <v>0</v>
      </c>
      <c r="Q149" s="90">
        <f t="shared" si="181"/>
        <v>12</v>
      </c>
      <c r="R149" s="90">
        <f t="shared" si="190"/>
        <v>0</v>
      </c>
      <c r="S149" s="168">
        <f>'LOE Breakdown by Year'!E122</f>
        <v>0</v>
      </c>
      <c r="T149" s="90">
        <f t="shared" si="183"/>
        <v>9</v>
      </c>
      <c r="U149" s="90">
        <f t="shared" si="191"/>
        <v>0</v>
      </c>
      <c r="V149" s="90">
        <f t="shared" si="192"/>
        <v>0</v>
      </c>
      <c r="W149" s="90">
        <v>0</v>
      </c>
      <c r="X149" s="90">
        <f t="shared" si="193"/>
        <v>0</v>
      </c>
    </row>
    <row r="150" spans="1:24">
      <c r="A150" s="54" t="s">
        <v>351</v>
      </c>
      <c r="B150" s="54">
        <v>70000</v>
      </c>
      <c r="C150" s="54" t="s">
        <v>188</v>
      </c>
      <c r="D150" s="54" t="str">
        <f t="shared" si="175"/>
        <v>Technical Lead Component 3</v>
      </c>
      <c r="E150" s="168">
        <f>'LOE Breakdown by Year'!E15</f>
        <v>0</v>
      </c>
      <c r="F150" s="96" t="s">
        <v>190</v>
      </c>
      <c r="G150" s="90">
        <f t="shared" si="176"/>
        <v>6</v>
      </c>
      <c r="H150" s="90">
        <f t="shared" si="176"/>
        <v>3333.3333333333335</v>
      </c>
      <c r="I150" s="90">
        <f t="shared" si="187"/>
        <v>0</v>
      </c>
      <c r="J150" s="168">
        <f>'LOE Breakdown by Year'!E42</f>
        <v>0</v>
      </c>
      <c r="K150" s="90">
        <f t="shared" si="178"/>
        <v>12</v>
      </c>
      <c r="L150" s="90">
        <f t="shared" si="188"/>
        <v>0</v>
      </c>
      <c r="M150" s="168">
        <f>'LOE Breakdown by Year'!E69</f>
        <v>0</v>
      </c>
      <c r="N150" s="90">
        <f t="shared" si="179"/>
        <v>12</v>
      </c>
      <c r="O150" s="90">
        <f t="shared" si="189"/>
        <v>0</v>
      </c>
      <c r="P150" s="168">
        <f>'LOE Breakdown by Year'!E96</f>
        <v>0</v>
      </c>
      <c r="Q150" s="90">
        <f t="shared" si="181"/>
        <v>12</v>
      </c>
      <c r="R150" s="90">
        <f t="shared" si="190"/>
        <v>0</v>
      </c>
      <c r="S150" s="168">
        <f>'LOE Breakdown by Year'!E123</f>
        <v>0</v>
      </c>
      <c r="T150" s="90">
        <f t="shared" si="183"/>
        <v>9</v>
      </c>
      <c r="U150" s="90">
        <f t="shared" si="191"/>
        <v>0</v>
      </c>
      <c r="V150" s="90">
        <f t="shared" si="192"/>
        <v>0</v>
      </c>
      <c r="W150" s="90">
        <v>0</v>
      </c>
      <c r="X150" s="90">
        <f t="shared" si="193"/>
        <v>0</v>
      </c>
    </row>
    <row r="151" spans="1:24">
      <c r="A151" s="54" t="s">
        <v>351</v>
      </c>
      <c r="B151" s="54">
        <v>70000</v>
      </c>
      <c r="C151" s="54" t="s">
        <v>188</v>
      </c>
      <c r="D151" s="54" t="str">
        <f t="shared" si="175"/>
        <v>Specialist Component 2</v>
      </c>
      <c r="E151" s="168">
        <f>'LOE Breakdown by Year'!E16</f>
        <v>0</v>
      </c>
      <c r="F151" s="96" t="s">
        <v>190</v>
      </c>
      <c r="G151" s="90">
        <f t="shared" si="176"/>
        <v>6</v>
      </c>
      <c r="H151" s="90">
        <f t="shared" si="176"/>
        <v>1666.6666666666667</v>
      </c>
      <c r="I151" s="90">
        <f t="shared" ref="I151:I153" si="194">G151*H151*E151</f>
        <v>0</v>
      </c>
      <c r="J151" s="168">
        <f>'LOE Breakdown by Year'!E43</f>
        <v>0</v>
      </c>
      <c r="K151" s="90">
        <f t="shared" si="178"/>
        <v>12</v>
      </c>
      <c r="L151" s="90">
        <f t="shared" ref="L151:L153" si="195">K151*H151*$E$7*$J151</f>
        <v>0</v>
      </c>
      <c r="M151" s="168">
        <f>'LOE Breakdown by Year'!E70</f>
        <v>0</v>
      </c>
      <c r="N151" s="90">
        <f t="shared" si="179"/>
        <v>12</v>
      </c>
      <c r="O151" s="90">
        <f t="shared" ref="O151:O153" si="196">N151*H151*$M151*$E$7*$E$7</f>
        <v>0</v>
      </c>
      <c r="P151" s="168">
        <f>'LOE Breakdown by Year'!E97</f>
        <v>0</v>
      </c>
      <c r="Q151" s="90">
        <f t="shared" si="181"/>
        <v>12</v>
      </c>
      <c r="R151" s="90">
        <f t="shared" ref="R151:R153" si="197">Q151*H151*$P151*$E$7*$E$7*$E$7</f>
        <v>0</v>
      </c>
      <c r="S151" s="168">
        <f>'LOE Breakdown by Year'!E124</f>
        <v>0</v>
      </c>
      <c r="T151" s="90">
        <f t="shared" si="183"/>
        <v>6</v>
      </c>
      <c r="U151" s="90">
        <f t="shared" ref="U151:U153" si="198">T151*H151*$S151*$E$7*$E$7*$E$7*$E$7</f>
        <v>0</v>
      </c>
      <c r="V151" s="90">
        <f t="shared" ref="V151:V153" si="199">SUM(R151,O151,L151,I151,U151)</f>
        <v>0</v>
      </c>
      <c r="W151" s="90">
        <v>0</v>
      </c>
      <c r="X151" s="90">
        <f t="shared" ref="X151:X153" si="200">SUM(V151:W151)</f>
        <v>0</v>
      </c>
    </row>
    <row r="152" spans="1:24">
      <c r="A152" s="54" t="s">
        <v>351</v>
      </c>
      <c r="B152" s="54">
        <v>70000</v>
      </c>
      <c r="C152" s="54" t="s">
        <v>188</v>
      </c>
      <c r="D152" s="54" t="str">
        <f t="shared" si="175"/>
        <v>Specialist Component 3</v>
      </c>
      <c r="E152" s="168">
        <f>'LOE Breakdown by Year'!E17</f>
        <v>0</v>
      </c>
      <c r="F152" s="96" t="s">
        <v>190</v>
      </c>
      <c r="G152" s="90">
        <f t="shared" si="176"/>
        <v>6</v>
      </c>
      <c r="H152" s="90">
        <f t="shared" si="176"/>
        <v>1666.6666666666667</v>
      </c>
      <c r="I152" s="90">
        <f t="shared" si="194"/>
        <v>0</v>
      </c>
      <c r="J152" s="168">
        <f>'LOE Breakdown by Year'!E44</f>
        <v>0</v>
      </c>
      <c r="K152" s="90">
        <f t="shared" si="178"/>
        <v>12</v>
      </c>
      <c r="L152" s="90">
        <f t="shared" si="195"/>
        <v>0</v>
      </c>
      <c r="M152" s="168">
        <f>'LOE Breakdown by Year'!E71</f>
        <v>0</v>
      </c>
      <c r="N152" s="90">
        <f t="shared" si="179"/>
        <v>12</v>
      </c>
      <c r="O152" s="90">
        <f t="shared" si="196"/>
        <v>0</v>
      </c>
      <c r="P152" s="168">
        <f>'LOE Breakdown by Year'!E98</f>
        <v>0</v>
      </c>
      <c r="Q152" s="90">
        <f t="shared" si="181"/>
        <v>12</v>
      </c>
      <c r="R152" s="90">
        <f t="shared" si="197"/>
        <v>0</v>
      </c>
      <c r="S152" s="168">
        <f>'LOE Breakdown by Year'!E125</f>
        <v>0</v>
      </c>
      <c r="T152" s="90">
        <f t="shared" si="183"/>
        <v>6</v>
      </c>
      <c r="U152" s="90">
        <f t="shared" si="198"/>
        <v>0</v>
      </c>
      <c r="V152" s="90">
        <f t="shared" si="199"/>
        <v>0</v>
      </c>
      <c r="W152" s="90">
        <v>0</v>
      </c>
      <c r="X152" s="90">
        <f t="shared" si="200"/>
        <v>0</v>
      </c>
    </row>
    <row r="153" spans="1:24">
      <c r="A153" s="54" t="s">
        <v>351</v>
      </c>
      <c r="B153" s="54">
        <v>70000</v>
      </c>
      <c r="C153" s="54" t="s">
        <v>188</v>
      </c>
      <c r="D153" s="54" t="str">
        <f t="shared" si="175"/>
        <v>Specialist Component 4</v>
      </c>
      <c r="E153" s="168">
        <f>'LOE Breakdown by Year'!E18</f>
        <v>0</v>
      </c>
      <c r="F153" s="96" t="s">
        <v>190</v>
      </c>
      <c r="G153" s="90">
        <f t="shared" si="176"/>
        <v>6</v>
      </c>
      <c r="H153" s="90">
        <f t="shared" si="176"/>
        <v>1666.6666666666667</v>
      </c>
      <c r="I153" s="90">
        <f t="shared" si="194"/>
        <v>0</v>
      </c>
      <c r="J153" s="168">
        <f>'LOE Breakdown by Year'!E45</f>
        <v>0</v>
      </c>
      <c r="K153" s="90">
        <f t="shared" si="178"/>
        <v>12</v>
      </c>
      <c r="L153" s="90">
        <f t="shared" si="195"/>
        <v>0</v>
      </c>
      <c r="M153" s="168">
        <f>'LOE Breakdown by Year'!E72</f>
        <v>0</v>
      </c>
      <c r="N153" s="90">
        <f t="shared" si="179"/>
        <v>12</v>
      </c>
      <c r="O153" s="90">
        <f t="shared" si="196"/>
        <v>0</v>
      </c>
      <c r="P153" s="168">
        <f>'LOE Breakdown by Year'!E99</f>
        <v>0</v>
      </c>
      <c r="Q153" s="90">
        <f t="shared" si="181"/>
        <v>12</v>
      </c>
      <c r="R153" s="90">
        <f t="shared" si="197"/>
        <v>0</v>
      </c>
      <c r="S153" s="168">
        <f>'LOE Breakdown by Year'!E126</f>
        <v>0</v>
      </c>
      <c r="T153" s="90">
        <f t="shared" si="183"/>
        <v>6</v>
      </c>
      <c r="U153" s="90">
        <f t="shared" si="198"/>
        <v>0</v>
      </c>
      <c r="V153" s="90">
        <f t="shared" si="199"/>
        <v>0</v>
      </c>
      <c r="W153" s="90">
        <v>0</v>
      </c>
      <c r="X153" s="90">
        <f t="shared" si="200"/>
        <v>0</v>
      </c>
    </row>
    <row r="154" spans="1:24">
      <c r="A154" s="54" t="s">
        <v>351</v>
      </c>
      <c r="B154" s="54">
        <v>70000</v>
      </c>
      <c r="C154" s="54" t="s">
        <v>188</v>
      </c>
      <c r="D154" s="54" t="str">
        <f t="shared" si="175"/>
        <v>Extension Agents (20 Individuals)</v>
      </c>
      <c r="E154" s="168">
        <f>'LOE Breakdown by Year'!E19</f>
        <v>0.25</v>
      </c>
      <c r="F154" s="96" t="s">
        <v>190</v>
      </c>
      <c r="G154" s="90">
        <f t="shared" si="176"/>
        <v>3</v>
      </c>
      <c r="H154" s="90">
        <f t="shared" si="176"/>
        <v>23333.333333333336</v>
      </c>
      <c r="I154" s="90">
        <f t="shared" ref="I154:I155" si="201">G154*H154*E154</f>
        <v>17500</v>
      </c>
      <c r="J154" s="168">
        <f>'LOE Breakdown by Year'!E46</f>
        <v>0.45</v>
      </c>
      <c r="K154" s="90">
        <f t="shared" si="178"/>
        <v>12</v>
      </c>
      <c r="L154" s="90">
        <f t="shared" ref="L154:L155" si="202">K154*H154*$E$7*$J154</f>
        <v>131040</v>
      </c>
      <c r="M154" s="168">
        <f>'LOE Breakdown by Year'!E73</f>
        <v>0.45</v>
      </c>
      <c r="N154" s="90">
        <f t="shared" si="179"/>
        <v>6</v>
      </c>
      <c r="O154" s="90">
        <f t="shared" ref="O154:O155" si="203">N154*H154*$M154*$E$7*$E$7</f>
        <v>68140.800000000003</v>
      </c>
      <c r="P154" s="168">
        <f>'LOE Breakdown by Year'!E100</f>
        <v>0</v>
      </c>
      <c r="Q154" s="90">
        <f t="shared" si="181"/>
        <v>0</v>
      </c>
      <c r="R154" s="90">
        <f t="shared" ref="R154:R155" si="204">Q154*H154*$P154*$E$7*$E$7*$E$7</f>
        <v>0</v>
      </c>
      <c r="S154" s="168">
        <f>'LOE Breakdown by Year'!E127</f>
        <v>0</v>
      </c>
      <c r="T154" s="90">
        <f t="shared" si="183"/>
        <v>0</v>
      </c>
      <c r="U154" s="90">
        <f t="shared" ref="U154:U155" si="205">T154*H154*$S154*$E$7*$E$7*$E$7*$E$7</f>
        <v>0</v>
      </c>
      <c r="V154" s="90">
        <f t="shared" ref="V154:V155" si="206">SUM(R154,O154,L154,I154,U154)</f>
        <v>216680.8</v>
      </c>
      <c r="W154" s="90">
        <v>0</v>
      </c>
      <c r="X154" s="90">
        <f t="shared" ref="X154:X155" si="207">SUM(V154:W154)</f>
        <v>216680.8</v>
      </c>
    </row>
    <row r="155" spans="1:24">
      <c r="A155" s="54" t="s">
        <v>351</v>
      </c>
      <c r="B155" s="54">
        <v>70000</v>
      </c>
      <c r="C155" s="54" t="s">
        <v>188</v>
      </c>
      <c r="D155" s="54" t="str">
        <f t="shared" si="175"/>
        <v xml:space="preserve">M&amp;E Director </v>
      </c>
      <c r="E155" s="168">
        <f>'LOE Breakdown by Year'!E20</f>
        <v>0.3</v>
      </c>
      <c r="F155" s="96" t="s">
        <v>190</v>
      </c>
      <c r="G155" s="90">
        <f t="shared" si="176"/>
        <v>9</v>
      </c>
      <c r="H155" s="90">
        <f t="shared" si="176"/>
        <v>3750</v>
      </c>
      <c r="I155" s="90">
        <f t="shared" si="201"/>
        <v>10125</v>
      </c>
      <c r="J155" s="168">
        <f>'LOE Breakdown by Year'!E47</f>
        <v>0.25</v>
      </c>
      <c r="K155" s="90">
        <f t="shared" si="178"/>
        <v>12</v>
      </c>
      <c r="L155" s="90">
        <f t="shared" si="202"/>
        <v>11700</v>
      </c>
      <c r="M155" s="168">
        <f>'LOE Breakdown by Year'!E74</f>
        <v>0.25</v>
      </c>
      <c r="N155" s="90">
        <f t="shared" si="179"/>
        <v>12</v>
      </c>
      <c r="O155" s="90">
        <f t="shared" si="203"/>
        <v>12168</v>
      </c>
      <c r="P155" s="168">
        <f>'LOE Breakdown by Year'!E101</f>
        <v>0.25</v>
      </c>
      <c r="Q155" s="90">
        <f t="shared" si="181"/>
        <v>12</v>
      </c>
      <c r="R155" s="90">
        <f t="shared" si="204"/>
        <v>12654.720000000001</v>
      </c>
      <c r="S155" s="168">
        <f>'LOE Breakdown by Year'!E128</f>
        <v>0.25</v>
      </c>
      <c r="T155" s="90">
        <f t="shared" si="183"/>
        <v>12</v>
      </c>
      <c r="U155" s="90">
        <f t="shared" si="205"/>
        <v>13160.908800000001</v>
      </c>
      <c r="V155" s="90">
        <f t="shared" si="206"/>
        <v>59808.628800000006</v>
      </c>
      <c r="W155" s="90">
        <v>0</v>
      </c>
      <c r="X155" s="90">
        <f t="shared" si="207"/>
        <v>59808.628800000006</v>
      </c>
    </row>
    <row r="156" spans="1:24">
      <c r="A156" s="54" t="s">
        <v>351</v>
      </c>
      <c r="B156" s="54">
        <v>70000</v>
      </c>
      <c r="C156" s="54" t="s">
        <v>188</v>
      </c>
      <c r="D156" s="54" t="str">
        <f t="shared" si="175"/>
        <v>M&amp;E Specialist</v>
      </c>
      <c r="E156" s="168">
        <f>'LOE Breakdown by Year'!E21</f>
        <v>0.2</v>
      </c>
      <c r="F156" s="96" t="s">
        <v>190</v>
      </c>
      <c r="G156" s="90">
        <f t="shared" si="176"/>
        <v>6</v>
      </c>
      <c r="H156" s="90">
        <f t="shared" si="176"/>
        <v>2083.3333333333335</v>
      </c>
      <c r="I156" s="90">
        <f t="shared" si="187"/>
        <v>2500</v>
      </c>
      <c r="J156" s="168">
        <f>'LOE Breakdown by Year'!E48</f>
        <v>0.25</v>
      </c>
      <c r="K156" s="90">
        <f t="shared" si="178"/>
        <v>12</v>
      </c>
      <c r="L156" s="90">
        <f t="shared" si="188"/>
        <v>6500</v>
      </c>
      <c r="M156" s="168">
        <f>'LOE Breakdown by Year'!E75</f>
        <v>0.25</v>
      </c>
      <c r="N156" s="90">
        <f t="shared" si="179"/>
        <v>12</v>
      </c>
      <c r="O156" s="90">
        <f t="shared" si="189"/>
        <v>6760</v>
      </c>
      <c r="P156" s="168">
        <f>'LOE Breakdown by Year'!E102</f>
        <v>0.25</v>
      </c>
      <c r="Q156" s="90">
        <f t="shared" si="181"/>
        <v>12</v>
      </c>
      <c r="R156" s="90">
        <f t="shared" si="190"/>
        <v>7030.4000000000005</v>
      </c>
      <c r="S156" s="168">
        <f>'LOE Breakdown by Year'!E129</f>
        <v>0.25</v>
      </c>
      <c r="T156" s="90">
        <f t="shared" si="183"/>
        <v>10</v>
      </c>
      <c r="U156" s="90">
        <f t="shared" si="191"/>
        <v>6093.013333333336</v>
      </c>
      <c r="V156" s="90">
        <f t="shared" si="192"/>
        <v>28883.413333333338</v>
      </c>
      <c r="W156" s="90">
        <v>0</v>
      </c>
      <c r="X156" s="90">
        <f t="shared" si="193"/>
        <v>28883.413333333338</v>
      </c>
    </row>
    <row r="157" spans="1:24">
      <c r="A157" s="54" t="s">
        <v>351</v>
      </c>
      <c r="B157" s="54">
        <v>70000</v>
      </c>
      <c r="C157" s="54" t="s">
        <v>188</v>
      </c>
      <c r="D157" s="54" t="str">
        <f t="shared" si="175"/>
        <v xml:space="preserve">F&amp;A Director </v>
      </c>
      <c r="E157" s="168">
        <f>'LOE Breakdown by Year'!E22</f>
        <v>0.2</v>
      </c>
      <c r="F157" s="96" t="s">
        <v>190</v>
      </c>
      <c r="G157" s="90">
        <f t="shared" si="176"/>
        <v>9</v>
      </c>
      <c r="H157" s="90">
        <f t="shared" si="176"/>
        <v>6666.666666666667</v>
      </c>
      <c r="I157" s="90">
        <f t="shared" si="187"/>
        <v>12000</v>
      </c>
      <c r="J157" s="168">
        <f>'LOE Breakdown by Year'!E49</f>
        <v>0.25</v>
      </c>
      <c r="K157" s="90">
        <f t="shared" si="178"/>
        <v>12</v>
      </c>
      <c r="L157" s="90">
        <f t="shared" si="188"/>
        <v>20800</v>
      </c>
      <c r="M157" s="168">
        <f>'LOE Breakdown by Year'!E76</f>
        <v>0.25</v>
      </c>
      <c r="N157" s="90">
        <f t="shared" si="179"/>
        <v>12</v>
      </c>
      <c r="O157" s="90">
        <f t="shared" si="189"/>
        <v>21632</v>
      </c>
      <c r="P157" s="168">
        <f>'LOE Breakdown by Year'!E103</f>
        <v>0.25</v>
      </c>
      <c r="Q157" s="90">
        <f t="shared" si="181"/>
        <v>12</v>
      </c>
      <c r="R157" s="90">
        <f t="shared" si="190"/>
        <v>22497.280000000002</v>
      </c>
      <c r="S157" s="168">
        <f>'LOE Breakdown by Year'!E130</f>
        <v>0.25</v>
      </c>
      <c r="T157" s="90">
        <f t="shared" si="183"/>
        <v>12</v>
      </c>
      <c r="U157" s="90">
        <f t="shared" si="191"/>
        <v>23397.171200000004</v>
      </c>
      <c r="V157" s="90">
        <f t="shared" si="192"/>
        <v>100326.45120000001</v>
      </c>
      <c r="W157" s="90">
        <v>0</v>
      </c>
      <c r="X157" s="90">
        <f t="shared" si="193"/>
        <v>100326.45120000001</v>
      </c>
    </row>
    <row r="158" spans="1:24">
      <c r="A158" s="54" t="s">
        <v>351</v>
      </c>
      <c r="B158" s="54">
        <v>70000</v>
      </c>
      <c r="C158" s="54" t="s">
        <v>188</v>
      </c>
      <c r="D158" s="54" t="str">
        <f t="shared" si="175"/>
        <v>Human Resource Manager</v>
      </c>
      <c r="E158" s="168">
        <f>'LOE Breakdown by Year'!E23</f>
        <v>0.25</v>
      </c>
      <c r="F158" s="96" t="s">
        <v>190</v>
      </c>
      <c r="G158" s="90">
        <f t="shared" si="176"/>
        <v>9</v>
      </c>
      <c r="H158" s="90">
        <f t="shared" si="176"/>
        <v>2916.6666666666665</v>
      </c>
      <c r="I158" s="90">
        <f t="shared" ref="I158" si="208">G158*H158*E158</f>
        <v>6562.5</v>
      </c>
      <c r="J158" s="168">
        <f>'LOE Breakdown by Year'!E50</f>
        <v>0.3</v>
      </c>
      <c r="K158" s="90">
        <f t="shared" si="178"/>
        <v>12</v>
      </c>
      <c r="L158" s="90">
        <f t="shared" ref="L158" si="209">K158*H158*$E$7*$J158</f>
        <v>10920</v>
      </c>
      <c r="M158" s="168">
        <f>'LOE Breakdown by Year'!E77</f>
        <v>0.25</v>
      </c>
      <c r="N158" s="90">
        <f t="shared" si="179"/>
        <v>12</v>
      </c>
      <c r="O158" s="90">
        <f t="shared" ref="O158" si="210">N158*H158*$M158*$E$7*$E$7</f>
        <v>9464</v>
      </c>
      <c r="P158" s="168">
        <f>'LOE Breakdown by Year'!E104</f>
        <v>0.25</v>
      </c>
      <c r="Q158" s="90">
        <f t="shared" si="181"/>
        <v>12</v>
      </c>
      <c r="R158" s="90">
        <f t="shared" ref="R158" si="211">Q158*H158*$P158*$E$7*$E$7*$E$7</f>
        <v>9842.56</v>
      </c>
      <c r="S158" s="168">
        <f>'LOE Breakdown by Year'!E131</f>
        <v>0.25</v>
      </c>
      <c r="T158" s="90">
        <f t="shared" si="183"/>
        <v>10</v>
      </c>
      <c r="U158" s="90">
        <f t="shared" ref="U158" si="212">T158*H158*$S158*$E$7*$E$7*$E$7*$E$7</f>
        <v>8530.2186666666676</v>
      </c>
      <c r="V158" s="90">
        <f t="shared" ref="V158" si="213">SUM(R158,O158,L158,I158,U158)</f>
        <v>45319.278666666665</v>
      </c>
      <c r="W158" s="90">
        <v>0</v>
      </c>
      <c r="X158" s="90">
        <f t="shared" ref="X158" si="214">SUM(V158:W158)</f>
        <v>45319.278666666665</v>
      </c>
    </row>
    <row r="159" spans="1:24">
      <c r="A159" s="54" t="s">
        <v>351</v>
      </c>
      <c r="B159" s="54">
        <v>70000</v>
      </c>
      <c r="C159" s="54" t="s">
        <v>188</v>
      </c>
      <c r="D159" s="54" t="str">
        <f t="shared" si="175"/>
        <v>Contracts &amp; Compliance Specialist</v>
      </c>
      <c r="E159" s="168">
        <f>'LOE Breakdown by Year'!E24</f>
        <v>0.25</v>
      </c>
      <c r="F159" s="96" t="s">
        <v>190</v>
      </c>
      <c r="G159" s="90">
        <f t="shared" si="176"/>
        <v>6</v>
      </c>
      <c r="H159" s="90">
        <f t="shared" si="176"/>
        <v>2916.6666666666665</v>
      </c>
      <c r="I159" s="90">
        <f t="shared" si="187"/>
        <v>4375</v>
      </c>
      <c r="J159" s="168">
        <f>'LOE Breakdown by Year'!E51</f>
        <v>0.25</v>
      </c>
      <c r="K159" s="90">
        <f t="shared" si="178"/>
        <v>12</v>
      </c>
      <c r="L159" s="90">
        <f t="shared" si="188"/>
        <v>9100</v>
      </c>
      <c r="M159" s="168">
        <f>'LOE Breakdown by Year'!E78</f>
        <v>0.25</v>
      </c>
      <c r="N159" s="90">
        <f t="shared" si="179"/>
        <v>12</v>
      </c>
      <c r="O159" s="90">
        <f t="shared" si="189"/>
        <v>9464</v>
      </c>
      <c r="P159" s="168">
        <f>'LOE Breakdown by Year'!E105</f>
        <v>0.25</v>
      </c>
      <c r="Q159" s="90">
        <f t="shared" si="181"/>
        <v>12</v>
      </c>
      <c r="R159" s="90">
        <f t="shared" si="190"/>
        <v>9842.56</v>
      </c>
      <c r="S159" s="168">
        <f>'LOE Breakdown by Year'!E132</f>
        <v>0.25</v>
      </c>
      <c r="T159" s="90">
        <f t="shared" si="183"/>
        <v>9</v>
      </c>
      <c r="U159" s="90">
        <f t="shared" si="191"/>
        <v>7677.1968000000006</v>
      </c>
      <c r="V159" s="90">
        <f t="shared" si="192"/>
        <v>40458.756799999996</v>
      </c>
      <c r="W159" s="90">
        <v>0</v>
      </c>
      <c r="X159" s="90">
        <f t="shared" si="193"/>
        <v>40458.756799999996</v>
      </c>
    </row>
    <row r="160" spans="1:24">
      <c r="A160" s="54" t="s">
        <v>351</v>
      </c>
      <c r="B160" s="54">
        <v>70000</v>
      </c>
      <c r="C160" s="54" t="s">
        <v>188</v>
      </c>
      <c r="D160" s="54" t="str">
        <f t="shared" si="175"/>
        <v xml:space="preserve">Accountant </v>
      </c>
      <c r="E160" s="168">
        <f>'LOE Breakdown by Year'!E25</f>
        <v>0.2</v>
      </c>
      <c r="F160" s="96" t="s">
        <v>190</v>
      </c>
      <c r="G160" s="90">
        <f t="shared" si="176"/>
        <v>7</v>
      </c>
      <c r="H160" s="90">
        <f t="shared" si="176"/>
        <v>1666.6666666666667</v>
      </c>
      <c r="I160" s="90">
        <f t="shared" si="187"/>
        <v>2333.3333333333335</v>
      </c>
      <c r="J160" s="168">
        <f>'LOE Breakdown by Year'!E52</f>
        <v>0.2</v>
      </c>
      <c r="K160" s="90">
        <f t="shared" si="178"/>
        <v>12</v>
      </c>
      <c r="L160" s="90">
        <f t="shared" si="188"/>
        <v>4160</v>
      </c>
      <c r="M160" s="168">
        <f>'LOE Breakdown by Year'!E79</f>
        <v>0.2</v>
      </c>
      <c r="N160" s="90">
        <f t="shared" si="179"/>
        <v>12</v>
      </c>
      <c r="O160" s="90">
        <f t="shared" si="189"/>
        <v>4326.4000000000005</v>
      </c>
      <c r="P160" s="168">
        <f>'LOE Breakdown by Year'!E106</f>
        <v>0.2</v>
      </c>
      <c r="Q160" s="90">
        <f t="shared" si="181"/>
        <v>12</v>
      </c>
      <c r="R160" s="90">
        <f t="shared" si="190"/>
        <v>4499.456000000001</v>
      </c>
      <c r="S160" s="168">
        <f>'LOE Breakdown by Year'!E133</f>
        <v>0.2</v>
      </c>
      <c r="T160" s="90">
        <f t="shared" si="183"/>
        <v>10</v>
      </c>
      <c r="U160" s="90">
        <f t="shared" si="191"/>
        <v>3899.528533333335</v>
      </c>
      <c r="V160" s="90">
        <f t="shared" si="192"/>
        <v>19218.71786666667</v>
      </c>
      <c r="W160" s="90">
        <v>0</v>
      </c>
      <c r="X160" s="90">
        <f t="shared" si="193"/>
        <v>19218.71786666667</v>
      </c>
    </row>
    <row r="161" spans="1:24">
      <c r="A161" s="54" t="s">
        <v>351</v>
      </c>
      <c r="B161" s="54">
        <v>70000</v>
      </c>
      <c r="C161" s="54" t="s">
        <v>188</v>
      </c>
      <c r="D161" s="54" t="str">
        <f t="shared" si="175"/>
        <v xml:space="preserve">Administrative Assistant </v>
      </c>
      <c r="E161" s="168">
        <f>'LOE Breakdown by Year'!E26</f>
        <v>0.2</v>
      </c>
      <c r="F161" s="96" t="s">
        <v>190</v>
      </c>
      <c r="G161" s="90">
        <f t="shared" si="176"/>
        <v>7</v>
      </c>
      <c r="H161" s="90">
        <f t="shared" si="176"/>
        <v>833.33333333333337</v>
      </c>
      <c r="I161" s="90">
        <f t="shared" si="187"/>
        <v>1166.6666666666667</v>
      </c>
      <c r="J161" s="168">
        <f>'LOE Breakdown by Year'!E53</f>
        <v>0.2</v>
      </c>
      <c r="K161" s="90">
        <f t="shared" si="178"/>
        <v>12</v>
      </c>
      <c r="L161" s="90">
        <f t="shared" si="188"/>
        <v>2080</v>
      </c>
      <c r="M161" s="168">
        <f>'LOE Breakdown by Year'!E80</f>
        <v>0.2</v>
      </c>
      <c r="N161" s="90">
        <f t="shared" si="179"/>
        <v>12</v>
      </c>
      <c r="O161" s="90">
        <f t="shared" si="189"/>
        <v>2163.2000000000003</v>
      </c>
      <c r="P161" s="168">
        <f>'LOE Breakdown by Year'!E107</f>
        <v>0.2</v>
      </c>
      <c r="Q161" s="90">
        <f t="shared" si="181"/>
        <v>12</v>
      </c>
      <c r="R161" s="90">
        <f t="shared" si="190"/>
        <v>2249.7280000000005</v>
      </c>
      <c r="S161" s="168">
        <f>'LOE Breakdown by Year'!E134</f>
        <v>0.2</v>
      </c>
      <c r="T161" s="90">
        <f t="shared" si="183"/>
        <v>10</v>
      </c>
      <c r="U161" s="90">
        <f t="shared" si="191"/>
        <v>1949.7642666666675</v>
      </c>
      <c r="V161" s="90">
        <f t="shared" si="192"/>
        <v>9609.3589333333348</v>
      </c>
      <c r="W161" s="90">
        <v>0</v>
      </c>
      <c r="X161" s="90">
        <f t="shared" si="193"/>
        <v>9609.3589333333348</v>
      </c>
    </row>
    <row r="162" spans="1:24">
      <c r="A162" s="54" t="s">
        <v>351</v>
      </c>
      <c r="B162" s="54">
        <v>70000</v>
      </c>
      <c r="C162" s="54" t="s">
        <v>188</v>
      </c>
      <c r="D162" s="54" t="str">
        <f t="shared" si="175"/>
        <v>Security Guards</v>
      </c>
      <c r="E162" s="168">
        <f>'LOE Breakdown by Year'!E27</f>
        <v>0.2</v>
      </c>
      <c r="F162" s="96" t="s">
        <v>190</v>
      </c>
      <c r="G162" s="90">
        <f t="shared" si="176"/>
        <v>8</v>
      </c>
      <c r="H162" s="90">
        <f t="shared" si="176"/>
        <v>666.66666666666663</v>
      </c>
      <c r="I162" s="90">
        <f t="shared" si="187"/>
        <v>1066.6666666666667</v>
      </c>
      <c r="J162" s="168">
        <f>'LOE Breakdown by Year'!E54</f>
        <v>0.25</v>
      </c>
      <c r="K162" s="90">
        <f t="shared" si="178"/>
        <v>12</v>
      </c>
      <c r="L162" s="90">
        <f t="shared" si="188"/>
        <v>2080</v>
      </c>
      <c r="M162" s="168">
        <f>'LOE Breakdown by Year'!E81</f>
        <v>0.25</v>
      </c>
      <c r="N162" s="90">
        <f t="shared" si="179"/>
        <v>12</v>
      </c>
      <c r="O162" s="90">
        <f t="shared" si="189"/>
        <v>2163.2000000000003</v>
      </c>
      <c r="P162" s="168">
        <f>'LOE Breakdown by Year'!E108</f>
        <v>0.25</v>
      </c>
      <c r="Q162" s="90">
        <f t="shared" si="181"/>
        <v>12</v>
      </c>
      <c r="R162" s="90">
        <f t="shared" si="190"/>
        <v>2249.7280000000005</v>
      </c>
      <c r="S162" s="168">
        <f>'LOE Breakdown by Year'!E135</f>
        <v>0.25</v>
      </c>
      <c r="T162" s="90">
        <f t="shared" si="183"/>
        <v>10</v>
      </c>
      <c r="U162" s="90">
        <f t="shared" si="191"/>
        <v>1949.764266666667</v>
      </c>
      <c r="V162" s="90">
        <f t="shared" si="192"/>
        <v>9509.3589333333348</v>
      </c>
      <c r="W162" s="90">
        <v>0</v>
      </c>
      <c r="X162" s="90">
        <f t="shared" si="193"/>
        <v>9509.3589333333348</v>
      </c>
    </row>
    <row r="163" spans="1:24">
      <c r="A163" s="54" t="s">
        <v>351</v>
      </c>
      <c r="B163" s="54">
        <v>70000</v>
      </c>
      <c r="C163" s="54" t="s">
        <v>188</v>
      </c>
      <c r="D163" s="54" t="str">
        <f t="shared" si="175"/>
        <v>Driver (2 Individuals)</v>
      </c>
      <c r="E163" s="168">
        <f>'LOE Breakdown by Year'!E28</f>
        <v>0.2</v>
      </c>
      <c r="F163" s="96" t="s">
        <v>190</v>
      </c>
      <c r="G163" s="90">
        <f t="shared" si="176"/>
        <v>6</v>
      </c>
      <c r="H163" s="90">
        <f t="shared" si="176"/>
        <v>1333.3333333333333</v>
      </c>
      <c r="I163" s="90">
        <f t="shared" si="187"/>
        <v>1600</v>
      </c>
      <c r="J163" s="168">
        <f>'LOE Breakdown by Year'!E55</f>
        <v>0.25</v>
      </c>
      <c r="K163" s="90">
        <f t="shared" si="178"/>
        <v>12</v>
      </c>
      <c r="L163" s="90">
        <f t="shared" si="188"/>
        <v>4160</v>
      </c>
      <c r="M163" s="168">
        <f>'LOE Breakdown by Year'!E82</f>
        <v>0.25</v>
      </c>
      <c r="N163" s="90">
        <f t="shared" si="179"/>
        <v>12</v>
      </c>
      <c r="O163" s="90">
        <f t="shared" si="189"/>
        <v>4326.4000000000005</v>
      </c>
      <c r="P163" s="168">
        <f>'LOE Breakdown by Year'!E109</f>
        <v>0.25</v>
      </c>
      <c r="Q163" s="90">
        <f t="shared" si="181"/>
        <v>12</v>
      </c>
      <c r="R163" s="90">
        <f t="shared" si="190"/>
        <v>4499.456000000001</v>
      </c>
      <c r="S163" s="168">
        <f>'LOE Breakdown by Year'!E136</f>
        <v>0.25</v>
      </c>
      <c r="T163" s="90">
        <f t="shared" si="183"/>
        <v>9</v>
      </c>
      <c r="U163" s="90">
        <f t="shared" si="191"/>
        <v>3509.5756800000004</v>
      </c>
      <c r="V163" s="90">
        <f t="shared" si="192"/>
        <v>18095.431680000002</v>
      </c>
      <c r="W163" s="90">
        <v>0</v>
      </c>
      <c r="X163" s="90">
        <f t="shared" si="193"/>
        <v>18095.431680000002</v>
      </c>
    </row>
    <row r="164" spans="1:24">
      <c r="A164" s="87"/>
      <c r="B164" s="87"/>
      <c r="C164" s="87"/>
      <c r="D164" s="87" t="s">
        <v>352</v>
      </c>
      <c r="E164" s="181"/>
      <c r="F164" s="92"/>
      <c r="G164" s="93"/>
      <c r="H164" s="93"/>
      <c r="I164" s="94">
        <f>SUM(I146:I163)</f>
        <v>107729.16666666667</v>
      </c>
      <c r="J164" s="181"/>
      <c r="K164" s="94"/>
      <c r="L164" s="94">
        <f>SUM(L146:L163)</f>
        <v>291200</v>
      </c>
      <c r="M164" s="181"/>
      <c r="N164" s="94"/>
      <c r="O164" s="94">
        <f>SUM(O146:O163)</f>
        <v>232814.40000000002</v>
      </c>
      <c r="P164" s="181"/>
      <c r="Q164" s="94"/>
      <c r="R164" s="94">
        <f>SUM(R146:R163)</f>
        <v>171260.54400000002</v>
      </c>
      <c r="S164" s="181"/>
      <c r="T164" s="94"/>
      <c r="U164" s="94">
        <f>SUM(U146:U163)</f>
        <v>152934.63466666671</v>
      </c>
      <c r="V164" s="94">
        <f>SUM(V146:V163)</f>
        <v>955938.74533333327</v>
      </c>
      <c r="W164" s="94">
        <f>SUM(W146:W163)</f>
        <v>0</v>
      </c>
      <c r="X164" s="94">
        <f>SUM(X146:X163)</f>
        <v>955938.74533333327</v>
      </c>
    </row>
    <row r="165" spans="1:24">
      <c r="A165" s="153"/>
      <c r="B165" s="153"/>
      <c r="C165" s="153"/>
      <c r="D165" s="153"/>
      <c r="E165" s="182"/>
      <c r="F165" s="129"/>
      <c r="G165" s="109"/>
      <c r="H165" s="109"/>
      <c r="I165" s="109"/>
      <c r="J165" s="182"/>
      <c r="K165" s="109"/>
      <c r="L165" s="109"/>
      <c r="M165" s="182"/>
      <c r="N165" s="109"/>
      <c r="O165" s="109"/>
      <c r="P165" s="182"/>
      <c r="Q165" s="109"/>
      <c r="R165" s="109"/>
      <c r="S165" s="182"/>
      <c r="T165" s="109"/>
      <c r="U165" s="109"/>
      <c r="V165" s="109"/>
      <c r="W165" s="109"/>
      <c r="X165" s="109"/>
    </row>
    <row r="166" spans="1:24">
      <c r="A166" s="87"/>
      <c r="B166" s="87"/>
      <c r="C166" s="87"/>
      <c r="D166" s="87" t="s">
        <v>353</v>
      </c>
      <c r="E166" s="181"/>
      <c r="F166" s="92"/>
      <c r="G166" s="93"/>
      <c r="H166" s="93"/>
      <c r="I166" s="94"/>
      <c r="J166" s="181"/>
      <c r="K166" s="94"/>
      <c r="L166" s="94"/>
      <c r="M166" s="181"/>
      <c r="N166" s="94"/>
      <c r="O166" s="94"/>
      <c r="P166" s="181"/>
      <c r="Q166" s="94"/>
      <c r="R166" s="94"/>
      <c r="S166" s="181"/>
      <c r="T166" s="94"/>
      <c r="U166" s="94"/>
      <c r="V166" s="94"/>
      <c r="W166" s="94"/>
      <c r="X166" s="94"/>
    </row>
    <row r="167" spans="1:24">
      <c r="A167" s="54" t="s">
        <v>354</v>
      </c>
      <c r="B167" s="54">
        <v>70015</v>
      </c>
      <c r="C167" s="54" t="s">
        <v>188</v>
      </c>
      <c r="D167" s="54" t="str">
        <f>$D$37</f>
        <v>Fringe Benefits CCN - Mauritania</v>
      </c>
      <c r="E167" s="169"/>
      <c r="F167" s="130" t="s">
        <v>145</v>
      </c>
      <c r="G167" s="90"/>
      <c r="H167" s="106">
        <f>H37</f>
        <v>0.26919999999999999</v>
      </c>
      <c r="I167" s="90">
        <f>(SUM(I147:I163))*$H$167</f>
        <v>21193.891666666666</v>
      </c>
      <c r="J167" s="169"/>
      <c r="K167" s="90"/>
      <c r="L167" s="90">
        <f>(SUM(L147:L163))*$H$167</f>
        <v>68242.2</v>
      </c>
      <c r="M167" s="169"/>
      <c r="N167" s="90"/>
      <c r="O167" s="90">
        <f>(SUM(O147:O163))*$H$167</f>
        <v>52118.842880000004</v>
      </c>
      <c r="P167" s="169"/>
      <c r="Q167" s="90"/>
      <c r="R167" s="90">
        <f>(SUM(R147:R163))*$H$167</f>
        <v>35126.353100800006</v>
      </c>
      <c r="S167" s="169"/>
      <c r="T167" s="90"/>
      <c r="U167" s="90">
        <f>(SUM(U147:U163))*$H$167</f>
        <v>29753.938894506668</v>
      </c>
      <c r="V167" s="90">
        <f t="shared" ref="V167:V170" si="215">SUM(R167,O167,L167,I167,U167)</f>
        <v>206435.22654197333</v>
      </c>
      <c r="W167" s="109">
        <v>0</v>
      </c>
      <c r="X167" s="90">
        <f>SUM(V167:W167)</f>
        <v>206435.22654197333</v>
      </c>
    </row>
    <row r="168" spans="1:24">
      <c r="A168" s="54" t="s">
        <v>354</v>
      </c>
      <c r="B168" s="54">
        <v>70015</v>
      </c>
      <c r="C168" s="54" t="s">
        <v>188</v>
      </c>
      <c r="D168" s="91" t="str">
        <f>$D$39</f>
        <v>Fringe Benefits Package for Ex-pat Chief of Party</v>
      </c>
      <c r="E168" s="174"/>
      <c r="F168" s="130" t="s">
        <v>145</v>
      </c>
      <c r="H168" s="106">
        <f>H39</f>
        <v>0.23469999999999999</v>
      </c>
      <c r="I168" s="131">
        <f>I146*$H$168</f>
        <v>6806.3</v>
      </c>
      <c r="J168" s="174"/>
      <c r="K168" s="131"/>
      <c r="L168" s="131">
        <f>L146*$H$168</f>
        <v>8848.19</v>
      </c>
      <c r="M168" s="174"/>
      <c r="N168" s="131"/>
      <c r="O168" s="131">
        <f>O146*$H$168</f>
        <v>9202.1175999999996</v>
      </c>
      <c r="P168" s="174"/>
      <c r="Q168" s="131"/>
      <c r="R168" s="131">
        <f>R146*$H$168</f>
        <v>9570.2023040000004</v>
      </c>
      <c r="S168" s="174"/>
      <c r="T168" s="131"/>
      <c r="U168" s="131">
        <f>U146*$H$168</f>
        <v>9953.0103961600016</v>
      </c>
      <c r="V168" s="90">
        <f t="shared" si="215"/>
        <v>44379.820300160005</v>
      </c>
      <c r="W168" s="90" t="s">
        <v>217</v>
      </c>
      <c r="X168" s="90">
        <f>SUM(V168:W168)</f>
        <v>44379.820300160005</v>
      </c>
    </row>
    <row r="169" spans="1:24">
      <c r="A169" s="52" t="s">
        <v>355</v>
      </c>
      <c r="B169" s="52">
        <v>50202</v>
      </c>
      <c r="C169" s="54" t="s">
        <v>188</v>
      </c>
      <c r="D169" s="91" t="str">
        <f>$D$40</f>
        <v>Cost of Living Adjustment for Ex-pat Chief of Party</v>
      </c>
      <c r="E169" s="174"/>
      <c r="F169" s="130" t="s">
        <v>145</v>
      </c>
      <c r="H169" s="106">
        <f>H40</f>
        <v>0.15</v>
      </c>
      <c r="I169" s="131">
        <f>I146*$H$169</f>
        <v>4350</v>
      </c>
      <c r="J169" s="174"/>
      <c r="K169" s="131"/>
      <c r="L169" s="131">
        <f>L146*$H$169</f>
        <v>5655</v>
      </c>
      <c r="M169" s="174"/>
      <c r="N169" s="131"/>
      <c r="O169" s="131">
        <f>O146*$H$169</f>
        <v>5881.2</v>
      </c>
      <c r="P169" s="174"/>
      <c r="Q169" s="131"/>
      <c r="R169" s="131">
        <f>R146*$H$169</f>
        <v>6116.4479999999994</v>
      </c>
      <c r="S169" s="174"/>
      <c r="T169" s="131"/>
      <c r="U169" s="131">
        <f>U146*$H$169</f>
        <v>6361.1059200000009</v>
      </c>
      <c r="V169" s="90">
        <f t="shared" si="215"/>
        <v>28363.753920000003</v>
      </c>
      <c r="W169" s="90" t="s">
        <v>217</v>
      </c>
      <c r="X169" s="90">
        <f t="shared" ref="X169:X170" si="216">SUM(V169:W169)</f>
        <v>28363.753920000003</v>
      </c>
    </row>
    <row r="170" spans="1:24">
      <c r="A170" s="52" t="s">
        <v>356</v>
      </c>
      <c r="B170" s="52">
        <v>50203</v>
      </c>
      <c r="C170" s="54" t="s">
        <v>188</v>
      </c>
      <c r="D170" s="91" t="str">
        <f>$D$41</f>
        <v>Post Hardship for Ex-pat Chief of Party</v>
      </c>
      <c r="E170" s="174"/>
      <c r="F170" s="130" t="s">
        <v>145</v>
      </c>
      <c r="H170" s="106">
        <f>H41</f>
        <v>0.35</v>
      </c>
      <c r="I170" s="131">
        <f>I146*$H$170</f>
        <v>10150</v>
      </c>
      <c r="J170" s="174"/>
      <c r="K170" s="131"/>
      <c r="L170" s="131">
        <f>L146*$H$170</f>
        <v>13195</v>
      </c>
      <c r="M170" s="174"/>
      <c r="N170" s="131"/>
      <c r="O170" s="131">
        <f>O146*$H$170</f>
        <v>13722.8</v>
      </c>
      <c r="P170" s="174"/>
      <c r="Q170" s="131"/>
      <c r="R170" s="131">
        <f>R146*$H$170</f>
        <v>14271.712</v>
      </c>
      <c r="S170" s="174"/>
      <c r="T170" s="131"/>
      <c r="U170" s="131">
        <f>U146*$H$170</f>
        <v>14842.580480000001</v>
      </c>
      <c r="V170" s="90">
        <f t="shared" si="215"/>
        <v>66182.092480000007</v>
      </c>
      <c r="W170" s="90" t="s">
        <v>217</v>
      </c>
      <c r="X170" s="90">
        <f t="shared" si="216"/>
        <v>66182.092480000007</v>
      </c>
    </row>
    <row r="171" spans="1:24">
      <c r="A171" s="87"/>
      <c r="B171" s="87"/>
      <c r="C171" s="87"/>
      <c r="D171" s="87" t="s">
        <v>357</v>
      </c>
      <c r="E171" s="181"/>
      <c r="F171" s="92"/>
      <c r="G171" s="93"/>
      <c r="H171" s="93"/>
      <c r="I171" s="94">
        <f>SUM(I167:I170)</f>
        <v>42500.191666666666</v>
      </c>
      <c r="J171" s="181"/>
      <c r="K171" s="94"/>
      <c r="L171" s="94">
        <f>SUM(L167:L170)</f>
        <v>95940.39</v>
      </c>
      <c r="M171" s="181"/>
      <c r="N171" s="94"/>
      <c r="O171" s="94">
        <f>SUM(O167:O170)</f>
        <v>80924.960480000009</v>
      </c>
      <c r="P171" s="181"/>
      <c r="Q171" s="94"/>
      <c r="R171" s="94">
        <f>SUM(R167:R170)</f>
        <v>65084.715404800001</v>
      </c>
      <c r="S171" s="181"/>
      <c r="T171" s="94"/>
      <c r="U171" s="94">
        <f>SUM(U167:U170)</f>
        <v>60910.635690666677</v>
      </c>
      <c r="V171" s="94">
        <f>SUM(V167:V170)</f>
        <v>345360.89324213332</v>
      </c>
      <c r="W171" s="94">
        <f>SUM(W167:W170)</f>
        <v>0</v>
      </c>
      <c r="X171" s="94">
        <f>SUM(X167:X170)</f>
        <v>345360.89324213332</v>
      </c>
    </row>
    <row r="172" spans="1:24">
      <c r="A172" s="153"/>
      <c r="B172" s="153"/>
      <c r="C172" s="153"/>
      <c r="D172" s="153"/>
      <c r="E172" s="182"/>
      <c r="F172" s="129"/>
      <c r="G172" s="109"/>
      <c r="H172" s="109"/>
      <c r="I172" s="154"/>
      <c r="J172" s="182"/>
      <c r="K172" s="154"/>
      <c r="L172" s="154"/>
      <c r="M172" s="182"/>
      <c r="N172" s="154"/>
      <c r="O172" s="154"/>
      <c r="P172" s="182"/>
      <c r="Q172" s="154"/>
      <c r="R172" s="154"/>
      <c r="S172" s="182"/>
      <c r="T172" s="154"/>
      <c r="U172" s="154"/>
      <c r="V172" s="154"/>
      <c r="W172" s="154"/>
      <c r="X172" s="154"/>
    </row>
    <row r="173" spans="1:24">
      <c r="A173" s="87"/>
      <c r="B173" s="87"/>
      <c r="C173" s="87"/>
      <c r="D173" s="87" t="s">
        <v>358</v>
      </c>
      <c r="E173" s="181"/>
      <c r="F173" s="92"/>
      <c r="G173" s="93"/>
      <c r="H173" s="93"/>
      <c r="I173" s="93"/>
      <c r="J173" s="181"/>
      <c r="K173" s="93"/>
      <c r="L173" s="93"/>
      <c r="M173" s="181"/>
      <c r="N173" s="93"/>
      <c r="O173" s="93"/>
      <c r="P173" s="181"/>
      <c r="Q173" s="93"/>
      <c r="R173" s="93"/>
      <c r="S173" s="181"/>
      <c r="T173" s="93"/>
      <c r="U173" s="93"/>
      <c r="V173" s="93"/>
      <c r="W173" s="93"/>
      <c r="X173" s="93"/>
    </row>
    <row r="174" spans="1:24" ht="25.2">
      <c r="A174" s="54" t="s">
        <v>359</v>
      </c>
      <c r="B174" s="52">
        <v>81010</v>
      </c>
      <c r="C174" s="54" t="s">
        <v>188</v>
      </c>
      <c r="D174" s="54" t="s">
        <v>360</v>
      </c>
      <c r="F174" s="54" t="s">
        <v>258</v>
      </c>
      <c r="G174" s="229">
        <v>0.5</v>
      </c>
      <c r="H174" s="90">
        <v>300000</v>
      </c>
      <c r="I174" s="90">
        <f>G174*H174</f>
        <v>150000</v>
      </c>
      <c r="J174" s="177"/>
      <c r="K174" s="229">
        <v>0.5</v>
      </c>
      <c r="L174" s="90">
        <f>H174*K174</f>
        <v>150000</v>
      </c>
      <c r="M174" s="177"/>
      <c r="N174" s="90">
        <v>0</v>
      </c>
      <c r="O174" s="90">
        <f>H174*N174</f>
        <v>0</v>
      </c>
      <c r="P174" s="177"/>
      <c r="Q174" s="90">
        <v>0</v>
      </c>
      <c r="R174" s="90">
        <f>H174*Q174</f>
        <v>0</v>
      </c>
      <c r="S174" s="177"/>
      <c r="T174" s="90">
        <v>0</v>
      </c>
      <c r="U174" s="90">
        <f>H174*T174</f>
        <v>0</v>
      </c>
      <c r="V174" s="90">
        <f>SUM(R174,O174,L174,I174,U174)</f>
        <v>300000</v>
      </c>
      <c r="W174" s="90" t="s">
        <v>217</v>
      </c>
      <c r="X174" s="90">
        <f>SUM(V174:W174)</f>
        <v>300000</v>
      </c>
    </row>
    <row r="175" spans="1:24" ht="25.2">
      <c r="A175" s="52" t="s">
        <v>361</v>
      </c>
      <c r="B175" s="54">
        <v>81000</v>
      </c>
      <c r="C175" s="54" t="s">
        <v>188</v>
      </c>
      <c r="D175" s="54" t="s">
        <v>362</v>
      </c>
      <c r="F175" s="54" t="s">
        <v>190</v>
      </c>
      <c r="G175" s="90">
        <f>2*3</f>
        <v>6</v>
      </c>
      <c r="H175" s="90">
        <v>6000</v>
      </c>
      <c r="I175" s="90">
        <f>G175*H175</f>
        <v>36000</v>
      </c>
      <c r="J175" s="177"/>
      <c r="K175" s="90">
        <v>0</v>
      </c>
      <c r="L175" s="90">
        <f>H175*K175</f>
        <v>0</v>
      </c>
      <c r="M175" s="177"/>
      <c r="N175" s="90">
        <v>0</v>
      </c>
      <c r="O175" s="90">
        <f>H175*N175</f>
        <v>0</v>
      </c>
      <c r="P175" s="177"/>
      <c r="Q175" s="90">
        <v>0</v>
      </c>
      <c r="R175" s="90">
        <f>H175*Q175</f>
        <v>0</v>
      </c>
      <c r="S175" s="177"/>
      <c r="T175" s="90">
        <v>0</v>
      </c>
      <c r="U175" s="90">
        <f>H175*T175</f>
        <v>0</v>
      </c>
      <c r="V175" s="90">
        <f>SUM(R175,O175,L175,I175,U175)</f>
        <v>36000</v>
      </c>
      <c r="W175" s="90" t="s">
        <v>217</v>
      </c>
      <c r="X175" s="90">
        <f>SUM(V175:W175)</f>
        <v>36000</v>
      </c>
    </row>
    <row r="176" spans="1:24">
      <c r="A176" s="54" t="s">
        <v>363</v>
      </c>
      <c r="B176" s="54">
        <v>86110</v>
      </c>
      <c r="C176" s="54" t="s">
        <v>188</v>
      </c>
      <c r="D176" s="54" t="s">
        <v>264</v>
      </c>
      <c r="E176" s="174"/>
    </row>
    <row r="177" spans="1:24">
      <c r="A177" s="52" t="s">
        <v>361</v>
      </c>
      <c r="B177" s="54">
        <v>81000</v>
      </c>
      <c r="C177" s="54" t="s">
        <v>188</v>
      </c>
      <c r="D177" s="54" t="s">
        <v>266</v>
      </c>
      <c r="E177" s="174"/>
      <c r="F177" s="95" t="s">
        <v>190</v>
      </c>
      <c r="G177" s="90">
        <v>9</v>
      </c>
      <c r="H177" s="90">
        <v>550</v>
      </c>
      <c r="I177" s="90">
        <f>G177*H177</f>
        <v>4950</v>
      </c>
      <c r="J177" s="174"/>
      <c r="K177" s="90">
        <v>12</v>
      </c>
      <c r="L177" s="90">
        <f>K177*H177</f>
        <v>6600</v>
      </c>
      <c r="M177" s="174"/>
      <c r="N177" s="90">
        <v>12</v>
      </c>
      <c r="O177" s="90">
        <f>N177*H177</f>
        <v>6600</v>
      </c>
      <c r="P177" s="174"/>
      <c r="Q177" s="90">
        <v>12</v>
      </c>
      <c r="R177" s="90">
        <f>Q177*H177</f>
        <v>6600</v>
      </c>
      <c r="S177" s="174"/>
      <c r="T177" s="90">
        <v>9</v>
      </c>
      <c r="U177" s="90">
        <f t="shared" ref="U177:U178" si="217">T177*H177</f>
        <v>4950</v>
      </c>
      <c r="V177" s="90">
        <f>SUM(R177,O177,L177,I177,U177)</f>
        <v>29700</v>
      </c>
      <c r="W177" s="90">
        <v>0</v>
      </c>
      <c r="X177" s="90">
        <f t="shared" ref="X177:X178" si="218">V177+W177</f>
        <v>29700</v>
      </c>
    </row>
    <row r="178" spans="1:24" ht="25.2">
      <c r="A178" s="54" t="s">
        <v>364</v>
      </c>
      <c r="B178" s="54">
        <v>81000</v>
      </c>
      <c r="C178" s="54" t="s">
        <v>188</v>
      </c>
      <c r="D178" s="54" t="s">
        <v>269</v>
      </c>
      <c r="E178" s="174"/>
      <c r="F178" s="95" t="s">
        <v>190</v>
      </c>
      <c r="G178" s="90">
        <v>0</v>
      </c>
      <c r="H178" s="90">
        <f>(150000/12)*5%</f>
        <v>625</v>
      </c>
      <c r="I178" s="90">
        <f t="shared" ref="I178" si="219">G178*H178</f>
        <v>0</v>
      </c>
      <c r="J178" s="174"/>
      <c r="K178" s="90">
        <v>12</v>
      </c>
      <c r="L178" s="90">
        <f>K178*H178</f>
        <v>7500</v>
      </c>
      <c r="M178" s="174"/>
      <c r="N178" s="90">
        <v>12</v>
      </c>
      <c r="O178" s="90">
        <f>N178*H178</f>
        <v>7500</v>
      </c>
      <c r="P178" s="174"/>
      <c r="Q178" s="90">
        <v>12</v>
      </c>
      <c r="R178" s="90">
        <f>Q178*H178</f>
        <v>7500</v>
      </c>
      <c r="S178" s="174"/>
      <c r="T178" s="90">
        <v>9</v>
      </c>
      <c r="U178" s="90">
        <f t="shared" si="217"/>
        <v>5625</v>
      </c>
      <c r="V178" s="90">
        <f>SUM(R178,O178,L178,I178,U178)</f>
        <v>28125</v>
      </c>
      <c r="W178" s="90">
        <v>0</v>
      </c>
      <c r="X178" s="90">
        <f t="shared" si="218"/>
        <v>28125</v>
      </c>
    </row>
    <row r="179" spans="1:24">
      <c r="A179" s="87"/>
      <c r="B179" s="87"/>
      <c r="C179" s="87"/>
      <c r="D179" s="87" t="s">
        <v>365</v>
      </c>
      <c r="E179" s="181"/>
      <c r="F179" s="92"/>
      <c r="G179" s="93"/>
      <c r="H179" s="94"/>
      <c r="I179" s="94">
        <f>SUM(I174:I178)</f>
        <v>190950</v>
      </c>
      <c r="J179" s="181"/>
      <c r="K179" s="94"/>
      <c r="L179" s="94">
        <f>SUM(L174:L178)</f>
        <v>164100</v>
      </c>
      <c r="M179" s="181"/>
      <c r="N179" s="94"/>
      <c r="O179" s="94">
        <f>SUM(O174:O178)</f>
        <v>14100</v>
      </c>
      <c r="P179" s="181"/>
      <c r="Q179" s="94"/>
      <c r="R179" s="94">
        <f>SUM(R174:R178)</f>
        <v>14100</v>
      </c>
      <c r="S179" s="181"/>
      <c r="T179" s="94"/>
      <c r="U179" s="94">
        <f>SUM(U174:U178)</f>
        <v>10575</v>
      </c>
      <c r="V179" s="94">
        <f>SUM(V174:V178)</f>
        <v>393825</v>
      </c>
      <c r="W179" s="94">
        <f>SUM(W174:W178)</f>
        <v>0</v>
      </c>
      <c r="X179" s="94">
        <f>SUM(X174:X178)</f>
        <v>393825</v>
      </c>
    </row>
    <row r="180" spans="1:24">
      <c r="A180" s="153"/>
      <c r="B180" s="153"/>
      <c r="C180" s="153"/>
      <c r="D180" s="153"/>
      <c r="E180" s="182"/>
      <c r="F180" s="129"/>
      <c r="G180" s="109"/>
      <c r="H180" s="109"/>
      <c r="I180" s="154"/>
      <c r="J180" s="182"/>
      <c r="K180" s="154"/>
      <c r="L180" s="154"/>
      <c r="M180" s="182"/>
      <c r="N180" s="154"/>
      <c r="O180" s="154"/>
      <c r="P180" s="182"/>
      <c r="Q180" s="154"/>
      <c r="R180" s="154"/>
      <c r="S180" s="182"/>
      <c r="T180" s="154"/>
      <c r="U180" s="154"/>
      <c r="V180" s="154"/>
      <c r="W180" s="154"/>
      <c r="X180" s="154"/>
    </row>
    <row r="181" spans="1:24">
      <c r="A181" s="87"/>
      <c r="B181" s="87"/>
      <c r="C181" s="87"/>
      <c r="D181" s="87" t="s">
        <v>366</v>
      </c>
      <c r="E181" s="181"/>
      <c r="F181" s="92"/>
      <c r="G181" s="93"/>
      <c r="H181" s="93"/>
      <c r="I181" s="93"/>
      <c r="J181" s="181"/>
      <c r="K181" s="93"/>
      <c r="L181" s="93"/>
      <c r="M181" s="181"/>
      <c r="N181" s="93"/>
      <c r="O181" s="93"/>
      <c r="P181" s="181"/>
      <c r="Q181" s="93"/>
      <c r="R181" s="93"/>
      <c r="S181" s="181"/>
      <c r="T181" s="93"/>
      <c r="U181" s="93"/>
      <c r="V181" s="93"/>
      <c r="W181" s="93"/>
      <c r="X181" s="93"/>
    </row>
    <row r="182" spans="1:24">
      <c r="A182" s="54" t="s">
        <v>367</v>
      </c>
      <c r="B182" s="54">
        <v>82420</v>
      </c>
      <c r="C182" s="54" t="s">
        <v>188</v>
      </c>
      <c r="D182" s="54" t="s">
        <v>368</v>
      </c>
      <c r="F182" s="54" t="s">
        <v>258</v>
      </c>
      <c r="G182" s="90">
        <v>4</v>
      </c>
      <c r="H182" s="90">
        <v>3750</v>
      </c>
      <c r="I182" s="90">
        <f>G182*H182</f>
        <v>15000</v>
      </c>
      <c r="J182" s="177"/>
      <c r="K182" s="90">
        <v>4</v>
      </c>
      <c r="L182" s="90">
        <f>H182*K182</f>
        <v>15000</v>
      </c>
      <c r="M182" s="177"/>
      <c r="N182" s="90">
        <v>0</v>
      </c>
      <c r="O182" s="90">
        <f>H182*N182</f>
        <v>0</v>
      </c>
      <c r="P182" s="177"/>
      <c r="Q182" s="90">
        <v>0</v>
      </c>
      <c r="R182" s="90">
        <f>H182*Q182</f>
        <v>0</v>
      </c>
      <c r="S182" s="177"/>
      <c r="T182" s="90">
        <v>0</v>
      </c>
      <c r="U182" s="90">
        <f>H182*T182</f>
        <v>0</v>
      </c>
      <c r="V182" s="90">
        <f t="shared" ref="V182:V184" si="220">SUM(R182,O182,L182,I182,U182)</f>
        <v>30000</v>
      </c>
      <c r="W182" s="90" t="s">
        <v>217</v>
      </c>
      <c r="X182" s="90">
        <f>SUM(V182:W182)</f>
        <v>30000</v>
      </c>
    </row>
    <row r="183" spans="1:24">
      <c r="A183" s="54" t="s">
        <v>369</v>
      </c>
      <c r="B183" s="54">
        <v>82401</v>
      </c>
      <c r="C183" s="54" t="s">
        <v>188</v>
      </c>
      <c r="D183" s="54" t="s">
        <v>370</v>
      </c>
      <c r="E183" s="174"/>
      <c r="F183" s="96" t="s">
        <v>258</v>
      </c>
      <c r="G183" s="90">
        <v>9</v>
      </c>
      <c r="H183" s="90">
        <v>1100</v>
      </c>
      <c r="I183" s="90">
        <f>G183*H183</f>
        <v>9900</v>
      </c>
      <c r="J183" s="174"/>
      <c r="K183" s="90">
        <v>0</v>
      </c>
      <c r="L183" s="90">
        <f>K183*H183</f>
        <v>0</v>
      </c>
      <c r="M183" s="174"/>
      <c r="N183" s="90">
        <v>0</v>
      </c>
      <c r="O183" s="90">
        <f>N183*H183</f>
        <v>0</v>
      </c>
      <c r="P183" s="174"/>
      <c r="Q183" s="90">
        <v>0</v>
      </c>
      <c r="R183" s="90">
        <f>Q183*H183</f>
        <v>0</v>
      </c>
      <c r="S183" s="174"/>
      <c r="T183" s="90">
        <v>0</v>
      </c>
      <c r="U183" s="90">
        <f>T183*K183</f>
        <v>0</v>
      </c>
      <c r="V183" s="90">
        <f t="shared" si="220"/>
        <v>9900</v>
      </c>
      <c r="W183" s="90">
        <v>0</v>
      </c>
      <c r="X183" s="90">
        <f>V183+W183</f>
        <v>9900</v>
      </c>
    </row>
    <row r="184" spans="1:24">
      <c r="A184" s="54" t="s">
        <v>369</v>
      </c>
      <c r="B184" s="54">
        <v>82401</v>
      </c>
      <c r="C184" s="54" t="s">
        <v>188</v>
      </c>
      <c r="D184" s="54" t="s">
        <v>371</v>
      </c>
      <c r="E184" s="174"/>
      <c r="F184" s="96" t="s">
        <v>258</v>
      </c>
      <c r="G184" s="90">
        <v>9</v>
      </c>
      <c r="H184" s="90">
        <v>600</v>
      </c>
      <c r="I184" s="90">
        <f t="shared" ref="I184" si="221">G184*H184</f>
        <v>5400</v>
      </c>
      <c r="J184" s="174"/>
      <c r="K184" s="90">
        <v>0</v>
      </c>
      <c r="L184" s="90">
        <f t="shared" ref="L184" si="222">K184*H184</f>
        <v>0</v>
      </c>
      <c r="M184" s="174"/>
      <c r="N184" s="90">
        <v>0</v>
      </c>
      <c r="O184" s="90">
        <f t="shared" ref="O184" si="223">N184*H184</f>
        <v>0</v>
      </c>
      <c r="P184" s="174"/>
      <c r="Q184" s="90">
        <v>0</v>
      </c>
      <c r="R184" s="90">
        <f t="shared" ref="R184" si="224">Q184*H184</f>
        <v>0</v>
      </c>
      <c r="S184" s="174"/>
      <c r="T184" s="90">
        <v>0</v>
      </c>
      <c r="U184" s="90">
        <f t="shared" ref="U184" si="225">T184*K184</f>
        <v>0</v>
      </c>
      <c r="V184" s="90">
        <f t="shared" si="220"/>
        <v>5400</v>
      </c>
      <c r="W184" s="90">
        <v>0</v>
      </c>
      <c r="X184" s="90">
        <f t="shared" ref="X184" si="226">V184+W184</f>
        <v>5400</v>
      </c>
    </row>
    <row r="185" spans="1:24">
      <c r="A185" s="87"/>
      <c r="B185" s="87"/>
      <c r="C185" s="87"/>
      <c r="D185" s="87" t="s">
        <v>372</v>
      </c>
      <c r="E185" s="181"/>
      <c r="F185" s="92"/>
      <c r="G185" s="93"/>
      <c r="H185" s="94"/>
      <c r="I185" s="94">
        <f>SUM(I182:I184)</f>
        <v>30300</v>
      </c>
      <c r="J185" s="184"/>
      <c r="K185" s="94"/>
      <c r="L185" s="94">
        <f>SUM(L182:L184)</f>
        <v>15000</v>
      </c>
      <c r="M185" s="184"/>
      <c r="N185" s="94"/>
      <c r="O185" s="94">
        <f>SUM(O182:O184)</f>
        <v>0</v>
      </c>
      <c r="P185" s="184"/>
      <c r="Q185" s="94"/>
      <c r="R185" s="94">
        <f>SUM(R182:R184)</f>
        <v>0</v>
      </c>
      <c r="S185" s="184"/>
      <c r="T185" s="94"/>
      <c r="U185" s="94">
        <f>SUM(U182:U184)</f>
        <v>0</v>
      </c>
      <c r="V185" s="94">
        <f>SUM(V182:V184)</f>
        <v>45300</v>
      </c>
      <c r="W185" s="94">
        <f>SUM(W182:W184)</f>
        <v>0</v>
      </c>
      <c r="X185" s="94">
        <f>SUM(X182:X184)</f>
        <v>45300</v>
      </c>
    </row>
    <row r="186" spans="1:24">
      <c r="A186" s="153"/>
      <c r="B186" s="153"/>
      <c r="C186" s="153"/>
      <c r="D186" s="153"/>
      <c r="E186" s="182"/>
      <c r="F186" s="129"/>
      <c r="G186" s="109"/>
      <c r="H186" s="109"/>
      <c r="I186" s="109"/>
      <c r="J186" s="182"/>
      <c r="K186" s="109"/>
      <c r="L186" s="109"/>
      <c r="M186" s="182"/>
      <c r="N186" s="109"/>
      <c r="O186" s="109"/>
      <c r="P186" s="182"/>
      <c r="Q186" s="109"/>
      <c r="R186" s="109"/>
      <c r="S186" s="182"/>
      <c r="T186" s="109"/>
      <c r="U186" s="109"/>
      <c r="V186" s="109"/>
      <c r="W186" s="109"/>
      <c r="X186" s="109"/>
    </row>
    <row r="187" spans="1:24">
      <c r="A187" s="87"/>
      <c r="B187" s="87"/>
      <c r="C187" s="87"/>
      <c r="D187" s="87" t="s">
        <v>373</v>
      </c>
      <c r="E187" s="181"/>
      <c r="F187" s="92"/>
      <c r="G187" s="93"/>
      <c r="H187" s="93"/>
      <c r="I187" s="93"/>
      <c r="J187" s="181"/>
      <c r="K187" s="93"/>
      <c r="L187" s="93"/>
      <c r="M187" s="181"/>
      <c r="N187" s="93"/>
      <c r="O187" s="93"/>
      <c r="P187" s="181"/>
      <c r="Q187" s="93"/>
      <c r="R187" s="93"/>
      <c r="S187" s="181"/>
      <c r="T187" s="93"/>
      <c r="U187" s="93"/>
      <c r="V187" s="93"/>
      <c r="W187" s="93"/>
      <c r="X187" s="93"/>
    </row>
    <row r="188" spans="1:24">
      <c r="A188" s="54" t="s">
        <v>374</v>
      </c>
      <c r="B188" s="54">
        <v>86000</v>
      </c>
      <c r="C188" s="54" t="s">
        <v>188</v>
      </c>
      <c r="D188" s="54" t="s">
        <v>250</v>
      </c>
      <c r="F188" s="54" t="s">
        <v>190</v>
      </c>
      <c r="G188" s="90">
        <v>3</v>
      </c>
      <c r="H188" s="90">
        <v>170</v>
      </c>
      <c r="I188" s="90">
        <f>G188*H188</f>
        <v>510</v>
      </c>
      <c r="J188" s="90"/>
      <c r="K188" s="90">
        <v>12</v>
      </c>
      <c r="L188" s="90">
        <f>H188*K188*$E$6</f>
        <v>2121.6</v>
      </c>
      <c r="M188" s="177"/>
      <c r="N188" s="90">
        <v>12</v>
      </c>
      <c r="O188" s="90">
        <f>H188*N188*$E$6*$E$6</f>
        <v>2206.4639999999999</v>
      </c>
      <c r="P188" s="177"/>
      <c r="Q188" s="90">
        <v>12</v>
      </c>
      <c r="R188" s="90">
        <f>H188*Q188*$E$6*$E$6*$E$6</f>
        <v>2294.7225600000002</v>
      </c>
      <c r="S188" s="177"/>
      <c r="T188" s="90">
        <v>7</v>
      </c>
      <c r="U188" s="90">
        <f>H188*T188*$E$6*$E$6*$E$6*$E$6</f>
        <v>1392.1316864000003</v>
      </c>
      <c r="V188" s="90">
        <f t="shared" ref="V188:V191" si="227">SUM(R188,O188,L188,I188,U188)</f>
        <v>8524.9182464000005</v>
      </c>
      <c r="W188" s="90" t="s">
        <v>217</v>
      </c>
      <c r="X188" s="90">
        <f>SUM(V188:W188)</f>
        <v>8524.9182464000005</v>
      </c>
    </row>
    <row r="189" spans="1:24">
      <c r="A189" s="54" t="s">
        <v>374</v>
      </c>
      <c r="B189" s="54">
        <v>86000</v>
      </c>
      <c r="C189" s="54" t="s">
        <v>188</v>
      </c>
      <c r="D189" s="54" t="s">
        <v>375</v>
      </c>
      <c r="F189" s="54" t="s">
        <v>226</v>
      </c>
      <c r="G189" s="90">
        <v>6</v>
      </c>
      <c r="H189" s="90">
        <v>100</v>
      </c>
      <c r="I189" s="90">
        <f>G189*H189</f>
        <v>600</v>
      </c>
      <c r="J189" s="90"/>
      <c r="K189" s="90">
        <v>12</v>
      </c>
      <c r="L189" s="90">
        <f>H189*K189*$E$6</f>
        <v>1248</v>
      </c>
      <c r="M189" s="177"/>
      <c r="N189" s="90">
        <v>12</v>
      </c>
      <c r="O189" s="90">
        <f>H189*N189*$E$6*$E$6</f>
        <v>1297.92</v>
      </c>
      <c r="P189" s="177"/>
      <c r="Q189" s="90">
        <v>12</v>
      </c>
      <c r="R189" s="90">
        <f>H189*Q189*$E$6*$E$6*$E$6</f>
        <v>1349.8368</v>
      </c>
      <c r="S189" s="177"/>
      <c r="T189" s="90">
        <v>9</v>
      </c>
      <c r="U189" s="90">
        <f>H189*T189*$E$6*$E$6*$E$6*$E$6</f>
        <v>1052.8727040000001</v>
      </c>
      <c r="V189" s="90">
        <f t="shared" si="227"/>
        <v>5548.6295040000005</v>
      </c>
      <c r="W189" s="90" t="s">
        <v>217</v>
      </c>
      <c r="X189" s="90">
        <f>SUM(V189:W189)</f>
        <v>5548.6295040000005</v>
      </c>
    </row>
    <row r="190" spans="1:24" ht="37.799999999999997">
      <c r="A190" s="54" t="s">
        <v>374</v>
      </c>
      <c r="B190" s="54" t="s">
        <v>237</v>
      </c>
      <c r="C190" s="54" t="s">
        <v>188</v>
      </c>
      <c r="D190" s="54" t="s">
        <v>376</v>
      </c>
      <c r="F190" s="54" t="s">
        <v>239</v>
      </c>
      <c r="G190" s="90">
        <f>G189*3</f>
        <v>18</v>
      </c>
      <c r="H190" s="90">
        <v>78</v>
      </c>
      <c r="I190" s="90">
        <f>G190*H190</f>
        <v>1404</v>
      </c>
      <c r="J190" s="90"/>
      <c r="K190" s="90">
        <f>K189*3</f>
        <v>36</v>
      </c>
      <c r="L190" s="90">
        <f>H190*K190*$E$6</f>
        <v>2920.32</v>
      </c>
      <c r="M190" s="177"/>
      <c r="N190" s="90">
        <f>N189*3</f>
        <v>36</v>
      </c>
      <c r="O190" s="90">
        <f>H190*N190*$E$6*$E$6</f>
        <v>3037.1328000000003</v>
      </c>
      <c r="P190" s="177"/>
      <c r="Q190" s="90">
        <f>Q189*3</f>
        <v>36</v>
      </c>
      <c r="R190" s="90">
        <f>H190*Q190*$E$6*$E$6*$E$6</f>
        <v>3158.6181120000006</v>
      </c>
      <c r="S190" s="177"/>
      <c r="T190" s="90">
        <f>T189*3</f>
        <v>27</v>
      </c>
      <c r="U190" s="90">
        <f>H190*T190*$E$6*$E$6*$E$6*$E$6</f>
        <v>2463.7221273600007</v>
      </c>
      <c r="V190" s="90">
        <f t="shared" si="227"/>
        <v>12983.793039360002</v>
      </c>
      <c r="W190" s="90" t="s">
        <v>217</v>
      </c>
      <c r="X190" s="90">
        <f>SUM(V190:W190)</f>
        <v>12983.793039360002</v>
      </c>
    </row>
    <row r="191" spans="1:24">
      <c r="A191" s="54" t="s">
        <v>374</v>
      </c>
      <c r="B191" s="54">
        <v>86000</v>
      </c>
      <c r="C191" s="54" t="s">
        <v>188</v>
      </c>
      <c r="D191" s="54" t="s">
        <v>377</v>
      </c>
      <c r="F191" s="54" t="s">
        <v>378</v>
      </c>
      <c r="G191" s="90">
        <v>6000</v>
      </c>
      <c r="H191" s="90">
        <v>10</v>
      </c>
      <c r="I191" s="90">
        <f>G191*H191</f>
        <v>60000</v>
      </c>
      <c r="J191" s="90"/>
      <c r="K191" s="90">
        <v>6000</v>
      </c>
      <c r="L191" s="90">
        <f>H191*K191*$E$6</f>
        <v>62400</v>
      </c>
      <c r="M191" s="177"/>
      <c r="N191" s="90">
        <v>0</v>
      </c>
      <c r="O191" s="90">
        <f>H191*N191*$E$6*$E$6</f>
        <v>0</v>
      </c>
      <c r="P191" s="177"/>
      <c r="Q191" s="90">
        <v>0</v>
      </c>
      <c r="R191" s="90">
        <f>H191*Q191*$E$6*$E$6*$E$6</f>
        <v>0</v>
      </c>
      <c r="S191" s="177"/>
      <c r="T191" s="90">
        <v>0</v>
      </c>
      <c r="U191" s="90">
        <f>H191*T191*$E$6*$E$6*$E$6*$E$6</f>
        <v>0</v>
      </c>
      <c r="V191" s="90">
        <f t="shared" si="227"/>
        <v>122400</v>
      </c>
      <c r="W191" s="90" t="s">
        <v>217</v>
      </c>
      <c r="X191" s="90">
        <f>SUM(V191:W191)</f>
        <v>122400</v>
      </c>
    </row>
    <row r="192" spans="1:24">
      <c r="A192" s="87"/>
      <c r="B192" s="87"/>
      <c r="C192" s="87"/>
      <c r="D192" s="87" t="s">
        <v>379</v>
      </c>
      <c r="E192" s="181"/>
      <c r="F192" s="92"/>
      <c r="G192" s="93"/>
      <c r="H192" s="93"/>
      <c r="I192" s="94">
        <f>SUM(I188:I191)</f>
        <v>62514</v>
      </c>
      <c r="J192" s="181"/>
      <c r="K192" s="94"/>
      <c r="L192" s="94">
        <f>SUM(L188:L191)</f>
        <v>68689.919999999998</v>
      </c>
      <c r="M192" s="181"/>
      <c r="N192" s="94"/>
      <c r="O192" s="94">
        <f>SUM(O188:O191)</f>
        <v>6541.5168000000003</v>
      </c>
      <c r="P192" s="181"/>
      <c r="Q192" s="94"/>
      <c r="R192" s="94">
        <f>SUM(R188:R191)</f>
        <v>6803.1774720000012</v>
      </c>
      <c r="S192" s="181"/>
      <c r="T192" s="94"/>
      <c r="U192" s="94">
        <f>SUM(U188:U191)</f>
        <v>4908.7265177600011</v>
      </c>
      <c r="V192" s="94">
        <f>SUM(V188:V191)</f>
        <v>149457.34078976</v>
      </c>
      <c r="W192" s="94">
        <f>SUM(W188:W191)</f>
        <v>0</v>
      </c>
      <c r="X192" s="94">
        <f>SUM(X188:X191)</f>
        <v>149457.34078976</v>
      </c>
    </row>
    <row r="193" spans="1:24">
      <c r="A193" s="153"/>
      <c r="B193" s="153"/>
      <c r="C193" s="153"/>
      <c r="D193" s="153"/>
      <c r="E193" s="182"/>
      <c r="F193" s="129"/>
      <c r="G193" s="109"/>
      <c r="H193" s="109"/>
      <c r="I193" s="154"/>
      <c r="J193" s="182"/>
      <c r="K193" s="154"/>
      <c r="L193" s="154"/>
      <c r="M193" s="182"/>
      <c r="N193" s="154"/>
      <c r="O193" s="154"/>
      <c r="P193" s="182"/>
      <c r="Q193" s="154"/>
      <c r="R193" s="154"/>
      <c r="S193" s="182"/>
      <c r="T193" s="154"/>
      <c r="U193" s="154"/>
      <c r="V193" s="154"/>
      <c r="W193" s="154"/>
      <c r="X193" s="154"/>
    </row>
    <row r="194" spans="1:24">
      <c r="A194" s="87"/>
      <c r="B194" s="87"/>
      <c r="C194" s="87"/>
      <c r="D194" s="87" t="s">
        <v>380</v>
      </c>
      <c r="E194" s="181"/>
      <c r="F194" s="92"/>
      <c r="G194" s="93"/>
      <c r="H194" s="93"/>
      <c r="I194" s="93"/>
      <c r="J194" s="181"/>
      <c r="K194" s="93"/>
      <c r="L194" s="93"/>
      <c r="M194" s="181"/>
      <c r="N194" s="93"/>
      <c r="O194" s="93"/>
      <c r="P194" s="181"/>
      <c r="Q194" s="93"/>
      <c r="R194" s="93"/>
      <c r="S194" s="181"/>
      <c r="T194" s="93"/>
      <c r="U194" s="93"/>
      <c r="V194" s="93"/>
      <c r="W194" s="93"/>
      <c r="X194" s="93"/>
    </row>
    <row r="195" spans="1:24" ht="50.4">
      <c r="A195" s="54" t="s">
        <v>381</v>
      </c>
      <c r="B195" s="54" t="s">
        <v>284</v>
      </c>
      <c r="C195" s="54" t="s">
        <v>188</v>
      </c>
      <c r="D195" s="54" t="s">
        <v>382</v>
      </c>
      <c r="F195" s="54" t="s">
        <v>258</v>
      </c>
      <c r="G195" s="90">
        <v>1</v>
      </c>
      <c r="H195" s="90">
        <v>18000</v>
      </c>
      <c r="I195" s="90">
        <f>G195*H195</f>
        <v>18000</v>
      </c>
      <c r="J195" s="177"/>
      <c r="K195" s="90">
        <v>0</v>
      </c>
      <c r="L195" s="90">
        <f>H195*K195</f>
        <v>0</v>
      </c>
      <c r="M195" s="177"/>
      <c r="N195" s="90">
        <v>0</v>
      </c>
      <c r="O195" s="90">
        <f>H195*N195</f>
        <v>0</v>
      </c>
      <c r="P195" s="177"/>
      <c r="Q195" s="90">
        <v>0</v>
      </c>
      <c r="R195" s="90">
        <f>H195*Q195</f>
        <v>0</v>
      </c>
      <c r="S195" s="177"/>
      <c r="T195" s="90">
        <v>0</v>
      </c>
      <c r="U195" s="90">
        <f>H195*T195</f>
        <v>0</v>
      </c>
      <c r="V195" s="90">
        <f t="shared" ref="V195:V198" si="228">SUM(R195,O195,L195,I195,U195)</f>
        <v>18000</v>
      </c>
      <c r="W195" s="90" t="s">
        <v>217</v>
      </c>
      <c r="X195" s="90">
        <f>SUM(V195:W195)</f>
        <v>18000</v>
      </c>
    </row>
    <row r="196" spans="1:24" ht="50.4">
      <c r="A196" s="54" t="s">
        <v>381</v>
      </c>
      <c r="B196" s="54" t="s">
        <v>284</v>
      </c>
      <c r="C196" s="54" t="s">
        <v>188</v>
      </c>
      <c r="D196" s="54" t="s">
        <v>383</v>
      </c>
      <c r="F196" s="54" t="s">
        <v>258</v>
      </c>
      <c r="G196" s="90">
        <v>0</v>
      </c>
      <c r="H196" s="90">
        <v>18000</v>
      </c>
      <c r="I196" s="90">
        <f>G196*H196</f>
        <v>0</v>
      </c>
      <c r="J196" s="177"/>
      <c r="K196" s="90">
        <v>1</v>
      </c>
      <c r="L196" s="90">
        <f>H196*K196</f>
        <v>18000</v>
      </c>
      <c r="M196" s="177"/>
      <c r="N196" s="90">
        <v>0</v>
      </c>
      <c r="O196" s="90">
        <f>H196*N196</f>
        <v>0</v>
      </c>
      <c r="P196" s="177"/>
      <c r="Q196" s="90">
        <v>0</v>
      </c>
      <c r="R196" s="90">
        <f>H196*Q196</f>
        <v>0</v>
      </c>
      <c r="S196" s="177"/>
      <c r="T196" s="90">
        <v>0</v>
      </c>
      <c r="U196" s="90">
        <f>H196*T196</f>
        <v>0</v>
      </c>
      <c r="V196" s="90">
        <f t="shared" si="228"/>
        <v>18000</v>
      </c>
      <c r="W196" s="90" t="s">
        <v>217</v>
      </c>
      <c r="X196" s="90">
        <f>SUM(V196:W196)</f>
        <v>18000</v>
      </c>
    </row>
    <row r="197" spans="1:24" ht="50.4">
      <c r="A197" s="54" t="s">
        <v>381</v>
      </c>
      <c r="B197" s="54" t="s">
        <v>284</v>
      </c>
      <c r="C197" s="54" t="s">
        <v>188</v>
      </c>
      <c r="D197" s="54" t="s">
        <v>384</v>
      </c>
      <c r="F197" s="54" t="s">
        <v>258</v>
      </c>
      <c r="G197" s="90">
        <v>0</v>
      </c>
      <c r="H197" s="90">
        <v>18000</v>
      </c>
      <c r="I197" s="90">
        <f>G197*H197</f>
        <v>0</v>
      </c>
      <c r="J197" s="177"/>
      <c r="K197" s="90">
        <v>1</v>
      </c>
      <c r="L197" s="90">
        <f>H197*K197</f>
        <v>18000</v>
      </c>
      <c r="M197" s="177"/>
      <c r="N197" s="90">
        <v>0</v>
      </c>
      <c r="O197" s="90">
        <f>H197*N197</f>
        <v>0</v>
      </c>
      <c r="P197" s="177"/>
      <c r="Q197" s="90">
        <v>0</v>
      </c>
      <c r="R197" s="90">
        <f>H197*Q197</f>
        <v>0</v>
      </c>
      <c r="S197" s="177"/>
      <c r="T197" s="90">
        <v>0</v>
      </c>
      <c r="U197" s="90">
        <f>H197*T197</f>
        <v>0</v>
      </c>
      <c r="V197" s="90">
        <f t="shared" si="228"/>
        <v>18000</v>
      </c>
      <c r="W197" s="90" t="s">
        <v>217</v>
      </c>
      <c r="X197" s="90">
        <f>SUM(V197:W197)</f>
        <v>18000</v>
      </c>
    </row>
    <row r="198" spans="1:24" ht="25.2">
      <c r="A198" s="54" t="s">
        <v>385</v>
      </c>
      <c r="B198" s="54">
        <v>82420</v>
      </c>
      <c r="C198" s="54" t="s">
        <v>188</v>
      </c>
      <c r="D198" s="54" t="s">
        <v>386</v>
      </c>
      <c r="F198" s="54" t="s">
        <v>387</v>
      </c>
      <c r="G198" s="90">
        <v>3</v>
      </c>
      <c r="H198" s="90">
        <v>20000</v>
      </c>
      <c r="I198" s="90">
        <f>G198*H198</f>
        <v>60000</v>
      </c>
      <c r="J198" s="177"/>
      <c r="K198" s="90">
        <v>3</v>
      </c>
      <c r="L198" s="90">
        <f>H198*K198</f>
        <v>60000</v>
      </c>
      <c r="M198" s="177"/>
      <c r="N198" s="90">
        <v>0</v>
      </c>
      <c r="O198" s="90">
        <f>H198*N198</f>
        <v>0</v>
      </c>
      <c r="P198" s="177"/>
      <c r="Q198" s="90">
        <v>0</v>
      </c>
      <c r="R198" s="90">
        <f>H198*Q198</f>
        <v>0</v>
      </c>
      <c r="S198" s="177"/>
      <c r="T198" s="90">
        <v>0</v>
      </c>
      <c r="U198" s="90">
        <f>H198*T198</f>
        <v>0</v>
      </c>
      <c r="V198" s="90">
        <f t="shared" si="228"/>
        <v>120000</v>
      </c>
      <c r="W198" s="90" t="s">
        <v>217</v>
      </c>
      <c r="X198" s="90">
        <f>SUM(V198:W198)</f>
        <v>120000</v>
      </c>
    </row>
    <row r="199" spans="1:24">
      <c r="A199" s="87"/>
      <c r="B199" s="87"/>
      <c r="C199" s="87"/>
      <c r="D199" s="87" t="s">
        <v>388</v>
      </c>
      <c r="E199" s="181"/>
      <c r="F199" s="92"/>
      <c r="G199" s="93"/>
      <c r="H199" s="93"/>
      <c r="I199" s="94">
        <f>SUM(I195:I198)</f>
        <v>78000</v>
      </c>
      <c r="J199" s="181"/>
      <c r="K199" s="94"/>
      <c r="L199" s="94">
        <f>SUM(L195:L198)</f>
        <v>96000</v>
      </c>
      <c r="M199" s="181"/>
      <c r="N199" s="94"/>
      <c r="O199" s="94">
        <f>SUM(O195:O198)</f>
        <v>0</v>
      </c>
      <c r="P199" s="181"/>
      <c r="Q199" s="94"/>
      <c r="R199" s="94">
        <f>SUM(R195:R198)</f>
        <v>0</v>
      </c>
      <c r="S199" s="181"/>
      <c r="T199" s="94"/>
      <c r="U199" s="94">
        <f>SUM(U195:U198)</f>
        <v>0</v>
      </c>
      <c r="V199" s="94">
        <f>SUM(V195:V198)</f>
        <v>174000</v>
      </c>
      <c r="W199" s="94">
        <f>SUM(W195:W198)</f>
        <v>0</v>
      </c>
      <c r="X199" s="94">
        <f>SUM(X195:X198)</f>
        <v>174000</v>
      </c>
    </row>
    <row r="200" spans="1:24">
      <c r="A200" s="153"/>
      <c r="B200" s="153"/>
      <c r="C200" s="153"/>
      <c r="D200" s="153"/>
      <c r="E200" s="182"/>
      <c r="F200" s="129"/>
      <c r="G200" s="109"/>
      <c r="H200" s="109"/>
      <c r="I200" s="154"/>
      <c r="J200" s="182"/>
      <c r="K200" s="154"/>
      <c r="L200" s="154"/>
      <c r="M200" s="182"/>
      <c r="N200" s="154"/>
      <c r="O200" s="154"/>
      <c r="P200" s="182"/>
      <c r="Q200" s="154"/>
      <c r="R200" s="154"/>
      <c r="S200" s="182"/>
      <c r="T200" s="154"/>
      <c r="U200" s="154"/>
      <c r="V200" s="154"/>
      <c r="W200" s="154"/>
      <c r="X200" s="154"/>
    </row>
    <row r="201" spans="1:24" ht="12.9" thickBot="1">
      <c r="A201" s="100"/>
      <c r="B201" s="100"/>
      <c r="C201" s="100"/>
      <c r="D201" s="100" t="s">
        <v>389</v>
      </c>
      <c r="E201" s="175"/>
      <c r="F201" s="100"/>
      <c r="G201" s="116"/>
      <c r="H201" s="116"/>
      <c r="I201" s="111">
        <f>SUM(I185+I179+I192+I171+I164+I199)</f>
        <v>511993.35833333334</v>
      </c>
      <c r="J201" s="175"/>
      <c r="K201" s="111"/>
      <c r="L201" s="111">
        <f>SUM(L185+L179+L192+L171+L164+L199)</f>
        <v>730930.31</v>
      </c>
      <c r="M201" s="175"/>
      <c r="N201" s="111"/>
      <c r="O201" s="111">
        <f>SUM(O185+O179+O192+O171+O164+O199)</f>
        <v>334380.87728000002</v>
      </c>
      <c r="P201" s="175"/>
      <c r="Q201" s="111"/>
      <c r="R201" s="111">
        <f>SUM(R185+R179+R192+R171+R164+R199)</f>
        <v>257248.43687680003</v>
      </c>
      <c r="S201" s="175"/>
      <c r="T201" s="111"/>
      <c r="U201" s="111">
        <f>SUM(U185+U179+U192+U171+U164+U199)</f>
        <v>229328.99687509338</v>
      </c>
      <c r="V201" s="111">
        <f>SUM(V185+V179+V192+V171+V164+V199)</f>
        <v>2063881.9793652266</v>
      </c>
      <c r="W201" s="111">
        <f>SUM(W185+W179+W192+W171+W164+W199)</f>
        <v>0</v>
      </c>
      <c r="X201" s="111">
        <f>SUM(X185+X179+X192+X171+X164+X199)</f>
        <v>2063881.9793652266</v>
      </c>
    </row>
    <row r="202" spans="1:24">
      <c r="A202" s="129"/>
      <c r="B202" s="129"/>
      <c r="C202" s="129"/>
      <c r="D202" s="129"/>
      <c r="E202" s="172"/>
      <c r="F202" s="129"/>
      <c r="G202" s="109"/>
      <c r="H202" s="109"/>
      <c r="I202" s="109"/>
      <c r="J202" s="172"/>
      <c r="K202" s="109"/>
      <c r="L202" s="109"/>
      <c r="M202" s="172"/>
      <c r="N202" s="109"/>
      <c r="O202" s="109"/>
      <c r="P202" s="172"/>
      <c r="Q202" s="109"/>
      <c r="R202" s="109"/>
      <c r="S202" s="172"/>
      <c r="T202" s="109"/>
      <c r="U202" s="109"/>
      <c r="V202" s="109"/>
      <c r="W202" s="109"/>
      <c r="X202" s="109"/>
    </row>
    <row r="203" spans="1:24">
      <c r="A203" s="147"/>
      <c r="B203" s="147"/>
      <c r="C203" s="147"/>
      <c r="D203" s="147" t="str">
        <f>'USDA Budget Summary'!A29</f>
        <v>Activity 2: Promote Regenerative Agriculture with Agropastoralists</v>
      </c>
      <c r="E203" s="179"/>
      <c r="F203" s="84"/>
      <c r="G203" s="84"/>
      <c r="H203" s="85"/>
      <c r="I203" s="148"/>
      <c r="J203" s="179"/>
      <c r="K203" s="148"/>
      <c r="L203" s="148"/>
      <c r="M203" s="179"/>
      <c r="N203" s="148"/>
      <c r="O203" s="148"/>
      <c r="P203" s="179"/>
      <c r="Q203" s="148"/>
      <c r="R203" s="148"/>
      <c r="S203" s="179"/>
      <c r="T203" s="148"/>
      <c r="U203" s="148"/>
      <c r="V203" s="148"/>
      <c r="W203" s="149"/>
      <c r="X203" s="148"/>
    </row>
    <row r="204" spans="1:24">
      <c r="A204" s="150"/>
      <c r="B204" s="150"/>
      <c r="C204" s="150"/>
      <c r="D204" s="150" t="s">
        <v>349</v>
      </c>
      <c r="E204" s="180"/>
      <c r="F204" s="151"/>
      <c r="G204" s="152"/>
      <c r="H204" s="152"/>
      <c r="I204" s="152"/>
      <c r="J204" s="180"/>
      <c r="K204" s="152"/>
      <c r="L204" s="152"/>
      <c r="M204" s="180"/>
      <c r="N204" s="152"/>
      <c r="O204" s="152"/>
      <c r="P204" s="180"/>
      <c r="Q204" s="152"/>
      <c r="R204" s="152"/>
      <c r="S204" s="180"/>
      <c r="T204" s="152"/>
      <c r="U204" s="152"/>
      <c r="V204" s="152"/>
      <c r="W204" s="152"/>
      <c r="X204" s="152"/>
    </row>
    <row r="205" spans="1:24">
      <c r="A205" s="87"/>
      <c r="B205" s="87"/>
      <c r="C205" s="87"/>
      <c r="D205" s="87" t="s">
        <v>390</v>
      </c>
      <c r="E205" s="181"/>
      <c r="F205" s="92"/>
      <c r="G205" s="93"/>
      <c r="H205" s="93"/>
      <c r="I205" s="93"/>
      <c r="J205" s="181"/>
      <c r="K205" s="93"/>
      <c r="L205" s="93"/>
      <c r="M205" s="181"/>
      <c r="N205" s="93"/>
      <c r="O205" s="93"/>
      <c r="P205" s="181"/>
      <c r="Q205" s="93"/>
      <c r="R205" s="93"/>
      <c r="S205" s="181"/>
      <c r="T205" s="93"/>
      <c r="U205" s="93"/>
      <c r="V205" s="93"/>
      <c r="W205" s="93"/>
      <c r="X205" s="93"/>
    </row>
    <row r="206" spans="1:24">
      <c r="A206" s="54" t="s">
        <v>391</v>
      </c>
      <c r="B206" s="54">
        <v>70000</v>
      </c>
      <c r="C206" s="54" t="s">
        <v>188</v>
      </c>
      <c r="D206" s="54" t="str">
        <f t="shared" ref="D206:D223" si="229">D12</f>
        <v xml:space="preserve">Key Personnel: Ex-pat Chief of Party </v>
      </c>
      <c r="E206" s="168">
        <f>'LOE Breakdown by Year'!F11</f>
        <v>0.2</v>
      </c>
      <c r="F206" s="96" t="s">
        <v>190</v>
      </c>
      <c r="G206" s="90">
        <f t="shared" ref="G206:H223" si="230">G12</f>
        <v>12</v>
      </c>
      <c r="H206" s="90">
        <f t="shared" si="230"/>
        <v>12083.333333333334</v>
      </c>
      <c r="I206" s="90">
        <f>G206*H206*E206</f>
        <v>29000</v>
      </c>
      <c r="J206" s="168">
        <f>'LOE Breakdown by Year'!F38</f>
        <v>0.2</v>
      </c>
      <c r="K206" s="90">
        <f t="shared" ref="K206:K223" si="231">K12</f>
        <v>12</v>
      </c>
      <c r="L206" s="90">
        <f>K206*H206*$E$7*$J206</f>
        <v>30160</v>
      </c>
      <c r="M206" s="168">
        <f>'LOE Breakdown by Year'!F65</f>
        <v>0.2</v>
      </c>
      <c r="N206" s="90">
        <f t="shared" ref="N206:N223" si="232">N12</f>
        <v>12</v>
      </c>
      <c r="O206" s="90">
        <f t="shared" ref="O206" si="233">N206*H206*$M206*$E$7*$E$7</f>
        <v>31366.400000000001</v>
      </c>
      <c r="P206" s="168">
        <f>'LOE Breakdown by Year'!F92</f>
        <v>0.2</v>
      </c>
      <c r="Q206" s="90">
        <f t="shared" ref="Q206:Q223" si="234">Q12</f>
        <v>12</v>
      </c>
      <c r="R206" s="90">
        <f t="shared" ref="R206" si="235">Q206*H206*$P206*$E$7*$E$7*$E$7</f>
        <v>32621.056000000004</v>
      </c>
      <c r="S206" s="168">
        <f>'LOE Breakdown by Year'!F119</f>
        <v>0.2</v>
      </c>
      <c r="T206" s="90">
        <f t="shared" ref="T206:T223" si="236">T12</f>
        <v>12</v>
      </c>
      <c r="U206" s="90">
        <f t="shared" ref="U206" si="237">T206*H206*$S206*$E$7*$E$7*$E$7*$E$7</f>
        <v>33925.898240000002</v>
      </c>
      <c r="V206" s="90">
        <f t="shared" ref="V206" si="238">SUM(R206,O206,L206,I206,U206)</f>
        <v>157073.35424000002</v>
      </c>
      <c r="W206" s="90">
        <v>0</v>
      </c>
      <c r="X206" s="90">
        <f t="shared" ref="X206" si="239">SUM(V206:W206)</f>
        <v>157073.35424000002</v>
      </c>
    </row>
    <row r="207" spans="1:24">
      <c r="A207" s="54" t="s">
        <v>391</v>
      </c>
      <c r="B207" s="54">
        <v>70000</v>
      </c>
      <c r="C207" s="54" t="s">
        <v>188</v>
      </c>
      <c r="D207" s="54" t="str">
        <f t="shared" si="229"/>
        <v>Deputy Chief of Party</v>
      </c>
      <c r="E207" s="168">
        <f>'LOE Breakdown by Year'!F12</f>
        <v>0.1</v>
      </c>
      <c r="F207" s="96" t="s">
        <v>190</v>
      </c>
      <c r="G207" s="90">
        <f t="shared" si="230"/>
        <v>6</v>
      </c>
      <c r="H207" s="90">
        <f t="shared" si="230"/>
        <v>7500</v>
      </c>
      <c r="I207" s="90">
        <f t="shared" ref="I207:I222" si="240">G207*H207*E207</f>
        <v>4500</v>
      </c>
      <c r="J207" s="168">
        <f>'LOE Breakdown by Year'!F39</f>
        <v>0.1</v>
      </c>
      <c r="K207" s="90">
        <f t="shared" si="231"/>
        <v>12</v>
      </c>
      <c r="L207" s="90">
        <f t="shared" ref="L207:L222" si="241">K207*H207*$E$7*$J207</f>
        <v>9360</v>
      </c>
      <c r="M207" s="168">
        <f>'LOE Breakdown by Year'!F66</f>
        <v>0.1</v>
      </c>
      <c r="N207" s="90">
        <f t="shared" si="232"/>
        <v>12</v>
      </c>
      <c r="O207" s="90">
        <f t="shared" ref="O207:O223" si="242">N207*H207*$M207*$E$7*$E$7</f>
        <v>9734.4</v>
      </c>
      <c r="P207" s="168">
        <f>'LOE Breakdown by Year'!F93</f>
        <v>0.1</v>
      </c>
      <c r="Q207" s="90">
        <f t="shared" si="234"/>
        <v>12</v>
      </c>
      <c r="R207" s="90">
        <f t="shared" ref="R207:R223" si="243">Q207*H207*$P207*$E$7*$E$7*$E$7</f>
        <v>10123.776</v>
      </c>
      <c r="S207" s="168">
        <f>'LOE Breakdown by Year'!F120</f>
        <v>0.1</v>
      </c>
      <c r="T207" s="90">
        <f t="shared" si="236"/>
        <v>6</v>
      </c>
      <c r="U207" s="90">
        <f t="shared" ref="U207:U223" si="244">T207*H207*$S207*$E$7*$E$7*$E$7*$E$7</f>
        <v>5264.3635199999999</v>
      </c>
      <c r="V207" s="90">
        <f t="shared" ref="V207:V223" si="245">SUM(R207,O207,L207,I207,U207)</f>
        <v>38982.539519999998</v>
      </c>
      <c r="W207" s="90">
        <v>0</v>
      </c>
      <c r="X207" s="90">
        <f t="shared" ref="X207:X223" si="246">SUM(V207:W207)</f>
        <v>38982.539519999998</v>
      </c>
    </row>
    <row r="208" spans="1:24">
      <c r="A208" s="54" t="s">
        <v>391</v>
      </c>
      <c r="B208" s="54">
        <v>70000</v>
      </c>
      <c r="C208" s="54" t="s">
        <v>188</v>
      </c>
      <c r="D208" s="54" t="str">
        <f t="shared" si="229"/>
        <v>Technical Lead Component 1</v>
      </c>
      <c r="E208" s="168">
        <f>'LOE Breakdown by Year'!F13</f>
        <v>0</v>
      </c>
      <c r="F208" s="96" t="s">
        <v>190</v>
      </c>
      <c r="G208" s="90">
        <f t="shared" si="230"/>
        <v>6</v>
      </c>
      <c r="H208" s="90">
        <f t="shared" si="230"/>
        <v>3333.3333333333335</v>
      </c>
      <c r="I208" s="90">
        <f t="shared" si="240"/>
        <v>0</v>
      </c>
      <c r="J208" s="168">
        <f>'LOE Breakdown by Year'!F40</f>
        <v>0</v>
      </c>
      <c r="K208" s="90">
        <f t="shared" si="231"/>
        <v>12</v>
      </c>
      <c r="L208" s="90">
        <f t="shared" si="241"/>
        <v>0</v>
      </c>
      <c r="M208" s="168">
        <f>'LOE Breakdown by Year'!F67</f>
        <v>0</v>
      </c>
      <c r="N208" s="90">
        <f t="shared" si="232"/>
        <v>12</v>
      </c>
      <c r="O208" s="90">
        <f t="shared" si="242"/>
        <v>0</v>
      </c>
      <c r="P208" s="168">
        <f>'LOE Breakdown by Year'!F94</f>
        <v>0</v>
      </c>
      <c r="Q208" s="90">
        <f t="shared" si="234"/>
        <v>12</v>
      </c>
      <c r="R208" s="90">
        <f t="shared" si="243"/>
        <v>0</v>
      </c>
      <c r="S208" s="168">
        <f>'LOE Breakdown by Year'!F121</f>
        <v>0</v>
      </c>
      <c r="T208" s="90">
        <f t="shared" si="236"/>
        <v>9</v>
      </c>
      <c r="U208" s="90">
        <f t="shared" si="244"/>
        <v>0</v>
      </c>
      <c r="V208" s="90">
        <f t="shared" si="245"/>
        <v>0</v>
      </c>
      <c r="W208" s="90">
        <v>0</v>
      </c>
      <c r="X208" s="90">
        <f t="shared" si="246"/>
        <v>0</v>
      </c>
    </row>
    <row r="209" spans="1:24">
      <c r="A209" s="54" t="s">
        <v>391</v>
      </c>
      <c r="B209" s="54">
        <v>70000</v>
      </c>
      <c r="C209" s="54" t="s">
        <v>188</v>
      </c>
      <c r="D209" s="54" t="str">
        <f t="shared" si="229"/>
        <v>Technical Lead Component 2</v>
      </c>
      <c r="E209" s="168">
        <f>'LOE Breakdown by Year'!F14</f>
        <v>0.75</v>
      </c>
      <c r="F209" s="96" t="s">
        <v>190</v>
      </c>
      <c r="G209" s="90">
        <f t="shared" si="230"/>
        <v>6</v>
      </c>
      <c r="H209" s="90">
        <f t="shared" si="230"/>
        <v>3333.3333333333335</v>
      </c>
      <c r="I209" s="90">
        <f t="shared" si="240"/>
        <v>15000</v>
      </c>
      <c r="J209" s="168">
        <f>'LOE Breakdown by Year'!F41</f>
        <v>1</v>
      </c>
      <c r="K209" s="90">
        <f t="shared" si="231"/>
        <v>12</v>
      </c>
      <c r="L209" s="90">
        <f t="shared" si="241"/>
        <v>41600</v>
      </c>
      <c r="M209" s="168">
        <f>'LOE Breakdown by Year'!F68</f>
        <v>1</v>
      </c>
      <c r="N209" s="90">
        <f t="shared" si="232"/>
        <v>12</v>
      </c>
      <c r="O209" s="90">
        <f t="shared" si="242"/>
        <v>43264</v>
      </c>
      <c r="P209" s="168">
        <f>'LOE Breakdown by Year'!F95</f>
        <v>1</v>
      </c>
      <c r="Q209" s="90">
        <f t="shared" si="234"/>
        <v>12</v>
      </c>
      <c r="R209" s="90">
        <f t="shared" si="243"/>
        <v>44994.560000000005</v>
      </c>
      <c r="S209" s="168">
        <f>'LOE Breakdown by Year'!F122</f>
        <v>1</v>
      </c>
      <c r="T209" s="90">
        <f t="shared" si="236"/>
        <v>9</v>
      </c>
      <c r="U209" s="90">
        <f t="shared" si="244"/>
        <v>35095.756800000003</v>
      </c>
      <c r="V209" s="90">
        <f t="shared" si="245"/>
        <v>179954.3168</v>
      </c>
      <c r="W209" s="90">
        <v>0</v>
      </c>
      <c r="X209" s="90">
        <f t="shared" si="246"/>
        <v>179954.3168</v>
      </c>
    </row>
    <row r="210" spans="1:24">
      <c r="A210" s="54" t="s">
        <v>391</v>
      </c>
      <c r="B210" s="54">
        <v>70000</v>
      </c>
      <c r="C210" s="54" t="s">
        <v>188</v>
      </c>
      <c r="D210" s="54" t="str">
        <f t="shared" si="229"/>
        <v>Technical Lead Component 3</v>
      </c>
      <c r="E210" s="168">
        <f>'LOE Breakdown by Year'!F15</f>
        <v>0</v>
      </c>
      <c r="F210" s="96" t="s">
        <v>190</v>
      </c>
      <c r="G210" s="90">
        <f t="shared" si="230"/>
        <v>6</v>
      </c>
      <c r="H210" s="90">
        <f t="shared" si="230"/>
        <v>3333.3333333333335</v>
      </c>
      <c r="I210" s="90">
        <f t="shared" si="240"/>
        <v>0</v>
      </c>
      <c r="J210" s="168">
        <f>'LOE Breakdown by Year'!F42</f>
        <v>0</v>
      </c>
      <c r="K210" s="90">
        <f t="shared" si="231"/>
        <v>12</v>
      </c>
      <c r="L210" s="90">
        <f t="shared" si="241"/>
        <v>0</v>
      </c>
      <c r="M210" s="168">
        <f>'LOE Breakdown by Year'!F69</f>
        <v>0</v>
      </c>
      <c r="N210" s="90">
        <f t="shared" si="232"/>
        <v>12</v>
      </c>
      <c r="O210" s="90">
        <f t="shared" si="242"/>
        <v>0</v>
      </c>
      <c r="P210" s="168">
        <f>'LOE Breakdown by Year'!F96</f>
        <v>0</v>
      </c>
      <c r="Q210" s="90">
        <f t="shared" si="234"/>
        <v>12</v>
      </c>
      <c r="R210" s="90">
        <f t="shared" si="243"/>
        <v>0</v>
      </c>
      <c r="S210" s="168">
        <f>'LOE Breakdown by Year'!F123</f>
        <v>0</v>
      </c>
      <c r="T210" s="90">
        <f t="shared" si="236"/>
        <v>9</v>
      </c>
      <c r="U210" s="90">
        <f t="shared" si="244"/>
        <v>0</v>
      </c>
      <c r="V210" s="90">
        <f t="shared" si="245"/>
        <v>0</v>
      </c>
      <c r="W210" s="90">
        <v>0</v>
      </c>
      <c r="X210" s="90">
        <f t="shared" si="246"/>
        <v>0</v>
      </c>
    </row>
    <row r="211" spans="1:24">
      <c r="A211" s="54" t="s">
        <v>391</v>
      </c>
      <c r="B211" s="54">
        <v>70000</v>
      </c>
      <c r="C211" s="54" t="s">
        <v>188</v>
      </c>
      <c r="D211" s="54" t="str">
        <f t="shared" si="229"/>
        <v>Specialist Component 2</v>
      </c>
      <c r="E211" s="168">
        <f>'LOE Breakdown by Year'!F16</f>
        <v>0.8</v>
      </c>
      <c r="F211" s="96" t="s">
        <v>190</v>
      </c>
      <c r="G211" s="90">
        <f t="shared" si="230"/>
        <v>6</v>
      </c>
      <c r="H211" s="90">
        <f t="shared" si="230"/>
        <v>1666.6666666666667</v>
      </c>
      <c r="I211" s="90">
        <f t="shared" ref="I211:I213" si="247">G211*H211*E211</f>
        <v>8000</v>
      </c>
      <c r="J211" s="168">
        <f>'LOE Breakdown by Year'!F43</f>
        <v>1</v>
      </c>
      <c r="K211" s="90">
        <f t="shared" si="231"/>
        <v>12</v>
      </c>
      <c r="L211" s="90">
        <f t="shared" ref="L211:L213" si="248">K211*H211*$E$7*$J211</f>
        <v>20800</v>
      </c>
      <c r="M211" s="168">
        <f>'LOE Breakdown by Year'!F70</f>
        <v>1</v>
      </c>
      <c r="N211" s="90">
        <f t="shared" si="232"/>
        <v>12</v>
      </c>
      <c r="O211" s="90">
        <f t="shared" ref="O211:O213" si="249">N211*H211*$M211*$E$7*$E$7</f>
        <v>21632</v>
      </c>
      <c r="P211" s="168">
        <f>'LOE Breakdown by Year'!F97</f>
        <v>1</v>
      </c>
      <c r="Q211" s="90">
        <f t="shared" si="234"/>
        <v>12</v>
      </c>
      <c r="R211" s="90">
        <f t="shared" ref="R211:R213" si="250">Q211*H211*$P211*$E$7*$E$7*$E$7</f>
        <v>22497.280000000002</v>
      </c>
      <c r="S211" s="168">
        <f>'LOE Breakdown by Year'!F124</f>
        <v>1</v>
      </c>
      <c r="T211" s="90">
        <f t="shared" si="236"/>
        <v>6</v>
      </c>
      <c r="U211" s="90">
        <f t="shared" ref="U211:U213" si="251">T211*H211*$S211*$E$7*$E$7*$E$7*$E$7</f>
        <v>11698.585600000002</v>
      </c>
      <c r="V211" s="90">
        <f t="shared" ref="V211:V213" si="252">SUM(R211,O211,L211,I211,U211)</f>
        <v>84627.865600000005</v>
      </c>
      <c r="W211" s="90">
        <v>0</v>
      </c>
      <c r="X211" s="90">
        <f t="shared" ref="X211:X213" si="253">SUM(V211:W211)</f>
        <v>84627.865600000005</v>
      </c>
    </row>
    <row r="212" spans="1:24">
      <c r="A212" s="54" t="s">
        <v>391</v>
      </c>
      <c r="B212" s="54">
        <v>70000</v>
      </c>
      <c r="C212" s="54" t="s">
        <v>188</v>
      </c>
      <c r="D212" s="54" t="str">
        <f t="shared" si="229"/>
        <v>Specialist Component 3</v>
      </c>
      <c r="E212" s="168">
        <f>'LOE Breakdown by Year'!F17</f>
        <v>0</v>
      </c>
      <c r="F212" s="96" t="s">
        <v>190</v>
      </c>
      <c r="G212" s="90">
        <f t="shared" si="230"/>
        <v>6</v>
      </c>
      <c r="H212" s="90">
        <f t="shared" si="230"/>
        <v>1666.6666666666667</v>
      </c>
      <c r="I212" s="90">
        <f t="shared" si="247"/>
        <v>0</v>
      </c>
      <c r="J212" s="168">
        <f>'LOE Breakdown by Year'!F44</f>
        <v>0</v>
      </c>
      <c r="K212" s="90">
        <f t="shared" si="231"/>
        <v>12</v>
      </c>
      <c r="L212" s="90">
        <f t="shared" si="248"/>
        <v>0</v>
      </c>
      <c r="M212" s="168">
        <f>'LOE Breakdown by Year'!F71</f>
        <v>0</v>
      </c>
      <c r="N212" s="90">
        <f t="shared" si="232"/>
        <v>12</v>
      </c>
      <c r="O212" s="90">
        <f t="shared" si="249"/>
        <v>0</v>
      </c>
      <c r="P212" s="168">
        <f>'LOE Breakdown by Year'!F98</f>
        <v>0</v>
      </c>
      <c r="Q212" s="90">
        <f t="shared" si="234"/>
        <v>12</v>
      </c>
      <c r="R212" s="90">
        <f t="shared" si="250"/>
        <v>0</v>
      </c>
      <c r="S212" s="168">
        <f>'LOE Breakdown by Year'!F125</f>
        <v>0</v>
      </c>
      <c r="T212" s="90">
        <f t="shared" si="236"/>
        <v>6</v>
      </c>
      <c r="U212" s="90">
        <f t="shared" si="251"/>
        <v>0</v>
      </c>
      <c r="V212" s="90">
        <f t="shared" si="252"/>
        <v>0</v>
      </c>
      <c r="W212" s="90">
        <v>0</v>
      </c>
      <c r="X212" s="90">
        <f t="shared" si="253"/>
        <v>0</v>
      </c>
    </row>
    <row r="213" spans="1:24">
      <c r="A213" s="54" t="s">
        <v>391</v>
      </c>
      <c r="B213" s="54">
        <v>70000</v>
      </c>
      <c r="C213" s="54" t="s">
        <v>188</v>
      </c>
      <c r="D213" s="54" t="str">
        <f t="shared" si="229"/>
        <v>Specialist Component 4</v>
      </c>
      <c r="E213" s="168">
        <f>'LOE Breakdown by Year'!F18</f>
        <v>0</v>
      </c>
      <c r="F213" s="96" t="s">
        <v>190</v>
      </c>
      <c r="G213" s="90">
        <f t="shared" si="230"/>
        <v>6</v>
      </c>
      <c r="H213" s="90">
        <f t="shared" si="230"/>
        <v>1666.6666666666667</v>
      </c>
      <c r="I213" s="90">
        <f t="shared" si="247"/>
        <v>0</v>
      </c>
      <c r="J213" s="168">
        <f>'LOE Breakdown by Year'!F45</f>
        <v>0</v>
      </c>
      <c r="K213" s="90">
        <f t="shared" si="231"/>
        <v>12</v>
      </c>
      <c r="L213" s="90">
        <f t="shared" si="248"/>
        <v>0</v>
      </c>
      <c r="M213" s="168">
        <f>'LOE Breakdown by Year'!F72</f>
        <v>0</v>
      </c>
      <c r="N213" s="90">
        <f t="shared" si="232"/>
        <v>12</v>
      </c>
      <c r="O213" s="90">
        <f t="shared" si="249"/>
        <v>0</v>
      </c>
      <c r="P213" s="168">
        <f>'LOE Breakdown by Year'!F99</f>
        <v>0</v>
      </c>
      <c r="Q213" s="90">
        <f t="shared" si="234"/>
        <v>12</v>
      </c>
      <c r="R213" s="90">
        <f t="shared" si="250"/>
        <v>0</v>
      </c>
      <c r="S213" s="168">
        <f>'LOE Breakdown by Year'!F126</f>
        <v>0</v>
      </c>
      <c r="T213" s="90">
        <f t="shared" si="236"/>
        <v>6</v>
      </c>
      <c r="U213" s="90">
        <f t="shared" si="251"/>
        <v>0</v>
      </c>
      <c r="V213" s="90">
        <f t="shared" si="252"/>
        <v>0</v>
      </c>
      <c r="W213" s="90">
        <v>0</v>
      </c>
      <c r="X213" s="90">
        <f t="shared" si="253"/>
        <v>0</v>
      </c>
    </row>
    <row r="214" spans="1:24">
      <c r="A214" s="54" t="s">
        <v>391</v>
      </c>
      <c r="B214" s="54">
        <v>70000</v>
      </c>
      <c r="C214" s="54" t="s">
        <v>188</v>
      </c>
      <c r="D214" s="54" t="str">
        <f t="shared" si="229"/>
        <v>Extension Agents (20 Individuals)</v>
      </c>
      <c r="E214" s="168">
        <f>'LOE Breakdown by Year'!F19</f>
        <v>0.2</v>
      </c>
      <c r="F214" s="96" t="s">
        <v>190</v>
      </c>
      <c r="G214" s="90">
        <f t="shared" si="230"/>
        <v>3</v>
      </c>
      <c r="H214" s="90">
        <f t="shared" si="230"/>
        <v>23333.333333333336</v>
      </c>
      <c r="I214" s="90">
        <f t="shared" si="240"/>
        <v>14000</v>
      </c>
      <c r="J214" s="168">
        <f>'LOE Breakdown by Year'!F46</f>
        <v>0.3</v>
      </c>
      <c r="K214" s="90">
        <f t="shared" si="231"/>
        <v>12</v>
      </c>
      <c r="L214" s="90">
        <f t="shared" si="241"/>
        <v>87360</v>
      </c>
      <c r="M214" s="168">
        <f>'LOE Breakdown by Year'!F73</f>
        <v>0.3</v>
      </c>
      <c r="N214" s="90">
        <f t="shared" si="232"/>
        <v>6</v>
      </c>
      <c r="O214" s="90">
        <f t="shared" si="242"/>
        <v>45427.200000000004</v>
      </c>
      <c r="P214" s="168">
        <f>'LOE Breakdown by Year'!F100</f>
        <v>0</v>
      </c>
      <c r="Q214" s="90">
        <f t="shared" si="234"/>
        <v>0</v>
      </c>
      <c r="R214" s="90">
        <f t="shared" si="243"/>
        <v>0</v>
      </c>
      <c r="S214" s="168">
        <f>'LOE Breakdown by Year'!F127</f>
        <v>0</v>
      </c>
      <c r="T214" s="90">
        <f t="shared" si="236"/>
        <v>0</v>
      </c>
      <c r="U214" s="90">
        <f t="shared" si="244"/>
        <v>0</v>
      </c>
      <c r="V214" s="90">
        <f t="shared" si="245"/>
        <v>146787.20000000001</v>
      </c>
      <c r="W214" s="90">
        <v>0</v>
      </c>
      <c r="X214" s="90">
        <f t="shared" si="246"/>
        <v>146787.20000000001</v>
      </c>
    </row>
    <row r="215" spans="1:24">
      <c r="A215" s="54" t="s">
        <v>391</v>
      </c>
      <c r="B215" s="54">
        <v>70000</v>
      </c>
      <c r="C215" s="54" t="s">
        <v>188</v>
      </c>
      <c r="D215" s="54" t="str">
        <f t="shared" si="229"/>
        <v xml:space="preserve">M&amp;E Director </v>
      </c>
      <c r="E215" s="168">
        <f>'LOE Breakdown by Year'!F20</f>
        <v>0.2</v>
      </c>
      <c r="F215" s="96" t="s">
        <v>190</v>
      </c>
      <c r="G215" s="90">
        <f t="shared" si="230"/>
        <v>9</v>
      </c>
      <c r="H215" s="90">
        <f t="shared" si="230"/>
        <v>3750</v>
      </c>
      <c r="I215" s="90">
        <f t="shared" si="240"/>
        <v>6750</v>
      </c>
      <c r="J215" s="168">
        <f>'LOE Breakdown by Year'!F47</f>
        <v>0.2</v>
      </c>
      <c r="K215" s="90">
        <f t="shared" si="231"/>
        <v>12</v>
      </c>
      <c r="L215" s="90">
        <f t="shared" si="241"/>
        <v>9360</v>
      </c>
      <c r="M215" s="168">
        <f>'LOE Breakdown by Year'!F74</f>
        <v>0.2</v>
      </c>
      <c r="N215" s="90">
        <f t="shared" si="232"/>
        <v>12</v>
      </c>
      <c r="O215" s="90">
        <f t="shared" si="242"/>
        <v>9734.4</v>
      </c>
      <c r="P215" s="168">
        <f>'LOE Breakdown by Year'!F101</f>
        <v>0.2</v>
      </c>
      <c r="Q215" s="90">
        <f t="shared" si="234"/>
        <v>12</v>
      </c>
      <c r="R215" s="90">
        <f t="shared" si="243"/>
        <v>10123.776</v>
      </c>
      <c r="S215" s="168">
        <f>'LOE Breakdown by Year'!F128</f>
        <v>0.2</v>
      </c>
      <c r="T215" s="90">
        <f t="shared" si="236"/>
        <v>12</v>
      </c>
      <c r="U215" s="90">
        <f t="shared" si="244"/>
        <v>10528.72704</v>
      </c>
      <c r="V215" s="90">
        <f t="shared" si="245"/>
        <v>46496.903039999997</v>
      </c>
      <c r="W215" s="90">
        <v>0</v>
      </c>
      <c r="X215" s="90">
        <f t="shared" si="246"/>
        <v>46496.903039999997</v>
      </c>
    </row>
    <row r="216" spans="1:24">
      <c r="A216" s="54" t="s">
        <v>391</v>
      </c>
      <c r="B216" s="54">
        <v>70000</v>
      </c>
      <c r="C216" s="54" t="s">
        <v>188</v>
      </c>
      <c r="D216" s="54" t="str">
        <f t="shared" si="229"/>
        <v>M&amp;E Specialist</v>
      </c>
      <c r="E216" s="168">
        <f>'LOE Breakdown by Year'!F21</f>
        <v>0.2</v>
      </c>
      <c r="F216" s="96" t="s">
        <v>190</v>
      </c>
      <c r="G216" s="90">
        <f t="shared" si="230"/>
        <v>6</v>
      </c>
      <c r="H216" s="90">
        <f t="shared" si="230"/>
        <v>2083.3333333333335</v>
      </c>
      <c r="I216" s="90">
        <f t="shared" si="240"/>
        <v>2500</v>
      </c>
      <c r="J216" s="168">
        <f>'LOE Breakdown by Year'!F48</f>
        <v>0.2</v>
      </c>
      <c r="K216" s="90">
        <f t="shared" si="231"/>
        <v>12</v>
      </c>
      <c r="L216" s="90">
        <f t="shared" si="241"/>
        <v>5200</v>
      </c>
      <c r="M216" s="168">
        <f>'LOE Breakdown by Year'!F75</f>
        <v>0.2</v>
      </c>
      <c r="N216" s="90">
        <f t="shared" si="232"/>
        <v>12</v>
      </c>
      <c r="O216" s="90">
        <f t="shared" si="242"/>
        <v>5408</v>
      </c>
      <c r="P216" s="168">
        <f>'LOE Breakdown by Year'!F102</f>
        <v>0.2</v>
      </c>
      <c r="Q216" s="90">
        <f t="shared" si="234"/>
        <v>12</v>
      </c>
      <c r="R216" s="90">
        <f t="shared" si="243"/>
        <v>5624.3200000000006</v>
      </c>
      <c r="S216" s="168">
        <f>'LOE Breakdown by Year'!F129</f>
        <v>0.2</v>
      </c>
      <c r="T216" s="90">
        <f t="shared" si="236"/>
        <v>10</v>
      </c>
      <c r="U216" s="90">
        <f t="shared" si="244"/>
        <v>4874.4106666666676</v>
      </c>
      <c r="V216" s="90">
        <f t="shared" si="245"/>
        <v>23606.730666666666</v>
      </c>
      <c r="W216" s="90">
        <v>0</v>
      </c>
      <c r="X216" s="90">
        <f t="shared" si="246"/>
        <v>23606.730666666666</v>
      </c>
    </row>
    <row r="217" spans="1:24">
      <c r="A217" s="54" t="s">
        <v>391</v>
      </c>
      <c r="B217" s="54">
        <v>70000</v>
      </c>
      <c r="C217" s="54" t="s">
        <v>188</v>
      </c>
      <c r="D217" s="54" t="str">
        <f t="shared" si="229"/>
        <v xml:space="preserve">F&amp;A Director </v>
      </c>
      <c r="E217" s="168">
        <f>'LOE Breakdown by Year'!F22</f>
        <v>0.2</v>
      </c>
      <c r="F217" s="96" t="s">
        <v>190</v>
      </c>
      <c r="G217" s="90">
        <f t="shared" si="230"/>
        <v>9</v>
      </c>
      <c r="H217" s="90">
        <f t="shared" si="230"/>
        <v>6666.666666666667</v>
      </c>
      <c r="I217" s="90">
        <f t="shared" si="240"/>
        <v>12000</v>
      </c>
      <c r="J217" s="168">
        <f>'LOE Breakdown by Year'!F49</f>
        <v>0.2</v>
      </c>
      <c r="K217" s="90">
        <f t="shared" si="231"/>
        <v>12</v>
      </c>
      <c r="L217" s="90">
        <f t="shared" si="241"/>
        <v>16640</v>
      </c>
      <c r="M217" s="168">
        <f>'LOE Breakdown by Year'!F76</f>
        <v>0.2</v>
      </c>
      <c r="N217" s="90">
        <f t="shared" si="232"/>
        <v>12</v>
      </c>
      <c r="O217" s="90">
        <f t="shared" si="242"/>
        <v>17305.600000000002</v>
      </c>
      <c r="P217" s="168">
        <f>'LOE Breakdown by Year'!F103</f>
        <v>0.2</v>
      </c>
      <c r="Q217" s="90">
        <f t="shared" si="234"/>
        <v>12</v>
      </c>
      <c r="R217" s="90">
        <f t="shared" si="243"/>
        <v>17997.824000000004</v>
      </c>
      <c r="S217" s="168">
        <f>'LOE Breakdown by Year'!F130</f>
        <v>0.2</v>
      </c>
      <c r="T217" s="90">
        <f t="shared" si="236"/>
        <v>12</v>
      </c>
      <c r="U217" s="90">
        <f t="shared" si="244"/>
        <v>18717.736960000006</v>
      </c>
      <c r="V217" s="90">
        <f t="shared" si="245"/>
        <v>82661.160960000008</v>
      </c>
      <c r="W217" s="90">
        <v>0</v>
      </c>
      <c r="X217" s="90">
        <f t="shared" si="246"/>
        <v>82661.160960000008</v>
      </c>
    </row>
    <row r="218" spans="1:24">
      <c r="A218" s="54" t="s">
        <v>391</v>
      </c>
      <c r="B218" s="54">
        <v>70000</v>
      </c>
      <c r="C218" s="54" t="s">
        <v>188</v>
      </c>
      <c r="D218" s="54" t="str">
        <f t="shared" si="229"/>
        <v>Human Resource Manager</v>
      </c>
      <c r="E218" s="168">
        <f>'LOE Breakdown by Year'!F23</f>
        <v>0.2</v>
      </c>
      <c r="F218" s="96" t="s">
        <v>190</v>
      </c>
      <c r="G218" s="90">
        <f t="shared" si="230"/>
        <v>9</v>
      </c>
      <c r="H218" s="90">
        <f t="shared" si="230"/>
        <v>2916.6666666666665</v>
      </c>
      <c r="I218" s="90">
        <f t="shared" ref="I218" si="254">G218*H218*E218</f>
        <v>5250</v>
      </c>
      <c r="J218" s="168">
        <f>'LOE Breakdown by Year'!F50</f>
        <v>0.2</v>
      </c>
      <c r="K218" s="90">
        <f t="shared" si="231"/>
        <v>12</v>
      </c>
      <c r="L218" s="90">
        <f t="shared" ref="L218" si="255">K218*H218*$E$7*$J218</f>
        <v>7280</v>
      </c>
      <c r="M218" s="168">
        <f>'LOE Breakdown by Year'!F77</f>
        <v>0.25</v>
      </c>
      <c r="N218" s="90">
        <f t="shared" si="232"/>
        <v>12</v>
      </c>
      <c r="O218" s="90">
        <f t="shared" ref="O218" si="256">N218*H218*$M218*$E$7*$E$7</f>
        <v>9464</v>
      </c>
      <c r="P218" s="168">
        <f>'LOE Breakdown by Year'!F104</f>
        <v>0.25</v>
      </c>
      <c r="Q218" s="90">
        <f t="shared" si="234"/>
        <v>12</v>
      </c>
      <c r="R218" s="90">
        <f t="shared" ref="R218" si="257">Q218*H218*$P218*$E$7*$E$7*$E$7</f>
        <v>9842.56</v>
      </c>
      <c r="S218" s="168">
        <f>'LOE Breakdown by Year'!F131</f>
        <v>0.25</v>
      </c>
      <c r="T218" s="90">
        <f t="shared" si="236"/>
        <v>10</v>
      </c>
      <c r="U218" s="90">
        <f t="shared" ref="U218" si="258">T218*H218*$S218*$E$7*$E$7*$E$7*$E$7</f>
        <v>8530.2186666666676</v>
      </c>
      <c r="V218" s="90">
        <f t="shared" ref="V218" si="259">SUM(R218,O218,L218,I218,U218)</f>
        <v>40366.778666666665</v>
      </c>
      <c r="W218" s="90">
        <v>0</v>
      </c>
      <c r="X218" s="90">
        <f t="shared" ref="X218" si="260">SUM(V218:W218)</f>
        <v>40366.778666666665</v>
      </c>
    </row>
    <row r="219" spans="1:24">
      <c r="A219" s="54" t="s">
        <v>391</v>
      </c>
      <c r="B219" s="54">
        <v>70000</v>
      </c>
      <c r="C219" s="54" t="s">
        <v>188</v>
      </c>
      <c r="D219" s="54" t="str">
        <f t="shared" si="229"/>
        <v>Contracts &amp; Compliance Specialist</v>
      </c>
      <c r="E219" s="168">
        <f>'LOE Breakdown by Year'!F24</f>
        <v>0.25</v>
      </c>
      <c r="F219" s="96" t="s">
        <v>190</v>
      </c>
      <c r="G219" s="90">
        <f t="shared" si="230"/>
        <v>6</v>
      </c>
      <c r="H219" s="90">
        <f t="shared" si="230"/>
        <v>2916.6666666666665</v>
      </c>
      <c r="I219" s="90">
        <f t="shared" si="240"/>
        <v>4375</v>
      </c>
      <c r="J219" s="168">
        <f>'LOE Breakdown by Year'!F51</f>
        <v>0.25</v>
      </c>
      <c r="K219" s="90">
        <f t="shared" si="231"/>
        <v>12</v>
      </c>
      <c r="L219" s="90">
        <f t="shared" si="241"/>
        <v>9100</v>
      </c>
      <c r="M219" s="168">
        <f>'LOE Breakdown by Year'!F78</f>
        <v>0.25</v>
      </c>
      <c r="N219" s="90">
        <f t="shared" si="232"/>
        <v>12</v>
      </c>
      <c r="O219" s="90">
        <f t="shared" si="242"/>
        <v>9464</v>
      </c>
      <c r="P219" s="168">
        <f>'LOE Breakdown by Year'!F105</f>
        <v>0.25</v>
      </c>
      <c r="Q219" s="90">
        <f t="shared" si="234"/>
        <v>12</v>
      </c>
      <c r="R219" s="90">
        <f t="shared" si="243"/>
        <v>9842.56</v>
      </c>
      <c r="S219" s="168">
        <f>'LOE Breakdown by Year'!F132</f>
        <v>0.25</v>
      </c>
      <c r="T219" s="90">
        <f t="shared" si="236"/>
        <v>9</v>
      </c>
      <c r="U219" s="90">
        <f t="shared" si="244"/>
        <v>7677.1968000000006</v>
      </c>
      <c r="V219" s="90">
        <f t="shared" si="245"/>
        <v>40458.756799999996</v>
      </c>
      <c r="W219" s="90">
        <v>0</v>
      </c>
      <c r="X219" s="90">
        <f t="shared" si="246"/>
        <v>40458.756799999996</v>
      </c>
    </row>
    <row r="220" spans="1:24">
      <c r="A220" s="54" t="s">
        <v>391</v>
      </c>
      <c r="B220" s="54">
        <v>70000</v>
      </c>
      <c r="C220" s="54" t="s">
        <v>188</v>
      </c>
      <c r="D220" s="54" t="str">
        <f t="shared" si="229"/>
        <v xml:space="preserve">Accountant </v>
      </c>
      <c r="E220" s="168">
        <f>'LOE Breakdown by Year'!F25</f>
        <v>0.2</v>
      </c>
      <c r="F220" s="96" t="s">
        <v>190</v>
      </c>
      <c r="G220" s="90">
        <f t="shared" si="230"/>
        <v>7</v>
      </c>
      <c r="H220" s="90">
        <f t="shared" si="230"/>
        <v>1666.6666666666667</v>
      </c>
      <c r="I220" s="90">
        <f t="shared" si="240"/>
        <v>2333.3333333333335</v>
      </c>
      <c r="J220" s="168">
        <f>'LOE Breakdown by Year'!F52</f>
        <v>0.2</v>
      </c>
      <c r="K220" s="90">
        <f t="shared" si="231"/>
        <v>12</v>
      </c>
      <c r="L220" s="90">
        <f t="shared" si="241"/>
        <v>4160</v>
      </c>
      <c r="M220" s="168">
        <f>'LOE Breakdown by Year'!F79</f>
        <v>0.2</v>
      </c>
      <c r="N220" s="90">
        <f t="shared" si="232"/>
        <v>12</v>
      </c>
      <c r="O220" s="90">
        <f t="shared" si="242"/>
        <v>4326.4000000000005</v>
      </c>
      <c r="P220" s="168">
        <f>'LOE Breakdown by Year'!F106</f>
        <v>0.2</v>
      </c>
      <c r="Q220" s="90">
        <f t="shared" si="234"/>
        <v>12</v>
      </c>
      <c r="R220" s="90">
        <f t="shared" si="243"/>
        <v>4499.456000000001</v>
      </c>
      <c r="S220" s="168">
        <f>'LOE Breakdown by Year'!F133</f>
        <v>0.2</v>
      </c>
      <c r="T220" s="90">
        <f t="shared" si="236"/>
        <v>10</v>
      </c>
      <c r="U220" s="90">
        <f t="shared" si="244"/>
        <v>3899.528533333335</v>
      </c>
      <c r="V220" s="90">
        <f t="shared" si="245"/>
        <v>19218.71786666667</v>
      </c>
      <c r="W220" s="90">
        <v>0</v>
      </c>
      <c r="X220" s="90">
        <f t="shared" si="246"/>
        <v>19218.71786666667</v>
      </c>
    </row>
    <row r="221" spans="1:24">
      <c r="A221" s="54" t="s">
        <v>391</v>
      </c>
      <c r="B221" s="54">
        <v>70000</v>
      </c>
      <c r="C221" s="54" t="s">
        <v>188</v>
      </c>
      <c r="D221" s="54" t="str">
        <f t="shared" si="229"/>
        <v xml:space="preserve">Administrative Assistant </v>
      </c>
      <c r="E221" s="168">
        <f>'LOE Breakdown by Year'!F26</f>
        <v>0.2</v>
      </c>
      <c r="F221" s="96" t="s">
        <v>190</v>
      </c>
      <c r="G221" s="90">
        <f t="shared" si="230"/>
        <v>7</v>
      </c>
      <c r="H221" s="90">
        <f t="shared" si="230"/>
        <v>833.33333333333337</v>
      </c>
      <c r="I221" s="90">
        <f t="shared" si="240"/>
        <v>1166.6666666666667</v>
      </c>
      <c r="J221" s="168">
        <f>'LOE Breakdown by Year'!F53</f>
        <v>0.2</v>
      </c>
      <c r="K221" s="90">
        <f t="shared" si="231"/>
        <v>12</v>
      </c>
      <c r="L221" s="90">
        <f t="shared" si="241"/>
        <v>2080</v>
      </c>
      <c r="M221" s="168">
        <f>'LOE Breakdown by Year'!F80</f>
        <v>0.2</v>
      </c>
      <c r="N221" s="90">
        <f t="shared" si="232"/>
        <v>12</v>
      </c>
      <c r="O221" s="90">
        <f t="shared" si="242"/>
        <v>2163.2000000000003</v>
      </c>
      <c r="P221" s="168">
        <f>'LOE Breakdown by Year'!F107</f>
        <v>0.2</v>
      </c>
      <c r="Q221" s="90">
        <f t="shared" si="234"/>
        <v>12</v>
      </c>
      <c r="R221" s="90">
        <f t="shared" si="243"/>
        <v>2249.7280000000005</v>
      </c>
      <c r="S221" s="168">
        <f>'LOE Breakdown by Year'!F134</f>
        <v>0.2</v>
      </c>
      <c r="T221" s="90">
        <f t="shared" si="236"/>
        <v>10</v>
      </c>
      <c r="U221" s="90">
        <f t="shared" si="244"/>
        <v>1949.7642666666675</v>
      </c>
      <c r="V221" s="90">
        <f t="shared" si="245"/>
        <v>9609.3589333333348</v>
      </c>
      <c r="W221" s="90">
        <v>0</v>
      </c>
      <c r="X221" s="90">
        <f t="shared" si="246"/>
        <v>9609.3589333333348</v>
      </c>
    </row>
    <row r="222" spans="1:24">
      <c r="A222" s="54" t="s">
        <v>391</v>
      </c>
      <c r="B222" s="54">
        <v>70000</v>
      </c>
      <c r="C222" s="54" t="s">
        <v>188</v>
      </c>
      <c r="D222" s="54" t="str">
        <f t="shared" si="229"/>
        <v>Security Guards</v>
      </c>
      <c r="E222" s="168">
        <f>'LOE Breakdown by Year'!F27</f>
        <v>0.2</v>
      </c>
      <c r="F222" s="96" t="s">
        <v>190</v>
      </c>
      <c r="G222" s="90">
        <f t="shared" si="230"/>
        <v>8</v>
      </c>
      <c r="H222" s="90">
        <f t="shared" si="230"/>
        <v>666.66666666666663</v>
      </c>
      <c r="I222" s="90">
        <f t="shared" si="240"/>
        <v>1066.6666666666667</v>
      </c>
      <c r="J222" s="168">
        <f>'LOE Breakdown by Year'!F54</f>
        <v>0.25</v>
      </c>
      <c r="K222" s="90">
        <f t="shared" si="231"/>
        <v>12</v>
      </c>
      <c r="L222" s="90">
        <f t="shared" si="241"/>
        <v>2080</v>
      </c>
      <c r="M222" s="168">
        <f>'LOE Breakdown by Year'!F81</f>
        <v>0.25</v>
      </c>
      <c r="N222" s="90">
        <f t="shared" si="232"/>
        <v>12</v>
      </c>
      <c r="O222" s="90">
        <f t="shared" si="242"/>
        <v>2163.2000000000003</v>
      </c>
      <c r="P222" s="168">
        <f>'LOE Breakdown by Year'!F108</f>
        <v>0.25</v>
      </c>
      <c r="Q222" s="90">
        <f t="shared" si="234"/>
        <v>12</v>
      </c>
      <c r="R222" s="90">
        <f t="shared" si="243"/>
        <v>2249.7280000000005</v>
      </c>
      <c r="S222" s="168">
        <f>'LOE Breakdown by Year'!F135</f>
        <v>0.25</v>
      </c>
      <c r="T222" s="90">
        <f t="shared" si="236"/>
        <v>10</v>
      </c>
      <c r="U222" s="90">
        <f t="shared" si="244"/>
        <v>1949.764266666667</v>
      </c>
      <c r="V222" s="90">
        <f t="shared" si="245"/>
        <v>9509.3589333333348</v>
      </c>
      <c r="W222" s="90">
        <v>0</v>
      </c>
      <c r="X222" s="90">
        <f t="shared" si="246"/>
        <v>9509.3589333333348</v>
      </c>
    </row>
    <row r="223" spans="1:24">
      <c r="A223" s="54" t="s">
        <v>391</v>
      </c>
      <c r="B223" s="54">
        <v>70000</v>
      </c>
      <c r="C223" s="54" t="s">
        <v>188</v>
      </c>
      <c r="D223" s="54" t="str">
        <f t="shared" si="229"/>
        <v>Driver (2 Individuals)</v>
      </c>
      <c r="E223" s="168">
        <f>'LOE Breakdown by Year'!F28</f>
        <v>0.2</v>
      </c>
      <c r="F223" s="96" t="s">
        <v>190</v>
      </c>
      <c r="G223" s="90">
        <f t="shared" si="230"/>
        <v>6</v>
      </c>
      <c r="H223" s="90">
        <f t="shared" si="230"/>
        <v>1333.3333333333333</v>
      </c>
      <c r="I223" s="90">
        <f>G223*H223*E223</f>
        <v>1600</v>
      </c>
      <c r="J223" s="168">
        <f>'LOE Breakdown by Year'!F55</f>
        <v>0.2</v>
      </c>
      <c r="K223" s="90">
        <f t="shared" si="231"/>
        <v>12</v>
      </c>
      <c r="L223" s="90">
        <f>K223*H223*$E$7*$J223</f>
        <v>3328</v>
      </c>
      <c r="M223" s="168">
        <f>'LOE Breakdown by Year'!F82</f>
        <v>0.2</v>
      </c>
      <c r="N223" s="90">
        <f t="shared" si="232"/>
        <v>12</v>
      </c>
      <c r="O223" s="90">
        <f t="shared" si="242"/>
        <v>3461.12</v>
      </c>
      <c r="P223" s="168">
        <f>'LOE Breakdown by Year'!F109</f>
        <v>0.2</v>
      </c>
      <c r="Q223" s="90">
        <f t="shared" si="234"/>
        <v>12</v>
      </c>
      <c r="R223" s="90">
        <f t="shared" si="243"/>
        <v>3599.5648000000001</v>
      </c>
      <c r="S223" s="168">
        <f>'LOE Breakdown by Year'!F136</f>
        <v>0.2</v>
      </c>
      <c r="T223" s="90">
        <f t="shared" si="236"/>
        <v>9</v>
      </c>
      <c r="U223" s="90">
        <f t="shared" si="244"/>
        <v>2807.6605440000003</v>
      </c>
      <c r="V223" s="90">
        <f t="shared" si="245"/>
        <v>14796.345343999999</v>
      </c>
      <c r="W223" s="90">
        <v>0</v>
      </c>
      <c r="X223" s="90">
        <f t="shared" si="246"/>
        <v>14796.345343999999</v>
      </c>
    </row>
    <row r="224" spans="1:24">
      <c r="A224" s="87"/>
      <c r="B224" s="87"/>
      <c r="C224" s="87"/>
      <c r="D224" s="87" t="s">
        <v>392</v>
      </c>
      <c r="E224" s="181"/>
      <c r="F224" s="92"/>
      <c r="G224" s="93"/>
      <c r="H224" s="93"/>
      <c r="I224" s="94">
        <f>SUM(I206:I223)</f>
        <v>107541.66666666667</v>
      </c>
      <c r="J224" s="181"/>
      <c r="K224" s="94"/>
      <c r="L224" s="94">
        <f>SUM(L206:L223)</f>
        <v>248508</v>
      </c>
      <c r="M224" s="181"/>
      <c r="N224" s="94"/>
      <c r="O224" s="94">
        <f>SUM(O206:O223)</f>
        <v>214913.92000000001</v>
      </c>
      <c r="P224" s="181"/>
      <c r="Q224" s="94"/>
      <c r="R224" s="94">
        <f>SUM(R206:R223)</f>
        <v>176266.1888</v>
      </c>
      <c r="S224" s="181"/>
      <c r="T224" s="94"/>
      <c r="U224" s="94">
        <f>SUM(U206:U223)</f>
        <v>146919.61190400002</v>
      </c>
      <c r="V224" s="94">
        <f>SUM(V206:V223)</f>
        <v>894149.38737066672</v>
      </c>
      <c r="W224" s="94">
        <f>SUM(W206:W223)</f>
        <v>0</v>
      </c>
      <c r="X224" s="94">
        <f>SUM(X206:X223)</f>
        <v>894149.38737066672</v>
      </c>
    </row>
    <row r="225" spans="1:24">
      <c r="A225" s="153"/>
      <c r="B225" s="153"/>
      <c r="C225" s="153"/>
      <c r="D225" s="153"/>
      <c r="E225" s="182"/>
      <c r="F225" s="129"/>
      <c r="G225" s="109"/>
      <c r="H225" s="109"/>
      <c r="I225" s="109"/>
      <c r="J225" s="182"/>
      <c r="K225" s="109"/>
      <c r="L225" s="109"/>
      <c r="M225" s="182"/>
      <c r="N225" s="109"/>
      <c r="O225" s="109"/>
      <c r="P225" s="182"/>
      <c r="Q225" s="109"/>
      <c r="R225" s="109"/>
      <c r="S225" s="182"/>
      <c r="T225" s="109"/>
      <c r="U225" s="109"/>
      <c r="V225" s="109"/>
      <c r="W225" s="109"/>
      <c r="X225" s="109"/>
    </row>
    <row r="226" spans="1:24">
      <c r="A226" s="87"/>
      <c r="B226" s="87"/>
      <c r="C226" s="87"/>
      <c r="D226" s="87" t="s">
        <v>393</v>
      </c>
      <c r="E226" s="181"/>
      <c r="F226" s="92"/>
      <c r="G226" s="93"/>
      <c r="H226" s="93"/>
      <c r="I226" s="94"/>
      <c r="J226" s="181"/>
      <c r="K226" s="94"/>
      <c r="L226" s="94"/>
      <c r="M226" s="181"/>
      <c r="N226" s="94"/>
      <c r="O226" s="94"/>
      <c r="P226" s="181"/>
      <c r="Q226" s="94"/>
      <c r="R226" s="94"/>
      <c r="S226" s="181"/>
      <c r="T226" s="94"/>
      <c r="U226" s="94"/>
      <c r="V226" s="94"/>
      <c r="W226" s="94"/>
      <c r="X226" s="94"/>
    </row>
    <row r="227" spans="1:24">
      <c r="A227" s="54" t="s">
        <v>394</v>
      </c>
      <c r="B227" s="91">
        <v>70015</v>
      </c>
      <c r="C227" s="54" t="s">
        <v>188</v>
      </c>
      <c r="D227" s="54" t="str">
        <f>$D$37</f>
        <v>Fringe Benefits CCN - Mauritania</v>
      </c>
      <c r="E227" s="169"/>
      <c r="F227" s="130" t="s">
        <v>145</v>
      </c>
      <c r="G227" s="90"/>
      <c r="H227" s="106">
        <f>H37</f>
        <v>0.26919999999999999</v>
      </c>
      <c r="I227" s="90">
        <f>(SUM(I207:I223))*$H$227</f>
        <v>21143.416666666668</v>
      </c>
      <c r="J227" s="169"/>
      <c r="K227" s="90"/>
      <c r="L227" s="90">
        <f>(SUM(L207:L223))*$H$227</f>
        <v>58779.281600000002</v>
      </c>
      <c r="M227" s="169"/>
      <c r="N227" s="90"/>
      <c r="O227" s="90">
        <f>(SUM(O207:O223))*$H$227</f>
        <v>49410.992384000005</v>
      </c>
      <c r="P227" s="169"/>
      <c r="Q227" s="90"/>
      <c r="R227" s="90">
        <f>(SUM(R207:R223))*$H$227</f>
        <v>38669.269749760002</v>
      </c>
      <c r="S227" s="169"/>
      <c r="T227" s="90"/>
      <c r="U227" s="90">
        <f>(SUM(U207:U223))*$H$227</f>
        <v>30417.907718348801</v>
      </c>
      <c r="V227" s="90">
        <f t="shared" ref="V227:V230" si="261">SUM(R227,O227,L227,I227,U227)</f>
        <v>198420.86811877548</v>
      </c>
      <c r="W227" s="109">
        <v>0</v>
      </c>
      <c r="X227" s="90">
        <f>SUM(V227:W227)</f>
        <v>198420.86811877548</v>
      </c>
    </row>
    <row r="228" spans="1:24">
      <c r="A228" s="54" t="s">
        <v>394</v>
      </c>
      <c r="B228" s="91">
        <v>70015</v>
      </c>
      <c r="C228" s="54" t="s">
        <v>188</v>
      </c>
      <c r="D228" s="91" t="str">
        <f>$D$39</f>
        <v>Fringe Benefits Package for Ex-pat Chief of Party</v>
      </c>
      <c r="E228" s="174"/>
      <c r="F228" s="130" t="s">
        <v>145</v>
      </c>
      <c r="H228" s="224">
        <f>H39</f>
        <v>0.23469999999999999</v>
      </c>
      <c r="I228" s="131">
        <f>I206*$H$228</f>
        <v>6806.3</v>
      </c>
      <c r="J228" s="174"/>
      <c r="K228" s="131"/>
      <c r="L228" s="131">
        <f>L206*$H$228</f>
        <v>7078.5519999999997</v>
      </c>
      <c r="M228" s="174"/>
      <c r="N228" s="131"/>
      <c r="O228" s="131">
        <f>O206*$H$228</f>
        <v>7361.6940800000002</v>
      </c>
      <c r="P228" s="174"/>
      <c r="Q228" s="131"/>
      <c r="R228" s="131">
        <f>R206*$H$228</f>
        <v>7656.1618432000005</v>
      </c>
      <c r="S228" s="174"/>
      <c r="T228" s="131"/>
      <c r="U228" s="131">
        <f>U206*$H$228</f>
        <v>7962.4083169280002</v>
      </c>
      <c r="V228" s="90">
        <f t="shared" si="261"/>
        <v>36865.116240128002</v>
      </c>
      <c r="W228" s="90" t="s">
        <v>217</v>
      </c>
      <c r="X228" s="90">
        <f>SUM(V228:W228)</f>
        <v>36865.116240128002</v>
      </c>
    </row>
    <row r="229" spans="1:24">
      <c r="A229" s="52" t="s">
        <v>395</v>
      </c>
      <c r="B229" s="52">
        <v>50202</v>
      </c>
      <c r="C229" s="54" t="s">
        <v>188</v>
      </c>
      <c r="D229" s="91" t="str">
        <f>$D$40</f>
        <v>Cost of Living Adjustment for Ex-pat Chief of Party</v>
      </c>
      <c r="E229" s="174"/>
      <c r="F229" s="130" t="s">
        <v>145</v>
      </c>
      <c r="H229" s="224">
        <f>H40</f>
        <v>0.15</v>
      </c>
      <c r="I229" s="131">
        <f>I206*$H$229</f>
        <v>4350</v>
      </c>
      <c r="J229" s="174"/>
      <c r="K229" s="131"/>
      <c r="L229" s="131">
        <f>L206*$H$229</f>
        <v>4524</v>
      </c>
      <c r="M229" s="174"/>
      <c r="N229" s="131"/>
      <c r="O229" s="131">
        <f>O206*$H$229</f>
        <v>4704.96</v>
      </c>
      <c r="P229" s="174"/>
      <c r="Q229" s="131"/>
      <c r="R229" s="131">
        <f>R206*$H$229</f>
        <v>4893.1584000000003</v>
      </c>
      <c r="S229" s="174"/>
      <c r="T229" s="131"/>
      <c r="U229" s="131">
        <f>U206*$H$229</f>
        <v>5088.884736</v>
      </c>
      <c r="V229" s="90">
        <f t="shared" si="261"/>
        <v>23561.003135999999</v>
      </c>
      <c r="W229" s="90" t="s">
        <v>217</v>
      </c>
      <c r="X229" s="90">
        <f t="shared" ref="X229:X230" si="262">SUM(V229:W229)</f>
        <v>23561.003135999999</v>
      </c>
    </row>
    <row r="230" spans="1:24">
      <c r="A230" s="52" t="s">
        <v>396</v>
      </c>
      <c r="B230" s="52">
        <v>50203</v>
      </c>
      <c r="C230" s="54" t="s">
        <v>188</v>
      </c>
      <c r="D230" s="91" t="str">
        <f>$D$41</f>
        <v>Post Hardship for Ex-pat Chief of Party</v>
      </c>
      <c r="E230" s="174"/>
      <c r="F230" s="130" t="s">
        <v>145</v>
      </c>
      <c r="H230" s="224">
        <f>H41</f>
        <v>0.35</v>
      </c>
      <c r="I230" s="131">
        <f>I206*$H$230</f>
        <v>10150</v>
      </c>
      <c r="J230" s="174"/>
      <c r="K230" s="131"/>
      <c r="L230" s="131">
        <f>L206*$H$230</f>
        <v>10556</v>
      </c>
      <c r="M230" s="174"/>
      <c r="N230" s="131"/>
      <c r="O230" s="131">
        <f>O206*$H$230</f>
        <v>10978.24</v>
      </c>
      <c r="P230" s="174"/>
      <c r="Q230" s="131"/>
      <c r="R230" s="131">
        <f>R206*$H$230</f>
        <v>11417.3696</v>
      </c>
      <c r="S230" s="174"/>
      <c r="T230" s="131"/>
      <c r="U230" s="131">
        <f>U206*$H$230</f>
        <v>11874.064383999999</v>
      </c>
      <c r="V230" s="90">
        <f t="shared" si="261"/>
        <v>54975.673983999994</v>
      </c>
      <c r="W230" s="90" t="s">
        <v>217</v>
      </c>
      <c r="X230" s="90">
        <f t="shared" si="262"/>
        <v>54975.673983999994</v>
      </c>
    </row>
    <row r="231" spans="1:24">
      <c r="A231" s="87"/>
      <c r="B231" s="87"/>
      <c r="C231" s="87"/>
      <c r="D231" s="87" t="s">
        <v>397</v>
      </c>
      <c r="E231" s="181"/>
      <c r="F231" s="92"/>
      <c r="G231" s="93"/>
      <c r="H231" s="93"/>
      <c r="I231" s="94">
        <f>SUM(I227:I230)</f>
        <v>42449.716666666667</v>
      </c>
      <c r="J231" s="181"/>
      <c r="K231" s="94"/>
      <c r="L231" s="94">
        <f>SUM(L227:L230)</f>
        <v>80937.833599999998</v>
      </c>
      <c r="M231" s="181"/>
      <c r="N231" s="94"/>
      <c r="O231" s="94">
        <f>SUM(O227:O230)</f>
        <v>72455.88646400001</v>
      </c>
      <c r="P231" s="181"/>
      <c r="Q231" s="94"/>
      <c r="R231" s="94">
        <f>SUM(R227:R230)</f>
        <v>62635.959592960004</v>
      </c>
      <c r="S231" s="181"/>
      <c r="T231" s="94"/>
      <c r="U231" s="94">
        <f>SUM(U227:U230)</f>
        <v>55343.2651552768</v>
      </c>
      <c r="V231" s="94">
        <f>SUM(V227:V230)</f>
        <v>313822.66147890349</v>
      </c>
      <c r="W231" s="94">
        <f>SUM(W227:W230)</f>
        <v>0</v>
      </c>
      <c r="X231" s="94">
        <f>SUM(X227:X230)</f>
        <v>313822.66147890349</v>
      </c>
    </row>
    <row r="232" spans="1:24">
      <c r="A232" s="153"/>
      <c r="B232" s="153"/>
      <c r="C232" s="153"/>
      <c r="D232" s="153"/>
      <c r="E232" s="182"/>
      <c r="F232" s="129"/>
      <c r="G232" s="109"/>
      <c r="H232" s="109"/>
      <c r="I232" s="109"/>
      <c r="J232" s="182"/>
      <c r="K232" s="109"/>
      <c r="L232" s="109"/>
      <c r="M232" s="182"/>
      <c r="N232" s="109"/>
      <c r="O232" s="109"/>
      <c r="P232" s="182"/>
      <c r="Q232" s="109"/>
      <c r="R232" s="109"/>
      <c r="S232" s="182"/>
      <c r="T232" s="109"/>
      <c r="U232" s="109"/>
      <c r="V232" s="109"/>
      <c r="W232" s="109"/>
      <c r="X232" s="109"/>
    </row>
    <row r="233" spans="1:24">
      <c r="A233" s="87"/>
      <c r="B233" s="87"/>
      <c r="C233" s="87"/>
      <c r="D233" s="87" t="s">
        <v>398</v>
      </c>
      <c r="E233" s="181"/>
      <c r="F233" s="92"/>
      <c r="G233" s="93"/>
      <c r="H233" s="93"/>
      <c r="I233" s="93"/>
      <c r="J233" s="181"/>
      <c r="K233" s="93"/>
      <c r="L233" s="93"/>
      <c r="M233" s="181"/>
      <c r="N233" s="93"/>
      <c r="O233" s="93"/>
      <c r="P233" s="181"/>
      <c r="Q233" s="93"/>
      <c r="R233" s="93"/>
      <c r="S233" s="181"/>
      <c r="T233" s="93"/>
      <c r="U233" s="93"/>
      <c r="V233" s="93"/>
      <c r="W233" s="93"/>
      <c r="X233" s="93"/>
    </row>
    <row r="234" spans="1:24" ht="25.2">
      <c r="A234" s="52" t="s">
        <v>399</v>
      </c>
      <c r="B234" s="54">
        <v>81000</v>
      </c>
      <c r="C234" s="54" t="s">
        <v>188</v>
      </c>
      <c r="D234" s="54" t="s">
        <v>400</v>
      </c>
      <c r="F234" s="54" t="s">
        <v>258</v>
      </c>
      <c r="G234" s="90">
        <v>1</v>
      </c>
      <c r="H234" s="90">
        <v>30000</v>
      </c>
      <c r="I234" s="90">
        <f t="shared" ref="I234:I240" si="263">G234*H234</f>
        <v>30000</v>
      </c>
      <c r="J234" s="177"/>
      <c r="K234" s="90">
        <v>0</v>
      </c>
      <c r="L234" s="90">
        <f>H234*K234</f>
        <v>0</v>
      </c>
      <c r="M234" s="177"/>
      <c r="N234" s="90">
        <v>0</v>
      </c>
      <c r="O234" s="90">
        <f>H234*N234</f>
        <v>0</v>
      </c>
      <c r="P234" s="177"/>
      <c r="Q234" s="90">
        <v>0</v>
      </c>
      <c r="R234" s="90">
        <f>H234*Q234</f>
        <v>0</v>
      </c>
      <c r="S234" s="177"/>
      <c r="T234" s="90">
        <v>0</v>
      </c>
      <c r="U234" s="90">
        <f>H234*T234</f>
        <v>0</v>
      </c>
      <c r="V234" s="90">
        <f t="shared" ref="V234" si="264">SUM(R234,O234,L234,I234,U234)</f>
        <v>30000</v>
      </c>
      <c r="W234" s="90" t="s">
        <v>217</v>
      </c>
      <c r="X234" s="90">
        <f>SUM(V234:W234)</f>
        <v>30000</v>
      </c>
    </row>
    <row r="235" spans="1:24">
      <c r="A235" s="54" t="s">
        <v>401</v>
      </c>
      <c r="B235" s="54">
        <v>81010</v>
      </c>
      <c r="C235" s="54" t="s">
        <v>188</v>
      </c>
      <c r="D235" s="54" t="s">
        <v>402</v>
      </c>
      <c r="F235" s="54" t="s">
        <v>147</v>
      </c>
      <c r="G235" s="90">
        <v>0</v>
      </c>
      <c r="H235" s="90">
        <v>60000</v>
      </c>
      <c r="I235" s="90">
        <f t="shared" si="263"/>
        <v>0</v>
      </c>
      <c r="J235" s="177"/>
      <c r="K235" s="90">
        <v>0</v>
      </c>
      <c r="L235" s="90">
        <f>H235*K235</f>
        <v>0</v>
      </c>
      <c r="M235" s="177"/>
      <c r="N235" s="90">
        <v>1</v>
      </c>
      <c r="O235" s="90">
        <f>H235*N235</f>
        <v>60000</v>
      </c>
      <c r="P235" s="177"/>
      <c r="Q235" s="90">
        <v>1</v>
      </c>
      <c r="R235" s="90">
        <f>H235*Q235</f>
        <v>60000</v>
      </c>
      <c r="S235" s="177"/>
      <c r="T235" s="90">
        <v>1</v>
      </c>
      <c r="U235" s="90">
        <f>H235*T235</f>
        <v>60000</v>
      </c>
      <c r="V235" s="90">
        <f t="shared" ref="V235:V240" si="265">SUM(R235,O235,L235,I235,U235)</f>
        <v>180000</v>
      </c>
      <c r="W235" s="90" t="s">
        <v>217</v>
      </c>
      <c r="X235" s="90">
        <f>SUM(V235:W235)</f>
        <v>180000</v>
      </c>
    </row>
    <row r="236" spans="1:24">
      <c r="A236" s="54" t="s">
        <v>403</v>
      </c>
      <c r="B236" s="54">
        <v>81010</v>
      </c>
      <c r="C236" s="54" t="s">
        <v>188</v>
      </c>
      <c r="D236" s="54" t="s">
        <v>404</v>
      </c>
      <c r="F236" s="54" t="s">
        <v>405</v>
      </c>
      <c r="G236" s="90">
        <v>5</v>
      </c>
      <c r="H236" s="90">
        <v>10000</v>
      </c>
      <c r="I236" s="90">
        <f t="shared" si="263"/>
        <v>50000</v>
      </c>
      <c r="J236" s="177"/>
      <c r="K236" s="90">
        <v>0</v>
      </c>
      <c r="L236" s="90">
        <f>H236*K236</f>
        <v>0</v>
      </c>
      <c r="M236" s="177"/>
      <c r="N236" s="90">
        <v>0</v>
      </c>
      <c r="O236" s="90">
        <f>H236*N236</f>
        <v>0</v>
      </c>
      <c r="P236" s="177"/>
      <c r="Q236" s="90">
        <v>0</v>
      </c>
      <c r="R236" s="90">
        <f>H236*Q236</f>
        <v>0</v>
      </c>
      <c r="S236" s="177"/>
      <c r="T236" s="90">
        <v>0</v>
      </c>
      <c r="U236" s="90">
        <f>H236*T236</f>
        <v>0</v>
      </c>
      <c r="V236" s="90">
        <f t="shared" ref="V236" si="266">SUM(R236,O236,L236,I236,U236)</f>
        <v>50000</v>
      </c>
      <c r="W236" s="90" t="s">
        <v>217</v>
      </c>
      <c r="X236" s="90">
        <f>SUM(V236:W236)</f>
        <v>50000</v>
      </c>
    </row>
    <row r="237" spans="1:24" ht="25.2">
      <c r="A237" s="52" t="s">
        <v>399</v>
      </c>
      <c r="B237" s="54">
        <v>81000</v>
      </c>
      <c r="C237" s="54" t="s">
        <v>188</v>
      </c>
      <c r="D237" s="54" t="s">
        <v>406</v>
      </c>
      <c r="F237" s="54" t="s">
        <v>190</v>
      </c>
      <c r="G237" s="90">
        <v>0</v>
      </c>
      <c r="H237" s="90">
        <v>3000</v>
      </c>
      <c r="I237" s="90">
        <f t="shared" si="263"/>
        <v>0</v>
      </c>
      <c r="J237" s="177"/>
      <c r="K237" s="90">
        <v>2</v>
      </c>
      <c r="L237" s="90">
        <f>H237*K237</f>
        <v>6000</v>
      </c>
      <c r="M237" s="177"/>
      <c r="N237" s="90">
        <v>2</v>
      </c>
      <c r="O237" s="90">
        <f>H237*N237</f>
        <v>6000</v>
      </c>
      <c r="P237" s="177"/>
      <c r="Q237" s="90">
        <v>2</v>
      </c>
      <c r="R237" s="90">
        <f>H237*Q237</f>
        <v>6000</v>
      </c>
      <c r="S237" s="177"/>
      <c r="T237" s="90">
        <v>0</v>
      </c>
      <c r="U237" s="90">
        <f>H237*T237</f>
        <v>0</v>
      </c>
      <c r="V237" s="90">
        <f t="shared" si="265"/>
        <v>18000</v>
      </c>
      <c r="W237" s="90" t="s">
        <v>217</v>
      </c>
      <c r="X237" s="90">
        <f>SUM(V237:W237)</f>
        <v>18000</v>
      </c>
    </row>
    <row r="238" spans="1:24">
      <c r="A238" s="54" t="s">
        <v>407</v>
      </c>
      <c r="B238" s="54">
        <v>86110</v>
      </c>
      <c r="C238" s="54" t="s">
        <v>188</v>
      </c>
      <c r="D238" s="54" t="s">
        <v>264</v>
      </c>
      <c r="E238" s="174"/>
      <c r="F238" s="95" t="s">
        <v>147</v>
      </c>
      <c r="G238" s="90">
        <v>1</v>
      </c>
      <c r="H238" s="90">
        <v>7000</v>
      </c>
      <c r="I238" s="90">
        <f t="shared" si="263"/>
        <v>7000</v>
      </c>
      <c r="J238" s="174"/>
      <c r="K238" s="90">
        <v>1</v>
      </c>
      <c r="L238" s="90">
        <f t="shared" ref="L238:L240" si="267">K238*H238</f>
        <v>7000</v>
      </c>
      <c r="M238" s="174"/>
      <c r="N238" s="90">
        <v>1</v>
      </c>
      <c r="O238" s="90">
        <f t="shared" ref="O238:O240" si="268">N238*H238</f>
        <v>7000</v>
      </c>
      <c r="P238" s="174"/>
      <c r="Q238" s="90">
        <v>1</v>
      </c>
      <c r="R238" s="90">
        <f t="shared" ref="R238:R240" si="269">Q238*H238</f>
        <v>7000</v>
      </c>
      <c r="S238" s="174"/>
      <c r="T238" s="90">
        <v>1</v>
      </c>
      <c r="U238" s="90">
        <f>T238*H238</f>
        <v>7000</v>
      </c>
      <c r="V238" s="90">
        <f t="shared" si="265"/>
        <v>35000</v>
      </c>
      <c r="W238" s="90">
        <v>0</v>
      </c>
      <c r="X238" s="90">
        <f>V238+W238</f>
        <v>35000</v>
      </c>
    </row>
    <row r="239" spans="1:24">
      <c r="A239" s="52" t="s">
        <v>399</v>
      </c>
      <c r="B239" s="54">
        <v>81000</v>
      </c>
      <c r="C239" s="54" t="s">
        <v>188</v>
      </c>
      <c r="D239" s="54" t="s">
        <v>266</v>
      </c>
      <c r="E239" s="174"/>
      <c r="F239" s="95" t="s">
        <v>190</v>
      </c>
      <c r="G239" s="90">
        <v>9</v>
      </c>
      <c r="H239" s="90">
        <v>500</v>
      </c>
      <c r="I239" s="90">
        <f t="shared" si="263"/>
        <v>4500</v>
      </c>
      <c r="J239" s="174"/>
      <c r="K239" s="90">
        <v>12</v>
      </c>
      <c r="L239" s="90">
        <f t="shared" si="267"/>
        <v>6000</v>
      </c>
      <c r="M239" s="174"/>
      <c r="N239" s="90">
        <v>12</v>
      </c>
      <c r="O239" s="90">
        <f t="shared" si="268"/>
        <v>6000</v>
      </c>
      <c r="P239" s="174"/>
      <c r="Q239" s="90">
        <v>12</v>
      </c>
      <c r="R239" s="90">
        <f t="shared" si="269"/>
        <v>6000</v>
      </c>
      <c r="S239" s="174"/>
      <c r="T239" s="90">
        <v>9</v>
      </c>
      <c r="U239" s="90">
        <f t="shared" ref="U239:U240" si="270">T239*H239</f>
        <v>4500</v>
      </c>
      <c r="V239" s="90">
        <f t="shared" si="265"/>
        <v>27000</v>
      </c>
      <c r="W239" s="90">
        <v>0</v>
      </c>
      <c r="X239" s="90">
        <f t="shared" ref="X239:X240" si="271">V239+W239</f>
        <v>27000</v>
      </c>
    </row>
    <row r="240" spans="1:24" ht="25.2">
      <c r="A240" s="54" t="s">
        <v>408</v>
      </c>
      <c r="B240" s="54">
        <v>81000</v>
      </c>
      <c r="C240" s="54" t="s">
        <v>188</v>
      </c>
      <c r="D240" s="54" t="s">
        <v>269</v>
      </c>
      <c r="E240" s="174"/>
      <c r="F240" s="95" t="s">
        <v>190</v>
      </c>
      <c r="G240" s="90">
        <v>0</v>
      </c>
      <c r="H240" s="90">
        <f>(150000/12)*5%</f>
        <v>625</v>
      </c>
      <c r="I240" s="90">
        <f t="shared" si="263"/>
        <v>0</v>
      </c>
      <c r="J240" s="174"/>
      <c r="K240" s="90">
        <v>12</v>
      </c>
      <c r="L240" s="90">
        <f t="shared" si="267"/>
        <v>7500</v>
      </c>
      <c r="M240" s="174"/>
      <c r="N240" s="90">
        <v>12</v>
      </c>
      <c r="O240" s="90">
        <f t="shared" si="268"/>
        <v>7500</v>
      </c>
      <c r="P240" s="174"/>
      <c r="Q240" s="90">
        <v>12</v>
      </c>
      <c r="R240" s="90">
        <f t="shared" si="269"/>
        <v>7500</v>
      </c>
      <c r="S240" s="174"/>
      <c r="T240" s="90">
        <v>9</v>
      </c>
      <c r="U240" s="90">
        <f t="shared" si="270"/>
        <v>5625</v>
      </c>
      <c r="V240" s="90">
        <f t="shared" si="265"/>
        <v>28125</v>
      </c>
      <c r="W240" s="90">
        <v>0</v>
      </c>
      <c r="X240" s="90">
        <f t="shared" si="271"/>
        <v>28125</v>
      </c>
    </row>
    <row r="241" spans="1:24">
      <c r="A241" s="87"/>
      <c r="B241" s="87"/>
      <c r="C241" s="87"/>
      <c r="D241" s="87" t="s">
        <v>409</v>
      </c>
      <c r="E241" s="181"/>
      <c r="F241" s="92"/>
      <c r="G241" s="94"/>
      <c r="H241" s="94"/>
      <c r="I241" s="94">
        <f>SUM(I234:I240)</f>
        <v>91500</v>
      </c>
      <c r="J241" s="184"/>
      <c r="K241" s="94"/>
      <c r="L241" s="94">
        <f>SUM(L234:L240)</f>
        <v>26500</v>
      </c>
      <c r="M241" s="184"/>
      <c r="N241" s="94"/>
      <c r="O241" s="94">
        <f>SUM(O234:O240)</f>
        <v>86500</v>
      </c>
      <c r="P241" s="184"/>
      <c r="Q241" s="94"/>
      <c r="R241" s="94">
        <f>SUM(R234:R240)</f>
        <v>86500</v>
      </c>
      <c r="S241" s="184"/>
      <c r="T241" s="94"/>
      <c r="U241" s="94">
        <f>SUM(U234:U240)</f>
        <v>77125</v>
      </c>
      <c r="V241" s="94">
        <f>SUM(V234:V240)</f>
        <v>368125</v>
      </c>
      <c r="W241" s="94">
        <f>SUM(W234:W240)</f>
        <v>0</v>
      </c>
      <c r="X241" s="94">
        <f>SUM(X234:X240)</f>
        <v>368125</v>
      </c>
    </row>
    <row r="242" spans="1:24">
      <c r="A242" s="153"/>
      <c r="B242" s="153"/>
      <c r="C242" s="153"/>
      <c r="D242" s="153"/>
      <c r="E242" s="182"/>
      <c r="F242" s="129"/>
      <c r="G242" s="109"/>
      <c r="H242" s="109"/>
      <c r="I242" s="109"/>
      <c r="J242" s="182"/>
      <c r="K242" s="109"/>
      <c r="L242" s="109"/>
      <c r="M242" s="182"/>
      <c r="N242" s="109"/>
      <c r="O242" s="109"/>
      <c r="P242" s="182"/>
      <c r="Q242" s="109"/>
      <c r="R242" s="109"/>
      <c r="S242" s="182"/>
      <c r="T242" s="109"/>
      <c r="U242" s="109"/>
      <c r="V242" s="109"/>
      <c r="W242" s="109"/>
      <c r="X242" s="109"/>
    </row>
    <row r="243" spans="1:24">
      <c r="A243" s="87"/>
      <c r="B243" s="87"/>
      <c r="C243" s="87"/>
      <c r="D243" s="87" t="s">
        <v>410</v>
      </c>
      <c r="E243" s="181"/>
      <c r="F243" s="92"/>
      <c r="G243" s="93"/>
      <c r="H243" s="93"/>
      <c r="I243" s="93"/>
      <c r="J243" s="181"/>
      <c r="K243" s="93"/>
      <c r="L243" s="93"/>
      <c r="M243" s="181"/>
      <c r="N243" s="93"/>
      <c r="O243" s="93"/>
      <c r="P243" s="181"/>
      <c r="Q243" s="93"/>
      <c r="R243" s="93"/>
      <c r="S243" s="181"/>
      <c r="T243" s="93"/>
      <c r="U243" s="93"/>
      <c r="V243" s="93"/>
      <c r="W243" s="93"/>
      <c r="X243" s="93"/>
    </row>
    <row r="244" spans="1:24">
      <c r="A244" s="54" t="s">
        <v>411</v>
      </c>
      <c r="B244" s="54">
        <v>82401</v>
      </c>
      <c r="C244" s="54" t="s">
        <v>188</v>
      </c>
      <c r="D244" s="54" t="s">
        <v>412</v>
      </c>
      <c r="E244" s="174"/>
      <c r="F244" s="96" t="s">
        <v>258</v>
      </c>
      <c r="G244" s="90">
        <v>6</v>
      </c>
      <c r="H244" s="90">
        <v>1100</v>
      </c>
      <c r="I244" s="90">
        <f>G244*H244</f>
        <v>6600</v>
      </c>
      <c r="J244" s="174"/>
      <c r="K244" s="90">
        <v>0</v>
      </c>
      <c r="L244" s="90">
        <f>K244*H244</f>
        <v>0</v>
      </c>
      <c r="M244" s="174"/>
      <c r="N244" s="90">
        <v>0</v>
      </c>
      <c r="O244" s="90">
        <f>N244*H244</f>
        <v>0</v>
      </c>
      <c r="P244" s="174"/>
      <c r="Q244" s="90">
        <v>0</v>
      </c>
      <c r="R244" s="90">
        <f>Q244*H244</f>
        <v>0</v>
      </c>
      <c r="S244" s="174"/>
      <c r="T244" s="90">
        <v>0</v>
      </c>
      <c r="U244" s="90">
        <f>T244*K244</f>
        <v>0</v>
      </c>
      <c r="V244" s="90">
        <f t="shared" ref="V244:V245" si="272">SUM(R244,O244,L244,I244,U244)</f>
        <v>6600</v>
      </c>
      <c r="W244" s="90">
        <v>0</v>
      </c>
      <c r="X244" s="90">
        <f>V244+W244</f>
        <v>6600</v>
      </c>
    </row>
    <row r="245" spans="1:24">
      <c r="A245" s="54" t="s">
        <v>411</v>
      </c>
      <c r="B245" s="54">
        <v>82401</v>
      </c>
      <c r="C245" s="54" t="s">
        <v>188</v>
      </c>
      <c r="D245" s="54" t="s">
        <v>371</v>
      </c>
      <c r="E245" s="174"/>
      <c r="F245" s="96" t="s">
        <v>258</v>
      </c>
      <c r="G245" s="90">
        <v>6</v>
      </c>
      <c r="H245" s="90">
        <v>600</v>
      </c>
      <c r="I245" s="90">
        <f t="shared" ref="I245" si="273">G245*H245</f>
        <v>3600</v>
      </c>
      <c r="J245" s="174"/>
      <c r="K245" s="90">
        <v>0</v>
      </c>
      <c r="L245" s="90">
        <f t="shared" ref="L245" si="274">K245*H245</f>
        <v>0</v>
      </c>
      <c r="M245" s="174"/>
      <c r="N245" s="90">
        <v>0</v>
      </c>
      <c r="O245" s="90">
        <f t="shared" ref="O245" si="275">N245*H245</f>
        <v>0</v>
      </c>
      <c r="P245" s="174"/>
      <c r="Q245" s="90">
        <v>0</v>
      </c>
      <c r="R245" s="90">
        <f t="shared" ref="R245" si="276">Q245*H245</f>
        <v>0</v>
      </c>
      <c r="S245" s="174"/>
      <c r="T245" s="90">
        <v>0</v>
      </c>
      <c r="U245" s="90">
        <f t="shared" ref="U245" si="277">T245*K245</f>
        <v>0</v>
      </c>
      <c r="V245" s="90">
        <f t="shared" si="272"/>
        <v>3600</v>
      </c>
      <c r="W245" s="90">
        <v>0</v>
      </c>
      <c r="X245" s="90">
        <f t="shared" ref="X245" si="278">V245+W245</f>
        <v>3600</v>
      </c>
    </row>
    <row r="246" spans="1:24">
      <c r="A246" s="87"/>
      <c r="B246" s="87"/>
      <c r="C246" s="87"/>
      <c r="D246" s="87" t="s">
        <v>413</v>
      </c>
      <c r="E246" s="181"/>
      <c r="F246" s="92"/>
      <c r="G246" s="93"/>
      <c r="H246" s="94"/>
      <c r="I246" s="94">
        <f>SUM(I244:I245)</f>
        <v>10200</v>
      </c>
      <c r="J246" s="184"/>
      <c r="K246" s="94"/>
      <c r="L246" s="94">
        <f>SUM(L244:L245)</f>
        <v>0</v>
      </c>
      <c r="M246" s="184"/>
      <c r="N246" s="94"/>
      <c r="O246" s="94">
        <f>SUM(O244:O245)</f>
        <v>0</v>
      </c>
      <c r="P246" s="184"/>
      <c r="Q246" s="94"/>
      <c r="R246" s="94">
        <f>SUM(R244:R245)</f>
        <v>0</v>
      </c>
      <c r="S246" s="184"/>
      <c r="T246" s="94"/>
      <c r="U246" s="94">
        <f>SUM(U244:U245)</f>
        <v>0</v>
      </c>
      <c r="V246" s="94">
        <f>SUM(V244:V245)</f>
        <v>10200</v>
      </c>
      <c r="W246" s="94">
        <f>SUM(W244:W245)</f>
        <v>0</v>
      </c>
      <c r="X246" s="94">
        <f>SUM(X244:X245)</f>
        <v>10200</v>
      </c>
    </row>
    <row r="247" spans="1:24">
      <c r="A247" s="153"/>
      <c r="B247" s="153"/>
      <c r="C247" s="153"/>
      <c r="D247" s="153"/>
      <c r="E247" s="182"/>
      <c r="F247" s="129"/>
      <c r="G247" s="109"/>
      <c r="H247" s="109"/>
      <c r="I247" s="109"/>
      <c r="J247" s="182"/>
      <c r="K247" s="109"/>
      <c r="L247" s="109"/>
      <c r="M247" s="182"/>
      <c r="N247" s="109"/>
      <c r="O247" s="109"/>
      <c r="P247" s="182"/>
      <c r="Q247" s="109"/>
      <c r="R247" s="109"/>
      <c r="S247" s="182"/>
      <c r="T247" s="109"/>
      <c r="U247" s="109"/>
      <c r="V247" s="109"/>
      <c r="W247" s="109"/>
      <c r="X247" s="109"/>
    </row>
    <row r="248" spans="1:24">
      <c r="A248" s="87"/>
      <c r="B248" s="87"/>
      <c r="C248" s="87"/>
      <c r="D248" s="87" t="s">
        <v>414</v>
      </c>
      <c r="E248" s="181"/>
      <c r="F248" s="92"/>
      <c r="G248" s="93"/>
      <c r="H248" s="93"/>
      <c r="I248" s="93"/>
      <c r="J248" s="181"/>
      <c r="K248" s="93"/>
      <c r="L248" s="93"/>
      <c r="M248" s="181"/>
      <c r="N248" s="93"/>
      <c r="O248" s="93"/>
      <c r="P248" s="181"/>
      <c r="Q248" s="93"/>
      <c r="R248" s="93"/>
      <c r="S248" s="181"/>
      <c r="T248" s="93"/>
      <c r="U248" s="93"/>
      <c r="V248" s="93"/>
      <c r="W248" s="93"/>
      <c r="X248" s="93"/>
    </row>
    <row r="249" spans="1:24">
      <c r="A249" s="54" t="s">
        <v>415</v>
      </c>
      <c r="B249" s="54">
        <v>86000</v>
      </c>
      <c r="C249" s="54" t="s">
        <v>188</v>
      </c>
      <c r="D249" s="54" t="s">
        <v>250</v>
      </c>
      <c r="F249" s="54" t="s">
        <v>190</v>
      </c>
      <c r="G249" s="90">
        <v>3</v>
      </c>
      <c r="H249" s="90">
        <v>170</v>
      </c>
      <c r="I249" s="90">
        <f>G249*H249</f>
        <v>510</v>
      </c>
      <c r="J249" s="90"/>
      <c r="K249" s="90">
        <v>12</v>
      </c>
      <c r="L249" s="90">
        <f>H249*K249*$E$6</f>
        <v>2121.6</v>
      </c>
      <c r="M249" s="177"/>
      <c r="N249" s="90">
        <v>12</v>
      </c>
      <c r="O249" s="90">
        <f>H249*N249*$E$6*$E$6</f>
        <v>2206.4639999999999</v>
      </c>
      <c r="P249" s="177"/>
      <c r="Q249" s="90">
        <v>12</v>
      </c>
      <c r="R249" s="90">
        <f>H249*Q249*$E$6*$E$6*$E$6</f>
        <v>2294.7225600000002</v>
      </c>
      <c r="S249" s="177"/>
      <c r="T249" s="90">
        <v>7</v>
      </c>
      <c r="U249" s="90">
        <f>H249*T249*$E$6*$E$6*$E$6*$E$6</f>
        <v>1392.1316864000003</v>
      </c>
      <c r="V249" s="90">
        <f t="shared" ref="V249" si="279">SUM(R249,O249,L249,I249,U249)</f>
        <v>8524.9182464000005</v>
      </c>
      <c r="W249" s="90" t="s">
        <v>217</v>
      </c>
      <c r="X249" s="90">
        <f>SUM(V249:W249)</f>
        <v>8524.9182464000005</v>
      </c>
    </row>
    <row r="250" spans="1:24">
      <c r="A250" s="54" t="s">
        <v>415</v>
      </c>
      <c r="B250" s="54">
        <v>86000</v>
      </c>
      <c r="C250" s="54" t="s">
        <v>188</v>
      </c>
      <c r="D250" s="54" t="s">
        <v>375</v>
      </c>
      <c r="F250" s="54" t="s">
        <v>226</v>
      </c>
      <c r="G250" s="90">
        <v>6</v>
      </c>
      <c r="H250" s="90">
        <v>100</v>
      </c>
      <c r="I250" s="90">
        <f>G250*H250</f>
        <v>600</v>
      </c>
      <c r="J250" s="90"/>
      <c r="K250" s="90">
        <v>12</v>
      </c>
      <c r="L250" s="90">
        <f>H250*K250*$E$6</f>
        <v>1248</v>
      </c>
      <c r="M250" s="177"/>
      <c r="N250" s="90">
        <v>12</v>
      </c>
      <c r="O250" s="90">
        <f>H250*N250*$E$6*$E$6</f>
        <v>1297.92</v>
      </c>
      <c r="P250" s="177"/>
      <c r="Q250" s="90">
        <v>12</v>
      </c>
      <c r="R250" s="90">
        <f>H250*Q250*$E$6*$E$6*$E$6</f>
        <v>1349.8368</v>
      </c>
      <c r="S250" s="177"/>
      <c r="T250" s="90">
        <v>9</v>
      </c>
      <c r="U250" s="90">
        <f>H250*T250*$E$6*$E$6*$E$6*$E$6</f>
        <v>1052.8727040000001</v>
      </c>
      <c r="V250" s="90">
        <f t="shared" ref="V250:V251" si="280">SUM(R250,O250,L250,I250,U250)</f>
        <v>5548.6295040000005</v>
      </c>
      <c r="W250" s="90" t="s">
        <v>217</v>
      </c>
      <c r="X250" s="90">
        <f>SUM(V250:W250)</f>
        <v>5548.6295040000005</v>
      </c>
    </row>
    <row r="251" spans="1:24" ht="37.799999999999997">
      <c r="A251" s="54" t="s">
        <v>415</v>
      </c>
      <c r="B251" s="54" t="s">
        <v>237</v>
      </c>
      <c r="C251" s="54" t="s">
        <v>188</v>
      </c>
      <c r="D251" s="54" t="s">
        <v>376</v>
      </c>
      <c r="F251" s="54" t="s">
        <v>239</v>
      </c>
      <c r="G251" s="90">
        <f>G250*3</f>
        <v>18</v>
      </c>
      <c r="H251" s="90">
        <v>78</v>
      </c>
      <c r="I251" s="90">
        <f>G251*H251</f>
        <v>1404</v>
      </c>
      <c r="J251" s="90"/>
      <c r="K251" s="90">
        <f>K250*3</f>
        <v>36</v>
      </c>
      <c r="L251" s="90">
        <f>H251*K251*$E$6</f>
        <v>2920.32</v>
      </c>
      <c r="M251" s="177"/>
      <c r="N251" s="90">
        <f>N250*3</f>
        <v>36</v>
      </c>
      <c r="O251" s="90">
        <f>H251*N251*$E$6*$E$6</f>
        <v>3037.1328000000003</v>
      </c>
      <c r="P251" s="177"/>
      <c r="Q251" s="90">
        <f>Q250*3</f>
        <v>36</v>
      </c>
      <c r="R251" s="90">
        <f>H251*Q251*$E$6*$E$6*$E$6</f>
        <v>3158.6181120000006</v>
      </c>
      <c r="S251" s="177"/>
      <c r="T251" s="90">
        <f>T250*3</f>
        <v>27</v>
      </c>
      <c r="U251" s="90">
        <f>H251*T251*$E$6*$E$6*$E$6*$E$6</f>
        <v>2463.7221273600007</v>
      </c>
      <c r="V251" s="90">
        <f t="shared" si="280"/>
        <v>12983.793039360002</v>
      </c>
      <c r="W251" s="90" t="s">
        <v>217</v>
      </c>
      <c r="X251" s="90">
        <f>SUM(V251:W251)</f>
        <v>12983.793039360002</v>
      </c>
    </row>
    <row r="252" spans="1:24">
      <c r="A252" s="54" t="s">
        <v>415</v>
      </c>
      <c r="B252" s="54">
        <v>86000</v>
      </c>
      <c r="C252" s="54" t="s">
        <v>188</v>
      </c>
      <c r="D252" s="54" t="s">
        <v>416</v>
      </c>
      <c r="F252" s="54" t="s">
        <v>378</v>
      </c>
      <c r="G252" s="90">
        <v>0</v>
      </c>
      <c r="H252" s="90">
        <v>10</v>
      </c>
      <c r="I252" s="90">
        <f>G252*H252</f>
        <v>0</v>
      </c>
      <c r="J252" s="177"/>
      <c r="K252" s="90">
        <v>1000</v>
      </c>
      <c r="L252" s="90">
        <f>H252*K252*$E$6</f>
        <v>10400</v>
      </c>
      <c r="M252" s="177"/>
      <c r="N252" s="90">
        <v>1000</v>
      </c>
      <c r="O252" s="90">
        <f>H252*N252*$E$6*$E$6</f>
        <v>10816</v>
      </c>
      <c r="P252" s="177"/>
      <c r="Q252" s="90">
        <v>1000</v>
      </c>
      <c r="R252" s="90">
        <f>H252*Q252*$E$6*$E$6*$E$6</f>
        <v>11248.640000000001</v>
      </c>
      <c r="S252" s="177"/>
      <c r="T252" s="90">
        <v>0</v>
      </c>
      <c r="U252" s="90">
        <f>H252*T252*$E$6*$E$6*$E$6*$E$6</f>
        <v>0</v>
      </c>
      <c r="V252" s="90">
        <f t="shared" ref="V252" si="281">SUM(R252,O252,L252,I252,U252)</f>
        <v>32464.639999999999</v>
      </c>
      <c r="W252" s="90" t="s">
        <v>217</v>
      </c>
      <c r="X252" s="90">
        <f>SUM(V252:W252)</f>
        <v>32464.639999999999</v>
      </c>
    </row>
    <row r="253" spans="1:24">
      <c r="A253" s="87"/>
      <c r="B253" s="87"/>
      <c r="C253" s="87"/>
      <c r="D253" s="87" t="s">
        <v>417</v>
      </c>
      <c r="E253" s="181"/>
      <c r="F253" s="92"/>
      <c r="G253" s="93"/>
      <c r="H253" s="94"/>
      <c r="I253" s="94">
        <f>SUM(I249:I252)</f>
        <v>2514</v>
      </c>
      <c r="J253" s="181"/>
      <c r="K253" s="94"/>
      <c r="L253" s="94">
        <f>SUM(L249:L252)</f>
        <v>16689.919999999998</v>
      </c>
      <c r="M253" s="181"/>
      <c r="N253" s="94"/>
      <c r="O253" s="94">
        <f>SUM(O249:O252)</f>
        <v>17357.516800000001</v>
      </c>
      <c r="P253" s="181"/>
      <c r="Q253" s="94"/>
      <c r="R253" s="94">
        <f>SUM(R249:R252)</f>
        <v>18051.817472000002</v>
      </c>
      <c r="S253" s="181"/>
      <c r="T253" s="94"/>
      <c r="U253" s="94">
        <f>SUM(U249:U252)</f>
        <v>4908.7265177600011</v>
      </c>
      <c r="V253" s="94">
        <f>SUM(V249:V252)</f>
        <v>59521.980789760004</v>
      </c>
      <c r="W253" s="94">
        <f>SUM(W249:W252)</f>
        <v>0</v>
      </c>
      <c r="X253" s="94">
        <f>SUM(X249:X252)</f>
        <v>59521.980789760004</v>
      </c>
    </row>
    <row r="254" spans="1:24">
      <c r="A254" s="153"/>
      <c r="B254" s="153"/>
      <c r="C254" s="153"/>
      <c r="D254" s="153"/>
      <c r="E254" s="182"/>
      <c r="F254" s="129"/>
      <c r="G254" s="109"/>
      <c r="H254" s="109"/>
      <c r="I254" s="109"/>
      <c r="J254" s="182"/>
      <c r="K254" s="109"/>
      <c r="L254" s="109"/>
      <c r="M254" s="182"/>
      <c r="N254" s="109"/>
      <c r="O254" s="109"/>
      <c r="P254" s="182"/>
      <c r="Q254" s="109"/>
      <c r="R254" s="109"/>
      <c r="S254" s="182"/>
      <c r="T254" s="109"/>
      <c r="U254" s="109"/>
      <c r="V254" s="109"/>
      <c r="W254" s="109"/>
      <c r="X254" s="109"/>
    </row>
    <row r="255" spans="1:24">
      <c r="A255" s="87"/>
      <c r="B255" s="87"/>
      <c r="C255" s="87"/>
      <c r="D255" s="87" t="s">
        <v>418</v>
      </c>
      <c r="E255" s="181"/>
      <c r="F255" s="92"/>
      <c r="G255" s="93"/>
      <c r="H255" s="93"/>
      <c r="I255" s="93"/>
      <c r="J255" s="181"/>
      <c r="K255" s="93"/>
      <c r="L255" s="93"/>
      <c r="M255" s="181"/>
      <c r="N255" s="93"/>
      <c r="O255" s="93"/>
      <c r="P255" s="181"/>
      <c r="Q255" s="93"/>
      <c r="R255" s="93"/>
      <c r="S255" s="181"/>
      <c r="T255" s="93"/>
      <c r="U255" s="93"/>
      <c r="V255" s="93"/>
      <c r="W255" s="93"/>
      <c r="X255" s="93"/>
    </row>
    <row r="256" spans="1:24" ht="37.799999999999997">
      <c r="A256" s="54" t="s">
        <v>419</v>
      </c>
      <c r="B256" s="54" t="s">
        <v>420</v>
      </c>
      <c r="C256" s="54" t="s">
        <v>188</v>
      </c>
      <c r="D256" s="54" t="s">
        <v>421</v>
      </c>
      <c r="F256" s="54" t="s">
        <v>138</v>
      </c>
      <c r="G256" s="90">
        <v>0</v>
      </c>
      <c r="H256" s="90">
        <v>10000</v>
      </c>
      <c r="I256" s="90">
        <f>G256*H256</f>
        <v>0</v>
      </c>
      <c r="J256" s="177"/>
      <c r="K256" s="90">
        <v>6</v>
      </c>
      <c r="L256" s="90">
        <f>H256*K256</f>
        <v>60000</v>
      </c>
      <c r="M256" s="177"/>
      <c r="N256" s="90">
        <v>6</v>
      </c>
      <c r="O256" s="90">
        <f>H256*N256</f>
        <v>60000</v>
      </c>
      <c r="P256" s="177"/>
      <c r="Q256" s="90">
        <v>6</v>
      </c>
      <c r="R256" s="90">
        <f>H256*Q256</f>
        <v>60000</v>
      </c>
      <c r="S256" s="177"/>
      <c r="T256" s="90">
        <v>0</v>
      </c>
      <c r="U256" s="90">
        <f>H256*T256</f>
        <v>0</v>
      </c>
      <c r="V256" s="90">
        <f t="shared" ref="V256" si="282">SUM(R256,O256,L256,I256,U256)</f>
        <v>180000</v>
      </c>
      <c r="W256" s="90" t="s">
        <v>217</v>
      </c>
      <c r="X256" s="90">
        <f>SUM(V256:W256)</f>
        <v>180000</v>
      </c>
    </row>
    <row r="257" spans="1:24">
      <c r="A257" s="87"/>
      <c r="B257" s="87"/>
      <c r="C257" s="87"/>
      <c r="D257" s="87" t="s">
        <v>422</v>
      </c>
      <c r="E257" s="181"/>
      <c r="F257" s="92"/>
      <c r="G257" s="93"/>
      <c r="H257" s="94"/>
      <c r="I257" s="94">
        <f>SUM(I256:I256)</f>
        <v>0</v>
      </c>
      <c r="J257" s="184"/>
      <c r="K257" s="94"/>
      <c r="L257" s="94">
        <f>SUM(L256:L256)</f>
        <v>60000</v>
      </c>
      <c r="M257" s="184"/>
      <c r="N257" s="94"/>
      <c r="O257" s="94">
        <f>SUM(O256:O256)</f>
        <v>60000</v>
      </c>
      <c r="P257" s="184"/>
      <c r="Q257" s="94"/>
      <c r="R257" s="94">
        <f>SUM(R256:R256)</f>
        <v>60000</v>
      </c>
      <c r="S257" s="184"/>
      <c r="T257" s="94"/>
      <c r="U257" s="94">
        <f>SUM(U256:U256)</f>
        <v>0</v>
      </c>
      <c r="V257" s="94">
        <f>SUM(V256:V256)</f>
        <v>180000</v>
      </c>
      <c r="W257" s="94">
        <f>SUM(W256:W256)</f>
        <v>0</v>
      </c>
      <c r="X257" s="94">
        <f>SUM(X256:X256)</f>
        <v>180000</v>
      </c>
    </row>
    <row r="258" spans="1:24">
      <c r="A258" s="153"/>
      <c r="B258" s="153"/>
      <c r="C258" s="153"/>
      <c r="D258" s="153"/>
      <c r="E258" s="182"/>
      <c r="F258" s="129"/>
      <c r="G258" s="109"/>
      <c r="H258" s="109"/>
      <c r="I258" s="109"/>
      <c r="J258" s="182"/>
      <c r="K258" s="109"/>
      <c r="L258" s="109"/>
      <c r="M258" s="182"/>
      <c r="N258" s="109"/>
      <c r="O258" s="109"/>
      <c r="P258" s="182"/>
      <c r="Q258" s="109"/>
      <c r="R258" s="109"/>
      <c r="S258" s="182"/>
      <c r="T258" s="109"/>
      <c r="U258" s="109"/>
      <c r="V258" s="109"/>
      <c r="W258" s="109"/>
      <c r="X258" s="109"/>
    </row>
    <row r="259" spans="1:24" ht="12.9" thickBot="1">
      <c r="A259" s="100"/>
      <c r="B259" s="100"/>
      <c r="C259" s="100"/>
      <c r="D259" s="100" t="s">
        <v>423</v>
      </c>
      <c r="E259" s="175"/>
      <c r="F259" s="100"/>
      <c r="G259" s="116"/>
      <c r="H259" s="116"/>
      <c r="I259" s="111">
        <f>SUM(I257+I241+I253+I231+I224+I246)</f>
        <v>254205.38333333336</v>
      </c>
      <c r="J259" s="175"/>
      <c r="K259" s="111"/>
      <c r="L259" s="111">
        <f>SUM(L257+L241+L253+L231+L224+L246)</f>
        <v>432635.7536</v>
      </c>
      <c r="M259" s="175"/>
      <c r="N259" s="111"/>
      <c r="O259" s="111">
        <f>SUM(O257+O241+O253+O231+O224+O246)</f>
        <v>451227.32326400001</v>
      </c>
      <c r="P259" s="175"/>
      <c r="Q259" s="111"/>
      <c r="R259" s="111">
        <f>SUM(R257+R241+R253+R231+R224+R246)</f>
        <v>403453.96586495999</v>
      </c>
      <c r="S259" s="175"/>
      <c r="T259" s="111"/>
      <c r="U259" s="111">
        <f>SUM(U257+U241+U253+U231+U224+U246)</f>
        <v>284296.60357703682</v>
      </c>
      <c r="V259" s="111">
        <f>SUM(V257+V241+V253+V231+V224+V246)</f>
        <v>1825819.0296393302</v>
      </c>
      <c r="W259" s="111">
        <f>SUM(W257+W241+W253+W231+W224+W246)</f>
        <v>0</v>
      </c>
      <c r="X259" s="111">
        <f>SUM(X257+X241+X253+X231+X224+X246)</f>
        <v>1825819.0296393302</v>
      </c>
    </row>
    <row r="260" spans="1:24">
      <c r="A260" s="129"/>
      <c r="B260" s="129"/>
      <c r="C260" s="129"/>
      <c r="D260" s="129"/>
      <c r="E260" s="172"/>
      <c r="F260" s="129"/>
      <c r="G260" s="109"/>
      <c r="H260" s="109"/>
      <c r="I260" s="109"/>
      <c r="J260" s="172"/>
      <c r="K260" s="109"/>
      <c r="L260" s="109"/>
      <c r="M260" s="172"/>
      <c r="N260" s="109"/>
      <c r="O260" s="109"/>
      <c r="P260" s="172"/>
      <c r="Q260" s="109"/>
      <c r="R260" s="109"/>
      <c r="S260" s="172"/>
      <c r="T260" s="109"/>
      <c r="U260" s="109"/>
      <c r="V260" s="109"/>
      <c r="W260" s="109"/>
      <c r="X260" s="109"/>
    </row>
    <row r="261" spans="1:24">
      <c r="A261" s="147"/>
      <c r="B261" s="147"/>
      <c r="C261" s="147"/>
      <c r="D261" s="147" t="str">
        <f>'USDA Budget Summary'!A30</f>
        <v>Activity 3: Improve the Agricultural-Enabling Environment</v>
      </c>
      <c r="E261" s="179"/>
      <c r="F261" s="84"/>
      <c r="G261" s="84"/>
      <c r="H261" s="85"/>
      <c r="I261" s="148"/>
      <c r="J261" s="179"/>
      <c r="K261" s="148"/>
      <c r="L261" s="148"/>
      <c r="M261" s="179"/>
      <c r="N261" s="148"/>
      <c r="O261" s="148"/>
      <c r="P261" s="179"/>
      <c r="Q261" s="148"/>
      <c r="R261" s="148"/>
      <c r="S261" s="179"/>
      <c r="T261" s="148"/>
      <c r="U261" s="148"/>
      <c r="V261" s="148"/>
      <c r="W261" s="149"/>
      <c r="X261" s="148"/>
    </row>
    <row r="262" spans="1:24">
      <c r="A262" s="150"/>
      <c r="B262" s="150"/>
      <c r="C262" s="150"/>
      <c r="D262" s="150" t="s">
        <v>349</v>
      </c>
      <c r="E262" s="180"/>
      <c r="F262" s="151"/>
      <c r="G262" s="152"/>
      <c r="H262" s="152"/>
      <c r="I262" s="152"/>
      <c r="J262" s="180"/>
      <c r="K262" s="152"/>
      <c r="L262" s="152"/>
      <c r="M262" s="180"/>
      <c r="N262" s="152"/>
      <c r="O262" s="152"/>
      <c r="P262" s="180"/>
      <c r="Q262" s="152"/>
      <c r="R262" s="152"/>
      <c r="S262" s="180"/>
      <c r="T262" s="152"/>
      <c r="U262" s="152"/>
      <c r="V262" s="152"/>
      <c r="W262" s="152"/>
      <c r="X262" s="152"/>
    </row>
    <row r="263" spans="1:24">
      <c r="A263" s="87"/>
      <c r="B263" s="87"/>
      <c r="C263" s="87"/>
      <c r="D263" s="87" t="s">
        <v>424</v>
      </c>
      <c r="E263" s="181"/>
      <c r="F263" s="92"/>
      <c r="G263" s="93"/>
      <c r="H263" s="93"/>
      <c r="I263" s="93"/>
      <c r="J263" s="181"/>
      <c r="K263" s="93"/>
      <c r="L263" s="93"/>
      <c r="M263" s="181"/>
      <c r="N263" s="93"/>
      <c r="O263" s="93"/>
      <c r="P263" s="181"/>
      <c r="Q263" s="93"/>
      <c r="R263" s="93"/>
      <c r="S263" s="181"/>
      <c r="T263" s="93"/>
      <c r="U263" s="93"/>
      <c r="V263" s="93"/>
      <c r="W263" s="93"/>
      <c r="X263" s="93"/>
    </row>
    <row r="264" spans="1:24">
      <c r="A264" s="54" t="s">
        <v>425</v>
      </c>
      <c r="B264" s="54">
        <v>70000</v>
      </c>
      <c r="C264" s="54" t="s">
        <v>188</v>
      </c>
      <c r="D264" s="54" t="str">
        <f t="shared" ref="D264:D281" si="283">D12</f>
        <v xml:space="preserve">Key Personnel: Ex-pat Chief of Party </v>
      </c>
      <c r="E264" s="177">
        <f>'LOE Breakdown by Year'!G11</f>
        <v>0.2</v>
      </c>
      <c r="F264" s="96" t="s">
        <v>190</v>
      </c>
      <c r="G264" s="90">
        <f t="shared" ref="G264:H281" si="284">G12</f>
        <v>12</v>
      </c>
      <c r="H264" s="90">
        <f t="shared" si="284"/>
        <v>12083.333333333334</v>
      </c>
      <c r="I264" s="90">
        <f>G264*H264*E264</f>
        <v>29000</v>
      </c>
      <c r="J264" s="168">
        <f>'LOE Breakdown by Year'!G38</f>
        <v>0.25</v>
      </c>
      <c r="K264" s="90">
        <f t="shared" ref="K264:K281" si="285">K12</f>
        <v>12</v>
      </c>
      <c r="L264" s="90">
        <f>K264*H264*$E$7*$J264</f>
        <v>37700</v>
      </c>
      <c r="M264" s="168">
        <f>'LOE Breakdown by Year'!G65</f>
        <v>0.25</v>
      </c>
      <c r="N264" s="90">
        <f t="shared" ref="N264:N281" si="286">N12</f>
        <v>12</v>
      </c>
      <c r="O264" s="90">
        <f t="shared" ref="O264" si="287">N264*H264*$M264*$E$7*$E$7</f>
        <v>39208</v>
      </c>
      <c r="P264" s="168">
        <f>'LOE Breakdown by Year'!G92</f>
        <v>0.25</v>
      </c>
      <c r="Q264" s="90">
        <f t="shared" ref="Q264:Q281" si="288">Q12</f>
        <v>12</v>
      </c>
      <c r="R264" s="90">
        <f t="shared" ref="R264" si="289">Q264*H264*$P264*$E$7*$E$7*$E$7</f>
        <v>40776.32</v>
      </c>
      <c r="S264" s="168">
        <f>'LOE Breakdown by Year'!G119</f>
        <v>0.25</v>
      </c>
      <c r="T264" s="90">
        <f t="shared" ref="T264:T281" si="290">T12</f>
        <v>12</v>
      </c>
      <c r="U264" s="90">
        <f t="shared" ref="U264" si="291">T264*H264*$S264*$E$7*$E$7*$E$7*$E$7</f>
        <v>42407.372800000005</v>
      </c>
      <c r="V264" s="90">
        <f t="shared" ref="V264" si="292">SUM(R264,O264,L264,I264,U264)</f>
        <v>189091.69280000002</v>
      </c>
      <c r="W264" s="90">
        <v>0</v>
      </c>
      <c r="X264" s="90">
        <f t="shared" ref="X264" si="293">SUM(V264:W264)</f>
        <v>189091.69280000002</v>
      </c>
    </row>
    <row r="265" spans="1:24">
      <c r="A265" s="54" t="s">
        <v>425</v>
      </c>
      <c r="B265" s="54">
        <v>70000</v>
      </c>
      <c r="C265" s="54" t="s">
        <v>188</v>
      </c>
      <c r="D265" s="54" t="str">
        <f t="shared" si="283"/>
        <v>Deputy Chief of Party</v>
      </c>
      <c r="E265" s="177">
        <f>'LOE Breakdown by Year'!G12</f>
        <v>0.1</v>
      </c>
      <c r="F265" s="96" t="s">
        <v>190</v>
      </c>
      <c r="G265" s="90">
        <f t="shared" si="284"/>
        <v>6</v>
      </c>
      <c r="H265" s="90">
        <f t="shared" si="284"/>
        <v>7500</v>
      </c>
      <c r="I265" s="90">
        <f t="shared" ref="I265:I281" si="294">G265*H265*E265</f>
        <v>4500</v>
      </c>
      <c r="J265" s="168">
        <f>'LOE Breakdown by Year'!G39</f>
        <v>0.1</v>
      </c>
      <c r="K265" s="90">
        <f t="shared" si="285"/>
        <v>12</v>
      </c>
      <c r="L265" s="90">
        <f t="shared" ref="L265:L281" si="295">K265*H265*$E$7*$J265</f>
        <v>9360</v>
      </c>
      <c r="M265" s="168">
        <f>'LOE Breakdown by Year'!G66</f>
        <v>0.1</v>
      </c>
      <c r="N265" s="90">
        <f t="shared" si="286"/>
        <v>12</v>
      </c>
      <c r="O265" s="90">
        <f t="shared" ref="O265:O281" si="296">N265*H265*$M265*$E$7*$E$7</f>
        <v>9734.4</v>
      </c>
      <c r="P265" s="168">
        <f>'LOE Breakdown by Year'!G93</f>
        <v>0.1</v>
      </c>
      <c r="Q265" s="90">
        <f t="shared" si="288"/>
        <v>12</v>
      </c>
      <c r="R265" s="90">
        <f t="shared" ref="R265:R281" si="297">Q265*H265*$P265*$E$7*$E$7*$E$7</f>
        <v>10123.776</v>
      </c>
      <c r="S265" s="168">
        <f>'LOE Breakdown by Year'!G120</f>
        <v>0.1</v>
      </c>
      <c r="T265" s="90">
        <f t="shared" si="290"/>
        <v>6</v>
      </c>
      <c r="U265" s="90">
        <f t="shared" ref="U265:U281" si="298">T265*H265*$S265*$E$7*$E$7*$E$7*$E$7</f>
        <v>5264.3635199999999</v>
      </c>
      <c r="V265" s="90">
        <f t="shared" ref="V265:V281" si="299">SUM(R265,O265,L265,I265,U265)</f>
        <v>38982.539519999998</v>
      </c>
      <c r="W265" s="90">
        <v>0</v>
      </c>
      <c r="X265" s="90">
        <f t="shared" ref="X265:X281" si="300">SUM(V265:W265)</f>
        <v>38982.539519999998</v>
      </c>
    </row>
    <row r="266" spans="1:24">
      <c r="A266" s="54" t="s">
        <v>425</v>
      </c>
      <c r="B266" s="54">
        <v>70000</v>
      </c>
      <c r="C266" s="54" t="s">
        <v>188</v>
      </c>
      <c r="D266" s="54" t="str">
        <f t="shared" si="283"/>
        <v>Technical Lead Component 1</v>
      </c>
      <c r="E266" s="177">
        <f>'LOE Breakdown by Year'!G13</f>
        <v>0</v>
      </c>
      <c r="F266" s="96" t="s">
        <v>190</v>
      </c>
      <c r="G266" s="90">
        <f t="shared" si="284"/>
        <v>6</v>
      </c>
      <c r="H266" s="90">
        <f t="shared" si="284"/>
        <v>3333.3333333333335</v>
      </c>
      <c r="I266" s="90">
        <f t="shared" si="294"/>
        <v>0</v>
      </c>
      <c r="J266" s="168">
        <f>'LOE Breakdown by Year'!G40</f>
        <v>0</v>
      </c>
      <c r="K266" s="90">
        <f t="shared" si="285"/>
        <v>12</v>
      </c>
      <c r="L266" s="90">
        <f t="shared" si="295"/>
        <v>0</v>
      </c>
      <c r="M266" s="168">
        <f>'LOE Breakdown by Year'!G67</f>
        <v>0</v>
      </c>
      <c r="N266" s="90">
        <f t="shared" si="286"/>
        <v>12</v>
      </c>
      <c r="O266" s="90">
        <f t="shared" si="296"/>
        <v>0</v>
      </c>
      <c r="P266" s="168">
        <f>'LOE Breakdown by Year'!G94</f>
        <v>0</v>
      </c>
      <c r="Q266" s="90">
        <f t="shared" si="288"/>
        <v>12</v>
      </c>
      <c r="R266" s="90">
        <f t="shared" si="297"/>
        <v>0</v>
      </c>
      <c r="S266" s="168">
        <f>'LOE Breakdown by Year'!G121</f>
        <v>0</v>
      </c>
      <c r="T266" s="90">
        <f t="shared" si="290"/>
        <v>9</v>
      </c>
      <c r="U266" s="90">
        <f t="shared" si="298"/>
        <v>0</v>
      </c>
      <c r="V266" s="90">
        <f t="shared" si="299"/>
        <v>0</v>
      </c>
      <c r="W266" s="90">
        <v>0</v>
      </c>
      <c r="X266" s="90">
        <f t="shared" si="300"/>
        <v>0</v>
      </c>
    </row>
    <row r="267" spans="1:24">
      <c r="A267" s="54" t="s">
        <v>425</v>
      </c>
      <c r="B267" s="54">
        <v>70000</v>
      </c>
      <c r="C267" s="54" t="s">
        <v>188</v>
      </c>
      <c r="D267" s="54" t="str">
        <f t="shared" si="283"/>
        <v>Technical Lead Component 2</v>
      </c>
      <c r="E267" s="177">
        <f>'LOE Breakdown by Year'!G14</f>
        <v>0</v>
      </c>
      <c r="F267" s="96" t="s">
        <v>190</v>
      </c>
      <c r="G267" s="90">
        <f t="shared" si="284"/>
        <v>6</v>
      </c>
      <c r="H267" s="90">
        <f t="shared" si="284"/>
        <v>3333.3333333333335</v>
      </c>
      <c r="I267" s="90">
        <f t="shared" si="294"/>
        <v>0</v>
      </c>
      <c r="J267" s="168">
        <f>'LOE Breakdown by Year'!G41</f>
        <v>0</v>
      </c>
      <c r="K267" s="90">
        <f t="shared" si="285"/>
        <v>12</v>
      </c>
      <c r="L267" s="90">
        <f t="shared" si="295"/>
        <v>0</v>
      </c>
      <c r="M267" s="168">
        <f>'LOE Breakdown by Year'!G68</f>
        <v>0</v>
      </c>
      <c r="N267" s="90">
        <f t="shared" si="286"/>
        <v>12</v>
      </c>
      <c r="O267" s="90">
        <f t="shared" si="296"/>
        <v>0</v>
      </c>
      <c r="P267" s="168">
        <f>'LOE Breakdown by Year'!G95</f>
        <v>0</v>
      </c>
      <c r="Q267" s="90">
        <f t="shared" si="288"/>
        <v>12</v>
      </c>
      <c r="R267" s="90">
        <f t="shared" si="297"/>
        <v>0</v>
      </c>
      <c r="S267" s="168">
        <f>'LOE Breakdown by Year'!G122</f>
        <v>0</v>
      </c>
      <c r="T267" s="90">
        <f t="shared" si="290"/>
        <v>9</v>
      </c>
      <c r="U267" s="90">
        <f t="shared" si="298"/>
        <v>0</v>
      </c>
      <c r="V267" s="90">
        <f t="shared" si="299"/>
        <v>0</v>
      </c>
      <c r="W267" s="90">
        <v>0</v>
      </c>
      <c r="X267" s="90">
        <f t="shared" si="300"/>
        <v>0</v>
      </c>
    </row>
    <row r="268" spans="1:24">
      <c r="A268" s="54" t="s">
        <v>425</v>
      </c>
      <c r="B268" s="54">
        <v>70000</v>
      </c>
      <c r="C268" s="54" t="s">
        <v>188</v>
      </c>
      <c r="D268" s="54" t="str">
        <f t="shared" si="283"/>
        <v>Technical Lead Component 3</v>
      </c>
      <c r="E268" s="177">
        <f>'LOE Breakdown by Year'!G15</f>
        <v>0.75</v>
      </c>
      <c r="F268" s="96" t="s">
        <v>190</v>
      </c>
      <c r="G268" s="90">
        <f t="shared" si="284"/>
        <v>6</v>
      </c>
      <c r="H268" s="90">
        <f t="shared" si="284"/>
        <v>3333.3333333333335</v>
      </c>
      <c r="I268" s="90">
        <f t="shared" si="294"/>
        <v>15000</v>
      </c>
      <c r="J268" s="168">
        <f>'LOE Breakdown by Year'!G42</f>
        <v>1</v>
      </c>
      <c r="K268" s="90">
        <f t="shared" si="285"/>
        <v>12</v>
      </c>
      <c r="L268" s="90">
        <f t="shared" si="295"/>
        <v>41600</v>
      </c>
      <c r="M268" s="168">
        <f>'LOE Breakdown by Year'!G69</f>
        <v>1</v>
      </c>
      <c r="N268" s="90">
        <f t="shared" si="286"/>
        <v>12</v>
      </c>
      <c r="O268" s="90">
        <f t="shared" si="296"/>
        <v>43264</v>
      </c>
      <c r="P268" s="168">
        <f>'LOE Breakdown by Year'!G96</f>
        <v>1</v>
      </c>
      <c r="Q268" s="90">
        <f t="shared" si="288"/>
        <v>12</v>
      </c>
      <c r="R268" s="90">
        <f t="shared" si="297"/>
        <v>44994.560000000005</v>
      </c>
      <c r="S268" s="168">
        <f>'LOE Breakdown by Year'!G123</f>
        <v>1</v>
      </c>
      <c r="T268" s="90">
        <f t="shared" si="290"/>
        <v>9</v>
      </c>
      <c r="U268" s="90">
        <f t="shared" si="298"/>
        <v>35095.756800000003</v>
      </c>
      <c r="V268" s="90">
        <f t="shared" si="299"/>
        <v>179954.3168</v>
      </c>
      <c r="W268" s="90">
        <v>0</v>
      </c>
      <c r="X268" s="90">
        <f t="shared" si="300"/>
        <v>179954.3168</v>
      </c>
    </row>
    <row r="269" spans="1:24">
      <c r="A269" s="54" t="s">
        <v>425</v>
      </c>
      <c r="B269" s="54">
        <v>70000</v>
      </c>
      <c r="C269" s="54" t="s">
        <v>188</v>
      </c>
      <c r="D269" s="54" t="str">
        <f t="shared" si="283"/>
        <v>Specialist Component 2</v>
      </c>
      <c r="E269" s="177">
        <f>'LOE Breakdown by Year'!G16</f>
        <v>0</v>
      </c>
      <c r="F269" s="96" t="s">
        <v>190</v>
      </c>
      <c r="G269" s="90">
        <f t="shared" si="284"/>
        <v>6</v>
      </c>
      <c r="H269" s="90">
        <f t="shared" si="284"/>
        <v>1666.6666666666667</v>
      </c>
      <c r="I269" s="90">
        <f t="shared" ref="I269:I271" si="301">G269*H269*E269</f>
        <v>0</v>
      </c>
      <c r="J269" s="168">
        <f>'LOE Breakdown by Year'!G43</f>
        <v>0</v>
      </c>
      <c r="K269" s="90">
        <f t="shared" si="285"/>
        <v>12</v>
      </c>
      <c r="L269" s="90">
        <f t="shared" ref="L269:L271" si="302">K269*H269*$E$7*$J269</f>
        <v>0</v>
      </c>
      <c r="M269" s="168">
        <f>'LOE Breakdown by Year'!G70</f>
        <v>0</v>
      </c>
      <c r="N269" s="90">
        <f t="shared" si="286"/>
        <v>12</v>
      </c>
      <c r="O269" s="90">
        <f t="shared" ref="O269:O271" si="303">N269*H269*$M269*$E$7*$E$7</f>
        <v>0</v>
      </c>
      <c r="P269" s="168">
        <f>'LOE Breakdown by Year'!G97</f>
        <v>0</v>
      </c>
      <c r="Q269" s="90">
        <f t="shared" si="288"/>
        <v>12</v>
      </c>
      <c r="R269" s="90">
        <f t="shared" ref="R269:R271" si="304">Q269*H269*$P269*$E$7*$E$7*$E$7</f>
        <v>0</v>
      </c>
      <c r="S269" s="168">
        <f>'LOE Breakdown by Year'!G124</f>
        <v>0</v>
      </c>
      <c r="T269" s="90">
        <f t="shared" si="290"/>
        <v>6</v>
      </c>
      <c r="U269" s="90">
        <f t="shared" ref="U269:U271" si="305">T269*H269*$S269*$E$7*$E$7*$E$7*$E$7</f>
        <v>0</v>
      </c>
      <c r="V269" s="90">
        <f t="shared" ref="V269:V271" si="306">SUM(R269,O269,L269,I269,U269)</f>
        <v>0</v>
      </c>
      <c r="W269" s="90">
        <v>0</v>
      </c>
      <c r="X269" s="90">
        <f t="shared" ref="X269:X271" si="307">SUM(V269:W269)</f>
        <v>0</v>
      </c>
    </row>
    <row r="270" spans="1:24">
      <c r="A270" s="54" t="s">
        <v>425</v>
      </c>
      <c r="B270" s="54">
        <v>70000</v>
      </c>
      <c r="C270" s="54" t="s">
        <v>188</v>
      </c>
      <c r="D270" s="54" t="str">
        <f t="shared" si="283"/>
        <v>Specialist Component 3</v>
      </c>
      <c r="E270" s="177">
        <f>'LOE Breakdown by Year'!G17</f>
        <v>0.8</v>
      </c>
      <c r="F270" s="96" t="s">
        <v>190</v>
      </c>
      <c r="G270" s="90">
        <f t="shared" si="284"/>
        <v>6</v>
      </c>
      <c r="H270" s="90">
        <f t="shared" si="284"/>
        <v>1666.6666666666667</v>
      </c>
      <c r="I270" s="90">
        <f t="shared" si="301"/>
        <v>8000</v>
      </c>
      <c r="J270" s="168">
        <f>'LOE Breakdown by Year'!G44</f>
        <v>1</v>
      </c>
      <c r="K270" s="90">
        <f t="shared" si="285"/>
        <v>12</v>
      </c>
      <c r="L270" s="90">
        <f t="shared" si="302"/>
        <v>20800</v>
      </c>
      <c r="M270" s="168">
        <f>'LOE Breakdown by Year'!G71</f>
        <v>1</v>
      </c>
      <c r="N270" s="90">
        <f t="shared" si="286"/>
        <v>12</v>
      </c>
      <c r="O270" s="90">
        <f t="shared" si="303"/>
        <v>21632</v>
      </c>
      <c r="P270" s="168">
        <f>'LOE Breakdown by Year'!G98</f>
        <v>1</v>
      </c>
      <c r="Q270" s="90">
        <f t="shared" si="288"/>
        <v>12</v>
      </c>
      <c r="R270" s="90">
        <f t="shared" si="304"/>
        <v>22497.280000000002</v>
      </c>
      <c r="S270" s="168">
        <f>'LOE Breakdown by Year'!G125</f>
        <v>1</v>
      </c>
      <c r="T270" s="90">
        <f t="shared" si="290"/>
        <v>6</v>
      </c>
      <c r="U270" s="90">
        <f t="shared" si="305"/>
        <v>11698.585600000002</v>
      </c>
      <c r="V270" s="90">
        <f t="shared" si="306"/>
        <v>84627.865600000005</v>
      </c>
      <c r="W270" s="90">
        <v>0</v>
      </c>
      <c r="X270" s="90">
        <f t="shared" si="307"/>
        <v>84627.865600000005</v>
      </c>
    </row>
    <row r="271" spans="1:24">
      <c r="A271" s="54" t="s">
        <v>425</v>
      </c>
      <c r="B271" s="54">
        <v>70000</v>
      </c>
      <c r="C271" s="54" t="s">
        <v>188</v>
      </c>
      <c r="D271" s="54" t="str">
        <f t="shared" si="283"/>
        <v>Specialist Component 4</v>
      </c>
      <c r="E271" s="177">
        <f>'LOE Breakdown by Year'!G18</f>
        <v>0</v>
      </c>
      <c r="F271" s="96" t="s">
        <v>190</v>
      </c>
      <c r="G271" s="90">
        <f t="shared" si="284"/>
        <v>6</v>
      </c>
      <c r="H271" s="90">
        <f t="shared" si="284"/>
        <v>1666.6666666666667</v>
      </c>
      <c r="I271" s="90">
        <f t="shared" si="301"/>
        <v>0</v>
      </c>
      <c r="J271" s="168">
        <f>'LOE Breakdown by Year'!G45</f>
        <v>0</v>
      </c>
      <c r="K271" s="90">
        <f t="shared" si="285"/>
        <v>12</v>
      </c>
      <c r="L271" s="90">
        <f t="shared" si="302"/>
        <v>0</v>
      </c>
      <c r="M271" s="168">
        <f>'LOE Breakdown by Year'!G72</f>
        <v>0</v>
      </c>
      <c r="N271" s="90">
        <f t="shared" si="286"/>
        <v>12</v>
      </c>
      <c r="O271" s="90">
        <f t="shared" si="303"/>
        <v>0</v>
      </c>
      <c r="P271" s="168">
        <f>'LOE Breakdown by Year'!G99</f>
        <v>0</v>
      </c>
      <c r="Q271" s="90">
        <f t="shared" si="288"/>
        <v>12</v>
      </c>
      <c r="R271" s="90">
        <f t="shared" si="304"/>
        <v>0</v>
      </c>
      <c r="S271" s="168">
        <f>'LOE Breakdown by Year'!G126</f>
        <v>0</v>
      </c>
      <c r="T271" s="90">
        <f t="shared" si="290"/>
        <v>6</v>
      </c>
      <c r="U271" s="90">
        <f t="shared" si="305"/>
        <v>0</v>
      </c>
      <c r="V271" s="90">
        <f t="shared" si="306"/>
        <v>0</v>
      </c>
      <c r="W271" s="90">
        <v>0</v>
      </c>
      <c r="X271" s="90">
        <f t="shared" si="307"/>
        <v>0</v>
      </c>
    </row>
    <row r="272" spans="1:24">
      <c r="A272" s="54" t="s">
        <v>425</v>
      </c>
      <c r="B272" s="54">
        <v>70000</v>
      </c>
      <c r="C272" s="54" t="s">
        <v>188</v>
      </c>
      <c r="D272" s="54" t="str">
        <f t="shared" si="283"/>
        <v>Extension Agents (20 Individuals)</v>
      </c>
      <c r="E272" s="177">
        <f>'LOE Breakdown by Year'!G19</f>
        <v>0.2</v>
      </c>
      <c r="F272" s="96" t="s">
        <v>190</v>
      </c>
      <c r="G272" s="90">
        <f t="shared" si="284"/>
        <v>3</v>
      </c>
      <c r="H272" s="90">
        <f t="shared" si="284"/>
        <v>23333.333333333336</v>
      </c>
      <c r="I272" s="90">
        <f t="shared" si="294"/>
        <v>14000</v>
      </c>
      <c r="J272" s="168">
        <f>'LOE Breakdown by Year'!G46</f>
        <v>0.2</v>
      </c>
      <c r="K272" s="90">
        <f t="shared" si="285"/>
        <v>12</v>
      </c>
      <c r="L272" s="90">
        <f t="shared" si="295"/>
        <v>58240</v>
      </c>
      <c r="M272" s="168">
        <f>'LOE Breakdown by Year'!G73</f>
        <v>0.2</v>
      </c>
      <c r="N272" s="90">
        <f t="shared" si="286"/>
        <v>6</v>
      </c>
      <c r="O272" s="90">
        <f t="shared" si="296"/>
        <v>30284.799999999999</v>
      </c>
      <c r="P272" s="168">
        <f>'LOE Breakdown by Year'!G100</f>
        <v>0</v>
      </c>
      <c r="Q272" s="90">
        <f t="shared" si="288"/>
        <v>0</v>
      </c>
      <c r="R272" s="90">
        <f t="shared" si="297"/>
        <v>0</v>
      </c>
      <c r="S272" s="168">
        <f>'LOE Breakdown by Year'!G127</f>
        <v>0</v>
      </c>
      <c r="T272" s="90">
        <f t="shared" si="290"/>
        <v>0</v>
      </c>
      <c r="U272" s="90">
        <f t="shared" si="298"/>
        <v>0</v>
      </c>
      <c r="V272" s="90">
        <f t="shared" si="299"/>
        <v>102524.8</v>
      </c>
      <c r="W272" s="90">
        <v>0</v>
      </c>
      <c r="X272" s="90">
        <f t="shared" si="300"/>
        <v>102524.8</v>
      </c>
    </row>
    <row r="273" spans="1:24">
      <c r="A273" s="54" t="s">
        <v>425</v>
      </c>
      <c r="B273" s="54">
        <v>70000</v>
      </c>
      <c r="C273" s="54" t="s">
        <v>188</v>
      </c>
      <c r="D273" s="54" t="str">
        <f t="shared" si="283"/>
        <v xml:space="preserve">M&amp;E Director </v>
      </c>
      <c r="E273" s="177">
        <f>'LOE Breakdown by Year'!G20</f>
        <v>0.2</v>
      </c>
      <c r="F273" s="96" t="s">
        <v>190</v>
      </c>
      <c r="G273" s="90">
        <f t="shared" si="284"/>
        <v>9</v>
      </c>
      <c r="H273" s="90">
        <f t="shared" si="284"/>
        <v>3750</v>
      </c>
      <c r="I273" s="90">
        <f t="shared" si="294"/>
        <v>6750</v>
      </c>
      <c r="J273" s="168">
        <f>'LOE Breakdown by Year'!G47</f>
        <v>0.25</v>
      </c>
      <c r="K273" s="90">
        <f t="shared" si="285"/>
        <v>12</v>
      </c>
      <c r="L273" s="90">
        <f t="shared" si="295"/>
        <v>11700</v>
      </c>
      <c r="M273" s="168">
        <f>'LOE Breakdown by Year'!G74</f>
        <v>0.25</v>
      </c>
      <c r="N273" s="90">
        <f t="shared" si="286"/>
        <v>12</v>
      </c>
      <c r="O273" s="90">
        <f t="shared" si="296"/>
        <v>12168</v>
      </c>
      <c r="P273" s="168">
        <f>'LOE Breakdown by Year'!G101</f>
        <v>0.25</v>
      </c>
      <c r="Q273" s="90">
        <f t="shared" si="288"/>
        <v>12</v>
      </c>
      <c r="R273" s="90">
        <f t="shared" si="297"/>
        <v>12654.720000000001</v>
      </c>
      <c r="S273" s="168">
        <f>'LOE Breakdown by Year'!G128</f>
        <v>0.25</v>
      </c>
      <c r="T273" s="90">
        <f t="shared" si="290"/>
        <v>12</v>
      </c>
      <c r="U273" s="90">
        <f t="shared" si="298"/>
        <v>13160.908800000001</v>
      </c>
      <c r="V273" s="90">
        <f t="shared" si="299"/>
        <v>56433.628800000006</v>
      </c>
      <c r="W273" s="90">
        <v>0</v>
      </c>
      <c r="X273" s="90">
        <f t="shared" si="300"/>
        <v>56433.628800000006</v>
      </c>
    </row>
    <row r="274" spans="1:24">
      <c r="A274" s="54" t="s">
        <v>425</v>
      </c>
      <c r="B274" s="54">
        <v>70000</v>
      </c>
      <c r="C274" s="54" t="s">
        <v>188</v>
      </c>
      <c r="D274" s="54" t="str">
        <f t="shared" si="283"/>
        <v>M&amp;E Specialist</v>
      </c>
      <c r="E274" s="177">
        <f>'LOE Breakdown by Year'!G21</f>
        <v>0.2</v>
      </c>
      <c r="F274" s="96" t="s">
        <v>190</v>
      </c>
      <c r="G274" s="90">
        <f t="shared" si="284"/>
        <v>6</v>
      </c>
      <c r="H274" s="90">
        <f t="shared" si="284"/>
        <v>2083.3333333333335</v>
      </c>
      <c r="I274" s="90">
        <f t="shared" si="294"/>
        <v>2500</v>
      </c>
      <c r="J274" s="168">
        <f>'LOE Breakdown by Year'!G48</f>
        <v>0.25</v>
      </c>
      <c r="K274" s="90">
        <f t="shared" si="285"/>
        <v>12</v>
      </c>
      <c r="L274" s="90">
        <f t="shared" si="295"/>
        <v>6500</v>
      </c>
      <c r="M274" s="168">
        <f>'LOE Breakdown by Year'!G75</f>
        <v>0.25</v>
      </c>
      <c r="N274" s="90">
        <f t="shared" si="286"/>
        <v>12</v>
      </c>
      <c r="O274" s="90">
        <f t="shared" si="296"/>
        <v>6760</v>
      </c>
      <c r="P274" s="168">
        <f>'LOE Breakdown by Year'!G102</f>
        <v>0.25</v>
      </c>
      <c r="Q274" s="90">
        <f t="shared" si="288"/>
        <v>12</v>
      </c>
      <c r="R274" s="90">
        <f t="shared" si="297"/>
        <v>7030.4000000000005</v>
      </c>
      <c r="S274" s="168">
        <f>'LOE Breakdown by Year'!G129</f>
        <v>0.25</v>
      </c>
      <c r="T274" s="90">
        <f t="shared" si="290"/>
        <v>10</v>
      </c>
      <c r="U274" s="90">
        <f t="shared" si="298"/>
        <v>6093.013333333336</v>
      </c>
      <c r="V274" s="90">
        <f t="shared" si="299"/>
        <v>28883.413333333338</v>
      </c>
      <c r="W274" s="90">
        <v>0</v>
      </c>
      <c r="X274" s="90">
        <f t="shared" si="300"/>
        <v>28883.413333333338</v>
      </c>
    </row>
    <row r="275" spans="1:24">
      <c r="A275" s="54" t="s">
        <v>425</v>
      </c>
      <c r="B275" s="54">
        <v>70000</v>
      </c>
      <c r="C275" s="54" t="s">
        <v>188</v>
      </c>
      <c r="D275" s="54" t="str">
        <f t="shared" si="283"/>
        <v xml:space="preserve">F&amp;A Director </v>
      </c>
      <c r="E275" s="177">
        <f>'LOE Breakdown by Year'!G22</f>
        <v>0.2</v>
      </c>
      <c r="F275" s="96" t="s">
        <v>190</v>
      </c>
      <c r="G275" s="90">
        <f t="shared" si="284"/>
        <v>9</v>
      </c>
      <c r="H275" s="90">
        <f t="shared" si="284"/>
        <v>6666.666666666667</v>
      </c>
      <c r="I275" s="90">
        <f t="shared" si="294"/>
        <v>12000</v>
      </c>
      <c r="J275" s="168">
        <f>'LOE Breakdown by Year'!G49</f>
        <v>0.2</v>
      </c>
      <c r="K275" s="90">
        <f t="shared" si="285"/>
        <v>12</v>
      </c>
      <c r="L275" s="90">
        <f t="shared" si="295"/>
        <v>16640</v>
      </c>
      <c r="M275" s="168">
        <f>'LOE Breakdown by Year'!G76</f>
        <v>0.2</v>
      </c>
      <c r="N275" s="90">
        <f t="shared" si="286"/>
        <v>12</v>
      </c>
      <c r="O275" s="90">
        <f t="shared" si="296"/>
        <v>17305.600000000002</v>
      </c>
      <c r="P275" s="168">
        <f>'LOE Breakdown by Year'!G103</f>
        <v>0.2</v>
      </c>
      <c r="Q275" s="90">
        <f t="shared" si="288"/>
        <v>12</v>
      </c>
      <c r="R275" s="90">
        <f t="shared" si="297"/>
        <v>17997.824000000004</v>
      </c>
      <c r="S275" s="168">
        <f>'LOE Breakdown by Year'!G130</f>
        <v>0.2</v>
      </c>
      <c r="T275" s="90">
        <f t="shared" si="290"/>
        <v>12</v>
      </c>
      <c r="U275" s="90">
        <f t="shared" si="298"/>
        <v>18717.736960000006</v>
      </c>
      <c r="V275" s="90">
        <f t="shared" si="299"/>
        <v>82661.160960000008</v>
      </c>
      <c r="W275" s="90">
        <v>0</v>
      </c>
      <c r="X275" s="90">
        <f t="shared" si="300"/>
        <v>82661.160960000008</v>
      </c>
    </row>
    <row r="276" spans="1:24">
      <c r="A276" s="54" t="s">
        <v>425</v>
      </c>
      <c r="B276" s="54">
        <v>70000</v>
      </c>
      <c r="C276" s="54" t="s">
        <v>188</v>
      </c>
      <c r="D276" s="54" t="str">
        <f t="shared" si="283"/>
        <v>Human Resource Manager</v>
      </c>
      <c r="E276" s="177">
        <f>'LOE Breakdown by Year'!G23</f>
        <v>0.2</v>
      </c>
      <c r="F276" s="96" t="s">
        <v>190</v>
      </c>
      <c r="G276" s="90">
        <f t="shared" si="284"/>
        <v>9</v>
      </c>
      <c r="H276" s="90">
        <f t="shared" si="284"/>
        <v>2916.6666666666665</v>
      </c>
      <c r="I276" s="90">
        <f t="shared" ref="I276" si="308">G276*H276*E276</f>
        <v>5250</v>
      </c>
      <c r="J276" s="168">
        <f>'LOE Breakdown by Year'!G50</f>
        <v>0.2</v>
      </c>
      <c r="K276" s="90">
        <f t="shared" si="285"/>
        <v>12</v>
      </c>
      <c r="L276" s="90">
        <f t="shared" ref="L276" si="309">K276*H276*$E$7*$J276</f>
        <v>7280</v>
      </c>
      <c r="M276" s="168">
        <f>'LOE Breakdown by Year'!G77</f>
        <v>0.25</v>
      </c>
      <c r="N276" s="90">
        <f t="shared" si="286"/>
        <v>12</v>
      </c>
      <c r="O276" s="90">
        <f t="shared" ref="O276" si="310">N276*H276*$M276*$E$7*$E$7</f>
        <v>9464</v>
      </c>
      <c r="P276" s="168">
        <f>'LOE Breakdown by Year'!G104</f>
        <v>0.25</v>
      </c>
      <c r="Q276" s="90">
        <f t="shared" si="288"/>
        <v>12</v>
      </c>
      <c r="R276" s="90">
        <f t="shared" ref="R276" si="311">Q276*H276*$P276*$E$7*$E$7*$E$7</f>
        <v>9842.56</v>
      </c>
      <c r="S276" s="168">
        <f>'LOE Breakdown by Year'!G131</f>
        <v>0.25</v>
      </c>
      <c r="T276" s="90">
        <f t="shared" si="290"/>
        <v>10</v>
      </c>
      <c r="U276" s="90">
        <f t="shared" ref="U276" si="312">T276*H276*$S276*$E$7*$E$7*$E$7*$E$7</f>
        <v>8530.2186666666676</v>
      </c>
      <c r="V276" s="90">
        <f t="shared" ref="V276" si="313">SUM(R276,O276,L276,I276,U276)</f>
        <v>40366.778666666665</v>
      </c>
      <c r="W276" s="90">
        <v>0</v>
      </c>
      <c r="X276" s="90">
        <f t="shared" ref="X276" si="314">SUM(V276:W276)</f>
        <v>40366.778666666665</v>
      </c>
    </row>
    <row r="277" spans="1:24">
      <c r="A277" s="54" t="s">
        <v>425</v>
      </c>
      <c r="B277" s="54">
        <v>70000</v>
      </c>
      <c r="C277" s="54" t="s">
        <v>188</v>
      </c>
      <c r="D277" s="54" t="str">
        <f t="shared" si="283"/>
        <v>Contracts &amp; Compliance Specialist</v>
      </c>
      <c r="E277" s="177">
        <f>'LOE Breakdown by Year'!G24</f>
        <v>0.2</v>
      </c>
      <c r="F277" s="96" t="s">
        <v>190</v>
      </c>
      <c r="G277" s="90">
        <f t="shared" si="284"/>
        <v>6</v>
      </c>
      <c r="H277" s="90">
        <f t="shared" si="284"/>
        <v>2916.6666666666665</v>
      </c>
      <c r="I277" s="90">
        <f t="shared" si="294"/>
        <v>3500</v>
      </c>
      <c r="J277" s="168">
        <f>'LOE Breakdown by Year'!G51</f>
        <v>0.2</v>
      </c>
      <c r="K277" s="90">
        <f t="shared" si="285"/>
        <v>12</v>
      </c>
      <c r="L277" s="90">
        <f t="shared" si="295"/>
        <v>7280</v>
      </c>
      <c r="M277" s="168">
        <f>'LOE Breakdown by Year'!G78</f>
        <v>0.2</v>
      </c>
      <c r="N277" s="90">
        <f t="shared" si="286"/>
        <v>12</v>
      </c>
      <c r="O277" s="90">
        <f t="shared" si="296"/>
        <v>7571.2</v>
      </c>
      <c r="P277" s="168">
        <f>'LOE Breakdown by Year'!G105</f>
        <v>0.2</v>
      </c>
      <c r="Q277" s="90">
        <f t="shared" si="288"/>
        <v>12</v>
      </c>
      <c r="R277" s="90">
        <f t="shared" si="297"/>
        <v>7874.0479999999998</v>
      </c>
      <c r="S277" s="168">
        <f>'LOE Breakdown by Year'!G132</f>
        <v>0.2</v>
      </c>
      <c r="T277" s="90">
        <f t="shared" si="290"/>
        <v>9</v>
      </c>
      <c r="U277" s="90">
        <f t="shared" si="298"/>
        <v>6141.7574400000012</v>
      </c>
      <c r="V277" s="90">
        <f t="shared" si="299"/>
        <v>32367.005440000001</v>
      </c>
      <c r="W277" s="90">
        <v>0</v>
      </c>
      <c r="X277" s="90">
        <f t="shared" si="300"/>
        <v>32367.005440000001</v>
      </c>
    </row>
    <row r="278" spans="1:24">
      <c r="A278" s="54" t="s">
        <v>425</v>
      </c>
      <c r="B278" s="54">
        <v>70000</v>
      </c>
      <c r="C278" s="54" t="s">
        <v>188</v>
      </c>
      <c r="D278" s="54" t="str">
        <f t="shared" si="283"/>
        <v xml:space="preserve">Accountant </v>
      </c>
      <c r="E278" s="177">
        <f>'LOE Breakdown by Year'!G25</f>
        <v>0.2</v>
      </c>
      <c r="F278" s="96" t="s">
        <v>190</v>
      </c>
      <c r="G278" s="90">
        <f t="shared" si="284"/>
        <v>7</v>
      </c>
      <c r="H278" s="90">
        <f t="shared" si="284"/>
        <v>1666.6666666666667</v>
      </c>
      <c r="I278" s="90">
        <f t="shared" si="294"/>
        <v>2333.3333333333335</v>
      </c>
      <c r="J278" s="168">
        <f>'LOE Breakdown by Year'!G52</f>
        <v>0.2</v>
      </c>
      <c r="K278" s="90">
        <f t="shared" si="285"/>
        <v>12</v>
      </c>
      <c r="L278" s="90">
        <f t="shared" si="295"/>
        <v>4160</v>
      </c>
      <c r="M278" s="168">
        <f>'LOE Breakdown by Year'!G79</f>
        <v>0.2</v>
      </c>
      <c r="N278" s="90">
        <f t="shared" si="286"/>
        <v>12</v>
      </c>
      <c r="O278" s="90">
        <f t="shared" si="296"/>
        <v>4326.4000000000005</v>
      </c>
      <c r="P278" s="168">
        <f>'LOE Breakdown by Year'!G106</f>
        <v>0.2</v>
      </c>
      <c r="Q278" s="90">
        <f t="shared" si="288"/>
        <v>12</v>
      </c>
      <c r="R278" s="90">
        <f t="shared" si="297"/>
        <v>4499.456000000001</v>
      </c>
      <c r="S278" s="168">
        <f>'LOE Breakdown by Year'!G133</f>
        <v>0.2</v>
      </c>
      <c r="T278" s="90">
        <f t="shared" si="290"/>
        <v>10</v>
      </c>
      <c r="U278" s="90">
        <f t="shared" si="298"/>
        <v>3899.528533333335</v>
      </c>
      <c r="V278" s="90">
        <f t="shared" si="299"/>
        <v>19218.71786666667</v>
      </c>
      <c r="W278" s="90">
        <v>0</v>
      </c>
      <c r="X278" s="90">
        <f t="shared" si="300"/>
        <v>19218.71786666667</v>
      </c>
    </row>
    <row r="279" spans="1:24">
      <c r="A279" s="54" t="s">
        <v>425</v>
      </c>
      <c r="B279" s="54">
        <v>70000</v>
      </c>
      <c r="C279" s="54" t="s">
        <v>188</v>
      </c>
      <c r="D279" s="54" t="str">
        <f t="shared" si="283"/>
        <v xml:space="preserve">Administrative Assistant </v>
      </c>
      <c r="E279" s="177">
        <f>'LOE Breakdown by Year'!G26</f>
        <v>0.2</v>
      </c>
      <c r="F279" s="96" t="s">
        <v>190</v>
      </c>
      <c r="G279" s="90">
        <f t="shared" si="284"/>
        <v>7</v>
      </c>
      <c r="H279" s="90">
        <f t="shared" si="284"/>
        <v>833.33333333333337</v>
      </c>
      <c r="I279" s="90">
        <f t="shared" si="294"/>
        <v>1166.6666666666667</v>
      </c>
      <c r="J279" s="168">
        <f>'LOE Breakdown by Year'!G53</f>
        <v>0.2</v>
      </c>
      <c r="K279" s="90">
        <f t="shared" si="285"/>
        <v>12</v>
      </c>
      <c r="L279" s="90">
        <f t="shared" si="295"/>
        <v>2080</v>
      </c>
      <c r="M279" s="168">
        <f>'LOE Breakdown by Year'!G80</f>
        <v>0.2</v>
      </c>
      <c r="N279" s="90">
        <f t="shared" si="286"/>
        <v>12</v>
      </c>
      <c r="O279" s="90">
        <f t="shared" si="296"/>
        <v>2163.2000000000003</v>
      </c>
      <c r="P279" s="168">
        <f>'LOE Breakdown by Year'!G107</f>
        <v>0.2</v>
      </c>
      <c r="Q279" s="90">
        <f t="shared" si="288"/>
        <v>12</v>
      </c>
      <c r="R279" s="90">
        <f t="shared" si="297"/>
        <v>2249.7280000000005</v>
      </c>
      <c r="S279" s="168">
        <f>'LOE Breakdown by Year'!G134</f>
        <v>0.2</v>
      </c>
      <c r="T279" s="90">
        <f t="shared" si="290"/>
        <v>10</v>
      </c>
      <c r="U279" s="90">
        <f t="shared" si="298"/>
        <v>1949.7642666666675</v>
      </c>
      <c r="V279" s="90">
        <f t="shared" si="299"/>
        <v>9609.3589333333348</v>
      </c>
      <c r="W279" s="90">
        <v>0</v>
      </c>
      <c r="X279" s="90">
        <f t="shared" si="300"/>
        <v>9609.3589333333348</v>
      </c>
    </row>
    <row r="280" spans="1:24">
      <c r="A280" s="54" t="s">
        <v>425</v>
      </c>
      <c r="B280" s="54">
        <v>70000</v>
      </c>
      <c r="C280" s="54" t="s">
        <v>188</v>
      </c>
      <c r="D280" s="54" t="str">
        <f t="shared" si="283"/>
        <v>Security Guards</v>
      </c>
      <c r="E280" s="177">
        <f>'LOE Breakdown by Year'!G27</f>
        <v>0.2</v>
      </c>
      <c r="F280" s="96" t="s">
        <v>190</v>
      </c>
      <c r="G280" s="90">
        <f t="shared" si="284"/>
        <v>8</v>
      </c>
      <c r="H280" s="90">
        <f t="shared" si="284"/>
        <v>666.66666666666663</v>
      </c>
      <c r="I280" s="90">
        <f t="shared" si="294"/>
        <v>1066.6666666666667</v>
      </c>
      <c r="J280" s="168">
        <f>'LOE Breakdown by Year'!G54</f>
        <v>0.2</v>
      </c>
      <c r="K280" s="90">
        <f t="shared" si="285"/>
        <v>12</v>
      </c>
      <c r="L280" s="90">
        <f t="shared" si="295"/>
        <v>1664</v>
      </c>
      <c r="M280" s="168">
        <f>'LOE Breakdown by Year'!G81</f>
        <v>0.2</v>
      </c>
      <c r="N280" s="90">
        <f t="shared" si="286"/>
        <v>12</v>
      </c>
      <c r="O280" s="90">
        <f t="shared" si="296"/>
        <v>1730.56</v>
      </c>
      <c r="P280" s="168">
        <f>'LOE Breakdown by Year'!G108</f>
        <v>0.2</v>
      </c>
      <c r="Q280" s="90">
        <f t="shared" si="288"/>
        <v>12</v>
      </c>
      <c r="R280" s="90">
        <f t="shared" si="297"/>
        <v>1799.7824000000001</v>
      </c>
      <c r="S280" s="168">
        <f>'LOE Breakdown by Year'!G135</f>
        <v>0.2</v>
      </c>
      <c r="T280" s="90">
        <f t="shared" si="290"/>
        <v>10</v>
      </c>
      <c r="U280" s="90">
        <f t="shared" si="298"/>
        <v>1559.8114133333336</v>
      </c>
      <c r="V280" s="90">
        <f t="shared" si="299"/>
        <v>7820.8204800000003</v>
      </c>
      <c r="W280" s="90">
        <v>0</v>
      </c>
      <c r="X280" s="90">
        <f t="shared" si="300"/>
        <v>7820.8204800000003</v>
      </c>
    </row>
    <row r="281" spans="1:24">
      <c r="A281" s="54" t="s">
        <v>425</v>
      </c>
      <c r="B281" s="54">
        <v>70000</v>
      </c>
      <c r="C281" s="54" t="s">
        <v>188</v>
      </c>
      <c r="D281" s="54" t="str">
        <f t="shared" si="283"/>
        <v>Driver (2 Individuals)</v>
      </c>
      <c r="E281" s="177">
        <f>'LOE Breakdown by Year'!G28</f>
        <v>0.2</v>
      </c>
      <c r="F281" s="96" t="s">
        <v>190</v>
      </c>
      <c r="G281" s="90">
        <f t="shared" si="284"/>
        <v>6</v>
      </c>
      <c r="H281" s="90">
        <f t="shared" si="284"/>
        <v>1333.3333333333333</v>
      </c>
      <c r="I281" s="90">
        <f t="shared" si="294"/>
        <v>1600</v>
      </c>
      <c r="J281" s="168">
        <f>'LOE Breakdown by Year'!G55</f>
        <v>0.25</v>
      </c>
      <c r="K281" s="90">
        <f t="shared" si="285"/>
        <v>12</v>
      </c>
      <c r="L281" s="90">
        <f t="shared" si="295"/>
        <v>4160</v>
      </c>
      <c r="M281" s="168">
        <f>'LOE Breakdown by Year'!G82</f>
        <v>0.25</v>
      </c>
      <c r="N281" s="90">
        <f t="shared" si="286"/>
        <v>12</v>
      </c>
      <c r="O281" s="90">
        <f t="shared" si="296"/>
        <v>4326.4000000000005</v>
      </c>
      <c r="P281" s="168">
        <f>'LOE Breakdown by Year'!G109</f>
        <v>0.25</v>
      </c>
      <c r="Q281" s="90">
        <f t="shared" si="288"/>
        <v>12</v>
      </c>
      <c r="R281" s="90">
        <f t="shared" si="297"/>
        <v>4499.456000000001</v>
      </c>
      <c r="S281" s="168">
        <f>'LOE Breakdown by Year'!G136</f>
        <v>0.25</v>
      </c>
      <c r="T281" s="90">
        <f t="shared" si="290"/>
        <v>9</v>
      </c>
      <c r="U281" s="90">
        <f t="shared" si="298"/>
        <v>3509.5756800000004</v>
      </c>
      <c r="V281" s="90">
        <f t="shared" si="299"/>
        <v>18095.431680000002</v>
      </c>
      <c r="W281" s="90">
        <v>0</v>
      </c>
      <c r="X281" s="90">
        <f t="shared" si="300"/>
        <v>18095.431680000002</v>
      </c>
    </row>
    <row r="282" spans="1:24">
      <c r="A282" s="87"/>
      <c r="B282" s="87"/>
      <c r="C282" s="87"/>
      <c r="D282" s="87" t="s">
        <v>426</v>
      </c>
      <c r="E282" s="181"/>
      <c r="F282" s="92"/>
      <c r="G282" s="93"/>
      <c r="H282" s="93"/>
      <c r="I282" s="94">
        <f>SUM(I264:I281)</f>
        <v>106666.66666666667</v>
      </c>
      <c r="J282" s="181"/>
      <c r="K282" s="94"/>
      <c r="L282" s="94">
        <f>SUM(L264:L281)</f>
        <v>229164</v>
      </c>
      <c r="M282" s="181"/>
      <c r="N282" s="94"/>
      <c r="O282" s="94">
        <f>SUM(O264:O281)</f>
        <v>209938.56</v>
      </c>
      <c r="P282" s="181"/>
      <c r="Q282" s="94"/>
      <c r="R282" s="94">
        <f>SUM(R264:R281)</f>
        <v>186839.91040000002</v>
      </c>
      <c r="S282" s="181"/>
      <c r="T282" s="94"/>
      <c r="U282" s="94">
        <f>SUM(U264:U281)</f>
        <v>158028.39381333336</v>
      </c>
      <c r="V282" s="94">
        <f>SUM(V264:V281)</f>
        <v>890637.53088000009</v>
      </c>
      <c r="W282" s="94">
        <f>SUM(W264:W281)</f>
        <v>0</v>
      </c>
      <c r="X282" s="94">
        <f>SUM(X264:X281)</f>
        <v>890637.53088000009</v>
      </c>
    </row>
    <row r="283" spans="1:24">
      <c r="A283" s="153"/>
      <c r="B283" s="153"/>
      <c r="C283" s="153"/>
      <c r="D283" s="153"/>
      <c r="E283" s="182"/>
      <c r="F283" s="129"/>
      <c r="G283" s="109"/>
      <c r="H283" s="109"/>
      <c r="I283" s="109"/>
      <c r="J283" s="182"/>
      <c r="K283" s="109"/>
      <c r="L283" s="109"/>
      <c r="M283" s="182"/>
      <c r="N283" s="109"/>
      <c r="O283" s="109"/>
      <c r="P283" s="182"/>
      <c r="Q283" s="109"/>
      <c r="R283" s="109"/>
      <c r="S283" s="182"/>
      <c r="T283" s="109"/>
      <c r="U283" s="109"/>
      <c r="V283" s="109"/>
      <c r="W283" s="109"/>
      <c r="X283" s="109"/>
    </row>
    <row r="284" spans="1:24">
      <c r="A284" s="87"/>
      <c r="B284" s="87"/>
      <c r="C284" s="87"/>
      <c r="D284" s="87" t="s">
        <v>427</v>
      </c>
      <c r="E284" s="181"/>
      <c r="F284" s="92"/>
      <c r="G284" s="93"/>
      <c r="H284" s="93"/>
      <c r="I284" s="94"/>
      <c r="J284" s="181"/>
      <c r="K284" s="94"/>
      <c r="L284" s="94"/>
      <c r="M284" s="181"/>
      <c r="N284" s="94"/>
      <c r="O284" s="94"/>
      <c r="P284" s="181"/>
      <c r="Q284" s="94"/>
      <c r="R284" s="94"/>
      <c r="S284" s="181"/>
      <c r="T284" s="94"/>
      <c r="U284" s="94"/>
      <c r="V284" s="94"/>
      <c r="W284" s="94"/>
      <c r="X284" s="94"/>
    </row>
    <row r="285" spans="1:24">
      <c r="A285" s="54" t="s">
        <v>428</v>
      </c>
      <c r="B285" s="91">
        <v>70015</v>
      </c>
      <c r="C285" s="54" t="s">
        <v>188</v>
      </c>
      <c r="D285" s="54" t="str">
        <f>$D$37</f>
        <v>Fringe Benefits CCN - Mauritania</v>
      </c>
      <c r="E285" s="169"/>
      <c r="F285" s="130" t="s">
        <v>145</v>
      </c>
      <c r="G285" s="90"/>
      <c r="H285" s="106">
        <f>H37</f>
        <v>0.26919999999999999</v>
      </c>
      <c r="I285" s="90">
        <f>(SUM(I265:I281))*$H$285</f>
        <v>20907.866666666669</v>
      </c>
      <c r="J285" s="169"/>
      <c r="K285" s="90"/>
      <c r="L285" s="90">
        <f>(SUM(L265:L281))*$H$285</f>
        <v>51542.108800000002</v>
      </c>
      <c r="M285" s="169"/>
      <c r="N285" s="90"/>
      <c r="O285" s="90">
        <f>(SUM(O265:O281))*$H$285</f>
        <v>45960.666751999997</v>
      </c>
      <c r="P285" s="169"/>
      <c r="Q285" s="90"/>
      <c r="R285" s="90">
        <f>(SUM(R265:R281))*$H$285</f>
        <v>39320.318535680002</v>
      </c>
      <c r="S285" s="169"/>
      <c r="T285" s="90"/>
      <c r="U285" s="90">
        <f>(SUM(U265:U281))*$H$285</f>
        <v>31125.178856789335</v>
      </c>
      <c r="V285" s="90">
        <f t="shared" ref="V285:V288" si="315">SUM(R285,O285,L285,I285,U285)</f>
        <v>188856.13961113599</v>
      </c>
      <c r="W285" s="109">
        <v>0</v>
      </c>
      <c r="X285" s="90">
        <f>SUM(V285:W285)</f>
        <v>188856.13961113599</v>
      </c>
    </row>
    <row r="286" spans="1:24">
      <c r="A286" s="54" t="s">
        <v>428</v>
      </c>
      <c r="B286" s="91">
        <v>70015</v>
      </c>
      <c r="C286" s="54" t="s">
        <v>188</v>
      </c>
      <c r="D286" s="91" t="str">
        <f>$D$39</f>
        <v>Fringe Benefits Package for Ex-pat Chief of Party</v>
      </c>
      <c r="E286" s="174"/>
      <c r="F286" s="130" t="s">
        <v>145</v>
      </c>
      <c r="H286" s="106">
        <f>H39</f>
        <v>0.23469999999999999</v>
      </c>
      <c r="I286" s="131">
        <f>I264*$H$286</f>
        <v>6806.3</v>
      </c>
      <c r="J286" s="174"/>
      <c r="K286" s="131"/>
      <c r="L286" s="131">
        <f>L264*$H$286</f>
        <v>8848.19</v>
      </c>
      <c r="M286" s="174"/>
      <c r="N286" s="131"/>
      <c r="O286" s="131">
        <f>O264*$H$286</f>
        <v>9202.1175999999996</v>
      </c>
      <c r="P286" s="174"/>
      <c r="Q286" s="131"/>
      <c r="R286" s="131">
        <f>R264*$H$286</f>
        <v>9570.2023040000004</v>
      </c>
      <c r="S286" s="174"/>
      <c r="T286" s="131"/>
      <c r="U286" s="131">
        <f>U264*$H$286</f>
        <v>9953.0103961600016</v>
      </c>
      <c r="V286" s="90">
        <f t="shared" si="315"/>
        <v>44379.820300160005</v>
      </c>
      <c r="W286" s="90" t="s">
        <v>217</v>
      </c>
      <c r="X286" s="90">
        <f>SUM(V286:W286)</f>
        <v>44379.820300160005</v>
      </c>
    </row>
    <row r="287" spans="1:24">
      <c r="A287" s="52" t="s">
        <v>429</v>
      </c>
      <c r="B287" s="52">
        <v>50202</v>
      </c>
      <c r="C287" s="54" t="s">
        <v>188</v>
      </c>
      <c r="D287" s="91" t="str">
        <f>$D$40</f>
        <v>Cost of Living Adjustment for Ex-pat Chief of Party</v>
      </c>
      <c r="E287" s="174"/>
      <c r="F287" s="130" t="s">
        <v>145</v>
      </c>
      <c r="H287" s="106">
        <f>H40</f>
        <v>0.15</v>
      </c>
      <c r="I287" s="131">
        <f>I264*$H$287</f>
        <v>4350</v>
      </c>
      <c r="J287" s="174"/>
      <c r="K287" s="131"/>
      <c r="L287" s="131">
        <f>L264*$H$287</f>
        <v>5655</v>
      </c>
      <c r="M287" s="174"/>
      <c r="N287" s="131"/>
      <c r="O287" s="131">
        <f>O264*$H$287</f>
        <v>5881.2</v>
      </c>
      <c r="P287" s="174"/>
      <c r="Q287" s="131"/>
      <c r="R287" s="131">
        <f>R264*$H$287</f>
        <v>6116.4479999999994</v>
      </c>
      <c r="S287" s="174"/>
      <c r="T287" s="131"/>
      <c r="U287" s="131">
        <f>U264*$H$287</f>
        <v>6361.1059200000009</v>
      </c>
      <c r="V287" s="90">
        <f t="shared" si="315"/>
        <v>28363.753920000003</v>
      </c>
      <c r="W287" s="90" t="s">
        <v>217</v>
      </c>
      <c r="X287" s="90">
        <f t="shared" ref="X287:X288" si="316">SUM(V287:W287)</f>
        <v>28363.753920000003</v>
      </c>
    </row>
    <row r="288" spans="1:24">
      <c r="A288" s="52" t="s">
        <v>430</v>
      </c>
      <c r="B288" s="52">
        <v>50203</v>
      </c>
      <c r="C288" s="54" t="s">
        <v>188</v>
      </c>
      <c r="D288" s="91" t="str">
        <f>$D$41</f>
        <v>Post Hardship for Ex-pat Chief of Party</v>
      </c>
      <c r="E288" s="174"/>
      <c r="F288" s="130" t="s">
        <v>145</v>
      </c>
      <c r="H288" s="106">
        <f>H41</f>
        <v>0.35</v>
      </c>
      <c r="I288" s="131">
        <f>I264*$H$288</f>
        <v>10150</v>
      </c>
      <c r="J288" s="174"/>
      <c r="K288" s="131"/>
      <c r="L288" s="131">
        <f>L264*$H$288</f>
        <v>13195</v>
      </c>
      <c r="M288" s="174"/>
      <c r="N288" s="131"/>
      <c r="O288" s="131">
        <f>O264*$H$288</f>
        <v>13722.8</v>
      </c>
      <c r="P288" s="174"/>
      <c r="Q288" s="131"/>
      <c r="R288" s="131">
        <f>R264*$H$288</f>
        <v>14271.712</v>
      </c>
      <c r="S288" s="174"/>
      <c r="T288" s="131"/>
      <c r="U288" s="131">
        <f>U264*$H$288</f>
        <v>14842.580480000001</v>
      </c>
      <c r="V288" s="90">
        <f t="shared" si="315"/>
        <v>66182.092480000007</v>
      </c>
      <c r="W288" s="90" t="s">
        <v>217</v>
      </c>
      <c r="X288" s="90">
        <f t="shared" si="316"/>
        <v>66182.092480000007</v>
      </c>
    </row>
    <row r="289" spans="1:24">
      <c r="A289" s="87"/>
      <c r="B289" s="87"/>
      <c r="C289" s="87"/>
      <c r="D289" s="87" t="s">
        <v>431</v>
      </c>
      <c r="E289" s="181"/>
      <c r="F289" s="92"/>
      <c r="G289" s="93"/>
      <c r="H289" s="93"/>
      <c r="I289" s="94">
        <f>SUM(I285:I288)</f>
        <v>42214.166666666672</v>
      </c>
      <c r="J289" s="181"/>
      <c r="K289" s="94"/>
      <c r="L289" s="94">
        <f>SUM(L285:L288)</f>
        <v>79240.298800000004</v>
      </c>
      <c r="M289" s="181"/>
      <c r="N289" s="94"/>
      <c r="O289" s="94">
        <f>SUM(O285:O288)</f>
        <v>74766.784351999988</v>
      </c>
      <c r="P289" s="181"/>
      <c r="Q289" s="94"/>
      <c r="R289" s="94">
        <f>SUM(R285:R288)</f>
        <v>69278.68083967999</v>
      </c>
      <c r="S289" s="181"/>
      <c r="T289" s="94"/>
      <c r="U289" s="94">
        <f>SUM(U285:U288)</f>
        <v>62281.87565294934</v>
      </c>
      <c r="V289" s="94">
        <f>SUM(V285:V288)</f>
        <v>327781.80631129601</v>
      </c>
      <c r="W289" s="94">
        <f>SUM(W285:W288)</f>
        <v>0</v>
      </c>
      <c r="X289" s="94">
        <f>SUM(X285:X288)</f>
        <v>327781.80631129601</v>
      </c>
    </row>
    <row r="290" spans="1:24">
      <c r="A290" s="153"/>
      <c r="B290" s="153"/>
      <c r="C290" s="153"/>
      <c r="D290" s="153"/>
      <c r="E290" s="182"/>
      <c r="F290" s="129"/>
      <c r="G290" s="109"/>
      <c r="H290" s="109"/>
      <c r="I290" s="109"/>
      <c r="J290" s="182"/>
      <c r="K290" s="109"/>
      <c r="L290" s="109"/>
      <c r="M290" s="182"/>
      <c r="N290" s="109"/>
      <c r="O290" s="109"/>
      <c r="P290" s="182"/>
      <c r="Q290" s="109"/>
      <c r="R290" s="109"/>
      <c r="S290" s="182"/>
      <c r="T290" s="109"/>
      <c r="U290" s="109"/>
      <c r="V290" s="109"/>
      <c r="W290" s="109"/>
      <c r="X290" s="109"/>
    </row>
    <row r="291" spans="1:24">
      <c r="A291" s="87"/>
      <c r="B291" s="87"/>
      <c r="C291" s="87"/>
      <c r="D291" s="87" t="s">
        <v>432</v>
      </c>
      <c r="E291" s="181"/>
      <c r="F291" s="92"/>
      <c r="G291" s="93"/>
      <c r="H291" s="93"/>
      <c r="I291" s="93"/>
      <c r="J291" s="181"/>
      <c r="K291" s="93"/>
      <c r="L291" s="93"/>
      <c r="M291" s="181"/>
      <c r="N291" s="93"/>
      <c r="O291" s="93"/>
      <c r="P291" s="181"/>
      <c r="Q291" s="93"/>
      <c r="R291" s="93"/>
      <c r="S291" s="181"/>
      <c r="T291" s="93"/>
      <c r="U291" s="93"/>
      <c r="V291" s="93"/>
      <c r="W291" s="93"/>
      <c r="X291" s="93"/>
    </row>
    <row r="292" spans="1:24">
      <c r="A292" s="52" t="s">
        <v>433</v>
      </c>
      <c r="B292" s="54">
        <v>81000</v>
      </c>
      <c r="C292" s="54" t="s">
        <v>188</v>
      </c>
      <c r="D292" s="54" t="s">
        <v>434</v>
      </c>
      <c r="F292" s="54" t="s">
        <v>405</v>
      </c>
      <c r="G292" s="90">
        <v>1</v>
      </c>
      <c r="H292" s="90">
        <v>20000</v>
      </c>
      <c r="I292" s="90">
        <f>G292*H292</f>
        <v>20000</v>
      </c>
      <c r="J292" s="177"/>
      <c r="K292" s="90">
        <v>0</v>
      </c>
      <c r="L292" s="90">
        <f>H292*K292</f>
        <v>0</v>
      </c>
      <c r="M292" s="177"/>
      <c r="N292" s="90">
        <v>0</v>
      </c>
      <c r="O292" s="90">
        <f>H292*N292</f>
        <v>0</v>
      </c>
      <c r="P292" s="177"/>
      <c r="Q292" s="90">
        <v>0</v>
      </c>
      <c r="R292" s="90">
        <f>H292*Q292</f>
        <v>0</v>
      </c>
      <c r="S292" s="177"/>
      <c r="T292" s="90">
        <v>0</v>
      </c>
      <c r="U292" s="90">
        <f>H292*T292</f>
        <v>0</v>
      </c>
      <c r="V292" s="90">
        <f>SUM(R292,O292,L292,I292,U292)</f>
        <v>20000</v>
      </c>
      <c r="W292" s="90" t="s">
        <v>217</v>
      </c>
      <c r="X292" s="90">
        <f>SUM(V292:W292)</f>
        <v>20000</v>
      </c>
    </row>
    <row r="293" spans="1:24">
      <c r="A293" s="54" t="s">
        <v>435</v>
      </c>
      <c r="B293" s="54">
        <v>86110</v>
      </c>
      <c r="C293" s="54" t="s">
        <v>188</v>
      </c>
      <c r="D293" s="54" t="s">
        <v>264</v>
      </c>
      <c r="E293" s="174"/>
      <c r="F293" s="95" t="s">
        <v>147</v>
      </c>
      <c r="G293" s="90">
        <v>1</v>
      </c>
      <c r="H293" s="90">
        <v>7000</v>
      </c>
      <c r="I293" s="90">
        <f>G293*H293</f>
        <v>7000</v>
      </c>
      <c r="J293" s="174"/>
      <c r="K293" s="90">
        <v>1</v>
      </c>
      <c r="L293" s="90">
        <f t="shared" ref="L293:L295" si="317">K293*H293</f>
        <v>7000</v>
      </c>
      <c r="M293" s="174"/>
      <c r="N293" s="90">
        <v>1</v>
      </c>
      <c r="O293" s="90">
        <f t="shared" ref="O293:O295" si="318">N293*H293</f>
        <v>7000</v>
      </c>
      <c r="P293" s="174"/>
      <c r="Q293" s="90">
        <v>1</v>
      </c>
      <c r="R293" s="90">
        <f t="shared" ref="R293:R295" si="319">Q293*H293</f>
        <v>7000</v>
      </c>
      <c r="S293" s="174"/>
      <c r="T293" s="90">
        <v>1</v>
      </c>
      <c r="U293" s="90">
        <f>T293*H293</f>
        <v>7000</v>
      </c>
      <c r="V293" s="90">
        <f t="shared" ref="V293:V295" si="320">SUM(R293,O293,L293,I293,U293)</f>
        <v>35000</v>
      </c>
      <c r="W293" s="90">
        <v>0</v>
      </c>
      <c r="X293" s="90">
        <f>V293+W293</f>
        <v>35000</v>
      </c>
    </row>
    <row r="294" spans="1:24">
      <c r="C294" s="54" t="s">
        <v>188</v>
      </c>
      <c r="D294" s="54" t="s">
        <v>266</v>
      </c>
      <c r="E294" s="174"/>
      <c r="F294" s="95" t="s">
        <v>190</v>
      </c>
      <c r="G294" s="90">
        <v>9</v>
      </c>
      <c r="H294" s="90">
        <v>500</v>
      </c>
      <c r="I294" s="90">
        <f>G294*H294</f>
        <v>4500</v>
      </c>
      <c r="J294" s="174"/>
      <c r="K294" s="90">
        <v>12</v>
      </c>
      <c r="L294" s="90">
        <f t="shared" si="317"/>
        <v>6000</v>
      </c>
      <c r="M294" s="174"/>
      <c r="N294" s="90">
        <v>12</v>
      </c>
      <c r="O294" s="90">
        <f t="shared" si="318"/>
        <v>6000</v>
      </c>
      <c r="P294" s="174"/>
      <c r="Q294" s="90">
        <v>12</v>
      </c>
      <c r="R294" s="90">
        <f t="shared" si="319"/>
        <v>6000</v>
      </c>
      <c r="S294" s="174"/>
      <c r="T294" s="90">
        <v>9</v>
      </c>
      <c r="U294" s="90">
        <f t="shared" ref="U294:U295" si="321">T294*H294</f>
        <v>4500</v>
      </c>
      <c r="V294" s="90">
        <f t="shared" si="320"/>
        <v>27000</v>
      </c>
      <c r="W294" s="90">
        <v>0</v>
      </c>
      <c r="X294" s="90">
        <f t="shared" ref="X294:X295" si="322">V294+W294</f>
        <v>27000</v>
      </c>
    </row>
    <row r="295" spans="1:24" ht="25.2">
      <c r="A295" s="54" t="s">
        <v>436</v>
      </c>
      <c r="B295" s="54">
        <v>81000</v>
      </c>
      <c r="C295" s="54" t="s">
        <v>188</v>
      </c>
      <c r="D295" s="54" t="s">
        <v>269</v>
      </c>
      <c r="E295" s="174"/>
      <c r="F295" s="95" t="s">
        <v>190</v>
      </c>
      <c r="G295" s="90">
        <v>0</v>
      </c>
      <c r="H295" s="90">
        <f>(150000/12)*5%</f>
        <v>625</v>
      </c>
      <c r="I295" s="90">
        <f t="shared" ref="I295" si="323">G295*H295</f>
        <v>0</v>
      </c>
      <c r="J295" s="174"/>
      <c r="K295" s="90">
        <v>12</v>
      </c>
      <c r="L295" s="90">
        <f t="shared" si="317"/>
        <v>7500</v>
      </c>
      <c r="M295" s="174"/>
      <c r="N295" s="90">
        <v>12</v>
      </c>
      <c r="O295" s="90">
        <f t="shared" si="318"/>
        <v>7500</v>
      </c>
      <c r="P295" s="174"/>
      <c r="Q295" s="90">
        <v>12</v>
      </c>
      <c r="R295" s="90">
        <f t="shared" si="319"/>
        <v>7500</v>
      </c>
      <c r="S295" s="174"/>
      <c r="T295" s="90">
        <v>9</v>
      </c>
      <c r="U295" s="90">
        <f t="shared" si="321"/>
        <v>5625</v>
      </c>
      <c r="V295" s="90">
        <f t="shared" si="320"/>
        <v>28125</v>
      </c>
      <c r="W295" s="90">
        <v>0</v>
      </c>
      <c r="X295" s="90">
        <f t="shared" si="322"/>
        <v>28125</v>
      </c>
    </row>
    <row r="296" spans="1:24">
      <c r="A296" s="87"/>
      <c r="B296" s="87"/>
      <c r="C296" s="87"/>
      <c r="D296" s="87" t="s">
        <v>437</v>
      </c>
      <c r="E296" s="181"/>
      <c r="F296" s="92"/>
      <c r="G296" s="93"/>
      <c r="H296" s="94"/>
      <c r="I296" s="94">
        <f>SUM(I292:I295)</f>
        <v>31500</v>
      </c>
      <c r="J296" s="184"/>
      <c r="K296" s="94"/>
      <c r="L296" s="94">
        <f>SUM(L292:L295)</f>
        <v>20500</v>
      </c>
      <c r="M296" s="184"/>
      <c r="N296" s="94"/>
      <c r="O296" s="94">
        <f>SUM(O292:O295)</f>
        <v>20500</v>
      </c>
      <c r="P296" s="184"/>
      <c r="Q296" s="94"/>
      <c r="R296" s="94">
        <f>SUM(R292:R295)</f>
        <v>20500</v>
      </c>
      <c r="S296" s="184"/>
      <c r="T296" s="94"/>
      <c r="U296" s="94">
        <f>SUM(U292:U295)</f>
        <v>17125</v>
      </c>
      <c r="V296" s="94">
        <f>SUM(V292:V295)</f>
        <v>110125</v>
      </c>
      <c r="W296" s="94">
        <f>SUM(W292:W295)</f>
        <v>0</v>
      </c>
      <c r="X296" s="94">
        <f>SUM(X292:X295)</f>
        <v>110125</v>
      </c>
    </row>
    <row r="297" spans="1:24">
      <c r="A297" s="153"/>
      <c r="B297" s="153"/>
      <c r="C297" s="153"/>
      <c r="D297" s="153"/>
      <c r="E297" s="182"/>
      <c r="F297" s="129"/>
      <c r="G297" s="109"/>
      <c r="H297" s="109"/>
      <c r="I297" s="109"/>
      <c r="J297" s="182"/>
      <c r="K297" s="109"/>
      <c r="L297" s="109"/>
      <c r="M297" s="182"/>
      <c r="N297" s="109"/>
      <c r="O297" s="109"/>
      <c r="P297" s="182"/>
      <c r="Q297" s="109"/>
      <c r="R297" s="109"/>
      <c r="S297" s="182"/>
      <c r="T297" s="109"/>
      <c r="U297" s="109"/>
      <c r="V297" s="109"/>
      <c r="W297" s="109"/>
      <c r="X297" s="109"/>
    </row>
    <row r="298" spans="1:24">
      <c r="A298" s="87"/>
      <c r="B298" s="87"/>
      <c r="C298" s="87"/>
      <c r="D298" s="87" t="s">
        <v>438</v>
      </c>
      <c r="E298" s="181"/>
      <c r="F298" s="92"/>
      <c r="G298" s="93"/>
      <c r="H298" s="93"/>
      <c r="I298" s="93"/>
      <c r="J298" s="181"/>
      <c r="K298" s="93"/>
      <c r="L298" s="93"/>
      <c r="M298" s="181"/>
      <c r="N298" s="93"/>
      <c r="O298" s="93"/>
      <c r="P298" s="181"/>
      <c r="Q298" s="93"/>
      <c r="R298" s="93"/>
      <c r="S298" s="181"/>
      <c r="T298" s="93"/>
      <c r="U298" s="93"/>
      <c r="V298" s="93"/>
      <c r="W298" s="93"/>
      <c r="X298" s="93"/>
    </row>
    <row r="299" spans="1:24">
      <c r="A299" s="54" t="s">
        <v>439</v>
      </c>
      <c r="B299" s="54">
        <v>82401</v>
      </c>
      <c r="C299" s="54" t="s">
        <v>188</v>
      </c>
      <c r="D299" s="54" t="s">
        <v>370</v>
      </c>
      <c r="E299" s="174"/>
      <c r="F299" s="96" t="s">
        <v>258</v>
      </c>
      <c r="G299" s="90">
        <v>4</v>
      </c>
      <c r="H299" s="90">
        <v>1100</v>
      </c>
      <c r="I299" s="90">
        <f>G299*H299</f>
        <v>4400</v>
      </c>
      <c r="J299" s="174"/>
      <c r="K299" s="90">
        <v>0</v>
      </c>
      <c r="L299" s="90">
        <f>K299*H299</f>
        <v>0</v>
      </c>
      <c r="M299" s="174"/>
      <c r="N299" s="90">
        <v>0</v>
      </c>
      <c r="O299" s="90">
        <f>N299*H299</f>
        <v>0</v>
      </c>
      <c r="P299" s="174"/>
      <c r="Q299" s="90">
        <v>0</v>
      </c>
      <c r="R299" s="90">
        <f>Q299*H299</f>
        <v>0</v>
      </c>
      <c r="S299" s="174"/>
      <c r="T299" s="90">
        <v>0</v>
      </c>
      <c r="U299" s="90">
        <f>T299*K299</f>
        <v>0</v>
      </c>
      <c r="V299" s="90">
        <f t="shared" ref="V299:V300" si="324">SUM(R299,O299,L299,I299,U299)</f>
        <v>4400</v>
      </c>
      <c r="W299" s="90">
        <v>0</v>
      </c>
      <c r="X299" s="90">
        <f>V299+W299</f>
        <v>4400</v>
      </c>
    </row>
    <row r="300" spans="1:24">
      <c r="A300" s="54" t="s">
        <v>439</v>
      </c>
      <c r="B300" s="54">
        <v>82401</v>
      </c>
      <c r="C300" s="54" t="s">
        <v>188</v>
      </c>
      <c r="D300" s="54" t="s">
        <v>371</v>
      </c>
      <c r="E300" s="174"/>
      <c r="F300" s="96" t="s">
        <v>258</v>
      </c>
      <c r="G300" s="90">
        <v>4</v>
      </c>
      <c r="H300" s="90">
        <v>600</v>
      </c>
      <c r="I300" s="90">
        <f t="shared" ref="I300" si="325">G300*H300</f>
        <v>2400</v>
      </c>
      <c r="J300" s="174"/>
      <c r="K300" s="90">
        <v>0</v>
      </c>
      <c r="L300" s="90">
        <f t="shared" ref="L300" si="326">K300*H300</f>
        <v>0</v>
      </c>
      <c r="M300" s="174"/>
      <c r="N300" s="90">
        <v>0</v>
      </c>
      <c r="O300" s="90">
        <f t="shared" ref="O300" si="327">N300*H300</f>
        <v>0</v>
      </c>
      <c r="P300" s="174"/>
      <c r="Q300" s="90">
        <v>0</v>
      </c>
      <c r="R300" s="90">
        <f t="shared" ref="R300" si="328">Q300*H300</f>
        <v>0</v>
      </c>
      <c r="S300" s="174"/>
      <c r="T300" s="90">
        <v>0</v>
      </c>
      <c r="U300" s="90">
        <f t="shared" ref="U300" si="329">T300*K300</f>
        <v>0</v>
      </c>
      <c r="V300" s="90">
        <f t="shared" si="324"/>
        <v>2400</v>
      </c>
      <c r="W300" s="90">
        <v>0</v>
      </c>
      <c r="X300" s="90">
        <f t="shared" ref="X300" si="330">V300+W300</f>
        <v>2400</v>
      </c>
    </row>
    <row r="301" spans="1:24">
      <c r="A301" s="87"/>
      <c r="B301" s="87"/>
      <c r="C301" s="87"/>
      <c r="D301" s="87" t="s">
        <v>440</v>
      </c>
      <c r="E301" s="181"/>
      <c r="F301" s="92"/>
      <c r="G301" s="93"/>
      <c r="H301" s="94"/>
      <c r="I301" s="94">
        <f>SUM(I299:I300)</f>
        <v>6800</v>
      </c>
      <c r="J301" s="184"/>
      <c r="K301" s="94"/>
      <c r="L301" s="94">
        <f>SUM(L299:L300)</f>
        <v>0</v>
      </c>
      <c r="M301" s="184"/>
      <c r="N301" s="94"/>
      <c r="O301" s="94">
        <f>SUM(O299:O300)</f>
        <v>0</v>
      </c>
      <c r="P301" s="184"/>
      <c r="Q301" s="94"/>
      <c r="R301" s="94">
        <f>SUM(R299:R300)</f>
        <v>0</v>
      </c>
      <c r="S301" s="184"/>
      <c r="T301" s="94"/>
      <c r="U301" s="94">
        <f>SUM(U299:U300)</f>
        <v>0</v>
      </c>
      <c r="V301" s="94">
        <f>SUM(V299:V300)</f>
        <v>6800</v>
      </c>
      <c r="W301" s="94">
        <f>SUM(W299:W300)</f>
        <v>0</v>
      </c>
      <c r="X301" s="94">
        <f>SUM(X299:X300)</f>
        <v>6800</v>
      </c>
    </row>
    <row r="302" spans="1:24">
      <c r="A302" s="153"/>
      <c r="B302" s="153"/>
      <c r="C302" s="153"/>
      <c r="D302" s="153"/>
      <c r="E302" s="182"/>
      <c r="F302" s="129"/>
      <c r="G302" s="109"/>
      <c r="H302" s="109"/>
      <c r="I302" s="109"/>
      <c r="J302" s="182"/>
      <c r="K302" s="109"/>
      <c r="L302" s="109"/>
      <c r="M302" s="182"/>
      <c r="N302" s="109"/>
      <c r="O302" s="109"/>
      <c r="P302" s="182"/>
      <c r="Q302" s="109"/>
      <c r="R302" s="109"/>
      <c r="S302" s="182"/>
      <c r="T302" s="109"/>
      <c r="U302" s="109"/>
      <c r="V302" s="109"/>
      <c r="W302" s="109"/>
      <c r="X302" s="109"/>
    </row>
    <row r="303" spans="1:24">
      <c r="A303" s="87"/>
      <c r="B303" s="87"/>
      <c r="C303" s="87"/>
      <c r="D303" s="87" t="s">
        <v>441</v>
      </c>
      <c r="E303" s="181"/>
      <c r="F303" s="92"/>
      <c r="G303" s="93"/>
      <c r="H303" s="93"/>
      <c r="I303" s="93"/>
      <c r="J303" s="181"/>
      <c r="K303" s="93"/>
      <c r="L303" s="93"/>
      <c r="M303" s="181"/>
      <c r="N303" s="93"/>
      <c r="O303" s="93"/>
      <c r="P303" s="181"/>
      <c r="Q303" s="93"/>
      <c r="R303" s="93"/>
      <c r="S303" s="181"/>
      <c r="T303" s="93"/>
      <c r="U303" s="93"/>
      <c r="V303" s="93"/>
      <c r="W303" s="93"/>
      <c r="X303" s="93"/>
    </row>
    <row r="304" spans="1:24">
      <c r="A304" s="54" t="s">
        <v>442</v>
      </c>
      <c r="B304" s="54">
        <v>86000</v>
      </c>
      <c r="C304" s="54" t="s">
        <v>188</v>
      </c>
      <c r="D304" s="54" t="s">
        <v>250</v>
      </c>
      <c r="F304" s="54" t="s">
        <v>190</v>
      </c>
      <c r="G304" s="90">
        <v>3</v>
      </c>
      <c r="H304" s="90">
        <v>150</v>
      </c>
      <c r="I304" s="90">
        <f>G304*H304</f>
        <v>450</v>
      </c>
      <c r="J304" s="90"/>
      <c r="K304" s="90">
        <v>12</v>
      </c>
      <c r="L304" s="90">
        <f>H304*K304*$E$6</f>
        <v>1872</v>
      </c>
      <c r="M304" s="177"/>
      <c r="N304" s="90">
        <v>12</v>
      </c>
      <c r="O304" s="90">
        <f>H304*N304*$E$6*$E$6</f>
        <v>1946.88</v>
      </c>
      <c r="P304" s="177"/>
      <c r="Q304" s="90">
        <v>12</v>
      </c>
      <c r="R304" s="90">
        <f>H304*Q304*$E$6*$E$6*$E$6</f>
        <v>2024.7552000000003</v>
      </c>
      <c r="S304" s="177"/>
      <c r="T304" s="90">
        <v>7</v>
      </c>
      <c r="U304" s="90">
        <f>H304*T304*$E$6*$E$6*$E$6*$E$6</f>
        <v>1228.3514880000002</v>
      </c>
      <c r="V304" s="90">
        <f t="shared" ref="V304" si="331">SUM(R304,O304,L304,I304,U304)</f>
        <v>7521.9866880000009</v>
      </c>
      <c r="W304" s="90" t="s">
        <v>217</v>
      </c>
      <c r="X304" s="90">
        <f>SUM(V304:W304)</f>
        <v>7521.9866880000009</v>
      </c>
    </row>
    <row r="305" spans="1:24">
      <c r="A305" s="54" t="s">
        <v>442</v>
      </c>
      <c r="B305" s="54">
        <v>86000</v>
      </c>
      <c r="C305" s="54" t="s">
        <v>188</v>
      </c>
      <c r="D305" s="54" t="s">
        <v>375</v>
      </c>
      <c r="F305" s="54" t="s">
        <v>226</v>
      </c>
      <c r="G305" s="90">
        <v>6</v>
      </c>
      <c r="H305" s="90">
        <v>100</v>
      </c>
      <c r="I305" s="232">
        <f>G305*H305</f>
        <v>600</v>
      </c>
      <c r="J305" s="90"/>
      <c r="K305" s="90">
        <v>12</v>
      </c>
      <c r="L305" s="90">
        <f>H305*K305*$E$6</f>
        <v>1248</v>
      </c>
      <c r="M305" s="177"/>
      <c r="N305" s="90">
        <v>12</v>
      </c>
      <c r="O305" s="90">
        <f>H305*N305*$E$6*$E$6</f>
        <v>1297.92</v>
      </c>
      <c r="P305" s="177"/>
      <c r="Q305" s="90">
        <v>12</v>
      </c>
      <c r="R305" s="90">
        <f>H305*Q305*$E$6*$E$6*$E$6</f>
        <v>1349.8368</v>
      </c>
      <c r="S305" s="177"/>
      <c r="T305" s="90">
        <v>9</v>
      </c>
      <c r="U305" s="90">
        <f>H305*T305*$E$6*$E$6*$E$6*$E$6</f>
        <v>1052.8727040000001</v>
      </c>
      <c r="V305" s="90">
        <f t="shared" ref="V305:V306" si="332">SUM(R305,O305,L305,I305,U305)</f>
        <v>5548.6295040000005</v>
      </c>
      <c r="W305" s="90" t="s">
        <v>217</v>
      </c>
      <c r="X305" s="90">
        <f>SUM(V305:W305)</f>
        <v>5548.6295040000005</v>
      </c>
    </row>
    <row r="306" spans="1:24" ht="37.799999999999997">
      <c r="A306" s="54" t="s">
        <v>442</v>
      </c>
      <c r="B306" s="54" t="s">
        <v>237</v>
      </c>
      <c r="C306" s="54" t="s">
        <v>188</v>
      </c>
      <c r="D306" s="54" t="s">
        <v>376</v>
      </c>
      <c r="F306" s="54" t="s">
        <v>239</v>
      </c>
      <c r="G306" s="90">
        <f>G305*3</f>
        <v>18</v>
      </c>
      <c r="H306" s="90">
        <v>78</v>
      </c>
      <c r="I306" s="232">
        <f>G306*H306</f>
        <v>1404</v>
      </c>
      <c r="J306" s="90"/>
      <c r="K306" s="90">
        <f>K305*3</f>
        <v>36</v>
      </c>
      <c r="L306" s="90">
        <f>H306*K306*$E$6</f>
        <v>2920.32</v>
      </c>
      <c r="M306" s="177"/>
      <c r="N306" s="90">
        <f>N305*3</f>
        <v>36</v>
      </c>
      <c r="O306" s="90">
        <f>H306*N306*$E$6*$E$6</f>
        <v>3037.1328000000003</v>
      </c>
      <c r="P306" s="177"/>
      <c r="Q306" s="90">
        <f>Q305*3</f>
        <v>36</v>
      </c>
      <c r="R306" s="90">
        <f>H306*Q306*$E$6*$E$6*$E$6</f>
        <v>3158.6181120000006</v>
      </c>
      <c r="S306" s="177"/>
      <c r="T306" s="90">
        <f>T305*3</f>
        <v>27</v>
      </c>
      <c r="U306" s="90">
        <f>H306*T306*$E$6*$E$6*$E$6*$E$6</f>
        <v>2463.7221273600007</v>
      </c>
      <c r="V306" s="90">
        <f t="shared" si="332"/>
        <v>12983.793039360002</v>
      </c>
      <c r="W306" s="90" t="s">
        <v>217</v>
      </c>
      <c r="X306" s="90">
        <f>SUM(V306:W306)</f>
        <v>12983.793039360002</v>
      </c>
    </row>
    <row r="307" spans="1:24">
      <c r="A307" s="54" t="s">
        <v>442</v>
      </c>
      <c r="B307" s="54">
        <v>86000</v>
      </c>
      <c r="C307" s="54" t="s">
        <v>188</v>
      </c>
      <c r="D307" s="54" t="s">
        <v>443</v>
      </c>
      <c r="F307" s="54" t="s">
        <v>444</v>
      </c>
      <c r="G307" s="90"/>
      <c r="H307" s="90">
        <v>160</v>
      </c>
      <c r="I307" s="90">
        <f>G307*H307</f>
        <v>0</v>
      </c>
      <c r="J307" s="177"/>
      <c r="K307" s="90">
        <f>(8)*50</f>
        <v>400</v>
      </c>
      <c r="L307" s="90">
        <f>H307*K307*$E$6</f>
        <v>66560</v>
      </c>
      <c r="M307" s="177"/>
      <c r="N307" s="90">
        <f>(8)*50</f>
        <v>400</v>
      </c>
      <c r="O307" s="90">
        <f>H307*N307*$E$6*$E$6</f>
        <v>69222.400000000009</v>
      </c>
      <c r="P307" s="177"/>
      <c r="Q307" s="90">
        <f>(8)*50</f>
        <v>400</v>
      </c>
      <c r="R307" s="90">
        <f>H307*Q307*$E$6*$E$6*$E$6</f>
        <v>71991.296000000017</v>
      </c>
      <c r="S307" s="177"/>
      <c r="T307" s="90">
        <v>0</v>
      </c>
      <c r="U307" s="90">
        <f>H307*T307*$E$6*$E$6*$E$6*$E$6</f>
        <v>0</v>
      </c>
      <c r="V307" s="90">
        <f t="shared" ref="V307" si="333">SUM(R307,O307,L307,I307,U307)</f>
        <v>207773.69600000003</v>
      </c>
      <c r="W307" s="90" t="s">
        <v>217</v>
      </c>
      <c r="X307" s="90">
        <f>SUM(V307:W307)</f>
        <v>207773.69600000003</v>
      </c>
    </row>
    <row r="308" spans="1:24">
      <c r="A308" s="87"/>
      <c r="B308" s="87"/>
      <c r="C308" s="87"/>
      <c r="D308" s="87" t="s">
        <v>445</v>
      </c>
      <c r="E308" s="181"/>
      <c r="F308" s="92"/>
      <c r="G308" s="94"/>
      <c r="H308" s="94"/>
      <c r="I308" s="94">
        <f>SUM(I304:I307)</f>
        <v>2454</v>
      </c>
      <c r="J308" s="181"/>
      <c r="K308" s="94"/>
      <c r="L308" s="94">
        <f>SUM(L304:L307)</f>
        <v>72600.320000000007</v>
      </c>
      <c r="M308" s="181"/>
      <c r="N308" s="94"/>
      <c r="O308" s="94">
        <f>SUM(O304:O307)</f>
        <v>75504.332800000004</v>
      </c>
      <c r="P308" s="181"/>
      <c r="Q308" s="94"/>
      <c r="R308" s="94">
        <f>SUM(R304:R307)</f>
        <v>78524.506112000017</v>
      </c>
      <c r="S308" s="181"/>
      <c r="T308" s="94"/>
      <c r="U308" s="94">
        <f>SUM(U304:U307)</f>
        <v>4744.9463193600013</v>
      </c>
      <c r="V308" s="94">
        <f>SUM(V304:V307)</f>
        <v>233828.10523136004</v>
      </c>
      <c r="W308" s="94">
        <f>SUM(W304:W307)</f>
        <v>0</v>
      </c>
      <c r="X308" s="94">
        <f>SUM(X304:X307)</f>
        <v>233828.10523136004</v>
      </c>
    </row>
    <row r="309" spans="1:24">
      <c r="A309" s="153"/>
      <c r="B309" s="153"/>
      <c r="C309" s="153"/>
      <c r="D309" s="153"/>
      <c r="E309" s="182"/>
      <c r="F309" s="129"/>
      <c r="G309" s="109"/>
      <c r="H309" s="109"/>
      <c r="I309" s="109"/>
      <c r="J309" s="182"/>
      <c r="K309" s="109"/>
      <c r="L309" s="109"/>
      <c r="M309" s="182"/>
      <c r="N309" s="109"/>
      <c r="O309" s="109"/>
      <c r="P309" s="182"/>
      <c r="Q309" s="109"/>
      <c r="R309" s="109"/>
      <c r="S309" s="182"/>
      <c r="T309" s="109"/>
      <c r="U309" s="109"/>
      <c r="V309" s="109"/>
      <c r="W309" s="109"/>
      <c r="X309" s="109"/>
    </row>
    <row r="310" spans="1:24">
      <c r="A310" s="87"/>
      <c r="B310" s="87"/>
      <c r="C310" s="87"/>
      <c r="D310" s="87" t="s">
        <v>446</v>
      </c>
      <c r="E310" s="181"/>
      <c r="F310" s="92"/>
      <c r="G310" s="93"/>
      <c r="H310" s="93"/>
      <c r="I310" s="93"/>
      <c r="J310" s="181"/>
      <c r="K310" s="93"/>
      <c r="L310" s="93"/>
      <c r="M310" s="181"/>
      <c r="N310" s="93"/>
      <c r="O310" s="93"/>
      <c r="P310" s="181"/>
      <c r="Q310" s="93"/>
      <c r="R310" s="93"/>
      <c r="S310" s="181"/>
      <c r="T310" s="93"/>
      <c r="U310" s="93"/>
      <c r="V310" s="93"/>
      <c r="W310" s="93"/>
      <c r="X310" s="93"/>
    </row>
    <row r="311" spans="1:24">
      <c r="A311" s="140"/>
      <c r="B311" s="140"/>
      <c r="C311" s="140"/>
      <c r="D311" s="140" t="s">
        <v>447</v>
      </c>
      <c r="E311" s="176"/>
      <c r="F311" s="142"/>
      <c r="G311" s="143"/>
      <c r="H311" s="143"/>
      <c r="I311" s="143"/>
      <c r="J311" s="176"/>
      <c r="K311" s="143"/>
      <c r="L311" s="143"/>
      <c r="M311" s="176"/>
      <c r="N311" s="143"/>
      <c r="O311" s="143"/>
      <c r="P311" s="176"/>
      <c r="Q311" s="143"/>
      <c r="R311" s="143"/>
      <c r="S311" s="176"/>
      <c r="T311" s="143"/>
      <c r="U311" s="143"/>
      <c r="V311" s="128"/>
      <c r="W311" s="128"/>
      <c r="X311" s="143"/>
    </row>
    <row r="312" spans="1:24">
      <c r="A312" s="54" t="s">
        <v>448</v>
      </c>
      <c r="B312" s="54">
        <v>81015</v>
      </c>
      <c r="C312" s="54" t="s">
        <v>188</v>
      </c>
      <c r="D312" s="54" t="s">
        <v>449</v>
      </c>
      <c r="F312" s="54" t="s">
        <v>450</v>
      </c>
      <c r="G312" s="90">
        <v>0</v>
      </c>
      <c r="H312" s="90">
        <v>6000</v>
      </c>
      <c r="I312" s="90">
        <f>G312*H312</f>
        <v>0</v>
      </c>
      <c r="J312" s="177"/>
      <c r="K312" s="90">
        <v>5</v>
      </c>
      <c r="L312" s="90">
        <f>H312*K312</f>
        <v>30000</v>
      </c>
      <c r="M312" s="177"/>
      <c r="N312" s="90">
        <v>5</v>
      </c>
      <c r="O312" s="90">
        <f>H312*N312</f>
        <v>30000</v>
      </c>
      <c r="P312" s="177"/>
      <c r="Q312" s="90">
        <v>5</v>
      </c>
      <c r="R312" s="90">
        <f>H312*Q312</f>
        <v>30000</v>
      </c>
      <c r="S312" s="177"/>
      <c r="T312" s="90">
        <v>0</v>
      </c>
      <c r="U312" s="90">
        <f>H312*T312</f>
        <v>0</v>
      </c>
      <c r="V312" s="90">
        <f>SUM(R312,O312,L312,I312,U312)</f>
        <v>90000</v>
      </c>
      <c r="W312" s="90" t="s">
        <v>217</v>
      </c>
      <c r="X312" s="90">
        <f>SUM(V312:W312)</f>
        <v>90000</v>
      </c>
    </row>
    <row r="313" spans="1:24" ht="25.2">
      <c r="A313" s="54" t="s">
        <v>448</v>
      </c>
      <c r="B313" s="54">
        <v>81015</v>
      </c>
      <c r="C313" s="54" t="s">
        <v>188</v>
      </c>
      <c r="D313" s="54" t="s">
        <v>451</v>
      </c>
      <c r="F313" s="54" t="s">
        <v>450</v>
      </c>
      <c r="G313" s="90">
        <v>0</v>
      </c>
      <c r="H313" s="90">
        <v>18000</v>
      </c>
      <c r="I313" s="90">
        <f>G313*H313</f>
        <v>0</v>
      </c>
      <c r="J313" s="177"/>
      <c r="K313" s="90">
        <v>1</v>
      </c>
      <c r="L313" s="90">
        <f>H313*K313</f>
        <v>18000</v>
      </c>
      <c r="M313" s="177"/>
      <c r="N313" s="90">
        <v>1</v>
      </c>
      <c r="O313" s="90">
        <f>H313*N313</f>
        <v>18000</v>
      </c>
      <c r="P313" s="177"/>
      <c r="Q313" s="90">
        <v>1</v>
      </c>
      <c r="R313" s="90">
        <f>H313*Q313</f>
        <v>18000</v>
      </c>
      <c r="S313" s="177"/>
      <c r="T313" s="90">
        <v>0</v>
      </c>
      <c r="U313" s="90">
        <f>H313*T313</f>
        <v>0</v>
      </c>
      <c r="V313" s="90">
        <f>SUM(R313,O313,L313,I313,U313)</f>
        <v>54000</v>
      </c>
      <c r="W313" s="90" t="s">
        <v>217</v>
      </c>
      <c r="X313" s="90">
        <f>SUM(V313:W313)</f>
        <v>54000</v>
      </c>
    </row>
    <row r="314" spans="1:24">
      <c r="A314" s="140"/>
      <c r="B314" s="140"/>
      <c r="C314" s="140"/>
      <c r="D314" s="140" t="s">
        <v>151</v>
      </c>
      <c r="E314" s="176"/>
      <c r="F314" s="142"/>
      <c r="G314" s="143"/>
      <c r="H314" s="143"/>
      <c r="I314" s="143"/>
      <c r="J314" s="176"/>
      <c r="K314" s="143"/>
      <c r="L314" s="143"/>
      <c r="M314" s="176"/>
      <c r="N314" s="143"/>
      <c r="O314" s="143"/>
      <c r="P314" s="176"/>
      <c r="Q314" s="143"/>
      <c r="R314" s="143"/>
      <c r="S314" s="176"/>
      <c r="T314" s="143"/>
      <c r="U314" s="143"/>
      <c r="V314" s="128"/>
      <c r="W314" s="128"/>
      <c r="X314" s="143"/>
    </row>
    <row r="315" spans="1:24" ht="25.2">
      <c r="A315" s="54" t="s">
        <v>452</v>
      </c>
      <c r="B315" s="54">
        <v>89000</v>
      </c>
      <c r="C315" s="54" t="s">
        <v>188</v>
      </c>
      <c r="D315" s="54" t="s">
        <v>453</v>
      </c>
      <c r="E315" s="174"/>
      <c r="F315" s="54" t="s">
        <v>454</v>
      </c>
      <c r="G315" s="90">
        <v>0</v>
      </c>
      <c r="H315" s="90">
        <v>3000</v>
      </c>
      <c r="I315" s="90">
        <f t="shared" ref="I315:I322" si="334">G315*H315</f>
        <v>0</v>
      </c>
      <c r="J315" s="177"/>
      <c r="K315" s="90">
        <v>10</v>
      </c>
      <c r="L315" s="90">
        <f t="shared" ref="L315:L322" si="335">H315*K315</f>
        <v>30000</v>
      </c>
      <c r="M315" s="177"/>
      <c r="N315" s="90">
        <v>0</v>
      </c>
      <c r="O315" s="90">
        <f t="shared" ref="O315:O322" si="336">H315*N315</f>
        <v>0</v>
      </c>
      <c r="P315" s="177"/>
      <c r="Q315" s="90">
        <v>0</v>
      </c>
      <c r="R315" s="90">
        <f t="shared" ref="R315:R322" si="337">H315*Q315</f>
        <v>0</v>
      </c>
      <c r="S315" s="177"/>
      <c r="T315" s="90">
        <v>0</v>
      </c>
      <c r="U315" s="90">
        <f t="shared" ref="U315:U322" si="338">H315*T315</f>
        <v>0</v>
      </c>
      <c r="V315" s="90">
        <f t="shared" ref="V315:V318" si="339">SUM(R315,O315,L315,I315,U315)</f>
        <v>30000</v>
      </c>
      <c r="W315" s="90" t="s">
        <v>217</v>
      </c>
      <c r="X315" s="90">
        <f t="shared" ref="X315:X322" si="340">SUM(V315:W315)</f>
        <v>30000</v>
      </c>
    </row>
    <row r="316" spans="1:24">
      <c r="A316" s="140"/>
      <c r="B316" s="140"/>
      <c r="C316" s="140"/>
      <c r="D316" s="140" t="s">
        <v>138</v>
      </c>
      <c r="E316" s="176"/>
      <c r="F316" s="142"/>
      <c r="G316" s="143"/>
      <c r="H316" s="143"/>
      <c r="I316" s="143"/>
      <c r="J316" s="176"/>
      <c r="K316" s="143"/>
      <c r="L316" s="143"/>
      <c r="M316" s="176"/>
      <c r="N316" s="143"/>
      <c r="O316" s="143"/>
      <c r="P316" s="176"/>
      <c r="Q316" s="143"/>
      <c r="R316" s="143"/>
      <c r="S316" s="176"/>
      <c r="T316" s="143"/>
      <c r="U316" s="143"/>
      <c r="V316" s="128"/>
      <c r="W316" s="128"/>
      <c r="X316" s="143"/>
    </row>
    <row r="317" spans="1:24" ht="25.2">
      <c r="A317" s="54" t="s">
        <v>455</v>
      </c>
      <c r="B317" s="54">
        <v>87010</v>
      </c>
      <c r="C317" s="54" t="s">
        <v>188</v>
      </c>
      <c r="D317" s="54" t="s">
        <v>456</v>
      </c>
      <c r="F317" s="54" t="s">
        <v>457</v>
      </c>
      <c r="G317" s="90">
        <v>0</v>
      </c>
      <c r="H317" s="90">
        <v>550</v>
      </c>
      <c r="I317" s="90">
        <f t="shared" si="334"/>
        <v>0</v>
      </c>
      <c r="J317" s="177"/>
      <c r="K317" s="90">
        <f>4*10</f>
        <v>40</v>
      </c>
      <c r="L317" s="90">
        <f t="shared" si="335"/>
        <v>22000</v>
      </c>
      <c r="M317" s="177"/>
      <c r="N317" s="90">
        <f>4*10</f>
        <v>40</v>
      </c>
      <c r="O317" s="90">
        <f t="shared" si="336"/>
        <v>22000</v>
      </c>
      <c r="P317" s="177"/>
      <c r="Q317" s="90">
        <v>0</v>
      </c>
      <c r="R317" s="90">
        <f t="shared" si="337"/>
        <v>0</v>
      </c>
      <c r="S317" s="177"/>
      <c r="T317" s="90">
        <v>0</v>
      </c>
      <c r="U317" s="90">
        <f t="shared" si="338"/>
        <v>0</v>
      </c>
      <c r="V317" s="90">
        <f t="shared" ref="V317" si="341">SUM(R317,O317,L317,I317,U317)</f>
        <v>44000</v>
      </c>
      <c r="W317" s="90" t="s">
        <v>217</v>
      </c>
      <c r="X317" s="90">
        <f t="shared" si="340"/>
        <v>44000</v>
      </c>
    </row>
    <row r="318" spans="1:24" ht="25.2">
      <c r="A318" s="54" t="s">
        <v>455</v>
      </c>
      <c r="B318" s="54">
        <v>87010</v>
      </c>
      <c r="C318" s="54" t="s">
        <v>188</v>
      </c>
      <c r="D318" s="54" t="s">
        <v>458</v>
      </c>
      <c r="F318" s="54" t="s">
        <v>457</v>
      </c>
      <c r="G318" s="90">
        <v>0</v>
      </c>
      <c r="H318" s="90">
        <v>1000</v>
      </c>
      <c r="I318" s="90">
        <f t="shared" si="334"/>
        <v>0</v>
      </c>
      <c r="J318" s="177"/>
      <c r="K318" s="90">
        <f>3*2</f>
        <v>6</v>
      </c>
      <c r="L318" s="90">
        <f t="shared" si="335"/>
        <v>6000</v>
      </c>
      <c r="M318" s="177"/>
      <c r="N318" s="90">
        <f>3*2</f>
        <v>6</v>
      </c>
      <c r="O318" s="90">
        <f t="shared" si="336"/>
        <v>6000</v>
      </c>
      <c r="P318" s="177"/>
      <c r="Q318" s="90">
        <v>0</v>
      </c>
      <c r="R318" s="90">
        <f t="shared" si="337"/>
        <v>0</v>
      </c>
      <c r="S318" s="177"/>
      <c r="T318" s="90">
        <v>0</v>
      </c>
      <c r="U318" s="90">
        <f t="shared" si="338"/>
        <v>0</v>
      </c>
      <c r="V318" s="90">
        <f t="shared" si="339"/>
        <v>12000</v>
      </c>
      <c r="W318" s="90" t="s">
        <v>217</v>
      </c>
      <c r="X318" s="90">
        <f t="shared" si="340"/>
        <v>12000</v>
      </c>
    </row>
    <row r="319" spans="1:24">
      <c r="A319" s="54" t="s">
        <v>459</v>
      </c>
      <c r="B319" s="54">
        <v>87000</v>
      </c>
      <c r="C319" s="54" t="s">
        <v>188</v>
      </c>
      <c r="D319" s="54" t="s">
        <v>460</v>
      </c>
      <c r="F319" s="54" t="s">
        <v>444</v>
      </c>
      <c r="G319" s="90">
        <v>0</v>
      </c>
      <c r="H319" s="90">
        <v>1500</v>
      </c>
      <c r="I319" s="90">
        <f t="shared" si="334"/>
        <v>0</v>
      </c>
      <c r="J319" s="177"/>
      <c r="K319" s="90">
        <v>8</v>
      </c>
      <c r="L319" s="90">
        <f t="shared" si="335"/>
        <v>12000</v>
      </c>
      <c r="M319" s="177"/>
      <c r="N319" s="90">
        <v>8</v>
      </c>
      <c r="O319" s="90">
        <f t="shared" si="336"/>
        <v>12000</v>
      </c>
      <c r="P319" s="177"/>
      <c r="Q319" s="90">
        <v>8</v>
      </c>
      <c r="R319" s="90">
        <f t="shared" si="337"/>
        <v>12000</v>
      </c>
      <c r="S319" s="177"/>
      <c r="T319" s="90">
        <v>0</v>
      </c>
      <c r="U319" s="90">
        <f t="shared" si="338"/>
        <v>0</v>
      </c>
      <c r="V319" s="90">
        <f>SUM(R319,O319,L319,I319,U319)</f>
        <v>36000</v>
      </c>
      <c r="W319" s="90" t="s">
        <v>217</v>
      </c>
      <c r="X319" s="90">
        <f t="shared" si="340"/>
        <v>36000</v>
      </c>
    </row>
    <row r="320" spans="1:24">
      <c r="A320" s="54" t="s">
        <v>461</v>
      </c>
      <c r="B320" s="54">
        <v>87000</v>
      </c>
      <c r="C320" s="54" t="s">
        <v>188</v>
      </c>
      <c r="D320" s="54" t="s">
        <v>462</v>
      </c>
      <c r="F320" s="54" t="s">
        <v>463</v>
      </c>
      <c r="G320" s="229">
        <v>0.5</v>
      </c>
      <c r="H320" s="90">
        <v>100000</v>
      </c>
      <c r="I320" s="90">
        <f t="shared" si="334"/>
        <v>50000</v>
      </c>
      <c r="J320" s="177"/>
      <c r="K320" s="229">
        <v>0.5</v>
      </c>
      <c r="L320" s="90">
        <f t="shared" si="335"/>
        <v>50000</v>
      </c>
      <c r="M320" s="177"/>
      <c r="N320" s="90">
        <v>0</v>
      </c>
      <c r="O320" s="90">
        <f t="shared" si="336"/>
        <v>0</v>
      </c>
      <c r="P320" s="177"/>
      <c r="Q320" s="90">
        <v>0</v>
      </c>
      <c r="R320" s="90">
        <f t="shared" si="337"/>
        <v>0</v>
      </c>
      <c r="S320" s="177"/>
      <c r="T320" s="90">
        <v>0</v>
      </c>
      <c r="U320" s="90">
        <f t="shared" si="338"/>
        <v>0</v>
      </c>
      <c r="V320" s="90">
        <f>SUM(R320,O320,L320,I320,U320)</f>
        <v>100000</v>
      </c>
      <c r="W320" s="90" t="s">
        <v>217</v>
      </c>
      <c r="X320" s="90">
        <f t="shared" si="340"/>
        <v>100000</v>
      </c>
    </row>
    <row r="321" spans="1:24" ht="50.4">
      <c r="A321" s="54" t="s">
        <v>464</v>
      </c>
      <c r="B321" s="54" t="s">
        <v>284</v>
      </c>
      <c r="C321" s="54" t="s">
        <v>188</v>
      </c>
      <c r="D321" s="54" t="s">
        <v>465</v>
      </c>
      <c r="F321" s="54" t="s">
        <v>258</v>
      </c>
      <c r="G321" s="90">
        <v>0</v>
      </c>
      <c r="H321" s="90">
        <v>15000</v>
      </c>
      <c r="I321" s="90">
        <f>G321*H321</f>
        <v>0</v>
      </c>
      <c r="J321" s="177"/>
      <c r="K321" s="90">
        <v>1</v>
      </c>
      <c r="L321" s="90">
        <f>H321*K321</f>
        <v>15000</v>
      </c>
      <c r="M321" s="177"/>
      <c r="N321" s="90">
        <v>0</v>
      </c>
      <c r="O321" s="90">
        <f>H321*N321</f>
        <v>0</v>
      </c>
      <c r="P321" s="177"/>
      <c r="Q321" s="90">
        <v>0</v>
      </c>
      <c r="R321" s="90">
        <f>H321*Q321</f>
        <v>0</v>
      </c>
      <c r="S321" s="177"/>
      <c r="T321" s="90">
        <v>0</v>
      </c>
      <c r="U321" s="90">
        <f>H321*T321</f>
        <v>0</v>
      </c>
      <c r="V321" s="90">
        <f t="shared" ref="V321" si="342">SUM(R321,O321,L321,I321,U321)</f>
        <v>15000</v>
      </c>
      <c r="W321" s="90" t="s">
        <v>217</v>
      </c>
      <c r="X321" s="90">
        <f>SUM(V321:W321)</f>
        <v>15000</v>
      </c>
    </row>
    <row r="322" spans="1:24">
      <c r="A322" s="54" t="s">
        <v>466</v>
      </c>
      <c r="B322" s="54">
        <v>90450</v>
      </c>
      <c r="C322" s="54" t="s">
        <v>188</v>
      </c>
      <c r="D322" s="54" t="s">
        <v>467</v>
      </c>
      <c r="F322" s="54" t="s">
        <v>147</v>
      </c>
      <c r="G322" s="90">
        <v>0</v>
      </c>
      <c r="H322" s="90">
        <v>2500</v>
      </c>
      <c r="I322" s="90">
        <f t="shared" si="334"/>
        <v>0</v>
      </c>
      <c r="J322" s="177"/>
      <c r="K322" s="90">
        <v>1</v>
      </c>
      <c r="L322" s="90">
        <f t="shared" si="335"/>
        <v>2500</v>
      </c>
      <c r="M322" s="177"/>
      <c r="N322" s="90">
        <v>1</v>
      </c>
      <c r="O322" s="90">
        <f t="shared" si="336"/>
        <v>2500</v>
      </c>
      <c r="P322" s="177"/>
      <c r="Q322" s="90">
        <v>1</v>
      </c>
      <c r="R322" s="90">
        <f t="shared" si="337"/>
        <v>2500</v>
      </c>
      <c r="S322" s="177"/>
      <c r="T322" s="90">
        <v>0</v>
      </c>
      <c r="U322" s="90">
        <f t="shared" si="338"/>
        <v>0</v>
      </c>
      <c r="V322" s="90">
        <f>SUM(R322,O322,L322,I322,U322)</f>
        <v>7500</v>
      </c>
      <c r="W322" s="90" t="s">
        <v>217</v>
      </c>
      <c r="X322" s="90">
        <f t="shared" si="340"/>
        <v>7500</v>
      </c>
    </row>
    <row r="323" spans="1:24">
      <c r="A323" s="54" t="s">
        <v>468</v>
      </c>
      <c r="B323" s="54">
        <v>87000</v>
      </c>
      <c r="C323" s="54" t="s">
        <v>188</v>
      </c>
      <c r="D323" s="54" t="s">
        <v>469</v>
      </c>
      <c r="F323" s="54" t="s">
        <v>470</v>
      </c>
      <c r="G323" s="90">
        <v>0</v>
      </c>
      <c r="H323" s="90">
        <v>25000</v>
      </c>
      <c r="I323" s="90">
        <f>G323*H323</f>
        <v>0</v>
      </c>
      <c r="J323" s="177"/>
      <c r="K323" s="90">
        <v>1</v>
      </c>
      <c r="L323" s="90">
        <f>H323*K323</f>
        <v>25000</v>
      </c>
      <c r="M323" s="177"/>
      <c r="N323" s="229">
        <v>0.5</v>
      </c>
      <c r="O323" s="90">
        <f>H323*N323</f>
        <v>12500</v>
      </c>
      <c r="P323" s="177"/>
      <c r="Q323" s="90">
        <v>0</v>
      </c>
      <c r="R323" s="90">
        <f>H323*Q323</f>
        <v>0</v>
      </c>
      <c r="S323" s="177"/>
      <c r="T323" s="90">
        <v>0</v>
      </c>
      <c r="U323" s="90">
        <f>H323*T323</f>
        <v>0</v>
      </c>
      <c r="V323" s="90">
        <f>SUM(R323,O323,L323,I323,U323)</f>
        <v>37500</v>
      </c>
      <c r="W323" s="90" t="s">
        <v>217</v>
      </c>
      <c r="X323" s="90">
        <f>SUM(V323:W323)</f>
        <v>37500</v>
      </c>
    </row>
    <row r="324" spans="1:24">
      <c r="A324" s="87"/>
      <c r="B324" s="87"/>
      <c r="C324" s="87"/>
      <c r="D324" s="87" t="s">
        <v>471</v>
      </c>
      <c r="E324" s="181"/>
      <c r="F324" s="92"/>
      <c r="G324" s="93"/>
      <c r="H324" s="94"/>
      <c r="I324" s="94">
        <f>SUM(I312:I323)</f>
        <v>50000</v>
      </c>
      <c r="J324" s="184"/>
      <c r="K324" s="94"/>
      <c r="L324" s="94">
        <f>SUM(L312:L323)</f>
        <v>210500</v>
      </c>
      <c r="M324" s="184"/>
      <c r="N324" s="94"/>
      <c r="O324" s="94">
        <f>SUM(O312:O323)</f>
        <v>103000</v>
      </c>
      <c r="P324" s="184"/>
      <c r="Q324" s="94"/>
      <c r="R324" s="94">
        <f>SUM(R312:R323)</f>
        <v>62500</v>
      </c>
      <c r="S324" s="184"/>
      <c r="T324" s="94"/>
      <c r="U324" s="94">
        <f>SUM(U312:U323)</f>
        <v>0</v>
      </c>
      <c r="V324" s="94">
        <f>SUM(V312:V323)</f>
        <v>426000</v>
      </c>
      <c r="W324" s="94">
        <f>SUM(W312:W323)</f>
        <v>0</v>
      </c>
      <c r="X324" s="94">
        <f>SUM(X312:X323)</f>
        <v>426000</v>
      </c>
    </row>
    <row r="325" spans="1:24">
      <c r="A325" s="91"/>
      <c r="B325" s="91"/>
      <c r="C325" s="91"/>
      <c r="D325" s="91"/>
      <c r="E325" s="174"/>
      <c r="F325" s="95"/>
      <c r="G325" s="90"/>
      <c r="H325" s="90"/>
      <c r="I325" s="90"/>
      <c r="J325" s="174"/>
      <c r="K325" s="90"/>
      <c r="L325" s="90"/>
      <c r="M325" s="174"/>
      <c r="N325" s="90"/>
      <c r="O325" s="90"/>
      <c r="P325" s="174"/>
      <c r="Q325" s="90"/>
      <c r="R325" s="90"/>
      <c r="S325" s="174"/>
      <c r="T325" s="90"/>
      <c r="U325" s="90"/>
      <c r="V325" s="90"/>
      <c r="W325" s="90"/>
      <c r="X325" s="99"/>
    </row>
    <row r="326" spans="1:24" ht="12.9" thickBot="1">
      <c r="A326" s="100"/>
      <c r="B326" s="100"/>
      <c r="C326" s="100"/>
      <c r="D326" s="100" t="s">
        <v>472</v>
      </c>
      <c r="E326" s="175"/>
      <c r="F326" s="100"/>
      <c r="G326" s="116"/>
      <c r="H326" s="116"/>
      <c r="I326" s="111">
        <f>SUM(I324+I296+I308+I289+I282+I301)</f>
        <v>239634.83333333334</v>
      </c>
      <c r="J326" s="175"/>
      <c r="K326" s="111"/>
      <c r="L326" s="111">
        <f>SUM(L324+L296+L308+L289+L282+L301)</f>
        <v>612004.61880000005</v>
      </c>
      <c r="M326" s="175"/>
      <c r="N326" s="111"/>
      <c r="O326" s="111">
        <f>SUM(O324+O296+O308+O289+O282+O301)</f>
        <v>483709.67715199996</v>
      </c>
      <c r="P326" s="175"/>
      <c r="Q326" s="111"/>
      <c r="R326" s="111">
        <f>SUM(R324+R296+R308+R289+R282+R301)</f>
        <v>417643.09735168004</v>
      </c>
      <c r="S326" s="175"/>
      <c r="T326" s="111"/>
      <c r="U326" s="111">
        <f>SUM(U324+U296+U308+U289+U282+U301)</f>
        <v>242180.21578564271</v>
      </c>
      <c r="V326" s="111">
        <f>SUM(V324+V296+V308+V289+V282+V301)</f>
        <v>1995172.4424226563</v>
      </c>
      <c r="W326" s="111">
        <f>SUM(W324+W296+W308+W289+W282+W301)</f>
        <v>0</v>
      </c>
      <c r="X326" s="111">
        <f>SUM(X324+X296+X308+X289+X282+X301)</f>
        <v>1995172.4424226563</v>
      </c>
    </row>
    <row r="327" spans="1:24">
      <c r="A327" s="129"/>
      <c r="B327" s="129"/>
      <c r="C327" s="129"/>
      <c r="D327" s="129"/>
      <c r="E327" s="172"/>
      <c r="F327" s="129"/>
      <c r="G327" s="109"/>
      <c r="H327" s="109"/>
      <c r="I327" s="109"/>
      <c r="J327" s="172"/>
      <c r="K327" s="109"/>
      <c r="L327" s="109"/>
      <c r="M327" s="172"/>
      <c r="N327" s="109"/>
      <c r="O327" s="109"/>
      <c r="P327" s="172"/>
      <c r="Q327" s="109"/>
      <c r="R327" s="109"/>
      <c r="S327" s="172"/>
      <c r="T327" s="109"/>
      <c r="U327" s="109"/>
      <c r="V327" s="109"/>
      <c r="W327" s="109"/>
      <c r="X327" s="109"/>
    </row>
    <row r="328" spans="1:24">
      <c r="A328" s="147"/>
      <c r="B328" s="147"/>
      <c r="C328" s="147"/>
      <c r="D328" s="147" t="str">
        <f>'USDA Budget Summary'!A31</f>
        <v>Activity 4: Build Capacity for Post-harvest</v>
      </c>
      <c r="E328" s="179"/>
      <c r="F328" s="84"/>
      <c r="G328" s="84"/>
      <c r="H328" s="85"/>
      <c r="I328" s="148"/>
      <c r="J328" s="179"/>
      <c r="K328" s="148"/>
      <c r="L328" s="148"/>
      <c r="M328" s="179"/>
      <c r="N328" s="148"/>
      <c r="O328" s="148"/>
      <c r="P328" s="179"/>
      <c r="Q328" s="148"/>
      <c r="R328" s="148"/>
      <c r="S328" s="179"/>
      <c r="T328" s="148"/>
      <c r="U328" s="148"/>
      <c r="V328" s="148"/>
      <c r="W328" s="149"/>
      <c r="X328" s="148"/>
    </row>
    <row r="329" spans="1:24">
      <c r="A329" s="150"/>
      <c r="B329" s="150"/>
      <c r="C329" s="150"/>
      <c r="D329" s="150" t="s">
        <v>349</v>
      </c>
      <c r="E329" s="180"/>
      <c r="F329" s="151"/>
      <c r="G329" s="152"/>
      <c r="H329" s="152"/>
      <c r="I329" s="152"/>
      <c r="J329" s="180"/>
      <c r="K329" s="152"/>
      <c r="L329" s="152"/>
      <c r="M329" s="180"/>
      <c r="N329" s="152"/>
      <c r="O329" s="152"/>
      <c r="P329" s="180"/>
      <c r="Q329" s="152"/>
      <c r="R329" s="152"/>
      <c r="S329" s="180"/>
      <c r="T329" s="152"/>
      <c r="U329" s="152"/>
      <c r="V329" s="152"/>
      <c r="W329" s="152"/>
      <c r="X329" s="152"/>
    </row>
    <row r="330" spans="1:24">
      <c r="A330" s="87"/>
      <c r="B330" s="87"/>
      <c r="C330" s="87"/>
      <c r="D330" s="87" t="s">
        <v>473</v>
      </c>
      <c r="E330" s="181"/>
      <c r="F330" s="92"/>
      <c r="G330" s="93"/>
      <c r="H330" s="93"/>
      <c r="I330" s="93"/>
      <c r="J330" s="181"/>
      <c r="K330" s="93"/>
      <c r="L330" s="93"/>
      <c r="M330" s="181"/>
      <c r="N330" s="93"/>
      <c r="O330" s="93"/>
      <c r="P330" s="181"/>
      <c r="Q330" s="93"/>
      <c r="R330" s="93"/>
      <c r="S330" s="181"/>
      <c r="T330" s="93"/>
      <c r="U330" s="93"/>
      <c r="V330" s="93"/>
      <c r="W330" s="93"/>
      <c r="X330" s="93"/>
    </row>
    <row r="331" spans="1:24">
      <c r="A331" s="54" t="s">
        <v>474</v>
      </c>
      <c r="B331" s="54">
        <v>70000</v>
      </c>
      <c r="C331" s="54" t="s">
        <v>188</v>
      </c>
      <c r="D331" s="54" t="str">
        <f t="shared" ref="D331:D348" si="343">D12</f>
        <v xml:space="preserve">Key Personnel: Ex-pat Chief of Party </v>
      </c>
      <c r="E331" s="168">
        <f>'LOE Breakdown by Year'!H11</f>
        <v>0.2</v>
      </c>
      <c r="F331" s="96" t="s">
        <v>190</v>
      </c>
      <c r="G331" s="90">
        <f t="shared" ref="G331:H348" si="344">G12</f>
        <v>12</v>
      </c>
      <c r="H331" s="90">
        <f t="shared" si="344"/>
        <v>12083.333333333334</v>
      </c>
      <c r="I331" s="90">
        <f>G331*H331*E331</f>
        <v>29000</v>
      </c>
      <c r="J331" s="168">
        <f>'LOE Breakdown by Year'!H38</f>
        <v>0.25</v>
      </c>
      <c r="K331" s="90">
        <f t="shared" ref="K331:K348" si="345">K12</f>
        <v>12</v>
      </c>
      <c r="L331" s="90">
        <f t="shared" ref="L331" si="346">K331*H331*$E$7*$J331</f>
        <v>37700</v>
      </c>
      <c r="M331" s="168">
        <f>'LOE Breakdown by Year'!H65</f>
        <v>0.25</v>
      </c>
      <c r="N331" s="90">
        <f t="shared" ref="N331:N348" si="347">N12</f>
        <v>12</v>
      </c>
      <c r="O331" s="90">
        <f t="shared" ref="O331" si="348">N331*H331*$M331*$E$7*$E$7</f>
        <v>39208</v>
      </c>
      <c r="P331" s="168">
        <f>'LOE Breakdown by Year'!H92</f>
        <v>0.25</v>
      </c>
      <c r="Q331" s="90">
        <f t="shared" ref="Q331:Q348" si="349">Q12</f>
        <v>12</v>
      </c>
      <c r="R331" s="90">
        <f t="shared" ref="R331" si="350">Q331*H331*$P331*$E$7*$E$7*$E$7</f>
        <v>40776.32</v>
      </c>
      <c r="S331" s="168">
        <f>'LOE Breakdown by Year'!H119</f>
        <v>0.25</v>
      </c>
      <c r="T331" s="90">
        <f t="shared" ref="T331:T348" si="351">T12</f>
        <v>12</v>
      </c>
      <c r="U331" s="90">
        <f t="shared" ref="U331" si="352">T331*H331*$S331*$E$7*$E$7*$E$7*$E$7</f>
        <v>42407.372800000005</v>
      </c>
      <c r="V331" s="90">
        <f t="shared" ref="V331" si="353">SUM(R331,O331,L331,I331,U331)</f>
        <v>189091.69280000002</v>
      </c>
      <c r="W331" s="90">
        <v>0</v>
      </c>
      <c r="X331" s="90">
        <f t="shared" ref="X331" si="354">SUM(V331:W331)</f>
        <v>189091.69280000002</v>
      </c>
    </row>
    <row r="332" spans="1:24">
      <c r="A332" s="54" t="s">
        <v>474</v>
      </c>
      <c r="B332" s="54">
        <v>70000</v>
      </c>
      <c r="C332" s="54" t="s">
        <v>188</v>
      </c>
      <c r="D332" s="54" t="str">
        <f t="shared" si="343"/>
        <v>Deputy Chief of Party</v>
      </c>
      <c r="E332" s="168">
        <f>'LOE Breakdown by Year'!H12</f>
        <v>0.5</v>
      </c>
      <c r="F332" s="96" t="s">
        <v>190</v>
      </c>
      <c r="G332" s="90">
        <f t="shared" si="344"/>
        <v>6</v>
      </c>
      <c r="H332" s="90">
        <f t="shared" si="344"/>
        <v>7500</v>
      </c>
      <c r="I332" s="90">
        <f t="shared" ref="I332:I348" si="355">G332*H332*E332</f>
        <v>22500</v>
      </c>
      <c r="J332" s="168">
        <f>'LOE Breakdown by Year'!H39</f>
        <v>0.7</v>
      </c>
      <c r="K332" s="90">
        <f t="shared" si="345"/>
        <v>12</v>
      </c>
      <c r="L332" s="90">
        <f t="shared" ref="L332:L348" si="356">K332*H332*$E$7*$J332</f>
        <v>65519.999999999993</v>
      </c>
      <c r="M332" s="168">
        <f>'LOE Breakdown by Year'!H66</f>
        <v>0.7</v>
      </c>
      <c r="N332" s="90">
        <f t="shared" si="347"/>
        <v>12</v>
      </c>
      <c r="O332" s="90">
        <f t="shared" ref="O332:O348" si="357">N332*H332*$M332*$E$7*$E$7</f>
        <v>68140.799999999988</v>
      </c>
      <c r="P332" s="168">
        <f>'LOE Breakdown by Year'!H93</f>
        <v>0.7</v>
      </c>
      <c r="Q332" s="90">
        <f t="shared" si="349"/>
        <v>12</v>
      </c>
      <c r="R332" s="90">
        <f t="shared" ref="R332:R348" si="358">Q332*H332*$P332*$E$7*$E$7*$E$7</f>
        <v>70866.431999999986</v>
      </c>
      <c r="S332" s="168">
        <f>'LOE Breakdown by Year'!H120</f>
        <v>0.7</v>
      </c>
      <c r="T332" s="90">
        <f t="shared" si="351"/>
        <v>6</v>
      </c>
      <c r="U332" s="90">
        <f t="shared" ref="U332:U348" si="359">T332*H332*$S332*$E$7*$E$7*$E$7*$E$7</f>
        <v>36850.544639999993</v>
      </c>
      <c r="V332" s="90">
        <f t="shared" ref="V332:V348" si="360">SUM(R332,O332,L332,I332,U332)</f>
        <v>263877.77663999994</v>
      </c>
      <c r="W332" s="90">
        <v>0</v>
      </c>
      <c r="X332" s="90">
        <f t="shared" ref="X332:X348" si="361">SUM(V332:W332)</f>
        <v>263877.77663999994</v>
      </c>
    </row>
    <row r="333" spans="1:24">
      <c r="A333" s="54" t="s">
        <v>474</v>
      </c>
      <c r="B333" s="54">
        <v>70000</v>
      </c>
      <c r="C333" s="54" t="s">
        <v>188</v>
      </c>
      <c r="D333" s="54" t="str">
        <f t="shared" si="343"/>
        <v>Technical Lead Component 1</v>
      </c>
      <c r="E333" s="168">
        <f>'LOE Breakdown by Year'!H13</f>
        <v>0</v>
      </c>
      <c r="F333" s="96" t="s">
        <v>190</v>
      </c>
      <c r="G333" s="90">
        <f t="shared" si="344"/>
        <v>6</v>
      </c>
      <c r="H333" s="90">
        <f t="shared" si="344"/>
        <v>3333.3333333333335</v>
      </c>
      <c r="I333" s="90">
        <f t="shared" si="355"/>
        <v>0</v>
      </c>
      <c r="J333" s="168">
        <f>'LOE Breakdown by Year'!H40</f>
        <v>0</v>
      </c>
      <c r="K333" s="90">
        <f t="shared" si="345"/>
        <v>12</v>
      </c>
      <c r="L333" s="90">
        <f t="shared" si="356"/>
        <v>0</v>
      </c>
      <c r="M333" s="168">
        <f>'LOE Breakdown by Year'!H67</f>
        <v>0</v>
      </c>
      <c r="N333" s="90">
        <f t="shared" si="347"/>
        <v>12</v>
      </c>
      <c r="O333" s="90">
        <f t="shared" si="357"/>
        <v>0</v>
      </c>
      <c r="P333" s="168">
        <f>'LOE Breakdown by Year'!H94</f>
        <v>0</v>
      </c>
      <c r="Q333" s="90">
        <f t="shared" si="349"/>
        <v>12</v>
      </c>
      <c r="R333" s="90">
        <f t="shared" si="358"/>
        <v>0</v>
      </c>
      <c r="S333" s="168">
        <f>'LOE Breakdown by Year'!H121</f>
        <v>0</v>
      </c>
      <c r="T333" s="90">
        <f t="shared" si="351"/>
        <v>9</v>
      </c>
      <c r="U333" s="90">
        <f t="shared" si="359"/>
        <v>0</v>
      </c>
      <c r="V333" s="90">
        <f t="shared" si="360"/>
        <v>0</v>
      </c>
      <c r="W333" s="90">
        <v>0</v>
      </c>
      <c r="X333" s="90">
        <f t="shared" si="361"/>
        <v>0</v>
      </c>
    </row>
    <row r="334" spans="1:24">
      <c r="A334" s="54" t="s">
        <v>474</v>
      </c>
      <c r="B334" s="54">
        <v>70000</v>
      </c>
      <c r="C334" s="54" t="s">
        <v>188</v>
      </c>
      <c r="D334" s="54" t="str">
        <f t="shared" si="343"/>
        <v>Technical Lead Component 2</v>
      </c>
      <c r="E334" s="168">
        <f>'LOE Breakdown by Year'!H14</f>
        <v>0</v>
      </c>
      <c r="F334" s="96" t="s">
        <v>190</v>
      </c>
      <c r="G334" s="90">
        <f t="shared" si="344"/>
        <v>6</v>
      </c>
      <c r="H334" s="90">
        <f t="shared" si="344"/>
        <v>3333.3333333333335</v>
      </c>
      <c r="I334" s="90">
        <f t="shared" si="355"/>
        <v>0</v>
      </c>
      <c r="J334" s="168">
        <f>'LOE Breakdown by Year'!H41</f>
        <v>0</v>
      </c>
      <c r="K334" s="90">
        <f t="shared" si="345"/>
        <v>12</v>
      </c>
      <c r="L334" s="90">
        <f t="shared" si="356"/>
        <v>0</v>
      </c>
      <c r="M334" s="168">
        <f>'LOE Breakdown by Year'!H68</f>
        <v>0</v>
      </c>
      <c r="N334" s="90">
        <f t="shared" si="347"/>
        <v>12</v>
      </c>
      <c r="O334" s="90">
        <f t="shared" si="357"/>
        <v>0</v>
      </c>
      <c r="P334" s="168">
        <f>'LOE Breakdown by Year'!H95</f>
        <v>0</v>
      </c>
      <c r="Q334" s="90">
        <f t="shared" si="349"/>
        <v>12</v>
      </c>
      <c r="R334" s="90">
        <f t="shared" si="358"/>
        <v>0</v>
      </c>
      <c r="S334" s="168">
        <f>'LOE Breakdown by Year'!H122</f>
        <v>0</v>
      </c>
      <c r="T334" s="90">
        <f t="shared" si="351"/>
        <v>9</v>
      </c>
      <c r="U334" s="90">
        <f t="shared" si="359"/>
        <v>0</v>
      </c>
      <c r="V334" s="90">
        <f t="shared" si="360"/>
        <v>0</v>
      </c>
      <c r="W334" s="90">
        <v>0</v>
      </c>
      <c r="X334" s="90">
        <f t="shared" si="361"/>
        <v>0</v>
      </c>
    </row>
    <row r="335" spans="1:24">
      <c r="A335" s="54" t="s">
        <v>474</v>
      </c>
      <c r="B335" s="54">
        <v>70000</v>
      </c>
      <c r="C335" s="54" t="s">
        <v>188</v>
      </c>
      <c r="D335" s="54" t="str">
        <f t="shared" si="343"/>
        <v>Technical Lead Component 3</v>
      </c>
      <c r="E335" s="168">
        <f>'LOE Breakdown by Year'!H15</f>
        <v>0</v>
      </c>
      <c r="F335" s="96" t="s">
        <v>190</v>
      </c>
      <c r="G335" s="90">
        <f t="shared" si="344"/>
        <v>6</v>
      </c>
      <c r="H335" s="90">
        <f t="shared" si="344"/>
        <v>3333.3333333333335</v>
      </c>
      <c r="I335" s="90">
        <f t="shared" si="355"/>
        <v>0</v>
      </c>
      <c r="J335" s="168">
        <f>'LOE Breakdown by Year'!H42</f>
        <v>0</v>
      </c>
      <c r="K335" s="90">
        <f t="shared" si="345"/>
        <v>12</v>
      </c>
      <c r="L335" s="90">
        <f t="shared" si="356"/>
        <v>0</v>
      </c>
      <c r="M335" s="168">
        <f>'LOE Breakdown by Year'!H69</f>
        <v>0</v>
      </c>
      <c r="N335" s="90">
        <f t="shared" si="347"/>
        <v>12</v>
      </c>
      <c r="O335" s="90">
        <f t="shared" si="357"/>
        <v>0</v>
      </c>
      <c r="P335" s="168">
        <f>'LOE Breakdown by Year'!H96</f>
        <v>0</v>
      </c>
      <c r="Q335" s="90">
        <f t="shared" si="349"/>
        <v>12</v>
      </c>
      <c r="R335" s="90">
        <f t="shared" si="358"/>
        <v>0</v>
      </c>
      <c r="S335" s="168">
        <f>'LOE Breakdown by Year'!H123</f>
        <v>0</v>
      </c>
      <c r="T335" s="90">
        <f t="shared" si="351"/>
        <v>9</v>
      </c>
      <c r="U335" s="90">
        <f t="shared" si="359"/>
        <v>0</v>
      </c>
      <c r="V335" s="90">
        <f t="shared" si="360"/>
        <v>0</v>
      </c>
      <c r="W335" s="90">
        <v>0</v>
      </c>
      <c r="X335" s="90">
        <f t="shared" si="361"/>
        <v>0</v>
      </c>
    </row>
    <row r="336" spans="1:24">
      <c r="A336" s="54" t="s">
        <v>474</v>
      </c>
      <c r="B336" s="54">
        <v>70000</v>
      </c>
      <c r="C336" s="54" t="s">
        <v>188</v>
      </c>
      <c r="D336" s="54" t="str">
        <f t="shared" si="343"/>
        <v>Specialist Component 2</v>
      </c>
      <c r="E336" s="168">
        <f>'LOE Breakdown by Year'!H16</f>
        <v>0</v>
      </c>
      <c r="F336" s="96" t="s">
        <v>190</v>
      </c>
      <c r="G336" s="90">
        <f t="shared" si="344"/>
        <v>6</v>
      </c>
      <c r="H336" s="90">
        <f t="shared" si="344"/>
        <v>1666.6666666666667</v>
      </c>
      <c r="I336" s="90">
        <f t="shared" ref="I336:I339" si="362">G336*H336*E336</f>
        <v>0</v>
      </c>
      <c r="J336" s="168">
        <f>'LOE Breakdown by Year'!H43</f>
        <v>0</v>
      </c>
      <c r="K336" s="90">
        <f t="shared" si="345"/>
        <v>12</v>
      </c>
      <c r="L336" s="90">
        <f t="shared" ref="L336:L339" si="363">K336*H336*$E$7*$J336</f>
        <v>0</v>
      </c>
      <c r="M336" s="168">
        <f>'LOE Breakdown by Year'!H70</f>
        <v>0</v>
      </c>
      <c r="N336" s="90">
        <f t="shared" si="347"/>
        <v>12</v>
      </c>
      <c r="O336" s="90">
        <f t="shared" ref="O336:O339" si="364">N336*H336*$M336*$E$7*$E$7</f>
        <v>0</v>
      </c>
      <c r="P336" s="168">
        <f>'LOE Breakdown by Year'!H97</f>
        <v>0</v>
      </c>
      <c r="Q336" s="90">
        <f t="shared" si="349"/>
        <v>12</v>
      </c>
      <c r="R336" s="90">
        <f t="shared" ref="R336:R339" si="365">Q336*H336*$P336*$E$7*$E$7*$E$7</f>
        <v>0</v>
      </c>
      <c r="S336" s="168">
        <f>'LOE Breakdown by Year'!H124</f>
        <v>0</v>
      </c>
      <c r="T336" s="90">
        <f t="shared" si="351"/>
        <v>6</v>
      </c>
      <c r="U336" s="90">
        <f t="shared" ref="U336:U339" si="366">T336*H336*$S336*$E$7*$E$7*$E$7*$E$7</f>
        <v>0</v>
      </c>
      <c r="V336" s="90">
        <f t="shared" ref="V336:V339" si="367">SUM(R336,O336,L336,I336,U336)</f>
        <v>0</v>
      </c>
      <c r="W336" s="90">
        <v>0</v>
      </c>
      <c r="X336" s="90">
        <f t="shared" ref="X336:X339" si="368">SUM(V336:W336)</f>
        <v>0</v>
      </c>
    </row>
    <row r="337" spans="1:24">
      <c r="A337" s="54" t="s">
        <v>474</v>
      </c>
      <c r="B337" s="54">
        <v>70000</v>
      </c>
      <c r="C337" s="54" t="s">
        <v>188</v>
      </c>
      <c r="D337" s="54" t="str">
        <f t="shared" si="343"/>
        <v>Specialist Component 3</v>
      </c>
      <c r="E337" s="168">
        <f>'LOE Breakdown by Year'!H17</f>
        <v>0</v>
      </c>
      <c r="F337" s="96" t="s">
        <v>190</v>
      </c>
      <c r="G337" s="90">
        <f t="shared" si="344"/>
        <v>6</v>
      </c>
      <c r="H337" s="90">
        <f t="shared" si="344"/>
        <v>1666.6666666666667</v>
      </c>
      <c r="I337" s="90">
        <f t="shared" si="362"/>
        <v>0</v>
      </c>
      <c r="J337" s="168">
        <f>'LOE Breakdown by Year'!H44</f>
        <v>0</v>
      </c>
      <c r="K337" s="90">
        <f t="shared" si="345"/>
        <v>12</v>
      </c>
      <c r="L337" s="90">
        <f t="shared" si="363"/>
        <v>0</v>
      </c>
      <c r="M337" s="168">
        <f>'LOE Breakdown by Year'!H71</f>
        <v>0</v>
      </c>
      <c r="N337" s="90">
        <f t="shared" si="347"/>
        <v>12</v>
      </c>
      <c r="O337" s="90">
        <f t="shared" si="364"/>
        <v>0</v>
      </c>
      <c r="P337" s="168">
        <f>'LOE Breakdown by Year'!H98</f>
        <v>0</v>
      </c>
      <c r="Q337" s="90">
        <f t="shared" si="349"/>
        <v>12</v>
      </c>
      <c r="R337" s="90">
        <f t="shared" si="365"/>
        <v>0</v>
      </c>
      <c r="S337" s="168">
        <f>'LOE Breakdown by Year'!H125</f>
        <v>0</v>
      </c>
      <c r="T337" s="90">
        <f t="shared" si="351"/>
        <v>6</v>
      </c>
      <c r="U337" s="90">
        <f t="shared" si="366"/>
        <v>0</v>
      </c>
      <c r="V337" s="90">
        <f t="shared" si="367"/>
        <v>0</v>
      </c>
      <c r="W337" s="90">
        <v>0</v>
      </c>
      <c r="X337" s="90">
        <f t="shared" si="368"/>
        <v>0</v>
      </c>
    </row>
    <row r="338" spans="1:24">
      <c r="A338" s="54" t="s">
        <v>474</v>
      </c>
      <c r="B338" s="54">
        <v>70000</v>
      </c>
      <c r="C338" s="54" t="s">
        <v>188</v>
      </c>
      <c r="D338" s="54" t="str">
        <f t="shared" si="343"/>
        <v>Specialist Component 4</v>
      </c>
      <c r="E338" s="168">
        <f>'LOE Breakdown by Year'!H18</f>
        <v>0.8</v>
      </c>
      <c r="F338" s="96" t="s">
        <v>190</v>
      </c>
      <c r="G338" s="90">
        <f t="shared" si="344"/>
        <v>6</v>
      </c>
      <c r="H338" s="90">
        <f t="shared" si="344"/>
        <v>1666.6666666666667</v>
      </c>
      <c r="I338" s="90">
        <f t="shared" si="362"/>
        <v>8000</v>
      </c>
      <c r="J338" s="168">
        <f>'LOE Breakdown by Year'!H45</f>
        <v>1</v>
      </c>
      <c r="K338" s="90">
        <f t="shared" si="345"/>
        <v>12</v>
      </c>
      <c r="L338" s="90">
        <f t="shared" si="363"/>
        <v>20800</v>
      </c>
      <c r="M338" s="168">
        <f>'LOE Breakdown by Year'!H72</f>
        <v>1</v>
      </c>
      <c r="N338" s="90">
        <f t="shared" si="347"/>
        <v>12</v>
      </c>
      <c r="O338" s="90">
        <f t="shared" si="364"/>
        <v>21632</v>
      </c>
      <c r="P338" s="168">
        <f>'LOE Breakdown by Year'!H99</f>
        <v>1</v>
      </c>
      <c r="Q338" s="90">
        <f t="shared" si="349"/>
        <v>12</v>
      </c>
      <c r="R338" s="90">
        <f t="shared" si="365"/>
        <v>22497.280000000002</v>
      </c>
      <c r="S338" s="168">
        <f>'LOE Breakdown by Year'!H126</f>
        <v>1</v>
      </c>
      <c r="T338" s="90">
        <f t="shared" si="351"/>
        <v>6</v>
      </c>
      <c r="U338" s="90">
        <f t="shared" si="366"/>
        <v>11698.585600000002</v>
      </c>
      <c r="V338" s="90">
        <f t="shared" si="367"/>
        <v>84627.865600000005</v>
      </c>
      <c r="W338" s="90">
        <v>0</v>
      </c>
      <c r="X338" s="90">
        <f t="shared" si="368"/>
        <v>84627.865600000005</v>
      </c>
    </row>
    <row r="339" spans="1:24">
      <c r="A339" s="54" t="s">
        <v>474</v>
      </c>
      <c r="B339" s="54">
        <v>70000</v>
      </c>
      <c r="C339" s="54" t="s">
        <v>188</v>
      </c>
      <c r="D339" s="54" t="str">
        <f t="shared" si="343"/>
        <v>Extension Agents (20 Individuals)</v>
      </c>
      <c r="E339" s="168">
        <f>'LOE Breakdown by Year'!H19</f>
        <v>0.25</v>
      </c>
      <c r="F339" s="96" t="s">
        <v>190</v>
      </c>
      <c r="G339" s="90">
        <f t="shared" si="344"/>
        <v>3</v>
      </c>
      <c r="H339" s="90">
        <f t="shared" si="344"/>
        <v>23333.333333333336</v>
      </c>
      <c r="I339" s="90">
        <f t="shared" si="362"/>
        <v>17500</v>
      </c>
      <c r="J339" s="168">
        <f>'LOE Breakdown by Year'!H46</f>
        <v>0.05</v>
      </c>
      <c r="K339" s="90">
        <f t="shared" si="345"/>
        <v>12</v>
      </c>
      <c r="L339" s="90">
        <f t="shared" si="363"/>
        <v>14560</v>
      </c>
      <c r="M339" s="168">
        <f>'LOE Breakdown by Year'!H73</f>
        <v>0.05</v>
      </c>
      <c r="N339" s="90">
        <f t="shared" si="347"/>
        <v>6</v>
      </c>
      <c r="O339" s="90">
        <f t="shared" si="364"/>
        <v>7571.2</v>
      </c>
      <c r="P339" s="168">
        <f>'LOE Breakdown by Year'!H100</f>
        <v>0</v>
      </c>
      <c r="Q339" s="90">
        <f t="shared" si="349"/>
        <v>0</v>
      </c>
      <c r="R339" s="90">
        <f t="shared" si="365"/>
        <v>0</v>
      </c>
      <c r="S339" s="168">
        <f>'LOE Breakdown by Year'!H127</f>
        <v>0</v>
      </c>
      <c r="T339" s="90">
        <f t="shared" si="351"/>
        <v>0</v>
      </c>
      <c r="U339" s="90">
        <f t="shared" si="366"/>
        <v>0</v>
      </c>
      <c r="V339" s="90">
        <f t="shared" si="367"/>
        <v>39631.199999999997</v>
      </c>
      <c r="W339" s="90">
        <v>0</v>
      </c>
      <c r="X339" s="90">
        <f t="shared" si="368"/>
        <v>39631.199999999997</v>
      </c>
    </row>
    <row r="340" spans="1:24">
      <c r="A340" s="54" t="s">
        <v>474</v>
      </c>
      <c r="B340" s="54">
        <v>70000</v>
      </c>
      <c r="C340" s="54" t="s">
        <v>188</v>
      </c>
      <c r="D340" s="54" t="str">
        <f t="shared" si="343"/>
        <v xml:space="preserve">M&amp;E Director </v>
      </c>
      <c r="E340" s="168">
        <f>'LOE Breakdown by Year'!H20</f>
        <v>0.15</v>
      </c>
      <c r="F340" s="96" t="s">
        <v>190</v>
      </c>
      <c r="G340" s="90">
        <f t="shared" si="344"/>
        <v>9</v>
      </c>
      <c r="H340" s="90">
        <f>H21</f>
        <v>3750</v>
      </c>
      <c r="I340" s="90">
        <f>G340*H340*E340</f>
        <v>5062.5</v>
      </c>
      <c r="J340" s="168">
        <f>'LOE Breakdown by Year'!H47</f>
        <v>0.25</v>
      </c>
      <c r="K340" s="90">
        <f t="shared" si="345"/>
        <v>12</v>
      </c>
      <c r="L340" s="90">
        <f t="shared" si="356"/>
        <v>11700</v>
      </c>
      <c r="M340" s="168">
        <f>'LOE Breakdown by Year'!H74</f>
        <v>0.25</v>
      </c>
      <c r="N340" s="90">
        <f t="shared" si="347"/>
        <v>12</v>
      </c>
      <c r="O340" s="90">
        <f t="shared" si="357"/>
        <v>12168</v>
      </c>
      <c r="P340" s="168">
        <f>'LOE Breakdown by Year'!H101</f>
        <v>0.25</v>
      </c>
      <c r="Q340" s="90">
        <f t="shared" si="349"/>
        <v>12</v>
      </c>
      <c r="R340" s="90">
        <f t="shared" si="358"/>
        <v>12654.720000000001</v>
      </c>
      <c r="S340" s="168">
        <f>'LOE Breakdown by Year'!H128</f>
        <v>0.25</v>
      </c>
      <c r="T340" s="90">
        <f t="shared" si="351"/>
        <v>12</v>
      </c>
      <c r="U340" s="90">
        <f t="shared" si="359"/>
        <v>13160.908800000001</v>
      </c>
      <c r="V340" s="90">
        <f t="shared" si="360"/>
        <v>54746.128800000006</v>
      </c>
      <c r="W340" s="90">
        <v>0</v>
      </c>
      <c r="X340" s="90">
        <f t="shared" si="361"/>
        <v>54746.128800000006</v>
      </c>
    </row>
    <row r="341" spans="1:24">
      <c r="A341" s="54" t="s">
        <v>474</v>
      </c>
      <c r="B341" s="54">
        <v>70000</v>
      </c>
      <c r="C341" s="54" t="s">
        <v>188</v>
      </c>
      <c r="D341" s="54" t="str">
        <f t="shared" si="343"/>
        <v>M&amp;E Specialist</v>
      </c>
      <c r="E341" s="168">
        <f>'LOE Breakdown by Year'!H21</f>
        <v>0.25</v>
      </c>
      <c r="F341" s="96" t="s">
        <v>190</v>
      </c>
      <c r="G341" s="90">
        <f t="shared" si="344"/>
        <v>6</v>
      </c>
      <c r="H341" s="90">
        <f t="shared" si="344"/>
        <v>2083.3333333333335</v>
      </c>
      <c r="I341" s="90">
        <f t="shared" si="355"/>
        <v>3125</v>
      </c>
      <c r="J341" s="168">
        <f>'LOE Breakdown by Year'!H48</f>
        <v>0.25</v>
      </c>
      <c r="K341" s="90">
        <f t="shared" si="345"/>
        <v>12</v>
      </c>
      <c r="L341" s="90">
        <f t="shared" si="356"/>
        <v>6500</v>
      </c>
      <c r="M341" s="168">
        <f>'LOE Breakdown by Year'!H75</f>
        <v>0.25</v>
      </c>
      <c r="N341" s="90">
        <f t="shared" si="347"/>
        <v>12</v>
      </c>
      <c r="O341" s="90">
        <f t="shared" si="357"/>
        <v>6760</v>
      </c>
      <c r="P341" s="168">
        <f>'LOE Breakdown by Year'!H102</f>
        <v>0.25</v>
      </c>
      <c r="Q341" s="90">
        <f t="shared" si="349"/>
        <v>12</v>
      </c>
      <c r="R341" s="90">
        <f t="shared" si="358"/>
        <v>7030.4000000000005</v>
      </c>
      <c r="S341" s="168">
        <f>'LOE Breakdown by Year'!H129</f>
        <v>0.25</v>
      </c>
      <c r="T341" s="90">
        <f t="shared" si="351"/>
        <v>10</v>
      </c>
      <c r="U341" s="90">
        <f t="shared" si="359"/>
        <v>6093.013333333336</v>
      </c>
      <c r="V341" s="90">
        <f t="shared" si="360"/>
        <v>29508.413333333338</v>
      </c>
      <c r="W341" s="90">
        <v>0</v>
      </c>
      <c r="X341" s="90">
        <f t="shared" si="361"/>
        <v>29508.413333333338</v>
      </c>
    </row>
    <row r="342" spans="1:24">
      <c r="A342" s="54" t="s">
        <v>474</v>
      </c>
      <c r="B342" s="54">
        <v>70000</v>
      </c>
      <c r="C342" s="54" t="s">
        <v>188</v>
      </c>
      <c r="D342" s="54" t="str">
        <f t="shared" si="343"/>
        <v xml:space="preserve">F&amp;A Director </v>
      </c>
      <c r="E342" s="168">
        <f>'LOE Breakdown by Year'!H22</f>
        <v>0.2</v>
      </c>
      <c r="F342" s="96" t="s">
        <v>190</v>
      </c>
      <c r="G342" s="90">
        <f t="shared" si="344"/>
        <v>9</v>
      </c>
      <c r="H342" s="90">
        <f t="shared" si="344"/>
        <v>6666.666666666667</v>
      </c>
      <c r="I342" s="90">
        <f>G342*H342*E342</f>
        <v>12000</v>
      </c>
      <c r="J342" s="168">
        <f>'LOE Breakdown by Year'!H49</f>
        <v>0.25</v>
      </c>
      <c r="K342" s="90">
        <f t="shared" si="345"/>
        <v>12</v>
      </c>
      <c r="L342" s="90">
        <f t="shared" si="356"/>
        <v>20800</v>
      </c>
      <c r="M342" s="168">
        <f>'LOE Breakdown by Year'!H76</f>
        <v>0.25</v>
      </c>
      <c r="N342" s="90">
        <f t="shared" si="347"/>
        <v>12</v>
      </c>
      <c r="O342" s="90">
        <f t="shared" si="357"/>
        <v>21632</v>
      </c>
      <c r="P342" s="168">
        <f>'LOE Breakdown by Year'!H103</f>
        <v>0.25</v>
      </c>
      <c r="Q342" s="90">
        <f t="shared" si="349"/>
        <v>12</v>
      </c>
      <c r="R342" s="90">
        <f t="shared" si="358"/>
        <v>22497.280000000002</v>
      </c>
      <c r="S342" s="168">
        <f>'LOE Breakdown by Year'!H130</f>
        <v>0.25</v>
      </c>
      <c r="T342" s="90">
        <f t="shared" si="351"/>
        <v>12</v>
      </c>
      <c r="U342" s="90">
        <f t="shared" si="359"/>
        <v>23397.171200000004</v>
      </c>
      <c r="V342" s="90">
        <f t="shared" si="360"/>
        <v>100326.45120000001</v>
      </c>
      <c r="W342" s="90">
        <v>0</v>
      </c>
      <c r="X342" s="90">
        <f t="shared" si="361"/>
        <v>100326.45120000001</v>
      </c>
    </row>
    <row r="343" spans="1:24">
      <c r="A343" s="54" t="s">
        <v>474</v>
      </c>
      <c r="B343" s="54">
        <v>70000</v>
      </c>
      <c r="C343" s="54" t="s">
        <v>188</v>
      </c>
      <c r="D343" s="54" t="str">
        <f t="shared" si="343"/>
        <v>Human Resource Manager</v>
      </c>
      <c r="E343" s="168">
        <f>'LOE Breakdown by Year'!H23</f>
        <v>0.1</v>
      </c>
      <c r="F343" s="96" t="s">
        <v>190</v>
      </c>
      <c r="G343" s="90">
        <f t="shared" si="344"/>
        <v>9</v>
      </c>
      <c r="H343" s="90">
        <f t="shared" si="344"/>
        <v>2916.6666666666665</v>
      </c>
      <c r="I343" s="90">
        <f t="shared" ref="I343" si="369">G343*H343*E343</f>
        <v>2625</v>
      </c>
      <c r="J343" s="168">
        <f>'LOE Breakdown by Year'!H50</f>
        <v>0.2</v>
      </c>
      <c r="K343" s="90">
        <f t="shared" si="345"/>
        <v>12</v>
      </c>
      <c r="L343" s="90">
        <f t="shared" ref="L343" si="370">K343*H343*$E$7*$J343</f>
        <v>7280</v>
      </c>
      <c r="M343" s="168">
        <f>'LOE Breakdown by Year'!H77</f>
        <v>0.2</v>
      </c>
      <c r="N343" s="90">
        <f t="shared" si="347"/>
        <v>12</v>
      </c>
      <c r="O343" s="90">
        <f t="shared" ref="O343" si="371">N343*H343*$M343*$E$7*$E$7</f>
        <v>7571.2</v>
      </c>
      <c r="P343" s="168">
        <f>'LOE Breakdown by Year'!H104</f>
        <v>0.2</v>
      </c>
      <c r="Q343" s="90">
        <f t="shared" si="349"/>
        <v>12</v>
      </c>
      <c r="R343" s="90">
        <f t="shared" ref="R343" si="372">Q343*H343*$P343*$E$7*$E$7*$E$7</f>
        <v>7874.0479999999998</v>
      </c>
      <c r="S343" s="168">
        <f>'LOE Breakdown by Year'!H131</f>
        <v>0.2</v>
      </c>
      <c r="T343" s="90">
        <f t="shared" si="351"/>
        <v>10</v>
      </c>
      <c r="U343" s="90">
        <f t="shared" ref="U343" si="373">T343*H343*$S343*$E$7*$E$7*$E$7*$E$7</f>
        <v>6824.1749333333346</v>
      </c>
      <c r="V343" s="90">
        <f t="shared" ref="V343" si="374">SUM(R343,O343,L343,I343,U343)</f>
        <v>32174.422933333335</v>
      </c>
      <c r="W343" s="90">
        <v>0</v>
      </c>
      <c r="X343" s="90">
        <f t="shared" ref="X343" si="375">SUM(V343:W343)</f>
        <v>32174.422933333335</v>
      </c>
    </row>
    <row r="344" spans="1:24">
      <c r="A344" s="54" t="s">
        <v>474</v>
      </c>
      <c r="B344" s="54">
        <v>70000</v>
      </c>
      <c r="C344" s="54" t="s">
        <v>188</v>
      </c>
      <c r="D344" s="54" t="str">
        <f t="shared" si="343"/>
        <v>Contracts &amp; Compliance Specialist</v>
      </c>
      <c r="E344" s="168">
        <f>'LOE Breakdown by Year'!H24</f>
        <v>0.2</v>
      </c>
      <c r="F344" s="96" t="s">
        <v>190</v>
      </c>
      <c r="G344" s="90">
        <f t="shared" si="344"/>
        <v>6</v>
      </c>
      <c r="H344" s="90">
        <f t="shared" si="344"/>
        <v>2916.6666666666665</v>
      </c>
      <c r="I344" s="90">
        <f t="shared" si="355"/>
        <v>3500</v>
      </c>
      <c r="J344" s="168">
        <f>'LOE Breakdown by Year'!H51</f>
        <v>0.25</v>
      </c>
      <c r="K344" s="90">
        <f t="shared" si="345"/>
        <v>12</v>
      </c>
      <c r="L344" s="90">
        <f t="shared" si="356"/>
        <v>9100</v>
      </c>
      <c r="M344" s="168">
        <f>'LOE Breakdown by Year'!H78</f>
        <v>0.25</v>
      </c>
      <c r="N344" s="90">
        <f t="shared" si="347"/>
        <v>12</v>
      </c>
      <c r="O344" s="90">
        <f t="shared" si="357"/>
        <v>9464</v>
      </c>
      <c r="P344" s="168">
        <f>'LOE Breakdown by Year'!H105</f>
        <v>0.25</v>
      </c>
      <c r="Q344" s="90">
        <f t="shared" si="349"/>
        <v>12</v>
      </c>
      <c r="R344" s="90">
        <f t="shared" si="358"/>
        <v>9842.56</v>
      </c>
      <c r="S344" s="168">
        <f>'LOE Breakdown by Year'!H132</f>
        <v>0.25</v>
      </c>
      <c r="T344" s="90">
        <f t="shared" si="351"/>
        <v>9</v>
      </c>
      <c r="U344" s="90">
        <f t="shared" si="359"/>
        <v>7677.1968000000006</v>
      </c>
      <c r="V344" s="90">
        <f t="shared" si="360"/>
        <v>39583.756799999996</v>
      </c>
      <c r="W344" s="90">
        <v>0</v>
      </c>
      <c r="X344" s="90">
        <f t="shared" si="361"/>
        <v>39583.756799999996</v>
      </c>
    </row>
    <row r="345" spans="1:24">
      <c r="A345" s="54" t="s">
        <v>474</v>
      </c>
      <c r="B345" s="54">
        <v>70000</v>
      </c>
      <c r="C345" s="54" t="s">
        <v>188</v>
      </c>
      <c r="D345" s="54" t="str">
        <f t="shared" si="343"/>
        <v xml:space="preserve">Accountant </v>
      </c>
      <c r="E345" s="168">
        <f>'LOE Breakdown by Year'!H25</f>
        <v>0.2</v>
      </c>
      <c r="F345" s="96" t="s">
        <v>190</v>
      </c>
      <c r="G345" s="90">
        <f t="shared" si="344"/>
        <v>7</v>
      </c>
      <c r="H345" s="90">
        <f t="shared" si="344"/>
        <v>1666.6666666666667</v>
      </c>
      <c r="I345" s="90">
        <f t="shared" si="355"/>
        <v>2333.3333333333335</v>
      </c>
      <c r="J345" s="168">
        <f>'LOE Breakdown by Year'!H52</f>
        <v>0.2</v>
      </c>
      <c r="K345" s="90">
        <f t="shared" si="345"/>
        <v>12</v>
      </c>
      <c r="L345" s="90">
        <f t="shared" si="356"/>
        <v>4160</v>
      </c>
      <c r="M345" s="168">
        <f>'LOE Breakdown by Year'!H79</f>
        <v>0.2</v>
      </c>
      <c r="N345" s="90">
        <f t="shared" si="347"/>
        <v>12</v>
      </c>
      <c r="O345" s="90">
        <f t="shared" si="357"/>
        <v>4326.4000000000005</v>
      </c>
      <c r="P345" s="168">
        <f>'LOE Breakdown by Year'!H106</f>
        <v>0.2</v>
      </c>
      <c r="Q345" s="90">
        <f t="shared" si="349"/>
        <v>12</v>
      </c>
      <c r="R345" s="90">
        <f t="shared" si="358"/>
        <v>4499.456000000001</v>
      </c>
      <c r="S345" s="168">
        <f>'LOE Breakdown by Year'!H133</f>
        <v>0.2</v>
      </c>
      <c r="T345" s="90">
        <f t="shared" si="351"/>
        <v>10</v>
      </c>
      <c r="U345" s="90">
        <f t="shared" si="359"/>
        <v>3899.528533333335</v>
      </c>
      <c r="V345" s="90">
        <f t="shared" si="360"/>
        <v>19218.71786666667</v>
      </c>
      <c r="W345" s="90">
        <v>0</v>
      </c>
      <c r="X345" s="90">
        <f t="shared" si="361"/>
        <v>19218.71786666667</v>
      </c>
    </row>
    <row r="346" spans="1:24">
      <c r="A346" s="54" t="s">
        <v>474</v>
      </c>
      <c r="B346" s="54">
        <v>70000</v>
      </c>
      <c r="C346" s="54" t="s">
        <v>188</v>
      </c>
      <c r="D346" s="54" t="str">
        <f>D27</f>
        <v xml:space="preserve">Administrative Assistant </v>
      </c>
      <c r="E346" s="168">
        <f>'LOE Breakdown by Year'!H26</f>
        <v>0.2</v>
      </c>
      <c r="F346" s="96" t="s">
        <v>190</v>
      </c>
      <c r="G346" s="90">
        <f t="shared" si="344"/>
        <v>7</v>
      </c>
      <c r="H346" s="90">
        <f t="shared" si="344"/>
        <v>833.33333333333337</v>
      </c>
      <c r="I346" s="90">
        <f t="shared" si="355"/>
        <v>1166.6666666666667</v>
      </c>
      <c r="J346" s="168">
        <f>'LOE Breakdown by Year'!H53</f>
        <v>0.2</v>
      </c>
      <c r="K346" s="90">
        <f t="shared" si="345"/>
        <v>12</v>
      </c>
      <c r="L346" s="90">
        <f t="shared" si="356"/>
        <v>2080</v>
      </c>
      <c r="M346" s="168">
        <f>'LOE Breakdown by Year'!H80</f>
        <v>0.2</v>
      </c>
      <c r="N346" s="90">
        <f t="shared" si="347"/>
        <v>12</v>
      </c>
      <c r="O346" s="90">
        <f t="shared" si="357"/>
        <v>2163.2000000000003</v>
      </c>
      <c r="P346" s="168">
        <f>'LOE Breakdown by Year'!H107</f>
        <v>0.2</v>
      </c>
      <c r="Q346" s="90">
        <f t="shared" si="349"/>
        <v>12</v>
      </c>
      <c r="R346" s="90">
        <f t="shared" si="358"/>
        <v>2249.7280000000005</v>
      </c>
      <c r="S346" s="168">
        <f>'LOE Breakdown by Year'!H134</f>
        <v>0.2</v>
      </c>
      <c r="T346" s="90">
        <f t="shared" si="351"/>
        <v>10</v>
      </c>
      <c r="U346" s="90">
        <f t="shared" si="359"/>
        <v>1949.7642666666675</v>
      </c>
      <c r="V346" s="90">
        <f t="shared" si="360"/>
        <v>9609.3589333333348</v>
      </c>
      <c r="W346" s="90">
        <v>0</v>
      </c>
      <c r="X346" s="90">
        <f t="shared" si="361"/>
        <v>9609.3589333333348</v>
      </c>
    </row>
    <row r="347" spans="1:24">
      <c r="A347" s="54" t="s">
        <v>474</v>
      </c>
      <c r="B347" s="54">
        <v>70000</v>
      </c>
      <c r="C347" s="54" t="s">
        <v>188</v>
      </c>
      <c r="D347" s="54" t="str">
        <f t="shared" si="343"/>
        <v>Security Guards</v>
      </c>
      <c r="E347" s="168">
        <f>'LOE Breakdown by Year'!H27</f>
        <v>0.2</v>
      </c>
      <c r="F347" s="96" t="s">
        <v>190</v>
      </c>
      <c r="G347" s="90">
        <f t="shared" si="344"/>
        <v>8</v>
      </c>
      <c r="H347" s="90">
        <f t="shared" si="344"/>
        <v>666.66666666666663</v>
      </c>
      <c r="I347" s="90">
        <f t="shared" si="355"/>
        <v>1066.6666666666667</v>
      </c>
      <c r="J347" s="168">
        <f>'LOE Breakdown by Year'!H54</f>
        <v>0.25</v>
      </c>
      <c r="K347" s="90">
        <f t="shared" si="345"/>
        <v>12</v>
      </c>
      <c r="L347" s="90">
        <f t="shared" si="356"/>
        <v>2080</v>
      </c>
      <c r="M347" s="168">
        <f>'LOE Breakdown by Year'!H81</f>
        <v>0.25</v>
      </c>
      <c r="N347" s="90">
        <f t="shared" si="347"/>
        <v>12</v>
      </c>
      <c r="O347" s="90">
        <f t="shared" si="357"/>
        <v>2163.2000000000003</v>
      </c>
      <c r="P347" s="168">
        <f>'LOE Breakdown by Year'!H108</f>
        <v>0.25</v>
      </c>
      <c r="Q347" s="90">
        <f t="shared" si="349"/>
        <v>12</v>
      </c>
      <c r="R347" s="90">
        <f t="shared" si="358"/>
        <v>2249.7280000000005</v>
      </c>
      <c r="S347" s="168">
        <f>'LOE Breakdown by Year'!H135</f>
        <v>0.25</v>
      </c>
      <c r="T347" s="90">
        <f t="shared" si="351"/>
        <v>10</v>
      </c>
      <c r="U347" s="90">
        <f t="shared" si="359"/>
        <v>1949.764266666667</v>
      </c>
      <c r="V347" s="90">
        <f t="shared" si="360"/>
        <v>9509.3589333333348</v>
      </c>
      <c r="W347" s="90">
        <v>0</v>
      </c>
      <c r="X347" s="90">
        <f t="shared" si="361"/>
        <v>9509.3589333333348</v>
      </c>
    </row>
    <row r="348" spans="1:24">
      <c r="A348" s="54" t="s">
        <v>474</v>
      </c>
      <c r="B348" s="54">
        <v>70000</v>
      </c>
      <c r="C348" s="54" t="s">
        <v>188</v>
      </c>
      <c r="D348" s="54" t="str">
        <f t="shared" si="343"/>
        <v>Driver (2 Individuals)</v>
      </c>
      <c r="E348" s="168">
        <f>'LOE Breakdown by Year'!H28</f>
        <v>0.2</v>
      </c>
      <c r="F348" s="96" t="s">
        <v>190</v>
      </c>
      <c r="G348" s="90">
        <f t="shared" si="344"/>
        <v>6</v>
      </c>
      <c r="H348" s="90">
        <f t="shared" si="344"/>
        <v>1333.3333333333333</v>
      </c>
      <c r="I348" s="90">
        <f t="shared" si="355"/>
        <v>1600</v>
      </c>
      <c r="J348" s="168">
        <f>'LOE Breakdown by Year'!H55</f>
        <v>0.25</v>
      </c>
      <c r="K348" s="90">
        <f t="shared" si="345"/>
        <v>12</v>
      </c>
      <c r="L348" s="90">
        <f t="shared" si="356"/>
        <v>4160</v>
      </c>
      <c r="M348" s="168">
        <f>'LOE Breakdown by Year'!H82</f>
        <v>0.25</v>
      </c>
      <c r="N348" s="90">
        <f t="shared" si="347"/>
        <v>12</v>
      </c>
      <c r="O348" s="90">
        <f t="shared" si="357"/>
        <v>4326.4000000000005</v>
      </c>
      <c r="P348" s="168">
        <f>'LOE Breakdown by Year'!H109</f>
        <v>0.25</v>
      </c>
      <c r="Q348" s="90">
        <f t="shared" si="349"/>
        <v>12</v>
      </c>
      <c r="R348" s="90">
        <f t="shared" si="358"/>
        <v>4499.456000000001</v>
      </c>
      <c r="S348" s="168">
        <f>'LOE Breakdown by Year'!H136</f>
        <v>0.25</v>
      </c>
      <c r="T348" s="90">
        <f t="shared" si="351"/>
        <v>9</v>
      </c>
      <c r="U348" s="90">
        <f t="shared" si="359"/>
        <v>3509.5756800000004</v>
      </c>
      <c r="V348" s="90">
        <f t="shared" si="360"/>
        <v>18095.431680000002</v>
      </c>
      <c r="W348" s="90">
        <v>0</v>
      </c>
      <c r="X348" s="90">
        <f t="shared" si="361"/>
        <v>18095.431680000002</v>
      </c>
    </row>
    <row r="349" spans="1:24">
      <c r="A349" s="87"/>
      <c r="B349" s="87"/>
      <c r="C349" s="87"/>
      <c r="D349" s="87" t="s">
        <v>475</v>
      </c>
      <c r="E349" s="181"/>
      <c r="F349" s="92"/>
      <c r="G349" s="93"/>
      <c r="H349" s="93"/>
      <c r="I349" s="94">
        <f>SUM(I331:I348)</f>
        <v>109479.16666666667</v>
      </c>
      <c r="J349" s="181"/>
      <c r="K349" s="94"/>
      <c r="L349" s="94">
        <f>SUM(L331:L348)</f>
        <v>206440</v>
      </c>
      <c r="M349" s="181"/>
      <c r="N349" s="94"/>
      <c r="O349" s="94">
        <f>SUM(O331:O348)</f>
        <v>207126.40000000002</v>
      </c>
      <c r="P349" s="181"/>
      <c r="Q349" s="94"/>
      <c r="R349" s="94">
        <f>SUM(R331:R348)</f>
        <v>207537.408</v>
      </c>
      <c r="S349" s="181"/>
      <c r="T349" s="94"/>
      <c r="U349" s="94">
        <f>SUM(U331:U348)</f>
        <v>159417.60085333334</v>
      </c>
      <c r="V349" s="94">
        <f>SUM(V331:V348)</f>
        <v>890000.57551999972</v>
      </c>
      <c r="W349" s="94">
        <f>SUM(W331:W348)</f>
        <v>0</v>
      </c>
      <c r="X349" s="94">
        <f>SUM(X331:X348)</f>
        <v>890000.57551999972</v>
      </c>
    </row>
    <row r="350" spans="1:24">
      <c r="A350" s="153"/>
      <c r="B350" s="153"/>
      <c r="C350" s="153"/>
      <c r="D350" s="153"/>
      <c r="E350" s="182"/>
      <c r="F350" s="129"/>
      <c r="G350" s="109"/>
      <c r="H350" s="109"/>
      <c r="I350" s="109"/>
      <c r="J350" s="182"/>
      <c r="K350" s="109"/>
      <c r="L350" s="109"/>
      <c r="M350" s="182"/>
      <c r="N350" s="109"/>
      <c r="O350" s="109"/>
      <c r="P350" s="182"/>
      <c r="Q350" s="109"/>
      <c r="R350" s="109"/>
      <c r="S350" s="182"/>
      <c r="T350" s="109"/>
      <c r="U350" s="109"/>
      <c r="V350" s="109"/>
      <c r="W350" s="109"/>
      <c r="X350" s="109"/>
    </row>
    <row r="351" spans="1:24">
      <c r="A351" s="87"/>
      <c r="B351" s="87"/>
      <c r="C351" s="87"/>
      <c r="D351" s="87" t="s">
        <v>476</v>
      </c>
      <c r="E351" s="181"/>
      <c r="F351" s="92"/>
      <c r="G351" s="93"/>
      <c r="H351" s="93"/>
      <c r="I351" s="94"/>
      <c r="J351" s="181"/>
      <c r="K351" s="94"/>
      <c r="L351" s="94"/>
      <c r="M351" s="181"/>
      <c r="N351" s="94"/>
      <c r="O351" s="94"/>
      <c r="P351" s="181"/>
      <c r="Q351" s="94"/>
      <c r="R351" s="94"/>
      <c r="S351" s="181"/>
      <c r="T351" s="94"/>
      <c r="U351" s="94"/>
      <c r="V351" s="94"/>
      <c r="W351" s="94"/>
      <c r="X351" s="94"/>
    </row>
    <row r="352" spans="1:24">
      <c r="A352" s="54" t="s">
        <v>477</v>
      </c>
      <c r="B352" s="91">
        <v>70015</v>
      </c>
      <c r="C352" s="54" t="s">
        <v>188</v>
      </c>
      <c r="D352" s="54" t="str">
        <f>$D$37</f>
        <v>Fringe Benefits CCN - Mauritania</v>
      </c>
      <c r="E352" s="169"/>
      <c r="F352" s="130" t="s">
        <v>145</v>
      </c>
      <c r="G352" s="90"/>
      <c r="H352" s="106">
        <f>H37</f>
        <v>0.26919999999999999</v>
      </c>
      <c r="I352" s="90">
        <f>(SUM(I332:I348))*$H$352</f>
        <v>21664.991666666669</v>
      </c>
      <c r="J352" s="169"/>
      <c r="K352" s="90"/>
      <c r="L352" s="90">
        <f>(SUM(L332:L348))*$H$352</f>
        <v>45424.807999999997</v>
      </c>
      <c r="M352" s="169"/>
      <c r="N352" s="90"/>
      <c r="O352" s="90">
        <f>(SUM(O332:O348))*$H$352</f>
        <v>45203.633280000002</v>
      </c>
      <c r="P352" s="169"/>
      <c r="Q352" s="90"/>
      <c r="R352" s="90">
        <f>(SUM(R332:R348))*$H$352</f>
        <v>44892.084889600002</v>
      </c>
      <c r="S352" s="169"/>
      <c r="T352" s="90"/>
      <c r="U352" s="90">
        <f>(SUM(U332:U348))*$H$352</f>
        <v>31499.153391957334</v>
      </c>
      <c r="V352" s="90">
        <f t="shared" ref="V352:V355" si="376">SUM(R352,O352,L352,I352,U352)</f>
        <v>188684.671228224</v>
      </c>
      <c r="W352" s="109">
        <v>0</v>
      </c>
      <c r="X352" s="90">
        <f>SUM(V352:W352)</f>
        <v>188684.671228224</v>
      </c>
    </row>
    <row r="353" spans="1:24">
      <c r="A353" s="54" t="s">
        <v>477</v>
      </c>
      <c r="B353" s="91">
        <v>70015</v>
      </c>
      <c r="C353" s="54" t="s">
        <v>188</v>
      </c>
      <c r="D353" s="91" t="str">
        <f>$D$39</f>
        <v>Fringe Benefits Package for Ex-pat Chief of Party</v>
      </c>
      <c r="E353" s="174"/>
      <c r="F353" s="130" t="s">
        <v>145</v>
      </c>
      <c r="H353" s="106">
        <f>H39</f>
        <v>0.23469999999999999</v>
      </c>
      <c r="I353" s="131">
        <f>I331*$H$353</f>
        <v>6806.3</v>
      </c>
      <c r="J353" s="174"/>
      <c r="K353" s="131"/>
      <c r="L353" s="131">
        <f>L331*$H$353</f>
        <v>8848.19</v>
      </c>
      <c r="M353" s="174"/>
      <c r="N353" s="131"/>
      <c r="O353" s="131">
        <f>O331*$H$353</f>
        <v>9202.1175999999996</v>
      </c>
      <c r="P353" s="174"/>
      <c r="Q353" s="131"/>
      <c r="R353" s="131">
        <f>R331*$H$353</f>
        <v>9570.2023040000004</v>
      </c>
      <c r="S353" s="174"/>
      <c r="T353" s="131"/>
      <c r="U353" s="131">
        <f>U331*$H$353</f>
        <v>9953.0103961600016</v>
      </c>
      <c r="V353" s="90">
        <f t="shared" si="376"/>
        <v>44379.820300160005</v>
      </c>
      <c r="W353" s="90" t="s">
        <v>217</v>
      </c>
      <c r="X353" s="90">
        <f>SUM(V353:W353)</f>
        <v>44379.820300160005</v>
      </c>
    </row>
    <row r="354" spans="1:24">
      <c r="A354" s="52" t="s">
        <v>478</v>
      </c>
      <c r="B354" s="52">
        <v>50202</v>
      </c>
      <c r="C354" s="54" t="s">
        <v>188</v>
      </c>
      <c r="D354" s="91" t="str">
        <f>$D$40</f>
        <v>Cost of Living Adjustment for Ex-pat Chief of Party</v>
      </c>
      <c r="E354" s="174"/>
      <c r="F354" s="130" t="s">
        <v>145</v>
      </c>
      <c r="H354" s="106">
        <f>H40</f>
        <v>0.15</v>
      </c>
      <c r="I354" s="131">
        <f>I331*$H$354</f>
        <v>4350</v>
      </c>
      <c r="J354" s="174"/>
      <c r="K354" s="131"/>
      <c r="L354" s="131">
        <f>L331*$H$354</f>
        <v>5655</v>
      </c>
      <c r="M354" s="174"/>
      <c r="N354" s="131"/>
      <c r="O354" s="131">
        <f>O331*$H$354</f>
        <v>5881.2</v>
      </c>
      <c r="P354" s="174"/>
      <c r="Q354" s="131"/>
      <c r="R354" s="131">
        <f>R331*$H$354</f>
        <v>6116.4479999999994</v>
      </c>
      <c r="S354" s="174"/>
      <c r="T354" s="131"/>
      <c r="U354" s="131">
        <f>U331*$H$354</f>
        <v>6361.1059200000009</v>
      </c>
      <c r="V354" s="90">
        <f t="shared" si="376"/>
        <v>28363.753920000003</v>
      </c>
      <c r="W354" s="90" t="s">
        <v>217</v>
      </c>
      <c r="X354" s="90">
        <f t="shared" ref="X354:X355" si="377">SUM(V354:W354)</f>
        <v>28363.753920000003</v>
      </c>
    </row>
    <row r="355" spans="1:24">
      <c r="A355" s="52" t="s">
        <v>479</v>
      </c>
      <c r="B355" s="52">
        <v>50203</v>
      </c>
      <c r="C355" s="54" t="s">
        <v>188</v>
      </c>
      <c r="D355" s="91" t="str">
        <f>$D$41</f>
        <v>Post Hardship for Ex-pat Chief of Party</v>
      </c>
      <c r="E355" s="174"/>
      <c r="F355" s="130" t="s">
        <v>145</v>
      </c>
      <c r="H355" s="106">
        <f>H41</f>
        <v>0.35</v>
      </c>
      <c r="I355" s="131">
        <f>I331*$H$355</f>
        <v>10150</v>
      </c>
      <c r="J355" s="174"/>
      <c r="K355" s="131"/>
      <c r="L355" s="131">
        <f>L331*$H$355</f>
        <v>13195</v>
      </c>
      <c r="M355" s="174"/>
      <c r="N355" s="131"/>
      <c r="O355" s="131">
        <f>O331*$H$355</f>
        <v>13722.8</v>
      </c>
      <c r="P355" s="174"/>
      <c r="Q355" s="131"/>
      <c r="R355" s="131">
        <f>R331*$H$355</f>
        <v>14271.712</v>
      </c>
      <c r="S355" s="174"/>
      <c r="T355" s="131"/>
      <c r="U355" s="131">
        <f>U331*$H$355</f>
        <v>14842.580480000001</v>
      </c>
      <c r="V355" s="90">
        <f t="shared" si="376"/>
        <v>66182.092480000007</v>
      </c>
      <c r="W355" s="90" t="s">
        <v>217</v>
      </c>
      <c r="X355" s="90">
        <f t="shared" si="377"/>
        <v>66182.092480000007</v>
      </c>
    </row>
    <row r="356" spans="1:24">
      <c r="A356" s="87"/>
      <c r="B356" s="87"/>
      <c r="C356" s="87"/>
      <c r="D356" s="87" t="s">
        <v>480</v>
      </c>
      <c r="E356" s="181"/>
      <c r="F356" s="92"/>
      <c r="G356" s="93"/>
      <c r="H356" s="93"/>
      <c r="I356" s="94">
        <f>SUM(I352:I355)</f>
        <v>42971.291666666672</v>
      </c>
      <c r="J356" s="181"/>
      <c r="K356" s="94"/>
      <c r="L356" s="94">
        <f>SUM(L352:L355)</f>
        <v>73122.997999999992</v>
      </c>
      <c r="M356" s="181"/>
      <c r="N356" s="94"/>
      <c r="O356" s="94">
        <f>SUM(O352:O355)</f>
        <v>74009.750879999992</v>
      </c>
      <c r="P356" s="181"/>
      <c r="Q356" s="94"/>
      <c r="R356" s="94">
        <f>SUM(R352:R355)</f>
        <v>74850.447193600005</v>
      </c>
      <c r="S356" s="181"/>
      <c r="T356" s="94"/>
      <c r="U356" s="94">
        <f>SUM(U352:U355)</f>
        <v>62655.850188117343</v>
      </c>
      <c r="V356" s="94">
        <f>SUM(V352:V355)</f>
        <v>327610.33792838402</v>
      </c>
      <c r="W356" s="94">
        <f>SUM(W352:W355)</f>
        <v>0</v>
      </c>
      <c r="X356" s="94">
        <f>SUM(X352:X355)</f>
        <v>327610.33792838402</v>
      </c>
    </row>
    <row r="357" spans="1:24">
      <c r="A357" s="153"/>
      <c r="B357" s="153"/>
      <c r="C357" s="153"/>
      <c r="D357" s="153"/>
      <c r="E357" s="182"/>
      <c r="F357" s="129"/>
      <c r="G357" s="109"/>
      <c r="H357" s="109"/>
      <c r="I357" s="109"/>
      <c r="J357" s="182"/>
      <c r="K357" s="109"/>
      <c r="L357" s="109"/>
      <c r="M357" s="182"/>
      <c r="N357" s="109"/>
      <c r="O357" s="109"/>
      <c r="P357" s="182"/>
      <c r="Q357" s="109"/>
      <c r="R357" s="109"/>
      <c r="S357" s="182"/>
      <c r="T357" s="109"/>
      <c r="U357" s="109"/>
      <c r="V357" s="109"/>
      <c r="W357" s="109"/>
      <c r="X357" s="109"/>
    </row>
    <row r="358" spans="1:24">
      <c r="A358" s="87"/>
      <c r="B358" s="87"/>
      <c r="C358" s="87"/>
      <c r="D358" s="87" t="s">
        <v>481</v>
      </c>
      <c r="E358" s="181"/>
      <c r="F358" s="92"/>
      <c r="G358" s="93"/>
      <c r="H358" s="93"/>
      <c r="I358" s="93"/>
      <c r="J358" s="181"/>
      <c r="K358" s="93"/>
      <c r="L358" s="93"/>
      <c r="M358" s="181"/>
      <c r="N358" s="93"/>
      <c r="O358" s="93"/>
      <c r="P358" s="181"/>
      <c r="Q358" s="93"/>
      <c r="R358" s="93"/>
      <c r="S358" s="181"/>
      <c r="T358" s="93"/>
      <c r="U358" s="93"/>
      <c r="V358" s="93"/>
      <c r="W358" s="93"/>
      <c r="X358" s="93"/>
    </row>
    <row r="359" spans="1:24">
      <c r="A359" s="54" t="s">
        <v>482</v>
      </c>
      <c r="B359" s="54">
        <v>81010</v>
      </c>
      <c r="C359" s="54" t="s">
        <v>188</v>
      </c>
      <c r="D359" s="54" t="s">
        <v>483</v>
      </c>
      <c r="F359" s="95" t="s">
        <v>405</v>
      </c>
      <c r="G359" s="229">
        <v>0.5</v>
      </c>
      <c r="H359" s="90">
        <v>350000</v>
      </c>
      <c r="I359" s="90">
        <f>G359*H359</f>
        <v>175000</v>
      </c>
      <c r="J359" s="177"/>
      <c r="K359" s="229">
        <v>0.5</v>
      </c>
      <c r="L359" s="90">
        <f>H359*K359</f>
        <v>175000</v>
      </c>
      <c r="M359" s="177"/>
      <c r="N359" s="229">
        <v>0</v>
      </c>
      <c r="O359" s="90">
        <f>H359*N359</f>
        <v>0</v>
      </c>
      <c r="P359" s="177"/>
      <c r="Q359" s="90">
        <v>0</v>
      </c>
      <c r="R359" s="90">
        <f>H359*Q359</f>
        <v>0</v>
      </c>
      <c r="S359" s="177"/>
      <c r="T359" s="90">
        <v>0</v>
      </c>
      <c r="U359" s="90">
        <f>H359*T359</f>
        <v>0</v>
      </c>
      <c r="V359" s="90">
        <f>SUM(R359,O359,L359,I359,U359)</f>
        <v>350000</v>
      </c>
      <c r="W359" s="90">
        <v>0</v>
      </c>
      <c r="X359" s="90">
        <f>SUM(V359:W359)</f>
        <v>350000</v>
      </c>
    </row>
    <row r="360" spans="1:24">
      <c r="A360" s="54" t="s">
        <v>484</v>
      </c>
      <c r="B360" s="54">
        <v>86110</v>
      </c>
      <c r="C360" s="54" t="s">
        <v>188</v>
      </c>
      <c r="D360" s="54" t="s">
        <v>264</v>
      </c>
      <c r="E360" s="174"/>
      <c r="F360" s="95" t="s">
        <v>147</v>
      </c>
      <c r="G360" s="90">
        <v>1</v>
      </c>
      <c r="H360" s="90">
        <v>7000</v>
      </c>
      <c r="I360" s="90">
        <f>G360*H360</f>
        <v>7000</v>
      </c>
      <c r="J360" s="174"/>
      <c r="K360" s="90">
        <v>1</v>
      </c>
      <c r="L360" s="90">
        <f t="shared" ref="L360:L362" si="378">K360*H360</f>
        <v>7000</v>
      </c>
      <c r="M360" s="174"/>
      <c r="N360" s="90">
        <v>1</v>
      </c>
      <c r="O360" s="90">
        <f t="shared" ref="O360:O362" si="379">N360*H360</f>
        <v>7000</v>
      </c>
      <c r="P360" s="174"/>
      <c r="Q360" s="90">
        <v>1</v>
      </c>
      <c r="R360" s="90">
        <f t="shared" ref="R360:R362" si="380">Q360*H360</f>
        <v>7000</v>
      </c>
      <c r="S360" s="174"/>
      <c r="T360" s="90">
        <v>1</v>
      </c>
      <c r="U360" s="90">
        <f>T360*H360</f>
        <v>7000</v>
      </c>
      <c r="V360" s="90">
        <f t="shared" ref="V360:V362" si="381">SUM(R360,O360,L360,I360,U360)</f>
        <v>35000</v>
      </c>
      <c r="W360" s="90">
        <v>0</v>
      </c>
      <c r="X360" s="90">
        <f>V360+W360</f>
        <v>35000</v>
      </c>
    </row>
    <row r="361" spans="1:24">
      <c r="A361" s="52" t="s">
        <v>485</v>
      </c>
      <c r="B361" s="54">
        <v>81000</v>
      </c>
      <c r="C361" s="54" t="s">
        <v>188</v>
      </c>
      <c r="D361" s="54" t="s">
        <v>266</v>
      </c>
      <c r="E361" s="174"/>
      <c r="F361" s="95" t="s">
        <v>190</v>
      </c>
      <c r="G361" s="90">
        <v>9</v>
      </c>
      <c r="H361" s="90">
        <v>600</v>
      </c>
      <c r="I361" s="90">
        <f>G361*H361</f>
        <v>5400</v>
      </c>
      <c r="J361" s="174"/>
      <c r="K361" s="90">
        <v>12</v>
      </c>
      <c r="L361" s="90">
        <f t="shared" si="378"/>
        <v>7200</v>
      </c>
      <c r="M361" s="174"/>
      <c r="N361" s="90">
        <v>12</v>
      </c>
      <c r="O361" s="90">
        <f t="shared" si="379"/>
        <v>7200</v>
      </c>
      <c r="P361" s="174"/>
      <c r="Q361" s="90">
        <v>12</v>
      </c>
      <c r="R361" s="90">
        <f t="shared" si="380"/>
        <v>7200</v>
      </c>
      <c r="S361" s="174"/>
      <c r="T361" s="90">
        <v>9</v>
      </c>
      <c r="U361" s="90">
        <f t="shared" ref="U361:U362" si="382">T361*H361</f>
        <v>5400</v>
      </c>
      <c r="V361" s="90">
        <f t="shared" si="381"/>
        <v>32400</v>
      </c>
      <c r="W361" s="90">
        <v>0</v>
      </c>
      <c r="X361" s="90">
        <f t="shared" ref="X361:X362" si="383">V361+W361</f>
        <v>32400</v>
      </c>
    </row>
    <row r="362" spans="1:24" ht="25.2">
      <c r="A362" s="54" t="s">
        <v>486</v>
      </c>
      <c r="B362" s="54">
        <v>81000</v>
      </c>
      <c r="C362" s="54" t="s">
        <v>188</v>
      </c>
      <c r="D362" s="54" t="s">
        <v>269</v>
      </c>
      <c r="E362" s="174"/>
      <c r="F362" s="95" t="s">
        <v>190</v>
      </c>
      <c r="G362" s="90">
        <v>12</v>
      </c>
      <c r="H362" s="90">
        <f>(150000/12)*15%</f>
        <v>1875</v>
      </c>
      <c r="I362" s="90">
        <f t="shared" ref="I362" si="384">G362*H362</f>
        <v>22500</v>
      </c>
      <c r="J362" s="174"/>
      <c r="K362" s="90">
        <v>12</v>
      </c>
      <c r="L362" s="90">
        <f t="shared" si="378"/>
        <v>22500</v>
      </c>
      <c r="M362" s="174"/>
      <c r="N362" s="90">
        <v>12</v>
      </c>
      <c r="O362" s="90">
        <f t="shared" si="379"/>
        <v>22500</v>
      </c>
      <c r="P362" s="174"/>
      <c r="Q362" s="90">
        <v>12</v>
      </c>
      <c r="R362" s="90">
        <f t="shared" si="380"/>
        <v>22500</v>
      </c>
      <c r="S362" s="174"/>
      <c r="T362" s="90">
        <v>9</v>
      </c>
      <c r="U362" s="90">
        <f t="shared" si="382"/>
        <v>16875</v>
      </c>
      <c r="V362" s="90">
        <f t="shared" si="381"/>
        <v>106875</v>
      </c>
      <c r="W362" s="90">
        <v>0</v>
      </c>
      <c r="X362" s="90">
        <f t="shared" si="383"/>
        <v>106875</v>
      </c>
    </row>
    <row r="363" spans="1:24">
      <c r="A363" s="87"/>
      <c r="B363" s="87"/>
      <c r="C363" s="87"/>
      <c r="D363" s="87" t="s">
        <v>487</v>
      </c>
      <c r="E363" s="181"/>
      <c r="F363" s="92"/>
      <c r="G363" s="93"/>
      <c r="H363" s="93"/>
      <c r="I363" s="94">
        <f>SUM(I359:I362)</f>
        <v>209900</v>
      </c>
      <c r="J363" s="181"/>
      <c r="K363" s="94"/>
      <c r="L363" s="94">
        <f>SUM(L359:L362)</f>
        <v>211700</v>
      </c>
      <c r="M363" s="181"/>
      <c r="N363" s="94"/>
      <c r="O363" s="94">
        <f>SUM(O359:O362)</f>
        <v>36700</v>
      </c>
      <c r="P363" s="181"/>
      <c r="Q363" s="94"/>
      <c r="R363" s="94">
        <f>SUM(R359:R362)</f>
        <v>36700</v>
      </c>
      <c r="S363" s="181"/>
      <c r="T363" s="94"/>
      <c r="U363" s="94">
        <f>SUM(U359:U362)</f>
        <v>29275</v>
      </c>
      <c r="V363" s="94">
        <f>SUM(V359:V362)</f>
        <v>524275</v>
      </c>
      <c r="W363" s="94">
        <f>SUM(W359:W362)</f>
        <v>0</v>
      </c>
      <c r="X363" s="94">
        <f>SUM(X359:X362)</f>
        <v>524275</v>
      </c>
    </row>
    <row r="364" spans="1:24">
      <c r="A364" s="153"/>
      <c r="B364" s="153"/>
      <c r="C364" s="153"/>
      <c r="D364" s="153"/>
      <c r="E364" s="182"/>
      <c r="F364" s="129"/>
      <c r="G364" s="109"/>
      <c r="H364" s="109"/>
      <c r="I364" s="109"/>
      <c r="J364" s="182"/>
      <c r="K364" s="109"/>
      <c r="L364" s="109"/>
      <c r="M364" s="182"/>
      <c r="N364" s="109"/>
      <c r="O364" s="109"/>
      <c r="P364" s="182"/>
      <c r="Q364" s="109"/>
      <c r="R364" s="109"/>
      <c r="S364" s="182"/>
      <c r="T364" s="109"/>
      <c r="U364" s="109"/>
      <c r="V364" s="109"/>
      <c r="W364" s="109"/>
      <c r="X364" s="109"/>
    </row>
    <row r="365" spans="1:24">
      <c r="A365" s="87"/>
      <c r="B365" s="87"/>
      <c r="C365" s="87"/>
      <c r="D365" s="87" t="s">
        <v>488</v>
      </c>
      <c r="E365" s="181"/>
      <c r="F365" s="92"/>
      <c r="G365" s="93"/>
      <c r="H365" s="93"/>
      <c r="I365" s="93"/>
      <c r="J365" s="181"/>
      <c r="K365" s="93"/>
      <c r="L365" s="93"/>
      <c r="M365" s="181"/>
      <c r="N365" s="93"/>
      <c r="O365" s="93"/>
      <c r="P365" s="181"/>
      <c r="Q365" s="93"/>
      <c r="R365" s="93"/>
      <c r="S365" s="181"/>
      <c r="T365" s="93"/>
      <c r="U365" s="93"/>
      <c r="V365" s="93"/>
      <c r="W365" s="93"/>
      <c r="X365" s="93"/>
    </row>
    <row r="366" spans="1:24" ht="63">
      <c r="A366" s="54" t="s">
        <v>489</v>
      </c>
      <c r="B366" s="54" t="s">
        <v>490</v>
      </c>
      <c r="C366" s="54" t="s">
        <v>188</v>
      </c>
      <c r="D366" s="54" t="s">
        <v>491</v>
      </c>
      <c r="F366" s="54" t="s">
        <v>258</v>
      </c>
      <c r="G366" s="90">
        <v>0</v>
      </c>
      <c r="H366" s="90">
        <v>150000</v>
      </c>
      <c r="I366" s="90">
        <f>G366*H366</f>
        <v>0</v>
      </c>
      <c r="J366" s="177"/>
      <c r="K366" s="90">
        <v>0</v>
      </c>
      <c r="L366" s="90">
        <f>H366*K366</f>
        <v>0</v>
      </c>
      <c r="M366" s="177"/>
      <c r="N366" s="90">
        <v>1</v>
      </c>
      <c r="O366" s="90">
        <f>H366*N366</f>
        <v>150000</v>
      </c>
      <c r="P366" s="177"/>
      <c r="Q366" s="90">
        <v>0</v>
      </c>
      <c r="R366" s="90">
        <f>H366*Q366</f>
        <v>0</v>
      </c>
      <c r="S366" s="177"/>
      <c r="T366" s="90">
        <v>0</v>
      </c>
      <c r="U366" s="90">
        <f>H366*T366</f>
        <v>0</v>
      </c>
      <c r="V366" s="90">
        <f>SUM(R366,O366,L366,I366,U366)</f>
        <v>150000</v>
      </c>
      <c r="W366" s="90">
        <v>0</v>
      </c>
      <c r="X366" s="90">
        <f>SUM(V366:W366)</f>
        <v>150000</v>
      </c>
    </row>
    <row r="367" spans="1:24" ht="63">
      <c r="A367" s="54" t="s">
        <v>492</v>
      </c>
      <c r="B367" s="54" t="s">
        <v>490</v>
      </c>
      <c r="C367" s="54" t="s">
        <v>188</v>
      </c>
      <c r="D367" s="54" t="s">
        <v>493</v>
      </c>
      <c r="F367" s="54" t="s">
        <v>494</v>
      </c>
      <c r="G367" s="90">
        <v>0</v>
      </c>
      <c r="H367" s="90">
        <v>10000</v>
      </c>
      <c r="I367" s="90">
        <f>G367*H367</f>
        <v>0</v>
      </c>
      <c r="J367" s="177"/>
      <c r="K367" s="90">
        <v>5</v>
      </c>
      <c r="L367" s="90">
        <f>H367*K367</f>
        <v>50000</v>
      </c>
      <c r="M367" s="177"/>
      <c r="N367" s="90">
        <v>5</v>
      </c>
      <c r="O367" s="90">
        <f>H367*N367</f>
        <v>50000</v>
      </c>
      <c r="P367" s="177"/>
      <c r="Q367" s="90">
        <v>0</v>
      </c>
      <c r="R367" s="90">
        <f>H367*Q367</f>
        <v>0</v>
      </c>
      <c r="S367" s="177"/>
      <c r="T367" s="90">
        <v>0</v>
      </c>
      <c r="U367" s="90">
        <f>H367*T367</f>
        <v>0</v>
      </c>
      <c r="V367" s="90">
        <f>SUM(R367,O367,L367,I367,U367)</f>
        <v>100000</v>
      </c>
      <c r="W367" s="90">
        <v>0</v>
      </c>
      <c r="X367" s="90">
        <f>SUM(V367:W367)</f>
        <v>100000</v>
      </c>
    </row>
    <row r="368" spans="1:24" ht="63">
      <c r="A368" s="54" t="s">
        <v>495</v>
      </c>
      <c r="B368" s="54" t="s">
        <v>490</v>
      </c>
      <c r="C368" s="54" t="s">
        <v>188</v>
      </c>
      <c r="D368" s="54" t="s">
        <v>496</v>
      </c>
      <c r="F368" s="54" t="s">
        <v>258</v>
      </c>
      <c r="G368" s="90">
        <v>0</v>
      </c>
      <c r="H368" s="90">
        <v>226150</v>
      </c>
      <c r="I368" s="90">
        <f>G368*H368</f>
        <v>0</v>
      </c>
      <c r="J368" s="177"/>
      <c r="K368" s="90">
        <v>1</v>
      </c>
      <c r="L368" s="90">
        <f>H368*K368</f>
        <v>226150</v>
      </c>
      <c r="M368" s="177"/>
      <c r="N368" s="90">
        <v>0</v>
      </c>
      <c r="O368" s="90">
        <f>H368*N368</f>
        <v>0</v>
      </c>
      <c r="P368" s="177"/>
      <c r="Q368" s="90">
        <v>0</v>
      </c>
      <c r="R368" s="90">
        <f>H368*Q368</f>
        <v>0</v>
      </c>
      <c r="S368" s="177"/>
      <c r="T368" s="90">
        <v>0</v>
      </c>
      <c r="U368" s="90">
        <f>H368*T368</f>
        <v>0</v>
      </c>
      <c r="V368" s="90">
        <f>SUM(R368,O368,L368,I368,U368)</f>
        <v>226150</v>
      </c>
      <c r="W368" s="90">
        <v>0</v>
      </c>
      <c r="X368" s="90">
        <f>SUM(V368:W368)</f>
        <v>226150</v>
      </c>
    </row>
    <row r="369" spans="1:24" ht="63">
      <c r="A369" s="54" t="s">
        <v>497</v>
      </c>
      <c r="B369" s="54" t="s">
        <v>490</v>
      </c>
      <c r="C369" s="54" t="s">
        <v>188</v>
      </c>
      <c r="D369" s="54" t="s">
        <v>498</v>
      </c>
      <c r="F369" s="54" t="s">
        <v>258</v>
      </c>
      <c r="G369" s="90">
        <v>0</v>
      </c>
      <c r="H369" s="90">
        <v>63500</v>
      </c>
      <c r="I369" s="90">
        <f>G369*H369</f>
        <v>0</v>
      </c>
      <c r="J369" s="177"/>
      <c r="K369" s="90">
        <v>0</v>
      </c>
      <c r="L369" s="90">
        <f>H369*K369</f>
        <v>0</v>
      </c>
      <c r="M369" s="177"/>
      <c r="N369" s="90">
        <v>1</v>
      </c>
      <c r="O369" s="90">
        <f>H369*N369</f>
        <v>63500</v>
      </c>
      <c r="P369" s="177"/>
      <c r="Q369" s="90">
        <v>0</v>
      </c>
      <c r="R369" s="90">
        <f>H369*Q369</f>
        <v>0</v>
      </c>
      <c r="S369" s="177"/>
      <c r="T369" s="90">
        <v>0</v>
      </c>
      <c r="U369" s="90">
        <f>H369*T369</f>
        <v>0</v>
      </c>
      <c r="V369" s="90">
        <f>SUM(R369,O369,L369,I369,U369)</f>
        <v>63500</v>
      </c>
      <c r="W369" s="90">
        <v>0</v>
      </c>
      <c r="X369" s="90">
        <f>SUM(V369:W369)</f>
        <v>63500</v>
      </c>
    </row>
    <row r="370" spans="1:24">
      <c r="A370" s="87"/>
      <c r="B370" s="87"/>
      <c r="C370" s="87"/>
      <c r="D370" s="87" t="s">
        <v>499</v>
      </c>
      <c r="E370" s="181"/>
      <c r="F370" s="92"/>
      <c r="G370" s="93"/>
      <c r="H370" s="93"/>
      <c r="I370" s="94">
        <f>SUM(I366:I369)</f>
        <v>0</v>
      </c>
      <c r="J370" s="181"/>
      <c r="K370" s="93"/>
      <c r="L370" s="94">
        <f>SUM(L366:L369)</f>
        <v>276150</v>
      </c>
      <c r="M370" s="181"/>
      <c r="N370" s="93"/>
      <c r="O370" s="94">
        <f>SUM(O366:O369)</f>
        <v>263500</v>
      </c>
      <c r="P370" s="181"/>
      <c r="Q370" s="93"/>
      <c r="R370" s="94">
        <f>SUM(R366:R369)</f>
        <v>0</v>
      </c>
      <c r="S370" s="181"/>
      <c r="T370" s="93"/>
      <c r="U370" s="94">
        <f>SUM(U366:U369)</f>
        <v>0</v>
      </c>
      <c r="V370" s="94">
        <f>SUM(V366:V369)</f>
        <v>539650</v>
      </c>
      <c r="W370" s="94">
        <f>SUM(W366:W369)</f>
        <v>0</v>
      </c>
      <c r="X370" s="94">
        <f>SUM(X366:X369)</f>
        <v>539650</v>
      </c>
    </row>
    <row r="371" spans="1:24">
      <c r="A371" s="153"/>
      <c r="B371" s="153"/>
      <c r="C371" s="153"/>
      <c r="D371" s="153"/>
      <c r="E371" s="230"/>
      <c r="F371" s="129"/>
      <c r="G371" s="109"/>
      <c r="H371" s="109"/>
      <c r="I371" s="109"/>
      <c r="J371" s="230"/>
      <c r="K371" s="109"/>
      <c r="L371" s="109"/>
      <c r="M371" s="230"/>
      <c r="N371" s="109"/>
      <c r="O371" s="109"/>
      <c r="P371" s="230"/>
      <c r="Q371" s="109"/>
      <c r="R371" s="109"/>
      <c r="S371" s="230"/>
      <c r="T371" s="109"/>
      <c r="U371" s="109"/>
      <c r="V371" s="109"/>
      <c r="W371" s="109"/>
      <c r="X371" s="109"/>
    </row>
    <row r="372" spans="1:24">
      <c r="A372" s="87"/>
      <c r="B372" s="87"/>
      <c r="C372" s="87"/>
      <c r="D372" s="87" t="s">
        <v>500</v>
      </c>
      <c r="E372" s="181"/>
      <c r="F372" s="92"/>
      <c r="G372" s="93"/>
      <c r="H372" s="93"/>
      <c r="I372" s="93"/>
      <c r="J372" s="181"/>
      <c r="K372" s="93"/>
      <c r="L372" s="93"/>
      <c r="M372" s="181"/>
      <c r="N372" s="93"/>
      <c r="O372" s="93"/>
      <c r="P372" s="181"/>
      <c r="Q372" s="93"/>
      <c r="R372" s="93"/>
      <c r="S372" s="181"/>
      <c r="T372" s="93"/>
      <c r="U372" s="93"/>
      <c r="V372" s="93"/>
      <c r="W372" s="93"/>
      <c r="X372" s="93"/>
    </row>
    <row r="373" spans="1:24">
      <c r="A373" s="54" t="s">
        <v>501</v>
      </c>
      <c r="B373" s="54">
        <v>82401</v>
      </c>
      <c r="C373" s="54" t="s">
        <v>188</v>
      </c>
      <c r="D373" s="54" t="s">
        <v>412</v>
      </c>
      <c r="E373" s="174"/>
      <c r="F373" s="96" t="s">
        <v>258</v>
      </c>
      <c r="G373" s="90">
        <v>1</v>
      </c>
      <c r="H373" s="90">
        <v>1100</v>
      </c>
      <c r="I373" s="90">
        <f>G373*H373</f>
        <v>1100</v>
      </c>
      <c r="J373" s="174"/>
      <c r="K373" s="90">
        <v>0</v>
      </c>
      <c r="L373" s="90">
        <f>K373*H373</f>
        <v>0</v>
      </c>
      <c r="M373" s="174"/>
      <c r="N373" s="90">
        <v>0</v>
      </c>
      <c r="O373" s="90">
        <f>N373*H373</f>
        <v>0</v>
      </c>
      <c r="P373" s="174"/>
      <c r="Q373" s="90">
        <v>0</v>
      </c>
      <c r="R373" s="90">
        <f>Q373*H373</f>
        <v>0</v>
      </c>
      <c r="S373" s="174"/>
      <c r="T373" s="90">
        <v>0</v>
      </c>
      <c r="U373" s="90">
        <f>T373*K373</f>
        <v>0</v>
      </c>
      <c r="V373" s="90">
        <f t="shared" ref="V373:V374" si="385">SUM(R373,O373,L373,I373,U373)</f>
        <v>1100</v>
      </c>
      <c r="W373" s="90">
        <v>0</v>
      </c>
      <c r="X373" s="90">
        <f>V373+W373</f>
        <v>1100</v>
      </c>
    </row>
    <row r="374" spans="1:24">
      <c r="A374" s="54" t="s">
        <v>501</v>
      </c>
      <c r="B374" s="54">
        <v>82401</v>
      </c>
      <c r="C374" s="54" t="s">
        <v>188</v>
      </c>
      <c r="D374" s="54" t="s">
        <v>502</v>
      </c>
      <c r="E374" s="174"/>
      <c r="F374" s="96" t="s">
        <v>258</v>
      </c>
      <c r="G374" s="90">
        <v>1</v>
      </c>
      <c r="H374" s="90">
        <v>600</v>
      </c>
      <c r="I374" s="90">
        <f t="shared" ref="I374" si="386">G374*H374</f>
        <v>600</v>
      </c>
      <c r="J374" s="174"/>
      <c r="K374" s="90">
        <v>0</v>
      </c>
      <c r="L374" s="90">
        <f t="shared" ref="L374" si="387">K374*H374</f>
        <v>0</v>
      </c>
      <c r="M374" s="174"/>
      <c r="N374" s="90">
        <v>0</v>
      </c>
      <c r="O374" s="90">
        <f t="shared" ref="O374" si="388">N374*H374</f>
        <v>0</v>
      </c>
      <c r="P374" s="174"/>
      <c r="Q374" s="90">
        <v>0</v>
      </c>
      <c r="R374" s="90">
        <f t="shared" ref="R374" si="389">Q374*H374</f>
        <v>0</v>
      </c>
      <c r="S374" s="174"/>
      <c r="T374" s="90">
        <v>0</v>
      </c>
      <c r="U374" s="90">
        <f t="shared" ref="U374" si="390">T374*K374</f>
        <v>0</v>
      </c>
      <c r="V374" s="90">
        <f t="shared" si="385"/>
        <v>600</v>
      </c>
      <c r="W374" s="90">
        <v>0</v>
      </c>
      <c r="X374" s="90">
        <f t="shared" ref="X374" si="391">V374+W374</f>
        <v>600</v>
      </c>
    </row>
    <row r="375" spans="1:24">
      <c r="A375" s="87"/>
      <c r="B375" s="87"/>
      <c r="C375" s="87"/>
      <c r="D375" s="87" t="s">
        <v>503</v>
      </c>
      <c r="E375" s="181"/>
      <c r="F375" s="92"/>
      <c r="G375" s="93"/>
      <c r="H375" s="94"/>
      <c r="I375" s="94">
        <f>SUM(I373:I374)</f>
        <v>1700</v>
      </c>
      <c r="J375" s="184"/>
      <c r="K375" s="94"/>
      <c r="L375" s="94">
        <f>SUM(L373:L374)</f>
        <v>0</v>
      </c>
      <c r="M375" s="184"/>
      <c r="N375" s="94"/>
      <c r="O375" s="94">
        <f>SUM(O373:O374)</f>
        <v>0</v>
      </c>
      <c r="P375" s="184"/>
      <c r="Q375" s="94"/>
      <c r="R375" s="94">
        <f>SUM(R373:R374)</f>
        <v>0</v>
      </c>
      <c r="S375" s="184"/>
      <c r="T375" s="94"/>
      <c r="U375" s="94">
        <f>SUM(U373:U374)</f>
        <v>0</v>
      </c>
      <c r="V375" s="94">
        <f>SUM(V373:V374)</f>
        <v>1700</v>
      </c>
      <c r="W375" s="94">
        <f>SUM(W373:W374)</f>
        <v>0</v>
      </c>
      <c r="X375" s="94">
        <f>SUM(X373:X374)</f>
        <v>1700</v>
      </c>
    </row>
    <row r="376" spans="1:24">
      <c r="A376" s="153"/>
      <c r="B376" s="153"/>
      <c r="C376" s="153"/>
      <c r="D376" s="153"/>
      <c r="E376" s="182"/>
      <c r="F376" s="129"/>
      <c r="G376" s="109"/>
      <c r="H376" s="109"/>
      <c r="I376" s="109"/>
      <c r="J376" s="182"/>
      <c r="K376" s="109"/>
      <c r="L376" s="109"/>
      <c r="M376" s="182"/>
      <c r="N376" s="109"/>
      <c r="O376" s="109"/>
      <c r="P376" s="182"/>
      <c r="Q376" s="109"/>
      <c r="R376" s="109"/>
      <c r="S376" s="182"/>
      <c r="T376" s="109"/>
      <c r="U376" s="109"/>
      <c r="V376" s="109"/>
      <c r="W376" s="109"/>
      <c r="X376" s="109"/>
    </row>
    <row r="377" spans="1:24">
      <c r="A377" s="87"/>
      <c r="B377" s="87"/>
      <c r="C377" s="87"/>
      <c r="D377" s="87" t="s">
        <v>504</v>
      </c>
      <c r="E377" s="181"/>
      <c r="F377" s="92"/>
      <c r="G377" s="93"/>
      <c r="H377" s="93"/>
      <c r="I377" s="93"/>
      <c r="J377" s="181"/>
      <c r="K377" s="93"/>
      <c r="L377" s="93"/>
      <c r="M377" s="181"/>
      <c r="N377" s="93"/>
      <c r="O377" s="93"/>
      <c r="P377" s="181"/>
      <c r="Q377" s="93"/>
      <c r="R377" s="93"/>
      <c r="S377" s="181"/>
      <c r="T377" s="93"/>
      <c r="U377" s="93"/>
      <c r="V377" s="93"/>
      <c r="W377" s="93"/>
      <c r="X377" s="93"/>
    </row>
    <row r="378" spans="1:24">
      <c r="A378" s="54" t="s">
        <v>505</v>
      </c>
      <c r="B378" s="54">
        <v>86000</v>
      </c>
      <c r="C378" s="54" t="s">
        <v>188</v>
      </c>
      <c r="D378" s="54" t="s">
        <v>250</v>
      </c>
      <c r="F378" s="54" t="s">
        <v>190</v>
      </c>
      <c r="G378" s="90">
        <v>3</v>
      </c>
      <c r="H378" s="90">
        <v>100</v>
      </c>
      <c r="I378" s="90">
        <f>G378*H378</f>
        <v>300</v>
      </c>
      <c r="J378" s="90"/>
      <c r="K378" s="90">
        <v>12</v>
      </c>
      <c r="L378" s="90">
        <f>H378*K378*$E$6</f>
        <v>1248</v>
      </c>
      <c r="M378" s="177"/>
      <c r="N378" s="90">
        <v>12</v>
      </c>
      <c r="O378" s="90">
        <f>H378*N378*$E$6*$E$6</f>
        <v>1297.92</v>
      </c>
      <c r="P378" s="177"/>
      <c r="Q378" s="90">
        <v>12</v>
      </c>
      <c r="R378" s="90">
        <f>H378*Q378*$E$6*$E$6*$E$6</f>
        <v>1349.8368</v>
      </c>
      <c r="S378" s="177"/>
      <c r="T378" s="90">
        <v>7</v>
      </c>
      <c r="U378" s="90">
        <f>H378*T378*$E$6*$E$6*$E$6*$E$6</f>
        <v>818.90099200000009</v>
      </c>
      <c r="V378" s="90">
        <f t="shared" ref="V378" si="392">SUM(R378,O378,L378,I378,U378)</f>
        <v>5014.657792</v>
      </c>
      <c r="W378" s="90" t="s">
        <v>217</v>
      </c>
      <c r="X378" s="90">
        <f>SUM(V378:W378)</f>
        <v>5014.657792</v>
      </c>
    </row>
    <row r="379" spans="1:24">
      <c r="A379" s="54" t="s">
        <v>505</v>
      </c>
      <c r="B379" s="54">
        <v>86000</v>
      </c>
      <c r="C379" s="54" t="s">
        <v>188</v>
      </c>
      <c r="D379" s="54" t="s">
        <v>375</v>
      </c>
      <c r="F379" s="54" t="s">
        <v>226</v>
      </c>
      <c r="G379" s="90">
        <v>6</v>
      </c>
      <c r="H379" s="90">
        <v>100</v>
      </c>
      <c r="I379" s="232">
        <f>G379*H379</f>
        <v>600</v>
      </c>
      <c r="J379" s="90"/>
      <c r="K379" s="90">
        <v>12</v>
      </c>
      <c r="L379" s="90">
        <f>H379*K379*$E$6</f>
        <v>1248</v>
      </c>
      <c r="M379" s="177"/>
      <c r="N379" s="90">
        <v>12</v>
      </c>
      <c r="O379" s="90">
        <f>H379*N379*$E$6*$E$6</f>
        <v>1297.92</v>
      </c>
      <c r="P379" s="177"/>
      <c r="Q379" s="90">
        <v>12</v>
      </c>
      <c r="R379" s="90">
        <f>H379*Q379*$E$6*$E$6*$E$6</f>
        <v>1349.8368</v>
      </c>
      <c r="S379" s="177"/>
      <c r="T379" s="90">
        <v>9</v>
      </c>
      <c r="U379" s="90">
        <f>H379*T379*$E$6*$E$6*$E$6*$E$6</f>
        <v>1052.8727040000001</v>
      </c>
      <c r="V379" s="90">
        <f t="shared" ref="V379:V380" si="393">SUM(R379,O379,L379,I379,U379)</f>
        <v>5548.6295040000005</v>
      </c>
      <c r="W379" s="90" t="s">
        <v>217</v>
      </c>
      <c r="X379" s="90">
        <f>SUM(V379:W379)</f>
        <v>5548.6295040000005</v>
      </c>
    </row>
    <row r="380" spans="1:24" ht="37.799999999999997">
      <c r="A380" s="54" t="s">
        <v>505</v>
      </c>
      <c r="B380" s="54" t="s">
        <v>237</v>
      </c>
      <c r="C380" s="54" t="s">
        <v>188</v>
      </c>
      <c r="D380" s="54" t="s">
        <v>376</v>
      </c>
      <c r="F380" s="54" t="s">
        <v>239</v>
      </c>
      <c r="G380" s="90">
        <f>G379*3</f>
        <v>18</v>
      </c>
      <c r="H380" s="90">
        <v>78</v>
      </c>
      <c r="I380" s="232">
        <f>G380*H380</f>
        <v>1404</v>
      </c>
      <c r="J380" s="90"/>
      <c r="K380" s="90">
        <f>K379*3</f>
        <v>36</v>
      </c>
      <c r="L380" s="90">
        <f>H380*K380*$E$6</f>
        <v>2920.32</v>
      </c>
      <c r="M380" s="177"/>
      <c r="N380" s="90">
        <f>N379*3</f>
        <v>36</v>
      </c>
      <c r="O380" s="90">
        <f>H380*N380*$E$6*$E$6</f>
        <v>3037.1328000000003</v>
      </c>
      <c r="P380" s="177"/>
      <c r="Q380" s="90">
        <f>Q379*3</f>
        <v>36</v>
      </c>
      <c r="R380" s="90">
        <f>H380*Q380*$E$6*$E$6*$E$6</f>
        <v>3158.6181120000006</v>
      </c>
      <c r="S380" s="177"/>
      <c r="T380" s="90">
        <f>T379*3</f>
        <v>27</v>
      </c>
      <c r="U380" s="90">
        <f>H380*T380*$E$6*$E$6*$E$6*$E$6</f>
        <v>2463.7221273600007</v>
      </c>
      <c r="V380" s="90">
        <f t="shared" si="393"/>
        <v>12983.793039360002</v>
      </c>
      <c r="W380" s="90" t="s">
        <v>217</v>
      </c>
      <c r="X380" s="90">
        <f>SUM(V380:W380)</f>
        <v>12983.793039360002</v>
      </c>
    </row>
    <row r="381" spans="1:24">
      <c r="A381" s="140"/>
      <c r="B381" s="140"/>
      <c r="C381" s="140"/>
      <c r="D381" s="140" t="s">
        <v>506</v>
      </c>
      <c r="E381" s="183"/>
      <c r="F381" s="140"/>
      <c r="G381" s="140"/>
      <c r="H381" s="140"/>
      <c r="I381" s="140"/>
      <c r="J381" s="183"/>
      <c r="K381" s="140"/>
      <c r="L381" s="140"/>
      <c r="M381" s="183"/>
      <c r="N381" s="140"/>
      <c r="O381" s="140"/>
      <c r="P381" s="183"/>
      <c r="Q381" s="140"/>
      <c r="R381" s="140"/>
      <c r="S381" s="183"/>
      <c r="T381" s="140"/>
      <c r="U381" s="140"/>
      <c r="V381" s="140"/>
      <c r="W381" s="140"/>
      <c r="X381" s="140"/>
    </row>
    <row r="382" spans="1:24">
      <c r="A382" s="54" t="s">
        <v>507</v>
      </c>
      <c r="B382" s="54">
        <v>86000</v>
      </c>
      <c r="C382" s="54" t="s">
        <v>188</v>
      </c>
      <c r="D382" s="54" t="s">
        <v>508</v>
      </c>
      <c r="F382" s="54" t="s">
        <v>226</v>
      </c>
      <c r="G382" s="90">
        <f>G394</f>
        <v>4</v>
      </c>
      <c r="H382" s="90">
        <v>1800</v>
      </c>
      <c r="I382" s="90">
        <f>G382*H382</f>
        <v>7200</v>
      </c>
      <c r="J382" s="177"/>
      <c r="K382" s="90">
        <f>K394</f>
        <v>4</v>
      </c>
      <c r="L382" s="90">
        <f>H382*K382*$E$6</f>
        <v>7488</v>
      </c>
      <c r="M382" s="177"/>
      <c r="N382" s="90">
        <f>N394</f>
        <v>4</v>
      </c>
      <c r="O382" s="90">
        <f>H382*N382*$E$6*$E$6</f>
        <v>7787.52</v>
      </c>
      <c r="P382" s="177"/>
      <c r="Q382" s="90">
        <f>Q394</f>
        <v>4</v>
      </c>
      <c r="R382" s="90">
        <f>H382*Q382*$E$6*$E$6*$E$6</f>
        <v>8099.0208000000011</v>
      </c>
      <c r="S382" s="177"/>
      <c r="T382" s="90">
        <f>T394</f>
        <v>4</v>
      </c>
      <c r="U382" s="90">
        <f>H382*T382*$E$6*$E$6*$E$6*$E$6</f>
        <v>8422.9816320000009</v>
      </c>
      <c r="V382" s="90">
        <f>SUM(R382,O382,L382,I382,U382)</f>
        <v>38997.522432000005</v>
      </c>
      <c r="W382" s="90" t="s">
        <v>217</v>
      </c>
      <c r="X382" s="90">
        <f>SUM(V382:W382)</f>
        <v>38997.522432000005</v>
      </c>
    </row>
    <row r="383" spans="1:24" ht="37.799999999999997">
      <c r="A383" s="54" t="s">
        <v>507</v>
      </c>
      <c r="B383" s="54" t="s">
        <v>237</v>
      </c>
      <c r="C383" s="54" t="s">
        <v>188</v>
      </c>
      <c r="D383" s="54" t="s">
        <v>509</v>
      </c>
      <c r="F383" s="54" t="s">
        <v>239</v>
      </c>
      <c r="G383" s="90">
        <f>G394*5</f>
        <v>20</v>
      </c>
      <c r="H383" s="90">
        <v>160</v>
      </c>
      <c r="I383" s="90">
        <f>G383*H383</f>
        <v>3200</v>
      </c>
      <c r="J383" s="177"/>
      <c r="K383" s="90">
        <f>K394*5</f>
        <v>20</v>
      </c>
      <c r="L383" s="90">
        <f>H383*K383*$E$6</f>
        <v>3328</v>
      </c>
      <c r="M383" s="177"/>
      <c r="N383" s="90">
        <f>N394*5</f>
        <v>20</v>
      </c>
      <c r="O383" s="90">
        <f>H383*N383*$E$6*$E$6</f>
        <v>3461.12</v>
      </c>
      <c r="P383" s="177"/>
      <c r="Q383" s="90">
        <f>Q394*5</f>
        <v>20</v>
      </c>
      <c r="R383" s="90">
        <f>H383*Q383*$E$6*$E$6*$E$6</f>
        <v>3599.5648000000001</v>
      </c>
      <c r="S383" s="177"/>
      <c r="T383" s="90">
        <f>T394*5</f>
        <v>20</v>
      </c>
      <c r="U383" s="90">
        <f>H383*T383*$E$6*$E$6*$E$6*$E$6</f>
        <v>3743.5473920000004</v>
      </c>
      <c r="V383" s="90">
        <f>SUM(R383,O383,L383,I383,U383)</f>
        <v>17332.232191999999</v>
      </c>
      <c r="W383" s="90" t="s">
        <v>217</v>
      </c>
      <c r="X383" s="90">
        <f>SUM(V383:W383)</f>
        <v>17332.232191999999</v>
      </c>
    </row>
    <row r="384" spans="1:24">
      <c r="A384" s="87"/>
      <c r="B384" s="87"/>
      <c r="C384" s="87"/>
      <c r="D384" s="87" t="s">
        <v>510</v>
      </c>
      <c r="E384" s="181"/>
      <c r="F384" s="92"/>
      <c r="G384" s="93"/>
      <c r="H384" s="93"/>
      <c r="I384" s="94">
        <f>SUM(I378:I383)</f>
        <v>12704</v>
      </c>
      <c r="J384" s="181"/>
      <c r="K384" s="93"/>
      <c r="L384" s="94">
        <f>SUM(L378:L383)</f>
        <v>16232.32</v>
      </c>
      <c r="M384" s="181"/>
      <c r="N384" s="93"/>
      <c r="O384" s="94">
        <f>SUM(O378:O383)</f>
        <v>16881.612799999999</v>
      </c>
      <c r="P384" s="181"/>
      <c r="Q384" s="93"/>
      <c r="R384" s="94">
        <f>SUM(R378:R383)</f>
        <v>17556.877312000001</v>
      </c>
      <c r="S384" s="181"/>
      <c r="T384" s="93"/>
      <c r="U384" s="94">
        <f>SUM(U378:U383)</f>
        <v>16502.02484736</v>
      </c>
      <c r="V384" s="94">
        <f>SUM(V378:V383)</f>
        <v>79876.83495936</v>
      </c>
      <c r="W384" s="94">
        <f>SUM(W378:W383)</f>
        <v>0</v>
      </c>
      <c r="X384" s="94">
        <f>SUM(X378:X383)</f>
        <v>79876.83495936</v>
      </c>
    </row>
    <row r="385" spans="1:24">
      <c r="A385" s="153"/>
      <c r="B385" s="153"/>
      <c r="C385" s="153"/>
      <c r="D385" s="153"/>
      <c r="E385" s="182"/>
      <c r="F385" s="129"/>
      <c r="G385" s="109"/>
      <c r="H385" s="109"/>
      <c r="I385" s="109"/>
      <c r="J385" s="182"/>
      <c r="K385" s="109"/>
      <c r="L385" s="109"/>
      <c r="M385" s="182"/>
      <c r="N385" s="109"/>
      <c r="O385" s="109"/>
      <c r="P385" s="182"/>
      <c r="Q385" s="109"/>
      <c r="R385" s="109"/>
      <c r="S385" s="182"/>
      <c r="T385" s="109"/>
      <c r="U385" s="109"/>
      <c r="V385" s="109"/>
      <c r="W385" s="109"/>
      <c r="X385" s="109"/>
    </row>
    <row r="386" spans="1:24">
      <c r="A386" s="87"/>
      <c r="B386" s="87"/>
      <c r="C386" s="87"/>
      <c r="D386" s="87" t="s">
        <v>511</v>
      </c>
      <c r="E386" s="181"/>
      <c r="F386" s="92"/>
      <c r="G386" s="93"/>
      <c r="H386" s="93"/>
      <c r="I386" s="93"/>
      <c r="J386" s="181"/>
      <c r="K386" s="93"/>
      <c r="L386" s="93"/>
      <c r="M386" s="181"/>
      <c r="N386" s="93"/>
      <c r="O386" s="93"/>
      <c r="P386" s="181"/>
      <c r="Q386" s="93"/>
      <c r="R386" s="93"/>
      <c r="S386" s="181"/>
      <c r="T386" s="93"/>
      <c r="U386" s="93"/>
      <c r="V386" s="93"/>
      <c r="W386" s="93"/>
      <c r="X386" s="93"/>
    </row>
    <row r="387" spans="1:24">
      <c r="A387" s="140"/>
      <c r="B387" s="140"/>
      <c r="C387" s="140"/>
      <c r="D387" s="140" t="s">
        <v>151</v>
      </c>
      <c r="E387" s="183"/>
      <c r="F387" s="140"/>
      <c r="G387" s="140"/>
      <c r="H387" s="140"/>
      <c r="I387" s="140"/>
      <c r="J387" s="183"/>
      <c r="K387" s="140"/>
      <c r="L387" s="140"/>
      <c r="M387" s="183"/>
      <c r="N387" s="140"/>
      <c r="O387" s="140"/>
      <c r="P387" s="183"/>
      <c r="Q387" s="140"/>
      <c r="R387" s="140"/>
      <c r="S387" s="183"/>
      <c r="T387" s="140"/>
      <c r="U387" s="140"/>
      <c r="V387" s="140"/>
      <c r="W387" s="140"/>
      <c r="X387" s="140"/>
    </row>
    <row r="388" spans="1:24" ht="25.2">
      <c r="A388" s="54" t="s">
        <v>512</v>
      </c>
      <c r="B388" s="54">
        <v>89000</v>
      </c>
      <c r="C388" s="54" t="s">
        <v>188</v>
      </c>
      <c r="D388" s="54" t="s">
        <v>513</v>
      </c>
      <c r="F388" s="54" t="s">
        <v>454</v>
      </c>
      <c r="G388" s="90">
        <v>0</v>
      </c>
      <c r="H388" s="90">
        <v>20000</v>
      </c>
      <c r="I388" s="90">
        <f t="shared" ref="I388:I394" si="394">G388*H388</f>
        <v>0</v>
      </c>
      <c r="J388" s="177"/>
      <c r="K388" s="90">
        <v>0</v>
      </c>
      <c r="L388" s="90">
        <f t="shared" ref="L388:L394" si="395">H388*K388</f>
        <v>0</v>
      </c>
      <c r="M388" s="177"/>
      <c r="N388" s="90">
        <v>10</v>
      </c>
      <c r="O388" s="90">
        <f t="shared" ref="O388:O394" si="396">H388*N388</f>
        <v>200000</v>
      </c>
      <c r="P388" s="177"/>
      <c r="Q388" s="90">
        <v>0</v>
      </c>
      <c r="R388" s="90">
        <f t="shared" ref="R388:R394" si="397">H388*Q388</f>
        <v>0</v>
      </c>
      <c r="S388" s="177"/>
      <c r="T388" s="90">
        <v>0</v>
      </c>
      <c r="U388" s="90">
        <f t="shared" ref="U388:U394" si="398">H388*T388</f>
        <v>0</v>
      </c>
      <c r="V388" s="90">
        <f t="shared" ref="V388:V394" si="399">SUM(R388,O388,L388,I388,U388)</f>
        <v>200000</v>
      </c>
      <c r="W388" s="90" t="s">
        <v>217</v>
      </c>
      <c r="X388" s="90">
        <f t="shared" ref="X388:X394" si="400">SUM(V388:W388)</f>
        <v>200000</v>
      </c>
    </row>
    <row r="389" spans="1:24" ht="50.4">
      <c r="A389" s="54" t="s">
        <v>514</v>
      </c>
      <c r="B389" s="54" t="s">
        <v>284</v>
      </c>
      <c r="C389" s="54" t="s">
        <v>188</v>
      </c>
      <c r="D389" s="54" t="s">
        <v>515</v>
      </c>
      <c r="F389" s="54" t="s">
        <v>258</v>
      </c>
      <c r="G389" s="90">
        <v>0</v>
      </c>
      <c r="H389" s="90">
        <v>1000</v>
      </c>
      <c r="I389" s="90">
        <f t="shared" si="394"/>
        <v>0</v>
      </c>
      <c r="J389" s="177"/>
      <c r="K389" s="90">
        <v>1</v>
      </c>
      <c r="L389" s="90">
        <f t="shared" si="395"/>
        <v>1000</v>
      </c>
      <c r="M389" s="177"/>
      <c r="N389" s="90">
        <v>0</v>
      </c>
      <c r="O389" s="90">
        <f t="shared" si="396"/>
        <v>0</v>
      </c>
      <c r="P389" s="177"/>
      <c r="Q389" s="90">
        <v>0</v>
      </c>
      <c r="R389" s="90">
        <f t="shared" si="397"/>
        <v>0</v>
      </c>
      <c r="S389" s="177"/>
      <c r="T389" s="90">
        <v>0</v>
      </c>
      <c r="U389" s="90">
        <f t="shared" si="398"/>
        <v>0</v>
      </c>
      <c r="V389" s="90">
        <f t="shared" si="399"/>
        <v>1000</v>
      </c>
      <c r="W389" s="90">
        <v>0</v>
      </c>
      <c r="X389" s="90">
        <f t="shared" si="400"/>
        <v>1000</v>
      </c>
    </row>
    <row r="390" spans="1:24" ht="50.4">
      <c r="A390" s="54" t="s">
        <v>514</v>
      </c>
      <c r="B390" s="54" t="s">
        <v>284</v>
      </c>
      <c r="C390" s="54" t="s">
        <v>188</v>
      </c>
      <c r="D390" s="54" t="s">
        <v>516</v>
      </c>
      <c r="F390" s="54" t="s">
        <v>258</v>
      </c>
      <c r="G390" s="90">
        <v>0</v>
      </c>
      <c r="H390" s="90">
        <v>1000</v>
      </c>
      <c r="I390" s="90">
        <f t="shared" si="394"/>
        <v>0</v>
      </c>
      <c r="J390" s="177"/>
      <c r="K390" s="90">
        <v>1</v>
      </c>
      <c r="L390" s="90">
        <f t="shared" si="395"/>
        <v>1000</v>
      </c>
      <c r="M390" s="177"/>
      <c r="N390" s="90">
        <v>0</v>
      </c>
      <c r="O390" s="90">
        <f t="shared" si="396"/>
        <v>0</v>
      </c>
      <c r="P390" s="177"/>
      <c r="Q390" s="90">
        <v>0</v>
      </c>
      <c r="R390" s="90">
        <f t="shared" si="397"/>
        <v>0</v>
      </c>
      <c r="S390" s="177"/>
      <c r="T390" s="90">
        <v>0</v>
      </c>
      <c r="U390" s="90">
        <f t="shared" si="398"/>
        <v>0</v>
      </c>
      <c r="V390" s="90">
        <f t="shared" si="399"/>
        <v>1000</v>
      </c>
      <c r="W390" s="90">
        <v>0</v>
      </c>
      <c r="X390" s="90">
        <f t="shared" si="400"/>
        <v>1000</v>
      </c>
    </row>
    <row r="391" spans="1:24" ht="50.4">
      <c r="A391" s="54" t="s">
        <v>514</v>
      </c>
      <c r="B391" s="54" t="s">
        <v>284</v>
      </c>
      <c r="C391" s="54" t="s">
        <v>188</v>
      </c>
      <c r="D391" s="54" t="s">
        <v>517</v>
      </c>
      <c r="F391" s="54" t="s">
        <v>258</v>
      </c>
      <c r="G391" s="90">
        <v>0</v>
      </c>
      <c r="H391" s="90">
        <v>500</v>
      </c>
      <c r="I391" s="90">
        <f t="shared" si="394"/>
        <v>0</v>
      </c>
      <c r="J391" s="177"/>
      <c r="K391" s="90">
        <v>1</v>
      </c>
      <c r="L391" s="90">
        <f t="shared" si="395"/>
        <v>500</v>
      </c>
      <c r="M391" s="177"/>
      <c r="N391" s="90">
        <v>0</v>
      </c>
      <c r="O391" s="90">
        <f t="shared" si="396"/>
        <v>0</v>
      </c>
      <c r="P391" s="177"/>
      <c r="Q391" s="90">
        <v>0</v>
      </c>
      <c r="R391" s="90">
        <f t="shared" si="397"/>
        <v>0</v>
      </c>
      <c r="S391" s="177"/>
      <c r="T391" s="90">
        <v>0</v>
      </c>
      <c r="U391" s="90">
        <f t="shared" si="398"/>
        <v>0</v>
      </c>
      <c r="V391" s="90">
        <f t="shared" si="399"/>
        <v>500</v>
      </c>
      <c r="W391" s="90">
        <v>0</v>
      </c>
      <c r="X391" s="90">
        <f t="shared" si="400"/>
        <v>500</v>
      </c>
    </row>
    <row r="392" spans="1:24">
      <c r="A392" s="54" t="s">
        <v>518</v>
      </c>
      <c r="B392" s="54">
        <v>87010</v>
      </c>
      <c r="C392" s="54" t="s">
        <v>188</v>
      </c>
      <c r="D392" s="54" t="s">
        <v>519</v>
      </c>
      <c r="E392" s="174"/>
      <c r="F392" s="54" t="s">
        <v>520</v>
      </c>
      <c r="G392" s="90">
        <v>1</v>
      </c>
      <c r="H392" s="90">
        <v>3000</v>
      </c>
      <c r="I392" s="90">
        <f t="shared" si="394"/>
        <v>3000</v>
      </c>
      <c r="J392" s="174"/>
      <c r="K392" s="90">
        <v>1</v>
      </c>
      <c r="L392" s="90">
        <f t="shared" si="395"/>
        <v>3000</v>
      </c>
      <c r="M392" s="174"/>
      <c r="N392" s="90">
        <v>2</v>
      </c>
      <c r="O392" s="90">
        <f t="shared" si="396"/>
        <v>6000</v>
      </c>
      <c r="P392" s="174"/>
      <c r="Q392" s="90">
        <v>1</v>
      </c>
      <c r="R392" s="90">
        <f t="shared" si="397"/>
        <v>3000</v>
      </c>
      <c r="S392" s="174"/>
      <c r="T392" s="90">
        <v>1</v>
      </c>
      <c r="U392" s="90">
        <f t="shared" si="398"/>
        <v>3000</v>
      </c>
      <c r="V392" s="90">
        <f t="shared" si="399"/>
        <v>18000</v>
      </c>
      <c r="W392" s="90">
        <v>0</v>
      </c>
      <c r="X392" s="90">
        <f t="shared" si="400"/>
        <v>18000</v>
      </c>
    </row>
    <row r="393" spans="1:24">
      <c r="A393" s="54" t="s">
        <v>521</v>
      </c>
      <c r="B393" s="54">
        <v>87000</v>
      </c>
      <c r="C393" s="54" t="s">
        <v>188</v>
      </c>
      <c r="D393" s="54" t="s">
        <v>522</v>
      </c>
      <c r="F393" s="54" t="s">
        <v>138</v>
      </c>
      <c r="G393" s="90">
        <v>0</v>
      </c>
      <c r="H393" s="90">
        <v>2600</v>
      </c>
      <c r="I393" s="90">
        <f t="shared" si="394"/>
        <v>0</v>
      </c>
      <c r="J393" s="177"/>
      <c r="K393" s="90">
        <v>2</v>
      </c>
      <c r="L393" s="90">
        <f t="shared" si="395"/>
        <v>5200</v>
      </c>
      <c r="M393" s="177"/>
      <c r="N393" s="90">
        <v>2</v>
      </c>
      <c r="O393" s="90">
        <f t="shared" si="396"/>
        <v>5200</v>
      </c>
      <c r="P393" s="177"/>
      <c r="Q393" s="90">
        <v>0</v>
      </c>
      <c r="R393" s="90">
        <f t="shared" si="397"/>
        <v>0</v>
      </c>
      <c r="S393" s="177"/>
      <c r="T393" s="90">
        <v>0</v>
      </c>
      <c r="U393" s="90">
        <f t="shared" si="398"/>
        <v>0</v>
      </c>
      <c r="V393" s="90">
        <f t="shared" si="399"/>
        <v>10400</v>
      </c>
      <c r="W393" s="90">
        <v>0</v>
      </c>
      <c r="X393" s="90">
        <f t="shared" si="400"/>
        <v>10400</v>
      </c>
    </row>
    <row r="394" spans="1:24">
      <c r="A394" s="54" t="s">
        <v>523</v>
      </c>
      <c r="B394" s="54">
        <v>87000</v>
      </c>
      <c r="C394" s="54" t="s">
        <v>188</v>
      </c>
      <c r="D394" s="54" t="s">
        <v>524</v>
      </c>
      <c r="F394" s="54" t="s">
        <v>470</v>
      </c>
      <c r="G394" s="90">
        <v>4</v>
      </c>
      <c r="H394" s="90">
        <v>500</v>
      </c>
      <c r="I394" s="90">
        <f t="shared" si="394"/>
        <v>2000</v>
      </c>
      <c r="J394" s="177"/>
      <c r="K394" s="90">
        <v>4</v>
      </c>
      <c r="L394" s="90">
        <f t="shared" si="395"/>
        <v>2000</v>
      </c>
      <c r="M394" s="177"/>
      <c r="N394" s="90">
        <v>4</v>
      </c>
      <c r="O394" s="90">
        <f t="shared" si="396"/>
        <v>2000</v>
      </c>
      <c r="P394" s="177"/>
      <c r="Q394" s="90">
        <v>4</v>
      </c>
      <c r="R394" s="90">
        <f t="shared" si="397"/>
        <v>2000</v>
      </c>
      <c r="S394" s="177"/>
      <c r="T394" s="90">
        <v>4</v>
      </c>
      <c r="U394" s="90">
        <f t="shared" si="398"/>
        <v>2000</v>
      </c>
      <c r="V394" s="90">
        <f t="shared" si="399"/>
        <v>10000</v>
      </c>
      <c r="W394" s="90">
        <v>0</v>
      </c>
      <c r="X394" s="90">
        <f t="shared" si="400"/>
        <v>10000</v>
      </c>
    </row>
    <row r="395" spans="1:24">
      <c r="A395" s="87"/>
      <c r="B395" s="87"/>
      <c r="C395" s="87"/>
      <c r="D395" s="87" t="s">
        <v>525</v>
      </c>
      <c r="E395" s="181"/>
      <c r="F395" s="92"/>
      <c r="G395" s="93"/>
      <c r="H395" s="93"/>
      <c r="I395" s="94">
        <f>SUM(I388:I394)</f>
        <v>5000</v>
      </c>
      <c r="J395" s="181"/>
      <c r="K395" s="94"/>
      <c r="L395" s="94">
        <f>SUM(L388:L394)</f>
        <v>12700</v>
      </c>
      <c r="M395" s="181"/>
      <c r="N395" s="94"/>
      <c r="O395" s="94">
        <f>SUM(O388:O394)</f>
        <v>213200</v>
      </c>
      <c r="P395" s="181"/>
      <c r="Q395" s="94"/>
      <c r="R395" s="94">
        <f>SUM(R388:R394)</f>
        <v>5000</v>
      </c>
      <c r="S395" s="181"/>
      <c r="T395" s="94"/>
      <c r="U395" s="94">
        <f>SUM(U388:U394)</f>
        <v>5000</v>
      </c>
      <c r="V395" s="94">
        <f>SUM(V388:V394)</f>
        <v>240900</v>
      </c>
      <c r="W395" s="94">
        <f>SUM(W388:W394)</f>
        <v>0</v>
      </c>
      <c r="X395" s="94">
        <f>SUM(X388:X394)</f>
        <v>240900</v>
      </c>
    </row>
    <row r="396" spans="1:24">
      <c r="A396" s="153"/>
      <c r="B396" s="153"/>
      <c r="C396" s="153"/>
      <c r="D396" s="153"/>
      <c r="E396" s="182"/>
      <c r="F396" s="129"/>
      <c r="G396" s="109"/>
      <c r="H396" s="109"/>
      <c r="I396" s="109"/>
      <c r="J396" s="182"/>
      <c r="K396" s="109"/>
      <c r="L396" s="109"/>
      <c r="M396" s="182"/>
      <c r="N396" s="109"/>
      <c r="O396" s="109"/>
      <c r="P396" s="182"/>
      <c r="Q396" s="109"/>
      <c r="R396" s="109"/>
      <c r="S396" s="182"/>
      <c r="T396" s="109"/>
      <c r="U396" s="109"/>
      <c r="V396" s="109"/>
      <c r="W396" s="109"/>
      <c r="X396" s="109"/>
    </row>
    <row r="397" spans="1:24">
      <c r="A397" s="87"/>
      <c r="B397" s="87"/>
      <c r="C397" s="87"/>
      <c r="D397" s="87" t="s">
        <v>526</v>
      </c>
      <c r="E397" s="181"/>
      <c r="F397" s="92"/>
      <c r="G397" s="93"/>
      <c r="H397" s="93"/>
      <c r="I397" s="93"/>
      <c r="J397" s="181"/>
      <c r="K397" s="93"/>
      <c r="L397" s="93"/>
      <c r="M397" s="181"/>
      <c r="N397" s="93"/>
      <c r="O397" s="93"/>
      <c r="P397" s="181"/>
      <c r="Q397" s="93"/>
      <c r="R397" s="93"/>
      <c r="S397" s="181"/>
      <c r="T397" s="93"/>
      <c r="U397" s="93"/>
      <c r="V397" s="93"/>
      <c r="W397" s="93"/>
      <c r="X397" s="93"/>
    </row>
    <row r="398" spans="1:24">
      <c r="A398" s="91" t="s">
        <v>527</v>
      </c>
      <c r="B398" s="91">
        <v>96000</v>
      </c>
      <c r="C398" s="54" t="s">
        <v>188</v>
      </c>
      <c r="D398" s="91" t="s">
        <v>528</v>
      </c>
      <c r="F398" s="95" t="s">
        <v>520</v>
      </c>
      <c r="G398" s="90">
        <v>1</v>
      </c>
      <c r="H398" s="90">
        <v>166.6</v>
      </c>
      <c r="I398" s="90">
        <v>0</v>
      </c>
      <c r="J398" s="177"/>
      <c r="K398" s="90">
        <v>1</v>
      </c>
      <c r="L398" s="90">
        <v>0</v>
      </c>
      <c r="M398" s="177"/>
      <c r="N398" s="90">
        <v>2</v>
      </c>
      <c r="O398" s="90">
        <v>0</v>
      </c>
      <c r="P398" s="177"/>
      <c r="Q398" s="90">
        <v>1</v>
      </c>
      <c r="R398" s="90">
        <v>0</v>
      </c>
      <c r="S398" s="177"/>
      <c r="T398" s="90">
        <v>1</v>
      </c>
      <c r="U398" s="90">
        <v>0</v>
      </c>
      <c r="V398" s="90">
        <f>SUM(R398,O398,L398,I398,U398)</f>
        <v>0</v>
      </c>
      <c r="W398" s="90">
        <f>(G398*H398)+(K398*H398)+(N398*H398)+(H398*Q398)+(T398*H398)</f>
        <v>999.6</v>
      </c>
      <c r="X398" s="225">
        <f>SUM(V398:W398)</f>
        <v>999.6</v>
      </c>
    </row>
    <row r="399" spans="1:24">
      <c r="A399" s="91" t="s">
        <v>527</v>
      </c>
      <c r="B399" s="91">
        <v>96000</v>
      </c>
      <c r="C399" s="54" t="s">
        <v>188</v>
      </c>
      <c r="D399" s="54" t="s">
        <v>529</v>
      </c>
      <c r="F399" s="95" t="s">
        <v>258</v>
      </c>
      <c r="G399" s="90">
        <v>0</v>
      </c>
      <c r="H399" s="90">
        <f>H366*1.4</f>
        <v>210000</v>
      </c>
      <c r="I399" s="90">
        <v>0</v>
      </c>
      <c r="J399" s="177"/>
      <c r="K399" s="90">
        <v>0</v>
      </c>
      <c r="L399" s="90">
        <v>0</v>
      </c>
      <c r="M399" s="177"/>
      <c r="N399" s="90">
        <v>1</v>
      </c>
      <c r="O399" s="90">
        <v>0</v>
      </c>
      <c r="P399" s="177"/>
      <c r="Q399" s="90">
        <v>0</v>
      </c>
      <c r="R399" s="90">
        <v>0</v>
      </c>
      <c r="S399" s="177"/>
      <c r="T399" s="90">
        <v>0</v>
      </c>
      <c r="U399" s="90">
        <v>0</v>
      </c>
      <c r="V399" s="90">
        <f>SUM(R399,O399,L399,I399,U399)</f>
        <v>0</v>
      </c>
      <c r="W399" s="90">
        <f>(G399*H399)+(K399*H399)+(N399*H399)+(H399*Q399)+(T399*H399)</f>
        <v>210000</v>
      </c>
      <c r="X399" s="225">
        <f>SUM(V399:W399)</f>
        <v>210000</v>
      </c>
    </row>
    <row r="400" spans="1:24" ht="25.2">
      <c r="A400" s="91" t="s">
        <v>527</v>
      </c>
      <c r="B400" s="91">
        <v>96000</v>
      </c>
      <c r="C400" s="54" t="s">
        <v>188</v>
      </c>
      <c r="D400" s="54" t="s">
        <v>530</v>
      </c>
      <c r="F400" s="95" t="s">
        <v>494</v>
      </c>
      <c r="G400" s="90">
        <v>0</v>
      </c>
      <c r="H400" s="90">
        <f>H367*0.5</f>
        <v>5000</v>
      </c>
      <c r="I400" s="90">
        <v>0</v>
      </c>
      <c r="J400" s="177"/>
      <c r="K400" s="90">
        <f>K367</f>
        <v>5</v>
      </c>
      <c r="L400" s="90">
        <v>0</v>
      </c>
      <c r="M400" s="177"/>
      <c r="N400" s="90">
        <f>N367</f>
        <v>5</v>
      </c>
      <c r="O400" s="90">
        <v>0</v>
      </c>
      <c r="P400" s="177"/>
      <c r="Q400" s="90">
        <v>0</v>
      </c>
      <c r="R400" s="90">
        <v>0</v>
      </c>
      <c r="S400" s="177"/>
      <c r="T400" s="90">
        <v>0</v>
      </c>
      <c r="U400" s="90">
        <v>0</v>
      </c>
      <c r="V400" s="90">
        <f>SUM(R400,O400,L400,I400,U400)</f>
        <v>0</v>
      </c>
      <c r="W400" s="90">
        <f>(G400*H400)+(K400*H400)+(N400*H400)+(H400*Q400)+(T400*H400)</f>
        <v>50000</v>
      </c>
      <c r="X400" s="225">
        <f>SUM(V400:W400)</f>
        <v>50000</v>
      </c>
    </row>
    <row r="401" spans="1:24" ht="25.2">
      <c r="A401" s="91" t="s">
        <v>527</v>
      </c>
      <c r="B401" s="91">
        <v>96000</v>
      </c>
      <c r="C401" s="54" t="s">
        <v>188</v>
      </c>
      <c r="D401" s="54" t="s">
        <v>531</v>
      </c>
      <c r="F401" s="95" t="s">
        <v>258</v>
      </c>
      <c r="G401" s="90">
        <v>0</v>
      </c>
      <c r="H401" s="90">
        <v>339000</v>
      </c>
      <c r="I401" s="90">
        <v>0</v>
      </c>
      <c r="J401" s="177"/>
      <c r="K401" s="90">
        <v>1</v>
      </c>
      <c r="L401" s="90">
        <v>0</v>
      </c>
      <c r="M401" s="177"/>
      <c r="N401" s="90">
        <v>0</v>
      </c>
      <c r="O401" s="90">
        <v>0</v>
      </c>
      <c r="P401" s="177"/>
      <c r="Q401" s="90">
        <v>0</v>
      </c>
      <c r="R401" s="90">
        <v>0</v>
      </c>
      <c r="S401" s="177"/>
      <c r="T401" s="90">
        <v>0</v>
      </c>
      <c r="U401" s="90">
        <v>0</v>
      </c>
      <c r="V401" s="90">
        <f>SUM(R401,O401,L401,I401,U401)</f>
        <v>0</v>
      </c>
      <c r="W401" s="90">
        <f>(G401*H401)+(K401*H401)+(N401*H401)+(H401*Q401)+(T401*H401)</f>
        <v>339000</v>
      </c>
      <c r="X401" s="225">
        <f>SUM(V401:W401)</f>
        <v>339000</v>
      </c>
    </row>
    <row r="402" spans="1:24">
      <c r="A402" s="87"/>
      <c r="B402" s="87"/>
      <c r="C402" s="87"/>
      <c r="D402" s="87" t="s">
        <v>532</v>
      </c>
      <c r="E402" s="181"/>
      <c r="F402" s="92"/>
      <c r="G402" s="93"/>
      <c r="H402" s="94"/>
      <c r="I402" s="94">
        <f>SUM(I398:I401)</f>
        <v>0</v>
      </c>
      <c r="J402" s="184"/>
      <c r="K402" s="94"/>
      <c r="L402" s="94">
        <f>SUM(L398:L401)</f>
        <v>0</v>
      </c>
      <c r="M402" s="184"/>
      <c r="N402" s="94"/>
      <c r="O402" s="94">
        <f>SUM(O398:O401)</f>
        <v>0</v>
      </c>
      <c r="P402" s="184"/>
      <c r="Q402" s="94"/>
      <c r="R402" s="94">
        <f>SUM(R398:R401)</f>
        <v>0</v>
      </c>
      <c r="S402" s="184"/>
      <c r="T402" s="94"/>
      <c r="U402" s="94">
        <f>SUM(U398:U401)</f>
        <v>0</v>
      </c>
      <c r="V402" s="94">
        <f>SUM(V398:V401)</f>
        <v>0</v>
      </c>
      <c r="W402" s="94">
        <f>SUM(W398:W401)</f>
        <v>599999.6</v>
      </c>
      <c r="X402" s="94">
        <f>SUM(X398:X401)</f>
        <v>599999.6</v>
      </c>
    </row>
    <row r="403" spans="1:24">
      <c r="A403" s="153"/>
      <c r="B403" s="153"/>
      <c r="C403" s="153"/>
      <c r="D403" s="153"/>
      <c r="E403" s="182"/>
      <c r="F403" s="129"/>
      <c r="G403" s="109"/>
      <c r="H403" s="109"/>
      <c r="I403" s="109"/>
      <c r="J403" s="182"/>
      <c r="K403" s="109"/>
      <c r="L403" s="109"/>
      <c r="M403" s="182"/>
      <c r="N403" s="109"/>
      <c r="O403" s="109"/>
      <c r="P403" s="182"/>
      <c r="Q403" s="109"/>
      <c r="R403" s="109"/>
      <c r="S403" s="182"/>
      <c r="T403" s="109"/>
      <c r="U403" s="109"/>
      <c r="V403" s="109"/>
      <c r="W403" s="109"/>
      <c r="X403" s="109"/>
    </row>
    <row r="404" spans="1:24" ht="12.9" thickBot="1">
      <c r="A404" s="100"/>
      <c r="B404" s="100"/>
      <c r="C404" s="100"/>
      <c r="D404" s="100" t="s">
        <v>533</v>
      </c>
      <c r="E404" s="175"/>
      <c r="F404" s="100"/>
      <c r="G404" s="116"/>
      <c r="H404" s="116"/>
      <c r="I404" s="111">
        <f>+I363+I402+I384+I356+I349+I395+I370+I375</f>
        <v>381754.45833333337</v>
      </c>
      <c r="J404" s="175"/>
      <c r="K404" s="111"/>
      <c r="L404" s="111">
        <f>+L363+L402+L384+L356+L349+L395+L370+L375</f>
        <v>796345.31799999997</v>
      </c>
      <c r="M404" s="175"/>
      <c r="N404" s="111"/>
      <c r="O404" s="111">
        <f>+O363+O402+O384+O356+O349+O395+O370+O375</f>
        <v>811417.76368000009</v>
      </c>
      <c r="P404" s="175"/>
      <c r="Q404" s="111"/>
      <c r="R404" s="111">
        <f>+R363+R402+R384+R356+R349+R395+R370+R375</f>
        <v>341644.73250559997</v>
      </c>
      <c r="S404" s="175"/>
      <c r="T404" s="111"/>
      <c r="U404" s="111">
        <f>+U363+U402+U384+U356+U349+U395+U370+U375</f>
        <v>272850.4758888107</v>
      </c>
      <c r="V404" s="111">
        <f>+V363+V402+V384+V356+V349+V395+V370+V375</f>
        <v>2604012.7484077439</v>
      </c>
      <c r="W404" s="111">
        <f>+W363+W402+W384+W356+W349+W395+W370+W375</f>
        <v>599999.6</v>
      </c>
      <c r="X404" s="111">
        <f>+X363+X402+X384+X356+X349+X395+X370+X375</f>
        <v>3204012.348407744</v>
      </c>
    </row>
    <row r="405" spans="1:24">
      <c r="A405" s="129"/>
      <c r="B405" s="129"/>
      <c r="C405" s="129"/>
      <c r="D405" s="129"/>
      <c r="E405" s="172"/>
      <c r="F405" s="129"/>
      <c r="G405" s="109"/>
      <c r="H405" s="109"/>
      <c r="I405" s="109"/>
      <c r="J405" s="172"/>
      <c r="K405" s="109"/>
      <c r="L405" s="109"/>
      <c r="M405" s="172"/>
      <c r="N405" s="109"/>
      <c r="O405" s="109"/>
      <c r="P405" s="172"/>
      <c r="Q405" s="109"/>
      <c r="R405" s="109"/>
      <c r="S405" s="172"/>
      <c r="T405" s="109"/>
      <c r="U405" s="109"/>
      <c r="V405" s="109"/>
      <c r="W405" s="109"/>
      <c r="X405" s="109"/>
    </row>
    <row r="406" spans="1:24">
      <c r="A406" s="147"/>
      <c r="B406" s="147"/>
      <c r="C406" s="147"/>
      <c r="D406" s="147" t="s">
        <v>534</v>
      </c>
      <c r="E406" s="179"/>
      <c r="F406" s="84"/>
      <c r="G406" s="84"/>
      <c r="H406" s="85"/>
      <c r="I406" s="148"/>
      <c r="J406" s="179"/>
      <c r="K406" s="148"/>
      <c r="L406" s="148"/>
      <c r="M406" s="179"/>
      <c r="N406" s="148"/>
      <c r="O406" s="148"/>
      <c r="P406" s="179"/>
      <c r="Q406" s="148"/>
      <c r="R406" s="148"/>
      <c r="S406" s="179"/>
      <c r="T406" s="148"/>
      <c r="U406" s="148"/>
      <c r="V406" s="148"/>
      <c r="W406" s="149"/>
      <c r="X406" s="148"/>
    </row>
    <row r="407" spans="1:24">
      <c r="A407" s="150"/>
      <c r="B407" s="150"/>
      <c r="C407" s="150"/>
      <c r="D407" s="150" t="s">
        <v>349</v>
      </c>
      <c r="E407" s="180"/>
      <c r="F407" s="151"/>
      <c r="G407" s="152"/>
      <c r="H407" s="152"/>
      <c r="I407" s="152"/>
      <c r="J407" s="180"/>
      <c r="K407" s="152"/>
      <c r="L407" s="152"/>
      <c r="M407" s="180"/>
      <c r="N407" s="152"/>
      <c r="O407" s="152"/>
      <c r="P407" s="180"/>
      <c r="Q407" s="152"/>
      <c r="R407" s="152"/>
      <c r="S407" s="180"/>
      <c r="T407" s="152"/>
      <c r="U407" s="152"/>
      <c r="V407" s="152"/>
      <c r="W407" s="152"/>
      <c r="X407" s="152"/>
    </row>
    <row r="408" spans="1:24">
      <c r="A408" s="91"/>
      <c r="B408" s="91"/>
      <c r="C408" s="91"/>
      <c r="D408" s="91" t="s">
        <v>148</v>
      </c>
      <c r="E408" s="174"/>
      <c r="F408" s="95"/>
      <c r="G408" s="90">
        <v>0</v>
      </c>
      <c r="H408" s="90">
        <v>0</v>
      </c>
      <c r="I408" s="90">
        <f>H408*G408</f>
        <v>0</v>
      </c>
      <c r="J408" s="174"/>
      <c r="K408" s="90"/>
      <c r="L408" s="90">
        <v>0</v>
      </c>
      <c r="M408" s="174"/>
      <c r="N408" s="90"/>
      <c r="O408" s="90">
        <v>0</v>
      </c>
      <c r="P408" s="174"/>
      <c r="Q408" s="90"/>
      <c r="R408" s="90">
        <v>0</v>
      </c>
      <c r="S408" s="174"/>
      <c r="T408" s="90"/>
      <c r="U408" s="90">
        <v>0</v>
      </c>
      <c r="V408" s="90">
        <f>U408+I408+L408+O408+R408</f>
        <v>0</v>
      </c>
      <c r="W408" s="90">
        <v>0</v>
      </c>
      <c r="X408" s="99">
        <f>SUM(V408:W408)</f>
        <v>0</v>
      </c>
    </row>
    <row r="409" spans="1:24">
      <c r="E409" s="174"/>
      <c r="F409" s="96"/>
      <c r="G409" s="90"/>
      <c r="H409" s="90"/>
      <c r="I409" s="90"/>
      <c r="J409" s="174"/>
      <c r="K409" s="90"/>
      <c r="L409" s="90"/>
      <c r="M409" s="174"/>
      <c r="N409" s="90"/>
      <c r="O409" s="90"/>
      <c r="P409" s="174"/>
      <c r="Q409" s="90"/>
      <c r="R409" s="90"/>
      <c r="S409" s="174"/>
      <c r="T409" s="90"/>
      <c r="U409" s="90"/>
      <c r="V409" s="90"/>
      <c r="W409" s="90"/>
      <c r="X409" s="90"/>
    </row>
    <row r="410" spans="1:24" ht="12.9" thickBot="1">
      <c r="A410" s="100"/>
      <c r="B410" s="100"/>
      <c r="C410" s="100"/>
      <c r="D410" s="100" t="s">
        <v>535</v>
      </c>
      <c r="E410" s="175"/>
      <c r="F410" s="100"/>
      <c r="G410" s="116"/>
      <c r="H410" s="116"/>
      <c r="I410" s="111">
        <f>SUM(I408:I408)</f>
        <v>0</v>
      </c>
      <c r="J410" s="175"/>
      <c r="K410" s="111"/>
      <c r="L410" s="111">
        <f>SUM(L408:L408)</f>
        <v>0</v>
      </c>
      <c r="M410" s="175"/>
      <c r="N410" s="111"/>
      <c r="O410" s="111">
        <f>SUM(O408:O408)</f>
        <v>0</v>
      </c>
      <c r="P410" s="175"/>
      <c r="Q410" s="111"/>
      <c r="R410" s="111">
        <f>SUM(R408:R408)</f>
        <v>0</v>
      </c>
      <c r="S410" s="175"/>
      <c r="T410" s="111"/>
      <c r="U410" s="111">
        <f>SUM(U408:U408)</f>
        <v>0</v>
      </c>
      <c r="V410" s="103">
        <f>U410+I410+L410+O410+R410</f>
        <v>0</v>
      </c>
      <c r="W410" s="111">
        <f>SUM(W408:W408)</f>
        <v>0</v>
      </c>
      <c r="X410" s="111">
        <f>SUM(V410:W410)</f>
        <v>0</v>
      </c>
    </row>
    <row r="411" spans="1:24">
      <c r="A411" s="105"/>
      <c r="B411" s="105"/>
      <c r="C411" s="105"/>
      <c r="D411" s="105"/>
      <c r="E411" s="185"/>
      <c r="H411" s="89"/>
      <c r="I411" s="89"/>
      <c r="J411" s="185"/>
      <c r="K411" s="89"/>
      <c r="L411" s="89"/>
      <c r="M411" s="185"/>
      <c r="N411" s="89"/>
      <c r="O411" s="89"/>
      <c r="P411" s="185"/>
      <c r="Q411" s="89"/>
      <c r="R411" s="89"/>
      <c r="S411" s="185"/>
      <c r="T411" s="89"/>
      <c r="U411" s="89"/>
      <c r="V411" s="89"/>
      <c r="W411" s="90"/>
      <c r="X411" s="89"/>
    </row>
    <row r="412" spans="1:24" ht="12.9" thickBot="1">
      <c r="A412" s="155"/>
      <c r="B412" s="155"/>
      <c r="C412" s="155"/>
      <c r="D412" s="155" t="s">
        <v>53</v>
      </c>
      <c r="E412" s="186"/>
      <c r="F412" s="155"/>
      <c r="G412" s="155"/>
      <c r="H412" s="156"/>
      <c r="I412" s="157">
        <f>I410+I404+I326+I259+I201+I141+I129+I114+I97+I92+I66+I49+I34</f>
        <v>2323055.2666666666</v>
      </c>
      <c r="J412" s="186"/>
      <c r="K412" s="157"/>
      <c r="L412" s="157">
        <f>L410+L404+L326+L259+L201+L141+L129+L114+L97+L92+L66+L49+L34</f>
        <v>3252764.872</v>
      </c>
      <c r="M412" s="186"/>
      <c r="N412" s="157"/>
      <c r="O412" s="157">
        <f>O410+O404+O326+O259+O201+O141+O129+O114+O97+O92+O66+O49+O34</f>
        <v>2745352.1260799998</v>
      </c>
      <c r="P412" s="186"/>
      <c r="Q412" s="157"/>
      <c r="R412" s="157">
        <f>R410+R404+R326+R259+R201+R141+R129+R114+R97+R92+R66+R49+R34</f>
        <v>1839247.3766912001</v>
      </c>
      <c r="S412" s="186"/>
      <c r="T412" s="157"/>
      <c r="U412" s="157">
        <f>U410+U404+U326+U259+U201+U141+U129+U114+U97+U92+U66+U49+U34</f>
        <v>1815711.3570271574</v>
      </c>
      <c r="V412" s="157">
        <f>V410+V404+V326+V259+V201+V141+V129+V114+V97+V92+V66+V49+V34</f>
        <v>11976130.998465024</v>
      </c>
      <c r="W412" s="157">
        <f>W410+W404+W326+W259+W201+W141+W129+W114+W97+W92+W66+W49+W34</f>
        <v>599999.6</v>
      </c>
      <c r="X412" s="157">
        <f>W412+V412</f>
        <v>12576130.598465024</v>
      </c>
    </row>
    <row r="413" spans="1:24">
      <c r="A413" s="104"/>
      <c r="B413" s="104"/>
      <c r="C413" s="104"/>
      <c r="D413" s="104"/>
      <c r="E413" s="187"/>
      <c r="H413" s="89"/>
      <c r="I413" s="107"/>
      <c r="J413" s="187"/>
      <c r="K413" s="107"/>
      <c r="L413" s="107"/>
      <c r="M413" s="187"/>
      <c r="N413" s="107"/>
      <c r="O413" s="107"/>
      <c r="P413" s="187"/>
      <c r="Q413" s="107"/>
      <c r="R413" s="107"/>
      <c r="S413" s="187"/>
      <c r="T413" s="107"/>
      <c r="U413" s="107"/>
      <c r="V413" s="107"/>
      <c r="W413" s="107"/>
      <c r="X413" s="107"/>
    </row>
    <row r="414" spans="1:24">
      <c r="A414" s="54" t="s">
        <v>536</v>
      </c>
      <c r="B414" s="54">
        <v>94050</v>
      </c>
      <c r="C414" s="54" t="s">
        <v>188</v>
      </c>
      <c r="D414" s="104" t="s">
        <v>537</v>
      </c>
      <c r="E414" s="187"/>
      <c r="F414" s="105"/>
      <c r="G414" s="105"/>
      <c r="H414" s="110">
        <v>0.2828</v>
      </c>
      <c r="I414" s="107">
        <f>I412*$H$414</f>
        <v>656960.02941333328</v>
      </c>
      <c r="J414" s="187"/>
      <c r="K414" s="107"/>
      <c r="L414" s="107">
        <f>L412*$H$414</f>
        <v>919881.90580159996</v>
      </c>
      <c r="M414" s="187"/>
      <c r="N414" s="107"/>
      <c r="O414" s="107">
        <f>O412*$H$414</f>
        <v>776385.58125542395</v>
      </c>
      <c r="P414" s="187"/>
      <c r="Q414" s="107"/>
      <c r="R414" s="107">
        <f>R412*$H$414</f>
        <v>520139.15812827135</v>
      </c>
      <c r="S414" s="187"/>
      <c r="T414" s="107"/>
      <c r="U414" s="107">
        <f>(U412)*$H$414</f>
        <v>513483.17176728015</v>
      </c>
      <c r="V414" s="107">
        <f>SUM(U414+R414,O414,L414,I414)</f>
        <v>3386849.8463659086</v>
      </c>
      <c r="W414" s="107">
        <v>0</v>
      </c>
      <c r="X414" s="107">
        <f>SUM(V414:W414)</f>
        <v>3386849.8463659086</v>
      </c>
    </row>
    <row r="415" spans="1:24">
      <c r="A415" s="52"/>
      <c r="B415" s="158"/>
      <c r="C415" s="158"/>
      <c r="D415" s="158"/>
      <c r="E415" s="188"/>
      <c r="F415" s="159"/>
      <c r="G415" s="77"/>
      <c r="H415" s="88"/>
      <c r="I415" s="160"/>
      <c r="J415" s="188"/>
      <c r="K415" s="160"/>
      <c r="L415" s="160"/>
      <c r="M415" s="188"/>
      <c r="N415" s="160"/>
      <c r="O415" s="160"/>
      <c r="P415" s="188"/>
      <c r="Q415" s="160"/>
      <c r="R415" s="160"/>
      <c r="S415" s="188"/>
      <c r="T415" s="160"/>
      <c r="U415" s="160"/>
      <c r="V415" s="160"/>
      <c r="W415" s="160"/>
      <c r="X415" s="160"/>
    </row>
    <row r="416" spans="1:24" ht="12.9" thickBot="1">
      <c r="A416" s="161"/>
      <c r="B416" s="161"/>
      <c r="C416" s="161"/>
      <c r="D416" s="161" t="s">
        <v>538</v>
      </c>
      <c r="E416" s="189"/>
      <c r="F416" s="161"/>
      <c r="G416" s="161"/>
      <c r="H416" s="162"/>
      <c r="I416" s="163">
        <f>I412+I414</f>
        <v>2980015.2960799998</v>
      </c>
      <c r="J416" s="189"/>
      <c r="K416" s="163"/>
      <c r="L416" s="163">
        <f>L412+L414</f>
        <v>4172646.7778015998</v>
      </c>
      <c r="M416" s="189"/>
      <c r="N416" s="163"/>
      <c r="O416" s="163">
        <f>O412+O414</f>
        <v>3521737.7073354237</v>
      </c>
      <c r="P416" s="189"/>
      <c r="Q416" s="163"/>
      <c r="R416" s="163">
        <f>R412+R414</f>
        <v>2359386.5348194716</v>
      </c>
      <c r="S416" s="189"/>
      <c r="T416" s="163"/>
      <c r="U416" s="163">
        <f>U412+U414</f>
        <v>2329194.5287944376</v>
      </c>
      <c r="V416" s="163">
        <f>U416+I416+L416+O416+R416</f>
        <v>15362980.844830934</v>
      </c>
      <c r="W416" s="163">
        <f>W412+W414</f>
        <v>599999.6</v>
      </c>
      <c r="X416" s="163">
        <f>SUM(V416:W416)</f>
        <v>15962980.444830934</v>
      </c>
    </row>
    <row r="417" spans="2:19" ht="12.9" thickTop="1">
      <c r="J417" s="177"/>
      <c r="M417" s="177"/>
      <c r="P417" s="177"/>
      <c r="S417" s="177"/>
    </row>
    <row r="418" spans="2:19">
      <c r="J418" s="177"/>
      <c r="M418" s="177"/>
      <c r="P418" s="177"/>
      <c r="S418" s="177"/>
    </row>
    <row r="419" spans="2:19">
      <c r="B419" s="71"/>
      <c r="C419" s="71"/>
      <c r="D419" s="71"/>
      <c r="J419" s="177"/>
      <c r="M419" s="177"/>
      <c r="P419" s="177"/>
      <c r="S419" s="177"/>
    </row>
    <row r="420" spans="2:19">
      <c r="B420" s="71"/>
      <c r="C420" s="71"/>
      <c r="D420" s="71"/>
      <c r="J420" s="177"/>
      <c r="M420" s="177"/>
      <c r="P420" s="177"/>
      <c r="S420" s="177"/>
    </row>
    <row r="421" spans="2:19">
      <c r="B421" s="164"/>
      <c r="C421" s="164"/>
      <c r="D421" s="164"/>
      <c r="E421" s="190"/>
      <c r="J421" s="190"/>
      <c r="M421" s="190"/>
      <c r="P421" s="190"/>
      <c r="S421" s="190"/>
    </row>
    <row r="422" spans="2:19">
      <c r="B422" s="164"/>
      <c r="C422" s="164"/>
      <c r="D422" s="164"/>
      <c r="E422" s="191"/>
      <c r="J422" s="191"/>
      <c r="M422" s="191"/>
      <c r="P422" s="191"/>
      <c r="S422" s="191"/>
    </row>
    <row r="423" spans="2:19">
      <c r="J423" s="177"/>
      <c r="M423" s="177"/>
      <c r="P423" s="177"/>
      <c r="S423" s="177"/>
    </row>
  </sheetData>
  <mergeCells count="5">
    <mergeCell ref="D1:X1"/>
    <mergeCell ref="D3:X3"/>
    <mergeCell ref="D4:X4"/>
    <mergeCell ref="D5:E5"/>
    <mergeCell ref="D2:X2"/>
  </mergeCells>
  <phoneticPr fontId="7" type="noConversion"/>
  <pageMargins left="0.7" right="0.7" top="0.75" bottom="0.75" header="0.3" footer="0.3"/>
  <pageSetup scale="10" orientation="landscape" r:id="rId1"/>
  <headerFooter alignWithMargins="0"/>
  <rowBreaks count="1" manualBreakCount="1">
    <brk id="142" min="3" max="1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F0CB6-660F-44F2-A222-D4DC3A20B7B0}">
  <sheetPr>
    <pageSetUpPr fitToPage="1"/>
  </sheetPr>
  <dimension ref="A1:J68"/>
  <sheetViews>
    <sheetView zoomScaleNormal="100" zoomScaleSheetLayoutView="90" workbookViewId="0">
      <pane ySplit="7" topLeftCell="A48" activePane="bottomLeft" state="frozen"/>
      <selection activeCell="B75" sqref="B75"/>
      <selection pane="bottomLeft" activeCell="A8" sqref="A8"/>
    </sheetView>
  </sheetViews>
  <sheetFormatPr defaultColWidth="11.44140625" defaultRowHeight="12.6"/>
  <cols>
    <col min="1" max="1" width="3.44140625" style="52" customWidth="1"/>
    <col min="2" max="2" width="64.1640625" style="54" bestFit="1" customWidth="1"/>
    <col min="3" max="3" width="10.71875" style="97" bestFit="1" customWidth="1"/>
    <col min="4" max="8" width="10.71875" style="78" bestFit="1" customWidth="1"/>
    <col min="9" max="9" width="11.71875" style="78" bestFit="1" customWidth="1"/>
    <col min="10" max="10" width="32.1640625" style="52" bestFit="1" customWidth="1"/>
    <col min="11" max="11" width="12.44140625" style="52" bestFit="1" customWidth="1"/>
    <col min="12" max="16384" width="11.44140625" style="52"/>
  </cols>
  <sheetData>
    <row r="1" spans="2:10" ht="13.8">
      <c r="B1" s="597" t="s">
        <v>152</v>
      </c>
      <c r="C1" s="597"/>
      <c r="D1" s="597"/>
      <c r="E1" s="597"/>
      <c r="F1" s="597"/>
      <c r="G1" s="597"/>
      <c r="H1" s="597"/>
      <c r="I1" s="597"/>
    </row>
    <row r="2" spans="2:10" ht="13.8">
      <c r="B2" s="599" t="s">
        <v>153</v>
      </c>
      <c r="C2" s="599"/>
      <c r="D2" s="599"/>
      <c r="E2" s="599"/>
      <c r="F2" s="599"/>
      <c r="G2" s="599"/>
      <c r="H2" s="599"/>
      <c r="I2" s="599"/>
    </row>
    <row r="3" spans="2:10" ht="13.8">
      <c r="B3" s="597" t="s">
        <v>154</v>
      </c>
      <c r="C3" s="597"/>
      <c r="D3" s="597"/>
      <c r="E3" s="597"/>
      <c r="F3" s="597"/>
      <c r="G3" s="597"/>
      <c r="H3" s="597"/>
      <c r="I3" s="597"/>
    </row>
    <row r="4" spans="2:10" ht="13.8">
      <c r="B4" s="597" t="s">
        <v>157</v>
      </c>
      <c r="C4" s="597"/>
      <c r="D4" s="597"/>
      <c r="E4" s="597"/>
      <c r="F4" s="597"/>
      <c r="G4" s="597"/>
      <c r="H4" s="597"/>
      <c r="I4" s="597"/>
    </row>
    <row r="5" spans="2:10" ht="13.8">
      <c r="B5" s="597" t="s">
        <v>539</v>
      </c>
      <c r="C5" s="597"/>
      <c r="D5" s="597"/>
      <c r="E5" s="597"/>
      <c r="F5" s="597"/>
      <c r="G5" s="597"/>
      <c r="H5" s="597"/>
      <c r="I5" s="597"/>
    </row>
    <row r="7" spans="2:10" ht="24.9">
      <c r="B7" s="197" t="s">
        <v>167</v>
      </c>
      <c r="C7" s="198" t="s">
        <v>171</v>
      </c>
      <c r="D7" s="199" t="s">
        <v>172</v>
      </c>
      <c r="E7" s="199" t="s">
        <v>174</v>
      </c>
      <c r="F7" s="199" t="s">
        <v>176</v>
      </c>
      <c r="G7" s="198" t="s">
        <v>178</v>
      </c>
      <c r="H7" s="198" t="s">
        <v>180</v>
      </c>
      <c r="I7" s="198" t="s">
        <v>181</v>
      </c>
    </row>
    <row r="8" spans="2:10">
      <c r="B8" s="83" t="s">
        <v>540</v>
      </c>
      <c r="C8" s="85"/>
      <c r="D8" s="86"/>
      <c r="E8" s="86"/>
      <c r="F8" s="86"/>
      <c r="G8" s="86"/>
      <c r="H8" s="86"/>
      <c r="I8" s="86"/>
    </row>
    <row r="9" spans="2:10" hidden="1">
      <c r="B9" s="122" t="s">
        <v>541</v>
      </c>
      <c r="C9" s="125"/>
      <c r="D9" s="126"/>
      <c r="E9" s="126"/>
      <c r="F9" s="126"/>
      <c r="G9" s="126"/>
      <c r="H9" s="126"/>
      <c r="I9" s="126"/>
    </row>
    <row r="10" spans="2:10" hidden="1">
      <c r="B10" s="54" t="s">
        <v>542</v>
      </c>
      <c r="C10" s="90">
        <f>141500/12</f>
        <v>11791.666666666666</v>
      </c>
      <c r="D10" s="90" t="e">
        <f>#REF!*C10*#REF!</f>
        <v>#REF!</v>
      </c>
      <c r="E10" s="90" t="e">
        <f>#REF!*C10*#REF!*#REF!</f>
        <v>#REF!</v>
      </c>
      <c r="F10" s="90" t="e">
        <f>#REF!*C10*#REF!*#REF!*#REF!</f>
        <v>#REF!</v>
      </c>
      <c r="G10" s="90" t="e">
        <f>#REF!*C10*#REF!*#REF!*#REF!*#REF!</f>
        <v>#REF!</v>
      </c>
      <c r="H10" s="90" t="e">
        <f>#REF!*C10*#REF!*#REF!*#REF!*#REF!*#REF!</f>
        <v>#REF!</v>
      </c>
      <c r="I10" s="90" t="e">
        <f t="shared" ref="I10:I24" si="0">SUM(G10,F10,E10,D10,H10)</f>
        <v>#REF!</v>
      </c>
    </row>
    <row r="11" spans="2:10" hidden="1">
      <c r="B11" s="54" t="s">
        <v>543</v>
      </c>
      <c r="C11" s="90">
        <f>110000/12</f>
        <v>9166.6666666666661</v>
      </c>
      <c r="D11" s="90" t="e">
        <f>#REF!*C11*#REF!</f>
        <v>#REF!</v>
      </c>
      <c r="E11" s="90" t="e">
        <f>#REF!*C11*#REF!*#REF!</f>
        <v>#REF!</v>
      </c>
      <c r="F11" s="90" t="e">
        <f>#REF!*C11*#REF!*#REF!*#REF!</f>
        <v>#REF!</v>
      </c>
      <c r="G11" s="90" t="e">
        <f>#REF!*C11*#REF!*#REF!*#REF!*#REF!</f>
        <v>#REF!</v>
      </c>
      <c r="H11" s="90" t="e">
        <f>#REF!*C11*#REF!*#REF!*#REF!*#REF!*#REF!</f>
        <v>#REF!</v>
      </c>
      <c r="I11" s="90" t="e">
        <f t="shared" si="0"/>
        <v>#REF!</v>
      </c>
    </row>
    <row r="12" spans="2:10" hidden="1">
      <c r="B12" s="54" t="s">
        <v>201</v>
      </c>
      <c r="C12" s="90">
        <f>39000/12</f>
        <v>3250</v>
      </c>
      <c r="D12" s="90" t="e">
        <f>#REF!*C12*#REF!</f>
        <v>#REF!</v>
      </c>
      <c r="E12" s="90" t="e">
        <f>#REF!*C12*#REF!*#REF!</f>
        <v>#REF!</v>
      </c>
      <c r="F12" s="90" t="e">
        <f>#REF!*C12*#REF!*#REF!*#REF!</f>
        <v>#REF!</v>
      </c>
      <c r="G12" s="90" t="e">
        <f>#REF!*C12*#REF!*#REF!*#REF!*#REF!</f>
        <v>#REF!</v>
      </c>
      <c r="H12" s="90" t="e">
        <f>#REF!*C12*#REF!*#REF!*#REF!*#REF!*#REF!</f>
        <v>#REF!</v>
      </c>
      <c r="I12" s="90" t="e">
        <f t="shared" si="0"/>
        <v>#REF!</v>
      </c>
    </row>
    <row r="13" spans="2:10" hidden="1">
      <c r="B13" s="54" t="s">
        <v>199</v>
      </c>
      <c r="C13" s="90">
        <f>39000/12</f>
        <v>3250</v>
      </c>
      <c r="D13" s="90" t="e">
        <f>#REF!*C13*#REF!</f>
        <v>#REF!</v>
      </c>
      <c r="E13" s="90" t="e">
        <f>#REF!*C13*#REF!*#REF!</f>
        <v>#REF!</v>
      </c>
      <c r="F13" s="90" t="e">
        <f>#REF!*C13*#REF!*#REF!*#REF!</f>
        <v>#REF!</v>
      </c>
      <c r="G13" s="90" t="e">
        <f>#REF!*C13*#REF!*#REF!*#REF!*#REF!</f>
        <v>#REF!</v>
      </c>
      <c r="H13" s="90" t="e">
        <f>#REF!*C13*#REF!*#REF!*#REF!*#REF!*#REF!</f>
        <v>#REF!</v>
      </c>
      <c r="I13" s="90" t="e">
        <f t="shared" si="0"/>
        <v>#REF!</v>
      </c>
    </row>
    <row r="14" spans="2:10" hidden="1">
      <c r="B14" s="54" t="s">
        <v>544</v>
      </c>
      <c r="C14" s="90">
        <f t="shared" ref="C14:C22" si="1">22000/12</f>
        <v>1833.3333333333333</v>
      </c>
      <c r="D14" s="90" t="e">
        <f>#REF!*C14*#REF!</f>
        <v>#REF!</v>
      </c>
      <c r="E14" s="90" t="e">
        <f>#REF!*C14*#REF!*#REF!</f>
        <v>#REF!</v>
      </c>
      <c r="F14" s="90" t="e">
        <f>#REF!*C14*#REF!*#REF!*#REF!</f>
        <v>#REF!</v>
      </c>
      <c r="G14" s="90" t="e">
        <f>#REF!*C14*#REF!*#REF!*#REF!*#REF!</f>
        <v>#REF!</v>
      </c>
      <c r="H14" s="90" t="e">
        <f>#REF!*C14*#REF!*#REF!*#REF!*#REF!*#REF!</f>
        <v>#REF!</v>
      </c>
      <c r="I14" s="90" t="e">
        <f t="shared" si="0"/>
        <v>#REF!</v>
      </c>
      <c r="J14" s="108"/>
    </row>
    <row r="15" spans="2:10" hidden="1">
      <c r="B15" s="54" t="s">
        <v>544</v>
      </c>
      <c r="C15" s="90">
        <f t="shared" si="1"/>
        <v>1833.3333333333333</v>
      </c>
      <c r="D15" s="90" t="e">
        <f>#REF!*C15*#REF!</f>
        <v>#REF!</v>
      </c>
      <c r="E15" s="90" t="e">
        <f>#REF!*C15*#REF!*#REF!</f>
        <v>#REF!</v>
      </c>
      <c r="F15" s="90" t="e">
        <f>#REF!*C15*#REF!*#REF!*#REF!</f>
        <v>#REF!</v>
      </c>
      <c r="G15" s="90" t="e">
        <f>#REF!*C15*#REF!*#REF!*#REF!*#REF!</f>
        <v>#REF!</v>
      </c>
      <c r="H15" s="90" t="e">
        <f>#REF!*C15*#REF!*#REF!*#REF!*#REF!*#REF!</f>
        <v>#REF!</v>
      </c>
      <c r="I15" s="90" t="e">
        <f t="shared" si="0"/>
        <v>#REF!</v>
      </c>
      <c r="J15" s="108"/>
    </row>
    <row r="16" spans="2:10" hidden="1">
      <c r="B16" s="54" t="s">
        <v>545</v>
      </c>
      <c r="C16" s="90">
        <f t="shared" si="1"/>
        <v>1833.3333333333333</v>
      </c>
      <c r="D16" s="90" t="e">
        <f>#REF!*C16*#REF!</f>
        <v>#REF!</v>
      </c>
      <c r="E16" s="90" t="e">
        <f>#REF!*C16*#REF!*#REF!</f>
        <v>#REF!</v>
      </c>
      <c r="F16" s="90" t="e">
        <f>#REF!*C16*#REF!*#REF!*#REF!</f>
        <v>#REF!</v>
      </c>
      <c r="G16" s="90" t="e">
        <f>#REF!*C16*#REF!*#REF!*#REF!*#REF!</f>
        <v>#REF!</v>
      </c>
      <c r="H16" s="90" t="e">
        <f>#REF!*C16*#REF!*#REF!*#REF!*#REF!*#REF!</f>
        <v>#REF!</v>
      </c>
      <c r="I16" s="90" t="e">
        <f t="shared" si="0"/>
        <v>#REF!</v>
      </c>
    </row>
    <row r="17" spans="2:10" hidden="1">
      <c r="B17" s="54" t="s">
        <v>545</v>
      </c>
      <c r="C17" s="90">
        <f>18000/12</f>
        <v>1500</v>
      </c>
      <c r="D17" s="90" t="e">
        <f>#REF!*C17*#REF!</f>
        <v>#REF!</v>
      </c>
      <c r="E17" s="90" t="e">
        <f>#REF!*C17*#REF!*#REF!</f>
        <v>#REF!</v>
      </c>
      <c r="F17" s="90" t="e">
        <f>#REF!*C17*#REF!*#REF!*#REF!</f>
        <v>#REF!</v>
      </c>
      <c r="G17" s="90" t="e">
        <f>#REF!*C17*#REF!*#REF!*#REF!*#REF!</f>
        <v>#REF!</v>
      </c>
      <c r="H17" s="90" t="e">
        <f>#REF!*C17*#REF!*#REF!*#REF!*#REF!*#REF!</f>
        <v>#REF!</v>
      </c>
      <c r="I17" s="90" t="e">
        <f t="shared" si="0"/>
        <v>#REF!</v>
      </c>
    </row>
    <row r="18" spans="2:10" hidden="1">
      <c r="B18" s="54" t="s">
        <v>546</v>
      </c>
      <c r="C18" s="90">
        <f t="shared" si="1"/>
        <v>1833.3333333333333</v>
      </c>
      <c r="D18" s="90" t="e">
        <f>#REF!*C18*#REF!</f>
        <v>#REF!</v>
      </c>
      <c r="E18" s="90" t="e">
        <f>#REF!*C18*#REF!*#REF!</f>
        <v>#REF!</v>
      </c>
      <c r="F18" s="90" t="e">
        <f>#REF!*C18*#REF!*#REF!*#REF!</f>
        <v>#REF!</v>
      </c>
      <c r="G18" s="90" t="e">
        <f>#REF!*C18*#REF!*#REF!*#REF!*#REF!</f>
        <v>#REF!</v>
      </c>
      <c r="H18" s="90" t="e">
        <f>#REF!*C18*#REF!*#REF!*#REF!*#REF!*#REF!</f>
        <v>#REF!</v>
      </c>
      <c r="I18" s="90" t="e">
        <f t="shared" si="0"/>
        <v>#REF!</v>
      </c>
    </row>
    <row r="19" spans="2:10" hidden="1">
      <c r="B19" s="54" t="s">
        <v>546</v>
      </c>
      <c r="C19" s="90">
        <f t="shared" si="1"/>
        <v>1833.3333333333333</v>
      </c>
      <c r="D19" s="90" t="e">
        <f>#REF!*C19*#REF!</f>
        <v>#REF!</v>
      </c>
      <c r="E19" s="90" t="e">
        <f>#REF!*C19*#REF!*#REF!</f>
        <v>#REF!</v>
      </c>
      <c r="F19" s="90" t="e">
        <f>#REF!*C19*#REF!*#REF!*#REF!</f>
        <v>#REF!</v>
      </c>
      <c r="G19" s="90" t="e">
        <f>#REF!*C19*#REF!*#REF!*#REF!*#REF!</f>
        <v>#REF!</v>
      </c>
      <c r="H19" s="90" t="e">
        <f>#REF!*C19*#REF!*#REF!*#REF!*#REF!*#REF!</f>
        <v>#REF!</v>
      </c>
      <c r="I19" s="90" t="e">
        <f t="shared" si="0"/>
        <v>#REF!</v>
      </c>
    </row>
    <row r="20" spans="2:10" hidden="1">
      <c r="B20" s="54" t="s">
        <v>546</v>
      </c>
      <c r="C20" s="90">
        <f>18000/12</f>
        <v>1500</v>
      </c>
      <c r="D20" s="90" t="e">
        <f>#REF!*C20*#REF!</f>
        <v>#REF!</v>
      </c>
      <c r="E20" s="90" t="e">
        <f>#REF!*C20*#REF!*#REF!</f>
        <v>#REF!</v>
      </c>
      <c r="F20" s="90" t="e">
        <f>#REF!*C20*#REF!*#REF!*#REF!</f>
        <v>#REF!</v>
      </c>
      <c r="G20" s="90" t="e">
        <f>#REF!*C20*#REF!*#REF!*#REF!*#REF!</f>
        <v>#REF!</v>
      </c>
      <c r="H20" s="90" t="e">
        <f>#REF!*C20*#REF!*#REF!*#REF!*#REF!*#REF!</f>
        <v>#REF!</v>
      </c>
      <c r="I20" s="90" t="e">
        <f t="shared" si="0"/>
        <v>#REF!</v>
      </c>
    </row>
    <row r="21" spans="2:10" hidden="1">
      <c r="B21" s="54" t="s">
        <v>546</v>
      </c>
      <c r="C21" s="90">
        <f>18000/12</f>
        <v>1500</v>
      </c>
      <c r="D21" s="90" t="e">
        <f>#REF!*C21*#REF!</f>
        <v>#REF!</v>
      </c>
      <c r="E21" s="90" t="e">
        <f>#REF!*C21*#REF!*#REF!</f>
        <v>#REF!</v>
      </c>
      <c r="F21" s="90" t="e">
        <f>#REF!*C21*#REF!*#REF!*#REF!</f>
        <v>#REF!</v>
      </c>
      <c r="G21" s="90" t="e">
        <f>#REF!*C21*#REF!*#REF!*#REF!*#REF!</f>
        <v>#REF!</v>
      </c>
      <c r="H21" s="90" t="e">
        <f>#REF!*C21*#REF!*#REF!*#REF!*#REF!*#REF!</f>
        <v>#REF!</v>
      </c>
      <c r="I21" s="90" t="e">
        <f t="shared" si="0"/>
        <v>#REF!</v>
      </c>
    </row>
    <row r="22" spans="2:10" hidden="1">
      <c r="B22" s="54" t="s">
        <v>547</v>
      </c>
      <c r="C22" s="90">
        <f t="shared" si="1"/>
        <v>1833.3333333333333</v>
      </c>
      <c r="D22" s="90" t="e">
        <f>#REF!*C22*#REF!</f>
        <v>#REF!</v>
      </c>
      <c r="E22" s="90" t="e">
        <f>#REF!*C22*#REF!*#REF!</f>
        <v>#REF!</v>
      </c>
      <c r="F22" s="90" t="e">
        <f>#REF!*C22*#REF!*#REF!*#REF!</f>
        <v>#REF!</v>
      </c>
      <c r="G22" s="90" t="e">
        <f>#REF!*C22*#REF!*#REF!*#REF!*#REF!</f>
        <v>#REF!</v>
      </c>
      <c r="H22" s="90" t="e">
        <f>#REF!*C22*#REF!*#REF!*#REF!*#REF!*#REF!</f>
        <v>#REF!</v>
      </c>
      <c r="I22" s="90" t="e">
        <f t="shared" si="0"/>
        <v>#REF!</v>
      </c>
    </row>
    <row r="23" spans="2:10" hidden="1">
      <c r="B23" s="54" t="s">
        <v>204</v>
      </c>
      <c r="C23" s="90">
        <f>18000/12</f>
        <v>1500</v>
      </c>
      <c r="D23" s="90" t="e">
        <f>#REF!*C23*#REF!</f>
        <v>#REF!</v>
      </c>
      <c r="E23" s="90" t="e">
        <f>#REF!*C23*#REF!*#REF!</f>
        <v>#REF!</v>
      </c>
      <c r="F23" s="90" t="e">
        <f>#REF!*C23*#REF!*#REF!*#REF!</f>
        <v>#REF!</v>
      </c>
      <c r="G23" s="90" t="e">
        <f>#REF!*C23*#REF!*#REF!*#REF!*#REF!</f>
        <v>#REF!</v>
      </c>
      <c r="H23" s="90" t="e">
        <f>#REF!*C23*#REF!*#REF!*#REF!*#REF!*#REF!</f>
        <v>#REF!</v>
      </c>
      <c r="I23" s="90" t="e">
        <f t="shared" si="0"/>
        <v>#REF!</v>
      </c>
    </row>
    <row r="24" spans="2:10" hidden="1">
      <c r="B24" s="54" t="s">
        <v>205</v>
      </c>
      <c r="C24" s="90">
        <f>15000/12</f>
        <v>1250</v>
      </c>
      <c r="D24" s="90" t="e">
        <f>#REF!*C24*#REF!</f>
        <v>#REF!</v>
      </c>
      <c r="E24" s="90" t="e">
        <f>#REF!*C24*#REF!*#REF!</f>
        <v>#REF!</v>
      </c>
      <c r="F24" s="90" t="e">
        <f>#REF!*C24*#REF!*#REF!*#REF!</f>
        <v>#REF!</v>
      </c>
      <c r="G24" s="90" t="e">
        <f>#REF!*C24*#REF!*#REF!*#REF!*#REF!</f>
        <v>#REF!</v>
      </c>
      <c r="H24" s="90" t="e">
        <f>#REF!*C24*#REF!*#REF!*#REF!*#REF!*#REF!</f>
        <v>#REF!</v>
      </c>
      <c r="I24" s="90" t="e">
        <f t="shared" si="0"/>
        <v>#REF!</v>
      </c>
    </row>
    <row r="25" spans="2:10" hidden="1">
      <c r="C25" s="90"/>
      <c r="D25" s="90"/>
      <c r="E25" s="90"/>
      <c r="F25" s="90"/>
      <c r="G25" s="90"/>
      <c r="H25" s="90"/>
      <c r="I25" s="90"/>
    </row>
    <row r="26" spans="2:10" hidden="1">
      <c r="B26" s="122" t="s">
        <v>548</v>
      </c>
      <c r="C26" s="128"/>
      <c r="D26" s="128"/>
      <c r="E26" s="128"/>
      <c r="F26" s="128"/>
      <c r="G26" s="128"/>
      <c r="H26" s="128"/>
      <c r="I26" s="128"/>
    </row>
    <row r="27" spans="2:10" hidden="1">
      <c r="B27" s="54" t="s">
        <v>549</v>
      </c>
      <c r="C27" s="90">
        <f>55000/12</f>
        <v>4583.333333333333</v>
      </c>
      <c r="D27" s="90" t="e">
        <f>#REF!*C27*#REF!</f>
        <v>#REF!</v>
      </c>
      <c r="E27" s="90" t="e">
        <f>#REF!*C27*#REF!*#REF!</f>
        <v>#REF!</v>
      </c>
      <c r="F27" s="90" t="e">
        <f>#REF!*C27*#REF!*#REF!*#REF!</f>
        <v>#REF!</v>
      </c>
      <c r="G27" s="90" t="e">
        <f>#REF!*C27*#REF!*#REF!*#REF!*#REF!</f>
        <v>#REF!</v>
      </c>
      <c r="H27" s="90" t="e">
        <f>#REF!*C27*#REF!*#REF!*#REF!*#REF!*#REF!</f>
        <v>#REF!</v>
      </c>
      <c r="I27" s="90" t="e">
        <f>SUM(G27,F27,E27,D27,H27)</f>
        <v>#REF!</v>
      </c>
      <c r="J27" s="112"/>
    </row>
    <row r="28" spans="2:10" hidden="1">
      <c r="C28" s="90"/>
      <c r="D28" s="90"/>
      <c r="E28" s="90"/>
      <c r="F28" s="90"/>
      <c r="G28" s="90"/>
      <c r="H28" s="90"/>
      <c r="I28" s="90"/>
    </row>
    <row r="29" spans="2:10">
      <c r="B29" s="194" t="s">
        <v>211</v>
      </c>
      <c r="C29" s="194"/>
      <c r="D29" s="201">
        <f>'Program Budget'!I34</f>
        <v>209416.66666666669</v>
      </c>
      <c r="E29" s="201">
        <f>'Program Budget'!L34</f>
        <v>146848</v>
      </c>
      <c r="F29" s="201">
        <f>'Program Budget'!O34</f>
        <v>150829.12</v>
      </c>
      <c r="G29" s="201">
        <f>'Program Budget'!R34</f>
        <v>156862.28479999999</v>
      </c>
      <c r="H29" s="201">
        <f>'Program Budget'!U34</f>
        <v>160558.21294933333</v>
      </c>
      <c r="I29" s="200">
        <f>SUM(D29:H29)</f>
        <v>824514.28441600001</v>
      </c>
    </row>
    <row r="30" spans="2:10">
      <c r="B30" s="84" t="s">
        <v>550</v>
      </c>
      <c r="C30" s="85"/>
      <c r="D30" s="86"/>
      <c r="E30" s="86"/>
      <c r="F30" s="86"/>
      <c r="G30" s="86"/>
      <c r="H30" s="86"/>
      <c r="I30" s="86"/>
    </row>
    <row r="31" spans="2:10">
      <c r="B31" s="202" t="s">
        <v>232</v>
      </c>
      <c r="C31" s="203"/>
      <c r="D31" s="201">
        <f>'Program Budget'!I49</f>
        <v>115279.32666666668</v>
      </c>
      <c r="E31" s="201">
        <f>'Program Budget'!L49</f>
        <v>60830.551599999999</v>
      </c>
      <c r="F31" s="201">
        <f>'Program Budget'!O49</f>
        <v>62754.231903999993</v>
      </c>
      <c r="G31" s="201">
        <f>'Program Budget'!R49</f>
        <v>65264.401180159999</v>
      </c>
      <c r="H31" s="201">
        <f>'Program Budget'!U49</f>
        <v>102277.22040436055</v>
      </c>
      <c r="I31" s="200">
        <f>SUM(D31:H31)</f>
        <v>406405.73175518721</v>
      </c>
    </row>
    <row r="32" spans="2:10">
      <c r="B32" s="84" t="s">
        <v>551</v>
      </c>
      <c r="C32" s="85"/>
      <c r="D32" s="86"/>
      <c r="E32" s="86"/>
      <c r="F32" s="86"/>
      <c r="G32" s="86"/>
      <c r="H32" s="86"/>
      <c r="I32" s="86"/>
    </row>
    <row r="33" spans="1:10">
      <c r="A33" s="134"/>
      <c r="B33" s="194" t="s">
        <v>253</v>
      </c>
      <c r="C33" s="203"/>
      <c r="D33" s="201">
        <f>'Program Budget'!I66</f>
        <v>37563</v>
      </c>
      <c r="E33" s="201">
        <f>'Program Budget'!L66</f>
        <v>40469.519999999997</v>
      </c>
      <c r="F33" s="201">
        <f>'Program Budget'!O66</f>
        <v>42088.300800000012</v>
      </c>
      <c r="G33" s="201">
        <f>'Program Budget'!R66</f>
        <v>43771.832832</v>
      </c>
      <c r="H33" s="201">
        <f>'Program Budget'!U66</f>
        <v>44645.312225280002</v>
      </c>
      <c r="I33" s="200">
        <f>SUM(D33:H33)</f>
        <v>208537.96585728001</v>
      </c>
    </row>
    <row r="34" spans="1:10">
      <c r="B34" s="84" t="s">
        <v>552</v>
      </c>
      <c r="C34" s="85"/>
      <c r="D34" s="86"/>
      <c r="E34" s="86"/>
      <c r="F34" s="86"/>
      <c r="G34" s="86"/>
      <c r="H34" s="86"/>
      <c r="I34" s="86"/>
    </row>
    <row r="35" spans="1:10">
      <c r="A35" s="134"/>
      <c r="B35" s="194" t="s">
        <v>295</v>
      </c>
      <c r="C35" s="203"/>
      <c r="D35" s="201">
        <f>'Program Budget'!I92</f>
        <v>371475</v>
      </c>
      <c r="E35" s="201">
        <f>'Program Budget'!L92</f>
        <v>319100</v>
      </c>
      <c r="F35" s="201">
        <f>'Program Budget'!O92</f>
        <v>291100</v>
      </c>
      <c r="G35" s="201">
        <f>'Program Budget'!R92</f>
        <v>31100</v>
      </c>
      <c r="H35" s="201">
        <f>'Program Budget'!U92</f>
        <v>404825</v>
      </c>
      <c r="I35" s="200">
        <f>SUM(D35:H35)</f>
        <v>1417600</v>
      </c>
    </row>
    <row r="36" spans="1:10">
      <c r="B36" s="84" t="s">
        <v>553</v>
      </c>
      <c r="C36" s="85"/>
      <c r="D36" s="86"/>
      <c r="E36" s="86"/>
      <c r="F36" s="86"/>
      <c r="G36" s="86"/>
      <c r="H36" s="86"/>
      <c r="I36" s="86"/>
    </row>
    <row r="37" spans="1:10">
      <c r="B37" s="194" t="s">
        <v>298</v>
      </c>
      <c r="C37" s="194"/>
      <c r="D37" s="196">
        <f>'Program Budget'!I97</f>
        <v>130000</v>
      </c>
      <c r="E37" s="196">
        <f>'Program Budget'!L97</f>
        <v>0</v>
      </c>
      <c r="F37" s="196">
        <f>'Program Budget'!O97</f>
        <v>0</v>
      </c>
      <c r="G37" s="196">
        <f>'Program Budget'!R97</f>
        <v>0</v>
      </c>
      <c r="H37" s="196">
        <f>'Program Budget'!U97</f>
        <v>0</v>
      </c>
      <c r="I37" s="200">
        <f>SUM(D37:H37)</f>
        <v>130000</v>
      </c>
    </row>
    <row r="38" spans="1:10">
      <c r="A38" s="134"/>
      <c r="B38" s="84" t="s">
        <v>554</v>
      </c>
      <c r="C38" s="85"/>
      <c r="D38" s="86"/>
      <c r="E38" s="86"/>
      <c r="F38" s="86"/>
      <c r="G38" s="86"/>
      <c r="H38" s="86"/>
      <c r="I38" s="86"/>
    </row>
    <row r="39" spans="1:10">
      <c r="B39" s="194" t="s">
        <v>321</v>
      </c>
      <c r="C39" s="195"/>
      <c r="D39" s="196">
        <f>'Program Budget'!I114</f>
        <v>32690</v>
      </c>
      <c r="E39" s="196">
        <f>'Program Budget'!L114</f>
        <v>94244.800000000003</v>
      </c>
      <c r="F39" s="196">
        <f>'Program Budget'!O114</f>
        <v>98014.592000000004</v>
      </c>
      <c r="G39" s="196">
        <f>'Program Budget'!R114</f>
        <v>101935.17568</v>
      </c>
      <c r="H39" s="196">
        <f>'Program Budget'!U114</f>
        <v>57597.986201600004</v>
      </c>
      <c r="I39" s="200">
        <f>SUM(D39:H39)</f>
        <v>384482.55388159998</v>
      </c>
    </row>
    <row r="40" spans="1:10">
      <c r="A40" s="134"/>
      <c r="B40" s="84" t="s">
        <v>555</v>
      </c>
      <c r="C40" s="85"/>
      <c r="D40" s="86"/>
      <c r="E40" s="86"/>
      <c r="F40" s="86"/>
      <c r="G40" s="86"/>
      <c r="H40" s="86"/>
      <c r="I40" s="86"/>
    </row>
    <row r="41" spans="1:10" ht="12.9" thickBot="1">
      <c r="B41" s="100" t="s">
        <v>335</v>
      </c>
      <c r="C41" s="114"/>
      <c r="D41" s="115">
        <f>'Program Budget'!I129</f>
        <v>25618.239999999998</v>
      </c>
      <c r="E41" s="115">
        <f>'Program Budget'!L129</f>
        <v>3120</v>
      </c>
      <c r="F41" s="115">
        <f>'Program Budget'!O129</f>
        <v>3244.8</v>
      </c>
      <c r="G41" s="115">
        <f>'Program Budget'!R129</f>
        <v>3374.5920000000001</v>
      </c>
      <c r="H41" s="115">
        <f>'Program Budget'!U129</f>
        <v>1754.7878400000002</v>
      </c>
      <c r="I41" s="115">
        <f>SUM(D41:H41)</f>
        <v>37112.419839999995</v>
      </c>
    </row>
    <row r="42" spans="1:10">
      <c r="A42" s="134"/>
      <c r="B42" s="84" t="s">
        <v>556</v>
      </c>
      <c r="C42" s="85"/>
      <c r="D42" s="86"/>
      <c r="E42" s="86"/>
      <c r="F42" s="86"/>
      <c r="G42" s="86"/>
      <c r="H42" s="86"/>
      <c r="I42" s="86"/>
    </row>
    <row r="43" spans="1:10" ht="12.9" thickBot="1">
      <c r="B43" s="100" t="s">
        <v>348</v>
      </c>
      <c r="C43" s="114"/>
      <c r="D43" s="115">
        <f>'Program Budget'!I141</f>
        <v>13425</v>
      </c>
      <c r="E43" s="115">
        <f>'Program Budget'!L141</f>
        <v>16236</v>
      </c>
      <c r="F43" s="115">
        <f>'Program Budget'!O141</f>
        <v>16585.439999999999</v>
      </c>
      <c r="G43" s="115">
        <f>'Program Budget'!R141</f>
        <v>16948.857599999999</v>
      </c>
      <c r="H43" s="115">
        <f>'Program Budget'!U141</f>
        <v>15396.545280000002</v>
      </c>
      <c r="I43" s="115">
        <f>SUM(D43:H43)</f>
        <v>78591.842880000011</v>
      </c>
    </row>
    <row r="44" spans="1:10" ht="12.9" thickBot="1">
      <c r="B44" s="155" t="s">
        <v>557</v>
      </c>
      <c r="C44" s="156"/>
      <c r="D44" s="157">
        <f t="shared" ref="D44:I44" si="2">SUM(D29:D43)</f>
        <v>935467.2333333334</v>
      </c>
      <c r="E44" s="157">
        <f t="shared" si="2"/>
        <v>680848.87160000007</v>
      </c>
      <c r="F44" s="157">
        <f t="shared" si="2"/>
        <v>664616.48470399994</v>
      </c>
      <c r="G44" s="157">
        <f t="shared" si="2"/>
        <v>419257.14409215999</v>
      </c>
      <c r="H44" s="157">
        <f t="shared" si="2"/>
        <v>787055.06490057381</v>
      </c>
      <c r="I44" s="157">
        <f t="shared" si="2"/>
        <v>3487244.7986300671</v>
      </c>
    </row>
    <row r="45" spans="1:10">
      <c r="B45" s="104"/>
      <c r="C45" s="89"/>
      <c r="D45" s="107"/>
      <c r="E45" s="107"/>
      <c r="F45" s="107"/>
      <c r="G45" s="107"/>
      <c r="H45" s="107"/>
      <c r="I45" s="107"/>
    </row>
    <row r="46" spans="1:10">
      <c r="B46" s="104" t="s">
        <v>558</v>
      </c>
      <c r="C46" s="110">
        <v>0.2828</v>
      </c>
      <c r="D46" s="107">
        <f>D44*$C$46</f>
        <v>264550.13358666666</v>
      </c>
      <c r="E46" s="107">
        <f>E44*$C$46</f>
        <v>192544.06088848002</v>
      </c>
      <c r="F46" s="107">
        <f>F44*$C$46</f>
        <v>187953.54187429117</v>
      </c>
      <c r="G46" s="107">
        <f>G44*$C$46</f>
        <v>118565.92034926284</v>
      </c>
      <c r="H46" s="107">
        <f>H44*$C$46</f>
        <v>222579.17235388228</v>
      </c>
      <c r="I46" s="107">
        <f>SUM(H46+G46,F46,E46,D46)</f>
        <v>986192.82905258297</v>
      </c>
      <c r="J46" s="192"/>
    </row>
    <row r="47" spans="1:10">
      <c r="B47" s="158"/>
      <c r="C47" s="88"/>
      <c r="D47" s="160"/>
      <c r="E47" s="160"/>
      <c r="F47" s="160"/>
      <c r="G47" s="160"/>
      <c r="H47" s="160"/>
      <c r="I47" s="160"/>
    </row>
    <row r="48" spans="1:10" ht="12.9" thickBot="1">
      <c r="B48" s="161" t="s">
        <v>559</v>
      </c>
      <c r="C48" s="162"/>
      <c r="D48" s="163">
        <f>D46</f>
        <v>264550.13358666666</v>
      </c>
      <c r="E48" s="163">
        <f t="shared" ref="E48:H48" si="3">E46</f>
        <v>192544.06088848002</v>
      </c>
      <c r="F48" s="163">
        <f t="shared" si="3"/>
        <v>187953.54187429117</v>
      </c>
      <c r="G48" s="163">
        <f t="shared" si="3"/>
        <v>118565.92034926284</v>
      </c>
      <c r="H48" s="163">
        <f t="shared" si="3"/>
        <v>222579.17235388228</v>
      </c>
      <c r="I48" s="163">
        <f>I46</f>
        <v>986192.82905258297</v>
      </c>
    </row>
    <row r="49" spans="2:10" ht="12.9" thickTop="1">
      <c r="B49" s="194"/>
      <c r="C49" s="195"/>
      <c r="D49" s="196"/>
      <c r="E49" s="196"/>
      <c r="F49" s="196"/>
      <c r="G49" s="196"/>
      <c r="H49" s="196"/>
      <c r="I49" s="196"/>
    </row>
    <row r="50" spans="2:10">
      <c r="B50" s="147" t="str">
        <f>'USDA Budget Summary'!A28</f>
        <v>Activity 1: Increase Production and Farmer Resiliency</v>
      </c>
      <c r="C50" s="85"/>
      <c r="D50" s="148"/>
      <c r="E50" s="148"/>
      <c r="F50" s="148"/>
      <c r="G50" s="148"/>
      <c r="H50" s="148"/>
      <c r="I50" s="148"/>
    </row>
    <row r="51" spans="2:10">
      <c r="B51" s="194" t="s">
        <v>389</v>
      </c>
      <c r="C51" s="93"/>
      <c r="D51" s="200">
        <f>'Program Budget'!I201</f>
        <v>511993.35833333334</v>
      </c>
      <c r="E51" s="200">
        <f>'Program Budget'!L201</f>
        <v>730930.31</v>
      </c>
      <c r="F51" s="200">
        <f>'Program Budget'!O201</f>
        <v>334380.87728000002</v>
      </c>
      <c r="G51" s="200">
        <f>'Program Budget'!R201</f>
        <v>257248.43687680003</v>
      </c>
      <c r="H51" s="200">
        <f>'Program Budget'!U201</f>
        <v>229328.99687509338</v>
      </c>
      <c r="I51" s="200">
        <f>SUM(D51:H51)</f>
        <v>2063881.9793652268</v>
      </c>
      <c r="J51" s="222"/>
    </row>
    <row r="52" spans="2:10">
      <c r="B52" s="147" t="str">
        <f>'USDA Budget Summary'!A29</f>
        <v>Activity 2: Promote Regenerative Agriculture with Agropastoralists</v>
      </c>
      <c r="C52" s="85"/>
      <c r="D52" s="148"/>
      <c r="E52" s="148"/>
      <c r="F52" s="148"/>
      <c r="G52" s="148"/>
      <c r="H52" s="148"/>
      <c r="I52" s="148"/>
      <c r="J52" s="222"/>
    </row>
    <row r="53" spans="2:10">
      <c r="B53" s="194" t="s">
        <v>423</v>
      </c>
      <c r="C53" s="93"/>
      <c r="D53" s="200">
        <f>'Program Budget'!I259</f>
        <v>254205.38333333336</v>
      </c>
      <c r="E53" s="200">
        <f>'Program Budget'!L259</f>
        <v>432635.7536</v>
      </c>
      <c r="F53" s="200">
        <f>'Program Budget'!O259</f>
        <v>451227.32326400001</v>
      </c>
      <c r="G53" s="200">
        <f>'Program Budget'!R259</f>
        <v>403453.96586495999</v>
      </c>
      <c r="H53" s="200">
        <f>'Program Budget'!U259</f>
        <v>284296.60357703682</v>
      </c>
      <c r="I53" s="200">
        <f>SUM(D53:H53)</f>
        <v>1825819.0296393302</v>
      </c>
      <c r="J53" s="222"/>
    </row>
    <row r="54" spans="2:10">
      <c r="B54" s="147" t="str">
        <f>'USDA Budget Summary'!A30</f>
        <v>Activity 3: Improve the Agricultural-Enabling Environment</v>
      </c>
      <c r="C54" s="85"/>
      <c r="D54" s="148"/>
      <c r="E54" s="148"/>
      <c r="F54" s="148"/>
      <c r="G54" s="148"/>
      <c r="H54" s="148"/>
      <c r="I54" s="148"/>
      <c r="J54" s="222"/>
    </row>
    <row r="55" spans="2:10">
      <c r="B55" s="194" t="s">
        <v>472</v>
      </c>
      <c r="C55" s="93"/>
      <c r="D55" s="200">
        <f>'Program Budget'!I326</f>
        <v>239634.83333333334</v>
      </c>
      <c r="E55" s="200">
        <f>'Program Budget'!L326</f>
        <v>612004.61880000005</v>
      </c>
      <c r="F55" s="200">
        <f>'Program Budget'!O326</f>
        <v>483709.67715199996</v>
      </c>
      <c r="G55" s="200">
        <f>'Program Budget'!R326</f>
        <v>417643.09735168004</v>
      </c>
      <c r="H55" s="200">
        <f>'Program Budget'!U326</f>
        <v>242180.21578564271</v>
      </c>
      <c r="I55" s="200">
        <f>SUM(D55:H55)</f>
        <v>1995172.4424226561</v>
      </c>
      <c r="J55" s="222"/>
    </row>
    <row r="56" spans="2:10">
      <c r="B56" s="147" t="str">
        <f>'USDA Budget Summary'!A31</f>
        <v>Activity 4: Build Capacity for Post-harvest</v>
      </c>
      <c r="C56" s="85"/>
      <c r="D56" s="148"/>
      <c r="E56" s="148"/>
      <c r="F56" s="148"/>
      <c r="G56" s="148"/>
      <c r="H56" s="148"/>
      <c r="I56" s="148"/>
      <c r="J56" s="222"/>
    </row>
    <row r="57" spans="2:10">
      <c r="B57" s="194" t="s">
        <v>533</v>
      </c>
      <c r="C57" s="93"/>
      <c r="D57" s="200">
        <f>'Program Budget'!I404</f>
        <v>381754.45833333337</v>
      </c>
      <c r="E57" s="200">
        <f>'Program Budget'!L404</f>
        <v>796345.31799999997</v>
      </c>
      <c r="F57" s="200">
        <f>'Program Budget'!O404</f>
        <v>811417.76368000009</v>
      </c>
      <c r="G57" s="200">
        <f>'Program Budget'!R404</f>
        <v>341644.73250559997</v>
      </c>
      <c r="H57" s="200">
        <f>'Program Budget'!U404</f>
        <v>272850.4758888107</v>
      </c>
      <c r="I57" s="200">
        <f>SUM(D57:H57)</f>
        <v>2604012.7484077443</v>
      </c>
      <c r="J57" s="222"/>
    </row>
    <row r="58" spans="2:10" ht="12.9" thickBot="1">
      <c r="B58" s="155" t="s">
        <v>560</v>
      </c>
      <c r="C58" s="156"/>
      <c r="D58" s="157">
        <f t="shared" ref="D58:I58" si="4">SUM(D51:D57)</f>
        <v>1387588.0333333334</v>
      </c>
      <c r="E58" s="157">
        <f t="shared" si="4"/>
        <v>2571916.0004000003</v>
      </c>
      <c r="F58" s="157">
        <f t="shared" si="4"/>
        <v>2080735.6413760001</v>
      </c>
      <c r="G58" s="157">
        <f t="shared" si="4"/>
        <v>1419990.23259904</v>
      </c>
      <c r="H58" s="157">
        <f t="shared" si="4"/>
        <v>1028656.2921265836</v>
      </c>
      <c r="I58" s="157">
        <f t="shared" si="4"/>
        <v>8488886.1998349577</v>
      </c>
      <c r="J58" s="79"/>
    </row>
    <row r="59" spans="2:10">
      <c r="B59" s="104"/>
      <c r="C59" s="89"/>
      <c r="D59" s="107"/>
      <c r="E59" s="107"/>
      <c r="F59" s="107"/>
      <c r="G59" s="107"/>
      <c r="H59" s="107"/>
      <c r="I59" s="107"/>
    </row>
    <row r="60" spans="2:10">
      <c r="B60" s="104" t="s">
        <v>561</v>
      </c>
      <c r="C60" s="110">
        <v>0.2828</v>
      </c>
      <c r="D60" s="107">
        <f>D58*$C$60</f>
        <v>392409.89582666667</v>
      </c>
      <c r="E60" s="107">
        <f>(E58)*$C$60</f>
        <v>727337.84491312003</v>
      </c>
      <c r="F60" s="107">
        <f>F58*$C$60</f>
        <v>588432.03938113281</v>
      </c>
      <c r="G60" s="107">
        <f>G58*$C$60</f>
        <v>401573.23777900852</v>
      </c>
      <c r="H60" s="107">
        <f>H58*$C$60</f>
        <v>290903.99941339786</v>
      </c>
      <c r="I60" s="107">
        <f>SUM(H60+G60,F60,E60,D60)</f>
        <v>2400657.0173133258</v>
      </c>
      <c r="J60" s="192"/>
    </row>
    <row r="61" spans="2:10">
      <c r="B61" s="158"/>
      <c r="C61" s="88"/>
      <c r="D61" s="160"/>
      <c r="E61" s="160"/>
      <c r="F61" s="160"/>
      <c r="G61" s="160"/>
      <c r="H61" s="160"/>
      <c r="I61" s="160"/>
    </row>
    <row r="62" spans="2:10" ht="12.9" thickBot="1">
      <c r="B62" s="161" t="s">
        <v>562</v>
      </c>
      <c r="C62" s="162"/>
      <c r="D62" s="163">
        <f>D60</f>
        <v>392409.89582666667</v>
      </c>
      <c r="E62" s="163">
        <f t="shared" ref="E62:I62" si="5">E60</f>
        <v>727337.84491312003</v>
      </c>
      <c r="F62" s="163">
        <f t="shared" si="5"/>
        <v>588432.03938113281</v>
      </c>
      <c r="G62" s="163">
        <f>G60</f>
        <v>401573.23777900852</v>
      </c>
      <c r="H62" s="163">
        <f t="shared" si="5"/>
        <v>290903.99941339786</v>
      </c>
      <c r="I62" s="163">
        <f t="shared" si="5"/>
        <v>2400657.0173133258</v>
      </c>
    </row>
    <row r="63" spans="2:10" ht="12.9" thickTop="1"/>
    <row r="64" spans="2:10" ht="12.9" thickBot="1">
      <c r="B64" s="161" t="s">
        <v>563</v>
      </c>
      <c r="C64" s="162"/>
      <c r="D64" s="163">
        <f t="shared" ref="D64:I64" si="6">D62+D48</f>
        <v>656960.0294133334</v>
      </c>
      <c r="E64" s="163">
        <f t="shared" si="6"/>
        <v>919881.90580160008</v>
      </c>
      <c r="F64" s="163">
        <f t="shared" si="6"/>
        <v>776385.58125542395</v>
      </c>
      <c r="G64" s="163">
        <f t="shared" si="6"/>
        <v>520139.15812827135</v>
      </c>
      <c r="H64" s="163">
        <f t="shared" si="6"/>
        <v>513483.17176728015</v>
      </c>
      <c r="I64" s="163">
        <f t="shared" si="6"/>
        <v>3386849.8463659086</v>
      </c>
    </row>
    <row r="65" spans="2:9" ht="12.9" thickTop="1">
      <c r="I65" s="98"/>
    </row>
    <row r="67" spans="2:9">
      <c r="B67" s="164"/>
    </row>
    <row r="68" spans="2:9">
      <c r="B68" s="164"/>
    </row>
  </sheetData>
  <mergeCells count="5">
    <mergeCell ref="B1:I1"/>
    <mergeCell ref="B2:I2"/>
    <mergeCell ref="B3:I3"/>
    <mergeCell ref="B5:I5"/>
    <mergeCell ref="B4:I4"/>
  </mergeCells>
  <pageMargins left="0.7" right="0.7" top="0.75" bottom="0.75" header="0.3" footer="0.3"/>
  <pageSetup scale="89" orientation="landscape" r:id="rId1"/>
  <headerFooter alignWithMargins="0"/>
  <rowBreaks count="1" manualBreakCount="1">
    <brk id="49" min="1" max="1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140"/>
  <sheetViews>
    <sheetView topLeftCell="A10" zoomScaleNormal="100" workbookViewId="0">
      <selection activeCell="F34" sqref="F34"/>
    </sheetView>
  </sheetViews>
  <sheetFormatPr defaultColWidth="8.71875" defaultRowHeight="12.6" outlineLevelRow="1"/>
  <cols>
    <col min="1" max="1" width="2.44140625" style="52" customWidth="1"/>
    <col min="2" max="2" width="52.1640625" style="53" bestFit="1" customWidth="1"/>
    <col min="3" max="3" width="5.71875" style="53" customWidth="1"/>
    <col min="4" max="4" width="11.71875" style="54" customWidth="1"/>
    <col min="5" max="5" width="13.83203125" style="55" customWidth="1"/>
    <col min="6" max="6" width="13" style="53" customWidth="1"/>
    <col min="7" max="7" width="13.5546875" style="57" customWidth="1"/>
    <col min="8" max="8" width="13" style="53" customWidth="1"/>
    <col min="9" max="9" width="9.44140625" style="53" bestFit="1" customWidth="1"/>
    <col min="10" max="16384" width="8.71875" style="52"/>
  </cols>
  <sheetData>
    <row r="1" spans="2:9" ht="13.5" customHeight="1">
      <c r="B1" s="600" t="s">
        <v>152</v>
      </c>
      <c r="C1" s="600"/>
      <c r="D1" s="600"/>
      <c r="E1" s="600"/>
      <c r="F1" s="600"/>
      <c r="G1" s="600"/>
      <c r="H1" s="600"/>
      <c r="I1" s="600"/>
    </row>
    <row r="2" spans="2:9" ht="13.5" customHeight="1">
      <c r="B2" s="600" t="s">
        <v>153</v>
      </c>
      <c r="C2" s="600"/>
      <c r="D2" s="600"/>
      <c r="E2" s="600"/>
      <c r="F2" s="600"/>
      <c r="G2" s="600"/>
      <c r="H2" s="600"/>
      <c r="I2" s="600"/>
    </row>
    <row r="3" spans="2:9">
      <c r="B3" s="600" t="s">
        <v>154</v>
      </c>
      <c r="C3" s="600"/>
      <c r="D3" s="600"/>
      <c r="E3" s="600"/>
      <c r="F3" s="600"/>
      <c r="G3" s="600"/>
      <c r="H3" s="600"/>
      <c r="I3" s="600"/>
    </row>
    <row r="4" spans="2:9">
      <c r="B4" s="600" t="s">
        <v>157</v>
      </c>
      <c r="C4" s="600"/>
      <c r="D4" s="600"/>
      <c r="E4" s="600"/>
      <c r="F4" s="600"/>
      <c r="G4" s="600"/>
      <c r="H4" s="600"/>
      <c r="I4" s="600"/>
    </row>
    <row r="5" spans="2:9">
      <c r="B5" s="600" t="s">
        <v>564</v>
      </c>
      <c r="C5" s="600"/>
      <c r="D5" s="600"/>
      <c r="E5" s="600"/>
      <c r="F5" s="600"/>
      <c r="G5" s="600"/>
      <c r="H5" s="600"/>
      <c r="I5" s="600"/>
    </row>
    <row r="6" spans="2:9">
      <c r="B6" s="48"/>
      <c r="C6" s="48"/>
      <c r="D6" s="49"/>
      <c r="E6" s="49"/>
      <c r="F6" s="49"/>
      <c r="G6" s="48"/>
      <c r="H6" s="48"/>
      <c r="I6" s="48"/>
    </row>
    <row r="7" spans="2:9" ht="98.4">
      <c r="B7" s="51"/>
      <c r="C7" s="51"/>
      <c r="D7" s="58" t="s">
        <v>565</v>
      </c>
      <c r="E7" s="58" t="s">
        <v>566</v>
      </c>
      <c r="F7" s="58" t="s">
        <v>567</v>
      </c>
      <c r="G7" s="58" t="s">
        <v>568</v>
      </c>
      <c r="H7" s="58" t="s">
        <v>569</v>
      </c>
      <c r="I7" s="58" t="s">
        <v>570</v>
      </c>
    </row>
    <row r="8" spans="2:9" s="63" customFormat="1" ht="12.3">
      <c r="B8" s="60" t="s">
        <v>65</v>
      </c>
      <c r="C8" s="60"/>
      <c r="D8" s="61" t="s">
        <v>571</v>
      </c>
      <c r="E8" s="61" t="s">
        <v>571</v>
      </c>
      <c r="F8" s="61" t="s">
        <v>572</v>
      </c>
      <c r="G8" s="61" t="s">
        <v>572</v>
      </c>
      <c r="H8" s="61" t="s">
        <v>572</v>
      </c>
      <c r="I8" s="61" t="s">
        <v>572</v>
      </c>
    </row>
    <row r="9" spans="2:9" s="54" customFormat="1">
      <c r="B9" s="64" t="s">
        <v>573</v>
      </c>
      <c r="C9" s="64"/>
      <c r="D9" s="64"/>
      <c r="E9" s="64"/>
      <c r="F9" s="64"/>
      <c r="G9" s="64"/>
      <c r="H9" s="64"/>
      <c r="I9" s="64"/>
    </row>
    <row r="10" spans="2:9" s="54" customFormat="1" outlineLevel="1">
      <c r="B10" s="66" t="s">
        <v>574</v>
      </c>
      <c r="C10" s="66"/>
      <c r="D10" s="66"/>
      <c r="E10" s="66"/>
      <c r="F10" s="66"/>
      <c r="G10" s="66"/>
      <c r="H10" s="66"/>
      <c r="I10" s="66"/>
    </row>
    <row r="11" spans="2:9" s="54" customFormat="1" outlineLevel="1">
      <c r="B11" s="68" t="str">
        <f>'Program Budget'!D12</f>
        <v xml:space="preserve">Key Personnel: Ex-pat Chief of Party </v>
      </c>
      <c r="C11" s="68"/>
      <c r="D11" s="69">
        <v>0.2</v>
      </c>
      <c r="E11" s="69">
        <v>0.2</v>
      </c>
      <c r="F11" s="69">
        <v>0.2</v>
      </c>
      <c r="G11" s="69">
        <v>0.2</v>
      </c>
      <c r="H11" s="69">
        <v>0.2</v>
      </c>
      <c r="I11" s="69">
        <f t="shared" ref="I11:I28" si="0">SUM(D11:H11)</f>
        <v>1</v>
      </c>
    </row>
    <row r="12" spans="2:9" s="54" customFormat="1" outlineLevel="1">
      <c r="B12" s="68" t="str">
        <f>'Program Budget'!D13</f>
        <v>Deputy Chief of Party</v>
      </c>
      <c r="C12" s="68"/>
      <c r="D12" s="69">
        <v>0.2</v>
      </c>
      <c r="E12" s="69">
        <v>0.1</v>
      </c>
      <c r="F12" s="69">
        <v>0.1</v>
      </c>
      <c r="G12" s="69">
        <v>0.1</v>
      </c>
      <c r="H12" s="69">
        <v>0.5</v>
      </c>
      <c r="I12" s="69">
        <f>SUM(D12:H12)</f>
        <v>1</v>
      </c>
    </row>
    <row r="13" spans="2:9" s="54" customFormat="1" outlineLevel="1">
      <c r="B13" s="68" t="str">
        <f>'Program Budget'!D14</f>
        <v>Technical Lead Component 1</v>
      </c>
      <c r="C13" s="68"/>
      <c r="D13" s="69">
        <v>0.25</v>
      </c>
      <c r="E13" s="69">
        <v>0.75</v>
      </c>
      <c r="F13" s="69"/>
      <c r="G13" s="69"/>
      <c r="H13" s="69"/>
      <c r="I13" s="69">
        <f t="shared" si="0"/>
        <v>1</v>
      </c>
    </row>
    <row r="14" spans="2:9" s="54" customFormat="1" outlineLevel="1">
      <c r="B14" s="68" t="str">
        <f>'Program Budget'!D15</f>
        <v>Technical Lead Component 2</v>
      </c>
      <c r="C14" s="68"/>
      <c r="D14" s="69">
        <v>0.25</v>
      </c>
      <c r="E14" s="69"/>
      <c r="F14" s="69">
        <v>0.75</v>
      </c>
      <c r="G14" s="69"/>
      <c r="H14" s="69"/>
      <c r="I14" s="69">
        <f t="shared" si="0"/>
        <v>1</v>
      </c>
    </row>
    <row r="15" spans="2:9" s="54" customFormat="1" outlineLevel="1">
      <c r="B15" s="68" t="str">
        <f>'Program Budget'!D16</f>
        <v>Technical Lead Component 3</v>
      </c>
      <c r="C15" s="68"/>
      <c r="D15" s="69">
        <v>0.25</v>
      </c>
      <c r="E15" s="69"/>
      <c r="F15" s="69"/>
      <c r="G15" s="69">
        <v>0.75</v>
      </c>
      <c r="H15" s="69"/>
      <c r="I15" s="69">
        <f t="shared" si="0"/>
        <v>1</v>
      </c>
    </row>
    <row r="16" spans="2:9" s="54" customFormat="1" outlineLevel="1">
      <c r="B16" s="68" t="str">
        <f>'Program Budget'!D17</f>
        <v>Specialist Component 2</v>
      </c>
      <c r="C16" s="68"/>
      <c r="D16" s="69">
        <v>0.2</v>
      </c>
      <c r="E16" s="69"/>
      <c r="F16" s="69">
        <v>0.8</v>
      </c>
      <c r="G16" s="69"/>
      <c r="H16" s="69"/>
      <c r="I16" s="69">
        <f t="shared" si="0"/>
        <v>1</v>
      </c>
    </row>
    <row r="17" spans="2:9" s="54" customFormat="1" outlineLevel="1">
      <c r="B17" s="68" t="str">
        <f>'Program Budget'!D18</f>
        <v>Specialist Component 3</v>
      </c>
      <c r="C17" s="68"/>
      <c r="D17" s="69">
        <v>0.2</v>
      </c>
      <c r="E17" s="69"/>
      <c r="F17" s="69"/>
      <c r="G17" s="69">
        <v>0.8</v>
      </c>
      <c r="H17" s="69"/>
      <c r="I17" s="69">
        <f t="shared" si="0"/>
        <v>1</v>
      </c>
    </row>
    <row r="18" spans="2:9" s="54" customFormat="1" outlineLevel="1">
      <c r="B18" s="68" t="str">
        <f>'Program Budget'!D19</f>
        <v>Specialist Component 4</v>
      </c>
      <c r="C18" s="68"/>
      <c r="D18" s="69">
        <v>0.2</v>
      </c>
      <c r="E18" s="69"/>
      <c r="F18" s="69"/>
      <c r="G18" s="69"/>
      <c r="H18" s="69">
        <v>0.8</v>
      </c>
      <c r="I18" s="69">
        <f t="shared" si="0"/>
        <v>1</v>
      </c>
    </row>
    <row r="19" spans="2:9" s="54" customFormat="1" outlineLevel="1">
      <c r="B19" s="68" t="str">
        <f>'Program Budget'!D20</f>
        <v>Extension Agents (20 Individuals)</v>
      </c>
      <c r="C19" s="68"/>
      <c r="D19" s="69">
        <v>0.1</v>
      </c>
      <c r="E19" s="69">
        <v>0.25</v>
      </c>
      <c r="F19" s="69">
        <v>0.2</v>
      </c>
      <c r="G19" s="69">
        <v>0.2</v>
      </c>
      <c r="H19" s="69">
        <v>0.25</v>
      </c>
      <c r="I19" s="69">
        <f t="shared" si="0"/>
        <v>1</v>
      </c>
    </row>
    <row r="20" spans="2:9" s="54" customFormat="1" outlineLevel="1">
      <c r="B20" s="68" t="str">
        <f>'Program Budget'!D21</f>
        <v xml:space="preserve">M&amp;E Director </v>
      </c>
      <c r="C20" s="68"/>
      <c r="D20" s="69">
        <v>0.15</v>
      </c>
      <c r="E20" s="69">
        <v>0.3</v>
      </c>
      <c r="F20" s="69">
        <v>0.2</v>
      </c>
      <c r="G20" s="69">
        <v>0.2</v>
      </c>
      <c r="H20" s="69">
        <v>0.15</v>
      </c>
      <c r="I20" s="69">
        <f t="shared" si="0"/>
        <v>0.99999999999999989</v>
      </c>
    </row>
    <row r="21" spans="2:9" s="54" customFormat="1" outlineLevel="1">
      <c r="B21" s="68" t="str">
        <f>'Program Budget'!D22</f>
        <v>M&amp;E Specialist</v>
      </c>
      <c r="C21" s="68"/>
      <c r="D21" s="69">
        <v>0.15</v>
      </c>
      <c r="E21" s="69">
        <v>0.2</v>
      </c>
      <c r="F21" s="69">
        <v>0.2</v>
      </c>
      <c r="G21" s="69">
        <v>0.2</v>
      </c>
      <c r="H21" s="69">
        <v>0.25</v>
      </c>
      <c r="I21" s="69">
        <f t="shared" si="0"/>
        <v>1</v>
      </c>
    </row>
    <row r="22" spans="2:9" s="54" customFormat="1" outlineLevel="1">
      <c r="B22" s="68" t="str">
        <f>'Program Budget'!D23</f>
        <v xml:space="preserve">F&amp;A Director </v>
      </c>
      <c r="C22" s="68"/>
      <c r="D22" s="69">
        <v>0.2</v>
      </c>
      <c r="E22" s="69">
        <v>0.2</v>
      </c>
      <c r="F22" s="69">
        <v>0.2</v>
      </c>
      <c r="G22" s="69">
        <v>0.2</v>
      </c>
      <c r="H22" s="69">
        <v>0.2</v>
      </c>
      <c r="I22" s="69">
        <f t="shared" si="0"/>
        <v>1</v>
      </c>
    </row>
    <row r="23" spans="2:9" s="54" customFormat="1" outlineLevel="1">
      <c r="B23" s="68" t="str">
        <f>'Program Budget'!D24</f>
        <v>Human Resource Manager</v>
      </c>
      <c r="C23" s="68"/>
      <c r="D23" s="69">
        <v>0.25</v>
      </c>
      <c r="E23" s="69">
        <v>0.25</v>
      </c>
      <c r="F23" s="69">
        <v>0.2</v>
      </c>
      <c r="G23" s="69">
        <v>0.2</v>
      </c>
      <c r="H23" s="69">
        <v>0.1</v>
      </c>
      <c r="I23" s="69">
        <f t="shared" si="0"/>
        <v>0.99999999999999989</v>
      </c>
    </row>
    <row r="24" spans="2:9" s="71" customFormat="1" outlineLevel="1">
      <c r="B24" s="68" t="str">
        <f>'Program Budget'!D25</f>
        <v>Contracts &amp; Compliance Specialist</v>
      </c>
      <c r="C24" s="68"/>
      <c r="D24" s="69">
        <v>0.1</v>
      </c>
      <c r="E24" s="69">
        <v>0.25</v>
      </c>
      <c r="F24" s="69">
        <v>0.25</v>
      </c>
      <c r="G24" s="69">
        <v>0.2</v>
      </c>
      <c r="H24" s="69">
        <v>0.2</v>
      </c>
      <c r="I24" s="69">
        <f t="shared" si="0"/>
        <v>1</v>
      </c>
    </row>
    <row r="25" spans="2:9" s="71" customFormat="1" outlineLevel="1">
      <c r="B25" s="68" t="str">
        <f>'Program Budget'!D26</f>
        <v xml:space="preserve">Accountant </v>
      </c>
      <c r="C25" s="68"/>
      <c r="D25" s="69">
        <v>0.2</v>
      </c>
      <c r="E25" s="69">
        <v>0.2</v>
      </c>
      <c r="F25" s="69">
        <v>0.2</v>
      </c>
      <c r="G25" s="69">
        <v>0.2</v>
      </c>
      <c r="H25" s="69">
        <v>0.2</v>
      </c>
      <c r="I25" s="69">
        <f t="shared" si="0"/>
        <v>1</v>
      </c>
    </row>
    <row r="26" spans="2:9" s="54" customFormat="1" outlineLevel="1">
      <c r="B26" s="68" t="str">
        <f>'Program Budget'!D27</f>
        <v xml:space="preserve">Administrative Assistant </v>
      </c>
      <c r="C26" s="68"/>
      <c r="D26" s="69">
        <v>0.2</v>
      </c>
      <c r="E26" s="69">
        <v>0.2</v>
      </c>
      <c r="F26" s="69">
        <v>0.2</v>
      </c>
      <c r="G26" s="69">
        <v>0.2</v>
      </c>
      <c r="H26" s="69">
        <v>0.2</v>
      </c>
      <c r="I26" s="69">
        <f t="shared" si="0"/>
        <v>1</v>
      </c>
    </row>
    <row r="27" spans="2:9" s="54" customFormat="1" outlineLevel="1">
      <c r="B27" s="68" t="str">
        <f>'Program Budget'!D28</f>
        <v>Security Guards</v>
      </c>
      <c r="C27" s="68"/>
      <c r="D27" s="69">
        <v>0.2</v>
      </c>
      <c r="E27" s="69">
        <v>0.2</v>
      </c>
      <c r="F27" s="69">
        <v>0.2</v>
      </c>
      <c r="G27" s="69">
        <v>0.2</v>
      </c>
      <c r="H27" s="69">
        <v>0.2</v>
      </c>
      <c r="I27" s="69">
        <f t="shared" si="0"/>
        <v>1</v>
      </c>
    </row>
    <row r="28" spans="2:9" s="54" customFormat="1" outlineLevel="1">
      <c r="B28" s="68" t="str">
        <f>'Program Budget'!D29</f>
        <v>Driver (2 Individuals)</v>
      </c>
      <c r="C28" s="68"/>
      <c r="D28" s="69">
        <v>0.2</v>
      </c>
      <c r="E28" s="69">
        <v>0.2</v>
      </c>
      <c r="F28" s="69">
        <v>0.2</v>
      </c>
      <c r="G28" s="69">
        <v>0.2</v>
      </c>
      <c r="H28" s="69">
        <v>0.2</v>
      </c>
      <c r="I28" s="69">
        <f t="shared" si="0"/>
        <v>1</v>
      </c>
    </row>
    <row r="29" spans="2:9" s="54" customFormat="1" outlineLevel="1">
      <c r="B29" s="66" t="s">
        <v>575</v>
      </c>
      <c r="C29" s="66"/>
      <c r="D29" s="72"/>
      <c r="E29" s="72"/>
      <c r="F29" s="72"/>
      <c r="G29" s="72"/>
      <c r="H29" s="72"/>
      <c r="I29" s="72"/>
    </row>
    <row r="30" spans="2:9" s="54" customFormat="1" outlineLevel="1">
      <c r="B30" s="68" t="str">
        <f>'Program Budget'!D31</f>
        <v xml:space="preserve">Senior Program Director </v>
      </c>
      <c r="C30" s="68"/>
      <c r="D30" s="69">
        <v>0.2</v>
      </c>
      <c r="E30" s="69"/>
      <c r="F30" s="69"/>
      <c r="G30" s="69"/>
      <c r="H30" s="69"/>
      <c r="I30" s="69">
        <f>SUM(D30:H30)</f>
        <v>0.2</v>
      </c>
    </row>
    <row r="31" spans="2:9" s="54" customFormat="1" outlineLevel="1">
      <c r="B31" s="68" t="str">
        <f>'Program Budget'!D32</f>
        <v>HO Project Manager</v>
      </c>
      <c r="C31" s="68"/>
      <c r="D31" s="69">
        <v>1</v>
      </c>
      <c r="E31" s="69"/>
      <c r="F31" s="69"/>
      <c r="G31" s="69"/>
      <c r="H31" s="69"/>
      <c r="I31" s="69">
        <f>SUM(D31:H31)</f>
        <v>1</v>
      </c>
    </row>
    <row r="32" spans="2:9" s="54" customFormat="1" outlineLevel="1">
      <c r="B32" s="73" t="s">
        <v>211</v>
      </c>
      <c r="C32" s="73"/>
      <c r="D32" s="74"/>
      <c r="E32" s="74"/>
      <c r="F32" s="74"/>
      <c r="G32" s="74"/>
      <c r="H32" s="74"/>
      <c r="I32" s="74"/>
    </row>
    <row r="33" spans="2:11">
      <c r="D33" s="57"/>
      <c r="E33" s="53"/>
      <c r="G33" s="53"/>
      <c r="H33" s="57"/>
      <c r="I33" s="57"/>
    </row>
    <row r="34" spans="2:11" ht="98.4">
      <c r="B34" s="51"/>
      <c r="C34" s="51"/>
      <c r="D34" s="58" t="s">
        <v>565</v>
      </c>
      <c r="E34" s="58" t="s">
        <v>566</v>
      </c>
      <c r="F34" s="58" t="s">
        <v>567</v>
      </c>
      <c r="G34" s="58" t="s">
        <v>568</v>
      </c>
      <c r="H34" s="58" t="s">
        <v>569</v>
      </c>
      <c r="I34" s="58" t="s">
        <v>570</v>
      </c>
    </row>
    <row r="35" spans="2:11" s="63" customFormat="1" ht="12.3">
      <c r="B35" s="60" t="s">
        <v>66</v>
      </c>
      <c r="C35" s="60"/>
      <c r="D35" s="61" t="s">
        <v>571</v>
      </c>
      <c r="E35" s="61" t="s">
        <v>571</v>
      </c>
      <c r="F35" s="61" t="s">
        <v>572</v>
      </c>
      <c r="G35" s="61" t="s">
        <v>572</v>
      </c>
      <c r="H35" s="61" t="s">
        <v>572</v>
      </c>
      <c r="I35" s="61" t="s">
        <v>572</v>
      </c>
    </row>
    <row r="36" spans="2:11" s="54" customFormat="1">
      <c r="B36" s="64" t="s">
        <v>573</v>
      </c>
      <c r="C36" s="64"/>
      <c r="D36" s="64"/>
      <c r="E36" s="64"/>
      <c r="F36" s="64"/>
      <c r="G36" s="64"/>
      <c r="H36" s="64"/>
      <c r="I36" s="64"/>
    </row>
    <row r="37" spans="2:11" s="54" customFormat="1" outlineLevel="1">
      <c r="B37" s="66" t="s">
        <v>574</v>
      </c>
      <c r="C37" s="66"/>
      <c r="D37" s="66"/>
      <c r="E37" s="66"/>
      <c r="F37" s="66"/>
      <c r="G37" s="66"/>
      <c r="H37" s="66"/>
      <c r="I37" s="66"/>
    </row>
    <row r="38" spans="2:11" s="54" customFormat="1" outlineLevel="1">
      <c r="B38" s="68" t="str">
        <f>'Program Budget'!D12</f>
        <v xml:space="preserve">Key Personnel: Ex-pat Chief of Party </v>
      </c>
      <c r="C38" s="68"/>
      <c r="D38" s="69">
        <v>0.05</v>
      </c>
      <c r="E38" s="69">
        <v>0.25</v>
      </c>
      <c r="F38" s="69">
        <v>0.2</v>
      </c>
      <c r="G38" s="69">
        <v>0.25</v>
      </c>
      <c r="H38" s="69">
        <v>0.25</v>
      </c>
      <c r="I38" s="69">
        <f t="shared" ref="I38:I55" si="1">SUM(D38:H38)</f>
        <v>1</v>
      </c>
    </row>
    <row r="39" spans="2:11" s="54" customFormat="1" outlineLevel="1">
      <c r="B39" s="68" t="str">
        <f>'Program Budget'!D13</f>
        <v>Deputy Chief of Party</v>
      </c>
      <c r="C39" s="68"/>
      <c r="D39" s="69"/>
      <c r="E39" s="69">
        <v>0.1</v>
      </c>
      <c r="F39" s="69">
        <v>0.1</v>
      </c>
      <c r="G39" s="69">
        <v>0.1</v>
      </c>
      <c r="H39" s="69">
        <v>0.7</v>
      </c>
      <c r="I39" s="69">
        <f t="shared" si="1"/>
        <v>1</v>
      </c>
    </row>
    <row r="40" spans="2:11" s="54" customFormat="1" outlineLevel="1">
      <c r="B40" s="569" t="str">
        <f>'Program Budget'!D14</f>
        <v>Technical Lead Component 1</v>
      </c>
      <c r="C40" s="68"/>
      <c r="D40" s="69"/>
      <c r="E40" s="69">
        <v>1</v>
      </c>
      <c r="F40" s="69"/>
      <c r="G40" s="69"/>
      <c r="H40" s="69"/>
      <c r="I40" s="69">
        <f t="shared" si="1"/>
        <v>1</v>
      </c>
    </row>
    <row r="41" spans="2:11" s="54" customFormat="1" outlineLevel="1">
      <c r="B41" s="569" t="str">
        <f>'Program Budget'!D15</f>
        <v>Technical Lead Component 2</v>
      </c>
      <c r="C41" s="68"/>
      <c r="D41" s="69"/>
      <c r="E41" s="69"/>
      <c r="F41" s="69">
        <v>1</v>
      </c>
      <c r="G41" s="69"/>
      <c r="H41" s="69"/>
      <c r="I41" s="69">
        <f t="shared" si="1"/>
        <v>1</v>
      </c>
    </row>
    <row r="42" spans="2:11" s="54" customFormat="1" outlineLevel="1">
      <c r="B42" s="68" t="str">
        <f>'Program Budget'!D16</f>
        <v>Technical Lead Component 3</v>
      </c>
      <c r="C42" s="68"/>
      <c r="D42" s="69"/>
      <c r="E42" s="69"/>
      <c r="F42" s="69"/>
      <c r="G42" s="69">
        <v>1</v>
      </c>
      <c r="H42" s="69"/>
      <c r="I42" s="69">
        <f t="shared" si="1"/>
        <v>1</v>
      </c>
    </row>
    <row r="43" spans="2:11" s="54" customFormat="1" outlineLevel="1">
      <c r="B43" s="68" t="str">
        <f>'Program Budget'!D17</f>
        <v>Specialist Component 2</v>
      </c>
      <c r="C43" s="68"/>
      <c r="D43" s="69"/>
      <c r="E43" s="69"/>
      <c r="F43" s="69">
        <v>1</v>
      </c>
      <c r="G43" s="69"/>
      <c r="H43" s="69"/>
      <c r="I43" s="69">
        <f t="shared" si="1"/>
        <v>1</v>
      </c>
    </row>
    <row r="44" spans="2:11" s="54" customFormat="1" outlineLevel="1">
      <c r="B44" s="68" t="str">
        <f>'Program Budget'!D18</f>
        <v>Specialist Component 3</v>
      </c>
      <c r="C44" s="68"/>
      <c r="D44" s="69"/>
      <c r="E44" s="69"/>
      <c r="F44" s="69"/>
      <c r="G44" s="69">
        <v>1</v>
      </c>
      <c r="H44" s="69"/>
      <c r="I44" s="69">
        <f t="shared" si="1"/>
        <v>1</v>
      </c>
    </row>
    <row r="45" spans="2:11" s="54" customFormat="1" outlineLevel="1">
      <c r="B45" s="68" t="str">
        <f>'Program Budget'!D19</f>
        <v>Specialist Component 4</v>
      </c>
      <c r="C45" s="68"/>
      <c r="D45" s="69"/>
      <c r="E45" s="69"/>
      <c r="F45" s="69"/>
      <c r="G45" s="69"/>
      <c r="H45" s="69">
        <v>1</v>
      </c>
      <c r="I45" s="69">
        <f t="shared" si="1"/>
        <v>1</v>
      </c>
    </row>
    <row r="46" spans="2:11" s="54" customFormat="1" outlineLevel="1">
      <c r="B46" s="68" t="str">
        <f>'Program Budget'!D20</f>
        <v>Extension Agents (20 Individuals)</v>
      </c>
      <c r="C46" s="68"/>
      <c r="D46" s="69"/>
      <c r="E46" s="69">
        <v>0.45</v>
      </c>
      <c r="F46" s="69">
        <v>0.3</v>
      </c>
      <c r="G46" s="69">
        <v>0.2</v>
      </c>
      <c r="H46" s="69">
        <v>0.05</v>
      </c>
      <c r="I46" s="69">
        <f t="shared" si="1"/>
        <v>1</v>
      </c>
      <c r="K46" s="431"/>
    </row>
    <row r="47" spans="2:11" s="54" customFormat="1" outlineLevel="1">
      <c r="B47" s="68" t="str">
        <f>'Program Budget'!D21</f>
        <v xml:space="preserve">M&amp;E Director </v>
      </c>
      <c r="C47" s="68"/>
      <c r="D47" s="69">
        <v>0.05</v>
      </c>
      <c r="E47" s="69">
        <v>0.25</v>
      </c>
      <c r="F47" s="69">
        <v>0.2</v>
      </c>
      <c r="G47" s="69">
        <v>0.25</v>
      </c>
      <c r="H47" s="69">
        <v>0.25</v>
      </c>
      <c r="I47" s="69">
        <f t="shared" si="1"/>
        <v>1</v>
      </c>
    </row>
    <row r="48" spans="2:11" s="54" customFormat="1" outlineLevel="1">
      <c r="B48" s="68" t="str">
        <f>'Program Budget'!D22</f>
        <v>M&amp;E Specialist</v>
      </c>
      <c r="C48" s="68"/>
      <c r="D48" s="69">
        <v>0.05</v>
      </c>
      <c r="E48" s="69">
        <v>0.25</v>
      </c>
      <c r="F48" s="69">
        <v>0.2</v>
      </c>
      <c r="G48" s="69">
        <v>0.25</v>
      </c>
      <c r="H48" s="69">
        <v>0.25</v>
      </c>
      <c r="I48" s="69">
        <f t="shared" si="1"/>
        <v>1</v>
      </c>
    </row>
    <row r="49" spans="2:9" s="54" customFormat="1" outlineLevel="1">
      <c r="B49" s="68" t="str">
        <f>'Program Budget'!D23</f>
        <v xml:space="preserve">F&amp;A Director </v>
      </c>
      <c r="C49" s="68"/>
      <c r="D49" s="69">
        <v>0.1</v>
      </c>
      <c r="E49" s="69">
        <v>0.25</v>
      </c>
      <c r="F49" s="69">
        <v>0.2</v>
      </c>
      <c r="G49" s="69">
        <v>0.2</v>
      </c>
      <c r="H49" s="69">
        <v>0.25</v>
      </c>
      <c r="I49" s="69">
        <f t="shared" si="1"/>
        <v>1</v>
      </c>
    </row>
    <row r="50" spans="2:9" s="54" customFormat="1" outlineLevel="1">
      <c r="B50" s="68" t="str">
        <f>'Program Budget'!D24</f>
        <v>Human Resource Manager</v>
      </c>
      <c r="C50" s="68"/>
      <c r="D50" s="69">
        <v>0.1</v>
      </c>
      <c r="E50" s="69">
        <v>0.3</v>
      </c>
      <c r="F50" s="69">
        <v>0.2</v>
      </c>
      <c r="G50" s="69">
        <v>0.2</v>
      </c>
      <c r="H50" s="69">
        <v>0.2</v>
      </c>
      <c r="I50" s="69">
        <f t="shared" ref="I50" si="2">SUM(D50:H50)</f>
        <v>1</v>
      </c>
    </row>
    <row r="51" spans="2:9" s="71" customFormat="1" outlineLevel="1">
      <c r="B51" s="68" t="str">
        <f>'Program Budget'!D25</f>
        <v>Contracts &amp; Compliance Specialist</v>
      </c>
      <c r="C51" s="68"/>
      <c r="D51" s="69">
        <v>0.05</v>
      </c>
      <c r="E51" s="69">
        <v>0.25</v>
      </c>
      <c r="F51" s="69">
        <v>0.25</v>
      </c>
      <c r="G51" s="69">
        <v>0.2</v>
      </c>
      <c r="H51" s="69">
        <v>0.25</v>
      </c>
      <c r="I51" s="69">
        <f t="shared" si="1"/>
        <v>1</v>
      </c>
    </row>
    <row r="52" spans="2:9" s="71" customFormat="1" outlineLevel="1">
      <c r="B52" s="68" t="str">
        <f>'Program Budget'!D26</f>
        <v xml:space="preserve">Accountant </v>
      </c>
      <c r="C52" s="68"/>
      <c r="D52" s="69">
        <v>0.2</v>
      </c>
      <c r="E52" s="69">
        <v>0.2</v>
      </c>
      <c r="F52" s="69">
        <v>0.2</v>
      </c>
      <c r="G52" s="69">
        <v>0.2</v>
      </c>
      <c r="H52" s="69">
        <v>0.2</v>
      </c>
      <c r="I52" s="69">
        <f t="shared" si="1"/>
        <v>1</v>
      </c>
    </row>
    <row r="53" spans="2:9" s="54" customFormat="1" outlineLevel="1">
      <c r="B53" s="68" t="str">
        <f>'Program Budget'!D27</f>
        <v xml:space="preserve">Administrative Assistant </v>
      </c>
      <c r="C53" s="68"/>
      <c r="D53" s="69">
        <v>0.2</v>
      </c>
      <c r="E53" s="69">
        <v>0.2</v>
      </c>
      <c r="F53" s="69">
        <v>0.2</v>
      </c>
      <c r="G53" s="69">
        <v>0.2</v>
      </c>
      <c r="H53" s="69">
        <v>0.2</v>
      </c>
      <c r="I53" s="69">
        <f t="shared" si="1"/>
        <v>1</v>
      </c>
    </row>
    <row r="54" spans="2:9" s="54" customFormat="1" outlineLevel="1">
      <c r="B54" s="68" t="str">
        <f>'Program Budget'!D28</f>
        <v>Security Guards</v>
      </c>
      <c r="C54" s="68"/>
      <c r="D54" s="69">
        <v>0.05</v>
      </c>
      <c r="E54" s="69">
        <v>0.25</v>
      </c>
      <c r="F54" s="69">
        <v>0.25</v>
      </c>
      <c r="G54" s="69">
        <v>0.2</v>
      </c>
      <c r="H54" s="69">
        <v>0.25</v>
      </c>
      <c r="I54" s="69">
        <f t="shared" si="1"/>
        <v>1</v>
      </c>
    </row>
    <row r="55" spans="2:9" s="54" customFormat="1" outlineLevel="1">
      <c r="B55" s="68" t="str">
        <f>'Program Budget'!D29</f>
        <v>Driver (2 Individuals)</v>
      </c>
      <c r="C55" s="68"/>
      <c r="D55" s="69">
        <v>0.05</v>
      </c>
      <c r="E55" s="69">
        <v>0.25</v>
      </c>
      <c r="F55" s="69">
        <v>0.2</v>
      </c>
      <c r="G55" s="69">
        <v>0.25</v>
      </c>
      <c r="H55" s="69">
        <v>0.25</v>
      </c>
      <c r="I55" s="69">
        <f t="shared" si="1"/>
        <v>1</v>
      </c>
    </row>
    <row r="56" spans="2:9" s="54" customFormat="1" outlineLevel="1">
      <c r="B56" s="66" t="s">
        <v>575</v>
      </c>
      <c r="C56" s="66"/>
      <c r="D56" s="72"/>
      <c r="E56" s="72"/>
      <c r="F56" s="72"/>
      <c r="G56" s="72"/>
      <c r="H56" s="72"/>
      <c r="I56" s="72"/>
    </row>
    <row r="57" spans="2:9" s="54" customFormat="1" outlineLevel="1">
      <c r="B57" s="68" t="str">
        <f>'Program Budget'!D31</f>
        <v xml:space="preserve">Senior Program Director </v>
      </c>
      <c r="C57" s="68"/>
      <c r="D57" s="69">
        <v>0.2</v>
      </c>
      <c r="E57" s="69"/>
      <c r="F57" s="69"/>
      <c r="G57" s="69"/>
      <c r="H57" s="69"/>
      <c r="I57" s="69">
        <f>SUM(D57:H57)</f>
        <v>0.2</v>
      </c>
    </row>
    <row r="58" spans="2:9" s="54" customFormat="1" outlineLevel="1">
      <c r="B58" s="68" t="str">
        <f>'Program Budget'!D32</f>
        <v>HO Project Manager</v>
      </c>
      <c r="C58" s="68"/>
      <c r="D58" s="69">
        <v>1</v>
      </c>
      <c r="E58" s="69"/>
      <c r="F58" s="69"/>
      <c r="G58" s="69"/>
      <c r="H58" s="69"/>
      <c r="I58" s="69">
        <f>SUM(D58:H58)</f>
        <v>1</v>
      </c>
    </row>
    <row r="59" spans="2:9" s="54" customFormat="1" outlineLevel="1">
      <c r="B59" s="73" t="s">
        <v>211</v>
      </c>
      <c r="C59" s="73"/>
      <c r="D59" s="74"/>
      <c r="E59" s="74"/>
      <c r="F59" s="74"/>
      <c r="G59" s="74"/>
      <c r="H59" s="74"/>
      <c r="I59" s="74"/>
    </row>
    <row r="60" spans="2:9">
      <c r="D60" s="57"/>
      <c r="E60" s="53"/>
      <c r="G60" s="53"/>
      <c r="H60" s="57"/>
      <c r="I60" s="57"/>
    </row>
    <row r="61" spans="2:9" ht="98.4">
      <c r="B61" s="51"/>
      <c r="C61" s="51"/>
      <c r="D61" s="58" t="s">
        <v>565</v>
      </c>
      <c r="E61" s="58" t="s">
        <v>566</v>
      </c>
      <c r="F61" s="58" t="s">
        <v>567</v>
      </c>
      <c r="G61" s="58" t="s">
        <v>568</v>
      </c>
      <c r="H61" s="58" t="s">
        <v>569</v>
      </c>
      <c r="I61" s="58" t="s">
        <v>570</v>
      </c>
    </row>
    <row r="62" spans="2:9" s="63" customFormat="1" ht="12.3">
      <c r="B62" s="60" t="s">
        <v>67</v>
      </c>
      <c r="C62" s="60"/>
      <c r="D62" s="61" t="s">
        <v>571</v>
      </c>
      <c r="E62" s="61" t="s">
        <v>571</v>
      </c>
      <c r="F62" s="61" t="s">
        <v>572</v>
      </c>
      <c r="G62" s="61" t="s">
        <v>572</v>
      </c>
      <c r="H62" s="61" t="s">
        <v>572</v>
      </c>
      <c r="I62" s="61" t="s">
        <v>572</v>
      </c>
    </row>
    <row r="63" spans="2:9" s="54" customFormat="1">
      <c r="B63" s="64" t="s">
        <v>573</v>
      </c>
      <c r="C63" s="64"/>
      <c r="D63" s="64"/>
      <c r="E63" s="64"/>
      <c r="F63" s="64"/>
      <c r="G63" s="64"/>
      <c r="H63" s="64"/>
      <c r="I63" s="64"/>
    </row>
    <row r="64" spans="2:9" s="54" customFormat="1" outlineLevel="1">
      <c r="B64" s="66" t="s">
        <v>574</v>
      </c>
      <c r="C64" s="66"/>
      <c r="D64" s="66"/>
      <c r="E64" s="66"/>
      <c r="F64" s="66"/>
      <c r="G64" s="66"/>
      <c r="H64" s="66"/>
      <c r="I64" s="66"/>
    </row>
    <row r="65" spans="2:9" s="54" customFormat="1" outlineLevel="1">
      <c r="B65" s="68" t="str">
        <f>'Program Budget'!D12</f>
        <v xml:space="preserve">Key Personnel: Ex-pat Chief of Party </v>
      </c>
      <c r="C65" s="68"/>
      <c r="D65" s="69">
        <v>0.05</v>
      </c>
      <c r="E65" s="69">
        <v>0.25</v>
      </c>
      <c r="F65" s="69">
        <v>0.2</v>
      </c>
      <c r="G65" s="69">
        <v>0.25</v>
      </c>
      <c r="H65" s="69">
        <v>0.25</v>
      </c>
      <c r="I65" s="69">
        <f t="shared" ref="I65:I82" si="3">SUM(D65:H65)</f>
        <v>1</v>
      </c>
    </row>
    <row r="66" spans="2:9" s="54" customFormat="1" outlineLevel="1">
      <c r="B66" s="68" t="str">
        <f>'Program Budget'!D13</f>
        <v>Deputy Chief of Party</v>
      </c>
      <c r="C66" s="68"/>
      <c r="D66" s="69"/>
      <c r="E66" s="69">
        <v>0.1</v>
      </c>
      <c r="F66" s="69">
        <v>0.1</v>
      </c>
      <c r="G66" s="69">
        <v>0.1</v>
      </c>
      <c r="H66" s="69">
        <v>0.7</v>
      </c>
      <c r="I66" s="69">
        <f t="shared" si="3"/>
        <v>1</v>
      </c>
    </row>
    <row r="67" spans="2:9" s="54" customFormat="1" outlineLevel="1">
      <c r="B67" s="68" t="str">
        <f>'Program Budget'!D14</f>
        <v>Technical Lead Component 1</v>
      </c>
      <c r="C67" s="68"/>
      <c r="D67" s="69"/>
      <c r="E67" s="69">
        <v>1</v>
      </c>
      <c r="F67" s="69"/>
      <c r="G67" s="69"/>
      <c r="H67" s="69"/>
      <c r="I67" s="69">
        <f t="shared" si="3"/>
        <v>1</v>
      </c>
    </row>
    <row r="68" spans="2:9" s="54" customFormat="1" outlineLevel="1">
      <c r="B68" s="68" t="str">
        <f>'Program Budget'!D15</f>
        <v>Technical Lead Component 2</v>
      </c>
      <c r="C68" s="68"/>
      <c r="D68" s="69"/>
      <c r="E68" s="69"/>
      <c r="F68" s="69">
        <v>1</v>
      </c>
      <c r="G68" s="69"/>
      <c r="H68" s="69"/>
      <c r="I68" s="69">
        <f t="shared" si="3"/>
        <v>1</v>
      </c>
    </row>
    <row r="69" spans="2:9" s="54" customFormat="1" outlineLevel="1">
      <c r="B69" s="68" t="str">
        <f>'Program Budget'!D16</f>
        <v>Technical Lead Component 3</v>
      </c>
      <c r="C69" s="68"/>
      <c r="D69" s="69"/>
      <c r="E69" s="69"/>
      <c r="F69" s="69"/>
      <c r="G69" s="69">
        <v>1</v>
      </c>
      <c r="H69" s="69"/>
      <c r="I69" s="69">
        <f t="shared" si="3"/>
        <v>1</v>
      </c>
    </row>
    <row r="70" spans="2:9" s="54" customFormat="1" outlineLevel="1">
      <c r="B70" s="68" t="str">
        <f>'Program Budget'!D17</f>
        <v>Specialist Component 2</v>
      </c>
      <c r="C70" s="68"/>
      <c r="D70" s="69"/>
      <c r="E70" s="69"/>
      <c r="F70" s="69">
        <v>1</v>
      </c>
      <c r="G70" s="69"/>
      <c r="H70" s="69"/>
      <c r="I70" s="69">
        <f t="shared" si="3"/>
        <v>1</v>
      </c>
    </row>
    <row r="71" spans="2:9" s="54" customFormat="1" outlineLevel="1">
      <c r="B71" s="68" t="str">
        <f>'Program Budget'!D18</f>
        <v>Specialist Component 3</v>
      </c>
      <c r="C71" s="68"/>
      <c r="D71" s="69"/>
      <c r="E71" s="69"/>
      <c r="F71" s="69"/>
      <c r="G71" s="69">
        <v>1</v>
      </c>
      <c r="H71" s="69"/>
      <c r="I71" s="69">
        <f t="shared" si="3"/>
        <v>1</v>
      </c>
    </row>
    <row r="72" spans="2:9" s="54" customFormat="1" outlineLevel="1">
      <c r="B72" s="68" t="str">
        <f>'Program Budget'!D19</f>
        <v>Specialist Component 4</v>
      </c>
      <c r="C72" s="68"/>
      <c r="D72" s="69"/>
      <c r="E72" s="69"/>
      <c r="F72" s="69"/>
      <c r="G72" s="69"/>
      <c r="H72" s="69">
        <v>1</v>
      </c>
      <c r="I72" s="69">
        <f t="shared" si="3"/>
        <v>1</v>
      </c>
    </row>
    <row r="73" spans="2:9" s="54" customFormat="1" outlineLevel="1">
      <c r="B73" s="68" t="str">
        <f>'Program Budget'!D20</f>
        <v>Extension Agents (20 Individuals)</v>
      </c>
      <c r="C73" s="68"/>
      <c r="D73" s="69"/>
      <c r="E73" s="69">
        <v>0.45</v>
      </c>
      <c r="F73" s="69">
        <v>0.3</v>
      </c>
      <c r="G73" s="69">
        <v>0.2</v>
      </c>
      <c r="H73" s="69">
        <v>0.05</v>
      </c>
      <c r="I73" s="69">
        <f t="shared" si="3"/>
        <v>1</v>
      </c>
    </row>
    <row r="74" spans="2:9" s="54" customFormat="1" outlineLevel="1">
      <c r="B74" s="68" t="str">
        <f>'Program Budget'!D21</f>
        <v xml:space="preserve">M&amp;E Director </v>
      </c>
      <c r="C74" s="68"/>
      <c r="D74" s="69">
        <v>0.05</v>
      </c>
      <c r="E74" s="69">
        <v>0.25</v>
      </c>
      <c r="F74" s="69">
        <v>0.2</v>
      </c>
      <c r="G74" s="69">
        <v>0.25</v>
      </c>
      <c r="H74" s="69">
        <v>0.25</v>
      </c>
      <c r="I74" s="69">
        <f t="shared" si="3"/>
        <v>1</v>
      </c>
    </row>
    <row r="75" spans="2:9" s="54" customFormat="1" outlineLevel="1">
      <c r="B75" s="68" t="str">
        <f>'Program Budget'!D22</f>
        <v>M&amp;E Specialist</v>
      </c>
      <c r="C75" s="68"/>
      <c r="D75" s="69">
        <v>0.05</v>
      </c>
      <c r="E75" s="69">
        <v>0.25</v>
      </c>
      <c r="F75" s="69">
        <v>0.2</v>
      </c>
      <c r="G75" s="69">
        <v>0.25</v>
      </c>
      <c r="H75" s="69">
        <v>0.25</v>
      </c>
      <c r="I75" s="69">
        <f t="shared" si="3"/>
        <v>1</v>
      </c>
    </row>
    <row r="76" spans="2:9" s="54" customFormat="1" outlineLevel="1">
      <c r="B76" s="68" t="str">
        <f>'Program Budget'!D23</f>
        <v xml:space="preserve">F&amp;A Director </v>
      </c>
      <c r="C76" s="68"/>
      <c r="D76" s="69">
        <v>0.1</v>
      </c>
      <c r="E76" s="69">
        <v>0.25</v>
      </c>
      <c r="F76" s="69">
        <v>0.2</v>
      </c>
      <c r="G76" s="69">
        <v>0.2</v>
      </c>
      <c r="H76" s="69">
        <v>0.25</v>
      </c>
      <c r="I76" s="69">
        <f t="shared" si="3"/>
        <v>1</v>
      </c>
    </row>
    <row r="77" spans="2:9" s="54" customFormat="1" outlineLevel="1">
      <c r="B77" s="68" t="str">
        <f>'Program Budget'!D24</f>
        <v>Human Resource Manager</v>
      </c>
      <c r="C77" s="68"/>
      <c r="D77" s="69">
        <v>0.05</v>
      </c>
      <c r="E77" s="69">
        <v>0.25</v>
      </c>
      <c r="F77" s="69">
        <v>0.25</v>
      </c>
      <c r="G77" s="69">
        <v>0.25</v>
      </c>
      <c r="H77" s="69">
        <v>0.2</v>
      </c>
      <c r="I77" s="69">
        <f t="shared" ref="I77" si="4">SUM(D77:H77)</f>
        <v>1</v>
      </c>
    </row>
    <row r="78" spans="2:9" s="71" customFormat="1" outlineLevel="1">
      <c r="B78" s="68" t="str">
        <f>'Program Budget'!D25</f>
        <v>Contracts &amp; Compliance Specialist</v>
      </c>
      <c r="C78" s="68"/>
      <c r="D78" s="69">
        <v>0.05</v>
      </c>
      <c r="E78" s="69">
        <v>0.25</v>
      </c>
      <c r="F78" s="69">
        <v>0.25</v>
      </c>
      <c r="G78" s="69">
        <v>0.2</v>
      </c>
      <c r="H78" s="69">
        <v>0.25</v>
      </c>
      <c r="I78" s="69">
        <f t="shared" si="3"/>
        <v>1</v>
      </c>
    </row>
    <row r="79" spans="2:9" s="71" customFormat="1" outlineLevel="1">
      <c r="B79" s="68" t="str">
        <f>'Program Budget'!D26</f>
        <v xml:space="preserve">Accountant </v>
      </c>
      <c r="C79" s="68"/>
      <c r="D79" s="69">
        <v>0.2</v>
      </c>
      <c r="E79" s="69">
        <v>0.2</v>
      </c>
      <c r="F79" s="69">
        <v>0.2</v>
      </c>
      <c r="G79" s="69">
        <v>0.2</v>
      </c>
      <c r="H79" s="69">
        <v>0.2</v>
      </c>
      <c r="I79" s="69">
        <f t="shared" si="3"/>
        <v>1</v>
      </c>
    </row>
    <row r="80" spans="2:9" s="54" customFormat="1" outlineLevel="1">
      <c r="B80" s="68" t="str">
        <f>'Program Budget'!D27</f>
        <v xml:space="preserve">Administrative Assistant </v>
      </c>
      <c r="C80" s="68"/>
      <c r="D80" s="69">
        <v>0.2</v>
      </c>
      <c r="E80" s="69">
        <v>0.2</v>
      </c>
      <c r="F80" s="69">
        <v>0.2</v>
      </c>
      <c r="G80" s="69">
        <v>0.2</v>
      </c>
      <c r="H80" s="69">
        <v>0.2</v>
      </c>
      <c r="I80" s="69">
        <f t="shared" si="3"/>
        <v>1</v>
      </c>
    </row>
    <row r="81" spans="2:9" s="54" customFormat="1" outlineLevel="1">
      <c r="B81" s="68" t="str">
        <f>'Program Budget'!D28</f>
        <v>Security Guards</v>
      </c>
      <c r="C81" s="68"/>
      <c r="D81" s="69">
        <v>0.05</v>
      </c>
      <c r="E81" s="69">
        <v>0.25</v>
      </c>
      <c r="F81" s="69">
        <v>0.25</v>
      </c>
      <c r="G81" s="69">
        <v>0.2</v>
      </c>
      <c r="H81" s="69">
        <v>0.25</v>
      </c>
      <c r="I81" s="69">
        <f t="shared" si="3"/>
        <v>1</v>
      </c>
    </row>
    <row r="82" spans="2:9" s="54" customFormat="1" outlineLevel="1">
      <c r="B82" s="68" t="str">
        <f>'Program Budget'!D29</f>
        <v>Driver (2 Individuals)</v>
      </c>
      <c r="C82" s="68"/>
      <c r="D82" s="69">
        <v>0.05</v>
      </c>
      <c r="E82" s="69">
        <v>0.25</v>
      </c>
      <c r="F82" s="69">
        <v>0.2</v>
      </c>
      <c r="G82" s="69">
        <v>0.25</v>
      </c>
      <c r="H82" s="69">
        <v>0.25</v>
      </c>
      <c r="I82" s="69">
        <f t="shared" si="3"/>
        <v>1</v>
      </c>
    </row>
    <row r="83" spans="2:9" s="54" customFormat="1" outlineLevel="1">
      <c r="B83" s="66" t="s">
        <v>575</v>
      </c>
      <c r="C83" s="66"/>
      <c r="D83" s="72"/>
      <c r="E83" s="72"/>
      <c r="F83" s="72"/>
      <c r="G83" s="72"/>
      <c r="H83" s="72"/>
      <c r="I83" s="72"/>
    </row>
    <row r="84" spans="2:9" s="54" customFormat="1" outlineLevel="1">
      <c r="B84" s="68" t="str">
        <f>'Program Budget'!D31</f>
        <v xml:space="preserve">Senior Program Director </v>
      </c>
      <c r="C84" s="68"/>
      <c r="D84" s="69">
        <v>0.2</v>
      </c>
      <c r="E84" s="69"/>
      <c r="F84" s="69"/>
      <c r="G84" s="69"/>
      <c r="H84" s="69"/>
      <c r="I84" s="69">
        <f>SUM(D84:H84)</f>
        <v>0.2</v>
      </c>
    </row>
    <row r="85" spans="2:9" s="54" customFormat="1" outlineLevel="1">
      <c r="B85" s="68" t="str">
        <f>'Program Budget'!D32</f>
        <v>HO Project Manager</v>
      </c>
      <c r="C85" s="68"/>
      <c r="D85" s="69">
        <v>1</v>
      </c>
      <c r="E85" s="69"/>
      <c r="F85" s="69"/>
      <c r="G85" s="69"/>
      <c r="H85" s="69"/>
      <c r="I85" s="69">
        <f>SUM(D85:H85)</f>
        <v>1</v>
      </c>
    </row>
    <row r="86" spans="2:9" s="54" customFormat="1" outlineLevel="1">
      <c r="B86" s="73" t="s">
        <v>211</v>
      </c>
      <c r="C86" s="73"/>
      <c r="D86" s="74"/>
      <c r="E86" s="74"/>
      <c r="F86" s="74"/>
      <c r="G86" s="74"/>
      <c r="H86" s="74"/>
      <c r="I86" s="74"/>
    </row>
    <row r="87" spans="2:9">
      <c r="D87" s="57"/>
      <c r="E87" s="53"/>
      <c r="G87" s="53"/>
      <c r="H87" s="57"/>
      <c r="I87" s="57"/>
    </row>
    <row r="88" spans="2:9" ht="98.4">
      <c r="B88" s="51"/>
      <c r="C88" s="51"/>
      <c r="D88" s="58" t="s">
        <v>565</v>
      </c>
      <c r="E88" s="58" t="s">
        <v>566</v>
      </c>
      <c r="F88" s="58" t="s">
        <v>567</v>
      </c>
      <c r="G88" s="58" t="s">
        <v>568</v>
      </c>
      <c r="H88" s="58" t="s">
        <v>569</v>
      </c>
      <c r="I88" s="58" t="s">
        <v>570</v>
      </c>
    </row>
    <row r="89" spans="2:9" s="63" customFormat="1" ht="12.3">
      <c r="B89" s="60" t="s">
        <v>68</v>
      </c>
      <c r="C89" s="60"/>
      <c r="D89" s="61" t="s">
        <v>571</v>
      </c>
      <c r="E89" s="61" t="s">
        <v>571</v>
      </c>
      <c r="F89" s="61" t="s">
        <v>572</v>
      </c>
      <c r="G89" s="61" t="s">
        <v>572</v>
      </c>
      <c r="H89" s="61" t="s">
        <v>572</v>
      </c>
      <c r="I89" s="61" t="s">
        <v>572</v>
      </c>
    </row>
    <row r="90" spans="2:9" s="54" customFormat="1">
      <c r="B90" s="64" t="s">
        <v>573</v>
      </c>
      <c r="C90" s="64"/>
      <c r="D90" s="64"/>
      <c r="E90" s="64"/>
      <c r="F90" s="64"/>
      <c r="G90" s="64"/>
      <c r="H90" s="64"/>
      <c r="I90" s="64"/>
    </row>
    <row r="91" spans="2:9" s="54" customFormat="1" outlineLevel="1">
      <c r="B91" s="66" t="s">
        <v>574</v>
      </c>
      <c r="C91" s="66"/>
      <c r="D91" s="66"/>
      <c r="E91" s="66"/>
      <c r="F91" s="66"/>
      <c r="G91" s="66"/>
      <c r="H91" s="66"/>
      <c r="I91" s="66"/>
    </row>
    <row r="92" spans="2:9" s="54" customFormat="1" outlineLevel="1">
      <c r="B92" s="68" t="str">
        <f>'Program Budget'!D12</f>
        <v xml:space="preserve">Key Personnel: Ex-pat Chief of Party </v>
      </c>
      <c r="C92" s="68"/>
      <c r="D92" s="69">
        <v>0.05</v>
      </c>
      <c r="E92" s="69">
        <v>0.25</v>
      </c>
      <c r="F92" s="69">
        <v>0.2</v>
      </c>
      <c r="G92" s="69">
        <v>0.25</v>
      </c>
      <c r="H92" s="69">
        <v>0.25</v>
      </c>
      <c r="I92" s="69">
        <f t="shared" ref="I92:I109" si="5">SUM(D92:H92)</f>
        <v>1</v>
      </c>
    </row>
    <row r="93" spans="2:9" s="54" customFormat="1" outlineLevel="1">
      <c r="B93" s="68" t="str">
        <f>'Program Budget'!D13</f>
        <v>Deputy Chief of Party</v>
      </c>
      <c r="C93" s="68"/>
      <c r="D93" s="69"/>
      <c r="E93" s="69">
        <v>0.1</v>
      </c>
      <c r="F93" s="69">
        <v>0.1</v>
      </c>
      <c r="G93" s="69">
        <v>0.1</v>
      </c>
      <c r="H93" s="69">
        <v>0.7</v>
      </c>
      <c r="I93" s="69">
        <f t="shared" si="5"/>
        <v>1</v>
      </c>
    </row>
    <row r="94" spans="2:9" s="54" customFormat="1" outlineLevel="1">
      <c r="B94" s="68" t="str">
        <f>'Program Budget'!D14</f>
        <v>Technical Lead Component 1</v>
      </c>
      <c r="C94" s="68"/>
      <c r="D94" s="69"/>
      <c r="E94" s="69">
        <v>1</v>
      </c>
      <c r="F94" s="69"/>
      <c r="G94" s="69"/>
      <c r="H94" s="69"/>
      <c r="I94" s="69">
        <f t="shared" si="5"/>
        <v>1</v>
      </c>
    </row>
    <row r="95" spans="2:9" s="54" customFormat="1" outlineLevel="1">
      <c r="B95" s="68" t="str">
        <f>'Program Budget'!D15</f>
        <v>Technical Lead Component 2</v>
      </c>
      <c r="C95" s="68"/>
      <c r="D95" s="69"/>
      <c r="E95" s="69"/>
      <c r="F95" s="69">
        <v>1</v>
      </c>
      <c r="G95" s="69"/>
      <c r="H95" s="69"/>
      <c r="I95" s="69">
        <f t="shared" si="5"/>
        <v>1</v>
      </c>
    </row>
    <row r="96" spans="2:9" s="54" customFormat="1" outlineLevel="1">
      <c r="B96" s="68" t="str">
        <f>'Program Budget'!D16</f>
        <v>Technical Lead Component 3</v>
      </c>
      <c r="C96" s="68"/>
      <c r="D96" s="69"/>
      <c r="E96" s="69"/>
      <c r="F96" s="69"/>
      <c r="G96" s="69">
        <v>1</v>
      </c>
      <c r="H96" s="69"/>
      <c r="I96" s="69">
        <f t="shared" si="5"/>
        <v>1</v>
      </c>
    </row>
    <row r="97" spans="2:9" s="54" customFormat="1" outlineLevel="1">
      <c r="B97" s="68" t="str">
        <f>'Program Budget'!D17</f>
        <v>Specialist Component 2</v>
      </c>
      <c r="C97" s="68"/>
      <c r="D97" s="69"/>
      <c r="E97" s="69"/>
      <c r="F97" s="69">
        <v>1</v>
      </c>
      <c r="G97" s="69"/>
      <c r="H97" s="69"/>
      <c r="I97" s="69">
        <f t="shared" si="5"/>
        <v>1</v>
      </c>
    </row>
    <row r="98" spans="2:9" s="54" customFormat="1" outlineLevel="1">
      <c r="B98" s="68" t="str">
        <f>'Program Budget'!D18</f>
        <v>Specialist Component 3</v>
      </c>
      <c r="C98" s="68"/>
      <c r="D98" s="69"/>
      <c r="E98" s="69"/>
      <c r="F98" s="69"/>
      <c r="G98" s="69">
        <v>1</v>
      </c>
      <c r="H98" s="69"/>
      <c r="I98" s="69">
        <f t="shared" si="5"/>
        <v>1</v>
      </c>
    </row>
    <row r="99" spans="2:9" s="54" customFormat="1" outlineLevel="1">
      <c r="B99" s="68" t="str">
        <f>'Program Budget'!D19</f>
        <v>Specialist Component 4</v>
      </c>
      <c r="C99" s="68"/>
      <c r="D99" s="69"/>
      <c r="E99" s="69"/>
      <c r="F99" s="69"/>
      <c r="G99" s="69"/>
      <c r="H99" s="69">
        <v>1</v>
      </c>
      <c r="I99" s="69">
        <f t="shared" si="5"/>
        <v>1</v>
      </c>
    </row>
    <row r="100" spans="2:9" s="54" customFormat="1" outlineLevel="1">
      <c r="B100" s="68" t="str">
        <f>'Program Budget'!D20</f>
        <v>Extension Agents (20 Individuals)</v>
      </c>
      <c r="C100" s="68"/>
      <c r="D100" s="69"/>
      <c r="E100" s="69"/>
      <c r="F100" s="69"/>
      <c r="G100" s="69"/>
      <c r="H100" s="69"/>
      <c r="I100" s="69">
        <f t="shared" si="5"/>
        <v>0</v>
      </c>
    </row>
    <row r="101" spans="2:9" s="54" customFormat="1" outlineLevel="1">
      <c r="B101" s="68" t="str">
        <f>'Program Budget'!D21</f>
        <v xml:space="preserve">M&amp;E Director </v>
      </c>
      <c r="C101" s="68"/>
      <c r="D101" s="69">
        <v>0.05</v>
      </c>
      <c r="E101" s="69">
        <v>0.25</v>
      </c>
      <c r="F101" s="69">
        <v>0.2</v>
      </c>
      <c r="G101" s="69">
        <v>0.25</v>
      </c>
      <c r="H101" s="69">
        <v>0.25</v>
      </c>
      <c r="I101" s="69">
        <f t="shared" si="5"/>
        <v>1</v>
      </c>
    </row>
    <row r="102" spans="2:9" s="54" customFormat="1" outlineLevel="1">
      <c r="B102" s="68" t="str">
        <f>'Program Budget'!D22</f>
        <v>M&amp;E Specialist</v>
      </c>
      <c r="C102" s="68"/>
      <c r="D102" s="69">
        <v>0.05</v>
      </c>
      <c r="E102" s="69">
        <v>0.25</v>
      </c>
      <c r="F102" s="69">
        <v>0.2</v>
      </c>
      <c r="G102" s="69">
        <v>0.25</v>
      </c>
      <c r="H102" s="69">
        <v>0.25</v>
      </c>
      <c r="I102" s="69">
        <f t="shared" si="5"/>
        <v>1</v>
      </c>
    </row>
    <row r="103" spans="2:9" s="54" customFormat="1" outlineLevel="1">
      <c r="B103" s="68" t="str">
        <f>'Program Budget'!D23</f>
        <v xml:space="preserve">F&amp;A Director </v>
      </c>
      <c r="C103" s="68"/>
      <c r="D103" s="69">
        <v>0.1</v>
      </c>
      <c r="E103" s="69">
        <v>0.25</v>
      </c>
      <c r="F103" s="69">
        <v>0.2</v>
      </c>
      <c r="G103" s="69">
        <v>0.2</v>
      </c>
      <c r="H103" s="69">
        <v>0.25</v>
      </c>
      <c r="I103" s="69">
        <f t="shared" si="5"/>
        <v>1</v>
      </c>
    </row>
    <row r="104" spans="2:9" s="54" customFormat="1" outlineLevel="1">
      <c r="B104" s="68" t="str">
        <f>'Program Budget'!D24</f>
        <v>Human Resource Manager</v>
      </c>
      <c r="C104" s="68"/>
      <c r="D104" s="69">
        <v>0.05</v>
      </c>
      <c r="E104" s="69">
        <v>0.25</v>
      </c>
      <c r="F104" s="69">
        <v>0.25</v>
      </c>
      <c r="G104" s="69">
        <v>0.25</v>
      </c>
      <c r="H104" s="69">
        <v>0.2</v>
      </c>
      <c r="I104" s="69">
        <f t="shared" ref="I104" si="6">SUM(D104:H104)</f>
        <v>1</v>
      </c>
    </row>
    <row r="105" spans="2:9" s="71" customFormat="1" outlineLevel="1">
      <c r="B105" s="68" t="str">
        <f>'Program Budget'!D25</f>
        <v>Contracts &amp; Compliance Specialist</v>
      </c>
      <c r="C105" s="68"/>
      <c r="D105" s="69">
        <v>0.05</v>
      </c>
      <c r="E105" s="69">
        <v>0.25</v>
      </c>
      <c r="F105" s="69">
        <v>0.25</v>
      </c>
      <c r="G105" s="69">
        <v>0.2</v>
      </c>
      <c r="H105" s="69">
        <v>0.25</v>
      </c>
      <c r="I105" s="69">
        <f t="shared" si="5"/>
        <v>1</v>
      </c>
    </row>
    <row r="106" spans="2:9" s="71" customFormat="1" outlineLevel="1">
      <c r="B106" s="68" t="str">
        <f>'Program Budget'!D26</f>
        <v xml:space="preserve">Accountant </v>
      </c>
      <c r="C106" s="68"/>
      <c r="D106" s="69">
        <v>0.2</v>
      </c>
      <c r="E106" s="69">
        <v>0.2</v>
      </c>
      <c r="F106" s="69">
        <v>0.2</v>
      </c>
      <c r="G106" s="69">
        <v>0.2</v>
      </c>
      <c r="H106" s="69">
        <v>0.2</v>
      </c>
      <c r="I106" s="69">
        <f t="shared" si="5"/>
        <v>1</v>
      </c>
    </row>
    <row r="107" spans="2:9" s="54" customFormat="1" outlineLevel="1">
      <c r="B107" s="68" t="str">
        <f>'Program Budget'!D27</f>
        <v xml:space="preserve">Administrative Assistant </v>
      </c>
      <c r="C107" s="68"/>
      <c r="D107" s="69">
        <v>0.2</v>
      </c>
      <c r="E107" s="69">
        <v>0.2</v>
      </c>
      <c r="F107" s="69">
        <v>0.2</v>
      </c>
      <c r="G107" s="69">
        <v>0.2</v>
      </c>
      <c r="H107" s="69">
        <v>0.2</v>
      </c>
      <c r="I107" s="69">
        <f t="shared" si="5"/>
        <v>1</v>
      </c>
    </row>
    <row r="108" spans="2:9" s="54" customFormat="1" outlineLevel="1">
      <c r="B108" s="68" t="str">
        <f>'Program Budget'!D28</f>
        <v>Security Guards</v>
      </c>
      <c r="C108" s="68"/>
      <c r="D108" s="69">
        <v>0.05</v>
      </c>
      <c r="E108" s="69">
        <v>0.25</v>
      </c>
      <c r="F108" s="69">
        <v>0.25</v>
      </c>
      <c r="G108" s="69">
        <v>0.2</v>
      </c>
      <c r="H108" s="69">
        <v>0.25</v>
      </c>
      <c r="I108" s="69">
        <f t="shared" si="5"/>
        <v>1</v>
      </c>
    </row>
    <row r="109" spans="2:9" s="54" customFormat="1" outlineLevel="1">
      <c r="B109" s="68" t="str">
        <f>'Program Budget'!D29</f>
        <v>Driver (2 Individuals)</v>
      </c>
      <c r="C109" s="68"/>
      <c r="D109" s="69">
        <v>0.05</v>
      </c>
      <c r="E109" s="69">
        <v>0.25</v>
      </c>
      <c r="F109" s="69">
        <v>0.2</v>
      </c>
      <c r="G109" s="69">
        <v>0.25</v>
      </c>
      <c r="H109" s="69">
        <v>0.25</v>
      </c>
      <c r="I109" s="69">
        <f t="shared" si="5"/>
        <v>1</v>
      </c>
    </row>
    <row r="110" spans="2:9" s="54" customFormat="1" outlineLevel="1">
      <c r="B110" s="66" t="s">
        <v>575</v>
      </c>
      <c r="C110" s="66"/>
      <c r="D110" s="72"/>
      <c r="E110" s="72"/>
      <c r="F110" s="72"/>
      <c r="G110" s="72"/>
      <c r="H110" s="72"/>
      <c r="I110" s="72"/>
    </row>
    <row r="111" spans="2:9" s="54" customFormat="1" outlineLevel="1">
      <c r="B111" s="68" t="str">
        <f>'Program Budget'!D31</f>
        <v xml:space="preserve">Senior Program Director </v>
      </c>
      <c r="C111" s="68"/>
      <c r="D111" s="69">
        <v>0.2</v>
      </c>
      <c r="E111" s="69"/>
      <c r="F111" s="69"/>
      <c r="G111" s="69"/>
      <c r="H111" s="69"/>
      <c r="I111" s="69">
        <f>SUM(D111:H111)</f>
        <v>0.2</v>
      </c>
    </row>
    <row r="112" spans="2:9" s="54" customFormat="1" outlineLevel="1">
      <c r="B112" s="68" t="str">
        <f>'Program Budget'!D32</f>
        <v>HO Project Manager</v>
      </c>
      <c r="C112" s="68"/>
      <c r="D112" s="69">
        <v>1</v>
      </c>
      <c r="E112" s="69"/>
      <c r="F112" s="69"/>
      <c r="G112" s="69"/>
      <c r="H112" s="69"/>
      <c r="I112" s="69">
        <f>SUM(D112:H112)</f>
        <v>1</v>
      </c>
    </row>
    <row r="113" spans="2:9" s="54" customFormat="1" outlineLevel="1">
      <c r="B113" s="73" t="s">
        <v>211</v>
      </c>
      <c r="C113" s="73"/>
      <c r="D113" s="74"/>
      <c r="E113" s="74"/>
      <c r="F113" s="74"/>
      <c r="G113" s="74"/>
      <c r="H113" s="74"/>
      <c r="I113" s="74"/>
    </row>
    <row r="114" spans="2:9">
      <c r="D114" s="57"/>
      <c r="E114" s="53"/>
      <c r="G114" s="53"/>
      <c r="H114" s="57"/>
      <c r="I114" s="57"/>
    </row>
    <row r="115" spans="2:9" ht="98.4">
      <c r="B115" s="51"/>
      <c r="C115" s="51"/>
      <c r="D115" s="58" t="s">
        <v>565</v>
      </c>
      <c r="E115" s="58" t="s">
        <v>566</v>
      </c>
      <c r="F115" s="58" t="s">
        <v>567</v>
      </c>
      <c r="G115" s="58" t="s">
        <v>568</v>
      </c>
      <c r="H115" s="58" t="s">
        <v>569</v>
      </c>
      <c r="I115" s="58" t="s">
        <v>570</v>
      </c>
    </row>
    <row r="116" spans="2:9" s="63" customFormat="1" ht="12.3">
      <c r="B116" s="60" t="s">
        <v>69</v>
      </c>
      <c r="C116" s="60"/>
      <c r="D116" s="61" t="s">
        <v>571</v>
      </c>
      <c r="E116" s="61" t="s">
        <v>571</v>
      </c>
      <c r="F116" s="61" t="s">
        <v>572</v>
      </c>
      <c r="G116" s="61" t="s">
        <v>572</v>
      </c>
      <c r="H116" s="61" t="s">
        <v>572</v>
      </c>
      <c r="I116" s="61" t="s">
        <v>572</v>
      </c>
    </row>
    <row r="117" spans="2:9" s="54" customFormat="1">
      <c r="B117" s="64" t="s">
        <v>573</v>
      </c>
      <c r="C117" s="64"/>
      <c r="D117" s="64"/>
      <c r="E117" s="64"/>
      <c r="F117" s="64"/>
      <c r="G117" s="64"/>
      <c r="H117" s="64"/>
      <c r="I117" s="64"/>
    </row>
    <row r="118" spans="2:9" s="54" customFormat="1" outlineLevel="1">
      <c r="B118" s="66" t="s">
        <v>574</v>
      </c>
      <c r="C118" s="66"/>
      <c r="D118" s="66"/>
      <c r="E118" s="66"/>
      <c r="F118" s="66"/>
      <c r="G118" s="66"/>
      <c r="H118" s="66"/>
      <c r="I118" s="66"/>
    </row>
    <row r="119" spans="2:9" s="54" customFormat="1" outlineLevel="1">
      <c r="B119" s="68" t="str">
        <f>'Program Budget'!D12</f>
        <v xml:space="preserve">Key Personnel: Ex-pat Chief of Party </v>
      </c>
      <c r="C119" s="68"/>
      <c r="D119" s="69">
        <v>0.05</v>
      </c>
      <c r="E119" s="69">
        <v>0.25</v>
      </c>
      <c r="F119" s="69">
        <v>0.2</v>
      </c>
      <c r="G119" s="69">
        <v>0.25</v>
      </c>
      <c r="H119" s="69">
        <v>0.25</v>
      </c>
      <c r="I119" s="69">
        <f t="shared" ref="I119:I136" si="7">SUM(D119:H119)</f>
        <v>1</v>
      </c>
    </row>
    <row r="120" spans="2:9" s="54" customFormat="1" outlineLevel="1">
      <c r="B120" s="68" t="str">
        <f>'Program Budget'!D13</f>
        <v>Deputy Chief of Party</v>
      </c>
      <c r="C120" s="68"/>
      <c r="D120" s="69"/>
      <c r="E120" s="69">
        <v>0.1</v>
      </c>
      <c r="F120" s="69">
        <v>0.1</v>
      </c>
      <c r="G120" s="69">
        <v>0.1</v>
      </c>
      <c r="H120" s="69">
        <v>0.7</v>
      </c>
      <c r="I120" s="69">
        <f t="shared" si="7"/>
        <v>1</v>
      </c>
    </row>
    <row r="121" spans="2:9" s="54" customFormat="1" outlineLevel="1">
      <c r="B121" s="68" t="str">
        <f>'Program Budget'!D14</f>
        <v>Technical Lead Component 1</v>
      </c>
      <c r="C121" s="68"/>
      <c r="D121" s="69"/>
      <c r="E121" s="69">
        <v>1</v>
      </c>
      <c r="F121" s="69"/>
      <c r="G121" s="69"/>
      <c r="H121" s="69"/>
      <c r="I121" s="69">
        <f t="shared" si="7"/>
        <v>1</v>
      </c>
    </row>
    <row r="122" spans="2:9" s="54" customFormat="1" outlineLevel="1">
      <c r="B122" s="68" t="str">
        <f>'Program Budget'!D15</f>
        <v>Technical Lead Component 2</v>
      </c>
      <c r="C122" s="68"/>
      <c r="D122" s="69"/>
      <c r="E122" s="69"/>
      <c r="F122" s="69">
        <v>1</v>
      </c>
      <c r="G122" s="69"/>
      <c r="H122" s="69"/>
      <c r="I122" s="69">
        <f t="shared" si="7"/>
        <v>1</v>
      </c>
    </row>
    <row r="123" spans="2:9" s="54" customFormat="1" outlineLevel="1">
      <c r="B123" s="68" t="str">
        <f>'Program Budget'!D16</f>
        <v>Technical Lead Component 3</v>
      </c>
      <c r="C123" s="68"/>
      <c r="D123" s="69"/>
      <c r="E123" s="69"/>
      <c r="F123" s="69"/>
      <c r="G123" s="69">
        <v>1</v>
      </c>
      <c r="H123" s="69"/>
      <c r="I123" s="69">
        <f t="shared" si="7"/>
        <v>1</v>
      </c>
    </row>
    <row r="124" spans="2:9" s="54" customFormat="1" outlineLevel="1">
      <c r="B124" s="68" t="str">
        <f>'Program Budget'!D17</f>
        <v>Specialist Component 2</v>
      </c>
      <c r="C124" s="68"/>
      <c r="D124" s="69"/>
      <c r="E124" s="69"/>
      <c r="F124" s="69">
        <v>1</v>
      </c>
      <c r="G124" s="69"/>
      <c r="H124" s="69"/>
      <c r="I124" s="69">
        <f t="shared" si="7"/>
        <v>1</v>
      </c>
    </row>
    <row r="125" spans="2:9" s="54" customFormat="1" outlineLevel="1">
      <c r="B125" s="68" t="str">
        <f>'Program Budget'!D18</f>
        <v>Specialist Component 3</v>
      </c>
      <c r="C125" s="68"/>
      <c r="D125" s="69"/>
      <c r="E125" s="69"/>
      <c r="F125" s="69"/>
      <c r="G125" s="69">
        <v>1</v>
      </c>
      <c r="H125" s="69"/>
      <c r="I125" s="69">
        <f t="shared" si="7"/>
        <v>1</v>
      </c>
    </row>
    <row r="126" spans="2:9" s="54" customFormat="1" outlineLevel="1">
      <c r="B126" s="68" t="str">
        <f>'Program Budget'!D19</f>
        <v>Specialist Component 4</v>
      </c>
      <c r="C126" s="68"/>
      <c r="D126" s="69"/>
      <c r="E126" s="69"/>
      <c r="F126" s="69"/>
      <c r="G126" s="69"/>
      <c r="H126" s="69">
        <v>1</v>
      </c>
      <c r="I126" s="69">
        <f t="shared" si="7"/>
        <v>1</v>
      </c>
    </row>
    <row r="127" spans="2:9" s="54" customFormat="1" outlineLevel="1">
      <c r="B127" s="68" t="str">
        <f>'Program Budget'!D20</f>
        <v>Extension Agents (20 Individuals)</v>
      </c>
      <c r="C127" s="68"/>
      <c r="D127" s="69"/>
      <c r="E127" s="69"/>
      <c r="F127" s="69"/>
      <c r="G127" s="69"/>
      <c r="H127" s="69"/>
      <c r="I127" s="69">
        <f t="shared" si="7"/>
        <v>0</v>
      </c>
    </row>
    <row r="128" spans="2:9" s="54" customFormat="1" outlineLevel="1">
      <c r="B128" s="68" t="str">
        <f>'Program Budget'!D21</f>
        <v xml:space="preserve">M&amp;E Director </v>
      </c>
      <c r="C128" s="68"/>
      <c r="D128" s="69">
        <v>0.05</v>
      </c>
      <c r="E128" s="69">
        <v>0.25</v>
      </c>
      <c r="F128" s="69">
        <v>0.2</v>
      </c>
      <c r="G128" s="69">
        <v>0.25</v>
      </c>
      <c r="H128" s="69">
        <v>0.25</v>
      </c>
      <c r="I128" s="69">
        <f t="shared" si="7"/>
        <v>1</v>
      </c>
    </row>
    <row r="129" spans="2:9" s="54" customFormat="1" outlineLevel="1">
      <c r="B129" s="68" t="str">
        <f>'Program Budget'!D22</f>
        <v>M&amp;E Specialist</v>
      </c>
      <c r="C129" s="68"/>
      <c r="D129" s="69">
        <v>0.05</v>
      </c>
      <c r="E129" s="69">
        <v>0.25</v>
      </c>
      <c r="F129" s="69">
        <v>0.2</v>
      </c>
      <c r="G129" s="69">
        <v>0.25</v>
      </c>
      <c r="H129" s="69">
        <v>0.25</v>
      </c>
      <c r="I129" s="69">
        <f t="shared" si="7"/>
        <v>1</v>
      </c>
    </row>
    <row r="130" spans="2:9" s="54" customFormat="1" outlineLevel="1">
      <c r="B130" s="68" t="str">
        <f>'Program Budget'!D23</f>
        <v xml:space="preserve">F&amp;A Director </v>
      </c>
      <c r="C130" s="68"/>
      <c r="D130" s="69">
        <v>0.1</v>
      </c>
      <c r="E130" s="69">
        <v>0.25</v>
      </c>
      <c r="F130" s="69">
        <v>0.2</v>
      </c>
      <c r="G130" s="69">
        <v>0.2</v>
      </c>
      <c r="H130" s="69">
        <v>0.25</v>
      </c>
      <c r="I130" s="69">
        <f t="shared" si="7"/>
        <v>1</v>
      </c>
    </row>
    <row r="131" spans="2:9" s="54" customFormat="1" outlineLevel="1">
      <c r="B131" s="68" t="str">
        <f>'Program Budget'!D24</f>
        <v>Human Resource Manager</v>
      </c>
      <c r="C131" s="68"/>
      <c r="D131" s="69">
        <v>0.05</v>
      </c>
      <c r="E131" s="69">
        <v>0.25</v>
      </c>
      <c r="F131" s="69">
        <v>0.25</v>
      </c>
      <c r="G131" s="69">
        <v>0.25</v>
      </c>
      <c r="H131" s="69">
        <v>0.2</v>
      </c>
      <c r="I131" s="69">
        <f t="shared" ref="I131" si="8">SUM(D131:H131)</f>
        <v>1</v>
      </c>
    </row>
    <row r="132" spans="2:9" s="71" customFormat="1" outlineLevel="1">
      <c r="B132" s="68" t="str">
        <f>'Program Budget'!D25</f>
        <v>Contracts &amp; Compliance Specialist</v>
      </c>
      <c r="C132" s="68"/>
      <c r="D132" s="69">
        <v>0.05</v>
      </c>
      <c r="E132" s="69">
        <v>0.25</v>
      </c>
      <c r="F132" s="69">
        <v>0.25</v>
      </c>
      <c r="G132" s="69">
        <v>0.2</v>
      </c>
      <c r="H132" s="69">
        <v>0.25</v>
      </c>
      <c r="I132" s="69">
        <f t="shared" si="7"/>
        <v>1</v>
      </c>
    </row>
    <row r="133" spans="2:9" s="71" customFormat="1" outlineLevel="1">
      <c r="B133" s="68" t="str">
        <f>'Program Budget'!D26</f>
        <v xml:space="preserve">Accountant </v>
      </c>
      <c r="C133" s="68"/>
      <c r="D133" s="69">
        <v>0.2</v>
      </c>
      <c r="E133" s="69">
        <v>0.2</v>
      </c>
      <c r="F133" s="69">
        <v>0.2</v>
      </c>
      <c r="G133" s="69">
        <v>0.2</v>
      </c>
      <c r="H133" s="69">
        <v>0.2</v>
      </c>
      <c r="I133" s="69">
        <f t="shared" si="7"/>
        <v>1</v>
      </c>
    </row>
    <row r="134" spans="2:9" s="54" customFormat="1" outlineLevel="1">
      <c r="B134" s="68" t="str">
        <f>'Program Budget'!D27</f>
        <v xml:space="preserve">Administrative Assistant </v>
      </c>
      <c r="C134" s="68"/>
      <c r="D134" s="69">
        <v>0.2</v>
      </c>
      <c r="E134" s="69">
        <v>0.2</v>
      </c>
      <c r="F134" s="69">
        <v>0.2</v>
      </c>
      <c r="G134" s="69">
        <v>0.2</v>
      </c>
      <c r="H134" s="69">
        <v>0.2</v>
      </c>
      <c r="I134" s="69">
        <f t="shared" si="7"/>
        <v>1</v>
      </c>
    </row>
    <row r="135" spans="2:9" s="54" customFormat="1" outlineLevel="1">
      <c r="B135" s="68" t="str">
        <f>'Program Budget'!D28</f>
        <v>Security Guards</v>
      </c>
      <c r="C135" s="68"/>
      <c r="D135" s="69">
        <v>0.05</v>
      </c>
      <c r="E135" s="69">
        <v>0.25</v>
      </c>
      <c r="F135" s="69">
        <v>0.25</v>
      </c>
      <c r="G135" s="69">
        <v>0.2</v>
      </c>
      <c r="H135" s="69">
        <v>0.25</v>
      </c>
      <c r="I135" s="69">
        <f t="shared" si="7"/>
        <v>1</v>
      </c>
    </row>
    <row r="136" spans="2:9" s="54" customFormat="1" outlineLevel="1">
      <c r="B136" s="68" t="str">
        <f>'Program Budget'!D29</f>
        <v>Driver (2 Individuals)</v>
      </c>
      <c r="C136" s="68"/>
      <c r="D136" s="69">
        <v>0.05</v>
      </c>
      <c r="E136" s="69">
        <v>0.25</v>
      </c>
      <c r="F136" s="69">
        <v>0.2</v>
      </c>
      <c r="G136" s="69">
        <v>0.25</v>
      </c>
      <c r="H136" s="69">
        <v>0.25</v>
      </c>
      <c r="I136" s="69">
        <f t="shared" si="7"/>
        <v>1</v>
      </c>
    </row>
    <row r="137" spans="2:9" s="54" customFormat="1" outlineLevel="1">
      <c r="B137" s="66" t="s">
        <v>575</v>
      </c>
      <c r="C137" s="66"/>
      <c r="D137" s="72"/>
      <c r="E137" s="72"/>
      <c r="F137" s="72"/>
      <c r="G137" s="72"/>
      <c r="H137" s="72"/>
      <c r="I137" s="72"/>
    </row>
    <row r="138" spans="2:9" s="54" customFormat="1" outlineLevel="1">
      <c r="B138" s="68" t="str">
        <f>'Program Budget'!D31</f>
        <v xml:space="preserve">Senior Program Director </v>
      </c>
      <c r="C138" s="68"/>
      <c r="D138" s="69">
        <v>0.2</v>
      </c>
      <c r="E138" s="69"/>
      <c r="F138" s="69"/>
      <c r="G138" s="69"/>
      <c r="H138" s="69"/>
      <c r="I138" s="69">
        <f>SUM(D138:H138)</f>
        <v>0.2</v>
      </c>
    </row>
    <row r="139" spans="2:9" s="54" customFormat="1" outlineLevel="1">
      <c r="B139" s="68" t="str">
        <f>'Program Budget'!D32</f>
        <v>HO Project Manager</v>
      </c>
      <c r="C139" s="68"/>
      <c r="D139" s="69">
        <v>1</v>
      </c>
      <c r="E139" s="69"/>
      <c r="F139" s="69"/>
      <c r="G139" s="69"/>
      <c r="H139" s="69"/>
      <c r="I139" s="69">
        <f>SUM(D139:H139)</f>
        <v>1</v>
      </c>
    </row>
    <row r="140" spans="2:9" s="54" customFormat="1" outlineLevel="1">
      <c r="B140" s="73" t="s">
        <v>211</v>
      </c>
      <c r="C140" s="73"/>
      <c r="D140" s="74"/>
      <c r="E140" s="74"/>
      <c r="F140" s="74"/>
      <c r="G140" s="74"/>
      <c r="H140" s="74"/>
      <c r="I140" s="74"/>
    </row>
  </sheetData>
  <mergeCells count="5">
    <mergeCell ref="B1:I1"/>
    <mergeCell ref="B2:I2"/>
    <mergeCell ref="B3:I3"/>
    <mergeCell ref="B4:I4"/>
    <mergeCell ref="B5:I5"/>
  </mergeCells>
  <pageMargins left="0.18" right="0.17"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F023C-3AE7-4E9C-A381-4C4F2117FE7B}">
  <dimension ref="B1:R51"/>
  <sheetViews>
    <sheetView zoomScale="82" zoomScaleNormal="100" workbookViewId="0">
      <selection activeCell="B5" sqref="B5:R5"/>
    </sheetView>
  </sheetViews>
  <sheetFormatPr defaultColWidth="8.71875" defaultRowHeight="12.6" outlineLevelRow="1"/>
  <cols>
    <col min="1" max="1" width="2.44140625" style="52" customWidth="1"/>
    <col min="2" max="2" width="52.44140625" style="53" customWidth="1"/>
    <col min="3" max="3" width="15.1640625" style="54" bestFit="1" customWidth="1"/>
    <col min="4" max="4" width="10.44140625" style="54" bestFit="1" customWidth="1"/>
    <col min="5" max="5" width="18.1640625" style="55" bestFit="1" customWidth="1"/>
    <col min="6" max="6" width="15.1640625" style="54" bestFit="1" customWidth="1"/>
    <col min="7" max="7" width="10.44140625" style="53" bestFit="1" customWidth="1"/>
    <col min="8" max="8" width="18.44140625" style="56" bestFit="1" customWidth="1"/>
    <col min="9" max="9" width="15.1640625" style="54" bestFit="1" customWidth="1"/>
    <col min="10" max="10" width="10.44140625" style="53" bestFit="1" customWidth="1"/>
    <col min="11" max="11" width="18.1640625" style="53" bestFit="1" customWidth="1"/>
    <col min="12" max="12" width="15.1640625" style="54" bestFit="1" customWidth="1"/>
    <col min="13" max="13" width="10.44140625" style="53" bestFit="1" customWidth="1"/>
    <col min="14" max="14" width="18.1640625" style="53" bestFit="1" customWidth="1"/>
    <col min="15" max="15" width="15.1640625" style="54" bestFit="1" customWidth="1"/>
    <col min="16" max="16" width="10.44140625" style="57" bestFit="1" customWidth="1"/>
    <col min="17" max="17" width="18.1640625" style="53" bestFit="1" customWidth="1"/>
    <col min="18" max="18" width="16.44140625" style="53" bestFit="1" customWidth="1"/>
    <col min="19" max="16384" width="8.71875" style="52"/>
  </cols>
  <sheetData>
    <row r="1" spans="2:18" ht="13.5" customHeight="1">
      <c r="B1" s="600" t="s">
        <v>152</v>
      </c>
      <c r="C1" s="600"/>
      <c r="D1" s="600"/>
      <c r="E1" s="600"/>
      <c r="F1" s="600"/>
      <c r="G1" s="600"/>
      <c r="H1" s="600"/>
      <c r="I1" s="600"/>
      <c r="J1" s="600"/>
      <c r="K1" s="600"/>
      <c r="L1" s="600"/>
      <c r="M1" s="600"/>
      <c r="N1" s="600"/>
      <c r="O1" s="600"/>
      <c r="P1" s="600"/>
      <c r="Q1" s="600"/>
      <c r="R1" s="600"/>
    </row>
    <row r="2" spans="2:18" ht="13.5" customHeight="1">
      <c r="B2" s="600" t="s">
        <v>153</v>
      </c>
      <c r="C2" s="600"/>
      <c r="D2" s="600"/>
      <c r="E2" s="600"/>
      <c r="F2" s="600"/>
      <c r="G2" s="600"/>
      <c r="H2" s="600"/>
      <c r="I2" s="600"/>
      <c r="J2" s="600"/>
      <c r="K2" s="600"/>
      <c r="L2" s="600"/>
      <c r="M2" s="600"/>
      <c r="N2" s="600"/>
      <c r="O2" s="600"/>
      <c r="P2" s="600"/>
      <c r="Q2" s="600"/>
      <c r="R2" s="600"/>
    </row>
    <row r="3" spans="2:18">
      <c r="B3" s="600" t="s">
        <v>154</v>
      </c>
      <c r="C3" s="600"/>
      <c r="D3" s="600"/>
      <c r="E3" s="600"/>
      <c r="F3" s="600"/>
      <c r="G3" s="600"/>
      <c r="H3" s="600"/>
      <c r="I3" s="600"/>
      <c r="J3" s="600"/>
      <c r="K3" s="600"/>
      <c r="L3" s="600"/>
      <c r="M3" s="600"/>
      <c r="N3" s="600"/>
      <c r="O3" s="600"/>
      <c r="P3" s="600"/>
      <c r="Q3" s="600"/>
      <c r="R3" s="600"/>
    </row>
    <row r="4" spans="2:18">
      <c r="B4" s="600" t="s">
        <v>157</v>
      </c>
      <c r="C4" s="600"/>
      <c r="D4" s="600"/>
      <c r="E4" s="600"/>
      <c r="F4" s="600"/>
      <c r="G4" s="600"/>
      <c r="H4" s="600"/>
      <c r="I4" s="600"/>
      <c r="J4" s="600"/>
      <c r="K4" s="600"/>
      <c r="L4" s="600"/>
      <c r="M4" s="600"/>
      <c r="N4" s="600"/>
      <c r="O4" s="600"/>
      <c r="P4" s="600"/>
      <c r="Q4" s="600"/>
      <c r="R4" s="600"/>
    </row>
    <row r="5" spans="2:18">
      <c r="B5" s="600" t="s">
        <v>564</v>
      </c>
      <c r="C5" s="600"/>
      <c r="D5" s="600"/>
      <c r="E5" s="600"/>
      <c r="F5" s="600"/>
      <c r="G5" s="600"/>
      <c r="H5" s="600"/>
      <c r="I5" s="600"/>
      <c r="J5" s="600"/>
      <c r="K5" s="600"/>
      <c r="L5" s="600"/>
      <c r="M5" s="600"/>
      <c r="N5" s="600"/>
      <c r="O5" s="600"/>
      <c r="P5" s="600"/>
      <c r="Q5" s="600"/>
      <c r="R5" s="600"/>
    </row>
    <row r="6" spans="2:18">
      <c r="B6" s="48"/>
      <c r="C6" s="49"/>
      <c r="D6" s="49"/>
      <c r="E6" s="49"/>
      <c r="F6" s="49"/>
      <c r="G6" s="49"/>
      <c r="H6" s="50"/>
      <c r="I6" s="49"/>
      <c r="J6" s="48"/>
      <c r="K6" s="48"/>
      <c r="L6" s="49"/>
      <c r="M6" s="48"/>
      <c r="N6" s="48"/>
      <c r="O6" s="49"/>
      <c r="P6" s="48"/>
      <c r="Q6" s="48"/>
      <c r="R6" s="48"/>
    </row>
    <row r="7" spans="2:18" ht="24.6">
      <c r="B7" s="51"/>
      <c r="C7" s="58" t="s">
        <v>576</v>
      </c>
      <c r="D7" s="58" t="s">
        <v>577</v>
      </c>
      <c r="E7" s="58" t="s">
        <v>578</v>
      </c>
      <c r="F7" s="58" t="s">
        <v>579</v>
      </c>
      <c r="G7" s="58" t="s">
        <v>580</v>
      </c>
      <c r="H7" s="59" t="s">
        <v>581</v>
      </c>
      <c r="I7" s="58" t="s">
        <v>582</v>
      </c>
      <c r="J7" s="58" t="s">
        <v>583</v>
      </c>
      <c r="K7" s="58" t="s">
        <v>584</v>
      </c>
      <c r="L7" s="58" t="s">
        <v>585</v>
      </c>
      <c r="M7" s="58" t="s">
        <v>586</v>
      </c>
      <c r="N7" s="58" t="s">
        <v>587</v>
      </c>
      <c r="O7" s="58" t="s">
        <v>588</v>
      </c>
      <c r="P7" s="58" t="s">
        <v>589</v>
      </c>
      <c r="Q7" s="58" t="s">
        <v>590</v>
      </c>
      <c r="R7" s="58" t="s">
        <v>591</v>
      </c>
    </row>
    <row r="8" spans="2:18" s="63" customFormat="1" ht="12.3">
      <c r="B8" s="60"/>
      <c r="C8" s="61" t="s">
        <v>571</v>
      </c>
      <c r="D8" s="61" t="s">
        <v>571</v>
      </c>
      <c r="E8" s="61" t="s">
        <v>571</v>
      </c>
      <c r="F8" s="61" t="s">
        <v>571</v>
      </c>
      <c r="G8" s="61" t="s">
        <v>572</v>
      </c>
      <c r="H8" s="62" t="s">
        <v>572</v>
      </c>
      <c r="I8" s="61" t="s">
        <v>571</v>
      </c>
      <c r="J8" s="61" t="s">
        <v>572</v>
      </c>
      <c r="K8" s="61" t="s">
        <v>572</v>
      </c>
      <c r="L8" s="61" t="s">
        <v>571</v>
      </c>
      <c r="M8" s="61" t="s">
        <v>572</v>
      </c>
      <c r="N8" s="61" t="s">
        <v>572</v>
      </c>
      <c r="O8" s="61" t="s">
        <v>571</v>
      </c>
      <c r="P8" s="61" t="s">
        <v>572</v>
      </c>
      <c r="Q8" s="61" t="s">
        <v>572</v>
      </c>
      <c r="R8" s="61" t="s">
        <v>572</v>
      </c>
    </row>
    <row r="9" spans="2:18" s="54" customFormat="1">
      <c r="B9" s="64" t="s">
        <v>573</v>
      </c>
      <c r="C9" s="64"/>
      <c r="D9" s="64"/>
      <c r="E9" s="64"/>
      <c r="F9" s="64"/>
      <c r="G9" s="64"/>
      <c r="H9" s="65"/>
      <c r="I9" s="64"/>
      <c r="J9" s="64"/>
      <c r="K9" s="64"/>
      <c r="L9" s="64"/>
      <c r="M9" s="64"/>
      <c r="N9" s="64"/>
      <c r="O9" s="64"/>
      <c r="P9" s="64"/>
      <c r="Q9" s="64"/>
      <c r="R9" s="64"/>
    </row>
    <row r="10" spans="2:18" s="54" customFormat="1" outlineLevel="1">
      <c r="B10" s="66" t="s">
        <v>592</v>
      </c>
      <c r="C10" s="66"/>
      <c r="D10" s="66"/>
      <c r="E10" s="66"/>
      <c r="F10" s="66"/>
      <c r="G10" s="66"/>
      <c r="H10" s="67"/>
      <c r="I10" s="66"/>
      <c r="J10" s="66"/>
      <c r="K10" s="66"/>
      <c r="L10" s="66"/>
      <c r="M10" s="66"/>
      <c r="N10" s="66"/>
      <c r="O10" s="66"/>
      <c r="P10" s="66"/>
      <c r="Q10" s="66"/>
      <c r="R10" s="66"/>
    </row>
    <row r="11" spans="2:18" s="54" customFormat="1" outlineLevel="1">
      <c r="B11" s="68" t="str">
        <f>'Program Budget'!D12</f>
        <v xml:space="preserve">Key Personnel: Ex-pat Chief of Party </v>
      </c>
      <c r="C11" s="120">
        <f>'Program Budget'!G12</f>
        <v>12</v>
      </c>
      <c r="D11" s="69">
        <f>'Program Budget'!E12+'Program Budget'!E146+'Program Budget'!E206+'Program Budget'!E264+'Program Budget'!E331</f>
        <v>1</v>
      </c>
      <c r="E11" s="70">
        <f>'Program Budget'!I12+'Program Budget'!I146+'Program Budget'!I206+'Program Budget'!I264+'Program Budget'!I331</f>
        <v>145000</v>
      </c>
      <c r="F11" s="120">
        <f>'Program Budget'!K12</f>
        <v>12</v>
      </c>
      <c r="G11" s="69">
        <f>'Program Budget'!J12+'Program Budget'!J146+'Program Budget'!J206+'Program Budget'!J264+'Program Budget'!J331</f>
        <v>1</v>
      </c>
      <c r="H11" s="70">
        <f>'Program Budget'!L12+'Program Budget'!L146+'Program Budget'!L206+'Program Budget'!L264+'Program Budget'!L331</f>
        <v>150800</v>
      </c>
      <c r="I11" s="120">
        <f>'Program Budget'!N12</f>
        <v>12</v>
      </c>
      <c r="J11" s="69">
        <f>'Program Budget'!M12+'Program Budget'!M146+'Program Budget'!M206+'Program Budget'!M264+'Program Budget'!M331</f>
        <v>1</v>
      </c>
      <c r="K11" s="70">
        <f>'Program Budget'!O12+'Program Budget'!O146+'Program Budget'!O206+'Program Budget'!O264+'Program Budget'!O331</f>
        <v>156832</v>
      </c>
      <c r="L11" s="120">
        <f>'Program Budget'!Q12</f>
        <v>12</v>
      </c>
      <c r="M11" s="69">
        <f>'Program Budget'!P12+'Program Budget'!P146+'Program Budget'!P206+'Program Budget'!P264+'Program Budget'!P331</f>
        <v>1</v>
      </c>
      <c r="N11" s="70">
        <f>'Program Budget'!R12+'Program Budget'!R146+'Program Budget'!R206+'Program Budget'!R264+'Program Budget'!R331</f>
        <v>163105.28000000003</v>
      </c>
      <c r="O11" s="120">
        <f>'Program Budget'!T12</f>
        <v>12</v>
      </c>
      <c r="P11" s="69">
        <f>'Program Budget'!S12+'Program Budget'!S146+'Program Budget'!S206+'Program Budget'!S264+'Program Budget'!S331</f>
        <v>1</v>
      </c>
      <c r="Q11" s="70">
        <f>'Program Budget'!U12+'Program Budget'!U146+'Program Budget'!U206+'Program Budget'!U264+'Program Budget'!U331</f>
        <v>169629.49120000002</v>
      </c>
      <c r="R11" s="226">
        <f>E11+H11+K11+N11+Q11</f>
        <v>785366.77120000008</v>
      </c>
    </row>
    <row r="12" spans="2:18" s="54" customFormat="1" outlineLevel="1">
      <c r="B12" s="68" t="str">
        <f>'Program Budget'!D13</f>
        <v>Deputy Chief of Party</v>
      </c>
      <c r="C12" s="120">
        <f>'Program Budget'!G13</f>
        <v>6</v>
      </c>
      <c r="D12" s="69">
        <f>'Program Budget'!E13+'Program Budget'!E147+'Program Budget'!E207+'Program Budget'!E265+'Program Budget'!E332</f>
        <v>1</v>
      </c>
      <c r="E12" s="70">
        <f>'Program Budget'!I13+'Program Budget'!I147+'Program Budget'!I207+'Program Budget'!I265+'Program Budget'!I332</f>
        <v>45000</v>
      </c>
      <c r="F12" s="120">
        <f>'Program Budget'!K13</f>
        <v>12</v>
      </c>
      <c r="G12" s="69">
        <f>'Program Budget'!J13+'Program Budget'!J147+'Program Budget'!J207+'Program Budget'!J265+'Program Budget'!J332</f>
        <v>1</v>
      </c>
      <c r="H12" s="70">
        <f>'Program Budget'!L13+'Program Budget'!L147+'Program Budget'!L207+'Program Budget'!L265+'Program Budget'!L332</f>
        <v>93600</v>
      </c>
      <c r="I12" s="120">
        <f>'Program Budget'!N13</f>
        <v>12</v>
      </c>
      <c r="J12" s="69">
        <f>'Program Budget'!M13+'Program Budget'!M147+'Program Budget'!M207+'Program Budget'!M265+'Program Budget'!M332</f>
        <v>1</v>
      </c>
      <c r="K12" s="70">
        <f>'Program Budget'!O13+'Program Budget'!O147+'Program Budget'!O207+'Program Budget'!O265+'Program Budget'!O332</f>
        <v>97343.999999999985</v>
      </c>
      <c r="L12" s="120">
        <f>'Program Budget'!Q13</f>
        <v>12</v>
      </c>
      <c r="M12" s="69">
        <f>'Program Budget'!P13+'Program Budget'!P147+'Program Budget'!P207+'Program Budget'!P265+'Program Budget'!P332</f>
        <v>1</v>
      </c>
      <c r="N12" s="70">
        <f>'Program Budget'!R13+'Program Budget'!R147+'Program Budget'!R207+'Program Budget'!R265+'Program Budget'!R332</f>
        <v>101237.75999999998</v>
      </c>
      <c r="O12" s="120">
        <f>'Program Budget'!T13</f>
        <v>6</v>
      </c>
      <c r="P12" s="69">
        <f>'Program Budget'!S13+'Program Budget'!S147+'Program Budget'!S207+'Program Budget'!S265+'Program Budget'!S332</f>
        <v>1</v>
      </c>
      <c r="Q12" s="70">
        <f>'Program Budget'!U13+'Program Budget'!U147+'Program Budget'!U207+'Program Budget'!U265+'Program Budget'!U332</f>
        <v>52643.63519999999</v>
      </c>
      <c r="R12" s="226">
        <f t="shared" ref="R12:R28" si="0">E12+H12+K12+N12+Q12</f>
        <v>389825.39520000003</v>
      </c>
    </row>
    <row r="13" spans="2:18" s="54" customFormat="1" outlineLevel="1">
      <c r="B13" s="68" t="str">
        <f>'Program Budget'!D14</f>
        <v>Technical Lead Component 1</v>
      </c>
      <c r="C13" s="120">
        <f>'Program Budget'!G14</f>
        <v>6</v>
      </c>
      <c r="D13" s="69">
        <f>'Program Budget'!E14+'Program Budget'!E148+'Program Budget'!E208+'Program Budget'!E266+'Program Budget'!E333</f>
        <v>1</v>
      </c>
      <c r="E13" s="70">
        <f>'Program Budget'!I14+'Program Budget'!I148+'Program Budget'!I208+'Program Budget'!I266+'Program Budget'!I333</f>
        <v>20000</v>
      </c>
      <c r="F13" s="120">
        <f>'Program Budget'!K14</f>
        <v>12</v>
      </c>
      <c r="G13" s="69">
        <f>'Program Budget'!J14+'Program Budget'!J148+'Program Budget'!J208+'Program Budget'!J266+'Program Budget'!J333</f>
        <v>1</v>
      </c>
      <c r="H13" s="70">
        <f>'Program Budget'!L14+'Program Budget'!L148+'Program Budget'!L208+'Program Budget'!L266+'Program Budget'!L333</f>
        <v>41600</v>
      </c>
      <c r="I13" s="120">
        <f>'Program Budget'!N14</f>
        <v>12</v>
      </c>
      <c r="J13" s="69">
        <f>'Program Budget'!M14+'Program Budget'!M148+'Program Budget'!M208+'Program Budget'!M266+'Program Budget'!M333</f>
        <v>1</v>
      </c>
      <c r="K13" s="70">
        <f>'Program Budget'!O14+'Program Budget'!O148+'Program Budget'!O208+'Program Budget'!O266+'Program Budget'!O333</f>
        <v>43264</v>
      </c>
      <c r="L13" s="120">
        <f>'Program Budget'!Q14</f>
        <v>12</v>
      </c>
      <c r="M13" s="69">
        <f>'Program Budget'!P14+'Program Budget'!P148+'Program Budget'!P208+'Program Budget'!P266+'Program Budget'!P333</f>
        <v>1</v>
      </c>
      <c r="N13" s="70">
        <f>'Program Budget'!R14+'Program Budget'!R148+'Program Budget'!R208+'Program Budget'!R266+'Program Budget'!R333</f>
        <v>44994.560000000005</v>
      </c>
      <c r="O13" s="120">
        <f>'Program Budget'!T14</f>
        <v>9</v>
      </c>
      <c r="P13" s="69">
        <f>'Program Budget'!S14+'Program Budget'!S148+'Program Budget'!S208+'Program Budget'!S266+'Program Budget'!S333</f>
        <v>1</v>
      </c>
      <c r="Q13" s="70">
        <f>'Program Budget'!U14+'Program Budget'!U148+'Program Budget'!U208+'Program Budget'!U266+'Program Budget'!U333</f>
        <v>35095.756800000003</v>
      </c>
      <c r="R13" s="226">
        <f t="shared" si="0"/>
        <v>184954.3168</v>
      </c>
    </row>
    <row r="14" spans="2:18" s="54" customFormat="1" outlineLevel="1">
      <c r="B14" s="68" t="str">
        <f>'Program Budget'!D15</f>
        <v>Technical Lead Component 2</v>
      </c>
      <c r="C14" s="120">
        <f>'Program Budget'!G15</f>
        <v>6</v>
      </c>
      <c r="D14" s="69">
        <f>'Program Budget'!E15+'Program Budget'!E149+'Program Budget'!E209+'Program Budget'!E267+'Program Budget'!E334</f>
        <v>1</v>
      </c>
      <c r="E14" s="70">
        <f>'Program Budget'!I15+'Program Budget'!I149+'Program Budget'!I209+'Program Budget'!I267+'Program Budget'!I334</f>
        <v>20000</v>
      </c>
      <c r="F14" s="120">
        <f>'Program Budget'!K15</f>
        <v>12</v>
      </c>
      <c r="G14" s="69">
        <f>'Program Budget'!J15+'Program Budget'!J149+'Program Budget'!J209+'Program Budget'!J267+'Program Budget'!J334</f>
        <v>1</v>
      </c>
      <c r="H14" s="70">
        <f>'Program Budget'!L15+'Program Budget'!L149+'Program Budget'!L209+'Program Budget'!L267+'Program Budget'!L334</f>
        <v>41600</v>
      </c>
      <c r="I14" s="120">
        <f>'Program Budget'!N15</f>
        <v>12</v>
      </c>
      <c r="J14" s="69">
        <f>'Program Budget'!M15+'Program Budget'!M149+'Program Budget'!M209+'Program Budget'!M267+'Program Budget'!M334</f>
        <v>1</v>
      </c>
      <c r="K14" s="70">
        <f>'Program Budget'!O15+'Program Budget'!O149+'Program Budget'!O209+'Program Budget'!O267+'Program Budget'!O334</f>
        <v>43264</v>
      </c>
      <c r="L14" s="120">
        <f>'Program Budget'!Q15</f>
        <v>12</v>
      </c>
      <c r="M14" s="69">
        <f>'Program Budget'!P15+'Program Budget'!P149+'Program Budget'!P209+'Program Budget'!P267+'Program Budget'!P334</f>
        <v>1</v>
      </c>
      <c r="N14" s="70">
        <f>'Program Budget'!R15+'Program Budget'!R149+'Program Budget'!R209+'Program Budget'!R267+'Program Budget'!R334</f>
        <v>44994.560000000005</v>
      </c>
      <c r="O14" s="120">
        <f>'Program Budget'!T15</f>
        <v>9</v>
      </c>
      <c r="P14" s="69">
        <f>'Program Budget'!S15+'Program Budget'!S149+'Program Budget'!S209+'Program Budget'!S267+'Program Budget'!S334</f>
        <v>1</v>
      </c>
      <c r="Q14" s="70">
        <f>'Program Budget'!U15+'Program Budget'!U149+'Program Budget'!U209+'Program Budget'!U267+'Program Budget'!U334</f>
        <v>35095.756800000003</v>
      </c>
      <c r="R14" s="226">
        <f t="shared" si="0"/>
        <v>184954.3168</v>
      </c>
    </row>
    <row r="15" spans="2:18" s="54" customFormat="1" outlineLevel="1">
      <c r="B15" s="68" t="str">
        <f>'Program Budget'!D16</f>
        <v>Technical Lead Component 3</v>
      </c>
      <c r="C15" s="120">
        <f>'Program Budget'!G16</f>
        <v>6</v>
      </c>
      <c r="D15" s="69">
        <f>'Program Budget'!E16+'Program Budget'!E150+'Program Budget'!E210+'Program Budget'!E268+'Program Budget'!E335</f>
        <v>1</v>
      </c>
      <c r="E15" s="70">
        <f>'Program Budget'!I16+'Program Budget'!I150+'Program Budget'!I210+'Program Budget'!I268+'Program Budget'!I335</f>
        <v>20000</v>
      </c>
      <c r="F15" s="120">
        <f>'Program Budget'!K16</f>
        <v>12</v>
      </c>
      <c r="G15" s="69">
        <f>'Program Budget'!J16+'Program Budget'!J150+'Program Budget'!J210+'Program Budget'!J268+'Program Budget'!J335</f>
        <v>1</v>
      </c>
      <c r="H15" s="70">
        <f>'Program Budget'!L16+'Program Budget'!L150+'Program Budget'!L210+'Program Budget'!L268+'Program Budget'!L335</f>
        <v>41600</v>
      </c>
      <c r="I15" s="120">
        <f>'Program Budget'!N16</f>
        <v>12</v>
      </c>
      <c r="J15" s="69">
        <f>'Program Budget'!M16+'Program Budget'!M150+'Program Budget'!M210+'Program Budget'!M268+'Program Budget'!M335</f>
        <v>1</v>
      </c>
      <c r="K15" s="70">
        <f>'Program Budget'!O16+'Program Budget'!O150+'Program Budget'!O210+'Program Budget'!O268+'Program Budget'!O335</f>
        <v>43264</v>
      </c>
      <c r="L15" s="120">
        <f>'Program Budget'!Q16</f>
        <v>12</v>
      </c>
      <c r="M15" s="69">
        <f>'Program Budget'!P16+'Program Budget'!P150+'Program Budget'!P210+'Program Budget'!P268+'Program Budget'!P335</f>
        <v>1</v>
      </c>
      <c r="N15" s="70">
        <f>'Program Budget'!R16+'Program Budget'!R150+'Program Budget'!R210+'Program Budget'!R268+'Program Budget'!R335</f>
        <v>44994.560000000005</v>
      </c>
      <c r="O15" s="120">
        <f>'Program Budget'!T16</f>
        <v>9</v>
      </c>
      <c r="P15" s="69">
        <f>'Program Budget'!S16+'Program Budget'!S150+'Program Budget'!S210+'Program Budget'!S268+'Program Budget'!S335</f>
        <v>1</v>
      </c>
      <c r="Q15" s="70">
        <f>'Program Budget'!U16+'Program Budget'!U150+'Program Budget'!U210+'Program Budget'!U268+'Program Budget'!U335</f>
        <v>35095.756800000003</v>
      </c>
      <c r="R15" s="226">
        <f t="shared" si="0"/>
        <v>184954.3168</v>
      </c>
    </row>
    <row r="16" spans="2:18" s="54" customFormat="1" outlineLevel="1">
      <c r="B16" s="68" t="str">
        <f>'Program Budget'!D17</f>
        <v>Specialist Component 2</v>
      </c>
      <c r="C16" s="120">
        <f>'Program Budget'!G17</f>
        <v>6</v>
      </c>
      <c r="D16" s="69">
        <f>'Program Budget'!E17+'Program Budget'!E151+'Program Budget'!E211+'Program Budget'!E269+'Program Budget'!E336</f>
        <v>1</v>
      </c>
      <c r="E16" s="70">
        <f>'Program Budget'!I17+'Program Budget'!I151+'Program Budget'!I211+'Program Budget'!I269+'Program Budget'!I336</f>
        <v>10000</v>
      </c>
      <c r="F16" s="120">
        <f>'Program Budget'!K17</f>
        <v>12</v>
      </c>
      <c r="G16" s="69">
        <f>'Program Budget'!J17+'Program Budget'!J151+'Program Budget'!J211+'Program Budget'!J269+'Program Budget'!J336</f>
        <v>1</v>
      </c>
      <c r="H16" s="70">
        <f>'Program Budget'!L17+'Program Budget'!L151+'Program Budget'!L211+'Program Budget'!L269+'Program Budget'!L336</f>
        <v>20800</v>
      </c>
      <c r="I16" s="120">
        <f>'Program Budget'!N17</f>
        <v>12</v>
      </c>
      <c r="J16" s="69">
        <f>'Program Budget'!M17+'Program Budget'!M151+'Program Budget'!M211+'Program Budget'!M269+'Program Budget'!M336</f>
        <v>1</v>
      </c>
      <c r="K16" s="70">
        <f>'Program Budget'!O17+'Program Budget'!O151+'Program Budget'!O211+'Program Budget'!O269+'Program Budget'!O336</f>
        <v>21632</v>
      </c>
      <c r="L16" s="120">
        <f>'Program Budget'!Q17</f>
        <v>12</v>
      </c>
      <c r="M16" s="69">
        <f>'Program Budget'!P17+'Program Budget'!P151+'Program Budget'!P211+'Program Budget'!P269+'Program Budget'!P336</f>
        <v>1</v>
      </c>
      <c r="N16" s="70">
        <f>'Program Budget'!R17+'Program Budget'!R151+'Program Budget'!R211+'Program Budget'!R269+'Program Budget'!R336</f>
        <v>22497.280000000002</v>
      </c>
      <c r="O16" s="120">
        <f>'Program Budget'!T17</f>
        <v>6</v>
      </c>
      <c r="P16" s="69">
        <f>'Program Budget'!S17+'Program Budget'!S151+'Program Budget'!S211+'Program Budget'!S269+'Program Budget'!S336</f>
        <v>1</v>
      </c>
      <c r="Q16" s="70">
        <f>'Program Budget'!U17+'Program Budget'!U151+'Program Budget'!U211+'Program Budget'!U269+'Program Budget'!U336</f>
        <v>11698.585600000002</v>
      </c>
      <c r="R16" s="226">
        <f t="shared" ref="R16:R18" si="1">E16+H16+K16+N16+Q16</f>
        <v>86627.865600000005</v>
      </c>
    </row>
    <row r="17" spans="2:18" s="54" customFormat="1" outlineLevel="1">
      <c r="B17" s="68" t="str">
        <f>'Program Budget'!D18</f>
        <v>Specialist Component 3</v>
      </c>
      <c r="C17" s="120">
        <f>'Program Budget'!G18</f>
        <v>6</v>
      </c>
      <c r="D17" s="69">
        <f>'Program Budget'!E18+'Program Budget'!E152+'Program Budget'!E212+'Program Budget'!E270+'Program Budget'!E337</f>
        <v>1</v>
      </c>
      <c r="E17" s="70">
        <f>'Program Budget'!I18+'Program Budget'!I152+'Program Budget'!I212+'Program Budget'!I270+'Program Budget'!I337</f>
        <v>10000</v>
      </c>
      <c r="F17" s="120">
        <f>'Program Budget'!K18</f>
        <v>12</v>
      </c>
      <c r="G17" s="69">
        <f>'Program Budget'!J18+'Program Budget'!J152+'Program Budget'!J212+'Program Budget'!J270+'Program Budget'!J337</f>
        <v>1</v>
      </c>
      <c r="H17" s="70">
        <f>'Program Budget'!L18+'Program Budget'!L152+'Program Budget'!L212+'Program Budget'!L270+'Program Budget'!L337</f>
        <v>20800</v>
      </c>
      <c r="I17" s="120">
        <f>'Program Budget'!N18</f>
        <v>12</v>
      </c>
      <c r="J17" s="69">
        <f>'Program Budget'!M18+'Program Budget'!M152+'Program Budget'!M212+'Program Budget'!M270+'Program Budget'!M337</f>
        <v>1</v>
      </c>
      <c r="K17" s="70">
        <f>'Program Budget'!O18+'Program Budget'!O152+'Program Budget'!O212+'Program Budget'!O270+'Program Budget'!O337</f>
        <v>21632</v>
      </c>
      <c r="L17" s="120">
        <f>'Program Budget'!Q18</f>
        <v>12</v>
      </c>
      <c r="M17" s="69">
        <f>'Program Budget'!P18+'Program Budget'!P152+'Program Budget'!P212+'Program Budget'!P270+'Program Budget'!P337</f>
        <v>1</v>
      </c>
      <c r="N17" s="70">
        <f>'Program Budget'!R18+'Program Budget'!R152+'Program Budget'!R212+'Program Budget'!R270+'Program Budget'!R337</f>
        <v>22497.280000000002</v>
      </c>
      <c r="O17" s="120">
        <f>'Program Budget'!T18</f>
        <v>6</v>
      </c>
      <c r="P17" s="69">
        <f>'Program Budget'!S18+'Program Budget'!S152+'Program Budget'!S212+'Program Budget'!S270+'Program Budget'!S337</f>
        <v>1</v>
      </c>
      <c r="Q17" s="70">
        <f>'Program Budget'!U18+'Program Budget'!U152+'Program Budget'!U212+'Program Budget'!U270+'Program Budget'!U337</f>
        <v>11698.585600000002</v>
      </c>
      <c r="R17" s="226">
        <f t="shared" si="1"/>
        <v>86627.865600000005</v>
      </c>
    </row>
    <row r="18" spans="2:18" s="54" customFormat="1" outlineLevel="1">
      <c r="B18" s="68" t="str">
        <f>'Program Budget'!D19</f>
        <v>Specialist Component 4</v>
      </c>
      <c r="C18" s="120">
        <f>'Program Budget'!G19</f>
        <v>6</v>
      </c>
      <c r="D18" s="69">
        <f>'Program Budget'!E19+'Program Budget'!E153+'Program Budget'!E213+'Program Budget'!E271+'Program Budget'!E338</f>
        <v>1</v>
      </c>
      <c r="E18" s="70">
        <f>'Program Budget'!I19+'Program Budget'!I153+'Program Budget'!I213+'Program Budget'!I271+'Program Budget'!I338</f>
        <v>10000</v>
      </c>
      <c r="F18" s="120">
        <f>'Program Budget'!K19</f>
        <v>12</v>
      </c>
      <c r="G18" s="69">
        <f>'Program Budget'!J19+'Program Budget'!J153+'Program Budget'!J213+'Program Budget'!J271+'Program Budget'!J338</f>
        <v>1</v>
      </c>
      <c r="H18" s="70">
        <f>'Program Budget'!L19+'Program Budget'!L153+'Program Budget'!L213+'Program Budget'!L271+'Program Budget'!L338</f>
        <v>20800</v>
      </c>
      <c r="I18" s="120">
        <f>'Program Budget'!N19</f>
        <v>12</v>
      </c>
      <c r="J18" s="69">
        <f>'Program Budget'!M19+'Program Budget'!M153+'Program Budget'!M213+'Program Budget'!M271+'Program Budget'!M338</f>
        <v>1</v>
      </c>
      <c r="K18" s="70">
        <f>'Program Budget'!O19+'Program Budget'!O153+'Program Budget'!O213+'Program Budget'!O271+'Program Budget'!O338</f>
        <v>21632</v>
      </c>
      <c r="L18" s="120">
        <f>'Program Budget'!Q19</f>
        <v>12</v>
      </c>
      <c r="M18" s="69">
        <f>'Program Budget'!P19+'Program Budget'!P153+'Program Budget'!P213+'Program Budget'!P271+'Program Budget'!P338</f>
        <v>1</v>
      </c>
      <c r="N18" s="70">
        <f>'Program Budget'!R19+'Program Budget'!R153+'Program Budget'!R213+'Program Budget'!R271+'Program Budget'!R338</f>
        <v>22497.280000000002</v>
      </c>
      <c r="O18" s="120">
        <f>'Program Budget'!T19</f>
        <v>6</v>
      </c>
      <c r="P18" s="69">
        <f>'Program Budget'!S19+'Program Budget'!S153+'Program Budget'!S213+'Program Budget'!S271+'Program Budget'!S338</f>
        <v>1</v>
      </c>
      <c r="Q18" s="70">
        <f>'Program Budget'!U19+'Program Budget'!U153+'Program Budget'!U213+'Program Budget'!U271+'Program Budget'!U338</f>
        <v>11698.585600000002</v>
      </c>
      <c r="R18" s="226">
        <f t="shared" si="1"/>
        <v>86627.865600000005</v>
      </c>
    </row>
    <row r="19" spans="2:18" s="54" customFormat="1" outlineLevel="1">
      <c r="B19" s="68" t="str">
        <f>'Program Budget'!D20</f>
        <v>Extension Agents (20 Individuals)</v>
      </c>
      <c r="C19" s="120">
        <f>'Program Budget'!G20</f>
        <v>3</v>
      </c>
      <c r="D19" s="69">
        <f>'Program Budget'!E20+'Program Budget'!E154+'Program Budget'!E214+'Program Budget'!E272+'Program Budget'!E339</f>
        <v>1</v>
      </c>
      <c r="E19" s="70">
        <f>'Program Budget'!I20+'Program Budget'!I154+'Program Budget'!I214+'Program Budget'!I272+'Program Budget'!I339</f>
        <v>70000</v>
      </c>
      <c r="F19" s="120">
        <f>'Program Budget'!K20</f>
        <v>12</v>
      </c>
      <c r="G19" s="69">
        <f>'Program Budget'!J20+'Program Budget'!J154+'Program Budget'!J214+'Program Budget'!J272+'Program Budget'!J339</f>
        <v>1</v>
      </c>
      <c r="H19" s="70">
        <f>'Program Budget'!L20+'Program Budget'!L154+'Program Budget'!L214+'Program Budget'!L272+'Program Budget'!L339</f>
        <v>291200</v>
      </c>
      <c r="I19" s="120">
        <f>'Program Budget'!N20</f>
        <v>6</v>
      </c>
      <c r="J19" s="69">
        <f>'Program Budget'!M20+'Program Budget'!M154+'Program Budget'!M214+'Program Budget'!M272+'Program Budget'!M339</f>
        <v>1</v>
      </c>
      <c r="K19" s="70">
        <f>'Program Budget'!O20+'Program Budget'!O154+'Program Budget'!O214+'Program Budget'!O272+'Program Budget'!O339</f>
        <v>151424</v>
      </c>
      <c r="L19" s="120">
        <f>'Program Budget'!Q20</f>
        <v>0</v>
      </c>
      <c r="M19" s="69">
        <f>'Program Budget'!P20+'Program Budget'!P154+'Program Budget'!P214+'Program Budget'!P272+'Program Budget'!P339</f>
        <v>0</v>
      </c>
      <c r="N19" s="70">
        <f>'Program Budget'!R20+'Program Budget'!R154+'Program Budget'!R214+'Program Budget'!R272+'Program Budget'!R339</f>
        <v>0</v>
      </c>
      <c r="O19" s="120">
        <f>'Program Budget'!T20</f>
        <v>0</v>
      </c>
      <c r="P19" s="69">
        <f>'Program Budget'!S20+'Program Budget'!S154+'Program Budget'!S214+'Program Budget'!S272+'Program Budget'!S339</f>
        <v>0</v>
      </c>
      <c r="Q19" s="70">
        <f>'Program Budget'!U20+'Program Budget'!U154+'Program Budget'!U214+'Program Budget'!U272+'Program Budget'!U339</f>
        <v>0</v>
      </c>
      <c r="R19" s="226">
        <f t="shared" si="0"/>
        <v>512624</v>
      </c>
    </row>
    <row r="20" spans="2:18" s="54" customFormat="1" outlineLevel="1">
      <c r="B20" s="68" t="str">
        <f>'Program Budget'!D21</f>
        <v xml:space="preserve">M&amp;E Director </v>
      </c>
      <c r="C20" s="120">
        <f>'Program Budget'!G21</f>
        <v>9</v>
      </c>
      <c r="D20" s="69">
        <f>'Program Budget'!E21+'Program Budget'!E155+'Program Budget'!E215+'Program Budget'!E273+'Program Budget'!E340</f>
        <v>0.99999999999999989</v>
      </c>
      <c r="E20" s="70">
        <f>'Program Budget'!I21+'Program Budget'!I155+'Program Budget'!I215+'Program Budget'!I273+'Program Budget'!I340</f>
        <v>33750</v>
      </c>
      <c r="F20" s="120">
        <f>'Program Budget'!K21</f>
        <v>12</v>
      </c>
      <c r="G20" s="69">
        <f>'Program Budget'!J21+'Program Budget'!J155+'Program Budget'!J215+'Program Budget'!J273+'Program Budget'!J340</f>
        <v>1</v>
      </c>
      <c r="H20" s="70">
        <f>'Program Budget'!L21+'Program Budget'!L155+'Program Budget'!L215+'Program Budget'!L273+'Program Budget'!L340</f>
        <v>46800</v>
      </c>
      <c r="I20" s="120">
        <f>'Program Budget'!N21</f>
        <v>12</v>
      </c>
      <c r="J20" s="69">
        <f>'Program Budget'!M21+'Program Budget'!M155+'Program Budget'!M215+'Program Budget'!M273+'Program Budget'!M340</f>
        <v>1</v>
      </c>
      <c r="K20" s="70">
        <f>'Program Budget'!O21+'Program Budget'!O155+'Program Budget'!O215+'Program Budget'!O273+'Program Budget'!O340</f>
        <v>48672</v>
      </c>
      <c r="L20" s="120">
        <f>'Program Budget'!Q21</f>
        <v>12</v>
      </c>
      <c r="M20" s="69">
        <f>'Program Budget'!P21+'Program Budget'!P155+'Program Budget'!P215+'Program Budget'!P273+'Program Budget'!P340</f>
        <v>1</v>
      </c>
      <c r="N20" s="70">
        <f>'Program Budget'!R21+'Program Budget'!R155+'Program Budget'!R215+'Program Budget'!R273+'Program Budget'!R340</f>
        <v>50618.880000000005</v>
      </c>
      <c r="O20" s="120">
        <f>'Program Budget'!T21</f>
        <v>12</v>
      </c>
      <c r="P20" s="69">
        <f>'Program Budget'!S21+'Program Budget'!S155+'Program Budget'!S215+'Program Budget'!S273+'Program Budget'!S340</f>
        <v>1</v>
      </c>
      <c r="Q20" s="70">
        <f>'Program Budget'!U21+'Program Budget'!U155+'Program Budget'!U215+'Program Budget'!U273+'Program Budget'!U340</f>
        <v>52643.635200000004</v>
      </c>
      <c r="R20" s="226">
        <f t="shared" si="0"/>
        <v>232484.51520000002</v>
      </c>
    </row>
    <row r="21" spans="2:18" s="54" customFormat="1" outlineLevel="1">
      <c r="B21" s="68" t="str">
        <f>'Program Budget'!D22</f>
        <v>M&amp;E Specialist</v>
      </c>
      <c r="C21" s="120">
        <f>'Program Budget'!G22</f>
        <v>6</v>
      </c>
      <c r="D21" s="69">
        <f>'Program Budget'!E22+'Program Budget'!E156+'Program Budget'!E216+'Program Budget'!E274+'Program Budget'!E341</f>
        <v>1</v>
      </c>
      <c r="E21" s="70">
        <f>'Program Budget'!I22+'Program Budget'!I156+'Program Budget'!I216+'Program Budget'!I274+'Program Budget'!I341</f>
        <v>12500</v>
      </c>
      <c r="F21" s="120">
        <f>'Program Budget'!K22</f>
        <v>12</v>
      </c>
      <c r="G21" s="69">
        <f>'Program Budget'!J22+'Program Budget'!J156+'Program Budget'!J216+'Program Budget'!J274+'Program Budget'!J341</f>
        <v>1</v>
      </c>
      <c r="H21" s="70">
        <f>'Program Budget'!L22+'Program Budget'!L156+'Program Budget'!L216+'Program Budget'!L274+'Program Budget'!L341</f>
        <v>26000</v>
      </c>
      <c r="I21" s="120">
        <f>'Program Budget'!N22</f>
        <v>12</v>
      </c>
      <c r="J21" s="69">
        <f>'Program Budget'!M22+'Program Budget'!M156+'Program Budget'!M216+'Program Budget'!M274+'Program Budget'!M341</f>
        <v>1</v>
      </c>
      <c r="K21" s="70">
        <f>'Program Budget'!O22+'Program Budget'!O156+'Program Budget'!O216+'Program Budget'!O274+'Program Budget'!O341</f>
        <v>27040</v>
      </c>
      <c r="L21" s="120">
        <f>'Program Budget'!Q22</f>
        <v>12</v>
      </c>
      <c r="M21" s="69">
        <f>'Program Budget'!P22+'Program Budget'!P156+'Program Budget'!P216+'Program Budget'!P274+'Program Budget'!P341</f>
        <v>1</v>
      </c>
      <c r="N21" s="70">
        <f>'Program Budget'!R22+'Program Budget'!R156+'Program Budget'!R216+'Program Budget'!R274+'Program Budget'!R341</f>
        <v>28121.600000000006</v>
      </c>
      <c r="O21" s="120">
        <f>'Program Budget'!T22</f>
        <v>10</v>
      </c>
      <c r="P21" s="69">
        <f>'Program Budget'!S22+'Program Budget'!S156+'Program Budget'!S216+'Program Budget'!S274+'Program Budget'!S341</f>
        <v>1</v>
      </c>
      <c r="Q21" s="70">
        <f>'Program Budget'!U22+'Program Budget'!U156+'Program Budget'!U216+'Program Budget'!U274+'Program Budget'!U341</f>
        <v>24372.053333333344</v>
      </c>
      <c r="R21" s="226">
        <f t="shared" si="0"/>
        <v>118033.65333333335</v>
      </c>
    </row>
    <row r="22" spans="2:18" s="54" customFormat="1" outlineLevel="1">
      <c r="B22" s="68" t="str">
        <f>'Program Budget'!D23</f>
        <v xml:space="preserve">F&amp;A Director </v>
      </c>
      <c r="C22" s="120">
        <f>'Program Budget'!G23</f>
        <v>9</v>
      </c>
      <c r="D22" s="69">
        <f>'Program Budget'!E23+'Program Budget'!E157+'Program Budget'!E217+'Program Budget'!E275+'Program Budget'!E342</f>
        <v>1</v>
      </c>
      <c r="E22" s="70">
        <f>'Program Budget'!I23+'Program Budget'!I157+'Program Budget'!I217+'Program Budget'!I275+'Program Budget'!I342</f>
        <v>60000</v>
      </c>
      <c r="F22" s="120">
        <f>'Program Budget'!K23</f>
        <v>12</v>
      </c>
      <c r="G22" s="69">
        <f>'Program Budget'!J23+'Program Budget'!J157+'Program Budget'!J217+'Program Budget'!J275+'Program Budget'!J342</f>
        <v>1</v>
      </c>
      <c r="H22" s="70">
        <f>'Program Budget'!L23+'Program Budget'!L157+'Program Budget'!L217+'Program Budget'!L275+'Program Budget'!L342</f>
        <v>83200</v>
      </c>
      <c r="I22" s="120">
        <f>'Program Budget'!N23</f>
        <v>12</v>
      </c>
      <c r="J22" s="69">
        <f>'Program Budget'!M23+'Program Budget'!M157+'Program Budget'!M217+'Program Budget'!M275+'Program Budget'!M342</f>
        <v>1</v>
      </c>
      <c r="K22" s="70">
        <f>'Program Budget'!O23+'Program Budget'!O157+'Program Budget'!O217+'Program Budget'!O275+'Program Budget'!O342</f>
        <v>86528.000000000015</v>
      </c>
      <c r="L22" s="120">
        <f>'Program Budget'!Q23</f>
        <v>12</v>
      </c>
      <c r="M22" s="69">
        <f>'Program Budget'!P23+'Program Budget'!P157+'Program Budget'!P217+'Program Budget'!P275+'Program Budget'!P342</f>
        <v>1</v>
      </c>
      <c r="N22" s="70">
        <f>'Program Budget'!R23+'Program Budget'!R157+'Program Budget'!R217+'Program Budget'!R275+'Program Budget'!R342</f>
        <v>89989.12000000001</v>
      </c>
      <c r="O22" s="120">
        <f>'Program Budget'!T23</f>
        <v>12</v>
      </c>
      <c r="P22" s="69">
        <f>'Program Budget'!S23+'Program Budget'!S157+'Program Budget'!S217+'Program Budget'!S275+'Program Budget'!S342</f>
        <v>1</v>
      </c>
      <c r="Q22" s="70">
        <f>'Program Budget'!U23+'Program Budget'!U157+'Program Budget'!U217+'Program Budget'!U275+'Program Budget'!U342</f>
        <v>93588.684800000017</v>
      </c>
      <c r="R22" s="226">
        <f t="shared" si="0"/>
        <v>413305.80480000004</v>
      </c>
    </row>
    <row r="23" spans="2:18" s="54" customFormat="1" outlineLevel="1">
      <c r="B23" s="68" t="str">
        <f>'Program Budget'!D24</f>
        <v>Human Resource Manager</v>
      </c>
      <c r="C23" s="120">
        <f>'Program Budget'!G24</f>
        <v>9</v>
      </c>
      <c r="D23" s="69">
        <f>'Program Budget'!E24+'Program Budget'!E158+'Program Budget'!E218+'Program Budget'!E276+'Program Budget'!E343</f>
        <v>0.99999999999999989</v>
      </c>
      <c r="E23" s="70">
        <f>'Program Budget'!I24+'Program Budget'!I158+'Program Budget'!I218+'Program Budget'!I276+'Program Budget'!I343</f>
        <v>26250</v>
      </c>
      <c r="F23" s="120">
        <f>'Program Budget'!K24</f>
        <v>12</v>
      </c>
      <c r="G23" s="69">
        <f>'Program Budget'!J24+'Program Budget'!J158+'Program Budget'!J218+'Program Budget'!J276+'Program Budget'!J343</f>
        <v>1</v>
      </c>
      <c r="H23" s="70">
        <f>'Program Budget'!L24+'Program Budget'!L158+'Program Budget'!L218+'Program Budget'!L276+'Program Budget'!L343</f>
        <v>36400</v>
      </c>
      <c r="I23" s="120">
        <f>'Program Budget'!N24</f>
        <v>12</v>
      </c>
      <c r="J23" s="69">
        <f>'Program Budget'!M24+'Program Budget'!M158+'Program Budget'!M218+'Program Budget'!M276+'Program Budget'!M343</f>
        <v>1</v>
      </c>
      <c r="K23" s="70">
        <f>'Program Budget'!O24+'Program Budget'!O158+'Program Budget'!O218+'Program Budget'!O276+'Program Budget'!O343</f>
        <v>37856</v>
      </c>
      <c r="L23" s="120">
        <f>'Program Budget'!Q24</f>
        <v>12</v>
      </c>
      <c r="M23" s="69">
        <f>'Program Budget'!P24+'Program Budget'!P158+'Program Budget'!P218+'Program Budget'!P276+'Program Budget'!P343</f>
        <v>1</v>
      </c>
      <c r="N23" s="70">
        <f>'Program Budget'!R24+'Program Budget'!R158+'Program Budget'!R218+'Program Budget'!R276+'Program Budget'!R343</f>
        <v>39370.239999999998</v>
      </c>
      <c r="O23" s="120">
        <f>'Program Budget'!T24</f>
        <v>10</v>
      </c>
      <c r="P23" s="69">
        <f>'Program Budget'!S24+'Program Budget'!S158+'Program Budget'!S218+'Program Budget'!S276+'Program Budget'!S343</f>
        <v>1</v>
      </c>
      <c r="Q23" s="70">
        <f>'Program Budget'!U24+'Program Budget'!U158+'Program Budget'!U218+'Program Budget'!U276+'Program Budget'!U343</f>
        <v>34120.87466666667</v>
      </c>
      <c r="R23" s="226">
        <f t="shared" ref="R23" si="2">E23+H23+K23+N23+Q23</f>
        <v>173997.11466666666</v>
      </c>
    </row>
    <row r="24" spans="2:18" s="71" customFormat="1" outlineLevel="1">
      <c r="B24" s="68" t="str">
        <f>'Program Budget'!D25</f>
        <v>Contracts &amp; Compliance Specialist</v>
      </c>
      <c r="C24" s="120">
        <f>'Program Budget'!G25</f>
        <v>6</v>
      </c>
      <c r="D24" s="69">
        <f>'Program Budget'!E25+'Program Budget'!E159+'Program Budget'!E219+'Program Budget'!E277+'Program Budget'!E344</f>
        <v>1</v>
      </c>
      <c r="E24" s="70">
        <f>'Program Budget'!I25+'Program Budget'!I159+'Program Budget'!I219+'Program Budget'!I277+'Program Budget'!I344</f>
        <v>17500</v>
      </c>
      <c r="F24" s="120">
        <f>'Program Budget'!K25</f>
        <v>12</v>
      </c>
      <c r="G24" s="69">
        <f>'Program Budget'!J25+'Program Budget'!J159+'Program Budget'!J219+'Program Budget'!J277+'Program Budget'!J344</f>
        <v>1</v>
      </c>
      <c r="H24" s="70">
        <f>'Program Budget'!L25+'Program Budget'!L159+'Program Budget'!L219+'Program Budget'!L277+'Program Budget'!L344</f>
        <v>36400</v>
      </c>
      <c r="I24" s="120">
        <f>'Program Budget'!N25</f>
        <v>12</v>
      </c>
      <c r="J24" s="69">
        <f>'Program Budget'!M25+'Program Budget'!M159+'Program Budget'!M219+'Program Budget'!M277+'Program Budget'!M344</f>
        <v>1</v>
      </c>
      <c r="K24" s="70">
        <f>'Program Budget'!O25+'Program Budget'!O159+'Program Budget'!O219+'Program Budget'!O277+'Program Budget'!O344</f>
        <v>37856</v>
      </c>
      <c r="L24" s="120">
        <f>'Program Budget'!Q25</f>
        <v>12</v>
      </c>
      <c r="M24" s="69">
        <f>'Program Budget'!P25+'Program Budget'!P159+'Program Budget'!P219+'Program Budget'!P277+'Program Budget'!P344</f>
        <v>1</v>
      </c>
      <c r="N24" s="70">
        <f>'Program Budget'!R25+'Program Budget'!R159+'Program Budget'!R219+'Program Budget'!R277+'Program Budget'!R344</f>
        <v>39370.239999999998</v>
      </c>
      <c r="O24" s="120">
        <f>'Program Budget'!T25</f>
        <v>9</v>
      </c>
      <c r="P24" s="69">
        <f>'Program Budget'!S25+'Program Budget'!S159+'Program Budget'!S219+'Program Budget'!S277+'Program Budget'!S344</f>
        <v>1</v>
      </c>
      <c r="Q24" s="70">
        <f>'Program Budget'!U25+'Program Budget'!U159+'Program Budget'!U219+'Program Budget'!U277+'Program Budget'!U344</f>
        <v>30708.787200000006</v>
      </c>
      <c r="R24" s="226">
        <f t="shared" si="0"/>
        <v>161835.02720000001</v>
      </c>
    </row>
    <row r="25" spans="2:18" s="71" customFormat="1" outlineLevel="1">
      <c r="B25" s="68" t="str">
        <f>'Program Budget'!D26</f>
        <v xml:space="preserve">Accountant </v>
      </c>
      <c r="C25" s="120">
        <f>'Program Budget'!G26</f>
        <v>7</v>
      </c>
      <c r="D25" s="69">
        <f>'Program Budget'!E26+'Program Budget'!E160+'Program Budget'!E220+'Program Budget'!E278+'Program Budget'!E345</f>
        <v>1</v>
      </c>
      <c r="E25" s="70">
        <f>'Program Budget'!I26+'Program Budget'!I160+'Program Budget'!I220+'Program Budget'!I278+'Program Budget'!I345</f>
        <v>11666.666666666668</v>
      </c>
      <c r="F25" s="120">
        <f>'Program Budget'!K26</f>
        <v>12</v>
      </c>
      <c r="G25" s="69">
        <f>'Program Budget'!J26+'Program Budget'!J160+'Program Budget'!J220+'Program Budget'!J278+'Program Budget'!J345</f>
        <v>1</v>
      </c>
      <c r="H25" s="70">
        <f>'Program Budget'!L26+'Program Budget'!L160+'Program Budget'!L220+'Program Budget'!L278+'Program Budget'!L345</f>
        <v>20800</v>
      </c>
      <c r="I25" s="120">
        <f>'Program Budget'!N26</f>
        <v>12</v>
      </c>
      <c r="J25" s="69">
        <f>'Program Budget'!M26+'Program Budget'!M160+'Program Budget'!M220+'Program Budget'!M278+'Program Budget'!M345</f>
        <v>1</v>
      </c>
      <c r="K25" s="70">
        <f>'Program Budget'!O26+'Program Budget'!O160+'Program Budget'!O220+'Program Budget'!O278+'Program Budget'!O345</f>
        <v>21632.000000000004</v>
      </c>
      <c r="L25" s="120">
        <f>'Program Budget'!Q26</f>
        <v>12</v>
      </c>
      <c r="M25" s="69">
        <f>'Program Budget'!P26+'Program Budget'!P160+'Program Budget'!P220+'Program Budget'!P278+'Program Budget'!P345</f>
        <v>1</v>
      </c>
      <c r="N25" s="70">
        <f>'Program Budget'!R26+'Program Budget'!R160+'Program Budget'!R220+'Program Budget'!R278+'Program Budget'!R345</f>
        <v>22497.280000000006</v>
      </c>
      <c r="O25" s="120">
        <f>'Program Budget'!T26</f>
        <v>10</v>
      </c>
      <c r="P25" s="69">
        <f>'Program Budget'!S26+'Program Budget'!S160+'Program Budget'!S220+'Program Budget'!S278+'Program Budget'!S345</f>
        <v>1</v>
      </c>
      <c r="Q25" s="70">
        <f>'Program Budget'!U26+'Program Budget'!U160+'Program Budget'!U220+'Program Budget'!U278+'Program Budget'!U345</f>
        <v>19497.642666666674</v>
      </c>
      <c r="R25" s="226">
        <f t="shared" si="0"/>
        <v>96093.589333333366</v>
      </c>
    </row>
    <row r="26" spans="2:18" s="54" customFormat="1" outlineLevel="1">
      <c r="B26" s="68" t="str">
        <f>'Program Budget'!D27</f>
        <v xml:space="preserve">Administrative Assistant </v>
      </c>
      <c r="C26" s="120">
        <f>'Program Budget'!G27</f>
        <v>7</v>
      </c>
      <c r="D26" s="69">
        <f>'Program Budget'!E27+'Program Budget'!E161+'Program Budget'!E221+'Program Budget'!E279+'Program Budget'!E346</f>
        <v>1</v>
      </c>
      <c r="E26" s="70">
        <f>'Program Budget'!I27+'Program Budget'!I161+'Program Budget'!I221+'Program Budget'!I279+'Program Budget'!I346</f>
        <v>5833.3333333333339</v>
      </c>
      <c r="F26" s="120">
        <f>'Program Budget'!K27</f>
        <v>12</v>
      </c>
      <c r="G26" s="69">
        <f>'Program Budget'!J27+'Program Budget'!J161+'Program Budget'!J221+'Program Budget'!J279+'Program Budget'!J346</f>
        <v>1</v>
      </c>
      <c r="H26" s="70">
        <f>'Program Budget'!L27+'Program Budget'!L161+'Program Budget'!L221+'Program Budget'!L279+'Program Budget'!L346</f>
        <v>10400</v>
      </c>
      <c r="I26" s="120">
        <f>'Program Budget'!N27</f>
        <v>12</v>
      </c>
      <c r="J26" s="69">
        <f>'Program Budget'!M27+'Program Budget'!M161+'Program Budget'!M221+'Program Budget'!M279+'Program Budget'!M346</f>
        <v>1</v>
      </c>
      <c r="K26" s="70">
        <f>'Program Budget'!O27+'Program Budget'!O161+'Program Budget'!O221+'Program Budget'!O279+'Program Budget'!O346</f>
        <v>10816.000000000002</v>
      </c>
      <c r="L26" s="120">
        <f>'Program Budget'!Q27</f>
        <v>12</v>
      </c>
      <c r="M26" s="69">
        <f>'Program Budget'!P27+'Program Budget'!P161+'Program Budget'!P221+'Program Budget'!P279+'Program Budget'!P346</f>
        <v>1</v>
      </c>
      <c r="N26" s="70">
        <f>'Program Budget'!R27+'Program Budget'!R161+'Program Budget'!R221+'Program Budget'!R279+'Program Budget'!R346</f>
        <v>11248.640000000003</v>
      </c>
      <c r="O26" s="120">
        <f>'Program Budget'!T27</f>
        <v>10</v>
      </c>
      <c r="P26" s="69">
        <f>'Program Budget'!S27+'Program Budget'!S161+'Program Budget'!S221+'Program Budget'!S279+'Program Budget'!S346</f>
        <v>1</v>
      </c>
      <c r="Q26" s="70">
        <f>'Program Budget'!U27+'Program Budget'!U161+'Program Budget'!U221+'Program Budget'!U279+'Program Budget'!U346</f>
        <v>9748.821333333337</v>
      </c>
      <c r="R26" s="226">
        <f t="shared" si="0"/>
        <v>48046.794666666683</v>
      </c>
    </row>
    <row r="27" spans="2:18" s="54" customFormat="1" outlineLevel="1">
      <c r="B27" s="68" t="str">
        <f>'Program Budget'!D28</f>
        <v>Security Guards</v>
      </c>
      <c r="C27" s="120">
        <f>'Program Budget'!G28</f>
        <v>8</v>
      </c>
      <c r="D27" s="69">
        <f>'Program Budget'!E28+'Program Budget'!E162+'Program Budget'!E222+'Program Budget'!E280+'Program Budget'!E347</f>
        <v>1</v>
      </c>
      <c r="E27" s="70">
        <f>'Program Budget'!I28+'Program Budget'!I162+'Program Budget'!I222+'Program Budget'!I280+'Program Budget'!I347</f>
        <v>5333.3333333333339</v>
      </c>
      <c r="F27" s="120">
        <f>'Program Budget'!K28</f>
        <v>12</v>
      </c>
      <c r="G27" s="69">
        <f>'Program Budget'!J28+'Program Budget'!J162+'Program Budget'!J222+'Program Budget'!J280+'Program Budget'!J347</f>
        <v>1</v>
      </c>
      <c r="H27" s="70">
        <f>'Program Budget'!L28+'Program Budget'!L162+'Program Budget'!L222+'Program Budget'!L280+'Program Budget'!L347</f>
        <v>8320</v>
      </c>
      <c r="I27" s="120">
        <f>'Program Budget'!N28</f>
        <v>12</v>
      </c>
      <c r="J27" s="69">
        <f>'Program Budget'!M28+'Program Budget'!M162+'Program Budget'!M222+'Program Budget'!M280+'Program Budget'!M347</f>
        <v>1</v>
      </c>
      <c r="K27" s="70">
        <f>'Program Budget'!O28+'Program Budget'!O162+'Program Budget'!O222+'Program Budget'!O280+'Program Budget'!O347</f>
        <v>8652.8000000000011</v>
      </c>
      <c r="L27" s="120">
        <f>'Program Budget'!Q28</f>
        <v>12</v>
      </c>
      <c r="M27" s="69">
        <f>'Program Budget'!P28+'Program Budget'!P162+'Program Budget'!P222+'Program Budget'!P280+'Program Budget'!P347</f>
        <v>1</v>
      </c>
      <c r="N27" s="70">
        <f>'Program Budget'!R28+'Program Budget'!R162+'Program Budget'!R222+'Program Budget'!R280+'Program Budget'!R347</f>
        <v>8998.9120000000021</v>
      </c>
      <c r="O27" s="120">
        <f>'Program Budget'!T28</f>
        <v>10</v>
      </c>
      <c r="P27" s="69">
        <f>'Program Budget'!S28+'Program Budget'!S162+'Program Budget'!S222+'Program Budget'!S280+'Program Budget'!S347</f>
        <v>1</v>
      </c>
      <c r="Q27" s="70">
        <f>'Program Budget'!U28+'Program Budget'!U162+'Program Budget'!U222+'Program Budget'!U280+'Program Budget'!U347</f>
        <v>7799.0570666666681</v>
      </c>
      <c r="R27" s="226">
        <f t="shared" si="0"/>
        <v>39104.102400000003</v>
      </c>
    </row>
    <row r="28" spans="2:18" s="54" customFormat="1" outlineLevel="1">
      <c r="B28" s="68" t="str">
        <f>'Program Budget'!D29</f>
        <v>Driver (2 Individuals)</v>
      </c>
      <c r="C28" s="120">
        <f>'Program Budget'!G29</f>
        <v>6</v>
      </c>
      <c r="D28" s="69">
        <f>'Program Budget'!E29+'Program Budget'!E163+'Program Budget'!E223+'Program Budget'!E281+'Program Budget'!E348</f>
        <v>1</v>
      </c>
      <c r="E28" s="70">
        <f>'Program Budget'!I29+'Program Budget'!I163+'Program Budget'!I223+'Program Budget'!I281+'Program Budget'!I348</f>
        <v>8000</v>
      </c>
      <c r="F28" s="120">
        <f>'Program Budget'!K29</f>
        <v>12</v>
      </c>
      <c r="G28" s="69">
        <f>'Program Budget'!J29+'Program Budget'!J163+'Program Budget'!J223+'Program Budget'!J281+'Program Budget'!J348</f>
        <v>1</v>
      </c>
      <c r="H28" s="70">
        <f>'Program Budget'!L29+'Program Budget'!L163+'Program Budget'!L223+'Program Budget'!L281+'Program Budget'!L348</f>
        <v>16640</v>
      </c>
      <c r="I28" s="120">
        <f>'Program Budget'!N29</f>
        <v>12</v>
      </c>
      <c r="J28" s="69">
        <f>'Program Budget'!M29+'Program Budget'!M163+'Program Budget'!M223+'Program Budget'!M281+'Program Budget'!M348</f>
        <v>1</v>
      </c>
      <c r="K28" s="70">
        <f>'Program Budget'!O29+'Program Budget'!O163+'Program Budget'!O223+'Program Budget'!O281+'Program Budget'!O348</f>
        <v>17305.600000000002</v>
      </c>
      <c r="L28" s="120">
        <f>'Program Budget'!Q29</f>
        <v>12</v>
      </c>
      <c r="M28" s="69">
        <f>'Program Budget'!P29+'Program Budget'!P163+'Program Budget'!P223+'Program Budget'!P281+'Program Budget'!P348</f>
        <v>1</v>
      </c>
      <c r="N28" s="70">
        <f>'Program Budget'!R29+'Program Budget'!R163+'Program Budget'!R223+'Program Budget'!R281+'Program Budget'!R348</f>
        <v>17997.824000000004</v>
      </c>
      <c r="O28" s="120">
        <f>'Program Budget'!T29</f>
        <v>9</v>
      </c>
      <c r="P28" s="69">
        <f>'Program Budget'!S29+'Program Budget'!S163+'Program Budget'!S223+'Program Budget'!S281+'Program Budget'!S348</f>
        <v>1</v>
      </c>
      <c r="Q28" s="70">
        <f>'Program Budget'!U29+'Program Budget'!U163+'Program Budget'!U223+'Program Budget'!U281+'Program Budget'!U348</f>
        <v>14038.302720000002</v>
      </c>
      <c r="R28" s="226">
        <f t="shared" si="0"/>
        <v>73981.726720000021</v>
      </c>
    </row>
    <row r="29" spans="2:18" s="54" customFormat="1" outlineLevel="1">
      <c r="B29" s="66" t="s">
        <v>575</v>
      </c>
      <c r="C29" s="119"/>
      <c r="D29" s="72"/>
      <c r="E29" s="72"/>
      <c r="F29" s="119"/>
      <c r="G29" s="72"/>
      <c r="H29" s="67"/>
      <c r="I29" s="119"/>
      <c r="J29" s="72"/>
      <c r="K29" s="72"/>
      <c r="L29" s="119"/>
      <c r="M29" s="72"/>
      <c r="N29" s="72"/>
      <c r="O29" s="119"/>
      <c r="P29" s="72"/>
      <c r="Q29" s="72"/>
      <c r="R29" s="227"/>
    </row>
    <row r="30" spans="2:18" s="54" customFormat="1" outlineLevel="1">
      <c r="B30" s="68" t="str">
        <f>'Program Budget'!D31</f>
        <v xml:space="preserve">Senior Program Director </v>
      </c>
      <c r="C30" s="120">
        <f>'Program Budget'!G31</f>
        <v>12</v>
      </c>
      <c r="D30" s="69">
        <f>'Program Budget'!E31</f>
        <v>0.2</v>
      </c>
      <c r="E30" s="70">
        <f>'Program Budget'!I31</f>
        <v>27000</v>
      </c>
      <c r="F30" s="120">
        <f>'Program Budget'!K31</f>
        <v>12</v>
      </c>
      <c r="G30" s="69">
        <v>0.2</v>
      </c>
      <c r="H30" s="70">
        <f>'Program Budget'!L31</f>
        <v>28080</v>
      </c>
      <c r="I30" s="120">
        <f>'Program Budget'!N31</f>
        <v>12</v>
      </c>
      <c r="J30" s="69">
        <v>0.2</v>
      </c>
      <c r="K30" s="70">
        <f>'Program Budget'!O31</f>
        <v>29203.200000000001</v>
      </c>
      <c r="L30" s="120">
        <f>'Program Budget'!Q31</f>
        <v>12</v>
      </c>
      <c r="M30" s="69">
        <v>0.2</v>
      </c>
      <c r="N30" s="70">
        <f>'Program Budget'!R31</f>
        <v>30371.328000000001</v>
      </c>
      <c r="O30" s="120">
        <f>'Program Budget'!T31</f>
        <v>12</v>
      </c>
      <c r="P30" s="69">
        <v>0.2</v>
      </c>
      <c r="Q30" s="70">
        <f>'Program Budget'!U31</f>
        <v>31586.181120000001</v>
      </c>
      <c r="R30" s="226">
        <f t="shared" ref="R30" si="3">E30+H30+K30+N30+Q30</f>
        <v>146240.70911999998</v>
      </c>
    </row>
    <row r="31" spans="2:18" s="54" customFormat="1" outlineLevel="1">
      <c r="B31" s="68" t="str">
        <f>'Program Budget'!D32</f>
        <v>HO Project Manager</v>
      </c>
      <c r="C31" s="120">
        <f>'Program Budget'!G32</f>
        <v>12</v>
      </c>
      <c r="D31" s="69">
        <f>'Program Budget'!E32</f>
        <v>1</v>
      </c>
      <c r="E31" s="70">
        <f>'Program Budget'!I32</f>
        <v>83000</v>
      </c>
      <c r="F31" s="120">
        <f>'Program Budget'!K32</f>
        <v>12</v>
      </c>
      <c r="G31" s="69">
        <f>'Program Budget'!J32</f>
        <v>1</v>
      </c>
      <c r="H31" s="70">
        <f>'Program Budget'!L32</f>
        <v>86320</v>
      </c>
      <c r="I31" s="120">
        <f>'Program Budget'!N32</f>
        <v>12</v>
      </c>
      <c r="J31" s="69">
        <f>'Program Budget'!M32</f>
        <v>1</v>
      </c>
      <c r="K31" s="70">
        <f>'Program Budget'!O32</f>
        <v>89772.800000000003</v>
      </c>
      <c r="L31" s="120">
        <f>'Program Budget'!Q32</f>
        <v>12</v>
      </c>
      <c r="M31" s="69">
        <f>'Program Budget'!P32</f>
        <v>1</v>
      </c>
      <c r="N31" s="70">
        <f>'Program Budget'!R32</f>
        <v>93363.712</v>
      </c>
      <c r="O31" s="120">
        <f>'Program Budget'!T32</f>
        <v>12</v>
      </c>
      <c r="P31" s="69">
        <f>'Program Budget'!S32</f>
        <v>1</v>
      </c>
      <c r="Q31" s="70">
        <f>'Program Budget'!U32</f>
        <v>97098.260479999997</v>
      </c>
      <c r="R31" s="226">
        <f t="shared" ref="R31" si="4">E31+H31+K31+N31+Q31</f>
        <v>449554.77247999999</v>
      </c>
    </row>
    <row r="32" spans="2:18" s="54" customFormat="1" outlineLevel="1">
      <c r="B32" s="73" t="s">
        <v>211</v>
      </c>
      <c r="C32" s="74"/>
      <c r="D32" s="74"/>
      <c r="E32" s="75">
        <f>SUM(E11:E31)</f>
        <v>640833.33333333326</v>
      </c>
      <c r="F32" s="74"/>
      <c r="G32" s="74"/>
      <c r="H32" s="75">
        <f>SUM(H11:H31)</f>
        <v>1122160</v>
      </c>
      <c r="I32" s="74"/>
      <c r="J32" s="74"/>
      <c r="K32" s="75">
        <f>SUM(K11:K31)</f>
        <v>1015622.4</v>
      </c>
      <c r="L32" s="74"/>
      <c r="M32" s="74"/>
      <c r="N32" s="75">
        <f>SUM(N11:N31)</f>
        <v>898766.33600000013</v>
      </c>
      <c r="O32" s="74"/>
      <c r="P32" s="74"/>
      <c r="Q32" s="75">
        <f>SUM(Q11:Q31)</f>
        <v>777858.45418666676</v>
      </c>
      <c r="R32" s="75">
        <f>SUM(R11:R31)</f>
        <v>4455240.5235200003</v>
      </c>
    </row>
    <row r="34" spans="5:9">
      <c r="F34" s="193"/>
      <c r="H34" s="55"/>
      <c r="I34" s="193"/>
    </row>
    <row r="35" spans="5:9">
      <c r="F35" s="193"/>
      <c r="H35" s="55"/>
      <c r="I35" s="193"/>
    </row>
    <row r="36" spans="5:9">
      <c r="F36" s="193"/>
      <c r="H36" s="55"/>
      <c r="I36" s="193"/>
    </row>
    <row r="37" spans="5:9">
      <c r="F37" s="193"/>
      <c r="H37" s="55"/>
      <c r="I37" s="193"/>
    </row>
    <row r="38" spans="5:9">
      <c r="F38" s="193"/>
      <c r="H38" s="55"/>
      <c r="I38" s="193"/>
    </row>
    <row r="39" spans="5:9">
      <c r="F39" s="193"/>
      <c r="H39" s="55"/>
      <c r="I39" s="193"/>
    </row>
    <row r="40" spans="5:9">
      <c r="F40" s="193"/>
      <c r="H40" s="55"/>
      <c r="I40" s="193"/>
    </row>
    <row r="41" spans="5:9">
      <c r="E41" s="542"/>
      <c r="F41" s="193"/>
      <c r="H41" s="55"/>
      <c r="I41" s="193"/>
    </row>
    <row r="42" spans="5:9">
      <c r="F42" s="193"/>
      <c r="H42" s="55"/>
      <c r="I42" s="193"/>
    </row>
    <row r="43" spans="5:9">
      <c r="F43" s="193"/>
      <c r="H43" s="55"/>
      <c r="I43" s="193"/>
    </row>
    <row r="44" spans="5:9">
      <c r="F44" s="193"/>
      <c r="H44" s="55"/>
      <c r="I44" s="193"/>
    </row>
    <row r="45" spans="5:9">
      <c r="F45" s="193"/>
      <c r="H45" s="55"/>
      <c r="I45" s="193"/>
    </row>
    <row r="46" spans="5:9">
      <c r="F46" s="193"/>
      <c r="H46" s="55"/>
      <c r="I46" s="193"/>
    </row>
    <row r="47" spans="5:9">
      <c r="F47" s="193"/>
      <c r="H47" s="55"/>
      <c r="I47" s="193"/>
    </row>
    <row r="48" spans="5:9">
      <c r="F48" s="193"/>
      <c r="H48" s="55"/>
      <c r="I48" s="193"/>
    </row>
    <row r="49" spans="6:9">
      <c r="F49" s="193"/>
      <c r="H49" s="55"/>
      <c r="I49" s="193"/>
    </row>
    <row r="50" spans="6:9">
      <c r="F50" s="193"/>
      <c r="H50" s="55"/>
      <c r="I50" s="193"/>
    </row>
    <row r="51" spans="6:9">
      <c r="F51" s="193"/>
      <c r="I51" s="193"/>
    </row>
  </sheetData>
  <mergeCells count="5">
    <mergeCell ref="B1:R1"/>
    <mergeCell ref="B2:R2"/>
    <mergeCell ref="B3:R3"/>
    <mergeCell ref="B4:R4"/>
    <mergeCell ref="B5:R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9"/>
  <sheetViews>
    <sheetView workbookViewId="0">
      <selection activeCell="G5" sqref="G5"/>
    </sheetView>
  </sheetViews>
  <sheetFormatPr defaultColWidth="8.44140625" defaultRowHeight="12.3"/>
  <cols>
    <col min="1" max="1" width="14.44140625" customWidth="1"/>
    <col min="2" max="2" width="19.44140625" customWidth="1"/>
    <col min="3" max="3" width="18.44140625" customWidth="1"/>
    <col min="4" max="4" width="15" customWidth="1"/>
    <col min="5" max="5" width="14" customWidth="1"/>
    <col min="6" max="6" width="16.44140625" customWidth="1"/>
    <col min="7" max="7" width="19.44140625" customWidth="1"/>
    <col min="8" max="9" width="17.44140625" customWidth="1"/>
    <col min="10" max="10" width="24.44140625" customWidth="1"/>
    <col min="11" max="11" width="17" customWidth="1"/>
    <col min="12" max="12" width="14.44140625" customWidth="1"/>
    <col min="13" max="13" width="16.44140625" customWidth="1"/>
    <col min="14" max="14" width="14" customWidth="1"/>
    <col min="15" max="15" width="21.44140625" customWidth="1"/>
  </cols>
  <sheetData>
    <row r="1" spans="1:11">
      <c r="A1" s="601" t="s">
        <v>593</v>
      </c>
      <c r="B1" s="601"/>
      <c r="C1" s="601"/>
      <c r="D1" s="601"/>
      <c r="E1" s="601"/>
      <c r="F1" s="601"/>
      <c r="G1" s="601"/>
      <c r="H1" s="638" t="s">
        <v>594</v>
      </c>
      <c r="I1" s="639"/>
      <c r="J1" s="7"/>
    </row>
    <row r="2" spans="1:11">
      <c r="A2" s="10" t="s">
        <v>147</v>
      </c>
      <c r="B2" s="9" t="s">
        <v>595</v>
      </c>
      <c r="C2" s="644" t="s">
        <v>596</v>
      </c>
      <c r="D2" s="644"/>
      <c r="E2" s="645" t="s">
        <v>597</v>
      </c>
      <c r="F2" s="645"/>
      <c r="G2" s="9" t="s">
        <v>68</v>
      </c>
      <c r="H2" s="640"/>
      <c r="I2" s="641"/>
      <c r="J2" s="7"/>
    </row>
    <row r="3" spans="1:11">
      <c r="A3" s="10" t="s">
        <v>598</v>
      </c>
      <c r="B3" s="14" t="s">
        <v>599</v>
      </c>
      <c r="C3" s="14" t="s">
        <v>600</v>
      </c>
      <c r="D3" s="14" t="s">
        <v>601</v>
      </c>
      <c r="E3" s="14" t="s">
        <v>600</v>
      </c>
      <c r="F3" s="14" t="s">
        <v>601</v>
      </c>
      <c r="G3" s="14" t="s">
        <v>601</v>
      </c>
      <c r="H3" s="642"/>
      <c r="I3" s="643"/>
      <c r="J3" s="7"/>
    </row>
    <row r="4" spans="1:11">
      <c r="A4" s="204" t="s">
        <v>602</v>
      </c>
      <c r="B4" s="11">
        <v>75</v>
      </c>
      <c r="C4" s="12">
        <v>125</v>
      </c>
      <c r="D4" s="11">
        <v>75</v>
      </c>
      <c r="E4" s="13">
        <v>75</v>
      </c>
      <c r="F4" s="12">
        <v>125</v>
      </c>
      <c r="G4" s="13">
        <v>75</v>
      </c>
      <c r="H4" s="2">
        <f>B4+C4+E4</f>
        <v>275</v>
      </c>
      <c r="I4" s="638">
        <f>H4+H5+H6</f>
        <v>850</v>
      </c>
      <c r="J4" s="663" t="s">
        <v>603</v>
      </c>
      <c r="K4" s="205"/>
    </row>
    <row r="5" spans="1:11">
      <c r="A5" s="204" t="s">
        <v>604</v>
      </c>
      <c r="B5" s="11">
        <v>75</v>
      </c>
      <c r="C5" s="12">
        <v>125</v>
      </c>
      <c r="D5" s="11">
        <v>75</v>
      </c>
      <c r="E5" s="13">
        <v>100</v>
      </c>
      <c r="F5" s="12">
        <v>125</v>
      </c>
      <c r="G5" s="13">
        <v>100</v>
      </c>
      <c r="H5" s="1">
        <f>B5+C5+E5</f>
        <v>300</v>
      </c>
      <c r="I5" s="640"/>
      <c r="J5" s="664"/>
    </row>
    <row r="6" spans="1:11">
      <c r="A6" s="204" t="s">
        <v>605</v>
      </c>
      <c r="B6" s="11">
        <v>75</v>
      </c>
      <c r="C6" s="12">
        <v>100</v>
      </c>
      <c r="D6" s="11">
        <v>75</v>
      </c>
      <c r="E6" s="13">
        <v>100</v>
      </c>
      <c r="F6" s="12">
        <v>100</v>
      </c>
      <c r="G6" s="13">
        <v>100</v>
      </c>
      <c r="H6" s="1">
        <f>B6+C6+E6</f>
        <v>275</v>
      </c>
      <c r="I6" s="642"/>
      <c r="J6" s="664"/>
    </row>
    <row r="7" spans="1:11">
      <c r="A7" s="7"/>
      <c r="B7" s="7"/>
      <c r="C7" s="7"/>
      <c r="D7" s="7"/>
      <c r="E7" s="7"/>
      <c r="F7" s="7"/>
      <c r="G7" s="7"/>
      <c r="H7" s="7"/>
      <c r="I7" s="7"/>
      <c r="J7" s="665"/>
    </row>
    <row r="8" spans="1:11">
      <c r="A8" s="601" t="s">
        <v>606</v>
      </c>
      <c r="B8" s="601"/>
      <c r="C8" s="601"/>
      <c r="D8" s="601"/>
      <c r="E8" s="601"/>
      <c r="F8" s="601"/>
      <c r="G8" s="601"/>
      <c r="H8" s="638" t="s">
        <v>594</v>
      </c>
      <c r="I8" s="646"/>
      <c r="J8" s="621">
        <f>I4+I11</f>
        <v>1750</v>
      </c>
    </row>
    <row r="9" spans="1:11">
      <c r="A9" s="10" t="s">
        <v>147</v>
      </c>
      <c r="B9" s="9" t="s">
        <v>595</v>
      </c>
      <c r="C9" s="649" t="s">
        <v>596</v>
      </c>
      <c r="D9" s="650"/>
      <c r="E9" s="651" t="s">
        <v>597</v>
      </c>
      <c r="F9" s="652"/>
      <c r="G9" s="9" t="s">
        <v>68</v>
      </c>
      <c r="H9" s="640"/>
      <c r="I9" s="647"/>
      <c r="J9" s="622"/>
    </row>
    <row r="10" spans="1:11">
      <c r="A10" s="10" t="s">
        <v>598</v>
      </c>
      <c r="B10" s="15"/>
      <c r="C10" s="619" t="s">
        <v>607</v>
      </c>
      <c r="D10" s="620"/>
      <c r="E10" s="619" t="s">
        <v>607</v>
      </c>
      <c r="F10" s="620"/>
      <c r="G10" s="14" t="s">
        <v>608</v>
      </c>
      <c r="H10" s="642"/>
      <c r="I10" s="648"/>
      <c r="J10" s="623"/>
    </row>
    <row r="11" spans="1:11">
      <c r="A11" s="204" t="s">
        <v>602</v>
      </c>
      <c r="B11" s="6"/>
      <c r="C11" s="624">
        <v>75</v>
      </c>
      <c r="D11" s="625"/>
      <c r="E11" s="626">
        <v>100</v>
      </c>
      <c r="F11" s="627"/>
      <c r="G11" s="13">
        <v>125</v>
      </c>
      <c r="H11" s="1">
        <f>C11+E11+G11</f>
        <v>300</v>
      </c>
      <c r="I11" s="621">
        <f>H11+H12+H13</f>
        <v>900</v>
      </c>
      <c r="J11" s="16"/>
    </row>
    <row r="12" spans="1:11">
      <c r="A12" s="204" t="s">
        <v>604</v>
      </c>
      <c r="B12" s="6"/>
      <c r="C12" s="624">
        <v>75</v>
      </c>
      <c r="D12" s="625"/>
      <c r="E12" s="626">
        <v>100</v>
      </c>
      <c r="F12" s="627"/>
      <c r="G12" s="13">
        <v>125</v>
      </c>
      <c r="H12" s="1">
        <f>C12+E12+G12</f>
        <v>300</v>
      </c>
      <c r="I12" s="622"/>
      <c r="J12" s="16"/>
    </row>
    <row r="13" spans="1:11">
      <c r="A13" s="204" t="s">
        <v>605</v>
      </c>
      <c r="B13" s="6"/>
      <c r="C13" s="624">
        <v>75</v>
      </c>
      <c r="D13" s="625"/>
      <c r="E13" s="626">
        <v>100</v>
      </c>
      <c r="F13" s="627"/>
      <c r="G13" s="13">
        <v>125</v>
      </c>
      <c r="H13" s="1">
        <f>C13+E13+G13</f>
        <v>300</v>
      </c>
      <c r="I13" s="623"/>
      <c r="J13" s="16"/>
    </row>
    <row r="14" spans="1:11" ht="51" customHeight="1">
      <c r="A14" s="206"/>
      <c r="B14" s="22"/>
      <c r="C14" s="22"/>
      <c r="D14" s="22"/>
      <c r="E14" s="22" t="s">
        <v>609</v>
      </c>
      <c r="F14" s="22"/>
      <c r="G14" s="22"/>
      <c r="H14" s="22"/>
      <c r="I14" s="23"/>
      <c r="J14" s="19"/>
      <c r="K14" s="205"/>
    </row>
    <row r="15" spans="1:11" ht="12.75" customHeight="1">
      <c r="A15" s="601" t="s">
        <v>610</v>
      </c>
      <c r="B15" s="601"/>
      <c r="C15" s="601"/>
      <c r="D15" s="601"/>
      <c r="E15" s="601"/>
      <c r="F15" s="601"/>
      <c r="G15" s="601"/>
      <c r="H15" s="638" t="s">
        <v>611</v>
      </c>
      <c r="I15" s="639"/>
      <c r="J15" s="26" t="s">
        <v>612</v>
      </c>
      <c r="K15" s="628" t="s">
        <v>613</v>
      </c>
    </row>
    <row r="16" spans="1:11">
      <c r="A16" s="10" t="s">
        <v>147</v>
      </c>
      <c r="B16" s="9" t="s">
        <v>595</v>
      </c>
      <c r="C16" s="644" t="s">
        <v>596</v>
      </c>
      <c r="D16" s="644"/>
      <c r="E16" s="645" t="s">
        <v>597</v>
      </c>
      <c r="F16" s="645"/>
      <c r="G16" s="9" t="s">
        <v>68</v>
      </c>
      <c r="H16" s="640"/>
      <c r="I16" s="641"/>
      <c r="J16" s="27" t="s">
        <v>614</v>
      </c>
      <c r="K16" s="629"/>
    </row>
    <row r="17" spans="1:15">
      <c r="A17" s="10" t="s">
        <v>598</v>
      </c>
      <c r="B17" s="14" t="s">
        <v>599</v>
      </c>
      <c r="C17" s="14" t="s">
        <v>600</v>
      </c>
      <c r="D17" s="14" t="s">
        <v>601</v>
      </c>
      <c r="E17" s="14" t="s">
        <v>600</v>
      </c>
      <c r="F17" s="14" t="s">
        <v>601</v>
      </c>
      <c r="G17" s="14" t="s">
        <v>601</v>
      </c>
      <c r="H17" s="642"/>
      <c r="I17" s="643"/>
      <c r="J17" s="28">
        <v>25</v>
      </c>
      <c r="K17" s="630"/>
    </row>
    <row r="18" spans="1:15" ht="12.75" customHeight="1">
      <c r="A18" s="204" t="s">
        <v>602</v>
      </c>
      <c r="B18" s="207">
        <f>B4/J17</f>
        <v>3</v>
      </c>
      <c r="C18" s="12">
        <f>C4/J17</f>
        <v>5</v>
      </c>
      <c r="D18" s="11">
        <f>D4/J17</f>
        <v>3</v>
      </c>
      <c r="E18" s="13">
        <f>E4/J17</f>
        <v>3</v>
      </c>
      <c r="F18" s="12">
        <f>F4/J17</f>
        <v>5</v>
      </c>
      <c r="G18" s="13">
        <f>G4/J17</f>
        <v>3</v>
      </c>
      <c r="H18" s="2">
        <f>B18+C18+E18</f>
        <v>11</v>
      </c>
      <c r="I18" s="638">
        <f>H18+H19+H20</f>
        <v>34</v>
      </c>
      <c r="J18" s="635" t="s">
        <v>615</v>
      </c>
      <c r="K18" s="628">
        <f>B21+C21</f>
        <v>23</v>
      </c>
      <c r="L18" s="628" t="s">
        <v>616</v>
      </c>
    </row>
    <row r="19" spans="1:15">
      <c r="A19" s="204" t="s">
        <v>604</v>
      </c>
      <c r="B19" s="11">
        <f>B5/J17</f>
        <v>3</v>
      </c>
      <c r="C19" s="12">
        <f>C5/J17</f>
        <v>5</v>
      </c>
      <c r="D19" s="11">
        <f>D5/J17</f>
        <v>3</v>
      </c>
      <c r="E19" s="13">
        <f>E5/J17</f>
        <v>4</v>
      </c>
      <c r="F19" s="12">
        <f>F5/J17</f>
        <v>5</v>
      </c>
      <c r="G19" s="13">
        <f>G5/J17</f>
        <v>4</v>
      </c>
      <c r="H19" s="2">
        <f>B19+C19+E19</f>
        <v>12</v>
      </c>
      <c r="I19" s="640"/>
      <c r="J19" s="636"/>
      <c r="K19" s="629"/>
      <c r="L19" s="629"/>
    </row>
    <row r="20" spans="1:15">
      <c r="A20" s="204" t="s">
        <v>605</v>
      </c>
      <c r="B20" s="11">
        <f>B6/J17</f>
        <v>3</v>
      </c>
      <c r="C20" s="12">
        <f>C6/J17</f>
        <v>4</v>
      </c>
      <c r="D20" s="11">
        <f>D6/J17</f>
        <v>3</v>
      </c>
      <c r="E20" s="13">
        <f>E6/J17</f>
        <v>4</v>
      </c>
      <c r="F20" s="12">
        <f>F6/J17</f>
        <v>4</v>
      </c>
      <c r="G20" s="13">
        <f>G6/J17</f>
        <v>4</v>
      </c>
      <c r="H20" s="1">
        <f>B20+C20+E20</f>
        <v>11</v>
      </c>
      <c r="I20" s="642"/>
      <c r="J20" s="636"/>
      <c r="K20" s="629"/>
      <c r="L20" s="629"/>
    </row>
    <row r="21" spans="1:15">
      <c r="A21" s="208"/>
      <c r="B21" s="34">
        <f t="shared" ref="B21:G21" si="0">SUM(B18:B20)</f>
        <v>9</v>
      </c>
      <c r="C21" s="34">
        <f t="shared" si="0"/>
        <v>14</v>
      </c>
      <c r="D21" s="34">
        <f t="shared" si="0"/>
        <v>9</v>
      </c>
      <c r="E21" s="34">
        <f t="shared" si="0"/>
        <v>11</v>
      </c>
      <c r="F21" s="34">
        <f t="shared" si="0"/>
        <v>14</v>
      </c>
      <c r="G21" s="34">
        <f t="shared" si="0"/>
        <v>11</v>
      </c>
      <c r="H21" s="7"/>
      <c r="I21" s="20"/>
      <c r="J21" s="637"/>
      <c r="K21" s="630"/>
      <c r="L21" s="629"/>
    </row>
    <row r="22" spans="1:15">
      <c r="A22" s="7"/>
      <c r="B22" s="25"/>
      <c r="C22" s="7"/>
      <c r="D22" s="7"/>
      <c r="E22" s="7"/>
      <c r="F22" s="7"/>
      <c r="G22" s="7"/>
      <c r="H22" s="7"/>
      <c r="I22" s="7"/>
      <c r="J22" s="621">
        <f>I18+I26</f>
        <v>70</v>
      </c>
      <c r="K22" s="605"/>
      <c r="L22" s="602">
        <f>K18+K28</f>
        <v>38</v>
      </c>
    </row>
    <row r="23" spans="1:15">
      <c r="A23" s="601" t="s">
        <v>617</v>
      </c>
      <c r="B23" s="601"/>
      <c r="C23" s="601"/>
      <c r="D23" s="601"/>
      <c r="E23" s="601"/>
      <c r="F23" s="601"/>
      <c r="G23" s="601"/>
      <c r="H23" s="638" t="s">
        <v>594</v>
      </c>
      <c r="I23" s="646"/>
      <c r="J23" s="622"/>
      <c r="K23" s="606"/>
      <c r="L23" s="603"/>
    </row>
    <row r="24" spans="1:15">
      <c r="A24" s="10" t="s">
        <v>147</v>
      </c>
      <c r="B24" s="9" t="s">
        <v>595</v>
      </c>
      <c r="C24" s="649" t="s">
        <v>596</v>
      </c>
      <c r="D24" s="650"/>
      <c r="E24" s="651" t="s">
        <v>597</v>
      </c>
      <c r="F24" s="652"/>
      <c r="G24" s="9" t="s">
        <v>68</v>
      </c>
      <c r="H24" s="640"/>
      <c r="I24" s="647"/>
      <c r="J24" s="623"/>
      <c r="K24" s="606"/>
      <c r="L24" s="604"/>
    </row>
    <row r="25" spans="1:15" ht="12.75" customHeight="1">
      <c r="A25" s="10" t="s">
        <v>598</v>
      </c>
      <c r="B25" s="15"/>
      <c r="C25" s="619" t="s">
        <v>607</v>
      </c>
      <c r="D25" s="620"/>
      <c r="E25" s="619" t="s">
        <v>607</v>
      </c>
      <c r="F25" s="620"/>
      <c r="G25" s="14" t="s">
        <v>608</v>
      </c>
      <c r="H25" s="642"/>
      <c r="I25" s="648"/>
      <c r="J25" s="16"/>
      <c r="K25" s="628" t="s">
        <v>618</v>
      </c>
    </row>
    <row r="26" spans="1:15">
      <c r="A26" s="204" t="s">
        <v>602</v>
      </c>
      <c r="B26" s="6"/>
      <c r="C26" s="624">
        <f>C11/J17</f>
        <v>3</v>
      </c>
      <c r="D26" s="625"/>
      <c r="E26" s="626">
        <f>E11/J17</f>
        <v>4</v>
      </c>
      <c r="F26" s="627"/>
      <c r="G26" s="209">
        <f>G11/J17</f>
        <v>5</v>
      </c>
      <c r="H26" s="1">
        <f>C26+E26+G26</f>
        <v>12</v>
      </c>
      <c r="I26" s="621">
        <f>H26+H27+H28</f>
        <v>36</v>
      </c>
      <c r="J26" s="16"/>
      <c r="K26" s="629"/>
    </row>
    <row r="27" spans="1:15">
      <c r="A27" s="204" t="s">
        <v>604</v>
      </c>
      <c r="B27" s="6"/>
      <c r="C27" s="624">
        <f>C12/J17</f>
        <v>3</v>
      </c>
      <c r="D27" s="625"/>
      <c r="E27" s="626">
        <f>E12/J17</f>
        <v>4</v>
      </c>
      <c r="F27" s="627"/>
      <c r="G27" s="13">
        <f>G12/J17</f>
        <v>5</v>
      </c>
      <c r="H27" s="1">
        <f>C27+E27+G27</f>
        <v>12</v>
      </c>
      <c r="I27" s="622"/>
      <c r="J27" s="16"/>
      <c r="K27" s="630"/>
    </row>
    <row r="28" spans="1:15">
      <c r="A28" s="204" t="s">
        <v>605</v>
      </c>
      <c r="B28" s="6"/>
      <c r="C28" s="624">
        <f>C13/J17</f>
        <v>3</v>
      </c>
      <c r="D28" s="625"/>
      <c r="E28" s="626">
        <f>E13/J17</f>
        <v>4</v>
      </c>
      <c r="F28" s="627"/>
      <c r="G28" s="13">
        <f>G13/J17</f>
        <v>5</v>
      </c>
      <c r="H28" s="1">
        <f>C28+E28+G28</f>
        <v>12</v>
      </c>
      <c r="I28" s="623"/>
      <c r="J28" s="24"/>
      <c r="K28" s="602">
        <v>15</v>
      </c>
    </row>
    <row r="29" spans="1:15">
      <c r="A29" s="210"/>
      <c r="B29" s="6"/>
      <c r="C29" s="45">
        <f>SUM(C26:D28)</f>
        <v>9</v>
      </c>
      <c r="D29" s="46"/>
      <c r="E29" s="45">
        <f>SUM(E26:F28)</f>
        <v>12</v>
      </c>
      <c r="F29" s="46"/>
      <c r="G29" s="47">
        <f>SUM(G26:G28)</f>
        <v>15</v>
      </c>
      <c r="H29" s="6"/>
      <c r="I29" s="15"/>
      <c r="J29" s="21"/>
      <c r="K29" s="603"/>
    </row>
    <row r="30" spans="1:15" ht="12" customHeight="1">
      <c r="A30" s="210"/>
      <c r="B30" s="6"/>
      <c r="C30" s="8"/>
      <c r="D30" s="8"/>
      <c r="E30" s="8"/>
      <c r="F30" s="8"/>
      <c r="G30" s="6"/>
      <c r="H30" s="6"/>
      <c r="I30" s="15"/>
      <c r="J30" s="21"/>
      <c r="K30" s="604"/>
    </row>
    <row r="31" spans="1:15" ht="54.75" customHeight="1" thickBot="1">
      <c r="A31" s="21"/>
      <c r="B31" s="21"/>
      <c r="C31" s="21"/>
      <c r="D31" s="21"/>
      <c r="E31" s="21"/>
      <c r="F31" s="21"/>
      <c r="G31" s="21"/>
      <c r="H31" s="21"/>
      <c r="I31" s="21"/>
    </row>
    <row r="32" spans="1:15">
      <c r="A32" s="601" t="s">
        <v>619</v>
      </c>
      <c r="B32" s="601"/>
      <c r="C32" s="601"/>
      <c r="D32" s="601"/>
      <c r="E32" s="601"/>
      <c r="F32" s="601"/>
      <c r="G32" s="612"/>
      <c r="H32" s="613" t="s">
        <v>620</v>
      </c>
      <c r="I32" s="614"/>
      <c r="J32" s="607" t="s">
        <v>621</v>
      </c>
      <c r="K32" s="608"/>
      <c r="L32" s="608"/>
      <c r="M32" s="608"/>
      <c r="N32" s="608"/>
      <c r="O32" s="609"/>
    </row>
    <row r="33" spans="1:15">
      <c r="A33" s="211"/>
      <c r="B33" s="613" t="s">
        <v>622</v>
      </c>
      <c r="C33" s="613"/>
      <c r="D33" s="613" t="s">
        <v>623</v>
      </c>
      <c r="E33" s="613"/>
      <c r="F33" s="613" t="s">
        <v>624</v>
      </c>
      <c r="G33" s="614"/>
      <c r="H33" s="613" t="s">
        <v>625</v>
      </c>
      <c r="I33" s="614"/>
      <c r="J33" s="31" t="s">
        <v>65</v>
      </c>
      <c r="K33" s="619" t="s">
        <v>596</v>
      </c>
      <c r="L33" s="620"/>
      <c r="M33" s="619" t="s">
        <v>597</v>
      </c>
      <c r="N33" s="620"/>
      <c r="O33" s="32" t="s">
        <v>68</v>
      </c>
    </row>
    <row r="34" spans="1:15">
      <c r="A34" s="210"/>
      <c r="B34" s="17" t="s">
        <v>595</v>
      </c>
      <c r="C34" s="18" t="s">
        <v>596</v>
      </c>
      <c r="D34" s="17" t="s">
        <v>595</v>
      </c>
      <c r="E34" s="18" t="s">
        <v>596</v>
      </c>
      <c r="F34" s="17" t="s">
        <v>595</v>
      </c>
      <c r="G34" s="18" t="s">
        <v>66</v>
      </c>
      <c r="H34" s="29" t="s">
        <v>595</v>
      </c>
      <c r="I34" s="30" t="s">
        <v>596</v>
      </c>
      <c r="J34" s="212" t="s">
        <v>65</v>
      </c>
      <c r="K34" s="213" t="s">
        <v>65</v>
      </c>
      <c r="L34" s="214" t="s">
        <v>66</v>
      </c>
      <c r="M34" s="215" t="s">
        <v>65</v>
      </c>
      <c r="N34" s="216" t="s">
        <v>66</v>
      </c>
      <c r="O34" s="217" t="s">
        <v>66</v>
      </c>
    </row>
    <row r="35" spans="1:15" ht="12.6" thickBot="1">
      <c r="A35" s="1" t="s">
        <v>626</v>
      </c>
      <c r="B35" s="5">
        <v>30</v>
      </c>
      <c r="C35" s="5">
        <v>30</v>
      </c>
      <c r="D35" s="218">
        <v>3</v>
      </c>
      <c r="E35" s="5">
        <v>2</v>
      </c>
      <c r="F35" s="5">
        <v>2</v>
      </c>
      <c r="G35" s="4">
        <v>2</v>
      </c>
      <c r="H35" s="3">
        <f>B35*D35*F35</f>
        <v>180</v>
      </c>
      <c r="I35" s="3">
        <f>C35*E35*G35</f>
        <v>120</v>
      </c>
      <c r="J35" s="35">
        <f>B21*H35</f>
        <v>1620</v>
      </c>
      <c r="K35" s="36">
        <f>C21*H35</f>
        <v>2520</v>
      </c>
      <c r="L35" s="36">
        <f>D21*I35</f>
        <v>1080</v>
      </c>
      <c r="M35" s="36">
        <f>E21*H35</f>
        <v>1980</v>
      </c>
      <c r="N35" s="36">
        <f>F21*I35</f>
        <v>1680</v>
      </c>
      <c r="O35" s="37">
        <f>G21*I35</f>
        <v>1320</v>
      </c>
    </row>
    <row r="36" spans="1:15" ht="12.6" thickBot="1">
      <c r="A36" s="21"/>
      <c r="B36" s="21"/>
      <c r="C36" s="21"/>
      <c r="D36" s="21"/>
      <c r="E36" s="21"/>
      <c r="F36" s="21"/>
      <c r="G36" s="33" t="s">
        <v>627</v>
      </c>
      <c r="H36" s="610">
        <f>H35+I35</f>
        <v>300</v>
      </c>
      <c r="I36" s="611"/>
      <c r="J36" s="39"/>
      <c r="K36" s="21"/>
      <c r="L36" s="21"/>
      <c r="M36" s="21"/>
      <c r="N36" s="21"/>
      <c r="O36" s="21"/>
    </row>
    <row r="37" spans="1:15" ht="12.6" thickBot="1">
      <c r="A37" s="21"/>
      <c r="B37" s="21"/>
      <c r="C37" s="21"/>
      <c r="D37" s="21"/>
      <c r="E37" s="21"/>
      <c r="F37" s="21"/>
      <c r="G37" s="21"/>
      <c r="H37" s="21"/>
      <c r="I37" s="21"/>
      <c r="J37" s="21"/>
      <c r="K37" s="21"/>
      <c r="L37" s="21"/>
      <c r="M37" s="21"/>
      <c r="N37" s="21"/>
      <c r="O37" s="21"/>
    </row>
    <row r="38" spans="1:15">
      <c r="A38" s="601" t="s">
        <v>628</v>
      </c>
      <c r="B38" s="601"/>
      <c r="C38" s="601"/>
      <c r="D38" s="601"/>
      <c r="E38" s="601"/>
      <c r="F38" s="601"/>
      <c r="G38" s="612"/>
      <c r="H38" s="613" t="s">
        <v>620</v>
      </c>
      <c r="I38" s="614"/>
      <c r="J38" s="607" t="s">
        <v>629</v>
      </c>
      <c r="K38" s="608"/>
      <c r="L38" s="608"/>
      <c r="M38" s="608"/>
      <c r="N38" s="608"/>
      <c r="O38" s="609"/>
    </row>
    <row r="39" spans="1:15">
      <c r="A39" s="211"/>
      <c r="B39" s="613" t="s">
        <v>622</v>
      </c>
      <c r="C39" s="613"/>
      <c r="D39" s="613" t="s">
        <v>623</v>
      </c>
      <c r="E39" s="613"/>
      <c r="F39" s="613" t="s">
        <v>624</v>
      </c>
      <c r="G39" s="614"/>
      <c r="H39" s="613" t="s">
        <v>625</v>
      </c>
      <c r="I39" s="614"/>
      <c r="J39" s="31" t="s">
        <v>65</v>
      </c>
      <c r="K39" s="619" t="s">
        <v>596</v>
      </c>
      <c r="L39" s="620"/>
      <c r="M39" s="619" t="s">
        <v>597</v>
      </c>
      <c r="N39" s="620"/>
      <c r="O39" s="32" t="s">
        <v>68</v>
      </c>
    </row>
    <row r="40" spans="1:15">
      <c r="A40" s="210"/>
      <c r="B40" s="653" t="s">
        <v>595</v>
      </c>
      <c r="C40" s="654"/>
      <c r="D40" s="653" t="s">
        <v>595</v>
      </c>
      <c r="E40" s="654"/>
      <c r="F40" s="653" t="s">
        <v>595</v>
      </c>
      <c r="G40" s="654"/>
      <c r="H40" s="651" t="s">
        <v>595</v>
      </c>
      <c r="I40" s="660"/>
      <c r="J40" s="38" t="s">
        <v>65</v>
      </c>
      <c r="K40" s="631" t="s">
        <v>65</v>
      </c>
      <c r="L40" s="632"/>
      <c r="M40" s="615" t="s">
        <v>65</v>
      </c>
      <c r="N40" s="616"/>
      <c r="O40" s="217" t="s">
        <v>66</v>
      </c>
    </row>
    <row r="41" spans="1:15" ht="12.6" thickBot="1">
      <c r="A41" s="1" t="s">
        <v>626</v>
      </c>
      <c r="B41" s="655">
        <v>32</v>
      </c>
      <c r="C41" s="656"/>
      <c r="D41" s="657">
        <v>5</v>
      </c>
      <c r="E41" s="658"/>
      <c r="F41" s="655">
        <v>4</v>
      </c>
      <c r="G41" s="659"/>
      <c r="H41" s="661">
        <f>B41*D41*F41</f>
        <v>640</v>
      </c>
      <c r="I41" s="662"/>
      <c r="J41" s="219"/>
      <c r="K41" s="633">
        <f>H41*C29</f>
        <v>5760</v>
      </c>
      <c r="L41" s="634"/>
      <c r="M41" s="617">
        <f>E29*H41</f>
        <v>7680</v>
      </c>
      <c r="N41" s="618"/>
      <c r="O41" s="37">
        <f>G29*H41</f>
        <v>9600</v>
      </c>
    </row>
    <row r="42" spans="1:15" ht="12.6" thickBot="1">
      <c r="G42" s="33" t="s">
        <v>627</v>
      </c>
      <c r="H42" s="610">
        <f>H41+I41</f>
        <v>640</v>
      </c>
      <c r="I42" s="611"/>
    </row>
    <row r="43" spans="1:15">
      <c r="A43" s="601" t="s">
        <v>630</v>
      </c>
      <c r="B43" s="601"/>
      <c r="C43" s="601"/>
      <c r="D43" s="601"/>
      <c r="E43" s="601"/>
    </row>
    <row r="44" spans="1:15">
      <c r="A44" s="6"/>
      <c r="B44" s="6"/>
      <c r="C44" s="228" t="s">
        <v>631</v>
      </c>
      <c r="D44" s="43" t="s">
        <v>632</v>
      </c>
      <c r="E44" s="228" t="s">
        <v>633</v>
      </c>
    </row>
    <row r="45" spans="1:15">
      <c r="A45" s="44" t="s">
        <v>634</v>
      </c>
      <c r="B45" s="220" t="s">
        <v>635</v>
      </c>
      <c r="C45" s="41">
        <f>H35</f>
        <v>180</v>
      </c>
      <c r="D45" s="42">
        <v>8</v>
      </c>
      <c r="E45" s="40">
        <f>C45*D45</f>
        <v>1440</v>
      </c>
    </row>
    <row r="46" spans="1:15">
      <c r="A46" s="44" t="s">
        <v>636</v>
      </c>
      <c r="B46" s="220" t="s">
        <v>635</v>
      </c>
      <c r="C46" s="41">
        <f>I35</f>
        <v>120</v>
      </c>
      <c r="D46" s="42">
        <v>8</v>
      </c>
      <c r="E46" s="40">
        <f>C46*D46</f>
        <v>960</v>
      </c>
    </row>
    <row r="48" spans="1:15">
      <c r="A48" s="601" t="s">
        <v>637</v>
      </c>
      <c r="B48" s="601"/>
      <c r="C48" s="601"/>
      <c r="D48" s="601"/>
      <c r="E48" s="601"/>
    </row>
    <row r="49" spans="1:5">
      <c r="A49" s="6"/>
      <c r="B49" s="6"/>
      <c r="C49" s="218" t="s">
        <v>638</v>
      </c>
      <c r="D49" s="221" t="s">
        <v>639</v>
      </c>
      <c r="E49" s="218" t="s">
        <v>633</v>
      </c>
    </row>
    <row r="50" spans="1:5">
      <c r="A50" s="44" t="s">
        <v>634</v>
      </c>
      <c r="B50" s="220" t="s">
        <v>640</v>
      </c>
      <c r="C50" s="41">
        <f>B35*D35</f>
        <v>90</v>
      </c>
      <c r="D50" s="42">
        <v>10</v>
      </c>
      <c r="E50" s="40">
        <f>C50*D50</f>
        <v>900</v>
      </c>
    </row>
    <row r="51" spans="1:5">
      <c r="A51" s="44" t="s">
        <v>636</v>
      </c>
      <c r="B51" s="220" t="s">
        <v>640</v>
      </c>
      <c r="C51" s="41">
        <f>C35*E35</f>
        <v>60</v>
      </c>
      <c r="D51" s="42">
        <v>10</v>
      </c>
      <c r="E51" s="40">
        <f>C51*D51</f>
        <v>600</v>
      </c>
    </row>
    <row r="52" spans="1:5">
      <c r="D52" s="205"/>
    </row>
    <row r="53" spans="1:5">
      <c r="A53" s="601" t="s">
        <v>641</v>
      </c>
      <c r="B53" s="601"/>
      <c r="C53" s="601"/>
      <c r="D53" s="601"/>
      <c r="E53" s="601"/>
    </row>
    <row r="54" spans="1:5">
      <c r="A54" s="6"/>
      <c r="B54" s="6"/>
      <c r="C54" s="218" t="s">
        <v>631</v>
      </c>
      <c r="D54" s="221" t="s">
        <v>632</v>
      </c>
      <c r="E54" s="218" t="s">
        <v>633</v>
      </c>
    </row>
    <row r="55" spans="1:5">
      <c r="A55" s="220" t="s">
        <v>634</v>
      </c>
      <c r="B55" s="220" t="s">
        <v>642</v>
      </c>
      <c r="C55" s="41">
        <f>H41</f>
        <v>640</v>
      </c>
      <c r="D55" s="42">
        <v>8</v>
      </c>
      <c r="E55" s="40">
        <f>C55*D55</f>
        <v>5120</v>
      </c>
    </row>
    <row r="57" spans="1:5">
      <c r="A57" s="601" t="s">
        <v>643</v>
      </c>
      <c r="B57" s="601"/>
      <c r="C57" s="601"/>
      <c r="D57" s="601"/>
      <c r="E57" s="601"/>
    </row>
    <row r="58" spans="1:5">
      <c r="A58" s="6"/>
      <c r="B58" s="6"/>
      <c r="C58" s="218" t="s">
        <v>638</v>
      </c>
      <c r="D58" s="221" t="s">
        <v>639</v>
      </c>
      <c r="E58" s="218" t="s">
        <v>633</v>
      </c>
    </row>
    <row r="59" spans="1:5">
      <c r="A59" s="44" t="s">
        <v>634</v>
      </c>
      <c r="B59" s="220" t="s">
        <v>640</v>
      </c>
      <c r="C59" s="41">
        <f>B41*D41</f>
        <v>160</v>
      </c>
      <c r="D59" s="42">
        <v>10</v>
      </c>
      <c r="E59" s="40">
        <f>C59*D59</f>
        <v>1600</v>
      </c>
    </row>
  </sheetData>
  <mergeCells count="83">
    <mergeCell ref="E12:F12"/>
    <mergeCell ref="E13:F13"/>
    <mergeCell ref="A8:G8"/>
    <mergeCell ref="J4:J7"/>
    <mergeCell ref="J8:J10"/>
    <mergeCell ref="C9:D9"/>
    <mergeCell ref="E9:F9"/>
    <mergeCell ref="C10:D10"/>
    <mergeCell ref="F40:G40"/>
    <mergeCell ref="F41:G41"/>
    <mergeCell ref="H40:I40"/>
    <mergeCell ref="H41:I41"/>
    <mergeCell ref="H1:I3"/>
    <mergeCell ref="I4:I6"/>
    <mergeCell ref="H8:I10"/>
    <mergeCell ref="I11:I13"/>
    <mergeCell ref="A1:G1"/>
    <mergeCell ref="C2:D2"/>
    <mergeCell ref="E2:F2"/>
    <mergeCell ref="C11:D11"/>
    <mergeCell ref="C12:D12"/>
    <mergeCell ref="C13:D13"/>
    <mergeCell ref="E10:F10"/>
    <mergeCell ref="E11:F11"/>
    <mergeCell ref="A23:G23"/>
    <mergeCell ref="H23:I25"/>
    <mergeCell ref="C24:D24"/>
    <mergeCell ref="E24:F24"/>
    <mergeCell ref="H42:I42"/>
    <mergeCell ref="A32:G32"/>
    <mergeCell ref="H32:I32"/>
    <mergeCell ref="B33:C33"/>
    <mergeCell ref="D33:E33"/>
    <mergeCell ref="F33:G33"/>
    <mergeCell ref="H33:I33"/>
    <mergeCell ref="B39:C39"/>
    <mergeCell ref="B40:C40"/>
    <mergeCell ref="B41:C41"/>
    <mergeCell ref="D40:E40"/>
    <mergeCell ref="D41:E41"/>
    <mergeCell ref="H15:I17"/>
    <mergeCell ref="I18:I20"/>
    <mergeCell ref="A15:G15"/>
    <mergeCell ref="C16:D16"/>
    <mergeCell ref="E16:F16"/>
    <mergeCell ref="K15:K17"/>
    <mergeCell ref="K25:K27"/>
    <mergeCell ref="K28:K30"/>
    <mergeCell ref="K40:L40"/>
    <mergeCell ref="K41:L41"/>
    <mergeCell ref="L18:L21"/>
    <mergeCell ref="K39:L39"/>
    <mergeCell ref="J38:O38"/>
    <mergeCell ref="K33:L33"/>
    <mergeCell ref="J18:J21"/>
    <mergeCell ref="J22:J24"/>
    <mergeCell ref="K18:K21"/>
    <mergeCell ref="D39:E39"/>
    <mergeCell ref="F39:G39"/>
    <mergeCell ref="H39:I39"/>
    <mergeCell ref="C25:D25"/>
    <mergeCell ref="E25:F25"/>
    <mergeCell ref="C26:D26"/>
    <mergeCell ref="E26:F26"/>
    <mergeCell ref="E27:F27"/>
    <mergeCell ref="C28:D28"/>
    <mergeCell ref="E28:F28"/>
    <mergeCell ref="A53:E53"/>
    <mergeCell ref="A57:E57"/>
    <mergeCell ref="L22:L24"/>
    <mergeCell ref="A43:E43"/>
    <mergeCell ref="A48:E48"/>
    <mergeCell ref="K22:K24"/>
    <mergeCell ref="J32:O32"/>
    <mergeCell ref="H36:I36"/>
    <mergeCell ref="A38:G38"/>
    <mergeCell ref="H38:I38"/>
    <mergeCell ref="M40:N40"/>
    <mergeCell ref="M41:N41"/>
    <mergeCell ref="M39:N39"/>
    <mergeCell ref="M33:N33"/>
    <mergeCell ref="I26:I28"/>
    <mergeCell ref="C27:D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SharedWithUsers xmlns="dc808d36-874f-4b27-aec2-2fd649817929">
      <UserInfo>
        <DisplayName/>
        <AccountId xsi:nil="true"/>
        <AccountType/>
      </UserInfo>
    </SharedWithUsers>
    <TaxCatchAll xmlns="dc808d36-874f-4b27-aec2-2fd649817929" xsi:nil="true"/>
    <MediaLengthInSeconds xmlns="f2466082-b6bf-4153-98c3-3c41e85fda18" xsi:nil="true"/>
    <lcf76f155ced4ddcb4097134ff3c332f xmlns="f2466082-b6bf-4153-98c3-3c41e85fda1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16A195-F478-4256-96CF-892E1E481714}">
  <ds:schemaRefs>
    <ds:schemaRef ds:uri="http://schemas.microsoft.com/office/2006/metadata/longProperties"/>
  </ds:schemaRefs>
</ds:datastoreItem>
</file>

<file path=customXml/itemProps2.xml><?xml version="1.0" encoding="utf-8"?>
<ds:datastoreItem xmlns:ds="http://schemas.openxmlformats.org/officeDocument/2006/customXml" ds:itemID="{63E7B32A-376E-41F5-8BAD-5BA7D75DB916}">
  <ds:schemaRefs>
    <ds:schemaRef ds:uri="http://purl.org/dc/terms/"/>
    <ds:schemaRef ds:uri="dc808d36-874f-4b27-aec2-2fd649817929"/>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dcmitype/"/>
    <ds:schemaRef ds:uri="http://schemas.openxmlformats.org/package/2006/metadata/core-properties"/>
    <ds:schemaRef ds:uri="f2466082-b6bf-4153-98c3-3c41e85fda18"/>
    <ds:schemaRef ds:uri="http://www.w3.org/XML/1998/namespace"/>
  </ds:schemaRefs>
</ds:datastoreItem>
</file>

<file path=customXml/itemProps3.xml><?xml version="1.0" encoding="utf-8"?>
<ds:datastoreItem xmlns:ds="http://schemas.openxmlformats.org/officeDocument/2006/customXml" ds:itemID="{5FE5C307-E13C-49FC-B557-5CB120C9BB0E}"/>
</file>

<file path=customXml/itemProps4.xml><?xml version="1.0" encoding="utf-8"?>
<ds:datastoreItem xmlns:ds="http://schemas.openxmlformats.org/officeDocument/2006/customXml" ds:itemID="{E694317B-D0E0-4282-8BFC-94619C138F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USDA Budget Summary</vt:lpstr>
      <vt:lpstr>Detailed Budget</vt:lpstr>
      <vt:lpstr>Admin</vt:lpstr>
      <vt:lpstr>Activity 1</vt:lpstr>
      <vt:lpstr>Activity 2</vt:lpstr>
      <vt:lpstr>Activity 3</vt:lpstr>
      <vt:lpstr>Activity 4</vt:lpstr>
      <vt:lpstr>Program Budget</vt:lpstr>
      <vt:lpstr>Indirect Calculations</vt:lpstr>
      <vt:lpstr>LOE Breakdown by Year</vt:lpstr>
      <vt:lpstr>Personnel &amp; LOE Summary</vt:lpstr>
      <vt:lpstr>Education Worksheet </vt:lpstr>
      <vt:lpstr>'Activity 1'!Print_Area</vt:lpstr>
      <vt:lpstr>'Activity 2'!Print_Area</vt:lpstr>
      <vt:lpstr>'Activity 3'!Print_Area</vt:lpstr>
      <vt:lpstr>'Activity 4'!Print_Area</vt:lpstr>
      <vt:lpstr>Admin!Print_Area</vt:lpstr>
      <vt:lpstr>'Detailed Budget'!Print_Area</vt:lpstr>
      <vt:lpstr>'Indirect Calculations'!Print_Area</vt:lpstr>
      <vt:lpstr>'Program Budget'!Print_Area</vt:lpstr>
      <vt:lpstr>'USDA Budget Summary'!Print_Area</vt:lpstr>
      <vt:lpstr>'Activity 1'!Print_Titles</vt:lpstr>
      <vt:lpstr>'Activity 2'!Print_Titles</vt:lpstr>
      <vt:lpstr>'Activity 3'!Print_Titles</vt:lpstr>
      <vt:lpstr>'Activity 4'!Print_Titles</vt:lpstr>
      <vt:lpstr>Admin!Print_Titles</vt:lpstr>
      <vt:lpstr>'Detailed Budget'!Print_Titles</vt:lpstr>
    </vt:vector>
  </TitlesOfParts>
  <Manager/>
  <Company>Compañeros de las Americas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Food For Development</cp:keywords>
  <dc:description/>
  <cp:lastModifiedBy>Danielle Martin</cp:lastModifiedBy>
  <cp:revision/>
  <dcterms:created xsi:type="dcterms:W3CDTF">2007-06-26T13:33:20Z</dcterms:created>
  <dcterms:modified xsi:type="dcterms:W3CDTF">2026-01-13T23:41:50Z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7412600</vt:r8>
  </property>
  <property fmtid="{D5CDD505-2E9C-101B-9397-08002B2CF9AE}" pid="3" name="ContentTypeId">
    <vt:lpwstr>0x0101003206C8355D678A459F2EF8957171B231</vt:lpwstr>
  </property>
  <property fmtid="{D5CDD505-2E9C-101B-9397-08002B2CF9AE}" pid="4" name="WorkbookGuid">
    <vt:lpwstr>f9165d3f-2e95-4cb0-b0d6-1503465abe40</vt:lpwstr>
  </property>
  <property fmtid="{D5CDD505-2E9C-101B-9397-08002B2CF9AE}" pid="5" name="TaxKeyword">
    <vt:lpwstr>81;#Food For Development|98747836-2529-4530-bb6a-d74dee1d6b61</vt:lpwstr>
  </property>
  <property fmtid="{D5CDD505-2E9C-101B-9397-08002B2CF9AE}" pid="6" name="Tags">
    <vt:lpwstr/>
  </property>
  <property fmtid="{D5CDD505-2E9C-101B-9397-08002B2CF9AE}" pid="7" name="MediaServiceImageTags">
    <vt:lpwstr/>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