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2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artnersnet107.sharepoint.com/sites/FA/Organizational FA/Finance Policies &amp; Procedures/Budgets, Accounting &amp; Awards/USAID650/"/>
    </mc:Choice>
  </mc:AlternateContent>
  <xr:revisionPtr revIDLastSave="3" documentId="13_ncr:1_{835E65BC-B8A3-4A1F-89DC-F227BDAD6189}" xr6:coauthVersionLast="47" xr6:coauthVersionMax="47" xr10:uidLastSave="{55D853B6-F52A-4179-8010-8A5748CEC6DB}"/>
  <bookViews>
    <workbookView xWindow="-96" yWindow="-96" windowWidth="23232" windowHeight="12552" tabRatio="895" activeTab="5" xr2:uid="{00000000-000D-0000-FFFF-FFFF00000000}"/>
  </bookViews>
  <sheets>
    <sheet name="Summary Budget" sheetId="19" r:id="rId1"/>
    <sheet name="Detailed Budget" sheetId="1" r:id="rId2"/>
    <sheet name="Guatemala " sheetId="21" r:id="rId3"/>
    <sheet name="Guyana" sheetId="23" r:id="rId4"/>
    <sheet name="Dominican Republic" sheetId="22" r:id="rId5"/>
    <sheet name="Jamaica" sheetId="24" r:id="rId6"/>
    <sheet name="Volunteer Travel" sheetId="20" r:id="rId7"/>
    <sheet name="Field Travel" sheetId="28" r:id="rId8"/>
    <sheet name="HQ Travel" sheetId="29" r:id="rId9"/>
    <sheet name="HQ Expenses" sheetId="15" r:id="rId10"/>
    <sheet name="FO Expenses" sheetId="26" r:id="rId11"/>
    <sheet name="Contractual" sheetId="27" r:id="rId12"/>
    <sheet name="Leverage" sheetId="18" r:id="rId13"/>
  </sheets>
  <externalReferences>
    <externalReference r:id="rId14"/>
    <externalReference r:id="rId15"/>
    <externalReference r:id="rId16"/>
    <externalReference r:id="rId17"/>
    <externalReference r:id="rId18"/>
    <externalReference r:id="rId19"/>
    <externalReference r:id="rId20"/>
  </externalReferences>
  <definedNames>
    <definedName name="__pd1">[1]Rates!$J$24</definedName>
    <definedName name="__pd6">[1]Rates!$J$30</definedName>
    <definedName name="__tix1">[1]Rates!$J$40</definedName>
    <definedName name="__tix2">[1]Rates!$J$41</definedName>
    <definedName name="__tix6">[1]Rates!$J$47</definedName>
    <definedName name="ANP" hidden="1">{"sum",#N/A,FALSE,"Summary";"admin1",#N/A,FALSE,"Admin";"admin2",#N/A,FALSE,"Admin";"admin3",#N/A,FALSE,"Admin";"nat",#N/A,FALSE,"Natugo";"irri1",#N/A,FALSE,"Irrigation";"irri2",#N/A,FALSE,"Irrigation";"oil1",#N/A,FALSE,"Press and Sesame";"oil2",#N/A,FALSE,"Press and Sesame";"stove1",#N/A,FALSE,"Stove";"stove2",#N/A,FALSE,"Stove"}</definedName>
    <definedName name="ANPDH">'[2]Salary &amp; PR Tax'!#REF!</definedName>
    <definedName name="Board">'[3]Schedule E - Other'!$F$102</definedName>
    <definedName name="CEE_Consult">#REF!</definedName>
    <definedName name="CENIDH">#REF!</definedName>
    <definedName name="Consultants">#REF!</definedName>
    <definedName name="CPDH" hidden="1">{"sum",#N/A,FALSE,"Summary";"admin1",#N/A,FALSE,"Admin";"admin2",#N/A,FALSE,"Admin";"admin3",#N/A,FALSE,"Admin";"nat",#N/A,FALSE,"Natugo";"irri1",#N/A,FALSE,"Irrigation";"irri2",#N/A,FALSE,"Irrigation";"oil1",#N/A,FALSE,"Press and Sesame";"oil2",#N/A,FALSE,"Press and Sesame";"stove1",#N/A,FALSE,"Stove";"stove2",#N/A,FALSE,"Stove"}</definedName>
    <definedName name="Equipment">'[4]Schedule D - Equipment'!$E$26</definedName>
    <definedName name="fg">#REF!</definedName>
    <definedName name="FOPEA" hidden="1">{"sum",#N/A,FALSE,"Summary";"admin1",#N/A,FALSE,"Admin";"admin2",#N/A,FALSE,"Admin";"admin3",#N/A,FALSE,"Admin";"nat",#N/A,FALSE,"Natugo";"irri1",#N/A,FALSE,"Irrigation";"irri2",#N/A,FALSE,"Irrigation";"oil1",#N/A,FALSE,"Press and Sesame";"oil2",#N/A,FALSE,"Press and Sesame";"stove1",#N/A,FALSE,"Stove";"stove2",#N/A,FALSE,"Stove"}</definedName>
    <definedName name="Fundamedios" hidden="1">{"sum",#N/A,FALSE,"Summary";"admin1",#N/A,FALSE,"Admin";"admin2",#N/A,FALSE,"Admin";"admin3",#N/A,FALSE,"Admin";"nat",#N/A,FALSE,"Natugo";"irri1",#N/A,FALSE,"Irrigation";"irri2",#N/A,FALSE,"Irrigation";"oil1",#N/A,FALSE,"Press and Sesame";"oil2",#N/A,FALSE,"Press and Sesame";"stove1",#N/A,FALSE,"Stove";"stove2",#N/A,FALSE,"Stove"}</definedName>
    <definedName name="Housing">'[2]Salary &amp; PR Tax'!#REF!</definedName>
    <definedName name="inf">[5]Assumptions!$C$75</definedName>
    <definedName name="Inflation">'[6]Detail-1'!$J$2</definedName>
    <definedName name="Interns">#REF!</definedName>
    <definedName name="ipys" hidden="1">{"sum",#N/A,FALSE,"Summary";"admin1",#N/A,FALSE,"Admin";"admin2",#N/A,FALSE,"Admin";"admin3",#N/A,FALSE,"Admin";"nat",#N/A,FALSE,"Natugo";"irri1",#N/A,FALSE,"Irrigation";"irri2",#N/A,FALSE,"Irrigation";"oil1",#N/A,FALSE,"Press and Sesame";"oil2",#N/A,FALSE,"Press and Sesame";"stove1",#N/A,FALSE,"Stove";"stove2",#N/A,FALSE,"Stove"}</definedName>
    <definedName name="jenn">#REF!</definedName>
    <definedName name="Local_Hire">#REF!</definedName>
    <definedName name="Local_Hires">#REF!</definedName>
    <definedName name="Merit">'[6]Detail-1'!$J$1</definedName>
    <definedName name="padf01">'[7]Level of Effort'!$C$14</definedName>
    <definedName name="padf02">'[7]Level of Effort'!$C$15</definedName>
    <definedName name="padf03">'[7]Level of Effort'!$C$16</definedName>
    <definedName name="padf04">'[7]Level of Effort'!$C$17</definedName>
    <definedName name="padf05">[7]Rates!$J$23</definedName>
    <definedName name="post.difo3" hidden="1">{"sum",#N/A,FALSE,"Summary";"admin1",#N/A,FALSE,"Admin";"admin2",#N/A,FALSE,"Admin";"admin3",#N/A,FALSE,"Admin";"nat",#N/A,FALSE,"Natugo";"irri1",#N/A,FALSE,"Irrigation";"irri2",#N/A,FALSE,"Irrigation";"oil1",#N/A,FALSE,"Press and Sesame";"oil2",#N/A,FALSE,"Press and Sesame";"stove1",#N/A,FALSE,"Stove";"stove2",#N/A,FALSE,"Stove"}</definedName>
    <definedName name="post05" hidden="1">{"sum",#N/A,FALSE,"Summary";"admin1",#N/A,FALSE,"Admin";"admin2",#N/A,FALSE,"Admin";"admin3",#N/A,FALSE,"Admin";"nat",#N/A,FALSE,"Natugo";"irri1",#N/A,FALSE,"Irrigation";"irri2",#N/A,FALSE,"Irrigation";"oil1",#N/A,FALSE,"Press and Sesame";"oil2",#N/A,FALSE,"Press and Sesame";"stove1",#N/A,FALSE,"Stove";"stove2",#N/A,FALSE,"Stove"}</definedName>
    <definedName name="postdif01">[7]Rates!$J$34</definedName>
    <definedName name="postdif02">[7]Rates!$J$65</definedName>
    <definedName name="_xlnm.Print_Area" localSheetId="1">'Detailed Budget'!$D$1:$AL$127</definedName>
    <definedName name="_xlnm.Print_Area" localSheetId="9">'HQ Expenses'!$A$1:$E$32</definedName>
    <definedName name="_xlnm.Print_Area" localSheetId="0">'Summary Budget'!$A$1:$S$24</definedName>
    <definedName name="Print_Titles_MI">#REF!</definedName>
    <definedName name="sdf">#REF!</definedName>
    <definedName name="Travel_Regional">#REF!</definedName>
    <definedName name="Travel_WDC">#REF!</definedName>
    <definedName name="warm.mali" hidden="1">{"sum",#N/A,FALSE,"Summary";"admin1",#N/A,FALSE,"Admin";"admin2",#N/A,FALSE,"Admin";"admin3",#N/A,FALSE,"Admin";"nat",#N/A,FALSE,"Natugo";"irri1",#N/A,FALSE,"Irrigation";"irri2",#N/A,FALSE,"Irrigation";"oil1",#N/A,FALSE,"Press and Sesame";"oil2",#N/A,FALSE,"Press and Sesame";"stove1",#N/A,FALSE,"Stove";"stove2",#N/A,FALSE,"Stove"}</definedName>
    <definedName name="wrn.mali." hidden="1">{"sum",#N/A,FALSE,"Summary";"admin1",#N/A,FALSE,"Admin";"admin2",#N/A,FALSE,"Admin";"admin3",#N/A,FALSE,"Admin";"nat",#N/A,FALSE,"Natugo";"irri1",#N/A,FALSE,"Irrigation";"irri2",#N/A,FALSE,"Irrigation";"oil1",#N/A,FALSE,"Press and Sesame";"oil2",#N/A,FALSE,"Press and Sesame";"stove1",#N/A,FALSE,"Stove";"stove2",#N/A,FALSE,"Stove"}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N75" i="1" l="1"/>
  <c r="AN74" i="1"/>
  <c r="AM74" i="1"/>
  <c r="AL126" i="1"/>
  <c r="I11" i="24"/>
  <c r="P9" i="29"/>
  <c r="P4" i="29"/>
  <c r="O8" i="29"/>
  <c r="O4" i="29"/>
  <c r="P5" i="29"/>
  <c r="P6" i="29"/>
  <c r="P7" i="29"/>
  <c r="P8" i="29"/>
  <c r="P3" i="29"/>
  <c r="I11" i="23"/>
  <c r="W43" i="20"/>
  <c r="Z40" i="20"/>
  <c r="Z42" i="20"/>
  <c r="Z41" i="20"/>
  <c r="Z43" i="20"/>
  <c r="M42" i="20"/>
  <c r="M43" i="20"/>
  <c r="P43" i="20"/>
  <c r="P42" i="20"/>
  <c r="P40" i="20"/>
  <c r="P44" i="20"/>
  <c r="P41" i="20"/>
  <c r="R43" i="20"/>
  <c r="U43" i="20" s="1"/>
  <c r="R42" i="20"/>
  <c r="U42" i="20" s="1"/>
  <c r="R41" i="20"/>
  <c r="U41" i="20" s="1"/>
  <c r="M41" i="20"/>
  <c r="Z44" i="20"/>
  <c r="R40" i="20"/>
  <c r="U40" i="20" s="1"/>
  <c r="U44" i="20" s="1"/>
  <c r="M40" i="20"/>
  <c r="B34" i="20"/>
  <c r="G33" i="20"/>
  <c r="F33" i="20"/>
  <c r="D33" i="20"/>
  <c r="C33" i="20"/>
  <c r="B33" i="20"/>
  <c r="K8" i="20"/>
  <c r="K7" i="20"/>
  <c r="K6" i="20"/>
  <c r="K5" i="20"/>
  <c r="C13" i="20"/>
  <c r="C14" i="20"/>
  <c r="F38" i="21"/>
  <c r="T24" i="28"/>
  <c r="T28" i="28"/>
  <c r="T27" i="28"/>
  <c r="T26" i="28"/>
  <c r="T25" i="28"/>
  <c r="T19" i="28"/>
  <c r="T18" i="28"/>
  <c r="T17" i="28"/>
  <c r="T16" i="28"/>
  <c r="T15" i="28"/>
  <c r="W28" i="28"/>
  <c r="X28" i="28" s="1"/>
  <c r="W27" i="28"/>
  <c r="X27" i="28" s="1"/>
  <c r="W26" i="28"/>
  <c r="X26" i="28" s="1"/>
  <c r="W25" i="28"/>
  <c r="X25" i="28" s="1"/>
  <c r="W24" i="28"/>
  <c r="X24" i="28" s="1"/>
  <c r="L10" i="28" s="1"/>
  <c r="W19" i="28"/>
  <c r="X19" i="28" s="1"/>
  <c r="W18" i="28"/>
  <c r="X18" i="28" s="1"/>
  <c r="W17" i="28"/>
  <c r="X17" i="28" s="1"/>
  <c r="W16" i="28"/>
  <c r="X16" i="28" s="1"/>
  <c r="W15" i="28"/>
  <c r="X15" i="28" s="1"/>
  <c r="L9" i="28" s="1"/>
  <c r="N28" i="28"/>
  <c r="N27" i="28"/>
  <c r="N26" i="28"/>
  <c r="N25" i="28"/>
  <c r="N24" i="28"/>
  <c r="K28" i="28"/>
  <c r="K27" i="28"/>
  <c r="K26" i="28"/>
  <c r="K25" i="28"/>
  <c r="K24" i="28"/>
  <c r="N16" i="28"/>
  <c r="N17" i="28"/>
  <c r="N18" i="28"/>
  <c r="N19" i="28"/>
  <c r="N15" i="28"/>
  <c r="K16" i="28"/>
  <c r="K17" i="28"/>
  <c r="K18" i="28"/>
  <c r="K19" i="28"/>
  <c r="K15" i="28"/>
  <c r="K10" i="29"/>
  <c r="J10" i="29"/>
  <c r="I10" i="29"/>
  <c r="H9" i="29"/>
  <c r="H10" i="29" s="1"/>
  <c r="E14" i="29"/>
  <c r="E16" i="29" s="1"/>
  <c r="E17" i="29" s="1"/>
  <c r="D14" i="29"/>
  <c r="D16" i="29" s="1"/>
  <c r="D17" i="29" s="1"/>
  <c r="C14" i="29"/>
  <c r="C16" i="29" s="1"/>
  <c r="C17" i="29" s="1"/>
  <c r="B14" i="29"/>
  <c r="B16" i="29" s="1"/>
  <c r="B17" i="29" s="1"/>
  <c r="E7" i="29"/>
  <c r="D7" i="29"/>
  <c r="C7" i="29"/>
  <c r="L5" i="20"/>
  <c r="C5" i="28" s="1"/>
  <c r="M5" i="20"/>
  <c r="D5" i="28" s="1"/>
  <c r="N5" i="20"/>
  <c r="E5" i="28" s="1"/>
  <c r="O5" i="20"/>
  <c r="F5" i="28" s="1"/>
  <c r="O8" i="20"/>
  <c r="F8" i="28" s="1"/>
  <c r="N8" i="20"/>
  <c r="E8" i="28" s="1"/>
  <c r="M8" i="20"/>
  <c r="D8" i="28" s="1"/>
  <c r="L8" i="20"/>
  <c r="C8" i="28" s="1"/>
  <c r="B8" i="28"/>
  <c r="O7" i="20"/>
  <c r="F7" i="28" s="1"/>
  <c r="N7" i="20"/>
  <c r="E7" i="28" s="1"/>
  <c r="M7" i="20"/>
  <c r="D7" i="28" s="1"/>
  <c r="L7" i="20"/>
  <c r="C7" i="28" s="1"/>
  <c r="B7" i="28"/>
  <c r="O6" i="20"/>
  <c r="F6" i="28" s="1"/>
  <c r="N6" i="20"/>
  <c r="E6" i="28" s="1"/>
  <c r="M6" i="20"/>
  <c r="D6" i="28" s="1"/>
  <c r="L6" i="20"/>
  <c r="C6" i="28" s="1"/>
  <c r="B6" i="28"/>
  <c r="I8" i="21"/>
  <c r="B5" i="28" l="1"/>
  <c r="G38" i="21"/>
  <c r="O15" i="28"/>
  <c r="O19" i="28"/>
  <c r="O18" i="28"/>
  <c r="O17" i="28"/>
  <c r="O16" i="28"/>
  <c r="O24" i="28"/>
  <c r="L8" i="28" s="1"/>
  <c r="O25" i="28"/>
  <c r="O26" i="28"/>
  <c r="O27" i="28"/>
  <c r="O28" i="28"/>
  <c r="C34" i="20"/>
  <c r="D34" i="20" s="1"/>
  <c r="D35" i="20" s="1"/>
  <c r="G38" i="22"/>
  <c r="F84" i="1"/>
  <c r="F34" i="21"/>
  <c r="I5" i="26"/>
  <c r="F50" i="24"/>
  <c r="B32" i="15"/>
  <c r="B26" i="15"/>
  <c r="F70" i="1"/>
  <c r="F68" i="1"/>
  <c r="F69" i="1"/>
  <c r="F10" i="1"/>
  <c r="E18" i="23"/>
  <c r="E18" i="24"/>
  <c r="E19" i="22"/>
  <c r="G39" i="21" l="1"/>
  <c r="I38" i="21"/>
  <c r="L7" i="28"/>
  <c r="J122" i="1"/>
  <c r="P122" i="1"/>
  <c r="V122" i="1"/>
  <c r="AB122" i="1"/>
  <c r="AH122" i="1"/>
  <c r="J58" i="1"/>
  <c r="P58" i="1"/>
  <c r="V58" i="1"/>
  <c r="AB58" i="1"/>
  <c r="AH58" i="1"/>
  <c r="V49" i="1"/>
  <c r="P49" i="1"/>
  <c r="J49" i="1"/>
  <c r="J41" i="1"/>
  <c r="P41" i="1"/>
  <c r="V41" i="1"/>
  <c r="AH41" i="1"/>
  <c r="AH49" i="1"/>
  <c r="AB49" i="1"/>
  <c r="AB41" i="1"/>
  <c r="F9" i="1"/>
  <c r="M9" i="1" l="1"/>
  <c r="S9" i="1" s="1"/>
  <c r="Y9" i="1" s="1"/>
  <c r="AE9" i="1" s="1"/>
  <c r="F13" i="1"/>
  <c r="M13" i="1"/>
  <c r="S13" i="1" s="1"/>
  <c r="Y13" i="1" s="1"/>
  <c r="AE13" i="1" s="1"/>
  <c r="F11" i="1"/>
  <c r="M10" i="1"/>
  <c r="S10" i="1" s="1"/>
  <c r="Y10" i="1" s="1"/>
  <c r="AE10" i="1" s="1"/>
  <c r="AH77" i="1"/>
  <c r="AB77" i="1"/>
  <c r="V77" i="1"/>
  <c r="P77" i="1"/>
  <c r="J77" i="1"/>
  <c r="AD76" i="1"/>
  <c r="AD77" i="1" s="1"/>
  <c r="X76" i="1"/>
  <c r="X77" i="1" s="1"/>
  <c r="R76" i="1"/>
  <c r="R77" i="1" s="1"/>
  <c r="L76" i="1"/>
  <c r="L77" i="1" s="1"/>
  <c r="AK76" i="1"/>
  <c r="AK75" i="1"/>
  <c r="AK74" i="1"/>
  <c r="F67" i="1"/>
  <c r="M12" i="1"/>
  <c r="S12" i="1" s="1"/>
  <c r="Y12" i="1" s="1"/>
  <c r="AE12" i="1" s="1"/>
  <c r="M11" i="1"/>
  <c r="S11" i="1" s="1"/>
  <c r="Y11" i="1" s="1"/>
  <c r="AE11" i="1" s="1"/>
  <c r="G13" i="20"/>
  <c r="I43" i="22"/>
  <c r="J43" i="22" s="1"/>
  <c r="D13" i="20"/>
  <c r="E13" i="20"/>
  <c r="F13" i="20"/>
  <c r="H13" i="20"/>
  <c r="E22" i="22"/>
  <c r="E22" i="21"/>
  <c r="E21" i="21"/>
  <c r="E20" i="21"/>
  <c r="E19" i="21"/>
  <c r="C23" i="19"/>
  <c r="D23" i="19"/>
  <c r="E23" i="19"/>
  <c r="F23" i="19"/>
  <c r="G23" i="19"/>
  <c r="H23" i="19"/>
  <c r="I23" i="19"/>
  <c r="J23" i="19"/>
  <c r="K23" i="19"/>
  <c r="L23" i="19"/>
  <c r="M23" i="19"/>
  <c r="N23" i="19"/>
  <c r="O23" i="19"/>
  <c r="P23" i="19"/>
  <c r="R23" i="19"/>
  <c r="S23" i="19"/>
  <c r="B23" i="19"/>
  <c r="Z11" i="24"/>
  <c r="U11" i="24"/>
  <c r="P11" i="24"/>
  <c r="K11" i="24"/>
  <c r="Z11" i="23"/>
  <c r="U11" i="23"/>
  <c r="P11" i="23"/>
  <c r="K11" i="23"/>
  <c r="Z12" i="22"/>
  <c r="Z11" i="22"/>
  <c r="U12" i="22"/>
  <c r="U11" i="22"/>
  <c r="P12" i="22"/>
  <c r="P11" i="22"/>
  <c r="K12" i="22"/>
  <c r="K11" i="22"/>
  <c r="L12" i="22"/>
  <c r="I12" i="22"/>
  <c r="Z12" i="21"/>
  <c r="Z11" i="21"/>
  <c r="U12" i="21"/>
  <c r="U11" i="21"/>
  <c r="P12" i="21"/>
  <c r="P11" i="21"/>
  <c r="K12" i="21"/>
  <c r="K11" i="21"/>
  <c r="L12" i="21"/>
  <c r="I12" i="21"/>
  <c r="H12" i="20"/>
  <c r="E92" i="1"/>
  <c r="AK92" i="1"/>
  <c r="D29" i="26"/>
  <c r="D22" i="26"/>
  <c r="D15" i="26"/>
  <c r="AK77" i="1" l="1"/>
  <c r="E76" i="1"/>
  <c r="J12" i="22"/>
  <c r="Q12" i="22"/>
  <c r="N12" i="22"/>
  <c r="J12" i="21"/>
  <c r="Q12" i="21"/>
  <c r="N12" i="21"/>
  <c r="O12" i="22" l="1"/>
  <c r="V12" i="22"/>
  <c r="S12" i="22"/>
  <c r="O12" i="21"/>
  <c r="V12" i="21"/>
  <c r="S12" i="21"/>
  <c r="AD70" i="1"/>
  <c r="AD69" i="1"/>
  <c r="AD68" i="1"/>
  <c r="X69" i="1"/>
  <c r="X68" i="1"/>
  <c r="X70" i="1"/>
  <c r="R70" i="1"/>
  <c r="R69" i="1"/>
  <c r="R68" i="1"/>
  <c r="L70" i="1"/>
  <c r="L69" i="1"/>
  <c r="L68" i="1"/>
  <c r="E68" i="1"/>
  <c r="I68" i="1" s="1"/>
  <c r="W37" i="24"/>
  <c r="W37" i="23"/>
  <c r="W38" i="23" s="1"/>
  <c r="R37" i="24"/>
  <c r="R37" i="23"/>
  <c r="R38" i="23" s="1"/>
  <c r="M37" i="24"/>
  <c r="M37" i="23"/>
  <c r="M38" i="23" s="1"/>
  <c r="M38" i="22"/>
  <c r="M39" i="22" s="1"/>
  <c r="G37" i="24"/>
  <c r="G37" i="23"/>
  <c r="G38" i="23" s="1"/>
  <c r="F47" i="22"/>
  <c r="F48" i="22"/>
  <c r="L48" i="22" s="1"/>
  <c r="Q48" i="22" s="1"/>
  <c r="F49" i="22"/>
  <c r="I49" i="22" s="1"/>
  <c r="J49" i="22" s="1"/>
  <c r="I50" i="24"/>
  <c r="J50" i="24" s="1"/>
  <c r="F51" i="22"/>
  <c r="F50" i="23"/>
  <c r="T13" i="27"/>
  <c r="U13" i="27" s="1"/>
  <c r="P13" i="27"/>
  <c r="Q13" i="27" s="1"/>
  <c r="L13" i="27"/>
  <c r="M13" i="27" s="1"/>
  <c r="H13" i="27"/>
  <c r="I13" i="27" s="1"/>
  <c r="D13" i="27"/>
  <c r="F10" i="27"/>
  <c r="J10" i="27" s="1"/>
  <c r="D10" i="27"/>
  <c r="F9" i="27"/>
  <c r="J9" i="27" s="1"/>
  <c r="D9" i="27"/>
  <c r="T8" i="27"/>
  <c r="U8" i="27" s="1"/>
  <c r="P8" i="27"/>
  <c r="L8" i="27"/>
  <c r="H8" i="27"/>
  <c r="I8" i="27" s="1"/>
  <c r="D8" i="27"/>
  <c r="I93" i="1"/>
  <c r="K93" i="1" s="1"/>
  <c r="M93" i="1"/>
  <c r="O93" i="1" s="1"/>
  <c r="Q93" i="1" s="1"/>
  <c r="S93" i="1"/>
  <c r="U93" i="1" s="1"/>
  <c r="W93" i="1" s="1"/>
  <c r="Y93" i="1"/>
  <c r="AA93" i="1" s="1"/>
  <c r="AC93" i="1" s="1"/>
  <c r="AE93" i="1"/>
  <c r="AG93" i="1" s="1"/>
  <c r="AI93" i="1" s="1"/>
  <c r="AK93" i="1"/>
  <c r="E91" i="1"/>
  <c r="AK110" i="1"/>
  <c r="M110" i="1"/>
  <c r="S110" i="1" s="1"/>
  <c r="I110" i="1"/>
  <c r="K110" i="1" s="1"/>
  <c r="D13" i="15"/>
  <c r="AK120" i="1"/>
  <c r="L29" i="26"/>
  <c r="L22" i="26"/>
  <c r="F51" i="23" s="1"/>
  <c r="I51" i="23" s="1"/>
  <c r="L15" i="26"/>
  <c r="F52" i="21" s="1"/>
  <c r="L8" i="26"/>
  <c r="F52" i="22" s="1"/>
  <c r="L52" i="22" s="1"/>
  <c r="F49" i="21"/>
  <c r="N22" i="26"/>
  <c r="N15" i="26"/>
  <c r="N8" i="26"/>
  <c r="AJ126" i="1"/>
  <c r="Q23" i="19" s="1"/>
  <c r="Y84" i="1"/>
  <c r="S43" i="21"/>
  <c r="E58" i="1"/>
  <c r="F40" i="1"/>
  <c r="X40" i="1"/>
  <c r="R40" i="1"/>
  <c r="L40" i="1"/>
  <c r="AD40" i="1"/>
  <c r="E40" i="1"/>
  <c r="F48" i="1" s="1"/>
  <c r="I48" i="1" s="1"/>
  <c r="AK48" i="1"/>
  <c r="AK40" i="1"/>
  <c r="F48" i="24"/>
  <c r="I48" i="24" s="1"/>
  <c r="J48" i="24" s="1"/>
  <c r="F47" i="24"/>
  <c r="I47" i="24" s="1"/>
  <c r="J47" i="24" s="1"/>
  <c r="F46" i="24"/>
  <c r="L46" i="24" s="1"/>
  <c r="F39" i="24"/>
  <c r="L39" i="24" s="1"/>
  <c r="F34" i="24"/>
  <c r="Z32" i="24"/>
  <c r="U32" i="24"/>
  <c r="P32" i="24"/>
  <c r="K32" i="24"/>
  <c r="E32" i="24"/>
  <c r="F28" i="24"/>
  <c r="L28" i="24" s="1"/>
  <c r="F25" i="24"/>
  <c r="F39" i="1" s="1"/>
  <c r="Z25" i="24"/>
  <c r="U25" i="24"/>
  <c r="P25" i="24"/>
  <c r="K25" i="24"/>
  <c r="E25" i="24"/>
  <c r="F21" i="24"/>
  <c r="L21" i="24" s="1"/>
  <c r="F20" i="24"/>
  <c r="L20" i="24" s="1"/>
  <c r="F19" i="24"/>
  <c r="L19" i="24" s="1"/>
  <c r="Q19" i="24" s="1"/>
  <c r="S19" i="24" s="1"/>
  <c r="T19" i="24" s="1"/>
  <c r="F18" i="24"/>
  <c r="E20" i="24"/>
  <c r="E19" i="24"/>
  <c r="F48" i="23"/>
  <c r="L48" i="23" s="1"/>
  <c r="Q48" i="23" s="1"/>
  <c r="F47" i="23"/>
  <c r="L47" i="23" s="1"/>
  <c r="Q47" i="23" s="1"/>
  <c r="F46" i="23"/>
  <c r="L46" i="23" s="1"/>
  <c r="F39" i="23"/>
  <c r="L39" i="23" s="1"/>
  <c r="Q39" i="23" s="1"/>
  <c r="F34" i="23"/>
  <c r="L34" i="23" s="1"/>
  <c r="Z32" i="23"/>
  <c r="U32" i="23"/>
  <c r="P32" i="23"/>
  <c r="K32" i="23"/>
  <c r="E32" i="23"/>
  <c r="Z25" i="23"/>
  <c r="U25" i="23"/>
  <c r="P25" i="23"/>
  <c r="K25" i="23"/>
  <c r="F28" i="23"/>
  <c r="L28" i="23" s="1"/>
  <c r="F25" i="23"/>
  <c r="F38" i="1" s="1"/>
  <c r="E25" i="23"/>
  <c r="F21" i="23"/>
  <c r="L21" i="23" s="1"/>
  <c r="F20" i="23"/>
  <c r="L20" i="23" s="1"/>
  <c r="Q20" i="23" s="1"/>
  <c r="F19" i="23"/>
  <c r="F18" i="23"/>
  <c r="L18" i="23" s="1"/>
  <c r="N18" i="23" s="1"/>
  <c r="O18" i="23" s="1"/>
  <c r="E21" i="23"/>
  <c r="E20" i="23"/>
  <c r="E19" i="23"/>
  <c r="L47" i="24"/>
  <c r="Q47" i="24" s="1"/>
  <c r="V47" i="24" s="1"/>
  <c r="AC42" i="24"/>
  <c r="AC43" i="24" s="1"/>
  <c r="X42" i="24"/>
  <c r="X43" i="24" s="1"/>
  <c r="S42" i="24"/>
  <c r="S43" i="24" s="1"/>
  <c r="N42" i="24"/>
  <c r="O42" i="24" s="1"/>
  <c r="O43" i="24" s="1"/>
  <c r="I42" i="24"/>
  <c r="I43" i="24" s="1"/>
  <c r="M34" i="24"/>
  <c r="R34" i="24" s="1"/>
  <c r="W34" i="24" s="1"/>
  <c r="AB34" i="24" s="1"/>
  <c r="M33" i="24"/>
  <c r="R33" i="24" s="1"/>
  <c r="W33" i="24" s="1"/>
  <c r="AB33" i="24" s="1"/>
  <c r="M32" i="24"/>
  <c r="R32" i="24" s="1"/>
  <c r="W32" i="24" s="1"/>
  <c r="AB32" i="24" s="1"/>
  <c r="M28" i="24"/>
  <c r="R28" i="24" s="1"/>
  <c r="W28" i="24" s="1"/>
  <c r="AB28" i="24" s="1"/>
  <c r="M27" i="24"/>
  <c r="R27" i="24" s="1"/>
  <c r="W27" i="24" s="1"/>
  <c r="AB27" i="24" s="1"/>
  <c r="M26" i="24"/>
  <c r="R26" i="24" s="1"/>
  <c r="W26" i="24" s="1"/>
  <c r="AB26" i="24" s="1"/>
  <c r="M25" i="24"/>
  <c r="R25" i="24" s="1"/>
  <c r="W25" i="24" s="1"/>
  <c r="AB25" i="24" s="1"/>
  <c r="L18" i="24"/>
  <c r="L12" i="24"/>
  <c r="Q12" i="24" s="1"/>
  <c r="S12" i="24" s="1"/>
  <c r="T12" i="24" s="1"/>
  <c r="I12" i="24"/>
  <c r="L11" i="24"/>
  <c r="J11" i="24"/>
  <c r="L8" i="24"/>
  <c r="Q8" i="24" s="1"/>
  <c r="I8" i="24"/>
  <c r="J8" i="24" s="1"/>
  <c r="AC42" i="23"/>
  <c r="AD42" i="23" s="1"/>
  <c r="AD43" i="23" s="1"/>
  <c r="X42" i="23"/>
  <c r="X43" i="23" s="1"/>
  <c r="S42" i="23"/>
  <c r="S43" i="23" s="1"/>
  <c r="N42" i="23"/>
  <c r="N43" i="23" s="1"/>
  <c r="I42" i="23"/>
  <c r="M34" i="23"/>
  <c r="R34" i="23" s="1"/>
  <c r="W34" i="23" s="1"/>
  <c r="AB34" i="23" s="1"/>
  <c r="M33" i="23"/>
  <c r="R33" i="23" s="1"/>
  <c r="W33" i="23" s="1"/>
  <c r="AB33" i="23" s="1"/>
  <c r="M32" i="23"/>
  <c r="R32" i="23" s="1"/>
  <c r="W32" i="23" s="1"/>
  <c r="AB32" i="23" s="1"/>
  <c r="M28" i="23"/>
  <c r="R28" i="23" s="1"/>
  <c r="W28" i="23" s="1"/>
  <c r="AB28" i="23" s="1"/>
  <c r="M27" i="23"/>
  <c r="R27" i="23" s="1"/>
  <c r="W27" i="23" s="1"/>
  <c r="AB27" i="23" s="1"/>
  <c r="M26" i="23"/>
  <c r="R26" i="23" s="1"/>
  <c r="W26" i="23" s="1"/>
  <c r="AB26" i="23" s="1"/>
  <c r="M25" i="23"/>
  <c r="R25" i="23" s="1"/>
  <c r="W25" i="23" s="1"/>
  <c r="AB25" i="23" s="1"/>
  <c r="L12" i="23"/>
  <c r="Q12" i="23" s="1"/>
  <c r="I12" i="23"/>
  <c r="J12" i="23" s="1"/>
  <c r="L11" i="23"/>
  <c r="N11" i="23" s="1"/>
  <c r="O11" i="23" s="1"/>
  <c r="L8" i="23"/>
  <c r="N8" i="23" s="1"/>
  <c r="O8" i="23" s="1"/>
  <c r="I8" i="23"/>
  <c r="Z33" i="22"/>
  <c r="Z26" i="22"/>
  <c r="U33" i="22"/>
  <c r="U26" i="22"/>
  <c r="P33" i="22"/>
  <c r="P26" i="22"/>
  <c r="K33" i="22"/>
  <c r="K26" i="22"/>
  <c r="F40" i="22"/>
  <c r="L40" i="22" s="1"/>
  <c r="F35" i="22"/>
  <c r="F29" i="22"/>
  <c r="L29" i="22" s="1"/>
  <c r="F26" i="22"/>
  <c r="L26" i="22" s="1"/>
  <c r="E33" i="22"/>
  <c r="E26" i="22"/>
  <c r="G40" i="22" s="1"/>
  <c r="F22" i="22"/>
  <c r="F21" i="22"/>
  <c r="L21" i="22" s="1"/>
  <c r="Q21" i="22" s="1"/>
  <c r="V21" i="22" s="1"/>
  <c r="F20" i="22"/>
  <c r="F19" i="22"/>
  <c r="E21" i="22"/>
  <c r="E20" i="22"/>
  <c r="L51" i="22"/>
  <c r="L47" i="22"/>
  <c r="AC43" i="22"/>
  <c r="AD43" i="22" s="1"/>
  <c r="AD44" i="22" s="1"/>
  <c r="X43" i="22"/>
  <c r="X44" i="22" s="1"/>
  <c r="S43" i="22"/>
  <c r="S44" i="22" s="1"/>
  <c r="N43" i="22"/>
  <c r="O43" i="22" s="1"/>
  <c r="O44" i="22" s="1"/>
  <c r="M35" i="22"/>
  <c r="R35" i="22" s="1"/>
  <c r="W35" i="22" s="1"/>
  <c r="AB35" i="22" s="1"/>
  <c r="M34" i="22"/>
  <c r="M33" i="22"/>
  <c r="R33" i="22" s="1"/>
  <c r="W33" i="22" s="1"/>
  <c r="AB33" i="22" s="1"/>
  <c r="M29" i="22"/>
  <c r="R29" i="22" s="1"/>
  <c r="W29" i="22" s="1"/>
  <c r="AB29" i="22" s="1"/>
  <c r="M28" i="22"/>
  <c r="R28" i="22" s="1"/>
  <c r="W28" i="22" s="1"/>
  <c r="AB28" i="22" s="1"/>
  <c r="M27" i="22"/>
  <c r="R27" i="22" s="1"/>
  <c r="W27" i="22" s="1"/>
  <c r="AB27" i="22" s="1"/>
  <c r="M26" i="22"/>
  <c r="R26" i="22" s="1"/>
  <c r="W26" i="22" s="1"/>
  <c r="AB26" i="22" s="1"/>
  <c r="L13" i="22"/>
  <c r="N13" i="22" s="1"/>
  <c r="O13" i="22" s="1"/>
  <c r="I13" i="22"/>
  <c r="J13" i="22" s="1"/>
  <c r="L11" i="22"/>
  <c r="I11" i="22"/>
  <c r="L8" i="22"/>
  <c r="I8" i="22"/>
  <c r="N28" i="26"/>
  <c r="N21" i="26"/>
  <c r="N14" i="26"/>
  <c r="N7" i="26"/>
  <c r="F21" i="21"/>
  <c r="F20" i="21"/>
  <c r="F19" i="21"/>
  <c r="I49" i="21"/>
  <c r="F51" i="21"/>
  <c r="F48" i="21"/>
  <c r="F47" i="21"/>
  <c r="D28" i="26"/>
  <c r="D27" i="26"/>
  <c r="D26" i="26"/>
  <c r="D30" i="26" s="1"/>
  <c r="D21" i="26"/>
  <c r="D20" i="26"/>
  <c r="D19" i="26"/>
  <c r="L30" i="26"/>
  <c r="N27" i="26"/>
  <c r="N26" i="26"/>
  <c r="D14" i="26"/>
  <c r="I18" i="26"/>
  <c r="L23" i="26"/>
  <c r="N23" i="26" s="1"/>
  <c r="D13" i="26"/>
  <c r="D12" i="26"/>
  <c r="N20" i="26"/>
  <c r="N19" i="26"/>
  <c r="I14" i="26"/>
  <c r="L16" i="26"/>
  <c r="N16" i="26" s="1"/>
  <c r="N13" i="26"/>
  <c r="N12" i="26"/>
  <c r="D8" i="26"/>
  <c r="I9" i="26"/>
  <c r="D7" i="26"/>
  <c r="L9" i="26"/>
  <c r="D6" i="26"/>
  <c r="D5" i="26"/>
  <c r="N6" i="26"/>
  <c r="N5" i="26"/>
  <c r="E70" i="1"/>
  <c r="E69" i="1"/>
  <c r="Q11" i="24" l="1"/>
  <c r="V11" i="24" s="1"/>
  <c r="X11" i="24" s="1"/>
  <c r="Y11" i="24" s="1"/>
  <c r="N11" i="24"/>
  <c r="O11" i="24" s="1"/>
  <c r="L37" i="1"/>
  <c r="M40" i="22"/>
  <c r="R37" i="1"/>
  <c r="R40" i="22"/>
  <c r="U30" i="22"/>
  <c r="W40" i="22"/>
  <c r="AD37" i="1"/>
  <c r="AB40" i="22"/>
  <c r="E26" i="23"/>
  <c r="G39" i="23"/>
  <c r="L38" i="1"/>
  <c r="M39" i="23"/>
  <c r="P27" i="23"/>
  <c r="R39" i="23"/>
  <c r="T39" i="23" s="1"/>
  <c r="U26" i="23"/>
  <c r="U28" i="23" s="1"/>
  <c r="W39" i="23"/>
  <c r="Z26" i="23"/>
  <c r="Z28" i="23" s="1"/>
  <c r="AB39" i="23"/>
  <c r="E39" i="1"/>
  <c r="G39" i="24"/>
  <c r="K29" i="24"/>
  <c r="M39" i="24"/>
  <c r="R39" i="1"/>
  <c r="R39" i="24"/>
  <c r="X39" i="1"/>
  <c r="W39" i="24"/>
  <c r="Z29" i="24"/>
  <c r="AB39" i="24"/>
  <c r="E35" i="22"/>
  <c r="J35" i="22" s="1"/>
  <c r="P34" i="22"/>
  <c r="U34" i="22"/>
  <c r="K33" i="23"/>
  <c r="P34" i="23"/>
  <c r="U33" i="23"/>
  <c r="P33" i="24"/>
  <c r="U34" i="24"/>
  <c r="E34" i="24"/>
  <c r="J34" i="24" s="1"/>
  <c r="K33" i="24"/>
  <c r="E34" i="23"/>
  <c r="J34" i="23" s="1"/>
  <c r="Z34" i="23"/>
  <c r="N30" i="26"/>
  <c r="F49" i="24"/>
  <c r="E13" i="27"/>
  <c r="F104" i="1"/>
  <c r="D23" i="26"/>
  <c r="D16" i="26"/>
  <c r="AK122" i="1"/>
  <c r="D9" i="26"/>
  <c r="N9" i="26"/>
  <c r="N10" i="26" s="1"/>
  <c r="F50" i="22"/>
  <c r="N29" i="26"/>
  <c r="F51" i="24"/>
  <c r="L51" i="24" s="1"/>
  <c r="Q51" i="24" s="1"/>
  <c r="T12" i="22"/>
  <c r="AA12" i="22"/>
  <c r="AC12" i="22" s="1"/>
  <c r="AD12" i="22" s="1"/>
  <c r="X12" i="22"/>
  <c r="T12" i="21"/>
  <c r="AA12" i="21"/>
  <c r="AC12" i="21" s="1"/>
  <c r="AD12" i="21" s="1"/>
  <c r="X12" i="21"/>
  <c r="P27" i="24"/>
  <c r="E28" i="24"/>
  <c r="I28" i="24" s="1"/>
  <c r="E34" i="22"/>
  <c r="P35" i="22"/>
  <c r="L51" i="23"/>
  <c r="Q51" i="23" s="1"/>
  <c r="S51" i="23" s="1"/>
  <c r="T51" i="23" s="1"/>
  <c r="L49" i="22"/>
  <c r="Q49" i="22" s="1"/>
  <c r="V49" i="22" s="1"/>
  <c r="X49" i="22" s="1"/>
  <c r="Y49" i="22" s="1"/>
  <c r="V13" i="27"/>
  <c r="W13" i="27" s="1"/>
  <c r="V8" i="27"/>
  <c r="W8" i="27" s="1"/>
  <c r="L9" i="27"/>
  <c r="M9" i="27" s="1"/>
  <c r="N9" i="27"/>
  <c r="L10" i="27"/>
  <c r="M10" i="27" s="1"/>
  <c r="N10" i="27"/>
  <c r="D11" i="27"/>
  <c r="M8" i="27"/>
  <c r="E9" i="27"/>
  <c r="E10" i="27"/>
  <c r="H9" i="27"/>
  <c r="Q8" i="27"/>
  <c r="H10" i="27"/>
  <c r="I10" i="27" s="1"/>
  <c r="E8" i="27"/>
  <c r="AJ93" i="1"/>
  <c r="AL93" i="1" s="1"/>
  <c r="T42" i="24"/>
  <c r="T43" i="24" s="1"/>
  <c r="I18" i="24"/>
  <c r="U27" i="23"/>
  <c r="AC44" i="22"/>
  <c r="O110" i="1"/>
  <c r="Q110" i="1" s="1"/>
  <c r="Y110" i="1"/>
  <c r="U110" i="1"/>
  <c r="W110" i="1" s="1"/>
  <c r="I51" i="24"/>
  <c r="J51" i="24" s="1"/>
  <c r="S51" i="24"/>
  <c r="T51" i="24" s="1"/>
  <c r="V51" i="24"/>
  <c r="N51" i="24"/>
  <c r="O51" i="24" s="1"/>
  <c r="L25" i="24"/>
  <c r="N25" i="24" s="1"/>
  <c r="Y42" i="24"/>
  <c r="Y43" i="24" s="1"/>
  <c r="J51" i="23"/>
  <c r="Q52" i="22"/>
  <c r="N52" i="22"/>
  <c r="O52" i="22" s="1"/>
  <c r="I52" i="22"/>
  <c r="T43" i="22"/>
  <c r="T44" i="22" s="1"/>
  <c r="O40" i="22"/>
  <c r="Y43" i="22"/>
  <c r="Y44" i="22" s="1"/>
  <c r="N26" i="22"/>
  <c r="N49" i="22"/>
  <c r="O49" i="22" s="1"/>
  <c r="I20" i="24"/>
  <c r="J20" i="24" s="1"/>
  <c r="I19" i="22"/>
  <c r="I20" i="23"/>
  <c r="J20" i="23" s="1"/>
  <c r="I47" i="22"/>
  <c r="I47" i="23"/>
  <c r="J47" i="23" s="1"/>
  <c r="F49" i="23"/>
  <c r="I51" i="22"/>
  <c r="J51" i="22" s="1"/>
  <c r="I48" i="23"/>
  <c r="L48" i="24"/>
  <c r="N48" i="24" s="1"/>
  <c r="O48" i="24" s="1"/>
  <c r="Z27" i="22"/>
  <c r="Z29" i="22" s="1"/>
  <c r="R38" i="1"/>
  <c r="Z30" i="22"/>
  <c r="O39" i="24"/>
  <c r="L39" i="1"/>
  <c r="AD39" i="1"/>
  <c r="Z28" i="22"/>
  <c r="L25" i="23"/>
  <c r="N25" i="23" s="1"/>
  <c r="J39" i="24"/>
  <c r="E38" i="1"/>
  <c r="J40" i="22"/>
  <c r="E37" i="1"/>
  <c r="AD38" i="1"/>
  <c r="F37" i="1"/>
  <c r="X37" i="1"/>
  <c r="X38" i="1"/>
  <c r="M40" i="1"/>
  <c r="S40" i="1" s="1"/>
  <c r="Y40" i="1" s="1"/>
  <c r="AE40" i="1" s="1"/>
  <c r="AG40" i="1" s="1"/>
  <c r="AI40" i="1" s="1"/>
  <c r="I40" i="1"/>
  <c r="L50" i="24"/>
  <c r="N47" i="24"/>
  <c r="O47" i="24" s="1"/>
  <c r="N46" i="24"/>
  <c r="Q46" i="24"/>
  <c r="I46" i="24"/>
  <c r="W38" i="24"/>
  <c r="R38" i="24"/>
  <c r="N21" i="24"/>
  <c r="O21" i="24" s="1"/>
  <c r="Q21" i="24"/>
  <c r="S21" i="24" s="1"/>
  <c r="T21" i="24" s="1"/>
  <c r="I19" i="24"/>
  <c r="J19" i="24" s="1"/>
  <c r="N39" i="23"/>
  <c r="P29" i="23"/>
  <c r="M38" i="24"/>
  <c r="U29" i="23"/>
  <c r="Y42" i="23"/>
  <c r="Y43" i="23" s="1"/>
  <c r="E29" i="23"/>
  <c r="I19" i="23"/>
  <c r="J19" i="23" s="1"/>
  <c r="Q8" i="23"/>
  <c r="V8" i="23" s="1"/>
  <c r="X8" i="23" s="1"/>
  <c r="I46" i="23"/>
  <c r="P34" i="24"/>
  <c r="K34" i="23"/>
  <c r="E27" i="23"/>
  <c r="J25" i="24"/>
  <c r="E33" i="24"/>
  <c r="E26" i="24"/>
  <c r="Z27" i="24"/>
  <c r="U29" i="24"/>
  <c r="U33" i="24"/>
  <c r="Q34" i="23"/>
  <c r="I34" i="23"/>
  <c r="Z33" i="23"/>
  <c r="U34" i="23"/>
  <c r="L19" i="23"/>
  <c r="Q19" i="23" s="1"/>
  <c r="V19" i="23" s="1"/>
  <c r="I18" i="23"/>
  <c r="N43" i="24"/>
  <c r="AE43" i="24" s="1"/>
  <c r="AF43" i="24" s="1"/>
  <c r="AE42" i="23"/>
  <c r="AF42" i="23" s="1"/>
  <c r="O42" i="23"/>
  <c r="O43" i="23" s="1"/>
  <c r="I13" i="23"/>
  <c r="F15" i="23" s="1"/>
  <c r="I15" i="23" s="1"/>
  <c r="J8" i="23"/>
  <c r="I13" i="24"/>
  <c r="I20" i="1" s="1"/>
  <c r="N8" i="24"/>
  <c r="O8" i="24" s="1"/>
  <c r="Q18" i="24"/>
  <c r="N18" i="24"/>
  <c r="Q20" i="24"/>
  <c r="N20" i="24"/>
  <c r="O20" i="24" s="1"/>
  <c r="Q28" i="24"/>
  <c r="AA11" i="24"/>
  <c r="AC11" i="24" s="1"/>
  <c r="AD11" i="24" s="1"/>
  <c r="V8" i="24"/>
  <c r="S8" i="24"/>
  <c r="J12" i="24"/>
  <c r="J13" i="24" s="1"/>
  <c r="G38" i="24"/>
  <c r="Z33" i="24"/>
  <c r="Z34" i="24"/>
  <c r="L34" i="24"/>
  <c r="Q39" i="24"/>
  <c r="X47" i="24"/>
  <c r="Y47" i="24" s="1"/>
  <c r="AA47" i="24"/>
  <c r="AC47" i="24" s="1"/>
  <c r="AD47" i="24" s="1"/>
  <c r="V12" i="24"/>
  <c r="V19" i="24"/>
  <c r="P26" i="24"/>
  <c r="P28" i="24" s="1"/>
  <c r="K27" i="24"/>
  <c r="S11" i="24"/>
  <c r="T11" i="24" s="1"/>
  <c r="N12" i="24"/>
  <c r="O12" i="24" s="1"/>
  <c r="N19" i="24"/>
  <c r="O19" i="24" s="1"/>
  <c r="I21" i="24"/>
  <c r="Z26" i="24"/>
  <c r="Z28" i="24" s="1"/>
  <c r="U27" i="24"/>
  <c r="K34" i="24"/>
  <c r="S47" i="24"/>
  <c r="T47" i="24" s="1"/>
  <c r="K26" i="24"/>
  <c r="E29" i="24"/>
  <c r="P29" i="24"/>
  <c r="J42" i="24"/>
  <c r="J43" i="24" s="1"/>
  <c r="AD42" i="24"/>
  <c r="AD43" i="24" s="1"/>
  <c r="I25" i="24"/>
  <c r="E27" i="24"/>
  <c r="AE42" i="24"/>
  <c r="AF42" i="24" s="1"/>
  <c r="U26" i="24"/>
  <c r="U28" i="24" s="1"/>
  <c r="S20" i="23"/>
  <c r="T20" i="23" s="1"/>
  <c r="V20" i="23"/>
  <c r="V12" i="23"/>
  <c r="S12" i="23"/>
  <c r="T12" i="23" s="1"/>
  <c r="Q21" i="23"/>
  <c r="N21" i="23"/>
  <c r="O21" i="23" s="1"/>
  <c r="Z27" i="23"/>
  <c r="N20" i="23"/>
  <c r="O20" i="23" s="1"/>
  <c r="P26" i="23"/>
  <c r="P28" i="23" s="1"/>
  <c r="Q46" i="23"/>
  <c r="N46" i="23"/>
  <c r="I25" i="23"/>
  <c r="J25" i="23"/>
  <c r="E33" i="23"/>
  <c r="P33" i="23"/>
  <c r="V48" i="23"/>
  <c r="S48" i="23"/>
  <c r="T48" i="23" s="1"/>
  <c r="J11" i="23"/>
  <c r="N12" i="23"/>
  <c r="I21" i="23"/>
  <c r="K27" i="23"/>
  <c r="K29" i="23"/>
  <c r="K26" i="23"/>
  <c r="K28" i="23" s="1"/>
  <c r="O28" i="23" s="1"/>
  <c r="E28" i="23"/>
  <c r="V39" i="23"/>
  <c r="Q11" i="23"/>
  <c r="Q28" i="23"/>
  <c r="Z29" i="23"/>
  <c r="V47" i="23"/>
  <c r="S47" i="23"/>
  <c r="T47" i="23" s="1"/>
  <c r="Q18" i="23"/>
  <c r="L50" i="23"/>
  <c r="I50" i="23"/>
  <c r="I43" i="23"/>
  <c r="AC43" i="23"/>
  <c r="T42" i="23"/>
  <c r="T43" i="23" s="1"/>
  <c r="N47" i="23"/>
  <c r="O47" i="23" s="1"/>
  <c r="N48" i="23"/>
  <c r="J42" i="23"/>
  <c r="J43" i="23" s="1"/>
  <c r="U35" i="22"/>
  <c r="P28" i="22"/>
  <c r="U28" i="22"/>
  <c r="K35" i="22"/>
  <c r="K34" i="22"/>
  <c r="K30" i="22"/>
  <c r="AE43" i="22"/>
  <c r="AF43" i="22" s="1"/>
  <c r="J44" i="22"/>
  <c r="I44" i="22"/>
  <c r="E28" i="22"/>
  <c r="J26" i="22"/>
  <c r="E27" i="22"/>
  <c r="E29" i="22"/>
  <c r="I29" i="22" s="1"/>
  <c r="F22" i="21"/>
  <c r="I21" i="22"/>
  <c r="J21" i="22" s="1"/>
  <c r="L19" i="22"/>
  <c r="Q19" i="22" s="1"/>
  <c r="Q13" i="22"/>
  <c r="AA21" i="22"/>
  <c r="AC21" i="22" s="1"/>
  <c r="AD21" i="22" s="1"/>
  <c r="X21" i="22"/>
  <c r="Y21" i="22" s="1"/>
  <c r="L35" i="22"/>
  <c r="Q26" i="22"/>
  <c r="O26" i="22"/>
  <c r="AA49" i="22"/>
  <c r="AC49" i="22" s="1"/>
  <c r="AD49" i="22" s="1"/>
  <c r="N47" i="22"/>
  <c r="Q47" i="22"/>
  <c r="L22" i="22"/>
  <c r="I22" i="22"/>
  <c r="V48" i="22"/>
  <c r="S48" i="22"/>
  <c r="T48" i="22" s="1"/>
  <c r="Q11" i="22"/>
  <c r="N11" i="22"/>
  <c r="O11" i="22" s="1"/>
  <c r="I14" i="22"/>
  <c r="I18" i="1" s="1"/>
  <c r="J8" i="22"/>
  <c r="Q8" i="22"/>
  <c r="N8" i="22"/>
  <c r="Q29" i="22"/>
  <c r="R34" i="22"/>
  <c r="W34" i="22" s="1"/>
  <c r="AB34" i="22" s="1"/>
  <c r="N48" i="22"/>
  <c r="O48" i="22" s="1"/>
  <c r="L20" i="22"/>
  <c r="I20" i="22"/>
  <c r="S21" i="22"/>
  <c r="T21" i="22" s="1"/>
  <c r="J11" i="22"/>
  <c r="V13" i="22"/>
  <c r="S13" i="22"/>
  <c r="T13" i="22" s="1"/>
  <c r="Z35" i="22"/>
  <c r="Z34" i="22"/>
  <c r="N51" i="22"/>
  <c r="O51" i="22" s="1"/>
  <c r="Q51" i="22"/>
  <c r="P27" i="22"/>
  <c r="P29" i="22" s="1"/>
  <c r="K28" i="22"/>
  <c r="Q40" i="22"/>
  <c r="N44" i="22"/>
  <c r="S49" i="22"/>
  <c r="T49" i="22" s="1"/>
  <c r="K27" i="22"/>
  <c r="E30" i="22"/>
  <c r="P30" i="22"/>
  <c r="N21" i="22"/>
  <c r="I26" i="22"/>
  <c r="I48" i="22"/>
  <c r="U27" i="22"/>
  <c r="U29" i="22" s="1"/>
  <c r="F50" i="21"/>
  <c r="L51" i="21"/>
  <c r="Q51" i="21" s="1"/>
  <c r="S51" i="21" s="1"/>
  <c r="I51" i="21"/>
  <c r="N31" i="26"/>
  <c r="I15" i="26"/>
  <c r="I6" i="26"/>
  <c r="I10" i="26"/>
  <c r="I19" i="26"/>
  <c r="N24" i="26"/>
  <c r="N17" i="26"/>
  <c r="I35" i="22" l="1"/>
  <c r="I34" i="24"/>
  <c r="N51" i="23"/>
  <c r="O51" i="23" s="1"/>
  <c r="O35" i="22"/>
  <c r="N35" i="22"/>
  <c r="O34" i="23"/>
  <c r="N34" i="23"/>
  <c r="T34" i="23"/>
  <c r="S34" i="23"/>
  <c r="O34" i="24"/>
  <c r="N34" i="24"/>
  <c r="I21" i="26"/>
  <c r="D31" i="26"/>
  <c r="Y12" i="22"/>
  <c r="AE12" i="22"/>
  <c r="Y12" i="21"/>
  <c r="AE12" i="21"/>
  <c r="I22" i="24"/>
  <c r="I23" i="22"/>
  <c r="M11" i="27"/>
  <c r="M15" i="27" s="1"/>
  <c r="D15" i="27"/>
  <c r="F103" i="1"/>
  <c r="J28" i="24"/>
  <c r="V51" i="23"/>
  <c r="AA51" i="23" s="1"/>
  <c r="AC51" i="23" s="1"/>
  <c r="AD51" i="23" s="1"/>
  <c r="R9" i="27"/>
  <c r="T9" i="27" s="1"/>
  <c r="P9" i="27"/>
  <c r="I9" i="27"/>
  <c r="I11" i="27" s="1"/>
  <c r="I15" i="27" s="1"/>
  <c r="H11" i="27"/>
  <c r="E11" i="27"/>
  <c r="E15" i="27" s="1"/>
  <c r="R10" i="27"/>
  <c r="T10" i="27" s="1"/>
  <c r="U10" i="27" s="1"/>
  <c r="P10" i="27"/>
  <c r="L11" i="27"/>
  <c r="O46" i="24"/>
  <c r="O18" i="24"/>
  <c r="O22" i="24" s="1"/>
  <c r="N22" i="24"/>
  <c r="J46" i="24"/>
  <c r="J18" i="24"/>
  <c r="J46" i="23"/>
  <c r="J18" i="23"/>
  <c r="I22" i="23"/>
  <c r="J19" i="22"/>
  <c r="N40" i="22"/>
  <c r="J47" i="22"/>
  <c r="AE110" i="1"/>
  <c r="AG110" i="1" s="1"/>
  <c r="AI110" i="1" s="1"/>
  <c r="AA110" i="1"/>
  <c r="Q25" i="24"/>
  <c r="V25" i="24" s="1"/>
  <c r="AA51" i="24"/>
  <c r="AC51" i="24" s="1"/>
  <c r="AD51" i="24" s="1"/>
  <c r="X51" i="24"/>
  <c r="Y51" i="24" s="1"/>
  <c r="F15" i="24"/>
  <c r="O25" i="24"/>
  <c r="J15" i="23"/>
  <c r="I19" i="1"/>
  <c r="AA8" i="23"/>
  <c r="AC8" i="23" s="1"/>
  <c r="AD8" i="23" s="1"/>
  <c r="J13" i="23"/>
  <c r="X51" i="23"/>
  <c r="Y51" i="23" s="1"/>
  <c r="S52" i="22"/>
  <c r="T52" i="22" s="1"/>
  <c r="V52" i="22"/>
  <c r="J52" i="22"/>
  <c r="Q48" i="24"/>
  <c r="V21" i="24"/>
  <c r="AA21" i="24" s="1"/>
  <c r="AC21" i="24" s="1"/>
  <c r="AD21" i="24" s="1"/>
  <c r="J48" i="23"/>
  <c r="F117" i="1"/>
  <c r="J51" i="21"/>
  <c r="F119" i="1"/>
  <c r="I49" i="24"/>
  <c r="J49" i="24" s="1"/>
  <c r="L49" i="24"/>
  <c r="T51" i="21"/>
  <c r="O48" i="23"/>
  <c r="I50" i="22"/>
  <c r="J50" i="22" s="1"/>
  <c r="L50" i="22"/>
  <c r="I49" i="23"/>
  <c r="J49" i="23" s="1"/>
  <c r="L49" i="23"/>
  <c r="O40" i="1"/>
  <c r="Q40" i="1" s="1"/>
  <c r="Q25" i="23"/>
  <c r="T25" i="23" s="1"/>
  <c r="O25" i="23"/>
  <c r="N28" i="23"/>
  <c r="O39" i="23"/>
  <c r="U40" i="1"/>
  <c r="W40" i="1" s="1"/>
  <c r="AA40" i="1"/>
  <c r="AC40" i="1" s="1"/>
  <c r="K40" i="1"/>
  <c r="O13" i="24"/>
  <c r="Q50" i="24"/>
  <c r="N50" i="24"/>
  <c r="V46" i="24"/>
  <c r="S46" i="24"/>
  <c r="I39" i="24"/>
  <c r="N19" i="23"/>
  <c r="S19" i="23"/>
  <c r="T19" i="23" s="1"/>
  <c r="S8" i="23"/>
  <c r="N39" i="24"/>
  <c r="V34" i="23"/>
  <c r="AA12" i="24"/>
  <c r="AC12" i="24" s="1"/>
  <c r="AD12" i="24" s="1"/>
  <c r="X12" i="24"/>
  <c r="AE11" i="24"/>
  <c r="S13" i="24"/>
  <c r="T8" i="24"/>
  <c r="T13" i="24" s="1"/>
  <c r="N13" i="24"/>
  <c r="O20" i="1" s="1"/>
  <c r="X8" i="24"/>
  <c r="AA8" i="24"/>
  <c r="AC8" i="24" s="1"/>
  <c r="S25" i="24"/>
  <c r="K28" i="24"/>
  <c r="AE47" i="24"/>
  <c r="AF47" i="24" s="1"/>
  <c r="V20" i="24"/>
  <c r="S20" i="24"/>
  <c r="V39" i="24"/>
  <c r="T39" i="24"/>
  <c r="S39" i="24"/>
  <c r="Q34" i="24"/>
  <c r="J21" i="24"/>
  <c r="AA19" i="24"/>
  <c r="AC19" i="24" s="1"/>
  <c r="AD19" i="24" s="1"/>
  <c r="X19" i="24"/>
  <c r="Y19" i="24" s="1"/>
  <c r="T28" i="24"/>
  <c r="S28" i="24"/>
  <c r="V28" i="24"/>
  <c r="V18" i="24"/>
  <c r="S18" i="24"/>
  <c r="V28" i="23"/>
  <c r="T28" i="23"/>
  <c r="S28" i="23"/>
  <c r="AA48" i="23"/>
  <c r="AC48" i="23" s="1"/>
  <c r="AD48" i="23" s="1"/>
  <c r="X48" i="23"/>
  <c r="T8" i="23"/>
  <c r="Y8" i="23"/>
  <c r="S11" i="23"/>
  <c r="V11" i="23"/>
  <c r="S18" i="23"/>
  <c r="V18" i="23"/>
  <c r="AE43" i="23"/>
  <c r="AF43" i="23" s="1"/>
  <c r="J21" i="23"/>
  <c r="O46" i="23"/>
  <c r="J39" i="23"/>
  <c r="I39" i="23"/>
  <c r="N13" i="23"/>
  <c r="O19" i="1" s="1"/>
  <c r="O12" i="23"/>
  <c r="O13" i="23" s="1"/>
  <c r="V46" i="23"/>
  <c r="S46" i="23"/>
  <c r="J50" i="23"/>
  <c r="S39" i="23"/>
  <c r="X12" i="23"/>
  <c r="Y12" i="23" s="1"/>
  <c r="AA12" i="23"/>
  <c r="AC12" i="23" s="1"/>
  <c r="AD12" i="23" s="1"/>
  <c r="AA39" i="23"/>
  <c r="Y39" i="23"/>
  <c r="X39" i="23"/>
  <c r="AA47" i="23"/>
  <c r="AC47" i="23" s="1"/>
  <c r="AD47" i="23" s="1"/>
  <c r="X47" i="23"/>
  <c r="Y47" i="23" s="1"/>
  <c r="Q50" i="23"/>
  <c r="N50" i="23"/>
  <c r="O50" i="23" s="1"/>
  <c r="I28" i="23"/>
  <c r="J28" i="23"/>
  <c r="S21" i="23"/>
  <c r="T21" i="23" s="1"/>
  <c r="V21" i="23"/>
  <c r="X20" i="23"/>
  <c r="Y20" i="23" s="1"/>
  <c r="AA20" i="23"/>
  <c r="AC20" i="23" s="1"/>
  <c r="AD20" i="23" s="1"/>
  <c r="X19" i="23"/>
  <c r="AA19" i="23"/>
  <c r="AC19" i="23" s="1"/>
  <c r="AD19" i="23" s="1"/>
  <c r="AE44" i="22"/>
  <c r="AF44" i="22" s="1"/>
  <c r="I40" i="22"/>
  <c r="J29" i="22"/>
  <c r="N19" i="22"/>
  <c r="S26" i="22"/>
  <c r="V26" i="22"/>
  <c r="T26" i="22"/>
  <c r="V51" i="22"/>
  <c r="S51" i="22"/>
  <c r="T51" i="22" s="1"/>
  <c r="S47" i="22"/>
  <c r="V47" i="22"/>
  <c r="V40" i="22"/>
  <c r="T40" i="22"/>
  <c r="S40" i="22"/>
  <c r="S19" i="22"/>
  <c r="V19" i="22"/>
  <c r="O8" i="22"/>
  <c r="O14" i="22" s="1"/>
  <c r="N14" i="22"/>
  <c r="O47" i="22"/>
  <c r="S11" i="22"/>
  <c r="T11" i="22" s="1"/>
  <c r="V11" i="22"/>
  <c r="Q35" i="22"/>
  <c r="J48" i="22"/>
  <c r="S8" i="22"/>
  <c r="V8" i="22"/>
  <c r="K29" i="22"/>
  <c r="J20" i="22"/>
  <c r="J14" i="22"/>
  <c r="N22" i="22"/>
  <c r="O22" i="22" s="1"/>
  <c r="Q22" i="22"/>
  <c r="Q20" i="22"/>
  <c r="N20" i="22"/>
  <c r="O20" i="22" s="1"/>
  <c r="T29" i="22"/>
  <c r="S29" i="22"/>
  <c r="V29" i="22"/>
  <c r="X29" i="22" s="1"/>
  <c r="J22" i="22"/>
  <c r="O21" i="22"/>
  <c r="AE21" i="22"/>
  <c r="AF21" i="22" s="1"/>
  <c r="AE49" i="22"/>
  <c r="AF49" i="22" s="1"/>
  <c r="AA13" i="22"/>
  <c r="AC13" i="22" s="1"/>
  <c r="AD13" i="22" s="1"/>
  <c r="X13" i="22"/>
  <c r="F16" i="22"/>
  <c r="I16" i="22" s="1"/>
  <c r="X48" i="22"/>
  <c r="Y48" i="22" s="1"/>
  <c r="AA48" i="22"/>
  <c r="AC48" i="22" s="1"/>
  <c r="AD48" i="22" s="1"/>
  <c r="N32" i="26"/>
  <c r="N51" i="21"/>
  <c r="V51" i="21"/>
  <c r="X51" i="21" s="1"/>
  <c r="I15" i="24" l="1"/>
  <c r="T35" i="22"/>
  <c r="S35" i="22"/>
  <c r="T34" i="24"/>
  <c r="S34" i="24"/>
  <c r="Y34" i="23"/>
  <c r="X34" i="23"/>
  <c r="AG12" i="22"/>
  <c r="AF12" i="22"/>
  <c r="AG12" i="21"/>
  <c r="AF12" i="21"/>
  <c r="V9" i="27"/>
  <c r="W9" i="27" s="1"/>
  <c r="J22" i="24"/>
  <c r="S103" i="1"/>
  <c r="L15" i="27"/>
  <c r="M103" i="1"/>
  <c r="H15" i="27"/>
  <c r="AE51" i="24"/>
  <c r="AF51" i="24" s="1"/>
  <c r="T25" i="24"/>
  <c r="I52" i="24"/>
  <c r="AE8" i="23"/>
  <c r="AF8" i="23" s="1"/>
  <c r="Q10" i="27"/>
  <c r="V10" i="27"/>
  <c r="W10" i="27" s="1"/>
  <c r="Q9" i="27"/>
  <c r="P11" i="27"/>
  <c r="U9" i="27"/>
  <c r="U11" i="27" s="1"/>
  <c r="U15" i="27" s="1"/>
  <c r="T11" i="27"/>
  <c r="S22" i="24"/>
  <c r="J52" i="24"/>
  <c r="S22" i="23"/>
  <c r="J22" i="23"/>
  <c r="I52" i="23"/>
  <c r="O19" i="23"/>
  <c r="O22" i="23" s="1"/>
  <c r="N22" i="23"/>
  <c r="J52" i="23"/>
  <c r="T19" i="22"/>
  <c r="I53" i="22"/>
  <c r="J53" i="22"/>
  <c r="O19" i="22"/>
  <c r="O23" i="22" s="1"/>
  <c r="N23" i="22"/>
  <c r="J23" i="22"/>
  <c r="AC110" i="1"/>
  <c r="AJ110" i="1"/>
  <c r="AL110" i="1" s="1"/>
  <c r="AE8" i="24"/>
  <c r="AF8" i="24" s="1"/>
  <c r="Q15" i="24"/>
  <c r="U20" i="1"/>
  <c r="AE51" i="23"/>
  <c r="AF51" i="23" s="1"/>
  <c r="V25" i="23"/>
  <c r="AA25" i="23" s="1"/>
  <c r="S25" i="23"/>
  <c r="AA52" i="22"/>
  <c r="AC52" i="22" s="1"/>
  <c r="AD52" i="22" s="1"/>
  <c r="X52" i="22"/>
  <c r="L16" i="22"/>
  <c r="O18" i="1"/>
  <c r="X21" i="24"/>
  <c r="Y21" i="24" s="1"/>
  <c r="V48" i="24"/>
  <c r="S48" i="24"/>
  <c r="Q50" i="22"/>
  <c r="N50" i="22"/>
  <c r="N53" i="22" s="1"/>
  <c r="Q49" i="23"/>
  <c r="N49" i="23"/>
  <c r="Y51" i="21"/>
  <c r="O51" i="21"/>
  <c r="M119" i="1"/>
  <c r="Q49" i="24"/>
  <c r="N49" i="24"/>
  <c r="O29" i="22"/>
  <c r="N29" i="22"/>
  <c r="O28" i="24"/>
  <c r="N28" i="24"/>
  <c r="AJ40" i="1"/>
  <c r="AL40" i="1" s="1"/>
  <c r="O50" i="24"/>
  <c r="S50" i="24"/>
  <c r="V50" i="24"/>
  <c r="T46" i="24"/>
  <c r="AA46" i="24"/>
  <c r="AC46" i="24" s="1"/>
  <c r="X46" i="24"/>
  <c r="S13" i="23"/>
  <c r="AE47" i="23"/>
  <c r="AF47" i="23" s="1"/>
  <c r="AA34" i="23"/>
  <c r="X39" i="24"/>
  <c r="AA39" i="24"/>
  <c r="Y39" i="24"/>
  <c r="AA20" i="24"/>
  <c r="AC20" i="24" s="1"/>
  <c r="AD20" i="24" s="1"/>
  <c r="X20" i="24"/>
  <c r="Y20" i="24" s="1"/>
  <c r="Y12" i="24"/>
  <c r="AE12" i="24"/>
  <c r="AA28" i="24"/>
  <c r="Y28" i="24"/>
  <c r="X28" i="24"/>
  <c r="AA25" i="24"/>
  <c r="Y25" i="24"/>
  <c r="X25" i="24"/>
  <c r="L15" i="24"/>
  <c r="N15" i="24" s="1"/>
  <c r="AG11" i="24"/>
  <c r="AF11" i="24"/>
  <c r="AD8" i="24"/>
  <c r="AD13" i="24" s="1"/>
  <c r="AC13" i="24"/>
  <c r="T18" i="24"/>
  <c r="X18" i="24"/>
  <c r="AA18" i="24"/>
  <c r="AC18" i="24" s="1"/>
  <c r="V34" i="24"/>
  <c r="T20" i="24"/>
  <c r="Y8" i="24"/>
  <c r="X13" i="24"/>
  <c r="AE19" i="24"/>
  <c r="AF19" i="24" s="1"/>
  <c r="AD39" i="23"/>
  <c r="AE39" i="23" s="1"/>
  <c r="AF39" i="23" s="1"/>
  <c r="AG39" i="23" s="1"/>
  <c r="AH39" i="23" s="1"/>
  <c r="AI39" i="23" s="1"/>
  <c r="AC39" i="23"/>
  <c r="T46" i="23"/>
  <c r="AA18" i="23"/>
  <c r="AC18" i="23" s="1"/>
  <c r="X18" i="23"/>
  <c r="AA11" i="23"/>
  <c r="AC11" i="23" s="1"/>
  <c r="X11" i="23"/>
  <c r="Y48" i="23"/>
  <c r="AE48" i="23"/>
  <c r="AF48" i="23" s="1"/>
  <c r="X46" i="23"/>
  <c r="AA46" i="23"/>
  <c r="AC46" i="23" s="1"/>
  <c r="AE12" i="23"/>
  <c r="AA21" i="23"/>
  <c r="AC21" i="23" s="1"/>
  <c r="AD21" i="23" s="1"/>
  <c r="X21" i="23"/>
  <c r="Y21" i="23" s="1"/>
  <c r="L15" i="23"/>
  <c r="N15" i="23" s="1"/>
  <c r="T18" i="23"/>
  <c r="T22" i="23" s="1"/>
  <c r="S50" i="23"/>
  <c r="T50" i="23" s="1"/>
  <c r="V50" i="23"/>
  <c r="AE20" i="23"/>
  <c r="AF20" i="23" s="1"/>
  <c r="Y19" i="23"/>
  <c r="AE19" i="23"/>
  <c r="AF19" i="23" s="1"/>
  <c r="T11" i="23"/>
  <c r="T13" i="23" s="1"/>
  <c r="AA28" i="23"/>
  <c r="X28" i="23"/>
  <c r="Y28" i="23"/>
  <c r="AA29" i="22"/>
  <c r="Y29" i="22"/>
  <c r="T8" i="22"/>
  <c r="T14" i="22" s="1"/>
  <c r="S14" i="22"/>
  <c r="V35" i="22"/>
  <c r="AA8" i="22"/>
  <c r="AC8" i="22" s="1"/>
  <c r="X8" i="22"/>
  <c r="AA11" i="22"/>
  <c r="AC11" i="22" s="1"/>
  <c r="AD11" i="22" s="1"/>
  <c r="X11" i="22"/>
  <c r="Y11" i="22" s="1"/>
  <c r="AA26" i="22"/>
  <c r="Y26" i="22"/>
  <c r="X26" i="22"/>
  <c r="T47" i="22"/>
  <c r="V22" i="22"/>
  <c r="S22" i="22"/>
  <c r="Y13" i="22"/>
  <c r="AE13" i="22"/>
  <c r="AA51" i="22"/>
  <c r="AC51" i="22" s="1"/>
  <c r="AD51" i="22" s="1"/>
  <c r="X51" i="22"/>
  <c r="Y51" i="22" s="1"/>
  <c r="X40" i="22"/>
  <c r="AA40" i="22"/>
  <c r="Y40" i="22"/>
  <c r="J16" i="22"/>
  <c r="AA19" i="22"/>
  <c r="AC19" i="22" s="1"/>
  <c r="X19" i="22"/>
  <c r="AE48" i="22"/>
  <c r="AF48" i="22" s="1"/>
  <c r="S20" i="22"/>
  <c r="T20" i="22" s="1"/>
  <c r="V20" i="22"/>
  <c r="AA47" i="22"/>
  <c r="AC47" i="22" s="1"/>
  <c r="X47" i="22"/>
  <c r="AA51" i="21"/>
  <c r="AC51" i="21" s="1"/>
  <c r="AD51" i="21" s="1"/>
  <c r="N16" i="22" l="1"/>
  <c r="S15" i="24"/>
  <c r="T15" i="24" s="1"/>
  <c r="J15" i="24"/>
  <c r="Y35" i="22"/>
  <c r="X35" i="22"/>
  <c r="Y34" i="24"/>
  <c r="X34" i="24"/>
  <c r="AD34" i="23"/>
  <c r="AC34" i="23"/>
  <c r="AI12" i="22"/>
  <c r="AH12" i="22"/>
  <c r="AI12" i="21"/>
  <c r="AH12" i="21"/>
  <c r="S23" i="22"/>
  <c r="Y103" i="1"/>
  <c r="P15" i="27"/>
  <c r="AE103" i="1"/>
  <c r="T15" i="27"/>
  <c r="Y25" i="23"/>
  <c r="Q11" i="27"/>
  <c r="Q15" i="27" s="1"/>
  <c r="V11" i="27"/>
  <c r="W11" i="27" s="1"/>
  <c r="O49" i="24"/>
  <c r="O52" i="24" s="1"/>
  <c r="N52" i="24"/>
  <c r="AD18" i="24"/>
  <c r="AD22" i="24" s="1"/>
  <c r="AC22" i="24"/>
  <c r="Y18" i="24"/>
  <c r="Y22" i="24" s="1"/>
  <c r="X22" i="24"/>
  <c r="T22" i="24"/>
  <c r="X25" i="23"/>
  <c r="AD18" i="23"/>
  <c r="AD22" i="23" s="1"/>
  <c r="AC22" i="23"/>
  <c r="O49" i="23"/>
  <c r="O52" i="23" s="1"/>
  <c r="N52" i="23"/>
  <c r="S119" i="1"/>
  <c r="Y18" i="23"/>
  <c r="Y22" i="23" s="1"/>
  <c r="X22" i="23"/>
  <c r="AD19" i="22"/>
  <c r="AA15" i="24"/>
  <c r="AG20" i="1"/>
  <c r="V15" i="24"/>
  <c r="AA20" i="1"/>
  <c r="AE21" i="24"/>
  <c r="AF21" i="24" s="1"/>
  <c r="Q15" i="23"/>
  <c r="U19" i="1"/>
  <c r="Y52" i="22"/>
  <c r="AE52" i="22"/>
  <c r="AF52" i="22" s="1"/>
  <c r="Q16" i="22"/>
  <c r="U18" i="1"/>
  <c r="T48" i="24"/>
  <c r="AE18" i="23"/>
  <c r="AF18" i="23" s="1"/>
  <c r="X48" i="24"/>
  <c r="Y48" i="24" s="1"/>
  <c r="AA48" i="24"/>
  <c r="AC48" i="24" s="1"/>
  <c r="AD48" i="24" s="1"/>
  <c r="V49" i="24"/>
  <c r="S49" i="24"/>
  <c r="T49" i="24" s="1"/>
  <c r="S49" i="23"/>
  <c r="S52" i="23" s="1"/>
  <c r="V49" i="23"/>
  <c r="O50" i="22"/>
  <c r="O53" i="22" s="1"/>
  <c r="V50" i="22"/>
  <c r="S50" i="22"/>
  <c r="S53" i="22" s="1"/>
  <c r="AA50" i="24"/>
  <c r="AC50" i="24" s="1"/>
  <c r="AD50" i="24" s="1"/>
  <c r="X50" i="24"/>
  <c r="Y50" i="24" s="1"/>
  <c r="T50" i="24"/>
  <c r="Y46" i="24"/>
  <c r="AD46" i="24"/>
  <c r="AE46" i="24"/>
  <c r="AF46" i="24" s="1"/>
  <c r="AE20" i="24"/>
  <c r="AF20" i="24" s="1"/>
  <c r="AE34" i="23"/>
  <c r="AF34" i="23" s="1"/>
  <c r="AG34" i="23" s="1"/>
  <c r="AH34" i="23" s="1"/>
  <c r="AI34" i="23" s="1"/>
  <c r="AE18" i="24"/>
  <c r="AF18" i="24" s="1"/>
  <c r="AE13" i="24"/>
  <c r="AF13" i="24" s="1"/>
  <c r="AD39" i="24"/>
  <c r="AC39" i="24"/>
  <c r="O15" i="24"/>
  <c r="AD28" i="24"/>
  <c r="AE28" i="24" s="1"/>
  <c r="AF28" i="24" s="1"/>
  <c r="AC28" i="24"/>
  <c r="Y13" i="24"/>
  <c r="AA34" i="24"/>
  <c r="AI11" i="24"/>
  <c r="AH11" i="24"/>
  <c r="AD25" i="24"/>
  <c r="AE25" i="24" s="1"/>
  <c r="AF25" i="24" s="1"/>
  <c r="AG25" i="24" s="1"/>
  <c r="AH25" i="24" s="1"/>
  <c r="AI25" i="24" s="1"/>
  <c r="AC25" i="24"/>
  <c r="AF12" i="24"/>
  <c r="AG12" i="24"/>
  <c r="AG12" i="23"/>
  <c r="AF12" i="23"/>
  <c r="AC25" i="23"/>
  <c r="AD25" i="23"/>
  <c r="AA50" i="23"/>
  <c r="AC50" i="23" s="1"/>
  <c r="AD50" i="23" s="1"/>
  <c r="X50" i="23"/>
  <c r="Y50" i="23" s="1"/>
  <c r="AE21" i="23"/>
  <c r="AF21" i="23" s="1"/>
  <c r="AD28" i="23"/>
  <c r="AE28" i="23" s="1"/>
  <c r="AF28" i="23" s="1"/>
  <c r="AC28" i="23"/>
  <c r="AD46" i="23"/>
  <c r="Y11" i="23"/>
  <c r="Y13" i="23" s="1"/>
  <c r="X13" i="23"/>
  <c r="AA19" i="1" s="1"/>
  <c r="O15" i="23"/>
  <c r="Y46" i="23"/>
  <c r="AE46" i="23"/>
  <c r="AF46" i="23" s="1"/>
  <c r="AD11" i="23"/>
  <c r="AD13" i="23" s="1"/>
  <c r="AC13" i="23"/>
  <c r="AE11" i="23"/>
  <c r="AA20" i="22"/>
  <c r="AC20" i="22" s="1"/>
  <c r="AD20" i="22" s="1"/>
  <c r="X20" i="22"/>
  <c r="Y20" i="22" s="1"/>
  <c r="AA22" i="22"/>
  <c r="AC22" i="22" s="1"/>
  <c r="AD22" i="22" s="1"/>
  <c r="X22" i="22"/>
  <c r="Y22" i="22" s="1"/>
  <c r="AA35" i="22"/>
  <c r="X14" i="22"/>
  <c r="AA18" i="1" s="1"/>
  <c r="Y8" i="22"/>
  <c r="Y14" i="22" s="1"/>
  <c r="AE8" i="22"/>
  <c r="AF8" i="22" s="1"/>
  <c r="Y47" i="22"/>
  <c r="AC14" i="22"/>
  <c r="AD8" i="22"/>
  <c r="AD14" i="22" s="1"/>
  <c r="AD47" i="22"/>
  <c r="AD29" i="22"/>
  <c r="AE29" i="22" s="1"/>
  <c r="AF29" i="22" s="1"/>
  <c r="AC29" i="22"/>
  <c r="AE51" i="22"/>
  <c r="AF51" i="22" s="1"/>
  <c r="AD40" i="22"/>
  <c r="AE40" i="22" s="1"/>
  <c r="AF40" i="22" s="1"/>
  <c r="AG40" i="22" s="1"/>
  <c r="AH40" i="22" s="1"/>
  <c r="AI40" i="22" s="1"/>
  <c r="AC40" i="22"/>
  <c r="AD26" i="22"/>
  <c r="AE26" i="22" s="1"/>
  <c r="AF26" i="22" s="1"/>
  <c r="AG26" i="22" s="1"/>
  <c r="AH26" i="22" s="1"/>
  <c r="AI26" i="22" s="1"/>
  <c r="AC26" i="22"/>
  <c r="AG13" i="22"/>
  <c r="AF13" i="22"/>
  <c r="AE11" i="22"/>
  <c r="Y19" i="22"/>
  <c r="AE19" i="22"/>
  <c r="AF19" i="22" s="1"/>
  <c r="T22" i="22"/>
  <c r="T23" i="22" s="1"/>
  <c r="AE47" i="22"/>
  <c r="AF47" i="22" s="1"/>
  <c r="AE51" i="21"/>
  <c r="AF51" i="21" s="1"/>
  <c r="S16" i="22" l="1"/>
  <c r="T16" i="22" s="1"/>
  <c r="O16" i="22"/>
  <c r="AC15" i="24"/>
  <c r="AD15" i="24" s="1"/>
  <c r="X15" i="24"/>
  <c r="AE15" i="24" s="1"/>
  <c r="AF15" i="24" s="1"/>
  <c r="T15" i="23"/>
  <c r="S15" i="23"/>
  <c r="AD35" i="22"/>
  <c r="AC35" i="22"/>
  <c r="AD34" i="24"/>
  <c r="AC34" i="24"/>
  <c r="AE39" i="24"/>
  <c r="AF39" i="24" s="1"/>
  <c r="AG39" i="24" s="1"/>
  <c r="AH39" i="24" s="1"/>
  <c r="AI39" i="24" s="1"/>
  <c r="V15" i="27"/>
  <c r="W15" i="27" s="1"/>
  <c r="AE22" i="24"/>
  <c r="AF22" i="24" s="1"/>
  <c r="AE25" i="23"/>
  <c r="AF25" i="23" s="1"/>
  <c r="AG25" i="23" s="1"/>
  <c r="AH25" i="23" s="1"/>
  <c r="AI25" i="23" s="1"/>
  <c r="AE22" i="23"/>
  <c r="AF22" i="23" s="1"/>
  <c r="T52" i="24"/>
  <c r="S52" i="24"/>
  <c r="AE119" i="1"/>
  <c r="X23" i="22"/>
  <c r="Y23" i="22"/>
  <c r="AC23" i="22"/>
  <c r="AD23" i="22"/>
  <c r="AA15" i="23"/>
  <c r="AC15" i="23" s="1"/>
  <c r="AG19" i="1"/>
  <c r="AA16" i="22"/>
  <c r="AG18" i="1"/>
  <c r="AE48" i="24"/>
  <c r="AF48" i="24" s="1"/>
  <c r="T49" i="23"/>
  <c r="T52" i="23" s="1"/>
  <c r="T50" i="22"/>
  <c r="T53" i="22" s="1"/>
  <c r="X49" i="23"/>
  <c r="AA49" i="23"/>
  <c r="AC49" i="23" s="1"/>
  <c r="X50" i="22"/>
  <c r="X53" i="22" s="1"/>
  <c r="AA50" i="22"/>
  <c r="AC50" i="22" s="1"/>
  <c r="AC53" i="22" s="1"/>
  <c r="AA49" i="24"/>
  <c r="AC49" i="24" s="1"/>
  <c r="X49" i="24"/>
  <c r="X52" i="24" s="1"/>
  <c r="AE50" i="24"/>
  <c r="AF50" i="24" s="1"/>
  <c r="Y119" i="1"/>
  <c r="AE50" i="23"/>
  <c r="AF50" i="23" s="1"/>
  <c r="AI12" i="24"/>
  <c r="AH12" i="24"/>
  <c r="AE34" i="24"/>
  <c r="AF34" i="24" s="1"/>
  <c r="AG34" i="24" s="1"/>
  <c r="AH34" i="24" s="1"/>
  <c r="AI34" i="24" s="1"/>
  <c r="AG11" i="23"/>
  <c r="AF11" i="23"/>
  <c r="V15" i="23"/>
  <c r="X15" i="23" s="1"/>
  <c r="AE13" i="23"/>
  <c r="AF13" i="23" s="1"/>
  <c r="AH12" i="23"/>
  <c r="AI12" i="23"/>
  <c r="AE20" i="22"/>
  <c r="AF20" i="22" s="1"/>
  <c r="AF11" i="22"/>
  <c r="AG11" i="22"/>
  <c r="AE35" i="22"/>
  <c r="AF35" i="22" s="1"/>
  <c r="AG35" i="22" s="1"/>
  <c r="AH35" i="22" s="1"/>
  <c r="AI35" i="22" s="1"/>
  <c r="V16" i="22"/>
  <c r="X16" i="22" s="1"/>
  <c r="AE14" i="22"/>
  <c r="AF14" i="22" s="1"/>
  <c r="AI13" i="22"/>
  <c r="AH13" i="22"/>
  <c r="AE22" i="22"/>
  <c r="AF22" i="22" s="1"/>
  <c r="AC16" i="22" l="1"/>
  <c r="AE16" i="22" s="1"/>
  <c r="AF16" i="22" s="1"/>
  <c r="Y15" i="24"/>
  <c r="AE15" i="23"/>
  <c r="AF15" i="23" s="1"/>
  <c r="AD15" i="23"/>
  <c r="AD49" i="24"/>
  <c r="AD52" i="24" s="1"/>
  <c r="AC52" i="24"/>
  <c r="AE52" i="24" s="1"/>
  <c r="AF52" i="24" s="1"/>
  <c r="Y49" i="23"/>
  <c r="Y52" i="23" s="1"/>
  <c r="X52" i="23"/>
  <c r="AD49" i="23"/>
  <c r="AD52" i="23" s="1"/>
  <c r="AC52" i="23"/>
  <c r="AE23" i="22"/>
  <c r="AF23" i="22" s="1"/>
  <c r="AE50" i="22"/>
  <c r="AF50" i="22" s="1"/>
  <c r="Y49" i="24"/>
  <c r="Y52" i="24" s="1"/>
  <c r="AE49" i="24"/>
  <c r="AF49" i="24" s="1"/>
  <c r="AD50" i="22"/>
  <c r="AD53" i="22" s="1"/>
  <c r="AE49" i="23"/>
  <c r="AF49" i="23" s="1"/>
  <c r="Y50" i="22"/>
  <c r="Y53" i="22" s="1"/>
  <c r="AI11" i="23"/>
  <c r="AH11" i="23"/>
  <c r="Y15" i="23"/>
  <c r="AH11" i="22"/>
  <c r="AI11" i="22"/>
  <c r="Y16" i="22"/>
  <c r="AD16" i="22" l="1"/>
  <c r="AE52" i="23"/>
  <c r="AF52" i="23" s="1"/>
  <c r="AE53" i="22"/>
  <c r="AF53" i="22" s="1"/>
  <c r="M29" i="21" l="1"/>
  <c r="R29" i="21" s="1"/>
  <c r="W29" i="21" s="1"/>
  <c r="AB29" i="21" s="1"/>
  <c r="F29" i="21"/>
  <c r="L29" i="21" s="1"/>
  <c r="F29" i="24"/>
  <c r="F29" i="23"/>
  <c r="F30" i="22"/>
  <c r="F30" i="21"/>
  <c r="AD58" i="1"/>
  <c r="AD61" i="1" s="1"/>
  <c r="X58" i="1"/>
  <c r="X62" i="1" s="1"/>
  <c r="R58" i="1"/>
  <c r="R62" i="1" s="1"/>
  <c r="L58" i="1"/>
  <c r="L61" i="1" s="1"/>
  <c r="E61" i="1"/>
  <c r="F55" i="1"/>
  <c r="F56" i="1"/>
  <c r="F57" i="1"/>
  <c r="F54" i="1"/>
  <c r="M28" i="21"/>
  <c r="R28" i="21" s="1"/>
  <c r="W28" i="21" s="1"/>
  <c r="AB28" i="21" s="1"/>
  <c r="M27" i="21"/>
  <c r="R27" i="21" s="1"/>
  <c r="W27" i="21" s="1"/>
  <c r="AB27" i="21" s="1"/>
  <c r="M26" i="21"/>
  <c r="R26" i="21" s="1"/>
  <c r="W26" i="21" s="1"/>
  <c r="AB26" i="21" s="1"/>
  <c r="M35" i="21"/>
  <c r="R35" i="21" s="1"/>
  <c r="W35" i="21" s="1"/>
  <c r="AB35" i="21" s="1"/>
  <c r="M34" i="21"/>
  <c r="R34" i="21" s="1"/>
  <c r="W34" i="21" s="1"/>
  <c r="AB34" i="21" s="1"/>
  <c r="M33" i="21"/>
  <c r="R33" i="21" s="1"/>
  <c r="W33" i="21" s="1"/>
  <c r="AB33" i="21" s="1"/>
  <c r="AH106" i="1"/>
  <c r="AB106" i="1"/>
  <c r="V106" i="1"/>
  <c r="P106" i="1"/>
  <c r="J106" i="1"/>
  <c r="Y104" i="1"/>
  <c r="I50" i="21"/>
  <c r="F118" i="1" s="1"/>
  <c r="I48" i="21"/>
  <c r="F116" i="1" s="1"/>
  <c r="AB37" i="24"/>
  <c r="AB37" i="23"/>
  <c r="AB38" i="21"/>
  <c r="AB39" i="21" s="1"/>
  <c r="M38" i="21"/>
  <c r="M39" i="21" s="1"/>
  <c r="W38" i="22"/>
  <c r="W38" i="21"/>
  <c r="W39" i="21" s="1"/>
  <c r="R38" i="22"/>
  <c r="R38" i="21"/>
  <c r="R39" i="21" s="1"/>
  <c r="L50" i="21"/>
  <c r="Q50" i="21" s="1"/>
  <c r="V50" i="21" s="1"/>
  <c r="AA50" i="21" s="1"/>
  <c r="L49" i="21"/>
  <c r="Q49" i="21" s="1"/>
  <c r="V49" i="21" s="1"/>
  <c r="AA49" i="21" s="1"/>
  <c r="L48" i="21"/>
  <c r="Q48" i="21" s="1"/>
  <c r="V48" i="21" s="1"/>
  <c r="AA48" i="21" s="1"/>
  <c r="L52" i="21"/>
  <c r="Q52" i="21" s="1"/>
  <c r="V52" i="21" s="1"/>
  <c r="L47" i="21"/>
  <c r="Q47" i="21" s="1"/>
  <c r="V47" i="21" s="1"/>
  <c r="AA47" i="21" s="1"/>
  <c r="L22" i="21"/>
  <c r="Q22" i="21" s="1"/>
  <c r="V22" i="21" s="1"/>
  <c r="AA22" i="21" s="1"/>
  <c r="L21" i="21"/>
  <c r="Q21" i="21" s="1"/>
  <c r="V21" i="21" s="1"/>
  <c r="AA21" i="21" s="1"/>
  <c r="L20" i="21"/>
  <c r="Q20" i="21" s="1"/>
  <c r="V20" i="21" s="1"/>
  <c r="AA20" i="21" s="1"/>
  <c r="L19" i="21"/>
  <c r="Q19" i="21" s="1"/>
  <c r="V19" i="21" s="1"/>
  <c r="AA19" i="21" s="1"/>
  <c r="I22" i="21"/>
  <c r="I21" i="21"/>
  <c r="I20" i="21"/>
  <c r="I19" i="21"/>
  <c r="J49" i="21"/>
  <c r="F26" i="21"/>
  <c r="F36" i="1" s="1"/>
  <c r="K33" i="21"/>
  <c r="U33" i="21"/>
  <c r="Z33" i="21"/>
  <c r="P33" i="21"/>
  <c r="F35" i="21"/>
  <c r="L35" i="21" s="1"/>
  <c r="Q35" i="21" s="1"/>
  <c r="V35" i="21" s="1"/>
  <c r="AA35" i="21" s="1"/>
  <c r="E33" i="21"/>
  <c r="D14" i="20"/>
  <c r="D15" i="20" s="1"/>
  <c r="E14" i="20"/>
  <c r="E15" i="20" s="1"/>
  <c r="F14" i="20"/>
  <c r="F15" i="20" s="1"/>
  <c r="G14" i="20"/>
  <c r="G15" i="20" s="1"/>
  <c r="C15" i="20"/>
  <c r="H7" i="20"/>
  <c r="H8" i="20"/>
  <c r="H11" i="20"/>
  <c r="H9" i="20"/>
  <c r="H5" i="20"/>
  <c r="F40" i="21"/>
  <c r="L30" i="21"/>
  <c r="Z26" i="21"/>
  <c r="U26" i="21"/>
  <c r="W40" i="21" s="1"/>
  <c r="P26" i="21"/>
  <c r="K26" i="21"/>
  <c r="M40" i="21" l="1"/>
  <c r="R40" i="21"/>
  <c r="Z30" i="21"/>
  <c r="AB40" i="21"/>
  <c r="L40" i="21"/>
  <c r="Q40" i="21" s="1"/>
  <c r="V40" i="21" s="1"/>
  <c r="AA40" i="21" s="1"/>
  <c r="P34" i="21"/>
  <c r="K35" i="21"/>
  <c r="I23" i="21"/>
  <c r="F96" i="1" s="1"/>
  <c r="AA52" i="21"/>
  <c r="X52" i="21"/>
  <c r="Y120" i="1" s="1"/>
  <c r="F34" i="22"/>
  <c r="J34" i="22" s="1"/>
  <c r="F39" i="22"/>
  <c r="L39" i="22" s="1"/>
  <c r="F61" i="1"/>
  <c r="L30" i="22"/>
  <c r="I30" i="22"/>
  <c r="I55" i="22" s="1"/>
  <c r="J30" i="22"/>
  <c r="J55" i="22" s="1"/>
  <c r="L29" i="23"/>
  <c r="J29" i="23"/>
  <c r="J54" i="23" s="1"/>
  <c r="I29" i="23"/>
  <c r="I54" i="23" s="1"/>
  <c r="F33" i="24"/>
  <c r="J33" i="24" s="1"/>
  <c r="F38" i="24"/>
  <c r="F33" i="23"/>
  <c r="J33" i="23" s="1"/>
  <c r="F38" i="23"/>
  <c r="L29" i="24"/>
  <c r="I29" i="24"/>
  <c r="I54" i="24" s="1"/>
  <c r="J29" i="24"/>
  <c r="J54" i="24" s="1"/>
  <c r="Q30" i="21"/>
  <c r="V30" i="21" s="1"/>
  <c r="AB38" i="23"/>
  <c r="AB38" i="22"/>
  <c r="Z35" i="21"/>
  <c r="U35" i="21"/>
  <c r="P30" i="21"/>
  <c r="T30" i="21" s="1"/>
  <c r="K30" i="21"/>
  <c r="N30" i="21" s="1"/>
  <c r="Q29" i="21"/>
  <c r="V29" i="21" s="1"/>
  <c r="W39" i="22"/>
  <c r="R39" i="22"/>
  <c r="G39" i="22"/>
  <c r="U28" i="21"/>
  <c r="L62" i="1"/>
  <c r="L63" i="1"/>
  <c r="AD62" i="1"/>
  <c r="E62" i="1"/>
  <c r="E63" i="1"/>
  <c r="X61" i="1"/>
  <c r="R61" i="1"/>
  <c r="N21" i="21"/>
  <c r="AD36" i="1"/>
  <c r="AD41" i="1" s="1"/>
  <c r="L36" i="1"/>
  <c r="L41" i="1" s="1"/>
  <c r="R36" i="1"/>
  <c r="R41" i="1" s="1"/>
  <c r="X36" i="1"/>
  <c r="X41" i="1" s="1"/>
  <c r="L26" i="21"/>
  <c r="N26" i="21" s="1"/>
  <c r="F28" i="22"/>
  <c r="S21" i="21"/>
  <c r="AC21" i="21"/>
  <c r="S22" i="21"/>
  <c r="T22" i="21" s="1"/>
  <c r="N22" i="21"/>
  <c r="J22" i="21"/>
  <c r="J21" i="21"/>
  <c r="S20" i="21"/>
  <c r="T20" i="21" s="1"/>
  <c r="J20" i="21"/>
  <c r="N20" i="21"/>
  <c r="O20" i="21" s="1"/>
  <c r="S49" i="21"/>
  <c r="N49" i="21"/>
  <c r="F39" i="21"/>
  <c r="I39" i="21" s="1"/>
  <c r="P35" i="21"/>
  <c r="U34" i="21"/>
  <c r="Z34" i="21"/>
  <c r="K34" i="21"/>
  <c r="E34" i="21"/>
  <c r="J34" i="21" s="1"/>
  <c r="E35" i="21"/>
  <c r="F27" i="23"/>
  <c r="F27" i="24"/>
  <c r="U30" i="21"/>
  <c r="Y30" i="21" s="1"/>
  <c r="U27" i="21"/>
  <c r="U29" i="21" s="1"/>
  <c r="P27" i="21"/>
  <c r="P29" i="21" s="1"/>
  <c r="Z27" i="21"/>
  <c r="Z29" i="21" s="1"/>
  <c r="P28" i="21"/>
  <c r="Z28" i="21"/>
  <c r="K27" i="21"/>
  <c r="K29" i="21" s="1"/>
  <c r="O29" i="21" s="1"/>
  <c r="K28" i="21"/>
  <c r="N40" i="21" l="1"/>
  <c r="M76" i="1" s="1"/>
  <c r="I35" i="21"/>
  <c r="J35" i="21"/>
  <c r="T35" i="21"/>
  <c r="S35" i="21"/>
  <c r="Y35" i="21"/>
  <c r="X35" i="21"/>
  <c r="N35" i="21"/>
  <c r="O35" i="21"/>
  <c r="AD35" i="21"/>
  <c r="AC35" i="21"/>
  <c r="F34" i="20"/>
  <c r="G34" i="20" s="1"/>
  <c r="M48" i="1"/>
  <c r="S30" i="21"/>
  <c r="O48" i="1"/>
  <c r="E64" i="1"/>
  <c r="O22" i="21"/>
  <c r="O21" i="21"/>
  <c r="AD21" i="21"/>
  <c r="T21" i="21"/>
  <c r="O49" i="21"/>
  <c r="M117" i="1"/>
  <c r="T49" i="21"/>
  <c r="S117" i="1"/>
  <c r="L27" i="23"/>
  <c r="J27" i="23"/>
  <c r="I27" i="23"/>
  <c r="Q29" i="24"/>
  <c r="N29" i="24"/>
  <c r="N54" i="24" s="1"/>
  <c r="O29" i="24"/>
  <c r="O54" i="24" s="1"/>
  <c r="N30" i="22"/>
  <c r="N55" i="22" s="1"/>
  <c r="Q30" i="22"/>
  <c r="O30" i="22"/>
  <c r="O55" i="22" s="1"/>
  <c r="L28" i="22"/>
  <c r="I28" i="22"/>
  <c r="J28" i="22"/>
  <c r="L33" i="24"/>
  <c r="I33" i="24"/>
  <c r="L38" i="23"/>
  <c r="J38" i="23"/>
  <c r="I38" i="23"/>
  <c r="L33" i="23"/>
  <c r="I33" i="23"/>
  <c r="L38" i="24"/>
  <c r="I38" i="24"/>
  <c r="J38" i="24"/>
  <c r="O39" i="22"/>
  <c r="N39" i="22"/>
  <c r="Q39" i="22"/>
  <c r="V39" i="22" s="1"/>
  <c r="AA39" i="22" s="1"/>
  <c r="Q29" i="23"/>
  <c r="N29" i="23"/>
  <c r="N54" i="23" s="1"/>
  <c r="O29" i="23"/>
  <c r="O54" i="23" s="1"/>
  <c r="L27" i="24"/>
  <c r="I27" i="24"/>
  <c r="J27" i="24"/>
  <c r="X29" i="21"/>
  <c r="L34" i="22"/>
  <c r="I34" i="22"/>
  <c r="O30" i="21"/>
  <c r="AA30" i="21"/>
  <c r="X30" i="21"/>
  <c r="S29" i="21"/>
  <c r="N29" i="21"/>
  <c r="AB39" i="22"/>
  <c r="AB38" i="24"/>
  <c r="I39" i="22"/>
  <c r="J39" i="22"/>
  <c r="Y29" i="21"/>
  <c r="AA29" i="21"/>
  <c r="T29" i="21"/>
  <c r="F62" i="1"/>
  <c r="Q26" i="21"/>
  <c r="O26" i="21"/>
  <c r="L39" i="21"/>
  <c r="Q39" i="21" s="1"/>
  <c r="V39" i="21" s="1"/>
  <c r="AA39" i="21" s="1"/>
  <c r="AC39" i="21" s="1"/>
  <c r="X21" i="21"/>
  <c r="AC22" i="21"/>
  <c r="X22" i="21"/>
  <c r="X20" i="21"/>
  <c r="AC20" i="21"/>
  <c r="AD20" i="21" s="1"/>
  <c r="T40" i="21"/>
  <c r="Y40" i="21"/>
  <c r="AD40" i="21"/>
  <c r="AE76" i="1" s="1"/>
  <c r="O40" i="21"/>
  <c r="AC49" i="21"/>
  <c r="AD49" i="21" s="1"/>
  <c r="AE117" i="1" s="1"/>
  <c r="X49" i="21"/>
  <c r="Y117" i="1" s="1"/>
  <c r="J39" i="21"/>
  <c r="AC40" i="21"/>
  <c r="S40" i="21"/>
  <c r="S76" i="1" s="1"/>
  <c r="AE35" i="21"/>
  <c r="AF35" i="21" s="1"/>
  <c r="AG35" i="21" s="1"/>
  <c r="AH35" i="21" s="1"/>
  <c r="AI35" i="21" s="1"/>
  <c r="X40" i="21"/>
  <c r="Y76" i="1" s="1"/>
  <c r="F28" i="21"/>
  <c r="L34" i="21"/>
  <c r="Q34" i="21" l="1"/>
  <c r="N34" i="21"/>
  <c r="O34" i="21"/>
  <c r="O34" i="22"/>
  <c r="N34" i="22"/>
  <c r="O33" i="23"/>
  <c r="N33" i="23"/>
  <c r="O33" i="24"/>
  <c r="N33" i="24"/>
  <c r="Q48" i="1"/>
  <c r="F26" i="23"/>
  <c r="I26" i="23" s="1"/>
  <c r="F26" i="24"/>
  <c r="J26" i="24" s="1"/>
  <c r="F27" i="22"/>
  <c r="I27" i="22" s="1"/>
  <c r="F27" i="21"/>
  <c r="L27" i="21" s="1"/>
  <c r="N27" i="21" s="1"/>
  <c r="S48" i="1"/>
  <c r="U48" i="1" s="1"/>
  <c r="T39" i="22"/>
  <c r="X39" i="22"/>
  <c r="Y39" i="22"/>
  <c r="AD22" i="21"/>
  <c r="Y22" i="21"/>
  <c r="Y21" i="21"/>
  <c r="Q33" i="23"/>
  <c r="F32" i="23"/>
  <c r="J32" i="23" s="1"/>
  <c r="F37" i="23"/>
  <c r="Q34" i="22"/>
  <c r="J26" i="23"/>
  <c r="Q33" i="24"/>
  <c r="V29" i="24"/>
  <c r="T29" i="24"/>
  <c r="T54" i="24" s="1"/>
  <c r="S29" i="24"/>
  <c r="S54" i="24" s="1"/>
  <c r="L27" i="22"/>
  <c r="J27" i="22"/>
  <c r="N38" i="23"/>
  <c r="O38" i="23"/>
  <c r="Q38" i="23"/>
  <c r="V29" i="23"/>
  <c r="T29" i="23"/>
  <c r="T54" i="23" s="1"/>
  <c r="S29" i="23"/>
  <c r="S54" i="23" s="1"/>
  <c r="F33" i="22"/>
  <c r="J33" i="22" s="1"/>
  <c r="F38" i="22"/>
  <c r="Q27" i="24"/>
  <c r="N27" i="24"/>
  <c r="O27" i="24"/>
  <c r="K48" i="1"/>
  <c r="Q28" i="22"/>
  <c r="O28" i="22"/>
  <c r="N28" i="22"/>
  <c r="S30" i="22"/>
  <c r="V30" i="22"/>
  <c r="T30" i="22"/>
  <c r="T55" i="22" s="1"/>
  <c r="F32" i="24"/>
  <c r="J32" i="24" s="1"/>
  <c r="F37" i="24"/>
  <c r="S39" i="22"/>
  <c r="N38" i="24"/>
  <c r="M74" i="1" s="1"/>
  <c r="O38" i="24"/>
  <c r="Q38" i="24"/>
  <c r="Q27" i="23"/>
  <c r="O27" i="23"/>
  <c r="N27" i="23"/>
  <c r="AC30" i="21"/>
  <c r="AD30" i="21"/>
  <c r="AD39" i="22"/>
  <c r="AC39" i="22"/>
  <c r="AC29" i="21"/>
  <c r="AD29" i="21"/>
  <c r="Y20" i="21"/>
  <c r="AE20" i="21"/>
  <c r="AF20" i="21" s="1"/>
  <c r="L28" i="21"/>
  <c r="N28" i="21" s="1"/>
  <c r="N39" i="21"/>
  <c r="S39" i="21"/>
  <c r="V26" i="21"/>
  <c r="T26" i="21"/>
  <c r="S26" i="21"/>
  <c r="Y39" i="21"/>
  <c r="X39" i="21"/>
  <c r="AE22" i="21"/>
  <c r="AF22" i="21" s="1"/>
  <c r="AE21" i="21"/>
  <c r="AF21" i="21" s="1"/>
  <c r="Y49" i="21"/>
  <c r="AE49" i="21"/>
  <c r="AF49" i="21" s="1"/>
  <c r="O39" i="21"/>
  <c r="AD39" i="21"/>
  <c r="T39" i="21"/>
  <c r="F33" i="21"/>
  <c r="L38" i="21"/>
  <c r="Q38" i="21" s="1"/>
  <c r="V38" i="21" s="1"/>
  <c r="AA38" i="21" s="1"/>
  <c r="I34" i="21"/>
  <c r="L26" i="24" l="1"/>
  <c r="L33" i="21"/>
  <c r="J33" i="21"/>
  <c r="T33" i="24"/>
  <c r="S33" i="24"/>
  <c r="T34" i="22"/>
  <c r="S34" i="22"/>
  <c r="T33" i="23"/>
  <c r="S33" i="23"/>
  <c r="V34" i="21"/>
  <c r="T34" i="21"/>
  <c r="S34" i="21"/>
  <c r="AE39" i="22"/>
  <c r="AF39" i="22" s="1"/>
  <c r="AG39" i="22" s="1"/>
  <c r="AH39" i="22" s="1"/>
  <c r="AI39" i="22" s="1"/>
  <c r="L26" i="23"/>
  <c r="Q26" i="23" s="1"/>
  <c r="I26" i="24"/>
  <c r="AE48" i="1"/>
  <c r="Y48" i="1"/>
  <c r="T38" i="23"/>
  <c r="V38" i="23"/>
  <c r="S38" i="23"/>
  <c r="V34" i="22"/>
  <c r="Y29" i="24"/>
  <c r="Y54" i="24" s="1"/>
  <c r="AA29" i="24"/>
  <c r="X29" i="24"/>
  <c r="X54" i="24" s="1"/>
  <c r="V28" i="22"/>
  <c r="T28" i="22"/>
  <c r="S28" i="22"/>
  <c r="L38" i="22"/>
  <c r="J38" i="22"/>
  <c r="I38" i="22"/>
  <c r="L37" i="23"/>
  <c r="J37" i="23"/>
  <c r="I37" i="23"/>
  <c r="L32" i="24"/>
  <c r="I32" i="24"/>
  <c r="L33" i="22"/>
  <c r="I33" i="22"/>
  <c r="F45" i="1" s="1"/>
  <c r="L32" i="23"/>
  <c r="I32" i="23"/>
  <c r="F46" i="1" s="1"/>
  <c r="V33" i="24"/>
  <c r="L37" i="24"/>
  <c r="J37" i="24"/>
  <c r="I37" i="24"/>
  <c r="S27" i="23"/>
  <c r="V27" i="23"/>
  <c r="T27" i="23"/>
  <c r="X30" i="22"/>
  <c r="X55" i="22" s="1"/>
  <c r="Y30" i="22"/>
  <c r="Y55" i="22" s="1"/>
  <c r="AA30" i="22"/>
  <c r="Q27" i="22"/>
  <c r="O27" i="22"/>
  <c r="N27" i="22"/>
  <c r="Q26" i="24"/>
  <c r="N26" i="24"/>
  <c r="O26" i="24"/>
  <c r="T38" i="24"/>
  <c r="V38" i="24"/>
  <c r="S38" i="24"/>
  <c r="S55" i="22"/>
  <c r="V27" i="24"/>
  <c r="T27" i="24"/>
  <c r="S27" i="24"/>
  <c r="AA29" i="23"/>
  <c r="Y29" i="23"/>
  <c r="Y54" i="23" s="1"/>
  <c r="X29" i="23"/>
  <c r="X54" i="23" s="1"/>
  <c r="O26" i="23"/>
  <c r="V33" i="23"/>
  <c r="AA26" i="21"/>
  <c r="Y26" i="21"/>
  <c r="X26" i="21"/>
  <c r="Q27" i="21"/>
  <c r="O27" i="21"/>
  <c r="Q28" i="21"/>
  <c r="O28" i="21"/>
  <c r="AE39" i="21"/>
  <c r="AF39" i="21" s="1"/>
  <c r="AG39" i="21" s="1"/>
  <c r="AH39" i="21" s="1"/>
  <c r="AI39" i="21" s="1"/>
  <c r="I33" i="21"/>
  <c r="J38" i="21"/>
  <c r="N26" i="23" l="1"/>
  <c r="Y33" i="23"/>
  <c r="X33" i="23"/>
  <c r="Y33" i="24"/>
  <c r="X33" i="24"/>
  <c r="O32" i="23"/>
  <c r="N32" i="23"/>
  <c r="O33" i="22"/>
  <c r="N33" i="22"/>
  <c r="O32" i="24"/>
  <c r="N32" i="24"/>
  <c r="Y34" i="22"/>
  <c r="X34" i="22"/>
  <c r="AA34" i="21"/>
  <c r="Y34" i="21"/>
  <c r="X34" i="21"/>
  <c r="Q33" i="21"/>
  <c r="N33" i="21"/>
  <c r="O33" i="21"/>
  <c r="M44" i="1" s="1"/>
  <c r="F47" i="1"/>
  <c r="S74" i="1"/>
  <c r="AD29" i="23"/>
  <c r="AC29" i="23"/>
  <c r="AC54" i="23" s="1"/>
  <c r="Q38" i="22"/>
  <c r="O38" i="22"/>
  <c r="N38" i="22"/>
  <c r="AD29" i="24"/>
  <c r="AC29" i="24"/>
  <c r="AC54" i="24" s="1"/>
  <c r="AD30" i="22"/>
  <c r="AC30" i="22"/>
  <c r="AC55" i="22" s="1"/>
  <c r="AA33" i="23"/>
  <c r="AA33" i="24"/>
  <c r="AA48" i="1"/>
  <c r="AC48" i="1" s="1"/>
  <c r="AA34" i="22"/>
  <c r="Q37" i="24"/>
  <c r="O37" i="24"/>
  <c r="N37" i="24"/>
  <c r="Y27" i="24"/>
  <c r="X27" i="24"/>
  <c r="AA27" i="24"/>
  <c r="V26" i="24"/>
  <c r="T26" i="24"/>
  <c r="S26" i="24"/>
  <c r="Y27" i="23"/>
  <c r="X27" i="23"/>
  <c r="AA27" i="23"/>
  <c r="Q32" i="24"/>
  <c r="M47" i="1"/>
  <c r="N37" i="23"/>
  <c r="Q37" i="23"/>
  <c r="O37" i="23"/>
  <c r="Y38" i="24"/>
  <c r="X38" i="24"/>
  <c r="AA38" i="24"/>
  <c r="Q33" i="22"/>
  <c r="M45" i="1"/>
  <c r="Q32" i="23"/>
  <c r="M46" i="1"/>
  <c r="AA28" i="22"/>
  <c r="X28" i="22"/>
  <c r="Y28" i="22"/>
  <c r="Y38" i="23"/>
  <c r="AA38" i="23"/>
  <c r="X38" i="23"/>
  <c r="V27" i="22"/>
  <c r="T27" i="22"/>
  <c r="S27" i="22"/>
  <c r="V26" i="23"/>
  <c r="T26" i="23"/>
  <c r="S26" i="23"/>
  <c r="V27" i="21"/>
  <c r="X27" i="21" s="1"/>
  <c r="T27" i="21"/>
  <c r="S27" i="21"/>
  <c r="V28" i="21"/>
  <c r="X28" i="21" s="1"/>
  <c r="S28" i="21"/>
  <c r="T28" i="21"/>
  <c r="AD26" i="21"/>
  <c r="AC26" i="21"/>
  <c r="Y38" i="21"/>
  <c r="X38" i="21"/>
  <c r="S38" i="21"/>
  <c r="T38" i="21"/>
  <c r="AD38" i="21"/>
  <c r="AC38" i="21"/>
  <c r="O38" i="21"/>
  <c r="N38" i="21"/>
  <c r="S32" i="23" l="1"/>
  <c r="T32" i="23"/>
  <c r="T33" i="22"/>
  <c r="S33" i="22"/>
  <c r="T32" i="24"/>
  <c r="S32" i="24"/>
  <c r="AD34" i="22"/>
  <c r="AC34" i="22"/>
  <c r="AD33" i="24"/>
  <c r="AC33" i="24"/>
  <c r="AD33" i="23"/>
  <c r="AC33" i="23"/>
  <c r="V33" i="21"/>
  <c r="T33" i="21"/>
  <c r="S44" i="1" s="1"/>
  <c r="U44" i="1" s="1"/>
  <c r="S33" i="21"/>
  <c r="AD34" i="21"/>
  <c r="AE34" i="21" s="1"/>
  <c r="AF34" i="21" s="1"/>
  <c r="AG34" i="21" s="1"/>
  <c r="AH34" i="21" s="1"/>
  <c r="AI34" i="21" s="1"/>
  <c r="AC34" i="21"/>
  <c r="Y74" i="1"/>
  <c r="M75" i="1"/>
  <c r="AD28" i="22"/>
  <c r="AE28" i="22" s="1"/>
  <c r="AF28" i="22" s="1"/>
  <c r="AG28" i="22" s="1"/>
  <c r="AH28" i="22" s="1"/>
  <c r="AI28" i="22" s="1"/>
  <c r="AC28" i="22"/>
  <c r="AD27" i="23"/>
  <c r="AE27" i="23" s="1"/>
  <c r="AF27" i="23" s="1"/>
  <c r="AG27" i="23" s="1"/>
  <c r="AH27" i="23" s="1"/>
  <c r="AI27" i="23" s="1"/>
  <c r="AC27" i="23"/>
  <c r="W48" i="1"/>
  <c r="AE30" i="22"/>
  <c r="AD55" i="22"/>
  <c r="AA27" i="22"/>
  <c r="X27" i="22"/>
  <c r="Y27" i="22"/>
  <c r="V37" i="23"/>
  <c r="S37" i="23"/>
  <c r="T37" i="23"/>
  <c r="AE29" i="24"/>
  <c r="AD54" i="24"/>
  <c r="AC38" i="23"/>
  <c r="AD38" i="23"/>
  <c r="AE38" i="23" s="1"/>
  <c r="AF38" i="23" s="1"/>
  <c r="AG38" i="23" s="1"/>
  <c r="AH38" i="23" s="1"/>
  <c r="AI38" i="23" s="1"/>
  <c r="AA26" i="24"/>
  <c r="Y26" i="24"/>
  <c r="X26" i="24"/>
  <c r="AE34" i="22"/>
  <c r="AF34" i="22" s="1"/>
  <c r="AG34" i="22" s="1"/>
  <c r="AH34" i="22" s="1"/>
  <c r="AI34" i="22" s="1"/>
  <c r="V38" i="22"/>
  <c r="T38" i="22"/>
  <c r="S38" i="22"/>
  <c r="AE33" i="23"/>
  <c r="AF33" i="23" s="1"/>
  <c r="AG33" i="23" s="1"/>
  <c r="AH33" i="23" s="1"/>
  <c r="AI33" i="23" s="1"/>
  <c r="AE33" i="24"/>
  <c r="AF33" i="24" s="1"/>
  <c r="AG33" i="24" s="1"/>
  <c r="AH33" i="24" s="1"/>
  <c r="AI33" i="24" s="1"/>
  <c r="V32" i="23"/>
  <c r="S46" i="1"/>
  <c r="T37" i="24"/>
  <c r="V37" i="24"/>
  <c r="S37" i="24"/>
  <c r="S45" i="1"/>
  <c r="V33" i="22"/>
  <c r="AD27" i="24"/>
  <c r="AE27" i="24" s="1"/>
  <c r="AF27" i="24" s="1"/>
  <c r="AG27" i="24" s="1"/>
  <c r="AH27" i="24" s="1"/>
  <c r="AI27" i="24" s="1"/>
  <c r="AC27" i="24"/>
  <c r="AG48" i="1" s="1"/>
  <c r="X26" i="23"/>
  <c r="Y26" i="23"/>
  <c r="AA26" i="23"/>
  <c r="AC38" i="24"/>
  <c r="AD38" i="24"/>
  <c r="S47" i="1"/>
  <c r="V32" i="24"/>
  <c r="AE29" i="23"/>
  <c r="AD54" i="23"/>
  <c r="AA28" i="21"/>
  <c r="Y28" i="21"/>
  <c r="AA27" i="21"/>
  <c r="Y27" i="21"/>
  <c r="AE38" i="21"/>
  <c r="AF38" i="21" s="1"/>
  <c r="AG38" i="21" s="1"/>
  <c r="AH38" i="21" s="1"/>
  <c r="AI38" i="21" s="1"/>
  <c r="Y32" i="24" l="1"/>
  <c r="X32" i="24"/>
  <c r="Y33" i="22"/>
  <c r="X33" i="22"/>
  <c r="Y32" i="23"/>
  <c r="X32" i="23"/>
  <c r="AA33" i="21"/>
  <c r="Y33" i="21"/>
  <c r="Y44" i="1" s="1"/>
  <c r="AA44" i="1" s="1"/>
  <c r="X33" i="21"/>
  <c r="AI48" i="1"/>
  <c r="AJ48" i="1"/>
  <c r="AL48" i="1" s="1"/>
  <c r="S75" i="1"/>
  <c r="AE38" i="24"/>
  <c r="AF38" i="24" s="1"/>
  <c r="AG38" i="24" s="1"/>
  <c r="AH38" i="24" s="1"/>
  <c r="AI38" i="24" s="1"/>
  <c r="AE74" i="1"/>
  <c r="AA32" i="24"/>
  <c r="Y47" i="1"/>
  <c r="AA38" i="22"/>
  <c r="Y38" i="22"/>
  <c r="X38" i="22"/>
  <c r="AA33" i="22"/>
  <c r="Y45" i="1"/>
  <c r="Y46" i="1"/>
  <c r="AA32" i="23"/>
  <c r="AF29" i="24"/>
  <c r="AE54" i="24"/>
  <c r="AF30" i="22"/>
  <c r="AE55" i="22"/>
  <c r="O61" i="22" s="1"/>
  <c r="AC26" i="23"/>
  <c r="AD26" i="23"/>
  <c r="AA37" i="23"/>
  <c r="X37" i="23"/>
  <c r="Y37" i="23"/>
  <c r="AA37" i="24"/>
  <c r="Y37" i="24"/>
  <c r="X37" i="24"/>
  <c r="AC26" i="24"/>
  <c r="AD26" i="24"/>
  <c r="AF29" i="23"/>
  <c r="AE54" i="23"/>
  <c r="AC27" i="22"/>
  <c r="AD27" i="22"/>
  <c r="AD27" i="21"/>
  <c r="AC27" i="21"/>
  <c r="AD28" i="21"/>
  <c r="AC28" i="21"/>
  <c r="AC32" i="23" l="1"/>
  <c r="AD32" i="23"/>
  <c r="AD33" i="22"/>
  <c r="AC33" i="22"/>
  <c r="AD32" i="24"/>
  <c r="AC32" i="24"/>
  <c r="AC33" i="21"/>
  <c r="AD33" i="21"/>
  <c r="AE33" i="21" s="1"/>
  <c r="AF33" i="21" s="1"/>
  <c r="AG33" i="21" s="1"/>
  <c r="AH33" i="21" s="1"/>
  <c r="AI33" i="21" s="1"/>
  <c r="AE27" i="22"/>
  <c r="AF27" i="22" s="1"/>
  <c r="AG27" i="22" s="1"/>
  <c r="AH27" i="22" s="1"/>
  <c r="AI27" i="22" s="1"/>
  <c r="AE26" i="24"/>
  <c r="AF26" i="24" s="1"/>
  <c r="AG26" i="24" s="1"/>
  <c r="AH26" i="24" s="1"/>
  <c r="AI26" i="24" s="1"/>
  <c r="Y75" i="1"/>
  <c r="AG30" i="22"/>
  <c r="AH30" i="22" s="1"/>
  <c r="AI30" i="22" s="1"/>
  <c r="AF55" i="22"/>
  <c r="AD37" i="24"/>
  <c r="AC37" i="24"/>
  <c r="AG29" i="24"/>
  <c r="AH29" i="24" s="1"/>
  <c r="AI29" i="24" s="1"/>
  <c r="AF54" i="24"/>
  <c r="AD38" i="22"/>
  <c r="AE38" i="22" s="1"/>
  <c r="AF38" i="22" s="1"/>
  <c r="AG38" i="22" s="1"/>
  <c r="AH38" i="22" s="1"/>
  <c r="AI38" i="22" s="1"/>
  <c r="AC38" i="22"/>
  <c r="AG29" i="23"/>
  <c r="AH29" i="23" s="1"/>
  <c r="AI29" i="23" s="1"/>
  <c r="AF54" i="23"/>
  <c r="AC37" i="23"/>
  <c r="AD37" i="23"/>
  <c r="AE37" i="23" s="1"/>
  <c r="AF37" i="23" s="1"/>
  <c r="AG37" i="23" s="1"/>
  <c r="AH37" i="23" s="1"/>
  <c r="AI37" i="23" s="1"/>
  <c r="AE26" i="23"/>
  <c r="AF26" i="23" s="1"/>
  <c r="AG26" i="23" s="1"/>
  <c r="AH26" i="23" s="1"/>
  <c r="AI26" i="23" s="1"/>
  <c r="AE44" i="1" l="1"/>
  <c r="AG44" i="1" s="1"/>
  <c r="AE32" i="24"/>
  <c r="AF32" i="24" s="1"/>
  <c r="AG32" i="24" s="1"/>
  <c r="AH32" i="24" s="1"/>
  <c r="AI32" i="24" s="1"/>
  <c r="AE47" i="1"/>
  <c r="AE32" i="23"/>
  <c r="AF32" i="23" s="1"/>
  <c r="AG32" i="23" s="1"/>
  <c r="AH32" i="23" s="1"/>
  <c r="AI32" i="23" s="1"/>
  <c r="AE46" i="1"/>
  <c r="AE33" i="22"/>
  <c r="AF33" i="22" s="1"/>
  <c r="AG33" i="22" s="1"/>
  <c r="AH33" i="22" s="1"/>
  <c r="AI33" i="22" s="1"/>
  <c r="AE45" i="1"/>
  <c r="AE37" i="24"/>
  <c r="AF37" i="24" s="1"/>
  <c r="AG37" i="24" s="1"/>
  <c r="AH37" i="24" s="1"/>
  <c r="AI37" i="24" s="1"/>
  <c r="AE75" i="1"/>
  <c r="AG35" i="23"/>
  <c r="AH35" i="23" s="1"/>
  <c r="AI41" i="23" s="1"/>
  <c r="AG36" i="22"/>
  <c r="AH36" i="22" s="1"/>
  <c r="AI42" i="22" s="1"/>
  <c r="AG35" i="24"/>
  <c r="AH35" i="24" s="1"/>
  <c r="AI36" i="22" l="1"/>
  <c r="AI35" i="23"/>
  <c r="AI41" i="24"/>
  <c r="AI35" i="24"/>
  <c r="E26" i="21" l="1"/>
  <c r="G40" i="21" s="1"/>
  <c r="I40" i="21" s="1"/>
  <c r="AE23" i="1"/>
  <c r="Y23" i="1"/>
  <c r="S23" i="1"/>
  <c r="M23" i="1"/>
  <c r="D6" i="18"/>
  <c r="E6" i="18" s="1"/>
  <c r="D5" i="18"/>
  <c r="E5" i="18" s="1"/>
  <c r="D4" i="18"/>
  <c r="E4" i="18" s="1"/>
  <c r="D3" i="18"/>
  <c r="E3" i="18" s="1"/>
  <c r="D2" i="18"/>
  <c r="E2" i="18" s="1"/>
  <c r="B2" i="18"/>
  <c r="H6" i="20"/>
  <c r="B5" i="18"/>
  <c r="C5" i="18" s="1"/>
  <c r="B4" i="18"/>
  <c r="C4" i="18" s="1"/>
  <c r="B3" i="18"/>
  <c r="C3" i="18" s="1"/>
  <c r="AK39" i="1"/>
  <c r="M39" i="1"/>
  <c r="S39" i="1" s="1"/>
  <c r="Y39" i="1" s="1"/>
  <c r="I39" i="1"/>
  <c r="K39" i="1" s="1"/>
  <c r="AK38" i="1"/>
  <c r="M38" i="1"/>
  <c r="S38" i="1" s="1"/>
  <c r="Y38" i="1" s="1"/>
  <c r="I38" i="1"/>
  <c r="K38" i="1" s="1"/>
  <c r="AK37" i="1"/>
  <c r="M37" i="1"/>
  <c r="S37" i="1" s="1"/>
  <c r="Y37" i="1" s="1"/>
  <c r="I37" i="1"/>
  <c r="AK36" i="1"/>
  <c r="M36" i="1"/>
  <c r="O36" i="1" s="1"/>
  <c r="AK56" i="1"/>
  <c r="M56" i="1"/>
  <c r="S56" i="1" s="1"/>
  <c r="I56" i="1"/>
  <c r="K56" i="1" s="1"/>
  <c r="AK55" i="1"/>
  <c r="M55" i="1"/>
  <c r="S55" i="1" s="1"/>
  <c r="I55" i="1"/>
  <c r="AK54" i="1"/>
  <c r="M54" i="1"/>
  <c r="S54" i="1" s="1"/>
  <c r="Y54" i="1" s="1"/>
  <c r="I54" i="1"/>
  <c r="H14" i="20"/>
  <c r="H15" i="20" s="1"/>
  <c r="H10" i="20"/>
  <c r="H4" i="20"/>
  <c r="N52" i="21"/>
  <c r="M120" i="1" s="1"/>
  <c r="I52" i="21"/>
  <c r="F120" i="1" s="1"/>
  <c r="J48" i="21"/>
  <c r="I47" i="21"/>
  <c r="AC43" i="21"/>
  <c r="X43" i="21"/>
  <c r="Y43" i="21" s="1"/>
  <c r="Y44" i="21" s="1"/>
  <c r="T43" i="21"/>
  <c r="N43" i="21"/>
  <c r="I43" i="21"/>
  <c r="L13" i="21"/>
  <c r="Q13" i="21" s="1"/>
  <c r="I13" i="21"/>
  <c r="L11" i="21"/>
  <c r="Q11" i="21" s="1"/>
  <c r="I11" i="21"/>
  <c r="L8" i="21"/>
  <c r="Q8" i="21" s="1"/>
  <c r="J8" i="21"/>
  <c r="AK41" i="1" l="1"/>
  <c r="K37" i="1"/>
  <c r="F115" i="1"/>
  <c r="I115" i="1" s="1"/>
  <c r="K115" i="1" s="1"/>
  <c r="I53" i="21"/>
  <c r="I120" i="1" s="1"/>
  <c r="AC44" i="21"/>
  <c r="AE84" i="1"/>
  <c r="I44" i="21"/>
  <c r="N44" i="21"/>
  <c r="M84" i="1"/>
  <c r="O52" i="21"/>
  <c r="K54" i="1"/>
  <c r="Q36" i="1"/>
  <c r="T44" i="21"/>
  <c r="S84" i="1"/>
  <c r="E29" i="21"/>
  <c r="E28" i="21"/>
  <c r="E27" i="21"/>
  <c r="J11" i="21"/>
  <c r="J13" i="21"/>
  <c r="J40" i="21"/>
  <c r="AE40" i="21" s="1"/>
  <c r="AF40" i="21" s="1"/>
  <c r="AG40" i="21" s="1"/>
  <c r="AH40" i="21" s="1"/>
  <c r="AI40" i="21" s="1"/>
  <c r="J26" i="21"/>
  <c r="AE26" i="21" s="1"/>
  <c r="AF26" i="21" s="1"/>
  <c r="AG26" i="21" s="1"/>
  <c r="AH26" i="21" s="1"/>
  <c r="AI26" i="21" s="1"/>
  <c r="E30" i="21"/>
  <c r="F4" i="18"/>
  <c r="R23" i="1" s="1"/>
  <c r="V23" i="1" s="1"/>
  <c r="F3" i="18"/>
  <c r="L23" i="1" s="1"/>
  <c r="F5" i="18"/>
  <c r="G5" i="18" s="1"/>
  <c r="B6" i="18"/>
  <c r="C6" i="18" s="1"/>
  <c r="F6" i="18" s="1"/>
  <c r="AD23" i="1" s="1"/>
  <c r="AH23" i="1" s="1"/>
  <c r="I26" i="21"/>
  <c r="E36" i="1"/>
  <c r="E41" i="1" s="1"/>
  <c r="S47" i="21"/>
  <c r="AC47" i="21"/>
  <c r="S44" i="21"/>
  <c r="N48" i="21"/>
  <c r="N47" i="21"/>
  <c r="O43" i="21"/>
  <c r="O44" i="21" s="1"/>
  <c r="S48" i="21"/>
  <c r="AC48" i="21"/>
  <c r="AD48" i="21" s="1"/>
  <c r="AE116" i="1" s="1"/>
  <c r="V13" i="21"/>
  <c r="S13" i="21"/>
  <c r="T13" i="21" s="1"/>
  <c r="N13" i="21"/>
  <c r="C2" i="18"/>
  <c r="F2" i="18" s="1"/>
  <c r="E23" i="1" s="1"/>
  <c r="J23" i="1" s="1"/>
  <c r="J25" i="1" s="1"/>
  <c r="D7" i="18"/>
  <c r="E7" i="18"/>
  <c r="S36" i="1"/>
  <c r="Y36" i="1" s="1"/>
  <c r="AE36" i="1" s="1"/>
  <c r="AG36" i="1" s="1"/>
  <c r="O54" i="1"/>
  <c r="O37" i="1"/>
  <c r="U37" i="1"/>
  <c r="U38" i="1"/>
  <c r="W38" i="1" s="1"/>
  <c r="U39" i="1"/>
  <c r="W39" i="1" s="1"/>
  <c r="O56" i="1"/>
  <c r="Q56" i="1" s="1"/>
  <c r="O38" i="1"/>
  <c r="Q38" i="1" s="1"/>
  <c r="O39" i="1"/>
  <c r="Q39" i="1" s="1"/>
  <c r="Y56" i="1"/>
  <c r="U56" i="1"/>
  <c r="W56" i="1" s="1"/>
  <c r="U55" i="1"/>
  <c r="W55" i="1" s="1"/>
  <c r="Y55" i="1"/>
  <c r="O55" i="1"/>
  <c r="Q55" i="1" s="1"/>
  <c r="K55" i="1"/>
  <c r="AE54" i="1"/>
  <c r="AG54" i="1" s="1"/>
  <c r="AA54" i="1"/>
  <c r="U54" i="1"/>
  <c r="N50" i="21"/>
  <c r="V8" i="21"/>
  <c r="S8" i="21"/>
  <c r="V11" i="21"/>
  <c r="S11" i="21"/>
  <c r="T11" i="21" s="1"/>
  <c r="S19" i="21"/>
  <c r="I14" i="21"/>
  <c r="J43" i="21"/>
  <c r="J44" i="21" s="1"/>
  <c r="AD43" i="21"/>
  <c r="AD44" i="21" s="1"/>
  <c r="J47" i="21"/>
  <c r="J19" i="21"/>
  <c r="J23" i="21" s="1"/>
  <c r="AE43" i="21"/>
  <c r="AF43" i="21" s="1"/>
  <c r="X44" i="21"/>
  <c r="J52" i="21"/>
  <c r="N19" i="21"/>
  <c r="N23" i="21" s="1"/>
  <c r="N11" i="21"/>
  <c r="N8" i="21"/>
  <c r="O41" i="1" l="1"/>
  <c r="M96" i="1"/>
  <c r="T19" i="21"/>
  <c r="T23" i="21" s="1"/>
  <c r="S96" i="1" s="1"/>
  <c r="S23" i="21"/>
  <c r="I15" i="20"/>
  <c r="N53" i="21"/>
  <c r="O120" i="1" s="1"/>
  <c r="Q120" i="1" s="1"/>
  <c r="K120" i="1"/>
  <c r="T48" i="21"/>
  <c r="S116" i="1"/>
  <c r="O47" i="21"/>
  <c r="M115" i="1"/>
  <c r="T47" i="21"/>
  <c r="S115" i="1"/>
  <c r="O48" i="21"/>
  <c r="M116" i="1"/>
  <c r="O50" i="21"/>
  <c r="M118" i="1"/>
  <c r="W54" i="1"/>
  <c r="AC54" i="1"/>
  <c r="AI36" i="1"/>
  <c r="Q54" i="1"/>
  <c r="AI54" i="1"/>
  <c r="J14" i="21"/>
  <c r="I29" i="21"/>
  <c r="J29" i="21"/>
  <c r="AE29" i="21" s="1"/>
  <c r="AF29" i="21" s="1"/>
  <c r="AD47" i="21"/>
  <c r="O19" i="21"/>
  <c r="O23" i="21" s="1"/>
  <c r="I17" i="1"/>
  <c r="I21" i="1" s="1"/>
  <c r="I30" i="21"/>
  <c r="J30" i="21"/>
  <c r="AE30" i="21" s="1"/>
  <c r="I27" i="21"/>
  <c r="J27" i="21"/>
  <c r="I28" i="21"/>
  <c r="J28" i="21"/>
  <c r="AE28" i="21" s="1"/>
  <c r="AF28" i="21" s="1"/>
  <c r="AG28" i="21" s="1"/>
  <c r="AH28" i="21" s="1"/>
  <c r="AI28" i="21" s="1"/>
  <c r="P23" i="1"/>
  <c r="Q23" i="1" s="1"/>
  <c r="I36" i="1"/>
  <c r="Q37" i="1"/>
  <c r="Q41" i="1" s="1"/>
  <c r="W37" i="1"/>
  <c r="G3" i="18"/>
  <c r="G4" i="18"/>
  <c r="F76" i="1"/>
  <c r="I76" i="1" s="1"/>
  <c r="F74" i="1"/>
  <c r="I74" i="1" s="1"/>
  <c r="F75" i="1"/>
  <c r="I75" i="1" s="1"/>
  <c r="K75" i="1" s="1"/>
  <c r="X23" i="1"/>
  <c r="AB23" i="1" s="1"/>
  <c r="B7" i="18"/>
  <c r="AA36" i="1"/>
  <c r="U36" i="1"/>
  <c r="U41" i="1" s="1"/>
  <c r="C7" i="18"/>
  <c r="G6" i="18"/>
  <c r="AE44" i="21"/>
  <c r="AF44" i="21" s="1"/>
  <c r="X47" i="21"/>
  <c r="X48" i="21"/>
  <c r="X13" i="21"/>
  <c r="Y13" i="21" s="1"/>
  <c r="AA13" i="21"/>
  <c r="AC13" i="21" s="1"/>
  <c r="AD13" i="21" s="1"/>
  <c r="O13" i="21"/>
  <c r="F7" i="18"/>
  <c r="G2" i="18"/>
  <c r="AA39" i="1"/>
  <c r="AC39" i="1" s="1"/>
  <c r="AE39" i="1"/>
  <c r="AG39" i="1" s="1"/>
  <c r="AI39" i="1" s="1"/>
  <c r="AA37" i="1"/>
  <c r="AE37" i="1"/>
  <c r="AG37" i="1" s="1"/>
  <c r="AJ54" i="1"/>
  <c r="AL54" i="1" s="1"/>
  <c r="AA38" i="1"/>
  <c r="AE38" i="1"/>
  <c r="AG38" i="1" s="1"/>
  <c r="AI38" i="1" s="1"/>
  <c r="AE56" i="1"/>
  <c r="AG56" i="1" s="1"/>
  <c r="AI56" i="1" s="1"/>
  <c r="AA56" i="1"/>
  <c r="AC56" i="1" s="1"/>
  <c r="AA55" i="1"/>
  <c r="AC55" i="1" s="1"/>
  <c r="AE55" i="1"/>
  <c r="AG55" i="1" s="1"/>
  <c r="AI55" i="1" s="1"/>
  <c r="S52" i="21"/>
  <c r="S120" i="1" s="1"/>
  <c r="F16" i="21"/>
  <c r="X11" i="21"/>
  <c r="Y11" i="21" s="1"/>
  <c r="AA11" i="21"/>
  <c r="AC11" i="21" s="1"/>
  <c r="AD11" i="21" s="1"/>
  <c r="T8" i="21"/>
  <c r="X8" i="21"/>
  <c r="AA8" i="21"/>
  <c r="AC8" i="21" s="1"/>
  <c r="O11" i="21"/>
  <c r="S50" i="21"/>
  <c r="S118" i="1" s="1"/>
  <c r="O8" i="21"/>
  <c r="N14" i="21"/>
  <c r="L16" i="21" s="1"/>
  <c r="N16" i="21" s="1"/>
  <c r="AC19" i="21"/>
  <c r="X19" i="21"/>
  <c r="X23" i="21" s="1"/>
  <c r="Y96" i="1" s="1"/>
  <c r="J50" i="21"/>
  <c r="J53" i="21" s="1"/>
  <c r="I16" i="21" l="1"/>
  <c r="I29" i="1" s="1"/>
  <c r="K74" i="1"/>
  <c r="I77" i="1"/>
  <c r="AE27" i="21"/>
  <c r="AF27" i="21" s="1"/>
  <c r="AG27" i="21" s="1"/>
  <c r="AH27" i="21" s="1"/>
  <c r="AI27" i="21" s="1"/>
  <c r="F44" i="1"/>
  <c r="I44" i="1" s="1"/>
  <c r="K76" i="1"/>
  <c r="K77" i="1" s="1"/>
  <c r="AG41" i="1"/>
  <c r="AJ37" i="1"/>
  <c r="AA41" i="1"/>
  <c r="I41" i="1"/>
  <c r="AJ36" i="1"/>
  <c r="AD19" i="21"/>
  <c r="AD23" i="21" s="1"/>
  <c r="AC23" i="21"/>
  <c r="AE96" i="1" s="1"/>
  <c r="S53" i="21"/>
  <c r="U120" i="1" s="1"/>
  <c r="W120" i="1" s="1"/>
  <c r="O53" i="21"/>
  <c r="AE115" i="1"/>
  <c r="AE47" i="21"/>
  <c r="AF47" i="21" s="1"/>
  <c r="Y115" i="1"/>
  <c r="Y48" i="21"/>
  <c r="Y116" i="1"/>
  <c r="W36" i="1"/>
  <c r="W41" i="1" s="1"/>
  <c r="AC36" i="1"/>
  <c r="K36" i="1"/>
  <c r="K41" i="1" s="1"/>
  <c r="AE19" i="21"/>
  <c r="AF19" i="21" s="1"/>
  <c r="AE11" i="21"/>
  <c r="AF11" i="21" s="1"/>
  <c r="AE13" i="21"/>
  <c r="I55" i="21"/>
  <c r="O17" i="1"/>
  <c r="AF30" i="21"/>
  <c r="AI37" i="1"/>
  <c r="AI41" i="1" s="1"/>
  <c r="Y47" i="21"/>
  <c r="G7" i="18"/>
  <c r="AE48" i="21"/>
  <c r="AF48" i="21" s="1"/>
  <c r="T14" i="21"/>
  <c r="S14" i="21"/>
  <c r="Q16" i="21" s="1"/>
  <c r="S16" i="21" s="1"/>
  <c r="AJ39" i="1"/>
  <c r="AL39" i="1" s="1"/>
  <c r="AC37" i="1"/>
  <c r="AC38" i="1"/>
  <c r="AJ38" i="1"/>
  <c r="AL38" i="1" s="1"/>
  <c r="AJ56" i="1"/>
  <c r="AL56" i="1" s="1"/>
  <c r="AJ55" i="1"/>
  <c r="AL55" i="1" s="1"/>
  <c r="T50" i="21"/>
  <c r="Y19" i="21"/>
  <c r="Y23" i="21" s="1"/>
  <c r="AD8" i="21"/>
  <c r="AD14" i="21" s="1"/>
  <c r="AC14" i="21"/>
  <c r="AE8" i="21"/>
  <c r="AF8" i="21" s="1"/>
  <c r="X14" i="21"/>
  <c r="Y8" i="21"/>
  <c r="Y14" i="21" s="1"/>
  <c r="J16" i="21"/>
  <c r="J55" i="21" s="1"/>
  <c r="O14" i="21"/>
  <c r="AC52" i="21"/>
  <c r="AD52" i="21" s="1"/>
  <c r="AE120" i="1" s="1"/>
  <c r="AC50" i="21"/>
  <c r="X50" i="21"/>
  <c r="Y118" i="1" s="1"/>
  <c r="T52" i="21"/>
  <c r="AC41" i="1" l="1"/>
  <c r="AJ41" i="1"/>
  <c r="AL36" i="1"/>
  <c r="AE23" i="21"/>
  <c r="AF23" i="21" s="1"/>
  <c r="AC53" i="21"/>
  <c r="O16" i="21"/>
  <c r="O55" i="21" s="1"/>
  <c r="O29" i="1"/>
  <c r="T53" i="21"/>
  <c r="X53" i="21"/>
  <c r="AA120" i="1" s="1"/>
  <c r="Y52" i="21"/>
  <c r="N55" i="21"/>
  <c r="AE14" i="21"/>
  <c r="AF14" i="21" s="1"/>
  <c r="T16" i="21"/>
  <c r="U29" i="1" s="1"/>
  <c r="U17" i="1"/>
  <c r="V16" i="21"/>
  <c r="X16" i="21" s="1"/>
  <c r="AE16" i="21" s="1"/>
  <c r="AF16" i="21" s="1"/>
  <c r="AA17" i="1"/>
  <c r="AA21" i="1" s="1"/>
  <c r="AA16" i="21"/>
  <c r="AC16" i="21" s="1"/>
  <c r="AG17" i="1"/>
  <c r="AG30" i="21"/>
  <c r="AL37" i="1"/>
  <c r="AG13" i="21"/>
  <c r="AF13" i="21"/>
  <c r="AD50" i="21"/>
  <c r="AD53" i="21" s="1"/>
  <c r="AG120" i="1" s="1"/>
  <c r="AI120" i="1" s="1"/>
  <c r="AG11" i="21"/>
  <c r="Y50" i="21"/>
  <c r="AE50" i="21"/>
  <c r="AF50" i="21" s="1"/>
  <c r="AE52" i="21"/>
  <c r="AF52" i="21" s="1"/>
  <c r="AL41" i="1" l="1"/>
  <c r="Y53" i="21"/>
  <c r="Y16" i="21"/>
  <c r="Y55" i="21" s="1"/>
  <c r="AA29" i="1"/>
  <c r="AD16" i="21"/>
  <c r="AD55" i="21" s="1"/>
  <c r="AG29" i="1"/>
  <c r="AC120" i="1"/>
  <c r="AJ120" i="1"/>
  <c r="AL120" i="1" s="1"/>
  <c r="AE118" i="1"/>
  <c r="T55" i="21"/>
  <c r="X55" i="21"/>
  <c r="S55" i="21"/>
  <c r="AE53" i="21"/>
  <c r="AF53" i="21" s="1"/>
  <c r="AC55" i="21"/>
  <c r="AG36" i="21"/>
  <c r="AH36" i="21" s="1"/>
  <c r="AH30" i="21"/>
  <c r="AI30" i="21" s="1"/>
  <c r="AI13" i="21"/>
  <c r="AH13" i="21"/>
  <c r="AH11" i="21"/>
  <c r="AI11" i="21"/>
  <c r="AE55" i="21" l="1"/>
  <c r="AF55" i="21"/>
  <c r="AI42" i="21"/>
  <c r="AI36" i="21"/>
  <c r="AK11" i="1" l="1"/>
  <c r="L11" i="1"/>
  <c r="I11" i="1"/>
  <c r="AK10" i="1"/>
  <c r="R10" i="1"/>
  <c r="L10" i="1"/>
  <c r="I10" i="1"/>
  <c r="AK103" i="1"/>
  <c r="AG103" i="1"/>
  <c r="AA103" i="1"/>
  <c r="U103" i="1"/>
  <c r="O103" i="1"/>
  <c r="I103" i="1"/>
  <c r="I96" i="1"/>
  <c r="K96" i="1" s="1"/>
  <c r="AG96" i="1"/>
  <c r="AI96" i="1" s="1"/>
  <c r="AA96" i="1"/>
  <c r="AE104" i="1"/>
  <c r="AG104" i="1" s="1"/>
  <c r="AI104" i="1" s="1"/>
  <c r="AA104" i="1"/>
  <c r="S104" i="1"/>
  <c r="U104" i="1" s="1"/>
  <c r="W104" i="1" s="1"/>
  <c r="M104" i="1"/>
  <c r="O104" i="1" s="1"/>
  <c r="Q104" i="1" s="1"/>
  <c r="M112" i="1"/>
  <c r="O112" i="1" s="1"/>
  <c r="M114" i="1"/>
  <c r="O114" i="1" s="1"/>
  <c r="O117" i="1"/>
  <c r="Q117" i="1" s="1"/>
  <c r="O115" i="1"/>
  <c r="Q115" i="1" s="1"/>
  <c r="O118" i="1"/>
  <c r="Q118" i="1" s="1"/>
  <c r="O119" i="1"/>
  <c r="Q119" i="1" s="1"/>
  <c r="M111" i="1"/>
  <c r="O111" i="1" s="1"/>
  <c r="Q111" i="1" s="1"/>
  <c r="P21" i="1"/>
  <c r="I9" i="1"/>
  <c r="I104" i="1"/>
  <c r="AK104" i="1"/>
  <c r="I84" i="1"/>
  <c r="I12" i="1"/>
  <c r="K12" i="1" s="1"/>
  <c r="I13" i="1"/>
  <c r="K13" i="1" s="1"/>
  <c r="K18" i="1"/>
  <c r="K20" i="1"/>
  <c r="B5" i="15"/>
  <c r="D12" i="15"/>
  <c r="D14" i="15"/>
  <c r="AG84" i="1"/>
  <c r="I119" i="1"/>
  <c r="K119" i="1" s="1"/>
  <c r="I111" i="1"/>
  <c r="K111" i="1" s="1"/>
  <c r="I112" i="1"/>
  <c r="I114" i="1"/>
  <c r="K114" i="1" s="1"/>
  <c r="I117" i="1"/>
  <c r="K117" i="1" s="1"/>
  <c r="I116" i="1"/>
  <c r="K116" i="1" s="1"/>
  <c r="I118" i="1"/>
  <c r="K118" i="1" s="1"/>
  <c r="AK119" i="1"/>
  <c r="V21" i="1"/>
  <c r="V14" i="1"/>
  <c r="V97" i="1"/>
  <c r="V94" i="1"/>
  <c r="V86" i="1"/>
  <c r="I13" i="19" s="1"/>
  <c r="V71" i="1"/>
  <c r="V64" i="1"/>
  <c r="V31" i="1"/>
  <c r="I9" i="19" s="1"/>
  <c r="AG45" i="1"/>
  <c r="K44" i="1"/>
  <c r="AK44" i="1"/>
  <c r="I45" i="1"/>
  <c r="AK45" i="1"/>
  <c r="AK46" i="1"/>
  <c r="I47" i="1"/>
  <c r="AK47" i="1"/>
  <c r="P51" i="1"/>
  <c r="J51" i="1"/>
  <c r="R9" i="1"/>
  <c r="L9" i="1"/>
  <c r="O9" i="1" s="1"/>
  <c r="Q9" i="1" s="1"/>
  <c r="L12" i="1"/>
  <c r="L13" i="1"/>
  <c r="R13" i="1" s="1"/>
  <c r="AK28" i="1"/>
  <c r="AK29" i="1"/>
  <c r="AK19" i="1"/>
  <c r="J21" i="1"/>
  <c r="AB21" i="1"/>
  <c r="AH21" i="1"/>
  <c r="AK9" i="1"/>
  <c r="AK12" i="1"/>
  <c r="AK13" i="1"/>
  <c r="I62" i="1"/>
  <c r="K62" i="1" s="1"/>
  <c r="I57" i="1"/>
  <c r="I58" i="1" s="1"/>
  <c r="AH64" i="1"/>
  <c r="AB64" i="1"/>
  <c r="P64" i="1"/>
  <c r="J64" i="1"/>
  <c r="AK62" i="1"/>
  <c r="M62" i="1"/>
  <c r="S62" i="1" s="1"/>
  <c r="Y62" i="1" s="1"/>
  <c r="AK61" i="1"/>
  <c r="M61" i="1"/>
  <c r="S61" i="1" s="1"/>
  <c r="Y61" i="1" s="1"/>
  <c r="AE61" i="1" s="1"/>
  <c r="M57" i="1"/>
  <c r="M63" i="1"/>
  <c r="S63" i="1" s="1"/>
  <c r="Y63" i="1" s="1"/>
  <c r="AE63" i="1" s="1"/>
  <c r="M68" i="1"/>
  <c r="S68" i="1" s="1"/>
  <c r="U68" i="1" s="1"/>
  <c r="W68" i="1" s="1"/>
  <c r="M69" i="1"/>
  <c r="S69" i="1" s="1"/>
  <c r="M70" i="1"/>
  <c r="S70" i="1" s="1"/>
  <c r="M67" i="1"/>
  <c r="S67" i="1" s="1"/>
  <c r="Y67" i="1" s="1"/>
  <c r="AA67" i="1" s="1"/>
  <c r="AC67" i="1" s="1"/>
  <c r="AK115" i="1"/>
  <c r="AK118" i="1"/>
  <c r="AK117" i="1"/>
  <c r="AK114" i="1"/>
  <c r="AK112" i="1"/>
  <c r="AK113" i="1"/>
  <c r="AK116" i="1"/>
  <c r="AK111" i="1"/>
  <c r="AH86" i="1"/>
  <c r="O13" i="19" s="1"/>
  <c r="AB86" i="1"/>
  <c r="L13" i="19" s="1"/>
  <c r="P86" i="1"/>
  <c r="F13" i="19" s="1"/>
  <c r="J86" i="1"/>
  <c r="C13" i="19" s="1"/>
  <c r="AA84" i="1"/>
  <c r="AC84" i="1" s="1"/>
  <c r="U84" i="1"/>
  <c r="W84" i="1" s="1"/>
  <c r="O84" i="1"/>
  <c r="Q84" i="1" s="1"/>
  <c r="AH97" i="1"/>
  <c r="AB97" i="1"/>
  <c r="P97" i="1"/>
  <c r="J97" i="1"/>
  <c r="AH94" i="1"/>
  <c r="AB94" i="1"/>
  <c r="P94" i="1"/>
  <c r="J94" i="1"/>
  <c r="AH31" i="1"/>
  <c r="O9" i="19" s="1"/>
  <c r="AB31" i="1"/>
  <c r="L9" i="19" s="1"/>
  <c r="P31" i="1"/>
  <c r="F9" i="19" s="1"/>
  <c r="J31" i="1"/>
  <c r="C9" i="19" s="1"/>
  <c r="AK96" i="1"/>
  <c r="AK91" i="1"/>
  <c r="AH71" i="1"/>
  <c r="AB71" i="1"/>
  <c r="AB78" i="1" s="1"/>
  <c r="R71" i="1"/>
  <c r="P71" i="1"/>
  <c r="P78" i="1" s="1"/>
  <c r="J71" i="1"/>
  <c r="J78" i="1" s="1"/>
  <c r="X71" i="1"/>
  <c r="AK70" i="1"/>
  <c r="I70" i="1"/>
  <c r="K70" i="1" s="1"/>
  <c r="AK69" i="1"/>
  <c r="I69" i="1"/>
  <c r="K69" i="1" s="1"/>
  <c r="AK68" i="1"/>
  <c r="AD71" i="1"/>
  <c r="L71" i="1"/>
  <c r="K68" i="1"/>
  <c r="AK67" i="1"/>
  <c r="I67" i="1"/>
  <c r="AK20" i="1"/>
  <c r="AH14" i="1"/>
  <c r="AB14" i="1"/>
  <c r="P14" i="1"/>
  <c r="J14" i="1"/>
  <c r="AK17" i="1"/>
  <c r="AK63" i="1"/>
  <c r="AK57" i="1"/>
  <c r="AK52" i="1"/>
  <c r="AL52" i="1" s="1"/>
  <c r="AK125" i="1"/>
  <c r="R22" i="19" s="1"/>
  <c r="O22" i="19"/>
  <c r="L22" i="19"/>
  <c r="I22" i="19"/>
  <c r="F22" i="19"/>
  <c r="C22" i="19"/>
  <c r="AK84" i="1"/>
  <c r="AK86" i="1" s="1"/>
  <c r="R13" i="19" s="1"/>
  <c r="AK18" i="1"/>
  <c r="AJ23" i="1"/>
  <c r="I14" i="1" l="1"/>
  <c r="I28" i="1" s="1"/>
  <c r="B6" i="15"/>
  <c r="V78" i="1"/>
  <c r="AH78" i="1"/>
  <c r="AK49" i="1"/>
  <c r="K112" i="1"/>
  <c r="Q112" i="1"/>
  <c r="I71" i="1"/>
  <c r="O76" i="1"/>
  <c r="O75" i="1"/>
  <c r="O74" i="1"/>
  <c r="O77" i="1" s="1"/>
  <c r="AG76" i="1"/>
  <c r="AI76" i="1" s="1"/>
  <c r="AG75" i="1"/>
  <c r="AI75" i="1" s="1"/>
  <c r="AG74" i="1"/>
  <c r="AA76" i="1"/>
  <c r="AC76" i="1" s="1"/>
  <c r="AA75" i="1"/>
  <c r="AC75" i="1" s="1"/>
  <c r="AA74" i="1"/>
  <c r="U76" i="1"/>
  <c r="W76" i="1" s="1"/>
  <c r="U75" i="1"/>
  <c r="W75" i="1" s="1"/>
  <c r="U74" i="1"/>
  <c r="D5" i="15"/>
  <c r="F91" i="1"/>
  <c r="Y91" i="1" s="1"/>
  <c r="D11" i="15"/>
  <c r="F92" i="1"/>
  <c r="K28" i="1"/>
  <c r="K45" i="1"/>
  <c r="K9" i="1"/>
  <c r="K84" i="1"/>
  <c r="K86" i="1" s="1"/>
  <c r="D13" i="19" s="1"/>
  <c r="AJ84" i="1"/>
  <c r="W103" i="1"/>
  <c r="W106" i="1" s="1"/>
  <c r="U106" i="1"/>
  <c r="AC103" i="1"/>
  <c r="AA106" i="1"/>
  <c r="AI103" i="1"/>
  <c r="AI106" i="1" s="1"/>
  <c r="AG106" i="1"/>
  <c r="I106" i="1"/>
  <c r="AK106" i="1"/>
  <c r="Q103" i="1"/>
  <c r="Q106" i="1" s="1"/>
  <c r="O106" i="1"/>
  <c r="D6" i="15"/>
  <c r="D10" i="15"/>
  <c r="D15" i="15" s="1"/>
  <c r="F113" i="1" s="1"/>
  <c r="I61" i="1"/>
  <c r="AD63" i="1"/>
  <c r="AG63" i="1" s="1"/>
  <c r="AI63" i="1" s="1"/>
  <c r="R63" i="1"/>
  <c r="U63" i="1" s="1"/>
  <c r="W63" i="1" s="1"/>
  <c r="P80" i="1"/>
  <c r="F11" i="19" s="1"/>
  <c r="AI17" i="1"/>
  <c r="I63" i="1"/>
  <c r="K63" i="1" s="1"/>
  <c r="O44" i="1"/>
  <c r="O67" i="1"/>
  <c r="U62" i="1"/>
  <c r="W62" i="1" s="1"/>
  <c r="U96" i="1"/>
  <c r="W96" i="1" s="1"/>
  <c r="U13" i="1"/>
  <c r="W13" i="1" s="1"/>
  <c r="O62" i="1"/>
  <c r="Q62" i="1" s="1"/>
  <c r="O68" i="1"/>
  <c r="Q68" i="1" s="1"/>
  <c r="L19" i="19"/>
  <c r="S111" i="1"/>
  <c r="Y111" i="1" s="1"/>
  <c r="AA111" i="1" s="1"/>
  <c r="AC111" i="1" s="1"/>
  <c r="I19" i="19"/>
  <c r="O17" i="19"/>
  <c r="C17" i="19"/>
  <c r="K57" i="1"/>
  <c r="K58" i="1" s="1"/>
  <c r="O47" i="1"/>
  <c r="O61" i="1"/>
  <c r="U117" i="1"/>
  <c r="W117" i="1" s="1"/>
  <c r="L17" i="19"/>
  <c r="W20" i="1"/>
  <c r="AA86" i="1"/>
  <c r="K13" i="19" s="1"/>
  <c r="S112" i="1"/>
  <c r="O69" i="1"/>
  <c r="Q69" i="1" s="1"/>
  <c r="U45" i="1"/>
  <c r="AK21" i="1"/>
  <c r="Q86" i="1"/>
  <c r="G13" i="19" s="1"/>
  <c r="O45" i="1"/>
  <c r="Q45" i="1" s="1"/>
  <c r="Q20" i="1"/>
  <c r="O19" i="19"/>
  <c r="O13" i="1"/>
  <c r="Q13" i="1" s="1"/>
  <c r="AE62" i="1"/>
  <c r="AG62" i="1" s="1"/>
  <c r="AI62" i="1" s="1"/>
  <c r="AA62" i="1"/>
  <c r="S114" i="1"/>
  <c r="K17" i="1"/>
  <c r="AK97" i="1"/>
  <c r="V51" i="1"/>
  <c r="U67" i="1"/>
  <c r="W67" i="1" s="1"/>
  <c r="J99" i="1"/>
  <c r="C15" i="19" s="1"/>
  <c r="AK94" i="1"/>
  <c r="AG61" i="1"/>
  <c r="AI61" i="1" s="1"/>
  <c r="AB99" i="1"/>
  <c r="L15" i="19" s="1"/>
  <c r="U86" i="1"/>
  <c r="H13" i="19" s="1"/>
  <c r="AK71" i="1"/>
  <c r="AH99" i="1"/>
  <c r="O15" i="19" s="1"/>
  <c r="F19" i="19"/>
  <c r="AK64" i="1"/>
  <c r="Y70" i="1"/>
  <c r="AA70" i="1" s="1"/>
  <c r="U70" i="1"/>
  <c r="W70" i="1" s="1"/>
  <c r="U47" i="1"/>
  <c r="W47" i="1" s="1"/>
  <c r="W44" i="1"/>
  <c r="AC104" i="1"/>
  <c r="W18" i="1"/>
  <c r="U116" i="1"/>
  <c r="W116" i="1" s="1"/>
  <c r="Y68" i="1"/>
  <c r="AB51" i="1"/>
  <c r="Q18" i="1"/>
  <c r="W86" i="1"/>
  <c r="J13" i="19" s="1"/>
  <c r="K47" i="1"/>
  <c r="U115" i="1"/>
  <c r="W115" i="1" s="1"/>
  <c r="O116" i="1"/>
  <c r="Q116" i="1" s="1"/>
  <c r="AA45" i="1"/>
  <c r="X13" i="1"/>
  <c r="AA61" i="1"/>
  <c r="O70" i="1"/>
  <c r="Q70" i="1" s="1"/>
  <c r="O96" i="1"/>
  <c r="Q96" i="1" s="1"/>
  <c r="I86" i="1"/>
  <c r="B13" i="19" s="1"/>
  <c r="U61" i="1"/>
  <c r="W61" i="1" s="1"/>
  <c r="O10" i="1"/>
  <c r="Q10" i="1" s="1"/>
  <c r="K11" i="1"/>
  <c r="R11" i="1"/>
  <c r="O11" i="1"/>
  <c r="K10" i="1"/>
  <c r="X10" i="1"/>
  <c r="U10" i="1"/>
  <c r="P99" i="1"/>
  <c r="F15" i="19" s="1"/>
  <c r="AK14" i="1"/>
  <c r="AK31" i="1"/>
  <c r="R9" i="19" s="1"/>
  <c r="AK51" i="1"/>
  <c r="AC86" i="1"/>
  <c r="M13" i="19" s="1"/>
  <c r="V99" i="1"/>
  <c r="I17" i="19"/>
  <c r="F17" i="19"/>
  <c r="I46" i="1"/>
  <c r="I49" i="1" s="1"/>
  <c r="X63" i="1"/>
  <c r="AA63" i="1" s="1"/>
  <c r="AC63" i="1" s="1"/>
  <c r="AI45" i="1"/>
  <c r="Q114" i="1"/>
  <c r="K19" i="1"/>
  <c r="AJ103" i="1"/>
  <c r="K103" i="1"/>
  <c r="R12" i="1"/>
  <c r="O12" i="1"/>
  <c r="Q17" i="1"/>
  <c r="Y69" i="1"/>
  <c r="U69" i="1"/>
  <c r="AC96" i="1"/>
  <c r="AI84" i="1"/>
  <c r="AI86" i="1" s="1"/>
  <c r="P13" i="19" s="1"/>
  <c r="AG86" i="1"/>
  <c r="N13" i="19" s="1"/>
  <c r="AJ104" i="1"/>
  <c r="AL104" i="1" s="1"/>
  <c r="K104" i="1"/>
  <c r="O86" i="1"/>
  <c r="E13" i="19" s="1"/>
  <c r="U9" i="1"/>
  <c r="X9" i="1"/>
  <c r="AK58" i="1"/>
  <c r="K67" i="1"/>
  <c r="K71" i="1" s="1"/>
  <c r="O57" i="1"/>
  <c r="O58" i="1" s="1"/>
  <c r="S57" i="1"/>
  <c r="AE67" i="1"/>
  <c r="AG67" i="1" s="1"/>
  <c r="AH51" i="1"/>
  <c r="AG77" i="1" l="1"/>
  <c r="U77" i="1"/>
  <c r="AA77" i="1"/>
  <c r="AJ106" i="1"/>
  <c r="Q47" i="1"/>
  <c r="D7" i="15"/>
  <c r="D17" i="15" s="1"/>
  <c r="AK78" i="1"/>
  <c r="AK80" i="1" s="1"/>
  <c r="R11" i="19" s="1"/>
  <c r="M91" i="1"/>
  <c r="O91" i="1" s="1"/>
  <c r="Q91" i="1" s="1"/>
  <c r="I91" i="1"/>
  <c r="K91" i="1" s="1"/>
  <c r="AE91" i="1"/>
  <c r="S91" i="1"/>
  <c r="W74" i="1"/>
  <c r="W77" i="1" s="1"/>
  <c r="AC74" i="1"/>
  <c r="AC77" i="1" s="1"/>
  <c r="AI74" i="1"/>
  <c r="AI77" i="1" s="1"/>
  <c r="Q74" i="1"/>
  <c r="AJ74" i="1"/>
  <c r="Q75" i="1"/>
  <c r="AJ75" i="1"/>
  <c r="AL75" i="1" s="1"/>
  <c r="Q76" i="1"/>
  <c r="AJ76" i="1"/>
  <c r="AL76" i="1" s="1"/>
  <c r="M92" i="1"/>
  <c r="O92" i="1" s="1"/>
  <c r="I92" i="1"/>
  <c r="AE92" i="1"/>
  <c r="S92" i="1"/>
  <c r="Y92" i="1"/>
  <c r="M113" i="1"/>
  <c r="I113" i="1"/>
  <c r="I122" i="1" s="1"/>
  <c r="Q67" i="1"/>
  <c r="Q71" i="1" s="1"/>
  <c r="O71" i="1"/>
  <c r="Q44" i="1"/>
  <c r="AC61" i="1"/>
  <c r="AA64" i="1"/>
  <c r="W45" i="1"/>
  <c r="Q61" i="1"/>
  <c r="K61" i="1"/>
  <c r="K64" i="1" s="1"/>
  <c r="K78" i="1" s="1"/>
  <c r="I64" i="1"/>
  <c r="I78" i="1" s="1"/>
  <c r="AC45" i="1"/>
  <c r="AC106" i="1"/>
  <c r="M17" i="19" s="1"/>
  <c r="AD64" i="1"/>
  <c r="K106" i="1"/>
  <c r="L64" i="1"/>
  <c r="R64" i="1"/>
  <c r="I97" i="1"/>
  <c r="O14" i="1"/>
  <c r="O28" i="1" s="1"/>
  <c r="Q28" i="1" s="1"/>
  <c r="K97" i="1"/>
  <c r="I25" i="1"/>
  <c r="J17" i="19"/>
  <c r="AE111" i="1"/>
  <c r="AG111" i="1" s="1"/>
  <c r="AI111" i="1" s="1"/>
  <c r="AJ62" i="1"/>
  <c r="AL62" i="1" s="1"/>
  <c r="AJ17" i="1"/>
  <c r="AL17" i="1" s="1"/>
  <c r="U111" i="1"/>
  <c r="W111" i="1" s="1"/>
  <c r="AC17" i="1"/>
  <c r="O63" i="1"/>
  <c r="Q63" i="1" s="1"/>
  <c r="AI20" i="1"/>
  <c r="U118" i="1"/>
  <c r="W118" i="1" s="1"/>
  <c r="AG117" i="1"/>
  <c r="AI117" i="1" s="1"/>
  <c r="R17" i="19"/>
  <c r="AB80" i="1"/>
  <c r="L11" i="19" s="1"/>
  <c r="AC62" i="1"/>
  <c r="U112" i="1"/>
  <c r="Y112" i="1"/>
  <c r="K21" i="1"/>
  <c r="AH80" i="1"/>
  <c r="O11" i="19" s="1"/>
  <c r="AE70" i="1"/>
  <c r="AG70" i="1" s="1"/>
  <c r="AI70" i="1" s="1"/>
  <c r="AJ45" i="1"/>
  <c r="AL45" i="1" s="1"/>
  <c r="J80" i="1"/>
  <c r="C11" i="19" s="1"/>
  <c r="N17" i="19"/>
  <c r="V80" i="1"/>
  <c r="I11" i="19" s="1"/>
  <c r="W17" i="1"/>
  <c r="U114" i="1"/>
  <c r="Y114" i="1"/>
  <c r="O97" i="1"/>
  <c r="AJ67" i="1"/>
  <c r="AL67" i="1" s="1"/>
  <c r="R19" i="19"/>
  <c r="Q97" i="1"/>
  <c r="AA13" i="1"/>
  <c r="AD13" i="1"/>
  <c r="AG13" i="1" s="1"/>
  <c r="AI13" i="1" s="1"/>
  <c r="AA47" i="1"/>
  <c r="AG47" i="1"/>
  <c r="AI47" i="1" s="1"/>
  <c r="AE68" i="1"/>
  <c r="AG68" i="1" s="1"/>
  <c r="AI68" i="1" s="1"/>
  <c r="AA68" i="1"/>
  <c r="U119" i="1"/>
  <c r="AJ61" i="1"/>
  <c r="AL61" i="1" s="1"/>
  <c r="B17" i="19"/>
  <c r="H17" i="19"/>
  <c r="K14" i="1"/>
  <c r="AI44" i="1"/>
  <c r="AA115" i="1"/>
  <c r="AG116" i="1"/>
  <c r="AI116" i="1" s="1"/>
  <c r="AA116" i="1"/>
  <c r="AJ96" i="1"/>
  <c r="AL96" i="1" s="1"/>
  <c r="AI18" i="1"/>
  <c r="Q11" i="1"/>
  <c r="X11" i="1"/>
  <c r="U11" i="1"/>
  <c r="W10" i="1"/>
  <c r="AD10" i="1"/>
  <c r="AG10" i="1" s="1"/>
  <c r="AI10" i="1" s="1"/>
  <c r="AA10" i="1"/>
  <c r="O21" i="1"/>
  <c r="G17" i="19"/>
  <c r="AI64" i="1"/>
  <c r="W64" i="1"/>
  <c r="I15" i="19"/>
  <c r="AK99" i="1"/>
  <c r="R15" i="19" s="1"/>
  <c r="K29" i="1"/>
  <c r="K31" i="1" s="1"/>
  <c r="D9" i="19" s="1"/>
  <c r="I31" i="1"/>
  <c r="B9" i="19" s="1"/>
  <c r="K17" i="19"/>
  <c r="W9" i="1"/>
  <c r="AJ86" i="1"/>
  <c r="AL84" i="1"/>
  <c r="C19" i="19"/>
  <c r="X64" i="1"/>
  <c r="E17" i="19"/>
  <c r="AC20" i="1"/>
  <c r="Q12" i="1"/>
  <c r="X12" i="1"/>
  <c r="U12" i="1"/>
  <c r="O46" i="1"/>
  <c r="O49" i="1" s="1"/>
  <c r="AI67" i="1"/>
  <c r="Q19" i="1"/>
  <c r="Q29" i="1"/>
  <c r="W69" i="1"/>
  <c r="U71" i="1"/>
  <c r="P17" i="19"/>
  <c r="K46" i="1"/>
  <c r="K49" i="1" s="1"/>
  <c r="Q57" i="1"/>
  <c r="Q58" i="1" s="1"/>
  <c r="AD9" i="1"/>
  <c r="AG9" i="1" s="1"/>
  <c r="AA9" i="1"/>
  <c r="U57" i="1"/>
  <c r="U58" i="1" s="1"/>
  <c r="Y57" i="1"/>
  <c r="AA69" i="1"/>
  <c r="AE69" i="1"/>
  <c r="AG69" i="1" s="1"/>
  <c r="AC70" i="1"/>
  <c r="AL103" i="1"/>
  <c r="AJ47" i="1" l="1"/>
  <c r="W112" i="1"/>
  <c r="AJ77" i="1"/>
  <c r="AL77" i="1" s="1"/>
  <c r="R91" i="1"/>
  <c r="U91" i="1" s="1"/>
  <c r="W91" i="1" s="1"/>
  <c r="X91" i="1" s="1"/>
  <c r="AA91" i="1" s="1"/>
  <c r="AC91" i="1" s="1"/>
  <c r="AD91" i="1" s="1"/>
  <c r="AG91" i="1" s="1"/>
  <c r="AJ91" i="1" s="1"/>
  <c r="AL91" i="1" s="1"/>
  <c r="AL74" i="1"/>
  <c r="Q77" i="1"/>
  <c r="K92" i="1"/>
  <c r="K94" i="1" s="1"/>
  <c r="K99" i="1" s="1"/>
  <c r="D15" i="19" s="1"/>
  <c r="Q92" i="1"/>
  <c r="Q94" i="1" s="1"/>
  <c r="Q99" i="1" s="1"/>
  <c r="G15" i="19" s="1"/>
  <c r="K113" i="1"/>
  <c r="K122" i="1" s="1"/>
  <c r="O113" i="1"/>
  <c r="O122" i="1" s="1"/>
  <c r="S113" i="1"/>
  <c r="O94" i="1"/>
  <c r="O99" i="1" s="1"/>
  <c r="E15" i="19" s="1"/>
  <c r="AL106" i="1"/>
  <c r="S17" i="19" s="1"/>
  <c r="O64" i="1"/>
  <c r="O78" i="1" s="1"/>
  <c r="D17" i="19"/>
  <c r="J124" i="1"/>
  <c r="B7" i="19"/>
  <c r="AJ20" i="1"/>
  <c r="AL20" i="1" s="1"/>
  <c r="AJ70" i="1"/>
  <c r="AL70" i="1" s="1"/>
  <c r="AJ63" i="1"/>
  <c r="AL63" i="1" s="1"/>
  <c r="AA117" i="1"/>
  <c r="AC117" i="1" s="1"/>
  <c r="AJ111" i="1"/>
  <c r="AL111" i="1" s="1"/>
  <c r="AA118" i="1"/>
  <c r="AG118" i="1"/>
  <c r="AI118" i="1" s="1"/>
  <c r="U64" i="1"/>
  <c r="U78" i="1" s="1"/>
  <c r="AA112" i="1"/>
  <c r="AE112" i="1"/>
  <c r="AG112" i="1" s="1"/>
  <c r="AG115" i="1"/>
  <c r="AI115" i="1" s="1"/>
  <c r="AE114" i="1"/>
  <c r="AG114" i="1" s="1"/>
  <c r="AI114" i="1" s="1"/>
  <c r="AA114" i="1"/>
  <c r="AC114" i="1" s="1"/>
  <c r="W114" i="1"/>
  <c r="AG64" i="1"/>
  <c r="W119" i="1"/>
  <c r="AJ68" i="1"/>
  <c r="AL68" i="1" s="1"/>
  <c r="AC68" i="1"/>
  <c r="O25" i="1"/>
  <c r="E7" i="19" s="1"/>
  <c r="AC116" i="1"/>
  <c r="AJ116" i="1"/>
  <c r="AL116" i="1" s="1"/>
  <c r="AG119" i="1"/>
  <c r="AI119" i="1" s="1"/>
  <c r="AA119" i="1"/>
  <c r="AC119" i="1" s="1"/>
  <c r="AC47" i="1"/>
  <c r="Q14" i="1"/>
  <c r="AC18" i="1"/>
  <c r="AJ18" i="1"/>
  <c r="AL18" i="1" s="1"/>
  <c r="AC44" i="1"/>
  <c r="AJ44" i="1"/>
  <c r="AL44" i="1" s="1"/>
  <c r="AC13" i="1"/>
  <c r="AJ13" i="1"/>
  <c r="AL13" i="1" s="1"/>
  <c r="I94" i="1"/>
  <c r="I99" i="1" s="1"/>
  <c r="B15" i="19" s="1"/>
  <c r="W11" i="1"/>
  <c r="AD11" i="1"/>
  <c r="AA11" i="1"/>
  <c r="AC10" i="1"/>
  <c r="AJ10" i="1"/>
  <c r="AL10" i="1" s="1"/>
  <c r="AI69" i="1"/>
  <c r="AI71" i="1" s="1"/>
  <c r="AG71" i="1"/>
  <c r="AJ69" i="1"/>
  <c r="AL69" i="1" s="1"/>
  <c r="W71" i="1"/>
  <c r="Q21" i="1"/>
  <c r="W12" i="1"/>
  <c r="U14" i="1"/>
  <c r="U28" i="1" s="1"/>
  <c r="W28" i="1" s="1"/>
  <c r="Q17" i="19"/>
  <c r="AC115" i="1"/>
  <c r="O31" i="1"/>
  <c r="E9" i="19" s="1"/>
  <c r="K23" i="1"/>
  <c r="K25" i="1" s="1"/>
  <c r="Q64" i="1"/>
  <c r="AC9" i="1"/>
  <c r="AI91" i="1"/>
  <c r="AL86" i="1"/>
  <c r="S13" i="19" s="1"/>
  <c r="Q13" i="19"/>
  <c r="AI9" i="1"/>
  <c r="AC69" i="1"/>
  <c r="AA71" i="1"/>
  <c r="AA57" i="1"/>
  <c r="AA58" i="1" s="1"/>
  <c r="AE57" i="1"/>
  <c r="AG57" i="1" s="1"/>
  <c r="AG58" i="1" s="1"/>
  <c r="Q46" i="1"/>
  <c r="Q49" i="1" s="1"/>
  <c r="O51" i="1"/>
  <c r="Q51" i="1" s="1"/>
  <c r="U21" i="1"/>
  <c r="W19" i="1"/>
  <c r="W21" i="1" s="1"/>
  <c r="Q31" i="1"/>
  <c r="G9" i="19" s="1"/>
  <c r="W57" i="1"/>
  <c r="W58" i="1" s="1"/>
  <c r="U46" i="1"/>
  <c r="U49" i="1" s="1"/>
  <c r="AA12" i="1"/>
  <c r="AD12" i="1"/>
  <c r="AG12" i="1" s="1"/>
  <c r="AJ9" i="1"/>
  <c r="AG78" i="1" l="1"/>
  <c r="AG11" i="1"/>
  <c r="Q78" i="1"/>
  <c r="Q80" i="1" s="1"/>
  <c r="G11" i="19" s="1"/>
  <c r="AA78" i="1"/>
  <c r="AI112" i="1"/>
  <c r="AL47" i="1"/>
  <c r="B19" i="19"/>
  <c r="D19" i="19"/>
  <c r="W78" i="1"/>
  <c r="R92" i="1"/>
  <c r="U92" i="1" s="1"/>
  <c r="U94" i="1" s="1"/>
  <c r="Q113" i="1"/>
  <c r="Q122" i="1" s="1"/>
  <c r="E19" i="19"/>
  <c r="Y113" i="1"/>
  <c r="U113" i="1"/>
  <c r="U122" i="1" s="1"/>
  <c r="AJ117" i="1"/>
  <c r="AL117" i="1" s="1"/>
  <c r="AL64" i="1"/>
  <c r="AJ64" i="1"/>
  <c r="AC118" i="1"/>
  <c r="AJ118" i="1"/>
  <c r="AL118" i="1" s="1"/>
  <c r="V25" i="1"/>
  <c r="AJ115" i="1"/>
  <c r="AL115" i="1" s="1"/>
  <c r="AJ114" i="1"/>
  <c r="AL114" i="1" s="1"/>
  <c r="AC112" i="1"/>
  <c r="AJ112" i="1"/>
  <c r="AL112" i="1" s="1"/>
  <c r="AJ19" i="1"/>
  <c r="AL19" i="1" s="1"/>
  <c r="U97" i="1"/>
  <c r="AC71" i="1"/>
  <c r="AC64" i="1"/>
  <c r="U25" i="1"/>
  <c r="H7" i="19" s="1"/>
  <c r="AJ119" i="1"/>
  <c r="AL119" i="1" s="1"/>
  <c r="W14" i="1"/>
  <c r="AJ71" i="1"/>
  <c r="I51" i="1"/>
  <c r="I80" i="1" s="1"/>
  <c r="I124" i="1" s="1"/>
  <c r="I125" i="1" s="1"/>
  <c r="K51" i="1"/>
  <c r="K80" i="1" s="1"/>
  <c r="AC11" i="1"/>
  <c r="AI12" i="1"/>
  <c r="AG14" i="1"/>
  <c r="AG28" i="1" s="1"/>
  <c r="AI28" i="1" s="1"/>
  <c r="W29" i="1"/>
  <c r="W31" i="1" s="1"/>
  <c r="J9" i="19" s="1"/>
  <c r="U31" i="1"/>
  <c r="H9" i="19" s="1"/>
  <c r="AL9" i="1"/>
  <c r="AI57" i="1"/>
  <c r="AC57" i="1"/>
  <c r="AC58" i="1" s="1"/>
  <c r="C7" i="19"/>
  <c r="D7" i="19" s="1"/>
  <c r="AJ57" i="1"/>
  <c r="AL57" i="1" s="1"/>
  <c r="AC12" i="1"/>
  <c r="AJ12" i="1"/>
  <c r="AL12" i="1" s="1"/>
  <c r="AC29" i="1"/>
  <c r="AC19" i="1"/>
  <c r="AC21" i="1" s="1"/>
  <c r="O80" i="1"/>
  <c r="E11" i="19" s="1"/>
  <c r="AH25" i="1"/>
  <c r="AI23" i="1"/>
  <c r="W46" i="1"/>
  <c r="W49" i="1" s="1"/>
  <c r="U51" i="1"/>
  <c r="W51" i="1" s="1"/>
  <c r="AA14" i="1"/>
  <c r="AA28" i="1" s="1"/>
  <c r="AI29" i="1"/>
  <c r="AI19" i="1"/>
  <c r="AI21" i="1" s="1"/>
  <c r="AG21" i="1"/>
  <c r="AJ21" i="1" s="1"/>
  <c r="AL21" i="1" s="1"/>
  <c r="AA46" i="1"/>
  <c r="AA49" i="1" s="1"/>
  <c r="AG46" i="1"/>
  <c r="AG49" i="1" s="1"/>
  <c r="AC23" i="1"/>
  <c r="AB25" i="1"/>
  <c r="AJ11" i="1" l="1"/>
  <c r="AL11" i="1" s="1"/>
  <c r="AI11" i="1"/>
  <c r="AI14" i="1" s="1"/>
  <c r="U99" i="1"/>
  <c r="H15" i="19" s="1"/>
  <c r="AC78" i="1"/>
  <c r="G19" i="19"/>
  <c r="W92" i="1"/>
  <c r="AI58" i="1"/>
  <c r="AI78" i="1" s="1"/>
  <c r="AL14" i="1"/>
  <c r="AC14" i="1"/>
  <c r="AC25" i="1" s="1"/>
  <c r="W113" i="1"/>
  <c r="H19" i="19"/>
  <c r="AE113" i="1"/>
  <c r="AG113" i="1" s="1"/>
  <c r="AG122" i="1" s="1"/>
  <c r="AA113" i="1"/>
  <c r="AA122" i="1" s="1"/>
  <c r="AL71" i="1"/>
  <c r="W23" i="1"/>
  <c r="W25" i="1" s="1"/>
  <c r="W97" i="1"/>
  <c r="AI25" i="1"/>
  <c r="AA25" i="1"/>
  <c r="K7" i="19" s="1"/>
  <c r="AG25" i="1"/>
  <c r="N7" i="19" s="1"/>
  <c r="D11" i="19"/>
  <c r="W80" i="1"/>
  <c r="J11" i="19" s="1"/>
  <c r="AJ46" i="1"/>
  <c r="AI31" i="1"/>
  <c r="P9" i="19" s="1"/>
  <c r="AC46" i="1"/>
  <c r="AC49" i="1" s="1"/>
  <c r="AA51" i="1"/>
  <c r="AC51" i="1" s="1"/>
  <c r="AJ58" i="1"/>
  <c r="AJ78" i="1" s="1"/>
  <c r="AB124" i="1"/>
  <c r="L7" i="19"/>
  <c r="J127" i="1"/>
  <c r="C24" i="19" s="1"/>
  <c r="C21" i="19"/>
  <c r="P25" i="1"/>
  <c r="Q25" i="1"/>
  <c r="AK23" i="1"/>
  <c r="AK25" i="1" s="1"/>
  <c r="AJ14" i="1"/>
  <c r="U80" i="1"/>
  <c r="AJ29" i="1"/>
  <c r="AL29" i="1" s="1"/>
  <c r="O7" i="19"/>
  <c r="AH124" i="1"/>
  <c r="O124" i="1"/>
  <c r="O125" i="1" s="1"/>
  <c r="AG31" i="1"/>
  <c r="N9" i="19" s="1"/>
  <c r="AI46" i="1"/>
  <c r="AI49" i="1" s="1"/>
  <c r="AG51" i="1"/>
  <c r="AI51" i="1" s="1"/>
  <c r="AA31" i="1"/>
  <c r="K9" i="19" s="1"/>
  <c r="AC28" i="1"/>
  <c r="AC31" i="1" s="1"/>
  <c r="M9" i="19" s="1"/>
  <c r="AJ28" i="1"/>
  <c r="I7" i="19"/>
  <c r="J7" i="19" s="1"/>
  <c r="V124" i="1"/>
  <c r="AL46" i="1" l="1"/>
  <c r="AJ49" i="1"/>
  <c r="AJ51" i="1" s="1"/>
  <c r="AJ80" i="1" s="1"/>
  <c r="AL80" i="1" s="1"/>
  <c r="W122" i="1"/>
  <c r="J19" i="19" s="1"/>
  <c r="X92" i="1"/>
  <c r="AA92" i="1" s="1"/>
  <c r="W94" i="1"/>
  <c r="W99" i="1" s="1"/>
  <c r="J15" i="19" s="1"/>
  <c r="AC113" i="1"/>
  <c r="K19" i="19"/>
  <c r="AI113" i="1"/>
  <c r="AJ113" i="1"/>
  <c r="AL113" i="1" s="1"/>
  <c r="B11" i="19"/>
  <c r="M7" i="19"/>
  <c r="AI80" i="1"/>
  <c r="P11" i="19" s="1"/>
  <c r="AC97" i="1"/>
  <c r="AA97" i="1"/>
  <c r="P7" i="19"/>
  <c r="AJ25" i="1"/>
  <c r="Q7" i="19" s="1"/>
  <c r="AC80" i="1"/>
  <c r="M11" i="19" s="1"/>
  <c r="AH127" i="1"/>
  <c r="O21" i="19"/>
  <c r="P124" i="1"/>
  <c r="Q124" i="1" s="1"/>
  <c r="F7" i="19"/>
  <c r="G7" i="19" s="1"/>
  <c r="AB127" i="1"/>
  <c r="L24" i="19" s="1"/>
  <c r="L21" i="19"/>
  <c r="V127" i="1"/>
  <c r="I24" i="19" s="1"/>
  <c r="I21" i="19"/>
  <c r="AL58" i="1"/>
  <c r="AL78" i="1" s="1"/>
  <c r="E21" i="19"/>
  <c r="AA80" i="1"/>
  <c r="K11" i="19" s="1"/>
  <c r="AG80" i="1"/>
  <c r="N11" i="19" s="1"/>
  <c r="H11" i="19"/>
  <c r="U124" i="1"/>
  <c r="U125" i="1" s="1"/>
  <c r="AJ31" i="1"/>
  <c r="Q9" i="19" s="1"/>
  <c r="AL28" i="1"/>
  <c r="AL31" i="1" s="1"/>
  <c r="S9" i="19" s="1"/>
  <c r="R7" i="19"/>
  <c r="AL23" i="1"/>
  <c r="AL49" i="1" l="1"/>
  <c r="AL51" i="1" s="1"/>
  <c r="AC122" i="1"/>
  <c r="M19" i="19" s="1"/>
  <c r="AI122" i="1"/>
  <c r="P19" i="19" s="1"/>
  <c r="W124" i="1"/>
  <c r="J21" i="19" s="1"/>
  <c r="AC92" i="1"/>
  <c r="AA94" i="1"/>
  <c r="AA99" i="1" s="1"/>
  <c r="K15" i="19" s="1"/>
  <c r="AJ122" i="1"/>
  <c r="Q19" i="19" s="1"/>
  <c r="N19" i="19"/>
  <c r="K124" i="1"/>
  <c r="D21" i="19" s="1"/>
  <c r="B22" i="19"/>
  <c r="B21" i="19"/>
  <c r="AL25" i="1"/>
  <c r="S7" i="19" s="1"/>
  <c r="Q11" i="19"/>
  <c r="E22" i="19"/>
  <c r="Q125" i="1"/>
  <c r="G22" i="19" s="1"/>
  <c r="F21" i="19"/>
  <c r="P127" i="1"/>
  <c r="F24" i="19" s="1"/>
  <c r="G21" i="19"/>
  <c r="AK124" i="1"/>
  <c r="R21" i="19" s="1"/>
  <c r="H21" i="19"/>
  <c r="O127" i="1"/>
  <c r="E24" i="19" s="1"/>
  <c r="O24" i="19"/>
  <c r="AL122" i="1" l="1"/>
  <c r="S19" i="19" s="1"/>
  <c r="AD92" i="1"/>
  <c r="AG92" i="1" s="1"/>
  <c r="AC94" i="1"/>
  <c r="AC99" i="1" s="1"/>
  <c r="AA124" i="1"/>
  <c r="K21" i="19" s="1"/>
  <c r="U127" i="1"/>
  <c r="H24" i="19" s="1"/>
  <c r="I127" i="1"/>
  <c r="S11" i="19"/>
  <c r="K125" i="1"/>
  <c r="D22" i="19" s="1"/>
  <c r="AI97" i="1"/>
  <c r="AG97" i="1"/>
  <c r="AK127" i="1"/>
  <c r="R24" i="19" s="1"/>
  <c r="Q127" i="1"/>
  <c r="G24" i="19" s="1"/>
  <c r="H22" i="19"/>
  <c r="W125" i="1"/>
  <c r="AA125" i="1" l="1"/>
  <c r="AA127" i="1" s="1"/>
  <c r="K24" i="19" s="1"/>
  <c r="M15" i="19"/>
  <c r="AC124" i="1"/>
  <c r="M21" i="19" s="1"/>
  <c r="AI92" i="1"/>
  <c r="AI94" i="1" s="1"/>
  <c r="AI99" i="1" s="1"/>
  <c r="AG94" i="1"/>
  <c r="AJ94" i="1" s="1"/>
  <c r="AL94" i="1" s="1"/>
  <c r="AJ92" i="1"/>
  <c r="AL92" i="1" s="1"/>
  <c r="B24" i="19"/>
  <c r="K127" i="1"/>
  <c r="D24" i="19" s="1"/>
  <c r="AL97" i="1"/>
  <c r="AJ97" i="1"/>
  <c r="J22" i="19"/>
  <c r="W127" i="1"/>
  <c r="J24" i="19" s="1"/>
  <c r="AC125" i="1" l="1"/>
  <c r="M22" i="19" s="1"/>
  <c r="K22" i="19"/>
  <c r="AI124" i="1"/>
  <c r="P21" i="19" s="1"/>
  <c r="P15" i="19"/>
  <c r="AL99" i="1"/>
  <c r="S15" i="19" s="1"/>
  <c r="AG99" i="1"/>
  <c r="AC127" i="1" l="1"/>
  <c r="M24" i="19" s="1"/>
  <c r="AG124" i="1"/>
  <c r="AJ99" i="1"/>
  <c r="Q15" i="19" s="1"/>
  <c r="N15" i="19"/>
  <c r="AJ124" i="1" l="1"/>
  <c r="AG125" i="1"/>
  <c r="N21" i="19"/>
  <c r="AG127" i="1" l="1"/>
  <c r="AI125" i="1"/>
  <c r="N22" i="19"/>
  <c r="AJ125" i="1"/>
  <c r="AL124" i="1"/>
  <c r="S21" i="19" s="1"/>
  <c r="Q21" i="19"/>
  <c r="AL125" i="1" l="1"/>
  <c r="S22" i="19" s="1"/>
  <c r="Q22" i="19"/>
  <c r="P22" i="19"/>
  <c r="AI127" i="1"/>
  <c r="P24" i="19" s="1"/>
  <c r="AJ127" i="1"/>
  <c r="N24" i="19"/>
  <c r="AL127" i="1" l="1"/>
  <c r="S24" i="19" s="1"/>
  <c r="Q24" i="19"/>
  <c r="Q25" i="1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tc={49BC38DD-03E6-4C13-A91D-6A76548D3459}</author>
  </authors>
  <commentList>
    <comment ref="D84" authorId="0" shapeId="0" xr:uid="{49BC38DD-03E6-4C13-A91D-6A76548D345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@Stephanie Verganza the vehicle prices are low, maybe we can re-evaluate and cut one or two for cost savings?
Reply:
    I based it off of what Michael said was needed, but if we can't afford it, I think the DR is the only country without any good vehicles. The others have two decent trucks; Michael just wanted the CDs to have a car to use
Reply:
    So did we decide we are buying 2 cars in Year 1 and one car in Year 2? The notes say they average 40k 
Reply:
    They should all be under the Year One budget. I need to edit the DR budget; for the DR it will be one truck at about $40k and a sedan for about $30k
Reply:
    Then Guyana and Jamaica will get one sedan for $30k each. Guatemala has no vehicles budgeted since they have enough </t>
      </text>
    </comment>
  </commentList>
</comments>
</file>

<file path=xl/sharedStrings.xml><?xml version="1.0" encoding="utf-8"?>
<sst xmlns="http://schemas.openxmlformats.org/spreadsheetml/2006/main" count="1577" uniqueCount="369">
  <si>
    <t>Partners of the Americas F2F Caribbean Basin Program Budget</t>
  </si>
  <si>
    <t xml:space="preserve">USAID NOFO #7200AA23RFA00006 </t>
  </si>
  <si>
    <t>Line Items</t>
  </si>
  <si>
    <t>Year 1</t>
  </si>
  <si>
    <t>Year 2</t>
  </si>
  <si>
    <t>Year 3</t>
  </si>
  <si>
    <t>Year 4</t>
  </si>
  <si>
    <t>Year 5</t>
  </si>
  <si>
    <t>Total</t>
  </si>
  <si>
    <t xml:space="preserve">Total </t>
  </si>
  <si>
    <t xml:space="preserve">Grand </t>
  </si>
  <si>
    <t>USAID</t>
  </si>
  <si>
    <t>Leverage</t>
  </si>
  <si>
    <t>Salaries &amp; Wages</t>
  </si>
  <si>
    <t>Fringe Benefits</t>
  </si>
  <si>
    <t>Travel &amp; Transportation</t>
  </si>
  <si>
    <t>Equipment</t>
  </si>
  <si>
    <t>Supplies</t>
  </si>
  <si>
    <t>Contractual</t>
  </si>
  <si>
    <t>Other Direct Costs</t>
  </si>
  <si>
    <t>Total Direct Costs</t>
  </si>
  <si>
    <t>Indirect Costs</t>
  </si>
  <si>
    <t>Buy-in</t>
  </si>
  <si>
    <t>Unit</t>
  </si>
  <si>
    <t>Cost</t>
  </si>
  <si>
    <t>Duration</t>
  </si>
  <si>
    <t>Type</t>
  </si>
  <si>
    <t>Personnel</t>
  </si>
  <si>
    <t>Headquarters</t>
  </si>
  <si>
    <t>LOE</t>
  </si>
  <si>
    <t xml:space="preserve">Senior Director </t>
  </si>
  <si>
    <t>/months</t>
  </si>
  <si>
    <t>Program Director*</t>
  </si>
  <si>
    <t>Program Manager</t>
  </si>
  <si>
    <t xml:space="preserve">Technical &amp; M&amp;E Officer </t>
  </si>
  <si>
    <t xml:space="preserve">Recruiter </t>
  </si>
  <si>
    <t>Subtotal HQ Personnel</t>
  </si>
  <si>
    <t>*Key Personnel</t>
  </si>
  <si>
    <t>Field Personnel</t>
  </si>
  <si>
    <t>Guatemala</t>
  </si>
  <si>
    <t>/year</t>
  </si>
  <si>
    <t>Dominican Republic</t>
  </si>
  <si>
    <t>Guyana</t>
  </si>
  <si>
    <t>Jamaica</t>
  </si>
  <si>
    <t>Subtotal Field Personnel</t>
  </si>
  <si>
    <t>F2F Volunteers</t>
  </si>
  <si>
    <t>/day</t>
  </si>
  <si>
    <t>Personnel Total</t>
  </si>
  <si>
    <t>Fringe Benefits - Headquarters</t>
  </si>
  <si>
    <t xml:space="preserve">Fringe Benefits - Field </t>
  </si>
  <si>
    <t>Fringe Benefits Total</t>
  </si>
  <si>
    <t>Travel</t>
  </si>
  <si>
    <t>Volunteer Travel - International Airfare</t>
  </si>
  <si>
    <t>/RT</t>
  </si>
  <si>
    <t>Flexible (Additional Countries)</t>
  </si>
  <si>
    <t>Total Volunteer Airfare</t>
  </si>
  <si>
    <t>Volunteer Travel-Related Costs (Traditional &amp; Paired)</t>
  </si>
  <si>
    <t>Guatemala - Volunteer Travel Related Costs</t>
  </si>
  <si>
    <t>Dominican Republic - Volunteer Travel Related Costs</t>
  </si>
  <si>
    <t>Guyana - Volunteer Travel Related Costs</t>
  </si>
  <si>
    <t>Jamaica - Volunteer Travel Related Costs</t>
  </si>
  <si>
    <t>Flexible - Volunteer Travel Related Costs</t>
  </si>
  <si>
    <t>Total Volunteer Travel-Related</t>
  </si>
  <si>
    <t>Subtotal Volunteer Travel</t>
  </si>
  <si>
    <t>Staff Travel - International Airfare</t>
  </si>
  <si>
    <t>Total Staff Intl Airfare</t>
  </si>
  <si>
    <t>Staff International Travel-Related Costs</t>
  </si>
  <si>
    <t xml:space="preserve">Meals and Incidentals </t>
  </si>
  <si>
    <t xml:space="preserve">Lodging </t>
  </si>
  <si>
    <t>Other Travel Related Expenses (baggage, transportation, etc.)</t>
  </si>
  <si>
    <t>/trip</t>
  </si>
  <si>
    <t>Total Staff Intl TRE</t>
  </si>
  <si>
    <t>Staff Travel - US Travel</t>
  </si>
  <si>
    <t>Workshop / US Trips Airfare</t>
  </si>
  <si>
    <t>Meals and incidentals</t>
  </si>
  <si>
    <t>Lodging</t>
  </si>
  <si>
    <t>Total Staff Travel US</t>
  </si>
  <si>
    <t>Field Staff Travel-Related Costs</t>
  </si>
  <si>
    <t xml:space="preserve">Total Field Staff Travel </t>
  </si>
  <si>
    <t>Subtotal Staff Travel</t>
  </si>
  <si>
    <t>Travel Total</t>
  </si>
  <si>
    <t xml:space="preserve">Equipment </t>
  </si>
  <si>
    <t>Field Office Equipment</t>
  </si>
  <si>
    <t>/vehicle</t>
  </si>
  <si>
    <t>Equipment Total</t>
  </si>
  <si>
    <t>HQ Office Supplies</t>
  </si>
  <si>
    <t>Laptop, Bag, Accessories</t>
  </si>
  <si>
    <t>/unit</t>
  </si>
  <si>
    <t>Camera, Accessories, Memory Card, S&amp;H</t>
  </si>
  <si>
    <t>General Office Supplies for HQ</t>
  </si>
  <si>
    <t>/month</t>
  </si>
  <si>
    <t>Total HQ Office Supplies</t>
  </si>
  <si>
    <t>Field Office Supplies</t>
  </si>
  <si>
    <t>Total Field Office Supplies</t>
  </si>
  <si>
    <t>Supplies Total</t>
  </si>
  <si>
    <t>M&amp;E Database</t>
  </si>
  <si>
    <t>IICA</t>
  </si>
  <si>
    <t>Contractual Total</t>
  </si>
  <si>
    <t>Meeting/Events - HQ</t>
  </si>
  <si>
    <t>Publications - HQ</t>
  </si>
  <si>
    <t>Trainings - HQ</t>
  </si>
  <si>
    <t>Communications, Licenses &amp; Subscriptions - HQ</t>
  </si>
  <si>
    <t>F2F Regional Workshop</t>
  </si>
  <si>
    <t>Field Office Meetings and Events</t>
  </si>
  <si>
    <t>Field Office Transportation</t>
  </si>
  <si>
    <t>Field Office Bank Fees</t>
  </si>
  <si>
    <t>Field Office Communications</t>
  </si>
  <si>
    <t>Field Office Rent &amp; Utilities</t>
  </si>
  <si>
    <t>Field Office Payroll</t>
  </si>
  <si>
    <t>Other Direct Costs Total</t>
  </si>
  <si>
    <t xml:space="preserve">Buy-in </t>
  </si>
  <si>
    <t xml:space="preserve"> </t>
  </si>
  <si>
    <t>Units</t>
  </si>
  <si>
    <t>Key Personnel</t>
  </si>
  <si>
    <t>Country Director*</t>
  </si>
  <si>
    <t>Other Personnel</t>
  </si>
  <si>
    <t>Field Officer 1</t>
  </si>
  <si>
    <t>Field Officer 2</t>
  </si>
  <si>
    <t>Administrative Assistant</t>
  </si>
  <si>
    <t>Subtotal Field Salaries</t>
  </si>
  <si>
    <t>Benefits</t>
  </si>
  <si>
    <t>Laptops</t>
  </si>
  <si>
    <t>Tablet</t>
  </si>
  <si>
    <t xml:space="preserve">Projector </t>
  </si>
  <si>
    <t xml:space="preserve">Miscellaneous Supplies </t>
  </si>
  <si>
    <t>Subtotal Supplies</t>
  </si>
  <si>
    <t>Volunteer Travel Related Costs (Traditional)</t>
  </si>
  <si>
    <t>Roundtrip Airfare</t>
  </si>
  <si>
    <t>/night</t>
  </si>
  <si>
    <t xml:space="preserve">Health Related </t>
  </si>
  <si>
    <t>Other Travel Related Costs</t>
  </si>
  <si>
    <t>Volunteer Travel Related Costs (Paired)</t>
  </si>
  <si>
    <t xml:space="preserve">Local Travel Related Costs </t>
  </si>
  <si>
    <t>Local Transportation Costs (fuel)</t>
  </si>
  <si>
    <t>Vehicles</t>
  </si>
  <si>
    <t>Subtotal Equipment</t>
  </si>
  <si>
    <t>Other Expenses</t>
  </si>
  <si>
    <t>Meetings and Events</t>
  </si>
  <si>
    <t>Transportation</t>
  </si>
  <si>
    <t>Bank Fees</t>
  </si>
  <si>
    <t>Communications</t>
  </si>
  <si>
    <t>Office Rent &amp; Utilities</t>
  </si>
  <si>
    <t>Payroll Company</t>
  </si>
  <si>
    <t>Subtotal Office Expenses</t>
  </si>
  <si>
    <t>Field Officer</t>
  </si>
  <si>
    <t>Field Office Expenses</t>
  </si>
  <si>
    <t>Volunteer Assignments by Fiscal Year &amp; Assignment Type</t>
  </si>
  <si>
    <t>FY24</t>
  </si>
  <si>
    <t>FY25</t>
  </si>
  <si>
    <t>FY26</t>
  </si>
  <si>
    <t>FY27</t>
  </si>
  <si>
    <t>FY28</t>
  </si>
  <si>
    <t>Totals</t>
  </si>
  <si>
    <t>Field Visit - Days per fiscal year</t>
  </si>
  <si>
    <t>Traditional</t>
  </si>
  <si>
    <t xml:space="preserve">Country </t>
  </si>
  <si>
    <t>Paired</t>
  </si>
  <si>
    <t>DR</t>
  </si>
  <si>
    <t>Flex (Additional countries)</t>
  </si>
  <si>
    <t>Total Traditional</t>
  </si>
  <si>
    <t>Total Paired</t>
  </si>
  <si>
    <t>Assignment Total</t>
  </si>
  <si>
    <t>Flights</t>
  </si>
  <si>
    <t xml:space="preserve">Per Diem </t>
  </si>
  <si>
    <t>Health</t>
  </si>
  <si>
    <t>Other</t>
  </si>
  <si>
    <t>Per Diem</t>
  </si>
  <si>
    <t>Flex Assignments</t>
  </si>
  <si>
    <t xml:space="preserve">Health </t>
  </si>
  <si>
    <t>Barbados</t>
  </si>
  <si>
    <t>Dominica</t>
  </si>
  <si>
    <t>St. Vincent</t>
  </si>
  <si>
    <t>Grenada</t>
  </si>
  <si>
    <t>Average</t>
  </si>
  <si>
    <t># of Assignments</t>
  </si>
  <si>
    <t>15-day Assignment Average</t>
  </si>
  <si>
    <t>Trip</t>
  </si>
  <si>
    <t>Average Field Staff Travel-Related Costs per Volunteer Assignments</t>
  </si>
  <si>
    <t>Daily Rates</t>
  </si>
  <si>
    <t>Per Trip Rates</t>
  </si>
  <si>
    <t>Country</t>
  </si>
  <si>
    <t>Other Related Costs</t>
  </si>
  <si>
    <t> </t>
  </si>
  <si>
    <t>Field Staff Travel Days - Guatemala</t>
  </si>
  <si>
    <t>Field Staff Travel Days - Guyana</t>
  </si>
  <si>
    <t>Field Staff</t>
  </si>
  <si>
    <t>Volunteer Assignments</t>
  </si>
  <si>
    <t>Data Collection &amp; Follow-up</t>
  </si>
  <si>
    <t>Total Travel Days</t>
  </si>
  <si>
    <t>Transport (Fuel)</t>
  </si>
  <si>
    <t>Trips</t>
  </si>
  <si>
    <t>Days per trip</t>
  </si>
  <si>
    <t>Total Days</t>
  </si>
  <si>
    <t>1FY27</t>
  </si>
  <si>
    <t>Field Staff Travel Days - DR</t>
  </si>
  <si>
    <t>Field Staff Travel Days - Jamaica</t>
  </si>
  <si>
    <t>HQ Staff Travel - INTL</t>
  </si>
  <si>
    <t>HQ Staff Travel - USA</t>
  </si>
  <si>
    <t>Regional Workshops</t>
  </si>
  <si>
    <t>Regional Meetings</t>
  </si>
  <si>
    <t>State/City</t>
  </si>
  <si>
    <t>Dominican Republic rate as base (15 people)</t>
  </si>
  <si>
    <t>Rate</t>
  </si>
  <si>
    <t xml:space="preserve">San Francisco </t>
  </si>
  <si>
    <t>Meeting space (table rental, snacks, and coffee breaks)</t>
  </si>
  <si>
    <t>Des Moines</t>
  </si>
  <si>
    <t>Hotel Rooms (15)</t>
  </si>
  <si>
    <t>Indianapolis</t>
  </si>
  <si>
    <t>Flights (12)</t>
  </si>
  <si>
    <t>Fort Lauderdale</t>
  </si>
  <si>
    <t>Taxis (airport pick-up &amp; drop-off)</t>
  </si>
  <si>
    <t>18-seater Van for Host Visits</t>
  </si>
  <si>
    <t>Booking Fee</t>
  </si>
  <si>
    <t>Per Diems</t>
  </si>
  <si>
    <t>Contingency</t>
  </si>
  <si>
    <t>DC</t>
  </si>
  <si>
    <t>Madison, WI</t>
  </si>
  <si>
    <t>Miami, FL</t>
  </si>
  <si>
    <t>Seattle, WA</t>
  </si>
  <si>
    <t>Laptop, Bag, Accessories, Shipping and Handling</t>
  </si>
  <si>
    <t>Total HQ</t>
  </si>
  <si>
    <t>Linkedin Recruiter Lite (Annuall Fee)</t>
  </si>
  <si>
    <t>Formstack (Create Forms for Volunteers - Annual Fee)</t>
  </si>
  <si>
    <t>Microsoft 365 Licenses (POA Policy)</t>
  </si>
  <si>
    <t>PandaDoc (Digital signing platform - quarterly fee)</t>
  </si>
  <si>
    <t>IT/Comm Reimbursement (POA Policy)</t>
  </si>
  <si>
    <t>Total Field</t>
  </si>
  <si>
    <t>Total:</t>
  </si>
  <si>
    <t>Detailed Quotes for Supplies</t>
  </si>
  <si>
    <t>Item Detail</t>
  </si>
  <si>
    <t>Price</t>
  </si>
  <si>
    <t xml:space="preserve">Laptop </t>
  </si>
  <si>
    <t>HP Spectre x360</t>
  </si>
  <si>
    <t>Laptop Sleeve</t>
  </si>
  <si>
    <t>Digital Camera</t>
  </si>
  <si>
    <t>Canon - PowerShot SX730 HS 20.3-Megapixel Digital Camera</t>
  </si>
  <si>
    <t>Camera Bag</t>
  </si>
  <si>
    <t xml:space="preserve">SanDisk 256GB Ultra microSDXC UHS-I Memory Card </t>
  </si>
  <si>
    <t>Field Office Rent</t>
  </si>
  <si>
    <t>Other Field Office Costs</t>
  </si>
  <si>
    <t>DOM</t>
  </si>
  <si>
    <t>Laptop (and bag)</t>
  </si>
  <si>
    <t>Rent</t>
  </si>
  <si>
    <t>Meetings &amp; Events</t>
  </si>
  <si>
    <t>Projector</t>
  </si>
  <si>
    <t>GUA</t>
  </si>
  <si>
    <t>Cell phone stipend</t>
  </si>
  <si>
    <t>GUY</t>
  </si>
  <si>
    <t>JAM</t>
  </si>
  <si>
    <t>TOTAL</t>
  </si>
  <si>
    <t>USAID NOFO #7200AA23RFA00006</t>
  </si>
  <si>
    <t>M&amp;E</t>
  </si>
  <si>
    <t>Database Development</t>
  </si>
  <si>
    <t>Yearly Maintenance</t>
  </si>
  <si>
    <t>Other ICT</t>
  </si>
  <si>
    <t>Subtotal</t>
  </si>
  <si>
    <t>Program Implementation Support</t>
  </si>
  <si>
    <t>Leverage Formula Summaries</t>
  </si>
  <si>
    <t xml:space="preserve">Total Days </t>
  </si>
  <si>
    <t>Grand Total Days</t>
  </si>
  <si>
    <t>Leverage Total</t>
  </si>
  <si>
    <t>Avg Days Per Assignment Type</t>
  </si>
  <si>
    <t xml:space="preserve"> LOP Total</t>
  </si>
  <si>
    <t>Leverage value per assignment day</t>
  </si>
  <si>
    <t>Country Code</t>
  </si>
  <si>
    <t>Account Code</t>
  </si>
  <si>
    <t>Budget (Activity) Code</t>
  </si>
  <si>
    <t>Entity:</t>
  </si>
  <si>
    <t>P</t>
  </si>
  <si>
    <t>Program-Dept.:</t>
  </si>
  <si>
    <t>Funder-Grant:</t>
  </si>
  <si>
    <t>USAID650</t>
  </si>
  <si>
    <t>PERSNL</t>
  </si>
  <si>
    <t>70000</t>
  </si>
  <si>
    <t>PERSNL-GTM</t>
  </si>
  <si>
    <t>PERSNL-DOM</t>
  </si>
  <si>
    <t>PERSNL-GUY</t>
  </si>
  <si>
    <t>PERSNL-JAM</t>
  </si>
  <si>
    <t>VARIOUS SEE TAB</t>
  </si>
  <si>
    <t>70015</t>
  </si>
  <si>
    <t>50900</t>
  </si>
  <si>
    <t>FRINGE</t>
  </si>
  <si>
    <t>VOLTRAVEL</t>
  </si>
  <si>
    <t>VOLTRVCTS</t>
  </si>
  <si>
    <t>USA</t>
  </si>
  <si>
    <t>GTM</t>
  </si>
  <si>
    <t>86000 (Transport)/ 86030 (Lodging)/ 86050 (M&amp;IE)</t>
  </si>
  <si>
    <t>FLX</t>
  </si>
  <si>
    <t>STFTRAVEL</t>
  </si>
  <si>
    <t>STFTRVCTS</t>
  </si>
  <si>
    <t>86050</t>
  </si>
  <si>
    <t>86030</t>
  </si>
  <si>
    <t>86000 (Transport)/ 86060 (baggage, etc.)</t>
  </si>
  <si>
    <t>86040</t>
  </si>
  <si>
    <t>85200</t>
  </si>
  <si>
    <t>SUPPLIES</t>
  </si>
  <si>
    <t>82401</t>
  </si>
  <si>
    <t>STFTRAV-US</t>
  </si>
  <si>
    <t>87000</t>
  </si>
  <si>
    <t>87010</t>
  </si>
  <si>
    <t>86000</t>
  </si>
  <si>
    <t>90900</t>
  </si>
  <si>
    <t>82030</t>
  </si>
  <si>
    <t>85180</t>
  </si>
  <si>
    <t>81030</t>
  </si>
  <si>
    <t>94050</t>
  </si>
  <si>
    <t>IDC</t>
  </si>
  <si>
    <t>85300</t>
  </si>
  <si>
    <t>COMM</t>
  </si>
  <si>
    <t>TRAIN</t>
  </si>
  <si>
    <t>MEETING</t>
  </si>
  <si>
    <t>PUBLICAT</t>
  </si>
  <si>
    <t>WORKSHOP</t>
  </si>
  <si>
    <t>M&amp;EDATA</t>
  </si>
  <si>
    <t>81010</t>
  </si>
  <si>
    <t>89050</t>
  </si>
  <si>
    <t>GRANT</t>
  </si>
  <si>
    <t>FRINGE-GTM</t>
  </si>
  <si>
    <t>SUPPLY-GTM</t>
  </si>
  <si>
    <t>LOTRVL-GTM</t>
  </si>
  <si>
    <t>NONE</t>
  </si>
  <si>
    <t>MEETGTM</t>
  </si>
  <si>
    <t>TRANSGTM</t>
  </si>
  <si>
    <t>BANKGTM</t>
  </si>
  <si>
    <t>COMMGTM</t>
  </si>
  <si>
    <t>RENT&amp;UTGTM</t>
  </si>
  <si>
    <t>PAYROLLGTM</t>
  </si>
  <si>
    <t>VTRADGTM</t>
  </si>
  <si>
    <t>VPAIRGTM</t>
  </si>
  <si>
    <t>VFLYGTM</t>
  </si>
  <si>
    <t>VFLYDOM</t>
  </si>
  <si>
    <t>VFLYGUY</t>
  </si>
  <si>
    <t>VFLYJAM</t>
  </si>
  <si>
    <t>FRINGE-GUY</t>
  </si>
  <si>
    <t>SUPPLY-GUY</t>
  </si>
  <si>
    <t>VTRADGUY</t>
  </si>
  <si>
    <t>VPAIRGUY</t>
  </si>
  <si>
    <t>LOTRVL-GUY</t>
  </si>
  <si>
    <t>MEETGUY</t>
  </si>
  <si>
    <t>BANKGUY</t>
  </si>
  <si>
    <t>COMMGUY</t>
  </si>
  <si>
    <t>RENT&amp;UTGUY</t>
  </si>
  <si>
    <t>PAYROLLGUY</t>
  </si>
  <si>
    <t>FRINGE-JAM</t>
  </si>
  <si>
    <t>SUPPLY-JAM</t>
  </si>
  <si>
    <t>VTRADJAM</t>
  </si>
  <si>
    <t>VPAIRJAM</t>
  </si>
  <si>
    <t>LOTRVL-JAM</t>
  </si>
  <si>
    <t>MEETJAM</t>
  </si>
  <si>
    <t>TRANSJAM</t>
  </si>
  <si>
    <t>BANKJAM</t>
  </si>
  <si>
    <t>COMMJAM</t>
  </si>
  <si>
    <t>RENT&amp;UTJAM</t>
  </si>
  <si>
    <t>PAYROLLJAM</t>
  </si>
  <si>
    <t>EQUIPDOM</t>
  </si>
  <si>
    <t>FRINGE-DOM</t>
  </si>
  <si>
    <t>SUPPLY-DOM</t>
  </si>
  <si>
    <t>VFLYJDOM</t>
  </si>
  <si>
    <t>VTRADDOM</t>
  </si>
  <si>
    <t>VPAIRDOM</t>
  </si>
  <si>
    <t>LOTRVL-DOM</t>
  </si>
  <si>
    <t>MEETDOM</t>
  </si>
  <si>
    <t>TRANSDOM</t>
  </si>
  <si>
    <t>BANKDOM</t>
  </si>
  <si>
    <t>COMMDOM</t>
  </si>
  <si>
    <t>RENT&amp;UTDOM</t>
  </si>
  <si>
    <t>PAYROLLDOM</t>
  </si>
  <si>
    <t>BUY-IN</t>
  </si>
  <si>
    <t>TRANSGY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</si>
</sst>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&quot;$&quot;#,##0"/>
    <numFmt numFmtId="166" formatCode="&quot;$&quot;#,##0.00"/>
    <numFmt numFmtId="167" formatCode="#.000,"/>
    <numFmt numFmtId="168" formatCode="_(&quot;$&quot;* #,##0_);_(&quot;$&quot;* \(#,##0\);_(&quot;$&quot;* &quot;-&quot;??_);_(@_)"/>
    <numFmt numFmtId="169" formatCode="0.0000"/>
    <numFmt numFmtId="170" formatCode="_([$$-409]* #,##0_);_([$$-409]* \(#,##0\);_([$$-409]* &quot;-&quot;??_);_(@_)"/>
  </numFmts>
  <fonts count="50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name val="Arial"/>
      <family val="2"/>
    </font>
    <font>
      <b/>
      <i/>
      <sz val="9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i/>
      <sz val="10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9"/>
      <color indexed="9"/>
      <name val="Arial"/>
      <family val="2"/>
    </font>
    <font>
      <b/>
      <sz val="10"/>
      <color indexed="9"/>
      <name val="Arial"/>
      <family val="2"/>
    </font>
    <font>
      <i/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i/>
      <sz val="10"/>
      <color theme="0"/>
      <name val="Arial"/>
      <family val="2"/>
    </font>
    <font>
      <b/>
      <i/>
      <sz val="9"/>
      <color theme="0"/>
      <name val="Arial"/>
      <family val="2"/>
    </font>
    <font>
      <b/>
      <sz val="10"/>
      <color theme="0"/>
      <name val="Arial"/>
      <family val="2"/>
    </font>
    <font>
      <i/>
      <sz val="9"/>
      <name val="Arial"/>
      <family val="2"/>
    </font>
    <font>
      <b/>
      <i/>
      <sz val="8"/>
      <color theme="0"/>
      <name val="Arial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indexed="8"/>
      <name val="Calibri"/>
      <family val="2"/>
    </font>
    <font>
      <b/>
      <sz val="8"/>
      <color indexed="9"/>
      <name val="Arial"/>
      <family val="2"/>
    </font>
    <font>
      <sz val="8"/>
      <color indexed="9"/>
      <name val="Arial"/>
      <family val="2"/>
    </font>
    <font>
      <sz val="10"/>
      <color theme="1"/>
      <name val="Tahoma"/>
      <family val="2"/>
    </font>
    <font>
      <sz val="8"/>
      <name val="Arial"/>
      <family val="2"/>
    </font>
    <font>
      <sz val="10"/>
      <color rgb="FFFF0000"/>
      <name val="Arial"/>
      <family val="2"/>
    </font>
    <font>
      <sz val="11"/>
      <color rgb="FFFF0000"/>
      <name val="Arial"/>
      <family val="2"/>
    </font>
    <font>
      <b/>
      <i/>
      <sz val="10"/>
      <color theme="3"/>
      <name val="Arial"/>
      <family val="2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sz val="10"/>
      <color theme="0"/>
      <name val="Arial"/>
      <family val="2"/>
    </font>
    <font>
      <sz val="11"/>
      <color rgb="FF000000"/>
      <name val="Arial"/>
      <family val="2"/>
    </font>
    <font>
      <sz val="10"/>
      <color rgb="FF000000"/>
      <name val="Arial"/>
      <family val="2"/>
    </font>
    <font>
      <sz val="10"/>
      <name val="Times New Roman"/>
      <family val="1"/>
      <charset val="1"/>
    </font>
    <font>
      <b/>
      <sz val="10"/>
      <color rgb="FF000000"/>
      <name val="Times New Roman"/>
      <family val="1"/>
      <charset val="1"/>
    </font>
    <font>
      <b/>
      <sz val="10"/>
      <name val="Times New Roman"/>
      <family val="1"/>
      <charset val="1"/>
    </font>
    <font>
      <i/>
      <sz val="10"/>
      <color rgb="FF000000"/>
      <name val="Times New Roman"/>
      <family val="1"/>
      <charset val="1"/>
    </font>
    <font>
      <b/>
      <i/>
      <sz val="10"/>
      <color rgb="FF1F497D"/>
      <name val="Times New Roman"/>
      <family val="1"/>
      <charset val="1"/>
    </font>
    <font>
      <sz val="10"/>
      <color rgb="FF000000"/>
      <name val="Times New Roman"/>
      <family val="1"/>
      <charset val="1"/>
    </font>
    <font>
      <b/>
      <sz val="10"/>
      <color rgb="FF1F497D"/>
      <name val="Times New Roman"/>
      <family val="1"/>
      <charset val="1"/>
    </font>
    <font>
      <b/>
      <sz val="10"/>
      <color rgb="FF4F81BD"/>
      <name val="Times New Roman"/>
      <family val="1"/>
      <charset val="1"/>
    </font>
    <font>
      <b/>
      <i/>
      <sz val="10"/>
      <color rgb="FF000000"/>
      <name val="Times New Roman"/>
      <family val="1"/>
      <charset val="1"/>
    </font>
    <font>
      <b/>
      <i/>
      <sz val="10"/>
      <name val="Times New Roman"/>
      <family val="1"/>
      <charset val="1"/>
    </font>
  </fonts>
  <fills count="2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-0.249977111117893"/>
        <bgColor indexed="2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D7E5F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59999389629810485"/>
        <bgColor indexed="24"/>
      </patternFill>
    </fill>
    <fill>
      <patternFill patternType="solid">
        <fgColor rgb="FFD7E5F5"/>
        <bgColor indexed="24"/>
      </patternFill>
    </fill>
    <fill>
      <patternFill patternType="solid">
        <fgColor rgb="FFE7F0F9"/>
        <bgColor indexed="64"/>
      </patternFill>
    </fill>
    <fill>
      <patternFill patternType="solid">
        <fgColor rgb="FFFEF1E6"/>
        <bgColor indexed="64"/>
      </patternFill>
    </fill>
    <fill>
      <patternFill patternType="solid">
        <fgColor rgb="FFFEF4E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DDFC7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C2D69B"/>
        <bgColor indexed="64"/>
      </patternFill>
    </fill>
    <fill>
      <patternFill patternType="solid">
        <fgColor rgb="FFFFFF00"/>
        <bgColor indexed="64"/>
      </patternFill>
    </fill>
  </fills>
  <borders count="1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ck">
        <color indexed="64"/>
      </right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medium">
        <color rgb="FF000000"/>
      </bottom>
      <diagonal/>
    </border>
    <border>
      <left style="thin">
        <color indexed="64"/>
      </left>
      <right/>
      <top style="medium">
        <color rgb="FF000000"/>
      </top>
      <bottom/>
      <diagonal/>
    </border>
    <border>
      <left style="thin">
        <color indexed="64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/>
      <right/>
      <top style="medium">
        <color rgb="FF000000"/>
      </top>
      <bottom style="thin">
        <color indexed="64"/>
      </bottom>
      <diagonal/>
    </border>
    <border>
      <left/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/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8">
    <xf numFmtId="0" fontId="0" fillId="0" borderId="0"/>
    <xf numFmtId="4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24" fillId="0" borderId="0"/>
    <xf numFmtId="0" fontId="25" fillId="0" borderId="0"/>
    <xf numFmtId="43" fontId="4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0" fontId="2" fillId="0" borderId="0"/>
    <xf numFmtId="44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4" fillId="0" borderId="0"/>
    <xf numFmtId="0" fontId="1" fillId="0" borderId="0"/>
    <xf numFmtId="0" fontId="4" fillId="0" borderId="0"/>
    <xf numFmtId="0" fontId="1" fillId="0" borderId="0"/>
  </cellStyleXfs>
  <cellXfs count="701">
    <xf numFmtId="0" fontId="0" fillId="0" borderId="0" xfId="0"/>
    <xf numFmtId="0" fontId="9" fillId="0" borderId="0" xfId="0" applyFont="1"/>
    <xf numFmtId="165" fontId="0" fillId="0" borderId="0" xfId="0" applyNumberFormat="1"/>
    <xf numFmtId="166" fontId="0" fillId="0" borderId="0" xfId="0" applyNumberFormat="1"/>
    <xf numFmtId="0" fontId="4" fillId="0" borderId="0" xfId="0" applyFont="1"/>
    <xf numFmtId="0" fontId="10" fillId="0" borderId="0" xfId="0" applyFont="1"/>
    <xf numFmtId="0" fontId="12" fillId="0" borderId="0" xfId="0" applyFont="1"/>
    <xf numFmtId="0" fontId="13" fillId="0" borderId="0" xfId="0" applyFont="1"/>
    <xf numFmtId="0" fontId="11" fillId="0" borderId="0" xfId="0" applyFont="1"/>
    <xf numFmtId="0" fontId="7" fillId="0" borderId="1" xfId="0" applyFont="1" applyBorder="1"/>
    <xf numFmtId="3" fontId="4" fillId="0" borderId="6" xfId="0" applyNumberFormat="1" applyFont="1" applyBorder="1"/>
    <xf numFmtId="3" fontId="4" fillId="0" borderId="0" xfId="0" applyNumberFormat="1" applyFont="1"/>
    <xf numFmtId="3" fontId="4" fillId="0" borderId="5" xfId="0" applyNumberFormat="1" applyFont="1" applyBorder="1"/>
    <xf numFmtId="3" fontId="4" fillId="0" borderId="7" xfId="0" applyNumberFormat="1" applyFont="1" applyBorder="1"/>
    <xf numFmtId="0" fontId="11" fillId="0" borderId="1" xfId="0" applyFont="1" applyBorder="1"/>
    <xf numFmtId="0" fontId="4" fillId="0" borderId="1" xfId="0" applyFont="1" applyBorder="1"/>
    <xf numFmtId="3" fontId="4" fillId="0" borderId="13" xfId="0" applyNumberFormat="1" applyFont="1" applyBorder="1"/>
    <xf numFmtId="3" fontId="4" fillId="0" borderId="20" xfId="0" applyNumberFormat="1" applyFont="1" applyBorder="1"/>
    <xf numFmtId="3" fontId="4" fillId="0" borderId="9" xfId="0" applyNumberFormat="1" applyFont="1" applyBorder="1"/>
    <xf numFmtId="3" fontId="4" fillId="0" borderId="21" xfId="0" applyNumberFormat="1" applyFont="1" applyBorder="1"/>
    <xf numFmtId="41" fontId="10" fillId="0" borderId="0" xfId="0" applyNumberFormat="1" applyFont="1"/>
    <xf numFmtId="43" fontId="10" fillId="0" borderId="14" xfId="0" applyNumberFormat="1" applyFont="1" applyBorder="1"/>
    <xf numFmtId="43" fontId="10" fillId="0" borderId="13" xfId="0" applyNumberFormat="1" applyFont="1" applyBorder="1"/>
    <xf numFmtId="0" fontId="10" fillId="0" borderId="9" xfId="0" applyFont="1" applyBorder="1"/>
    <xf numFmtId="0" fontId="7" fillId="0" borderId="0" xfId="0" applyFont="1"/>
    <xf numFmtId="43" fontId="6" fillId="0" borderId="0" xfId="0" applyNumberFormat="1" applyFont="1"/>
    <xf numFmtId="3" fontId="9" fillId="0" borderId="6" xfId="0" applyNumberFormat="1" applyFont="1" applyBorder="1"/>
    <xf numFmtId="3" fontId="9" fillId="0" borderId="0" xfId="0" applyNumberFormat="1" applyFont="1"/>
    <xf numFmtId="3" fontId="9" fillId="0" borderId="11" xfId="0" applyNumberFormat="1" applyFont="1" applyBorder="1"/>
    <xf numFmtId="43" fontId="6" fillId="0" borderId="22" xfId="0" applyNumberFormat="1" applyFont="1" applyBorder="1"/>
    <xf numFmtId="3" fontId="9" fillId="0" borderId="16" xfId="0" applyNumberFormat="1" applyFont="1" applyBorder="1"/>
    <xf numFmtId="43" fontId="10" fillId="0" borderId="22" xfId="0" applyNumberFormat="1" applyFont="1" applyBorder="1"/>
    <xf numFmtId="41" fontId="10" fillId="0" borderId="22" xfId="0" applyNumberFormat="1" applyFont="1" applyBorder="1"/>
    <xf numFmtId="0" fontId="10" fillId="0" borderId="27" xfId="0" applyFont="1" applyBorder="1"/>
    <xf numFmtId="0" fontId="10" fillId="0" borderId="22" xfId="0" applyFont="1" applyBorder="1"/>
    <xf numFmtId="43" fontId="10" fillId="0" borderId="28" xfId="0" applyNumberFormat="1" applyFont="1" applyBorder="1"/>
    <xf numFmtId="164" fontId="10" fillId="0" borderId="22" xfId="0" applyNumberFormat="1" applyFont="1" applyBorder="1"/>
    <xf numFmtId="43" fontId="10" fillId="0" borderId="17" xfId="0" applyNumberFormat="1" applyFont="1" applyBorder="1"/>
    <xf numFmtId="38" fontId="10" fillId="0" borderId="0" xfId="0" applyNumberFormat="1" applyFont="1"/>
    <xf numFmtId="0" fontId="17" fillId="0" borderId="0" xfId="0" applyFont="1"/>
    <xf numFmtId="0" fontId="14" fillId="4" borderId="9" xfId="0" applyFont="1" applyFill="1" applyBorder="1" applyAlignment="1">
      <alignment horizontal="right"/>
    </xf>
    <xf numFmtId="165" fontId="14" fillId="4" borderId="9" xfId="0" applyNumberFormat="1" applyFont="1" applyFill="1" applyBorder="1" applyAlignment="1">
      <alignment horizontal="right"/>
    </xf>
    <xf numFmtId="0" fontId="19" fillId="5" borderId="2" xfId="0" applyFont="1" applyFill="1" applyBorder="1" applyAlignment="1">
      <alignment horizontal="right"/>
    </xf>
    <xf numFmtId="0" fontId="19" fillId="5" borderId="24" xfId="0" applyFont="1" applyFill="1" applyBorder="1" applyAlignment="1">
      <alignment horizontal="center"/>
    </xf>
    <xf numFmtId="0" fontId="4" fillId="0" borderId="13" xfId="0" applyFont="1" applyBorder="1"/>
    <xf numFmtId="0" fontId="19" fillId="5" borderId="1" xfId="0" applyFont="1" applyFill="1" applyBorder="1" applyAlignment="1">
      <alignment horizontal="right"/>
    </xf>
    <xf numFmtId="0" fontId="19" fillId="5" borderId="4" xfId="0" applyFont="1" applyFill="1" applyBorder="1" applyAlignment="1">
      <alignment horizontal="right"/>
    </xf>
    <xf numFmtId="0" fontId="19" fillId="0" borderId="0" xfId="0" applyFont="1" applyAlignment="1">
      <alignment horizontal="right"/>
    </xf>
    <xf numFmtId="0" fontId="19" fillId="0" borderId="12" xfId="0" applyFont="1" applyBorder="1" applyAlignment="1">
      <alignment horizontal="right"/>
    </xf>
    <xf numFmtId="0" fontId="19" fillId="0" borderId="13" xfId="0" applyFont="1" applyBorder="1" applyAlignment="1">
      <alignment horizontal="right"/>
    </xf>
    <xf numFmtId="0" fontId="19" fillId="0" borderId="29" xfId="0" applyFont="1" applyBorder="1" applyAlignment="1">
      <alignment horizontal="right"/>
    </xf>
    <xf numFmtId="43" fontId="4" fillId="0" borderId="7" xfId="0" applyNumberFormat="1" applyFont="1" applyBorder="1"/>
    <xf numFmtId="0" fontId="4" fillId="0" borderId="30" xfId="0" applyFont="1" applyBorder="1"/>
    <xf numFmtId="0" fontId="15" fillId="4" borderId="8" xfId="0" applyFont="1" applyFill="1" applyBorder="1" applyAlignment="1">
      <alignment horizontal="left"/>
    </xf>
    <xf numFmtId="0" fontId="19" fillId="5" borderId="25" xfId="0" applyFont="1" applyFill="1" applyBorder="1" applyAlignment="1">
      <alignment horizontal="right"/>
    </xf>
    <xf numFmtId="43" fontId="9" fillId="0" borderId="11" xfId="0" applyNumberFormat="1" applyFont="1" applyBorder="1" applyAlignment="1">
      <alignment horizontal="right"/>
    </xf>
    <xf numFmtId="43" fontId="7" fillId="0" borderId="11" xfId="0" applyNumberFormat="1" applyFont="1" applyBorder="1" applyAlignment="1">
      <alignment horizontal="left"/>
    </xf>
    <xf numFmtId="0" fontId="7" fillId="0" borderId="11" xfId="0" applyFont="1" applyBorder="1"/>
    <xf numFmtId="0" fontId="0" fillId="0" borderId="11" xfId="0" applyBorder="1"/>
    <xf numFmtId="0" fontId="4" fillId="0" borderId="11" xfId="0" applyFont="1" applyBorder="1"/>
    <xf numFmtId="0" fontId="16" fillId="0" borderId="11" xfId="0" applyFont="1" applyBorder="1" applyAlignment="1">
      <alignment horizontal="right"/>
    </xf>
    <xf numFmtId="43" fontId="4" fillId="0" borderId="11" xfId="0" applyNumberFormat="1" applyFont="1" applyBorder="1"/>
    <xf numFmtId="43" fontId="7" fillId="0" borderId="26" xfId="0" applyNumberFormat="1" applyFont="1" applyBorder="1"/>
    <xf numFmtId="0" fontId="0" fillId="0" borderId="1" xfId="0" applyBorder="1"/>
    <xf numFmtId="0" fontId="16" fillId="0" borderId="0" xfId="0" applyFont="1"/>
    <xf numFmtId="165" fontId="0" fillId="0" borderId="1" xfId="0" applyNumberFormat="1" applyBorder="1"/>
    <xf numFmtId="165" fontId="7" fillId="0" borderId="1" xfId="0" applyNumberFormat="1" applyFont="1" applyBorder="1"/>
    <xf numFmtId="3" fontId="4" fillId="6" borderId="14" xfId="0" applyNumberFormat="1" applyFont="1" applyFill="1" applyBorder="1"/>
    <xf numFmtId="3" fontId="4" fillId="6" borderId="4" xfId="0" applyNumberFormat="1" applyFont="1" applyFill="1" applyBorder="1"/>
    <xf numFmtId="3" fontId="4" fillId="6" borderId="2" xfId="0" applyNumberFormat="1" applyFont="1" applyFill="1" applyBorder="1"/>
    <xf numFmtId="3" fontId="4" fillId="6" borderId="1" xfId="0" applyNumberFormat="1" applyFont="1" applyFill="1" applyBorder="1"/>
    <xf numFmtId="0" fontId="7" fillId="6" borderId="1" xfId="0" applyFont="1" applyFill="1" applyBorder="1"/>
    <xf numFmtId="43" fontId="7" fillId="6" borderId="25" xfId="0" applyNumberFormat="1" applyFont="1" applyFill="1" applyBorder="1"/>
    <xf numFmtId="0" fontId="7" fillId="6" borderId="25" xfId="0" applyFont="1" applyFill="1" applyBorder="1"/>
    <xf numFmtId="0" fontId="19" fillId="0" borderId="26" xfId="0" applyFont="1" applyBorder="1" applyAlignment="1">
      <alignment horizontal="right"/>
    </xf>
    <xf numFmtId="0" fontId="20" fillId="0" borderId="28" xfId="0" applyFont="1" applyBorder="1" applyAlignment="1">
      <alignment horizontal="right"/>
    </xf>
    <xf numFmtId="0" fontId="20" fillId="0" borderId="13" xfId="0" applyFont="1" applyBorder="1" applyAlignment="1">
      <alignment horizontal="right"/>
    </xf>
    <xf numFmtId="0" fontId="23" fillId="0" borderId="13" xfId="0" applyFont="1" applyBorder="1" applyAlignment="1">
      <alignment horizontal="right"/>
    </xf>
    <xf numFmtId="0" fontId="19" fillId="0" borderId="19" xfId="0" applyFont="1" applyBorder="1" applyAlignment="1">
      <alignment horizontal="right"/>
    </xf>
    <xf numFmtId="0" fontId="19" fillId="0" borderId="15" xfId="0" applyFont="1" applyBorder="1" applyAlignment="1">
      <alignment horizontal="right"/>
    </xf>
    <xf numFmtId="0" fontId="19" fillId="0" borderId="11" xfId="0" applyFont="1" applyBorder="1" applyAlignment="1">
      <alignment horizontal="center"/>
    </xf>
    <xf numFmtId="0" fontId="23" fillId="5" borderId="13" xfId="0" applyFont="1" applyFill="1" applyBorder="1" applyAlignment="1">
      <alignment horizontal="right"/>
    </xf>
    <xf numFmtId="0" fontId="21" fillId="0" borderId="11" xfId="0" applyFont="1" applyBorder="1" applyAlignment="1">
      <alignment horizontal="center"/>
    </xf>
    <xf numFmtId="0" fontId="0" fillId="6" borderId="1" xfId="0" applyFill="1" applyBorder="1"/>
    <xf numFmtId="0" fontId="14" fillId="0" borderId="1" xfId="0" applyFont="1" applyBorder="1" applyAlignment="1">
      <alignment horizontal="right"/>
    </xf>
    <xf numFmtId="165" fontId="14" fillId="0" borderId="1" xfId="0" applyNumberFormat="1" applyFont="1" applyBorder="1" applyAlignment="1">
      <alignment horizontal="right"/>
    </xf>
    <xf numFmtId="0" fontId="5" fillId="8" borderId="1" xfId="0" applyFont="1" applyFill="1" applyBorder="1" applyAlignment="1">
      <alignment horizontal="right"/>
    </xf>
    <xf numFmtId="165" fontId="5" fillId="8" borderId="1" xfId="0" applyNumberFormat="1" applyFont="1" applyFill="1" applyBorder="1" applyAlignment="1">
      <alignment horizontal="right"/>
    </xf>
    <xf numFmtId="0" fontId="7" fillId="2" borderId="1" xfId="0" applyFont="1" applyFill="1" applyBorder="1" applyAlignment="1">
      <alignment horizontal="right"/>
    </xf>
    <xf numFmtId="165" fontId="0" fillId="2" borderId="1" xfId="0" applyNumberFormat="1" applyFill="1" applyBorder="1"/>
    <xf numFmtId="0" fontId="0" fillId="2" borderId="1" xfId="0" applyFill="1" applyBorder="1"/>
    <xf numFmtId="165" fontId="7" fillId="2" borderId="1" xfId="0" applyNumberFormat="1" applyFont="1" applyFill="1" applyBorder="1"/>
    <xf numFmtId="0" fontId="9" fillId="6" borderId="1" xfId="0" applyFont="1" applyFill="1" applyBorder="1"/>
    <xf numFmtId="165" fontId="0" fillId="6" borderId="1" xfId="0" applyNumberFormat="1" applyFill="1" applyBorder="1"/>
    <xf numFmtId="0" fontId="5" fillId="9" borderId="2" xfId="0" applyFont="1" applyFill="1" applyBorder="1" applyAlignment="1">
      <alignment horizontal="left"/>
    </xf>
    <xf numFmtId="165" fontId="5" fillId="9" borderId="4" xfId="0" applyNumberFormat="1" applyFont="1" applyFill="1" applyBorder="1" applyAlignment="1">
      <alignment horizontal="right"/>
    </xf>
    <xf numFmtId="10" fontId="10" fillId="0" borderId="13" xfId="0" applyNumberFormat="1" applyFont="1" applyBorder="1"/>
    <xf numFmtId="3" fontId="10" fillId="0" borderId="13" xfId="0" applyNumberFormat="1" applyFont="1" applyBorder="1"/>
    <xf numFmtId="10" fontId="10" fillId="3" borderId="17" xfId="0" applyNumberFormat="1" applyFont="1" applyFill="1" applyBorder="1"/>
    <xf numFmtId="10" fontId="10" fillId="3" borderId="14" xfId="0" applyNumberFormat="1" applyFont="1" applyFill="1" applyBorder="1"/>
    <xf numFmtId="10" fontId="10" fillId="3" borderId="4" xfId="0" applyNumberFormat="1" applyFont="1" applyFill="1" applyBorder="1"/>
    <xf numFmtId="43" fontId="7" fillId="10" borderId="25" xfId="0" applyNumberFormat="1" applyFont="1" applyFill="1" applyBorder="1" applyAlignment="1">
      <alignment horizontal="right"/>
    </xf>
    <xf numFmtId="0" fontId="9" fillId="10" borderId="11" xfId="0" applyFont="1" applyFill="1" applyBorder="1" applyAlignment="1">
      <alignment horizontal="right"/>
    </xf>
    <xf numFmtId="43" fontId="5" fillId="10" borderId="0" xfId="0" applyNumberFormat="1" applyFont="1" applyFill="1"/>
    <xf numFmtId="3" fontId="7" fillId="10" borderId="6" xfId="0" applyNumberFormat="1" applyFont="1" applyFill="1" applyBorder="1"/>
    <xf numFmtId="3" fontId="7" fillId="10" borderId="11" xfId="0" applyNumberFormat="1" applyFont="1" applyFill="1" applyBorder="1"/>
    <xf numFmtId="0" fontId="7" fillId="10" borderId="25" xfId="0" applyFont="1" applyFill="1" applyBorder="1" applyAlignment="1">
      <alignment horizontal="right"/>
    </xf>
    <xf numFmtId="0" fontId="7" fillId="10" borderId="1" xfId="0" applyFont="1" applyFill="1" applyBorder="1"/>
    <xf numFmtId="10" fontId="10" fillId="0" borderId="28" xfId="0" applyNumberFormat="1" applyFont="1" applyBorder="1"/>
    <xf numFmtId="43" fontId="4" fillId="0" borderId="11" xfId="0" applyNumberFormat="1" applyFont="1" applyBorder="1" applyAlignment="1">
      <alignment horizontal="left" indent="1"/>
    </xf>
    <xf numFmtId="41" fontId="7" fillId="10" borderId="1" xfId="0" applyNumberFormat="1" applyFont="1" applyFill="1" applyBorder="1"/>
    <xf numFmtId="3" fontId="7" fillId="10" borderId="1" xfId="0" applyNumberFormat="1" applyFont="1" applyFill="1" applyBorder="1"/>
    <xf numFmtId="3" fontId="4" fillId="0" borderId="0" xfId="3" applyNumberFormat="1"/>
    <xf numFmtId="0" fontId="4" fillId="0" borderId="0" xfId="3"/>
    <xf numFmtId="0" fontId="8" fillId="0" borderId="0" xfId="0" applyFont="1"/>
    <xf numFmtId="0" fontId="23" fillId="5" borderId="26" xfId="0" applyFont="1" applyFill="1" applyBorder="1" applyAlignment="1">
      <alignment horizontal="right"/>
    </xf>
    <xf numFmtId="0" fontId="23" fillId="5" borderId="28" xfId="0" applyFont="1" applyFill="1" applyBorder="1" applyAlignment="1">
      <alignment horizontal="right"/>
    </xf>
    <xf numFmtId="0" fontId="23" fillId="5" borderId="19" xfId="0" applyFont="1" applyFill="1" applyBorder="1" applyAlignment="1">
      <alignment horizontal="right"/>
    </xf>
    <xf numFmtId="0" fontId="23" fillId="5" borderId="15" xfId="0" applyFont="1" applyFill="1" applyBorder="1" applyAlignment="1">
      <alignment horizontal="right"/>
    </xf>
    <xf numFmtId="0" fontId="23" fillId="5" borderId="11" xfId="0" applyFont="1" applyFill="1" applyBorder="1" applyAlignment="1">
      <alignment horizontal="center"/>
    </xf>
    <xf numFmtId="44" fontId="7" fillId="0" borderId="0" xfId="1" applyFont="1" applyFill="1"/>
    <xf numFmtId="9" fontId="4" fillId="0" borderId="0" xfId="2" applyFont="1" applyBorder="1"/>
    <xf numFmtId="3" fontId="0" fillId="0" borderId="6" xfId="0" applyNumberFormat="1" applyBorder="1"/>
    <xf numFmtId="0" fontId="7" fillId="0" borderId="1" xfId="0" applyFont="1" applyBorder="1" applyAlignment="1">
      <alignment horizontal="right"/>
    </xf>
    <xf numFmtId="43" fontId="5" fillId="10" borderId="22" xfId="0" applyNumberFormat="1" applyFont="1" applyFill="1" applyBorder="1"/>
    <xf numFmtId="3" fontId="10" fillId="0" borderId="0" xfId="0" applyNumberFormat="1" applyFont="1"/>
    <xf numFmtId="0" fontId="4" fillId="0" borderId="11" xfId="0" applyFont="1" applyBorder="1" applyAlignment="1">
      <alignment horizontal="left" indent="1"/>
    </xf>
    <xf numFmtId="43" fontId="10" fillId="0" borderId="0" xfId="0" applyNumberFormat="1" applyFont="1"/>
    <xf numFmtId="164" fontId="10" fillId="0" borderId="0" xfId="0" applyNumberFormat="1" applyFont="1"/>
    <xf numFmtId="1" fontId="10" fillId="0" borderId="22" xfId="0" applyNumberFormat="1" applyFont="1" applyBorder="1"/>
    <xf numFmtId="3" fontId="7" fillId="10" borderId="16" xfId="0" applyNumberFormat="1" applyFont="1" applyFill="1" applyBorder="1"/>
    <xf numFmtId="0" fontId="0" fillId="0" borderId="11" xfId="0" applyBorder="1" applyAlignment="1">
      <alignment horizontal="left" indent="1"/>
    </xf>
    <xf numFmtId="164" fontId="22" fillId="0" borderId="22" xfId="0" applyNumberFormat="1" applyFont="1" applyBorder="1"/>
    <xf numFmtId="43" fontId="22" fillId="0" borderId="0" xfId="0" applyNumberFormat="1" applyFont="1"/>
    <xf numFmtId="164" fontId="22" fillId="0" borderId="0" xfId="0" applyNumberFormat="1" applyFont="1"/>
    <xf numFmtId="3" fontId="16" fillId="0" borderId="16" xfId="0" applyNumberFormat="1" applyFont="1" applyBorder="1"/>
    <xf numFmtId="3" fontId="22" fillId="0" borderId="0" xfId="0" applyNumberFormat="1" applyFont="1"/>
    <xf numFmtId="3" fontId="16" fillId="0" borderId="11" xfId="0" applyNumberFormat="1" applyFont="1" applyBorder="1"/>
    <xf numFmtId="165" fontId="4" fillId="0" borderId="0" xfId="0" applyNumberFormat="1" applyFont="1"/>
    <xf numFmtId="0" fontId="4" fillId="0" borderId="1" xfId="0" applyFont="1" applyBorder="1" applyAlignment="1">
      <alignment horizontal="right"/>
    </xf>
    <xf numFmtId="0" fontId="20" fillId="5" borderId="33" xfId="0" applyFont="1" applyFill="1" applyBorder="1" applyAlignment="1">
      <alignment horizontal="right"/>
    </xf>
    <xf numFmtId="0" fontId="20" fillId="5" borderId="34" xfId="0" applyFont="1" applyFill="1" applyBorder="1" applyAlignment="1">
      <alignment horizontal="right"/>
    </xf>
    <xf numFmtId="0" fontId="19" fillId="5" borderId="34" xfId="0" applyFont="1" applyFill="1" applyBorder="1"/>
    <xf numFmtId="0" fontId="19" fillId="5" borderId="35" xfId="0" applyFont="1" applyFill="1" applyBorder="1"/>
    <xf numFmtId="0" fontId="10" fillId="3" borderId="31" xfId="0" applyFont="1" applyFill="1" applyBorder="1"/>
    <xf numFmtId="0" fontId="10" fillId="3" borderId="36" xfId="0" applyFont="1" applyFill="1" applyBorder="1"/>
    <xf numFmtId="0" fontId="10" fillId="3" borderId="37" xfId="0" applyFont="1" applyFill="1" applyBorder="1"/>
    <xf numFmtId="0" fontId="19" fillId="0" borderId="6" xfId="0" applyFont="1" applyBorder="1" applyAlignment="1">
      <alignment horizontal="right"/>
    </xf>
    <xf numFmtId="0" fontId="19" fillId="5" borderId="14" xfId="0" applyFont="1" applyFill="1" applyBorder="1" applyAlignment="1">
      <alignment horizontal="right"/>
    </xf>
    <xf numFmtId="0" fontId="19" fillId="5" borderId="1" xfId="0" applyFont="1" applyFill="1" applyBorder="1" applyAlignment="1">
      <alignment horizontal="center"/>
    </xf>
    <xf numFmtId="0" fontId="19" fillId="5" borderId="29" xfId="0" applyFont="1" applyFill="1" applyBorder="1" applyAlignment="1">
      <alignment horizontal="center"/>
    </xf>
    <xf numFmtId="0" fontId="19" fillId="5" borderId="39" xfId="0" applyFont="1" applyFill="1" applyBorder="1" applyAlignment="1">
      <alignment horizontal="center"/>
    </xf>
    <xf numFmtId="0" fontId="19" fillId="5" borderId="40" xfId="0" applyFont="1" applyFill="1" applyBorder="1" applyAlignment="1">
      <alignment horizontal="center"/>
    </xf>
    <xf numFmtId="0" fontId="19" fillId="0" borderId="7" xfId="0" applyFont="1" applyBorder="1" applyAlignment="1">
      <alignment horizontal="center"/>
    </xf>
    <xf numFmtId="0" fontId="21" fillId="0" borderId="7" xfId="0" applyFont="1" applyBorder="1" applyAlignment="1">
      <alignment horizontal="center"/>
    </xf>
    <xf numFmtId="9" fontId="10" fillId="0" borderId="22" xfId="2" applyFont="1" applyFill="1" applyBorder="1" applyAlignment="1"/>
    <xf numFmtId="43" fontId="7" fillId="0" borderId="11" xfId="0" applyNumberFormat="1" applyFont="1" applyBorder="1"/>
    <xf numFmtId="9" fontId="10" fillId="0" borderId="28" xfId="2" applyFont="1" applyFill="1" applyBorder="1" applyAlignment="1"/>
    <xf numFmtId="44" fontId="7" fillId="6" borderId="25" xfId="0" applyNumberFormat="1" applyFont="1" applyFill="1" applyBorder="1"/>
    <xf numFmtId="10" fontId="10" fillId="0" borderId="22" xfId="0" applyNumberFormat="1" applyFont="1" applyBorder="1"/>
    <xf numFmtId="43" fontId="5" fillId="0" borderId="22" xfId="0" applyNumberFormat="1" applyFont="1" applyBorder="1"/>
    <xf numFmtId="0" fontId="7" fillId="3" borderId="25" xfId="0" applyFont="1" applyFill="1" applyBorder="1"/>
    <xf numFmtId="43" fontId="5" fillId="3" borderId="17" xfId="0" applyNumberFormat="1" applyFont="1" applyFill="1" applyBorder="1"/>
    <xf numFmtId="43" fontId="5" fillId="3" borderId="14" xfId="0" applyNumberFormat="1" applyFont="1" applyFill="1" applyBorder="1"/>
    <xf numFmtId="43" fontId="5" fillId="3" borderId="4" xfId="0" applyNumberFormat="1" applyFont="1" applyFill="1" applyBorder="1"/>
    <xf numFmtId="41" fontId="7" fillId="3" borderId="2" xfId="0" applyNumberFormat="1" applyFont="1" applyFill="1" applyBorder="1" applyAlignment="1">
      <alignment horizontal="right"/>
    </xf>
    <xf numFmtId="41" fontId="7" fillId="3" borderId="14" xfId="0" applyNumberFormat="1" applyFont="1" applyFill="1" applyBorder="1"/>
    <xf numFmtId="41" fontId="7" fillId="3" borderId="18" xfId="0" applyNumberFormat="1" applyFont="1" applyFill="1" applyBorder="1"/>
    <xf numFmtId="41" fontId="7" fillId="3" borderId="2" xfId="0" applyNumberFormat="1" applyFont="1" applyFill="1" applyBorder="1"/>
    <xf numFmtId="3" fontId="7" fillId="3" borderId="2" xfId="0" applyNumberFormat="1" applyFont="1" applyFill="1" applyBorder="1"/>
    <xf numFmtId="3" fontId="7" fillId="3" borderId="14" xfId="0" applyNumberFormat="1" applyFont="1" applyFill="1" applyBorder="1"/>
    <xf numFmtId="3" fontId="7" fillId="3" borderId="18" xfId="0" applyNumberFormat="1" applyFont="1" applyFill="1" applyBorder="1"/>
    <xf numFmtId="3" fontId="7" fillId="3" borderId="25" xfId="0" applyNumberFormat="1" applyFont="1" applyFill="1" applyBorder="1"/>
    <xf numFmtId="0" fontId="9" fillId="0" borderId="11" xfId="0" applyFont="1" applyBorder="1" applyAlignment="1">
      <alignment horizontal="right"/>
    </xf>
    <xf numFmtId="164" fontId="6" fillId="0" borderId="22" xfId="0" applyNumberFormat="1" applyFont="1" applyBorder="1"/>
    <xf numFmtId="164" fontId="6" fillId="0" borderId="0" xfId="0" applyNumberFormat="1" applyFont="1"/>
    <xf numFmtId="3" fontId="6" fillId="0" borderId="0" xfId="0" applyNumberFormat="1" applyFont="1"/>
    <xf numFmtId="164" fontId="9" fillId="0" borderId="0" xfId="0" applyNumberFormat="1" applyFont="1"/>
    <xf numFmtId="44" fontId="7" fillId="6" borderId="1" xfId="0" applyNumberFormat="1" applyFont="1" applyFill="1" applyBorder="1"/>
    <xf numFmtId="43" fontId="7" fillId="6" borderId="1" xfId="0" applyNumberFormat="1" applyFont="1" applyFill="1" applyBorder="1"/>
    <xf numFmtId="43" fontId="7" fillId="0" borderId="7" xfId="0" applyNumberFormat="1" applyFont="1" applyBorder="1"/>
    <xf numFmtId="43" fontId="9" fillId="0" borderId="7" xfId="0" applyNumberFormat="1" applyFont="1" applyBorder="1" applyAlignment="1">
      <alignment horizontal="right"/>
    </xf>
    <xf numFmtId="38" fontId="4" fillId="0" borderId="0" xfId="0" applyNumberFormat="1" applyFont="1"/>
    <xf numFmtId="164" fontId="4" fillId="0" borderId="0" xfId="0" applyNumberFormat="1" applyFont="1"/>
    <xf numFmtId="168" fontId="4" fillId="0" borderId="0" xfId="1" applyNumberFormat="1" applyFont="1"/>
    <xf numFmtId="44" fontId="5" fillId="6" borderId="17" xfId="0" applyNumberFormat="1" applyFont="1" applyFill="1" applyBorder="1"/>
    <xf numFmtId="44" fontId="5" fillId="6" borderId="14" xfId="0" applyNumberFormat="1" applyFont="1" applyFill="1" applyBorder="1"/>
    <xf numFmtId="0" fontId="4" fillId="6" borderId="2" xfId="0" applyFont="1" applyFill="1" applyBorder="1"/>
    <xf numFmtId="0" fontId="4" fillId="6" borderId="14" xfId="0" applyFont="1" applyFill="1" applyBorder="1"/>
    <xf numFmtId="0" fontId="4" fillId="6" borderId="18" xfId="0" applyFont="1" applyFill="1" applyBorder="1"/>
    <xf numFmtId="0" fontId="4" fillId="6" borderId="25" xfId="0" applyFont="1" applyFill="1" applyBorder="1"/>
    <xf numFmtId="0" fontId="4" fillId="0" borderId="19" xfId="0" applyFont="1" applyBorder="1"/>
    <xf numFmtId="0" fontId="4" fillId="0" borderId="15" xfId="0" applyFont="1" applyBorder="1"/>
    <xf numFmtId="0" fontId="4" fillId="0" borderId="26" xfId="0" applyFont="1" applyBorder="1"/>
    <xf numFmtId="3" fontId="4" fillId="0" borderId="16" xfId="0" applyNumberFormat="1" applyFont="1" applyBorder="1"/>
    <xf numFmtId="3" fontId="4" fillId="0" borderId="11" xfId="0" applyNumberFormat="1" applyFont="1" applyBorder="1"/>
    <xf numFmtId="43" fontId="9" fillId="0" borderId="11" xfId="0" applyNumberFormat="1" applyFont="1" applyBorder="1" applyAlignment="1">
      <alignment horizontal="left"/>
    </xf>
    <xf numFmtId="43" fontId="5" fillId="0" borderId="0" xfId="0" applyNumberFormat="1" applyFont="1"/>
    <xf numFmtId="0" fontId="4" fillId="0" borderId="10" xfId="0" applyFont="1" applyBorder="1"/>
    <xf numFmtId="0" fontId="4" fillId="0" borderId="20" xfId="0" applyFont="1" applyBorder="1"/>
    <xf numFmtId="0" fontId="4" fillId="0" borderId="9" xfId="0" applyFont="1" applyBorder="1"/>
    <xf numFmtId="0" fontId="4" fillId="0" borderId="23" xfId="0" applyFont="1" applyBorder="1"/>
    <xf numFmtId="43" fontId="5" fillId="10" borderId="17" xfId="0" applyNumberFormat="1" applyFont="1" applyFill="1" applyBorder="1"/>
    <xf numFmtId="43" fontId="5" fillId="10" borderId="14" xfId="0" applyNumberFormat="1" applyFont="1" applyFill="1" applyBorder="1"/>
    <xf numFmtId="3" fontId="7" fillId="10" borderId="2" xfId="0" applyNumberFormat="1" applyFont="1" applyFill="1" applyBorder="1"/>
    <xf numFmtId="3" fontId="7" fillId="10" borderId="14" xfId="0" applyNumberFormat="1" applyFont="1" applyFill="1" applyBorder="1"/>
    <xf numFmtId="3" fontId="7" fillId="10" borderId="18" xfId="0" applyNumberFormat="1" applyFont="1" applyFill="1" applyBorder="1"/>
    <xf numFmtId="3" fontId="7" fillId="10" borderId="25" xfId="0" applyNumberFormat="1" applyFont="1" applyFill="1" applyBorder="1"/>
    <xf numFmtId="43" fontId="7" fillId="0" borderId="25" xfId="0" applyNumberFormat="1" applyFont="1" applyBorder="1"/>
    <xf numFmtId="43" fontId="5" fillId="0" borderId="17" xfId="0" applyNumberFormat="1" applyFont="1" applyBorder="1"/>
    <xf numFmtId="43" fontId="5" fillId="0" borderId="14" xfId="0" applyNumberFormat="1" applyFont="1" applyBorder="1"/>
    <xf numFmtId="3" fontId="4" fillId="0" borderId="2" xfId="0" applyNumberFormat="1" applyFont="1" applyBorder="1"/>
    <xf numFmtId="3" fontId="4" fillId="0" borderId="14" xfId="0" applyNumberFormat="1" applyFont="1" applyBorder="1"/>
    <xf numFmtId="3" fontId="4" fillId="0" borderId="18" xfId="0" applyNumberFormat="1" applyFont="1" applyBorder="1"/>
    <xf numFmtId="3" fontId="4" fillId="0" borderId="25" xfId="0" applyNumberFormat="1" applyFont="1" applyBorder="1"/>
    <xf numFmtId="43" fontId="5" fillId="6" borderId="17" xfId="0" applyNumberFormat="1" applyFont="1" applyFill="1" applyBorder="1"/>
    <xf numFmtId="43" fontId="5" fillId="6" borderId="14" xfId="0" applyNumberFormat="1" applyFont="1" applyFill="1" applyBorder="1"/>
    <xf numFmtId="3" fontId="4" fillId="6" borderId="18" xfId="0" applyNumberFormat="1" applyFont="1" applyFill="1" applyBorder="1"/>
    <xf numFmtId="3" fontId="4" fillId="6" borderId="25" xfId="0" applyNumberFormat="1" applyFont="1" applyFill="1" applyBorder="1"/>
    <xf numFmtId="43" fontId="4" fillId="0" borderId="26" xfId="0" applyNumberFormat="1" applyFont="1" applyBorder="1"/>
    <xf numFmtId="3" fontId="4" fillId="0" borderId="19" xfId="0" applyNumberFormat="1" applyFont="1" applyBorder="1"/>
    <xf numFmtId="3" fontId="4" fillId="0" borderId="26" xfId="0" applyNumberFormat="1" applyFont="1" applyBorder="1"/>
    <xf numFmtId="0" fontId="4" fillId="0" borderId="27" xfId="0" applyFont="1" applyBorder="1"/>
    <xf numFmtId="3" fontId="4" fillId="0" borderId="15" xfId="0" applyNumberFormat="1" applyFont="1" applyBorder="1"/>
    <xf numFmtId="43" fontId="4" fillId="0" borderId="25" xfId="0" applyNumberFormat="1" applyFont="1" applyBorder="1"/>
    <xf numFmtId="43" fontId="5" fillId="0" borderId="13" xfId="0" applyNumberFormat="1" applyFont="1" applyBorder="1"/>
    <xf numFmtId="43" fontId="5" fillId="0" borderId="28" xfId="0" applyNumberFormat="1" applyFont="1" applyBorder="1"/>
    <xf numFmtId="43" fontId="4" fillId="0" borderId="10" xfId="0" applyNumberFormat="1" applyFont="1" applyBorder="1"/>
    <xf numFmtId="43" fontId="5" fillId="0" borderId="27" xfId="0" applyNumberFormat="1" applyFont="1" applyBorder="1"/>
    <xf numFmtId="43" fontId="5" fillId="0" borderId="9" xfId="0" applyNumberFormat="1" applyFont="1" applyBorder="1"/>
    <xf numFmtId="3" fontId="4" fillId="0" borderId="23" xfId="0" applyNumberFormat="1" applyFont="1" applyBorder="1"/>
    <xf numFmtId="3" fontId="4" fillId="0" borderId="10" xfId="0" applyNumberFormat="1" applyFont="1" applyBorder="1"/>
    <xf numFmtId="43" fontId="9" fillId="0" borderId="25" xfId="0" applyNumberFormat="1" applyFont="1" applyBorder="1" applyAlignment="1">
      <alignment horizontal="right"/>
    </xf>
    <xf numFmtId="9" fontId="4" fillId="0" borderId="0" xfId="2" applyFont="1" applyFill="1"/>
    <xf numFmtId="9" fontId="4" fillId="0" borderId="0" xfId="0" applyNumberFormat="1" applyFont="1"/>
    <xf numFmtId="0" fontId="5" fillId="10" borderId="17" xfId="0" applyFont="1" applyFill="1" applyBorder="1"/>
    <xf numFmtId="0" fontId="5" fillId="10" borderId="14" xfId="0" applyFont="1" applyFill="1" applyBorder="1"/>
    <xf numFmtId="0" fontId="7" fillId="0" borderId="25" xfId="0" applyFont="1" applyBorder="1" applyAlignment="1">
      <alignment horizontal="right"/>
    </xf>
    <xf numFmtId="0" fontId="5" fillId="0" borderId="17" xfId="0" applyFont="1" applyBorder="1"/>
    <xf numFmtId="0" fontId="5" fillId="0" borderId="14" xfId="0" applyFont="1" applyBorder="1"/>
    <xf numFmtId="3" fontId="7" fillId="0" borderId="25" xfId="0" applyNumberFormat="1" applyFont="1" applyBorder="1"/>
    <xf numFmtId="0" fontId="5" fillId="6" borderId="17" xfId="0" applyFont="1" applyFill="1" applyBorder="1"/>
    <xf numFmtId="0" fontId="5" fillId="6" borderId="14" xfId="0" applyFont="1" applyFill="1" applyBorder="1"/>
    <xf numFmtId="3" fontId="4" fillId="3" borderId="2" xfId="0" applyNumberFormat="1" applyFont="1" applyFill="1" applyBorder="1"/>
    <xf numFmtId="3" fontId="4" fillId="3" borderId="14" xfId="0" applyNumberFormat="1" applyFont="1" applyFill="1" applyBorder="1"/>
    <xf numFmtId="3" fontId="4" fillId="3" borderId="18" xfId="0" applyNumberFormat="1" applyFont="1" applyFill="1" applyBorder="1"/>
    <xf numFmtId="3" fontId="4" fillId="3" borderId="25" xfId="0" applyNumberFormat="1" applyFont="1" applyFill="1" applyBorder="1"/>
    <xf numFmtId="3" fontId="7" fillId="3" borderId="32" xfId="0" applyNumberFormat="1" applyFont="1" applyFill="1" applyBorder="1"/>
    <xf numFmtId="3" fontId="7" fillId="3" borderId="36" xfId="0" applyNumberFormat="1" applyFont="1" applyFill="1" applyBorder="1"/>
    <xf numFmtId="3" fontId="7" fillId="3" borderId="38" xfId="0" applyNumberFormat="1" applyFont="1" applyFill="1" applyBorder="1"/>
    <xf numFmtId="3" fontId="7" fillId="3" borderId="3" xfId="0" applyNumberFormat="1" applyFont="1" applyFill="1" applyBorder="1"/>
    <xf numFmtId="165" fontId="4" fillId="0" borderId="1" xfId="0" applyNumberFormat="1" applyFont="1" applyBorder="1"/>
    <xf numFmtId="44" fontId="7" fillId="0" borderId="0" xfId="1" applyFont="1"/>
    <xf numFmtId="44" fontId="4" fillId="0" borderId="0" xfId="1" applyFont="1"/>
    <xf numFmtId="169" fontId="4" fillId="0" borderId="0" xfId="2" applyNumberFormat="1" applyFont="1"/>
    <xf numFmtId="169" fontId="4" fillId="0" borderId="0" xfId="0" applyNumberFormat="1" applyFont="1"/>
    <xf numFmtId="43" fontId="16" fillId="0" borderId="11" xfId="0" applyNumberFormat="1" applyFont="1" applyBorder="1" applyAlignment="1">
      <alignment horizontal="left"/>
    </xf>
    <xf numFmtId="0" fontId="4" fillId="6" borderId="1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44" fontId="4" fillId="0" borderId="0" xfId="1" applyFont="1" applyFill="1"/>
    <xf numFmtId="44" fontId="4" fillId="0" borderId="0" xfId="0" applyNumberFormat="1" applyFont="1"/>
    <xf numFmtId="0" fontId="7" fillId="7" borderId="41" xfId="0" applyFont="1" applyFill="1" applyBorder="1"/>
    <xf numFmtId="9" fontId="4" fillId="0" borderId="2" xfId="2" applyFont="1" applyBorder="1"/>
    <xf numFmtId="0" fontId="15" fillId="4" borderId="43" xfId="0" applyFont="1" applyFill="1" applyBorder="1" applyAlignment="1">
      <alignment horizontal="left"/>
    </xf>
    <xf numFmtId="0" fontId="15" fillId="4" borderId="44" xfId="0" applyFont="1" applyFill="1" applyBorder="1" applyAlignment="1">
      <alignment horizontal="right"/>
    </xf>
    <xf numFmtId="0" fontId="15" fillId="4" borderId="8" xfId="0" applyFont="1" applyFill="1" applyBorder="1" applyAlignment="1">
      <alignment horizontal="right"/>
    </xf>
    <xf numFmtId="0" fontId="15" fillId="4" borderId="45" xfId="0" applyFont="1" applyFill="1" applyBorder="1" applyAlignment="1">
      <alignment horizontal="right"/>
    </xf>
    <xf numFmtId="0" fontId="15" fillId="4" borderId="46" xfId="0" applyFont="1" applyFill="1" applyBorder="1"/>
    <xf numFmtId="0" fontId="15" fillId="4" borderId="47" xfId="0" applyFont="1" applyFill="1" applyBorder="1"/>
    <xf numFmtId="0" fontId="15" fillId="4" borderId="48" xfId="0" applyFont="1" applyFill="1" applyBorder="1" applyAlignment="1">
      <alignment horizontal="right"/>
    </xf>
    <xf numFmtId="0" fontId="15" fillId="4" borderId="49" xfId="0" applyFont="1" applyFill="1" applyBorder="1" applyAlignment="1">
      <alignment horizontal="right"/>
    </xf>
    <xf numFmtId="0" fontId="27" fillId="4" borderId="50" xfId="0" applyFont="1" applyFill="1" applyBorder="1" applyAlignment="1">
      <alignment horizontal="center"/>
    </xf>
    <xf numFmtId="0" fontId="28" fillId="4" borderId="51" xfId="0" applyFont="1" applyFill="1" applyBorder="1" applyAlignment="1">
      <alignment horizontal="center"/>
    </xf>
    <xf numFmtId="0" fontId="28" fillId="4" borderId="9" xfId="0" applyFont="1" applyFill="1" applyBorder="1" applyAlignment="1">
      <alignment horizontal="center"/>
    </xf>
    <xf numFmtId="0" fontId="28" fillId="4" borderId="21" xfId="0" applyFont="1" applyFill="1" applyBorder="1" applyAlignment="1">
      <alignment horizontal="center"/>
    </xf>
    <xf numFmtId="0" fontId="28" fillId="4" borderId="20" xfId="0" applyFont="1" applyFill="1" applyBorder="1" applyAlignment="1">
      <alignment horizontal="center"/>
    </xf>
    <xf numFmtId="0" fontId="28" fillId="4" borderId="52" xfId="0" applyFont="1" applyFill="1" applyBorder="1" applyAlignment="1">
      <alignment horizontal="center"/>
    </xf>
    <xf numFmtId="0" fontId="27" fillId="4" borderId="52" xfId="0" applyFont="1" applyFill="1" applyBorder="1" applyAlignment="1">
      <alignment horizontal="center"/>
    </xf>
    <xf numFmtId="0" fontId="8" fillId="0" borderId="0" xfId="0" applyFont="1" applyAlignment="1">
      <alignment horizontal="center"/>
    </xf>
    <xf numFmtId="0" fontId="15" fillId="0" borderId="13" xfId="0" applyFont="1" applyBorder="1" applyAlignment="1">
      <alignment horizontal="center"/>
    </xf>
    <xf numFmtId="0" fontId="15" fillId="0" borderId="12" xfId="0" applyFont="1" applyBorder="1" applyAlignment="1">
      <alignment horizontal="center"/>
    </xf>
    <xf numFmtId="0" fontId="15" fillId="0" borderId="19" xfId="0" applyFont="1" applyBorder="1" applyAlignment="1">
      <alignment horizontal="center"/>
    </xf>
    <xf numFmtId="0" fontId="15" fillId="0" borderId="26" xfId="0" applyFont="1" applyBorder="1" applyAlignment="1">
      <alignment horizontal="center"/>
    </xf>
    <xf numFmtId="0" fontId="15" fillId="11" borderId="26" xfId="0" applyFont="1" applyFill="1" applyBorder="1" applyAlignment="1">
      <alignment horizontal="center"/>
    </xf>
    <xf numFmtId="0" fontId="4" fillId="0" borderId="5" xfId="0" applyFont="1" applyBorder="1"/>
    <xf numFmtId="0" fontId="4" fillId="0" borderId="6" xfId="0" applyFont="1" applyBorder="1"/>
    <xf numFmtId="0" fontId="4" fillId="11" borderId="11" xfId="0" applyFont="1" applyFill="1" applyBorder="1"/>
    <xf numFmtId="3" fontId="4" fillId="11" borderId="11" xfId="0" applyNumberFormat="1" applyFont="1" applyFill="1" applyBorder="1"/>
    <xf numFmtId="3" fontId="7" fillId="11" borderId="11" xfId="0" applyNumberFormat="1" applyFont="1" applyFill="1" applyBorder="1"/>
    <xf numFmtId="0" fontId="7" fillId="0" borderId="5" xfId="0" applyFont="1" applyBorder="1"/>
    <xf numFmtId="3" fontId="7" fillId="0" borderId="6" xfId="0" applyNumberFormat="1" applyFont="1" applyBorder="1"/>
    <xf numFmtId="3" fontId="7" fillId="0" borderId="11" xfId="0" applyNumberFormat="1" applyFont="1" applyBorder="1"/>
    <xf numFmtId="3" fontId="7" fillId="0" borderId="0" xfId="0" applyNumberFormat="1" applyFont="1"/>
    <xf numFmtId="1" fontId="4" fillId="0" borderId="0" xfId="0" applyNumberFormat="1" applyFont="1"/>
    <xf numFmtId="1" fontId="4" fillId="0" borderId="5" xfId="0" applyNumberFormat="1" applyFont="1" applyBorder="1"/>
    <xf numFmtId="1" fontId="4" fillId="0" borderId="11" xfId="0" applyNumberFormat="1" applyFont="1" applyBorder="1"/>
    <xf numFmtId="0" fontId="7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1" fontId="4" fillId="0" borderId="6" xfId="0" applyNumberFormat="1" applyFont="1" applyBorder="1"/>
    <xf numFmtId="1" fontId="7" fillId="0" borderId="5" xfId="0" applyNumberFormat="1" applyFont="1" applyBorder="1"/>
    <xf numFmtId="0" fontId="7" fillId="0" borderId="54" xfId="0" applyFont="1" applyBorder="1"/>
    <xf numFmtId="0" fontId="7" fillId="0" borderId="55" xfId="0" applyFont="1" applyBorder="1"/>
    <xf numFmtId="3" fontId="7" fillId="0" borderId="56" xfId="0" applyNumberFormat="1" applyFont="1" applyBorder="1"/>
    <xf numFmtId="3" fontId="7" fillId="0" borderId="24" xfId="0" applyNumberFormat="1" applyFont="1" applyBorder="1"/>
    <xf numFmtId="3" fontId="7" fillId="11" borderId="57" xfId="0" applyNumberFormat="1" applyFont="1" applyFill="1" applyBorder="1"/>
    <xf numFmtId="3" fontId="7" fillId="11" borderId="58" xfId="0" applyNumberFormat="1" applyFont="1" applyFill="1" applyBorder="1"/>
    <xf numFmtId="0" fontId="4" fillId="0" borderId="0" xfId="0" applyFont="1" applyAlignment="1">
      <alignment wrapText="1"/>
    </xf>
    <xf numFmtId="170" fontId="4" fillId="0" borderId="0" xfId="0" applyNumberFormat="1" applyFont="1"/>
    <xf numFmtId="42" fontId="4" fillId="0" borderId="0" xfId="0" applyNumberFormat="1" applyFont="1"/>
    <xf numFmtId="1" fontId="7" fillId="0" borderId="1" xfId="15" applyNumberFormat="1" applyFont="1" applyBorder="1" applyAlignment="1">
      <alignment horizontal="center"/>
    </xf>
    <xf numFmtId="0" fontId="4" fillId="0" borderId="1" xfId="15" applyFont="1" applyBorder="1" applyAlignment="1">
      <alignment horizontal="left" indent="1"/>
    </xf>
    <xf numFmtId="1" fontId="10" fillId="0" borderId="1" xfId="15" applyNumberFormat="1" applyFont="1" applyBorder="1" applyAlignment="1">
      <alignment horizontal="center"/>
    </xf>
    <xf numFmtId="0" fontId="4" fillId="0" borderId="0" xfId="14"/>
    <xf numFmtId="165" fontId="7" fillId="0" borderId="42" xfId="0" applyNumberFormat="1" applyFont="1" applyBorder="1"/>
    <xf numFmtId="0" fontId="4" fillId="0" borderId="1" xfId="0" applyFont="1" applyBorder="1" applyAlignment="1">
      <alignment horizontal="center"/>
    </xf>
    <xf numFmtId="168" fontId="4" fillId="0" borderId="1" xfId="1" applyNumberFormat="1" applyFont="1" applyBorder="1" applyAlignment="1">
      <alignment horizontal="right"/>
    </xf>
    <xf numFmtId="167" fontId="7" fillId="0" borderId="2" xfId="0" applyNumberFormat="1" applyFont="1" applyBorder="1" applyAlignment="1">
      <alignment wrapText="1"/>
    </xf>
    <xf numFmtId="167" fontId="7" fillId="0" borderId="4" xfId="0" applyNumberFormat="1" applyFont="1" applyBorder="1" applyAlignment="1">
      <alignment wrapText="1"/>
    </xf>
    <xf numFmtId="167" fontId="7" fillId="0" borderId="14" xfId="0" applyNumberFormat="1" applyFont="1" applyBorder="1" applyAlignment="1">
      <alignment wrapText="1"/>
    </xf>
    <xf numFmtId="0" fontId="7" fillId="14" borderId="1" xfId="0" applyFont="1" applyFill="1" applyBorder="1" applyAlignment="1">
      <alignment horizontal="center" vertical="center"/>
    </xf>
    <xf numFmtId="0" fontId="7" fillId="14" borderId="1" xfId="0" applyFont="1" applyFill="1" applyBorder="1" applyAlignment="1">
      <alignment horizontal="center" vertical="center" wrapText="1"/>
    </xf>
    <xf numFmtId="1" fontId="4" fillId="14" borderId="1" xfId="0" applyNumberFormat="1" applyFont="1" applyFill="1" applyBorder="1" applyAlignment="1">
      <alignment horizontal="right"/>
    </xf>
    <xf numFmtId="0" fontId="4" fillId="14" borderId="1" xfId="0" applyFont="1" applyFill="1" applyBorder="1" applyAlignment="1">
      <alignment horizontal="right"/>
    </xf>
    <xf numFmtId="1" fontId="4" fillId="14" borderId="4" xfId="0" applyNumberFormat="1" applyFont="1" applyFill="1" applyBorder="1" applyAlignment="1">
      <alignment horizontal="right"/>
    </xf>
    <xf numFmtId="1" fontId="4" fillId="14" borderId="4" xfId="0" applyNumberFormat="1" applyFont="1" applyFill="1" applyBorder="1"/>
    <xf numFmtId="0" fontId="7" fillId="13" borderId="1" xfId="0" applyFont="1" applyFill="1" applyBorder="1" applyAlignment="1">
      <alignment horizontal="center" vertical="center"/>
    </xf>
    <xf numFmtId="0" fontId="7" fillId="13" borderId="1" xfId="0" applyFont="1" applyFill="1" applyBorder="1" applyAlignment="1">
      <alignment horizontal="center" vertical="center" wrapText="1"/>
    </xf>
    <xf numFmtId="1" fontId="4" fillId="13" borderId="1" xfId="0" applyNumberFormat="1" applyFont="1" applyFill="1" applyBorder="1" applyAlignment="1">
      <alignment horizontal="right"/>
    </xf>
    <xf numFmtId="0" fontId="4" fillId="13" borderId="1" xfId="0" applyFont="1" applyFill="1" applyBorder="1" applyAlignment="1">
      <alignment horizontal="right"/>
    </xf>
    <xf numFmtId="1" fontId="4" fillId="13" borderId="4" xfId="0" applyNumberFormat="1" applyFont="1" applyFill="1" applyBorder="1" applyAlignment="1">
      <alignment horizontal="right"/>
    </xf>
    <xf numFmtId="1" fontId="4" fillId="13" borderId="4" xfId="0" applyNumberFormat="1" applyFont="1" applyFill="1" applyBorder="1"/>
    <xf numFmtId="0" fontId="7" fillId="15" borderId="1" xfId="0" applyFont="1" applyFill="1" applyBorder="1" applyAlignment="1">
      <alignment horizontal="center" vertical="center"/>
    </xf>
    <xf numFmtId="0" fontId="7" fillId="15" borderId="1" xfId="0" applyFont="1" applyFill="1" applyBorder="1" applyAlignment="1">
      <alignment horizontal="center" vertical="center" wrapText="1"/>
    </xf>
    <xf numFmtId="0" fontId="7" fillId="16" borderId="1" xfId="0" applyFont="1" applyFill="1" applyBorder="1" applyAlignment="1">
      <alignment horizontal="center" vertical="center" wrapText="1"/>
    </xf>
    <xf numFmtId="0" fontId="4" fillId="16" borderId="1" xfId="0" applyFont="1" applyFill="1" applyBorder="1" applyAlignment="1">
      <alignment horizontal="right"/>
    </xf>
    <xf numFmtId="1" fontId="4" fillId="16" borderId="1" xfId="0" applyNumberFormat="1" applyFont="1" applyFill="1" applyBorder="1" applyAlignment="1">
      <alignment horizontal="right"/>
    </xf>
    <xf numFmtId="3" fontId="7" fillId="0" borderId="5" xfId="0" applyNumberFormat="1" applyFont="1" applyBorder="1"/>
    <xf numFmtId="1" fontId="7" fillId="0" borderId="0" xfId="0" applyNumberFormat="1" applyFont="1"/>
    <xf numFmtId="0" fontId="4" fillId="0" borderId="0" xfId="0" applyFont="1" applyAlignment="1">
      <alignment horizontal="left" vertical="top"/>
    </xf>
    <xf numFmtId="3" fontId="4" fillId="0" borderId="22" xfId="0" applyNumberFormat="1" applyFont="1" applyBorder="1"/>
    <xf numFmtId="0" fontId="4" fillId="0" borderId="16" xfId="0" applyFont="1" applyBorder="1"/>
    <xf numFmtId="41" fontId="4" fillId="0" borderId="66" xfId="0" applyNumberFormat="1" applyFont="1" applyBorder="1" applyAlignment="1">
      <alignment horizontal="center"/>
    </xf>
    <xf numFmtId="41" fontId="4" fillId="0" borderId="1" xfId="0" applyNumberFormat="1" applyFont="1" applyBorder="1" applyAlignment="1">
      <alignment horizontal="center"/>
    </xf>
    <xf numFmtId="41" fontId="4" fillId="0" borderId="67" xfId="0" applyNumberFormat="1" applyFont="1" applyBorder="1" applyAlignment="1">
      <alignment horizontal="center"/>
    </xf>
    <xf numFmtId="41" fontId="4" fillId="0" borderId="67" xfId="0" applyNumberFormat="1" applyFont="1" applyBorder="1"/>
    <xf numFmtId="41" fontId="4" fillId="0" borderId="1" xfId="0" applyNumberFormat="1" applyFont="1" applyBorder="1"/>
    <xf numFmtId="41" fontId="4" fillId="0" borderId="68" xfId="0" applyNumberFormat="1" applyFont="1" applyBorder="1" applyAlignment="1">
      <alignment horizontal="center"/>
    </xf>
    <xf numFmtId="41" fontId="4" fillId="0" borderId="39" xfId="0" applyNumberFormat="1" applyFont="1" applyBorder="1" applyAlignment="1">
      <alignment horizontal="center"/>
    </xf>
    <xf numFmtId="41" fontId="4" fillId="0" borderId="69" xfId="0" applyNumberFormat="1" applyFont="1" applyBorder="1" applyAlignment="1">
      <alignment horizontal="center"/>
    </xf>
    <xf numFmtId="0" fontId="7" fillId="3" borderId="2" xfId="0" applyFont="1" applyFill="1" applyBorder="1"/>
    <xf numFmtId="0" fontId="33" fillId="0" borderId="66" xfId="0" applyFont="1" applyBorder="1" applyAlignment="1">
      <alignment horizontal="center"/>
    </xf>
    <xf numFmtId="0" fontId="33" fillId="0" borderId="1" xfId="0" applyFont="1" applyBorder="1" applyAlignment="1">
      <alignment horizontal="center"/>
    </xf>
    <xf numFmtId="0" fontId="33" fillId="0" borderId="67" xfId="0" applyFont="1" applyBorder="1" applyAlignment="1">
      <alignment horizontal="center"/>
    </xf>
    <xf numFmtId="0" fontId="33" fillId="0" borderId="2" xfId="0" applyFont="1" applyBorder="1" applyAlignment="1">
      <alignment horizontal="center"/>
    </xf>
    <xf numFmtId="0" fontId="33" fillId="0" borderId="19" xfId="0" applyFont="1" applyBorder="1" applyAlignment="1">
      <alignment horizontal="center"/>
    </xf>
    <xf numFmtId="0" fontId="4" fillId="0" borderId="0" xfId="15" applyFont="1" applyAlignment="1">
      <alignment horizontal="left" indent="1"/>
    </xf>
    <xf numFmtId="0" fontId="7" fillId="0" borderId="0" xfId="15" applyFont="1" applyAlignment="1">
      <alignment horizontal="left" indent="1"/>
    </xf>
    <xf numFmtId="0" fontId="33" fillId="0" borderId="17" xfId="0" applyFont="1" applyBorder="1" applyAlignment="1">
      <alignment horizontal="center"/>
    </xf>
    <xf numFmtId="3" fontId="4" fillId="12" borderId="11" xfId="0" applyNumberFormat="1" applyFont="1" applyFill="1" applyBorder="1"/>
    <xf numFmtId="3" fontId="7" fillId="0" borderId="54" xfId="0" applyNumberFormat="1" applyFont="1" applyBorder="1"/>
    <xf numFmtId="3" fontId="7" fillId="0" borderId="55" xfId="0" applyNumberFormat="1" applyFont="1" applyBorder="1"/>
    <xf numFmtId="0" fontId="16" fillId="0" borderId="1" xfId="15" applyFont="1" applyBorder="1" applyAlignment="1">
      <alignment horizontal="left" indent="1"/>
    </xf>
    <xf numFmtId="0" fontId="4" fillId="17" borderId="1" xfId="15" applyFont="1" applyFill="1" applyBorder="1" applyAlignment="1">
      <alignment horizontal="left" indent="1"/>
    </xf>
    <xf numFmtId="1" fontId="10" fillId="17" borderId="1" xfId="15" applyNumberFormat="1" applyFont="1" applyFill="1" applyBorder="1" applyAlignment="1">
      <alignment horizontal="center"/>
    </xf>
    <xf numFmtId="1" fontId="7" fillId="17" borderId="1" xfId="15" applyNumberFormat="1" applyFont="1" applyFill="1" applyBorder="1" applyAlignment="1">
      <alignment horizontal="center"/>
    </xf>
    <xf numFmtId="0" fontId="16" fillId="17" borderId="1" xfId="15" applyFont="1" applyFill="1" applyBorder="1" applyAlignment="1">
      <alignment horizontal="left" indent="1"/>
    </xf>
    <xf numFmtId="1" fontId="5" fillId="17" borderId="1" xfId="15" applyNumberFormat="1" applyFont="1" applyFill="1" applyBorder="1" applyAlignment="1">
      <alignment horizontal="center"/>
    </xf>
    <xf numFmtId="1" fontId="5" fillId="18" borderId="1" xfId="15" applyNumberFormat="1" applyFont="1" applyFill="1" applyBorder="1" applyAlignment="1">
      <alignment horizontal="center"/>
    </xf>
    <xf numFmtId="164" fontId="5" fillId="0" borderId="22" xfId="0" applyNumberFormat="1" applyFont="1" applyBorder="1"/>
    <xf numFmtId="0" fontId="15" fillId="0" borderId="22" xfId="0" applyFont="1" applyBorder="1" applyAlignment="1">
      <alignment horizontal="center"/>
    </xf>
    <xf numFmtId="0" fontId="7" fillId="0" borderId="22" xfId="0" applyFont="1" applyBorder="1" applyAlignment="1">
      <alignment wrapText="1"/>
    </xf>
    <xf numFmtId="0" fontId="4" fillId="0" borderId="22" xfId="0" applyFont="1" applyBorder="1" applyAlignment="1">
      <alignment wrapText="1"/>
    </xf>
    <xf numFmtId="0" fontId="9" fillId="0" borderId="22" xfId="0" applyFont="1" applyBorder="1" applyAlignment="1">
      <alignment horizontal="right" wrapText="1"/>
    </xf>
    <xf numFmtId="0" fontId="4" fillId="0" borderId="22" xfId="0" applyFont="1" applyBorder="1" applyAlignment="1">
      <alignment horizontal="left" wrapText="1"/>
    </xf>
    <xf numFmtId="3" fontId="4" fillId="0" borderId="22" xfId="0" applyNumberFormat="1" applyFont="1" applyBorder="1" applyAlignment="1">
      <alignment wrapText="1"/>
    </xf>
    <xf numFmtId="0" fontId="7" fillId="0" borderId="6" xfId="0" applyFont="1" applyBorder="1"/>
    <xf numFmtId="0" fontId="4" fillId="0" borderId="5" xfId="0" quotePrefix="1" applyFont="1" applyBorder="1"/>
    <xf numFmtId="38" fontId="29" fillId="0" borderId="0" xfId="0" applyNumberFormat="1" applyFont="1" applyAlignment="1">
      <alignment horizontal="right" vertical="top"/>
    </xf>
    <xf numFmtId="3" fontId="7" fillId="0" borderId="57" xfId="0" applyNumberFormat="1" applyFont="1" applyBorder="1" applyAlignment="1">
      <alignment wrapText="1"/>
    </xf>
    <xf numFmtId="0" fontId="7" fillId="0" borderId="57" xfId="0" applyFont="1" applyBorder="1"/>
    <xf numFmtId="0" fontId="7" fillId="0" borderId="70" xfId="0" applyFont="1" applyBorder="1"/>
    <xf numFmtId="0" fontId="15" fillId="0" borderId="28" xfId="0" applyFont="1" applyBorder="1" applyAlignment="1">
      <alignment horizontal="center"/>
    </xf>
    <xf numFmtId="0" fontId="4" fillId="0" borderId="22" xfId="0" applyFont="1" applyBorder="1"/>
    <xf numFmtId="3" fontId="7" fillId="0" borderId="22" xfId="0" applyNumberFormat="1" applyFont="1" applyBorder="1"/>
    <xf numFmtId="3" fontId="4" fillId="0" borderId="62" xfId="0" applyNumberFormat="1" applyFont="1" applyBorder="1"/>
    <xf numFmtId="3" fontId="29" fillId="0" borderId="0" xfId="0" applyNumberFormat="1" applyFont="1" applyAlignment="1">
      <alignment horizontal="right" vertical="top"/>
    </xf>
    <xf numFmtId="1" fontId="5" fillId="0" borderId="22" xfId="0" applyNumberFormat="1" applyFont="1" applyBorder="1"/>
    <xf numFmtId="0" fontId="15" fillId="4" borderId="8" xfId="16" applyFont="1" applyFill="1" applyBorder="1" applyAlignment="1">
      <alignment horizontal="left"/>
    </xf>
    <xf numFmtId="165" fontId="14" fillId="4" borderId="9" xfId="16" applyNumberFormat="1" applyFont="1" applyFill="1" applyBorder="1" applyAlignment="1">
      <alignment horizontal="right"/>
    </xf>
    <xf numFmtId="0" fontId="14" fillId="4" borderId="9" xfId="16" applyFont="1" applyFill="1" applyBorder="1" applyAlignment="1">
      <alignment horizontal="right"/>
    </xf>
    <xf numFmtId="0" fontId="34" fillId="0" borderId="0" xfId="17" applyFont="1"/>
    <xf numFmtId="0" fontId="4" fillId="0" borderId="1" xfId="16" applyBorder="1"/>
    <xf numFmtId="165" fontId="4" fillId="0" borderId="1" xfId="16" applyNumberFormat="1" applyBorder="1"/>
    <xf numFmtId="0" fontId="9" fillId="6" borderId="1" xfId="16" applyFont="1" applyFill="1" applyBorder="1"/>
    <xf numFmtId="165" fontId="4" fillId="6" borderId="1" xfId="16" applyNumberFormat="1" applyFill="1" applyBorder="1"/>
    <xf numFmtId="0" fontId="4" fillId="6" borderId="1" xfId="16" applyFill="1" applyBorder="1"/>
    <xf numFmtId="165" fontId="34" fillId="0" borderId="0" xfId="17" applyNumberFormat="1" applyFont="1"/>
    <xf numFmtId="165" fontId="7" fillId="0" borderId="1" xfId="16" applyNumberFormat="1" applyFont="1" applyBorder="1"/>
    <xf numFmtId="166" fontId="34" fillId="0" borderId="0" xfId="17" applyNumberFormat="1" applyFont="1"/>
    <xf numFmtId="0" fontId="31" fillId="0" borderId="1" xfId="16" applyFont="1" applyBorder="1"/>
    <xf numFmtId="165" fontId="31" fillId="0" borderId="1" xfId="16" applyNumberFormat="1" applyFont="1" applyBorder="1"/>
    <xf numFmtId="0" fontId="32" fillId="0" borderId="0" xfId="17" applyFont="1"/>
    <xf numFmtId="0" fontId="18" fillId="0" borderId="0" xfId="17" applyFont="1"/>
    <xf numFmtId="165" fontId="35" fillId="19" borderId="0" xfId="17" applyNumberFormat="1" applyFont="1" applyFill="1"/>
    <xf numFmtId="0" fontId="34" fillId="0" borderId="1" xfId="17" applyFont="1" applyBorder="1"/>
    <xf numFmtId="165" fontId="36" fillId="0" borderId="1" xfId="17" applyNumberFormat="1" applyFont="1" applyBorder="1"/>
    <xf numFmtId="165" fontId="36" fillId="19" borderId="0" xfId="17" applyNumberFormat="1" applyFont="1" applyFill="1"/>
    <xf numFmtId="0" fontId="35" fillId="2" borderId="0" xfId="17" applyFont="1" applyFill="1" applyAlignment="1">
      <alignment horizontal="right"/>
    </xf>
    <xf numFmtId="0" fontId="35" fillId="2" borderId="0" xfId="17" applyFont="1" applyFill="1"/>
    <xf numFmtId="165" fontId="35" fillId="2" borderId="0" xfId="17" applyNumberFormat="1" applyFont="1" applyFill="1"/>
    <xf numFmtId="164" fontId="4" fillId="0" borderId="39" xfId="0" applyNumberFormat="1" applyFont="1" applyBorder="1"/>
    <xf numFmtId="164" fontId="4" fillId="0" borderId="69" xfId="0" applyNumberFormat="1" applyFont="1" applyBorder="1"/>
    <xf numFmtId="0" fontId="33" fillId="0" borderId="4" xfId="0" applyFont="1" applyBorder="1" applyAlignment="1">
      <alignment horizontal="center"/>
    </xf>
    <xf numFmtId="41" fontId="4" fillId="0" borderId="4" xfId="0" applyNumberFormat="1" applyFont="1" applyBorder="1" applyAlignment="1">
      <alignment horizontal="center"/>
    </xf>
    <xf numFmtId="41" fontId="4" fillId="0" borderId="4" xfId="0" applyNumberFormat="1" applyFont="1" applyBorder="1"/>
    <xf numFmtId="41" fontId="4" fillId="0" borderId="37" xfId="0" applyNumberFormat="1" applyFont="1" applyBorder="1"/>
    <xf numFmtId="0" fontId="7" fillId="3" borderId="52" xfId="0" applyFont="1" applyFill="1" applyBorder="1"/>
    <xf numFmtId="0" fontId="4" fillId="0" borderId="25" xfId="0" applyFont="1" applyBorder="1"/>
    <xf numFmtId="0" fontId="7" fillId="3" borderId="25" xfId="0" applyFont="1" applyFill="1" applyBorder="1" applyAlignment="1">
      <alignment wrapText="1"/>
    </xf>
    <xf numFmtId="10" fontId="10" fillId="3" borderId="28" xfId="0" applyNumberFormat="1" applyFont="1" applyFill="1" applyBorder="1"/>
    <xf numFmtId="10" fontId="10" fillId="3" borderId="13" xfId="0" applyNumberFormat="1" applyFont="1" applyFill="1" applyBorder="1"/>
    <xf numFmtId="10" fontId="10" fillId="3" borderId="12" xfId="0" applyNumberFormat="1" applyFont="1" applyFill="1" applyBorder="1"/>
    <xf numFmtId="3" fontId="4" fillId="3" borderId="19" xfId="0" applyNumberFormat="1" applyFont="1" applyFill="1" applyBorder="1"/>
    <xf numFmtId="3" fontId="4" fillId="3" borderId="13" xfId="0" applyNumberFormat="1" applyFont="1" applyFill="1" applyBorder="1"/>
    <xf numFmtId="3" fontId="4" fillId="3" borderId="15" xfId="0" applyNumberFormat="1" applyFont="1" applyFill="1" applyBorder="1"/>
    <xf numFmtId="3" fontId="4" fillId="3" borderId="26" xfId="0" applyNumberFormat="1" applyFont="1" applyFill="1" applyBorder="1"/>
    <xf numFmtId="0" fontId="21" fillId="4" borderId="60" xfId="0" applyFont="1" applyFill="1" applyBorder="1" applyAlignment="1">
      <alignment horizontal="right"/>
    </xf>
    <xf numFmtId="0" fontId="21" fillId="4" borderId="59" xfId="0" applyFont="1" applyFill="1" applyBorder="1" applyAlignment="1">
      <alignment horizontal="right"/>
    </xf>
    <xf numFmtId="0" fontId="21" fillId="0" borderId="0" xfId="0" applyFont="1"/>
    <xf numFmtId="0" fontId="37" fillId="4" borderId="60" xfId="0" applyFont="1" applyFill="1" applyBorder="1" applyAlignment="1">
      <alignment horizontal="right"/>
    </xf>
    <xf numFmtId="0" fontId="37" fillId="4" borderId="27" xfId="0" applyFont="1" applyFill="1" applyBorder="1" applyAlignment="1">
      <alignment horizontal="right"/>
    </xf>
    <xf numFmtId="0" fontId="37" fillId="4" borderId="21" xfId="0" applyFont="1" applyFill="1" applyBorder="1" applyAlignment="1">
      <alignment horizontal="right"/>
    </xf>
    <xf numFmtId="0" fontId="37" fillId="4" borderId="9" xfId="0" applyFont="1" applyFill="1" applyBorder="1" applyAlignment="1">
      <alignment horizontal="right"/>
    </xf>
    <xf numFmtId="0" fontId="37" fillId="4" borderId="23" xfId="0" applyFont="1" applyFill="1" applyBorder="1" applyAlignment="1">
      <alignment horizontal="right"/>
    </xf>
    <xf numFmtId="0" fontId="37" fillId="4" borderId="10" xfId="0" applyFont="1" applyFill="1" applyBorder="1" applyAlignment="1">
      <alignment horizontal="right"/>
    </xf>
    <xf numFmtId="0" fontId="37" fillId="0" borderId="0" xfId="0" applyFont="1"/>
    <xf numFmtId="0" fontId="7" fillId="0" borderId="22" xfId="0" applyFont="1" applyBorder="1"/>
    <xf numFmtId="38" fontId="4" fillId="0" borderId="22" xfId="0" applyNumberFormat="1" applyFont="1" applyBorder="1"/>
    <xf numFmtId="0" fontId="9" fillId="0" borderId="22" xfId="0" applyFont="1" applyBorder="1" applyAlignment="1">
      <alignment horizontal="right"/>
    </xf>
    <xf numFmtId="3" fontId="7" fillId="11" borderId="24" xfId="0" applyNumberFormat="1" applyFont="1" applyFill="1" applyBorder="1"/>
    <xf numFmtId="1" fontId="4" fillId="0" borderId="0" xfId="14" applyNumberFormat="1"/>
    <xf numFmtId="165" fontId="4" fillId="0" borderId="66" xfId="0" applyNumberFormat="1" applyFont="1" applyBorder="1" applyAlignment="1">
      <alignment horizontal="center"/>
    </xf>
    <xf numFmtId="165" fontId="4" fillId="0" borderId="1" xfId="0" applyNumberFormat="1" applyFont="1" applyBorder="1" applyAlignment="1">
      <alignment horizontal="center"/>
    </xf>
    <xf numFmtId="165" fontId="4" fillId="0" borderId="66" xfId="0" applyNumberFormat="1" applyFont="1" applyBorder="1"/>
    <xf numFmtId="165" fontId="4" fillId="0" borderId="67" xfId="0" applyNumberFormat="1" applyFont="1" applyBorder="1"/>
    <xf numFmtId="165" fontId="4" fillId="0" borderId="68" xfId="0" applyNumberFormat="1" applyFont="1" applyBorder="1" applyAlignment="1">
      <alignment horizontal="center"/>
    </xf>
    <xf numFmtId="165" fontId="4" fillId="0" borderId="39" xfId="0" applyNumberFormat="1" applyFont="1" applyBorder="1" applyAlignment="1">
      <alignment horizontal="center"/>
    </xf>
    <xf numFmtId="165" fontId="4" fillId="0" borderId="68" xfId="0" applyNumberFormat="1" applyFont="1" applyBorder="1"/>
    <xf numFmtId="165" fontId="4" fillId="0" borderId="39" xfId="0" applyNumberFormat="1" applyFont="1" applyBorder="1"/>
    <xf numFmtId="165" fontId="4" fillId="0" borderId="69" xfId="0" applyNumberFormat="1" applyFont="1" applyBorder="1"/>
    <xf numFmtId="41" fontId="4" fillId="0" borderId="74" xfId="0" applyNumberFormat="1" applyFont="1" applyBorder="1" applyAlignment="1">
      <alignment horizontal="center"/>
    </xf>
    <xf numFmtId="0" fontId="33" fillId="0" borderId="7" xfId="0" applyFont="1" applyBorder="1" applyAlignment="1">
      <alignment horizontal="center"/>
    </xf>
    <xf numFmtId="0" fontId="33" fillId="0" borderId="75" xfId="0" applyFont="1" applyBorder="1" applyAlignment="1">
      <alignment horizontal="center"/>
    </xf>
    <xf numFmtId="41" fontId="4" fillId="0" borderId="76" xfId="0" applyNumberFormat="1" applyFont="1" applyBorder="1" applyAlignment="1">
      <alignment horizontal="center"/>
    </xf>
    <xf numFmtId="41" fontId="4" fillId="0" borderId="77" xfId="0" applyNumberFormat="1" applyFont="1" applyBorder="1" applyAlignment="1">
      <alignment horizontal="center"/>
    </xf>
    <xf numFmtId="41" fontId="4" fillId="0" borderId="79" xfId="0" applyNumberFormat="1" applyFont="1" applyBorder="1" applyAlignment="1">
      <alignment horizontal="center"/>
    </xf>
    <xf numFmtId="41" fontId="7" fillId="0" borderId="81" xfId="0" applyNumberFormat="1" applyFont="1" applyBorder="1" applyAlignment="1">
      <alignment horizontal="center"/>
    </xf>
    <xf numFmtId="41" fontId="7" fillId="0" borderId="82" xfId="0" applyNumberFormat="1" applyFont="1" applyBorder="1" applyAlignment="1">
      <alignment horizontal="center"/>
    </xf>
    <xf numFmtId="3" fontId="0" fillId="0" borderId="0" xfId="0" applyNumberFormat="1"/>
    <xf numFmtId="9" fontId="31" fillId="0" borderId="0" xfId="2" applyFont="1" applyAlignment="1">
      <alignment horizontal="left"/>
    </xf>
    <xf numFmtId="41" fontId="4" fillId="20" borderId="74" xfId="0" applyNumberFormat="1" applyFont="1" applyFill="1" applyBorder="1" applyAlignment="1">
      <alignment horizontal="center"/>
    </xf>
    <xf numFmtId="41" fontId="4" fillId="20" borderId="79" xfId="0" applyNumberFormat="1" applyFont="1" applyFill="1" applyBorder="1" applyAlignment="1">
      <alignment horizontal="center"/>
    </xf>
    <xf numFmtId="0" fontId="7" fillId="3" borderId="83" xfId="0" applyFont="1" applyFill="1" applyBorder="1"/>
    <xf numFmtId="0" fontId="7" fillId="3" borderId="84" xfId="0" applyFont="1" applyFill="1" applyBorder="1"/>
    <xf numFmtId="165" fontId="4" fillId="0" borderId="74" xfId="0" applyNumberFormat="1" applyFont="1" applyBorder="1" applyAlignment="1">
      <alignment horizontal="center"/>
    </xf>
    <xf numFmtId="165" fontId="4" fillId="0" borderId="79" xfId="0" applyNumberFormat="1" applyFont="1" applyBorder="1" applyAlignment="1">
      <alignment horizontal="center"/>
    </xf>
    <xf numFmtId="165" fontId="7" fillId="0" borderId="81" xfId="0" applyNumberFormat="1" applyFont="1" applyBorder="1" applyAlignment="1">
      <alignment horizontal="center"/>
    </xf>
    <xf numFmtId="165" fontId="7" fillId="0" borderId="82" xfId="0" applyNumberFormat="1" applyFont="1" applyBorder="1" applyAlignment="1">
      <alignment horizontal="center"/>
    </xf>
    <xf numFmtId="0" fontId="7" fillId="7" borderId="85" xfId="0" applyFont="1" applyFill="1" applyBorder="1"/>
    <xf numFmtId="0" fontId="7" fillId="7" borderId="86" xfId="0" applyFont="1" applyFill="1" applyBorder="1"/>
    <xf numFmtId="0" fontId="33" fillId="0" borderId="74" xfId="0" applyFont="1" applyBorder="1" applyAlignment="1">
      <alignment horizontal="center"/>
    </xf>
    <xf numFmtId="0" fontId="7" fillId="3" borderId="78" xfId="0" applyFont="1" applyFill="1" applyBorder="1"/>
    <xf numFmtId="0" fontId="33" fillId="0" borderId="79" xfId="0" applyFont="1" applyBorder="1" applyAlignment="1">
      <alignment horizontal="center"/>
    </xf>
    <xf numFmtId="0" fontId="7" fillId="3" borderId="80" xfId="0" applyFont="1" applyFill="1" applyBorder="1"/>
    <xf numFmtId="165" fontId="7" fillId="20" borderId="81" xfId="0" applyNumberFormat="1" applyFont="1" applyFill="1" applyBorder="1" applyAlignment="1">
      <alignment horizontal="center"/>
    </xf>
    <xf numFmtId="0" fontId="7" fillId="3" borderId="87" xfId="0" applyFont="1" applyFill="1" applyBorder="1"/>
    <xf numFmtId="0" fontId="33" fillId="0" borderId="88" xfId="0" applyFont="1" applyBorder="1" applyAlignment="1">
      <alignment horizontal="center"/>
    </xf>
    <xf numFmtId="41" fontId="4" fillId="0" borderId="89" xfId="0" applyNumberFormat="1" applyFont="1" applyBorder="1" applyAlignment="1">
      <alignment horizontal="center"/>
    </xf>
    <xf numFmtId="41" fontId="4" fillId="0" borderId="90" xfId="0" applyNumberFormat="1" applyFont="1" applyBorder="1" applyAlignment="1">
      <alignment horizontal="center"/>
    </xf>
    <xf numFmtId="0" fontId="33" fillId="0" borderId="93" xfId="0" applyFont="1" applyBorder="1" applyAlignment="1">
      <alignment horizontal="center"/>
    </xf>
    <xf numFmtId="41" fontId="4" fillId="0" borderId="94" xfId="0" applyNumberFormat="1" applyFont="1" applyBorder="1"/>
    <xf numFmtId="41" fontId="4" fillId="0" borderId="95" xfId="0" applyNumberFormat="1" applyFont="1" applyBorder="1"/>
    <xf numFmtId="41" fontId="4" fillId="0" borderId="96" xfId="0" applyNumberFormat="1" applyFont="1" applyBorder="1"/>
    <xf numFmtId="0" fontId="7" fillId="3" borderId="97" xfId="0" applyFont="1" applyFill="1" applyBorder="1"/>
    <xf numFmtId="0" fontId="7" fillId="3" borderId="98" xfId="0" applyFont="1" applyFill="1" applyBorder="1"/>
    <xf numFmtId="0" fontId="7" fillId="3" borderId="99" xfId="0" applyFont="1" applyFill="1" applyBorder="1"/>
    <xf numFmtId="0" fontId="33" fillId="0" borderId="5" xfId="0" applyFont="1" applyBorder="1" applyAlignment="1">
      <alignment horizontal="center"/>
    </xf>
    <xf numFmtId="41" fontId="4" fillId="0" borderId="100" xfId="0" applyNumberFormat="1" applyFont="1" applyBorder="1" applyAlignment="1">
      <alignment horizontal="center"/>
    </xf>
    <xf numFmtId="41" fontId="4" fillId="0" borderId="101" xfId="0" applyNumberFormat="1" applyFont="1" applyBorder="1" applyAlignment="1">
      <alignment horizontal="center"/>
    </xf>
    <xf numFmtId="41" fontId="7" fillId="0" borderId="102" xfId="0" applyNumberFormat="1" applyFont="1" applyBorder="1" applyAlignment="1">
      <alignment horizontal="center"/>
    </xf>
    <xf numFmtId="3" fontId="7" fillId="10" borderId="0" xfId="0" applyNumberFormat="1" applyFont="1" applyFill="1"/>
    <xf numFmtId="3" fontId="16" fillId="0" borderId="0" xfId="0" applyNumberFormat="1" applyFont="1"/>
    <xf numFmtId="1" fontId="10" fillId="0" borderId="0" xfId="0" applyNumberFormat="1" applyFont="1"/>
    <xf numFmtId="1" fontId="5" fillId="0" borderId="0" xfId="0" applyNumberFormat="1" applyFont="1"/>
    <xf numFmtId="164" fontId="5" fillId="0" borderId="0" xfId="0" applyNumberFormat="1" applyFont="1"/>
    <xf numFmtId="3" fontId="4" fillId="0" borderId="104" xfId="0" applyNumberFormat="1" applyFont="1" applyBorder="1"/>
    <xf numFmtId="3" fontId="4" fillId="0" borderId="105" xfId="0" applyNumberFormat="1" applyFont="1" applyBorder="1"/>
    <xf numFmtId="3" fontId="0" fillId="0" borderId="106" xfId="0" applyNumberFormat="1" applyBorder="1"/>
    <xf numFmtId="3" fontId="4" fillId="0" borderId="107" xfId="0" applyNumberFormat="1" applyFont="1" applyBorder="1"/>
    <xf numFmtId="3" fontId="9" fillId="0" borderId="106" xfId="0" applyNumberFormat="1" applyFont="1" applyBorder="1"/>
    <xf numFmtId="3" fontId="9" fillId="0" borderId="107" xfId="0" applyNumberFormat="1" applyFont="1" applyBorder="1"/>
    <xf numFmtId="3" fontId="4" fillId="0" borderId="106" xfId="0" applyNumberFormat="1" applyFont="1" applyBorder="1"/>
    <xf numFmtId="3" fontId="7" fillId="10" borderId="106" xfId="0" applyNumberFormat="1" applyFont="1" applyFill="1" applyBorder="1"/>
    <xf numFmtId="3" fontId="7" fillId="10" borderId="107" xfId="0" applyNumberFormat="1" applyFont="1" applyFill="1" applyBorder="1"/>
    <xf numFmtId="3" fontId="16" fillId="0" borderId="106" xfId="0" applyNumberFormat="1" applyFont="1" applyBorder="1"/>
    <xf numFmtId="3" fontId="16" fillId="0" borderId="107" xfId="0" applyNumberFormat="1" applyFont="1" applyBorder="1"/>
    <xf numFmtId="3" fontId="4" fillId="6" borderId="19" xfId="0" applyNumberFormat="1" applyFont="1" applyFill="1" applyBorder="1"/>
    <xf numFmtId="3" fontId="4" fillId="6" borderId="13" xfId="0" applyNumberFormat="1" applyFont="1" applyFill="1" applyBorder="1"/>
    <xf numFmtId="3" fontId="4" fillId="6" borderId="15" xfId="0" applyNumberFormat="1" applyFont="1" applyFill="1" applyBorder="1"/>
    <xf numFmtId="3" fontId="7" fillId="10" borderId="20" xfId="0" applyNumberFormat="1" applyFont="1" applyFill="1" applyBorder="1"/>
    <xf numFmtId="3" fontId="7" fillId="10" borderId="9" xfId="0" applyNumberFormat="1" applyFont="1" applyFill="1" applyBorder="1"/>
    <xf numFmtId="3" fontId="7" fillId="10" borderId="23" xfId="0" applyNumberFormat="1" applyFont="1" applyFill="1" applyBorder="1"/>
    <xf numFmtId="3" fontId="4" fillId="0" borderId="103" xfId="0" applyNumberFormat="1" applyFont="1" applyBorder="1"/>
    <xf numFmtId="0" fontId="4" fillId="0" borderId="108" xfId="0" applyFont="1" applyBorder="1"/>
    <xf numFmtId="0" fontId="4" fillId="0" borderId="109" xfId="0" applyFont="1" applyBorder="1"/>
    <xf numFmtId="0" fontId="4" fillId="0" borderId="110" xfId="0" applyFont="1" applyBorder="1"/>
    <xf numFmtId="3" fontId="7" fillId="0" borderId="20" xfId="0" applyNumberFormat="1" applyFont="1" applyBorder="1"/>
    <xf numFmtId="3" fontId="7" fillId="0" borderId="9" xfId="0" applyNumberFormat="1" applyFont="1" applyBorder="1"/>
    <xf numFmtId="3" fontId="7" fillId="0" borderId="23" xfId="0" applyNumberFormat="1" applyFont="1" applyBorder="1"/>
    <xf numFmtId="3" fontId="7" fillId="10" borderId="111" xfId="0" applyNumberFormat="1" applyFont="1" applyFill="1" applyBorder="1"/>
    <xf numFmtId="3" fontId="7" fillId="10" borderId="112" xfId="0" applyNumberFormat="1" applyFont="1" applyFill="1" applyBorder="1"/>
    <xf numFmtId="3" fontId="7" fillId="10" borderId="101" xfId="0" applyNumberFormat="1" applyFont="1" applyFill="1" applyBorder="1"/>
    <xf numFmtId="0" fontId="38" fillId="0" borderId="0" xfId="0" applyFont="1" applyAlignment="1">
      <alignment horizontal="left"/>
    </xf>
    <xf numFmtId="0" fontId="7" fillId="7" borderId="76" xfId="0" applyFont="1" applyFill="1" applyBorder="1" applyAlignment="1">
      <alignment horizontal="center"/>
    </xf>
    <xf numFmtId="0" fontId="7" fillId="7" borderId="77" xfId="0" applyFont="1" applyFill="1" applyBorder="1" applyAlignment="1">
      <alignment horizontal="center"/>
    </xf>
    <xf numFmtId="0" fontId="7" fillId="7" borderId="33" xfId="0" applyFont="1" applyFill="1" applyBorder="1" applyAlignment="1">
      <alignment horizontal="center"/>
    </xf>
    <xf numFmtId="0" fontId="7" fillId="7" borderId="34" xfId="0" applyFont="1" applyFill="1" applyBorder="1" applyAlignment="1">
      <alignment horizontal="center"/>
    </xf>
    <xf numFmtId="0" fontId="7" fillId="7" borderId="35" xfId="0" applyFont="1" applyFill="1" applyBorder="1" applyAlignment="1">
      <alignment horizontal="center"/>
    </xf>
    <xf numFmtId="0" fontId="39" fillId="0" borderId="29" xfId="0" applyFont="1" applyBorder="1" applyAlignment="1">
      <alignment horizontal="center"/>
    </xf>
    <xf numFmtId="0" fontId="44" fillId="23" borderId="116" xfId="0" applyFont="1" applyFill="1" applyBorder="1"/>
    <xf numFmtId="0" fontId="44" fillId="0" borderId="116" xfId="0" applyFont="1" applyBorder="1"/>
    <xf numFmtId="0" fontId="45" fillId="23" borderId="116" xfId="0" applyFont="1" applyFill="1" applyBorder="1"/>
    <xf numFmtId="0" fontId="44" fillId="22" borderId="116" xfId="0" applyFont="1" applyFill="1" applyBorder="1"/>
    <xf numFmtId="3" fontId="9" fillId="24" borderId="11" xfId="0" applyNumberFormat="1" applyFont="1" applyFill="1" applyBorder="1"/>
    <xf numFmtId="3" fontId="4" fillId="24" borderId="11" xfId="0" applyNumberFormat="1" applyFont="1" applyFill="1" applyBorder="1"/>
    <xf numFmtId="3" fontId="4" fillId="24" borderId="16" xfId="0" applyNumberFormat="1" applyFont="1" applyFill="1" applyBorder="1"/>
    <xf numFmtId="3" fontId="4" fillId="24" borderId="107" xfId="0" applyNumberFormat="1" applyFont="1" applyFill="1" applyBorder="1"/>
    <xf numFmtId="3" fontId="4" fillId="24" borderId="106" xfId="0" applyNumberFormat="1" applyFont="1" applyFill="1" applyBorder="1"/>
    <xf numFmtId="3" fontId="9" fillId="24" borderId="0" xfId="0" applyNumberFormat="1" applyFont="1" applyFill="1"/>
    <xf numFmtId="3" fontId="9" fillId="24" borderId="107" xfId="0" applyNumberFormat="1" applyFont="1" applyFill="1" applyBorder="1"/>
    <xf numFmtId="3" fontId="9" fillId="24" borderId="106" xfId="0" applyNumberFormat="1" applyFont="1" applyFill="1" applyBorder="1"/>
    <xf numFmtId="43" fontId="10" fillId="24" borderId="0" xfId="0" applyNumberFormat="1" applyFont="1" applyFill="1"/>
    <xf numFmtId="3" fontId="9" fillId="24" borderId="16" xfId="0" applyNumberFormat="1" applyFont="1" applyFill="1" applyBorder="1"/>
    <xf numFmtId="0" fontId="43" fillId="22" borderId="119" xfId="0" applyFont="1" applyFill="1" applyBorder="1" applyAlignment="1">
      <alignment horizontal="center"/>
    </xf>
    <xf numFmtId="0" fontId="44" fillId="22" borderId="116" xfId="0" applyFont="1" applyFill="1" applyBorder="1" applyAlignment="1">
      <alignment horizontal="center"/>
    </xf>
    <xf numFmtId="0" fontId="40" fillId="0" borderId="74" xfId="0" applyFont="1" applyBorder="1" applyAlignment="1">
      <alignment horizontal="center"/>
    </xf>
    <xf numFmtId="0" fontId="40" fillId="0" borderId="79" xfId="0" applyFont="1" applyBorder="1" applyAlignment="1">
      <alignment horizontal="center"/>
    </xf>
    <xf numFmtId="0" fontId="42" fillId="0" borderId="121" xfId="0" applyFont="1" applyBorder="1" applyAlignment="1">
      <alignment horizontal="center"/>
    </xf>
    <xf numFmtId="0" fontId="40" fillId="0" borderId="78" xfId="0" applyFont="1" applyBorder="1" applyAlignment="1">
      <alignment horizontal="center"/>
    </xf>
    <xf numFmtId="0" fontId="47" fillId="0" borderId="121" xfId="0" applyFont="1" applyBorder="1" applyAlignment="1">
      <alignment horizontal="center"/>
    </xf>
    <xf numFmtId="0" fontId="40" fillId="0" borderId="81" xfId="0" applyFont="1" applyBorder="1" applyAlignment="1">
      <alignment horizontal="center"/>
    </xf>
    <xf numFmtId="0" fontId="40" fillId="0" borderId="82" xfId="0" applyFont="1" applyBorder="1" applyAlignment="1">
      <alignment horizontal="center"/>
    </xf>
    <xf numFmtId="0" fontId="42" fillId="0" borderId="122" xfId="0" applyFont="1" applyBorder="1" applyAlignment="1">
      <alignment horizontal="center"/>
    </xf>
    <xf numFmtId="0" fontId="40" fillId="0" borderId="80" xfId="0" applyFont="1" applyBorder="1" applyAlignment="1">
      <alignment horizontal="center"/>
    </xf>
    <xf numFmtId="0" fontId="47" fillId="0" borderId="122" xfId="0" applyFont="1" applyBorder="1" applyAlignment="1">
      <alignment horizontal="center"/>
    </xf>
    <xf numFmtId="0" fontId="42" fillId="22" borderId="114" xfId="0" applyFont="1" applyFill="1" applyBorder="1" applyAlignment="1">
      <alignment vertical="center"/>
    </xf>
    <xf numFmtId="0" fontId="42" fillId="22" borderId="120" xfId="0" applyFont="1" applyFill="1" applyBorder="1" applyAlignment="1">
      <alignment vertical="center"/>
    </xf>
    <xf numFmtId="0" fontId="42" fillId="22" borderId="125" xfId="0" applyFont="1" applyFill="1" applyBorder="1" applyAlignment="1">
      <alignment vertical="center"/>
    </xf>
    <xf numFmtId="0" fontId="42" fillId="22" borderId="123" xfId="0" applyFont="1" applyFill="1" applyBorder="1" applyAlignment="1">
      <alignment vertical="center"/>
    </xf>
    <xf numFmtId="0" fontId="42" fillId="22" borderId="126" xfId="0" applyFont="1" applyFill="1" applyBorder="1" applyAlignment="1">
      <alignment vertical="center"/>
    </xf>
    <xf numFmtId="0" fontId="42" fillId="22" borderId="124" xfId="0" applyFont="1" applyFill="1" applyBorder="1" applyAlignment="1">
      <alignment vertical="center"/>
    </xf>
    <xf numFmtId="6" fontId="40" fillId="0" borderId="73" xfId="0" applyNumberFormat="1" applyFont="1" applyBorder="1" applyAlignment="1">
      <alignment horizontal="center"/>
    </xf>
    <xf numFmtId="0" fontId="44" fillId="0" borderId="117" xfId="0" applyFont="1" applyBorder="1" applyAlignment="1">
      <alignment horizontal="center"/>
    </xf>
    <xf numFmtId="164" fontId="10" fillId="24" borderId="0" xfId="0" applyNumberFormat="1" applyFont="1" applyFill="1"/>
    <xf numFmtId="3" fontId="7" fillId="24" borderId="11" xfId="0" applyNumberFormat="1" applyFont="1" applyFill="1" applyBorder="1"/>
    <xf numFmtId="0" fontId="48" fillId="23" borderId="2" xfId="0" applyFont="1" applyFill="1" applyBorder="1"/>
    <xf numFmtId="0" fontId="49" fillId="0" borderId="7" xfId="0" applyFont="1" applyBorder="1"/>
    <xf numFmtId="0" fontId="49" fillId="0" borderId="75" xfId="0" applyFont="1" applyBorder="1"/>
    <xf numFmtId="0" fontId="45" fillId="23" borderId="2" xfId="0" applyFont="1" applyFill="1" applyBorder="1"/>
    <xf numFmtId="6" fontId="40" fillId="0" borderId="76" xfId="0" applyNumberFormat="1" applyFont="1" applyBorder="1" applyAlignment="1">
      <alignment horizontal="center"/>
    </xf>
    <xf numFmtId="1" fontId="40" fillId="0" borderId="76" xfId="0" applyNumberFormat="1" applyFont="1" applyBorder="1" applyAlignment="1">
      <alignment horizontal="center"/>
    </xf>
    <xf numFmtId="6" fontId="40" fillId="0" borderId="77" xfId="0" applyNumberFormat="1" applyFont="1" applyBorder="1" applyAlignment="1">
      <alignment horizontal="center"/>
    </xf>
    <xf numFmtId="6" fontId="40" fillId="0" borderId="74" xfId="0" applyNumberFormat="1" applyFont="1" applyBorder="1" applyAlignment="1">
      <alignment horizontal="center"/>
    </xf>
    <xf numFmtId="1" fontId="40" fillId="0" borderId="74" xfId="0" applyNumberFormat="1" applyFont="1" applyBorder="1" applyAlignment="1">
      <alignment horizontal="center"/>
    </xf>
    <xf numFmtId="6" fontId="40" fillId="0" borderId="79" xfId="0" applyNumberFormat="1" applyFont="1" applyBorder="1" applyAlignment="1">
      <alignment horizontal="center"/>
    </xf>
    <xf numFmtId="6" fontId="41" fillId="22" borderId="127" xfId="0" applyNumberFormat="1" applyFont="1" applyFill="1" applyBorder="1"/>
    <xf numFmtId="1" fontId="40" fillId="0" borderId="79" xfId="0" applyNumberFormat="1" applyFont="1" applyBorder="1" applyAlignment="1">
      <alignment horizontal="center"/>
    </xf>
    <xf numFmtId="165" fontId="42" fillId="0" borderId="122" xfId="0" applyNumberFormat="1" applyFont="1" applyBorder="1" applyAlignment="1">
      <alignment horizontal="center"/>
    </xf>
    <xf numFmtId="165" fontId="40" fillId="0" borderId="121" xfId="0" applyNumberFormat="1" applyFont="1" applyBorder="1" applyAlignment="1">
      <alignment horizontal="center"/>
    </xf>
    <xf numFmtId="1" fontId="39" fillId="0" borderId="12" xfId="0" applyNumberFormat="1" applyFont="1" applyBorder="1" applyAlignment="1">
      <alignment horizontal="center"/>
    </xf>
    <xf numFmtId="1" fontId="39" fillId="0" borderId="29" xfId="0" applyNumberFormat="1" applyFont="1" applyBorder="1" applyAlignment="1">
      <alignment horizontal="center"/>
    </xf>
    <xf numFmtId="1" fontId="39" fillId="0" borderId="113" xfId="0" applyNumberFormat="1" applyFont="1" applyBorder="1" applyAlignment="1">
      <alignment horizontal="center"/>
    </xf>
    <xf numFmtId="6" fontId="0" fillId="0" borderId="0" xfId="0" applyNumberFormat="1"/>
    <xf numFmtId="0" fontId="17" fillId="0" borderId="60" xfId="0" applyFont="1" applyBorder="1" applyAlignment="1">
      <alignment horizontal="left" vertical="center"/>
    </xf>
    <xf numFmtId="0" fontId="17" fillId="0" borderId="22" xfId="0" applyFont="1" applyBorder="1" applyAlignment="1">
      <alignment horizontal="left" vertical="center"/>
    </xf>
    <xf numFmtId="0" fontId="17" fillId="0" borderId="62" xfId="0" applyFont="1" applyBorder="1" applyAlignment="1">
      <alignment horizontal="left" vertical="center"/>
    </xf>
    <xf numFmtId="49" fontId="17" fillId="0" borderId="61" xfId="0" applyNumberFormat="1" applyFont="1" applyBorder="1" applyAlignment="1">
      <alignment horizontal="left" vertical="center"/>
    </xf>
    <xf numFmtId="49" fontId="17" fillId="0" borderId="16" xfId="0" applyNumberFormat="1" applyFont="1" applyBorder="1" applyAlignment="1">
      <alignment horizontal="left" vertical="center"/>
    </xf>
    <xf numFmtId="49" fontId="17" fillId="0" borderId="128" xfId="0" applyNumberFormat="1" applyFont="1" applyBorder="1" applyAlignment="1">
      <alignment horizontal="left" vertical="center"/>
    </xf>
    <xf numFmtId="49" fontId="19" fillId="0" borderId="26" xfId="0" applyNumberFormat="1" applyFont="1" applyBorder="1" applyAlignment="1">
      <alignment horizontal="right"/>
    </xf>
    <xf numFmtId="49" fontId="7" fillId="6" borderId="25" xfId="0" applyNumberFormat="1" applyFont="1" applyFill="1" applyBorder="1"/>
    <xf numFmtId="49" fontId="7" fillId="0" borderId="26" xfId="0" applyNumberFormat="1" applyFont="1" applyBorder="1"/>
    <xf numFmtId="49" fontId="4" fillId="0" borderId="11" xfId="0" applyNumberFormat="1" applyFont="1" applyBorder="1" applyAlignment="1">
      <alignment horizontal="left" indent="1"/>
    </xf>
    <xf numFmtId="49" fontId="9" fillId="0" borderId="11" xfId="0" applyNumberFormat="1" applyFont="1" applyBorder="1" applyAlignment="1">
      <alignment horizontal="right"/>
    </xf>
    <xf numFmtId="49" fontId="16" fillId="0" borderId="11" xfId="0" applyNumberFormat="1" applyFont="1" applyBorder="1" applyAlignment="1">
      <alignment horizontal="left"/>
    </xf>
    <xf numFmtId="49" fontId="7" fillId="0" borderId="11" xfId="0" applyNumberFormat="1" applyFont="1" applyBorder="1"/>
    <xf numFmtId="49" fontId="9" fillId="0" borderId="11" xfId="0" applyNumberFormat="1" applyFont="1" applyBorder="1" applyAlignment="1">
      <alignment horizontal="left"/>
    </xf>
    <xf numFmtId="49" fontId="7" fillId="0" borderId="11" xfId="0" applyNumberFormat="1" applyFont="1" applyBorder="1" applyAlignment="1">
      <alignment horizontal="left"/>
    </xf>
    <xf numFmtId="49" fontId="4" fillId="0" borderId="10" xfId="0" applyNumberFormat="1" applyFont="1" applyBorder="1"/>
    <xf numFmtId="49" fontId="7" fillId="10" borderId="25" xfId="0" applyNumberFormat="1" applyFont="1" applyFill="1" applyBorder="1" applyAlignment="1">
      <alignment horizontal="right"/>
    </xf>
    <xf numFmtId="49" fontId="7" fillId="0" borderId="25" xfId="0" applyNumberFormat="1" applyFont="1" applyBorder="1"/>
    <xf numFmtId="49" fontId="4" fillId="0" borderId="26" xfId="0" applyNumberFormat="1" applyFont="1" applyBorder="1"/>
    <xf numFmtId="49" fontId="4" fillId="0" borderId="11" xfId="0" applyNumberFormat="1" applyFont="1" applyBorder="1"/>
    <xf numFmtId="49" fontId="0" fillId="0" borderId="11" xfId="0" applyNumberFormat="1" applyBorder="1"/>
    <xf numFmtId="49" fontId="9" fillId="10" borderId="11" xfId="0" applyNumberFormat="1" applyFont="1" applyFill="1" applyBorder="1" applyAlignment="1">
      <alignment horizontal="right"/>
    </xf>
    <xf numFmtId="49" fontId="16" fillId="0" borderId="11" xfId="0" applyNumberFormat="1" applyFont="1" applyBorder="1" applyAlignment="1">
      <alignment horizontal="right"/>
    </xf>
    <xf numFmtId="49" fontId="4" fillId="0" borderId="25" xfId="0" applyNumberFormat="1" applyFont="1" applyBorder="1"/>
    <xf numFmtId="49" fontId="9" fillId="0" borderId="25" xfId="0" applyNumberFormat="1" applyFont="1" applyBorder="1" applyAlignment="1">
      <alignment horizontal="right"/>
    </xf>
    <xf numFmtId="49" fontId="7" fillId="0" borderId="25" xfId="0" applyNumberFormat="1" applyFont="1" applyBorder="1" applyAlignment="1">
      <alignment horizontal="right"/>
    </xf>
    <xf numFmtId="49" fontId="7" fillId="3" borderId="25" xfId="0" applyNumberFormat="1" applyFont="1" applyFill="1" applyBorder="1"/>
    <xf numFmtId="49" fontId="4" fillId="0" borderId="13" xfId="0" applyNumberFormat="1" applyFont="1" applyBorder="1"/>
    <xf numFmtId="49" fontId="4" fillId="0" borderId="0" xfId="0" applyNumberFormat="1" applyFont="1"/>
    <xf numFmtId="49" fontId="12" fillId="0" borderId="0" xfId="0" applyNumberFormat="1" applyFont="1"/>
    <xf numFmtId="49" fontId="4" fillId="0" borderId="11" xfId="0" applyNumberFormat="1" applyFont="1" applyBorder="1" applyAlignment="1">
      <alignment horizontal="left" wrapText="1" indent="1"/>
    </xf>
    <xf numFmtId="49" fontId="0" fillId="0" borderId="11" xfId="0" applyNumberFormat="1" applyBorder="1" applyAlignment="1">
      <alignment horizontal="left" vertical="top" wrapText="1" indent="1"/>
    </xf>
    <xf numFmtId="0" fontId="7" fillId="0" borderId="0" xfId="0" applyFont="1" applyAlignment="1">
      <alignment wrapText="1"/>
    </xf>
    <xf numFmtId="0" fontId="4" fillId="0" borderId="0" xfId="0" applyFont="1" applyAlignment="1">
      <alignment horizontal="left" wrapText="1"/>
    </xf>
    <xf numFmtId="0" fontId="9" fillId="0" borderId="0" xfId="0" applyFont="1" applyAlignment="1">
      <alignment horizontal="right" wrapText="1"/>
    </xf>
    <xf numFmtId="3" fontId="4" fillId="0" borderId="0" xfId="0" applyNumberFormat="1" applyFont="1" applyAlignment="1">
      <alignment wrapText="1"/>
    </xf>
    <xf numFmtId="0" fontId="15" fillId="0" borderId="0" xfId="0" applyFont="1" applyAlignment="1">
      <alignment horizontal="center"/>
    </xf>
    <xf numFmtId="0" fontId="15" fillId="0" borderId="59" xfId="0" applyFont="1" applyBorder="1" applyAlignment="1">
      <alignment horizontal="center"/>
    </xf>
    <xf numFmtId="0" fontId="7" fillId="0" borderId="11" xfId="0" applyFont="1" applyBorder="1" applyAlignment="1">
      <alignment wrapText="1"/>
    </xf>
    <xf numFmtId="0" fontId="4" fillId="0" borderId="11" xfId="0" applyFont="1" applyBorder="1" applyAlignment="1">
      <alignment wrapText="1"/>
    </xf>
    <xf numFmtId="0" fontId="9" fillId="0" borderId="11" xfId="0" applyFont="1" applyBorder="1" applyAlignment="1">
      <alignment horizontal="right" wrapText="1"/>
    </xf>
    <xf numFmtId="3" fontId="4" fillId="0" borderId="42" xfId="0" applyNumberFormat="1" applyFont="1" applyBorder="1" applyAlignment="1">
      <alignment wrapText="1"/>
    </xf>
    <xf numFmtId="10" fontId="10" fillId="0" borderId="6" xfId="0" applyNumberFormat="1" applyFont="1" applyBorder="1"/>
    <xf numFmtId="10" fontId="10" fillId="0" borderId="0" xfId="0" applyNumberFormat="1" applyFont="1"/>
    <xf numFmtId="10" fontId="10" fillId="0" borderId="53" xfId="0" applyNumberFormat="1" applyFont="1" applyBorder="1"/>
    <xf numFmtId="3" fontId="10" fillId="0" borderId="6" xfId="0" applyNumberFormat="1" applyFont="1" applyBorder="1"/>
    <xf numFmtId="0" fontId="17" fillId="0" borderId="0" xfId="0" applyFont="1" applyAlignment="1">
      <alignment horizontal="center"/>
    </xf>
    <xf numFmtId="0" fontId="19" fillId="5" borderId="2" xfId="0" applyFont="1" applyFill="1" applyBorder="1" applyAlignment="1">
      <alignment horizontal="center"/>
    </xf>
    <xf numFmtId="0" fontId="19" fillId="5" borderId="14" xfId="0" applyFont="1" applyFill="1" applyBorder="1" applyAlignment="1">
      <alignment horizontal="center"/>
    </xf>
    <xf numFmtId="0" fontId="19" fillId="5" borderId="4" xfId="0" applyFont="1" applyFill="1" applyBorder="1" applyAlignment="1">
      <alignment horizontal="center"/>
    </xf>
    <xf numFmtId="0" fontId="19" fillId="5" borderId="33" xfId="0" applyFont="1" applyFill="1" applyBorder="1" applyAlignment="1">
      <alignment horizontal="center"/>
    </xf>
    <xf numFmtId="0" fontId="19" fillId="5" borderId="34" xfId="0" applyFont="1" applyFill="1" applyBorder="1" applyAlignment="1">
      <alignment horizontal="center"/>
    </xf>
    <xf numFmtId="0" fontId="19" fillId="5" borderId="35" xfId="0" applyFont="1" applyFill="1" applyBorder="1" applyAlignment="1">
      <alignment horizontal="center"/>
    </xf>
    <xf numFmtId="49" fontId="19" fillId="5" borderId="26" xfId="0" applyNumberFormat="1" applyFont="1" applyFill="1" applyBorder="1" applyAlignment="1">
      <alignment horizontal="center" vertical="center" wrapText="1"/>
    </xf>
    <xf numFmtId="49" fontId="19" fillId="5" borderId="10" xfId="0" applyNumberFormat="1" applyFont="1" applyFill="1" applyBorder="1" applyAlignment="1">
      <alignment horizontal="center" vertical="center" wrapText="1"/>
    </xf>
    <xf numFmtId="0" fontId="19" fillId="5" borderId="26" xfId="0" applyFont="1" applyFill="1" applyBorder="1" applyAlignment="1">
      <alignment horizontal="center" vertical="center" wrapText="1"/>
    </xf>
    <xf numFmtId="0" fontId="19" fillId="5" borderId="10" xfId="0" applyFont="1" applyFill="1" applyBorder="1" applyAlignment="1">
      <alignment horizontal="center" vertical="center" wrapText="1"/>
    </xf>
    <xf numFmtId="0" fontId="19" fillId="5" borderId="11" xfId="0" applyFont="1" applyFill="1" applyBorder="1" applyAlignment="1">
      <alignment horizontal="center" vertical="center" wrapText="1"/>
    </xf>
    <xf numFmtId="0" fontId="15" fillId="4" borderId="8" xfId="0" applyFont="1" applyFill="1" applyBorder="1" applyAlignment="1">
      <alignment horizontal="center"/>
    </xf>
    <xf numFmtId="0" fontId="17" fillId="0" borderId="0" xfId="0" applyFont="1"/>
    <xf numFmtId="0" fontId="38" fillId="0" borderId="0" xfId="0" applyFont="1" applyAlignment="1">
      <alignment horizontal="left"/>
    </xf>
    <xf numFmtId="0" fontId="15" fillId="4" borderId="44" xfId="0" applyFont="1" applyFill="1" applyBorder="1" applyAlignment="1">
      <alignment horizontal="center"/>
    </xf>
    <xf numFmtId="0" fontId="15" fillId="4" borderId="47" xfId="0" applyFont="1" applyFill="1" applyBorder="1" applyAlignment="1">
      <alignment horizontal="center"/>
    </xf>
    <xf numFmtId="0" fontId="4" fillId="17" borderId="29" xfId="15" applyFont="1" applyFill="1" applyBorder="1" applyAlignment="1">
      <alignment horizontal="left" vertical="center"/>
    </xf>
    <xf numFmtId="0" fontId="4" fillId="17" borderId="30" xfId="15" applyFont="1" applyFill="1" applyBorder="1" applyAlignment="1">
      <alignment horizontal="left" vertical="center"/>
    </xf>
    <xf numFmtId="0" fontId="4" fillId="0" borderId="29" xfId="15" applyFont="1" applyBorder="1" applyAlignment="1">
      <alignment horizontal="left" vertical="center"/>
    </xf>
    <xf numFmtId="0" fontId="4" fillId="0" borderId="30" xfId="15" applyFont="1" applyBorder="1" applyAlignment="1">
      <alignment horizontal="left" vertical="center"/>
    </xf>
    <xf numFmtId="0" fontId="17" fillId="7" borderId="20" xfId="0" applyFont="1" applyFill="1" applyBorder="1" applyAlignment="1">
      <alignment horizontal="center"/>
    </xf>
    <xf numFmtId="0" fontId="17" fillId="7" borderId="9" xfId="0" applyFont="1" applyFill="1" applyBorder="1" applyAlignment="1">
      <alignment horizontal="center"/>
    </xf>
    <xf numFmtId="0" fontId="17" fillId="7" borderId="21" xfId="0" applyFont="1" applyFill="1" applyBorder="1" applyAlignment="1">
      <alignment horizontal="center"/>
    </xf>
    <xf numFmtId="0" fontId="17" fillId="7" borderId="87" xfId="0" applyFont="1" applyFill="1" applyBorder="1" applyAlignment="1">
      <alignment horizontal="center"/>
    </xf>
    <xf numFmtId="0" fontId="17" fillId="7" borderId="91" xfId="0" applyFont="1" applyFill="1" applyBorder="1" applyAlignment="1">
      <alignment horizontal="center"/>
    </xf>
    <xf numFmtId="0" fontId="17" fillId="7" borderId="92" xfId="0" applyFont="1" applyFill="1" applyBorder="1" applyAlignment="1">
      <alignment horizontal="center"/>
    </xf>
    <xf numFmtId="0" fontId="4" fillId="0" borderId="0" xfId="15" applyFont="1" applyAlignment="1">
      <alignment horizontal="center" wrapText="1"/>
    </xf>
    <xf numFmtId="0" fontId="4" fillId="0" borderId="2" xfId="15" applyFont="1" applyBorder="1" applyAlignment="1">
      <alignment horizontal="center"/>
    </xf>
    <xf numFmtId="0" fontId="4" fillId="0" borderId="4" xfId="15" applyFont="1" applyBorder="1" applyAlignment="1">
      <alignment horizontal="center"/>
    </xf>
    <xf numFmtId="0" fontId="46" fillId="22" borderId="71" xfId="0" applyFont="1" applyFill="1" applyBorder="1" applyAlignment="1">
      <alignment horizontal="center"/>
    </xf>
    <xf numFmtId="0" fontId="46" fillId="22" borderId="72" xfId="0" applyFont="1" applyFill="1" applyBorder="1" applyAlignment="1">
      <alignment horizontal="center"/>
    </xf>
    <xf numFmtId="0" fontId="46" fillId="22" borderId="73" xfId="0" applyFont="1" applyFill="1" applyBorder="1" applyAlignment="1">
      <alignment horizontal="center"/>
    </xf>
    <xf numFmtId="0" fontId="7" fillId="7" borderId="63" xfId="0" applyFont="1" applyFill="1" applyBorder="1" applyAlignment="1">
      <alignment horizontal="center"/>
    </xf>
    <xf numFmtId="0" fontId="7" fillId="7" borderId="64" xfId="0" applyFont="1" applyFill="1" applyBorder="1" applyAlignment="1">
      <alignment horizontal="center"/>
    </xf>
    <xf numFmtId="0" fontId="7" fillId="7" borderId="65" xfId="0" applyFont="1" applyFill="1" applyBorder="1" applyAlignment="1">
      <alignment horizontal="center"/>
    </xf>
    <xf numFmtId="0" fontId="7" fillId="7" borderId="33" xfId="0" applyFont="1" applyFill="1" applyBorder="1" applyAlignment="1">
      <alignment horizontal="center"/>
    </xf>
    <xf numFmtId="0" fontId="7" fillId="7" borderId="34" xfId="0" applyFont="1" applyFill="1" applyBorder="1" applyAlignment="1">
      <alignment horizontal="center"/>
    </xf>
    <xf numFmtId="0" fontId="7" fillId="7" borderId="35" xfId="0" applyFont="1" applyFill="1" applyBorder="1" applyAlignment="1">
      <alignment horizontal="center"/>
    </xf>
    <xf numFmtId="0" fontId="16" fillId="17" borderId="2" xfId="15" applyFont="1" applyFill="1" applyBorder="1" applyAlignment="1">
      <alignment horizontal="center"/>
    </xf>
    <xf numFmtId="0" fontId="16" fillId="17" borderId="4" xfId="15" applyFont="1" applyFill="1" applyBorder="1" applyAlignment="1">
      <alignment horizontal="center"/>
    </xf>
    <xf numFmtId="0" fontId="16" fillId="0" borderId="2" xfId="15" applyFont="1" applyBorder="1" applyAlignment="1">
      <alignment horizontal="center"/>
    </xf>
    <xf numFmtId="0" fontId="16" fillId="0" borderId="4" xfId="15" applyFont="1" applyBorder="1" applyAlignment="1">
      <alignment horizontal="center"/>
    </xf>
    <xf numFmtId="0" fontId="7" fillId="18" borderId="2" xfId="15" applyFont="1" applyFill="1" applyBorder="1" applyAlignment="1">
      <alignment horizontal="center"/>
    </xf>
    <xf numFmtId="0" fontId="7" fillId="18" borderId="4" xfId="15" applyFont="1" applyFill="1" applyBorder="1" applyAlignment="1">
      <alignment horizontal="center"/>
    </xf>
    <xf numFmtId="0" fontId="40" fillId="21" borderId="117" xfId="0" applyFont="1" applyFill="1" applyBorder="1"/>
    <xf numFmtId="0" fontId="40" fillId="21" borderId="118" xfId="0" applyFont="1" applyFill="1" applyBorder="1"/>
    <xf numFmtId="0" fontId="40" fillId="21" borderId="119" xfId="0" applyFont="1" applyFill="1" applyBorder="1"/>
    <xf numFmtId="0" fontId="41" fillId="22" borderId="71" xfId="0" applyFont="1" applyFill="1" applyBorder="1" applyAlignment="1">
      <alignment horizontal="center"/>
    </xf>
    <xf numFmtId="0" fontId="41" fillId="22" borderId="72" xfId="0" applyFont="1" applyFill="1" applyBorder="1" applyAlignment="1">
      <alignment horizontal="center"/>
    </xf>
    <xf numFmtId="0" fontId="41" fillId="22" borderId="73" xfId="0" applyFont="1" applyFill="1" applyBorder="1" applyAlignment="1">
      <alignment horizontal="center"/>
    </xf>
    <xf numFmtId="0" fontId="44" fillId="22" borderId="117" xfId="0" applyFont="1" applyFill="1" applyBorder="1" applyAlignment="1">
      <alignment horizontal="center"/>
    </xf>
    <xf numFmtId="0" fontId="44" fillId="22" borderId="119" xfId="0" applyFont="1" applyFill="1" applyBorder="1" applyAlignment="1">
      <alignment horizontal="center"/>
    </xf>
    <xf numFmtId="0" fontId="40" fillId="21" borderId="114" xfId="0" applyFont="1" applyFill="1" applyBorder="1"/>
    <xf numFmtId="0" fontId="40" fillId="21" borderId="115" xfId="0" applyFont="1" applyFill="1" applyBorder="1"/>
    <xf numFmtId="0" fontId="43" fillId="22" borderId="123" xfId="0" applyFont="1" applyFill="1" applyBorder="1" applyAlignment="1">
      <alignment horizontal="center"/>
    </xf>
    <xf numFmtId="0" fontId="43" fillId="22" borderId="124" xfId="0" applyFont="1" applyFill="1" applyBorder="1" applyAlignment="1">
      <alignment horizontal="center"/>
    </xf>
    <xf numFmtId="0" fontId="7" fillId="7" borderId="71" xfId="0" applyFont="1" applyFill="1" applyBorder="1" applyAlignment="1">
      <alignment horizontal="center"/>
    </xf>
    <xf numFmtId="0" fontId="7" fillId="7" borderId="72" xfId="0" applyFont="1" applyFill="1" applyBorder="1" applyAlignment="1">
      <alignment horizontal="center"/>
    </xf>
    <xf numFmtId="0" fontId="7" fillId="7" borderId="73" xfId="0" applyFont="1" applyFill="1" applyBorder="1" applyAlignment="1">
      <alignment horizontal="center"/>
    </xf>
    <xf numFmtId="0" fontId="41" fillId="22" borderId="2" xfId="0" applyFont="1" applyFill="1" applyBorder="1" applyAlignment="1">
      <alignment horizontal="center"/>
    </xf>
    <xf numFmtId="0" fontId="41" fillId="22" borderId="14" xfId="0" applyFont="1" applyFill="1" applyBorder="1" applyAlignment="1">
      <alignment horizontal="center"/>
    </xf>
    <xf numFmtId="0" fontId="41" fillId="22" borderId="127" xfId="0" applyFont="1" applyFill="1" applyBorder="1" applyAlignment="1">
      <alignment horizontal="center"/>
    </xf>
    <xf numFmtId="0" fontId="41" fillId="22" borderId="20" xfId="0" applyFont="1" applyFill="1" applyBorder="1" applyAlignment="1">
      <alignment horizontal="right"/>
    </xf>
    <xf numFmtId="0" fontId="41" fillId="22" borderId="9" xfId="0" applyFont="1" applyFill="1" applyBorder="1" applyAlignment="1">
      <alignment horizontal="right"/>
    </xf>
    <xf numFmtId="0" fontId="35" fillId="19" borderId="13" xfId="17" applyFont="1" applyFill="1" applyBorder="1" applyAlignment="1">
      <alignment horizontal="right"/>
    </xf>
    <xf numFmtId="0" fontId="36" fillId="19" borderId="13" xfId="17" applyFont="1" applyFill="1" applyBorder="1" applyAlignment="1">
      <alignment horizontal="right"/>
    </xf>
    <xf numFmtId="0" fontId="18" fillId="0" borderId="0" xfId="0" applyFont="1" applyAlignment="1">
      <alignment horizontal="left"/>
    </xf>
    <xf numFmtId="0" fontId="21" fillId="4" borderId="60" xfId="0" applyFont="1" applyFill="1" applyBorder="1" applyAlignment="1">
      <alignment horizontal="center"/>
    </xf>
    <xf numFmtId="0" fontId="21" fillId="4" borderId="8" xfId="0" applyFont="1" applyFill="1" applyBorder="1" applyAlignment="1">
      <alignment horizontal="center"/>
    </xf>
    <xf numFmtId="0" fontId="21" fillId="4" borderId="61" xfId="0" applyFont="1" applyFill="1" applyBorder="1" applyAlignment="1">
      <alignment horizontal="center"/>
    </xf>
    <xf numFmtId="0" fontId="7" fillId="15" borderId="1" xfId="0" applyFont="1" applyFill="1" applyBorder="1" applyAlignment="1">
      <alignment horizontal="center" vertical="center" wrapText="1"/>
    </xf>
  </cellXfs>
  <cellStyles count="18">
    <cellStyle name="Comma 2" xfId="6" xr:uid="{00000000-0005-0000-0000-000001000000}"/>
    <cellStyle name="Comma 3" xfId="13" xr:uid="{E99ADC2E-6FA1-4B13-8417-DAE81CC08645}"/>
    <cellStyle name="Currency" xfId="1" builtinId="4"/>
    <cellStyle name="Currency 2" xfId="8" xr:uid="{00000000-0005-0000-0000-000003000000}"/>
    <cellStyle name="Currency 3" xfId="10" xr:uid="{2B1F91B3-1D40-4C31-BE3E-C69FD655EC44}"/>
    <cellStyle name="Normal" xfId="0" builtinId="0"/>
    <cellStyle name="Normal 2" xfId="3" xr:uid="{00000000-0005-0000-0000-000005000000}"/>
    <cellStyle name="Normal 2 2" xfId="7" xr:uid="{00000000-0005-0000-0000-000006000000}"/>
    <cellStyle name="Normal 2 2 2" xfId="14" xr:uid="{D9723AE4-8B9D-45EC-B92C-B0520113EA89}"/>
    <cellStyle name="Normal 2 2 2 2" xfId="16" xr:uid="{6E211B03-6317-432A-8F5A-3F4A77D0C4BC}"/>
    <cellStyle name="Normal 3" xfId="4" xr:uid="{00000000-0005-0000-0000-000007000000}"/>
    <cellStyle name="Normal 4" xfId="5" xr:uid="{00000000-0005-0000-0000-000008000000}"/>
    <cellStyle name="Normal 5" xfId="9" xr:uid="{696106F2-B9F1-4F15-81A3-E3443F17835A}"/>
    <cellStyle name="Normal 5 2" xfId="15" xr:uid="{2F7BFA62-B03E-4348-91F2-C98B496CAA00}"/>
    <cellStyle name="Normal 5 2 2" xfId="17" xr:uid="{2BB56200-7DB7-4797-87BC-757EBE54C2CC}"/>
    <cellStyle name="Percent" xfId="2" builtinId="5"/>
    <cellStyle name="Percent 2" xfId="11" xr:uid="{5DA92C78-84E0-4A77-96BF-0469385156F7}"/>
    <cellStyle name="Percent 34" xfId="12" xr:uid="{6B505889-CADA-4AFE-9B4E-B8BE429E708C}"/>
  </cellStyles>
  <dxfs count="0"/>
  <tableStyles count="0" defaultTableStyle="TableStyleMedium2" defaultPivotStyle="PivotStyleLight16"/>
  <colors>
    <mruColors>
      <color rgb="FFFFFF61"/>
      <color rgb="FFE7F0F9"/>
      <color rgb="FFD7E5F5"/>
      <color rgb="FFFFFFAF"/>
      <color rgb="FFFEF1E6"/>
      <color rgb="FFFEF4EC"/>
      <color rgb="FFFDDFC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5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4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3.xml"/><Relationship Id="rId20" Type="http://schemas.openxmlformats.org/officeDocument/2006/relationships/externalLink" Target="externalLinks/externalLink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23" Type="http://schemas.openxmlformats.org/officeDocument/2006/relationships/sharedStrings" Target="sharedStrings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6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Relationship Id="rId22" Type="http://schemas.openxmlformats.org/officeDocument/2006/relationships/styles" Target="styles.xml"/><Relationship Id="rId27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Copy%20of%20Nicaragua_Budget_10_01_22v5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Budget%20Detail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ODCs%202003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Equipment%202003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TIP%20START%2014%20month%20Budget%20ver%2021Dec06%207%2055%20am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08%2008%2012%20%20Pact%20Proposal%20Budget-%20ICNL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ADF_SF_424_Final%20(4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424 Cover"/>
      <sheetName val="424 A"/>
      <sheetName val="424 A Page 2"/>
      <sheetName val="PADF Master"/>
      <sheetName val="Component I"/>
      <sheetName val="Component II"/>
      <sheetName val="IFES_Component_III"/>
      <sheetName val="Summary"/>
      <sheetName val="Cost Share"/>
      <sheetName val="Rates"/>
      <sheetName val="Level of Effort"/>
      <sheetName val="Sheet1"/>
      <sheetName val="Sheet1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udget"/>
      <sheetName val="DRAFT BUDGET"/>
      <sheetName val="Salary &amp; PR Tax"/>
      <sheetName val="Fringe Benefits"/>
      <sheetName val="PR Taxes Prior Year"/>
      <sheetName val="Prior Year Indirect"/>
      <sheetName val="Communication Prior Year"/>
      <sheetName val="Consultants 2005"/>
      <sheetName val="UNUM LTD &amp; STD Costs"/>
      <sheetName val="MAMSI 2003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dule E - Other"/>
    </sheetNames>
    <sheetDataSet>
      <sheetData sheetId="0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dule D - Equipment"/>
    </sheetNames>
    <sheetDataSet>
      <sheetData sheetId="0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umptions"/>
      <sheetName val="Details"/>
    </sheetNames>
    <sheetDataSet>
      <sheetData sheetId="0"/>
      <sheetData sheetId="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Detail-1"/>
      <sheetName val="IFLT Budget"/>
      <sheetName val="CCC Budget"/>
      <sheetName val="Institute Justification"/>
      <sheetName val="Travel"/>
      <sheetName val="Workshops"/>
      <sheetName val="Links"/>
      <sheetName val="SF424"/>
      <sheetName val="SF424A1"/>
      <sheetName val="SF424A2"/>
    </sheetNames>
    <sheetDataSet>
      <sheetData sheetId="0">
        <row r="1">
          <cell r="J1">
            <v>1.05</v>
          </cell>
        </row>
      </sheetData>
      <sheetData sheetId="1">
        <row r="1">
          <cell r="J1">
            <v>1.05</v>
          </cell>
        </row>
        <row r="2">
          <cell r="J2">
            <v>1.04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424 Cover"/>
      <sheetName val="424 A"/>
      <sheetName val="424 A Page 2"/>
      <sheetName val="PADF Master"/>
      <sheetName val="Component I"/>
      <sheetName val="Component II"/>
      <sheetName val="IFES_Component_III"/>
      <sheetName val="Summary"/>
      <sheetName val="DLDP Activity Plan"/>
      <sheetName val="Rates"/>
      <sheetName val="Level of Effor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Danielle Martin" id="{B03D58C9-D540-4DBE-8292-8B039322AF35}" userId="Danielle Martin" providerId="None"/>
  <person displayName="Stephanie Verganza" id="{BEFF0A86-161D-44B1-909C-A9796F34A6E0}" userId="SVerganza@partners.net" providerId="PeoplePicker"/>
  <person displayName="Sarah Smith" id="{771C850F-C0DB-4A95-B3BF-9D204BBF0975}" userId="S::smith@partners.net::0f735c9e-ef04-4d10-a876-44533ba59a84" providerId="AD"/>
  <person displayName="Stephanie Verganza" id="{E450FCF4-EAA8-4343-8533-035ED73FE03C}" userId="S::sverganza@partners.net::ffc5f8f4-b46c-4eb7-ad0a-4bc869c58a2c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84" dT="2023-07-08T01:14:05.50" personId="{B03D58C9-D540-4DBE-8292-8B039322AF35}" id="{49BC38DD-03E6-4C13-A91D-6A76548D3459}">
    <text>@Stephanie Verganza the vehicle prices are low, maybe we can re-evaluate and cut one or two for cost savings?</text>
    <mentions>
      <mention mentionpersonId="{BEFF0A86-161D-44B1-909C-A9796F34A6E0}" mentionId="{E68B0AD4-3AA0-4FDB-B4BE-3A643189C470}" startIndex="0" length="19"/>
    </mentions>
  </threadedComment>
  <threadedComment ref="D84" dT="2023-07-10T13:40:27.76" personId="{E450FCF4-EAA8-4343-8533-035ED73FE03C}" id="{116FE343-596A-4630-8B28-86E608DA2D61}" parentId="{49BC38DD-03E6-4C13-A91D-6A76548D3459}">
    <text>I based it off of what Michael said was needed, but if we can't afford it, I think the DR is the only country without any good vehicles. The others have two decent trucks; Michael just wanted the CDs to have a car to use</text>
  </threadedComment>
  <threadedComment ref="D84" dT="2023-07-13T22:20:18.05" personId="{771C850F-C0DB-4A95-B3BF-9D204BBF0975}" id="{483B4564-07CC-452A-9003-D334EAA98C9F}" parentId="{49BC38DD-03E6-4C13-A91D-6A76548D3459}">
    <text xml:space="preserve">So did we decide we are buying 2 cars in Year 1 and one car in Year 2? The notes say they average 40k </text>
  </threadedComment>
  <threadedComment ref="D84" dT="2023-07-13T22:31:28.85" personId="{E450FCF4-EAA8-4343-8533-035ED73FE03C}" id="{0831EC7F-5FDC-4D68-9171-8AA57C41175D}" parentId="{49BC38DD-03E6-4C13-A91D-6A76548D3459}">
    <text>They should all be under the Year One budget. I need to edit the DR budget; for the DR it will be one truck at about $40k and a sedan for about $30k</text>
  </threadedComment>
  <threadedComment ref="D84" dT="2023-07-13T22:32:13.57" personId="{E450FCF4-EAA8-4343-8533-035ED73FE03C}" id="{C88BD108-C2F4-4839-8D88-2ABEF0170C02}" parentId="{49BC38DD-03E6-4C13-A91D-6A76548D3459}">
    <text xml:space="preserve">Then Guyana and Jamaica will get one sedan for $30k each. Guatemala has no vehicles budgeted since they have enough 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X42"/>
  <sheetViews>
    <sheetView zoomScale="90" workbookViewId="0">
      <pane xSplit="1" ySplit="5" topLeftCell="B6" activePane="bottomRight" state="frozen"/>
      <selection pane="topRight" activeCell="B1" sqref="B1"/>
      <selection pane="bottomLeft" activeCell="A5" sqref="A5"/>
      <selection pane="bottomRight" activeCell="B7" sqref="B7"/>
    </sheetView>
  </sheetViews>
  <sheetFormatPr defaultColWidth="9.1640625" defaultRowHeight="15" customHeight="1" x14ac:dyDescent="0.4"/>
  <cols>
    <col min="1" max="1" width="23.44140625" style="4" bestFit="1" customWidth="1"/>
    <col min="2" max="2" width="10.44140625" style="4" bestFit="1" customWidth="1"/>
    <col min="3" max="3" width="9.5546875" style="4" bestFit="1" customWidth="1"/>
    <col min="4" max="8" width="10.44140625" style="4" bestFit="1" customWidth="1"/>
    <col min="9" max="9" width="9.5546875" style="4" bestFit="1" customWidth="1"/>
    <col min="10" max="11" width="10.44140625" style="4" bestFit="1" customWidth="1"/>
    <col min="12" max="12" width="9.5546875" style="4" bestFit="1" customWidth="1"/>
    <col min="13" max="14" width="10.44140625" style="4" bestFit="1" customWidth="1"/>
    <col min="15" max="15" width="9.5546875" style="4" bestFit="1" customWidth="1"/>
    <col min="16" max="16" width="10.44140625" style="4" bestFit="1" customWidth="1"/>
    <col min="17" max="17" width="11.44140625" style="4" bestFit="1" customWidth="1"/>
    <col min="18" max="18" width="10.44140625" style="4" bestFit="1" customWidth="1"/>
    <col min="19" max="19" width="11.44140625" style="4" bestFit="1" customWidth="1"/>
    <col min="20" max="16384" width="9.1640625" style="4"/>
  </cols>
  <sheetData>
    <row r="1" spans="1:19" ht="15" customHeight="1" x14ac:dyDescent="0.5">
      <c r="A1" s="629" t="s">
        <v>0</v>
      </c>
      <c r="B1" s="629"/>
      <c r="C1" s="629"/>
      <c r="D1" s="629"/>
      <c r="E1" s="629"/>
      <c r="F1" s="629"/>
      <c r="G1" s="629"/>
      <c r="H1" s="629"/>
      <c r="I1" s="629"/>
      <c r="J1" s="629"/>
      <c r="K1" s="629"/>
      <c r="L1" s="629"/>
      <c r="M1" s="629"/>
      <c r="N1" s="629"/>
      <c r="O1" s="629"/>
      <c r="P1" s="629"/>
      <c r="Q1" s="629"/>
      <c r="R1" s="629"/>
      <c r="S1" s="629"/>
    </row>
    <row r="2" spans="1:19" ht="15" customHeight="1" x14ac:dyDescent="0.5">
      <c r="A2" s="629" t="s">
        <v>1</v>
      </c>
      <c r="B2" s="629"/>
      <c r="C2" s="629"/>
      <c r="D2" s="629"/>
      <c r="E2" s="629"/>
      <c r="F2" s="629"/>
      <c r="G2" s="629"/>
      <c r="H2" s="629"/>
      <c r="I2" s="629"/>
      <c r="J2" s="629"/>
      <c r="K2" s="629"/>
      <c r="L2" s="629"/>
      <c r="M2" s="629"/>
      <c r="N2" s="629"/>
      <c r="O2" s="629"/>
      <c r="P2" s="629"/>
      <c r="Q2" s="629"/>
      <c r="R2" s="629"/>
      <c r="S2" s="629"/>
    </row>
    <row r="4" spans="1:19" ht="15" customHeight="1" x14ac:dyDescent="0.4">
      <c r="A4" s="45" t="s">
        <v>2</v>
      </c>
      <c r="B4" s="630" t="s">
        <v>3</v>
      </c>
      <c r="C4" s="631"/>
      <c r="D4" s="632"/>
      <c r="E4" s="630" t="s">
        <v>4</v>
      </c>
      <c r="F4" s="631"/>
      <c r="G4" s="632"/>
      <c r="H4" s="630" t="s">
        <v>5</v>
      </c>
      <c r="I4" s="631"/>
      <c r="J4" s="632"/>
      <c r="K4" s="630" t="s">
        <v>6</v>
      </c>
      <c r="L4" s="631"/>
      <c r="M4" s="632"/>
      <c r="N4" s="630" t="s">
        <v>7</v>
      </c>
      <c r="O4" s="631"/>
      <c r="P4" s="632"/>
      <c r="Q4" s="149" t="s">
        <v>8</v>
      </c>
      <c r="R4" s="150" t="s">
        <v>9</v>
      </c>
      <c r="S4" s="150" t="s">
        <v>10</v>
      </c>
    </row>
    <row r="5" spans="1:19" ht="15" customHeight="1" thickBot="1" x14ac:dyDescent="0.45">
      <c r="A5" s="45"/>
      <c r="B5" s="42" t="s">
        <v>11</v>
      </c>
      <c r="C5" s="148" t="s">
        <v>12</v>
      </c>
      <c r="D5" s="46" t="s">
        <v>9</v>
      </c>
      <c r="E5" s="45" t="s">
        <v>11</v>
      </c>
      <c r="F5" s="45" t="s">
        <v>12</v>
      </c>
      <c r="G5" s="45" t="s">
        <v>9</v>
      </c>
      <c r="H5" s="46" t="s">
        <v>11</v>
      </c>
      <c r="I5" s="45" t="s">
        <v>12</v>
      </c>
      <c r="J5" s="45" t="s">
        <v>9</v>
      </c>
      <c r="K5" s="45" t="s">
        <v>11</v>
      </c>
      <c r="L5" s="45" t="s">
        <v>12</v>
      </c>
      <c r="M5" s="45" t="s">
        <v>9</v>
      </c>
      <c r="N5" s="45" t="s">
        <v>11</v>
      </c>
      <c r="O5" s="45" t="s">
        <v>12</v>
      </c>
      <c r="P5" s="45" t="s">
        <v>9</v>
      </c>
      <c r="Q5" s="151" t="s">
        <v>11</v>
      </c>
      <c r="R5" s="45" t="s">
        <v>12</v>
      </c>
      <c r="S5" s="152" t="s">
        <v>8</v>
      </c>
    </row>
    <row r="6" spans="1:19" ht="15" customHeight="1" x14ac:dyDescent="0.4">
      <c r="A6" s="50"/>
      <c r="B6" s="147"/>
      <c r="C6" s="47"/>
      <c r="D6" s="48"/>
      <c r="E6" s="78"/>
      <c r="F6" s="49"/>
      <c r="G6" s="48"/>
      <c r="H6" s="49"/>
      <c r="I6" s="49"/>
      <c r="J6" s="48"/>
      <c r="K6" s="78"/>
      <c r="L6" s="49"/>
      <c r="M6" s="48"/>
      <c r="N6" s="78"/>
      <c r="O6" s="49"/>
      <c r="P6" s="48"/>
      <c r="Q6" s="153"/>
      <c r="R6" s="154"/>
      <c r="S6" s="153"/>
    </row>
    <row r="7" spans="1:19" ht="15" customHeight="1" x14ac:dyDescent="0.4">
      <c r="A7" s="178" t="s">
        <v>13</v>
      </c>
      <c r="B7" s="69">
        <f>'Detailed Budget'!I25</f>
        <v>534480</v>
      </c>
      <c r="C7" s="67">
        <f>'Detailed Budget'!J25</f>
        <v>511560</v>
      </c>
      <c r="D7" s="68">
        <f>SUM(B7:C7)</f>
        <v>1046040</v>
      </c>
      <c r="E7" s="69">
        <f>'Detailed Budget'!O25</f>
        <v>614246.67999999993</v>
      </c>
      <c r="F7" s="67">
        <f>'Detailed Budget'!P25</f>
        <v>589860</v>
      </c>
      <c r="G7" s="68">
        <f>SUM(E7:F7)</f>
        <v>1204106.68</v>
      </c>
      <c r="H7" s="69">
        <f>'Detailed Budget'!U25</f>
        <v>632674.08039999998</v>
      </c>
      <c r="I7" s="67">
        <f>'Detailed Budget'!V25</f>
        <v>582030</v>
      </c>
      <c r="J7" s="68">
        <f>SUM(H7:I7)</f>
        <v>1214704.0803999999</v>
      </c>
      <c r="K7" s="69">
        <f>'Detailed Budget'!AA25</f>
        <v>651654.30281200004</v>
      </c>
      <c r="L7" s="67">
        <f>'Detailed Budget'!AB25</f>
        <v>574200</v>
      </c>
      <c r="M7" s="68">
        <f>SUM(K7:L7)</f>
        <v>1225854.302812</v>
      </c>
      <c r="N7" s="69">
        <f>'Detailed Budget'!AG25</f>
        <v>522138.54374313331</v>
      </c>
      <c r="O7" s="67">
        <f>'Detailed Budget'!AH25</f>
        <v>477630</v>
      </c>
      <c r="P7" s="68">
        <f>SUM(N7:O7)</f>
        <v>999768.54374313331</v>
      </c>
      <c r="Q7" s="70">
        <f>'Detailed Budget'!AJ25</f>
        <v>2955193.6069551334</v>
      </c>
      <c r="R7" s="70">
        <f>'Detailed Budget'!AK25</f>
        <v>2735280</v>
      </c>
      <c r="S7" s="70">
        <f>'Detailed Budget'!AL25</f>
        <v>5690473.6069551334</v>
      </c>
    </row>
    <row r="8" spans="1:19" ht="15" customHeight="1" x14ac:dyDescent="0.4">
      <c r="A8" s="180"/>
      <c r="B8" s="10"/>
      <c r="C8" s="11"/>
      <c r="D8" s="12"/>
      <c r="E8" s="10"/>
      <c r="F8" s="11"/>
      <c r="G8" s="12"/>
      <c r="H8" s="10"/>
      <c r="I8" s="11"/>
      <c r="J8" s="12"/>
      <c r="K8" s="10"/>
      <c r="L8" s="11"/>
      <c r="M8" s="12"/>
      <c r="N8" s="10"/>
      <c r="O8" s="11"/>
      <c r="P8" s="12"/>
      <c r="Q8" s="13"/>
      <c r="R8" s="13"/>
      <c r="S8" s="13"/>
    </row>
    <row r="9" spans="1:19" ht="15" customHeight="1" x14ac:dyDescent="0.4">
      <c r="A9" s="179" t="s">
        <v>14</v>
      </c>
      <c r="B9" s="69">
        <f>'Detailed Budget'!I31</f>
        <v>128190.946</v>
      </c>
      <c r="C9" s="67">
        <f>'Detailed Budget'!J31</f>
        <v>0</v>
      </c>
      <c r="D9" s="68">
        <f>'Detailed Budget'!K31</f>
        <v>128190.946</v>
      </c>
      <c r="E9" s="69">
        <f>'Detailed Budget'!O31</f>
        <v>148739.98579599999</v>
      </c>
      <c r="F9" s="67">
        <f>'Detailed Budget'!P31</f>
        <v>0</v>
      </c>
      <c r="G9" s="68">
        <f>'Detailed Budget'!Q31</f>
        <v>148739.98579599999</v>
      </c>
      <c r="H9" s="69">
        <f>'Detailed Budget'!U31</f>
        <v>153202.18536988</v>
      </c>
      <c r="I9" s="67">
        <f>'Detailed Budget'!V31</f>
        <v>0</v>
      </c>
      <c r="J9" s="68">
        <f>'Detailed Budget'!W31</f>
        <v>153202.18536988</v>
      </c>
      <c r="K9" s="69">
        <f>'Detailed Budget'!AA31</f>
        <v>157798.25093097641</v>
      </c>
      <c r="L9" s="67">
        <f>'Detailed Budget'!AB31</f>
        <v>0</v>
      </c>
      <c r="M9" s="68">
        <f>'Detailed Budget'!AC31</f>
        <v>157798.25093097641</v>
      </c>
      <c r="N9" s="69">
        <f>'Detailed Budget'!AG31</f>
        <v>125392.85135860005</v>
      </c>
      <c r="O9" s="67">
        <f>'Detailed Budget'!AH31</f>
        <v>0</v>
      </c>
      <c r="P9" s="68">
        <f>'Detailed Budget'!AI31</f>
        <v>125392.85135860005</v>
      </c>
      <c r="Q9" s="70">
        <f>'Detailed Budget'!AJ31</f>
        <v>713324.21945545648</v>
      </c>
      <c r="R9" s="70">
        <f>'Detailed Budget'!AK31</f>
        <v>0</v>
      </c>
      <c r="S9" s="70">
        <f>'Detailed Budget'!AL31</f>
        <v>713324.21945545648</v>
      </c>
    </row>
    <row r="10" spans="1:19" ht="15" customHeight="1" x14ac:dyDescent="0.4">
      <c r="A10" s="180"/>
      <c r="B10" s="10"/>
      <c r="C10" s="11"/>
      <c r="D10" s="12"/>
      <c r="E10" s="10"/>
      <c r="F10" s="11"/>
      <c r="G10" s="12"/>
      <c r="H10" s="10"/>
      <c r="I10" s="11"/>
      <c r="J10" s="12"/>
      <c r="K10" s="10"/>
      <c r="L10" s="11"/>
      <c r="M10" s="12"/>
      <c r="N10" s="10"/>
      <c r="O10" s="11"/>
      <c r="P10" s="12"/>
      <c r="Q10" s="13"/>
      <c r="R10" s="13"/>
      <c r="S10" s="13"/>
    </row>
    <row r="11" spans="1:19" ht="15" customHeight="1" x14ac:dyDescent="0.4">
      <c r="A11" s="179" t="s">
        <v>15</v>
      </c>
      <c r="B11" s="69">
        <f>'Detailed Budget'!I80</f>
        <v>290955.13</v>
      </c>
      <c r="C11" s="67">
        <f>'Detailed Budget'!J80</f>
        <v>0</v>
      </c>
      <c r="D11" s="68">
        <f>'Detailed Budget'!K80</f>
        <v>290955.13</v>
      </c>
      <c r="E11" s="69">
        <f>'Detailed Budget'!O80</f>
        <v>324939.93128999998</v>
      </c>
      <c r="F11" s="67">
        <f>'Detailed Budget'!P80</f>
        <v>0</v>
      </c>
      <c r="G11" s="68">
        <f>'Detailed Budget'!Q80</f>
        <v>324939.93128999998</v>
      </c>
      <c r="H11" s="69">
        <f>'Detailed Budget'!U80</f>
        <v>340648.15346420003</v>
      </c>
      <c r="I11" s="67">
        <f>'Detailed Budget'!V80</f>
        <v>0</v>
      </c>
      <c r="J11" s="68">
        <f>'Detailed Budget'!W80</f>
        <v>340648.15346420003</v>
      </c>
      <c r="K11" s="69">
        <f>'Detailed Budget'!AA80</f>
        <v>332162.34412786004</v>
      </c>
      <c r="L11" s="67">
        <f>'Detailed Budget'!AB80</f>
        <v>0</v>
      </c>
      <c r="M11" s="68">
        <f>'Detailed Budget'!AC80</f>
        <v>332162.34412786004</v>
      </c>
      <c r="N11" s="69">
        <f>'Detailed Budget'!AG80</f>
        <v>294477.26166885177</v>
      </c>
      <c r="O11" s="67">
        <f>'Detailed Budget'!AH80</f>
        <v>0</v>
      </c>
      <c r="P11" s="68">
        <f>'Detailed Budget'!AI80</f>
        <v>294477.26166885177</v>
      </c>
      <c r="Q11" s="70">
        <f>'Detailed Budget'!AJ80</f>
        <v>1583182.8205509118</v>
      </c>
      <c r="R11" s="70">
        <f>'Detailed Budget'!AK80</f>
        <v>0</v>
      </c>
      <c r="S11" s="70">
        <f>'Detailed Budget'!AL80</f>
        <v>1583182.8205509118</v>
      </c>
    </row>
    <row r="12" spans="1:19" ht="15" customHeight="1" x14ac:dyDescent="0.4">
      <c r="A12" s="51"/>
      <c r="B12" s="10"/>
      <c r="C12" s="11"/>
      <c r="D12" s="12"/>
      <c r="E12" s="10"/>
      <c r="F12" s="11"/>
      <c r="G12" s="12"/>
      <c r="H12" s="10"/>
      <c r="I12" s="11"/>
      <c r="J12" s="12"/>
      <c r="K12" s="10"/>
      <c r="L12" s="11"/>
      <c r="M12" s="12"/>
      <c r="N12" s="10"/>
      <c r="O12" s="11"/>
      <c r="P12" s="12"/>
      <c r="Q12" s="13"/>
      <c r="R12" s="13"/>
      <c r="S12" s="13"/>
    </row>
    <row r="13" spans="1:19" ht="15" customHeight="1" x14ac:dyDescent="0.4">
      <c r="A13" s="179" t="s">
        <v>16</v>
      </c>
      <c r="B13" s="69">
        <f>'Detailed Budget'!I86</f>
        <v>43000</v>
      </c>
      <c r="C13" s="67">
        <f>'Detailed Budget'!J86</f>
        <v>0</v>
      </c>
      <c r="D13" s="68">
        <f>'Detailed Budget'!K86</f>
        <v>43000</v>
      </c>
      <c r="E13" s="69">
        <f>'Detailed Budget'!O86</f>
        <v>0</v>
      </c>
      <c r="F13" s="67">
        <f>'Detailed Budget'!P86</f>
        <v>0</v>
      </c>
      <c r="G13" s="68">
        <f>'Detailed Budget'!Q86</f>
        <v>0</v>
      </c>
      <c r="H13" s="69">
        <f>'Detailed Budget'!U86</f>
        <v>0</v>
      </c>
      <c r="I13" s="67">
        <f>'Detailed Budget'!V86</f>
        <v>0</v>
      </c>
      <c r="J13" s="68">
        <f>'Detailed Budget'!W86</f>
        <v>0</v>
      </c>
      <c r="K13" s="69">
        <f>'Detailed Budget'!AA86</f>
        <v>0</v>
      </c>
      <c r="L13" s="67">
        <f>'Detailed Budget'!AB86</f>
        <v>0</v>
      </c>
      <c r="M13" s="68">
        <f>'Detailed Budget'!AC86</f>
        <v>0</v>
      </c>
      <c r="N13" s="69">
        <f>'Detailed Budget'!AG86</f>
        <v>0</v>
      </c>
      <c r="O13" s="67">
        <f>'Detailed Budget'!AH86</f>
        <v>0</v>
      </c>
      <c r="P13" s="68">
        <f>'Detailed Budget'!AI86</f>
        <v>0</v>
      </c>
      <c r="Q13" s="70">
        <f>'Detailed Budget'!AJ86</f>
        <v>43000</v>
      </c>
      <c r="R13" s="70">
        <f>'Detailed Budget'!AK86</f>
        <v>0</v>
      </c>
      <c r="S13" s="70">
        <f>'Detailed Budget'!AL86</f>
        <v>43000</v>
      </c>
    </row>
    <row r="14" spans="1:19" ht="15" customHeight="1" x14ac:dyDescent="0.4">
      <c r="A14" s="181"/>
      <c r="B14" s="10"/>
      <c r="C14" s="11"/>
      <c r="D14" s="12"/>
      <c r="E14" s="10"/>
      <c r="F14" s="11"/>
      <c r="G14" s="12"/>
      <c r="H14" s="10"/>
      <c r="I14" s="11"/>
      <c r="J14" s="12"/>
      <c r="K14" s="10"/>
      <c r="L14" s="11"/>
      <c r="M14" s="12"/>
      <c r="N14" s="10"/>
      <c r="O14" s="11"/>
      <c r="P14" s="12"/>
      <c r="Q14" s="13"/>
      <c r="R14" s="13"/>
      <c r="S14" s="13"/>
    </row>
    <row r="15" spans="1:19" ht="15" customHeight="1" x14ac:dyDescent="0.4">
      <c r="A15" s="179" t="s">
        <v>17</v>
      </c>
      <c r="B15" s="69">
        <f>'Detailed Budget'!I99</f>
        <v>26514.3</v>
      </c>
      <c r="C15" s="67">
        <f>'Detailed Budget'!J99</f>
        <v>0</v>
      </c>
      <c r="D15" s="68">
        <f>'Detailed Budget'!K99</f>
        <v>26514.3</v>
      </c>
      <c r="E15" s="69">
        <f>'Detailed Budget'!O99</f>
        <v>2762.4</v>
      </c>
      <c r="F15" s="67">
        <f>'Detailed Budget'!P99</f>
        <v>0</v>
      </c>
      <c r="G15" s="68">
        <f>'Detailed Budget'!Q99</f>
        <v>2762.4</v>
      </c>
      <c r="H15" s="69">
        <f>'Detailed Budget'!U99</f>
        <v>2805.6480000000001</v>
      </c>
      <c r="I15" s="67">
        <f>'Detailed Budget'!V99</f>
        <v>0</v>
      </c>
      <c r="J15" s="68">
        <f>'Detailed Budget'!W99</f>
        <v>2805.6480000000001</v>
      </c>
      <c r="K15" s="69">
        <f>'Detailed Budget'!AA99</f>
        <v>2849.7609600000001</v>
      </c>
      <c r="L15" s="67">
        <f>'Detailed Budget'!AB99</f>
        <v>0</v>
      </c>
      <c r="M15" s="68">
        <f>'Detailed Budget'!AC99</f>
        <v>2849.7609600000001</v>
      </c>
      <c r="N15" s="69">
        <f>'Detailed Budget'!AG99</f>
        <v>2744.7561792000001</v>
      </c>
      <c r="O15" s="67">
        <f>'Detailed Budget'!AH99</f>
        <v>0</v>
      </c>
      <c r="P15" s="68">
        <f>'Detailed Budget'!AI99</f>
        <v>2744.7561792000001</v>
      </c>
      <c r="Q15" s="70">
        <f>'Detailed Budget'!AJ99</f>
        <v>37676.865139200003</v>
      </c>
      <c r="R15" s="70">
        <f>'Detailed Budget'!AK99</f>
        <v>0</v>
      </c>
      <c r="S15" s="70">
        <f>'Detailed Budget'!AL99</f>
        <v>37676.865139200003</v>
      </c>
    </row>
    <row r="16" spans="1:19" ht="15" customHeight="1" x14ac:dyDescent="0.4">
      <c r="A16" s="181"/>
      <c r="B16" s="10"/>
      <c r="C16" s="11"/>
      <c r="D16" s="12"/>
      <c r="E16" s="10"/>
      <c r="F16" s="11"/>
      <c r="G16" s="12"/>
      <c r="H16" s="10"/>
      <c r="I16" s="11"/>
      <c r="J16" s="12"/>
      <c r="K16" s="10"/>
      <c r="L16" s="11"/>
      <c r="M16" s="12"/>
      <c r="N16" s="10"/>
      <c r="O16" s="11"/>
      <c r="P16" s="12"/>
      <c r="Q16" s="13"/>
      <c r="R16" s="13"/>
      <c r="S16" s="13"/>
    </row>
    <row r="17" spans="1:128" ht="15" customHeight="1" x14ac:dyDescent="0.4">
      <c r="A17" s="179" t="s">
        <v>18</v>
      </c>
      <c r="B17" s="69">
        <f>'Detailed Budget'!I106</f>
        <v>9000</v>
      </c>
      <c r="C17" s="67">
        <f>'Detailed Budget'!J106</f>
        <v>0</v>
      </c>
      <c r="D17" s="68">
        <f>'Detailed Budget'!K106</f>
        <v>9000</v>
      </c>
      <c r="E17" s="69">
        <f>'Detailed Budget'!O106</f>
        <v>5000</v>
      </c>
      <c r="F17" s="67">
        <f>'Detailed Budget'!P106</f>
        <v>0</v>
      </c>
      <c r="G17" s="68">
        <f>'Detailed Budget'!Q106</f>
        <v>5000</v>
      </c>
      <c r="H17" s="69">
        <f>'Detailed Budget'!U106</f>
        <v>7000</v>
      </c>
      <c r="I17" s="67">
        <f>'Detailed Budget'!V106</f>
        <v>0</v>
      </c>
      <c r="J17" s="68">
        <f>'Detailed Budget'!W106</f>
        <v>7000</v>
      </c>
      <c r="K17" s="69">
        <f>'Detailed Budget'!AA106</f>
        <v>3000</v>
      </c>
      <c r="L17" s="67">
        <f>'Detailed Budget'!AB106</f>
        <v>0</v>
      </c>
      <c r="M17" s="68">
        <f>'Detailed Budget'!AC106</f>
        <v>3000</v>
      </c>
      <c r="N17" s="69">
        <f>'Detailed Budget'!AG106</f>
        <v>1000</v>
      </c>
      <c r="O17" s="67">
        <f>'Detailed Budget'!AH106</f>
        <v>0</v>
      </c>
      <c r="P17" s="68">
        <f>'Detailed Budget'!AI106</f>
        <v>1000</v>
      </c>
      <c r="Q17" s="70">
        <f>'Detailed Budget'!AJ106</f>
        <v>25000</v>
      </c>
      <c r="R17" s="70">
        <f>'Detailed Budget'!AK106</f>
        <v>0</v>
      </c>
      <c r="S17" s="70">
        <f>'Detailed Budget'!AL106</f>
        <v>25000</v>
      </c>
    </row>
    <row r="18" spans="1:128" ht="15" customHeight="1" x14ac:dyDescent="0.4">
      <c r="A18" s="180"/>
      <c r="B18" s="10"/>
      <c r="C18" s="11"/>
      <c r="D18" s="12"/>
      <c r="E18" s="10"/>
      <c r="F18" s="11"/>
      <c r="G18" s="12"/>
      <c r="H18" s="10"/>
      <c r="I18" s="11"/>
      <c r="J18" s="12"/>
      <c r="K18" s="10"/>
      <c r="L18" s="11"/>
      <c r="M18" s="12"/>
      <c r="N18" s="10"/>
      <c r="O18" s="11"/>
      <c r="P18" s="12"/>
      <c r="Q18" s="13"/>
      <c r="R18" s="13"/>
      <c r="S18" s="13"/>
    </row>
    <row r="19" spans="1:128" ht="15" customHeight="1" x14ac:dyDescent="0.4">
      <c r="A19" s="71" t="s">
        <v>19</v>
      </c>
      <c r="B19" s="69">
        <f>'Detailed Budget'!I122</f>
        <v>105761.26333333332</v>
      </c>
      <c r="C19" s="67">
        <f>'Detailed Budget'!J122</f>
        <v>0</v>
      </c>
      <c r="D19" s="68">
        <f>'Detailed Budget'!K122</f>
        <v>105761.26333333332</v>
      </c>
      <c r="E19" s="69">
        <f>'Detailed Budget'!O122</f>
        <v>90213.961200000005</v>
      </c>
      <c r="F19" s="67">
        <f>'Detailed Budget'!P122</f>
        <v>0</v>
      </c>
      <c r="G19" s="68">
        <f>'Detailed Budget'!Q122</f>
        <v>90213.961200000005</v>
      </c>
      <c r="H19" s="69">
        <f>'Detailed Budget'!U122</f>
        <v>115945.879824</v>
      </c>
      <c r="I19" s="67">
        <f>'Detailed Budget'!V122</f>
        <v>0</v>
      </c>
      <c r="J19" s="68">
        <f>'Detailed Budget'!W122</f>
        <v>115945.879824</v>
      </c>
      <c r="K19" s="69">
        <f>'Detailed Budget'!AA122</f>
        <v>93858.605232480011</v>
      </c>
      <c r="L19" s="67">
        <f>'Detailed Budget'!AB122</f>
        <v>0</v>
      </c>
      <c r="M19" s="68">
        <f>'Detailed Budget'!AC122</f>
        <v>93858.605232480011</v>
      </c>
      <c r="N19" s="69">
        <f>'Detailed Budget'!AG122</f>
        <v>83428.101529387204</v>
      </c>
      <c r="O19" s="67">
        <f>'Detailed Budget'!AH122</f>
        <v>0</v>
      </c>
      <c r="P19" s="68">
        <f>'Detailed Budget'!AI122</f>
        <v>83428.101529387204</v>
      </c>
      <c r="Q19" s="70">
        <f>'Detailed Budget'!AJ122</f>
        <v>489207.81111920055</v>
      </c>
      <c r="R19" s="70">
        <f>'Detailed Budget'!AK122</f>
        <v>0</v>
      </c>
      <c r="S19" s="70">
        <f>'Detailed Budget'!AL122</f>
        <v>489207.81111920055</v>
      </c>
    </row>
    <row r="20" spans="1:128" ht="15" customHeight="1" x14ac:dyDescent="0.4">
      <c r="A20" s="52"/>
      <c r="B20" s="17"/>
      <c r="C20" s="18"/>
      <c r="D20" s="19"/>
      <c r="E20" s="17"/>
      <c r="F20" s="18"/>
      <c r="G20" s="19"/>
      <c r="H20" s="17"/>
      <c r="I20" s="18"/>
      <c r="J20" s="19"/>
      <c r="K20" s="17"/>
      <c r="L20" s="18"/>
      <c r="M20" s="19"/>
      <c r="N20" s="10"/>
      <c r="O20" s="11"/>
      <c r="P20" s="12"/>
      <c r="Q20" s="13"/>
      <c r="R20" s="13"/>
      <c r="S20" s="13"/>
    </row>
    <row r="21" spans="1:128" s="14" customFormat="1" ht="15" customHeight="1" x14ac:dyDescent="0.4">
      <c r="A21" s="107" t="s">
        <v>20</v>
      </c>
      <c r="B21" s="110">
        <f>'Detailed Budget'!I124</f>
        <v>1137901.6393333334</v>
      </c>
      <c r="C21" s="110">
        <f>'Detailed Budget'!J124</f>
        <v>511560</v>
      </c>
      <c r="D21" s="110">
        <f>'Detailed Budget'!K124</f>
        <v>1649461.6393333334</v>
      </c>
      <c r="E21" s="110">
        <f>'Detailed Budget'!O124</f>
        <v>1185902.958286</v>
      </c>
      <c r="F21" s="110">
        <f>'Detailed Budget'!P124</f>
        <v>589860</v>
      </c>
      <c r="G21" s="110">
        <f>'Detailed Budget'!Q124</f>
        <v>1775762.958286</v>
      </c>
      <c r="H21" s="110">
        <f>'Detailed Budget'!U124</f>
        <v>1252275.94705808</v>
      </c>
      <c r="I21" s="110">
        <f>'Detailed Budget'!V124</f>
        <v>582030</v>
      </c>
      <c r="J21" s="110">
        <f>'Detailed Budget'!W124</f>
        <v>1834305.9470580798</v>
      </c>
      <c r="K21" s="110">
        <f>'Detailed Budget'!AA124</f>
        <v>1241323.2640633164</v>
      </c>
      <c r="L21" s="110">
        <f>'Detailed Budget'!AB124</f>
        <v>574200</v>
      </c>
      <c r="M21" s="110">
        <f>'Detailed Budget'!AC124</f>
        <v>1815523.2640633164</v>
      </c>
      <c r="N21" s="110">
        <f>'Detailed Budget'!AG124</f>
        <v>1029181.5144791723</v>
      </c>
      <c r="O21" s="110">
        <f>'Detailed Budget'!AH124</f>
        <v>477630</v>
      </c>
      <c r="P21" s="110">
        <f>'Detailed Budget'!AI124</f>
        <v>1506811.5144791724</v>
      </c>
      <c r="Q21" s="110">
        <f>'Detailed Budget'!AJ124</f>
        <v>5846585.3232199028</v>
      </c>
      <c r="R21" s="110">
        <f>'Detailed Budget'!AK124</f>
        <v>2735280</v>
      </c>
      <c r="S21" s="110">
        <f>'Detailed Budget'!AL124</f>
        <v>8581865.3232199028</v>
      </c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  <c r="CK21" s="24"/>
      <c r="CL21" s="24"/>
      <c r="CM21" s="24"/>
      <c r="CN21" s="24"/>
      <c r="CO21" s="24"/>
      <c r="CP21" s="24"/>
      <c r="CQ21" s="24"/>
      <c r="CR21" s="24"/>
      <c r="CS21" s="24"/>
      <c r="CT21" s="24"/>
      <c r="CU21" s="24"/>
      <c r="CV21" s="24"/>
      <c r="CW21" s="24"/>
      <c r="CX21" s="24"/>
      <c r="CY21" s="24"/>
      <c r="CZ21" s="24"/>
      <c r="DA21" s="24"/>
      <c r="DB21" s="24"/>
      <c r="DC21" s="24"/>
      <c r="DD21" s="24"/>
      <c r="DE21" s="24"/>
      <c r="DF21" s="24"/>
      <c r="DG21" s="24"/>
      <c r="DH21" s="24"/>
      <c r="DI21" s="24"/>
      <c r="DJ21" s="24"/>
      <c r="DK21" s="24"/>
      <c r="DL21" s="24"/>
      <c r="DM21" s="24"/>
      <c r="DN21" s="24"/>
      <c r="DO21" s="24"/>
      <c r="DP21" s="24"/>
      <c r="DQ21" s="24"/>
      <c r="DR21" s="24"/>
      <c r="DS21" s="24"/>
      <c r="DT21" s="24"/>
      <c r="DU21" s="24"/>
      <c r="DV21" s="24"/>
      <c r="DW21" s="24"/>
      <c r="DX21" s="24"/>
    </row>
    <row r="22" spans="1:128" s="14" customFormat="1" ht="15" customHeight="1" x14ac:dyDescent="0.4">
      <c r="A22" s="107" t="s">
        <v>21</v>
      </c>
      <c r="B22" s="111">
        <f>'Detailed Budget'!I125</f>
        <v>321798.58360346669</v>
      </c>
      <c r="C22" s="111">
        <f>'Detailed Budget'!J125</f>
        <v>0</v>
      </c>
      <c r="D22" s="111">
        <f>'Detailed Budget'!K125</f>
        <v>321798.58360346669</v>
      </c>
      <c r="E22" s="111">
        <f>'Detailed Budget'!O125</f>
        <v>335373.35660328076</v>
      </c>
      <c r="F22" s="111">
        <f>'Detailed Budget'!P125</f>
        <v>0</v>
      </c>
      <c r="G22" s="111">
        <f>'Detailed Budget'!Q125</f>
        <v>335373.35660328076</v>
      </c>
      <c r="H22" s="111">
        <f>'Detailed Budget'!U125</f>
        <v>354143.63782802504</v>
      </c>
      <c r="I22" s="111">
        <f>'Detailed Budget'!V125</f>
        <v>0</v>
      </c>
      <c r="J22" s="111">
        <f>'Detailed Budget'!W125</f>
        <v>354143.63782802504</v>
      </c>
      <c r="K22" s="111">
        <f>'Detailed Budget'!AA125</f>
        <v>351046.21907710587</v>
      </c>
      <c r="L22" s="111">
        <f>'Detailed Budget'!AB125</f>
        <v>0</v>
      </c>
      <c r="M22" s="111">
        <f>'Detailed Budget'!AC125</f>
        <v>351046.21907710587</v>
      </c>
      <c r="N22" s="111">
        <f>'Detailed Budget'!AG125</f>
        <v>291052.53229470993</v>
      </c>
      <c r="O22" s="111">
        <f>'Detailed Budget'!AH125</f>
        <v>0</v>
      </c>
      <c r="P22" s="111">
        <f>'Detailed Budget'!AI125</f>
        <v>291052.53229470993</v>
      </c>
      <c r="Q22" s="111">
        <f>'Detailed Budget'!AJ125</f>
        <v>1653414.3294065881</v>
      </c>
      <c r="R22" s="111">
        <f>'Detailed Budget'!AK125</f>
        <v>0</v>
      </c>
      <c r="S22" s="111">
        <f>'Detailed Budget'!AL125</f>
        <v>1653414.3294065881</v>
      </c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  <c r="CK22" s="24"/>
      <c r="CL22" s="24"/>
      <c r="CM22" s="24"/>
      <c r="CN22" s="24"/>
      <c r="CO22" s="24"/>
      <c r="CP22" s="24"/>
      <c r="CQ22" s="24"/>
      <c r="CR22" s="24"/>
      <c r="CS22" s="24"/>
      <c r="CT22" s="24"/>
      <c r="CU22" s="24"/>
      <c r="CV22" s="24"/>
      <c r="CW22" s="24"/>
      <c r="CX22" s="24"/>
      <c r="CY22" s="24"/>
      <c r="CZ22" s="24"/>
      <c r="DA22" s="24"/>
      <c r="DB22" s="24"/>
      <c r="DC22" s="24"/>
      <c r="DD22" s="24"/>
      <c r="DE22" s="24"/>
      <c r="DF22" s="24"/>
      <c r="DG22" s="24"/>
      <c r="DH22" s="24"/>
      <c r="DI22" s="24"/>
      <c r="DJ22" s="24"/>
      <c r="DK22" s="24"/>
      <c r="DL22" s="24"/>
      <c r="DM22" s="24"/>
      <c r="DN22" s="24"/>
      <c r="DO22" s="24"/>
      <c r="DP22" s="24"/>
      <c r="DQ22" s="24"/>
      <c r="DR22" s="24"/>
      <c r="DS22" s="24"/>
      <c r="DT22" s="24"/>
      <c r="DU22" s="24"/>
      <c r="DV22" s="24"/>
      <c r="DW22" s="24"/>
      <c r="DX22" s="24"/>
    </row>
    <row r="23" spans="1:128" s="14" customFormat="1" ht="15" customHeight="1" x14ac:dyDescent="0.4">
      <c r="A23" s="107" t="s">
        <v>22</v>
      </c>
      <c r="B23" s="111">
        <f>'Detailed Budget'!I126</f>
        <v>0</v>
      </c>
      <c r="C23" s="111">
        <f>'Detailed Budget'!J126</f>
        <v>0</v>
      </c>
      <c r="D23" s="111">
        <f>'Detailed Budget'!K126</f>
        <v>0</v>
      </c>
      <c r="E23" s="111">
        <f>'Detailed Budget'!O126</f>
        <v>0</v>
      </c>
      <c r="F23" s="111">
        <f>'Detailed Budget'!P126</f>
        <v>0</v>
      </c>
      <c r="G23" s="111">
        <f>'Detailed Budget'!Q126</f>
        <v>0</v>
      </c>
      <c r="H23" s="111">
        <f>'Detailed Budget'!U126</f>
        <v>1000000</v>
      </c>
      <c r="I23" s="111">
        <f>'Detailed Budget'!V126</f>
        <v>0</v>
      </c>
      <c r="J23" s="111">
        <f>'Detailed Budget'!W126</f>
        <v>0</v>
      </c>
      <c r="K23" s="111">
        <f>'Detailed Budget'!AA126</f>
        <v>0</v>
      </c>
      <c r="L23" s="111">
        <f>'Detailed Budget'!AB126</f>
        <v>0</v>
      </c>
      <c r="M23" s="111">
        <f>'Detailed Budget'!AC126</f>
        <v>0</v>
      </c>
      <c r="N23" s="111">
        <f>'Detailed Budget'!AG126</f>
        <v>0</v>
      </c>
      <c r="O23" s="111">
        <f>'Detailed Budget'!AH126</f>
        <v>0</v>
      </c>
      <c r="P23" s="111">
        <f>'Detailed Budget'!AI126</f>
        <v>0</v>
      </c>
      <c r="Q23" s="111">
        <f>'Detailed Budget'!AJ126</f>
        <v>1000000</v>
      </c>
      <c r="R23" s="111">
        <f>'Detailed Budget'!AK126</f>
        <v>0</v>
      </c>
      <c r="S23" s="111">
        <f>'Detailed Budget'!AL126</f>
        <v>1000000</v>
      </c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  <c r="CK23" s="24"/>
      <c r="CL23" s="24"/>
      <c r="CM23" s="24"/>
      <c r="CN23" s="24"/>
      <c r="CO23" s="24"/>
      <c r="CP23" s="24"/>
      <c r="CQ23" s="24"/>
      <c r="CR23" s="24"/>
      <c r="CS23" s="24"/>
      <c r="CT23" s="24"/>
      <c r="CU23" s="24"/>
      <c r="CV23" s="24"/>
      <c r="CW23" s="24"/>
      <c r="CX23" s="24"/>
      <c r="CY23" s="24"/>
      <c r="CZ23" s="24"/>
      <c r="DA23" s="24"/>
      <c r="DB23" s="24"/>
      <c r="DC23" s="24"/>
      <c r="DD23" s="24"/>
      <c r="DE23" s="24"/>
      <c r="DF23" s="24"/>
      <c r="DG23" s="24"/>
      <c r="DH23" s="24"/>
      <c r="DI23" s="24"/>
      <c r="DJ23" s="24"/>
      <c r="DK23" s="24"/>
      <c r="DL23" s="24"/>
      <c r="DM23" s="24"/>
      <c r="DN23" s="24"/>
      <c r="DO23" s="24"/>
      <c r="DP23" s="24"/>
      <c r="DQ23" s="24"/>
      <c r="DR23" s="24"/>
      <c r="DS23" s="24"/>
      <c r="DT23" s="24"/>
      <c r="DU23" s="24"/>
      <c r="DV23" s="24"/>
      <c r="DW23" s="24"/>
      <c r="DX23" s="24"/>
    </row>
    <row r="24" spans="1:128" s="15" customFormat="1" ht="15" customHeight="1" x14ac:dyDescent="0.4">
      <c r="A24" s="107" t="s">
        <v>8</v>
      </c>
      <c r="B24" s="111">
        <f>'Detailed Budget'!I127</f>
        <v>1459700.2229368</v>
      </c>
      <c r="C24" s="111">
        <f>'Detailed Budget'!J127</f>
        <v>511560</v>
      </c>
      <c r="D24" s="111">
        <f>'Detailed Budget'!K127</f>
        <v>1971260.2229368</v>
      </c>
      <c r="E24" s="111">
        <f>'Detailed Budget'!O127</f>
        <v>1521276.3148892806</v>
      </c>
      <c r="F24" s="111">
        <f>'Detailed Budget'!P127</f>
        <v>589860</v>
      </c>
      <c r="G24" s="111">
        <f>'Detailed Budget'!Q127</f>
        <v>2111136.3148892806</v>
      </c>
      <c r="H24" s="111">
        <f>'Detailed Budget'!U127</f>
        <v>2606419.5848861048</v>
      </c>
      <c r="I24" s="111">
        <f>'Detailed Budget'!V127</f>
        <v>582030</v>
      </c>
      <c r="J24" s="111">
        <f>'Detailed Budget'!W127</f>
        <v>2188449.5848861048</v>
      </c>
      <c r="K24" s="111">
        <f>'Detailed Budget'!AA127</f>
        <v>1592369.4831404223</v>
      </c>
      <c r="L24" s="111">
        <f>'Detailed Budget'!AB127</f>
        <v>574200</v>
      </c>
      <c r="M24" s="111">
        <f>'Detailed Budget'!AC127</f>
        <v>2166569.483140422</v>
      </c>
      <c r="N24" s="111">
        <f>'Detailed Budget'!AG127</f>
        <v>1320234.0467738821</v>
      </c>
      <c r="O24" s="111">
        <f>'Detailed Budget'!AH127</f>
        <v>477630</v>
      </c>
      <c r="P24" s="111">
        <f>'Detailed Budget'!AI127</f>
        <v>1797864.0467738823</v>
      </c>
      <c r="Q24" s="111">
        <f>'Detailed Budget'!AJ127</f>
        <v>8499999.6526264902</v>
      </c>
      <c r="R24" s="111">
        <f>'Detailed Budget'!AK127</f>
        <v>2735280</v>
      </c>
      <c r="S24" s="111">
        <f>'Detailed Budget'!AL127</f>
        <v>11235279.65262649</v>
      </c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4"/>
      <c r="DL24" s="4"/>
      <c r="DM24" s="4"/>
      <c r="DN24" s="4"/>
      <c r="DO24" s="4"/>
      <c r="DP24" s="4"/>
      <c r="DQ24" s="4"/>
      <c r="DR24" s="4"/>
      <c r="DS24" s="4"/>
      <c r="DT24" s="4"/>
      <c r="DU24" s="4"/>
      <c r="DV24" s="4"/>
      <c r="DW24" s="4"/>
      <c r="DX24" s="4"/>
    </row>
    <row r="25" spans="1:128" s="44" customFormat="1" ht="15" customHeight="1" x14ac:dyDescent="0.4"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>
        <f>Q24-8500000</f>
        <v>-0.34737350977957249</v>
      </c>
      <c r="R25" s="16"/>
      <c r="S25" s="16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4"/>
      <c r="DL25" s="4"/>
      <c r="DM25" s="4"/>
      <c r="DN25" s="4"/>
      <c r="DO25" s="4"/>
      <c r="DP25" s="4"/>
      <c r="DQ25" s="4"/>
      <c r="DR25" s="4"/>
      <c r="DS25" s="4"/>
      <c r="DT25" s="4"/>
      <c r="DU25" s="4"/>
      <c r="DV25" s="4"/>
      <c r="DW25" s="4"/>
      <c r="DX25" s="4"/>
    </row>
    <row r="26" spans="1:128" ht="15" customHeight="1" x14ac:dyDescent="0.4"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</row>
    <row r="27" spans="1:128" ht="15" customHeight="1" x14ac:dyDescent="0.4"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82"/>
      <c r="R27" s="11"/>
    </row>
    <row r="28" spans="1:128" ht="15" customHeight="1" x14ac:dyDescent="0.4"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21"/>
      <c r="P28" s="11"/>
      <c r="Q28" s="11"/>
      <c r="R28" s="11"/>
      <c r="S28" s="11"/>
    </row>
    <row r="29" spans="1:128" ht="15" customHeight="1" x14ac:dyDescent="0.4"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21"/>
      <c r="O29" s="11"/>
      <c r="P29" s="11"/>
      <c r="Q29" s="11"/>
      <c r="R29" s="11"/>
      <c r="S29" s="11"/>
    </row>
    <row r="30" spans="1:128" ht="15" customHeight="1" x14ac:dyDescent="0.4"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</row>
    <row r="31" spans="1:128" ht="15" customHeight="1" x14ac:dyDescent="0.4"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</row>
    <row r="32" spans="1:128" ht="15" customHeight="1" x14ac:dyDescent="0.4"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</row>
    <row r="33" spans="2:19" ht="15" customHeight="1" x14ac:dyDescent="0.4"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</row>
    <row r="34" spans="2:19" ht="15" customHeight="1" x14ac:dyDescent="0.4"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</row>
    <row r="35" spans="2:19" ht="15" customHeight="1" x14ac:dyDescent="0.4"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</row>
    <row r="36" spans="2:19" ht="15" customHeight="1" x14ac:dyDescent="0.4"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</row>
    <row r="37" spans="2:19" ht="15" customHeight="1" x14ac:dyDescent="0.4"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</row>
    <row r="38" spans="2:19" ht="15" customHeight="1" x14ac:dyDescent="0.4"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</row>
    <row r="39" spans="2:19" ht="15" customHeight="1" x14ac:dyDescent="0.4"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</row>
    <row r="40" spans="2:19" ht="15" customHeight="1" x14ac:dyDescent="0.4"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</row>
    <row r="41" spans="2:19" ht="15" customHeight="1" x14ac:dyDescent="0.4"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</row>
    <row r="42" spans="2:19" ht="15" customHeight="1" x14ac:dyDescent="0.4"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</row>
  </sheetData>
  <mergeCells count="7">
    <mergeCell ref="A1:S1"/>
    <mergeCell ref="A2:S2"/>
    <mergeCell ref="K4:M4"/>
    <mergeCell ref="N4:P4"/>
    <mergeCell ref="B4:D4"/>
    <mergeCell ref="E4:G4"/>
    <mergeCell ref="H4:J4"/>
  </mergeCells>
  <phoneticPr fontId="8" type="noConversion"/>
  <pageMargins left="0.25" right="0.25" top="0.75" bottom="0.75" header="0.3" footer="0.3"/>
  <pageSetup paperSize="5" scale="86" fitToHeight="2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P144"/>
  <sheetViews>
    <sheetView zoomScaleNormal="100" workbookViewId="0">
      <pane xSplit="4" ySplit="5" topLeftCell="AC103" activePane="bottomRight" state="frozen"/>
      <selection pane="topRight" activeCell="B1" sqref="B1"/>
      <selection pane="bottomLeft" activeCell="A5" sqref="A5"/>
      <selection pane="bottomRight" activeCell="A112" sqref="A112"/>
    </sheetView>
  </sheetViews>
  <sheetFormatPr defaultColWidth="9.1640625" defaultRowHeight="12.3" outlineLevelCol="1" x14ac:dyDescent="0.4"/>
  <cols>
    <col min="1" max="1" width="18.71875" style="6" customWidth="1"/>
    <col min="2" max="2" width="19.77734375" style="612" customWidth="1"/>
    <col min="3" max="3" width="18.609375" style="6" customWidth="1"/>
    <col min="4" max="4" width="54.5546875" style="6" customWidth="1"/>
    <col min="5" max="5" width="6.44140625" style="5" customWidth="1" outlineLevel="1"/>
    <col min="6" max="7" width="7.27734375" style="5" customWidth="1" outlineLevel="1"/>
    <col min="8" max="8" width="7.44140625" style="5" customWidth="1" outlineLevel="1"/>
    <col min="9" max="9" width="10.27734375" style="6" customWidth="1" outlineLevel="1"/>
    <col min="10" max="10" width="8.71875" style="6" customWidth="1" outlineLevel="1"/>
    <col min="11" max="11" width="10.27734375" style="6" customWidth="1" outlineLevel="1"/>
    <col min="12" max="12" width="6" style="5" customWidth="1"/>
    <col min="13" max="13" width="7" style="5" customWidth="1"/>
    <col min="14" max="14" width="7.27734375" style="5" customWidth="1"/>
    <col min="15" max="15" width="10.27734375" style="6" customWidth="1"/>
    <col min="16" max="16" width="8.71875" style="6" customWidth="1"/>
    <col min="17" max="17" width="10.27734375" style="6" customWidth="1"/>
    <col min="18" max="18" width="6" style="5" customWidth="1"/>
    <col min="19" max="19" width="7" style="5" customWidth="1"/>
    <col min="20" max="20" width="7.27734375" style="5" customWidth="1"/>
    <col min="21" max="21" width="9.44140625" style="6" customWidth="1"/>
    <col min="22" max="22" width="7.71875" style="6" customWidth="1"/>
    <col min="23" max="23" width="9.44140625" style="6" customWidth="1"/>
    <col min="24" max="24" width="6" style="5" customWidth="1"/>
    <col min="25" max="25" width="7" style="5" customWidth="1"/>
    <col min="26" max="26" width="7.27734375" style="5" customWidth="1"/>
    <col min="27" max="27" width="9.44140625" style="6" customWidth="1"/>
    <col min="28" max="28" width="7.71875" style="6" customWidth="1"/>
    <col min="29" max="29" width="9.44140625" style="6" customWidth="1"/>
    <col min="30" max="30" width="6.5546875" style="5" customWidth="1"/>
    <col min="31" max="31" width="7" style="5" customWidth="1"/>
    <col min="32" max="32" width="7.27734375" style="5" customWidth="1"/>
    <col min="33" max="33" width="9.44140625" style="6" customWidth="1"/>
    <col min="34" max="34" width="7.71875" style="6" customWidth="1"/>
    <col min="35" max="35" width="9.44140625" style="6" customWidth="1"/>
    <col min="36" max="36" width="9.5546875" style="6" customWidth="1"/>
    <col min="37" max="37" width="9.44140625" style="6" customWidth="1"/>
    <col min="38" max="38" width="14.71875" style="6" bestFit="1" customWidth="1"/>
    <col min="39" max="39" width="14.1640625" style="6" bestFit="1" customWidth="1"/>
    <col min="40" max="40" width="12.1640625" style="6" bestFit="1" customWidth="1"/>
    <col min="41" max="16384" width="9.1640625" style="6"/>
  </cols>
  <sheetData>
    <row r="1" spans="1:42" ht="14.1" x14ac:dyDescent="0.5">
      <c r="A1" s="583" t="s">
        <v>267</v>
      </c>
      <c r="B1" s="586" t="s">
        <v>268</v>
      </c>
      <c r="D1" s="629" t="s">
        <v>0</v>
      </c>
      <c r="E1" s="629"/>
      <c r="F1" s="629"/>
      <c r="G1" s="629"/>
      <c r="H1" s="629"/>
      <c r="I1" s="629"/>
      <c r="J1" s="629"/>
      <c r="K1" s="629"/>
      <c r="L1" s="629"/>
      <c r="M1" s="629"/>
      <c r="N1" s="629"/>
      <c r="O1" s="629"/>
      <c r="P1" s="629"/>
      <c r="Q1" s="629"/>
      <c r="R1" s="629"/>
      <c r="S1" s="629"/>
      <c r="T1" s="629"/>
      <c r="U1" s="629"/>
      <c r="V1" s="629"/>
      <c r="W1" s="629"/>
      <c r="X1" s="629"/>
      <c r="Y1" s="629"/>
      <c r="Z1" s="629"/>
      <c r="AA1" s="629"/>
      <c r="AB1" s="629"/>
      <c r="AC1" s="629"/>
      <c r="AD1" s="629"/>
      <c r="AE1" s="629"/>
      <c r="AF1" s="629"/>
      <c r="AG1" s="629"/>
      <c r="AH1" s="629"/>
      <c r="AI1" s="629"/>
      <c r="AJ1" s="629"/>
      <c r="AK1" s="629"/>
      <c r="AL1" s="629"/>
      <c r="AM1" s="4"/>
      <c r="AN1" s="4"/>
      <c r="AO1" s="4"/>
      <c r="AP1" s="4"/>
    </row>
    <row r="2" spans="1:42" ht="14.1" x14ac:dyDescent="0.5">
      <c r="A2" s="584" t="s">
        <v>269</v>
      </c>
      <c r="B2" s="587">
        <v>30100</v>
      </c>
      <c r="D2" s="629" t="s">
        <v>1</v>
      </c>
      <c r="E2" s="629"/>
      <c r="F2" s="629"/>
      <c r="G2" s="629"/>
      <c r="H2" s="629"/>
      <c r="I2" s="629"/>
      <c r="J2" s="629"/>
      <c r="K2" s="629"/>
      <c r="L2" s="629"/>
      <c r="M2" s="629"/>
      <c r="N2" s="629"/>
      <c r="O2" s="629"/>
      <c r="P2" s="629"/>
      <c r="Q2" s="629"/>
      <c r="R2" s="629"/>
      <c r="S2" s="629"/>
      <c r="T2" s="629"/>
      <c r="U2" s="629"/>
      <c r="V2" s="629"/>
      <c r="W2" s="629"/>
      <c r="X2" s="629"/>
      <c r="Y2" s="629"/>
      <c r="Z2" s="629"/>
      <c r="AA2" s="629"/>
      <c r="AB2" s="629"/>
      <c r="AC2" s="629"/>
      <c r="AD2" s="629"/>
      <c r="AE2" s="629"/>
      <c r="AF2" s="629"/>
      <c r="AG2" s="629"/>
      <c r="AH2" s="629"/>
      <c r="AI2" s="629"/>
      <c r="AJ2" s="629"/>
      <c r="AK2" s="629"/>
      <c r="AL2" s="629"/>
      <c r="AM2" s="4"/>
      <c r="AN2" s="4"/>
      <c r="AO2" s="4"/>
      <c r="AP2" s="4"/>
    </row>
    <row r="3" spans="1:42" ht="14.4" thickBot="1" x14ac:dyDescent="0.55000000000000004">
      <c r="A3" s="585" t="s">
        <v>270</v>
      </c>
      <c r="B3" s="588" t="s">
        <v>271</v>
      </c>
      <c r="C3" s="11"/>
      <c r="D3" s="11"/>
      <c r="E3" s="125"/>
      <c r="F3" s="4"/>
      <c r="G3" s="182"/>
      <c r="H3" s="183"/>
      <c r="I3" s="39"/>
      <c r="J3" s="18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</row>
    <row r="4" spans="1:42" s="7" customFormat="1" ht="24.9" customHeight="1" thickBot="1" x14ac:dyDescent="0.45">
      <c r="A4" s="638" t="s">
        <v>266</v>
      </c>
      <c r="B4" s="636" t="s">
        <v>265</v>
      </c>
      <c r="C4" s="638" t="s">
        <v>264</v>
      </c>
      <c r="D4" s="54" t="s">
        <v>2</v>
      </c>
      <c r="E4" s="140"/>
      <c r="F4" s="141"/>
      <c r="G4" s="141"/>
      <c r="H4" s="141"/>
      <c r="I4" s="142" t="s">
        <v>3</v>
      </c>
      <c r="J4" s="142"/>
      <c r="K4" s="143"/>
      <c r="L4" s="140"/>
      <c r="M4" s="141"/>
      <c r="N4" s="141"/>
      <c r="O4" s="142" t="s">
        <v>4</v>
      </c>
      <c r="P4" s="142"/>
      <c r="Q4" s="143"/>
      <c r="R4" s="633" t="s">
        <v>5</v>
      </c>
      <c r="S4" s="634"/>
      <c r="T4" s="634"/>
      <c r="U4" s="634"/>
      <c r="V4" s="634"/>
      <c r="W4" s="635"/>
      <c r="X4" s="140"/>
      <c r="Y4" s="141"/>
      <c r="Z4" s="141"/>
      <c r="AA4" s="142" t="s">
        <v>6</v>
      </c>
      <c r="AB4" s="142"/>
      <c r="AC4" s="143"/>
      <c r="AD4" s="140"/>
      <c r="AE4" s="141"/>
      <c r="AF4" s="141"/>
      <c r="AG4" s="142" t="s">
        <v>7</v>
      </c>
      <c r="AH4" s="142"/>
      <c r="AI4" s="143"/>
      <c r="AJ4" s="43" t="s">
        <v>8</v>
      </c>
      <c r="AK4" s="43" t="s">
        <v>9</v>
      </c>
      <c r="AL4" s="43" t="s">
        <v>10</v>
      </c>
      <c r="AM4" s="4"/>
      <c r="AN4" s="4"/>
      <c r="AO4" s="4"/>
      <c r="AP4" s="4"/>
    </row>
    <row r="5" spans="1:42" s="114" customFormat="1" ht="10.199999999999999" x14ac:dyDescent="0.35">
      <c r="A5" s="639"/>
      <c r="B5" s="637"/>
      <c r="C5" s="639"/>
      <c r="D5" s="115"/>
      <c r="E5" s="116" t="s">
        <v>23</v>
      </c>
      <c r="F5" s="81" t="s">
        <v>24</v>
      </c>
      <c r="G5" s="81" t="s">
        <v>25</v>
      </c>
      <c r="H5" s="81" t="s">
        <v>26</v>
      </c>
      <c r="I5" s="117" t="s">
        <v>11</v>
      </c>
      <c r="J5" s="81" t="s">
        <v>12</v>
      </c>
      <c r="K5" s="118" t="s">
        <v>9</v>
      </c>
      <c r="L5" s="116" t="s">
        <v>23</v>
      </c>
      <c r="M5" s="81" t="s">
        <v>24</v>
      </c>
      <c r="N5" s="81" t="s">
        <v>25</v>
      </c>
      <c r="O5" s="117" t="s">
        <v>11</v>
      </c>
      <c r="P5" s="81" t="s">
        <v>12</v>
      </c>
      <c r="Q5" s="118" t="s">
        <v>9</v>
      </c>
      <c r="R5" s="116" t="s">
        <v>23</v>
      </c>
      <c r="S5" s="81" t="s">
        <v>24</v>
      </c>
      <c r="T5" s="81" t="s">
        <v>25</v>
      </c>
      <c r="U5" s="117" t="s">
        <v>11</v>
      </c>
      <c r="V5" s="81" t="s">
        <v>12</v>
      </c>
      <c r="W5" s="118" t="s">
        <v>9</v>
      </c>
      <c r="X5" s="116" t="s">
        <v>23</v>
      </c>
      <c r="Y5" s="81" t="s">
        <v>24</v>
      </c>
      <c r="Z5" s="81" t="s">
        <v>25</v>
      </c>
      <c r="AA5" s="117" t="s">
        <v>11</v>
      </c>
      <c r="AB5" s="81" t="s">
        <v>12</v>
      </c>
      <c r="AC5" s="118" t="s">
        <v>9</v>
      </c>
      <c r="AD5" s="116" t="s">
        <v>23</v>
      </c>
      <c r="AE5" s="81" t="s">
        <v>24</v>
      </c>
      <c r="AF5" s="81" t="s">
        <v>25</v>
      </c>
      <c r="AG5" s="117" t="s">
        <v>11</v>
      </c>
      <c r="AH5" s="81" t="s">
        <v>12</v>
      </c>
      <c r="AI5" s="118" t="s">
        <v>9</v>
      </c>
      <c r="AJ5" s="119" t="s">
        <v>11</v>
      </c>
      <c r="AK5" s="115" t="s">
        <v>12</v>
      </c>
      <c r="AL5" s="119" t="s">
        <v>8</v>
      </c>
    </row>
    <row r="6" spans="1:42" s="7" customFormat="1" x14ac:dyDescent="0.4">
      <c r="A6" s="74"/>
      <c r="B6" s="589"/>
      <c r="C6" s="74"/>
      <c r="D6" s="74"/>
      <c r="E6" s="75"/>
      <c r="F6" s="76"/>
      <c r="G6" s="77"/>
      <c r="H6" s="76"/>
      <c r="I6" s="78"/>
      <c r="J6" s="49"/>
      <c r="K6" s="79"/>
      <c r="L6" s="75"/>
      <c r="M6" s="76"/>
      <c r="N6" s="77"/>
      <c r="O6" s="78"/>
      <c r="P6" s="49"/>
      <c r="Q6" s="79"/>
      <c r="R6" s="75"/>
      <c r="S6" s="76"/>
      <c r="T6" s="77"/>
      <c r="U6" s="78"/>
      <c r="V6" s="49"/>
      <c r="W6" s="79"/>
      <c r="X6" s="75"/>
      <c r="Y6" s="76"/>
      <c r="Z6" s="77"/>
      <c r="AA6" s="78"/>
      <c r="AB6" s="49"/>
      <c r="AC6" s="79"/>
      <c r="AD6" s="75"/>
      <c r="AE6" s="76"/>
      <c r="AF6" s="77"/>
      <c r="AG6" s="78"/>
      <c r="AH6" s="49"/>
      <c r="AI6" s="79"/>
      <c r="AJ6" s="80"/>
      <c r="AK6" s="82"/>
      <c r="AL6" s="80"/>
      <c r="AM6" s="4"/>
      <c r="AN6" s="4"/>
      <c r="AO6" s="4"/>
      <c r="AP6" s="4"/>
    </row>
    <row r="7" spans="1:42" x14ac:dyDescent="0.4">
      <c r="A7" s="158"/>
      <c r="B7" s="590"/>
      <c r="C7" s="158"/>
      <c r="D7" s="158" t="s">
        <v>27</v>
      </c>
      <c r="E7" s="185"/>
      <c r="F7" s="186"/>
      <c r="G7" s="186"/>
      <c r="H7" s="186"/>
      <c r="I7" s="187"/>
      <c r="J7" s="188"/>
      <c r="K7" s="189"/>
      <c r="L7" s="185"/>
      <c r="M7" s="186"/>
      <c r="N7" s="186"/>
      <c r="O7" s="187"/>
      <c r="P7" s="188"/>
      <c r="Q7" s="189"/>
      <c r="R7" s="185"/>
      <c r="S7" s="186"/>
      <c r="T7" s="186"/>
      <c r="U7" s="187"/>
      <c r="V7" s="188"/>
      <c r="W7" s="189"/>
      <c r="X7" s="185"/>
      <c r="Y7" s="186"/>
      <c r="Z7" s="186"/>
      <c r="AA7" s="187"/>
      <c r="AB7" s="188"/>
      <c r="AC7" s="189"/>
      <c r="AD7" s="185"/>
      <c r="AE7" s="186"/>
      <c r="AF7" s="186"/>
      <c r="AG7" s="187"/>
      <c r="AH7" s="188"/>
      <c r="AI7" s="189"/>
      <c r="AJ7" s="190"/>
      <c r="AK7" s="190"/>
      <c r="AL7" s="190"/>
      <c r="AM7" s="4"/>
      <c r="AN7" s="4"/>
      <c r="AO7" s="4"/>
      <c r="AP7" s="4"/>
    </row>
    <row r="8" spans="1:42" x14ac:dyDescent="0.4">
      <c r="A8" s="62"/>
      <c r="B8" s="591"/>
      <c r="C8" s="62"/>
      <c r="D8" s="62" t="s">
        <v>28</v>
      </c>
      <c r="E8" s="160" t="s">
        <v>29</v>
      </c>
      <c r="F8" s="96"/>
      <c r="G8" s="96"/>
      <c r="H8" s="96"/>
      <c r="I8" s="191"/>
      <c r="J8" s="44"/>
      <c r="K8" s="192"/>
      <c r="L8" s="108"/>
      <c r="M8" s="96"/>
      <c r="N8" s="96"/>
      <c r="O8" s="191"/>
      <c r="P8" s="44"/>
      <c r="Q8" s="192"/>
      <c r="R8" s="157"/>
      <c r="S8" s="96"/>
      <c r="T8" s="96"/>
      <c r="U8" s="191"/>
      <c r="V8" s="44"/>
      <c r="W8" s="192"/>
      <c r="X8" s="108"/>
      <c r="Y8" s="96"/>
      <c r="Z8" s="96"/>
      <c r="AA8" s="191"/>
      <c r="AB8" s="44"/>
      <c r="AC8" s="192"/>
      <c r="AD8" s="108"/>
      <c r="AE8" s="96"/>
      <c r="AF8" s="96"/>
      <c r="AG8" s="191"/>
      <c r="AH8" s="44"/>
      <c r="AI8" s="192"/>
      <c r="AJ8" s="193"/>
      <c r="AK8" s="193"/>
      <c r="AL8" s="193"/>
      <c r="AM8" s="4"/>
      <c r="AN8" s="4"/>
      <c r="AO8" s="4"/>
      <c r="AP8" s="4"/>
    </row>
    <row r="9" spans="1:42" x14ac:dyDescent="0.4">
      <c r="A9" s="109" t="s">
        <v>272</v>
      </c>
      <c r="B9" s="592">
        <v>50000</v>
      </c>
      <c r="C9" s="109" t="s">
        <v>284</v>
      </c>
      <c r="D9" s="109" t="s">
        <v>30</v>
      </c>
      <c r="E9" s="155">
        <v>0.05</v>
      </c>
      <c r="F9" s="112">
        <f>120000/12</f>
        <v>10000</v>
      </c>
      <c r="G9" s="113">
        <v>12</v>
      </c>
      <c r="H9" t="s">
        <v>31</v>
      </c>
      <c r="I9" s="122">
        <f>G9*F9*E9</f>
        <v>6000</v>
      </c>
      <c r="J9" s="11">
        <v>0</v>
      </c>
      <c r="K9" s="194">
        <f>SUM(I9:J9)</f>
        <v>6000</v>
      </c>
      <c r="L9" s="155">
        <f>E9</f>
        <v>0.05</v>
      </c>
      <c r="M9" s="11">
        <f>F9*1.03</f>
        <v>10300</v>
      </c>
      <c r="N9" s="4">
        <v>12</v>
      </c>
      <c r="O9" s="10">
        <f>L9*M9*N9</f>
        <v>6180</v>
      </c>
      <c r="P9" s="11">
        <v>0</v>
      </c>
      <c r="Q9" s="194">
        <f>SUM(O9:P9)</f>
        <v>6180</v>
      </c>
      <c r="R9" s="155">
        <f>E9</f>
        <v>0.05</v>
      </c>
      <c r="S9" s="11">
        <f>M9*1.03</f>
        <v>10609</v>
      </c>
      <c r="T9" s="4">
        <v>12</v>
      </c>
      <c r="U9" s="10">
        <f>R9*S9*T9</f>
        <v>6365.4000000000005</v>
      </c>
      <c r="V9" s="11">
        <v>0</v>
      </c>
      <c r="W9" s="194">
        <f>SUM(U9:V9)</f>
        <v>6365.4000000000005</v>
      </c>
      <c r="X9" s="155">
        <f>R9</f>
        <v>0.05</v>
      </c>
      <c r="Y9" s="11">
        <f>S9*1.03</f>
        <v>10927.27</v>
      </c>
      <c r="Z9" s="4">
        <v>12</v>
      </c>
      <c r="AA9" s="10">
        <f>X9*Y9*Z9</f>
        <v>6556.362000000001</v>
      </c>
      <c r="AB9" s="11">
        <v>0</v>
      </c>
      <c r="AC9" s="194">
        <f>SUM(AA9:AB9)</f>
        <v>6556.362000000001</v>
      </c>
      <c r="AD9" s="155">
        <f>X9</f>
        <v>0.05</v>
      </c>
      <c r="AE9" s="11">
        <f>Y9*1.03</f>
        <v>11255.088100000001</v>
      </c>
      <c r="AF9" s="4">
        <v>12</v>
      </c>
      <c r="AG9" s="10">
        <f>AD9*AE9*AF9</f>
        <v>6753.0528599999998</v>
      </c>
      <c r="AH9" s="11">
        <v>0</v>
      </c>
      <c r="AI9" s="194">
        <f>SUM(AG9:AH9)</f>
        <v>6753.0528599999998</v>
      </c>
      <c r="AJ9" s="195">
        <f>I9+O9+U9+AA9+AG9</f>
        <v>31854.814860000002</v>
      </c>
      <c r="AK9" s="195">
        <f t="shared" ref="AK9" si="0">J9+P9+V9+AB9+AH9</f>
        <v>0</v>
      </c>
      <c r="AL9" s="195">
        <f>SUM(AJ9:AK9)</f>
        <v>31854.814860000002</v>
      </c>
      <c r="AM9" s="4"/>
      <c r="AN9" s="4"/>
      <c r="AO9" s="4"/>
      <c r="AP9" s="4"/>
    </row>
    <row r="10" spans="1:42" x14ac:dyDescent="0.4">
      <c r="A10" s="109" t="s">
        <v>272</v>
      </c>
      <c r="B10" s="592">
        <v>50000</v>
      </c>
      <c r="C10" s="109" t="s">
        <v>284</v>
      </c>
      <c r="D10" s="109" t="s">
        <v>32</v>
      </c>
      <c r="E10" s="155">
        <v>0.75</v>
      </c>
      <c r="F10" s="112">
        <f>92000/12</f>
        <v>7666.666666666667</v>
      </c>
      <c r="G10" s="113">
        <v>12</v>
      </c>
      <c r="H10" t="s">
        <v>31</v>
      </c>
      <c r="I10" s="122">
        <f>G10*F10*E10</f>
        <v>69000</v>
      </c>
      <c r="J10" s="11">
        <v>0</v>
      </c>
      <c r="K10" s="194">
        <f>SUM(I10:J10)</f>
        <v>69000</v>
      </c>
      <c r="L10" s="155">
        <f>E10</f>
        <v>0.75</v>
      </c>
      <c r="M10" s="11">
        <f>F10*1.03</f>
        <v>7896.666666666667</v>
      </c>
      <c r="N10" s="4">
        <v>12</v>
      </c>
      <c r="O10" s="10">
        <f>L10*M10*N10</f>
        <v>71070</v>
      </c>
      <c r="P10" s="11">
        <v>0</v>
      </c>
      <c r="Q10" s="194">
        <f>SUM(O10:P10)</f>
        <v>71070</v>
      </c>
      <c r="R10" s="155">
        <f>E10</f>
        <v>0.75</v>
      </c>
      <c r="S10" s="11">
        <f t="shared" ref="S10:S13" si="1">M10*1.03</f>
        <v>8133.5666666666675</v>
      </c>
      <c r="T10" s="4">
        <v>12</v>
      </c>
      <c r="U10" s="10">
        <f>R10*S10*T10</f>
        <v>73202.100000000006</v>
      </c>
      <c r="V10" s="11">
        <v>0</v>
      </c>
      <c r="W10" s="194">
        <f>SUM(U10:V10)</f>
        <v>73202.100000000006</v>
      </c>
      <c r="X10" s="155">
        <f>R10</f>
        <v>0.75</v>
      </c>
      <c r="Y10" s="11">
        <f t="shared" ref="Y10:Y13" si="2">S10*1.03</f>
        <v>8377.5736666666671</v>
      </c>
      <c r="Z10" s="4">
        <v>12</v>
      </c>
      <c r="AA10" s="10">
        <f>X10*Y10*Z10</f>
        <v>75398.163</v>
      </c>
      <c r="AB10" s="11">
        <v>0</v>
      </c>
      <c r="AC10" s="194">
        <f>SUM(AA10:AB10)</f>
        <v>75398.163</v>
      </c>
      <c r="AD10" s="155">
        <f>X10</f>
        <v>0.75</v>
      </c>
      <c r="AE10" s="11">
        <f t="shared" ref="AE10:AE13" si="3">Y10*1.03</f>
        <v>8628.9008766666666</v>
      </c>
      <c r="AF10" s="4">
        <v>12</v>
      </c>
      <c r="AG10" s="10">
        <f>AD10*AE10*AF10</f>
        <v>77660.107889999999</v>
      </c>
      <c r="AH10" s="11">
        <v>0</v>
      </c>
      <c r="AI10" s="194">
        <f>SUM(AG10:AH10)</f>
        <v>77660.107889999999</v>
      </c>
      <c r="AJ10" s="195">
        <f>I10+O10+U10+AA10+AG10</f>
        <v>366330.37089000002</v>
      </c>
      <c r="AK10" s="195">
        <f t="shared" ref="AK10:AK11" si="4">J10+P10+V10+AB10+AH10</f>
        <v>0</v>
      </c>
      <c r="AL10" s="195">
        <f>SUM(AJ10:AK10)</f>
        <v>366330.37089000002</v>
      </c>
      <c r="AM10" s="4"/>
      <c r="AN10" s="4"/>
      <c r="AO10" s="4"/>
      <c r="AP10" s="4"/>
    </row>
    <row r="11" spans="1:42" x14ac:dyDescent="0.4">
      <c r="A11" s="109" t="s">
        <v>272</v>
      </c>
      <c r="B11" s="592">
        <v>50000</v>
      </c>
      <c r="C11" s="109" t="s">
        <v>284</v>
      </c>
      <c r="D11" s="109" t="s">
        <v>33</v>
      </c>
      <c r="E11" s="155">
        <v>0.8</v>
      </c>
      <c r="F11" s="11">
        <f>80000/12</f>
        <v>6666.666666666667</v>
      </c>
      <c r="G11" s="4">
        <v>9</v>
      </c>
      <c r="H11" t="s">
        <v>31</v>
      </c>
      <c r="I11" s="122">
        <f>G11*F11*E11</f>
        <v>48000</v>
      </c>
      <c r="J11" s="11">
        <v>0</v>
      </c>
      <c r="K11" s="194">
        <f>SUM(I11:J11)</f>
        <v>48000</v>
      </c>
      <c r="L11" s="155">
        <f t="shared" ref="L11" si="5">E11</f>
        <v>0.8</v>
      </c>
      <c r="M11" s="11">
        <f>F11*1.03</f>
        <v>6866.666666666667</v>
      </c>
      <c r="N11" s="4">
        <v>12</v>
      </c>
      <c r="O11" s="10">
        <f>L11*M11*N11</f>
        <v>65920</v>
      </c>
      <c r="P11" s="11">
        <v>0</v>
      </c>
      <c r="Q11" s="194">
        <f>SUM(O11:P11)</f>
        <v>65920</v>
      </c>
      <c r="R11" s="155">
        <f t="shared" ref="R11" si="6">L11</f>
        <v>0.8</v>
      </c>
      <c r="S11" s="11">
        <f t="shared" si="1"/>
        <v>7072.666666666667</v>
      </c>
      <c r="T11" s="4">
        <v>12</v>
      </c>
      <c r="U11" s="10">
        <f>R11*S11*T11</f>
        <v>67897.600000000006</v>
      </c>
      <c r="V11" s="11">
        <v>0</v>
      </c>
      <c r="W11" s="194">
        <f>SUM(U11:V11)</f>
        <v>67897.600000000006</v>
      </c>
      <c r="X11" s="155">
        <f t="shared" ref="X11" si="7">R11</f>
        <v>0.8</v>
      </c>
      <c r="Y11" s="11">
        <f t="shared" si="2"/>
        <v>7284.8466666666673</v>
      </c>
      <c r="Z11" s="4">
        <v>12</v>
      </c>
      <c r="AA11" s="10">
        <f>X11*Y11*Z11</f>
        <v>69934.528000000006</v>
      </c>
      <c r="AB11" s="11">
        <v>0</v>
      </c>
      <c r="AC11" s="194">
        <f>SUM(AA11:AB11)</f>
        <v>69934.528000000006</v>
      </c>
      <c r="AD11" s="155">
        <f t="shared" ref="AD11" si="8">X11</f>
        <v>0.8</v>
      </c>
      <c r="AE11" s="11">
        <f>Y11*1.03</f>
        <v>7503.3920666666672</v>
      </c>
      <c r="AF11" s="4">
        <v>10</v>
      </c>
      <c r="AG11" s="10">
        <f>AD11*AE11*AF11</f>
        <v>60027.136533333338</v>
      </c>
      <c r="AH11" s="11">
        <v>0</v>
      </c>
      <c r="AI11" s="194">
        <f>SUM(AG11:AH11)</f>
        <v>60027.136533333338</v>
      </c>
      <c r="AJ11" s="195">
        <f>I11+O11+U11+AA11+AG11</f>
        <v>311779.26453333336</v>
      </c>
      <c r="AK11" s="195">
        <f t="shared" si="4"/>
        <v>0</v>
      </c>
      <c r="AL11" s="195">
        <f>SUM(AJ11:AK11)</f>
        <v>311779.26453333336</v>
      </c>
      <c r="AM11" s="4"/>
      <c r="AN11" s="4"/>
      <c r="AO11" s="4"/>
      <c r="AP11" s="4"/>
    </row>
    <row r="12" spans="1:42" x14ac:dyDescent="0.4">
      <c r="A12" s="109" t="s">
        <v>272</v>
      </c>
      <c r="B12" s="592">
        <v>50000</v>
      </c>
      <c r="C12" s="109" t="s">
        <v>284</v>
      </c>
      <c r="D12" s="109" t="s">
        <v>34</v>
      </c>
      <c r="E12" s="155">
        <v>0.9</v>
      </c>
      <c r="F12" s="11">
        <v>4820</v>
      </c>
      <c r="G12" s="4">
        <v>10</v>
      </c>
      <c r="H12" t="s">
        <v>31</v>
      </c>
      <c r="I12" s="122">
        <f>G12*F12*E12</f>
        <v>43380</v>
      </c>
      <c r="J12" s="11">
        <v>0</v>
      </c>
      <c r="K12" s="194">
        <f>SUM(I12:J12)</f>
        <v>43380</v>
      </c>
      <c r="L12" s="155">
        <f t="shared" ref="L12:L13" si="9">E12</f>
        <v>0.9</v>
      </c>
      <c r="M12" s="11">
        <f>F12*1.03</f>
        <v>4964.6000000000004</v>
      </c>
      <c r="N12" s="4">
        <v>12</v>
      </c>
      <c r="O12" s="10">
        <f>L12*M12*N12</f>
        <v>53617.680000000008</v>
      </c>
      <c r="P12" s="11">
        <v>0</v>
      </c>
      <c r="Q12" s="194">
        <f>SUM(O12:P12)</f>
        <v>53617.680000000008</v>
      </c>
      <c r="R12" s="155">
        <f t="shared" ref="R12:R13" si="10">L12</f>
        <v>0.9</v>
      </c>
      <c r="S12" s="11">
        <f>M12*1.03</f>
        <v>5113.5380000000005</v>
      </c>
      <c r="T12" s="4">
        <v>12</v>
      </c>
      <c r="U12" s="10">
        <f>R12*S12*T12</f>
        <v>55226.210400000011</v>
      </c>
      <c r="V12" s="11">
        <v>0</v>
      </c>
      <c r="W12" s="194">
        <f>SUM(U12:V12)</f>
        <v>55226.210400000011</v>
      </c>
      <c r="X12" s="155">
        <f t="shared" ref="X12:X13" si="11">R12</f>
        <v>0.9</v>
      </c>
      <c r="Y12" s="11">
        <f t="shared" si="2"/>
        <v>5266.9441400000005</v>
      </c>
      <c r="Z12" s="4">
        <v>12</v>
      </c>
      <c r="AA12" s="10">
        <f>X12*Y12*Z12</f>
        <v>56882.996712000007</v>
      </c>
      <c r="AB12" s="11">
        <v>0</v>
      </c>
      <c r="AC12" s="194">
        <f>SUM(AA12:AB12)</f>
        <v>56882.996712000007</v>
      </c>
      <c r="AD12" s="155">
        <f t="shared" ref="AD12:AD13" si="12">X12</f>
        <v>0.9</v>
      </c>
      <c r="AE12" s="11">
        <f t="shared" si="3"/>
        <v>5424.9524642000006</v>
      </c>
      <c r="AF12" s="4">
        <v>10</v>
      </c>
      <c r="AG12" s="10">
        <f>AD12*AE12*AF12</f>
        <v>48824.572177800008</v>
      </c>
      <c r="AH12" s="11">
        <v>0</v>
      </c>
      <c r="AI12" s="194">
        <f>SUM(AG12:AH12)</f>
        <v>48824.572177800008</v>
      </c>
      <c r="AJ12" s="195">
        <f t="shared" ref="AJ12:AK12" si="13">I12+O12+U12+AA12+AG12</f>
        <v>257931.45928980003</v>
      </c>
      <c r="AK12" s="195">
        <f t="shared" si="13"/>
        <v>0</v>
      </c>
      <c r="AL12" s="195">
        <f>SUM(AJ12:AK12)</f>
        <v>257931.45928980003</v>
      </c>
      <c r="AM12" s="4"/>
      <c r="AN12" s="4"/>
      <c r="AO12" s="4"/>
      <c r="AP12" s="4"/>
    </row>
    <row r="13" spans="1:42" x14ac:dyDescent="0.4">
      <c r="A13" s="109" t="s">
        <v>272</v>
      </c>
      <c r="B13" s="592">
        <v>50000</v>
      </c>
      <c r="C13" s="109" t="s">
        <v>284</v>
      </c>
      <c r="D13" s="109" t="s">
        <v>35</v>
      </c>
      <c r="E13" s="155">
        <v>0.9</v>
      </c>
      <c r="F13" s="11">
        <f>51000/12</f>
        <v>4250</v>
      </c>
      <c r="G13" s="4">
        <v>10</v>
      </c>
      <c r="H13" t="s">
        <v>31</v>
      </c>
      <c r="I13" s="122">
        <f t="shared" ref="I13" si="14">G13*F13*E13</f>
        <v>38250</v>
      </c>
      <c r="J13" s="11">
        <v>0</v>
      </c>
      <c r="K13" s="194">
        <f>SUM(I13:J13)</f>
        <v>38250</v>
      </c>
      <c r="L13" s="155">
        <f t="shared" si="9"/>
        <v>0.9</v>
      </c>
      <c r="M13" s="11">
        <f>F13*1.03</f>
        <v>4377.5</v>
      </c>
      <c r="N13" s="4">
        <v>12</v>
      </c>
      <c r="O13" s="10">
        <f t="shared" ref="O13" si="15">L13*M13*N13</f>
        <v>47277</v>
      </c>
      <c r="P13" s="11">
        <v>0</v>
      </c>
      <c r="Q13" s="194">
        <f>SUM(O13:P13)</f>
        <v>47277</v>
      </c>
      <c r="R13" s="155">
        <f t="shared" si="10"/>
        <v>0.9</v>
      </c>
      <c r="S13" s="11">
        <f t="shared" si="1"/>
        <v>4508.8249999999998</v>
      </c>
      <c r="T13" s="4">
        <v>12</v>
      </c>
      <c r="U13" s="10">
        <f t="shared" ref="U13" si="16">R13*S13*T13</f>
        <v>48695.31</v>
      </c>
      <c r="V13" s="11">
        <v>0</v>
      </c>
      <c r="W13" s="194">
        <f>SUM(U13:V13)</f>
        <v>48695.31</v>
      </c>
      <c r="X13" s="155">
        <f t="shared" si="11"/>
        <v>0.9</v>
      </c>
      <c r="Y13" s="11">
        <f t="shared" si="2"/>
        <v>4644.0897500000001</v>
      </c>
      <c r="Z13" s="4">
        <v>12</v>
      </c>
      <c r="AA13" s="10">
        <f t="shared" ref="AA13" si="17">X13*Y13*Z13</f>
        <v>50156.169299999994</v>
      </c>
      <c r="AB13" s="11">
        <v>0</v>
      </c>
      <c r="AC13" s="194">
        <f>SUM(AA13:AB13)</f>
        <v>50156.169299999994</v>
      </c>
      <c r="AD13" s="155">
        <f t="shared" si="12"/>
        <v>0.9</v>
      </c>
      <c r="AE13" s="11">
        <f t="shared" si="3"/>
        <v>4783.4124425</v>
      </c>
      <c r="AF13" s="4">
        <v>8</v>
      </c>
      <c r="AG13" s="10">
        <f t="shared" ref="AG13" si="18">AD13*AE13*AF13</f>
        <v>34440.569585999998</v>
      </c>
      <c r="AH13" s="11">
        <v>0</v>
      </c>
      <c r="AI13" s="194">
        <f>SUM(AG13:AH13)</f>
        <v>34440.569585999998</v>
      </c>
      <c r="AJ13" s="195">
        <f t="shared" ref="AJ13" si="19">I13+O13+U13+AA13+AG13</f>
        <v>218819.048886</v>
      </c>
      <c r="AK13" s="195">
        <f t="shared" ref="AK13" si="20">J13+P13+V13+AB13+AH13</f>
        <v>0</v>
      </c>
      <c r="AL13" s="195">
        <f>SUM(AJ13:AK13)</f>
        <v>218819.048886</v>
      </c>
      <c r="AM13" s="4"/>
      <c r="AN13" s="4"/>
      <c r="AO13" s="4"/>
      <c r="AP13" s="4"/>
    </row>
    <row r="14" spans="1:42" s="1" customFormat="1" x14ac:dyDescent="0.4">
      <c r="A14" s="55"/>
      <c r="B14" s="593"/>
      <c r="C14" s="55"/>
      <c r="D14" s="55" t="s">
        <v>36</v>
      </c>
      <c r="E14" s="29"/>
      <c r="F14" s="25"/>
      <c r="G14" s="25"/>
      <c r="H14" s="25"/>
      <c r="I14" s="26">
        <f>SUM(I9:I13)</f>
        <v>204630</v>
      </c>
      <c r="J14" s="27">
        <f>SUM(J9:J13)</f>
        <v>0</v>
      </c>
      <c r="K14" s="30">
        <f>SUM(K9:K13)</f>
        <v>204630</v>
      </c>
      <c r="L14" s="29"/>
      <c r="M14" s="25"/>
      <c r="N14" s="25"/>
      <c r="O14" s="26">
        <f>SUM(O9:O13)</f>
        <v>244064.68</v>
      </c>
      <c r="P14" s="27">
        <f>SUM(P9:P13)</f>
        <v>0</v>
      </c>
      <c r="Q14" s="30">
        <f>SUM(Q9:Q13)</f>
        <v>244064.68</v>
      </c>
      <c r="R14" s="29"/>
      <c r="S14" s="25"/>
      <c r="T14" s="25"/>
      <c r="U14" s="26">
        <f>SUM(U9:U13)</f>
        <v>251386.62040000001</v>
      </c>
      <c r="V14" s="27">
        <f>SUM(V9:V13)</f>
        <v>0</v>
      </c>
      <c r="W14" s="30">
        <f>SUM(W9:W13)</f>
        <v>251386.62040000001</v>
      </c>
      <c r="X14" s="29"/>
      <c r="Y14" s="25"/>
      <c r="Z14" s="25"/>
      <c r="AA14" s="26">
        <f>SUM(AA9:AA13)</f>
        <v>258928.21901200002</v>
      </c>
      <c r="AB14" s="27">
        <f>SUM(AB9:AB13)</f>
        <v>0</v>
      </c>
      <c r="AC14" s="30">
        <f>SUM(AC9:AC13)</f>
        <v>258928.21901200002</v>
      </c>
      <c r="AD14" s="29"/>
      <c r="AE14" s="25"/>
      <c r="AF14" s="25"/>
      <c r="AG14" s="26">
        <f t="shared" ref="AG14:AK14" si="21">SUM(AG9:AG13)</f>
        <v>227705.43904713332</v>
      </c>
      <c r="AH14" s="27">
        <f t="shared" si="21"/>
        <v>0</v>
      </c>
      <c r="AI14" s="30">
        <f>SUM(AI9:AI13)</f>
        <v>227705.43904713332</v>
      </c>
      <c r="AJ14" s="28">
        <f>SUM(AJ9:AJ13)</f>
        <v>1186714.9584591335</v>
      </c>
      <c r="AK14" s="28">
        <f t="shared" si="21"/>
        <v>0</v>
      </c>
      <c r="AL14" s="28">
        <f>SUM(AL9:AL13)</f>
        <v>1186714.9584591335</v>
      </c>
    </row>
    <row r="15" spans="1:42" s="7" customFormat="1" ht="12.6" x14ac:dyDescent="0.45">
      <c r="A15" s="256"/>
      <c r="B15" s="594"/>
      <c r="C15" s="256"/>
      <c r="D15" s="256" t="s">
        <v>37</v>
      </c>
      <c r="E15" s="31"/>
      <c r="F15" s="127"/>
      <c r="G15" s="127"/>
      <c r="H15" s="127"/>
      <c r="I15" s="10"/>
      <c r="J15" s="11"/>
      <c r="K15" s="194"/>
      <c r="L15" s="31"/>
      <c r="M15" s="127"/>
      <c r="N15" s="127"/>
      <c r="O15" s="10"/>
      <c r="P15" s="11"/>
      <c r="Q15" s="194"/>
      <c r="R15" s="31"/>
      <c r="S15" s="127"/>
      <c r="T15" s="127"/>
      <c r="U15" s="10"/>
      <c r="V15" s="11"/>
      <c r="W15" s="194"/>
      <c r="X15" s="31"/>
      <c r="Y15" s="127"/>
      <c r="Z15" s="127"/>
      <c r="AA15" s="10"/>
      <c r="AB15" s="11"/>
      <c r="AC15" s="194"/>
      <c r="AD15" s="31"/>
      <c r="AE15" s="127"/>
      <c r="AF15" s="127"/>
      <c r="AG15" s="10"/>
      <c r="AH15" s="11"/>
      <c r="AI15" s="194"/>
      <c r="AJ15" s="195"/>
      <c r="AK15" s="195"/>
      <c r="AL15" s="195"/>
      <c r="AM15" s="4"/>
      <c r="AN15" s="4"/>
      <c r="AO15" s="4"/>
      <c r="AP15" s="4"/>
    </row>
    <row r="16" spans="1:42" x14ac:dyDescent="0.4">
      <c r="A16" s="156"/>
      <c r="B16" s="595"/>
      <c r="C16" s="156"/>
      <c r="D16" s="156" t="s">
        <v>38</v>
      </c>
      <c r="E16" s="160" t="s">
        <v>29</v>
      </c>
      <c r="F16" s="197"/>
      <c r="G16" s="197"/>
      <c r="H16" s="197"/>
      <c r="I16" s="10"/>
      <c r="J16" s="11"/>
      <c r="K16" s="194"/>
      <c r="L16" s="160"/>
      <c r="M16" s="197"/>
      <c r="N16" s="197"/>
      <c r="O16" s="10"/>
      <c r="P16" s="11"/>
      <c r="Q16" s="194"/>
      <c r="R16" s="160"/>
      <c r="S16" s="197"/>
      <c r="T16" s="197"/>
      <c r="U16" s="10"/>
      <c r="V16" s="11"/>
      <c r="W16" s="194"/>
      <c r="X16" s="160"/>
      <c r="Y16" s="197"/>
      <c r="Z16" s="197"/>
      <c r="AA16" s="10"/>
      <c r="AB16" s="11"/>
      <c r="AC16" s="194"/>
      <c r="AD16" s="160"/>
      <c r="AE16" s="197"/>
      <c r="AF16" s="197"/>
      <c r="AG16" s="10"/>
      <c r="AH16" s="11"/>
      <c r="AI16" s="194"/>
      <c r="AJ16" s="195"/>
      <c r="AK16" s="195"/>
      <c r="AL16" s="195"/>
      <c r="AM16" s="4"/>
      <c r="AN16" s="4"/>
      <c r="AO16" s="4"/>
      <c r="AP16" s="4"/>
    </row>
    <row r="17" spans="1:42" x14ac:dyDescent="0.4">
      <c r="A17" s="109" t="s">
        <v>274</v>
      </c>
      <c r="B17" s="592" t="s">
        <v>273</v>
      </c>
      <c r="C17" s="109" t="s">
        <v>285</v>
      </c>
      <c r="D17" s="109" t="s">
        <v>39</v>
      </c>
      <c r="E17" s="155">
        <v>1</v>
      </c>
      <c r="F17" s="11"/>
      <c r="G17" s="4">
        <v>1</v>
      </c>
      <c r="H17" s="4" t="s">
        <v>40</v>
      </c>
      <c r="I17" s="10">
        <f>'Guatemala '!I14</f>
        <v>94150</v>
      </c>
      <c r="J17" s="11">
        <v>0</v>
      </c>
      <c r="K17" s="194">
        <f t="shared" ref="K17" si="22">SUM(I17:J17)</f>
        <v>94150</v>
      </c>
      <c r="L17" s="155"/>
      <c r="M17" s="11"/>
      <c r="N17" s="4"/>
      <c r="O17" s="10">
        <f>'Guatemala '!N14</f>
        <v>108150</v>
      </c>
      <c r="P17" s="11">
        <v>0</v>
      </c>
      <c r="Q17" s="194">
        <f t="shared" ref="Q17" si="23">SUM(O17:P17)</f>
        <v>108150</v>
      </c>
      <c r="R17" s="155"/>
      <c r="S17" s="11"/>
      <c r="T17" s="4"/>
      <c r="U17" s="10">
        <f>'Guatemala '!S14</f>
        <v>111394.5</v>
      </c>
      <c r="V17" s="11">
        <v>0</v>
      </c>
      <c r="W17" s="194">
        <f t="shared" ref="W17" si="24">SUM(U17:V17)</f>
        <v>111394.5</v>
      </c>
      <c r="X17" s="155"/>
      <c r="Y17" s="11"/>
      <c r="Z17" s="4"/>
      <c r="AA17" s="10">
        <f>'Guatemala '!X14</f>
        <v>114736.33500000002</v>
      </c>
      <c r="AB17" s="11">
        <v>0</v>
      </c>
      <c r="AC17" s="194">
        <f t="shared" ref="AC17" si="25">SUM(AA17:AB17)</f>
        <v>114736.33500000002</v>
      </c>
      <c r="AD17" s="155"/>
      <c r="AE17" s="11"/>
      <c r="AF17" s="4"/>
      <c r="AG17" s="10">
        <f>'Guatemala '!AC14</f>
        <v>84413.16075000001</v>
      </c>
      <c r="AH17" s="11">
        <v>0</v>
      </c>
      <c r="AI17" s="194">
        <f t="shared" ref="AI17" si="26">SUM(AG17:AH17)</f>
        <v>84413.16075000001</v>
      </c>
      <c r="AJ17" s="195">
        <f>I17+O17+U17+AA17+AG17</f>
        <v>512843.99575</v>
      </c>
      <c r="AK17" s="195">
        <f t="shared" ref="AK17" si="27">J17+P17+V17+AB17+AH17</f>
        <v>0</v>
      </c>
      <c r="AL17" s="195">
        <f t="shared" ref="AL17" si="28">SUM(AJ17:AK17)</f>
        <v>512843.99575</v>
      </c>
      <c r="AM17" s="4"/>
      <c r="AN17" s="4"/>
      <c r="AO17" s="4"/>
      <c r="AP17" s="4"/>
    </row>
    <row r="18" spans="1:42" x14ac:dyDescent="0.4">
      <c r="A18" s="109" t="s">
        <v>275</v>
      </c>
      <c r="B18" s="592" t="s">
        <v>273</v>
      </c>
      <c r="C18" s="109" t="s">
        <v>240</v>
      </c>
      <c r="D18" s="109" t="s">
        <v>41</v>
      </c>
      <c r="E18" s="155">
        <v>1</v>
      </c>
      <c r="F18" s="11"/>
      <c r="G18" s="4">
        <v>1</v>
      </c>
      <c r="H18" s="4" t="s">
        <v>40</v>
      </c>
      <c r="I18" s="10">
        <f>'Dominican Republic'!I14</f>
        <v>84700</v>
      </c>
      <c r="J18" s="11">
        <v>0</v>
      </c>
      <c r="K18" s="194">
        <f t="shared" ref="K18" si="29">SUM(I18:J18)</f>
        <v>84700</v>
      </c>
      <c r="L18" s="155"/>
      <c r="M18" s="11"/>
      <c r="N18" s="4"/>
      <c r="O18" s="10">
        <f>'Dominican Republic'!N14</f>
        <v>100116</v>
      </c>
      <c r="P18" s="11">
        <v>0</v>
      </c>
      <c r="Q18" s="194">
        <f t="shared" ref="Q18:Q19" si="30">SUM(O18:P18)</f>
        <v>100116</v>
      </c>
      <c r="R18" s="155"/>
      <c r="S18" s="11"/>
      <c r="T18" s="4"/>
      <c r="U18" s="10">
        <f>'Dominican Republic'!S14</f>
        <v>103119.48000000001</v>
      </c>
      <c r="V18" s="11">
        <v>0</v>
      </c>
      <c r="W18" s="194">
        <f t="shared" ref="W18:W19" si="31">SUM(U18:V18)</f>
        <v>103119.48000000001</v>
      </c>
      <c r="X18" s="155"/>
      <c r="Y18" s="11"/>
      <c r="Z18" s="4"/>
      <c r="AA18" s="10">
        <f>'Dominican Republic'!X14</f>
        <v>106213.0644</v>
      </c>
      <c r="AB18" s="11">
        <v>0</v>
      </c>
      <c r="AC18" s="194">
        <f t="shared" ref="AC18:AC19" si="32">SUM(AA18:AB18)</f>
        <v>106213.0644</v>
      </c>
      <c r="AD18" s="155"/>
      <c r="AE18" s="11"/>
      <c r="AF18" s="4"/>
      <c r="AG18" s="10">
        <f>'Dominican Republic'!AC14</f>
        <v>77322.455247000005</v>
      </c>
      <c r="AH18" s="11">
        <v>0</v>
      </c>
      <c r="AI18" s="194">
        <f t="shared" ref="AI18:AI19" si="33">SUM(AG18:AH18)</f>
        <v>77322.455247000005</v>
      </c>
      <c r="AJ18" s="195">
        <f t="shared" ref="AJ18:AK19" si="34">I18+O18+U18+AA18+AG18</f>
        <v>471470.99964699999</v>
      </c>
      <c r="AK18" s="195">
        <f t="shared" si="34"/>
        <v>0</v>
      </c>
      <c r="AL18" s="195">
        <f t="shared" ref="AL18:AL19" si="35">SUM(AJ18:AK18)</f>
        <v>471470.99964699999</v>
      </c>
      <c r="AM18" s="4"/>
      <c r="AN18" s="4"/>
      <c r="AO18" s="4"/>
      <c r="AP18" s="4"/>
    </row>
    <row r="19" spans="1:42" x14ac:dyDescent="0.4">
      <c r="A19" s="109" t="s">
        <v>276</v>
      </c>
      <c r="B19" s="592" t="s">
        <v>273</v>
      </c>
      <c r="C19" s="109" t="s">
        <v>247</v>
      </c>
      <c r="D19" s="109" t="s">
        <v>42</v>
      </c>
      <c r="E19" s="155">
        <v>1</v>
      </c>
      <c r="F19" s="11"/>
      <c r="G19" s="4">
        <v>1</v>
      </c>
      <c r="H19" s="4" t="s">
        <v>40</v>
      </c>
      <c r="I19" s="10">
        <f>Guyana!I13</f>
        <v>68350</v>
      </c>
      <c r="J19" s="11">
        <v>0</v>
      </c>
      <c r="K19" s="194">
        <f t="shared" ref="K19" si="36">SUM(I19:J19)</f>
        <v>68350</v>
      </c>
      <c r="L19" s="155"/>
      <c r="M19" s="11"/>
      <c r="N19" s="4"/>
      <c r="O19" s="10">
        <f>Guyana!N13</f>
        <v>73542</v>
      </c>
      <c r="P19" s="11">
        <v>0</v>
      </c>
      <c r="Q19" s="194">
        <f t="shared" si="30"/>
        <v>73542</v>
      </c>
      <c r="R19" s="155"/>
      <c r="S19" s="11"/>
      <c r="T19" s="4"/>
      <c r="U19" s="10">
        <f>Guyana!S13</f>
        <v>75748.260000000009</v>
      </c>
      <c r="V19" s="11">
        <v>0</v>
      </c>
      <c r="W19" s="194">
        <f t="shared" si="31"/>
        <v>75748.260000000009</v>
      </c>
      <c r="X19" s="155"/>
      <c r="Y19" s="11"/>
      <c r="Z19" s="4"/>
      <c r="AA19" s="10">
        <f>Guyana!X13</f>
        <v>78020.707800000004</v>
      </c>
      <c r="AB19" s="11">
        <v>0</v>
      </c>
      <c r="AC19" s="194">
        <f t="shared" si="32"/>
        <v>78020.707800000004</v>
      </c>
      <c r="AD19" s="155"/>
      <c r="AE19" s="11"/>
      <c r="AF19" s="4"/>
      <c r="AG19" s="10">
        <f>Guyana!AC13</f>
        <v>60270.996775499996</v>
      </c>
      <c r="AH19" s="11">
        <v>0</v>
      </c>
      <c r="AI19" s="194">
        <f t="shared" si="33"/>
        <v>60270.996775499996</v>
      </c>
      <c r="AJ19" s="195">
        <f t="shared" si="34"/>
        <v>355931.96457549999</v>
      </c>
      <c r="AK19" s="195">
        <f t="shared" si="34"/>
        <v>0</v>
      </c>
      <c r="AL19" s="195">
        <f t="shared" si="35"/>
        <v>355931.96457549999</v>
      </c>
      <c r="AM19" s="4"/>
      <c r="AN19" s="4"/>
      <c r="AO19" s="4"/>
      <c r="AP19" s="4"/>
    </row>
    <row r="20" spans="1:42" x14ac:dyDescent="0.4">
      <c r="A20" s="109" t="s">
        <v>277</v>
      </c>
      <c r="B20" s="592" t="s">
        <v>273</v>
      </c>
      <c r="C20" s="109" t="s">
        <v>248</v>
      </c>
      <c r="D20" s="109" t="s">
        <v>43</v>
      </c>
      <c r="E20" s="155">
        <v>1</v>
      </c>
      <c r="F20" s="11"/>
      <c r="G20" s="4">
        <v>1</v>
      </c>
      <c r="H20" s="4" t="s">
        <v>40</v>
      </c>
      <c r="I20" s="10">
        <f>Jamaica!I13</f>
        <v>82650</v>
      </c>
      <c r="J20" s="11">
        <v>0</v>
      </c>
      <c r="K20" s="194">
        <f t="shared" ref="K20" si="37">SUM(I20:J20)</f>
        <v>82650</v>
      </c>
      <c r="L20" s="155"/>
      <c r="M20" s="11"/>
      <c r="N20" s="4"/>
      <c r="O20" s="10">
        <f>Jamaica!N13</f>
        <v>88374</v>
      </c>
      <c r="P20" s="11">
        <v>0</v>
      </c>
      <c r="Q20" s="194">
        <f t="shared" ref="Q20" si="38">SUM(O20:P20)</f>
        <v>88374</v>
      </c>
      <c r="R20" s="155"/>
      <c r="S20" s="11"/>
      <c r="T20" s="4"/>
      <c r="U20" s="10">
        <f>Jamaica!S13</f>
        <v>91025.22</v>
      </c>
      <c r="V20" s="11">
        <v>0</v>
      </c>
      <c r="W20" s="194">
        <f t="shared" ref="W20" si="39">SUM(U20:V20)</f>
        <v>91025.22</v>
      </c>
      <c r="X20" s="155"/>
      <c r="Y20" s="11"/>
      <c r="Z20" s="4"/>
      <c r="AA20" s="10">
        <f>Jamaica!X13</f>
        <v>93755.976600000024</v>
      </c>
      <c r="AB20" s="11">
        <v>0</v>
      </c>
      <c r="AC20" s="194">
        <f t="shared" ref="AC20" si="40">SUM(AA20:AB20)</f>
        <v>93755.976600000024</v>
      </c>
      <c r="AD20" s="155"/>
      <c r="AE20" s="11"/>
      <c r="AF20" s="4"/>
      <c r="AG20" s="10">
        <f>Jamaica!AC13</f>
        <v>72426.491923499998</v>
      </c>
      <c r="AH20" s="11">
        <v>0</v>
      </c>
      <c r="AI20" s="194">
        <f t="shared" ref="AI20" si="41">SUM(AG20:AH20)</f>
        <v>72426.491923499998</v>
      </c>
      <c r="AJ20" s="195">
        <f t="shared" ref="AJ20" si="42">I20+O20+U20+AA20+AG20</f>
        <v>428231.68852349999</v>
      </c>
      <c r="AK20" s="195">
        <f t="shared" ref="AK20" si="43">J20+P20+V20+AB20+AH20</f>
        <v>0</v>
      </c>
      <c r="AL20" s="195">
        <f t="shared" ref="AL20" si="44">SUM(AJ20:AK20)</f>
        <v>428231.68852349999</v>
      </c>
      <c r="AM20" s="4"/>
      <c r="AN20" s="4"/>
      <c r="AO20" s="4"/>
      <c r="AP20" s="4"/>
    </row>
    <row r="21" spans="1:42" s="1" customFormat="1" x14ac:dyDescent="0.4">
      <c r="A21" s="109"/>
      <c r="B21" s="592"/>
      <c r="C21" s="109"/>
      <c r="D21" s="55" t="s">
        <v>44</v>
      </c>
      <c r="E21" s="29"/>
      <c r="F21" s="25"/>
      <c r="G21" s="4"/>
      <c r="H21" s="4"/>
      <c r="I21" s="26">
        <f>SUM(I17:I20)</f>
        <v>329850</v>
      </c>
      <c r="J21" s="27">
        <f>SUM(J17:J20)</f>
        <v>0</v>
      </c>
      <c r="K21" s="30">
        <f>SUM(K17:K20)</f>
        <v>329850</v>
      </c>
      <c r="L21" s="29"/>
      <c r="M21" s="25"/>
      <c r="N21" s="25"/>
      <c r="O21" s="26">
        <f>SUM(O17:O20)</f>
        <v>370182</v>
      </c>
      <c r="P21" s="27">
        <f>SUM(P17:P20)</f>
        <v>0</v>
      </c>
      <c r="Q21" s="30">
        <f>SUM(Q17:Q20)</f>
        <v>370182</v>
      </c>
      <c r="R21" s="29"/>
      <c r="S21" s="25"/>
      <c r="T21" s="25"/>
      <c r="U21" s="26">
        <f>SUM(U17:U20)</f>
        <v>381287.45999999996</v>
      </c>
      <c r="V21" s="27">
        <f>SUM(V17:V20)</f>
        <v>0</v>
      </c>
      <c r="W21" s="30">
        <f>SUM(W17:W20)</f>
        <v>381287.45999999996</v>
      </c>
      <c r="X21" s="29"/>
      <c r="Y21" s="25"/>
      <c r="Z21" s="25"/>
      <c r="AA21" s="26">
        <f>SUM(AA17:AA20)</f>
        <v>392726.08380000002</v>
      </c>
      <c r="AB21" s="27">
        <f>SUM(AB17:AB20)</f>
        <v>0</v>
      </c>
      <c r="AC21" s="30">
        <f>SUM(AC17:AC20)</f>
        <v>392726.08380000002</v>
      </c>
      <c r="AD21" s="29"/>
      <c r="AE21" s="25"/>
      <c r="AF21" s="25"/>
      <c r="AG21" s="26">
        <f>SUM(AG17:AG20)</f>
        <v>294433.10469599999</v>
      </c>
      <c r="AH21" s="27">
        <f>SUM(AH17:AH20)</f>
        <v>0</v>
      </c>
      <c r="AI21" s="30">
        <f>SUM(AI17:AI20)</f>
        <v>294433.10469599999</v>
      </c>
      <c r="AJ21" s="28">
        <f>I21+O21+U21+AA21+AG21</f>
        <v>1768478.6484960001</v>
      </c>
      <c r="AK21" s="28">
        <f>J21+P21+V21+AB21+AH21</f>
        <v>0</v>
      </c>
      <c r="AL21" s="28">
        <f>SUM(AJ21:AK21)</f>
        <v>1768478.6484960001</v>
      </c>
    </row>
    <row r="22" spans="1:42" x14ac:dyDescent="0.4">
      <c r="A22" s="196"/>
      <c r="B22" s="596"/>
      <c r="C22" s="196"/>
      <c r="D22" s="196"/>
      <c r="E22" s="160"/>
      <c r="F22" s="197"/>
      <c r="G22" s="197"/>
      <c r="H22" s="197"/>
      <c r="I22" s="10"/>
      <c r="J22" s="11"/>
      <c r="K22" s="194"/>
      <c r="L22" s="160"/>
      <c r="M22" s="197"/>
      <c r="N22" s="197"/>
      <c r="O22" s="10"/>
      <c r="P22" s="11"/>
      <c r="Q22" s="194"/>
      <c r="R22" s="160"/>
      <c r="S22" s="197"/>
      <c r="T22" s="197"/>
      <c r="U22" s="10"/>
      <c r="V22" s="11"/>
      <c r="W22" s="194"/>
      <c r="X22" s="160"/>
      <c r="Y22" s="197"/>
      <c r="Z22" s="197"/>
      <c r="AA22" s="10"/>
      <c r="AB22" s="11"/>
      <c r="AC22" s="194"/>
      <c r="AD22" s="160"/>
      <c r="AE22" s="197"/>
      <c r="AF22" s="197"/>
      <c r="AG22" s="10"/>
      <c r="AH22" s="11"/>
      <c r="AI22" s="194"/>
      <c r="AJ22" s="195"/>
      <c r="AK22" s="195"/>
      <c r="AL22" s="195"/>
      <c r="AM22" s="4"/>
      <c r="AN22" s="4"/>
      <c r="AO22" s="4"/>
      <c r="AP22" s="4"/>
    </row>
    <row r="23" spans="1:42" x14ac:dyDescent="0.4">
      <c r="A23" s="56"/>
      <c r="B23" s="597"/>
      <c r="C23" s="56"/>
      <c r="D23" s="56" t="s">
        <v>45</v>
      </c>
      <c r="E23" s="32">
        <f>Leverage!F2</f>
        <v>980</v>
      </c>
      <c r="F23" s="38">
        <v>522</v>
      </c>
      <c r="G23" s="20">
        <v>1</v>
      </c>
      <c r="H23" s="4" t="s">
        <v>46</v>
      </c>
      <c r="I23" s="10">
        <v>0</v>
      </c>
      <c r="J23" s="11">
        <f>F23*E23*G23</f>
        <v>511560</v>
      </c>
      <c r="K23" s="194">
        <f>SUM(I23:J23)</f>
        <v>511560</v>
      </c>
      <c r="L23" s="32">
        <f>Leverage!F3</f>
        <v>1130</v>
      </c>
      <c r="M23" s="38">
        <f>F23</f>
        <v>522</v>
      </c>
      <c r="N23" s="20">
        <v>1</v>
      </c>
      <c r="O23" s="10">
        <v>0</v>
      </c>
      <c r="P23" s="11">
        <f>M23*L23*N23</f>
        <v>589860</v>
      </c>
      <c r="Q23" s="194">
        <f>SUM(O23:P23)</f>
        <v>589860</v>
      </c>
      <c r="R23" s="32">
        <f>Leverage!F4</f>
        <v>1115</v>
      </c>
      <c r="S23" s="38">
        <f>F23</f>
        <v>522</v>
      </c>
      <c r="T23" s="20">
        <v>1</v>
      </c>
      <c r="U23" s="10">
        <v>0</v>
      </c>
      <c r="V23" s="11">
        <f>S23*R23*T23</f>
        <v>582030</v>
      </c>
      <c r="W23" s="194">
        <f>SUM(U23:V23)</f>
        <v>582030</v>
      </c>
      <c r="X23" s="32">
        <f>Leverage!F5</f>
        <v>1100</v>
      </c>
      <c r="Y23" s="38">
        <f>F23</f>
        <v>522</v>
      </c>
      <c r="Z23" s="20">
        <v>1</v>
      </c>
      <c r="AA23" s="10">
        <v>0</v>
      </c>
      <c r="AB23" s="11">
        <f>Y23*X23*Z23</f>
        <v>574200</v>
      </c>
      <c r="AC23" s="194">
        <f>SUM(AA23:AB23)</f>
        <v>574200</v>
      </c>
      <c r="AD23" s="32">
        <f>Leverage!F6</f>
        <v>915</v>
      </c>
      <c r="AE23" s="38">
        <f>F23</f>
        <v>522</v>
      </c>
      <c r="AF23" s="20">
        <v>1</v>
      </c>
      <c r="AG23" s="10">
        <v>0</v>
      </c>
      <c r="AH23" s="11">
        <f>AE23*AD23*AF23</f>
        <v>477630</v>
      </c>
      <c r="AI23" s="194">
        <f>SUM(AG23:AH23)</f>
        <v>477630</v>
      </c>
      <c r="AJ23" s="195">
        <f>I23+O23+U23+AA23+AG23</f>
        <v>0</v>
      </c>
      <c r="AK23" s="195">
        <f>J23+P23+V23+AB23+AH23</f>
        <v>2735280</v>
      </c>
      <c r="AL23" s="195">
        <f>SUM(AJ23:AK23)</f>
        <v>2735280</v>
      </c>
      <c r="AM23" s="4"/>
      <c r="AN23" s="4"/>
      <c r="AO23" s="4"/>
      <c r="AP23" s="4"/>
    </row>
    <row r="24" spans="1:42" x14ac:dyDescent="0.4">
      <c r="A24" s="198"/>
      <c r="B24" s="598"/>
      <c r="C24" s="198"/>
      <c r="D24" s="198"/>
      <c r="E24" s="33"/>
      <c r="F24" s="23"/>
      <c r="G24" s="23"/>
      <c r="H24" s="23"/>
      <c r="I24" s="199"/>
      <c r="J24" s="200"/>
      <c r="K24" s="201"/>
      <c r="L24" s="33"/>
      <c r="M24" s="23"/>
      <c r="N24" s="23"/>
      <c r="O24" s="199"/>
      <c r="P24" s="200"/>
      <c r="Q24" s="201"/>
      <c r="R24" s="33"/>
      <c r="S24" s="23"/>
      <c r="T24" s="23"/>
      <c r="U24" s="199"/>
      <c r="V24" s="200"/>
      <c r="W24" s="201"/>
      <c r="X24" s="33"/>
      <c r="Y24" s="23"/>
      <c r="Z24" s="23"/>
      <c r="AA24" s="199"/>
      <c r="AB24" s="200"/>
      <c r="AC24" s="201"/>
      <c r="AD24" s="33"/>
      <c r="AE24" s="23"/>
      <c r="AF24" s="23"/>
      <c r="AG24" s="199"/>
      <c r="AH24" s="200"/>
      <c r="AI24" s="201"/>
      <c r="AJ24" s="198"/>
      <c r="AK24" s="198"/>
      <c r="AL24" s="198"/>
      <c r="AM24" s="4"/>
      <c r="AN24" s="4"/>
      <c r="AO24" s="4"/>
      <c r="AP24" s="4"/>
    </row>
    <row r="25" spans="1:42" x14ac:dyDescent="0.4">
      <c r="A25" s="101"/>
      <c r="B25" s="599"/>
      <c r="C25" s="101"/>
      <c r="D25" s="101" t="s">
        <v>47</v>
      </c>
      <c r="E25" s="202"/>
      <c r="F25" s="203"/>
      <c r="G25" s="203"/>
      <c r="H25" s="203"/>
      <c r="I25" s="204">
        <f>I21+I14+I23</f>
        <v>534480</v>
      </c>
      <c r="J25" s="205">
        <f>SUM(J23:J23)</f>
        <v>511560</v>
      </c>
      <c r="K25" s="206">
        <f>K21+K14+K23</f>
        <v>1046040</v>
      </c>
      <c r="L25" s="202"/>
      <c r="M25" s="203"/>
      <c r="N25" s="203"/>
      <c r="O25" s="204">
        <f>O21+O14+O23</f>
        <v>614246.67999999993</v>
      </c>
      <c r="P25" s="205">
        <f>SUM(P23:P23)</f>
        <v>589860</v>
      </c>
      <c r="Q25" s="206">
        <f>Q21+Q14+Q23</f>
        <v>1204106.68</v>
      </c>
      <c r="R25" s="202"/>
      <c r="S25" s="203"/>
      <c r="T25" s="203"/>
      <c r="U25" s="204">
        <f>U21+U14+U23</f>
        <v>632674.08039999998</v>
      </c>
      <c r="V25" s="205">
        <f>SUM(V23:V23)</f>
        <v>582030</v>
      </c>
      <c r="W25" s="206">
        <f>W21+W14+W23</f>
        <v>1214704.0803999999</v>
      </c>
      <c r="X25" s="202"/>
      <c r="Y25" s="203"/>
      <c r="Z25" s="203"/>
      <c r="AA25" s="204">
        <f>AA21+AA14+AA23</f>
        <v>651654.30281200004</v>
      </c>
      <c r="AB25" s="205">
        <f>SUM(AB23:AB23)</f>
        <v>574200</v>
      </c>
      <c r="AC25" s="206">
        <f>AC21+AC14+AC23</f>
        <v>1225854.302812</v>
      </c>
      <c r="AD25" s="202"/>
      <c r="AE25" s="203"/>
      <c r="AF25" s="203"/>
      <c r="AG25" s="204">
        <f>AG21+AG14+AG23</f>
        <v>522138.54374313331</v>
      </c>
      <c r="AH25" s="205">
        <f>SUM(AH23:AH23)</f>
        <v>477630</v>
      </c>
      <c r="AI25" s="206">
        <f>AI21+AI14+AI23</f>
        <v>999768.54374313331</v>
      </c>
      <c r="AJ25" s="204">
        <f>AJ21+AJ14+AJ23</f>
        <v>2955193.6069551334</v>
      </c>
      <c r="AK25" s="205">
        <f>SUM(AK23:AK23)</f>
        <v>2735280</v>
      </c>
      <c r="AL25" s="207">
        <f>AL21+AL14+AL23</f>
        <v>5690473.6069551334</v>
      </c>
      <c r="AM25" s="4"/>
      <c r="AN25" s="4"/>
      <c r="AO25" s="4"/>
      <c r="AP25" s="4"/>
    </row>
    <row r="26" spans="1:42" x14ac:dyDescent="0.4">
      <c r="A26" s="208"/>
      <c r="B26" s="600"/>
      <c r="C26" s="208"/>
      <c r="D26" s="208"/>
      <c r="E26" s="209"/>
      <c r="F26" s="210"/>
      <c r="G26" s="210"/>
      <c r="H26" s="210"/>
      <c r="I26" s="262"/>
      <c r="J26" s="212"/>
      <c r="K26" s="213"/>
      <c r="L26" s="209"/>
      <c r="M26" s="210"/>
      <c r="N26" s="210"/>
      <c r="O26" s="211"/>
      <c r="P26" s="212"/>
      <c r="Q26" s="213"/>
      <c r="R26" s="209"/>
      <c r="S26" s="210"/>
      <c r="T26" s="210"/>
      <c r="U26" s="211"/>
      <c r="V26" s="212"/>
      <c r="W26" s="213"/>
      <c r="X26" s="209"/>
      <c r="Y26" s="210"/>
      <c r="Z26" s="210"/>
      <c r="AA26" s="211"/>
      <c r="AB26" s="212"/>
      <c r="AC26" s="213"/>
      <c r="AD26" s="209"/>
      <c r="AE26" s="210"/>
      <c r="AF26" s="210"/>
      <c r="AG26" s="211"/>
      <c r="AH26" s="212"/>
      <c r="AI26" s="213"/>
      <c r="AJ26" s="214"/>
      <c r="AK26" s="214"/>
      <c r="AL26" s="214"/>
      <c r="AM26" s="4"/>
      <c r="AN26" s="4"/>
      <c r="AO26" s="4"/>
      <c r="AP26" s="4"/>
    </row>
    <row r="27" spans="1:42" x14ac:dyDescent="0.4">
      <c r="A27" s="72"/>
      <c r="B27" s="590"/>
      <c r="C27" s="72"/>
      <c r="D27" s="72" t="s">
        <v>14</v>
      </c>
      <c r="E27" s="215"/>
      <c r="F27" s="216"/>
      <c r="G27" s="216"/>
      <c r="H27" s="216"/>
      <c r="I27" s="69"/>
      <c r="J27" s="67"/>
      <c r="K27" s="217"/>
      <c r="L27" s="215"/>
      <c r="M27" s="216"/>
      <c r="N27" s="216"/>
      <c r="O27" s="69"/>
      <c r="P27" s="67"/>
      <c r="Q27" s="217"/>
      <c r="R27" s="215"/>
      <c r="S27" s="216"/>
      <c r="T27" s="216"/>
      <c r="U27" s="69"/>
      <c r="V27" s="67"/>
      <c r="W27" s="217"/>
      <c r="X27" s="215"/>
      <c r="Y27" s="216"/>
      <c r="Z27" s="216"/>
      <c r="AA27" s="69"/>
      <c r="AB27" s="67"/>
      <c r="AC27" s="217"/>
      <c r="AD27" s="215"/>
      <c r="AE27" s="216"/>
      <c r="AF27" s="216"/>
      <c r="AG27" s="69"/>
      <c r="AH27" s="67"/>
      <c r="AI27" s="217"/>
      <c r="AJ27" s="218"/>
      <c r="AK27" s="218"/>
      <c r="AL27" s="218"/>
      <c r="AM27" s="4"/>
      <c r="AN27" s="4"/>
      <c r="AO27" s="4"/>
      <c r="AP27" s="4"/>
    </row>
    <row r="28" spans="1:42" x14ac:dyDescent="0.4">
      <c r="A28" s="219" t="s">
        <v>281</v>
      </c>
      <c r="B28" s="601" t="s">
        <v>280</v>
      </c>
      <c r="C28" s="109" t="s">
        <v>284</v>
      </c>
      <c r="D28" s="219" t="s">
        <v>48</v>
      </c>
      <c r="E28" s="159">
        <v>0.23469999999999999</v>
      </c>
      <c r="F28" s="97"/>
      <c r="I28" s="220">
        <f>I14*E28</f>
        <v>48026.661</v>
      </c>
      <c r="J28" s="16">
        <v>0</v>
      </c>
      <c r="K28" s="194">
        <f t="shared" ref="K28" si="45">SUM(I28:J28)</f>
        <v>48026.661</v>
      </c>
      <c r="L28" s="108"/>
      <c r="M28" s="97"/>
      <c r="O28" s="220">
        <f>O14*$E$28</f>
        <v>57281.980395999999</v>
      </c>
      <c r="P28" s="16">
        <v>0</v>
      </c>
      <c r="Q28" s="194">
        <f t="shared" ref="Q28:Q29" si="46">SUM(O28:P28)</f>
        <v>57281.980395999999</v>
      </c>
      <c r="R28" s="108"/>
      <c r="S28" s="97"/>
      <c r="U28" s="220">
        <f>U14*$E$28</f>
        <v>59000.43980788</v>
      </c>
      <c r="V28" s="16">
        <v>0</v>
      </c>
      <c r="W28" s="194">
        <f t="shared" ref="W28:W29" si="47">SUM(U28:V28)</f>
        <v>59000.43980788</v>
      </c>
      <c r="X28" s="108"/>
      <c r="Y28" s="97"/>
      <c r="AA28" s="220">
        <f>AA14*$E$28</f>
        <v>60770.453002116403</v>
      </c>
      <c r="AB28" s="16">
        <v>0</v>
      </c>
      <c r="AC28" s="194">
        <f t="shared" ref="AC28:AC29" si="48">SUM(AA28:AB28)</f>
        <v>60770.453002116403</v>
      </c>
      <c r="AD28" s="108"/>
      <c r="AE28" s="97"/>
      <c r="AG28" s="220">
        <f>AG14*$E$28</f>
        <v>53442.466544362185</v>
      </c>
      <c r="AH28" s="16">
        <v>0</v>
      </c>
      <c r="AI28" s="194">
        <f t="shared" ref="AI28:AI29" si="49">SUM(AG28:AH28)</f>
        <v>53442.466544362185</v>
      </c>
      <c r="AJ28" s="221">
        <f>I28+O28+U28+AA28+AG28</f>
        <v>278522.00075035857</v>
      </c>
      <c r="AK28" s="221">
        <f t="shared" ref="AJ28:AK29" si="50">J28+P28+V28+AB28+AH28</f>
        <v>0</v>
      </c>
      <c r="AL28" s="195">
        <f>SUM(AJ28:AK28)</f>
        <v>278522.00075035857</v>
      </c>
      <c r="AM28" s="4"/>
      <c r="AN28" s="4"/>
      <c r="AO28" s="4"/>
      <c r="AP28" s="4"/>
    </row>
    <row r="29" spans="1:42" x14ac:dyDescent="0.4">
      <c r="A29" s="61" t="s">
        <v>278</v>
      </c>
      <c r="B29" s="602" t="s">
        <v>279</v>
      </c>
      <c r="C29" s="61" t="s">
        <v>278</v>
      </c>
      <c r="D29" s="61" t="s">
        <v>49</v>
      </c>
      <c r="E29" s="159"/>
      <c r="F29" s="125"/>
      <c r="G29" s="4"/>
      <c r="H29" s="4"/>
      <c r="I29" s="10">
        <f>'Guatemala '!I16+'Dominican Republic'!I16+Guyana!I15+Jamaica!I15</f>
        <v>80164.284999999989</v>
      </c>
      <c r="J29" s="11">
        <v>0</v>
      </c>
      <c r="K29" s="194">
        <f>SUM(I29:J29)</f>
        <v>80164.284999999989</v>
      </c>
      <c r="L29" s="34"/>
      <c r="M29" s="125"/>
      <c r="N29" s="4"/>
      <c r="O29" s="10">
        <f>'Guatemala '!N16+'Dominican Republic'!N16+Guyana!N15+Jamaica!N15</f>
        <v>91458.005399999995</v>
      </c>
      <c r="P29" s="11">
        <v>0</v>
      </c>
      <c r="Q29" s="194">
        <f t="shared" si="46"/>
        <v>91458.005399999995</v>
      </c>
      <c r="R29" s="34"/>
      <c r="S29" s="125"/>
      <c r="T29" s="4"/>
      <c r="U29" s="10">
        <f>'Guatemala '!T16+'Dominican Republic'!T16+Guyana!T15+Jamaica!T15</f>
        <v>94201.745561999996</v>
      </c>
      <c r="V29" s="11">
        <v>0</v>
      </c>
      <c r="W29" s="194">
        <f t="shared" si="47"/>
        <v>94201.745561999996</v>
      </c>
      <c r="X29" s="34"/>
      <c r="Y29" s="125"/>
      <c r="Z29" s="4"/>
      <c r="AA29" s="10">
        <f>'Guatemala '!X16+'Dominican Republic'!X16+Guyana!X15+Jamaica!X15</f>
        <v>97027.797928860004</v>
      </c>
      <c r="AB29" s="11">
        <v>0</v>
      </c>
      <c r="AC29" s="194">
        <f t="shared" si="48"/>
        <v>97027.797928860004</v>
      </c>
      <c r="AD29" s="34"/>
      <c r="AE29" s="125"/>
      <c r="AF29" s="4"/>
      <c r="AG29" s="10">
        <f>'Guatemala '!AC16+'Dominican Republic'!AC16+Guyana!AC15+Jamaica!AC15</f>
        <v>71950.384814237856</v>
      </c>
      <c r="AH29" s="11">
        <v>0</v>
      </c>
      <c r="AI29" s="194">
        <f t="shared" si="49"/>
        <v>71950.384814237856</v>
      </c>
      <c r="AJ29" s="195">
        <f t="shared" si="50"/>
        <v>434802.21870509791</v>
      </c>
      <c r="AK29" s="195">
        <f t="shared" si="50"/>
        <v>0</v>
      </c>
      <c r="AL29" s="195">
        <f t="shared" ref="AL29" si="51">SUM(AJ29:AK29)</f>
        <v>434802.21870509791</v>
      </c>
      <c r="AM29" s="4"/>
      <c r="AN29" s="4"/>
      <c r="AO29" s="4"/>
      <c r="AP29" s="4"/>
    </row>
    <row r="30" spans="1:42" x14ac:dyDescent="0.4">
      <c r="A30" s="198"/>
      <c r="B30" s="598"/>
      <c r="C30" s="198"/>
      <c r="D30" s="198"/>
      <c r="E30" s="222"/>
      <c r="F30" s="200"/>
      <c r="G30" s="200"/>
      <c r="H30" s="200"/>
      <c r="I30" s="285"/>
      <c r="J30" s="4"/>
      <c r="K30" s="340"/>
      <c r="L30" s="222"/>
      <c r="M30" s="200"/>
      <c r="N30" s="200"/>
      <c r="O30" s="285"/>
      <c r="P30" s="4"/>
      <c r="Q30" s="340"/>
      <c r="R30" s="222"/>
      <c r="S30" s="200"/>
      <c r="T30" s="200"/>
      <c r="U30" s="285"/>
      <c r="V30" s="4"/>
      <c r="W30" s="340"/>
      <c r="X30" s="222"/>
      <c r="Y30" s="200"/>
      <c r="Z30" s="200"/>
      <c r="AA30" s="285"/>
      <c r="AB30" s="4"/>
      <c r="AC30" s="340"/>
      <c r="AD30" s="222"/>
      <c r="AE30" s="200"/>
      <c r="AF30" s="200"/>
      <c r="AG30" s="285"/>
      <c r="AH30" s="4"/>
      <c r="AI30" s="340"/>
      <c r="AJ30" s="198"/>
      <c r="AK30" s="198"/>
      <c r="AL30" s="198"/>
      <c r="AM30" s="11"/>
      <c r="AN30" s="4"/>
      <c r="AO30" s="4"/>
      <c r="AP30" s="4"/>
    </row>
    <row r="31" spans="1:42" x14ac:dyDescent="0.4">
      <c r="A31" s="101"/>
      <c r="B31" s="599"/>
      <c r="C31" s="101"/>
      <c r="D31" s="101" t="s">
        <v>50</v>
      </c>
      <c r="E31" s="202"/>
      <c r="F31" s="203"/>
      <c r="G31" s="203"/>
      <c r="H31" s="203"/>
      <c r="I31" s="519">
        <f>SUM(I28:I30)</f>
        <v>128190.946</v>
      </c>
      <c r="J31" s="520">
        <f>SUM(J28:J30)</f>
        <v>0</v>
      </c>
      <c r="K31" s="521">
        <f>SUM(K28:K30)</f>
        <v>128190.946</v>
      </c>
      <c r="L31" s="203"/>
      <c r="M31" s="203"/>
      <c r="N31" s="203"/>
      <c r="O31" s="519">
        <f>SUM(O28:O30)</f>
        <v>148739.98579599999</v>
      </c>
      <c r="P31" s="520">
        <f>SUM(P28:P30)</f>
        <v>0</v>
      </c>
      <c r="Q31" s="521">
        <f>SUM(Q28:Q30)</f>
        <v>148739.98579599999</v>
      </c>
      <c r="R31" s="203"/>
      <c r="S31" s="203"/>
      <c r="T31" s="203"/>
      <c r="U31" s="519">
        <f>SUM(U28:U30)</f>
        <v>153202.18536988</v>
      </c>
      <c r="V31" s="520">
        <f>SUM(V28:V30)</f>
        <v>0</v>
      </c>
      <c r="W31" s="521">
        <f>SUM(W28:W30)</f>
        <v>153202.18536988</v>
      </c>
      <c r="X31" s="203"/>
      <c r="Y31" s="203"/>
      <c r="Z31" s="203"/>
      <c r="AA31" s="519">
        <f>SUM(AA28:AA30)</f>
        <v>157798.25093097641</v>
      </c>
      <c r="AB31" s="520">
        <f>SUM(AB28:AB30)</f>
        <v>0</v>
      </c>
      <c r="AC31" s="521">
        <f>SUM(AC28:AC30)</f>
        <v>157798.25093097641</v>
      </c>
      <c r="AD31" s="203"/>
      <c r="AE31" s="203"/>
      <c r="AF31" s="203"/>
      <c r="AG31" s="519">
        <f t="shared" ref="AG31:AL31" si="52">SUM(AG28:AG30)</f>
        <v>125392.85135860005</v>
      </c>
      <c r="AH31" s="520">
        <f t="shared" si="52"/>
        <v>0</v>
      </c>
      <c r="AI31" s="521">
        <f t="shared" si="52"/>
        <v>125392.85135860005</v>
      </c>
      <c r="AJ31" s="206">
        <f t="shared" si="52"/>
        <v>713324.21945545648</v>
      </c>
      <c r="AK31" s="207">
        <f t="shared" si="52"/>
        <v>0</v>
      </c>
      <c r="AL31" s="207">
        <f t="shared" si="52"/>
        <v>713324.21945545648</v>
      </c>
      <c r="AM31" s="4"/>
      <c r="AN31" s="4"/>
      <c r="AO31" s="4"/>
      <c r="AP31" s="4"/>
    </row>
    <row r="32" spans="1:42" x14ac:dyDescent="0.4">
      <c r="A32" s="208"/>
      <c r="B32" s="600"/>
      <c r="C32" s="208"/>
      <c r="D32" s="208"/>
      <c r="E32" s="209"/>
      <c r="F32" s="210"/>
      <c r="G32" s="210"/>
      <c r="H32" s="210"/>
      <c r="I32" s="17"/>
      <c r="J32" s="18"/>
      <c r="K32" s="230"/>
      <c r="L32" s="209"/>
      <c r="M32" s="210"/>
      <c r="N32" s="210"/>
      <c r="O32" s="17"/>
      <c r="P32" s="18"/>
      <c r="Q32" s="230"/>
      <c r="R32" s="209"/>
      <c r="S32" s="210"/>
      <c r="T32" s="210"/>
      <c r="U32" s="17"/>
      <c r="V32" s="18"/>
      <c r="W32" s="230"/>
      <c r="X32" s="209"/>
      <c r="Y32" s="210"/>
      <c r="Z32" s="210"/>
      <c r="AA32" s="17"/>
      <c r="AB32" s="18"/>
      <c r="AC32" s="230"/>
      <c r="AD32" s="209"/>
      <c r="AE32" s="210"/>
      <c r="AF32" s="210"/>
      <c r="AG32" s="17"/>
      <c r="AH32" s="18"/>
      <c r="AI32" s="230"/>
      <c r="AJ32" s="214"/>
      <c r="AK32" s="214"/>
      <c r="AL32" s="214"/>
      <c r="AM32" s="4"/>
      <c r="AN32" s="4"/>
      <c r="AO32" s="4"/>
      <c r="AP32" s="4"/>
    </row>
    <row r="33" spans="1:42" x14ac:dyDescent="0.4">
      <c r="A33" s="72"/>
      <c r="B33" s="590"/>
      <c r="C33" s="72"/>
      <c r="D33" s="72" t="s">
        <v>51</v>
      </c>
      <c r="E33" s="215"/>
      <c r="F33" s="216"/>
      <c r="G33" s="216"/>
      <c r="H33" s="216"/>
      <c r="I33" s="506"/>
      <c r="J33" s="507"/>
      <c r="K33" s="508"/>
      <c r="L33" s="215"/>
      <c r="M33" s="216"/>
      <c r="N33" s="216"/>
      <c r="O33" s="506"/>
      <c r="P33" s="507"/>
      <c r="Q33" s="508"/>
      <c r="R33" s="215"/>
      <c r="S33" s="216"/>
      <c r="T33" s="216"/>
      <c r="U33" s="506"/>
      <c r="V33" s="507"/>
      <c r="W33" s="508"/>
      <c r="X33" s="215"/>
      <c r="Y33" s="216"/>
      <c r="Z33" s="216"/>
      <c r="AA33" s="506"/>
      <c r="AB33" s="507"/>
      <c r="AC33" s="508"/>
      <c r="AD33" s="215"/>
      <c r="AE33" s="216"/>
      <c r="AF33" s="216"/>
      <c r="AG33" s="506"/>
      <c r="AH33" s="507"/>
      <c r="AI33" s="508"/>
      <c r="AJ33" s="218"/>
      <c r="AK33" s="218"/>
      <c r="AL33" s="218"/>
      <c r="AM33" s="4"/>
      <c r="AN33" s="4"/>
      <c r="AO33" s="4"/>
      <c r="AP33" s="4"/>
    </row>
    <row r="34" spans="1:42" ht="12" customHeight="1" x14ac:dyDescent="0.4">
      <c r="A34" s="109"/>
      <c r="B34" s="601"/>
      <c r="C34" s="219"/>
      <c r="D34" s="219"/>
      <c r="E34" s="35"/>
      <c r="F34" s="22"/>
      <c r="G34" s="22"/>
      <c r="H34" s="22"/>
      <c r="I34" s="512"/>
      <c r="J34" s="495"/>
      <c r="K34" s="496"/>
      <c r="L34" s="22"/>
      <c r="M34" s="22"/>
      <c r="N34" s="22"/>
      <c r="O34" s="512"/>
      <c r="P34" s="495"/>
      <c r="Q34" s="496"/>
      <c r="R34" s="22"/>
      <c r="S34" s="22"/>
      <c r="T34" s="22"/>
      <c r="U34" s="512"/>
      <c r="V34" s="495"/>
      <c r="W34" s="496"/>
      <c r="X34" s="22"/>
      <c r="Y34" s="22"/>
      <c r="Z34" s="22"/>
      <c r="AA34" s="512"/>
      <c r="AB34" s="495"/>
      <c r="AC34" s="496"/>
      <c r="AD34" s="22"/>
      <c r="AE34" s="22"/>
      <c r="AF34" s="22"/>
      <c r="AG34" s="512"/>
      <c r="AH34" s="495"/>
      <c r="AI34" s="496"/>
      <c r="AJ34" s="223"/>
      <c r="AK34" s="221"/>
      <c r="AL34" s="221"/>
      <c r="AM34" s="4"/>
      <c r="AN34" s="4"/>
      <c r="AO34" s="4"/>
      <c r="AP34" s="4"/>
    </row>
    <row r="35" spans="1:42" x14ac:dyDescent="0.4">
      <c r="A35" s="109"/>
      <c r="B35" s="595"/>
      <c r="C35" s="57"/>
      <c r="D35" s="57" t="s">
        <v>52</v>
      </c>
      <c r="E35" s="31"/>
      <c r="F35" s="127"/>
      <c r="G35" s="127"/>
      <c r="H35" s="127"/>
      <c r="I35" s="501"/>
      <c r="J35" s="11"/>
      <c r="K35" s="498"/>
      <c r="L35" s="127"/>
      <c r="M35" s="127"/>
      <c r="N35" s="127"/>
      <c r="O35" s="501"/>
      <c r="P35" s="11"/>
      <c r="Q35" s="498"/>
      <c r="R35" s="127"/>
      <c r="S35" s="127"/>
      <c r="T35" s="127"/>
      <c r="U35" s="501"/>
      <c r="V35" s="11"/>
      <c r="W35" s="498"/>
      <c r="X35" s="127"/>
      <c r="Y35" s="127"/>
      <c r="Z35" s="127"/>
      <c r="AA35" s="501"/>
      <c r="AB35" s="11"/>
      <c r="AC35" s="498"/>
      <c r="AD35" s="127"/>
      <c r="AE35" s="127"/>
      <c r="AF35" s="127"/>
      <c r="AG35" s="501"/>
      <c r="AH35" s="11"/>
      <c r="AI35" s="498"/>
      <c r="AJ35" s="194"/>
      <c r="AK35" s="195"/>
      <c r="AL35" s="195"/>
      <c r="AM35" s="4"/>
      <c r="AN35" s="4"/>
      <c r="AO35" s="4"/>
      <c r="AP35" s="4"/>
    </row>
    <row r="36" spans="1:42" x14ac:dyDescent="0.4">
      <c r="A36" s="109" t="s">
        <v>329</v>
      </c>
      <c r="B36" s="592">
        <v>86040</v>
      </c>
      <c r="C36" s="109" t="s">
        <v>285</v>
      </c>
      <c r="D36" s="109" t="s">
        <v>39</v>
      </c>
      <c r="E36" s="129">
        <f>'Guatemala '!E26</f>
        <v>16</v>
      </c>
      <c r="F36" s="125">
        <f>'Guatemala '!F26</f>
        <v>650</v>
      </c>
      <c r="G36" s="128">
        <v>1</v>
      </c>
      <c r="H36" s="127" t="s">
        <v>53</v>
      </c>
      <c r="I36" s="497">
        <f>G36*F36*E36</f>
        <v>10400</v>
      </c>
      <c r="J36" s="11">
        <v>0</v>
      </c>
      <c r="K36" s="498">
        <f>SUM(I36:J36)</f>
        <v>10400</v>
      </c>
      <c r="L36" s="492">
        <f>'Guatemala '!K26</f>
        <v>22</v>
      </c>
      <c r="M36" s="125">
        <f>F36*1.02</f>
        <v>663</v>
      </c>
      <c r="N36" s="128">
        <v>1</v>
      </c>
      <c r="O36" s="501">
        <f>L36*M36*N36</f>
        <v>14586</v>
      </c>
      <c r="P36" s="11">
        <v>0</v>
      </c>
      <c r="Q36" s="498">
        <f>SUM(O36:P36)</f>
        <v>14586</v>
      </c>
      <c r="R36" s="492">
        <f>'Guatemala '!P26</f>
        <v>22</v>
      </c>
      <c r="S36" s="125">
        <f>M36*1.02</f>
        <v>676.26</v>
      </c>
      <c r="T36" s="128">
        <v>1</v>
      </c>
      <c r="U36" s="501">
        <f>R36*S36*T36</f>
        <v>14877.72</v>
      </c>
      <c r="V36" s="11">
        <v>0</v>
      </c>
      <c r="W36" s="498">
        <f>SUM(U36:V36)</f>
        <v>14877.72</v>
      </c>
      <c r="X36" s="492">
        <f>'Guatemala '!U26</f>
        <v>22</v>
      </c>
      <c r="Y36" s="125">
        <f>S36*1.02</f>
        <v>689.78520000000003</v>
      </c>
      <c r="Z36" s="128">
        <v>1</v>
      </c>
      <c r="AA36" s="501">
        <f>X36*Y36*Z36</f>
        <v>15175.2744</v>
      </c>
      <c r="AB36" s="11">
        <v>0</v>
      </c>
      <c r="AC36" s="498">
        <f>SUM(AA36:AB36)</f>
        <v>15175.2744</v>
      </c>
      <c r="AD36" s="492">
        <f>'Guatemala '!Z26</f>
        <v>16</v>
      </c>
      <c r="AE36" s="125">
        <f>Y36*1.02</f>
        <v>703.58090400000003</v>
      </c>
      <c r="AF36" s="128">
        <v>1</v>
      </c>
      <c r="AG36" s="501">
        <f>AD36*AE36*AF36</f>
        <v>11257.294464000001</v>
      </c>
      <c r="AH36" s="11">
        <v>0</v>
      </c>
      <c r="AI36" s="498">
        <f>SUM(AG36:AH36)</f>
        <v>11257.294464000001</v>
      </c>
      <c r="AJ36" s="194">
        <f>I36+O36+U36+AA36+AG36</f>
        <v>66296.288864000002</v>
      </c>
      <c r="AK36" s="195">
        <f t="shared" ref="AJ36:AK40" si="53">J36+P36+V36+AB36+AH36</f>
        <v>0</v>
      </c>
      <c r="AL36" s="195">
        <f>SUM(AJ36:AK36)</f>
        <v>66296.288864000002</v>
      </c>
      <c r="AM36" s="4"/>
      <c r="AN36" s="4"/>
      <c r="AO36" s="4"/>
      <c r="AP36" s="4"/>
    </row>
    <row r="37" spans="1:42" x14ac:dyDescent="0.4">
      <c r="A37" s="109" t="s">
        <v>330</v>
      </c>
      <c r="B37" s="592">
        <v>86040</v>
      </c>
      <c r="C37" s="109" t="s">
        <v>240</v>
      </c>
      <c r="D37" s="109" t="s">
        <v>41</v>
      </c>
      <c r="E37" s="129">
        <f>'Dominican Republic'!E26</f>
        <v>16</v>
      </c>
      <c r="F37" s="125">
        <f>'Dominican Republic'!F26</f>
        <v>750</v>
      </c>
      <c r="G37" s="128">
        <v>1</v>
      </c>
      <c r="H37" s="127" t="s">
        <v>53</v>
      </c>
      <c r="I37" s="497">
        <f>G37*F37*E37</f>
        <v>12000</v>
      </c>
      <c r="J37" s="11">
        <v>0</v>
      </c>
      <c r="K37" s="498">
        <f>SUM(I37:J37)</f>
        <v>12000</v>
      </c>
      <c r="L37" s="492">
        <f>'Dominican Republic'!K26</f>
        <v>22</v>
      </c>
      <c r="M37" s="125">
        <f>F37*1.02</f>
        <v>765</v>
      </c>
      <c r="N37" s="128">
        <v>1</v>
      </c>
      <c r="O37" s="501">
        <f>L37*M37*N37</f>
        <v>16830</v>
      </c>
      <c r="P37" s="11">
        <v>0</v>
      </c>
      <c r="Q37" s="498">
        <f>SUM(O37:P37)</f>
        <v>16830</v>
      </c>
      <c r="R37" s="492">
        <f>'Dominican Republic'!P26</f>
        <v>22</v>
      </c>
      <c r="S37" s="125">
        <f>M37*1.02</f>
        <v>780.30000000000007</v>
      </c>
      <c r="T37" s="128">
        <v>1</v>
      </c>
      <c r="U37" s="501">
        <f>R37*S37*T37</f>
        <v>17166.600000000002</v>
      </c>
      <c r="V37" s="11">
        <v>0</v>
      </c>
      <c r="W37" s="498">
        <f>SUM(U37:V37)</f>
        <v>17166.600000000002</v>
      </c>
      <c r="X37" s="492">
        <f>'Dominican Republic'!U26</f>
        <v>22</v>
      </c>
      <c r="Y37" s="125">
        <f t="shared" ref="Y37:Y39" si="54">S37*1.02</f>
        <v>795.90600000000006</v>
      </c>
      <c r="Z37" s="128">
        <v>1</v>
      </c>
      <c r="AA37" s="501">
        <f>X37*Y37*Z37</f>
        <v>17509.932000000001</v>
      </c>
      <c r="AB37" s="11">
        <v>0</v>
      </c>
      <c r="AC37" s="498">
        <f>SUM(AA37:AB37)</f>
        <v>17509.932000000001</v>
      </c>
      <c r="AD37" s="492">
        <f>'Dominican Republic'!Z26</f>
        <v>16</v>
      </c>
      <c r="AE37" s="125">
        <f>Y37*1.02</f>
        <v>811.82412000000011</v>
      </c>
      <c r="AF37" s="128">
        <v>1</v>
      </c>
      <c r="AG37" s="501">
        <f>AD37*AE37*AF37</f>
        <v>12989.185920000002</v>
      </c>
      <c r="AH37" s="11">
        <v>0</v>
      </c>
      <c r="AI37" s="498">
        <f>SUM(AG37:AH37)</f>
        <v>12989.185920000002</v>
      </c>
      <c r="AJ37" s="194">
        <f>I37+O37+U37+AA37+AG37</f>
        <v>76495.71792000001</v>
      </c>
      <c r="AK37" s="195">
        <f t="shared" si="53"/>
        <v>0</v>
      </c>
      <c r="AL37" s="195">
        <f>SUM(AJ37:AK37)</f>
        <v>76495.71792000001</v>
      </c>
      <c r="AM37" s="4"/>
      <c r="AN37" s="4"/>
      <c r="AO37" s="4"/>
      <c r="AP37" s="4"/>
    </row>
    <row r="38" spans="1:42" x14ac:dyDescent="0.4">
      <c r="A38" s="109" t="s">
        <v>331</v>
      </c>
      <c r="B38" s="592">
        <v>86040</v>
      </c>
      <c r="C38" s="109" t="s">
        <v>247</v>
      </c>
      <c r="D38" s="109" t="s">
        <v>42</v>
      </c>
      <c r="E38" s="129">
        <f>Guyana!E25</f>
        <v>14</v>
      </c>
      <c r="F38" s="125">
        <f>Guyana!F25</f>
        <v>850</v>
      </c>
      <c r="G38" s="128">
        <v>1</v>
      </c>
      <c r="H38" s="127" t="s">
        <v>53</v>
      </c>
      <c r="I38" s="497">
        <f>G38*F38*E38</f>
        <v>11900</v>
      </c>
      <c r="J38" s="11">
        <v>0</v>
      </c>
      <c r="K38" s="498">
        <f>SUM(I38:J38)</f>
        <v>11900</v>
      </c>
      <c r="L38" s="492">
        <f>Guyana!K25</f>
        <v>13</v>
      </c>
      <c r="M38" s="125">
        <f>F38*1.02</f>
        <v>867</v>
      </c>
      <c r="N38" s="128">
        <v>1</v>
      </c>
      <c r="O38" s="501">
        <f>L38*M38*N38</f>
        <v>11271</v>
      </c>
      <c r="P38" s="11">
        <v>0</v>
      </c>
      <c r="Q38" s="498">
        <f>SUM(O38:P38)</f>
        <v>11271</v>
      </c>
      <c r="R38" s="492">
        <f>Guyana!P25</f>
        <v>13</v>
      </c>
      <c r="S38" s="125">
        <f>M38*1.02</f>
        <v>884.34</v>
      </c>
      <c r="T38" s="128">
        <v>1</v>
      </c>
      <c r="U38" s="501">
        <f>R38*S38*T38</f>
        <v>11496.42</v>
      </c>
      <c r="V38" s="11">
        <v>0</v>
      </c>
      <c r="W38" s="498">
        <f>SUM(U38:V38)</f>
        <v>11496.42</v>
      </c>
      <c r="X38" s="492">
        <f>Guyana!U25</f>
        <v>12</v>
      </c>
      <c r="Y38" s="125">
        <f t="shared" si="54"/>
        <v>902.02680000000009</v>
      </c>
      <c r="Z38" s="128">
        <v>1</v>
      </c>
      <c r="AA38" s="501">
        <f>X38*Y38*Z38</f>
        <v>10824.321600000001</v>
      </c>
      <c r="AB38" s="11">
        <v>0</v>
      </c>
      <c r="AC38" s="498">
        <f>SUM(AA38:AB38)</f>
        <v>10824.321600000001</v>
      </c>
      <c r="AD38" s="492">
        <f>Guyana!Z25</f>
        <v>12</v>
      </c>
      <c r="AE38" s="125">
        <f>Y38*1.02</f>
        <v>920.06733600000007</v>
      </c>
      <c r="AF38" s="128">
        <v>1</v>
      </c>
      <c r="AG38" s="501">
        <f>AD38*AE38*AF38</f>
        <v>11040.808032000001</v>
      </c>
      <c r="AH38" s="11">
        <v>0</v>
      </c>
      <c r="AI38" s="498">
        <f>SUM(AG38:AH38)</f>
        <v>11040.808032000001</v>
      </c>
      <c r="AJ38" s="194">
        <f t="shared" si="53"/>
        <v>56532.549632000002</v>
      </c>
      <c r="AK38" s="195">
        <f t="shared" si="53"/>
        <v>0</v>
      </c>
      <c r="AL38" s="195">
        <f>SUM(AJ38:AK38)</f>
        <v>56532.549632000002</v>
      </c>
      <c r="AM38" s="4"/>
      <c r="AN38" s="4"/>
      <c r="AO38" s="4"/>
      <c r="AP38" s="4"/>
    </row>
    <row r="39" spans="1:42" x14ac:dyDescent="0.4">
      <c r="A39" s="109" t="s">
        <v>332</v>
      </c>
      <c r="B39" s="592">
        <v>86040</v>
      </c>
      <c r="C39" s="109" t="s">
        <v>248</v>
      </c>
      <c r="D39" s="109" t="s">
        <v>43</v>
      </c>
      <c r="E39" s="129">
        <f>Jamaica!E25</f>
        <v>14</v>
      </c>
      <c r="F39" s="125">
        <f>Jamaica!F25</f>
        <v>800</v>
      </c>
      <c r="G39" s="128">
        <v>1</v>
      </c>
      <c r="H39" s="127" t="s">
        <v>53</v>
      </c>
      <c r="I39" s="497">
        <f>G39*F39*E39</f>
        <v>11200</v>
      </c>
      <c r="J39" s="11">
        <v>0</v>
      </c>
      <c r="K39" s="498">
        <f>SUM(I39:J39)</f>
        <v>11200</v>
      </c>
      <c r="L39" s="492">
        <f>Jamaica!K25</f>
        <v>13</v>
      </c>
      <c r="M39" s="125">
        <f>F39*1.02</f>
        <v>816</v>
      </c>
      <c r="N39" s="128">
        <v>1</v>
      </c>
      <c r="O39" s="501">
        <f>L39*M39*N39</f>
        <v>10608</v>
      </c>
      <c r="P39" s="11">
        <v>0</v>
      </c>
      <c r="Q39" s="498">
        <f>SUM(O39:P39)</f>
        <v>10608</v>
      </c>
      <c r="R39" s="492">
        <f>Jamaica!P25</f>
        <v>12</v>
      </c>
      <c r="S39" s="125">
        <f>M39*1.02</f>
        <v>832.32</v>
      </c>
      <c r="T39" s="128">
        <v>1</v>
      </c>
      <c r="U39" s="501">
        <f>R39*S39*T39</f>
        <v>9987.84</v>
      </c>
      <c r="V39" s="11">
        <v>0</v>
      </c>
      <c r="W39" s="498">
        <f>SUM(U39:V39)</f>
        <v>9987.84</v>
      </c>
      <c r="X39" s="492">
        <f>Jamaica!U25</f>
        <v>12</v>
      </c>
      <c r="Y39" s="125">
        <f t="shared" si="54"/>
        <v>848.96640000000002</v>
      </c>
      <c r="Z39" s="128">
        <v>1</v>
      </c>
      <c r="AA39" s="501">
        <f>X39*Y39*Z39</f>
        <v>10187.596799999999</v>
      </c>
      <c r="AB39" s="11">
        <v>0</v>
      </c>
      <c r="AC39" s="498">
        <f>SUM(AA39:AB39)</f>
        <v>10187.596799999999</v>
      </c>
      <c r="AD39" s="492">
        <f>Jamaica!Z25</f>
        <v>13</v>
      </c>
      <c r="AE39" s="125">
        <f>Y39*1.02</f>
        <v>865.94572800000003</v>
      </c>
      <c r="AF39" s="128">
        <v>1</v>
      </c>
      <c r="AG39" s="501">
        <f>AD39*AE39*AF39</f>
        <v>11257.294464000001</v>
      </c>
      <c r="AH39" s="11">
        <v>0</v>
      </c>
      <c r="AI39" s="498">
        <f>SUM(AG39:AH39)</f>
        <v>11257.294464000001</v>
      </c>
      <c r="AJ39" s="194">
        <f t="shared" si="53"/>
        <v>53240.731263999995</v>
      </c>
      <c r="AK39" s="195">
        <f t="shared" si="53"/>
        <v>0</v>
      </c>
      <c r="AL39" s="195">
        <f>SUM(AJ39:AK39)</f>
        <v>53240.731263999995</v>
      </c>
      <c r="AM39" s="4"/>
      <c r="AN39" s="4"/>
      <c r="AO39" s="4"/>
      <c r="AP39" s="4"/>
    </row>
    <row r="40" spans="1:42" x14ac:dyDescent="0.4">
      <c r="A40" s="109" t="s">
        <v>282</v>
      </c>
      <c r="B40" s="592">
        <v>86040</v>
      </c>
      <c r="C40" s="109" t="s">
        <v>287</v>
      </c>
      <c r="D40" s="109" t="s">
        <v>54</v>
      </c>
      <c r="E40" s="129">
        <f>'Volunteer Travel'!C12</f>
        <v>3</v>
      </c>
      <c r="F40" s="125">
        <f>'Volunteer Travel'!B31</f>
        <v>887</v>
      </c>
      <c r="G40" s="128">
        <v>1</v>
      </c>
      <c r="H40" s="127" t="s">
        <v>53</v>
      </c>
      <c r="I40" s="497">
        <f>G40*F40*E40</f>
        <v>2661</v>
      </c>
      <c r="J40" s="11">
        <v>0</v>
      </c>
      <c r="K40" s="498">
        <f>SUM(I40:J40)</f>
        <v>2661</v>
      </c>
      <c r="L40" s="492">
        <f>'Volunteer Travel'!D12</f>
        <v>3</v>
      </c>
      <c r="M40" s="125">
        <f>F40*1.02</f>
        <v>904.74</v>
      </c>
      <c r="N40" s="128">
        <v>1</v>
      </c>
      <c r="O40" s="537">
        <f>L40*M40*N40</f>
        <v>2714.2200000000003</v>
      </c>
      <c r="P40" s="11">
        <v>0</v>
      </c>
      <c r="Q40" s="536">
        <f>SUM(O40:P40)</f>
        <v>2714.2200000000003</v>
      </c>
      <c r="R40" s="492">
        <f>'Volunteer Travel'!E12</f>
        <v>4</v>
      </c>
      <c r="S40" s="125">
        <f>M40*1.02</f>
        <v>922.83479999999997</v>
      </c>
      <c r="T40" s="128">
        <v>1</v>
      </c>
      <c r="U40" s="537">
        <f>R40*S40*T40</f>
        <v>3691.3391999999999</v>
      </c>
      <c r="V40" s="11">
        <v>0</v>
      </c>
      <c r="W40" s="536">
        <f>SUM(U40:V40)</f>
        <v>3691.3391999999999</v>
      </c>
      <c r="X40" s="492">
        <f>'Volunteer Travel'!F12</f>
        <v>4</v>
      </c>
      <c r="Y40" s="125">
        <f t="shared" ref="Y40" si="55">S40*1.02</f>
        <v>941.29149599999994</v>
      </c>
      <c r="Z40" s="128">
        <v>1</v>
      </c>
      <c r="AA40" s="537">
        <f>X40*Y40*Z40</f>
        <v>3765.1659839999998</v>
      </c>
      <c r="AB40" s="11">
        <v>0</v>
      </c>
      <c r="AC40" s="536">
        <f>SUM(AA40:AB40)</f>
        <v>3765.1659839999998</v>
      </c>
      <c r="AD40" s="492">
        <f>'Volunteer Travel'!G12</f>
        <v>4</v>
      </c>
      <c r="AE40" s="125">
        <f>Y40*1.02</f>
        <v>960.11732591999998</v>
      </c>
      <c r="AF40" s="128">
        <v>1</v>
      </c>
      <c r="AG40" s="537">
        <f>AD40*AE40*AF40</f>
        <v>3840.4693036799999</v>
      </c>
      <c r="AH40" s="11">
        <v>0</v>
      </c>
      <c r="AI40" s="536">
        <f>SUM(AG40:AH40)</f>
        <v>3840.4693036799999</v>
      </c>
      <c r="AJ40" s="535">
        <f t="shared" si="53"/>
        <v>16672.194487679997</v>
      </c>
      <c r="AK40" s="195">
        <f t="shared" si="53"/>
        <v>0</v>
      </c>
      <c r="AL40" s="534">
        <f>SUM(AJ40:AK40)</f>
        <v>16672.194487679997</v>
      </c>
      <c r="AM40" s="4"/>
      <c r="AN40" s="4"/>
      <c r="AO40" s="4"/>
      <c r="AP40" s="4"/>
    </row>
    <row r="41" spans="1:42" s="1" customFormat="1" x14ac:dyDescent="0.4">
      <c r="A41" s="109"/>
      <c r="B41" s="593"/>
      <c r="C41" s="109"/>
      <c r="D41" s="173" t="s">
        <v>55</v>
      </c>
      <c r="E41" s="368">
        <f>SUM(E36:E40)</f>
        <v>63</v>
      </c>
      <c r="F41" s="25"/>
      <c r="G41" s="175"/>
      <c r="H41" s="25"/>
      <c r="I41" s="499">
        <f>SUM(I36:I40)</f>
        <v>48161</v>
      </c>
      <c r="J41" s="27">
        <f>SUM(J36:J40)</f>
        <v>0</v>
      </c>
      <c r="K41" s="500">
        <f>SUM(K36:K40)</f>
        <v>48161</v>
      </c>
      <c r="L41" s="493">
        <f>SUM(L36:L40)</f>
        <v>73</v>
      </c>
      <c r="M41" s="176"/>
      <c r="N41" s="25"/>
      <c r="O41" s="540">
        <f>SUM(O36:O40)</f>
        <v>56009.22</v>
      </c>
      <c r="P41" s="27">
        <f>SUM(P36:P40)</f>
        <v>0</v>
      </c>
      <c r="Q41" s="539">
        <f>SUM(Q36:Q40)</f>
        <v>56009.22</v>
      </c>
      <c r="R41" s="493">
        <f>SUM(R36:R40)</f>
        <v>73</v>
      </c>
      <c r="S41" s="25"/>
      <c r="T41" s="25"/>
      <c r="U41" s="540">
        <f>SUM(U36:U40)</f>
        <v>57219.919200000004</v>
      </c>
      <c r="V41" s="27">
        <f>SUM(V36:V40)</f>
        <v>0</v>
      </c>
      <c r="W41" s="539">
        <f>SUM(W36:W40)</f>
        <v>57219.919200000004</v>
      </c>
      <c r="X41" s="493">
        <f>SUM(X36:X40)</f>
        <v>72</v>
      </c>
      <c r="Y41" s="25"/>
      <c r="Z41" s="25"/>
      <c r="AA41" s="540">
        <f>SUM(AA36:AA40)</f>
        <v>57462.290784000004</v>
      </c>
      <c r="AB41" s="27">
        <f>SUM(AB36:AB40)</f>
        <v>0</v>
      </c>
      <c r="AC41" s="539">
        <f>SUM(AC36:AC40)</f>
        <v>57462.290784000004</v>
      </c>
      <c r="AD41" s="175">
        <f>SUM(AD36:AD40)</f>
        <v>61</v>
      </c>
      <c r="AE41" s="25"/>
      <c r="AF41" s="25"/>
      <c r="AG41" s="540">
        <f t="shared" ref="AG41:AL41" si="56">SUM(AG36:AG40)</f>
        <v>50385.052183680004</v>
      </c>
      <c r="AH41" s="27">
        <f t="shared" si="56"/>
        <v>0</v>
      </c>
      <c r="AI41" s="539">
        <f t="shared" si="56"/>
        <v>50385.052183680004</v>
      </c>
      <c r="AJ41" s="538">
        <f t="shared" si="56"/>
        <v>269237.48216768005</v>
      </c>
      <c r="AK41" s="26">
        <f t="shared" si="56"/>
        <v>0</v>
      </c>
      <c r="AL41" s="533">
        <f t="shared" si="56"/>
        <v>269237.48216768005</v>
      </c>
    </row>
    <row r="42" spans="1:42" x14ac:dyDescent="0.4">
      <c r="A42" s="109"/>
      <c r="B42" s="602"/>
      <c r="C42" s="109"/>
      <c r="D42" s="61"/>
      <c r="E42" s="129"/>
      <c r="F42" s="127"/>
      <c r="G42" s="128"/>
      <c r="H42" s="127"/>
      <c r="I42" s="501"/>
      <c r="J42" s="11"/>
      <c r="K42" s="498"/>
      <c r="L42" s="128"/>
      <c r="M42" s="127"/>
      <c r="N42" s="127"/>
      <c r="O42" s="501"/>
      <c r="P42" s="11"/>
      <c r="Q42" s="498"/>
      <c r="R42" s="128"/>
      <c r="S42" s="127"/>
      <c r="T42" s="127"/>
      <c r="U42" s="501"/>
      <c r="V42" s="11"/>
      <c r="W42" s="498"/>
      <c r="X42" s="128"/>
      <c r="Y42" s="127"/>
      <c r="Z42" s="127"/>
      <c r="AA42" s="501"/>
      <c r="AB42" s="11"/>
      <c r="AC42" s="498"/>
      <c r="AD42" s="128"/>
      <c r="AE42" s="127"/>
      <c r="AF42" s="127"/>
      <c r="AG42" s="501"/>
      <c r="AH42" s="11"/>
      <c r="AI42" s="498"/>
      <c r="AJ42" s="194"/>
      <c r="AK42" s="195"/>
      <c r="AL42" s="195"/>
      <c r="AM42" s="4"/>
      <c r="AN42" s="4"/>
      <c r="AO42" s="4"/>
      <c r="AP42" s="4"/>
    </row>
    <row r="43" spans="1:42" x14ac:dyDescent="0.4">
      <c r="A43" s="109"/>
      <c r="B43" s="595"/>
      <c r="C43" s="109"/>
      <c r="D43" s="57" t="s">
        <v>56</v>
      </c>
      <c r="E43" s="31"/>
      <c r="F43" s="127"/>
      <c r="G43" s="127"/>
      <c r="H43" s="127"/>
      <c r="I43" s="501"/>
      <c r="J43" s="11"/>
      <c r="K43" s="498"/>
      <c r="L43" s="127"/>
      <c r="M43" s="127"/>
      <c r="N43" s="127"/>
      <c r="O43" s="501"/>
      <c r="P43" s="11"/>
      <c r="Q43" s="498"/>
      <c r="R43" s="127"/>
      <c r="S43" s="127"/>
      <c r="T43" s="127"/>
      <c r="U43" s="501"/>
      <c r="V43" s="11"/>
      <c r="W43" s="498"/>
      <c r="X43" s="127"/>
      <c r="Y43" s="127"/>
      <c r="Z43" s="127"/>
      <c r="AA43" s="501"/>
      <c r="AB43" s="11"/>
      <c r="AC43" s="498"/>
      <c r="AD43" s="127"/>
      <c r="AE43" s="127"/>
      <c r="AF43" s="127"/>
      <c r="AG43" s="501"/>
      <c r="AH43" s="11"/>
      <c r="AI43" s="498"/>
      <c r="AJ43" s="194"/>
      <c r="AK43" s="195"/>
      <c r="AL43" s="195"/>
      <c r="AM43" s="4"/>
      <c r="AN43" s="4"/>
      <c r="AO43" s="4"/>
      <c r="AP43" s="4"/>
    </row>
    <row r="44" spans="1:42" ht="36.9" x14ac:dyDescent="0.4">
      <c r="A44" s="61" t="s">
        <v>278</v>
      </c>
      <c r="B44" s="613" t="s">
        <v>286</v>
      </c>
      <c r="C44" s="109" t="s">
        <v>285</v>
      </c>
      <c r="D44" s="126" t="s">
        <v>57</v>
      </c>
      <c r="E44" s="129">
        <v>1</v>
      </c>
      <c r="F44" s="128">
        <f>SUM('Guatemala '!I27:I35)</f>
        <v>34108.665000000001</v>
      </c>
      <c r="G44" s="128">
        <v>1</v>
      </c>
      <c r="H44" s="127" t="s">
        <v>40</v>
      </c>
      <c r="I44" s="497">
        <f t="shared" ref="I44:I45" si="57">G44*F44*E44</f>
        <v>34108.665000000001</v>
      </c>
      <c r="J44" s="11">
        <v>0</v>
      </c>
      <c r="K44" s="498">
        <f t="shared" ref="K44:K45" si="58">SUM(I44:J44)</f>
        <v>34108.665000000001</v>
      </c>
      <c r="L44" s="492">
        <v>1</v>
      </c>
      <c r="M44" s="125">
        <f>SUM('Guatemala '!O27:O35)</f>
        <v>46333.839149999993</v>
      </c>
      <c r="N44" s="128">
        <v>1</v>
      </c>
      <c r="O44" s="501">
        <f>L44*M44*N44</f>
        <v>46333.839149999993</v>
      </c>
      <c r="P44" s="11">
        <v>0</v>
      </c>
      <c r="Q44" s="498">
        <f>SUM(O44:P44)</f>
        <v>46333.839149999993</v>
      </c>
      <c r="R44" s="492">
        <v>1</v>
      </c>
      <c r="S44" s="125">
        <f>SUM('Guatemala '!T27:T35)</f>
        <v>47260.515933000002</v>
      </c>
      <c r="T44" s="128">
        <v>1</v>
      </c>
      <c r="U44" s="501">
        <f>R44*S44*T44</f>
        <v>47260.515933000002</v>
      </c>
      <c r="V44" s="11">
        <v>0</v>
      </c>
      <c r="W44" s="498">
        <f>SUM(U44:V44)</f>
        <v>47260.515933000002</v>
      </c>
      <c r="X44" s="492">
        <v>1</v>
      </c>
      <c r="Y44" s="125">
        <f>SUM('Guatemala '!Y27:Y35)</f>
        <v>48205.726251659995</v>
      </c>
      <c r="Z44" s="128">
        <v>1</v>
      </c>
      <c r="AA44" s="501">
        <f>X44*Y44*Z44</f>
        <v>48205.726251659995</v>
      </c>
      <c r="AB44" s="11">
        <v>0</v>
      </c>
      <c r="AC44" s="498">
        <f>SUM(AA44:AB44)</f>
        <v>48205.726251659995</v>
      </c>
      <c r="AD44" s="492">
        <v>1</v>
      </c>
      <c r="AE44" s="125">
        <f>SUM('Guatemala '!AD27:AD35)</f>
        <v>36008.548143253203</v>
      </c>
      <c r="AF44" s="128">
        <v>1</v>
      </c>
      <c r="AG44" s="501">
        <f t="shared" ref="AG44:AG47" si="59">AD44*AE44*AF44</f>
        <v>36008.548143253203</v>
      </c>
      <c r="AH44" s="11">
        <v>0</v>
      </c>
      <c r="AI44" s="498">
        <f>SUM(AG44:AH44)</f>
        <v>36008.548143253203</v>
      </c>
      <c r="AJ44" s="194">
        <f>I44+O44+U44+AA44+AG44</f>
        <v>211917.29447791318</v>
      </c>
      <c r="AK44" s="195">
        <f>J44+P44+V44+AB44+AH44</f>
        <v>0</v>
      </c>
      <c r="AL44" s="195">
        <f>SUM(AJ44:AK44)</f>
        <v>211917.29447791318</v>
      </c>
      <c r="AM44" s="4"/>
      <c r="AN44" s="4"/>
      <c r="AO44" s="4"/>
      <c r="AP44" s="4"/>
    </row>
    <row r="45" spans="1:42" ht="36.9" x14ac:dyDescent="0.4">
      <c r="A45" s="61" t="s">
        <v>278</v>
      </c>
      <c r="B45" s="613" t="s">
        <v>286</v>
      </c>
      <c r="C45" s="109" t="s">
        <v>240</v>
      </c>
      <c r="D45" s="126" t="s">
        <v>58</v>
      </c>
      <c r="E45" s="129">
        <v>1</v>
      </c>
      <c r="F45" s="128">
        <f>SUM('Dominican Republic'!I27:I35)</f>
        <v>39000.269999999997</v>
      </c>
      <c r="G45" s="128">
        <v>1</v>
      </c>
      <c r="H45" s="127" t="s">
        <v>40</v>
      </c>
      <c r="I45" s="497">
        <f t="shared" si="57"/>
        <v>39000.269999999997</v>
      </c>
      <c r="J45" s="11">
        <v>0</v>
      </c>
      <c r="K45" s="498">
        <f t="shared" si="58"/>
        <v>39000.269999999997</v>
      </c>
      <c r="L45" s="492">
        <v>1</v>
      </c>
      <c r="M45" s="125">
        <f>SUM('Dominican Republic'!O27:O35)</f>
        <v>53251.073699999994</v>
      </c>
      <c r="N45" s="128">
        <v>1</v>
      </c>
      <c r="O45" s="501">
        <f t="shared" ref="O45:O47" si="60">L45*M45*N45</f>
        <v>53251.073699999994</v>
      </c>
      <c r="P45" s="11">
        <v>0</v>
      </c>
      <c r="Q45" s="498">
        <f>SUM(O45:P45)</f>
        <v>53251.073699999994</v>
      </c>
      <c r="R45" s="492">
        <v>1</v>
      </c>
      <c r="S45" s="125">
        <f>SUM('Dominican Republic'!S27:S35)</f>
        <v>54316.095174000009</v>
      </c>
      <c r="T45" s="128">
        <v>1</v>
      </c>
      <c r="U45" s="501">
        <f t="shared" ref="U45:U47" si="61">R45*S45*T45</f>
        <v>54316.095174000009</v>
      </c>
      <c r="V45" s="11">
        <v>0</v>
      </c>
      <c r="W45" s="498">
        <f>SUM(U45:V45)</f>
        <v>54316.095174000009</v>
      </c>
      <c r="X45" s="492">
        <v>1</v>
      </c>
      <c r="Y45" s="125">
        <f>SUM('Dominican Republic'!Y27:Y35)</f>
        <v>55402.417077480008</v>
      </c>
      <c r="Z45" s="128">
        <v>1</v>
      </c>
      <c r="AA45" s="501">
        <f t="shared" ref="AA45:AA47" si="62">X45*Y45*Z45</f>
        <v>55402.417077480008</v>
      </c>
      <c r="AB45" s="11">
        <v>0</v>
      </c>
      <c r="AC45" s="498">
        <f>SUM(AA45:AB45)</f>
        <v>55402.417077480008</v>
      </c>
      <c r="AD45" s="492">
        <v>1</v>
      </c>
      <c r="AE45" s="125">
        <f>SUM('Dominican Republic'!AD27:AD35)</f>
        <v>41337.79734587761</v>
      </c>
      <c r="AF45" s="128">
        <v>1</v>
      </c>
      <c r="AG45" s="501">
        <f t="shared" si="59"/>
        <v>41337.79734587761</v>
      </c>
      <c r="AH45" s="11">
        <v>0</v>
      </c>
      <c r="AI45" s="498">
        <f>SUM(AG45:AH45)</f>
        <v>41337.79734587761</v>
      </c>
      <c r="AJ45" s="194">
        <f t="shared" ref="AJ45" si="63">I45+O45+U45+AA45+AG45</f>
        <v>243307.65329735761</v>
      </c>
      <c r="AK45" s="195">
        <f t="shared" ref="AK45:AK47" si="64">J45+P45+V45+AB45+AH45</f>
        <v>0</v>
      </c>
      <c r="AL45" s="195">
        <f t="shared" ref="AL45:AL46" si="65">SUM(AJ45:AK45)</f>
        <v>243307.65329735761</v>
      </c>
      <c r="AM45" s="4"/>
      <c r="AN45" s="4"/>
      <c r="AO45" s="4"/>
      <c r="AP45" s="4"/>
    </row>
    <row r="46" spans="1:42" ht="36.9" x14ac:dyDescent="0.4">
      <c r="A46" s="61" t="s">
        <v>278</v>
      </c>
      <c r="B46" s="613" t="s">
        <v>286</v>
      </c>
      <c r="C46" s="109" t="s">
        <v>247</v>
      </c>
      <c r="D46" s="126" t="s">
        <v>59</v>
      </c>
      <c r="E46" s="129">
        <v>1</v>
      </c>
      <c r="F46" s="128">
        <f>SUM(Guyana!I26:I34)</f>
        <v>37219.024000000005</v>
      </c>
      <c r="G46" s="128">
        <v>1</v>
      </c>
      <c r="H46" s="127" t="s">
        <v>40</v>
      </c>
      <c r="I46" s="497">
        <f>G46*F46*E46</f>
        <v>37219.024000000005</v>
      </c>
      <c r="J46" s="11">
        <v>0</v>
      </c>
      <c r="K46" s="498">
        <f t="shared" ref="K46:K47" si="66">SUM(I46:J46)</f>
        <v>37219.024000000005</v>
      </c>
      <c r="L46" s="492">
        <v>1</v>
      </c>
      <c r="M46" s="125">
        <f>SUM(Guyana!N26:N34)</f>
        <v>36276.316320000005</v>
      </c>
      <c r="N46" s="128">
        <v>1</v>
      </c>
      <c r="O46" s="501">
        <f t="shared" si="60"/>
        <v>36276.316320000005</v>
      </c>
      <c r="P46" s="11">
        <v>0</v>
      </c>
      <c r="Q46" s="498">
        <f t="shared" ref="Q46:Q47" si="67">SUM(O46:P46)</f>
        <v>36276.316320000005</v>
      </c>
      <c r="R46" s="492">
        <v>1</v>
      </c>
      <c r="S46" s="125">
        <f>SUM(Guyana!S26:S34)</f>
        <v>37001.8426464</v>
      </c>
      <c r="T46" s="128">
        <v>1</v>
      </c>
      <c r="U46" s="501">
        <f t="shared" si="61"/>
        <v>37001.8426464</v>
      </c>
      <c r="V46" s="11">
        <v>0</v>
      </c>
      <c r="W46" s="498">
        <f t="shared" ref="W46:W47" si="68">SUM(U46:V46)</f>
        <v>37001.8426464</v>
      </c>
      <c r="X46" s="492">
        <v>1</v>
      </c>
      <c r="Y46" s="125">
        <f>SUM(Guyana!Y26:Y34)</f>
        <v>35053.903307808003</v>
      </c>
      <c r="Z46" s="128">
        <v>1</v>
      </c>
      <c r="AA46" s="501">
        <f t="shared" si="62"/>
        <v>35053.903307808003</v>
      </c>
      <c r="AB46" s="11">
        <v>0</v>
      </c>
      <c r="AC46" s="498">
        <f t="shared" ref="AC46:AC47" si="69">SUM(AA46:AB46)</f>
        <v>35053.903307808003</v>
      </c>
      <c r="AD46" s="492">
        <v>1</v>
      </c>
      <c r="AE46" s="125">
        <f>SUM(Guyana!AD26:AD34)</f>
        <v>34803.597110711045</v>
      </c>
      <c r="AF46" s="128">
        <v>1</v>
      </c>
      <c r="AG46" s="501">
        <f t="shared" si="59"/>
        <v>34803.597110711045</v>
      </c>
      <c r="AH46" s="11">
        <v>0</v>
      </c>
      <c r="AI46" s="498">
        <f t="shared" ref="AI46:AI47" si="70">SUM(AG46:AH46)</f>
        <v>34803.597110711045</v>
      </c>
      <c r="AJ46" s="194">
        <f>I46+O46+U46+AA46+AG46</f>
        <v>180354.68338491907</v>
      </c>
      <c r="AK46" s="195">
        <f t="shared" si="64"/>
        <v>0</v>
      </c>
      <c r="AL46" s="195">
        <f t="shared" si="65"/>
        <v>180354.68338491907</v>
      </c>
      <c r="AM46" s="4"/>
      <c r="AN46" s="4"/>
      <c r="AO46" s="4"/>
      <c r="AP46" s="4"/>
    </row>
    <row r="47" spans="1:42" ht="36.9" x14ac:dyDescent="0.4">
      <c r="A47" s="61" t="s">
        <v>278</v>
      </c>
      <c r="B47" s="613" t="s">
        <v>286</v>
      </c>
      <c r="C47" s="109" t="s">
        <v>248</v>
      </c>
      <c r="D47" s="126" t="s">
        <v>60</v>
      </c>
      <c r="E47" s="129">
        <v>1</v>
      </c>
      <c r="F47" s="128">
        <f>SUM(Jamaica!I26:I34)</f>
        <v>37878.620000000003</v>
      </c>
      <c r="G47" s="128">
        <v>1</v>
      </c>
      <c r="H47" s="127" t="s">
        <v>40</v>
      </c>
      <c r="I47" s="497">
        <f t="shared" ref="I47" si="71">G47*F47*E47</f>
        <v>37878.620000000003</v>
      </c>
      <c r="J47" s="11">
        <v>0</v>
      </c>
      <c r="K47" s="498">
        <f t="shared" si="66"/>
        <v>37878.620000000003</v>
      </c>
      <c r="L47" s="492">
        <v>1</v>
      </c>
      <c r="M47" s="125">
        <f>SUM(Jamaica!N26:N34)</f>
        <v>36891.696600000003</v>
      </c>
      <c r="N47" s="128">
        <v>1</v>
      </c>
      <c r="O47" s="501">
        <f t="shared" si="60"/>
        <v>36891.696600000003</v>
      </c>
      <c r="P47" s="11">
        <v>0</v>
      </c>
      <c r="Q47" s="498">
        <f t="shared" si="67"/>
        <v>36891.696600000003</v>
      </c>
      <c r="R47" s="492">
        <v>1</v>
      </c>
      <c r="S47" s="125">
        <f>SUM(Jamaica!S26:S34)</f>
        <v>34944.050051999999</v>
      </c>
      <c r="T47" s="128">
        <v>1</v>
      </c>
      <c r="U47" s="501">
        <f t="shared" si="61"/>
        <v>34944.050051999999</v>
      </c>
      <c r="V47" s="11">
        <v>0</v>
      </c>
      <c r="W47" s="498">
        <f t="shared" si="68"/>
        <v>34944.050051999999</v>
      </c>
      <c r="X47" s="492">
        <v>1</v>
      </c>
      <c r="Y47" s="125">
        <f>SUM(Jamaica!Y26:Y34)</f>
        <v>35642.931053039996</v>
      </c>
      <c r="Z47" s="128">
        <v>1</v>
      </c>
      <c r="AA47" s="501">
        <f t="shared" si="62"/>
        <v>35642.931053039996</v>
      </c>
      <c r="AB47" s="11">
        <v>0</v>
      </c>
      <c r="AC47" s="498">
        <f t="shared" si="69"/>
        <v>35642.931053039996</v>
      </c>
      <c r="AD47" s="492">
        <v>1</v>
      </c>
      <c r="AE47" s="125">
        <f>SUM(Jamaica!AD26:AD34)</f>
        <v>38207.062573027193</v>
      </c>
      <c r="AF47" s="128">
        <v>1</v>
      </c>
      <c r="AG47" s="501">
        <f t="shared" si="59"/>
        <v>38207.062573027193</v>
      </c>
      <c r="AH47" s="11">
        <v>0</v>
      </c>
      <c r="AI47" s="498">
        <f t="shared" si="70"/>
        <v>38207.062573027193</v>
      </c>
      <c r="AJ47" s="194">
        <f>I47+O47+U47+AA47+AG47</f>
        <v>183564.36027806718</v>
      </c>
      <c r="AK47" s="195">
        <f t="shared" si="64"/>
        <v>0</v>
      </c>
      <c r="AL47" s="195">
        <f>SUM(AJ47:AK47)</f>
        <v>183564.36027806718</v>
      </c>
      <c r="AM47" s="4"/>
      <c r="AN47" s="4"/>
      <c r="AO47" s="4"/>
      <c r="AP47" s="4"/>
    </row>
    <row r="48" spans="1:42" ht="36.9" x14ac:dyDescent="0.4">
      <c r="A48" s="109" t="s">
        <v>283</v>
      </c>
      <c r="B48" s="613" t="s">
        <v>286</v>
      </c>
      <c r="C48" s="109" t="s">
        <v>287</v>
      </c>
      <c r="D48" s="126" t="s">
        <v>61</v>
      </c>
      <c r="E48" s="129">
        <v>1</v>
      </c>
      <c r="F48" s="128">
        <f>'Volunteer Travel'!B34*'Detailed Budget'!E40</f>
        <v>5571</v>
      </c>
      <c r="G48" s="128">
        <v>1</v>
      </c>
      <c r="H48" s="127" t="s">
        <v>40</v>
      </c>
      <c r="I48" s="497">
        <f>G48*F48*E48</f>
        <v>5571</v>
      </c>
      <c r="J48" s="11">
        <v>0</v>
      </c>
      <c r="K48" s="498">
        <f t="shared" ref="K48" si="72">SUM(I48:J48)</f>
        <v>5571</v>
      </c>
      <c r="L48" s="492">
        <v>1</v>
      </c>
      <c r="M48" s="128">
        <f>'Volunteer Travel'!C34*'Detailed Budget'!L40</f>
        <v>5739</v>
      </c>
      <c r="N48" s="128">
        <v>1</v>
      </c>
      <c r="O48" s="537">
        <f t="shared" ref="O48" si="73">L48*M48*N48</f>
        <v>5739</v>
      </c>
      <c r="P48" s="11">
        <v>0</v>
      </c>
      <c r="Q48" s="536">
        <f t="shared" ref="Q48" si="74">SUM(O48:P48)</f>
        <v>5739</v>
      </c>
      <c r="R48" s="492">
        <v>1</v>
      </c>
      <c r="S48" s="125">
        <f>'Volunteer Travel'!D34*'Detailed Budget'!R40</f>
        <v>7880</v>
      </c>
      <c r="T48" s="128">
        <v>1</v>
      </c>
      <c r="U48" s="537">
        <f>R48*S48*T48</f>
        <v>7880</v>
      </c>
      <c r="V48" s="11">
        <v>0</v>
      </c>
      <c r="W48" s="536">
        <f t="shared" ref="W48" si="75">SUM(U48:V48)</f>
        <v>7880</v>
      </c>
      <c r="X48" s="492">
        <v>1</v>
      </c>
      <c r="Y48" s="125">
        <f>'Volunteer Travel'!F34*'Detailed Budget'!X40</f>
        <v>8116</v>
      </c>
      <c r="Z48" s="128">
        <v>1</v>
      </c>
      <c r="AA48" s="537">
        <f t="shared" ref="AA48" si="76">X48*Y48*Z48</f>
        <v>8116</v>
      </c>
      <c r="AB48" s="11">
        <v>0</v>
      </c>
      <c r="AC48" s="536">
        <f t="shared" ref="AC48" si="77">SUM(AA48:AB48)</f>
        <v>8116</v>
      </c>
      <c r="AD48" s="492">
        <v>1</v>
      </c>
      <c r="AE48" s="125">
        <f>'Volunteer Travel'!G34*'Detailed Budget'!AD40</f>
        <v>8360</v>
      </c>
      <c r="AF48" s="128">
        <v>1</v>
      </c>
      <c r="AG48" s="537">
        <f t="shared" ref="AG48" si="78">AD48*AE48*AF48</f>
        <v>8360</v>
      </c>
      <c r="AH48" s="11">
        <v>0</v>
      </c>
      <c r="AI48" s="536">
        <f t="shared" ref="AI48" si="79">SUM(AG48:AH48)</f>
        <v>8360</v>
      </c>
      <c r="AJ48" s="535">
        <f>I48+O48+U48+AA48+AG48</f>
        <v>35666</v>
      </c>
      <c r="AK48" s="195">
        <f t="shared" ref="AK48" si="80">J48+P48+V48+AB48+AH48</f>
        <v>0</v>
      </c>
      <c r="AL48" s="534">
        <f>SUM(AJ48:AK48)</f>
        <v>35666</v>
      </c>
      <c r="AM48" s="4"/>
      <c r="AN48" s="4"/>
      <c r="AO48" s="4"/>
      <c r="AP48" s="4"/>
    </row>
    <row r="49" spans="1:42" s="1" customFormat="1" x14ac:dyDescent="0.4">
      <c r="A49" s="109"/>
      <c r="B49" s="613"/>
      <c r="C49" s="109"/>
      <c r="D49" s="173" t="s">
        <v>62</v>
      </c>
      <c r="E49" s="174"/>
      <c r="F49" s="25"/>
      <c r="G49" s="175"/>
      <c r="H49" s="25"/>
      <c r="I49" s="499">
        <f>SUM(I44:I48)</f>
        <v>153777.579</v>
      </c>
      <c r="J49" s="27">
        <f>SUM(J44:J48)</f>
        <v>0</v>
      </c>
      <c r="K49" s="500">
        <f>SUM(K44:K48)</f>
        <v>153777.579</v>
      </c>
      <c r="L49" s="175"/>
      <c r="M49" s="176"/>
      <c r="N49" s="25"/>
      <c r="O49" s="540">
        <f>SUM(O44:O48)</f>
        <v>178491.92577</v>
      </c>
      <c r="P49" s="27">
        <f>SUM(P44:P48)</f>
        <v>0</v>
      </c>
      <c r="Q49" s="539">
        <f>SUM(Q44:Q48)</f>
        <v>178491.92577</v>
      </c>
      <c r="R49" s="175"/>
      <c r="S49" s="25"/>
      <c r="T49" s="25"/>
      <c r="U49" s="540">
        <f>SUM(U44:U48)</f>
        <v>181402.50380540002</v>
      </c>
      <c r="V49" s="27">
        <f>SUM(V44:V48)</f>
        <v>0</v>
      </c>
      <c r="W49" s="539">
        <f>SUM(W44:W48)</f>
        <v>181402.50380540002</v>
      </c>
      <c r="X49" s="175"/>
      <c r="Y49" s="25"/>
      <c r="Z49" s="25"/>
      <c r="AA49" s="540">
        <f>SUM(AA44:AA48)</f>
        <v>182420.97768998801</v>
      </c>
      <c r="AB49" s="27">
        <f>SUM(AB44:AB48)</f>
        <v>0</v>
      </c>
      <c r="AC49" s="539">
        <f>SUM(AC44:AC48)</f>
        <v>182420.97768998801</v>
      </c>
      <c r="AD49" s="175"/>
      <c r="AE49" s="25"/>
      <c r="AF49" s="25"/>
      <c r="AG49" s="540">
        <f t="shared" ref="AG49:AK49" si="81">SUM(AG44:AG48)</f>
        <v>158717.00517286905</v>
      </c>
      <c r="AH49" s="27">
        <f t="shared" si="81"/>
        <v>0</v>
      </c>
      <c r="AI49" s="539">
        <f t="shared" si="81"/>
        <v>158717.00517286905</v>
      </c>
      <c r="AJ49" s="542">
        <f t="shared" si="81"/>
        <v>854809.99143825704</v>
      </c>
      <c r="AK49" s="28">
        <f t="shared" si="81"/>
        <v>0</v>
      </c>
      <c r="AL49" s="533">
        <f>SUM(AL44:AL48)</f>
        <v>854809.99143825704</v>
      </c>
    </row>
    <row r="50" spans="1:42" x14ac:dyDescent="0.4">
      <c r="A50" s="109"/>
      <c r="B50" s="603"/>
      <c r="C50" s="58"/>
      <c r="D50" s="58"/>
      <c r="E50" s="31"/>
      <c r="F50" s="127"/>
      <c r="G50" s="127"/>
      <c r="H50" s="127"/>
      <c r="I50" s="501"/>
      <c r="J50" s="11"/>
      <c r="K50" s="498"/>
      <c r="L50" s="127"/>
      <c r="M50" s="127"/>
      <c r="N50" s="127"/>
      <c r="O50" s="501"/>
      <c r="P50" s="11"/>
      <c r="Q50" s="498"/>
      <c r="R50" s="127"/>
      <c r="S50" s="127"/>
      <c r="T50" s="127"/>
      <c r="U50" s="501"/>
      <c r="V50" s="11"/>
      <c r="W50" s="498"/>
      <c r="X50" s="127"/>
      <c r="Y50" s="127"/>
      <c r="Z50" s="127"/>
      <c r="AA50" s="501"/>
      <c r="AB50" s="11"/>
      <c r="AC50" s="498"/>
      <c r="AD50" s="127"/>
      <c r="AE50" s="541"/>
      <c r="AF50" s="127"/>
      <c r="AG50" s="501"/>
      <c r="AH50" s="11"/>
      <c r="AI50" s="498"/>
      <c r="AJ50" s="194"/>
      <c r="AK50" s="195"/>
      <c r="AL50" s="195"/>
      <c r="AM50" s="4"/>
      <c r="AN50" s="4"/>
      <c r="AO50" s="4"/>
      <c r="AP50" s="4"/>
    </row>
    <row r="51" spans="1:42" s="24" customFormat="1" x14ac:dyDescent="0.4">
      <c r="A51" s="102"/>
      <c r="B51" s="604"/>
      <c r="C51" s="102"/>
      <c r="D51" s="102" t="s">
        <v>63</v>
      </c>
      <c r="E51" s="124"/>
      <c r="F51" s="103"/>
      <c r="G51" s="103"/>
      <c r="H51" s="103"/>
      <c r="I51" s="502">
        <f>I49+I41</f>
        <v>201938.579</v>
      </c>
      <c r="J51" s="490">
        <f t="shared" ref="J51:K51" si="82">J49+J41</f>
        <v>0</v>
      </c>
      <c r="K51" s="503">
        <f t="shared" si="82"/>
        <v>201938.579</v>
      </c>
      <c r="L51" s="103"/>
      <c r="M51" s="103"/>
      <c r="N51" s="103"/>
      <c r="O51" s="502">
        <f>O49+O41</f>
        <v>234501.14577</v>
      </c>
      <c r="P51" s="490">
        <f>P49+P41</f>
        <v>0</v>
      </c>
      <c r="Q51" s="503">
        <f>SUM(O51:P51)</f>
        <v>234501.14577</v>
      </c>
      <c r="R51" s="103"/>
      <c r="S51" s="103"/>
      <c r="T51" s="103"/>
      <c r="U51" s="502">
        <f>U49+U41</f>
        <v>238622.42300540002</v>
      </c>
      <c r="V51" s="490">
        <f>V49+V41</f>
        <v>0</v>
      </c>
      <c r="W51" s="503">
        <f>SUM(U51:V51)</f>
        <v>238622.42300540002</v>
      </c>
      <c r="X51" s="103"/>
      <c r="Y51" s="103"/>
      <c r="Z51" s="103"/>
      <c r="AA51" s="502">
        <f>AA49+AA41</f>
        <v>239883.26847398802</v>
      </c>
      <c r="AB51" s="490">
        <f>AB49+AB41</f>
        <v>0</v>
      </c>
      <c r="AC51" s="503">
        <f>SUM(AA51:AB51)</f>
        <v>239883.26847398802</v>
      </c>
      <c r="AD51" s="103"/>
      <c r="AE51" s="103"/>
      <c r="AF51" s="103"/>
      <c r="AG51" s="502">
        <f>AG49+AG41</f>
        <v>209102.05735654905</v>
      </c>
      <c r="AH51" s="490">
        <f>AH49+AH41</f>
        <v>0</v>
      </c>
      <c r="AI51" s="503">
        <f>SUM(AG51:AH51)</f>
        <v>209102.05735654905</v>
      </c>
      <c r="AJ51" s="130">
        <f>AJ49+AJ41</f>
        <v>1124047.4736059371</v>
      </c>
      <c r="AK51" s="105">
        <f>AK49+AK41</f>
        <v>0</v>
      </c>
      <c r="AL51" s="105">
        <f>AL49+AL41</f>
        <v>1124047.4736059371</v>
      </c>
      <c r="AM51" s="120"/>
    </row>
    <row r="52" spans="1:42" x14ac:dyDescent="0.4">
      <c r="A52" s="58"/>
      <c r="B52" s="603"/>
      <c r="C52" s="58"/>
      <c r="D52" s="58"/>
      <c r="E52" s="31"/>
      <c r="F52" s="127"/>
      <c r="G52" s="127"/>
      <c r="H52" s="127"/>
      <c r="I52" s="501"/>
      <c r="J52" s="11"/>
      <c r="K52" s="498"/>
      <c r="L52" s="127"/>
      <c r="M52" s="127"/>
      <c r="N52" s="127"/>
      <c r="O52" s="501"/>
      <c r="P52" s="11"/>
      <c r="Q52" s="498"/>
      <c r="R52" s="127"/>
      <c r="S52" s="127"/>
      <c r="T52" s="127"/>
      <c r="U52" s="501"/>
      <c r="V52" s="11"/>
      <c r="W52" s="498"/>
      <c r="X52" s="127"/>
      <c r="Y52" s="127"/>
      <c r="Z52" s="127"/>
      <c r="AA52" s="501"/>
      <c r="AB52" s="11"/>
      <c r="AC52" s="498"/>
      <c r="AD52" s="127"/>
      <c r="AE52" s="127"/>
      <c r="AF52" s="127"/>
      <c r="AG52" s="501"/>
      <c r="AH52" s="11"/>
      <c r="AI52" s="498"/>
      <c r="AJ52" s="194"/>
      <c r="AK52" s="195">
        <f t="shared" ref="AK52" si="83">J52+P52+V52+AB52+AH52</f>
        <v>0</v>
      </c>
      <c r="AL52" s="195">
        <f t="shared" ref="AL52" si="84">SUM(AJ52:AK52)</f>
        <v>0</v>
      </c>
      <c r="AM52" s="4"/>
      <c r="AN52" s="4"/>
      <c r="AO52" s="4"/>
      <c r="AP52" s="4"/>
    </row>
    <row r="53" spans="1:42" x14ac:dyDescent="0.4">
      <c r="A53" s="57"/>
      <c r="B53" s="595"/>
      <c r="C53" s="57"/>
      <c r="D53" s="57" t="s">
        <v>64</v>
      </c>
      <c r="E53" s="31"/>
      <c r="F53" s="127"/>
      <c r="G53" s="127"/>
      <c r="H53" s="127"/>
      <c r="I53" s="501"/>
      <c r="J53" s="11"/>
      <c r="K53" s="498"/>
      <c r="L53" s="127"/>
      <c r="M53" s="127"/>
      <c r="N53" s="127"/>
      <c r="O53" s="501"/>
      <c r="P53" s="11"/>
      <c r="Q53" s="498"/>
      <c r="R53" s="127"/>
      <c r="S53" s="127"/>
      <c r="T53" s="127"/>
      <c r="U53" s="501"/>
      <c r="V53" s="11"/>
      <c r="W53" s="498"/>
      <c r="X53" s="127"/>
      <c r="Y53" s="127"/>
      <c r="Z53" s="127"/>
      <c r="AA53" s="501"/>
      <c r="AB53" s="11"/>
      <c r="AC53" s="498"/>
      <c r="AD53" s="127"/>
      <c r="AE53" s="127"/>
      <c r="AF53" s="127"/>
      <c r="AG53" s="501"/>
      <c r="AH53" s="11"/>
      <c r="AI53" s="498"/>
      <c r="AJ53" s="194"/>
      <c r="AK53" s="195"/>
      <c r="AL53" s="195"/>
      <c r="AM53" s="4"/>
      <c r="AN53" s="4"/>
      <c r="AO53" s="4"/>
      <c r="AP53" s="4"/>
    </row>
    <row r="54" spans="1:42" x14ac:dyDescent="0.4">
      <c r="A54" s="109" t="s">
        <v>288</v>
      </c>
      <c r="B54" s="592" t="s">
        <v>293</v>
      </c>
      <c r="C54" s="109" t="s">
        <v>284</v>
      </c>
      <c r="D54" s="109" t="s">
        <v>39</v>
      </c>
      <c r="E54" s="129">
        <v>1</v>
      </c>
      <c r="F54" s="125">
        <f>'HQ Travel'!B3</f>
        <v>650</v>
      </c>
      <c r="G54" s="128">
        <v>1</v>
      </c>
      <c r="H54" s="127" t="s">
        <v>53</v>
      </c>
      <c r="I54" s="497">
        <f>G54*F54*E54</f>
        <v>650</v>
      </c>
      <c r="J54" s="11">
        <v>0</v>
      </c>
      <c r="K54" s="498">
        <f>SUM(I54:J54)</f>
        <v>650</v>
      </c>
      <c r="L54" s="492">
        <v>1</v>
      </c>
      <c r="M54" s="125">
        <f>F54*1.02</f>
        <v>663</v>
      </c>
      <c r="N54" s="128">
        <v>1</v>
      </c>
      <c r="O54" s="501">
        <f>L54*M54*N54</f>
        <v>663</v>
      </c>
      <c r="P54" s="11">
        <v>0</v>
      </c>
      <c r="Q54" s="498">
        <f>SUM(O54:P54)</f>
        <v>663</v>
      </c>
      <c r="R54" s="492">
        <v>1</v>
      </c>
      <c r="S54" s="125">
        <f>M54*1.02</f>
        <v>676.26</v>
      </c>
      <c r="T54" s="128">
        <v>1</v>
      </c>
      <c r="U54" s="501">
        <f>R54*S54*T54</f>
        <v>676.26</v>
      </c>
      <c r="V54" s="11">
        <v>0</v>
      </c>
      <c r="W54" s="498">
        <f>SUM(U54:V54)</f>
        <v>676.26</v>
      </c>
      <c r="X54" s="492">
        <v>1</v>
      </c>
      <c r="Y54" s="125">
        <f>S54*1.02</f>
        <v>689.78520000000003</v>
      </c>
      <c r="Z54" s="128">
        <v>1</v>
      </c>
      <c r="AA54" s="501">
        <f>X54*Y54*Z54</f>
        <v>689.78520000000003</v>
      </c>
      <c r="AB54" s="11">
        <v>0</v>
      </c>
      <c r="AC54" s="498">
        <f>SUM(AA54:AB54)</f>
        <v>689.78520000000003</v>
      </c>
      <c r="AD54" s="492">
        <v>1</v>
      </c>
      <c r="AE54" s="125">
        <f>Y54*1.02</f>
        <v>703.58090400000003</v>
      </c>
      <c r="AF54" s="128">
        <v>1</v>
      </c>
      <c r="AG54" s="501">
        <f>AD54*AE54*AF54</f>
        <v>703.58090400000003</v>
      </c>
      <c r="AH54" s="11">
        <v>0</v>
      </c>
      <c r="AI54" s="498">
        <f>SUM(AG54:AH54)</f>
        <v>703.58090400000003</v>
      </c>
      <c r="AJ54" s="194">
        <f t="shared" ref="AJ54:AK57" si="85">I54+O54+U54+AA54+AG54</f>
        <v>3382.6261039999999</v>
      </c>
      <c r="AK54" s="195">
        <f t="shared" si="85"/>
        <v>0</v>
      </c>
      <c r="AL54" s="195">
        <f>SUM(AJ54:AK54)</f>
        <v>3382.6261039999999</v>
      </c>
      <c r="AM54" s="4"/>
      <c r="AN54" s="4"/>
      <c r="AO54" s="4"/>
      <c r="AP54" s="4"/>
    </row>
    <row r="55" spans="1:42" x14ac:dyDescent="0.4">
      <c r="A55" s="109" t="s">
        <v>288</v>
      </c>
      <c r="B55" s="592" t="s">
        <v>293</v>
      </c>
      <c r="C55" s="109" t="s">
        <v>284</v>
      </c>
      <c r="D55" s="109" t="s">
        <v>41</v>
      </c>
      <c r="E55" s="129">
        <v>1</v>
      </c>
      <c r="F55" s="125">
        <f>'HQ Travel'!B4</f>
        <v>750</v>
      </c>
      <c r="G55" s="128">
        <v>1</v>
      </c>
      <c r="H55" s="127" t="s">
        <v>53</v>
      </c>
      <c r="I55" s="497">
        <f>G55*F55*E55</f>
        <v>750</v>
      </c>
      <c r="J55" s="11">
        <v>0</v>
      </c>
      <c r="K55" s="498">
        <f>SUM(I55:J55)</f>
        <v>750</v>
      </c>
      <c r="L55" s="492">
        <v>1</v>
      </c>
      <c r="M55" s="125">
        <f>F55*1.02</f>
        <v>765</v>
      </c>
      <c r="N55" s="128">
        <v>1</v>
      </c>
      <c r="O55" s="501">
        <f>L55*M55*N55</f>
        <v>765</v>
      </c>
      <c r="P55" s="11">
        <v>0</v>
      </c>
      <c r="Q55" s="498">
        <f>SUM(O55:P55)</f>
        <v>765</v>
      </c>
      <c r="R55" s="492">
        <v>1</v>
      </c>
      <c r="S55" s="125">
        <f>M55*1.02</f>
        <v>780.30000000000007</v>
      </c>
      <c r="T55" s="128">
        <v>1</v>
      </c>
      <c r="U55" s="501">
        <f>R55*S55*T55</f>
        <v>780.30000000000007</v>
      </c>
      <c r="V55" s="11">
        <v>0</v>
      </c>
      <c r="W55" s="498">
        <f>SUM(U55:V55)</f>
        <v>780.30000000000007</v>
      </c>
      <c r="X55" s="492">
        <v>1</v>
      </c>
      <c r="Y55" s="125">
        <f>S55*1.02</f>
        <v>795.90600000000006</v>
      </c>
      <c r="Z55" s="128">
        <v>1</v>
      </c>
      <c r="AA55" s="501">
        <f>X55*Y55*Z55</f>
        <v>795.90600000000006</v>
      </c>
      <c r="AB55" s="11">
        <v>0</v>
      </c>
      <c r="AC55" s="498">
        <f>SUM(AA55:AB55)</f>
        <v>795.90600000000006</v>
      </c>
      <c r="AD55" s="492">
        <v>1</v>
      </c>
      <c r="AE55" s="125">
        <f>Y55*1.02</f>
        <v>811.82412000000011</v>
      </c>
      <c r="AF55" s="128">
        <v>1</v>
      </c>
      <c r="AG55" s="501">
        <f>AD55*AE55*AF55</f>
        <v>811.82412000000011</v>
      </c>
      <c r="AH55" s="11">
        <v>0</v>
      </c>
      <c r="AI55" s="498">
        <f>SUM(AG55:AH55)</f>
        <v>811.82412000000011</v>
      </c>
      <c r="AJ55" s="194">
        <f t="shared" si="85"/>
        <v>3903.0301200000004</v>
      </c>
      <c r="AK55" s="195">
        <f t="shared" si="85"/>
        <v>0</v>
      </c>
      <c r="AL55" s="195">
        <f>SUM(AJ55:AK55)</f>
        <v>3903.0301200000004</v>
      </c>
      <c r="AM55" s="4"/>
      <c r="AN55" s="4"/>
      <c r="AO55" s="4"/>
      <c r="AP55" s="4"/>
    </row>
    <row r="56" spans="1:42" x14ac:dyDescent="0.4">
      <c r="A56" s="109" t="s">
        <v>288</v>
      </c>
      <c r="B56" s="592" t="s">
        <v>293</v>
      </c>
      <c r="C56" s="109" t="s">
        <v>284</v>
      </c>
      <c r="D56" s="109" t="s">
        <v>42</v>
      </c>
      <c r="E56" s="129">
        <v>1</v>
      </c>
      <c r="F56" s="125">
        <f>'HQ Travel'!B5</f>
        <v>850</v>
      </c>
      <c r="G56" s="128">
        <v>1</v>
      </c>
      <c r="H56" s="127" t="s">
        <v>53</v>
      </c>
      <c r="I56" s="497">
        <f>G56*F56*E56</f>
        <v>850</v>
      </c>
      <c r="J56" s="11">
        <v>0</v>
      </c>
      <c r="K56" s="498">
        <f>SUM(I56:J56)</f>
        <v>850</v>
      </c>
      <c r="L56" s="492">
        <v>1</v>
      </c>
      <c r="M56" s="125">
        <f>F56*1.02</f>
        <v>867</v>
      </c>
      <c r="N56" s="128">
        <v>1</v>
      </c>
      <c r="O56" s="501">
        <f>L56*M56*N56</f>
        <v>867</v>
      </c>
      <c r="P56" s="11">
        <v>0</v>
      </c>
      <c r="Q56" s="498">
        <f>SUM(O56:P56)</f>
        <v>867</v>
      </c>
      <c r="R56" s="492">
        <v>1</v>
      </c>
      <c r="S56" s="125">
        <f>M56*1.02</f>
        <v>884.34</v>
      </c>
      <c r="T56" s="128">
        <v>1</v>
      </c>
      <c r="U56" s="501">
        <f>R56*S56*T56</f>
        <v>884.34</v>
      </c>
      <c r="V56" s="11">
        <v>0</v>
      </c>
      <c r="W56" s="498">
        <f>SUM(U56:V56)</f>
        <v>884.34</v>
      </c>
      <c r="X56" s="492">
        <v>1</v>
      </c>
      <c r="Y56" s="125">
        <f>S56*1.02</f>
        <v>902.02680000000009</v>
      </c>
      <c r="Z56" s="128">
        <v>1</v>
      </c>
      <c r="AA56" s="501">
        <f>X56*Y56*Z56</f>
        <v>902.02680000000009</v>
      </c>
      <c r="AB56" s="11">
        <v>0</v>
      </c>
      <c r="AC56" s="498">
        <f>SUM(AA56:AB56)</f>
        <v>902.02680000000009</v>
      </c>
      <c r="AD56" s="492">
        <v>1</v>
      </c>
      <c r="AE56" s="125">
        <f>Y56*1.02</f>
        <v>920.06733600000007</v>
      </c>
      <c r="AF56" s="128">
        <v>1</v>
      </c>
      <c r="AG56" s="501">
        <f>AD56*AE56*AF56</f>
        <v>920.06733600000007</v>
      </c>
      <c r="AH56" s="11">
        <v>0</v>
      </c>
      <c r="AI56" s="498">
        <f>SUM(AG56:AH56)</f>
        <v>920.06733600000007</v>
      </c>
      <c r="AJ56" s="194">
        <f t="shared" si="85"/>
        <v>4423.4341359999999</v>
      </c>
      <c r="AK56" s="195">
        <f t="shared" si="85"/>
        <v>0</v>
      </c>
      <c r="AL56" s="195">
        <f>SUM(AJ56:AK56)</f>
        <v>4423.4341359999999</v>
      </c>
      <c r="AM56" s="4"/>
      <c r="AN56" s="4"/>
      <c r="AO56" s="4"/>
      <c r="AP56" s="4"/>
    </row>
    <row r="57" spans="1:42" x14ac:dyDescent="0.4">
      <c r="A57" s="109" t="s">
        <v>288</v>
      </c>
      <c r="B57" s="592" t="s">
        <v>293</v>
      </c>
      <c r="C57" s="109" t="s">
        <v>284</v>
      </c>
      <c r="D57" s="109" t="s">
        <v>43</v>
      </c>
      <c r="E57" s="129">
        <v>1</v>
      </c>
      <c r="F57" s="125">
        <f>'HQ Travel'!B6</f>
        <v>800</v>
      </c>
      <c r="G57" s="128">
        <v>1</v>
      </c>
      <c r="H57" s="127" t="s">
        <v>53</v>
      </c>
      <c r="I57" s="497">
        <f>G57*F57*E57</f>
        <v>800</v>
      </c>
      <c r="J57" s="11">
        <v>0</v>
      </c>
      <c r="K57" s="498">
        <f>SUM(I57:J57)</f>
        <v>800</v>
      </c>
      <c r="L57" s="492">
        <v>1</v>
      </c>
      <c r="M57" s="125">
        <f>F57*1.02</f>
        <v>816</v>
      </c>
      <c r="N57" s="128">
        <v>1</v>
      </c>
      <c r="O57" s="501">
        <f>L57*M57*N57</f>
        <v>816</v>
      </c>
      <c r="P57" s="11">
        <v>0</v>
      </c>
      <c r="Q57" s="498">
        <f>SUM(O57:P57)</f>
        <v>816</v>
      </c>
      <c r="R57" s="492">
        <v>1</v>
      </c>
      <c r="S57" s="125">
        <f>M57*1.02</f>
        <v>832.32</v>
      </c>
      <c r="T57" s="128">
        <v>1</v>
      </c>
      <c r="U57" s="501">
        <f>R57*S57*T57</f>
        <v>832.32</v>
      </c>
      <c r="V57" s="11">
        <v>0</v>
      </c>
      <c r="W57" s="498">
        <f>SUM(U57:V57)</f>
        <v>832.32</v>
      </c>
      <c r="X57" s="492">
        <v>1</v>
      </c>
      <c r="Y57" s="125">
        <f>S57*1.02</f>
        <v>848.96640000000002</v>
      </c>
      <c r="Z57" s="128">
        <v>1</v>
      </c>
      <c r="AA57" s="501">
        <f>X57*Y57*Z57</f>
        <v>848.96640000000002</v>
      </c>
      <c r="AB57" s="11">
        <v>0</v>
      </c>
      <c r="AC57" s="498">
        <f>SUM(AA57:AB57)</f>
        <v>848.96640000000002</v>
      </c>
      <c r="AD57" s="492">
        <v>1</v>
      </c>
      <c r="AE57" s="125">
        <f>Y57*1.02</f>
        <v>865.94572800000003</v>
      </c>
      <c r="AF57" s="128">
        <v>1</v>
      </c>
      <c r="AG57" s="501">
        <f>AD57*AE57*AF57</f>
        <v>865.94572800000003</v>
      </c>
      <c r="AH57" s="11">
        <v>0</v>
      </c>
      <c r="AI57" s="498">
        <f>SUM(AG57:AH57)</f>
        <v>865.94572800000003</v>
      </c>
      <c r="AJ57" s="194">
        <f t="shared" si="85"/>
        <v>4163.2321279999996</v>
      </c>
      <c r="AK57" s="195">
        <f t="shared" si="85"/>
        <v>0</v>
      </c>
      <c r="AL57" s="195">
        <f>SUM(AJ57:AK57)</f>
        <v>4163.2321279999996</v>
      </c>
      <c r="AM57" s="4"/>
      <c r="AN57" s="4"/>
      <c r="AO57" s="4"/>
      <c r="AP57" s="4"/>
    </row>
    <row r="58" spans="1:42" s="1" customFormat="1" x14ac:dyDescent="0.4">
      <c r="A58" s="109"/>
      <c r="B58" s="593"/>
      <c r="C58" s="173"/>
      <c r="D58" s="173" t="s">
        <v>65</v>
      </c>
      <c r="E58" s="386">
        <f>SUM(E54:E57)</f>
        <v>4</v>
      </c>
      <c r="F58" s="25"/>
      <c r="G58" s="175"/>
      <c r="H58" s="25"/>
      <c r="I58" s="499">
        <f>SUM(I54:I57)</f>
        <v>3050</v>
      </c>
      <c r="J58" s="27">
        <f>SUM(J54:J57)</f>
        <v>0</v>
      </c>
      <c r="K58" s="500">
        <f>SUM(K54:K57)</f>
        <v>3050</v>
      </c>
      <c r="L58" s="493">
        <f>SUM(L54:L57)</f>
        <v>4</v>
      </c>
      <c r="M58" s="176"/>
      <c r="N58" s="25"/>
      <c r="O58" s="499">
        <f>SUM(O54:O57)</f>
        <v>3111</v>
      </c>
      <c r="P58" s="27">
        <f>SUM(P54:P57)</f>
        <v>0</v>
      </c>
      <c r="Q58" s="500">
        <f>SUM(Q54:Q57)</f>
        <v>3111</v>
      </c>
      <c r="R58" s="493">
        <f>SUM(R54:R57)</f>
        <v>4</v>
      </c>
      <c r="S58" s="25"/>
      <c r="T58" s="25"/>
      <c r="U58" s="499">
        <f>SUM(U54:U57)</f>
        <v>3173.2200000000003</v>
      </c>
      <c r="V58" s="27">
        <f>SUM(V54:V57)</f>
        <v>0</v>
      </c>
      <c r="W58" s="500">
        <f>SUM(W54:W57)</f>
        <v>3173.2200000000003</v>
      </c>
      <c r="X58" s="493">
        <f>SUM(X54:X57)</f>
        <v>4</v>
      </c>
      <c r="Y58" s="25"/>
      <c r="Z58" s="25"/>
      <c r="AA58" s="499">
        <f>SUM(AA54:AA57)</f>
        <v>3236.6844000000001</v>
      </c>
      <c r="AB58" s="27">
        <f>SUM(AB54:AB57)</f>
        <v>0</v>
      </c>
      <c r="AC58" s="500">
        <f>SUM(AC54:AC57)</f>
        <v>3236.6844000000001</v>
      </c>
      <c r="AD58" s="493">
        <f>SUM(AD54:AD57)</f>
        <v>4</v>
      </c>
      <c r="AE58" s="25"/>
      <c r="AF58" s="25"/>
      <c r="AG58" s="499">
        <f>SUM(AG54:AG57)</f>
        <v>3301.4180880000004</v>
      </c>
      <c r="AH58" s="27">
        <f>SUM(AH54:AH57)</f>
        <v>0</v>
      </c>
      <c r="AI58" s="500">
        <f>SUM(AI54:AI57)</f>
        <v>3301.4180880000004</v>
      </c>
      <c r="AJ58" s="30">
        <f>I58+O58+U58+AA58+AG58</f>
        <v>15872.322488000002</v>
      </c>
      <c r="AK58" s="28">
        <f t="shared" ref="AK58" si="86">J58+P58+V58+AB58+AH58</f>
        <v>0</v>
      </c>
      <c r="AL58" s="28">
        <f t="shared" ref="AL58" si="87">SUM(AJ58:AK58)</f>
        <v>15872.322488000002</v>
      </c>
      <c r="AM58" s="177"/>
    </row>
    <row r="59" spans="1:42" x14ac:dyDescent="0.4">
      <c r="A59" s="109"/>
      <c r="B59" s="602"/>
      <c r="C59" s="59"/>
      <c r="D59" s="59"/>
      <c r="E59" s="36"/>
      <c r="F59" s="127"/>
      <c r="G59" s="128"/>
      <c r="H59" s="127"/>
      <c r="I59" s="501"/>
      <c r="J59" s="11"/>
      <c r="K59" s="498"/>
      <c r="L59" s="128"/>
      <c r="M59" s="125"/>
      <c r="N59" s="127"/>
      <c r="O59" s="501"/>
      <c r="P59" s="11"/>
      <c r="Q59" s="498"/>
      <c r="R59" s="128"/>
      <c r="S59" s="127"/>
      <c r="T59" s="127"/>
      <c r="U59" s="501"/>
      <c r="V59" s="11"/>
      <c r="W59" s="498"/>
      <c r="X59" s="128"/>
      <c r="Y59" s="127"/>
      <c r="Z59" s="127"/>
      <c r="AA59" s="501"/>
      <c r="AB59" s="11"/>
      <c r="AC59" s="498"/>
      <c r="AD59" s="128"/>
      <c r="AE59" s="127"/>
      <c r="AF59" s="127"/>
      <c r="AG59" s="501"/>
      <c r="AH59" s="11"/>
      <c r="AI59" s="498"/>
      <c r="AJ59" s="194"/>
      <c r="AK59" s="195"/>
      <c r="AL59" s="195"/>
      <c r="AM59" s="4"/>
      <c r="AN59" s="4"/>
      <c r="AO59" s="4"/>
      <c r="AP59" s="4"/>
    </row>
    <row r="60" spans="1:42" x14ac:dyDescent="0.4">
      <c r="A60" s="109"/>
      <c r="B60" s="595"/>
      <c r="C60" s="57"/>
      <c r="D60" s="57" t="s">
        <v>66</v>
      </c>
      <c r="E60" s="31"/>
      <c r="F60" s="127"/>
      <c r="G60" s="127"/>
      <c r="H60" s="127"/>
      <c r="I60" s="501"/>
      <c r="J60" s="11"/>
      <c r="K60" s="498"/>
      <c r="L60" s="127"/>
      <c r="M60" s="127"/>
      <c r="N60" s="127"/>
      <c r="O60" s="501"/>
      <c r="P60" s="11"/>
      <c r="Q60" s="498"/>
      <c r="R60" s="127"/>
      <c r="S60" s="127"/>
      <c r="T60" s="127"/>
      <c r="U60" s="501"/>
      <c r="V60" s="11"/>
      <c r="W60" s="498"/>
      <c r="X60" s="127"/>
      <c r="Y60" s="127"/>
      <c r="Z60" s="127"/>
      <c r="AA60" s="501"/>
      <c r="AB60" s="11"/>
      <c r="AC60" s="498"/>
      <c r="AD60" s="127"/>
      <c r="AE60" s="127"/>
      <c r="AF60" s="127"/>
      <c r="AG60" s="501"/>
      <c r="AH60" s="11"/>
      <c r="AI60" s="498"/>
      <c r="AJ60" s="194"/>
      <c r="AK60" s="195"/>
      <c r="AL60" s="195"/>
      <c r="AM60" s="4"/>
      <c r="AN60" s="4"/>
      <c r="AO60" s="4"/>
      <c r="AP60" s="4"/>
    </row>
    <row r="61" spans="1:42" x14ac:dyDescent="0.4">
      <c r="A61" s="109" t="s">
        <v>289</v>
      </c>
      <c r="B61" s="592" t="s">
        <v>290</v>
      </c>
      <c r="C61" s="126" t="s">
        <v>284</v>
      </c>
      <c r="D61" s="126" t="s">
        <v>67</v>
      </c>
      <c r="E61" s="129">
        <f>E58</f>
        <v>4</v>
      </c>
      <c r="F61" s="128">
        <f>'HQ Travel'!D7</f>
        <v>93.712500000000006</v>
      </c>
      <c r="G61" s="128">
        <v>7</v>
      </c>
      <c r="H61" s="127" t="s">
        <v>46</v>
      </c>
      <c r="I61" s="497">
        <f>G61*F61*E61</f>
        <v>2623.9500000000003</v>
      </c>
      <c r="J61" s="11">
        <v>0</v>
      </c>
      <c r="K61" s="498">
        <f t="shared" ref="K61:K62" si="88">SUM(I61:J61)</f>
        <v>2623.9500000000003</v>
      </c>
      <c r="L61" s="492">
        <f>L58</f>
        <v>4</v>
      </c>
      <c r="M61" s="125">
        <f>F61*1.02</f>
        <v>95.586750000000009</v>
      </c>
      <c r="N61" s="128">
        <v>7</v>
      </c>
      <c r="O61" s="501">
        <f>L61*M61*N61</f>
        <v>2676.4290000000001</v>
      </c>
      <c r="P61" s="11">
        <v>0</v>
      </c>
      <c r="Q61" s="498">
        <f t="shared" ref="Q61:Q62" si="89">SUM(O61:P61)</f>
        <v>2676.4290000000001</v>
      </c>
      <c r="R61" s="492">
        <f>R58</f>
        <v>4</v>
      </c>
      <c r="S61" s="125">
        <f>M61*1.02</f>
        <v>97.498485000000016</v>
      </c>
      <c r="T61" s="128">
        <v>7</v>
      </c>
      <c r="U61" s="501">
        <f t="shared" ref="U61:U62" si="90">R61*S61*T61</f>
        <v>2729.9575800000002</v>
      </c>
      <c r="V61" s="11">
        <v>0</v>
      </c>
      <c r="W61" s="498">
        <f t="shared" ref="W61:W62" si="91">SUM(U61:V61)</f>
        <v>2729.9575800000002</v>
      </c>
      <c r="X61" s="492">
        <f>X58</f>
        <v>4</v>
      </c>
      <c r="Y61" s="125">
        <f>S61*1.02</f>
        <v>99.448454700000013</v>
      </c>
      <c r="Z61" s="128">
        <v>7</v>
      </c>
      <c r="AA61" s="501">
        <f t="shared" ref="AA61:AA62" si="92">X61*Y61*Z61</f>
        <v>2784.5567316000006</v>
      </c>
      <c r="AB61" s="11">
        <v>0</v>
      </c>
      <c r="AC61" s="498">
        <f t="shared" ref="AC61:AC62" si="93">SUM(AA61:AB61)</f>
        <v>2784.5567316000006</v>
      </c>
      <c r="AD61" s="492">
        <f>AD58</f>
        <v>4</v>
      </c>
      <c r="AE61" s="125">
        <f>Y61*1.02</f>
        <v>101.43742379400001</v>
      </c>
      <c r="AF61" s="128">
        <v>7</v>
      </c>
      <c r="AG61" s="501">
        <f t="shared" ref="AG61:AG62" si="94">AD61*AE61*AF61</f>
        <v>2840.2478662320004</v>
      </c>
      <c r="AH61" s="11">
        <v>0</v>
      </c>
      <c r="AI61" s="498">
        <f t="shared" ref="AI61:AI62" si="95">SUM(AG61:AH61)</f>
        <v>2840.2478662320004</v>
      </c>
      <c r="AJ61" s="194">
        <f>I61+O61+U61+AA61+AG61</f>
        <v>13655.141177832002</v>
      </c>
      <c r="AK61" s="195">
        <f t="shared" ref="AK61:AK62" si="96">J61+P61+V61+AB61+AH61</f>
        <v>0</v>
      </c>
      <c r="AL61" s="195">
        <f t="shared" ref="AL61:AL62" si="97">SUM(AJ61:AK61)</f>
        <v>13655.141177832002</v>
      </c>
      <c r="AM61" s="4"/>
      <c r="AN61" s="4"/>
      <c r="AO61" s="4"/>
      <c r="AP61" s="4"/>
    </row>
    <row r="62" spans="1:42" x14ac:dyDescent="0.4">
      <c r="A62" s="109" t="s">
        <v>289</v>
      </c>
      <c r="B62" s="592" t="s">
        <v>291</v>
      </c>
      <c r="C62" s="126" t="s">
        <v>284</v>
      </c>
      <c r="D62" s="126" t="s">
        <v>68</v>
      </c>
      <c r="E62" s="129">
        <f>E61</f>
        <v>4</v>
      </c>
      <c r="F62" s="128">
        <f>'HQ Travel'!C7</f>
        <v>99.233750000000001</v>
      </c>
      <c r="G62" s="128">
        <v>6</v>
      </c>
      <c r="H62" s="127" t="s">
        <v>46</v>
      </c>
      <c r="I62" s="497">
        <f t="shared" ref="I62" si="98">G62*F62*E62</f>
        <v>2381.61</v>
      </c>
      <c r="J62" s="11">
        <v>0</v>
      </c>
      <c r="K62" s="498">
        <f t="shared" si="88"/>
        <v>2381.61</v>
      </c>
      <c r="L62" s="492">
        <f>L58</f>
        <v>4</v>
      </c>
      <c r="M62" s="125">
        <f t="shared" ref="M62" si="99">F62*1.02</f>
        <v>101.218425</v>
      </c>
      <c r="N62" s="128">
        <v>6</v>
      </c>
      <c r="O62" s="501">
        <f t="shared" ref="O62" si="100">L62*M62*N62</f>
        <v>2429.2421999999997</v>
      </c>
      <c r="P62" s="11">
        <v>0</v>
      </c>
      <c r="Q62" s="498">
        <f t="shared" si="89"/>
        <v>2429.2421999999997</v>
      </c>
      <c r="R62" s="492">
        <f>R58</f>
        <v>4</v>
      </c>
      <c r="S62" s="125">
        <f t="shared" ref="S62" si="101">M62*1.02</f>
        <v>103.2427935</v>
      </c>
      <c r="T62" s="128">
        <v>6</v>
      </c>
      <c r="U62" s="501">
        <f t="shared" si="90"/>
        <v>2477.8270440000001</v>
      </c>
      <c r="V62" s="11">
        <v>0</v>
      </c>
      <c r="W62" s="498">
        <f t="shared" si="91"/>
        <v>2477.8270440000001</v>
      </c>
      <c r="X62" s="492">
        <f>X58</f>
        <v>4</v>
      </c>
      <c r="Y62" s="125">
        <f t="shared" ref="Y62" si="102">S62*1.02</f>
        <v>105.30764937000001</v>
      </c>
      <c r="Z62" s="128">
        <v>6</v>
      </c>
      <c r="AA62" s="501">
        <f t="shared" si="92"/>
        <v>2527.3835848799999</v>
      </c>
      <c r="AB62" s="11">
        <v>0</v>
      </c>
      <c r="AC62" s="498">
        <f t="shared" si="93"/>
        <v>2527.3835848799999</v>
      </c>
      <c r="AD62" s="492">
        <f>AD58</f>
        <v>4</v>
      </c>
      <c r="AE62" s="125">
        <f t="shared" ref="AE62" si="103">Y62*1.02</f>
        <v>107.41380235740002</v>
      </c>
      <c r="AF62" s="128">
        <v>6</v>
      </c>
      <c r="AG62" s="501">
        <f t="shared" si="94"/>
        <v>2577.9312565776004</v>
      </c>
      <c r="AH62" s="11">
        <v>0</v>
      </c>
      <c r="AI62" s="498">
        <f t="shared" si="95"/>
        <v>2577.9312565776004</v>
      </c>
      <c r="AJ62" s="194">
        <f t="shared" ref="AJ62" si="104">I62+O62+U62+AA62+AG62</f>
        <v>12393.9940854576</v>
      </c>
      <c r="AK62" s="195">
        <f t="shared" si="96"/>
        <v>0</v>
      </c>
      <c r="AL62" s="195">
        <f t="shared" si="97"/>
        <v>12393.9940854576</v>
      </c>
      <c r="AM62" s="4"/>
      <c r="AN62" s="4"/>
      <c r="AO62" s="4"/>
      <c r="AP62" s="4"/>
    </row>
    <row r="63" spans="1:42" ht="24.6" x14ac:dyDescent="0.4">
      <c r="A63" s="109" t="s">
        <v>289</v>
      </c>
      <c r="B63" s="614" t="s">
        <v>292</v>
      </c>
      <c r="C63" s="131" t="s">
        <v>284</v>
      </c>
      <c r="D63" s="131" t="s">
        <v>69</v>
      </c>
      <c r="E63" s="129">
        <f>E61</f>
        <v>4</v>
      </c>
      <c r="F63" s="128">
        <v>100</v>
      </c>
      <c r="G63" s="128">
        <v>1</v>
      </c>
      <c r="H63" s="127" t="s">
        <v>70</v>
      </c>
      <c r="I63" s="497">
        <f t="shared" ref="I63" si="105">G63*F63*E63</f>
        <v>400</v>
      </c>
      <c r="J63" s="11">
        <v>0</v>
      </c>
      <c r="K63" s="498">
        <f t="shared" ref="K63" si="106">SUM(I63:J63)</f>
        <v>400</v>
      </c>
      <c r="L63" s="492">
        <f>L58</f>
        <v>4</v>
      </c>
      <c r="M63" s="125">
        <f t="shared" ref="M63" si="107">F63*1.02</f>
        <v>102</v>
      </c>
      <c r="N63" s="128">
        <v>1</v>
      </c>
      <c r="O63" s="501">
        <f t="shared" ref="O63" si="108">L63*M63*N63</f>
        <v>408</v>
      </c>
      <c r="P63" s="11">
        <v>0</v>
      </c>
      <c r="Q63" s="498">
        <f t="shared" ref="Q63" si="109">SUM(O63:P63)</f>
        <v>408</v>
      </c>
      <c r="R63" s="492">
        <f>R58</f>
        <v>4</v>
      </c>
      <c r="S63" s="125">
        <f t="shared" ref="S63" si="110">M63*1.02</f>
        <v>104.04</v>
      </c>
      <c r="T63" s="128">
        <v>1</v>
      </c>
      <c r="U63" s="501">
        <f t="shared" ref="U63" si="111">R63*S63*T63</f>
        <v>416.16</v>
      </c>
      <c r="V63" s="11">
        <v>0</v>
      </c>
      <c r="W63" s="498">
        <f t="shared" ref="W63" si="112">SUM(U63:V63)</f>
        <v>416.16</v>
      </c>
      <c r="X63" s="492">
        <f>X58</f>
        <v>4</v>
      </c>
      <c r="Y63" s="125">
        <f t="shared" ref="Y63" si="113">S63*1.02</f>
        <v>106.1208</v>
      </c>
      <c r="Z63" s="128">
        <v>1</v>
      </c>
      <c r="AA63" s="501">
        <f t="shared" ref="AA63" si="114">X63*Y63*Z63</f>
        <v>424.48320000000001</v>
      </c>
      <c r="AB63" s="11">
        <v>0</v>
      </c>
      <c r="AC63" s="498">
        <f t="shared" ref="AC63" si="115">SUM(AA63:AB63)</f>
        <v>424.48320000000001</v>
      </c>
      <c r="AD63" s="492">
        <f>AD58</f>
        <v>4</v>
      </c>
      <c r="AE63" s="125">
        <f t="shared" ref="AE63" si="116">Y63*1.02</f>
        <v>108.243216</v>
      </c>
      <c r="AF63" s="128">
        <v>1</v>
      </c>
      <c r="AG63" s="501">
        <f t="shared" ref="AG63" si="117">AD63*AE63*AF63</f>
        <v>432.97286400000002</v>
      </c>
      <c r="AH63" s="11">
        <v>0</v>
      </c>
      <c r="AI63" s="498">
        <f>SUM(AG63:AH63)</f>
        <v>432.97286400000002</v>
      </c>
      <c r="AJ63" s="194">
        <f t="shared" ref="AJ63" si="118">I63+O63+U63+AA63+AG63</f>
        <v>2081.6160639999998</v>
      </c>
      <c r="AK63" s="195">
        <f t="shared" ref="AK63" si="119">J63+P63+V63+AB63+AH63</f>
        <v>0</v>
      </c>
      <c r="AL63" s="195">
        <f>SUM(AJ63:AK63)</f>
        <v>2081.6160639999998</v>
      </c>
      <c r="AM63" s="4"/>
      <c r="AN63" s="4"/>
      <c r="AO63" s="4"/>
      <c r="AP63" s="4"/>
    </row>
    <row r="64" spans="1:42" s="1" customFormat="1" x14ac:dyDescent="0.4">
      <c r="A64" s="109"/>
      <c r="B64" s="593"/>
      <c r="C64" s="173"/>
      <c r="D64" s="173" t="s">
        <v>71</v>
      </c>
      <c r="E64" s="368">
        <f>SUM(E61:E63)</f>
        <v>12</v>
      </c>
      <c r="F64" s="25"/>
      <c r="G64" s="175"/>
      <c r="H64" s="25"/>
      <c r="I64" s="499">
        <f>SUM(I61:I63)</f>
        <v>5405.56</v>
      </c>
      <c r="J64" s="27">
        <f>SUM(J61:J63)</f>
        <v>0</v>
      </c>
      <c r="K64" s="500">
        <f>SUM(K61:K63)</f>
        <v>5405.56</v>
      </c>
      <c r="L64" s="494">
        <f>SUM(L61:L63)</f>
        <v>12</v>
      </c>
      <c r="M64" s="176"/>
      <c r="N64" s="25"/>
      <c r="O64" s="499">
        <f>SUM(O61:O63)</f>
        <v>5513.6711999999998</v>
      </c>
      <c r="P64" s="27">
        <f>SUM(P61:P63)</f>
        <v>0</v>
      </c>
      <c r="Q64" s="500">
        <f>SUM(Q61:Q63)</f>
        <v>5513.6711999999998</v>
      </c>
      <c r="R64" s="494">
        <f>SUM(R61:R63)</f>
        <v>12</v>
      </c>
      <c r="S64" s="25"/>
      <c r="T64" s="25"/>
      <c r="U64" s="499">
        <f>SUM(U61:U63)</f>
        <v>5623.9446239999997</v>
      </c>
      <c r="V64" s="27">
        <f>SUM(V61:V63)</f>
        <v>0</v>
      </c>
      <c r="W64" s="500">
        <f>SUM(W61:W63)</f>
        <v>5623.9446239999997</v>
      </c>
      <c r="X64" s="494">
        <f>SUM(X61:X63)</f>
        <v>12</v>
      </c>
      <c r="Y64" s="25"/>
      <c r="Z64" s="25"/>
      <c r="AA64" s="499">
        <f>SUM(AA61:AA63)</f>
        <v>5736.4235164800002</v>
      </c>
      <c r="AB64" s="27">
        <f>SUM(AB61:AB63)</f>
        <v>0</v>
      </c>
      <c r="AC64" s="500">
        <f>SUM(AC61:AC63)</f>
        <v>5736.4235164800002</v>
      </c>
      <c r="AD64" s="494">
        <f>SUM(AD61:AD63)</f>
        <v>12</v>
      </c>
      <c r="AE64" s="25"/>
      <c r="AF64" s="25"/>
      <c r="AG64" s="499">
        <f t="shared" ref="AG64:AL64" si="120">SUM(AG61:AG63)</f>
        <v>5851.1519868096011</v>
      </c>
      <c r="AH64" s="27">
        <f t="shared" si="120"/>
        <v>0</v>
      </c>
      <c r="AI64" s="500">
        <f t="shared" si="120"/>
        <v>5851.1519868096011</v>
      </c>
      <c r="AJ64" s="30">
        <f t="shared" si="120"/>
        <v>28130.751327289603</v>
      </c>
      <c r="AK64" s="28">
        <f t="shared" si="120"/>
        <v>0</v>
      </c>
      <c r="AL64" s="28">
        <f t="shared" si="120"/>
        <v>28130.751327289603</v>
      </c>
    </row>
    <row r="65" spans="1:42" s="64" customFormat="1" ht="12.6" x14ac:dyDescent="0.45">
      <c r="A65" s="109"/>
      <c r="B65" s="605"/>
      <c r="C65" s="60"/>
      <c r="D65" s="60"/>
      <c r="E65" s="132"/>
      <c r="F65" s="133"/>
      <c r="G65" s="134"/>
      <c r="H65" s="133"/>
      <c r="I65" s="504"/>
      <c r="J65" s="491"/>
      <c r="K65" s="505"/>
      <c r="L65" s="134"/>
      <c r="M65" s="136"/>
      <c r="N65" s="133"/>
      <c r="O65" s="504"/>
      <c r="P65" s="491"/>
      <c r="Q65" s="505"/>
      <c r="R65" s="134"/>
      <c r="S65" s="133"/>
      <c r="T65" s="133"/>
      <c r="U65" s="504"/>
      <c r="V65" s="491"/>
      <c r="W65" s="505"/>
      <c r="X65" s="134"/>
      <c r="Y65" s="133"/>
      <c r="Z65" s="133"/>
      <c r="AA65" s="504"/>
      <c r="AB65" s="491"/>
      <c r="AC65" s="505"/>
      <c r="AD65" s="134"/>
      <c r="AE65" s="133"/>
      <c r="AF65" s="133"/>
      <c r="AG65" s="504"/>
      <c r="AH65" s="491"/>
      <c r="AI65" s="505"/>
      <c r="AJ65" s="135"/>
      <c r="AK65" s="137"/>
      <c r="AL65" s="137"/>
    </row>
    <row r="66" spans="1:42" ht="12.75" customHeight="1" x14ac:dyDescent="0.4">
      <c r="A66" s="109"/>
      <c r="B66" s="595"/>
      <c r="C66" s="57"/>
      <c r="D66" s="57" t="s">
        <v>72</v>
      </c>
      <c r="E66" s="31"/>
      <c r="F66" s="127"/>
      <c r="G66" s="127"/>
      <c r="H66" s="127"/>
      <c r="I66" s="501"/>
      <c r="J66" s="11"/>
      <c r="K66" s="498"/>
      <c r="L66" s="127"/>
      <c r="M66" s="127"/>
      <c r="N66" s="127"/>
      <c r="O66" s="501"/>
      <c r="P66" s="11"/>
      <c r="Q66" s="498"/>
      <c r="R66" s="127"/>
      <c r="S66" s="127"/>
      <c r="T66" s="127"/>
      <c r="U66" s="501"/>
      <c r="V66" s="11"/>
      <c r="W66" s="498"/>
      <c r="X66" s="127"/>
      <c r="Y66" s="127"/>
      <c r="Z66" s="127"/>
      <c r="AA66" s="501"/>
      <c r="AB66" s="11"/>
      <c r="AC66" s="498"/>
      <c r="AD66" s="127"/>
      <c r="AE66" s="127"/>
      <c r="AF66" s="127"/>
      <c r="AG66" s="501"/>
      <c r="AH66" s="11"/>
      <c r="AI66" s="498"/>
      <c r="AJ66" s="194"/>
      <c r="AK66" s="195"/>
      <c r="AL66" s="195"/>
      <c r="AM66" s="4"/>
      <c r="AN66" s="4"/>
      <c r="AO66" s="4"/>
      <c r="AP66" s="4"/>
    </row>
    <row r="67" spans="1:42" x14ac:dyDescent="0.4">
      <c r="A67" s="109" t="s">
        <v>297</v>
      </c>
      <c r="B67" s="592" t="s">
        <v>293</v>
      </c>
      <c r="C67" s="131" t="s">
        <v>284</v>
      </c>
      <c r="D67" s="126" t="s">
        <v>73</v>
      </c>
      <c r="E67" s="129">
        <v>1</v>
      </c>
      <c r="F67" s="128">
        <f>'HQ Travel'!H10</f>
        <v>350</v>
      </c>
      <c r="G67" s="128">
        <v>1</v>
      </c>
      <c r="H67" s="127" t="s">
        <v>53</v>
      </c>
      <c r="I67" s="497">
        <f>G67*F67*E67</f>
        <v>350</v>
      </c>
      <c r="J67" s="11">
        <v>0</v>
      </c>
      <c r="K67" s="498">
        <f>SUM(I67:J67)</f>
        <v>350</v>
      </c>
      <c r="L67" s="492">
        <v>1</v>
      </c>
      <c r="M67" s="125">
        <f>F67*1.02</f>
        <v>357</v>
      </c>
      <c r="N67" s="128">
        <v>1</v>
      </c>
      <c r="O67" s="501">
        <f>L67*M67*N67</f>
        <v>357</v>
      </c>
      <c r="P67" s="11">
        <v>0</v>
      </c>
      <c r="Q67" s="498">
        <f>SUM(O67:P67)</f>
        <v>357</v>
      </c>
      <c r="R67" s="492">
        <v>1</v>
      </c>
      <c r="S67" s="125">
        <f>M67*1.02</f>
        <v>364.14</v>
      </c>
      <c r="T67" s="128">
        <v>1</v>
      </c>
      <c r="U67" s="501">
        <f>R67*S67*T67</f>
        <v>364.14</v>
      </c>
      <c r="V67" s="11">
        <v>0</v>
      </c>
      <c r="W67" s="498">
        <f>SUM(U67:V67)</f>
        <v>364.14</v>
      </c>
      <c r="X67" s="492">
        <v>1</v>
      </c>
      <c r="Y67" s="125">
        <f>S67*1.02</f>
        <v>371.4228</v>
      </c>
      <c r="Z67" s="128">
        <v>1</v>
      </c>
      <c r="AA67" s="501">
        <f>X67*Y67*Z67</f>
        <v>371.4228</v>
      </c>
      <c r="AB67" s="11">
        <v>0</v>
      </c>
      <c r="AC67" s="498">
        <f>SUM(AA67:AB67)</f>
        <v>371.4228</v>
      </c>
      <c r="AD67" s="492">
        <v>1</v>
      </c>
      <c r="AE67" s="125">
        <f>Y67*1.02</f>
        <v>378.85125599999998</v>
      </c>
      <c r="AF67" s="128">
        <v>1</v>
      </c>
      <c r="AG67" s="501">
        <f>AD67*AE67*AF67</f>
        <v>378.85125599999998</v>
      </c>
      <c r="AH67" s="11">
        <v>0</v>
      </c>
      <c r="AI67" s="498">
        <f>SUM(AG67:AH67)</f>
        <v>378.85125599999998</v>
      </c>
      <c r="AJ67" s="194">
        <f>I67+O67+U67+AA67+AG67</f>
        <v>1821.4140559999998</v>
      </c>
      <c r="AK67" s="195">
        <f>J67+P67+V67+AB67+AH67</f>
        <v>0</v>
      </c>
      <c r="AL67" s="195">
        <f>SUM(AJ67:AK67)</f>
        <v>1821.4140559999998</v>
      </c>
      <c r="AM67" s="4"/>
      <c r="AN67" s="4"/>
      <c r="AO67" s="4"/>
      <c r="AP67" s="4"/>
    </row>
    <row r="68" spans="1:42" x14ac:dyDescent="0.4">
      <c r="A68" s="109" t="s">
        <v>297</v>
      </c>
      <c r="B68" s="592" t="s">
        <v>290</v>
      </c>
      <c r="C68" s="131" t="s">
        <v>284</v>
      </c>
      <c r="D68" s="131" t="s">
        <v>74</v>
      </c>
      <c r="E68" s="129">
        <f>E67</f>
        <v>1</v>
      </c>
      <c r="F68" s="128">
        <f>'HQ Travel'!J10</f>
        <v>59</v>
      </c>
      <c r="G68" s="128">
        <v>5</v>
      </c>
      <c r="H68" s="127" t="s">
        <v>46</v>
      </c>
      <c r="I68" s="497">
        <f>G68*F68*E68</f>
        <v>295</v>
      </c>
      <c r="J68" s="11">
        <v>0</v>
      </c>
      <c r="K68" s="498">
        <f t="shared" ref="K68:K70" si="121">SUM(I68:J68)</f>
        <v>295</v>
      </c>
      <c r="L68" s="492">
        <f>L67</f>
        <v>1</v>
      </c>
      <c r="M68" s="125">
        <f t="shared" ref="M68:M70" si="122">F68*1.02</f>
        <v>60.18</v>
      </c>
      <c r="N68" s="128">
        <v>5</v>
      </c>
      <c r="O68" s="501">
        <f t="shared" ref="O68:O70" si="123">L68*M68*N68</f>
        <v>300.89999999999998</v>
      </c>
      <c r="P68" s="11">
        <v>0</v>
      </c>
      <c r="Q68" s="498">
        <f t="shared" ref="Q68:Q70" si="124">SUM(O68:P68)</f>
        <v>300.89999999999998</v>
      </c>
      <c r="R68" s="492">
        <f>R67</f>
        <v>1</v>
      </c>
      <c r="S68" s="125">
        <f t="shared" ref="S68:S70" si="125">M68*1.02</f>
        <v>61.383600000000001</v>
      </c>
      <c r="T68" s="128">
        <v>5</v>
      </c>
      <c r="U68" s="501">
        <f t="shared" ref="U68:U70" si="126">R68*S68*T68</f>
        <v>306.91800000000001</v>
      </c>
      <c r="V68" s="11">
        <v>0</v>
      </c>
      <c r="W68" s="498">
        <f t="shared" ref="W68:W70" si="127">SUM(U68:V68)</f>
        <v>306.91800000000001</v>
      </c>
      <c r="X68" s="492">
        <f>X67</f>
        <v>1</v>
      </c>
      <c r="Y68" s="125">
        <f t="shared" ref="Y68:Y70" si="128">S68*1.02</f>
        <v>62.611272</v>
      </c>
      <c r="Z68" s="128">
        <v>5</v>
      </c>
      <c r="AA68" s="501">
        <f t="shared" ref="AA68:AA70" si="129">X68*Y68*Z68</f>
        <v>313.05635999999998</v>
      </c>
      <c r="AB68" s="11">
        <v>0</v>
      </c>
      <c r="AC68" s="498">
        <f t="shared" ref="AC68:AC70" si="130">SUM(AA68:AB68)</f>
        <v>313.05635999999998</v>
      </c>
      <c r="AD68" s="492">
        <f>AD67</f>
        <v>1</v>
      </c>
      <c r="AE68" s="125">
        <f t="shared" ref="AE68:AE70" si="131">Y68*1.02</f>
        <v>63.863497440000003</v>
      </c>
      <c r="AF68" s="128">
        <v>5</v>
      </c>
      <c r="AG68" s="501">
        <f t="shared" ref="AG68:AG70" si="132">AD68*AE68*AF68</f>
        <v>319.31748720000002</v>
      </c>
      <c r="AH68" s="11">
        <v>0</v>
      </c>
      <c r="AI68" s="498">
        <f t="shared" ref="AI68:AI70" si="133">SUM(AG68:AH68)</f>
        <v>319.31748720000002</v>
      </c>
      <c r="AJ68" s="194">
        <f>I68+O68+U68+AA68+AG68</f>
        <v>1535.1918472</v>
      </c>
      <c r="AK68" s="195">
        <f t="shared" ref="AK68:AK71" si="134">J68+P68+V68+AB68+AH68</f>
        <v>0</v>
      </c>
      <c r="AL68" s="195">
        <f t="shared" ref="AL68:AL71" si="135">SUM(AJ68:AK68)</f>
        <v>1535.1918472</v>
      </c>
      <c r="AM68" s="4"/>
      <c r="AN68" s="4"/>
      <c r="AO68" s="4"/>
      <c r="AP68" s="4"/>
    </row>
    <row r="69" spans="1:42" x14ac:dyDescent="0.4">
      <c r="A69" s="109" t="s">
        <v>297</v>
      </c>
      <c r="B69" s="592" t="s">
        <v>291</v>
      </c>
      <c r="C69" s="131" t="s">
        <v>284</v>
      </c>
      <c r="D69" s="131" t="s">
        <v>75</v>
      </c>
      <c r="E69" s="129">
        <f>E67</f>
        <v>1</v>
      </c>
      <c r="F69" s="128">
        <f>'HQ Travel'!I10</f>
        <v>98</v>
      </c>
      <c r="G69" s="128">
        <v>5</v>
      </c>
      <c r="H69" s="127" t="s">
        <v>46</v>
      </c>
      <c r="I69" s="497">
        <f t="shared" ref="I69:I70" si="136">G69*F69*E69</f>
        <v>490</v>
      </c>
      <c r="J69" s="11">
        <v>0</v>
      </c>
      <c r="K69" s="498">
        <f t="shared" si="121"/>
        <v>490</v>
      </c>
      <c r="L69" s="492">
        <f>L67</f>
        <v>1</v>
      </c>
      <c r="M69" s="125">
        <f t="shared" si="122"/>
        <v>99.960000000000008</v>
      </c>
      <c r="N69" s="128">
        <v>5</v>
      </c>
      <c r="O69" s="501">
        <f t="shared" si="123"/>
        <v>499.80000000000007</v>
      </c>
      <c r="P69" s="11">
        <v>0</v>
      </c>
      <c r="Q69" s="498">
        <f t="shared" si="124"/>
        <v>499.80000000000007</v>
      </c>
      <c r="R69" s="492">
        <f>R67</f>
        <v>1</v>
      </c>
      <c r="S69" s="125">
        <f t="shared" si="125"/>
        <v>101.95920000000001</v>
      </c>
      <c r="T69" s="128">
        <v>5</v>
      </c>
      <c r="U69" s="501">
        <f t="shared" si="126"/>
        <v>509.79600000000005</v>
      </c>
      <c r="V69" s="11">
        <v>0</v>
      </c>
      <c r="W69" s="498">
        <f t="shared" si="127"/>
        <v>509.79600000000005</v>
      </c>
      <c r="X69" s="492">
        <f>X67</f>
        <v>1</v>
      </c>
      <c r="Y69" s="125">
        <f t="shared" si="128"/>
        <v>103.99838400000002</v>
      </c>
      <c r="Z69" s="128">
        <v>5</v>
      </c>
      <c r="AA69" s="501">
        <f t="shared" si="129"/>
        <v>519.99192000000005</v>
      </c>
      <c r="AB69" s="11">
        <v>0</v>
      </c>
      <c r="AC69" s="498">
        <f t="shared" si="130"/>
        <v>519.99192000000005</v>
      </c>
      <c r="AD69" s="492">
        <f>AD67</f>
        <v>1</v>
      </c>
      <c r="AE69" s="125">
        <f t="shared" si="131"/>
        <v>106.07835168000001</v>
      </c>
      <c r="AF69" s="128">
        <v>5</v>
      </c>
      <c r="AG69" s="501">
        <f t="shared" si="132"/>
        <v>530.39175840000007</v>
      </c>
      <c r="AH69" s="11">
        <v>0</v>
      </c>
      <c r="AI69" s="498">
        <f t="shared" si="133"/>
        <v>530.39175840000007</v>
      </c>
      <c r="AJ69" s="194">
        <f t="shared" ref="AJ69:AJ70" si="137">I69+O69+U69+AA69+AG69</f>
        <v>2549.9796784</v>
      </c>
      <c r="AK69" s="195">
        <f t="shared" si="134"/>
        <v>0</v>
      </c>
      <c r="AL69" s="195">
        <f t="shared" si="135"/>
        <v>2549.9796784</v>
      </c>
      <c r="AM69" s="4"/>
      <c r="AN69" s="4"/>
      <c r="AO69" s="4"/>
      <c r="AP69" s="4"/>
    </row>
    <row r="70" spans="1:42" ht="24.6" x14ac:dyDescent="0.4">
      <c r="A70" s="109" t="s">
        <v>297</v>
      </c>
      <c r="B70" s="614" t="s">
        <v>292</v>
      </c>
      <c r="C70" s="131" t="s">
        <v>284</v>
      </c>
      <c r="D70" s="131" t="s">
        <v>69</v>
      </c>
      <c r="E70" s="129">
        <f>E67</f>
        <v>1</v>
      </c>
      <c r="F70" s="128">
        <f>'HQ Travel'!K10</f>
        <v>100</v>
      </c>
      <c r="G70" s="128">
        <v>1</v>
      </c>
      <c r="H70" s="127" t="s">
        <v>70</v>
      </c>
      <c r="I70" s="497">
        <f t="shared" si="136"/>
        <v>100</v>
      </c>
      <c r="J70" s="11">
        <v>0</v>
      </c>
      <c r="K70" s="498">
        <f t="shared" si="121"/>
        <v>100</v>
      </c>
      <c r="L70" s="492">
        <f>L67</f>
        <v>1</v>
      </c>
      <c r="M70" s="125">
        <f t="shared" si="122"/>
        <v>102</v>
      </c>
      <c r="N70" s="128">
        <v>1</v>
      </c>
      <c r="O70" s="501">
        <f t="shared" si="123"/>
        <v>102</v>
      </c>
      <c r="P70" s="11">
        <v>0</v>
      </c>
      <c r="Q70" s="498">
        <f t="shared" si="124"/>
        <v>102</v>
      </c>
      <c r="R70" s="492">
        <f>R67</f>
        <v>1</v>
      </c>
      <c r="S70" s="125">
        <f t="shared" si="125"/>
        <v>104.04</v>
      </c>
      <c r="T70" s="128">
        <v>1</v>
      </c>
      <c r="U70" s="501">
        <f t="shared" si="126"/>
        <v>104.04</v>
      </c>
      <c r="V70" s="11">
        <v>0</v>
      </c>
      <c r="W70" s="498">
        <f t="shared" si="127"/>
        <v>104.04</v>
      </c>
      <c r="X70" s="492">
        <f>X67</f>
        <v>1</v>
      </c>
      <c r="Y70" s="125">
        <f t="shared" si="128"/>
        <v>106.1208</v>
      </c>
      <c r="Z70" s="128">
        <v>1</v>
      </c>
      <c r="AA70" s="501">
        <f t="shared" si="129"/>
        <v>106.1208</v>
      </c>
      <c r="AB70" s="11">
        <v>0</v>
      </c>
      <c r="AC70" s="498">
        <f t="shared" si="130"/>
        <v>106.1208</v>
      </c>
      <c r="AD70" s="492">
        <f>AD67</f>
        <v>1</v>
      </c>
      <c r="AE70" s="125">
        <f t="shared" si="131"/>
        <v>108.243216</v>
      </c>
      <c r="AF70" s="128">
        <v>1</v>
      </c>
      <c r="AG70" s="501">
        <f t="shared" si="132"/>
        <v>108.243216</v>
      </c>
      <c r="AH70" s="11">
        <v>0</v>
      </c>
      <c r="AI70" s="498">
        <f t="shared" si="133"/>
        <v>108.243216</v>
      </c>
      <c r="AJ70" s="194">
        <f t="shared" si="137"/>
        <v>520.40401599999996</v>
      </c>
      <c r="AK70" s="195">
        <f t="shared" si="134"/>
        <v>0</v>
      </c>
      <c r="AL70" s="195">
        <f t="shared" si="135"/>
        <v>520.40401599999996</v>
      </c>
      <c r="AM70" s="4"/>
      <c r="AN70" s="4"/>
      <c r="AO70" s="4"/>
      <c r="AP70" s="4"/>
    </row>
    <row r="71" spans="1:42" s="1" customFormat="1" x14ac:dyDescent="0.4">
      <c r="A71" s="109"/>
      <c r="B71" s="593"/>
      <c r="C71" s="173"/>
      <c r="D71" s="173" t="s">
        <v>76</v>
      </c>
      <c r="E71" s="174"/>
      <c r="F71" s="25"/>
      <c r="G71" s="175"/>
      <c r="H71" s="25"/>
      <c r="I71" s="499">
        <f>SUM(I67:I70)</f>
        <v>1235</v>
      </c>
      <c r="J71" s="27">
        <f>SUM(J67:J70)</f>
        <v>0</v>
      </c>
      <c r="K71" s="500">
        <f>SUM(K67:K70)</f>
        <v>1235</v>
      </c>
      <c r="L71" s="175">
        <f>SUM(L67:L70)</f>
        <v>4</v>
      </c>
      <c r="M71" s="176"/>
      <c r="N71" s="25"/>
      <c r="O71" s="499">
        <f>SUM(O67:O70)</f>
        <v>1259.7</v>
      </c>
      <c r="P71" s="27">
        <f>SUM(P67:P70)</f>
        <v>0</v>
      </c>
      <c r="Q71" s="500">
        <f>SUM(Q67:Q70)</f>
        <v>1259.7</v>
      </c>
      <c r="R71" s="175">
        <f>SUM(R67:R70)</f>
        <v>4</v>
      </c>
      <c r="S71" s="25"/>
      <c r="T71" s="25"/>
      <c r="U71" s="499">
        <f>SUM(U67:U70)</f>
        <v>1284.894</v>
      </c>
      <c r="V71" s="27">
        <f>SUM(V67:V70)</f>
        <v>0</v>
      </c>
      <c r="W71" s="500">
        <f>SUM(W67:W70)</f>
        <v>1284.894</v>
      </c>
      <c r="X71" s="175">
        <f>SUM(X67:X70)</f>
        <v>4</v>
      </c>
      <c r="Y71" s="25"/>
      <c r="Z71" s="25"/>
      <c r="AA71" s="499">
        <f>SUM(AA67:AA70)</f>
        <v>1310.5918799999999</v>
      </c>
      <c r="AB71" s="27">
        <f>SUM(AB67:AB70)</f>
        <v>0</v>
      </c>
      <c r="AC71" s="500">
        <f>SUM(AC67:AC70)</f>
        <v>1310.5918799999999</v>
      </c>
      <c r="AD71" s="175">
        <f>SUM(AD67:AD70)</f>
        <v>4</v>
      </c>
      <c r="AE71" s="25"/>
      <c r="AF71" s="25"/>
      <c r="AG71" s="499">
        <f>SUM(AG67:AG70)</f>
        <v>1336.8037176</v>
      </c>
      <c r="AH71" s="27">
        <f>SUM(AH67:AH70)</f>
        <v>0</v>
      </c>
      <c r="AI71" s="500">
        <f>SUM(AI67:AI70)</f>
        <v>1336.8037176</v>
      </c>
      <c r="AJ71" s="30">
        <f>SUM(AJ67:AJ70)</f>
        <v>6426.9895976000007</v>
      </c>
      <c r="AK71" s="28">
        <f t="shared" si="134"/>
        <v>0</v>
      </c>
      <c r="AL71" s="28">
        <f t="shared" si="135"/>
        <v>6426.9895976000007</v>
      </c>
    </row>
    <row r="72" spans="1:42" x14ac:dyDescent="0.4">
      <c r="A72" s="58"/>
      <c r="B72" s="603"/>
      <c r="C72" s="58"/>
      <c r="D72" s="58"/>
      <c r="E72" s="31"/>
      <c r="F72" s="127"/>
      <c r="G72" s="127"/>
      <c r="H72" s="127"/>
      <c r="I72" s="501"/>
      <c r="J72" s="11"/>
      <c r="K72" s="498"/>
      <c r="L72" s="128"/>
      <c r="M72" s="127"/>
      <c r="N72" s="127"/>
      <c r="O72" s="501"/>
      <c r="P72" s="11"/>
      <c r="Q72" s="498"/>
      <c r="R72" s="127"/>
      <c r="S72" s="127"/>
      <c r="T72" s="127"/>
      <c r="U72" s="501"/>
      <c r="V72" s="11"/>
      <c r="W72" s="498"/>
      <c r="X72" s="127"/>
      <c r="Y72" s="127"/>
      <c r="Z72" s="127"/>
      <c r="AA72" s="501"/>
      <c r="AB72" s="11"/>
      <c r="AC72" s="498"/>
      <c r="AD72" s="127"/>
      <c r="AE72" s="127"/>
      <c r="AF72" s="127"/>
      <c r="AG72" s="501"/>
      <c r="AH72" s="11"/>
      <c r="AI72" s="498"/>
      <c r="AJ72" s="194"/>
      <c r="AK72" s="195"/>
      <c r="AL72" s="195"/>
      <c r="AM72" s="4"/>
      <c r="AN72" s="4"/>
      <c r="AO72" s="4"/>
      <c r="AP72" s="4"/>
    </row>
    <row r="73" spans="1:42" x14ac:dyDescent="0.4">
      <c r="A73" s="57"/>
      <c r="B73" s="595"/>
      <c r="C73" s="57"/>
      <c r="D73" s="57" t="s">
        <v>77</v>
      </c>
      <c r="E73" s="31"/>
      <c r="F73" s="127"/>
      <c r="G73" s="127"/>
      <c r="H73" s="127"/>
      <c r="I73" s="501"/>
      <c r="J73" s="11"/>
      <c r="K73" s="498"/>
      <c r="L73" s="127"/>
      <c r="M73" s="127"/>
      <c r="N73" s="127"/>
      <c r="O73" s="501"/>
      <c r="P73" s="11"/>
      <c r="Q73" s="498"/>
      <c r="R73" s="127"/>
      <c r="S73" s="127"/>
      <c r="T73" s="127"/>
      <c r="U73" s="501"/>
      <c r="V73" s="11"/>
      <c r="W73" s="498"/>
      <c r="X73" s="127"/>
      <c r="Y73" s="127"/>
      <c r="Z73" s="127"/>
      <c r="AA73" s="501"/>
      <c r="AB73" s="11"/>
      <c r="AC73" s="498"/>
      <c r="AD73" s="127"/>
      <c r="AE73" s="127"/>
      <c r="AF73" s="127"/>
      <c r="AG73" s="501"/>
      <c r="AH73" s="11"/>
      <c r="AI73" s="498"/>
      <c r="AJ73" s="194"/>
      <c r="AK73" s="195"/>
      <c r="AL73" s="195"/>
      <c r="AM73" s="4"/>
      <c r="AN73" s="4"/>
      <c r="AO73" s="4"/>
      <c r="AP73" s="4"/>
    </row>
    <row r="74" spans="1:42" x14ac:dyDescent="0.4">
      <c r="A74" s="61" t="s">
        <v>278</v>
      </c>
      <c r="B74" s="592" t="s">
        <v>290</v>
      </c>
      <c r="C74" s="61" t="s">
        <v>278</v>
      </c>
      <c r="D74" s="126" t="s">
        <v>67</v>
      </c>
      <c r="E74" s="129">
        <v>1</v>
      </c>
      <c r="F74" s="563">
        <f>SUM('Guatemala '!I39+'Dominican Republic'!I39+Guyana!I38+Jamaica!I38)</f>
        <v>29917.5</v>
      </c>
      <c r="G74" s="128">
        <v>1</v>
      </c>
      <c r="H74" s="127" t="s">
        <v>46</v>
      </c>
      <c r="I74" s="497">
        <f>G74*F74*E74</f>
        <v>29917.5</v>
      </c>
      <c r="J74" s="11">
        <v>0</v>
      </c>
      <c r="K74" s="498">
        <f t="shared" ref="K74:K76" si="138">SUM(I74:J74)</f>
        <v>29917.5</v>
      </c>
      <c r="L74" s="492">
        <v>1</v>
      </c>
      <c r="M74" s="563">
        <f>SUM('Guatemala '!N9+'Dominican Republic'!N39+Guyana!N38+Jamaica!N38)</f>
        <v>25719.3</v>
      </c>
      <c r="N74" s="128">
        <v>1</v>
      </c>
      <c r="O74" s="501">
        <f>L74*M74*N74</f>
        <v>25719.3</v>
      </c>
      <c r="P74" s="11">
        <v>0</v>
      </c>
      <c r="Q74" s="498">
        <f t="shared" ref="Q74:Q76" si="139">SUM(O74:P74)</f>
        <v>25719.3</v>
      </c>
      <c r="R74" s="492">
        <v>1</v>
      </c>
      <c r="S74" s="563">
        <f>SUM('Guatemala '!S9+'Dominican Republic'!S39+Guyana!S38+Jamaica!S38)</f>
        <v>29022.478199999998</v>
      </c>
      <c r="T74" s="128">
        <v>1</v>
      </c>
      <c r="U74" s="501">
        <f t="shared" ref="U74:U76" si="140">R74*S74*T74</f>
        <v>29022.478199999998</v>
      </c>
      <c r="V74" s="11">
        <v>0</v>
      </c>
      <c r="W74" s="498">
        <f t="shared" ref="W74:W76" si="141">SUM(U74:V74)</f>
        <v>29022.478199999998</v>
      </c>
      <c r="X74" s="492">
        <v>1</v>
      </c>
      <c r="Y74" s="563">
        <f>SUM('Guatemala '!X9+'Dominican Republic'!X39+Guyana!X38+Jamaica!X38)</f>
        <v>26057.962440000003</v>
      </c>
      <c r="Z74" s="128">
        <v>1</v>
      </c>
      <c r="AA74" s="501">
        <f t="shared" ref="AA74:AA76" si="142">X74*Y74*Z74</f>
        <v>26057.962440000003</v>
      </c>
      <c r="AB74" s="11">
        <v>0</v>
      </c>
      <c r="AC74" s="498">
        <f t="shared" ref="AC74:AC76" si="143">SUM(AA74:AB74)</f>
        <v>26057.962440000003</v>
      </c>
      <c r="AD74" s="492">
        <v>1</v>
      </c>
      <c r="AE74" s="563">
        <f>SUM('Guatemala '!AD9+'Dominican Republic'!AD39+Guyana!AD38+Jamaica!AD38)</f>
        <v>24020.252062560001</v>
      </c>
      <c r="AF74" s="128">
        <v>1</v>
      </c>
      <c r="AG74" s="501">
        <f t="shared" ref="AG74:AG76" si="144">AD74*AE74*AF74</f>
        <v>24020.252062560001</v>
      </c>
      <c r="AH74" s="11">
        <v>0</v>
      </c>
      <c r="AI74" s="536">
        <f t="shared" ref="AI74:AI75" si="145">SUM(AG74:AH74)</f>
        <v>24020.252062560001</v>
      </c>
      <c r="AJ74" s="535">
        <f>I74+O74+U74+AA74+AG74</f>
        <v>134737.49270256</v>
      </c>
      <c r="AK74" s="195">
        <f t="shared" ref="AK74:AK77" si="146">J74+P74+V74+AB74+AH74</f>
        <v>0</v>
      </c>
      <c r="AL74" s="534">
        <f t="shared" ref="AL74:AL75" si="147">SUM(AJ74:AK74)</f>
        <v>134737.49270256</v>
      </c>
      <c r="AM74" s="11">
        <f>'Guatemala '!AF39+Guyana!AF38+'Dominican Republic'!AF39+Jamaica!AF38</f>
        <v>166038.18472175999</v>
      </c>
      <c r="AN74" s="11">
        <f>AM74-AL74</f>
        <v>31300.692019199982</v>
      </c>
      <c r="AO74" s="4"/>
      <c r="AP74" s="4"/>
    </row>
    <row r="75" spans="1:42" x14ac:dyDescent="0.4">
      <c r="A75" s="61" t="s">
        <v>278</v>
      </c>
      <c r="B75" s="592" t="s">
        <v>291</v>
      </c>
      <c r="C75" s="61" t="s">
        <v>278</v>
      </c>
      <c r="D75" s="126" t="s">
        <v>68</v>
      </c>
      <c r="E75" s="129">
        <v>1</v>
      </c>
      <c r="F75" s="563">
        <f>SUM('Guatemala '!I38+'Dominican Republic'!I38+Guyana!I37+Jamaica!I37)</f>
        <v>39838.491000000002</v>
      </c>
      <c r="G75" s="128">
        <v>1</v>
      </c>
      <c r="H75" s="127" t="s">
        <v>46</v>
      </c>
      <c r="I75" s="497">
        <f t="shared" ref="I75:I76" si="148">G75*F75*E75</f>
        <v>39838.491000000002</v>
      </c>
      <c r="J75" s="11">
        <v>0</v>
      </c>
      <c r="K75" s="498">
        <f t="shared" si="138"/>
        <v>39838.491000000002</v>
      </c>
      <c r="L75" s="492">
        <v>1</v>
      </c>
      <c r="M75" s="563">
        <f>SUM('Guatemala '!N38+'Dominican Republic'!N38+Guyana!N37+Jamaica!N37)</f>
        <v>44446.414319999996</v>
      </c>
      <c r="N75" s="128">
        <v>1</v>
      </c>
      <c r="O75" s="501">
        <f t="shared" ref="O75:O76" si="149">L75*M75*N75</f>
        <v>44446.414319999996</v>
      </c>
      <c r="P75" s="11">
        <v>0</v>
      </c>
      <c r="Q75" s="498">
        <f t="shared" si="139"/>
        <v>44446.414319999996</v>
      </c>
      <c r="R75" s="492">
        <v>1</v>
      </c>
      <c r="S75" s="563">
        <f>SUM('Guatemala '!S38+'Dominican Republic'!S38+Guyana!S37+Jamaica!S37)</f>
        <v>50031.678034800003</v>
      </c>
      <c r="T75" s="128">
        <v>1</v>
      </c>
      <c r="U75" s="501">
        <f t="shared" si="140"/>
        <v>50031.678034800003</v>
      </c>
      <c r="V75" s="11">
        <v>0</v>
      </c>
      <c r="W75" s="498">
        <f t="shared" si="141"/>
        <v>50031.678034800003</v>
      </c>
      <c r="X75" s="492">
        <v>1</v>
      </c>
      <c r="Y75" s="563">
        <f>SUM('Guatemala '!X38+'Dominican Republic'!X38+Guyana!X37+Jamaica!X37)</f>
        <v>45265.905769391997</v>
      </c>
      <c r="Z75" s="128">
        <v>1</v>
      </c>
      <c r="AA75" s="501">
        <f t="shared" si="142"/>
        <v>45265.905769391997</v>
      </c>
      <c r="AB75" s="11">
        <v>0</v>
      </c>
      <c r="AC75" s="498">
        <f t="shared" si="143"/>
        <v>45265.905769391997</v>
      </c>
      <c r="AD75" s="492">
        <v>1</v>
      </c>
      <c r="AE75" s="563">
        <f>SUM('Guatemala '!AD38+'Dominican Republic'!AD38+Guyana!AD37+Jamaica!AD37)</f>
        <v>40849.833680853124</v>
      </c>
      <c r="AF75" s="128">
        <v>1</v>
      </c>
      <c r="AG75" s="501">
        <f t="shared" si="144"/>
        <v>40849.833680853124</v>
      </c>
      <c r="AH75" s="11">
        <v>0</v>
      </c>
      <c r="AI75" s="536">
        <f t="shared" si="145"/>
        <v>40849.833680853124</v>
      </c>
      <c r="AJ75" s="535">
        <f t="shared" ref="AJ75:AJ76" si="150">I75+O75+U75+AA75+AG75</f>
        <v>220432.32280504514</v>
      </c>
      <c r="AK75" s="195">
        <f t="shared" si="146"/>
        <v>0</v>
      </c>
      <c r="AL75" s="534">
        <f t="shared" si="147"/>
        <v>220432.32280504514</v>
      </c>
      <c r="AM75" s="11"/>
      <c r="AN75" s="4">
        <f>AN74/4</f>
        <v>7825.1730047999954</v>
      </c>
      <c r="AO75" s="4"/>
      <c r="AP75" s="4"/>
    </row>
    <row r="76" spans="1:42" ht="24.6" x14ac:dyDescent="0.4">
      <c r="A76" s="61" t="s">
        <v>278</v>
      </c>
      <c r="B76" s="614" t="s">
        <v>292</v>
      </c>
      <c r="C76" s="61" t="s">
        <v>278</v>
      </c>
      <c r="D76" s="131" t="s">
        <v>69</v>
      </c>
      <c r="E76" s="129">
        <f>E74</f>
        <v>1</v>
      </c>
      <c r="F76" s="563">
        <f>SUM('Guatemala '!I40+'Dominican Republic'!I40+Guyana!I39+Jamaica!I39)</f>
        <v>9570</v>
      </c>
      <c r="G76" s="128">
        <v>1</v>
      </c>
      <c r="H76" s="127" t="s">
        <v>70</v>
      </c>
      <c r="I76" s="497">
        <f t="shared" si="148"/>
        <v>9570</v>
      </c>
      <c r="J76" s="11">
        <v>0</v>
      </c>
      <c r="K76" s="498">
        <f t="shared" si="138"/>
        <v>9570</v>
      </c>
      <c r="L76" s="492">
        <f>L74</f>
        <v>1</v>
      </c>
      <c r="M76" s="563">
        <f>SUM('Guatemala '!N40+'Dominican Republic'!N40+Guyana!N39+Jamaica!N39)</f>
        <v>10388.700000000001</v>
      </c>
      <c r="N76" s="128">
        <v>1</v>
      </c>
      <c r="O76" s="501">
        <f t="shared" si="149"/>
        <v>10388.700000000001</v>
      </c>
      <c r="P76" s="11">
        <v>0</v>
      </c>
      <c r="Q76" s="498">
        <f t="shared" si="139"/>
        <v>10388.700000000001</v>
      </c>
      <c r="R76" s="492">
        <f>R74</f>
        <v>1</v>
      </c>
      <c r="S76" s="563">
        <f>SUM('Guatemala '!S40+'Dominican Republic'!S40+Guyana!S39+Jamaica!S39)</f>
        <v>12889.515599999999</v>
      </c>
      <c r="T76" s="128">
        <v>1</v>
      </c>
      <c r="U76" s="501">
        <f t="shared" si="140"/>
        <v>12889.515599999999</v>
      </c>
      <c r="V76" s="11">
        <v>0</v>
      </c>
      <c r="W76" s="498">
        <f t="shared" si="141"/>
        <v>12889.515599999999</v>
      </c>
      <c r="X76" s="492">
        <f>X74</f>
        <v>1</v>
      </c>
      <c r="Y76" s="563">
        <f>SUM('Guatemala '!X40+'Dominican Republic'!X40+Guyana!X39+Jamaica!X39)</f>
        <v>10671.507648000001</v>
      </c>
      <c r="Z76" s="128">
        <v>1</v>
      </c>
      <c r="AA76" s="501">
        <f t="shared" si="142"/>
        <v>10671.507648000001</v>
      </c>
      <c r="AB76" s="11">
        <v>0</v>
      </c>
      <c r="AC76" s="498">
        <f t="shared" si="143"/>
        <v>10671.507648000001</v>
      </c>
      <c r="AD76" s="492">
        <f>AD74</f>
        <v>1</v>
      </c>
      <c r="AE76" s="563">
        <f>SUM('Guatemala '!AD40+'Dominican Republic'!AD40+Guyana!AD39+Jamaica!AD39)</f>
        <v>10015.74477648</v>
      </c>
      <c r="AF76" s="128">
        <v>1</v>
      </c>
      <c r="AG76" s="501">
        <f t="shared" si="144"/>
        <v>10015.74477648</v>
      </c>
      <c r="AH76" s="11">
        <v>0</v>
      </c>
      <c r="AI76" s="536">
        <f>SUM(AG76:AH76)</f>
        <v>10015.74477648</v>
      </c>
      <c r="AJ76" s="535">
        <f t="shared" si="150"/>
        <v>53535.468024479997</v>
      </c>
      <c r="AK76" s="195">
        <f t="shared" si="146"/>
        <v>0</v>
      </c>
      <c r="AL76" s="534">
        <f>SUM(AJ76:AK76)</f>
        <v>53535.468024479997</v>
      </c>
      <c r="AM76" s="11"/>
      <c r="AN76" s="4"/>
      <c r="AO76" s="4"/>
      <c r="AP76" s="4"/>
    </row>
    <row r="77" spans="1:42" s="1" customFormat="1" x14ac:dyDescent="0.4">
      <c r="A77" s="173"/>
      <c r="B77" s="593"/>
      <c r="C77" s="173"/>
      <c r="D77" s="173" t="s">
        <v>78</v>
      </c>
      <c r="E77" s="174"/>
      <c r="F77" s="25"/>
      <c r="G77" s="175"/>
      <c r="H77" s="25"/>
      <c r="I77" s="499">
        <f>SUM(I74:I76)</f>
        <v>79325.991000000009</v>
      </c>
      <c r="J77" s="27">
        <f>SUM(J73:J76)</f>
        <v>0</v>
      </c>
      <c r="K77" s="500">
        <f>SUM(K73:K76)</f>
        <v>79325.991000000009</v>
      </c>
      <c r="L77" s="175">
        <f>SUM(L73:L76)</f>
        <v>3</v>
      </c>
      <c r="M77" s="176"/>
      <c r="N77" s="25"/>
      <c r="O77" s="499">
        <f>SUM(O74:O76)</f>
        <v>80554.414319999996</v>
      </c>
      <c r="P77" s="27">
        <f>SUM(P73:P76)</f>
        <v>0</v>
      </c>
      <c r="Q77" s="500">
        <f>SUM(Q73:Q76)</f>
        <v>80554.414319999996</v>
      </c>
      <c r="R77" s="175">
        <f>SUM(R73:R76)</f>
        <v>3</v>
      </c>
      <c r="S77" s="25"/>
      <c r="T77" s="25"/>
      <c r="U77" s="499">
        <f>SUM(U74:U76)</f>
        <v>91943.671834799999</v>
      </c>
      <c r="V77" s="27">
        <f>SUM(V73:V76)</f>
        <v>0</v>
      </c>
      <c r="W77" s="500">
        <f>SUM(W73:W76)</f>
        <v>91943.671834799999</v>
      </c>
      <c r="X77" s="175">
        <f>SUM(X73:X76)</f>
        <v>3</v>
      </c>
      <c r="Y77" s="25"/>
      <c r="Z77" s="25"/>
      <c r="AA77" s="499">
        <f>SUM(AA74:AA76)</f>
        <v>81995.375857392006</v>
      </c>
      <c r="AB77" s="27">
        <f>SUM(AB73:AB76)</f>
        <v>0</v>
      </c>
      <c r="AC77" s="500">
        <f>SUM(AC73:AC76)</f>
        <v>81995.375857392006</v>
      </c>
      <c r="AD77" s="175">
        <f>SUM(AD73:AD76)</f>
        <v>3</v>
      </c>
      <c r="AE77" s="25"/>
      <c r="AF77" s="25"/>
      <c r="AG77" s="499">
        <f>SUM(AG74:AG76)</f>
        <v>74885.830519893119</v>
      </c>
      <c r="AH77" s="27">
        <f>SUM(AH73:AH76)</f>
        <v>0</v>
      </c>
      <c r="AI77" s="539">
        <f>SUM(AI74:AI76)</f>
        <v>74885.830519893119</v>
      </c>
      <c r="AJ77" s="542">
        <f>SUM(AJ74:AJ76)</f>
        <v>408705.28353208513</v>
      </c>
      <c r="AK77" s="28">
        <f t="shared" si="146"/>
        <v>0</v>
      </c>
      <c r="AL77" s="533">
        <f>SUM(AJ77:AK77)</f>
        <v>408705.28353208513</v>
      </c>
    </row>
    <row r="78" spans="1:42" x14ac:dyDescent="0.4">
      <c r="A78" s="102"/>
      <c r="B78" s="604"/>
      <c r="C78" s="102"/>
      <c r="D78" s="102" t="s">
        <v>79</v>
      </c>
      <c r="E78" s="124"/>
      <c r="F78" s="103"/>
      <c r="G78" s="103"/>
      <c r="H78" s="103"/>
      <c r="I78" s="502">
        <f>I71+I64+I58+I77</f>
        <v>89016.551000000007</v>
      </c>
      <c r="J78" s="490">
        <f>J71+J64+J58+J77</f>
        <v>0</v>
      </c>
      <c r="K78" s="503">
        <f>K71+K64+K58+K77</f>
        <v>89016.551000000007</v>
      </c>
      <c r="L78" s="103"/>
      <c r="M78" s="103"/>
      <c r="N78" s="103"/>
      <c r="O78" s="502">
        <f>O71+O64+O58+O77</f>
        <v>90438.78551999999</v>
      </c>
      <c r="P78" s="490">
        <f>P71+P64+P58+P77</f>
        <v>0</v>
      </c>
      <c r="Q78" s="503">
        <f>Q71+Q64+Q58+Q77</f>
        <v>90438.78551999999</v>
      </c>
      <c r="R78" s="103"/>
      <c r="S78" s="103"/>
      <c r="T78" s="103"/>
      <c r="U78" s="502">
        <f>U71+U64+U58+U77</f>
        <v>102025.7304588</v>
      </c>
      <c r="V78" s="490">
        <f>V71+V64+V58+V77</f>
        <v>0</v>
      </c>
      <c r="W78" s="503">
        <f>W71+W64+W58+W77</f>
        <v>102025.7304588</v>
      </c>
      <c r="X78" s="103"/>
      <c r="Y78" s="103"/>
      <c r="Z78" s="103"/>
      <c r="AA78" s="502">
        <f>AA71+AA64+AA58+AA77</f>
        <v>92279.075653872002</v>
      </c>
      <c r="AB78" s="490">
        <f>AB71+AB64+AB58+AB77</f>
        <v>0</v>
      </c>
      <c r="AC78" s="503">
        <f>AC71+AC64+AC58+AC77</f>
        <v>92279.075653872002</v>
      </c>
      <c r="AD78" s="103"/>
      <c r="AE78" s="103"/>
      <c r="AF78" s="103"/>
      <c r="AG78" s="502">
        <f t="shared" ref="AG78:AL78" si="151">AG71+AG64+AG58+AG77</f>
        <v>85375.204312302725</v>
      </c>
      <c r="AH78" s="490">
        <f t="shared" si="151"/>
        <v>0</v>
      </c>
      <c r="AI78" s="503">
        <f t="shared" si="151"/>
        <v>85375.204312302725</v>
      </c>
      <c r="AJ78" s="490">
        <f t="shared" si="151"/>
        <v>459135.34694497474</v>
      </c>
      <c r="AK78" s="104">
        <f t="shared" si="151"/>
        <v>0</v>
      </c>
      <c r="AL78" s="564">
        <f t="shared" si="151"/>
        <v>459135.34694497474</v>
      </c>
      <c r="AM78" s="4"/>
      <c r="AN78" s="4"/>
      <c r="AO78" s="4"/>
      <c r="AP78" s="4"/>
    </row>
    <row r="79" spans="1:42" x14ac:dyDescent="0.4">
      <c r="A79" s="198"/>
      <c r="B79" s="598"/>
      <c r="C79" s="198"/>
      <c r="D79" s="198"/>
      <c r="E79" s="222"/>
      <c r="F79" s="200"/>
      <c r="G79" s="200"/>
      <c r="H79" s="200"/>
      <c r="I79" s="513"/>
      <c r="J79" s="514"/>
      <c r="K79" s="515"/>
      <c r="L79" s="200"/>
      <c r="M79" s="200"/>
      <c r="N79" s="200"/>
      <c r="O79" s="513"/>
      <c r="P79" s="514"/>
      <c r="Q79" s="515"/>
      <c r="R79" s="200"/>
      <c r="S79" s="200"/>
      <c r="T79" s="200"/>
      <c r="U79" s="513"/>
      <c r="V79" s="514"/>
      <c r="W79" s="515"/>
      <c r="X79" s="200"/>
      <c r="Y79" s="200"/>
      <c r="Z79" s="200"/>
      <c r="AA79" s="513"/>
      <c r="AB79" s="514"/>
      <c r="AC79" s="515"/>
      <c r="AD79" s="200"/>
      <c r="AE79" s="200"/>
      <c r="AF79" s="200"/>
      <c r="AG79" s="513"/>
      <c r="AH79" s="514"/>
      <c r="AI79" s="515"/>
      <c r="AJ79" s="201"/>
      <c r="AK79" s="198"/>
      <c r="AL79" s="198"/>
      <c r="AM79" s="4"/>
      <c r="AN79" s="4"/>
      <c r="AO79" s="4"/>
      <c r="AP79" s="4"/>
    </row>
    <row r="80" spans="1:42" x14ac:dyDescent="0.4">
      <c r="A80" s="101"/>
      <c r="B80" s="599"/>
      <c r="C80" s="101"/>
      <c r="D80" s="101" t="s">
        <v>80</v>
      </c>
      <c r="E80" s="202"/>
      <c r="F80" s="203"/>
      <c r="G80" s="203"/>
      <c r="H80" s="203"/>
      <c r="I80" s="509">
        <f>I78+I51</f>
        <v>290955.13</v>
      </c>
      <c r="J80" s="510">
        <f>J78+J51</f>
        <v>0</v>
      </c>
      <c r="K80" s="511">
        <f>K78+K51</f>
        <v>290955.13</v>
      </c>
      <c r="L80" s="202"/>
      <c r="M80" s="203"/>
      <c r="N80" s="203"/>
      <c r="O80" s="509">
        <f>O78+O51</f>
        <v>324939.93128999998</v>
      </c>
      <c r="P80" s="510">
        <f>P78+P51</f>
        <v>0</v>
      </c>
      <c r="Q80" s="511">
        <f>Q78+Q51</f>
        <v>324939.93128999998</v>
      </c>
      <c r="R80" s="202"/>
      <c r="S80" s="203"/>
      <c r="T80" s="203"/>
      <c r="U80" s="509">
        <f>U78+U51</f>
        <v>340648.15346420003</v>
      </c>
      <c r="V80" s="510">
        <f>V78+V51</f>
        <v>0</v>
      </c>
      <c r="W80" s="511">
        <f>W78+W51</f>
        <v>340648.15346420003</v>
      </c>
      <c r="X80" s="202"/>
      <c r="Y80" s="203"/>
      <c r="Z80" s="203"/>
      <c r="AA80" s="509">
        <f>AA78+AA51</f>
        <v>332162.34412786004</v>
      </c>
      <c r="AB80" s="510">
        <f>AB78+AB51</f>
        <v>0</v>
      </c>
      <c r="AC80" s="511">
        <f>AC78+AC51</f>
        <v>332162.34412786004</v>
      </c>
      <c r="AD80" s="202"/>
      <c r="AE80" s="203"/>
      <c r="AF80" s="203"/>
      <c r="AG80" s="509">
        <f>AG78+AG51</f>
        <v>294477.26166885177</v>
      </c>
      <c r="AH80" s="510">
        <f>AH78+AH51</f>
        <v>0</v>
      </c>
      <c r="AI80" s="511">
        <f>AI78+AI51</f>
        <v>294477.26166885177</v>
      </c>
      <c r="AJ80" s="207">
        <f>AJ78+AJ51</f>
        <v>1583182.8205509118</v>
      </c>
      <c r="AK80" s="207">
        <f>AK78+AK51</f>
        <v>0</v>
      </c>
      <c r="AL80" s="207">
        <f>SUM(AJ80:AK80)</f>
        <v>1583182.8205509118</v>
      </c>
      <c r="AM80" s="4"/>
      <c r="AN80" s="4"/>
      <c r="AO80" s="4"/>
      <c r="AP80" s="4"/>
    </row>
    <row r="81" spans="1:42" x14ac:dyDescent="0.4">
      <c r="A81" s="224"/>
      <c r="B81" s="606"/>
      <c r="C81" s="224"/>
      <c r="D81" s="224"/>
      <c r="E81" s="37"/>
      <c r="F81" s="21"/>
      <c r="G81" s="21"/>
      <c r="H81" s="21"/>
      <c r="I81" s="211"/>
      <c r="J81" s="212"/>
      <c r="K81" s="213"/>
      <c r="L81" s="37"/>
      <c r="M81" s="21"/>
      <c r="N81" s="21"/>
      <c r="O81" s="211"/>
      <c r="P81" s="212"/>
      <c r="Q81" s="213"/>
      <c r="R81" s="37"/>
      <c r="S81" s="21"/>
      <c r="T81" s="21"/>
      <c r="U81" s="211"/>
      <c r="V81" s="212"/>
      <c r="W81" s="213"/>
      <c r="X81" s="37"/>
      <c r="Y81" s="21"/>
      <c r="Z81" s="21"/>
      <c r="AA81" s="211"/>
      <c r="AB81" s="212"/>
      <c r="AC81" s="213"/>
      <c r="AD81" s="37"/>
      <c r="AE81" s="21"/>
      <c r="AF81" s="21"/>
      <c r="AG81" s="211"/>
      <c r="AH81" s="212"/>
      <c r="AI81" s="213"/>
      <c r="AJ81" s="214"/>
      <c r="AK81" s="214"/>
      <c r="AL81" s="214"/>
      <c r="AM81" s="4"/>
      <c r="AN81" s="4"/>
      <c r="AO81" s="4"/>
      <c r="AP81" s="4"/>
    </row>
    <row r="82" spans="1:42" x14ac:dyDescent="0.4">
      <c r="A82" s="72"/>
      <c r="B82" s="590"/>
      <c r="C82" s="72"/>
      <c r="D82" s="72" t="s">
        <v>81</v>
      </c>
      <c r="E82" s="215"/>
      <c r="F82" s="216"/>
      <c r="G82" s="216"/>
      <c r="H82" s="216"/>
      <c r="I82" s="69"/>
      <c r="J82" s="67"/>
      <c r="K82" s="217"/>
      <c r="L82" s="215"/>
      <c r="M82" s="216"/>
      <c r="N82" s="216"/>
      <c r="O82" s="69"/>
      <c r="P82" s="67"/>
      <c r="Q82" s="217"/>
      <c r="R82" s="215"/>
      <c r="S82" s="216"/>
      <c r="T82" s="216"/>
      <c r="U82" s="69"/>
      <c r="V82" s="67"/>
      <c r="W82" s="217"/>
      <c r="X82" s="215"/>
      <c r="Y82" s="216"/>
      <c r="Z82" s="216"/>
      <c r="AA82" s="69"/>
      <c r="AB82" s="67"/>
      <c r="AC82" s="217"/>
      <c r="AD82" s="215"/>
      <c r="AE82" s="216"/>
      <c r="AF82" s="216"/>
      <c r="AG82" s="69"/>
      <c r="AH82" s="67"/>
      <c r="AI82" s="217"/>
      <c r="AJ82" s="218"/>
      <c r="AK82" s="218"/>
      <c r="AL82" s="218"/>
      <c r="AM82" s="4"/>
      <c r="AN82" s="4"/>
      <c r="AO82" s="4"/>
      <c r="AP82" s="4"/>
    </row>
    <row r="83" spans="1:42" x14ac:dyDescent="0.4">
      <c r="A83" s="219"/>
      <c r="B83" s="601"/>
      <c r="C83" s="219"/>
      <c r="D83" s="219"/>
      <c r="E83" s="129"/>
      <c r="F83" s="225"/>
      <c r="G83" s="225"/>
      <c r="H83" s="225"/>
      <c r="I83" s="191"/>
      <c r="J83" s="16"/>
      <c r="K83" s="223"/>
      <c r="L83" s="226"/>
      <c r="M83" s="225"/>
      <c r="N83" s="225"/>
      <c r="O83" s="220"/>
      <c r="P83" s="16"/>
      <c r="Q83" s="223"/>
      <c r="R83" s="226"/>
      <c r="S83" s="225"/>
      <c r="T83" s="225"/>
      <c r="U83" s="220"/>
      <c r="V83" s="16"/>
      <c r="W83" s="223"/>
      <c r="X83" s="226"/>
      <c r="Y83" s="225"/>
      <c r="Z83" s="225"/>
      <c r="AA83" s="220"/>
      <c r="AB83" s="16"/>
      <c r="AC83" s="223"/>
      <c r="AD83" s="226"/>
      <c r="AE83" s="225"/>
      <c r="AF83" s="225"/>
      <c r="AG83" s="220"/>
      <c r="AH83" s="16"/>
      <c r="AI83" s="223"/>
      <c r="AJ83" s="195"/>
      <c r="AK83" s="221"/>
      <c r="AL83" s="221"/>
      <c r="AM83" s="4"/>
      <c r="AN83" s="4"/>
      <c r="AO83" s="4"/>
      <c r="AP83" s="4"/>
    </row>
    <row r="84" spans="1:42" x14ac:dyDescent="0.4">
      <c r="A84" s="61" t="s">
        <v>354</v>
      </c>
      <c r="B84" s="602" t="s">
        <v>294</v>
      </c>
      <c r="C84" s="61" t="s">
        <v>240</v>
      </c>
      <c r="D84" s="61" t="s">
        <v>82</v>
      </c>
      <c r="E84" s="129">
        <v>1</v>
      </c>
      <c r="F84" s="11">
        <f>'Dominican Republic'!F43</f>
        <v>43000</v>
      </c>
      <c r="G84" s="197"/>
      <c r="H84" s="127" t="s">
        <v>83</v>
      </c>
      <c r="I84" s="10">
        <f>F84*E84</f>
        <v>43000</v>
      </c>
      <c r="J84" s="11">
        <v>0</v>
      </c>
      <c r="K84" s="194">
        <f>SUM(I84:J84)</f>
        <v>43000</v>
      </c>
      <c r="L84" s="129">
        <v>1</v>
      </c>
      <c r="M84" s="11">
        <f>'Guatemala '!N43+'Dominican Republic'!N43+Guyana!N42+Jamaica!N42</f>
        <v>0</v>
      </c>
      <c r="N84" s="197"/>
      <c r="O84" s="10">
        <f>L84*M84</f>
        <v>0</v>
      </c>
      <c r="P84" s="11">
        <v>0</v>
      </c>
      <c r="Q84" s="194">
        <f>SUM(O84:P84)</f>
        <v>0</v>
      </c>
      <c r="R84" s="129">
        <v>1</v>
      </c>
      <c r="S84" s="11">
        <f>'Guatemala '!T43+'Dominican Republic'!T43+Guyana!T42+Jamaica!T42</f>
        <v>0</v>
      </c>
      <c r="T84" s="197"/>
      <c r="U84" s="10">
        <f>S84*R84</f>
        <v>0</v>
      </c>
      <c r="V84" s="11">
        <v>0</v>
      </c>
      <c r="W84" s="194">
        <f>SUM(U84:V84)</f>
        <v>0</v>
      </c>
      <c r="X84" s="129">
        <v>1</v>
      </c>
      <c r="Y84" s="11">
        <f>'Guatemala '!Z43+'Dominican Republic'!Z43+Guyana!Z42+Jamaica!Z42</f>
        <v>0</v>
      </c>
      <c r="Z84" s="197"/>
      <c r="AA84" s="10">
        <f>X84*Y84</f>
        <v>0</v>
      </c>
      <c r="AB84" s="11">
        <v>0</v>
      </c>
      <c r="AC84" s="194">
        <f>SUM(AA84:AB84)</f>
        <v>0</v>
      </c>
      <c r="AD84" s="129">
        <v>1</v>
      </c>
      <c r="AE84" s="11">
        <f>'Guatemala '!AC43+'Dominican Republic'!AC43+Guyana!AC42+Jamaica!AC42</f>
        <v>0</v>
      </c>
      <c r="AF84" s="197"/>
      <c r="AG84" s="10">
        <f>AE84*AD84</f>
        <v>0</v>
      </c>
      <c r="AH84" s="11">
        <v>0</v>
      </c>
      <c r="AI84" s="194">
        <f>SUM(AG84:AH84)</f>
        <v>0</v>
      </c>
      <c r="AJ84" s="195">
        <f>I84+O84+U84+AA84+AG84</f>
        <v>43000</v>
      </c>
      <c r="AK84" s="195">
        <f t="shared" ref="AK84" si="152">J84+P84+V84+AB84+AH84</f>
        <v>0</v>
      </c>
      <c r="AL84" s="195">
        <f>SUM(AJ84:AK84)</f>
        <v>43000</v>
      </c>
      <c r="AM84" s="4"/>
      <c r="AN84" s="4"/>
      <c r="AO84" s="4"/>
      <c r="AP84" s="4"/>
    </row>
    <row r="85" spans="1:42" x14ac:dyDescent="0.4">
      <c r="A85" s="219"/>
      <c r="B85" s="601"/>
      <c r="C85" s="219"/>
      <c r="D85" s="219"/>
      <c r="E85" s="228"/>
      <c r="F85" s="11"/>
      <c r="G85" s="229"/>
      <c r="H85" s="229"/>
      <c r="I85" s="10"/>
      <c r="J85" s="11"/>
      <c r="K85" s="194"/>
      <c r="L85" s="228"/>
      <c r="M85" s="229"/>
      <c r="N85" s="229"/>
      <c r="O85" s="10"/>
      <c r="P85" s="11"/>
      <c r="Q85" s="194"/>
      <c r="R85" s="228"/>
      <c r="S85" s="229"/>
      <c r="T85" s="229"/>
      <c r="U85" s="10"/>
      <c r="V85" s="11"/>
      <c r="W85" s="194"/>
      <c r="X85" s="228"/>
      <c r="Y85" s="229"/>
      <c r="Z85" s="229"/>
      <c r="AA85" s="10"/>
      <c r="AB85" s="11"/>
      <c r="AC85" s="194"/>
      <c r="AD85" s="228"/>
      <c r="AE85" s="229"/>
      <c r="AF85" s="229"/>
      <c r="AG85" s="10"/>
      <c r="AH85" s="11"/>
      <c r="AI85" s="194"/>
      <c r="AJ85" s="231"/>
      <c r="AK85" s="231"/>
      <c r="AL85" s="231"/>
      <c r="AM85" s="4"/>
      <c r="AN85" s="4"/>
      <c r="AO85" s="4"/>
      <c r="AP85" s="4"/>
    </row>
    <row r="86" spans="1:42" s="8" customFormat="1" x14ac:dyDescent="0.4">
      <c r="A86" s="101"/>
      <c r="B86" s="599"/>
      <c r="C86" s="101"/>
      <c r="D86" s="101" t="s">
        <v>84</v>
      </c>
      <c r="E86" s="202"/>
      <c r="F86" s="203"/>
      <c r="G86" s="203"/>
      <c r="H86" s="203"/>
      <c r="I86" s="519">
        <f>SUM(I84:I85)</f>
        <v>43000</v>
      </c>
      <c r="J86" s="520">
        <f>SUM(J84:J85)</f>
        <v>0</v>
      </c>
      <c r="K86" s="521">
        <f>SUM(K84:K85)</f>
        <v>43000</v>
      </c>
      <c r="L86" s="203"/>
      <c r="M86" s="203"/>
      <c r="N86" s="203"/>
      <c r="O86" s="519">
        <f>SUM(O84:O85)</f>
        <v>0</v>
      </c>
      <c r="P86" s="520">
        <f>SUM(P84:P85)</f>
        <v>0</v>
      </c>
      <c r="Q86" s="521">
        <f>SUM(Q84:Q85)</f>
        <v>0</v>
      </c>
      <c r="R86" s="203"/>
      <c r="S86" s="203"/>
      <c r="T86" s="203"/>
      <c r="U86" s="519">
        <f>SUM(U84:U85)</f>
        <v>0</v>
      </c>
      <c r="V86" s="520">
        <f>SUM(V84:V85)</f>
        <v>0</v>
      </c>
      <c r="W86" s="521">
        <f>SUM(W84:W85)</f>
        <v>0</v>
      </c>
      <c r="X86" s="203"/>
      <c r="Y86" s="203"/>
      <c r="Z86" s="203"/>
      <c r="AA86" s="519">
        <f>SUM(AA84:AA85)</f>
        <v>0</v>
      </c>
      <c r="AB86" s="520">
        <f>SUM(AB84:AB85)</f>
        <v>0</v>
      </c>
      <c r="AC86" s="521">
        <f>SUM(AC84:AC85)</f>
        <v>0</v>
      </c>
      <c r="AD86" s="203"/>
      <c r="AE86" s="203"/>
      <c r="AF86" s="203"/>
      <c r="AG86" s="519">
        <f>SUM(AG84:AG85)</f>
        <v>0</v>
      </c>
      <c r="AH86" s="520">
        <f>SUM(AH84:AH85)</f>
        <v>0</v>
      </c>
      <c r="AI86" s="521">
        <f>SUM(AI84:AI85)</f>
        <v>0</v>
      </c>
      <c r="AJ86" s="206">
        <f>SUM(AJ84:AJ85)</f>
        <v>43000</v>
      </c>
      <c r="AK86" s="207">
        <f>SUM(AK84:AK85)</f>
        <v>0</v>
      </c>
      <c r="AL86" s="207">
        <f>SUM(AJ86:AK86)</f>
        <v>43000</v>
      </c>
      <c r="AM86" s="24"/>
      <c r="AN86" s="24"/>
      <c r="AO86" s="24"/>
      <c r="AP86" s="24"/>
    </row>
    <row r="87" spans="1:42" x14ac:dyDescent="0.4">
      <c r="A87" s="232"/>
      <c r="B87" s="607"/>
      <c r="C87" s="232"/>
      <c r="D87" s="232"/>
      <c r="E87" s="209"/>
      <c r="F87" s="210"/>
      <c r="G87" s="210"/>
      <c r="H87" s="210"/>
      <c r="I87" s="17"/>
      <c r="J87" s="18"/>
      <c r="K87" s="230"/>
      <c r="L87" s="209"/>
      <c r="M87" s="210"/>
      <c r="N87" s="210"/>
      <c r="O87" s="17"/>
      <c r="P87" s="18"/>
      <c r="Q87" s="230"/>
      <c r="R87" s="209"/>
      <c r="S87" s="210"/>
      <c r="T87" s="210"/>
      <c r="U87" s="17"/>
      <c r="V87" s="18"/>
      <c r="W87" s="230"/>
      <c r="X87" s="209"/>
      <c r="Y87" s="210"/>
      <c r="Z87" s="210"/>
      <c r="AA87" s="17"/>
      <c r="AB87" s="18"/>
      <c r="AC87" s="230"/>
      <c r="AD87" s="209"/>
      <c r="AE87" s="210"/>
      <c r="AF87" s="210"/>
      <c r="AG87" s="17"/>
      <c r="AH87" s="18"/>
      <c r="AI87" s="230"/>
      <c r="AJ87" s="214"/>
      <c r="AK87" s="214"/>
      <c r="AL87" s="214"/>
      <c r="AM87" s="4"/>
      <c r="AN87" s="4"/>
      <c r="AO87" s="4"/>
      <c r="AP87" s="4"/>
    </row>
    <row r="88" spans="1:42" x14ac:dyDescent="0.4">
      <c r="A88" s="72"/>
      <c r="B88" s="590"/>
      <c r="C88" s="72"/>
      <c r="D88" s="72" t="s">
        <v>17</v>
      </c>
      <c r="E88" s="215"/>
      <c r="F88" s="216"/>
      <c r="G88" s="216"/>
      <c r="H88" s="216"/>
      <c r="I88" s="506"/>
      <c r="J88" s="507"/>
      <c r="K88" s="508"/>
      <c r="L88" s="215"/>
      <c r="M88" s="216"/>
      <c r="N88" s="216"/>
      <c r="O88" s="506"/>
      <c r="P88" s="507"/>
      <c r="Q88" s="508"/>
      <c r="R88" s="215"/>
      <c r="S88" s="216"/>
      <c r="T88" s="216"/>
      <c r="U88" s="506"/>
      <c r="V88" s="507"/>
      <c r="W88" s="508"/>
      <c r="X88" s="215"/>
      <c r="Y88" s="216"/>
      <c r="Z88" s="216"/>
      <c r="AA88" s="506"/>
      <c r="AB88" s="507"/>
      <c r="AC88" s="508"/>
      <c r="AD88" s="215"/>
      <c r="AE88" s="216"/>
      <c r="AF88" s="216"/>
      <c r="AG88" s="506"/>
      <c r="AH88" s="507"/>
      <c r="AI88" s="508"/>
      <c r="AJ88" s="218"/>
      <c r="AK88" s="218"/>
      <c r="AL88" s="218"/>
      <c r="AM88" s="4"/>
      <c r="AN88" s="4"/>
      <c r="AO88" s="4"/>
      <c r="AP88" s="4"/>
    </row>
    <row r="89" spans="1:42" x14ac:dyDescent="0.4">
      <c r="A89" s="62"/>
      <c r="B89" s="591"/>
      <c r="C89" s="62"/>
      <c r="D89" s="62"/>
      <c r="E89" s="226"/>
      <c r="F89" s="225"/>
      <c r="G89" s="225"/>
      <c r="H89" s="225"/>
      <c r="I89" s="512"/>
      <c r="J89" s="495"/>
      <c r="K89" s="496"/>
      <c r="L89" s="225"/>
      <c r="M89" s="225"/>
      <c r="N89" s="225"/>
      <c r="O89" s="512"/>
      <c r="P89" s="495"/>
      <c r="Q89" s="496"/>
      <c r="R89" s="225"/>
      <c r="S89" s="225"/>
      <c r="T89" s="225"/>
      <c r="U89" s="512"/>
      <c r="V89" s="495"/>
      <c r="W89" s="496"/>
      <c r="X89" s="225"/>
      <c r="Y89" s="225"/>
      <c r="Z89" s="225"/>
      <c r="AA89" s="512"/>
      <c r="AB89" s="495"/>
      <c r="AC89" s="496"/>
      <c r="AD89" s="225"/>
      <c r="AE89" s="225"/>
      <c r="AF89" s="225"/>
      <c r="AG89" s="512"/>
      <c r="AH89" s="495"/>
      <c r="AI89" s="496"/>
      <c r="AJ89" s="194"/>
      <c r="AK89" s="221"/>
      <c r="AL89" s="221"/>
      <c r="AM89" s="4"/>
      <c r="AN89" s="4"/>
      <c r="AO89" s="4"/>
      <c r="AP89" s="4"/>
    </row>
    <row r="90" spans="1:42" x14ac:dyDescent="0.4">
      <c r="A90" s="57"/>
      <c r="B90" s="595"/>
      <c r="C90" s="57"/>
      <c r="D90" s="57" t="s">
        <v>85</v>
      </c>
      <c r="E90" s="160"/>
      <c r="F90" s="197"/>
      <c r="G90" s="197"/>
      <c r="H90" s="197"/>
      <c r="I90" s="501"/>
      <c r="J90" s="11"/>
      <c r="K90" s="498"/>
      <c r="L90" s="492"/>
      <c r="M90" s="125"/>
      <c r="N90" s="128"/>
      <c r="O90" s="501"/>
      <c r="P90" s="11"/>
      <c r="Q90" s="498"/>
      <c r="R90" s="492"/>
      <c r="S90" s="125"/>
      <c r="T90" s="128"/>
      <c r="U90" s="501"/>
      <c r="V90" s="11"/>
      <c r="W90" s="498"/>
      <c r="X90" s="492"/>
      <c r="Y90" s="125"/>
      <c r="Z90" s="128"/>
      <c r="AA90" s="501"/>
      <c r="AB90" s="11"/>
      <c r="AC90" s="498"/>
      <c r="AD90" s="492"/>
      <c r="AE90" s="125"/>
      <c r="AF90" s="128"/>
      <c r="AG90" s="501"/>
      <c r="AH90" s="11"/>
      <c r="AI90" s="498"/>
      <c r="AJ90" s="194"/>
      <c r="AK90" s="195"/>
      <c r="AL90" s="195"/>
      <c r="AM90" s="4"/>
      <c r="AN90" s="4"/>
      <c r="AO90" s="4"/>
      <c r="AP90" s="4"/>
    </row>
    <row r="91" spans="1:42" x14ac:dyDescent="0.4">
      <c r="A91" s="61" t="s">
        <v>295</v>
      </c>
      <c r="B91" s="602" t="s">
        <v>296</v>
      </c>
      <c r="C91" s="61" t="s">
        <v>284</v>
      </c>
      <c r="D91" s="61" t="s">
        <v>86</v>
      </c>
      <c r="E91" s="129">
        <f>'HQ Expenses'!C5</f>
        <v>3</v>
      </c>
      <c r="F91" s="11">
        <f>SUM('HQ Expenses'!B5)</f>
        <v>1105</v>
      </c>
      <c r="G91" s="5">
        <v>1</v>
      </c>
      <c r="H91" s="127" t="s">
        <v>87</v>
      </c>
      <c r="I91" s="501">
        <f>F91*E91</f>
        <v>3315</v>
      </c>
      <c r="J91" s="11">
        <v>0</v>
      </c>
      <c r="K91" s="498">
        <f t="shared" ref="K91:K96" si="153">SUM(I91:J91)</f>
        <v>3315</v>
      </c>
      <c r="L91" s="492">
        <v>0</v>
      </c>
      <c r="M91" s="125">
        <f>F91</f>
        <v>1105</v>
      </c>
      <c r="N91" s="5">
        <v>1</v>
      </c>
      <c r="O91" s="501">
        <f>L91*M91</f>
        <v>0</v>
      </c>
      <c r="P91" s="11">
        <v>0</v>
      </c>
      <c r="Q91" s="498">
        <f t="shared" ref="Q91:Q92" si="154">SUM(O91:P91)</f>
        <v>0</v>
      </c>
      <c r="R91" s="11">
        <f t="shared" ref="R91:R92" si="155">O91*P91*Q91</f>
        <v>0</v>
      </c>
      <c r="S91" s="125">
        <f>F91</f>
        <v>1105</v>
      </c>
      <c r="T91" s="5">
        <v>1</v>
      </c>
      <c r="U91" s="501">
        <f>S91*R91</f>
        <v>0</v>
      </c>
      <c r="V91" s="11">
        <v>0</v>
      </c>
      <c r="W91" s="498">
        <f t="shared" ref="W91:W96" si="156">SUM(U91:V91)</f>
        <v>0</v>
      </c>
      <c r="X91" s="11">
        <f t="shared" ref="X91:X92" si="157">U91*V91*W91</f>
        <v>0</v>
      </c>
      <c r="Y91" s="125">
        <f>F91</f>
        <v>1105</v>
      </c>
      <c r="Z91" s="5">
        <v>1</v>
      </c>
      <c r="AA91" s="501">
        <f>Y91*X91</f>
        <v>0</v>
      </c>
      <c r="AB91" s="11">
        <v>0</v>
      </c>
      <c r="AC91" s="498">
        <f t="shared" ref="AC91:AC96" si="158">SUM(AA91:AB91)</f>
        <v>0</v>
      </c>
      <c r="AD91" s="11">
        <f t="shared" ref="AD91:AD92" si="159">AA91*AB91*AC91</f>
        <v>0</v>
      </c>
      <c r="AE91" s="125">
        <f>F91</f>
        <v>1105</v>
      </c>
      <c r="AF91" s="5">
        <v>1</v>
      </c>
      <c r="AG91" s="501">
        <f>AE91*AD91</f>
        <v>0</v>
      </c>
      <c r="AH91" s="11">
        <v>0</v>
      </c>
      <c r="AI91" s="498">
        <f t="shared" ref="AI91:AI96" si="160">SUM(AG91:AH91)</f>
        <v>0</v>
      </c>
      <c r="AJ91" s="194">
        <f t="shared" ref="AJ91:AJ96" si="161">I91+O91+U91+AA91+AG91</f>
        <v>3315</v>
      </c>
      <c r="AK91" s="195">
        <f t="shared" ref="AK91:AK96" si="162">J91+P91+V91+AB91+AH91</f>
        <v>0</v>
      </c>
      <c r="AL91" s="195">
        <f t="shared" ref="AL91:AL96" si="163">SUM(AJ91:AK91)</f>
        <v>3315</v>
      </c>
      <c r="AM91" s="4"/>
      <c r="AN91" s="4"/>
      <c r="AO91" s="4"/>
      <c r="AP91" s="4"/>
    </row>
    <row r="92" spans="1:42" x14ac:dyDescent="0.4">
      <c r="A92" s="61" t="s">
        <v>295</v>
      </c>
      <c r="B92" s="602" t="s">
        <v>296</v>
      </c>
      <c r="C92" s="61" t="s">
        <v>284</v>
      </c>
      <c r="D92" s="61" t="s">
        <v>88</v>
      </c>
      <c r="E92" s="129">
        <f>'HQ Expenses'!C6</f>
        <v>1</v>
      </c>
      <c r="F92" s="11">
        <f>'HQ Expenses'!B32</f>
        <v>581.29999999999995</v>
      </c>
      <c r="G92" s="5">
        <v>1</v>
      </c>
      <c r="H92" s="127" t="s">
        <v>87</v>
      </c>
      <c r="I92" s="501">
        <f t="shared" ref="I92" si="164">F92*E92</f>
        <v>581.29999999999995</v>
      </c>
      <c r="J92" s="11">
        <v>0</v>
      </c>
      <c r="K92" s="498">
        <f t="shared" si="153"/>
        <v>581.29999999999995</v>
      </c>
      <c r="L92" s="492">
        <v>0</v>
      </c>
      <c r="M92" s="125">
        <f t="shared" ref="M92" si="165">F92</f>
        <v>581.29999999999995</v>
      </c>
      <c r="N92" s="5">
        <v>1</v>
      </c>
      <c r="O92" s="501">
        <f t="shared" ref="O92" si="166">L92*M92</f>
        <v>0</v>
      </c>
      <c r="P92" s="11">
        <v>0</v>
      </c>
      <c r="Q92" s="498">
        <f t="shared" si="154"/>
        <v>0</v>
      </c>
      <c r="R92" s="11">
        <f t="shared" si="155"/>
        <v>0</v>
      </c>
      <c r="S92" s="125">
        <f t="shared" ref="S92" si="167">F92</f>
        <v>581.29999999999995</v>
      </c>
      <c r="T92" s="5">
        <v>1</v>
      </c>
      <c r="U92" s="501">
        <f t="shared" ref="U92" si="168">S92*R92</f>
        <v>0</v>
      </c>
      <c r="V92" s="11">
        <v>0</v>
      </c>
      <c r="W92" s="498">
        <f t="shared" si="156"/>
        <v>0</v>
      </c>
      <c r="X92" s="11">
        <f t="shared" si="157"/>
        <v>0</v>
      </c>
      <c r="Y92" s="125">
        <f t="shared" ref="Y92" si="169">F92</f>
        <v>581.29999999999995</v>
      </c>
      <c r="Z92" s="5">
        <v>1</v>
      </c>
      <c r="AA92" s="501">
        <f t="shared" ref="AA92" si="170">Y92*X92</f>
        <v>0</v>
      </c>
      <c r="AB92" s="11">
        <v>0</v>
      </c>
      <c r="AC92" s="498">
        <f t="shared" si="158"/>
        <v>0</v>
      </c>
      <c r="AD92" s="11">
        <f t="shared" si="159"/>
        <v>0</v>
      </c>
      <c r="AE92" s="125">
        <f t="shared" ref="AE92" si="171">F92</f>
        <v>581.29999999999995</v>
      </c>
      <c r="AF92" s="5">
        <v>1</v>
      </c>
      <c r="AG92" s="501">
        <f t="shared" ref="AG92" si="172">AE92*AD92</f>
        <v>0</v>
      </c>
      <c r="AH92" s="11">
        <v>0</v>
      </c>
      <c r="AI92" s="498">
        <f t="shared" si="160"/>
        <v>0</v>
      </c>
      <c r="AJ92" s="194">
        <f t="shared" si="161"/>
        <v>581.29999999999995</v>
      </c>
      <c r="AK92" s="195">
        <f t="shared" si="162"/>
        <v>0</v>
      </c>
      <c r="AL92" s="195">
        <f t="shared" si="163"/>
        <v>581.29999999999995</v>
      </c>
      <c r="AM92" s="4"/>
      <c r="AN92" s="4"/>
      <c r="AO92" s="4"/>
      <c r="AP92" s="4"/>
    </row>
    <row r="93" spans="1:42" x14ac:dyDescent="0.4">
      <c r="A93" s="61" t="s">
        <v>295</v>
      </c>
      <c r="B93" s="602" t="s">
        <v>296</v>
      </c>
      <c r="C93" s="61" t="s">
        <v>284</v>
      </c>
      <c r="D93" s="61" t="s">
        <v>89</v>
      </c>
      <c r="E93" s="129">
        <v>1</v>
      </c>
      <c r="F93" s="11">
        <v>50</v>
      </c>
      <c r="G93" s="11">
        <v>12</v>
      </c>
      <c r="H93" s="127" t="s">
        <v>90</v>
      </c>
      <c r="I93" s="501">
        <f>F93*E93*G93</f>
        <v>600</v>
      </c>
      <c r="J93" s="11">
        <v>0</v>
      </c>
      <c r="K93" s="498">
        <f t="shared" ref="K93" si="173">SUM(I93:J93)</f>
        <v>600</v>
      </c>
      <c r="L93" s="492">
        <v>1</v>
      </c>
      <c r="M93" s="125">
        <f t="shared" ref="M93" si="174">F93</f>
        <v>50</v>
      </c>
      <c r="N93" s="128">
        <v>12</v>
      </c>
      <c r="O93" s="501">
        <f>L93*M93*N93</f>
        <v>600</v>
      </c>
      <c r="P93" s="11">
        <v>0</v>
      </c>
      <c r="Q93" s="498">
        <f t="shared" ref="Q93" si="175">SUM(O93:P93)</f>
        <v>600</v>
      </c>
      <c r="R93" s="11">
        <v>1</v>
      </c>
      <c r="S93" s="125">
        <f t="shared" ref="S93" si="176">F93</f>
        <v>50</v>
      </c>
      <c r="T93" s="128">
        <v>12</v>
      </c>
      <c r="U93" s="501">
        <f>S93*R93*T93</f>
        <v>600</v>
      </c>
      <c r="V93" s="11">
        <v>0</v>
      </c>
      <c r="W93" s="498">
        <f t="shared" ref="W93" si="177">SUM(U93:V93)</f>
        <v>600</v>
      </c>
      <c r="X93" s="11">
        <v>1</v>
      </c>
      <c r="Y93" s="125">
        <f t="shared" ref="Y93" si="178">F93</f>
        <v>50</v>
      </c>
      <c r="Z93" s="128">
        <v>12</v>
      </c>
      <c r="AA93" s="501">
        <f>Y93*X93*Z93</f>
        <v>600</v>
      </c>
      <c r="AB93" s="11">
        <v>0</v>
      </c>
      <c r="AC93" s="498">
        <f t="shared" ref="AC93" si="179">SUM(AA93:AB93)</f>
        <v>600</v>
      </c>
      <c r="AD93" s="11">
        <v>1</v>
      </c>
      <c r="AE93" s="125">
        <f t="shared" ref="AE93" si="180">F93</f>
        <v>50</v>
      </c>
      <c r="AF93" s="128">
        <v>9</v>
      </c>
      <c r="AG93" s="501">
        <f>AE93*AD93*AF93</f>
        <v>450</v>
      </c>
      <c r="AH93" s="11">
        <v>0</v>
      </c>
      <c r="AI93" s="498">
        <f t="shared" ref="AI93" si="181">SUM(AG93:AH93)</f>
        <v>450</v>
      </c>
      <c r="AJ93" s="194">
        <f t="shared" ref="AJ93" si="182">I93+O93+U93+AA93+AG93</f>
        <v>2850</v>
      </c>
      <c r="AK93" s="195">
        <f t="shared" ref="AK93" si="183">J93+P93+V93+AB93+AH93</f>
        <v>0</v>
      </c>
      <c r="AL93" s="195">
        <f t="shared" ref="AL93" si="184">SUM(AJ93:AK93)</f>
        <v>2850</v>
      </c>
      <c r="AM93" s="4"/>
      <c r="AN93" s="4"/>
      <c r="AO93" s="4"/>
      <c r="AP93" s="4"/>
    </row>
    <row r="94" spans="1:42" s="1" customFormat="1" x14ac:dyDescent="0.4">
      <c r="A94" s="173"/>
      <c r="B94" s="593"/>
      <c r="C94" s="173"/>
      <c r="D94" s="173" t="s">
        <v>91</v>
      </c>
      <c r="E94" s="174"/>
      <c r="F94" s="25"/>
      <c r="G94" s="175"/>
      <c r="H94" s="25"/>
      <c r="I94" s="499">
        <f>SUM(I91:I93)</f>
        <v>4496.3</v>
      </c>
      <c r="J94" s="27">
        <f>SUM(J91:J93)</f>
        <v>0</v>
      </c>
      <c r="K94" s="500">
        <f>SUM(K91:K93)</f>
        <v>4496.3</v>
      </c>
      <c r="L94" s="175"/>
      <c r="M94" s="176"/>
      <c r="N94" s="25"/>
      <c r="O94" s="499">
        <f>SUM(O91:O93)</f>
        <v>600</v>
      </c>
      <c r="P94" s="27">
        <f>SUM(P91:P93)</f>
        <v>0</v>
      </c>
      <c r="Q94" s="500">
        <f>SUM(Q91:Q93)</f>
        <v>600</v>
      </c>
      <c r="R94" s="175"/>
      <c r="S94" s="25"/>
      <c r="T94" s="25"/>
      <c r="U94" s="499">
        <f>SUM(U91:U93)</f>
        <v>600</v>
      </c>
      <c r="V94" s="27">
        <f>SUM(V91:V93)</f>
        <v>0</v>
      </c>
      <c r="W94" s="500">
        <f>SUM(W91:W93)</f>
        <v>600</v>
      </c>
      <c r="X94" s="175"/>
      <c r="Y94" s="25"/>
      <c r="Z94" s="25"/>
      <c r="AA94" s="499">
        <f>SUM(AA91:AA93)</f>
        <v>600</v>
      </c>
      <c r="AB94" s="27">
        <f>SUM(AB91:AB93)</f>
        <v>0</v>
      </c>
      <c r="AC94" s="500">
        <f>SUM(AC91:AC93)</f>
        <v>600</v>
      </c>
      <c r="AD94" s="175"/>
      <c r="AE94" s="25"/>
      <c r="AF94" s="25"/>
      <c r="AG94" s="499">
        <f>SUM(AG91:AG93)</f>
        <v>450</v>
      </c>
      <c r="AH94" s="27">
        <f>SUM(AH91:AH93)</f>
        <v>0</v>
      </c>
      <c r="AI94" s="500">
        <f>SUM(AI91:AI93)</f>
        <v>450</v>
      </c>
      <c r="AJ94" s="30">
        <f>I94+O94+U94+AA94+AG94</f>
        <v>6746.3</v>
      </c>
      <c r="AK94" s="28">
        <f>J94+P94+V94+AB94+AH94</f>
        <v>0</v>
      </c>
      <c r="AL94" s="28">
        <f>SUM(AJ94:AK94)</f>
        <v>6746.3</v>
      </c>
    </row>
    <row r="95" spans="1:42" x14ac:dyDescent="0.4">
      <c r="A95" s="61"/>
      <c r="B95" s="602"/>
      <c r="C95" s="61"/>
      <c r="D95" s="61"/>
      <c r="E95" s="129"/>
      <c r="F95" s="11"/>
      <c r="G95" s="197"/>
      <c r="H95" s="127"/>
      <c r="I95" s="501"/>
      <c r="J95" s="11"/>
      <c r="K95" s="498"/>
      <c r="L95" s="492"/>
      <c r="M95" s="125"/>
      <c r="N95" s="128"/>
      <c r="O95" s="501"/>
      <c r="P95" s="11"/>
      <c r="Q95" s="498"/>
      <c r="R95" s="11"/>
      <c r="S95" s="125"/>
      <c r="T95" s="128"/>
      <c r="U95" s="501"/>
      <c r="V95" s="11"/>
      <c r="W95" s="498"/>
      <c r="X95" s="11"/>
      <c r="Y95" s="125"/>
      <c r="Z95" s="128"/>
      <c r="AA95" s="501"/>
      <c r="AB95" s="11"/>
      <c r="AC95" s="498"/>
      <c r="AD95" s="11"/>
      <c r="AE95" s="125"/>
      <c r="AF95" s="128"/>
      <c r="AG95" s="501"/>
      <c r="AH95" s="11"/>
      <c r="AI95" s="498"/>
      <c r="AJ95" s="194"/>
      <c r="AK95" s="195"/>
      <c r="AL95" s="195"/>
      <c r="AM95" s="4"/>
      <c r="AN95" s="4"/>
      <c r="AO95" s="4"/>
      <c r="AP95" s="4"/>
    </row>
    <row r="96" spans="1:42" x14ac:dyDescent="0.4">
      <c r="A96" s="61" t="s">
        <v>278</v>
      </c>
      <c r="B96" s="602">
        <v>82401</v>
      </c>
      <c r="C96" s="61" t="s">
        <v>278</v>
      </c>
      <c r="D96" s="57" t="s">
        <v>92</v>
      </c>
      <c r="E96" s="129">
        <v>1</v>
      </c>
      <c r="F96" s="11">
        <f>'Guatemala '!I23+'Dominican Republic'!I23+Guyana!I22+Jamaica!I22</f>
        <v>22018</v>
      </c>
      <c r="G96" s="5">
        <v>1</v>
      </c>
      <c r="H96" s="127" t="s">
        <v>40</v>
      </c>
      <c r="I96" s="501">
        <f>F96*E96*G96</f>
        <v>22018</v>
      </c>
      <c r="J96" s="11">
        <v>0</v>
      </c>
      <c r="K96" s="498">
        <f t="shared" si="153"/>
        <v>22018</v>
      </c>
      <c r="L96" s="492">
        <v>1</v>
      </c>
      <c r="M96" s="11">
        <f>'Guatemala '!N23+'Dominican Republic'!N23+Guyana!N22+Jamaica!N22</f>
        <v>2162.4</v>
      </c>
      <c r="N96" s="128">
        <v>1</v>
      </c>
      <c r="O96" s="501">
        <f>L96*M96*N96</f>
        <v>2162.4</v>
      </c>
      <c r="P96" s="11">
        <v>0</v>
      </c>
      <c r="Q96" s="498">
        <f t="shared" ref="Q96" si="185">SUM(O96:P96)</f>
        <v>2162.4</v>
      </c>
      <c r="R96" s="11">
        <v>1</v>
      </c>
      <c r="S96" s="11">
        <f>'Guatemala '!T23+'Dominican Republic'!T23+Guyana!T22+Jamaica!T22</f>
        <v>2205.6480000000001</v>
      </c>
      <c r="T96" s="128">
        <v>1</v>
      </c>
      <c r="U96" s="501">
        <f>S96*R96*T96</f>
        <v>2205.6480000000001</v>
      </c>
      <c r="V96" s="11">
        <v>0</v>
      </c>
      <c r="W96" s="498">
        <f t="shared" si="156"/>
        <v>2205.6480000000001</v>
      </c>
      <c r="X96" s="11">
        <v>1</v>
      </c>
      <c r="Y96" s="11">
        <f>'Guatemala '!X23+'Dominican Republic'!X23+Guyana!X22+Jamaica!X22</f>
        <v>2249.7609600000001</v>
      </c>
      <c r="Z96" s="128">
        <v>1</v>
      </c>
      <c r="AA96" s="501">
        <f>Y96*X96*Z96</f>
        <v>2249.7609600000001</v>
      </c>
      <c r="AB96" s="11">
        <v>0</v>
      </c>
      <c r="AC96" s="498">
        <f t="shared" si="158"/>
        <v>2249.7609600000001</v>
      </c>
      <c r="AD96" s="11">
        <v>1</v>
      </c>
      <c r="AE96" s="125">
        <f>'Guatemala '!AC23+'Dominican Republic'!AC23+Guyana!AC22+Jamaica!AC22</f>
        <v>2294.7561792000001</v>
      </c>
      <c r="AF96" s="128">
        <v>1</v>
      </c>
      <c r="AG96" s="501">
        <f>AE96*AD96*AF96</f>
        <v>2294.7561792000001</v>
      </c>
      <c r="AH96" s="11">
        <v>0</v>
      </c>
      <c r="AI96" s="498">
        <f t="shared" si="160"/>
        <v>2294.7561792000001</v>
      </c>
      <c r="AJ96" s="194">
        <f t="shared" si="161"/>
        <v>30930.565139200004</v>
      </c>
      <c r="AK96" s="195">
        <f t="shared" si="162"/>
        <v>0</v>
      </c>
      <c r="AL96" s="195">
        <f t="shared" si="163"/>
        <v>30930.565139200004</v>
      </c>
      <c r="AM96" s="4"/>
      <c r="AN96" s="4"/>
      <c r="AO96" s="4"/>
      <c r="AP96" s="4"/>
    </row>
    <row r="97" spans="1:42" s="1" customFormat="1" x14ac:dyDescent="0.4">
      <c r="A97" s="173"/>
      <c r="B97" s="593"/>
      <c r="C97" s="173"/>
      <c r="D97" s="173" t="s">
        <v>93</v>
      </c>
      <c r="E97" s="174"/>
      <c r="F97" s="25"/>
      <c r="G97" s="175"/>
      <c r="H97" s="25"/>
      <c r="I97" s="499">
        <f>SUM(I96:I96)</f>
        <v>22018</v>
      </c>
      <c r="J97" s="27">
        <f>SUM(J96:J96)</f>
        <v>0</v>
      </c>
      <c r="K97" s="500">
        <f>SUM(K96:K96)</f>
        <v>22018</v>
      </c>
      <c r="L97" s="175"/>
      <c r="M97" s="176"/>
      <c r="N97" s="25"/>
      <c r="O97" s="499">
        <f>SUM(O96:O96)</f>
        <v>2162.4</v>
      </c>
      <c r="P97" s="27">
        <f>SUM(P96:P96)</f>
        <v>0</v>
      </c>
      <c r="Q97" s="500">
        <f>SUM(Q96:Q96)</f>
        <v>2162.4</v>
      </c>
      <c r="R97" s="175"/>
      <c r="S97" s="25"/>
      <c r="T97" s="25"/>
      <c r="U97" s="499">
        <f>SUM(U96:U96)</f>
        <v>2205.6480000000001</v>
      </c>
      <c r="V97" s="27">
        <f>SUM(V96:V96)</f>
        <v>0</v>
      </c>
      <c r="W97" s="500">
        <f>SUM(W96:W96)</f>
        <v>2205.6480000000001</v>
      </c>
      <c r="X97" s="175"/>
      <c r="Y97" s="25"/>
      <c r="Z97" s="25"/>
      <c r="AA97" s="499">
        <f>SUM(AA96:AA96)</f>
        <v>2249.7609600000001</v>
      </c>
      <c r="AB97" s="27">
        <f>SUM(AB96:AB96)</f>
        <v>0</v>
      </c>
      <c r="AC97" s="500">
        <f>SUM(AC96:AC96)</f>
        <v>2249.7609600000001</v>
      </c>
      <c r="AD97" s="175"/>
      <c r="AE97" s="25"/>
      <c r="AF97" s="25"/>
      <c r="AG97" s="499">
        <f t="shared" ref="AG97:AL97" si="186">SUM(AG96:AG96)</f>
        <v>2294.7561792000001</v>
      </c>
      <c r="AH97" s="27">
        <f t="shared" si="186"/>
        <v>0</v>
      </c>
      <c r="AI97" s="500">
        <f t="shared" si="186"/>
        <v>2294.7561792000001</v>
      </c>
      <c r="AJ97" s="30">
        <f t="shared" si="186"/>
        <v>30930.565139200004</v>
      </c>
      <c r="AK97" s="28">
        <f t="shared" si="186"/>
        <v>0</v>
      </c>
      <c r="AL97" s="28">
        <f t="shared" si="186"/>
        <v>30930.565139200004</v>
      </c>
    </row>
    <row r="98" spans="1:42" x14ac:dyDescent="0.4">
      <c r="A98" s="227"/>
      <c r="B98" s="598"/>
      <c r="C98" s="227"/>
      <c r="D98" s="227"/>
      <c r="E98" s="228"/>
      <c r="F98" s="229"/>
      <c r="G98" s="229"/>
      <c r="H98" s="229"/>
      <c r="I98" s="501"/>
      <c r="J98" s="11"/>
      <c r="K98" s="498"/>
      <c r="L98" s="229"/>
      <c r="M98" s="229"/>
      <c r="N98" s="229"/>
      <c r="O98" s="501"/>
      <c r="P98" s="11"/>
      <c r="Q98" s="498"/>
      <c r="R98" s="229"/>
      <c r="S98" s="229"/>
      <c r="T98" s="229"/>
      <c r="U98" s="501"/>
      <c r="V98" s="11"/>
      <c r="W98" s="498"/>
      <c r="X98" s="229"/>
      <c r="Y98" s="229"/>
      <c r="Z98" s="229"/>
      <c r="AA98" s="501"/>
      <c r="AB98" s="11"/>
      <c r="AC98" s="498"/>
      <c r="AD98" s="229"/>
      <c r="AE98" s="229"/>
      <c r="AF98" s="229"/>
      <c r="AG98" s="501"/>
      <c r="AH98" s="11"/>
      <c r="AI98" s="498"/>
      <c r="AJ98" s="230"/>
      <c r="AK98" s="231"/>
      <c r="AL98" s="231"/>
      <c r="AM98" s="4"/>
      <c r="AN98" s="4"/>
      <c r="AO98" s="4"/>
      <c r="AP98" s="4"/>
    </row>
    <row r="99" spans="1:42" s="8" customFormat="1" x14ac:dyDescent="0.4">
      <c r="A99" s="101"/>
      <c r="B99" s="599"/>
      <c r="C99" s="101"/>
      <c r="D99" s="101" t="s">
        <v>94</v>
      </c>
      <c r="E99" s="202"/>
      <c r="F99" s="203"/>
      <c r="G99" s="203"/>
      <c r="H99" s="203"/>
      <c r="I99" s="519">
        <f>I97+I94</f>
        <v>26514.3</v>
      </c>
      <c r="J99" s="520">
        <f>J97+J94</f>
        <v>0</v>
      </c>
      <c r="K99" s="521">
        <f>K97+K94</f>
        <v>26514.3</v>
      </c>
      <c r="L99" s="203"/>
      <c r="M99" s="203"/>
      <c r="N99" s="203"/>
      <c r="O99" s="519">
        <f>O97+O94</f>
        <v>2762.4</v>
      </c>
      <c r="P99" s="520">
        <f>P97+P94</f>
        <v>0</v>
      </c>
      <c r="Q99" s="521">
        <f>Q97+Q94</f>
        <v>2762.4</v>
      </c>
      <c r="R99" s="203"/>
      <c r="S99" s="203"/>
      <c r="T99" s="203"/>
      <c r="U99" s="519">
        <f>U97+U94</f>
        <v>2805.6480000000001</v>
      </c>
      <c r="V99" s="520">
        <f>V97+V94</f>
        <v>0</v>
      </c>
      <c r="W99" s="521">
        <f>W97+W94</f>
        <v>2805.6480000000001</v>
      </c>
      <c r="X99" s="203"/>
      <c r="Y99" s="203"/>
      <c r="Z99" s="203"/>
      <c r="AA99" s="519">
        <f>AA97+AA94</f>
        <v>2849.7609600000001</v>
      </c>
      <c r="AB99" s="520">
        <f>AB97+AB94</f>
        <v>0</v>
      </c>
      <c r="AC99" s="521">
        <f>AC97+AC94</f>
        <v>2849.7609600000001</v>
      </c>
      <c r="AD99" s="203"/>
      <c r="AE99" s="203"/>
      <c r="AF99" s="203"/>
      <c r="AG99" s="519">
        <f>AG97+AG94</f>
        <v>2744.7561792000001</v>
      </c>
      <c r="AH99" s="520">
        <f>AH97+AH94</f>
        <v>0</v>
      </c>
      <c r="AI99" s="521">
        <f>AI97+AI94</f>
        <v>2744.7561792000001</v>
      </c>
      <c r="AJ99" s="206">
        <f>AG99+AA99+U99+O99+I99</f>
        <v>37676.865139200003</v>
      </c>
      <c r="AK99" s="207">
        <f t="shared" ref="AK99" si="187">AH99+AB99+V99+P99+J99</f>
        <v>0</v>
      </c>
      <c r="AL99" s="207">
        <f>AI99+AC99+W99+Q99+K99</f>
        <v>37676.865139200003</v>
      </c>
      <c r="AM99" s="24"/>
      <c r="AN99" s="24"/>
      <c r="AO99" s="24"/>
      <c r="AP99" s="24"/>
    </row>
    <row r="100" spans="1:42" x14ac:dyDescent="0.4">
      <c r="A100" s="232"/>
      <c r="B100" s="607"/>
      <c r="C100" s="232"/>
      <c r="D100" s="232"/>
      <c r="E100" s="209"/>
      <c r="F100" s="210"/>
      <c r="G100" s="210"/>
      <c r="H100" s="210"/>
      <c r="I100" s="17"/>
      <c r="J100" s="18"/>
      <c r="K100" s="230"/>
      <c r="L100" s="209"/>
      <c r="M100" s="210"/>
      <c r="N100" s="210"/>
      <c r="O100" s="17"/>
      <c r="P100" s="18"/>
      <c r="Q100" s="230"/>
      <c r="R100" s="209"/>
      <c r="S100" s="210"/>
      <c r="T100" s="210"/>
      <c r="U100" s="17"/>
      <c r="V100" s="18"/>
      <c r="W100" s="230"/>
      <c r="X100" s="209"/>
      <c r="Y100" s="210"/>
      <c r="Z100" s="210"/>
      <c r="AA100" s="17"/>
      <c r="AB100" s="18"/>
      <c r="AC100" s="230"/>
      <c r="AD100" s="209"/>
      <c r="AE100" s="210"/>
      <c r="AF100" s="210"/>
      <c r="AG100" s="17"/>
      <c r="AH100" s="18"/>
      <c r="AI100" s="230"/>
      <c r="AJ100" s="214"/>
      <c r="AK100" s="214"/>
      <c r="AL100" s="214"/>
      <c r="AM100" s="4"/>
      <c r="AN100" s="4"/>
      <c r="AO100" s="4"/>
      <c r="AP100" s="4"/>
    </row>
    <row r="101" spans="1:42" x14ac:dyDescent="0.4">
      <c r="A101" s="72"/>
      <c r="B101" s="590"/>
      <c r="C101" s="72"/>
      <c r="D101" s="72" t="s">
        <v>18</v>
      </c>
      <c r="E101" s="215"/>
      <c r="F101" s="216"/>
      <c r="G101" s="216"/>
      <c r="H101" s="216"/>
      <c r="I101" s="69"/>
      <c r="J101" s="67"/>
      <c r="K101" s="217"/>
      <c r="L101" s="215"/>
      <c r="M101" s="216"/>
      <c r="N101" s="216"/>
      <c r="O101" s="69"/>
      <c r="P101" s="67"/>
      <c r="Q101" s="217"/>
      <c r="R101" s="215"/>
      <c r="S101" s="216"/>
      <c r="T101" s="216"/>
      <c r="U101" s="69"/>
      <c r="V101" s="67"/>
      <c r="W101" s="217"/>
      <c r="X101" s="215"/>
      <c r="Y101" s="216"/>
      <c r="Z101" s="216"/>
      <c r="AA101" s="69"/>
      <c r="AB101" s="67"/>
      <c r="AC101" s="217"/>
      <c r="AD101" s="215"/>
      <c r="AE101" s="216"/>
      <c r="AF101" s="216"/>
      <c r="AG101" s="69"/>
      <c r="AH101" s="67"/>
      <c r="AI101" s="217"/>
      <c r="AJ101" s="218"/>
      <c r="AK101" s="218"/>
      <c r="AL101" s="218"/>
      <c r="AM101" s="4"/>
      <c r="AN101" s="4"/>
      <c r="AO101" s="4"/>
      <c r="AP101" s="4"/>
    </row>
    <row r="102" spans="1:42" x14ac:dyDescent="0.4">
      <c r="A102" s="156"/>
      <c r="B102" s="595"/>
      <c r="C102" s="156"/>
      <c r="D102" s="156"/>
      <c r="E102" s="160"/>
      <c r="F102" s="197"/>
      <c r="G102" s="197"/>
      <c r="H102" s="197"/>
      <c r="I102" s="10"/>
      <c r="J102" s="11"/>
      <c r="K102" s="194"/>
      <c r="L102" s="160"/>
      <c r="M102" s="197"/>
      <c r="N102" s="197"/>
      <c r="O102" s="10"/>
      <c r="P102" s="11"/>
      <c r="Q102" s="194"/>
      <c r="R102" s="160"/>
      <c r="S102" s="197"/>
      <c r="T102" s="197"/>
      <c r="U102" s="10"/>
      <c r="V102" s="11"/>
      <c r="W102" s="194"/>
      <c r="X102" s="160"/>
      <c r="Y102" s="197"/>
      <c r="Z102" s="197"/>
      <c r="AA102" s="10"/>
      <c r="AB102" s="11"/>
      <c r="AC102" s="194"/>
      <c r="AD102" s="160"/>
      <c r="AE102" s="197"/>
      <c r="AF102" s="197"/>
      <c r="AG102" s="10"/>
      <c r="AH102" s="11"/>
      <c r="AI102" s="194"/>
      <c r="AJ102" s="195"/>
      <c r="AK102" s="195"/>
      <c r="AL102" s="195"/>
      <c r="AM102" s="4"/>
      <c r="AN102" s="4"/>
      <c r="AO102" s="4"/>
      <c r="AP102" s="4"/>
    </row>
    <row r="103" spans="1:42" x14ac:dyDescent="0.4">
      <c r="A103" s="61" t="s">
        <v>313</v>
      </c>
      <c r="B103" s="602" t="s">
        <v>314</v>
      </c>
      <c r="C103" s="61" t="s">
        <v>284</v>
      </c>
      <c r="D103" s="61" t="s">
        <v>95</v>
      </c>
      <c r="E103" s="129">
        <v>1</v>
      </c>
      <c r="F103" s="11">
        <f>Contractual!D11</f>
        <v>5000</v>
      </c>
      <c r="G103" s="5">
        <v>1</v>
      </c>
      <c r="H103" s="5" t="s">
        <v>87</v>
      </c>
      <c r="I103" s="10">
        <f>F103*E103*G103</f>
        <v>5000</v>
      </c>
      <c r="J103" s="11">
        <v>0</v>
      </c>
      <c r="K103" s="194">
        <f>SUM(I103:J103)</f>
        <v>5000</v>
      </c>
      <c r="L103" s="129">
        <v>1</v>
      </c>
      <c r="M103" s="11">
        <f>Contractual!H11</f>
        <v>1000</v>
      </c>
      <c r="N103" s="5">
        <v>1</v>
      </c>
      <c r="O103" s="10">
        <f>M103*L103*N103</f>
        <v>1000</v>
      </c>
      <c r="P103" s="11">
        <v>0</v>
      </c>
      <c r="Q103" s="194">
        <f>SUM(O103:P103)</f>
        <v>1000</v>
      </c>
      <c r="R103" s="129">
        <v>1</v>
      </c>
      <c r="S103" s="11">
        <f>Contractual!L11</f>
        <v>3000</v>
      </c>
      <c r="T103" s="5">
        <v>1</v>
      </c>
      <c r="U103" s="10">
        <f>R103*S103*T103</f>
        <v>3000</v>
      </c>
      <c r="V103" s="11">
        <v>0</v>
      </c>
      <c r="W103" s="194">
        <f>SUM(U103:V103)</f>
        <v>3000</v>
      </c>
      <c r="X103" s="129">
        <v>1</v>
      </c>
      <c r="Y103" s="11">
        <f>Contractual!P11</f>
        <v>3000</v>
      </c>
      <c r="Z103" s="5">
        <v>1</v>
      </c>
      <c r="AA103" s="10">
        <f>Y103*X103*Z103</f>
        <v>3000</v>
      </c>
      <c r="AB103" s="11">
        <v>0</v>
      </c>
      <c r="AC103" s="194">
        <f>SUM(AA103:AB103)</f>
        <v>3000</v>
      </c>
      <c r="AD103" s="129">
        <v>1</v>
      </c>
      <c r="AE103" s="11">
        <f>Contractual!T11</f>
        <v>1000</v>
      </c>
      <c r="AF103" s="5">
        <v>1</v>
      </c>
      <c r="AG103" s="10">
        <f>AE103*AD103*AF103</f>
        <v>1000</v>
      </c>
      <c r="AH103" s="11">
        <v>0</v>
      </c>
      <c r="AI103" s="194">
        <f>SUM(AG103:AH103)</f>
        <v>1000</v>
      </c>
      <c r="AJ103" s="195">
        <f t="shared" ref="AJ103" si="188">I103+O103+U103+AA103+AG103</f>
        <v>13000</v>
      </c>
      <c r="AK103" s="195">
        <f t="shared" ref="AK103" si="189">J103+P103+V103+AB103+AH103</f>
        <v>0</v>
      </c>
      <c r="AL103" s="195">
        <f t="shared" ref="AL103" si="190">SUM(AJ103:AK103)</f>
        <v>13000</v>
      </c>
      <c r="AM103" s="259"/>
      <c r="AN103" s="233"/>
      <c r="AO103" s="233"/>
      <c r="AP103" s="233"/>
    </row>
    <row r="104" spans="1:42" x14ac:dyDescent="0.4">
      <c r="A104" s="61" t="s">
        <v>316</v>
      </c>
      <c r="B104" s="602" t="s">
        <v>315</v>
      </c>
      <c r="C104" s="61" t="s">
        <v>284</v>
      </c>
      <c r="D104" s="61" t="s">
        <v>96</v>
      </c>
      <c r="E104" s="34">
        <v>1</v>
      </c>
      <c r="F104" s="11">
        <f>Contractual!D13</f>
        <v>4000</v>
      </c>
      <c r="H104" s="5" t="s">
        <v>87</v>
      </c>
      <c r="I104" s="10">
        <f>F104*E104</f>
        <v>4000</v>
      </c>
      <c r="J104" s="11">
        <v>0</v>
      </c>
      <c r="K104" s="194">
        <f>SUM(I104:J104)</f>
        <v>4000</v>
      </c>
      <c r="L104" s="129">
        <v>1</v>
      </c>
      <c r="M104" s="11">
        <f>F104</f>
        <v>4000</v>
      </c>
      <c r="N104" s="5">
        <v>1</v>
      </c>
      <c r="O104" s="10">
        <f>M104*L104</f>
        <v>4000</v>
      </c>
      <c r="P104" s="11">
        <v>0</v>
      </c>
      <c r="Q104" s="194">
        <f>SUM(O104:P104)</f>
        <v>4000</v>
      </c>
      <c r="R104" s="34">
        <v>1</v>
      </c>
      <c r="S104" s="11">
        <f>F104</f>
        <v>4000</v>
      </c>
      <c r="T104" s="5">
        <v>1</v>
      </c>
      <c r="U104" s="10">
        <f>R104*S104</f>
        <v>4000</v>
      </c>
      <c r="V104" s="11">
        <v>0</v>
      </c>
      <c r="W104" s="194">
        <f>SUM(U104:V104)</f>
        <v>4000</v>
      </c>
      <c r="X104" s="34">
        <v>0</v>
      </c>
      <c r="Y104" s="11">
        <f>F104</f>
        <v>4000</v>
      </c>
      <c r="Z104" s="5">
        <v>1</v>
      </c>
      <c r="AA104" s="10">
        <f>Y104*X104</f>
        <v>0</v>
      </c>
      <c r="AB104" s="11">
        <v>0</v>
      </c>
      <c r="AC104" s="194">
        <f>SUM(AA104:AB104)</f>
        <v>0</v>
      </c>
      <c r="AD104" s="34">
        <v>0</v>
      </c>
      <c r="AE104" s="11">
        <f>F104</f>
        <v>4000</v>
      </c>
      <c r="AF104" s="5">
        <v>1</v>
      </c>
      <c r="AG104" s="10">
        <f>AE104*AD104</f>
        <v>0</v>
      </c>
      <c r="AH104" s="11">
        <v>0</v>
      </c>
      <c r="AI104" s="194">
        <f>SUM(AG104:AH104)</f>
        <v>0</v>
      </c>
      <c r="AJ104" s="195">
        <f t="shared" ref="AJ104" si="191">I104+O104+U104+AA104+AG104</f>
        <v>12000</v>
      </c>
      <c r="AK104" s="195">
        <f t="shared" ref="AK104" si="192">J104+P104+V104+AB104+AH104</f>
        <v>0</v>
      </c>
      <c r="AL104" s="195">
        <f t="shared" ref="AL104" si="193">SUM(AJ104:AK104)</f>
        <v>12000</v>
      </c>
      <c r="AM104" s="260"/>
      <c r="AN104" s="4"/>
      <c r="AO104" s="233"/>
      <c r="AP104" s="233"/>
    </row>
    <row r="105" spans="1:42" x14ac:dyDescent="0.4">
      <c r="A105" s="198"/>
      <c r="B105" s="598"/>
      <c r="C105" s="198"/>
      <c r="D105" s="198"/>
      <c r="E105" s="33"/>
      <c r="F105" s="23"/>
      <c r="G105" s="23"/>
      <c r="H105" s="23"/>
      <c r="I105" s="10"/>
      <c r="J105" s="11"/>
      <c r="K105" s="194"/>
      <c r="L105" s="33"/>
      <c r="M105" s="23"/>
      <c r="N105" s="23"/>
      <c r="O105" s="10"/>
      <c r="P105" s="11"/>
      <c r="Q105" s="194"/>
      <c r="R105" s="33"/>
      <c r="S105" s="23"/>
      <c r="T105" s="23"/>
      <c r="U105" s="10"/>
      <c r="V105" s="11"/>
      <c r="W105" s="194"/>
      <c r="X105" s="33"/>
      <c r="Y105" s="23"/>
      <c r="Z105" s="23"/>
      <c r="AA105" s="10"/>
      <c r="AB105" s="11"/>
      <c r="AC105" s="194"/>
      <c r="AD105" s="33"/>
      <c r="AE105" s="23"/>
      <c r="AF105" s="23"/>
      <c r="AG105" s="10"/>
      <c r="AH105" s="11"/>
      <c r="AI105" s="194"/>
      <c r="AJ105" s="231"/>
      <c r="AK105" s="231"/>
      <c r="AL105" s="231"/>
      <c r="AM105" s="4"/>
      <c r="AN105" s="234"/>
      <c r="AO105" s="4"/>
      <c r="AP105" s="4"/>
    </row>
    <row r="106" spans="1:42" s="8" customFormat="1" x14ac:dyDescent="0.4">
      <c r="A106" s="106"/>
      <c r="B106" s="599"/>
      <c r="C106" s="106"/>
      <c r="D106" s="106" t="s">
        <v>97</v>
      </c>
      <c r="E106" s="235"/>
      <c r="F106" s="236"/>
      <c r="G106" s="236"/>
      <c r="H106" s="236"/>
      <c r="I106" s="519">
        <f>SUM(I103:I104)</f>
        <v>9000</v>
      </c>
      <c r="J106" s="520">
        <f>SUM(J103:J104)</f>
        <v>0</v>
      </c>
      <c r="K106" s="521">
        <f>SUM(K103:K104)</f>
        <v>9000</v>
      </c>
      <c r="L106" s="236"/>
      <c r="M106" s="236"/>
      <c r="N106" s="236"/>
      <c r="O106" s="519">
        <f>SUM(O103:O104)</f>
        <v>5000</v>
      </c>
      <c r="P106" s="520">
        <f>SUM(P103:P104)</f>
        <v>0</v>
      </c>
      <c r="Q106" s="521">
        <f>SUM(Q103:Q104)</f>
        <v>5000</v>
      </c>
      <c r="R106" s="236"/>
      <c r="S106" s="236"/>
      <c r="T106" s="236"/>
      <c r="U106" s="519">
        <f>SUM(U103:U104)</f>
        <v>7000</v>
      </c>
      <c r="V106" s="520">
        <f>SUM(V103:V104)</f>
        <v>0</v>
      </c>
      <c r="W106" s="521">
        <f>SUM(W103:W104)</f>
        <v>7000</v>
      </c>
      <c r="X106" s="236"/>
      <c r="Y106" s="236"/>
      <c r="Z106" s="236"/>
      <c r="AA106" s="519">
        <f>SUM(AA103:AA104)</f>
        <v>3000</v>
      </c>
      <c r="AB106" s="520">
        <f>SUM(AB103:AB104)</f>
        <v>0</v>
      </c>
      <c r="AC106" s="521">
        <f>SUM(AC103:AC104)</f>
        <v>3000</v>
      </c>
      <c r="AD106" s="236"/>
      <c r="AE106" s="236"/>
      <c r="AF106" s="236"/>
      <c r="AG106" s="519">
        <f>SUM(AG103:AG104)</f>
        <v>1000</v>
      </c>
      <c r="AH106" s="520">
        <f>SUM(AH103:AH104)</f>
        <v>0</v>
      </c>
      <c r="AI106" s="521">
        <f>SUM(AI103:AI104)</f>
        <v>1000</v>
      </c>
      <c r="AJ106" s="206">
        <f>AG106+AA106+U106+O106+I106</f>
        <v>25000</v>
      </c>
      <c r="AK106" s="204">
        <f>SUM(AK103:AK104)</f>
        <v>0</v>
      </c>
      <c r="AL106" s="207">
        <f>AI106+AC106+W106+Q106+K106</f>
        <v>25000</v>
      </c>
      <c r="AM106" s="24"/>
      <c r="AN106" s="24"/>
      <c r="AO106" s="24"/>
      <c r="AP106" s="24"/>
    </row>
    <row r="107" spans="1:42" s="8" customFormat="1" x14ac:dyDescent="0.4">
      <c r="A107" s="237"/>
      <c r="B107" s="608"/>
      <c r="C107" s="237"/>
      <c r="D107" s="237"/>
      <c r="E107" s="238"/>
      <c r="F107" s="239"/>
      <c r="G107" s="239"/>
      <c r="H107" s="239"/>
      <c r="I107" s="516"/>
      <c r="J107" s="517"/>
      <c r="K107" s="518"/>
      <c r="L107" s="238"/>
      <c r="M107" s="239"/>
      <c r="N107" s="239"/>
      <c r="O107" s="516"/>
      <c r="P107" s="517"/>
      <c r="Q107" s="518"/>
      <c r="R107" s="238"/>
      <c r="S107" s="239"/>
      <c r="T107" s="239"/>
      <c r="U107" s="516"/>
      <c r="V107" s="517"/>
      <c r="W107" s="518"/>
      <c r="X107" s="238"/>
      <c r="Y107" s="239"/>
      <c r="Z107" s="239"/>
      <c r="AA107" s="516"/>
      <c r="AB107" s="517"/>
      <c r="AC107" s="518"/>
      <c r="AD107" s="238"/>
      <c r="AE107" s="239"/>
      <c r="AF107" s="239"/>
      <c r="AG107" s="516"/>
      <c r="AH107" s="517"/>
      <c r="AI107" s="518"/>
      <c r="AJ107" s="240"/>
      <c r="AK107" s="240"/>
      <c r="AL107" s="240"/>
      <c r="AM107" s="24"/>
      <c r="AN107" s="24"/>
      <c r="AO107" s="24"/>
      <c r="AP107" s="24"/>
    </row>
    <row r="108" spans="1:42" x14ac:dyDescent="0.4">
      <c r="A108" s="73"/>
      <c r="B108" s="590"/>
      <c r="C108" s="73"/>
      <c r="D108" s="73" t="s">
        <v>19</v>
      </c>
      <c r="E108" s="241"/>
      <c r="F108" s="242"/>
      <c r="G108" s="242"/>
      <c r="H108" s="242"/>
      <c r="I108" s="69"/>
      <c r="J108" s="67"/>
      <c r="K108" s="217"/>
      <c r="L108" s="241"/>
      <c r="M108" s="242"/>
      <c r="N108" s="242"/>
      <c r="O108" s="69"/>
      <c r="P108" s="67"/>
      <c r="Q108" s="217"/>
      <c r="R108" s="241"/>
      <c r="S108" s="242"/>
      <c r="T108" s="242"/>
      <c r="U108" s="69"/>
      <c r="V108" s="67"/>
      <c r="W108" s="217"/>
      <c r="X108" s="241"/>
      <c r="Y108" s="242"/>
      <c r="Z108" s="242"/>
      <c r="AA108" s="69"/>
      <c r="AB108" s="67"/>
      <c r="AC108" s="217"/>
      <c r="AD108" s="241"/>
      <c r="AE108" s="242"/>
      <c r="AF108" s="242"/>
      <c r="AG108" s="69"/>
      <c r="AH108" s="67"/>
      <c r="AI108" s="217"/>
      <c r="AJ108" s="218"/>
      <c r="AK108" s="218"/>
      <c r="AL108" s="218"/>
      <c r="AM108" s="4"/>
      <c r="AN108" s="4"/>
      <c r="AO108" s="4"/>
      <c r="AP108" s="4"/>
    </row>
    <row r="109" spans="1:42" x14ac:dyDescent="0.4">
      <c r="A109" s="62"/>
      <c r="B109" s="591"/>
      <c r="C109" s="62"/>
      <c r="D109" s="62"/>
      <c r="E109" s="226"/>
      <c r="F109" s="225"/>
      <c r="G109" s="225"/>
      <c r="H109" s="225"/>
      <c r="I109" s="220"/>
      <c r="J109" s="16"/>
      <c r="K109" s="223"/>
      <c r="L109" s="226"/>
      <c r="M109" s="225"/>
      <c r="N109" s="225"/>
      <c r="O109" s="220"/>
      <c r="P109" s="16"/>
      <c r="Q109" s="223"/>
      <c r="R109" s="226"/>
      <c r="S109" s="225"/>
      <c r="T109" s="225"/>
      <c r="U109" s="220"/>
      <c r="V109" s="16"/>
      <c r="W109" s="223"/>
      <c r="X109" s="226"/>
      <c r="Y109" s="225"/>
      <c r="Z109" s="225"/>
      <c r="AA109" s="220"/>
      <c r="AB109" s="16"/>
      <c r="AC109" s="223"/>
      <c r="AD109" s="226"/>
      <c r="AE109" s="225"/>
      <c r="AF109" s="225"/>
      <c r="AG109" s="220"/>
      <c r="AH109" s="16"/>
      <c r="AI109" s="223"/>
      <c r="AJ109" s="221"/>
      <c r="AK109" s="221"/>
      <c r="AL109" s="221"/>
      <c r="AM109" s="4"/>
      <c r="AN109" s="4"/>
      <c r="AO109" s="4"/>
      <c r="AP109" s="4"/>
    </row>
    <row r="110" spans="1:42" x14ac:dyDescent="0.4">
      <c r="A110" s="61" t="s">
        <v>310</v>
      </c>
      <c r="B110" s="602" t="s">
        <v>299</v>
      </c>
      <c r="C110" s="61" t="s">
        <v>284</v>
      </c>
      <c r="D110" s="61" t="s">
        <v>98</v>
      </c>
      <c r="E110" s="129">
        <v>1</v>
      </c>
      <c r="F110" s="128">
        <v>1000</v>
      </c>
      <c r="G110" s="128">
        <v>1</v>
      </c>
      <c r="H110" s="127" t="s">
        <v>40</v>
      </c>
      <c r="I110" s="10">
        <f t="shared" ref="I110" si="194">G110*F110*E110</f>
        <v>1000</v>
      </c>
      <c r="J110" s="11">
        <v>0</v>
      </c>
      <c r="K110" s="194">
        <f t="shared" ref="K110" si="195">SUM(I110:J110)</f>
        <v>1000</v>
      </c>
      <c r="L110" s="129">
        <v>1</v>
      </c>
      <c r="M110" s="125">
        <f t="shared" ref="M110" si="196">F110*1.02</f>
        <v>1020</v>
      </c>
      <c r="N110" s="128">
        <v>1</v>
      </c>
      <c r="O110" s="10">
        <f t="shared" ref="O110" si="197">L110*M110*N110</f>
        <v>1020</v>
      </c>
      <c r="P110" s="11">
        <v>0</v>
      </c>
      <c r="Q110" s="194">
        <f t="shared" ref="Q110" si="198">SUM(O110:P110)</f>
        <v>1020</v>
      </c>
      <c r="R110" s="129">
        <v>1</v>
      </c>
      <c r="S110" s="125">
        <f t="shared" ref="S110" si="199">M110*1.02</f>
        <v>1040.4000000000001</v>
      </c>
      <c r="T110" s="128">
        <v>1</v>
      </c>
      <c r="U110" s="10">
        <f t="shared" ref="U110" si="200">T110*S110*R110</f>
        <v>1040.4000000000001</v>
      </c>
      <c r="V110" s="11">
        <v>0</v>
      </c>
      <c r="W110" s="194">
        <f t="shared" ref="W110" si="201">SUM(U110:V110)</f>
        <v>1040.4000000000001</v>
      </c>
      <c r="X110" s="129">
        <v>1</v>
      </c>
      <c r="Y110" s="125">
        <f t="shared" ref="Y110" si="202">S110*1.02</f>
        <v>1061.2080000000001</v>
      </c>
      <c r="Z110" s="128">
        <v>1</v>
      </c>
      <c r="AA110" s="10">
        <f t="shared" ref="AA110" si="203">Z110*Y110*X110</f>
        <v>1061.2080000000001</v>
      </c>
      <c r="AB110" s="11">
        <v>0</v>
      </c>
      <c r="AC110" s="194">
        <f t="shared" ref="AC110" si="204">SUM(AA110:AB110)</f>
        <v>1061.2080000000001</v>
      </c>
      <c r="AD110" s="129">
        <v>1</v>
      </c>
      <c r="AE110" s="125">
        <f t="shared" ref="AE110" si="205">Y110*1.02</f>
        <v>1082.4321600000001</v>
      </c>
      <c r="AF110" s="128">
        <v>1</v>
      </c>
      <c r="AG110" s="10">
        <f t="shared" ref="AG110" si="206">AF110*AE110*AD110</f>
        <v>1082.4321600000001</v>
      </c>
      <c r="AH110" s="11">
        <v>0</v>
      </c>
      <c r="AI110" s="194">
        <f>SUM(AG110:AH110)</f>
        <v>1082.4321600000001</v>
      </c>
      <c r="AJ110" s="195">
        <f t="shared" ref="AJ110" si="207">I110+O110+U110+AA110+AG110</f>
        <v>5204.0401600000005</v>
      </c>
      <c r="AK110" s="195">
        <f t="shared" ref="AK110" si="208">J110+P110+V110+AB110+AH110</f>
        <v>0</v>
      </c>
      <c r="AL110" s="195">
        <f t="shared" ref="AL110" si="209">SUM(AJ110:AK110)</f>
        <v>5204.0401600000005</v>
      </c>
      <c r="AM110" s="4"/>
      <c r="AN110" s="4"/>
      <c r="AO110" s="4"/>
      <c r="AP110" s="4"/>
    </row>
    <row r="111" spans="1:42" x14ac:dyDescent="0.4">
      <c r="A111" s="61" t="s">
        <v>311</v>
      </c>
      <c r="B111" s="602" t="s">
        <v>307</v>
      </c>
      <c r="C111" s="61" t="s">
        <v>284</v>
      </c>
      <c r="D111" s="61" t="s">
        <v>99</v>
      </c>
      <c r="E111" s="129">
        <v>1</v>
      </c>
      <c r="F111" s="128">
        <v>499.5</v>
      </c>
      <c r="G111" s="128">
        <v>1</v>
      </c>
      <c r="H111" s="127" t="s">
        <v>40</v>
      </c>
      <c r="I111" s="10">
        <f>G111*F111*E111</f>
        <v>499.5</v>
      </c>
      <c r="J111" s="11">
        <v>0</v>
      </c>
      <c r="K111" s="194">
        <f>SUM(I111:J111)</f>
        <v>499.5</v>
      </c>
      <c r="L111" s="129">
        <v>1</v>
      </c>
      <c r="M111" s="125">
        <f>F111*1.02</f>
        <v>509.49</v>
      </c>
      <c r="N111" s="128">
        <v>1</v>
      </c>
      <c r="O111" s="10">
        <f>L111*M111*N111</f>
        <v>509.49</v>
      </c>
      <c r="P111" s="11">
        <v>0</v>
      </c>
      <c r="Q111" s="194">
        <f>SUM(O111:P111)</f>
        <v>509.49</v>
      </c>
      <c r="R111" s="129">
        <v>1</v>
      </c>
      <c r="S111" s="125">
        <f>M111*1.02</f>
        <v>519.6798</v>
      </c>
      <c r="T111" s="128">
        <v>1</v>
      </c>
      <c r="U111" s="10">
        <f>T111*S111*R111</f>
        <v>519.6798</v>
      </c>
      <c r="V111" s="11">
        <v>0</v>
      </c>
      <c r="W111" s="194">
        <f>SUM(U111:V111)</f>
        <v>519.6798</v>
      </c>
      <c r="X111" s="129">
        <v>1</v>
      </c>
      <c r="Y111" s="125">
        <f>S111*1.02</f>
        <v>530.073396</v>
      </c>
      <c r="Z111" s="128">
        <v>1</v>
      </c>
      <c r="AA111" s="10">
        <f>Z111*Y111*X111</f>
        <v>530.073396</v>
      </c>
      <c r="AB111" s="11">
        <v>0</v>
      </c>
      <c r="AC111" s="194">
        <f>SUM(AA111:AB111)</f>
        <v>530.073396</v>
      </c>
      <c r="AD111" s="129">
        <v>1</v>
      </c>
      <c r="AE111" s="125">
        <f>Y111*1.02</f>
        <v>540.67486392000001</v>
      </c>
      <c r="AF111" s="128">
        <v>1</v>
      </c>
      <c r="AG111" s="10">
        <f>AF111*AE111*AD111</f>
        <v>540.67486392000001</v>
      </c>
      <c r="AH111" s="11">
        <v>0</v>
      </c>
      <c r="AI111" s="194">
        <f>SUM(AG111:AH111)</f>
        <v>540.67486392000001</v>
      </c>
      <c r="AJ111" s="195">
        <f>I111+O111+U111+AA111+AG111</f>
        <v>2599.4180599200004</v>
      </c>
      <c r="AK111" s="195">
        <f t="shared" ref="AK111" si="210">J111+P111+V111+AB111+AH111</f>
        <v>0</v>
      </c>
      <c r="AL111" s="195">
        <f t="shared" ref="AL111" si="211">SUM(AJ111:AK111)</f>
        <v>2599.4180599200004</v>
      </c>
      <c r="AM111" s="4"/>
      <c r="AN111" s="4"/>
      <c r="AO111" s="4"/>
      <c r="AP111" s="4"/>
    </row>
    <row r="112" spans="1:42" ht="11.5" customHeight="1" x14ac:dyDescent="0.4">
      <c r="A112" s="61" t="s">
        <v>309</v>
      </c>
      <c r="B112" s="602" t="s">
        <v>298</v>
      </c>
      <c r="C112" s="61" t="s">
        <v>284</v>
      </c>
      <c r="D112" s="61" t="s">
        <v>100</v>
      </c>
      <c r="E112" s="129">
        <v>4</v>
      </c>
      <c r="F112" s="128">
        <v>799.5</v>
      </c>
      <c r="G112" s="128">
        <v>1</v>
      </c>
      <c r="H112" s="127" t="s">
        <v>40</v>
      </c>
      <c r="I112" s="10">
        <f t="shared" ref="I112:I118" si="212">G112*F112*E112</f>
        <v>3198</v>
      </c>
      <c r="J112" s="11">
        <v>0</v>
      </c>
      <c r="K112" s="194">
        <f t="shared" ref="K112" si="213">SUM(I112:J112)</f>
        <v>3198</v>
      </c>
      <c r="L112" s="129">
        <v>0</v>
      </c>
      <c r="M112" s="125">
        <f t="shared" ref="M112:M114" si="214">F112*1.02</f>
        <v>815.49</v>
      </c>
      <c r="N112" s="128">
        <v>1</v>
      </c>
      <c r="O112" s="10">
        <f t="shared" ref="O112:O118" si="215">L112*M112*N112</f>
        <v>0</v>
      </c>
      <c r="P112" s="11">
        <v>0</v>
      </c>
      <c r="Q112" s="194">
        <f t="shared" ref="Q112" si="216">SUM(O112:P112)</f>
        <v>0</v>
      </c>
      <c r="R112" s="129">
        <v>3</v>
      </c>
      <c r="S112" s="125">
        <f t="shared" ref="S112:S114" si="217">M112*1.02</f>
        <v>831.7998</v>
      </c>
      <c r="T112" s="128">
        <v>1</v>
      </c>
      <c r="U112" s="10">
        <f t="shared" ref="U112:U118" si="218">T112*S112*R112</f>
        <v>2495.3994000000002</v>
      </c>
      <c r="V112" s="11">
        <v>0</v>
      </c>
      <c r="W112" s="194">
        <f t="shared" ref="W112" si="219">SUM(U112:V112)</f>
        <v>2495.3994000000002</v>
      </c>
      <c r="X112" s="129">
        <v>0</v>
      </c>
      <c r="Y112" s="125">
        <f t="shared" ref="Y112:Y114" si="220">S112*1.02</f>
        <v>848.43579599999998</v>
      </c>
      <c r="Z112" s="128">
        <v>1</v>
      </c>
      <c r="AA112" s="10">
        <f t="shared" ref="AA112:AA118" si="221">Z112*Y112*X112</f>
        <v>0</v>
      </c>
      <c r="AB112" s="11">
        <v>0</v>
      </c>
      <c r="AC112" s="194">
        <f t="shared" ref="AC112" si="222">SUM(AA112:AB112)</f>
        <v>0</v>
      </c>
      <c r="AD112" s="129">
        <v>0</v>
      </c>
      <c r="AE112" s="125">
        <f t="shared" ref="AE112" si="223">Y112*1.02</f>
        <v>865.40451192</v>
      </c>
      <c r="AF112" s="128">
        <v>1</v>
      </c>
      <c r="AG112" s="10">
        <f t="shared" ref="AG112:AG118" si="224">AF112*AE112*AD112</f>
        <v>0</v>
      </c>
      <c r="AH112" s="11">
        <v>0</v>
      </c>
      <c r="AI112" s="194">
        <f>SUM(AG112:AH112)</f>
        <v>0</v>
      </c>
      <c r="AJ112" s="195">
        <f t="shared" ref="AJ112" si="225">I112+O112+U112+AA112+AG112</f>
        <v>5693.3994000000002</v>
      </c>
      <c r="AK112" s="195">
        <f t="shared" ref="AK112" si="226">J112+P112+V112+AB112+AH112</f>
        <v>0</v>
      </c>
      <c r="AL112" s="195">
        <f t="shared" ref="AL112" si="227">SUM(AJ112:AK112)</f>
        <v>5693.3994000000002</v>
      </c>
      <c r="AM112" s="4"/>
      <c r="AN112" s="4"/>
      <c r="AO112" s="4"/>
      <c r="AP112" s="4"/>
    </row>
    <row r="113" spans="1:42" x14ac:dyDescent="0.4">
      <c r="A113" s="61" t="s">
        <v>308</v>
      </c>
      <c r="B113" s="602" t="s">
        <v>302</v>
      </c>
      <c r="C113" s="61" t="s">
        <v>284</v>
      </c>
      <c r="D113" s="61" t="s">
        <v>101</v>
      </c>
      <c r="E113" s="129">
        <v>1</v>
      </c>
      <c r="F113" s="128">
        <f>'HQ Expenses'!D15</f>
        <v>9164</v>
      </c>
      <c r="G113" s="128">
        <v>1</v>
      </c>
      <c r="H113" s="127" t="s">
        <v>40</v>
      </c>
      <c r="I113" s="10">
        <f t="shared" si="212"/>
        <v>9164</v>
      </c>
      <c r="J113" s="11">
        <v>0</v>
      </c>
      <c r="K113" s="194">
        <f t="shared" ref="K113" si="228">SUM(I113:J113)</f>
        <v>9164</v>
      </c>
      <c r="L113" s="129">
        <v>1</v>
      </c>
      <c r="M113" s="125">
        <f t="shared" si="214"/>
        <v>9347.2800000000007</v>
      </c>
      <c r="N113" s="128">
        <v>1</v>
      </c>
      <c r="O113" s="10">
        <f t="shared" si="215"/>
        <v>9347.2800000000007</v>
      </c>
      <c r="P113" s="11">
        <v>0</v>
      </c>
      <c r="Q113" s="194">
        <f t="shared" ref="Q113" si="229">SUM(O113:P113)</f>
        <v>9347.2800000000007</v>
      </c>
      <c r="R113" s="129">
        <v>1</v>
      </c>
      <c r="S113" s="125">
        <f t="shared" si="217"/>
        <v>9534.2256000000016</v>
      </c>
      <c r="T113" s="128">
        <v>1</v>
      </c>
      <c r="U113" s="10">
        <f t="shared" si="218"/>
        <v>9534.2256000000016</v>
      </c>
      <c r="V113" s="11">
        <v>0</v>
      </c>
      <c r="W113" s="194">
        <f t="shared" ref="W113" si="230">SUM(U113:V113)</f>
        <v>9534.2256000000016</v>
      </c>
      <c r="X113" s="129">
        <v>1</v>
      </c>
      <c r="Y113" s="125">
        <f t="shared" si="220"/>
        <v>9724.9101120000014</v>
      </c>
      <c r="Z113" s="128">
        <v>1</v>
      </c>
      <c r="AA113" s="10">
        <f t="shared" si="221"/>
        <v>9724.9101120000014</v>
      </c>
      <c r="AB113" s="11">
        <v>0</v>
      </c>
      <c r="AC113" s="194">
        <f t="shared" ref="AC113" si="231">SUM(AA113:AB113)</f>
        <v>9724.9101120000014</v>
      </c>
      <c r="AD113" s="129">
        <v>1</v>
      </c>
      <c r="AE113" s="125">
        <f t="shared" ref="AE113" si="232">Y113*1.02</f>
        <v>9919.4083142400013</v>
      </c>
      <c r="AF113" s="128">
        <v>1</v>
      </c>
      <c r="AG113" s="10">
        <f t="shared" si="224"/>
        <v>9919.4083142400013</v>
      </c>
      <c r="AH113" s="11">
        <v>0</v>
      </c>
      <c r="AI113" s="194">
        <f t="shared" ref="AI113" si="233">SUM(AG113:AH113)</f>
        <v>9919.4083142400013</v>
      </c>
      <c r="AJ113" s="195">
        <f t="shared" ref="AJ113" si="234">I113+O113+U113+AA113+AG113</f>
        <v>47689.824026240007</v>
      </c>
      <c r="AK113" s="195">
        <f t="shared" ref="AK113" si="235">J113+P113+V113+AB113+AH113</f>
        <v>0</v>
      </c>
      <c r="AL113" s="195">
        <f t="shared" ref="AL113" si="236">SUM(AJ113:AK113)</f>
        <v>47689.824026240007</v>
      </c>
      <c r="AM113" s="4"/>
      <c r="AN113" s="4"/>
      <c r="AO113" s="4"/>
      <c r="AP113" s="4"/>
    </row>
    <row r="114" spans="1:42" x14ac:dyDescent="0.4">
      <c r="A114" s="61" t="s">
        <v>312</v>
      </c>
      <c r="B114" s="602" t="s">
        <v>298</v>
      </c>
      <c r="C114" s="61" t="s">
        <v>284</v>
      </c>
      <c r="D114" s="61" t="s">
        <v>102</v>
      </c>
      <c r="E114" s="129">
        <v>1</v>
      </c>
      <c r="F114" s="128">
        <v>20600</v>
      </c>
      <c r="G114" s="128">
        <v>1</v>
      </c>
      <c r="H114" s="127" t="s">
        <v>40</v>
      </c>
      <c r="I114" s="10">
        <f t="shared" si="212"/>
        <v>20600</v>
      </c>
      <c r="J114" s="11">
        <v>0</v>
      </c>
      <c r="K114" s="194">
        <f t="shared" ref="K114" si="237">SUM(I114:J114)</f>
        <v>20600</v>
      </c>
      <c r="L114" s="128">
        <v>0</v>
      </c>
      <c r="M114" s="125">
        <f t="shared" si="214"/>
        <v>21012</v>
      </c>
      <c r="N114" s="128">
        <v>1</v>
      </c>
      <c r="O114" s="10">
        <f t="shared" si="215"/>
        <v>0</v>
      </c>
      <c r="P114" s="11">
        <v>0</v>
      </c>
      <c r="Q114" s="194">
        <f t="shared" ref="Q114" si="238">SUM(O114:P114)</f>
        <v>0</v>
      </c>
      <c r="R114" s="128">
        <v>1</v>
      </c>
      <c r="S114" s="125">
        <f t="shared" si="217"/>
        <v>21432.240000000002</v>
      </c>
      <c r="T114" s="128">
        <v>1</v>
      </c>
      <c r="U114" s="10">
        <f t="shared" si="218"/>
        <v>21432.240000000002</v>
      </c>
      <c r="V114" s="11">
        <v>0</v>
      </c>
      <c r="W114" s="194">
        <f t="shared" ref="W114" si="239">SUM(U114:V114)</f>
        <v>21432.240000000002</v>
      </c>
      <c r="X114" s="128">
        <v>0</v>
      </c>
      <c r="Y114" s="125">
        <f t="shared" si="220"/>
        <v>21860.884800000003</v>
      </c>
      <c r="Z114" s="128">
        <v>1</v>
      </c>
      <c r="AA114" s="10">
        <f t="shared" si="221"/>
        <v>0</v>
      </c>
      <c r="AB114" s="11">
        <v>0</v>
      </c>
      <c r="AC114" s="194">
        <f t="shared" ref="AC114" si="240">SUM(AA114:AB114)</f>
        <v>0</v>
      </c>
      <c r="AD114" s="128">
        <v>1</v>
      </c>
      <c r="AE114" s="125">
        <f t="shared" ref="AE114" si="241">Y114*1.02</f>
        <v>22298.102496000003</v>
      </c>
      <c r="AF114" s="128">
        <v>1</v>
      </c>
      <c r="AG114" s="10">
        <f t="shared" si="224"/>
        <v>22298.102496000003</v>
      </c>
      <c r="AH114" s="11">
        <v>0</v>
      </c>
      <c r="AI114" s="194">
        <f t="shared" ref="AI114" si="242">SUM(AG114:AH114)</f>
        <v>22298.102496000003</v>
      </c>
      <c r="AJ114" s="195">
        <f t="shared" ref="AJ114" si="243">I114+O114+U114+AA114+AG114</f>
        <v>64330.342496000012</v>
      </c>
      <c r="AK114" s="195">
        <f t="shared" ref="AK114" si="244">J114+P114+V114+AB114+AH114</f>
        <v>0</v>
      </c>
      <c r="AL114" s="195">
        <f t="shared" ref="AL114" si="245">SUM(AJ114:AK114)</f>
        <v>64330.342496000012</v>
      </c>
      <c r="AM114" s="4"/>
      <c r="AN114" s="4"/>
      <c r="AO114" s="4"/>
      <c r="AP114" s="4"/>
    </row>
    <row r="115" spans="1:42" x14ac:dyDescent="0.4">
      <c r="A115" s="61" t="s">
        <v>278</v>
      </c>
      <c r="B115" s="602" t="s">
        <v>299</v>
      </c>
      <c r="C115" s="61" t="s">
        <v>278</v>
      </c>
      <c r="D115" s="61" t="s">
        <v>103</v>
      </c>
      <c r="E115" s="129">
        <v>1</v>
      </c>
      <c r="F115" s="128">
        <f>'Guatemala '!I47+'Dominican Republic'!I47+Guyana!I46+Jamaica!J46</f>
        <v>3080</v>
      </c>
      <c r="G115" s="128">
        <v>1</v>
      </c>
      <c r="H115" s="127" t="s">
        <v>40</v>
      </c>
      <c r="I115" s="10">
        <f t="shared" si="212"/>
        <v>3080</v>
      </c>
      <c r="J115" s="11">
        <v>0</v>
      </c>
      <c r="K115" s="194">
        <f>SUM(I115:J115)</f>
        <v>3080</v>
      </c>
      <c r="L115" s="128">
        <v>1</v>
      </c>
      <c r="M115" s="128">
        <f>'Guatemala '!N47+'Dominican Republic'!N47+Guyana!N46+Jamaica!N46</f>
        <v>3427.2</v>
      </c>
      <c r="N115" s="128">
        <v>1</v>
      </c>
      <c r="O115" s="10">
        <f t="shared" si="215"/>
        <v>3427.2</v>
      </c>
      <c r="P115" s="11">
        <v>0</v>
      </c>
      <c r="Q115" s="194">
        <f>SUM(O115:P115)</f>
        <v>3427.2</v>
      </c>
      <c r="R115" s="128">
        <v>1</v>
      </c>
      <c r="S115" s="128">
        <f>'Guatemala '!S47+'Dominican Republic'!S47+Guyana!S46+Jamaica!S46</f>
        <v>3495.7440000000001</v>
      </c>
      <c r="T115" s="128">
        <v>1</v>
      </c>
      <c r="U115" s="10">
        <f t="shared" si="218"/>
        <v>3495.7440000000001</v>
      </c>
      <c r="V115" s="11">
        <v>0</v>
      </c>
      <c r="W115" s="194">
        <f>SUM(U115:V115)</f>
        <v>3495.7440000000001</v>
      </c>
      <c r="X115" s="128">
        <v>1</v>
      </c>
      <c r="Y115" s="128">
        <f>'Guatemala '!X47+'Dominican Republic'!X47+Guyana!X46+Jamaica!X46</f>
        <v>3565.65888</v>
      </c>
      <c r="Z115" s="128">
        <v>1</v>
      </c>
      <c r="AA115" s="10">
        <f t="shared" si="221"/>
        <v>3565.65888</v>
      </c>
      <c r="AB115" s="11">
        <v>0</v>
      </c>
      <c r="AC115" s="194">
        <f t="shared" ref="AC115" si="246">SUM(AA115:AB115)</f>
        <v>3565.65888</v>
      </c>
      <c r="AD115" s="128">
        <v>1</v>
      </c>
      <c r="AE115" s="128">
        <f>'Guatemala '!AD47+'Dominican Republic'!AD47+Guyana!AD46+Jamaica!AD46</f>
        <v>2727.7290432000004</v>
      </c>
      <c r="AF115" s="128">
        <v>1</v>
      </c>
      <c r="AG115" s="10">
        <f t="shared" si="224"/>
        <v>2727.7290432000004</v>
      </c>
      <c r="AH115" s="11">
        <v>0</v>
      </c>
      <c r="AI115" s="194">
        <f>SUM(AG115:AH115)</f>
        <v>2727.7290432000004</v>
      </c>
      <c r="AJ115" s="195">
        <f t="shared" ref="AJ115" si="247">I115+O115+U115+AA115+AG115</f>
        <v>16296.331923199999</v>
      </c>
      <c r="AK115" s="195">
        <f t="shared" ref="AK115" si="248">J115+P115+V115+AB115+AH115</f>
        <v>0</v>
      </c>
      <c r="AL115" s="195">
        <f t="shared" ref="AL115" si="249">SUM(AJ115:AK115)</f>
        <v>16296.331923199999</v>
      </c>
      <c r="AM115" s="4"/>
      <c r="AN115" s="4"/>
      <c r="AO115" s="4"/>
      <c r="AP115" s="4"/>
    </row>
    <row r="116" spans="1:42" x14ac:dyDescent="0.4">
      <c r="A116" s="61" t="s">
        <v>278</v>
      </c>
      <c r="B116" s="602">
        <v>85105</v>
      </c>
      <c r="C116" s="61" t="s">
        <v>278</v>
      </c>
      <c r="D116" s="61" t="s">
        <v>104</v>
      </c>
      <c r="E116" s="129">
        <v>1</v>
      </c>
      <c r="F116" s="128">
        <f>'Guatemala '!I48+'Dominican Republic'!I48+Guyana!I47+Jamaica!J47</f>
        <v>7078.5</v>
      </c>
      <c r="G116" s="128">
        <v>1</v>
      </c>
      <c r="H116" s="127" t="s">
        <v>40</v>
      </c>
      <c r="I116" s="10">
        <f t="shared" si="212"/>
        <v>7078.5</v>
      </c>
      <c r="J116" s="11">
        <v>0</v>
      </c>
      <c r="K116" s="194">
        <f>SUM(I116:J116)</f>
        <v>7078.5</v>
      </c>
      <c r="L116" s="128">
        <v>1</v>
      </c>
      <c r="M116" s="128">
        <f>'Guatemala '!N48+'Dominican Republic'!N48+Guyana!N47+Jamaica!N47</f>
        <v>7876.4400000000005</v>
      </c>
      <c r="N116" s="128">
        <v>1</v>
      </c>
      <c r="O116" s="10">
        <f t="shared" si="215"/>
        <v>7876.4400000000005</v>
      </c>
      <c r="P116" s="11">
        <v>0</v>
      </c>
      <c r="Q116" s="194">
        <f>SUM(O116:P116)</f>
        <v>7876.4400000000005</v>
      </c>
      <c r="R116" s="128">
        <v>1</v>
      </c>
      <c r="S116" s="128">
        <f>'Guatemala '!S48+'Dominican Republic'!S48+Guyana!S47+Jamaica!S47</f>
        <v>8033.9688000000006</v>
      </c>
      <c r="T116" s="128">
        <v>1</v>
      </c>
      <c r="U116" s="10">
        <f t="shared" si="218"/>
        <v>8033.9688000000006</v>
      </c>
      <c r="V116" s="11">
        <v>0</v>
      </c>
      <c r="W116" s="194">
        <f>SUM(U116:V116)</f>
        <v>8033.9688000000006</v>
      </c>
      <c r="X116" s="128">
        <v>1</v>
      </c>
      <c r="Y116" s="128">
        <f>'Guatemala '!X48+'Dominican Republic'!X48+Guyana!X47+Jamaica!X47</f>
        <v>8194.6481760000006</v>
      </c>
      <c r="Z116" s="128">
        <v>1</v>
      </c>
      <c r="AA116" s="10">
        <f>Z116*Y116*X116</f>
        <v>8194.6481760000006</v>
      </c>
      <c r="AB116" s="11">
        <v>0</v>
      </c>
      <c r="AC116" s="194">
        <f t="shared" ref="AC116" si="250">SUM(AA116:AB116)</f>
        <v>8194.6481760000006</v>
      </c>
      <c r="AD116" s="128">
        <v>1</v>
      </c>
      <c r="AE116" s="128">
        <f>'Guatemala '!AD48+'Dominican Republic'!AD48+Guyana!AD47+Jamaica!AD47</f>
        <v>6268.9058546400001</v>
      </c>
      <c r="AF116" s="128">
        <v>1</v>
      </c>
      <c r="AG116" s="10">
        <f t="shared" si="224"/>
        <v>6268.9058546400001</v>
      </c>
      <c r="AH116" s="11">
        <v>0</v>
      </c>
      <c r="AI116" s="194">
        <f>SUM(AG116:AH116)</f>
        <v>6268.9058546400001</v>
      </c>
      <c r="AJ116" s="195">
        <f>I116+O116+U116+AA116+AG116</f>
        <v>37452.462830639997</v>
      </c>
      <c r="AK116" s="195">
        <f>J116+P116+V116+AB116+AH116</f>
        <v>0</v>
      </c>
      <c r="AL116" s="195">
        <f>SUM(AJ116:AK116)</f>
        <v>37452.462830639997</v>
      </c>
      <c r="AM116" s="4"/>
      <c r="AN116" s="4"/>
      <c r="AO116" s="4"/>
      <c r="AP116" s="4"/>
    </row>
    <row r="117" spans="1:42" x14ac:dyDescent="0.4">
      <c r="A117" s="61" t="s">
        <v>278</v>
      </c>
      <c r="B117" s="602" t="s">
        <v>301</v>
      </c>
      <c r="C117" s="61" t="s">
        <v>278</v>
      </c>
      <c r="D117" s="61" t="s">
        <v>105</v>
      </c>
      <c r="E117" s="129">
        <v>1</v>
      </c>
      <c r="F117" s="128">
        <f>'Guatemala '!I49+'Dominican Republic'!I49+Guyana!I48+Jamaica!J48</f>
        <v>2630.4300000000003</v>
      </c>
      <c r="G117" s="128">
        <v>1</v>
      </c>
      <c r="H117" s="127" t="s">
        <v>40</v>
      </c>
      <c r="I117" s="10">
        <f>G117*F117*E117</f>
        <v>2630.4300000000003</v>
      </c>
      <c r="J117" s="11">
        <v>0</v>
      </c>
      <c r="K117" s="194">
        <f t="shared" ref="K117" si="251">SUM(I117:J117)</f>
        <v>2630.4300000000003</v>
      </c>
      <c r="L117" s="128">
        <v>1</v>
      </c>
      <c r="M117" s="128">
        <f>'Guatemala '!N49+'Dominican Republic'!N49+Guyana!N48+Jamaica!N48</f>
        <v>2926.9512</v>
      </c>
      <c r="N117" s="128">
        <v>1</v>
      </c>
      <c r="O117" s="10">
        <f>L117*M117*N117</f>
        <v>2926.9512</v>
      </c>
      <c r="P117" s="11">
        <v>0</v>
      </c>
      <c r="Q117" s="194">
        <f t="shared" ref="Q117" si="252">SUM(O117:P117)</f>
        <v>2926.9512</v>
      </c>
      <c r="R117" s="128">
        <v>1</v>
      </c>
      <c r="S117" s="128">
        <f>'Guatemala '!S49+'Dominican Republic'!S49+Guyana!S48+Jamaica!S48</f>
        <v>2985.4902240000001</v>
      </c>
      <c r="T117" s="128">
        <v>1</v>
      </c>
      <c r="U117" s="10">
        <f>T117*S117*R117</f>
        <v>2985.4902240000001</v>
      </c>
      <c r="V117" s="11">
        <v>0</v>
      </c>
      <c r="W117" s="194">
        <f t="shared" ref="W117" si="253">SUM(U117:V117)</f>
        <v>2985.4902240000001</v>
      </c>
      <c r="X117" s="128">
        <v>1</v>
      </c>
      <c r="Y117" s="128">
        <f>'Guatemala '!X49+'Dominican Republic'!X49+Guyana!X48+Jamaica!X48</f>
        <v>3045.2000284800001</v>
      </c>
      <c r="Z117" s="128">
        <v>1</v>
      </c>
      <c r="AA117" s="10">
        <f>Z117*Y117*X117</f>
        <v>3045.2000284800001</v>
      </c>
      <c r="AB117" s="11">
        <v>0</v>
      </c>
      <c r="AC117" s="194">
        <f t="shared" ref="AC117" si="254">SUM(AA117:AB117)</f>
        <v>3045.2000284800001</v>
      </c>
      <c r="AD117" s="128">
        <v>1</v>
      </c>
      <c r="AE117" s="128">
        <f>'Guatemala '!AD49+'Dominican Republic'!AD49+Guyana!AD48+Jamaica!AD48</f>
        <v>2329.5780217872007</v>
      </c>
      <c r="AF117" s="128">
        <v>1</v>
      </c>
      <c r="AG117" s="10">
        <f>AF117*AE117*AD117</f>
        <v>2329.5780217872007</v>
      </c>
      <c r="AH117" s="11">
        <v>0</v>
      </c>
      <c r="AI117" s="194">
        <f t="shared" ref="AI117" si="255">SUM(AG117:AH117)</f>
        <v>2329.5780217872007</v>
      </c>
      <c r="AJ117" s="195">
        <f t="shared" ref="AJ117" si="256">I117+O117+U117+AA117+AG117</f>
        <v>13917.6494742672</v>
      </c>
      <c r="AK117" s="195">
        <f t="shared" ref="AK117" si="257">J117+P117+V117+AB117+AH117</f>
        <v>0</v>
      </c>
      <c r="AL117" s="195">
        <f t="shared" ref="AL117" si="258">SUM(AJ117:AK117)</f>
        <v>13917.6494742672</v>
      </c>
      <c r="AM117" s="4"/>
      <c r="AN117" s="4"/>
      <c r="AO117" s="4"/>
      <c r="AP117" s="4"/>
    </row>
    <row r="118" spans="1:42" x14ac:dyDescent="0.4">
      <c r="A118" s="61" t="s">
        <v>278</v>
      </c>
      <c r="B118" s="602" t="s">
        <v>302</v>
      </c>
      <c r="C118" s="61" t="s">
        <v>278</v>
      </c>
      <c r="D118" s="61" t="s">
        <v>106</v>
      </c>
      <c r="E118" s="129">
        <v>1</v>
      </c>
      <c r="F118" s="128">
        <f>'Guatemala '!I50+'Dominican Republic'!I50+Guyana!I49+Jamaica!J49</f>
        <v>4400</v>
      </c>
      <c r="G118" s="128">
        <v>1</v>
      </c>
      <c r="H118" s="127" t="s">
        <v>40</v>
      </c>
      <c r="I118" s="10">
        <f t="shared" si="212"/>
        <v>4400</v>
      </c>
      <c r="J118" s="11">
        <v>0</v>
      </c>
      <c r="K118" s="194">
        <f>SUM(I118:J118)</f>
        <v>4400</v>
      </c>
      <c r="L118" s="128">
        <v>1</v>
      </c>
      <c r="M118" s="128">
        <f>'Guatemala '!N50+'Dominican Republic'!N50+Guyana!N49+Jamaica!N49</f>
        <v>4896</v>
      </c>
      <c r="N118" s="128">
        <v>1</v>
      </c>
      <c r="O118" s="10">
        <f t="shared" si="215"/>
        <v>4896</v>
      </c>
      <c r="P118" s="11">
        <v>0</v>
      </c>
      <c r="Q118" s="194">
        <f>SUM(O118:P118)</f>
        <v>4896</v>
      </c>
      <c r="R118" s="128">
        <v>1</v>
      </c>
      <c r="S118" s="128">
        <f>'Guatemala '!S50+'Dominican Republic'!S50+Guyana!S49+Jamaica!S49</f>
        <v>4993.92</v>
      </c>
      <c r="T118" s="128">
        <v>1</v>
      </c>
      <c r="U118" s="10">
        <f t="shared" si="218"/>
        <v>4993.92</v>
      </c>
      <c r="V118" s="11">
        <v>0</v>
      </c>
      <c r="W118" s="194">
        <f>SUM(U118:V118)</f>
        <v>4993.92</v>
      </c>
      <c r="X118" s="128">
        <v>1</v>
      </c>
      <c r="Y118" s="128">
        <f>'Guatemala '!X50+'Dominican Republic'!X50+Guyana!X49+Jamaica!X49</f>
        <v>5093.7983999999997</v>
      </c>
      <c r="Z118" s="128">
        <v>1</v>
      </c>
      <c r="AA118" s="10">
        <f t="shared" si="221"/>
        <v>5093.7983999999997</v>
      </c>
      <c r="AB118" s="11">
        <v>0</v>
      </c>
      <c r="AC118" s="194">
        <f t="shared" ref="AC118:AC119" si="259">SUM(AA118:AB118)</f>
        <v>5093.7983999999997</v>
      </c>
      <c r="AD118" s="128">
        <v>1</v>
      </c>
      <c r="AE118" s="128">
        <f>'Guatemala '!AD50+'Dominican Republic'!AD50+Guyana!AD49+Jamaica!AD49</f>
        <v>3896.755776</v>
      </c>
      <c r="AF118" s="128">
        <v>1</v>
      </c>
      <c r="AG118" s="10">
        <f t="shared" si="224"/>
        <v>3896.755776</v>
      </c>
      <c r="AH118" s="11">
        <v>0</v>
      </c>
      <c r="AI118" s="194">
        <f>SUM(AG118:AH118)</f>
        <v>3896.755776</v>
      </c>
      <c r="AJ118" s="195">
        <f>I118+O118+U118+AA118+AG118</f>
        <v>23280.474175999996</v>
      </c>
      <c r="AK118" s="195">
        <f>J118+P118+V118+AB118+AH118</f>
        <v>0</v>
      </c>
      <c r="AL118" s="195">
        <f>SUM(AJ118:AK118)</f>
        <v>23280.474175999996</v>
      </c>
      <c r="AM118" s="4"/>
      <c r="AN118" s="4"/>
      <c r="AO118" s="4"/>
      <c r="AP118" s="4"/>
    </row>
    <row r="119" spans="1:42" x14ac:dyDescent="0.4">
      <c r="A119" s="61" t="s">
        <v>278</v>
      </c>
      <c r="B119" s="602" t="s">
        <v>303</v>
      </c>
      <c r="C119" s="61" t="s">
        <v>278</v>
      </c>
      <c r="D119" s="61" t="s">
        <v>107</v>
      </c>
      <c r="E119" s="129">
        <v>1</v>
      </c>
      <c r="F119" s="128">
        <f>'Guatemala '!I51+'Dominican Republic'!I51+Guyana!I50+Jamaica!J50</f>
        <v>45925</v>
      </c>
      <c r="G119" s="128">
        <v>1</v>
      </c>
      <c r="H119" s="127" t="s">
        <v>40</v>
      </c>
      <c r="I119" s="10">
        <f t="shared" ref="I119" si="260">G119*F119*E119</f>
        <v>45925</v>
      </c>
      <c r="J119" s="11">
        <v>0</v>
      </c>
      <c r="K119" s="194">
        <f t="shared" ref="K119" si="261">SUM(I119:J119)</f>
        <v>45925</v>
      </c>
      <c r="L119" s="128">
        <v>1</v>
      </c>
      <c r="M119" s="128">
        <f>'Guatemala '!N51+'Dominican Republic'!N51+Guyana!N50+Jamaica!N50</f>
        <v>51102</v>
      </c>
      <c r="N119" s="128">
        <v>1</v>
      </c>
      <c r="O119" s="10">
        <f t="shared" ref="O119" si="262">L119*M119*N119</f>
        <v>51102</v>
      </c>
      <c r="P119" s="11">
        <v>0</v>
      </c>
      <c r="Q119" s="194">
        <f t="shared" ref="Q119" si="263">SUM(O119:P119)</f>
        <v>51102</v>
      </c>
      <c r="R119" s="128">
        <v>1</v>
      </c>
      <c r="S119" s="128">
        <f>'Guatemala '!S51+'Dominican Republic'!S51+Guyana!S50+Jamaica!S50</f>
        <v>52124.040000000008</v>
      </c>
      <c r="T119" s="128">
        <v>1</v>
      </c>
      <c r="U119" s="10">
        <f t="shared" ref="U119" si="264">T119*S119*R119</f>
        <v>52124.040000000008</v>
      </c>
      <c r="V119" s="11">
        <v>0</v>
      </c>
      <c r="W119" s="194">
        <f t="shared" ref="W119" si="265">SUM(U119:V119)</f>
        <v>52124.040000000008</v>
      </c>
      <c r="X119" s="128">
        <v>1</v>
      </c>
      <c r="Y119" s="128">
        <f>'Guatemala '!X51+'Dominican Republic'!X51+Guyana!X50+Jamaica!X50</f>
        <v>53166.520799999998</v>
      </c>
      <c r="Z119" s="128">
        <v>1</v>
      </c>
      <c r="AA119" s="10">
        <f t="shared" ref="AA119" si="266">Z119*Y119*X119</f>
        <v>53166.520799999998</v>
      </c>
      <c r="AB119" s="11">
        <v>0</v>
      </c>
      <c r="AC119" s="194">
        <f t="shared" si="259"/>
        <v>53166.520799999998</v>
      </c>
      <c r="AD119" s="128">
        <v>1</v>
      </c>
      <c r="AE119" s="128">
        <f>'Guatemala '!AD51+'Dominican Republic'!AD51+Guyana!AD50+Jamaica!AD50</f>
        <v>27114.925607999998</v>
      </c>
      <c r="AF119" s="128">
        <v>1</v>
      </c>
      <c r="AG119" s="10">
        <f t="shared" ref="AG119" si="267">AF119*AE119*AD119</f>
        <v>27114.925607999998</v>
      </c>
      <c r="AH119" s="11">
        <v>0</v>
      </c>
      <c r="AI119" s="194">
        <f t="shared" ref="AI119" si="268">SUM(AG119:AH119)</f>
        <v>27114.925607999998</v>
      </c>
      <c r="AJ119" s="195">
        <f t="shared" ref="AJ119" si="269">I119+O119+U119+AA119+AG119</f>
        <v>229432.486408</v>
      </c>
      <c r="AK119" s="195">
        <f t="shared" ref="AK119" si="270">J119+P119+V119+AB119+AH119</f>
        <v>0</v>
      </c>
      <c r="AL119" s="195">
        <f t="shared" ref="AL119" si="271">SUM(AJ119:AK119)</f>
        <v>229432.486408</v>
      </c>
      <c r="AM119" s="4"/>
      <c r="AN119" s="4"/>
      <c r="AO119" s="4"/>
      <c r="AP119" s="4"/>
    </row>
    <row r="120" spans="1:42" x14ac:dyDescent="0.4">
      <c r="A120" s="61" t="s">
        <v>278</v>
      </c>
      <c r="B120" s="602" t="s">
        <v>304</v>
      </c>
      <c r="C120" s="61" t="s">
        <v>278</v>
      </c>
      <c r="D120" s="61" t="s">
        <v>108</v>
      </c>
      <c r="E120" s="129">
        <v>1</v>
      </c>
      <c r="F120" s="128">
        <f>'Guatemala '!I52+'Dominican Republic'!I52+Guyana!I51+Jamaica!J51</f>
        <v>8185.833333333333</v>
      </c>
      <c r="G120" s="128">
        <v>1</v>
      </c>
      <c r="H120" s="127" t="s">
        <v>40</v>
      </c>
      <c r="I120" s="10">
        <f t="shared" ref="I120" si="272">G120*F120*E120</f>
        <v>8185.833333333333</v>
      </c>
      <c r="J120" s="11">
        <v>0</v>
      </c>
      <c r="K120" s="194">
        <f t="shared" ref="K120" si="273">SUM(I120:J120)</f>
        <v>8185.833333333333</v>
      </c>
      <c r="L120" s="128">
        <v>1</v>
      </c>
      <c r="M120" s="128">
        <f>'Guatemala '!N52+'Dominican Republic'!N52+Guyana!N51+Jamaica!N51</f>
        <v>9108.6</v>
      </c>
      <c r="N120" s="128">
        <v>1</v>
      </c>
      <c r="O120" s="10">
        <f t="shared" ref="O120" si="274">L120*M120*N120</f>
        <v>9108.6</v>
      </c>
      <c r="P120" s="11">
        <v>0</v>
      </c>
      <c r="Q120" s="194">
        <f t="shared" ref="Q120" si="275">SUM(O120:P120)</f>
        <v>9108.6</v>
      </c>
      <c r="R120" s="128">
        <v>1</v>
      </c>
      <c r="S120" s="128">
        <f>'Guatemala '!S52+'Dominican Republic'!S52+Guyana!S51+Jamaica!S51</f>
        <v>9290.7720000000008</v>
      </c>
      <c r="T120" s="128">
        <v>1</v>
      </c>
      <c r="U120" s="10">
        <f t="shared" ref="U120" si="276">T120*S120*R120</f>
        <v>9290.7720000000008</v>
      </c>
      <c r="V120" s="11">
        <v>0</v>
      </c>
      <c r="W120" s="194">
        <f t="shared" ref="W120" si="277">SUM(U120:V120)</f>
        <v>9290.7720000000008</v>
      </c>
      <c r="X120" s="128">
        <v>1</v>
      </c>
      <c r="Y120" s="128">
        <f>'Guatemala '!X52+'Dominican Republic'!X52+Guyana!X51+Jamaica!X51</f>
        <v>9476.5874400000012</v>
      </c>
      <c r="Z120" s="128">
        <v>1</v>
      </c>
      <c r="AA120" s="10">
        <f t="shared" ref="AA120" si="278">Z120*Y120*X120</f>
        <v>9476.5874400000012</v>
      </c>
      <c r="AB120" s="11">
        <v>0</v>
      </c>
      <c r="AC120" s="194">
        <f t="shared" ref="AC120" si="279">SUM(AA120:AB120)</f>
        <v>9476.5874400000012</v>
      </c>
      <c r="AD120" s="128">
        <v>1</v>
      </c>
      <c r="AE120" s="128">
        <f>'Guatemala '!AD52+'Dominican Republic'!AD52+Guyana!AD51+Jamaica!AD51</f>
        <v>7249.5893916000005</v>
      </c>
      <c r="AF120" s="128">
        <v>1</v>
      </c>
      <c r="AG120" s="10">
        <f t="shared" ref="AG120" si="280">AF120*AE120*AD120</f>
        <v>7249.5893916000005</v>
      </c>
      <c r="AH120" s="11">
        <v>0</v>
      </c>
      <c r="AI120" s="194">
        <f t="shared" ref="AI120" si="281">SUM(AG120:AH120)</f>
        <v>7249.5893916000005</v>
      </c>
      <c r="AJ120" s="195">
        <f t="shared" ref="AJ120" si="282">I120+O120+U120+AA120+AG120</f>
        <v>43311.382164933333</v>
      </c>
      <c r="AK120" s="195">
        <f t="shared" ref="AK120" si="283">J120+P120+V120+AB120+AH120</f>
        <v>0</v>
      </c>
      <c r="AL120" s="195">
        <f t="shared" ref="AL120" si="284">SUM(AJ120:AK120)</f>
        <v>43311.382164933333</v>
      </c>
      <c r="AM120" s="4"/>
      <c r="AN120" s="4"/>
      <c r="AO120" s="4"/>
      <c r="AP120" s="4"/>
    </row>
    <row r="121" spans="1:42" x14ac:dyDescent="0.4">
      <c r="A121" s="59"/>
      <c r="B121" s="602"/>
      <c r="C121" s="59"/>
      <c r="D121" s="59"/>
      <c r="E121" s="34"/>
      <c r="I121" s="10"/>
      <c r="J121" s="11"/>
      <c r="K121" s="194"/>
      <c r="L121" s="34"/>
      <c r="O121" s="10"/>
      <c r="P121" s="11"/>
      <c r="Q121" s="194"/>
      <c r="R121" s="34"/>
      <c r="U121" s="10"/>
      <c r="V121" s="11"/>
      <c r="W121" s="194"/>
      <c r="X121" s="34"/>
      <c r="AA121" s="10"/>
      <c r="AB121" s="11"/>
      <c r="AC121" s="194"/>
      <c r="AD121" s="34"/>
      <c r="AG121" s="10"/>
      <c r="AH121" s="11"/>
      <c r="AI121" s="194"/>
      <c r="AJ121" s="195"/>
      <c r="AK121" s="195"/>
      <c r="AL121" s="195"/>
      <c r="AM121" s="4"/>
      <c r="AN121" s="4"/>
      <c r="AO121" s="4"/>
      <c r="AP121" s="4"/>
    </row>
    <row r="122" spans="1:42" s="8" customFormat="1" x14ac:dyDescent="0.4">
      <c r="A122" s="106"/>
      <c r="B122" s="599"/>
      <c r="C122" s="106"/>
      <c r="D122" s="106" t="s">
        <v>109</v>
      </c>
      <c r="E122" s="235"/>
      <c r="F122" s="236"/>
      <c r="G122" s="236"/>
      <c r="H122" s="236"/>
      <c r="I122" s="519">
        <f>SUM(I110:I120)</f>
        <v>105761.26333333332</v>
      </c>
      <c r="J122" s="520">
        <f>SUM(J110:J120)</f>
        <v>0</v>
      </c>
      <c r="K122" s="521">
        <f>SUM(K110:K120)</f>
        <v>105761.26333333332</v>
      </c>
      <c r="L122" s="236"/>
      <c r="M122" s="236"/>
      <c r="N122" s="236"/>
      <c r="O122" s="519">
        <f>SUM(O110:O120)</f>
        <v>90213.961200000005</v>
      </c>
      <c r="P122" s="520">
        <f>SUM(P110:P120)</f>
        <v>0</v>
      </c>
      <c r="Q122" s="521">
        <f>SUM(Q110:Q120)</f>
        <v>90213.961200000005</v>
      </c>
      <c r="R122" s="236"/>
      <c r="S122" s="236"/>
      <c r="T122" s="236"/>
      <c r="U122" s="519">
        <f>SUM(U110:U120)</f>
        <v>115945.879824</v>
      </c>
      <c r="V122" s="520">
        <f>SUM(V110:V120)</f>
        <v>0</v>
      </c>
      <c r="W122" s="521">
        <f>SUM(W110:W120)</f>
        <v>115945.879824</v>
      </c>
      <c r="X122" s="236"/>
      <c r="Y122" s="236"/>
      <c r="Z122" s="236"/>
      <c r="AA122" s="519">
        <f>SUM(AA110:AA120)</f>
        <v>93858.605232480011</v>
      </c>
      <c r="AB122" s="520">
        <f>SUM(AB110:AB120)</f>
        <v>0</v>
      </c>
      <c r="AC122" s="521">
        <f>SUM(AC110:AC120)</f>
        <v>93858.605232480011</v>
      </c>
      <c r="AD122" s="236"/>
      <c r="AE122" s="236"/>
      <c r="AF122" s="236"/>
      <c r="AG122" s="519">
        <f>SUM(AG110:AG120)</f>
        <v>83428.101529387204</v>
      </c>
      <c r="AH122" s="520">
        <f>SUM(AH110:AH120)</f>
        <v>0</v>
      </c>
      <c r="AI122" s="521">
        <f>SUM(AI110:AI120)</f>
        <v>83428.101529387204</v>
      </c>
      <c r="AJ122" s="206">
        <f>AG122+AA122+U122+O122+I122</f>
        <v>489207.81111920055</v>
      </c>
      <c r="AK122" s="207">
        <f>AH122+AB122+V122+P122+J122</f>
        <v>0</v>
      </c>
      <c r="AL122" s="207">
        <f>AI122+AC122+W122+Q122+K122</f>
        <v>489207.81111920055</v>
      </c>
      <c r="AM122" s="24"/>
      <c r="AN122" s="24"/>
      <c r="AO122" s="24"/>
      <c r="AP122" s="24"/>
    </row>
    <row r="123" spans="1:42" x14ac:dyDescent="0.4">
      <c r="A123" s="59"/>
      <c r="B123" s="602"/>
      <c r="C123" s="59"/>
      <c r="D123" s="59"/>
      <c r="E123" s="34"/>
      <c r="I123" s="10"/>
      <c r="J123" s="11"/>
      <c r="K123" s="194"/>
      <c r="L123" s="34"/>
      <c r="O123" s="10"/>
      <c r="P123" s="11"/>
      <c r="Q123" s="194"/>
      <c r="R123" s="34"/>
      <c r="U123" s="10"/>
      <c r="V123" s="11"/>
      <c r="W123" s="194"/>
      <c r="X123" s="34"/>
      <c r="AA123" s="10"/>
      <c r="AB123" s="11"/>
      <c r="AC123" s="194"/>
      <c r="AD123" s="34"/>
      <c r="AG123" s="10"/>
      <c r="AH123" s="11"/>
      <c r="AI123" s="194"/>
      <c r="AJ123" s="195"/>
      <c r="AK123" s="195"/>
      <c r="AL123" s="195"/>
      <c r="AM123" s="4"/>
      <c r="AN123" s="4"/>
      <c r="AO123" s="4"/>
      <c r="AP123" s="4"/>
    </row>
    <row r="124" spans="1:42" s="24" customFormat="1" x14ac:dyDescent="0.4">
      <c r="A124" s="161"/>
      <c r="B124" s="609"/>
      <c r="C124" s="161"/>
      <c r="D124" s="161" t="s">
        <v>20</v>
      </c>
      <c r="E124" s="162"/>
      <c r="F124" s="163"/>
      <c r="G124" s="163"/>
      <c r="H124" s="164"/>
      <c r="I124" s="165">
        <f>I122+I106+I99+I86+I80+I31+I25</f>
        <v>1137901.6393333334</v>
      </c>
      <c r="J124" s="166">
        <f>J122+J106+J99+J86+J80+J31+J25</f>
        <v>511560</v>
      </c>
      <c r="K124" s="167">
        <f>SUM(I124:J124)</f>
        <v>1649461.6393333334</v>
      </c>
      <c r="L124" s="162"/>
      <c r="M124" s="163"/>
      <c r="N124" s="163"/>
      <c r="O124" s="168">
        <f>O122+O106+O99+O86+O80+O31+O25</f>
        <v>1185902.958286</v>
      </c>
      <c r="P124" s="166">
        <f>P122+P106+P99+P86+P80+P31+P25</f>
        <v>589860</v>
      </c>
      <c r="Q124" s="167">
        <f>SUM(O124:P124)</f>
        <v>1775762.958286</v>
      </c>
      <c r="R124" s="162"/>
      <c r="S124" s="163"/>
      <c r="T124" s="163"/>
      <c r="U124" s="169">
        <f>U122+U106+U99+U86+U80+U31+U25</f>
        <v>1252275.94705808</v>
      </c>
      <c r="V124" s="170">
        <f>V122+V106+V99+V86+V80+V31+V25</f>
        <v>582030</v>
      </c>
      <c r="W124" s="171">
        <f>W122+W106+W99+W86+W80+W31+W25</f>
        <v>1834305.9470580798</v>
      </c>
      <c r="X124" s="162"/>
      <c r="Y124" s="163"/>
      <c r="Z124" s="163"/>
      <c r="AA124" s="169">
        <f>AA122+AA106+AA99+AA86+AA80+AA31+AA25</f>
        <v>1241323.2640633164</v>
      </c>
      <c r="AB124" s="170">
        <f>AB122+AB106+AB99+AB86+AB80+AB31+AB25</f>
        <v>574200</v>
      </c>
      <c r="AC124" s="171">
        <f>AC122+AC106+AC99+AC86+AC80+AC31+AC25</f>
        <v>1815523.2640633164</v>
      </c>
      <c r="AD124" s="162"/>
      <c r="AE124" s="163"/>
      <c r="AF124" s="163"/>
      <c r="AG124" s="169">
        <f>AG122+AG106+AG99+AG86+AG80+AG31+AG25</f>
        <v>1029181.5144791723</v>
      </c>
      <c r="AH124" s="170">
        <f>AH122+AH106+AH99+AH86+AH80+AH31+AH25</f>
        <v>477630</v>
      </c>
      <c r="AI124" s="171">
        <f>AI122+AI106+AI99+AI86+AI80+AI31+AI25</f>
        <v>1506811.5144791724</v>
      </c>
      <c r="AJ124" s="172">
        <f>AG124+AA124+U124+O124+I124</f>
        <v>5846585.3232199028</v>
      </c>
      <c r="AK124" s="172">
        <f>AH124+AB124+V124+P124+J124</f>
        <v>2735280</v>
      </c>
      <c r="AL124" s="172">
        <f>SUM(AJ124:AK124)</f>
        <v>8581865.3232199028</v>
      </c>
      <c r="AN124" s="252"/>
    </row>
    <row r="125" spans="1:42" s="8" customFormat="1" x14ac:dyDescent="0.4">
      <c r="A125" s="161" t="s">
        <v>306</v>
      </c>
      <c r="B125" s="609" t="s">
        <v>305</v>
      </c>
      <c r="C125" s="161" t="s">
        <v>284</v>
      </c>
      <c r="D125" s="161" t="s">
        <v>21</v>
      </c>
      <c r="E125" s="98">
        <v>0.2828</v>
      </c>
      <c r="F125" s="99"/>
      <c r="G125" s="99"/>
      <c r="H125" s="100"/>
      <c r="I125" s="243">
        <f>I124*$E125</f>
        <v>321798.58360346669</v>
      </c>
      <c r="J125" s="244">
        <v>0</v>
      </c>
      <c r="K125" s="245">
        <f>SUM(I125:J125)</f>
        <v>321798.58360346669</v>
      </c>
      <c r="L125" s="98"/>
      <c r="M125" s="99"/>
      <c r="N125" s="99"/>
      <c r="O125" s="243">
        <f>O124*$E125</f>
        <v>335373.35660328076</v>
      </c>
      <c r="P125" s="244">
        <v>0</v>
      </c>
      <c r="Q125" s="245">
        <f>SUM(O125:P125)</f>
        <v>335373.35660328076</v>
      </c>
      <c r="R125" s="98"/>
      <c r="S125" s="99"/>
      <c r="T125" s="99"/>
      <c r="U125" s="243">
        <f>U124*$E125</f>
        <v>354143.63782802504</v>
      </c>
      <c r="V125" s="244">
        <v>0</v>
      </c>
      <c r="W125" s="245">
        <f>SUM(U125:V125)</f>
        <v>354143.63782802504</v>
      </c>
      <c r="X125" s="98"/>
      <c r="Y125" s="99"/>
      <c r="Z125" s="99"/>
      <c r="AA125" s="243">
        <f>AA124*$E125</f>
        <v>351046.21907710587</v>
      </c>
      <c r="AB125" s="244">
        <v>0</v>
      </c>
      <c r="AC125" s="245">
        <f>SUM(AA125:AB125)</f>
        <v>351046.21907710587</v>
      </c>
      <c r="AD125" s="98"/>
      <c r="AE125" s="99"/>
      <c r="AF125" s="99"/>
      <c r="AG125" s="243">
        <f>AG124*$E125</f>
        <v>291052.53229470993</v>
      </c>
      <c r="AH125" s="244">
        <v>0</v>
      </c>
      <c r="AI125" s="245">
        <f>SUM(AG125:AH125)</f>
        <v>291052.53229470993</v>
      </c>
      <c r="AJ125" s="246">
        <f>AG125+AA125+U125+O125+I125</f>
        <v>1653414.3294065881</v>
      </c>
      <c r="AK125" s="246">
        <f t="shared" ref="AK125:AK127" si="285">AH125+AB125+V125+P125+J125</f>
        <v>0</v>
      </c>
      <c r="AL125" s="246">
        <f>SUM(AJ125:AK125)</f>
        <v>1653414.3294065881</v>
      </c>
      <c r="AM125" s="24"/>
      <c r="AN125" s="252"/>
      <c r="AO125" s="24"/>
      <c r="AP125" s="24"/>
    </row>
    <row r="126" spans="1:42" s="24" customFormat="1" x14ac:dyDescent="0.4">
      <c r="A126" s="161" t="s">
        <v>367</v>
      </c>
      <c r="B126" s="609"/>
      <c r="C126" s="161" t="s">
        <v>284</v>
      </c>
      <c r="D126" s="161" t="s">
        <v>110</v>
      </c>
      <c r="E126" s="419"/>
      <c r="F126" s="420"/>
      <c r="G126" s="420"/>
      <c r="H126" s="421"/>
      <c r="I126" s="422"/>
      <c r="J126" s="423"/>
      <c r="K126" s="424"/>
      <c r="L126" s="419"/>
      <c r="M126" s="420"/>
      <c r="N126" s="420"/>
      <c r="O126" s="422"/>
      <c r="P126" s="423"/>
      <c r="Q126" s="424"/>
      <c r="R126" s="419"/>
      <c r="S126" s="420"/>
      <c r="T126" s="420"/>
      <c r="U126" s="422">
        <v>1000000</v>
      </c>
      <c r="V126" s="423"/>
      <c r="W126" s="424"/>
      <c r="X126" s="419"/>
      <c r="Y126" s="420"/>
      <c r="Z126" s="420"/>
      <c r="AA126" s="422"/>
      <c r="AB126" s="423"/>
      <c r="AC126" s="424"/>
      <c r="AD126" s="419"/>
      <c r="AE126" s="420"/>
      <c r="AF126" s="420"/>
      <c r="AG126" s="422"/>
      <c r="AH126" s="423"/>
      <c r="AI126" s="424"/>
      <c r="AJ126" s="246">
        <f>AG126+AA126+U126+O126+I126</f>
        <v>1000000</v>
      </c>
      <c r="AK126" s="425"/>
      <c r="AL126" s="246">
        <f>SUM(AJ126:AK126)</f>
        <v>1000000</v>
      </c>
    </row>
    <row r="127" spans="1:42" ht="12.6" thickBot="1" x14ac:dyDescent="0.45">
      <c r="A127" s="161"/>
      <c r="B127" s="609"/>
      <c r="C127" s="161"/>
      <c r="D127" s="161" t="s">
        <v>8</v>
      </c>
      <c r="E127" s="144"/>
      <c r="F127" s="145"/>
      <c r="G127" s="145"/>
      <c r="H127" s="146"/>
      <c r="I127" s="247">
        <f>SUM(I124:I125)</f>
        <v>1459700.2229368</v>
      </c>
      <c r="J127" s="248">
        <f t="shared" ref="J127:AI127" si="286">SUM(J124:J125)</f>
        <v>511560</v>
      </c>
      <c r="K127" s="249">
        <f t="shared" si="286"/>
        <v>1971260.2229368</v>
      </c>
      <c r="L127" s="144"/>
      <c r="M127" s="145"/>
      <c r="N127" s="145"/>
      <c r="O127" s="247">
        <f t="shared" si="286"/>
        <v>1521276.3148892806</v>
      </c>
      <c r="P127" s="248">
        <f t="shared" si="286"/>
        <v>589860</v>
      </c>
      <c r="Q127" s="249">
        <f t="shared" si="286"/>
        <v>2111136.3148892806</v>
      </c>
      <c r="R127" s="144"/>
      <c r="S127" s="145"/>
      <c r="T127" s="145"/>
      <c r="U127" s="247">
        <f>SUM(U124:U126)</f>
        <v>2606419.5848861048</v>
      </c>
      <c r="V127" s="248">
        <f t="shared" si="286"/>
        <v>582030</v>
      </c>
      <c r="W127" s="249">
        <f t="shared" si="286"/>
        <v>2188449.5848861048</v>
      </c>
      <c r="X127" s="144"/>
      <c r="Y127" s="145"/>
      <c r="Z127" s="145"/>
      <c r="AA127" s="247">
        <f t="shared" si="286"/>
        <v>1592369.4831404223</v>
      </c>
      <c r="AB127" s="248">
        <f t="shared" si="286"/>
        <v>574200</v>
      </c>
      <c r="AC127" s="249">
        <f t="shared" si="286"/>
        <v>2166569.483140422</v>
      </c>
      <c r="AD127" s="144"/>
      <c r="AE127" s="145"/>
      <c r="AF127" s="145"/>
      <c r="AG127" s="247">
        <f>SUM(AG124:AG125)</f>
        <v>1320234.0467738821</v>
      </c>
      <c r="AH127" s="248">
        <f t="shared" si="286"/>
        <v>477630</v>
      </c>
      <c r="AI127" s="249">
        <f t="shared" si="286"/>
        <v>1797864.0467738823</v>
      </c>
      <c r="AJ127" s="250">
        <f>AG127+AA127+U127+O127+I127</f>
        <v>8499999.6526264902</v>
      </c>
      <c r="AK127" s="250">
        <f t="shared" si="285"/>
        <v>2735280</v>
      </c>
      <c r="AL127" s="250">
        <f>SUM(AJ127:AK127)</f>
        <v>11235279.65262649</v>
      </c>
      <c r="AM127" s="11"/>
      <c r="AN127" s="253"/>
      <c r="AO127" s="11"/>
      <c r="AP127" s="4"/>
    </row>
    <row r="128" spans="1:42" x14ac:dyDescent="0.4">
      <c r="A128" s="44"/>
      <c r="B128" s="610"/>
      <c r="C128" s="44"/>
      <c r="D128" s="44"/>
      <c r="I128" s="11"/>
      <c r="J128" s="11"/>
      <c r="K128" s="11"/>
      <c r="O128" s="11"/>
      <c r="P128" s="11"/>
      <c r="Q128" s="11"/>
      <c r="U128" s="11"/>
      <c r="V128" s="11"/>
      <c r="W128" s="11"/>
      <c r="AA128" s="11"/>
      <c r="AB128" s="11"/>
      <c r="AC128" s="11"/>
      <c r="AG128" s="11"/>
      <c r="AH128" s="11"/>
      <c r="AI128" s="11"/>
      <c r="AJ128" s="11"/>
      <c r="AK128" s="11"/>
      <c r="AL128" s="11"/>
      <c r="AM128" s="4"/>
      <c r="AN128" s="4"/>
      <c r="AO128" s="4"/>
      <c r="AP128" s="4"/>
    </row>
    <row r="129" spans="1:42" x14ac:dyDescent="0.4">
      <c r="A129" s="4"/>
      <c r="B129" s="611"/>
      <c r="C129" s="4"/>
      <c r="D129" s="4"/>
      <c r="I129" s="11"/>
      <c r="J129" s="11"/>
      <c r="K129" s="11"/>
      <c r="O129" s="11"/>
      <c r="P129" s="11"/>
      <c r="Q129" s="11"/>
      <c r="U129" s="11"/>
      <c r="V129" s="11"/>
      <c r="W129" s="11"/>
      <c r="AA129" s="11"/>
      <c r="AB129" s="11"/>
      <c r="AC129" s="11"/>
      <c r="AG129" s="11"/>
      <c r="AH129" s="11"/>
      <c r="AI129" s="11"/>
      <c r="AJ129" s="11"/>
      <c r="AK129" s="11"/>
      <c r="AL129" s="4"/>
      <c r="AM129" s="4"/>
      <c r="AN129" s="4"/>
      <c r="AO129" s="4"/>
      <c r="AP129" s="4"/>
    </row>
    <row r="130" spans="1:42" x14ac:dyDescent="0.4">
      <c r="A130" s="4"/>
      <c r="B130" s="611"/>
      <c r="C130" s="4"/>
      <c r="D130" s="4"/>
      <c r="I130" s="4"/>
      <c r="J130" s="4"/>
      <c r="K130" s="4"/>
      <c r="O130" s="4"/>
      <c r="P130" s="4"/>
      <c r="Q130" s="4"/>
      <c r="U130" s="4"/>
      <c r="V130" s="4"/>
      <c r="W130" s="4"/>
      <c r="AA130" s="4"/>
      <c r="AB130" s="4"/>
      <c r="AC130" s="4"/>
      <c r="AG130" s="11"/>
      <c r="AH130" s="11"/>
      <c r="AI130" s="11"/>
      <c r="AJ130" s="182"/>
      <c r="AK130" s="11"/>
      <c r="AL130" s="4"/>
      <c r="AM130" s="4"/>
      <c r="AN130" s="4"/>
      <c r="AO130" s="4"/>
      <c r="AP130" s="4"/>
    </row>
    <row r="131" spans="1:42" x14ac:dyDescent="0.4">
      <c r="A131" s="4"/>
      <c r="B131" s="611"/>
      <c r="C131" s="4"/>
      <c r="D131" s="4"/>
      <c r="I131" s="4"/>
      <c r="J131" s="4"/>
      <c r="K131" s="4"/>
      <c r="O131" s="4"/>
      <c r="P131" s="4"/>
      <c r="Q131" s="4"/>
      <c r="U131" s="4"/>
      <c r="V131" s="4"/>
      <c r="W131" s="4"/>
      <c r="AA131" s="4"/>
      <c r="AB131" s="4"/>
      <c r="AC131" s="4"/>
      <c r="AG131" s="11"/>
      <c r="AH131" s="11"/>
      <c r="AI131" s="11"/>
      <c r="AJ131" s="182"/>
      <c r="AK131" s="11"/>
      <c r="AL131" s="4"/>
      <c r="AM131" s="4"/>
      <c r="AN131" s="4"/>
      <c r="AO131" s="4"/>
      <c r="AP131" s="4"/>
    </row>
    <row r="132" spans="1:42" x14ac:dyDescent="0.4">
      <c r="A132" s="4"/>
      <c r="B132" s="611"/>
      <c r="C132" s="4"/>
      <c r="D132" s="4"/>
      <c r="I132" s="4"/>
      <c r="J132" s="4"/>
      <c r="K132" s="4"/>
      <c r="O132" s="4"/>
      <c r="P132" s="4"/>
      <c r="Q132" s="4"/>
      <c r="U132" s="4"/>
      <c r="V132" s="4"/>
      <c r="W132" s="4"/>
      <c r="AA132" s="4"/>
      <c r="AB132" s="4"/>
      <c r="AC132" s="4"/>
      <c r="AG132" s="11"/>
      <c r="AH132" s="11"/>
      <c r="AI132" s="11"/>
      <c r="AJ132" s="11"/>
      <c r="AK132" s="11"/>
      <c r="AL132" s="11"/>
      <c r="AM132" s="4"/>
      <c r="AN132" s="4"/>
      <c r="AO132" s="4"/>
      <c r="AP132" s="4"/>
    </row>
    <row r="133" spans="1:42" x14ac:dyDescent="0.4">
      <c r="A133" s="4"/>
      <c r="B133" s="611"/>
      <c r="C133" s="4"/>
      <c r="D133" s="4"/>
      <c r="I133" s="4"/>
      <c r="J133" s="4"/>
      <c r="K133" s="4"/>
      <c r="O133" s="4"/>
      <c r="P133" s="4"/>
      <c r="Q133" s="4"/>
      <c r="U133" s="4"/>
      <c r="V133" s="4"/>
      <c r="W133" s="4"/>
      <c r="AA133" s="4"/>
      <c r="AB133" s="4"/>
      <c r="AC133" s="4"/>
      <c r="AG133" s="4"/>
      <c r="AH133" s="4"/>
      <c r="AI133" s="4"/>
      <c r="AJ133" s="254"/>
      <c r="AK133" s="4"/>
      <c r="AL133" s="4"/>
      <c r="AM133" s="4"/>
      <c r="AN133" s="4"/>
      <c r="AO133" s="4"/>
      <c r="AP133" s="4"/>
    </row>
    <row r="134" spans="1:42" x14ac:dyDescent="0.4">
      <c r="A134" s="4"/>
      <c r="B134" s="611"/>
      <c r="C134" s="4"/>
      <c r="D134" s="4"/>
      <c r="I134" s="4"/>
      <c r="J134" s="4"/>
      <c r="K134" s="4"/>
      <c r="O134" s="4"/>
      <c r="P134" s="4"/>
      <c r="Q134" s="4"/>
      <c r="U134" s="4"/>
      <c r="V134" s="4"/>
      <c r="W134" s="4"/>
      <c r="AA134" s="4"/>
      <c r="AB134" s="4"/>
      <c r="AC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</row>
    <row r="135" spans="1:42" x14ac:dyDescent="0.4">
      <c r="A135" s="4"/>
      <c r="B135" s="611"/>
      <c r="C135" s="4"/>
      <c r="D135" s="4"/>
      <c r="I135" s="4"/>
      <c r="J135" s="4"/>
      <c r="K135" s="4"/>
      <c r="O135" s="4"/>
      <c r="P135" s="4"/>
      <c r="Q135" s="4"/>
      <c r="U135" s="4"/>
      <c r="V135" s="4"/>
      <c r="W135" s="4"/>
      <c r="AA135" s="4"/>
      <c r="AB135" s="4"/>
      <c r="AC135" s="4"/>
      <c r="AG135" s="4" t="s">
        <v>111</v>
      </c>
      <c r="AH135" s="4"/>
      <c r="AI135" s="4"/>
      <c r="AJ135" s="255"/>
      <c r="AK135" s="4"/>
      <c r="AL135" s="4"/>
      <c r="AM135" s="4"/>
      <c r="AN135" s="4"/>
      <c r="AO135" s="4"/>
      <c r="AP135" s="4"/>
    </row>
    <row r="136" spans="1:42" x14ac:dyDescent="0.4">
      <c r="A136" s="4"/>
      <c r="B136" s="611"/>
      <c r="C136" s="4"/>
      <c r="D136" s="4"/>
      <c r="I136" s="4"/>
      <c r="J136" s="4"/>
      <c r="K136" s="4"/>
      <c r="O136" s="4"/>
      <c r="P136" s="4"/>
      <c r="Q136" s="4"/>
      <c r="U136" s="4"/>
      <c r="V136" s="4"/>
      <c r="W136" s="4"/>
      <c r="AA136" s="4"/>
      <c r="AB136" s="4"/>
      <c r="AC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</row>
    <row r="137" spans="1:42" x14ac:dyDescent="0.4">
      <c r="A137" s="4"/>
      <c r="B137" s="611"/>
      <c r="C137" s="4"/>
      <c r="D137" s="4"/>
      <c r="I137" s="4"/>
      <c r="J137" s="4"/>
      <c r="K137" s="4"/>
      <c r="O137" s="4"/>
      <c r="P137" s="4"/>
      <c r="Q137" s="4"/>
      <c r="U137" s="4"/>
      <c r="V137" s="4"/>
      <c r="W137" s="4"/>
      <c r="AA137" s="4"/>
      <c r="AB137" s="4"/>
      <c r="AC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</row>
    <row r="138" spans="1:42" x14ac:dyDescent="0.4">
      <c r="A138" s="4"/>
      <c r="B138" s="611"/>
      <c r="C138" s="4"/>
      <c r="D138" s="4"/>
      <c r="I138" s="4"/>
      <c r="J138" s="4"/>
      <c r="K138" s="4"/>
      <c r="O138" s="4"/>
      <c r="P138" s="4"/>
      <c r="Q138" s="4"/>
      <c r="U138" s="4"/>
      <c r="V138" s="4"/>
      <c r="W138" s="4"/>
      <c r="AA138" s="4"/>
      <c r="AB138" s="4"/>
      <c r="AC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</row>
    <row r="139" spans="1:42" x14ac:dyDescent="0.4">
      <c r="A139" s="4"/>
      <c r="B139" s="611"/>
      <c r="C139" s="4"/>
      <c r="D139" s="4"/>
      <c r="I139" s="4"/>
      <c r="J139" s="4"/>
      <c r="K139" s="4"/>
      <c r="O139" s="4"/>
      <c r="P139" s="4"/>
      <c r="Q139" s="4"/>
      <c r="U139" s="4"/>
      <c r="V139" s="4"/>
      <c r="W139" s="4"/>
      <c r="AA139" s="4"/>
      <c r="AB139" s="4"/>
      <c r="AC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</row>
    <row r="140" spans="1:42" x14ac:dyDescent="0.4">
      <c r="A140" s="4"/>
      <c r="B140" s="611"/>
      <c r="C140" s="4"/>
      <c r="D140" s="4"/>
      <c r="I140" s="4"/>
      <c r="J140" s="4"/>
      <c r="K140" s="4"/>
      <c r="O140" s="4"/>
      <c r="P140" s="4"/>
      <c r="Q140" s="4"/>
      <c r="U140" s="4"/>
      <c r="V140" s="4"/>
      <c r="W140" s="4"/>
      <c r="AA140" s="4"/>
      <c r="AB140" s="4"/>
      <c r="AC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</row>
    <row r="142" spans="1:42" x14ac:dyDescent="0.4">
      <c r="A142" s="4"/>
      <c r="B142" s="611"/>
      <c r="C142" s="4"/>
      <c r="D142" s="4"/>
      <c r="I142" s="4"/>
      <c r="J142" s="4"/>
      <c r="K142" s="4"/>
      <c r="O142" s="4"/>
      <c r="P142" s="4"/>
      <c r="Q142" s="4"/>
      <c r="U142" s="4"/>
      <c r="V142" s="4"/>
      <c r="W142" s="4"/>
      <c r="AA142" s="4"/>
      <c r="AB142" s="4"/>
      <c r="AC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</row>
    <row r="143" spans="1:42" x14ac:dyDescent="0.4">
      <c r="A143" s="4"/>
      <c r="B143" s="611"/>
      <c r="C143" s="4"/>
      <c r="D143" s="4"/>
      <c r="I143" s="4"/>
      <c r="J143" s="4"/>
      <c r="K143" s="4"/>
      <c r="O143" s="4"/>
      <c r="P143" s="4"/>
      <c r="Q143" s="4"/>
      <c r="U143" s="4"/>
      <c r="V143" s="4"/>
      <c r="W143" s="4"/>
      <c r="AA143" s="4"/>
      <c r="AB143" s="4"/>
      <c r="AC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</row>
    <row r="144" spans="1:42" x14ac:dyDescent="0.4">
      <c r="A144" s="4"/>
      <c r="B144" s="611"/>
      <c r="C144" s="4"/>
      <c r="D144" s="4"/>
      <c r="I144" s="4"/>
      <c r="J144" s="4"/>
      <c r="K144" s="4"/>
      <c r="O144" s="4"/>
      <c r="P144" s="4"/>
      <c r="Q144" s="4"/>
      <c r="U144" s="4"/>
      <c r="V144" s="4"/>
      <c r="W144" s="4"/>
      <c r="AA144" s="4"/>
      <c r="AB144" s="4"/>
      <c r="AC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</row>
  </sheetData>
  <mergeCells count="6">
    <mergeCell ref="R4:W4"/>
    <mergeCell ref="D1:AL1"/>
    <mergeCell ref="D2:AL2"/>
    <mergeCell ref="B4:B5"/>
    <mergeCell ref="A4:A5"/>
    <mergeCell ref="C4:C5"/>
  </mergeCells>
  <phoneticPr fontId="8" type="noConversion"/>
  <pageMargins left="0.5" right="0.34" top="0.63" bottom="0.41" header="0.5" footer="0.5"/>
  <pageSetup paperSize="17" scale="64" fitToHeight="2" orientation="landscape" r:id="rId1"/>
  <headerFooter alignWithMargins="0"/>
  <ignoredErrors>
    <ignoredError sqref="K124 Q124" formula="1"/>
  </ignoredError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9161A-8FC1-484F-B1EC-BF5578739AFB}">
  <dimension ref="A1:AM72"/>
  <sheetViews>
    <sheetView topLeftCell="A34" zoomScale="107" zoomScaleNormal="100" workbookViewId="0">
      <pane xSplit="4" topLeftCell="AF1" activePane="topRight" state="frozen"/>
      <selection activeCell="A15" sqref="A15"/>
      <selection pane="topRight" activeCell="B56" sqref="B56"/>
    </sheetView>
  </sheetViews>
  <sheetFormatPr defaultColWidth="9.1640625" defaultRowHeight="12.3" x14ac:dyDescent="0.4"/>
  <cols>
    <col min="1" max="1" width="15.94140625" style="4" bestFit="1" customWidth="1"/>
    <col min="2" max="3" width="13.33203125" style="4" customWidth="1"/>
    <col min="4" max="4" width="28.27734375" style="4" bestFit="1" customWidth="1"/>
    <col min="5" max="5" width="6.44140625" style="4" bestFit="1" customWidth="1"/>
    <col min="6" max="6" width="9.44140625" style="4" bestFit="1" customWidth="1"/>
    <col min="7" max="7" width="6.1640625" style="4" bestFit="1" customWidth="1"/>
    <col min="8" max="8" width="7.44140625" style="4" bestFit="1" customWidth="1"/>
    <col min="9" max="9" width="8.44140625" style="4" bestFit="1" customWidth="1"/>
    <col min="10" max="10" width="7.5546875" style="4" bestFit="1" customWidth="1"/>
    <col min="11" max="11" width="6.44140625" style="4" bestFit="1" customWidth="1"/>
    <col min="12" max="12" width="9.44140625" style="4" bestFit="1" customWidth="1"/>
    <col min="13" max="13" width="6.1640625" style="4" bestFit="1" customWidth="1"/>
    <col min="14" max="14" width="8.44140625" style="4" bestFit="1" customWidth="1"/>
    <col min="15" max="15" width="8.83203125" style="4" bestFit="1" customWidth="1"/>
    <col min="16" max="16" width="6.44140625" style="4" bestFit="1" customWidth="1"/>
    <col min="17" max="17" width="9.5546875" style="4" customWidth="1"/>
    <col min="18" max="18" width="8.44140625" style="4" bestFit="1" customWidth="1"/>
    <col min="19" max="20" width="10.44140625" style="4" bestFit="1" customWidth="1"/>
    <col min="21" max="21" width="7.44140625" style="4" bestFit="1" customWidth="1"/>
    <col min="22" max="22" width="7.5546875" style="4" customWidth="1"/>
    <col min="23" max="23" width="8.44140625" style="4" bestFit="1" customWidth="1"/>
    <col min="24" max="25" width="10.44140625" style="4" bestFit="1" customWidth="1"/>
    <col min="26" max="26" width="7.44140625" style="4" bestFit="1" customWidth="1"/>
    <col min="27" max="27" width="8.44140625" style="4" customWidth="1"/>
    <col min="28" max="28" width="8.44140625" style="4" bestFit="1" customWidth="1"/>
    <col min="29" max="30" width="10.44140625" style="4" bestFit="1" customWidth="1"/>
    <col min="31" max="32" width="9.1640625" style="4" bestFit="1"/>
    <col min="33" max="33" width="12.5546875" style="4" hidden="1" customWidth="1"/>
    <col min="34" max="34" width="11.5546875" style="4" hidden="1" customWidth="1"/>
    <col min="35" max="35" width="10.5546875" style="4" hidden="1" customWidth="1"/>
    <col min="36" max="16384" width="9.1640625" style="4"/>
  </cols>
  <sheetData>
    <row r="1" spans="1:35" ht="14.1" x14ac:dyDescent="0.5">
      <c r="A1" s="583" t="s">
        <v>267</v>
      </c>
      <c r="B1" s="586" t="s">
        <v>268</v>
      </c>
      <c r="D1" s="642" t="s">
        <v>0</v>
      </c>
      <c r="E1" s="642"/>
      <c r="F1" s="642"/>
      <c r="G1" s="642"/>
      <c r="H1" s="642"/>
      <c r="I1" s="642"/>
      <c r="J1" s="642"/>
      <c r="K1" s="642"/>
      <c r="L1" s="642"/>
      <c r="M1" s="642"/>
      <c r="N1" s="642"/>
      <c r="O1" s="642"/>
      <c r="P1" s="642"/>
      <c r="Q1" s="642"/>
      <c r="R1" s="39"/>
      <c r="S1" s="39"/>
      <c r="T1" s="39"/>
      <c r="U1" s="39"/>
    </row>
    <row r="2" spans="1:35" ht="14.1" x14ac:dyDescent="0.45">
      <c r="A2" s="584" t="s">
        <v>269</v>
      </c>
      <c r="B2" s="587">
        <v>30100</v>
      </c>
      <c r="D2" s="643" t="s">
        <v>1</v>
      </c>
      <c r="E2" s="643"/>
      <c r="F2" s="643"/>
      <c r="G2" s="643"/>
      <c r="H2" s="643"/>
      <c r="I2" s="643"/>
      <c r="J2" s="643"/>
      <c r="K2" s="643"/>
      <c r="L2" s="643"/>
      <c r="M2" s="643"/>
      <c r="N2" s="643"/>
      <c r="O2" s="643"/>
      <c r="P2" s="643"/>
      <c r="Q2" s="643"/>
      <c r="R2" s="643"/>
      <c r="S2" s="643"/>
      <c r="T2" s="643"/>
      <c r="U2" s="643"/>
    </row>
    <row r="3" spans="1:35" ht="14.4" thickBot="1" x14ac:dyDescent="0.45">
      <c r="A3" s="585" t="s">
        <v>270</v>
      </c>
      <c r="B3" s="588" t="s">
        <v>271</v>
      </c>
    </row>
    <row r="4" spans="1:35" ht="12.6" thickBot="1" x14ac:dyDescent="0.45">
      <c r="A4" s="638" t="s">
        <v>266</v>
      </c>
      <c r="B4" s="636" t="s">
        <v>265</v>
      </c>
      <c r="C4" s="638" t="s">
        <v>264</v>
      </c>
      <c r="D4" s="263" t="s">
        <v>39</v>
      </c>
      <c r="E4" s="264"/>
      <c r="F4" s="265"/>
      <c r="G4" s="265"/>
      <c r="H4" s="266"/>
      <c r="I4" s="267" t="s">
        <v>3</v>
      </c>
      <c r="J4" s="268"/>
      <c r="K4" s="644" t="s">
        <v>4</v>
      </c>
      <c r="L4" s="641"/>
      <c r="M4" s="641"/>
      <c r="N4" s="641"/>
      <c r="O4" s="641"/>
      <c r="P4" s="644" t="s">
        <v>5</v>
      </c>
      <c r="Q4" s="641"/>
      <c r="R4" s="641"/>
      <c r="S4" s="641"/>
      <c r="T4" s="641"/>
      <c r="U4" s="644" t="s">
        <v>6</v>
      </c>
      <c r="V4" s="641"/>
      <c r="W4" s="641"/>
      <c r="X4" s="641"/>
      <c r="Y4" s="645"/>
      <c r="Z4" s="641" t="s">
        <v>7</v>
      </c>
      <c r="AA4" s="641"/>
      <c r="AB4" s="641"/>
      <c r="AC4" s="641"/>
      <c r="AD4" s="641"/>
      <c r="AE4" s="269" t="s">
        <v>8</v>
      </c>
      <c r="AF4" s="270" t="s">
        <v>10</v>
      </c>
    </row>
    <row r="5" spans="1:35" s="278" customFormat="1" ht="10.8" thickBot="1" x14ac:dyDescent="0.45">
      <c r="A5" s="639"/>
      <c r="B5" s="637"/>
      <c r="C5" s="640"/>
      <c r="D5" s="271"/>
      <c r="E5" s="272" t="s">
        <v>112</v>
      </c>
      <c r="F5" s="273" t="s">
        <v>24</v>
      </c>
      <c r="G5" s="273" t="s">
        <v>25</v>
      </c>
      <c r="H5" s="274" t="s">
        <v>26</v>
      </c>
      <c r="I5" s="275" t="s">
        <v>11</v>
      </c>
      <c r="J5" s="276" t="s">
        <v>9</v>
      </c>
      <c r="K5" s="273" t="s">
        <v>112</v>
      </c>
      <c r="L5" s="273" t="s">
        <v>24</v>
      </c>
      <c r="M5" s="274" t="s">
        <v>25</v>
      </c>
      <c r="N5" s="273" t="s">
        <v>11</v>
      </c>
      <c r="O5" s="276" t="s">
        <v>9</v>
      </c>
      <c r="P5" s="273" t="s">
        <v>112</v>
      </c>
      <c r="Q5" s="273" t="s">
        <v>24</v>
      </c>
      <c r="R5" s="274" t="s">
        <v>25</v>
      </c>
      <c r="S5" s="273" t="s">
        <v>11</v>
      </c>
      <c r="T5" s="276" t="s">
        <v>9</v>
      </c>
      <c r="U5" s="273" t="s">
        <v>112</v>
      </c>
      <c r="V5" s="273" t="s">
        <v>24</v>
      </c>
      <c r="W5" s="274" t="s">
        <v>25</v>
      </c>
      <c r="X5" s="273" t="s">
        <v>11</v>
      </c>
      <c r="Y5" s="276" t="s">
        <v>9</v>
      </c>
      <c r="Z5" s="273" t="s">
        <v>112</v>
      </c>
      <c r="AA5" s="273" t="s">
        <v>24</v>
      </c>
      <c r="AB5" s="274" t="s">
        <v>25</v>
      </c>
      <c r="AC5" s="273" t="s">
        <v>11</v>
      </c>
      <c r="AD5" s="276" t="s">
        <v>9</v>
      </c>
      <c r="AE5" s="277" t="s">
        <v>11</v>
      </c>
      <c r="AF5" s="277" t="s">
        <v>8</v>
      </c>
    </row>
    <row r="6" spans="1:35" s="258" customFormat="1" x14ac:dyDescent="0.4">
      <c r="A6" s="369"/>
      <c r="B6" s="369"/>
      <c r="C6" s="620"/>
      <c r="D6" s="619"/>
      <c r="E6" s="281"/>
      <c r="F6" s="279"/>
      <c r="G6" s="279"/>
      <c r="H6" s="280"/>
      <c r="I6" s="281"/>
      <c r="J6" s="381"/>
      <c r="K6" s="281"/>
      <c r="L6" s="279"/>
      <c r="M6" s="280"/>
      <c r="N6" s="279"/>
      <c r="O6" s="282"/>
      <c r="P6" s="279"/>
      <c r="Q6" s="279"/>
      <c r="R6" s="280"/>
      <c r="S6" s="279"/>
      <c r="T6" s="282"/>
      <c r="U6" s="279"/>
      <c r="V6" s="279"/>
      <c r="W6" s="280"/>
      <c r="X6" s="279"/>
      <c r="Y6" s="282"/>
      <c r="Z6" s="279"/>
      <c r="AA6" s="279"/>
      <c r="AB6" s="280"/>
      <c r="AC6" s="279"/>
      <c r="AD6" s="282"/>
      <c r="AE6" s="283"/>
      <c r="AF6" s="283"/>
    </row>
    <row r="7" spans="1:35" x14ac:dyDescent="0.4">
      <c r="A7" s="370"/>
      <c r="B7" s="370"/>
      <c r="C7" s="621"/>
      <c r="D7" s="615" t="s">
        <v>113</v>
      </c>
      <c r="E7" s="285"/>
      <c r="H7" s="284"/>
      <c r="I7" s="285"/>
      <c r="J7" s="382"/>
      <c r="K7" s="285"/>
      <c r="M7" s="284"/>
      <c r="O7" s="59"/>
      <c r="R7" s="284"/>
      <c r="T7" s="59"/>
      <c r="V7" s="11"/>
      <c r="W7" s="12"/>
      <c r="X7" s="11"/>
      <c r="Y7" s="195"/>
      <c r="Z7" s="11"/>
      <c r="AA7" s="11"/>
      <c r="AB7" s="12"/>
      <c r="AC7" s="11"/>
      <c r="AD7" s="195"/>
      <c r="AE7" s="287"/>
      <c r="AF7" s="288"/>
    </row>
    <row r="8" spans="1:35" x14ac:dyDescent="0.4">
      <c r="A8" s="109" t="s">
        <v>274</v>
      </c>
      <c r="B8" s="592" t="s">
        <v>273</v>
      </c>
      <c r="C8" s="109" t="s">
        <v>285</v>
      </c>
      <c r="D8" s="306" t="s">
        <v>114</v>
      </c>
      <c r="E8" s="285">
        <v>1</v>
      </c>
      <c r="F8" s="11">
        <v>5400</v>
      </c>
      <c r="G8" s="11">
        <v>12</v>
      </c>
      <c r="H8" s="284" t="s">
        <v>31</v>
      </c>
      <c r="I8" s="10">
        <f>G8*F8*E8</f>
        <v>64800</v>
      </c>
      <c r="J8" s="339">
        <f>SUM(I8:I8)</f>
        <v>64800</v>
      </c>
      <c r="K8" s="10">
        <v>1</v>
      </c>
      <c r="L8" s="11">
        <f>F8*1.03</f>
        <v>5562</v>
      </c>
      <c r="M8" s="12">
        <v>12</v>
      </c>
      <c r="N8" s="11">
        <f>M8*L8*K8</f>
        <v>66744</v>
      </c>
      <c r="O8" s="195">
        <f>SUM(N8:N8)</f>
        <v>66744</v>
      </c>
      <c r="P8" s="11">
        <v>1</v>
      </c>
      <c r="Q8" s="11">
        <f>L8*1.03</f>
        <v>5728.8600000000006</v>
      </c>
      <c r="R8" s="12">
        <v>12</v>
      </c>
      <c r="S8" s="11">
        <f>R8*Q8*P8</f>
        <v>68746.320000000007</v>
      </c>
      <c r="T8" s="195">
        <f>SUM(S8:S8)</f>
        <v>68746.320000000007</v>
      </c>
      <c r="U8" s="4">
        <v>1</v>
      </c>
      <c r="V8" s="11">
        <f>Q8*1.03</f>
        <v>5900.7258000000011</v>
      </c>
      <c r="W8" s="12">
        <v>12</v>
      </c>
      <c r="X8" s="11">
        <f>W8*V8*U8</f>
        <v>70808.709600000017</v>
      </c>
      <c r="Y8" s="195">
        <f>SUM(X8:X8)</f>
        <v>70808.709600000017</v>
      </c>
      <c r="Z8" s="11">
        <v>1</v>
      </c>
      <c r="AA8" s="11">
        <f>V8*1.03</f>
        <v>6077.7475740000009</v>
      </c>
      <c r="AB8" s="12">
        <v>9</v>
      </c>
      <c r="AC8" s="11">
        <f>AB8*AA8*Z8</f>
        <v>54699.728166000008</v>
      </c>
      <c r="AD8" s="195">
        <f>SUM(AC8:AC8)</f>
        <v>54699.728166000008</v>
      </c>
      <c r="AE8" s="287">
        <f>I8+N8+S8+X8+AC8</f>
        <v>325798.757766</v>
      </c>
      <c r="AF8" s="288">
        <f>SUM(AE8:AE8)</f>
        <v>325798.757766</v>
      </c>
    </row>
    <row r="9" spans="1:35" x14ac:dyDescent="0.4">
      <c r="A9" s="371"/>
      <c r="B9" s="371"/>
      <c r="C9" s="622"/>
      <c r="D9" s="306"/>
      <c r="E9" s="285"/>
      <c r="H9" s="284"/>
      <c r="I9" s="10"/>
      <c r="J9" s="339"/>
      <c r="K9" s="10"/>
      <c r="L9" s="11"/>
      <c r="M9" s="12"/>
      <c r="N9" s="11"/>
      <c r="O9" s="195"/>
      <c r="P9" s="11"/>
      <c r="Q9" s="11"/>
      <c r="R9" s="12"/>
      <c r="S9" s="11"/>
      <c r="T9" s="195"/>
      <c r="V9" s="11"/>
      <c r="W9" s="12"/>
      <c r="X9" s="11"/>
      <c r="Y9" s="195"/>
      <c r="Z9" s="11"/>
      <c r="AA9" s="11"/>
      <c r="AB9" s="12"/>
      <c r="AC9" s="11"/>
      <c r="AD9" s="195"/>
      <c r="AE9" s="287"/>
      <c r="AF9" s="288"/>
    </row>
    <row r="10" spans="1:35" x14ac:dyDescent="0.4">
      <c r="A10" s="370"/>
      <c r="B10" s="370"/>
      <c r="C10" s="621"/>
      <c r="D10" s="615" t="s">
        <v>115</v>
      </c>
      <c r="E10" s="285"/>
      <c r="H10" s="284"/>
      <c r="I10" s="10"/>
      <c r="J10" s="339"/>
      <c r="K10" s="10"/>
      <c r="L10" s="11"/>
      <c r="M10" s="12"/>
      <c r="N10" s="11"/>
      <c r="O10" s="195"/>
      <c r="P10" s="11"/>
      <c r="Q10" s="11"/>
      <c r="R10" s="12"/>
      <c r="S10" s="11"/>
      <c r="T10" s="195"/>
      <c r="V10" s="11"/>
      <c r="W10" s="12"/>
      <c r="X10" s="11"/>
      <c r="Y10" s="195"/>
      <c r="Z10" s="11"/>
      <c r="AA10" s="11"/>
      <c r="AB10" s="12"/>
      <c r="AC10" s="11"/>
      <c r="AD10" s="195"/>
      <c r="AE10" s="287"/>
      <c r="AF10" s="288"/>
    </row>
    <row r="11" spans="1:35" x14ac:dyDescent="0.4">
      <c r="A11" s="109" t="s">
        <v>274</v>
      </c>
      <c r="B11" s="592" t="s">
        <v>273</v>
      </c>
      <c r="C11" s="109" t="s">
        <v>285</v>
      </c>
      <c r="D11" s="306" t="s">
        <v>116</v>
      </c>
      <c r="E11" s="285">
        <v>1</v>
      </c>
      <c r="F11" s="458">
        <v>1250</v>
      </c>
      <c r="G11" s="11">
        <v>10</v>
      </c>
      <c r="H11" s="284" t="s">
        <v>31</v>
      </c>
      <c r="I11" s="10">
        <f>G11*F11*E11</f>
        <v>12500</v>
      </c>
      <c r="J11" s="339">
        <f>SUM(I11:I11)</f>
        <v>12500</v>
      </c>
      <c r="K11" s="10">
        <f>E11</f>
        <v>1</v>
      </c>
      <c r="L11" s="11">
        <f>F11*1.03</f>
        <v>1287.5</v>
      </c>
      <c r="M11" s="12">
        <v>12</v>
      </c>
      <c r="N11" s="11">
        <f>M11*L11*K11</f>
        <v>15450</v>
      </c>
      <c r="O11" s="195">
        <f>SUM(N11:N11)</f>
        <v>15450</v>
      </c>
      <c r="P11" s="11">
        <f>E11</f>
        <v>1</v>
      </c>
      <c r="Q11" s="11">
        <f>L11*1.03</f>
        <v>1326.125</v>
      </c>
      <c r="R11" s="12">
        <v>12</v>
      </c>
      <c r="S11" s="11">
        <f>R11*Q11*P11</f>
        <v>15913.5</v>
      </c>
      <c r="T11" s="195">
        <f>SUM(S11:S11)</f>
        <v>15913.5</v>
      </c>
      <c r="U11" s="4">
        <f>E11</f>
        <v>1</v>
      </c>
      <c r="V11" s="11">
        <f>Q11*1.03</f>
        <v>1365.9087500000001</v>
      </c>
      <c r="W11" s="12">
        <v>12</v>
      </c>
      <c r="X11" s="11">
        <f>W11*V11*U11</f>
        <v>16390.904999999999</v>
      </c>
      <c r="Y11" s="195">
        <f>SUM(X11:X11)</f>
        <v>16390.904999999999</v>
      </c>
      <c r="Z11" s="11">
        <f>E11</f>
        <v>1</v>
      </c>
      <c r="AA11" s="11">
        <f>V11*1.03</f>
        <v>1406.8860125000001</v>
      </c>
      <c r="AB11" s="12">
        <v>9</v>
      </c>
      <c r="AC11" s="11">
        <f>AB11*AA11*Z11</f>
        <v>12661.9741125</v>
      </c>
      <c r="AD11" s="195">
        <f>SUM(AC11:AC11)</f>
        <v>12661.9741125</v>
      </c>
      <c r="AE11" s="287">
        <f>I11+N11+S11+X11+AC11</f>
        <v>72916.379112499999</v>
      </c>
      <c r="AF11" s="288">
        <f>SUM(AE11:AE11)</f>
        <v>72916.379112499999</v>
      </c>
      <c r="AG11" s="287">
        <f t="shared" ref="AG11:AG13" si="0">K11+P11+U11+Z11+AE11</f>
        <v>72920.379112499999</v>
      </c>
      <c r="AH11" s="288">
        <f t="shared" ref="AH11:AH13" si="1">SUM(AG11:AG11)</f>
        <v>72920.379112499999</v>
      </c>
      <c r="AI11" s="287">
        <f t="shared" ref="AI11:AI13" si="2">M11+R11+W11+AB11+AG11</f>
        <v>72965.379112499999</v>
      </c>
    </row>
    <row r="12" spans="1:35" x14ac:dyDescent="0.4">
      <c r="A12" s="109" t="s">
        <v>274</v>
      </c>
      <c r="B12" s="592" t="s">
        <v>273</v>
      </c>
      <c r="C12" s="109" t="s">
        <v>285</v>
      </c>
      <c r="D12" s="306" t="s">
        <v>117</v>
      </c>
      <c r="E12" s="285">
        <v>1</v>
      </c>
      <c r="F12" s="458">
        <v>1250</v>
      </c>
      <c r="G12" s="11">
        <v>6</v>
      </c>
      <c r="H12" s="284" t="s">
        <v>31</v>
      </c>
      <c r="I12" s="10">
        <f>G12*F12*E12</f>
        <v>7500</v>
      </c>
      <c r="J12" s="339">
        <f>SUM(I12:I12)</f>
        <v>7500</v>
      </c>
      <c r="K12" s="10">
        <f>E12</f>
        <v>1</v>
      </c>
      <c r="L12" s="11">
        <f>F12*1.03</f>
        <v>1287.5</v>
      </c>
      <c r="M12" s="12">
        <v>12</v>
      </c>
      <c r="N12" s="11">
        <f>M12*L12*K12</f>
        <v>15450</v>
      </c>
      <c r="O12" s="195">
        <f>SUM(N12:N12)</f>
        <v>15450</v>
      </c>
      <c r="P12" s="11">
        <f>E12</f>
        <v>1</v>
      </c>
      <c r="Q12" s="11">
        <f>L12*1.03</f>
        <v>1326.125</v>
      </c>
      <c r="R12" s="12">
        <v>12</v>
      </c>
      <c r="S12" s="11">
        <f>R12*Q12*P12</f>
        <v>15913.5</v>
      </c>
      <c r="T12" s="195">
        <f>SUM(S12:S12)</f>
        <v>15913.5</v>
      </c>
      <c r="U12" s="4">
        <f>E12</f>
        <v>1</v>
      </c>
      <c r="V12" s="11">
        <f>Q12*1.03</f>
        <v>1365.9087500000001</v>
      </c>
      <c r="W12" s="12">
        <v>12</v>
      </c>
      <c r="X12" s="11">
        <f>W12*V12*U12</f>
        <v>16390.904999999999</v>
      </c>
      <c r="Y12" s="195">
        <f>SUM(X12:X12)</f>
        <v>16390.904999999999</v>
      </c>
      <c r="Z12" s="11">
        <f>E12</f>
        <v>1</v>
      </c>
      <c r="AA12" s="11">
        <f>V12*1.03</f>
        <v>1406.8860125000001</v>
      </c>
      <c r="AB12" s="12">
        <v>6</v>
      </c>
      <c r="AC12" s="11">
        <f>AB12*AA12*Z12</f>
        <v>8441.3160750000006</v>
      </c>
      <c r="AD12" s="195">
        <f>SUM(AC12:AC12)</f>
        <v>8441.3160750000006</v>
      </c>
      <c r="AE12" s="287">
        <f>I12+N12+S12+X12+AC12</f>
        <v>63695.721075000001</v>
      </c>
      <c r="AF12" s="288">
        <f>SUM(AE12:AE12)</f>
        <v>63695.721075000001</v>
      </c>
      <c r="AG12" s="287">
        <f t="shared" ref="AG12" si="3">K12+P12+U12+Z12+AE12</f>
        <v>63699.721075000001</v>
      </c>
      <c r="AH12" s="288">
        <f t="shared" ref="AH12" si="4">SUM(AG12:AG12)</f>
        <v>63699.721075000001</v>
      </c>
      <c r="AI12" s="287">
        <f t="shared" ref="AI12" si="5">M12+R12+W12+AB12+AG12</f>
        <v>63741.721075000001</v>
      </c>
    </row>
    <row r="13" spans="1:35" x14ac:dyDescent="0.4">
      <c r="A13" s="109" t="s">
        <v>274</v>
      </c>
      <c r="B13" s="592" t="s">
        <v>273</v>
      </c>
      <c r="C13" s="109" t="s">
        <v>285</v>
      </c>
      <c r="D13" s="306" t="s">
        <v>118</v>
      </c>
      <c r="E13" s="285">
        <v>1</v>
      </c>
      <c r="F13" s="4">
        <v>850</v>
      </c>
      <c r="G13" s="11">
        <v>11</v>
      </c>
      <c r="H13" s="284" t="s">
        <v>31</v>
      </c>
      <c r="I13" s="10">
        <f>G13*F13*E13</f>
        <v>9350</v>
      </c>
      <c r="J13" s="339">
        <f>SUM(I13:I13)</f>
        <v>9350</v>
      </c>
      <c r="K13" s="10">
        <v>1</v>
      </c>
      <c r="L13" s="11">
        <f>F13*1.03</f>
        <v>875.5</v>
      </c>
      <c r="M13" s="12">
        <v>12</v>
      </c>
      <c r="N13" s="11">
        <f>M13*L13*K13</f>
        <v>10506</v>
      </c>
      <c r="O13" s="195">
        <f>SUM(N13:N13)</f>
        <v>10506</v>
      </c>
      <c r="P13" s="11">
        <v>1</v>
      </c>
      <c r="Q13" s="11">
        <f>L13*1.03</f>
        <v>901.76499999999999</v>
      </c>
      <c r="R13" s="12">
        <v>12</v>
      </c>
      <c r="S13" s="11">
        <f>R13*Q13*P13</f>
        <v>10821.18</v>
      </c>
      <c r="T13" s="195">
        <f>SUM(S13:S13)</f>
        <v>10821.18</v>
      </c>
      <c r="U13" s="4">
        <v>1</v>
      </c>
      <c r="V13" s="11">
        <f>Q13*1.03</f>
        <v>928.81795</v>
      </c>
      <c r="W13" s="12">
        <v>12</v>
      </c>
      <c r="X13" s="11">
        <f>W13*V13*U13</f>
        <v>11145.815399999999</v>
      </c>
      <c r="Y13" s="195">
        <f>SUM(X13:X13)</f>
        <v>11145.815399999999</v>
      </c>
      <c r="Z13" s="11">
        <v>1</v>
      </c>
      <c r="AA13" s="11">
        <f>V13*1.03</f>
        <v>956.68248849999998</v>
      </c>
      <c r="AB13" s="12">
        <v>9</v>
      </c>
      <c r="AC13" s="11">
        <f>AB13*AA13*Z13</f>
        <v>8610.1423964999994</v>
      </c>
      <c r="AD13" s="195">
        <f>SUM(AC13:AC13)</f>
        <v>8610.1423964999994</v>
      </c>
      <c r="AE13" s="287">
        <f>I13+N13+S13+X13+AC13</f>
        <v>50433.137796499999</v>
      </c>
      <c r="AF13" s="288">
        <f>SUM(AE13:AE13)</f>
        <v>50433.137796499999</v>
      </c>
      <c r="AG13" s="287">
        <f t="shared" si="0"/>
        <v>50437.137796499999</v>
      </c>
      <c r="AH13" s="288">
        <f t="shared" si="1"/>
        <v>50437.137796499999</v>
      </c>
      <c r="AI13" s="287">
        <f t="shared" si="2"/>
        <v>50482.137796499999</v>
      </c>
    </row>
    <row r="14" spans="1:35" x14ac:dyDescent="0.4">
      <c r="A14" s="372"/>
      <c r="B14" s="372"/>
      <c r="C14" s="623"/>
      <c r="D14" s="617" t="s">
        <v>119</v>
      </c>
      <c r="E14" s="375"/>
      <c r="F14" s="24"/>
      <c r="G14" s="24"/>
      <c r="H14" s="289"/>
      <c r="I14" s="290">
        <f>SUM(I8:I13)</f>
        <v>94150</v>
      </c>
      <c r="J14" s="383">
        <f>SUM(J8:J13)</f>
        <v>94150</v>
      </c>
      <c r="K14" s="290"/>
      <c r="L14" s="292"/>
      <c r="M14" s="336"/>
      <c r="N14" s="292">
        <f>SUM(N8:N13)</f>
        <v>108150</v>
      </c>
      <c r="O14" s="291">
        <f>SUM(O8:O13)</f>
        <v>108150</v>
      </c>
      <c r="P14" s="292"/>
      <c r="Q14" s="292"/>
      <c r="R14" s="336"/>
      <c r="S14" s="292">
        <f>SUM(S8:S13)</f>
        <v>111394.5</v>
      </c>
      <c r="T14" s="291">
        <f>SUM(T8:T13)</f>
        <v>111394.5</v>
      </c>
      <c r="U14" s="24"/>
      <c r="V14" s="292"/>
      <c r="W14" s="336"/>
      <c r="X14" s="292">
        <f>SUM(X8:X13)</f>
        <v>114736.33500000002</v>
      </c>
      <c r="Y14" s="291">
        <f>SUM(Y8:Y13)</f>
        <v>114736.33500000002</v>
      </c>
      <c r="Z14" s="292"/>
      <c r="AA14" s="292"/>
      <c r="AB14" s="336"/>
      <c r="AC14" s="292">
        <f>SUM(AC8:AC13)</f>
        <v>84413.16075000001</v>
      </c>
      <c r="AD14" s="291">
        <f>SUM(AD8:AD13)</f>
        <v>84413.16075000001</v>
      </c>
      <c r="AE14" s="287">
        <f>I14+N14+S14+X14+AC14</f>
        <v>512843.99575</v>
      </c>
      <c r="AF14" s="288">
        <f>SUM(AE14:AE14)</f>
        <v>512843.99575</v>
      </c>
    </row>
    <row r="15" spans="1:35" x14ac:dyDescent="0.4">
      <c r="A15" s="372"/>
      <c r="B15" s="372"/>
      <c r="C15" s="623"/>
      <c r="D15" s="617"/>
      <c r="E15" s="375"/>
      <c r="F15" s="24"/>
      <c r="G15" s="24"/>
      <c r="H15" s="289"/>
      <c r="I15" s="290"/>
      <c r="J15" s="383"/>
      <c r="K15" s="290"/>
      <c r="L15" s="292"/>
      <c r="M15" s="336"/>
      <c r="N15" s="292"/>
      <c r="O15" s="291"/>
      <c r="P15" s="292"/>
      <c r="Q15" s="292"/>
      <c r="R15" s="336"/>
      <c r="S15" s="292"/>
      <c r="T15" s="291"/>
      <c r="U15" s="24"/>
      <c r="V15" s="292"/>
      <c r="W15" s="336"/>
      <c r="X15" s="292"/>
      <c r="Y15" s="291"/>
      <c r="Z15" s="292"/>
      <c r="AA15" s="292"/>
      <c r="AB15" s="336"/>
      <c r="AC15" s="292"/>
      <c r="AD15" s="291"/>
      <c r="AE15" s="287"/>
      <c r="AF15" s="288"/>
    </row>
    <row r="16" spans="1:35" s="24" customFormat="1" x14ac:dyDescent="0.4">
      <c r="A16" s="109" t="s">
        <v>317</v>
      </c>
      <c r="B16" s="592" t="s">
        <v>279</v>
      </c>
      <c r="C16" s="109" t="s">
        <v>285</v>
      </c>
      <c r="D16" s="615" t="s">
        <v>120</v>
      </c>
      <c r="E16" s="625">
        <v>0.35659999999999997</v>
      </c>
      <c r="F16" s="11">
        <f>I14</f>
        <v>94150</v>
      </c>
      <c r="G16" s="4"/>
      <c r="H16" s="376"/>
      <c r="I16" s="10">
        <f>F16*E16</f>
        <v>33573.89</v>
      </c>
      <c r="J16" s="383">
        <f>SUM(I16:I16)</f>
        <v>33573.89</v>
      </c>
      <c r="K16" s="4"/>
      <c r="L16" s="11">
        <f>N14</f>
        <v>108150</v>
      </c>
      <c r="M16" s="376"/>
      <c r="N16" s="11">
        <f>L16*E16</f>
        <v>38566.289999999994</v>
      </c>
      <c r="O16" s="291">
        <f>SUM(N16:N16)</f>
        <v>38566.289999999994</v>
      </c>
      <c r="P16" s="125"/>
      <c r="Q16" s="11">
        <f>S14</f>
        <v>111394.5</v>
      </c>
      <c r="R16" s="12"/>
      <c r="S16" s="11">
        <f>Q16*E16</f>
        <v>39723.278699999995</v>
      </c>
      <c r="T16" s="291">
        <f>SUM(S16:S16)</f>
        <v>39723.278699999995</v>
      </c>
      <c r="U16" s="626"/>
      <c r="V16" s="11">
        <f>X14</f>
        <v>114736.33500000002</v>
      </c>
      <c r="W16" s="12"/>
      <c r="X16" s="11">
        <f>V16*E16</f>
        <v>40914.977061000005</v>
      </c>
      <c r="Y16" s="291">
        <f>SUM(X16:X16)</f>
        <v>40914.977061000005</v>
      </c>
      <c r="Z16" s="125"/>
      <c r="AA16" s="11">
        <f>AC14</f>
        <v>84413.16075000001</v>
      </c>
      <c r="AB16" s="12"/>
      <c r="AC16" s="11">
        <f>AA16*E16</f>
        <v>30101.733123450002</v>
      </c>
      <c r="AD16" s="291">
        <f>SUM(AC16:AC16)</f>
        <v>30101.733123450002</v>
      </c>
      <c r="AE16" s="195">
        <f>I16+N16+S16+X16+AC16</f>
        <v>182880.16888444999</v>
      </c>
      <c r="AF16" s="291">
        <f>SUM(AE16:AE16)</f>
        <v>182880.16888444999</v>
      </c>
    </row>
    <row r="17" spans="1:35" x14ac:dyDescent="0.4">
      <c r="A17" s="370"/>
      <c r="B17" s="370"/>
      <c r="C17" s="621"/>
      <c r="D17" s="615"/>
      <c r="E17" s="285"/>
      <c r="H17" s="284"/>
      <c r="I17" s="10"/>
      <c r="J17" s="339"/>
      <c r="K17" s="10"/>
      <c r="L17" s="11"/>
      <c r="M17" s="12"/>
      <c r="N17" s="11"/>
      <c r="O17" s="195"/>
      <c r="P17" s="11"/>
      <c r="Q17" s="11"/>
      <c r="R17" s="12"/>
      <c r="S17" s="11"/>
      <c r="T17" s="195"/>
      <c r="V17" s="11"/>
      <c r="W17" s="12"/>
      <c r="X17" s="11"/>
      <c r="Y17" s="195"/>
      <c r="Z17" s="11"/>
      <c r="AA17" s="11"/>
      <c r="AB17" s="12"/>
      <c r="AC17" s="11"/>
      <c r="AD17" s="195"/>
      <c r="AE17" s="287"/>
      <c r="AF17" s="288"/>
    </row>
    <row r="18" spans="1:35" x14ac:dyDescent="0.4">
      <c r="A18" s="370"/>
      <c r="B18" s="370"/>
      <c r="C18" s="621"/>
      <c r="D18" s="615" t="s">
        <v>17</v>
      </c>
      <c r="E18" s="285"/>
      <c r="H18" s="284"/>
      <c r="I18" s="10"/>
      <c r="J18" s="339"/>
      <c r="K18" s="10"/>
      <c r="L18" s="11"/>
      <c r="M18" s="12"/>
      <c r="N18" s="11"/>
      <c r="O18" s="195"/>
      <c r="P18" s="11"/>
      <c r="Q18" s="11"/>
      <c r="R18" s="12"/>
      <c r="S18" s="11"/>
      <c r="T18" s="195"/>
      <c r="V18" s="11"/>
      <c r="W18" s="12"/>
      <c r="X18" s="11"/>
      <c r="Y18" s="195"/>
      <c r="Z18" s="11"/>
      <c r="AA18" s="11"/>
      <c r="AB18" s="12"/>
      <c r="AC18" s="11"/>
      <c r="AD18" s="195"/>
      <c r="AE18" s="287"/>
      <c r="AF18" s="288"/>
    </row>
    <row r="19" spans="1:35" x14ac:dyDescent="0.4">
      <c r="A19" s="109" t="s">
        <v>318</v>
      </c>
      <c r="B19" s="592" t="s">
        <v>296</v>
      </c>
      <c r="C19" s="109" t="s">
        <v>285</v>
      </c>
      <c r="D19" s="306" t="s">
        <v>121</v>
      </c>
      <c r="E19" s="285">
        <f>'FO Expenses'!C12</f>
        <v>4</v>
      </c>
      <c r="F19" s="458">
        <f>'FO Expenses'!B12</f>
        <v>1100</v>
      </c>
      <c r="G19" s="11">
        <v>1</v>
      </c>
      <c r="H19" s="284" t="s">
        <v>40</v>
      </c>
      <c r="I19" s="10">
        <f>E19*F19*G19</f>
        <v>4400</v>
      </c>
      <c r="J19" s="339">
        <f>SUM(I19:I19)</f>
        <v>4400</v>
      </c>
      <c r="K19" s="10">
        <v>0</v>
      </c>
      <c r="L19" s="11">
        <f>F19*1.02</f>
        <v>1122</v>
      </c>
      <c r="M19" s="12">
        <v>1</v>
      </c>
      <c r="N19" s="11">
        <f>M19*L19*K19</f>
        <v>0</v>
      </c>
      <c r="O19" s="195">
        <f>SUM(N19:N19)</f>
        <v>0</v>
      </c>
      <c r="P19" s="11">
        <v>0</v>
      </c>
      <c r="Q19" s="11">
        <f>L19*1.02</f>
        <v>1144.44</v>
      </c>
      <c r="R19" s="12">
        <v>1</v>
      </c>
      <c r="S19" s="11">
        <f>R19*Q19*P19</f>
        <v>0</v>
      </c>
      <c r="T19" s="295">
        <f>SUM(S19:S19)</f>
        <v>0</v>
      </c>
      <c r="U19" s="293">
        <v>0</v>
      </c>
      <c r="V19" s="11">
        <f>Q19*1.02</f>
        <v>1167.3288</v>
      </c>
      <c r="W19" s="12">
        <v>1</v>
      </c>
      <c r="X19" s="11">
        <f>W19*V19*U19</f>
        <v>0</v>
      </c>
      <c r="Y19" s="195">
        <f>SUM(X19:X19)</f>
        <v>0</v>
      </c>
      <c r="Z19" s="11">
        <v>0</v>
      </c>
      <c r="AA19" s="11">
        <f>V19*1.02</f>
        <v>1190.6753759999999</v>
      </c>
      <c r="AB19" s="12">
        <v>1</v>
      </c>
      <c r="AC19" s="11">
        <f>AB19*AA19*Z19</f>
        <v>0</v>
      </c>
      <c r="AD19" s="195">
        <f>SUM(AC19:AC19)</f>
        <v>0</v>
      </c>
      <c r="AE19" s="287">
        <f>I19+N19+S19+X19+AC19</f>
        <v>4400</v>
      </c>
      <c r="AF19" s="288">
        <f>SUM(AE19:AE19)</f>
        <v>4400</v>
      </c>
    </row>
    <row r="20" spans="1:35" x14ac:dyDescent="0.4">
      <c r="A20" s="109" t="s">
        <v>318</v>
      </c>
      <c r="B20" s="592" t="s">
        <v>296</v>
      </c>
      <c r="C20" s="109" t="s">
        <v>285</v>
      </c>
      <c r="D20" s="306" t="s">
        <v>122</v>
      </c>
      <c r="E20" s="285">
        <f>'FO Expenses'!C13</f>
        <v>2</v>
      </c>
      <c r="F20" s="293">
        <f>'FO Expenses'!B13</f>
        <v>260</v>
      </c>
      <c r="G20" s="11">
        <v>1</v>
      </c>
      <c r="H20" s="284" t="s">
        <v>40</v>
      </c>
      <c r="I20" s="10">
        <f>E20*F20*G20</f>
        <v>520</v>
      </c>
      <c r="J20" s="339">
        <f>SUM(I20:I20)</f>
        <v>520</v>
      </c>
      <c r="K20" s="10">
        <v>0</v>
      </c>
      <c r="L20" s="11">
        <f>F20*1.02</f>
        <v>265.2</v>
      </c>
      <c r="M20" s="12">
        <v>1</v>
      </c>
      <c r="N20" s="11">
        <f>M20*L20*K20</f>
        <v>0</v>
      </c>
      <c r="O20" s="195">
        <f>SUM(N20:N20)</f>
        <v>0</v>
      </c>
      <c r="P20" s="11">
        <v>0</v>
      </c>
      <c r="Q20" s="11">
        <f>L20*1.02</f>
        <v>270.50400000000002</v>
      </c>
      <c r="R20" s="12">
        <v>1</v>
      </c>
      <c r="S20" s="11">
        <f>R20*Q20*P20</f>
        <v>0</v>
      </c>
      <c r="T20" s="295">
        <f>SUM(S20:S20)</f>
        <v>0</v>
      </c>
      <c r="U20" s="293">
        <v>0</v>
      </c>
      <c r="V20" s="11">
        <f t="shared" ref="V20:V22" si="6">Q20*1.02</f>
        <v>275.91408000000001</v>
      </c>
      <c r="W20" s="12">
        <v>1</v>
      </c>
      <c r="X20" s="11">
        <f>W20*V20*U20</f>
        <v>0</v>
      </c>
      <c r="Y20" s="195">
        <f>SUM(X20:X20)</f>
        <v>0</v>
      </c>
      <c r="Z20" s="11">
        <v>0</v>
      </c>
      <c r="AA20" s="11">
        <f t="shared" ref="AA20:AA22" si="7">V20*1.02</f>
        <v>281.43236160000004</v>
      </c>
      <c r="AB20" s="12">
        <v>1</v>
      </c>
      <c r="AC20" s="11">
        <f>AB20*AA20*Z20</f>
        <v>0</v>
      </c>
      <c r="AD20" s="195">
        <f>SUM(AC20:AC20)</f>
        <v>0</v>
      </c>
      <c r="AE20" s="287">
        <f>I20+N20+S20+X20+AC20</f>
        <v>520</v>
      </c>
      <c r="AF20" s="288">
        <f>SUM(AE20:AE20)</f>
        <v>520</v>
      </c>
    </row>
    <row r="21" spans="1:35" x14ac:dyDescent="0.4">
      <c r="A21" s="109" t="s">
        <v>318</v>
      </c>
      <c r="B21" s="592" t="s">
        <v>296</v>
      </c>
      <c r="C21" s="109" t="s">
        <v>285</v>
      </c>
      <c r="D21" s="306" t="s">
        <v>123</v>
      </c>
      <c r="E21" s="285">
        <f>'FO Expenses'!C14</f>
        <v>1</v>
      </c>
      <c r="F21" s="293">
        <f>'FO Expenses'!B14</f>
        <v>650</v>
      </c>
      <c r="G21" s="11">
        <v>1</v>
      </c>
      <c r="H21" s="284" t="s">
        <v>40</v>
      </c>
      <c r="I21" s="10">
        <f>E21*F21*G21</f>
        <v>650</v>
      </c>
      <c r="J21" s="339">
        <f>SUM(I21:I21)</f>
        <v>650</v>
      </c>
      <c r="K21" s="10">
        <v>0</v>
      </c>
      <c r="L21" s="11">
        <f>F21*1.02</f>
        <v>663</v>
      </c>
      <c r="M21" s="12">
        <v>1</v>
      </c>
      <c r="N21" s="11">
        <f>M21*L21*K21</f>
        <v>0</v>
      </c>
      <c r="O21" s="195">
        <f>SUM(N21:N21)</f>
        <v>0</v>
      </c>
      <c r="P21" s="11">
        <v>0</v>
      </c>
      <c r="Q21" s="11">
        <f t="shared" ref="Q21:Q22" si="8">L21*1.02</f>
        <v>676.26</v>
      </c>
      <c r="R21" s="12">
        <v>1</v>
      </c>
      <c r="S21" s="11">
        <f>R21*Q21*P21</f>
        <v>0</v>
      </c>
      <c r="T21" s="295">
        <f>SUM(S21:S21)</f>
        <v>0</v>
      </c>
      <c r="U21" s="293">
        <v>0</v>
      </c>
      <c r="V21" s="11">
        <f t="shared" si="6"/>
        <v>689.78520000000003</v>
      </c>
      <c r="W21" s="12">
        <v>1</v>
      </c>
      <c r="X21" s="11">
        <f>W21*V21*U21</f>
        <v>0</v>
      </c>
      <c r="Y21" s="195">
        <f>SUM(X21:X21)</f>
        <v>0</v>
      </c>
      <c r="Z21" s="11">
        <v>0</v>
      </c>
      <c r="AA21" s="11">
        <f t="shared" si="7"/>
        <v>703.58090400000003</v>
      </c>
      <c r="AB21" s="12">
        <v>1</v>
      </c>
      <c r="AC21" s="11">
        <f>AB21*AA21*Z21</f>
        <v>0</v>
      </c>
      <c r="AD21" s="195">
        <f>SUM(AC21:AC21)</f>
        <v>0</v>
      </c>
      <c r="AE21" s="287">
        <f>I21+N21+S21+X21+AC21</f>
        <v>650</v>
      </c>
      <c r="AF21" s="288">
        <f>SUM(AE21:AE21)</f>
        <v>650</v>
      </c>
    </row>
    <row r="22" spans="1:35" x14ac:dyDescent="0.4">
      <c r="A22" s="109" t="s">
        <v>318</v>
      </c>
      <c r="B22" s="592" t="s">
        <v>296</v>
      </c>
      <c r="C22" s="109" t="s">
        <v>285</v>
      </c>
      <c r="D22" s="306" t="s">
        <v>124</v>
      </c>
      <c r="E22" s="285">
        <f>'FO Expenses'!C15</f>
        <v>1</v>
      </c>
      <c r="F22" s="4">
        <f>SUM('FO Expenses'!D15)</f>
        <v>530</v>
      </c>
      <c r="G22" s="11">
        <v>1</v>
      </c>
      <c r="H22" s="284" t="s">
        <v>40</v>
      </c>
      <c r="I22" s="10">
        <f>E22*F22*G22</f>
        <v>530</v>
      </c>
      <c r="J22" s="339">
        <f>SUM(I22:I22)</f>
        <v>530</v>
      </c>
      <c r="K22" s="10">
        <v>1</v>
      </c>
      <c r="L22" s="11">
        <f>F22*1.02</f>
        <v>540.6</v>
      </c>
      <c r="M22" s="12">
        <v>1</v>
      </c>
      <c r="N22" s="11">
        <f>M22*L22*K22</f>
        <v>540.6</v>
      </c>
      <c r="O22" s="195">
        <f>SUM(N22:N22)</f>
        <v>540.6</v>
      </c>
      <c r="P22" s="11">
        <v>1</v>
      </c>
      <c r="Q22" s="11">
        <f t="shared" si="8"/>
        <v>551.41200000000003</v>
      </c>
      <c r="R22" s="12">
        <v>1</v>
      </c>
      <c r="S22" s="11">
        <f>R22*Q22*P22</f>
        <v>551.41200000000003</v>
      </c>
      <c r="T22" s="295">
        <f>SUM(S22:S22)</f>
        <v>551.41200000000003</v>
      </c>
      <c r="U22" s="293">
        <v>1</v>
      </c>
      <c r="V22" s="11">
        <f t="shared" si="6"/>
        <v>562.44024000000002</v>
      </c>
      <c r="W22" s="12">
        <v>1</v>
      </c>
      <c r="X22" s="11">
        <f>W22*V22*U22</f>
        <v>562.44024000000002</v>
      </c>
      <c r="Y22" s="195">
        <f>SUM(X22:X22)</f>
        <v>562.44024000000002</v>
      </c>
      <c r="Z22" s="11">
        <v>1</v>
      </c>
      <c r="AA22" s="11">
        <f t="shared" si="7"/>
        <v>573.68904480000003</v>
      </c>
      <c r="AB22" s="12">
        <v>1</v>
      </c>
      <c r="AC22" s="11">
        <f>AB22*AA22*Z22</f>
        <v>573.68904480000003</v>
      </c>
      <c r="AD22" s="195">
        <f>SUM(AC22:AC22)</f>
        <v>573.68904480000003</v>
      </c>
      <c r="AE22" s="287">
        <f>I22+N22+S22+X22+AC22</f>
        <v>2758.1412848</v>
      </c>
      <c r="AF22" s="288">
        <f>SUM(AE22:AE22)</f>
        <v>2758.1412848</v>
      </c>
    </row>
    <row r="23" spans="1:35" x14ac:dyDescent="0.4">
      <c r="A23" s="372"/>
      <c r="B23" s="372"/>
      <c r="C23" s="622"/>
      <c r="D23" s="617" t="s">
        <v>125</v>
      </c>
      <c r="E23" s="375"/>
      <c r="F23" s="24"/>
      <c r="G23" s="24"/>
      <c r="H23" s="289"/>
      <c r="I23" s="290">
        <f>SUM(I19:I22)</f>
        <v>6100</v>
      </c>
      <c r="J23" s="383">
        <f>SUM(J19:J22)</f>
        <v>6100</v>
      </c>
      <c r="K23" s="290"/>
      <c r="L23" s="292"/>
      <c r="M23" s="336"/>
      <c r="N23" s="290">
        <f>SUM(N19:N22)</f>
        <v>540.6</v>
      </c>
      <c r="O23" s="383">
        <f>SUM(O19:O22)</f>
        <v>540.6</v>
      </c>
      <c r="P23" s="292"/>
      <c r="Q23" s="292"/>
      <c r="R23" s="336"/>
      <c r="S23" s="290">
        <f>SUM(S19:S22)</f>
        <v>551.41200000000003</v>
      </c>
      <c r="T23" s="383">
        <f>SUM(T19:T22)</f>
        <v>551.41200000000003</v>
      </c>
      <c r="U23" s="24"/>
      <c r="V23" s="292"/>
      <c r="W23" s="336"/>
      <c r="X23" s="290">
        <f>SUM(X19:X22)</f>
        <v>562.44024000000002</v>
      </c>
      <c r="Y23" s="383">
        <f>SUM(Y19:Y22)</f>
        <v>562.44024000000002</v>
      </c>
      <c r="Z23" s="292"/>
      <c r="AA23" s="292"/>
      <c r="AB23" s="336"/>
      <c r="AC23" s="290">
        <f>SUM(AC19:AC22)</f>
        <v>573.68904480000003</v>
      </c>
      <c r="AD23" s="383">
        <f>SUM(AD19:AD22)</f>
        <v>573.68904480000003</v>
      </c>
      <c r="AE23" s="287">
        <f>I23+N23+S23+X23+AC23</f>
        <v>8328.1412848</v>
      </c>
      <c r="AF23" s="288">
        <f>SUM(AE23:AE23)</f>
        <v>8328.1412848</v>
      </c>
    </row>
    <row r="24" spans="1:35" ht="13.5" customHeight="1" x14ac:dyDescent="0.4">
      <c r="A24" s="372"/>
      <c r="B24" s="372"/>
      <c r="C24" s="622"/>
      <c r="D24" s="615"/>
      <c r="E24" s="285"/>
      <c r="G24" s="11"/>
      <c r="H24" s="284"/>
      <c r="I24" s="10"/>
      <c r="J24" s="383"/>
      <c r="K24" s="10"/>
      <c r="L24" s="11"/>
      <c r="M24" s="12"/>
      <c r="N24" s="11"/>
      <c r="O24" s="195"/>
      <c r="P24" s="11"/>
      <c r="Q24" s="11"/>
      <c r="R24" s="12"/>
      <c r="S24" s="11"/>
      <c r="T24" s="195"/>
      <c r="V24" s="11"/>
      <c r="W24" s="12"/>
      <c r="X24" s="11"/>
      <c r="Y24" s="195"/>
      <c r="Z24" s="11"/>
      <c r="AA24" s="11"/>
      <c r="AB24" s="12"/>
      <c r="AC24" s="11"/>
      <c r="AD24" s="195"/>
      <c r="AE24" s="287"/>
      <c r="AF24" s="288"/>
    </row>
    <row r="25" spans="1:35" x14ac:dyDescent="0.4">
      <c r="A25" s="372"/>
      <c r="B25" s="372"/>
      <c r="C25" s="622"/>
      <c r="D25" s="296" t="s">
        <v>126</v>
      </c>
      <c r="E25" s="285"/>
      <c r="G25" s="11"/>
      <c r="H25" s="284"/>
      <c r="I25" s="10"/>
      <c r="J25" s="383"/>
      <c r="K25" s="10"/>
      <c r="L25" s="11"/>
      <c r="M25" s="12"/>
      <c r="N25" s="11"/>
      <c r="O25" s="195"/>
      <c r="P25" s="11"/>
      <c r="Q25" s="11"/>
      <c r="R25" s="12"/>
      <c r="S25" s="11"/>
      <c r="T25" s="195"/>
      <c r="V25" s="11"/>
      <c r="W25" s="12"/>
      <c r="X25" s="11"/>
      <c r="Y25" s="195"/>
      <c r="Z25" s="11"/>
      <c r="AA25" s="11"/>
      <c r="AB25" s="12"/>
      <c r="AC25" s="11"/>
      <c r="AD25" s="195"/>
      <c r="AE25" s="287"/>
      <c r="AF25" s="288"/>
    </row>
    <row r="26" spans="1:35" x14ac:dyDescent="0.4">
      <c r="A26" s="109" t="s">
        <v>329</v>
      </c>
      <c r="B26" s="592">
        <v>86040</v>
      </c>
      <c r="C26" s="109" t="s">
        <v>285</v>
      </c>
      <c r="D26" s="297" t="s">
        <v>127</v>
      </c>
      <c r="E26" s="298">
        <f>'Volunteer Travel'!C4</f>
        <v>16</v>
      </c>
      <c r="F26" s="377">
        <f>'Volunteer Travel'!B19</f>
        <v>650</v>
      </c>
      <c r="G26" s="11">
        <v>1</v>
      </c>
      <c r="H26" s="284" t="s">
        <v>70</v>
      </c>
      <c r="I26" s="10">
        <f>E26*F26*G26</f>
        <v>10400</v>
      </c>
      <c r="J26" s="383">
        <f>F26*G26*E26</f>
        <v>10400</v>
      </c>
      <c r="K26" s="10">
        <f>'Volunteer Travel'!D4</f>
        <v>22</v>
      </c>
      <c r="L26" s="385">
        <f>F26*1.02</f>
        <v>663</v>
      </c>
      <c r="M26" s="12">
        <f>G26</f>
        <v>1</v>
      </c>
      <c r="N26" s="11">
        <f>L26*M26*K26</f>
        <v>14586</v>
      </c>
      <c r="O26" s="291">
        <f>L26*M26*K26</f>
        <v>14586</v>
      </c>
      <c r="P26" s="11">
        <f>'Volunteer Travel'!E4</f>
        <v>22</v>
      </c>
      <c r="Q26" s="385">
        <f>L26*1.02</f>
        <v>676.26</v>
      </c>
      <c r="R26" s="12">
        <f>M26</f>
        <v>1</v>
      </c>
      <c r="S26" s="194">
        <f>Q26*R26*P26</f>
        <v>14877.72</v>
      </c>
      <c r="T26" s="291">
        <f>Q26*R26*P26</f>
        <v>14877.72</v>
      </c>
      <c r="U26" s="293">
        <f>'Volunteer Travel'!F4</f>
        <v>22</v>
      </c>
      <c r="V26" s="385">
        <f>Q26*1.02</f>
        <v>689.78520000000003</v>
      </c>
      <c r="W26" s="12">
        <f>R26</f>
        <v>1</v>
      </c>
      <c r="X26" s="11">
        <f>V26*W26*U26</f>
        <v>15175.2744</v>
      </c>
      <c r="Y26" s="291">
        <f>V26*W26*U26</f>
        <v>15175.2744</v>
      </c>
      <c r="Z26" s="11">
        <f>'Volunteer Travel'!G4</f>
        <v>16</v>
      </c>
      <c r="AA26" s="385">
        <f>V26*1.02</f>
        <v>703.58090400000003</v>
      </c>
      <c r="AB26" s="12">
        <f>W26</f>
        <v>1</v>
      </c>
      <c r="AC26" s="11">
        <f>AA26*AB26*Z26</f>
        <v>11257.294464000001</v>
      </c>
      <c r="AD26" s="291">
        <f>AA26*AB26*Z26</f>
        <v>11257.294464000001</v>
      </c>
      <c r="AE26" s="195">
        <f>SUM(AD26,Y26,T26,O26,J26)</f>
        <v>66296.288864000002</v>
      </c>
      <c r="AF26" s="288">
        <f t="shared" ref="AF26:AF30" si="9">SUM(AE26:AE26)</f>
        <v>66296.288864000002</v>
      </c>
      <c r="AG26" s="259">
        <f>AF26*0.7</f>
        <v>46407.402204799997</v>
      </c>
      <c r="AH26" s="260">
        <f>AG26/3</f>
        <v>15469.134068266665</v>
      </c>
      <c r="AI26" s="260">
        <f>AH26/12</f>
        <v>1289.0945056888888</v>
      </c>
    </row>
    <row r="27" spans="1:35" x14ac:dyDescent="0.4">
      <c r="A27" s="109" t="s">
        <v>327</v>
      </c>
      <c r="B27" s="613" t="s">
        <v>291</v>
      </c>
      <c r="C27" s="109" t="s">
        <v>285</v>
      </c>
      <c r="D27" s="297" t="s">
        <v>75</v>
      </c>
      <c r="E27" s="298">
        <f>E26</f>
        <v>16</v>
      </c>
      <c r="F27" s="377">
        <f>'Volunteer Travel'!C19</f>
        <v>85</v>
      </c>
      <c r="G27" s="11">
        <v>14</v>
      </c>
      <c r="H27" s="284" t="s">
        <v>128</v>
      </c>
      <c r="I27" s="10">
        <f>E27*F27*G27</f>
        <v>19040</v>
      </c>
      <c r="J27" s="383">
        <f t="shared" ref="J27:J30" si="10">F27*G27*E27</f>
        <v>19040</v>
      </c>
      <c r="K27" s="10">
        <f>K26</f>
        <v>22</v>
      </c>
      <c r="L27" s="385">
        <f>F27*1.02</f>
        <v>86.7</v>
      </c>
      <c r="M27" s="12">
        <f>G27</f>
        <v>14</v>
      </c>
      <c r="N27" s="11">
        <f t="shared" ref="N27:N30" si="11">L27*M27*K27</f>
        <v>26703.599999999999</v>
      </c>
      <c r="O27" s="291">
        <f t="shared" ref="O27:O30" si="12">L27*M27*K27</f>
        <v>26703.599999999999</v>
      </c>
      <c r="P27" s="11">
        <f>P26</f>
        <v>22</v>
      </c>
      <c r="Q27" s="385">
        <f>L27*1.02</f>
        <v>88.433999999999997</v>
      </c>
      <c r="R27" s="12">
        <f>M27</f>
        <v>14</v>
      </c>
      <c r="S27" s="194">
        <f t="shared" ref="S27:S30" si="13">Q27*R27*P27</f>
        <v>27237.671999999999</v>
      </c>
      <c r="T27" s="291">
        <f t="shared" ref="T27:T30" si="14">Q27*R27*P27</f>
        <v>27237.671999999999</v>
      </c>
      <c r="U27" s="293">
        <f>U26</f>
        <v>22</v>
      </c>
      <c r="V27" s="385">
        <f>Q27*1.02</f>
        <v>90.202680000000001</v>
      </c>
      <c r="W27" s="12">
        <f>R27</f>
        <v>14</v>
      </c>
      <c r="X27" s="11">
        <f>V27*W27*U27</f>
        <v>27782.425439999999</v>
      </c>
      <c r="Y27" s="291">
        <f t="shared" ref="Y27:Y30" si="15">V27*W27*U27</f>
        <v>27782.425439999999</v>
      </c>
      <c r="Z27" s="11">
        <f>Z26</f>
        <v>16</v>
      </c>
      <c r="AA27" s="385">
        <f>V27*1.02</f>
        <v>92.006733600000004</v>
      </c>
      <c r="AB27" s="12">
        <f>W27</f>
        <v>14</v>
      </c>
      <c r="AC27" s="11">
        <f t="shared" ref="AC27:AC30" si="16">AA27*AB27*Z27</f>
        <v>20609.508326400002</v>
      </c>
      <c r="AD27" s="291">
        <f t="shared" ref="AD27:AD30" si="17">AA27*AB27*Z27</f>
        <v>20609.508326400002</v>
      </c>
      <c r="AE27" s="195">
        <f>SUM(AD27,Y27,T27,O27,J27)</f>
        <v>121373.2057664</v>
      </c>
      <c r="AF27" s="288">
        <f t="shared" si="9"/>
        <v>121373.2057664</v>
      </c>
      <c r="AG27" s="259">
        <f>AF27*0.7</f>
        <v>84961.244036479999</v>
      </c>
      <c r="AH27" s="260">
        <f>AG27/3</f>
        <v>28320.414678826666</v>
      </c>
      <c r="AI27" s="260">
        <f>AH27/12</f>
        <v>2360.034556568889</v>
      </c>
    </row>
    <row r="28" spans="1:35" x14ac:dyDescent="0.4">
      <c r="A28" s="109" t="s">
        <v>327</v>
      </c>
      <c r="B28" s="613" t="s">
        <v>290</v>
      </c>
      <c r="C28" s="109" t="s">
        <v>285</v>
      </c>
      <c r="D28" s="297" t="s">
        <v>67</v>
      </c>
      <c r="E28" s="298">
        <f>E26</f>
        <v>16</v>
      </c>
      <c r="F28" s="377">
        <f>'Volunteer Travel'!D19</f>
        <v>42.5</v>
      </c>
      <c r="G28" s="11">
        <v>15</v>
      </c>
      <c r="H28" s="284" t="s">
        <v>46</v>
      </c>
      <c r="I28" s="10">
        <f>E28*F28*G28</f>
        <v>10200</v>
      </c>
      <c r="J28" s="383">
        <f t="shared" si="10"/>
        <v>10200</v>
      </c>
      <c r="K28" s="10">
        <f>K26</f>
        <v>22</v>
      </c>
      <c r="L28" s="385">
        <f t="shared" ref="L28:L30" si="18">F28*1.02</f>
        <v>43.35</v>
      </c>
      <c r="M28" s="12">
        <f>G28</f>
        <v>15</v>
      </c>
      <c r="N28" s="11">
        <f t="shared" si="11"/>
        <v>14305.5</v>
      </c>
      <c r="O28" s="291">
        <f t="shared" si="12"/>
        <v>14305.5</v>
      </c>
      <c r="P28" s="11">
        <f>P26</f>
        <v>22</v>
      </c>
      <c r="Q28" s="385">
        <f t="shared" ref="Q28:Q30" si="19">L28*1.02</f>
        <v>44.216999999999999</v>
      </c>
      <c r="R28" s="12">
        <f>M28</f>
        <v>15</v>
      </c>
      <c r="S28" s="194">
        <f t="shared" si="13"/>
        <v>14591.61</v>
      </c>
      <c r="T28" s="291">
        <f t="shared" si="14"/>
        <v>14591.61</v>
      </c>
      <c r="U28" s="293">
        <f>U26</f>
        <v>22</v>
      </c>
      <c r="V28" s="385">
        <f t="shared" ref="V28:V30" si="20">Q28*1.02</f>
        <v>45.10134</v>
      </c>
      <c r="W28" s="12">
        <f>R28</f>
        <v>15</v>
      </c>
      <c r="X28" s="11">
        <f t="shared" ref="X28:X30" si="21">V28*W28*U28</f>
        <v>14883.4422</v>
      </c>
      <c r="Y28" s="291">
        <f t="shared" si="15"/>
        <v>14883.4422</v>
      </c>
      <c r="Z28" s="11">
        <f>Z26</f>
        <v>16</v>
      </c>
      <c r="AA28" s="385">
        <f t="shared" ref="AA28:AA30" si="22">V28*1.02</f>
        <v>46.003366800000002</v>
      </c>
      <c r="AB28" s="12">
        <f>W28</f>
        <v>15</v>
      </c>
      <c r="AC28" s="11">
        <f t="shared" si="16"/>
        <v>11040.808032000001</v>
      </c>
      <c r="AD28" s="291">
        <f t="shared" si="17"/>
        <v>11040.808032000001</v>
      </c>
      <c r="AE28" s="195">
        <f>SUM(AD28,Y28,T28,O28,J28)</f>
        <v>65021.360231999999</v>
      </c>
      <c r="AF28" s="288">
        <f t="shared" si="9"/>
        <v>65021.360231999999</v>
      </c>
      <c r="AG28" s="259">
        <f>AF28*0.7</f>
        <v>45514.952162399997</v>
      </c>
      <c r="AH28" s="260">
        <f>AG28/3</f>
        <v>15171.650720799998</v>
      </c>
      <c r="AI28" s="260">
        <f>AH28/12</f>
        <v>1264.3042267333333</v>
      </c>
    </row>
    <row r="29" spans="1:35" x14ac:dyDescent="0.4">
      <c r="A29" s="109" t="s">
        <v>327</v>
      </c>
      <c r="B29" s="613" t="s">
        <v>290</v>
      </c>
      <c r="C29" s="109" t="s">
        <v>285</v>
      </c>
      <c r="D29" s="297" t="s">
        <v>129</v>
      </c>
      <c r="E29" s="298">
        <f>E26</f>
        <v>16</v>
      </c>
      <c r="F29" s="377">
        <f>'Volunteer Travel'!E19</f>
        <v>75</v>
      </c>
      <c r="G29" s="11">
        <v>1</v>
      </c>
      <c r="H29" s="284" t="s">
        <v>70</v>
      </c>
      <c r="I29" s="10">
        <f>E29*F29*G29</f>
        <v>1200</v>
      </c>
      <c r="J29" s="383">
        <f t="shared" si="10"/>
        <v>1200</v>
      </c>
      <c r="K29" s="10">
        <f>K27</f>
        <v>22</v>
      </c>
      <c r="L29" s="385">
        <f t="shared" ref="L29" si="23">F29*1.02</f>
        <v>76.5</v>
      </c>
      <c r="M29" s="12">
        <f>G29</f>
        <v>1</v>
      </c>
      <c r="N29" s="11">
        <f t="shared" si="11"/>
        <v>1683</v>
      </c>
      <c r="O29" s="291">
        <f t="shared" ref="O29" si="24">L29*M29*K29</f>
        <v>1683</v>
      </c>
      <c r="P29" s="11">
        <f>P27</f>
        <v>22</v>
      </c>
      <c r="Q29" s="385">
        <f t="shared" ref="Q29" si="25">L29*1.02</f>
        <v>78.03</v>
      </c>
      <c r="R29" s="12">
        <f>M29</f>
        <v>1</v>
      </c>
      <c r="S29" s="194">
        <f>Q29*R29*P29</f>
        <v>1716.66</v>
      </c>
      <c r="T29" s="291">
        <f t="shared" ref="T29" si="26">Q29*R29*P29</f>
        <v>1716.66</v>
      </c>
      <c r="U29" s="293">
        <f>U27</f>
        <v>22</v>
      </c>
      <c r="V29" s="385">
        <f t="shared" ref="V29" si="27">Q29*1.02</f>
        <v>79.590600000000009</v>
      </c>
      <c r="W29" s="12">
        <f>R29</f>
        <v>1</v>
      </c>
      <c r="X29" s="11">
        <f t="shared" si="21"/>
        <v>1750.9932000000001</v>
      </c>
      <c r="Y29" s="291">
        <f t="shared" ref="Y29" si="28">V29*W29*U29</f>
        <v>1750.9932000000001</v>
      </c>
      <c r="Z29" s="11">
        <f>Z27</f>
        <v>16</v>
      </c>
      <c r="AA29" s="385">
        <f t="shared" ref="AA29" si="29">V29*1.02</f>
        <v>81.182412000000014</v>
      </c>
      <c r="AB29" s="12">
        <f>W29</f>
        <v>1</v>
      </c>
      <c r="AC29" s="11">
        <f t="shared" ref="AC29" si="30">AA29*AB29*Z29</f>
        <v>1298.9185920000002</v>
      </c>
      <c r="AD29" s="291">
        <f t="shared" ref="AD29" si="31">AA29*AB29*Z29</f>
        <v>1298.9185920000002</v>
      </c>
      <c r="AE29" s="195">
        <f>SUM(AD29,Y29,T29,O29,J29)</f>
        <v>7649.5717920000006</v>
      </c>
      <c r="AF29" s="288">
        <f t="shared" si="9"/>
        <v>7649.5717920000006</v>
      </c>
      <c r="AG29" s="259"/>
      <c r="AH29" s="260"/>
      <c r="AI29" s="260"/>
    </row>
    <row r="30" spans="1:35" x14ac:dyDescent="0.4">
      <c r="A30" s="109" t="s">
        <v>327</v>
      </c>
      <c r="B30" s="613" t="s">
        <v>290</v>
      </c>
      <c r="C30" s="109" t="s">
        <v>285</v>
      </c>
      <c r="D30" s="297" t="s">
        <v>130</v>
      </c>
      <c r="E30" s="298">
        <f>E26</f>
        <v>16</v>
      </c>
      <c r="F30" s="377">
        <f>'Volunteer Travel'!F19</f>
        <v>124</v>
      </c>
      <c r="G30" s="11">
        <v>1</v>
      </c>
      <c r="H30" s="284" t="s">
        <v>70</v>
      </c>
      <c r="I30" s="10">
        <f>E30*F30*G30</f>
        <v>1984</v>
      </c>
      <c r="J30" s="383">
        <f t="shared" si="10"/>
        <v>1984</v>
      </c>
      <c r="K30" s="10">
        <f>K26</f>
        <v>22</v>
      </c>
      <c r="L30" s="385">
        <f t="shared" si="18"/>
        <v>126.48</v>
      </c>
      <c r="M30" s="12">
        <v>1</v>
      </c>
      <c r="N30" s="11">
        <f t="shared" si="11"/>
        <v>2782.56</v>
      </c>
      <c r="O30" s="291">
        <f t="shared" si="12"/>
        <v>2782.56</v>
      </c>
      <c r="P30" s="11">
        <f>P26</f>
        <v>22</v>
      </c>
      <c r="Q30" s="385">
        <f t="shared" si="19"/>
        <v>129.00960000000001</v>
      </c>
      <c r="R30" s="12">
        <v>1</v>
      </c>
      <c r="S30" s="194">
        <f t="shared" si="13"/>
        <v>2838.2112000000002</v>
      </c>
      <c r="T30" s="291">
        <f t="shared" si="14"/>
        <v>2838.2112000000002</v>
      </c>
      <c r="U30" s="293">
        <f>U26</f>
        <v>22</v>
      </c>
      <c r="V30" s="385">
        <f t="shared" si="20"/>
        <v>131.58979200000002</v>
      </c>
      <c r="W30" s="12">
        <v>1</v>
      </c>
      <c r="X30" s="11">
        <f t="shared" si="21"/>
        <v>2894.9754240000002</v>
      </c>
      <c r="Y30" s="291">
        <f t="shared" si="15"/>
        <v>2894.9754240000002</v>
      </c>
      <c r="Z30" s="11">
        <f>Z26</f>
        <v>16</v>
      </c>
      <c r="AA30" s="385">
        <f t="shared" si="22"/>
        <v>134.22158784000001</v>
      </c>
      <c r="AB30" s="12">
        <v>1</v>
      </c>
      <c r="AC30" s="11">
        <f t="shared" si="16"/>
        <v>2147.5454054400002</v>
      </c>
      <c r="AD30" s="291">
        <f t="shared" si="17"/>
        <v>2147.5454054400002</v>
      </c>
      <c r="AE30" s="195">
        <f>SUM(AD30,Y30,T30,O30,J30)</f>
        <v>12647.292029439999</v>
      </c>
      <c r="AF30" s="288">
        <f t="shared" si="9"/>
        <v>12647.292029439999</v>
      </c>
      <c r="AG30" s="259">
        <f>AF30*0.7</f>
        <v>8853.1044206079987</v>
      </c>
      <c r="AH30" s="260">
        <f>AG30/3</f>
        <v>2951.0348068693329</v>
      </c>
      <c r="AI30" s="260">
        <f>AH30/12</f>
        <v>245.91956723911107</v>
      </c>
    </row>
    <row r="31" spans="1:35" x14ac:dyDescent="0.4">
      <c r="A31" s="372"/>
      <c r="B31" s="372"/>
      <c r="C31" s="622"/>
      <c r="D31" s="297"/>
      <c r="E31" s="298"/>
      <c r="F31" s="377"/>
      <c r="G31" s="11"/>
      <c r="H31" s="284"/>
      <c r="I31" s="10"/>
      <c r="J31" s="383"/>
      <c r="K31" s="10"/>
      <c r="L31" s="385"/>
      <c r="M31" s="12"/>
      <c r="N31" s="11"/>
      <c r="O31" s="291"/>
      <c r="P31" s="11"/>
      <c r="Q31" s="385"/>
      <c r="R31" s="12"/>
      <c r="S31" s="11"/>
      <c r="T31" s="291"/>
      <c r="U31" s="293"/>
      <c r="V31" s="385"/>
      <c r="W31" s="12"/>
      <c r="X31" s="11"/>
      <c r="Y31" s="291"/>
      <c r="Z31" s="11"/>
      <c r="AA31" s="385"/>
      <c r="AB31" s="12"/>
      <c r="AC31" s="11"/>
      <c r="AD31" s="291"/>
      <c r="AE31" s="195"/>
      <c r="AF31" s="291"/>
      <c r="AG31" s="259"/>
      <c r="AH31" s="260"/>
      <c r="AI31" s="260"/>
    </row>
    <row r="32" spans="1:35" x14ac:dyDescent="0.4">
      <c r="A32" s="372"/>
      <c r="B32" s="372"/>
      <c r="C32" s="622"/>
      <c r="D32" s="296" t="s">
        <v>131</v>
      </c>
      <c r="E32" s="285"/>
      <c r="G32" s="11"/>
      <c r="H32" s="284"/>
      <c r="I32" s="10"/>
      <c r="J32" s="383"/>
      <c r="K32" s="10"/>
      <c r="L32" s="11"/>
      <c r="M32" s="12"/>
      <c r="N32" s="11"/>
      <c r="O32" s="195"/>
      <c r="P32" s="11"/>
      <c r="Q32" s="11"/>
      <c r="R32" s="12"/>
      <c r="S32" s="11"/>
      <c r="T32" s="195"/>
      <c r="V32" s="11"/>
      <c r="W32" s="12"/>
      <c r="X32" s="11"/>
      <c r="Y32" s="195"/>
      <c r="Z32" s="11"/>
      <c r="AA32" s="11"/>
      <c r="AB32" s="12"/>
      <c r="AC32" s="11"/>
      <c r="AD32" s="195"/>
      <c r="AE32" s="287"/>
      <c r="AF32" s="288"/>
    </row>
    <row r="33" spans="1:39" x14ac:dyDescent="0.4">
      <c r="A33" s="109" t="s">
        <v>328</v>
      </c>
      <c r="B33" s="613" t="s">
        <v>291</v>
      </c>
      <c r="C33" s="109" t="s">
        <v>285</v>
      </c>
      <c r="D33" s="297" t="s">
        <v>75</v>
      </c>
      <c r="E33" s="298">
        <f>'Volunteer Travel'!C5</f>
        <v>2</v>
      </c>
      <c r="F33" s="377">
        <f>'Volunteer Travel'!G19</f>
        <v>59.499999999999993</v>
      </c>
      <c r="G33" s="11">
        <v>6</v>
      </c>
      <c r="H33" s="284" t="s">
        <v>128</v>
      </c>
      <c r="I33" s="10">
        <f>E33*F33*G33</f>
        <v>713.99999999999989</v>
      </c>
      <c r="J33" s="383">
        <f>E33*F33*G33</f>
        <v>713.99999999999989</v>
      </c>
      <c r="K33" s="10">
        <f>'Volunteer Travel'!D5</f>
        <v>1</v>
      </c>
      <c r="L33" s="385">
        <f>F33*1.02</f>
        <v>60.689999999999991</v>
      </c>
      <c r="M33" s="12">
        <f>G33</f>
        <v>6</v>
      </c>
      <c r="N33" s="10">
        <f>M33*K33*L33</f>
        <v>364.13999999999993</v>
      </c>
      <c r="O33" s="383">
        <f>K33*L33*M33</f>
        <v>364.13999999999993</v>
      </c>
      <c r="P33" s="11">
        <f>'Volunteer Travel'!D5</f>
        <v>1</v>
      </c>
      <c r="Q33" s="385">
        <f>L33*1.02</f>
        <v>61.90379999999999</v>
      </c>
      <c r="R33" s="12">
        <f>M33</f>
        <v>6</v>
      </c>
      <c r="S33" s="10">
        <f>R33*P33*Q33</f>
        <v>371.42279999999994</v>
      </c>
      <c r="T33" s="383">
        <f>P33*Q33*R33</f>
        <v>371.42279999999994</v>
      </c>
      <c r="U33" s="293">
        <f>'Volunteer Travel'!F5</f>
        <v>1</v>
      </c>
      <c r="V33" s="385">
        <f>Q33*1.02</f>
        <v>63.141875999999989</v>
      </c>
      <c r="W33" s="12">
        <f>R33</f>
        <v>6</v>
      </c>
      <c r="X33" s="10">
        <f>W33*U33*V33</f>
        <v>378.85125599999992</v>
      </c>
      <c r="Y33" s="383">
        <f>U33*V33*W33</f>
        <v>378.85125599999992</v>
      </c>
      <c r="Z33" s="11">
        <f>'Volunteer Travel'!G5</f>
        <v>1</v>
      </c>
      <c r="AA33" s="385">
        <f>V33*1.02</f>
        <v>64.404713519999987</v>
      </c>
      <c r="AB33" s="12">
        <f>W33</f>
        <v>6</v>
      </c>
      <c r="AC33" s="10">
        <f>AB33*Z33*AA33</f>
        <v>386.42828111999995</v>
      </c>
      <c r="AD33" s="383">
        <f>Z33*AA33*AB33</f>
        <v>386.42828111999995</v>
      </c>
      <c r="AE33" s="195">
        <f>SUM(AD33,Y33,T33,O33,J33)</f>
        <v>2214.8423371199997</v>
      </c>
      <c r="AF33" s="288">
        <f t="shared" ref="AF33:AF35" si="32">SUM(AE33:AE33)</f>
        <v>2214.8423371199997</v>
      </c>
      <c r="AG33" s="259">
        <f>AF33*0.7</f>
        <v>1550.3896359839996</v>
      </c>
      <c r="AH33" s="260">
        <f>AG33/3</f>
        <v>516.79654532799987</v>
      </c>
      <c r="AI33" s="260">
        <f>AH33/12</f>
        <v>43.06637877733332</v>
      </c>
    </row>
    <row r="34" spans="1:39" x14ac:dyDescent="0.4">
      <c r="A34" s="109" t="s">
        <v>328</v>
      </c>
      <c r="B34" s="613" t="s">
        <v>290</v>
      </c>
      <c r="C34" s="109" t="s">
        <v>285</v>
      </c>
      <c r="D34" s="297" t="s">
        <v>67</v>
      </c>
      <c r="E34" s="298">
        <f>E33</f>
        <v>2</v>
      </c>
      <c r="F34" s="377">
        <f>'Volunteer Travel'!G20</f>
        <v>65.047499999999999</v>
      </c>
      <c r="G34" s="11">
        <v>7</v>
      </c>
      <c r="H34" s="284" t="s">
        <v>46</v>
      </c>
      <c r="I34" s="10">
        <f>E34*F34*G34</f>
        <v>910.66499999999996</v>
      </c>
      <c r="J34" s="383">
        <f t="shared" ref="J34:J35" si="33">E34*F34*G34</f>
        <v>910.66499999999996</v>
      </c>
      <c r="K34" s="10">
        <f>K33</f>
        <v>1</v>
      </c>
      <c r="L34" s="385">
        <f t="shared" ref="L34:L35" si="34">F34*1.02</f>
        <v>66.34845</v>
      </c>
      <c r="M34" s="12">
        <f>G34</f>
        <v>7</v>
      </c>
      <c r="N34" s="10">
        <f t="shared" ref="N34:N35" si="35">M34*K34*L34</f>
        <v>464.43914999999998</v>
      </c>
      <c r="O34" s="383">
        <f>K34*L34*M34</f>
        <v>464.43914999999998</v>
      </c>
      <c r="P34" s="11">
        <f>P33</f>
        <v>1</v>
      </c>
      <c r="Q34" s="385">
        <f>L34*1.02</f>
        <v>67.675419000000005</v>
      </c>
      <c r="R34" s="12">
        <f>M34</f>
        <v>7</v>
      </c>
      <c r="S34" s="10">
        <f t="shared" ref="S34:S35" si="36">R34*P34*Q34</f>
        <v>473.72793300000001</v>
      </c>
      <c r="T34" s="383">
        <f>P34*Q34*R34</f>
        <v>473.72793300000001</v>
      </c>
      <c r="U34" s="293">
        <f>U33</f>
        <v>1</v>
      </c>
      <c r="V34" s="385">
        <f>Q34*1.02</f>
        <v>69.028927380000013</v>
      </c>
      <c r="W34" s="12">
        <f>R34</f>
        <v>7</v>
      </c>
      <c r="X34" s="10">
        <f t="shared" ref="X34:X35" si="37">W34*U34*V34</f>
        <v>483.20249166000008</v>
      </c>
      <c r="Y34" s="383">
        <f>U34*V34*W34</f>
        <v>483.20249166000008</v>
      </c>
      <c r="Z34" s="11">
        <f>Z33</f>
        <v>1</v>
      </c>
      <c r="AA34" s="385">
        <f t="shared" ref="AA34:AA35" si="38">V34*1.02</f>
        <v>70.409505927600009</v>
      </c>
      <c r="AB34" s="12">
        <f>W34</f>
        <v>7</v>
      </c>
      <c r="AC34" s="10">
        <f t="shared" ref="AC34:AC35" si="39">AB34*Z34*AA34</f>
        <v>492.86654149320009</v>
      </c>
      <c r="AD34" s="383">
        <f>Z34*AA34*AB34</f>
        <v>492.86654149320009</v>
      </c>
      <c r="AE34" s="195">
        <f>SUM(AD34,Y34,T34,O34,J34)</f>
        <v>2824.9011161531998</v>
      </c>
      <c r="AF34" s="288">
        <f t="shared" si="32"/>
        <v>2824.9011161531998</v>
      </c>
      <c r="AG34" s="259">
        <f>AF34*0.7</f>
        <v>1977.4307813072398</v>
      </c>
      <c r="AH34" s="260">
        <f>AG34/3</f>
        <v>659.14359376907998</v>
      </c>
      <c r="AI34" s="260">
        <f>AH34/12</f>
        <v>54.928632814090001</v>
      </c>
    </row>
    <row r="35" spans="1:39" x14ac:dyDescent="0.4">
      <c r="A35" s="109" t="s">
        <v>328</v>
      </c>
      <c r="B35" s="613" t="s">
        <v>290</v>
      </c>
      <c r="C35" s="109" t="s">
        <v>285</v>
      </c>
      <c r="D35" s="297" t="s">
        <v>130</v>
      </c>
      <c r="E35" s="298">
        <f>E33</f>
        <v>2</v>
      </c>
      <c r="F35" s="377">
        <f>'Volunteer Travel'!I19</f>
        <v>30</v>
      </c>
      <c r="G35" s="11">
        <v>1</v>
      </c>
      <c r="H35" s="284" t="s">
        <v>70</v>
      </c>
      <c r="I35" s="10">
        <f>E35*F35*G35</f>
        <v>60</v>
      </c>
      <c r="J35" s="383">
        <f t="shared" si="33"/>
        <v>60</v>
      </c>
      <c r="K35" s="10">
        <f>K33</f>
        <v>1</v>
      </c>
      <c r="L35" s="385">
        <f t="shared" si="34"/>
        <v>30.6</v>
      </c>
      <c r="M35" s="12">
        <f>G35</f>
        <v>1</v>
      </c>
      <c r="N35" s="10">
        <f t="shared" si="35"/>
        <v>30.6</v>
      </c>
      <c r="O35" s="383">
        <f t="shared" ref="O35" si="40">K35*L35*M35</f>
        <v>30.6</v>
      </c>
      <c r="P35" s="11">
        <f>P33</f>
        <v>1</v>
      </c>
      <c r="Q35" s="385">
        <f t="shared" ref="Q35" si="41">L35*1.02</f>
        <v>31.212000000000003</v>
      </c>
      <c r="R35" s="12">
        <f>M35</f>
        <v>1</v>
      </c>
      <c r="S35" s="10">
        <f t="shared" si="36"/>
        <v>31.212000000000003</v>
      </c>
      <c r="T35" s="383">
        <f t="shared" ref="T35" si="42">P35*Q35*R35</f>
        <v>31.212000000000003</v>
      </c>
      <c r="U35" s="293">
        <f>U33</f>
        <v>1</v>
      </c>
      <c r="V35" s="385">
        <f t="shared" ref="V35" si="43">Q35*1.02</f>
        <v>31.836240000000004</v>
      </c>
      <c r="W35" s="12">
        <f>R35</f>
        <v>1</v>
      </c>
      <c r="X35" s="10">
        <f t="shared" si="37"/>
        <v>31.836240000000004</v>
      </c>
      <c r="Y35" s="383">
        <f t="shared" ref="Y35" si="44">U35*V35*W35</f>
        <v>31.836240000000004</v>
      </c>
      <c r="Z35" s="11">
        <f>Z33</f>
        <v>1</v>
      </c>
      <c r="AA35" s="385">
        <f t="shared" si="38"/>
        <v>32.472964800000007</v>
      </c>
      <c r="AB35" s="12">
        <f>W35</f>
        <v>1</v>
      </c>
      <c r="AC35" s="10">
        <f t="shared" si="39"/>
        <v>32.472964800000007</v>
      </c>
      <c r="AD35" s="383">
        <f t="shared" ref="AD35" si="45">Z35*AA35*AB35</f>
        <v>32.472964800000007</v>
      </c>
      <c r="AE35" s="195">
        <f>SUM(AD35,Y35,T35,O35,J35)</f>
        <v>186.12120480000002</v>
      </c>
      <c r="AF35" s="288">
        <f t="shared" si="32"/>
        <v>186.12120480000002</v>
      </c>
      <c r="AG35" s="259">
        <f>AF35*0.7</f>
        <v>130.28484336</v>
      </c>
      <c r="AH35" s="260">
        <f>AG35/3</f>
        <v>43.428281120000001</v>
      </c>
      <c r="AI35" s="260">
        <f>AH35/12</f>
        <v>3.6190234266666668</v>
      </c>
    </row>
    <row r="36" spans="1:39" x14ac:dyDescent="0.4">
      <c r="A36" s="109"/>
      <c r="B36" s="372"/>
      <c r="C36" s="622"/>
      <c r="D36" s="615"/>
      <c r="E36" s="285"/>
      <c r="H36" s="284"/>
      <c r="I36" s="10"/>
      <c r="J36" s="339"/>
      <c r="K36" s="10"/>
      <c r="L36" s="11"/>
      <c r="M36" s="12"/>
      <c r="N36" s="11"/>
      <c r="O36" s="195"/>
      <c r="P36" s="11"/>
      <c r="Q36" s="11"/>
      <c r="R36" s="12"/>
      <c r="S36" s="11"/>
      <c r="T36" s="195"/>
      <c r="V36" s="11"/>
      <c r="W36" s="12"/>
      <c r="X36" s="11"/>
      <c r="Y36" s="195"/>
      <c r="Z36" s="11"/>
      <c r="AA36" s="11"/>
      <c r="AB36" s="12"/>
      <c r="AC36" s="11"/>
      <c r="AD36" s="195"/>
      <c r="AE36" s="287"/>
      <c r="AF36" s="288"/>
      <c r="AG36" s="260">
        <f>AF30-AG30</f>
        <v>3794.1876088320005</v>
      </c>
      <c r="AH36" s="260">
        <f>AG36/2</f>
        <v>1897.0938044160002</v>
      </c>
      <c r="AI36" s="260">
        <f>AH36/9</f>
        <v>210.7882004906667</v>
      </c>
    </row>
    <row r="37" spans="1:39" x14ac:dyDescent="0.4">
      <c r="A37" s="372"/>
      <c r="B37" s="372"/>
      <c r="C37" s="622"/>
      <c r="D37" s="296" t="s">
        <v>132</v>
      </c>
      <c r="E37" s="285"/>
      <c r="G37" s="11"/>
      <c r="H37" s="284"/>
      <c r="I37" s="10"/>
      <c r="J37" s="383"/>
      <c r="K37" s="10"/>
      <c r="L37" s="11"/>
      <c r="M37" s="12"/>
      <c r="N37" s="11"/>
      <c r="O37" s="195"/>
      <c r="P37" s="11"/>
      <c r="Q37" s="11"/>
      <c r="R37" s="12"/>
      <c r="S37" s="11"/>
      <c r="T37" s="195"/>
      <c r="V37" s="11"/>
      <c r="W37" s="12"/>
      <c r="X37" s="11"/>
      <c r="Y37" s="195"/>
      <c r="Z37" s="11"/>
      <c r="AA37" s="11"/>
      <c r="AB37" s="12"/>
      <c r="AC37" s="11"/>
      <c r="AD37" s="195"/>
      <c r="AE37" s="287"/>
      <c r="AF37" s="288"/>
    </row>
    <row r="38" spans="1:39" x14ac:dyDescent="0.4">
      <c r="A38" s="109" t="s">
        <v>319</v>
      </c>
      <c r="B38" s="613" t="s">
        <v>291</v>
      </c>
      <c r="C38" s="109" t="s">
        <v>285</v>
      </c>
      <c r="D38" s="338" t="s">
        <v>75</v>
      </c>
      <c r="E38" s="298">
        <v>1</v>
      </c>
      <c r="F38" s="377">
        <f>'Field Travel'!B15</f>
        <v>59.499999999999993</v>
      </c>
      <c r="G38" s="293">
        <f>'Volunteer Travel'!K5</f>
        <v>150</v>
      </c>
      <c r="H38" s="284" t="s">
        <v>128</v>
      </c>
      <c r="I38" s="10">
        <f>E38*F38*G38</f>
        <v>8924.9999999999982</v>
      </c>
      <c r="J38" s="383">
        <f>F38*G38</f>
        <v>8924.9999999999982</v>
      </c>
      <c r="K38" s="10">
        <v>1</v>
      </c>
      <c r="L38" s="385">
        <f>F38*1.02</f>
        <v>60.689999999999991</v>
      </c>
      <c r="M38" s="12">
        <f>'Volunteer Travel'!L5</f>
        <v>180</v>
      </c>
      <c r="N38" s="11">
        <f>L38*M38</f>
        <v>10924.199999999999</v>
      </c>
      <c r="O38" s="291">
        <f>L38*M38</f>
        <v>10924.199999999999</v>
      </c>
      <c r="P38" s="11">
        <v>1</v>
      </c>
      <c r="Q38" s="385">
        <f>L38*1.02</f>
        <v>61.90379999999999</v>
      </c>
      <c r="R38" s="12">
        <f>'Volunteer Travel'!M5</f>
        <v>198</v>
      </c>
      <c r="S38" s="11">
        <f>Q38*R38</f>
        <v>12256.952399999998</v>
      </c>
      <c r="T38" s="291">
        <f>Q38*R38</f>
        <v>12256.952399999998</v>
      </c>
      <c r="U38" s="293">
        <v>1</v>
      </c>
      <c r="V38" s="385">
        <f t="shared" ref="V38:V40" si="46">Q38*1.02</f>
        <v>63.141875999999989</v>
      </c>
      <c r="W38" s="12">
        <f>'Volunteer Travel'!N5</f>
        <v>180</v>
      </c>
      <c r="X38" s="11">
        <f>V38*W38</f>
        <v>11365.537679999998</v>
      </c>
      <c r="Y38" s="291">
        <f>V38*W38</f>
        <v>11365.537679999998</v>
      </c>
      <c r="Z38" s="11">
        <v>1</v>
      </c>
      <c r="AA38" s="385">
        <f>V38*1.02</f>
        <v>64.404713519999987</v>
      </c>
      <c r="AB38" s="12">
        <f>'Volunteer Travel'!O5</f>
        <v>144</v>
      </c>
      <c r="AC38" s="11">
        <f>AA38*AB38</f>
        <v>9274.2787468799979</v>
      </c>
      <c r="AD38" s="291">
        <f>AA38*AB38</f>
        <v>9274.2787468799979</v>
      </c>
      <c r="AE38" s="195">
        <f>SUM(AD38,Y38,T38,O38,J38)</f>
        <v>52745.968826879995</v>
      </c>
      <c r="AF38" s="288">
        <f t="shared" ref="AF38:AF40" si="47">SUM(AE38:AE38)</f>
        <v>52745.968826879995</v>
      </c>
      <c r="AG38" s="259">
        <f>AF38*0.7</f>
        <v>36922.178178815993</v>
      </c>
      <c r="AH38" s="260">
        <f>AG38/3</f>
        <v>12307.392726271997</v>
      </c>
      <c r="AI38" s="260">
        <f>AH38/12</f>
        <v>1025.6160605226664</v>
      </c>
      <c r="AK38" s="11"/>
      <c r="AM38" s="11"/>
    </row>
    <row r="39" spans="1:39" x14ac:dyDescent="0.4">
      <c r="A39" s="109" t="s">
        <v>319</v>
      </c>
      <c r="B39" s="613" t="s">
        <v>290</v>
      </c>
      <c r="C39" s="109" t="s">
        <v>285</v>
      </c>
      <c r="D39" s="338" t="s">
        <v>67</v>
      </c>
      <c r="E39" s="298">
        <v>1</v>
      </c>
      <c r="F39" s="377">
        <f>'Field Travel'!C15</f>
        <v>42.5</v>
      </c>
      <c r="G39" s="293">
        <f>G38</f>
        <v>150</v>
      </c>
      <c r="H39" s="284" t="s">
        <v>46</v>
      </c>
      <c r="I39" s="10">
        <f>E39*F39*G39</f>
        <v>6375</v>
      </c>
      <c r="J39" s="383">
        <f>F39*G39</f>
        <v>6375</v>
      </c>
      <c r="K39" s="10">
        <v>1</v>
      </c>
      <c r="L39" s="385">
        <f t="shared" ref="L39:L40" si="48">F39*1.02</f>
        <v>43.35</v>
      </c>
      <c r="M39" s="12">
        <f>M38</f>
        <v>180</v>
      </c>
      <c r="N39" s="11">
        <f>L39*M39</f>
        <v>7803</v>
      </c>
      <c r="O39" s="291">
        <f>L39*M39</f>
        <v>7803</v>
      </c>
      <c r="P39" s="11">
        <v>1</v>
      </c>
      <c r="Q39" s="385">
        <f t="shared" ref="Q39:Q40" si="49">L39*1.02</f>
        <v>44.216999999999999</v>
      </c>
      <c r="R39" s="12">
        <f>R38</f>
        <v>198</v>
      </c>
      <c r="S39" s="11">
        <f>Q39*R39</f>
        <v>8754.9660000000003</v>
      </c>
      <c r="T39" s="291">
        <f>Q39*R39</f>
        <v>8754.9660000000003</v>
      </c>
      <c r="U39" s="293">
        <v>1</v>
      </c>
      <c r="V39" s="385">
        <f t="shared" si="46"/>
        <v>45.10134</v>
      </c>
      <c r="W39" s="12">
        <f>W38</f>
        <v>180</v>
      </c>
      <c r="X39" s="11">
        <f>V39*W39</f>
        <v>8118.2412000000004</v>
      </c>
      <c r="Y39" s="291">
        <f>V39*W39</f>
        <v>8118.2412000000004</v>
      </c>
      <c r="Z39" s="11">
        <v>1</v>
      </c>
      <c r="AA39" s="385">
        <f>V39*1.02</f>
        <v>46.003366800000002</v>
      </c>
      <c r="AB39" s="12">
        <f>AB38</f>
        <v>144</v>
      </c>
      <c r="AC39" s="11">
        <f>AA39*AB39</f>
        <v>6624.4848191999999</v>
      </c>
      <c r="AD39" s="291">
        <f>AA39*AB39</f>
        <v>6624.4848191999999</v>
      </c>
      <c r="AE39" s="195">
        <f>SUM(AD39,Y39,T39,O39,J39)</f>
        <v>37675.692019199996</v>
      </c>
      <c r="AF39" s="288">
        <f t="shared" si="47"/>
        <v>37675.692019199996</v>
      </c>
      <c r="AG39" s="259">
        <f>AF39*0.7</f>
        <v>26372.984413439997</v>
      </c>
      <c r="AH39" s="260">
        <f>AG39/3</f>
        <v>8790.9948044799985</v>
      </c>
      <c r="AI39" s="260">
        <f>AH39/12</f>
        <v>732.58290037333325</v>
      </c>
    </row>
    <row r="40" spans="1:39" x14ac:dyDescent="0.4">
      <c r="A40" s="109" t="s">
        <v>319</v>
      </c>
      <c r="B40" s="613" t="s">
        <v>300</v>
      </c>
      <c r="C40" s="109" t="s">
        <v>285</v>
      </c>
      <c r="D40" s="338" t="s">
        <v>133</v>
      </c>
      <c r="E40" s="298">
        <v>1</v>
      </c>
      <c r="F40" s="377">
        <f>'Field Travel'!D15</f>
        <v>56</v>
      </c>
      <c r="G40" s="293">
        <f>E26+E33+'Field Travel'!L15</f>
        <v>39</v>
      </c>
      <c r="H40" s="284" t="s">
        <v>70</v>
      </c>
      <c r="I40" s="10">
        <f>E40*F40*G40</f>
        <v>2184</v>
      </c>
      <c r="J40" s="383">
        <f>F40*G40</f>
        <v>2184</v>
      </c>
      <c r="K40" s="10">
        <v>1</v>
      </c>
      <c r="L40" s="385">
        <f t="shared" si="48"/>
        <v>57.120000000000005</v>
      </c>
      <c r="M40" s="12">
        <f>K26+K33+'Field Travel'!L16</f>
        <v>44</v>
      </c>
      <c r="N40" s="11">
        <f>L40*M40</f>
        <v>2513.2800000000002</v>
      </c>
      <c r="O40" s="291">
        <f>L40*M40</f>
        <v>2513.2800000000002</v>
      </c>
      <c r="P40" s="11">
        <v>1</v>
      </c>
      <c r="Q40" s="385">
        <f t="shared" si="49"/>
        <v>58.262400000000007</v>
      </c>
      <c r="R40" s="12">
        <f>P26+P33+'Field Travel'!L17</f>
        <v>53</v>
      </c>
      <c r="S40" s="11">
        <f>Q40*R40</f>
        <v>3087.9072000000006</v>
      </c>
      <c r="T40" s="291">
        <f>Q40*R40</f>
        <v>3087.9072000000006</v>
      </c>
      <c r="U40" s="293">
        <v>1</v>
      </c>
      <c r="V40" s="385">
        <f t="shared" si="46"/>
        <v>59.427648000000005</v>
      </c>
      <c r="W40" s="12">
        <f>U26+U33+'Field Travel'!L18</f>
        <v>44</v>
      </c>
      <c r="X40" s="11">
        <f>V40*W40</f>
        <v>2614.8165120000003</v>
      </c>
      <c r="Y40" s="291">
        <f>V40*W40</f>
        <v>2614.8165120000003</v>
      </c>
      <c r="Z40" s="11">
        <v>1</v>
      </c>
      <c r="AA40" s="385">
        <f t="shared" ref="AA40" si="50">V40*1.02</f>
        <v>60.616200960000008</v>
      </c>
      <c r="AB40" s="12">
        <f>Z26+Z33+'Field Travel'!L19</f>
        <v>38</v>
      </c>
      <c r="AC40" s="11">
        <f>AA40*AB40</f>
        <v>2303.4156364800001</v>
      </c>
      <c r="AD40" s="291">
        <f>AA40*AB40</f>
        <v>2303.4156364800001</v>
      </c>
      <c r="AE40" s="195">
        <f>SUM(AD40,Y40,T40,O40,J40)</f>
        <v>12703.419348480002</v>
      </c>
      <c r="AF40" s="288">
        <f t="shared" si="47"/>
        <v>12703.419348480002</v>
      </c>
      <c r="AG40" s="259">
        <f>AF40*0.7</f>
        <v>8892.3935439360012</v>
      </c>
      <c r="AH40" s="260">
        <f>AG40/3</f>
        <v>2964.1311813120005</v>
      </c>
      <c r="AI40" s="260">
        <f>AH40/12</f>
        <v>247.01093177600004</v>
      </c>
    </row>
    <row r="41" spans="1:39" x14ac:dyDescent="0.4">
      <c r="A41" s="372"/>
      <c r="B41" s="372"/>
      <c r="C41" s="622"/>
      <c r="D41" s="297"/>
      <c r="E41" s="298"/>
      <c r="F41" s="377"/>
      <c r="G41" s="11"/>
      <c r="H41" s="284"/>
      <c r="I41" s="10"/>
      <c r="J41" s="383"/>
      <c r="K41" s="10"/>
      <c r="L41" s="385"/>
      <c r="M41" s="12"/>
      <c r="N41" s="11"/>
      <c r="O41" s="291"/>
      <c r="P41" s="11"/>
      <c r="Q41" s="385"/>
      <c r="R41" s="12"/>
      <c r="S41" s="11"/>
      <c r="T41" s="291"/>
      <c r="U41" s="293"/>
      <c r="V41" s="385"/>
      <c r="W41" s="12"/>
      <c r="X41" s="11"/>
      <c r="Y41" s="291"/>
      <c r="Z41" s="11"/>
      <c r="AA41" s="385"/>
      <c r="AB41" s="12"/>
      <c r="AC41" s="11"/>
      <c r="AD41" s="291"/>
      <c r="AE41" s="195"/>
      <c r="AF41" s="291"/>
      <c r="AG41" s="259"/>
      <c r="AH41" s="260"/>
      <c r="AI41" s="260"/>
    </row>
    <row r="42" spans="1:39" x14ac:dyDescent="0.4">
      <c r="A42" s="372"/>
      <c r="B42" s="372"/>
      <c r="C42" s="622"/>
      <c r="D42" s="615" t="s">
        <v>16</v>
      </c>
      <c r="E42" s="375"/>
      <c r="F42" s="24"/>
      <c r="G42" s="24"/>
      <c r="H42" s="289"/>
      <c r="I42" s="290"/>
      <c r="J42" s="383"/>
      <c r="K42" s="290"/>
      <c r="L42" s="292"/>
      <c r="M42" s="336"/>
      <c r="N42" s="292"/>
      <c r="O42" s="195"/>
      <c r="P42" s="292"/>
      <c r="Q42" s="292"/>
      <c r="R42" s="336"/>
      <c r="S42" s="292"/>
      <c r="T42" s="195"/>
      <c r="U42" s="24"/>
      <c r="V42" s="292"/>
      <c r="W42" s="336"/>
      <c r="X42" s="292"/>
      <c r="Y42" s="195"/>
      <c r="Z42" s="292"/>
      <c r="AA42" s="292"/>
      <c r="AB42" s="336"/>
      <c r="AC42" s="292"/>
      <c r="AD42" s="195"/>
      <c r="AE42" s="287"/>
      <c r="AF42" s="288"/>
      <c r="AI42" s="260">
        <f>AH36/10</f>
        <v>189.70938044160002</v>
      </c>
    </row>
    <row r="43" spans="1:39" x14ac:dyDescent="0.4">
      <c r="A43" s="109" t="s">
        <v>320</v>
      </c>
      <c r="B43" s="109" t="s">
        <v>320</v>
      </c>
      <c r="C43" s="109" t="s">
        <v>320</v>
      </c>
      <c r="D43" s="616" t="s">
        <v>134</v>
      </c>
      <c r="E43" s="285">
        <v>1</v>
      </c>
      <c r="F43" s="4">
        <v>0</v>
      </c>
      <c r="G43" s="4">
        <v>1</v>
      </c>
      <c r="H43" s="376" t="s">
        <v>40</v>
      </c>
      <c r="I43" s="10">
        <f>E43*F43*G43</f>
        <v>0</v>
      </c>
      <c r="J43" s="339">
        <f>SUM(I43:I43)</f>
        <v>0</v>
      </c>
      <c r="K43" s="10">
        <v>0</v>
      </c>
      <c r="L43" s="11">
        <v>0</v>
      </c>
      <c r="M43" s="12">
        <v>0</v>
      </c>
      <c r="N43" s="11">
        <f>M43*L43*K43</f>
        <v>0</v>
      </c>
      <c r="O43" s="195">
        <f>SUM(N43:N43)</f>
        <v>0</v>
      </c>
      <c r="P43" s="10">
        <v>0</v>
      </c>
      <c r="Q43" s="11">
        <v>0</v>
      </c>
      <c r="R43" s="12">
        <v>0</v>
      </c>
      <c r="S43" s="11">
        <f>R43*Q43*P43</f>
        <v>0</v>
      </c>
      <c r="T43" s="195">
        <f>SUM(S43:S43)</f>
        <v>0</v>
      </c>
      <c r="U43" s="10">
        <v>0</v>
      </c>
      <c r="V43" s="11">
        <v>0</v>
      </c>
      <c r="W43" s="12">
        <v>0</v>
      </c>
      <c r="X43" s="11">
        <f>W43*V43*U43</f>
        <v>0</v>
      </c>
      <c r="Y43" s="195">
        <f>SUM(X43:X43)</f>
        <v>0</v>
      </c>
      <c r="Z43" s="10">
        <v>0</v>
      </c>
      <c r="AA43" s="11">
        <v>0</v>
      </c>
      <c r="AB43" s="12">
        <v>0</v>
      </c>
      <c r="AC43" s="11">
        <f>AB43*AA43*Z43</f>
        <v>0</v>
      </c>
      <c r="AD43" s="195">
        <f>SUM(AC43:AC43)</f>
        <v>0</v>
      </c>
      <c r="AE43" s="287">
        <f>I43+N43+S43+X43+AC43</f>
        <v>0</v>
      </c>
      <c r="AF43" s="288">
        <f t="shared" ref="AF43" si="51">SUM(AE43:AE43)</f>
        <v>0</v>
      </c>
    </row>
    <row r="44" spans="1:39" x14ac:dyDescent="0.4">
      <c r="A44" s="109"/>
      <c r="B44" s="372"/>
      <c r="C44" s="622"/>
      <c r="D44" s="617" t="s">
        <v>135</v>
      </c>
      <c r="E44" s="375"/>
      <c r="F44" s="24"/>
      <c r="G44" s="24"/>
      <c r="H44" s="289"/>
      <c r="I44" s="290">
        <f>SUM(I42:I43)</f>
        <v>0</v>
      </c>
      <c r="J44" s="383">
        <f>SUM(J42:J43)</f>
        <v>0</v>
      </c>
      <c r="K44" s="290"/>
      <c r="L44" s="292"/>
      <c r="M44" s="336"/>
      <c r="N44" s="292">
        <f>SUM(N42:N43)</f>
        <v>0</v>
      </c>
      <c r="O44" s="291">
        <f>SUM(O42:O43)</f>
        <v>0</v>
      </c>
      <c r="P44" s="292"/>
      <c r="Q44" s="292"/>
      <c r="R44" s="336"/>
      <c r="S44" s="292">
        <f>SUM(S42:S43)</f>
        <v>0</v>
      </c>
      <c r="T44" s="291">
        <f>SUM(T42:T43)</f>
        <v>0</v>
      </c>
      <c r="U44" s="24"/>
      <c r="V44" s="292"/>
      <c r="W44" s="336"/>
      <c r="X44" s="292">
        <f>SUM(X42:X43)</f>
        <v>0</v>
      </c>
      <c r="Y44" s="291">
        <f>SUM(Y42:Y43)</f>
        <v>0</v>
      </c>
      <c r="Z44" s="292"/>
      <c r="AA44" s="292"/>
      <c r="AB44" s="336"/>
      <c r="AC44" s="292">
        <f>SUM(AC42:AC43)</f>
        <v>0</v>
      </c>
      <c r="AD44" s="291">
        <f>SUM(AD42:AD43)</f>
        <v>0</v>
      </c>
      <c r="AE44" s="287">
        <f>I44+N44+S44+X44+AC44</f>
        <v>0</v>
      </c>
      <c r="AF44" s="288">
        <f>SUM(AE44:AE44)</f>
        <v>0</v>
      </c>
    </row>
    <row r="45" spans="1:39" x14ac:dyDescent="0.4">
      <c r="A45" s="109"/>
      <c r="B45" s="372"/>
      <c r="C45" s="622"/>
      <c r="D45" s="615"/>
      <c r="E45" s="285"/>
      <c r="H45" s="284"/>
      <c r="I45" s="10"/>
      <c r="J45" s="339"/>
      <c r="K45" s="10"/>
      <c r="L45" s="11"/>
      <c r="M45" s="12"/>
      <c r="N45" s="11"/>
      <c r="O45" s="195"/>
      <c r="P45" s="11"/>
      <c r="Q45" s="11"/>
      <c r="R45" s="12"/>
      <c r="S45" s="11"/>
      <c r="T45" s="195"/>
      <c r="V45" s="11"/>
      <c r="W45" s="12"/>
      <c r="X45" s="11"/>
      <c r="Y45" s="195"/>
      <c r="Z45" s="11"/>
      <c r="AA45" s="11"/>
      <c r="AB45" s="12"/>
      <c r="AC45" s="11"/>
      <c r="AD45" s="195"/>
      <c r="AE45" s="287"/>
      <c r="AF45" s="288"/>
    </row>
    <row r="46" spans="1:39" x14ac:dyDescent="0.4">
      <c r="A46" s="109"/>
      <c r="B46" s="613"/>
      <c r="C46" s="622"/>
      <c r="D46" s="615" t="s">
        <v>136</v>
      </c>
      <c r="E46" s="285"/>
      <c r="H46" s="284"/>
      <c r="I46" s="10"/>
      <c r="J46" s="339"/>
      <c r="K46" s="10"/>
      <c r="L46" s="11"/>
      <c r="M46" s="12"/>
      <c r="N46" s="11"/>
      <c r="O46" s="195"/>
      <c r="P46" s="11"/>
      <c r="Q46" s="11"/>
      <c r="R46" s="12"/>
      <c r="S46" s="11"/>
      <c r="T46" s="195"/>
      <c r="V46" s="11"/>
      <c r="W46" s="12"/>
      <c r="X46" s="11"/>
      <c r="Y46" s="195"/>
      <c r="Z46" s="11"/>
      <c r="AA46" s="11"/>
      <c r="AB46" s="12"/>
      <c r="AC46" s="11"/>
      <c r="AD46" s="195"/>
      <c r="AE46" s="287"/>
      <c r="AF46" s="288"/>
    </row>
    <row r="47" spans="1:39" x14ac:dyDescent="0.4">
      <c r="A47" s="109" t="s">
        <v>321</v>
      </c>
      <c r="B47" s="602" t="s">
        <v>299</v>
      </c>
      <c r="C47" s="109" t="s">
        <v>285</v>
      </c>
      <c r="D47" s="618" t="s">
        <v>137</v>
      </c>
      <c r="E47" s="285">
        <v>1</v>
      </c>
      <c r="F47" s="293">
        <f>'FO Expenses'!L12</f>
        <v>65</v>
      </c>
      <c r="G47" s="293">
        <v>11</v>
      </c>
      <c r="H47" s="294" t="s">
        <v>31</v>
      </c>
      <c r="I47" s="10">
        <f>G47*F47*E47</f>
        <v>715</v>
      </c>
      <c r="J47" s="339">
        <f t="shared" ref="J47:J52" si="52">SUM(I47:I47)</f>
        <v>715</v>
      </c>
      <c r="K47" s="10">
        <v>1</v>
      </c>
      <c r="L47" s="11">
        <f>F47*1.02</f>
        <v>66.3</v>
      </c>
      <c r="M47" s="12">
        <v>12</v>
      </c>
      <c r="N47" s="11">
        <f t="shared" ref="N47" si="53">M47*L47*K47</f>
        <v>795.59999999999991</v>
      </c>
      <c r="O47" s="195">
        <f t="shared" ref="O47:O52" si="54">SUM(N47:N47)</f>
        <v>795.59999999999991</v>
      </c>
      <c r="P47" s="11">
        <v>1</v>
      </c>
      <c r="Q47" s="11">
        <f>L47*1.02</f>
        <v>67.626000000000005</v>
      </c>
      <c r="R47" s="12">
        <v>12</v>
      </c>
      <c r="S47" s="11">
        <f>R47*Q47*P47</f>
        <v>811.51200000000006</v>
      </c>
      <c r="T47" s="295">
        <f t="shared" ref="T47:T52" si="55">SUM(S47:S47)</f>
        <v>811.51200000000006</v>
      </c>
      <c r="U47" s="293">
        <v>1</v>
      </c>
      <c r="V47" s="11">
        <f t="shared" ref="V47:V52" si="56">Q47*1.02</f>
        <v>68.978520000000003</v>
      </c>
      <c r="W47" s="12">
        <v>12</v>
      </c>
      <c r="X47" s="11">
        <f>W47*V47*U47</f>
        <v>827.74224000000004</v>
      </c>
      <c r="Y47" s="195">
        <f t="shared" ref="Y47:Y52" si="57">SUM(X47:X47)</f>
        <v>827.74224000000004</v>
      </c>
      <c r="Z47" s="11">
        <v>1</v>
      </c>
      <c r="AA47" s="11">
        <f>V47*1.02</f>
        <v>70.358090400000009</v>
      </c>
      <c r="AB47" s="12">
        <v>9</v>
      </c>
      <c r="AC47" s="11">
        <f>AB47*AA47*Z47</f>
        <v>633.22281360000011</v>
      </c>
      <c r="AD47" s="195">
        <f t="shared" ref="AD47:AD52" si="58">SUM(AC47:AC47)</f>
        <v>633.22281360000011</v>
      </c>
      <c r="AE47" s="358">
        <f t="shared" ref="AE47:AE52" si="59">I47+N47+S47+X47+AC47</f>
        <v>3783.0770536</v>
      </c>
      <c r="AF47" s="288">
        <f t="shared" ref="AF47:AF53" si="60">SUM(AE47:AE47)</f>
        <v>3783.0770536</v>
      </c>
    </row>
    <row r="48" spans="1:39" x14ac:dyDescent="0.4">
      <c r="A48" s="109" t="s">
        <v>322</v>
      </c>
      <c r="B48" s="602">
        <v>85105</v>
      </c>
      <c r="C48" s="109" t="s">
        <v>285</v>
      </c>
      <c r="D48" s="306" t="s">
        <v>138</v>
      </c>
      <c r="E48" s="285">
        <v>1</v>
      </c>
      <c r="F48" s="293">
        <f>'FO Expenses'!L13</f>
        <v>155</v>
      </c>
      <c r="G48" s="293">
        <v>11</v>
      </c>
      <c r="H48" s="294" t="s">
        <v>31</v>
      </c>
      <c r="I48" s="10">
        <f>G48*F48*E48</f>
        <v>1705</v>
      </c>
      <c r="J48" s="339">
        <f t="shared" si="52"/>
        <v>1705</v>
      </c>
      <c r="K48" s="10">
        <v>1</v>
      </c>
      <c r="L48" s="11">
        <f>F48*1.02</f>
        <v>158.1</v>
      </c>
      <c r="M48" s="12">
        <v>12</v>
      </c>
      <c r="N48" s="11">
        <f>M48*L48*K48</f>
        <v>1897.1999999999998</v>
      </c>
      <c r="O48" s="195">
        <f t="shared" si="54"/>
        <v>1897.1999999999998</v>
      </c>
      <c r="P48" s="11">
        <v>1</v>
      </c>
      <c r="Q48" s="11">
        <f>L48*1.02</f>
        <v>161.262</v>
      </c>
      <c r="R48" s="12">
        <v>12</v>
      </c>
      <c r="S48" s="11">
        <f>R48*Q48*P48</f>
        <v>1935.144</v>
      </c>
      <c r="T48" s="295">
        <f t="shared" si="55"/>
        <v>1935.144</v>
      </c>
      <c r="U48" s="293">
        <v>1</v>
      </c>
      <c r="V48" s="11">
        <f t="shared" si="56"/>
        <v>164.48724000000001</v>
      </c>
      <c r="W48" s="12">
        <v>12</v>
      </c>
      <c r="X48" s="11">
        <f>W48*V48*U48</f>
        <v>1973.8468800000001</v>
      </c>
      <c r="Y48" s="195">
        <f t="shared" si="57"/>
        <v>1973.8468800000001</v>
      </c>
      <c r="Z48" s="11">
        <v>1</v>
      </c>
      <c r="AA48" s="11">
        <f>V48*1.02</f>
        <v>167.77698480000001</v>
      </c>
      <c r="AB48" s="12">
        <v>9</v>
      </c>
      <c r="AC48" s="11">
        <f>AB48*AA48*Z48</f>
        <v>1509.9928632000001</v>
      </c>
      <c r="AD48" s="195">
        <f t="shared" si="58"/>
        <v>1509.9928632000001</v>
      </c>
      <c r="AE48" s="287">
        <f t="shared" si="59"/>
        <v>9021.1837431999993</v>
      </c>
      <c r="AF48" s="288">
        <f t="shared" si="60"/>
        <v>9021.1837431999993</v>
      </c>
    </row>
    <row r="49" spans="1:32" x14ac:dyDescent="0.4">
      <c r="A49" s="109" t="s">
        <v>323</v>
      </c>
      <c r="B49" s="602" t="s">
        <v>301</v>
      </c>
      <c r="C49" s="109" t="s">
        <v>285</v>
      </c>
      <c r="D49" s="306" t="s">
        <v>139</v>
      </c>
      <c r="E49" s="285">
        <v>1</v>
      </c>
      <c r="F49" s="293">
        <f>'FO Expenses'!L14</f>
        <v>60.13</v>
      </c>
      <c r="G49" s="293">
        <v>11</v>
      </c>
      <c r="H49" s="294" t="s">
        <v>31</v>
      </c>
      <c r="I49" s="10">
        <f>G49*F49*E49</f>
        <v>661.43000000000006</v>
      </c>
      <c r="J49" s="339">
        <f t="shared" si="52"/>
        <v>661.43000000000006</v>
      </c>
      <c r="K49" s="10">
        <v>1</v>
      </c>
      <c r="L49" s="11">
        <f>F49*1.02</f>
        <v>61.332600000000006</v>
      </c>
      <c r="M49" s="12">
        <v>12</v>
      </c>
      <c r="N49" s="11">
        <f>M49*L49*K49</f>
        <v>735.99120000000005</v>
      </c>
      <c r="O49" s="195">
        <f t="shared" si="54"/>
        <v>735.99120000000005</v>
      </c>
      <c r="P49" s="11">
        <v>1</v>
      </c>
      <c r="Q49" s="11">
        <f t="shared" ref="Q49:Q52" si="61">L49*1.02</f>
        <v>62.559252000000008</v>
      </c>
      <c r="R49" s="12">
        <v>12</v>
      </c>
      <c r="S49" s="11">
        <f>R49*Q49*P49</f>
        <v>750.71102400000007</v>
      </c>
      <c r="T49" s="295">
        <f t="shared" si="55"/>
        <v>750.71102400000007</v>
      </c>
      <c r="U49" s="293">
        <v>1</v>
      </c>
      <c r="V49" s="11">
        <f t="shared" si="56"/>
        <v>63.810437040000011</v>
      </c>
      <c r="W49" s="12">
        <v>12</v>
      </c>
      <c r="X49" s="11">
        <f>W49*V49*U49</f>
        <v>765.72524448000013</v>
      </c>
      <c r="Y49" s="195">
        <f t="shared" si="57"/>
        <v>765.72524448000013</v>
      </c>
      <c r="Z49" s="11">
        <v>1</v>
      </c>
      <c r="AA49" s="11">
        <f t="shared" ref="AA49:AA52" si="62">V49*1.02</f>
        <v>65.086645780800012</v>
      </c>
      <c r="AB49" s="12">
        <v>9</v>
      </c>
      <c r="AC49" s="11">
        <f>AB49*AA49*Z49</f>
        <v>585.77981202720014</v>
      </c>
      <c r="AD49" s="195">
        <f t="shared" si="58"/>
        <v>585.77981202720014</v>
      </c>
      <c r="AE49" s="287">
        <f>I49+N49+S49+X49+AC49</f>
        <v>3499.6372805072006</v>
      </c>
      <c r="AF49" s="288">
        <f t="shared" si="60"/>
        <v>3499.6372805072006</v>
      </c>
    </row>
    <row r="50" spans="1:32" x14ac:dyDescent="0.4">
      <c r="A50" s="109" t="s">
        <v>324</v>
      </c>
      <c r="B50" s="602" t="s">
        <v>302</v>
      </c>
      <c r="C50" s="109" t="s">
        <v>285</v>
      </c>
      <c r="D50" s="306" t="s">
        <v>140</v>
      </c>
      <c r="E50" s="285">
        <v>1</v>
      </c>
      <c r="F50" s="293">
        <f>SUM('FO Expenses'!L16:L16)</f>
        <v>100</v>
      </c>
      <c r="G50" s="293">
        <v>11</v>
      </c>
      <c r="H50" s="294" t="s">
        <v>31</v>
      </c>
      <c r="I50" s="10">
        <f>G50*F50*E50</f>
        <v>1100</v>
      </c>
      <c r="J50" s="339">
        <f t="shared" si="52"/>
        <v>1100</v>
      </c>
      <c r="K50" s="10">
        <v>1</v>
      </c>
      <c r="L50" s="11">
        <f>F50*1.02</f>
        <v>102</v>
      </c>
      <c r="M50" s="12">
        <v>12</v>
      </c>
      <c r="N50" s="11">
        <f t="shared" ref="N50:N52" si="63">M50*L50*K50</f>
        <v>1224</v>
      </c>
      <c r="O50" s="195">
        <f t="shared" si="54"/>
        <v>1224</v>
      </c>
      <c r="P50" s="11">
        <v>1</v>
      </c>
      <c r="Q50" s="11">
        <f t="shared" si="61"/>
        <v>104.04</v>
      </c>
      <c r="R50" s="12">
        <v>12</v>
      </c>
      <c r="S50" s="11">
        <f t="shared" ref="S50:S52" si="64">R50*Q50*P50</f>
        <v>1248.48</v>
      </c>
      <c r="T50" s="295">
        <f t="shared" si="55"/>
        <v>1248.48</v>
      </c>
      <c r="U50" s="293">
        <v>1</v>
      </c>
      <c r="V50" s="11">
        <f t="shared" si="56"/>
        <v>106.1208</v>
      </c>
      <c r="W50" s="12">
        <v>12</v>
      </c>
      <c r="X50" s="11">
        <f t="shared" ref="X50:X52" si="65">W50*V50*U50</f>
        <v>1273.4495999999999</v>
      </c>
      <c r="Y50" s="195">
        <f t="shared" si="57"/>
        <v>1273.4495999999999</v>
      </c>
      <c r="Z50" s="11">
        <v>1</v>
      </c>
      <c r="AA50" s="11">
        <f t="shared" si="62"/>
        <v>108.243216</v>
      </c>
      <c r="AB50" s="12">
        <v>9</v>
      </c>
      <c r="AC50" s="11">
        <f t="shared" ref="AC50:AC52" si="66">AB50*AA50*Z50</f>
        <v>974.18894399999999</v>
      </c>
      <c r="AD50" s="195">
        <f t="shared" si="58"/>
        <v>974.18894399999999</v>
      </c>
      <c r="AE50" s="287">
        <f t="shared" si="59"/>
        <v>5820.118543999999</v>
      </c>
      <c r="AF50" s="288">
        <f t="shared" si="60"/>
        <v>5820.118543999999</v>
      </c>
    </row>
    <row r="51" spans="1:32" x14ac:dyDescent="0.4">
      <c r="A51" s="109" t="s">
        <v>325</v>
      </c>
      <c r="B51" s="602" t="s">
        <v>303</v>
      </c>
      <c r="C51" s="109" t="s">
        <v>285</v>
      </c>
      <c r="D51" s="306" t="s">
        <v>141</v>
      </c>
      <c r="E51" s="285">
        <v>1</v>
      </c>
      <c r="F51" s="293">
        <f>SUM('FO Expenses'!G9:G9)</f>
        <v>900</v>
      </c>
      <c r="G51" s="293">
        <v>11</v>
      </c>
      <c r="H51" s="294" t="s">
        <v>31</v>
      </c>
      <c r="I51" s="10">
        <f t="shared" ref="I51" si="67">G51*F51*E51</f>
        <v>9900</v>
      </c>
      <c r="J51" s="339">
        <f t="shared" si="52"/>
        <v>9900</v>
      </c>
      <c r="K51" s="10">
        <v>1</v>
      </c>
      <c r="L51" s="11">
        <f t="shared" ref="L51" si="68">F51*1.02</f>
        <v>918</v>
      </c>
      <c r="M51" s="12">
        <v>12</v>
      </c>
      <c r="N51" s="11">
        <f t="shared" ref="N51" si="69">M51*L51*K51</f>
        <v>11016</v>
      </c>
      <c r="O51" s="195">
        <f t="shared" si="54"/>
        <v>11016</v>
      </c>
      <c r="P51" s="11">
        <v>1</v>
      </c>
      <c r="Q51" s="11">
        <f t="shared" ref="Q51" si="70">L51*1.02</f>
        <v>936.36</v>
      </c>
      <c r="R51" s="12">
        <v>12</v>
      </c>
      <c r="S51" s="11">
        <f t="shared" ref="S51" si="71">R51*Q51*P51</f>
        <v>11236.32</v>
      </c>
      <c r="T51" s="295">
        <f t="shared" si="55"/>
        <v>11236.32</v>
      </c>
      <c r="U51" s="293">
        <v>1</v>
      </c>
      <c r="V51" s="11">
        <f t="shared" ref="V51" si="72">Q51*1.02</f>
        <v>955.08720000000005</v>
      </c>
      <c r="W51" s="12">
        <v>12</v>
      </c>
      <c r="X51" s="11">
        <f t="shared" ref="X51" si="73">W51*V51*U51</f>
        <v>11461.046400000001</v>
      </c>
      <c r="Y51" s="195">
        <f t="shared" si="57"/>
        <v>11461.046400000001</v>
      </c>
      <c r="Z51" s="11">
        <v>1</v>
      </c>
      <c r="AA51" s="11">
        <f t="shared" ref="AA51" si="74">V51*1.02</f>
        <v>974.18894400000011</v>
      </c>
      <c r="AB51" s="12">
        <v>6</v>
      </c>
      <c r="AC51" s="11">
        <f t="shared" ref="AC51" si="75">AB51*AA51*Z51</f>
        <v>5845.1336640000009</v>
      </c>
      <c r="AD51" s="195">
        <f t="shared" si="58"/>
        <v>5845.1336640000009</v>
      </c>
      <c r="AE51" s="287">
        <f t="shared" ref="AE51" si="76">I51+N51+S51+X51+AC51</f>
        <v>49458.500064</v>
      </c>
      <c r="AF51" s="288">
        <f t="shared" si="60"/>
        <v>49458.500064</v>
      </c>
    </row>
    <row r="52" spans="1:32" x14ac:dyDescent="0.4">
      <c r="A52" s="109" t="s">
        <v>326</v>
      </c>
      <c r="B52" s="602" t="s">
        <v>304</v>
      </c>
      <c r="C52" s="109" t="s">
        <v>285</v>
      </c>
      <c r="D52" s="306" t="s">
        <v>142</v>
      </c>
      <c r="E52" s="285">
        <v>1</v>
      </c>
      <c r="F52" s="293">
        <f>'FO Expenses'!L15</f>
        <v>233.75</v>
      </c>
      <c r="G52" s="293">
        <v>11</v>
      </c>
      <c r="H52" s="294" t="s">
        <v>31</v>
      </c>
      <c r="I52" s="10">
        <f t="shared" ref="I52" si="77">G52*F52*E52</f>
        <v>2571.25</v>
      </c>
      <c r="J52" s="339">
        <f t="shared" si="52"/>
        <v>2571.25</v>
      </c>
      <c r="K52" s="10">
        <v>1</v>
      </c>
      <c r="L52" s="11">
        <f t="shared" ref="L52" si="78">F52*1.02</f>
        <v>238.42500000000001</v>
      </c>
      <c r="M52" s="12">
        <v>12</v>
      </c>
      <c r="N52" s="11">
        <f t="shared" si="63"/>
        <v>2861.1000000000004</v>
      </c>
      <c r="O52" s="195">
        <f t="shared" si="54"/>
        <v>2861.1000000000004</v>
      </c>
      <c r="P52" s="11">
        <v>1</v>
      </c>
      <c r="Q52" s="11">
        <f t="shared" si="61"/>
        <v>243.19350000000003</v>
      </c>
      <c r="R52" s="12">
        <v>12</v>
      </c>
      <c r="S52" s="11">
        <f t="shared" si="64"/>
        <v>2918.3220000000001</v>
      </c>
      <c r="T52" s="295">
        <f t="shared" si="55"/>
        <v>2918.3220000000001</v>
      </c>
      <c r="U52" s="293">
        <v>1</v>
      </c>
      <c r="V52" s="11">
        <f t="shared" si="56"/>
        <v>248.05737000000002</v>
      </c>
      <c r="W52" s="12">
        <v>12</v>
      </c>
      <c r="X52" s="11">
        <f t="shared" si="65"/>
        <v>2976.6884400000004</v>
      </c>
      <c r="Y52" s="195">
        <f t="shared" si="57"/>
        <v>2976.6884400000004</v>
      </c>
      <c r="Z52" s="11">
        <v>1</v>
      </c>
      <c r="AA52" s="11">
        <f t="shared" si="62"/>
        <v>253.01851740000004</v>
      </c>
      <c r="AB52" s="12">
        <v>9</v>
      </c>
      <c r="AC52" s="11">
        <f t="shared" si="66"/>
        <v>2277.1666566000004</v>
      </c>
      <c r="AD52" s="195">
        <f t="shared" si="58"/>
        <v>2277.1666566000004</v>
      </c>
      <c r="AE52" s="287">
        <f t="shared" si="59"/>
        <v>13604.527096600001</v>
      </c>
      <c r="AF52" s="288">
        <f t="shared" si="60"/>
        <v>13604.527096600001</v>
      </c>
    </row>
    <row r="53" spans="1:32" ht="12.75" customHeight="1" x14ac:dyDescent="0.4">
      <c r="A53" s="109"/>
      <c r="B53" s="613"/>
      <c r="C53" s="622"/>
      <c r="D53" s="617" t="s">
        <v>143</v>
      </c>
      <c r="E53" s="375"/>
      <c r="F53" s="337"/>
      <c r="G53" s="337"/>
      <c r="H53" s="299"/>
      <c r="I53" s="292">
        <f>SUM(I47:I52)</f>
        <v>16652.68</v>
      </c>
      <c r="J53" s="383">
        <f>SUM(J47:J52)</f>
        <v>16652.68</v>
      </c>
      <c r="K53" s="290"/>
      <c r="L53" s="292"/>
      <c r="M53" s="336"/>
      <c r="N53" s="292">
        <f>SUM(N47:N52)</f>
        <v>18529.891199999998</v>
      </c>
      <c r="O53" s="383">
        <f>SUM(O47:O52)</f>
        <v>18529.891199999998</v>
      </c>
      <c r="P53" s="292"/>
      <c r="Q53" s="292"/>
      <c r="R53" s="336"/>
      <c r="S53" s="292">
        <f>SUM(S47:S52)</f>
        <v>18900.489024000002</v>
      </c>
      <c r="T53" s="383">
        <f>SUM(T47:T52)</f>
        <v>18900.489024000002</v>
      </c>
      <c r="U53" s="337"/>
      <c r="V53" s="292"/>
      <c r="W53" s="336"/>
      <c r="X53" s="292">
        <f>SUM(X47:X52)</f>
        <v>19278.498804480001</v>
      </c>
      <c r="Y53" s="383">
        <f>SUM(Y47:Y52)</f>
        <v>19278.498804480001</v>
      </c>
      <c r="Z53" s="292"/>
      <c r="AA53" s="292"/>
      <c r="AB53" s="336"/>
      <c r="AC53" s="292">
        <f>SUM(AC47:AC52)</f>
        <v>11825.484753427201</v>
      </c>
      <c r="AD53" s="383">
        <f>SUM(AD47:AD52)</f>
        <v>11825.484753427201</v>
      </c>
      <c r="AE53" s="287">
        <f>I53+N53+S53+X53+AC53</f>
        <v>85187.043781907196</v>
      </c>
      <c r="AF53" s="288">
        <f t="shared" si="60"/>
        <v>85187.043781907196</v>
      </c>
    </row>
    <row r="54" spans="1:32" ht="12.6" thickBot="1" x14ac:dyDescent="0.45">
      <c r="A54" s="109"/>
      <c r="B54" s="613"/>
      <c r="C54" s="624"/>
      <c r="D54" s="618"/>
      <c r="E54" s="285"/>
      <c r="H54" s="284"/>
      <c r="I54" s="10"/>
      <c r="J54" s="384"/>
      <c r="K54" s="285"/>
      <c r="M54" s="284"/>
      <c r="N54" s="11"/>
      <c r="O54" s="195"/>
      <c r="R54" s="284"/>
      <c r="S54" s="11"/>
      <c r="T54" s="195"/>
      <c r="V54" s="11"/>
      <c r="W54" s="12"/>
      <c r="X54" s="11"/>
      <c r="Y54" s="339"/>
      <c r="Z54" s="10"/>
      <c r="AA54" s="11"/>
      <c r="AB54" s="12"/>
      <c r="AC54" s="11"/>
      <c r="AD54" s="195"/>
      <c r="AE54" s="287"/>
      <c r="AF54" s="288"/>
    </row>
    <row r="55" spans="1:32" ht="12.6" thickBot="1" x14ac:dyDescent="0.45">
      <c r="A55" s="378"/>
      <c r="B55" s="378"/>
      <c r="C55" s="378"/>
      <c r="D55" s="378" t="s">
        <v>8</v>
      </c>
      <c r="E55" s="379"/>
      <c r="F55" s="300"/>
      <c r="G55" s="300"/>
      <c r="H55" s="380"/>
      <c r="I55" s="359">
        <f>I53+I16+I19+I44+I14+I30</f>
        <v>150760.57</v>
      </c>
      <c r="J55" s="303">
        <f>J53+J16+J19+J44+J14+J30</f>
        <v>150760.57</v>
      </c>
      <c r="K55" s="379"/>
      <c r="L55" s="300"/>
      <c r="M55" s="301"/>
      <c r="N55" s="302">
        <f>N53+N16+N19+N44+N14+N30</f>
        <v>168028.74119999999</v>
      </c>
      <c r="O55" s="303">
        <f>O53+O16+O19+O44+O14+O30</f>
        <v>168028.74119999999</v>
      </c>
      <c r="P55" s="300"/>
      <c r="Q55" s="300"/>
      <c r="R55" s="301"/>
      <c r="S55" s="302">
        <f>S53+S16+S19+S44+S14+S30</f>
        <v>172856.478924</v>
      </c>
      <c r="T55" s="303">
        <f>T53+T16+T19+T44+T14+T30</f>
        <v>172856.478924</v>
      </c>
      <c r="U55" s="300"/>
      <c r="V55" s="359"/>
      <c r="W55" s="360"/>
      <c r="X55" s="302">
        <f>X53+X16+X19+X44+X14+X30</f>
        <v>177824.78628948005</v>
      </c>
      <c r="Y55" s="303">
        <f>Y53+Y16+Y19+Y44+Y14+Y30</f>
        <v>177824.78628948005</v>
      </c>
      <c r="Z55" s="359"/>
      <c r="AA55" s="359"/>
      <c r="AB55" s="360"/>
      <c r="AC55" s="302">
        <f>AC53+AC16+AC19+AC44+AC14+AC30</f>
        <v>128487.92403231721</v>
      </c>
      <c r="AD55" s="303">
        <f>AD53+AD16+AD19+AD44+AD14+AD30</f>
        <v>128487.92403231721</v>
      </c>
      <c r="AE55" s="304">
        <f>AE53+AE16+AE19+AE44+AE14+AE30</f>
        <v>797958.50044579722</v>
      </c>
      <c r="AF55" s="305">
        <f>AF53+AF16+AF19+AF44+AF14+AF30</f>
        <v>797958.50044579722</v>
      </c>
    </row>
    <row r="56" spans="1:32" x14ac:dyDescent="0.4">
      <c r="A56" s="306"/>
      <c r="B56" s="306"/>
      <c r="C56" s="306"/>
      <c r="D56" s="306"/>
    </row>
    <row r="61" spans="1:32" x14ac:dyDescent="0.4">
      <c r="O61" s="11"/>
    </row>
    <row r="62" spans="1:32" x14ac:dyDescent="0.4">
      <c r="A62" s="234"/>
      <c r="B62" s="234"/>
      <c r="C62" s="234"/>
      <c r="D62" s="234"/>
      <c r="F62" s="307"/>
      <c r="G62" s="307"/>
      <c r="H62" s="307"/>
      <c r="L62" s="307"/>
      <c r="M62" s="307"/>
      <c r="Q62" s="307"/>
      <c r="R62" s="307"/>
      <c r="V62" s="307"/>
      <c r="W62" s="307"/>
      <c r="AA62" s="307"/>
      <c r="AB62" s="307"/>
    </row>
    <row r="63" spans="1:32" x14ac:dyDescent="0.4">
      <c r="A63" s="234"/>
      <c r="B63" s="234"/>
      <c r="C63" s="234"/>
      <c r="D63" s="234"/>
      <c r="F63" s="307"/>
      <c r="G63" s="307"/>
      <c r="H63" s="307"/>
      <c r="L63" s="307"/>
      <c r="M63" s="307"/>
      <c r="Q63" s="307"/>
      <c r="R63" s="307"/>
      <c r="V63" s="307"/>
      <c r="W63" s="307"/>
      <c r="AA63" s="307"/>
      <c r="AB63" s="307"/>
    </row>
    <row r="64" spans="1:32" x14ac:dyDescent="0.4">
      <c r="A64" s="234"/>
      <c r="B64" s="234"/>
      <c r="C64" s="234"/>
      <c r="D64" s="234"/>
      <c r="F64" s="307"/>
      <c r="G64" s="307"/>
      <c r="H64" s="307"/>
      <c r="L64" s="307"/>
      <c r="M64" s="307"/>
      <c r="Q64" s="307"/>
      <c r="R64" s="307"/>
      <c r="V64" s="307"/>
      <c r="W64" s="307"/>
      <c r="AA64" s="307"/>
      <c r="AB64" s="307"/>
    </row>
    <row r="65" spans="1:28" x14ac:dyDescent="0.4">
      <c r="A65" s="234"/>
      <c r="B65" s="234"/>
      <c r="C65" s="234"/>
      <c r="D65" s="234"/>
      <c r="F65" s="307"/>
      <c r="G65" s="307"/>
      <c r="H65" s="307"/>
      <c r="L65" s="307"/>
      <c r="M65" s="307"/>
      <c r="Q65" s="307"/>
      <c r="R65" s="307"/>
      <c r="V65" s="307"/>
      <c r="W65" s="307"/>
      <c r="AA65" s="307"/>
      <c r="AB65" s="307"/>
    </row>
    <row r="66" spans="1:28" x14ac:dyDescent="0.4">
      <c r="A66" s="234"/>
      <c r="B66" s="234"/>
      <c r="C66" s="234"/>
      <c r="D66" s="234"/>
      <c r="F66" s="307"/>
      <c r="G66" s="307"/>
      <c r="H66" s="307"/>
      <c r="L66" s="307"/>
      <c r="M66" s="307"/>
      <c r="Q66" s="307"/>
      <c r="R66" s="307"/>
      <c r="V66" s="307"/>
      <c r="W66" s="307"/>
      <c r="AA66" s="307"/>
      <c r="AB66" s="307"/>
    </row>
    <row r="67" spans="1:28" x14ac:dyDescent="0.4">
      <c r="A67" s="234"/>
      <c r="B67" s="234"/>
      <c r="C67" s="234"/>
      <c r="D67" s="234"/>
      <c r="F67" s="307"/>
      <c r="G67" s="307"/>
      <c r="H67" s="307"/>
      <c r="L67" s="307"/>
      <c r="M67" s="307"/>
      <c r="Q67" s="307"/>
      <c r="R67" s="307"/>
      <c r="V67" s="307"/>
      <c r="W67" s="307"/>
      <c r="AA67" s="307"/>
      <c r="AB67" s="307"/>
    </row>
    <row r="68" spans="1:28" x14ac:dyDescent="0.4">
      <c r="A68" s="234"/>
      <c r="B68" s="234"/>
      <c r="C68" s="234"/>
      <c r="D68" s="234"/>
      <c r="F68" s="307"/>
      <c r="G68" s="307"/>
      <c r="H68" s="307"/>
      <c r="L68" s="307"/>
      <c r="M68" s="307"/>
      <c r="Q68" s="307"/>
      <c r="R68" s="307"/>
      <c r="V68" s="307"/>
      <c r="W68" s="307"/>
      <c r="AA68" s="307"/>
      <c r="AB68" s="307"/>
    </row>
    <row r="69" spans="1:28" x14ac:dyDescent="0.4">
      <c r="A69" s="234"/>
      <c r="B69" s="234"/>
      <c r="C69" s="234"/>
      <c r="D69" s="234"/>
      <c r="F69" s="307"/>
      <c r="G69" s="307"/>
      <c r="H69" s="307"/>
      <c r="L69" s="307"/>
      <c r="M69" s="307"/>
      <c r="Q69" s="307"/>
      <c r="R69" s="307"/>
      <c r="V69" s="307"/>
      <c r="W69" s="307"/>
      <c r="AA69" s="307"/>
      <c r="AB69" s="307"/>
    </row>
    <row r="70" spans="1:28" x14ac:dyDescent="0.4">
      <c r="A70" s="234"/>
      <c r="B70" s="234"/>
      <c r="C70" s="234"/>
      <c r="D70" s="234"/>
      <c r="F70" s="307"/>
      <c r="G70" s="307"/>
      <c r="H70" s="307"/>
      <c r="L70" s="307"/>
      <c r="M70" s="307"/>
      <c r="Q70" s="307"/>
      <c r="R70" s="307"/>
      <c r="V70" s="307"/>
      <c r="W70" s="307"/>
      <c r="AA70" s="307"/>
      <c r="AB70" s="307"/>
    </row>
    <row r="71" spans="1:28" x14ac:dyDescent="0.4">
      <c r="A71" s="234"/>
      <c r="B71" s="234"/>
      <c r="C71" s="234"/>
      <c r="D71" s="234"/>
      <c r="F71" s="307"/>
      <c r="G71" s="307"/>
      <c r="H71" s="307"/>
      <c r="L71" s="307"/>
      <c r="M71" s="307"/>
      <c r="Q71" s="307"/>
      <c r="R71" s="307"/>
      <c r="V71" s="307"/>
      <c r="W71" s="307"/>
      <c r="AA71" s="307"/>
      <c r="AB71" s="307"/>
    </row>
    <row r="72" spans="1:28" x14ac:dyDescent="0.4">
      <c r="A72" s="234"/>
      <c r="B72" s="234"/>
      <c r="C72" s="234"/>
      <c r="D72" s="234"/>
      <c r="F72" s="308"/>
      <c r="G72" s="308"/>
      <c r="H72" s="308"/>
      <c r="L72" s="308"/>
      <c r="M72" s="308"/>
      <c r="Q72" s="308"/>
      <c r="R72" s="308"/>
      <c r="V72" s="308"/>
      <c r="W72" s="308"/>
      <c r="AA72" s="308"/>
      <c r="AB72" s="308"/>
    </row>
  </sheetData>
  <mergeCells count="9">
    <mergeCell ref="A4:A5"/>
    <mergeCell ref="B4:B5"/>
    <mergeCell ref="C4:C5"/>
    <mergeCell ref="Z4:AD4"/>
    <mergeCell ref="D1:Q1"/>
    <mergeCell ref="D2:U2"/>
    <mergeCell ref="K4:O4"/>
    <mergeCell ref="P4:T4"/>
    <mergeCell ref="U4:Y4"/>
  </mergeCells>
  <phoneticPr fontId="30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C0EBA-9DE9-43A2-B8B9-98B9D5F29772}">
  <dimension ref="A1:AI72"/>
  <sheetViews>
    <sheetView zoomScale="130" zoomScaleNormal="130" workbookViewId="0">
      <pane xSplit="4" ySplit="2" topLeftCell="E18" activePane="bottomRight" state="frozen"/>
      <selection pane="topRight" activeCell="E1" sqref="E1"/>
      <selection pane="bottomLeft" activeCell="A3" sqref="A3"/>
      <selection pane="bottomRight" activeCell="A37" sqref="A37"/>
    </sheetView>
  </sheetViews>
  <sheetFormatPr defaultColWidth="9.1640625" defaultRowHeight="12.3" x14ac:dyDescent="0.4"/>
  <cols>
    <col min="1" max="1" width="15.94140625" style="4" bestFit="1" customWidth="1"/>
    <col min="2" max="3" width="13.33203125" style="4" customWidth="1"/>
    <col min="4" max="4" width="28.27734375" style="4" bestFit="1" customWidth="1"/>
    <col min="5" max="5" width="6.44140625" style="4" bestFit="1" customWidth="1"/>
    <col min="6" max="6" width="9.44140625" style="4" bestFit="1" customWidth="1"/>
    <col min="7" max="7" width="6.1640625" style="4" bestFit="1" customWidth="1"/>
    <col min="8" max="8" width="7.44140625" style="4" bestFit="1" customWidth="1"/>
    <col min="9" max="9" width="8.44140625" style="4" bestFit="1" customWidth="1"/>
    <col min="10" max="10" width="7.5546875" style="4" bestFit="1" customWidth="1"/>
    <col min="11" max="11" width="6.44140625" style="4" bestFit="1" customWidth="1"/>
    <col min="12" max="12" width="9.44140625" style="4" bestFit="1" customWidth="1"/>
    <col min="13" max="13" width="6.1640625" style="4" bestFit="1" customWidth="1"/>
    <col min="14" max="14" width="8.44140625" style="4" bestFit="1" customWidth="1"/>
    <col min="15" max="15" width="7.44140625" style="4" customWidth="1"/>
    <col min="16" max="16" width="6.44140625" style="4" bestFit="1" customWidth="1"/>
    <col min="17" max="17" width="9.5546875" style="4" customWidth="1"/>
    <col min="18" max="18" width="8.44140625" style="4" bestFit="1" customWidth="1"/>
    <col min="19" max="20" width="10.44140625" style="4" bestFit="1" customWidth="1"/>
    <col min="21" max="21" width="7.44140625" style="4" bestFit="1" customWidth="1"/>
    <col min="22" max="22" width="7.5546875" style="4" customWidth="1"/>
    <col min="23" max="23" width="8.44140625" style="4" bestFit="1" customWidth="1"/>
    <col min="24" max="25" width="10.44140625" style="4" bestFit="1" customWidth="1"/>
    <col min="26" max="26" width="7.44140625" style="4" bestFit="1" customWidth="1"/>
    <col min="27" max="27" width="8.44140625" style="4" customWidth="1"/>
    <col min="28" max="28" width="8.44140625" style="4" bestFit="1" customWidth="1"/>
    <col min="29" max="30" width="10.44140625" style="4" bestFit="1" customWidth="1"/>
    <col min="31" max="32" width="9.1640625" style="4"/>
    <col min="33" max="33" width="12.5546875" style="4" hidden="1" customWidth="1"/>
    <col min="34" max="34" width="11.5546875" style="4" hidden="1" customWidth="1"/>
    <col min="35" max="35" width="10.5546875" style="4" hidden="1" customWidth="1"/>
    <col min="36" max="16384" width="9.1640625" style="4"/>
  </cols>
  <sheetData>
    <row r="1" spans="1:35" ht="14.1" x14ac:dyDescent="0.5">
      <c r="A1" s="583" t="s">
        <v>267</v>
      </c>
      <c r="B1" s="586" t="s">
        <v>268</v>
      </c>
      <c r="D1" s="642" t="s">
        <v>0</v>
      </c>
      <c r="E1" s="642"/>
      <c r="F1" s="642"/>
      <c r="G1" s="642"/>
      <c r="H1" s="642"/>
      <c r="I1" s="642"/>
      <c r="J1" s="642"/>
      <c r="K1" s="642"/>
      <c r="L1" s="642"/>
      <c r="M1" s="642"/>
      <c r="N1" s="642"/>
      <c r="O1" s="642"/>
      <c r="P1" s="642"/>
      <c r="Q1" s="642"/>
      <c r="R1" s="39"/>
      <c r="S1" s="39"/>
      <c r="T1" s="39"/>
      <c r="U1" s="39"/>
    </row>
    <row r="2" spans="1:35" ht="14.1" customHeight="1" x14ac:dyDescent="0.45">
      <c r="A2" s="584" t="s">
        <v>269</v>
      </c>
      <c r="B2" s="587">
        <v>30100</v>
      </c>
      <c r="D2" s="643" t="s">
        <v>1</v>
      </c>
      <c r="E2" s="643"/>
      <c r="F2" s="643"/>
      <c r="G2" s="643"/>
      <c r="H2" s="643"/>
      <c r="I2" s="643"/>
      <c r="J2" s="643"/>
      <c r="K2" s="643"/>
      <c r="L2" s="643"/>
      <c r="M2" s="643"/>
      <c r="N2" s="643"/>
      <c r="O2" s="643"/>
      <c r="P2" s="643"/>
      <c r="Q2" s="643"/>
      <c r="R2" s="643"/>
      <c r="S2" s="643"/>
      <c r="T2" s="643"/>
      <c r="U2" s="643"/>
    </row>
    <row r="3" spans="1:35" ht="14.4" thickBot="1" x14ac:dyDescent="0.45">
      <c r="A3" s="585" t="s">
        <v>270</v>
      </c>
      <c r="B3" s="588" t="s">
        <v>271</v>
      </c>
    </row>
    <row r="4" spans="1:35" ht="12.6" thickBot="1" x14ac:dyDescent="0.45">
      <c r="A4" s="638" t="s">
        <v>266</v>
      </c>
      <c r="B4" s="636" t="s">
        <v>265</v>
      </c>
      <c r="C4" s="638" t="s">
        <v>264</v>
      </c>
      <c r="D4" s="263" t="s">
        <v>42</v>
      </c>
      <c r="E4" s="264"/>
      <c r="F4" s="265"/>
      <c r="G4" s="265"/>
      <c r="H4" s="266"/>
      <c r="I4" s="267" t="s">
        <v>3</v>
      </c>
      <c r="J4" s="268"/>
      <c r="K4" s="644" t="s">
        <v>4</v>
      </c>
      <c r="L4" s="641"/>
      <c r="M4" s="641"/>
      <c r="N4" s="641"/>
      <c r="O4" s="641"/>
      <c r="P4" s="644" t="s">
        <v>5</v>
      </c>
      <c r="Q4" s="641"/>
      <c r="R4" s="641"/>
      <c r="S4" s="641"/>
      <c r="T4" s="641"/>
      <c r="U4" s="644" t="s">
        <v>6</v>
      </c>
      <c r="V4" s="641"/>
      <c r="W4" s="641"/>
      <c r="X4" s="641"/>
      <c r="Y4" s="645"/>
      <c r="Z4" s="641" t="s">
        <v>7</v>
      </c>
      <c r="AA4" s="641"/>
      <c r="AB4" s="641"/>
      <c r="AC4" s="641"/>
      <c r="AD4" s="641"/>
      <c r="AE4" s="269" t="s">
        <v>8</v>
      </c>
      <c r="AF4" s="270" t="s">
        <v>10</v>
      </c>
    </row>
    <row r="5" spans="1:35" s="278" customFormat="1" ht="10.8" thickBot="1" x14ac:dyDescent="0.45">
      <c r="A5" s="639"/>
      <c r="B5" s="637"/>
      <c r="C5" s="640"/>
      <c r="D5" s="271"/>
      <c r="E5" s="272" t="s">
        <v>112</v>
      </c>
      <c r="F5" s="273" t="s">
        <v>24</v>
      </c>
      <c r="G5" s="273" t="s">
        <v>25</v>
      </c>
      <c r="H5" s="274" t="s">
        <v>26</v>
      </c>
      <c r="I5" s="275" t="s">
        <v>11</v>
      </c>
      <c r="J5" s="276" t="s">
        <v>9</v>
      </c>
      <c r="K5" s="273" t="s">
        <v>112</v>
      </c>
      <c r="L5" s="273" t="s">
        <v>24</v>
      </c>
      <c r="M5" s="274" t="s">
        <v>25</v>
      </c>
      <c r="N5" s="273" t="s">
        <v>11</v>
      </c>
      <c r="O5" s="276" t="s">
        <v>9</v>
      </c>
      <c r="P5" s="273" t="s">
        <v>112</v>
      </c>
      <c r="Q5" s="273" t="s">
        <v>24</v>
      </c>
      <c r="R5" s="274" t="s">
        <v>25</v>
      </c>
      <c r="S5" s="273" t="s">
        <v>11</v>
      </c>
      <c r="T5" s="276" t="s">
        <v>9</v>
      </c>
      <c r="U5" s="273" t="s">
        <v>112</v>
      </c>
      <c r="V5" s="273" t="s">
        <v>24</v>
      </c>
      <c r="W5" s="274" t="s">
        <v>25</v>
      </c>
      <c r="X5" s="273" t="s">
        <v>11</v>
      </c>
      <c r="Y5" s="276" t="s">
        <v>9</v>
      </c>
      <c r="Z5" s="273" t="s">
        <v>112</v>
      </c>
      <c r="AA5" s="273" t="s">
        <v>24</v>
      </c>
      <c r="AB5" s="274" t="s">
        <v>25</v>
      </c>
      <c r="AC5" s="273" t="s">
        <v>11</v>
      </c>
      <c r="AD5" s="276" t="s">
        <v>9</v>
      </c>
      <c r="AE5" s="277" t="s">
        <v>11</v>
      </c>
      <c r="AF5" s="277" t="s">
        <v>8</v>
      </c>
    </row>
    <row r="6" spans="1:35" s="258" customFormat="1" x14ac:dyDescent="0.4">
      <c r="A6" s="369"/>
      <c r="B6" s="369"/>
      <c r="C6" s="620"/>
      <c r="D6" s="369"/>
      <c r="E6" s="281"/>
      <c r="F6" s="279"/>
      <c r="G6" s="279"/>
      <c r="H6" s="280"/>
      <c r="I6" s="281"/>
      <c r="J6" s="381"/>
      <c r="K6" s="281"/>
      <c r="L6" s="279"/>
      <c r="M6" s="280"/>
      <c r="N6" s="279"/>
      <c r="O6" s="282"/>
      <c r="P6" s="279"/>
      <c r="Q6" s="279"/>
      <c r="R6" s="280"/>
      <c r="S6" s="279"/>
      <c r="T6" s="282"/>
      <c r="U6" s="279"/>
      <c r="V6" s="279"/>
      <c r="W6" s="280"/>
      <c r="X6" s="279"/>
      <c r="Y6" s="282"/>
      <c r="Z6" s="279"/>
      <c r="AA6" s="279"/>
      <c r="AB6" s="280"/>
      <c r="AC6" s="279"/>
      <c r="AD6" s="282"/>
      <c r="AE6" s="283"/>
      <c r="AF6" s="283"/>
    </row>
    <row r="7" spans="1:35" x14ac:dyDescent="0.4">
      <c r="A7" s="370"/>
      <c r="B7" s="370"/>
      <c r="C7" s="621"/>
      <c r="D7" s="370" t="s">
        <v>113</v>
      </c>
      <c r="E7" s="285"/>
      <c r="H7" s="284"/>
      <c r="I7" s="285"/>
      <c r="J7" s="382"/>
      <c r="K7" s="285"/>
      <c r="M7" s="284"/>
      <c r="O7" s="59"/>
      <c r="R7" s="284"/>
      <c r="T7" s="59"/>
      <c r="V7" s="11"/>
      <c r="W7" s="12"/>
      <c r="X7" s="11"/>
      <c r="Y7" s="195"/>
      <c r="Z7" s="11"/>
      <c r="AA7" s="11"/>
      <c r="AB7" s="12"/>
      <c r="AC7" s="11"/>
      <c r="AD7" s="195"/>
      <c r="AE7" s="287"/>
      <c r="AF7" s="288"/>
    </row>
    <row r="8" spans="1:35" x14ac:dyDescent="0.4">
      <c r="A8" s="109" t="s">
        <v>276</v>
      </c>
      <c r="B8" s="592" t="s">
        <v>273</v>
      </c>
      <c r="C8" s="109" t="s">
        <v>247</v>
      </c>
      <c r="D8" s="371" t="s">
        <v>114</v>
      </c>
      <c r="E8" s="285">
        <v>1</v>
      </c>
      <c r="F8" s="11">
        <v>4000</v>
      </c>
      <c r="G8" s="11">
        <v>12</v>
      </c>
      <c r="H8" s="284" t="s">
        <v>31</v>
      </c>
      <c r="I8" s="10">
        <f>G8*F8*E8</f>
        <v>48000</v>
      </c>
      <c r="J8" s="339">
        <f>SUM(I8:I8)</f>
        <v>48000</v>
      </c>
      <c r="K8" s="10">
        <v>1</v>
      </c>
      <c r="L8" s="11">
        <f>F8*1.03</f>
        <v>4120</v>
      </c>
      <c r="M8" s="12">
        <v>12</v>
      </c>
      <c r="N8" s="11">
        <f>M8*L8*K8</f>
        <v>49440</v>
      </c>
      <c r="O8" s="195">
        <f>SUM(N8:N8)</f>
        <v>49440</v>
      </c>
      <c r="P8" s="11">
        <v>1</v>
      </c>
      <c r="Q8" s="11">
        <f>L8*1.03</f>
        <v>4243.6000000000004</v>
      </c>
      <c r="R8" s="12">
        <v>12</v>
      </c>
      <c r="S8" s="11">
        <f>R8*Q8*P8</f>
        <v>50923.200000000004</v>
      </c>
      <c r="T8" s="195">
        <f>SUM(S8:S8)</f>
        <v>50923.200000000004</v>
      </c>
      <c r="U8" s="4">
        <v>1</v>
      </c>
      <c r="V8" s="11">
        <f>Q8*1.03</f>
        <v>4370.9080000000004</v>
      </c>
      <c r="W8" s="12">
        <v>12</v>
      </c>
      <c r="X8" s="11">
        <f>W8*V8*U8</f>
        <v>52450.896000000008</v>
      </c>
      <c r="Y8" s="195">
        <f>SUM(X8:X8)</f>
        <v>52450.896000000008</v>
      </c>
      <c r="Z8" s="11">
        <v>1</v>
      </c>
      <c r="AA8" s="11">
        <f>V8*1.03</f>
        <v>4502.0352400000002</v>
      </c>
      <c r="AB8" s="12">
        <v>9</v>
      </c>
      <c r="AC8" s="11">
        <f>AB8*AA8*Z8</f>
        <v>40518.317159999999</v>
      </c>
      <c r="AD8" s="195">
        <f>SUM(AC8:AC8)</f>
        <v>40518.317159999999</v>
      </c>
      <c r="AE8" s="287">
        <f>I8+N8+S8+X8+AC8</f>
        <v>241332.41316000003</v>
      </c>
      <c r="AF8" s="288">
        <f>SUM(AE8:AE8)</f>
        <v>241332.41316000003</v>
      </c>
    </row>
    <row r="9" spans="1:35" x14ac:dyDescent="0.4">
      <c r="A9" s="371"/>
      <c r="B9" s="371"/>
      <c r="C9" s="622"/>
      <c r="D9" s="371"/>
      <c r="E9" s="285"/>
      <c r="H9" s="284"/>
      <c r="I9" s="10"/>
      <c r="J9" s="339"/>
      <c r="K9" s="10"/>
      <c r="L9" s="11"/>
      <c r="M9" s="12"/>
      <c r="N9" s="11"/>
      <c r="O9" s="195"/>
      <c r="P9" s="11"/>
      <c r="Q9" s="11"/>
      <c r="R9" s="12"/>
      <c r="S9" s="11"/>
      <c r="T9" s="195"/>
      <c r="V9" s="11"/>
      <c r="W9" s="12"/>
      <c r="X9" s="11"/>
      <c r="Y9" s="195"/>
      <c r="Z9" s="11"/>
      <c r="AA9" s="11"/>
      <c r="AB9" s="12"/>
      <c r="AC9" s="11"/>
      <c r="AD9" s="195"/>
      <c r="AE9" s="287"/>
      <c r="AF9" s="288"/>
    </row>
    <row r="10" spans="1:35" x14ac:dyDescent="0.4">
      <c r="A10" s="370"/>
      <c r="B10" s="370"/>
      <c r="C10" s="621"/>
      <c r="D10" s="370" t="s">
        <v>115</v>
      </c>
      <c r="E10" s="285"/>
      <c r="H10" s="284"/>
      <c r="I10" s="10"/>
      <c r="J10" s="339"/>
      <c r="K10" s="10"/>
      <c r="L10" s="11"/>
      <c r="M10" s="12"/>
      <c r="N10" s="11"/>
      <c r="O10" s="195"/>
      <c r="P10" s="11"/>
      <c r="Q10" s="11"/>
      <c r="R10" s="12"/>
      <c r="S10" s="11"/>
      <c r="T10" s="195"/>
      <c r="V10" s="11"/>
      <c r="W10" s="12"/>
      <c r="X10" s="11"/>
      <c r="Y10" s="195"/>
      <c r="Z10" s="11"/>
      <c r="AA10" s="11"/>
      <c r="AB10" s="12"/>
      <c r="AC10" s="11"/>
      <c r="AD10" s="195"/>
      <c r="AE10" s="287"/>
      <c r="AF10" s="288"/>
    </row>
    <row r="11" spans="1:35" x14ac:dyDescent="0.4">
      <c r="A11" s="109" t="s">
        <v>276</v>
      </c>
      <c r="B11" s="592" t="s">
        <v>273</v>
      </c>
      <c r="C11" s="109" t="s">
        <v>247</v>
      </c>
      <c r="D11" s="371" t="s">
        <v>144</v>
      </c>
      <c r="E11" s="285">
        <v>1</v>
      </c>
      <c r="F11" s="458">
        <v>1100</v>
      </c>
      <c r="G11" s="11">
        <v>10</v>
      </c>
      <c r="H11" s="284" t="s">
        <v>31</v>
      </c>
      <c r="I11" s="10">
        <f>G11*F11*E11</f>
        <v>11000</v>
      </c>
      <c r="J11" s="339">
        <f>SUM(I11:I11)</f>
        <v>11000</v>
      </c>
      <c r="K11" s="10">
        <f>E11</f>
        <v>1</v>
      </c>
      <c r="L11" s="11">
        <f>F11*1.03</f>
        <v>1133</v>
      </c>
      <c r="M11" s="12">
        <v>12</v>
      </c>
      <c r="N11" s="11">
        <f>M11*L11*K11</f>
        <v>13596</v>
      </c>
      <c r="O11" s="195">
        <f>SUM(N11:N11)</f>
        <v>13596</v>
      </c>
      <c r="P11" s="11">
        <f>E11</f>
        <v>1</v>
      </c>
      <c r="Q11" s="11">
        <f>L11*1.03</f>
        <v>1166.99</v>
      </c>
      <c r="R11" s="12">
        <v>12</v>
      </c>
      <c r="S11" s="11">
        <f>R11*Q11*P11</f>
        <v>14003.880000000001</v>
      </c>
      <c r="T11" s="195">
        <f>SUM(S11:S11)</f>
        <v>14003.880000000001</v>
      </c>
      <c r="U11" s="4">
        <f>E11</f>
        <v>1</v>
      </c>
      <c r="V11" s="11">
        <f>Q11*1.03</f>
        <v>1201.9997000000001</v>
      </c>
      <c r="W11" s="12">
        <v>12</v>
      </c>
      <c r="X11" s="11">
        <f>W11*V11*U11</f>
        <v>14423.9964</v>
      </c>
      <c r="Y11" s="195">
        <f>SUM(X11:X11)</f>
        <v>14423.9964</v>
      </c>
      <c r="Z11" s="11">
        <f>E11</f>
        <v>1</v>
      </c>
      <c r="AA11" s="11">
        <f>V11*1.03</f>
        <v>1238.0596910000002</v>
      </c>
      <c r="AB11" s="12">
        <v>9</v>
      </c>
      <c r="AC11" s="11">
        <f>AB11*AA11*Z11</f>
        <v>11142.537219000002</v>
      </c>
      <c r="AD11" s="195">
        <f>SUM(AC11:AC11)</f>
        <v>11142.537219000002</v>
      </c>
      <c r="AE11" s="287">
        <f>I11+N11+S11+X11+AC11</f>
        <v>64166.413619000014</v>
      </c>
      <c r="AF11" s="288">
        <f>SUM(AE11:AE11)</f>
        <v>64166.413619000014</v>
      </c>
      <c r="AG11" s="287">
        <f t="shared" ref="AG11:AG12" si="0">K11+P11+U11+Z11+AE11</f>
        <v>64170.413619000014</v>
      </c>
      <c r="AH11" s="288">
        <f t="shared" ref="AH11:AH12" si="1">SUM(AG11:AG11)</f>
        <v>64170.413619000014</v>
      </c>
      <c r="AI11" s="287">
        <f t="shared" ref="AI11:AI12" si="2">M11+R11+W11+AB11+AG11</f>
        <v>64215.413619000014</v>
      </c>
    </row>
    <row r="12" spans="1:35" x14ac:dyDescent="0.4">
      <c r="A12" s="109" t="s">
        <v>276</v>
      </c>
      <c r="B12" s="592" t="s">
        <v>273</v>
      </c>
      <c r="C12" s="109" t="s">
        <v>247</v>
      </c>
      <c r="D12" s="371" t="s">
        <v>118</v>
      </c>
      <c r="E12" s="285">
        <v>1</v>
      </c>
      <c r="F12" s="4">
        <v>850</v>
      </c>
      <c r="G12" s="11">
        <v>11</v>
      </c>
      <c r="H12" s="284" t="s">
        <v>31</v>
      </c>
      <c r="I12" s="10">
        <f>G12*F12*E12</f>
        <v>9350</v>
      </c>
      <c r="J12" s="339">
        <f>SUM(I12:I12)</f>
        <v>9350</v>
      </c>
      <c r="K12" s="10">
        <v>1</v>
      </c>
      <c r="L12" s="11">
        <f>F12*1.03</f>
        <v>875.5</v>
      </c>
      <c r="M12" s="12">
        <v>12</v>
      </c>
      <c r="N12" s="11">
        <f>M12*L12*K12</f>
        <v>10506</v>
      </c>
      <c r="O12" s="195">
        <f>SUM(N12:N12)</f>
        <v>10506</v>
      </c>
      <c r="P12" s="11">
        <v>1</v>
      </c>
      <c r="Q12" s="11">
        <f>L12*1.03</f>
        <v>901.76499999999999</v>
      </c>
      <c r="R12" s="12">
        <v>12</v>
      </c>
      <c r="S12" s="11">
        <f>R12*Q12*P12</f>
        <v>10821.18</v>
      </c>
      <c r="T12" s="195">
        <f>SUM(S12:S12)</f>
        <v>10821.18</v>
      </c>
      <c r="U12" s="4">
        <v>1</v>
      </c>
      <c r="V12" s="11">
        <f>Q12*1.03</f>
        <v>928.81795</v>
      </c>
      <c r="W12" s="12">
        <v>12</v>
      </c>
      <c r="X12" s="11">
        <f>W12*V12*U12</f>
        <v>11145.815399999999</v>
      </c>
      <c r="Y12" s="195">
        <f>SUM(X12:X12)</f>
        <v>11145.815399999999</v>
      </c>
      <c r="Z12" s="11">
        <v>1</v>
      </c>
      <c r="AA12" s="11">
        <f>V12*1.03</f>
        <v>956.68248849999998</v>
      </c>
      <c r="AB12" s="12">
        <v>9</v>
      </c>
      <c r="AC12" s="11">
        <f>AB12*AA12*Z12</f>
        <v>8610.1423964999994</v>
      </c>
      <c r="AD12" s="195">
        <f>SUM(AC12:AC12)</f>
        <v>8610.1423964999994</v>
      </c>
      <c r="AE12" s="287">
        <f>I12+N12+S12+X12+AC12</f>
        <v>50433.137796499999</v>
      </c>
      <c r="AF12" s="288">
        <f>SUM(AE12:AE12)</f>
        <v>50433.137796499999</v>
      </c>
      <c r="AG12" s="287">
        <f t="shared" si="0"/>
        <v>50437.137796499999</v>
      </c>
      <c r="AH12" s="288">
        <f t="shared" si="1"/>
        <v>50437.137796499999</v>
      </c>
      <c r="AI12" s="287">
        <f t="shared" si="2"/>
        <v>50482.137796499999</v>
      </c>
    </row>
    <row r="13" spans="1:35" x14ac:dyDescent="0.4">
      <c r="A13" s="109"/>
      <c r="B13" s="592"/>
      <c r="C13" s="109"/>
      <c r="D13" s="372" t="s">
        <v>119</v>
      </c>
      <c r="E13" s="375"/>
      <c r="F13" s="24"/>
      <c r="G13" s="24"/>
      <c r="H13" s="289"/>
      <c r="I13" s="290">
        <f>SUM(I8:I12)</f>
        <v>68350</v>
      </c>
      <c r="J13" s="383">
        <f>SUM(J8:J12)</f>
        <v>68350</v>
      </c>
      <c r="K13" s="290"/>
      <c r="L13" s="292"/>
      <c r="M13" s="336"/>
      <c r="N13" s="292">
        <f>SUM(N8:N12)</f>
        <v>73542</v>
      </c>
      <c r="O13" s="291">
        <f>SUM(O8:O12)</f>
        <v>73542</v>
      </c>
      <c r="P13" s="292"/>
      <c r="Q13" s="292"/>
      <c r="R13" s="336"/>
      <c r="S13" s="292">
        <f>SUM(S8:S12)</f>
        <v>75748.260000000009</v>
      </c>
      <c r="T13" s="291">
        <f>SUM(T8:T12)</f>
        <v>75748.260000000009</v>
      </c>
      <c r="U13" s="24"/>
      <c r="V13" s="292"/>
      <c r="W13" s="336"/>
      <c r="X13" s="292">
        <f>SUM(X8:X12)</f>
        <v>78020.707800000004</v>
      </c>
      <c r="Y13" s="291">
        <f>SUM(Y8:Y12)</f>
        <v>78020.707800000004</v>
      </c>
      <c r="Z13" s="292"/>
      <c r="AA13" s="292"/>
      <c r="AB13" s="336"/>
      <c r="AC13" s="292">
        <f>SUM(AC8:AC12)</f>
        <v>60270.996775499996</v>
      </c>
      <c r="AD13" s="291">
        <f>SUM(AD8:AD12)</f>
        <v>60270.996775499996</v>
      </c>
      <c r="AE13" s="287">
        <f>I13+N13+S13+X13+AC13</f>
        <v>355931.96457549999</v>
      </c>
      <c r="AF13" s="288">
        <f>SUM(AE13:AE13)</f>
        <v>355931.96457549999</v>
      </c>
    </row>
    <row r="14" spans="1:35" x14ac:dyDescent="0.4">
      <c r="A14" s="372"/>
      <c r="B14" s="372"/>
      <c r="C14" s="623"/>
      <c r="D14" s="372"/>
      <c r="E14" s="375"/>
      <c r="F14" s="24"/>
      <c r="G14" s="24"/>
      <c r="H14" s="289"/>
      <c r="I14" s="290"/>
      <c r="J14" s="383"/>
      <c r="K14" s="290"/>
      <c r="L14" s="292"/>
      <c r="M14" s="336"/>
      <c r="N14" s="292"/>
      <c r="O14" s="291"/>
      <c r="P14" s="292"/>
      <c r="Q14" s="292"/>
      <c r="R14" s="336"/>
      <c r="S14" s="292"/>
      <c r="T14" s="291"/>
      <c r="U14" s="24"/>
      <c r="V14" s="292"/>
      <c r="W14" s="336"/>
      <c r="X14" s="292"/>
      <c r="Y14" s="291"/>
      <c r="Z14" s="292"/>
      <c r="AA14" s="292"/>
      <c r="AB14" s="336"/>
      <c r="AC14" s="292"/>
      <c r="AD14" s="291"/>
      <c r="AE14" s="287"/>
      <c r="AF14" s="288"/>
    </row>
    <row r="15" spans="1:35" s="24" customFormat="1" x14ac:dyDescent="0.4">
      <c r="A15" s="109" t="s">
        <v>333</v>
      </c>
      <c r="B15" s="592" t="s">
        <v>279</v>
      </c>
      <c r="C15" s="109" t="s">
        <v>247</v>
      </c>
      <c r="D15" s="370" t="s">
        <v>120</v>
      </c>
      <c r="E15" s="627">
        <v>0.1032</v>
      </c>
      <c r="F15" s="11">
        <f>I13</f>
        <v>68350</v>
      </c>
      <c r="G15" s="4"/>
      <c r="H15" s="376"/>
      <c r="I15" s="10">
        <f>F15*E15</f>
        <v>7053.72</v>
      </c>
      <c r="J15" s="383">
        <f>SUM(I15:I15)</f>
        <v>7053.72</v>
      </c>
      <c r="K15" s="628"/>
      <c r="L15" s="11">
        <f>N13</f>
        <v>73542</v>
      </c>
      <c r="M15" s="12"/>
      <c r="N15" s="11">
        <f>L15*E15</f>
        <v>7589.5344000000005</v>
      </c>
      <c r="O15" s="291">
        <f>SUM(N15:N15)</f>
        <v>7589.5344000000005</v>
      </c>
      <c r="P15" s="125"/>
      <c r="Q15" s="11">
        <f>S13</f>
        <v>75748.260000000009</v>
      </c>
      <c r="R15" s="12"/>
      <c r="S15" s="11">
        <f>Q15*E15</f>
        <v>7817.220432000001</v>
      </c>
      <c r="T15" s="291">
        <f>SUM(S15:S15)</f>
        <v>7817.220432000001</v>
      </c>
      <c r="U15" s="626"/>
      <c r="V15" s="11">
        <f>X13</f>
        <v>78020.707800000004</v>
      </c>
      <c r="W15" s="12"/>
      <c r="X15" s="11">
        <f>V15*E15</f>
        <v>8051.7370449600003</v>
      </c>
      <c r="Y15" s="291">
        <f>SUM(X15:X15)</f>
        <v>8051.7370449600003</v>
      </c>
      <c r="Z15" s="125"/>
      <c r="AA15" s="11">
        <f>AC13</f>
        <v>60270.996775499996</v>
      </c>
      <c r="AB15" s="12"/>
      <c r="AC15" s="11">
        <f>AA15*E15</f>
        <v>6219.9668672315993</v>
      </c>
      <c r="AD15" s="291">
        <f>SUM(AC15:AC15)</f>
        <v>6219.9668672315993</v>
      </c>
      <c r="AE15" s="195">
        <f>I15+N15+S15+X15+AC15</f>
        <v>36732.178744191602</v>
      </c>
      <c r="AF15" s="291">
        <f>SUM(AE15:AE15)</f>
        <v>36732.178744191602</v>
      </c>
    </row>
    <row r="16" spans="1:35" x14ac:dyDescent="0.4">
      <c r="A16" s="370"/>
      <c r="B16" s="370"/>
      <c r="C16" s="621"/>
      <c r="D16" s="370"/>
      <c r="E16" s="285"/>
      <c r="H16" s="284"/>
      <c r="I16" s="10"/>
      <c r="J16" s="339"/>
      <c r="K16" s="10"/>
      <c r="L16" s="11"/>
      <c r="M16" s="12"/>
      <c r="N16" s="11"/>
      <c r="O16" s="195"/>
      <c r="P16" s="11"/>
      <c r="Q16" s="11"/>
      <c r="R16" s="12"/>
      <c r="S16" s="11"/>
      <c r="T16" s="195"/>
      <c r="V16" s="11"/>
      <c r="W16" s="12"/>
      <c r="X16" s="11"/>
      <c r="Y16" s="195"/>
      <c r="Z16" s="11"/>
      <c r="AA16" s="11"/>
      <c r="AB16" s="12"/>
      <c r="AC16" s="11"/>
      <c r="AD16" s="195"/>
      <c r="AE16" s="195"/>
      <c r="AF16" s="291"/>
    </row>
    <row r="17" spans="1:35" x14ac:dyDescent="0.4">
      <c r="A17" s="370"/>
      <c r="B17" s="370"/>
      <c r="C17" s="621"/>
      <c r="D17" s="370" t="s">
        <v>17</v>
      </c>
      <c r="E17" s="285"/>
      <c r="H17" s="284"/>
      <c r="I17" s="10"/>
      <c r="J17" s="339"/>
      <c r="K17" s="10"/>
      <c r="L17" s="11"/>
      <c r="M17" s="12"/>
      <c r="N17" s="11"/>
      <c r="O17" s="195"/>
      <c r="P17" s="11"/>
      <c r="Q17" s="11"/>
      <c r="R17" s="12"/>
      <c r="S17" s="11"/>
      <c r="T17" s="195"/>
      <c r="V17" s="11"/>
      <c r="W17" s="12"/>
      <c r="X17" s="11"/>
      <c r="Y17" s="195"/>
      <c r="Z17" s="11"/>
      <c r="AA17" s="11"/>
      <c r="AB17" s="12"/>
      <c r="AC17" s="11"/>
      <c r="AD17" s="195"/>
      <c r="AE17" s="287"/>
      <c r="AF17" s="288"/>
    </row>
    <row r="18" spans="1:35" x14ac:dyDescent="0.4">
      <c r="A18" s="109" t="s">
        <v>334</v>
      </c>
      <c r="B18" s="592" t="s">
        <v>296</v>
      </c>
      <c r="C18" s="109" t="s">
        <v>247</v>
      </c>
      <c r="D18" s="371" t="s">
        <v>121</v>
      </c>
      <c r="E18" s="285">
        <f>'FO Expenses'!C19</f>
        <v>3</v>
      </c>
      <c r="F18" s="458">
        <f>'FO Expenses'!B19</f>
        <v>1100</v>
      </c>
      <c r="G18" s="11">
        <v>1</v>
      </c>
      <c r="H18" s="284" t="s">
        <v>40</v>
      </c>
      <c r="I18" s="10">
        <f>E18*F18*G18</f>
        <v>3300</v>
      </c>
      <c r="J18" s="339">
        <f>SUM(I18:I18)</f>
        <v>3300</v>
      </c>
      <c r="K18" s="10">
        <v>0</v>
      </c>
      <c r="L18" s="11">
        <f>F18*1.02</f>
        <v>1122</v>
      </c>
      <c r="M18" s="12">
        <v>1</v>
      </c>
      <c r="N18" s="11">
        <f>M18*L18*K18</f>
        <v>0</v>
      </c>
      <c r="O18" s="195">
        <f>SUM(N18:N18)</f>
        <v>0</v>
      </c>
      <c r="P18" s="11">
        <v>0</v>
      </c>
      <c r="Q18" s="11">
        <f>L18*1.02</f>
        <v>1144.44</v>
      </c>
      <c r="R18" s="12">
        <v>1</v>
      </c>
      <c r="S18" s="11">
        <f>R18*Q18*P18</f>
        <v>0</v>
      </c>
      <c r="T18" s="295">
        <f>SUM(S18:S18)</f>
        <v>0</v>
      </c>
      <c r="U18" s="293">
        <v>0</v>
      </c>
      <c r="V18" s="11">
        <f>Q18*1.02</f>
        <v>1167.3288</v>
      </c>
      <c r="W18" s="12">
        <v>1</v>
      </c>
      <c r="X18" s="11">
        <f>W18*V18*U18</f>
        <v>0</v>
      </c>
      <c r="Y18" s="195">
        <f>SUM(X18:X18)</f>
        <v>0</v>
      </c>
      <c r="Z18" s="11">
        <v>0</v>
      </c>
      <c r="AA18" s="11">
        <f>V18*1.02</f>
        <v>1190.6753759999999</v>
      </c>
      <c r="AB18" s="12">
        <v>1</v>
      </c>
      <c r="AC18" s="11">
        <f>AB18*AA18*Z18</f>
        <v>0</v>
      </c>
      <c r="AD18" s="195">
        <f>SUM(AC18:AC18)</f>
        <v>0</v>
      </c>
      <c r="AE18" s="287">
        <f>I18+N18+S18+X18+AC18</f>
        <v>3300</v>
      </c>
      <c r="AF18" s="288">
        <f>SUM(AE18:AE18)</f>
        <v>3300</v>
      </c>
    </row>
    <row r="19" spans="1:35" x14ac:dyDescent="0.4">
      <c r="A19" s="109" t="s">
        <v>334</v>
      </c>
      <c r="B19" s="592" t="s">
        <v>296</v>
      </c>
      <c r="C19" s="109" t="s">
        <v>247</v>
      </c>
      <c r="D19" s="371" t="s">
        <v>122</v>
      </c>
      <c r="E19" s="285">
        <f>'FO Expenses'!C20</f>
        <v>2</v>
      </c>
      <c r="F19" s="4">
        <f>'FO Expenses'!B20</f>
        <v>190</v>
      </c>
      <c r="G19" s="11">
        <v>1</v>
      </c>
      <c r="H19" s="284" t="s">
        <v>40</v>
      </c>
      <c r="I19" s="10">
        <f>E19*F19*G19</f>
        <v>380</v>
      </c>
      <c r="J19" s="339">
        <f>SUM(I19:I19)</f>
        <v>380</v>
      </c>
      <c r="K19" s="10">
        <v>0</v>
      </c>
      <c r="L19" s="11">
        <f>F19*1.02</f>
        <v>193.8</v>
      </c>
      <c r="M19" s="12">
        <v>1</v>
      </c>
      <c r="N19" s="11">
        <f>M19*L19*K19</f>
        <v>0</v>
      </c>
      <c r="O19" s="195">
        <f>SUM(N19:N19)</f>
        <v>0</v>
      </c>
      <c r="P19" s="11">
        <v>0</v>
      </c>
      <c r="Q19" s="11">
        <f>L19*1.02</f>
        <v>197.67600000000002</v>
      </c>
      <c r="R19" s="12">
        <v>1</v>
      </c>
      <c r="S19" s="11">
        <f>R19*Q19*P19</f>
        <v>0</v>
      </c>
      <c r="T19" s="295">
        <f>SUM(S19:S19)</f>
        <v>0</v>
      </c>
      <c r="U19" s="293">
        <v>0</v>
      </c>
      <c r="V19" s="11">
        <f t="shared" ref="V19:V21" si="3">Q19*1.02</f>
        <v>201.62952000000001</v>
      </c>
      <c r="W19" s="12">
        <v>1</v>
      </c>
      <c r="X19" s="11">
        <f>W19*V19*U19</f>
        <v>0</v>
      </c>
      <c r="Y19" s="195">
        <f>SUM(X19:X19)</f>
        <v>0</v>
      </c>
      <c r="Z19" s="11">
        <v>0</v>
      </c>
      <c r="AA19" s="11">
        <f t="shared" ref="AA19:AA21" si="4">V19*1.02</f>
        <v>205.66211040000002</v>
      </c>
      <c r="AB19" s="12">
        <v>1</v>
      </c>
      <c r="AC19" s="11">
        <f>AB19*AA19*Z19</f>
        <v>0</v>
      </c>
      <c r="AD19" s="195">
        <f>SUM(AC19:AC19)</f>
        <v>0</v>
      </c>
      <c r="AE19" s="287">
        <f>I19+N19+S19+X19+AC19</f>
        <v>380</v>
      </c>
      <c r="AF19" s="288">
        <f>SUM(AE19:AE19)</f>
        <v>380</v>
      </c>
    </row>
    <row r="20" spans="1:35" x14ac:dyDescent="0.4">
      <c r="A20" s="109" t="s">
        <v>334</v>
      </c>
      <c r="B20" s="592" t="s">
        <v>296</v>
      </c>
      <c r="C20" s="109" t="s">
        <v>247</v>
      </c>
      <c r="D20" s="371" t="s">
        <v>123</v>
      </c>
      <c r="E20" s="285">
        <f>'FO Expenses'!C21</f>
        <v>1</v>
      </c>
      <c r="F20" s="293">
        <f>'FO Expenses'!B21</f>
        <v>650</v>
      </c>
      <c r="G20" s="11">
        <v>1</v>
      </c>
      <c r="H20" s="284" t="s">
        <v>40</v>
      </c>
      <c r="I20" s="10">
        <f>E20*F20*G20</f>
        <v>650</v>
      </c>
      <c r="J20" s="339">
        <f>SUM(I20:I20)</f>
        <v>650</v>
      </c>
      <c r="K20" s="10">
        <v>0</v>
      </c>
      <c r="L20" s="11">
        <f>F20*1.02</f>
        <v>663</v>
      </c>
      <c r="M20" s="12">
        <v>1</v>
      </c>
      <c r="N20" s="11">
        <f>M20*L20*K20</f>
        <v>0</v>
      </c>
      <c r="O20" s="195">
        <f>SUM(N20:N20)</f>
        <v>0</v>
      </c>
      <c r="P20" s="11">
        <v>0</v>
      </c>
      <c r="Q20" s="11">
        <f t="shared" ref="Q20:Q21" si="5">L20*1.02</f>
        <v>676.26</v>
      </c>
      <c r="R20" s="12">
        <v>1</v>
      </c>
      <c r="S20" s="11">
        <f>R20*Q20*P20</f>
        <v>0</v>
      </c>
      <c r="T20" s="295">
        <f>SUM(S20:S20)</f>
        <v>0</v>
      </c>
      <c r="U20" s="293">
        <v>0</v>
      </c>
      <c r="V20" s="11">
        <f t="shared" si="3"/>
        <v>689.78520000000003</v>
      </c>
      <c r="W20" s="12">
        <v>1</v>
      </c>
      <c r="X20" s="11">
        <f>W20*V20*U20</f>
        <v>0</v>
      </c>
      <c r="Y20" s="195">
        <f>SUM(X20:X20)</f>
        <v>0</v>
      </c>
      <c r="Z20" s="11">
        <v>0</v>
      </c>
      <c r="AA20" s="11">
        <f t="shared" si="4"/>
        <v>703.58090400000003</v>
      </c>
      <c r="AB20" s="12">
        <v>1</v>
      </c>
      <c r="AC20" s="11">
        <f>AB20*AA20*Z20</f>
        <v>0</v>
      </c>
      <c r="AD20" s="195">
        <f>SUM(AC20:AC20)</f>
        <v>0</v>
      </c>
      <c r="AE20" s="287">
        <f>I20+N20+S20+X20+AC20</f>
        <v>650</v>
      </c>
      <c r="AF20" s="288">
        <f>SUM(AE20:AE20)</f>
        <v>650</v>
      </c>
    </row>
    <row r="21" spans="1:35" x14ac:dyDescent="0.4">
      <c r="A21" s="109" t="s">
        <v>334</v>
      </c>
      <c r="B21" s="592" t="s">
        <v>296</v>
      </c>
      <c r="C21" s="109" t="s">
        <v>247</v>
      </c>
      <c r="D21" s="371" t="s">
        <v>124</v>
      </c>
      <c r="E21" s="285">
        <f>1</f>
        <v>1</v>
      </c>
      <c r="F21" s="4">
        <f>'FO Expenses'!B22</f>
        <v>530</v>
      </c>
      <c r="G21" s="11">
        <v>1</v>
      </c>
      <c r="H21" s="284" t="s">
        <v>40</v>
      </c>
      <c r="I21" s="10">
        <f>E21*F21*G21</f>
        <v>530</v>
      </c>
      <c r="J21" s="339">
        <f>SUM(I21:I21)</f>
        <v>530</v>
      </c>
      <c r="K21" s="10">
        <v>1</v>
      </c>
      <c r="L21" s="11">
        <f>F21*1.02</f>
        <v>540.6</v>
      </c>
      <c r="M21" s="12">
        <v>1</v>
      </c>
      <c r="N21" s="11">
        <f>M21*L21*K21</f>
        <v>540.6</v>
      </c>
      <c r="O21" s="195">
        <f>SUM(N21:N21)</f>
        <v>540.6</v>
      </c>
      <c r="P21" s="11">
        <v>1</v>
      </c>
      <c r="Q21" s="11">
        <f t="shared" si="5"/>
        <v>551.41200000000003</v>
      </c>
      <c r="R21" s="12">
        <v>1</v>
      </c>
      <c r="S21" s="11">
        <f>R21*Q21*P21</f>
        <v>551.41200000000003</v>
      </c>
      <c r="T21" s="295">
        <f>SUM(S21:S21)</f>
        <v>551.41200000000003</v>
      </c>
      <c r="U21" s="293">
        <v>1</v>
      </c>
      <c r="V21" s="11">
        <f t="shared" si="3"/>
        <v>562.44024000000002</v>
      </c>
      <c r="W21" s="12">
        <v>1</v>
      </c>
      <c r="X21" s="11">
        <f>W21*V21*U21</f>
        <v>562.44024000000002</v>
      </c>
      <c r="Y21" s="195">
        <f>SUM(X21:X21)</f>
        <v>562.44024000000002</v>
      </c>
      <c r="Z21" s="11">
        <v>1</v>
      </c>
      <c r="AA21" s="11">
        <f t="shared" si="4"/>
        <v>573.68904480000003</v>
      </c>
      <c r="AB21" s="12">
        <v>1</v>
      </c>
      <c r="AC21" s="11">
        <f>AB21*AA21*Z21</f>
        <v>573.68904480000003</v>
      </c>
      <c r="AD21" s="195">
        <f>SUM(AC21:AC21)</f>
        <v>573.68904480000003</v>
      </c>
      <c r="AE21" s="287">
        <f>I21+N21+S21+X21+AC21</f>
        <v>2758.1412848</v>
      </c>
      <c r="AF21" s="288">
        <f>SUM(AE21:AE21)</f>
        <v>2758.1412848</v>
      </c>
    </row>
    <row r="22" spans="1:35" x14ac:dyDescent="0.4">
      <c r="A22" s="109"/>
      <c r="B22" s="592"/>
      <c r="C22" s="109"/>
      <c r="D22" s="372" t="s">
        <v>125</v>
      </c>
      <c r="E22" s="375"/>
      <c r="F22" s="24"/>
      <c r="G22" s="24"/>
      <c r="H22" s="289"/>
      <c r="I22" s="290">
        <f>SUM(I18:I21)</f>
        <v>4860</v>
      </c>
      <c r="J22" s="383">
        <f>SUM(J18:J21)</f>
        <v>4860</v>
      </c>
      <c r="K22" s="290"/>
      <c r="L22" s="292"/>
      <c r="M22" s="336"/>
      <c r="N22" s="290">
        <f>SUM(N18:N21)</f>
        <v>540.6</v>
      </c>
      <c r="O22" s="383">
        <f>SUM(O18:O21)</f>
        <v>540.6</v>
      </c>
      <c r="P22" s="292"/>
      <c r="Q22" s="292"/>
      <c r="R22" s="336"/>
      <c r="S22" s="290">
        <f>SUM(S18:S21)</f>
        <v>551.41200000000003</v>
      </c>
      <c r="T22" s="383">
        <f>SUM(T18:T21)</f>
        <v>551.41200000000003</v>
      </c>
      <c r="U22" s="24"/>
      <c r="V22" s="292"/>
      <c r="W22" s="336"/>
      <c r="X22" s="290">
        <f>SUM(X18:X21)</f>
        <v>562.44024000000002</v>
      </c>
      <c r="Y22" s="383">
        <f>SUM(Y18:Y21)</f>
        <v>562.44024000000002</v>
      </c>
      <c r="Z22" s="292"/>
      <c r="AA22" s="292"/>
      <c r="AB22" s="336"/>
      <c r="AC22" s="290">
        <f>SUM(AC18:AC21)</f>
        <v>573.68904480000003</v>
      </c>
      <c r="AD22" s="383">
        <f>SUM(AD18:AD21)</f>
        <v>573.68904480000003</v>
      </c>
      <c r="AE22" s="287">
        <f>I22+N22+S22+X22+AC22</f>
        <v>7088.1412848000009</v>
      </c>
      <c r="AF22" s="288">
        <f>SUM(AE22:AE22)</f>
        <v>7088.1412848000009</v>
      </c>
    </row>
    <row r="23" spans="1:35" ht="13.5" customHeight="1" x14ac:dyDescent="0.4">
      <c r="A23" s="372"/>
      <c r="B23" s="372"/>
      <c r="C23" s="622"/>
      <c r="D23" s="370"/>
      <c r="E23" s="285"/>
      <c r="G23" s="11"/>
      <c r="H23" s="284"/>
      <c r="I23" s="10"/>
      <c r="J23" s="383"/>
      <c r="K23" s="10"/>
      <c r="L23" s="11"/>
      <c r="M23" s="12"/>
      <c r="N23" s="11"/>
      <c r="O23" s="195"/>
      <c r="P23" s="11"/>
      <c r="Q23" s="11"/>
      <c r="R23" s="12"/>
      <c r="S23" s="11"/>
      <c r="T23" s="195"/>
      <c r="V23" s="11"/>
      <c r="W23" s="12"/>
      <c r="X23" s="11"/>
      <c r="Y23" s="195"/>
      <c r="Z23" s="11"/>
      <c r="AA23" s="11"/>
      <c r="AB23" s="12"/>
      <c r="AC23" s="11"/>
      <c r="AD23" s="195"/>
      <c r="AE23" s="287"/>
      <c r="AF23" s="288"/>
    </row>
    <row r="24" spans="1:35" x14ac:dyDescent="0.4">
      <c r="A24" s="372"/>
      <c r="B24" s="372"/>
      <c r="C24" s="622"/>
      <c r="D24" s="296" t="s">
        <v>126</v>
      </c>
      <c r="E24" s="285"/>
      <c r="G24" s="11"/>
      <c r="H24" s="284"/>
      <c r="I24" s="10"/>
      <c r="J24" s="383"/>
      <c r="K24" s="10"/>
      <c r="L24" s="11"/>
      <c r="M24" s="12"/>
      <c r="N24" s="11"/>
      <c r="O24" s="195"/>
      <c r="P24" s="11"/>
      <c r="Q24" s="11"/>
      <c r="R24" s="12"/>
      <c r="S24" s="11"/>
      <c r="T24" s="195"/>
      <c r="V24" s="11"/>
      <c r="W24" s="12"/>
      <c r="X24" s="11"/>
      <c r="Y24" s="195"/>
      <c r="Z24" s="11"/>
      <c r="AA24" s="11"/>
      <c r="AB24" s="12"/>
      <c r="AC24" s="11"/>
      <c r="AD24" s="195"/>
      <c r="AE24" s="287"/>
      <c r="AF24" s="288"/>
    </row>
    <row r="25" spans="1:35" x14ac:dyDescent="0.4">
      <c r="A25" s="109" t="s">
        <v>331</v>
      </c>
      <c r="B25" s="592">
        <v>86040</v>
      </c>
      <c r="C25" s="109" t="s">
        <v>247</v>
      </c>
      <c r="D25" s="297" t="s">
        <v>127</v>
      </c>
      <c r="E25" s="298">
        <f>'Volunteer Travel'!C8</f>
        <v>14</v>
      </c>
      <c r="F25" s="377">
        <f>'Volunteer Travel'!B21</f>
        <v>850</v>
      </c>
      <c r="G25" s="11">
        <v>1</v>
      </c>
      <c r="H25" s="284" t="s">
        <v>70</v>
      </c>
      <c r="I25" s="10">
        <f>E25*F25*G25</f>
        <v>11900</v>
      </c>
      <c r="J25" s="383">
        <f>F25*G25*E25</f>
        <v>11900</v>
      </c>
      <c r="K25" s="10">
        <f>'Volunteer Travel'!D8</f>
        <v>13</v>
      </c>
      <c r="L25" s="385">
        <f>F25*1.02</f>
        <v>867</v>
      </c>
      <c r="M25" s="12">
        <f>G25</f>
        <v>1</v>
      </c>
      <c r="N25" s="11">
        <f>L25*M25*K25</f>
        <v>11271</v>
      </c>
      <c r="O25" s="291">
        <f>L25*M25*K25</f>
        <v>11271</v>
      </c>
      <c r="P25" s="11">
        <f>'Volunteer Travel'!E8</f>
        <v>13</v>
      </c>
      <c r="Q25" s="385">
        <f>L25*1.02</f>
        <v>884.34</v>
      </c>
      <c r="R25" s="12">
        <f>M25</f>
        <v>1</v>
      </c>
      <c r="S25" s="194">
        <f>Q25*R25*P25</f>
        <v>11496.42</v>
      </c>
      <c r="T25" s="291">
        <f>Q25*R25*P25</f>
        <v>11496.42</v>
      </c>
      <c r="U25" s="293">
        <f>'Volunteer Travel'!F8</f>
        <v>12</v>
      </c>
      <c r="V25" s="385">
        <f>Q25*1.02</f>
        <v>902.02680000000009</v>
      </c>
      <c r="W25" s="12">
        <f>R25</f>
        <v>1</v>
      </c>
      <c r="X25" s="11">
        <f>V25*W25*U25</f>
        <v>10824.321600000001</v>
      </c>
      <c r="Y25" s="291">
        <f>V25*W25*U25</f>
        <v>10824.321600000001</v>
      </c>
      <c r="Z25" s="11">
        <f>'Volunteer Travel'!G8</f>
        <v>12</v>
      </c>
      <c r="AA25" s="385">
        <f>V25*1.02</f>
        <v>920.06733600000007</v>
      </c>
      <c r="AB25" s="12">
        <f>W25</f>
        <v>1</v>
      </c>
      <c r="AC25" s="11">
        <f>AA25*AB25*Z25</f>
        <v>11040.808032000001</v>
      </c>
      <c r="AD25" s="291">
        <f>AA25*AB25*Z25</f>
        <v>11040.808032000001</v>
      </c>
      <c r="AE25" s="195">
        <f>SUM(AD25,Y25,T25,O25,J25)</f>
        <v>56532.549632000002</v>
      </c>
      <c r="AF25" s="288">
        <f t="shared" ref="AF25:AF29" si="6">SUM(AE25:AE25)</f>
        <v>56532.549632000002</v>
      </c>
      <c r="AG25" s="259">
        <f>AF25*0.7</f>
        <v>39572.784742399999</v>
      </c>
      <c r="AH25" s="260">
        <f>AG25/3</f>
        <v>13190.928247466667</v>
      </c>
      <c r="AI25" s="260">
        <f>AH25/12</f>
        <v>1099.2440206222223</v>
      </c>
    </row>
    <row r="26" spans="1:35" x14ac:dyDescent="0.4">
      <c r="A26" s="109" t="s">
        <v>335</v>
      </c>
      <c r="B26" s="613" t="s">
        <v>291</v>
      </c>
      <c r="C26" s="109" t="s">
        <v>247</v>
      </c>
      <c r="D26" s="297" t="s">
        <v>75</v>
      </c>
      <c r="E26" s="298">
        <f>E25</f>
        <v>14</v>
      </c>
      <c r="F26" s="377">
        <f>'Volunteer Travel'!C21</f>
        <v>102.96000000000001</v>
      </c>
      <c r="G26" s="11">
        <v>14</v>
      </c>
      <c r="H26" s="284" t="s">
        <v>128</v>
      </c>
      <c r="I26" s="10">
        <f>E26*F26*G26</f>
        <v>20180.16</v>
      </c>
      <c r="J26" s="383">
        <f t="shared" ref="J26:J29" si="7">F26*G26*E26</f>
        <v>20180.16</v>
      </c>
      <c r="K26" s="10">
        <f>K25</f>
        <v>13</v>
      </c>
      <c r="L26" s="385">
        <f>F26*1.02</f>
        <v>105.01920000000001</v>
      </c>
      <c r="M26" s="12">
        <f>G26</f>
        <v>14</v>
      </c>
      <c r="N26" s="11">
        <f t="shared" ref="N26:N29" si="8">L26*M26*K26</f>
        <v>19113.494400000003</v>
      </c>
      <c r="O26" s="291">
        <f t="shared" ref="O26:O29" si="9">L26*M26*K26</f>
        <v>19113.494400000003</v>
      </c>
      <c r="P26" s="11">
        <f>P25</f>
        <v>13</v>
      </c>
      <c r="Q26" s="385">
        <f>L26*1.02</f>
        <v>107.11958400000002</v>
      </c>
      <c r="R26" s="12">
        <f>M26</f>
        <v>14</v>
      </c>
      <c r="S26" s="194">
        <f t="shared" ref="S26:S29" si="10">Q26*R26*P26</f>
        <v>19495.764288000002</v>
      </c>
      <c r="T26" s="291">
        <f t="shared" ref="T26:T29" si="11">Q26*R26*P26</f>
        <v>19495.764288000002</v>
      </c>
      <c r="U26" s="293">
        <f>U25</f>
        <v>12</v>
      </c>
      <c r="V26" s="385">
        <f>Q26*1.02</f>
        <v>109.26197568000002</v>
      </c>
      <c r="W26" s="12">
        <f>R26</f>
        <v>14</v>
      </c>
      <c r="X26" s="11">
        <f>V26*W26</f>
        <v>1529.6676595200004</v>
      </c>
      <c r="Y26" s="291">
        <f t="shared" ref="Y26:Y29" si="12">V26*W26*U26</f>
        <v>18356.011914240004</v>
      </c>
      <c r="Z26" s="11">
        <f>Z25</f>
        <v>12</v>
      </c>
      <c r="AA26" s="385">
        <f>V26*1.02</f>
        <v>111.44721519360002</v>
      </c>
      <c r="AB26" s="12">
        <f>W26</f>
        <v>14</v>
      </c>
      <c r="AC26" s="11">
        <f t="shared" ref="AC26:AC29" si="13">AA26*AB26*Z26</f>
        <v>18723.132152524806</v>
      </c>
      <c r="AD26" s="291">
        <f t="shared" ref="AD26:AD29" si="14">AA26*AB26*Z26</f>
        <v>18723.132152524806</v>
      </c>
      <c r="AE26" s="195">
        <f>SUM(AD26,Y26,T26,O26,J26)</f>
        <v>95868.562754764833</v>
      </c>
      <c r="AF26" s="288">
        <f t="shared" si="6"/>
        <v>95868.562754764833</v>
      </c>
      <c r="AG26" s="259">
        <f>AF26*0.7</f>
        <v>67107.993928335374</v>
      </c>
      <c r="AH26" s="260">
        <f>AG26/3</f>
        <v>22369.331309445126</v>
      </c>
      <c r="AI26" s="260">
        <f>AH26/12</f>
        <v>1864.1109424537606</v>
      </c>
    </row>
    <row r="27" spans="1:35" x14ac:dyDescent="0.4">
      <c r="A27" s="109" t="s">
        <v>335</v>
      </c>
      <c r="B27" s="613" t="s">
        <v>290</v>
      </c>
      <c r="C27" s="109" t="s">
        <v>247</v>
      </c>
      <c r="D27" s="297" t="s">
        <v>67</v>
      </c>
      <c r="E27" s="298">
        <f>E25</f>
        <v>14</v>
      </c>
      <c r="F27" s="377">
        <f>'Volunteer Travel'!D21</f>
        <v>59.5</v>
      </c>
      <c r="G27" s="11">
        <v>15</v>
      </c>
      <c r="H27" s="284" t="s">
        <v>46</v>
      </c>
      <c r="I27" s="10">
        <f>E27*F27*G27</f>
        <v>12495</v>
      </c>
      <c r="J27" s="383">
        <f t="shared" si="7"/>
        <v>12495</v>
      </c>
      <c r="K27" s="10">
        <f>K25</f>
        <v>13</v>
      </c>
      <c r="L27" s="385">
        <f t="shared" ref="L27:L29" si="15">F27*1.02</f>
        <v>60.69</v>
      </c>
      <c r="M27" s="12">
        <f>G27</f>
        <v>15</v>
      </c>
      <c r="N27" s="11">
        <f t="shared" si="8"/>
        <v>11834.55</v>
      </c>
      <c r="O27" s="291">
        <f t="shared" si="9"/>
        <v>11834.55</v>
      </c>
      <c r="P27" s="11">
        <f>P25</f>
        <v>13</v>
      </c>
      <c r="Q27" s="385">
        <f t="shared" ref="Q27:Q29" si="16">L27*1.02</f>
        <v>61.903799999999997</v>
      </c>
      <c r="R27" s="12">
        <f>M27</f>
        <v>15</v>
      </c>
      <c r="S27" s="194">
        <f t="shared" si="10"/>
        <v>12071.240999999998</v>
      </c>
      <c r="T27" s="291">
        <f t="shared" si="11"/>
        <v>12071.240999999998</v>
      </c>
      <c r="U27" s="293">
        <f>U25</f>
        <v>12</v>
      </c>
      <c r="V27" s="385">
        <f t="shared" ref="V27:V29" si="17">Q27*1.02</f>
        <v>63.141875999999996</v>
      </c>
      <c r="W27" s="12">
        <f>R27</f>
        <v>15</v>
      </c>
      <c r="X27" s="11">
        <f>V27*W27</f>
        <v>947.12813999999992</v>
      </c>
      <c r="Y27" s="291">
        <f t="shared" si="12"/>
        <v>11365.537679999999</v>
      </c>
      <c r="Z27" s="11">
        <f>Z25</f>
        <v>12</v>
      </c>
      <c r="AA27" s="385">
        <f t="shared" ref="AA27:AA29" si="18">V27*1.02</f>
        <v>64.404713520000001</v>
      </c>
      <c r="AB27" s="12">
        <f>W27</f>
        <v>15</v>
      </c>
      <c r="AC27" s="11">
        <f t="shared" si="13"/>
        <v>11592.8484336</v>
      </c>
      <c r="AD27" s="291">
        <f t="shared" si="14"/>
        <v>11592.8484336</v>
      </c>
      <c r="AE27" s="195">
        <f>SUM(AD27,Y27,T27,O27,J27)</f>
        <v>59359.177113600002</v>
      </c>
      <c r="AF27" s="288">
        <f t="shared" si="6"/>
        <v>59359.177113600002</v>
      </c>
      <c r="AG27" s="259">
        <f>AF27*0.7</f>
        <v>41551.423979519997</v>
      </c>
      <c r="AH27" s="260">
        <f>AG27/3</f>
        <v>13850.47465984</v>
      </c>
      <c r="AI27" s="260">
        <f>AH27/12</f>
        <v>1154.2062216533334</v>
      </c>
    </row>
    <row r="28" spans="1:35" x14ac:dyDescent="0.4">
      <c r="A28" s="109" t="s">
        <v>335</v>
      </c>
      <c r="B28" s="613" t="s">
        <v>290</v>
      </c>
      <c r="C28" s="109" t="s">
        <v>247</v>
      </c>
      <c r="D28" s="297" t="s">
        <v>129</v>
      </c>
      <c r="E28" s="298">
        <f>E25</f>
        <v>14</v>
      </c>
      <c r="F28" s="377">
        <f>'Volunteer Travel'!E21</f>
        <v>75</v>
      </c>
      <c r="G28" s="11">
        <v>1</v>
      </c>
      <c r="H28" s="284" t="s">
        <v>70</v>
      </c>
      <c r="I28" s="10">
        <f>E28*F28*G28</f>
        <v>1050</v>
      </c>
      <c r="J28" s="383">
        <f t="shared" si="7"/>
        <v>1050</v>
      </c>
      <c r="K28" s="10">
        <f>K26</f>
        <v>13</v>
      </c>
      <c r="L28" s="385">
        <f t="shared" si="15"/>
        <v>76.5</v>
      </c>
      <c r="M28" s="12">
        <f>G28</f>
        <v>1</v>
      </c>
      <c r="N28" s="11">
        <f t="shared" si="8"/>
        <v>994.5</v>
      </c>
      <c r="O28" s="291">
        <f t="shared" si="9"/>
        <v>994.5</v>
      </c>
      <c r="P28" s="11">
        <f>P26</f>
        <v>13</v>
      </c>
      <c r="Q28" s="385">
        <f t="shared" si="16"/>
        <v>78.03</v>
      </c>
      <c r="R28" s="12">
        <f>M28</f>
        <v>1</v>
      </c>
      <c r="S28" s="194">
        <f t="shared" si="10"/>
        <v>1014.39</v>
      </c>
      <c r="T28" s="291">
        <f t="shared" si="11"/>
        <v>1014.39</v>
      </c>
      <c r="U28" s="293">
        <f>U26</f>
        <v>12</v>
      </c>
      <c r="V28" s="385">
        <f t="shared" si="17"/>
        <v>79.590600000000009</v>
      </c>
      <c r="W28" s="12">
        <f>R28</f>
        <v>1</v>
      </c>
      <c r="X28" s="11">
        <f>V28*W28</f>
        <v>79.590600000000009</v>
      </c>
      <c r="Y28" s="291">
        <f t="shared" si="12"/>
        <v>955.08720000000017</v>
      </c>
      <c r="Z28" s="11">
        <f>Z26</f>
        <v>12</v>
      </c>
      <c r="AA28" s="385">
        <f t="shared" si="18"/>
        <v>81.182412000000014</v>
      </c>
      <c r="AB28" s="12">
        <f>W28</f>
        <v>1</v>
      </c>
      <c r="AC28" s="11">
        <f t="shared" si="13"/>
        <v>974.18894400000022</v>
      </c>
      <c r="AD28" s="291">
        <f t="shared" si="14"/>
        <v>974.18894400000022</v>
      </c>
      <c r="AE28" s="195">
        <f>SUM(AD28,Y28,T28,O28,J28)</f>
        <v>4988.1661440000007</v>
      </c>
      <c r="AF28" s="288">
        <f t="shared" si="6"/>
        <v>4988.1661440000007</v>
      </c>
      <c r="AG28" s="259"/>
      <c r="AH28" s="260"/>
      <c r="AI28" s="260"/>
    </row>
    <row r="29" spans="1:35" x14ac:dyDescent="0.4">
      <c r="A29" s="109" t="s">
        <v>335</v>
      </c>
      <c r="B29" s="613" t="s">
        <v>290</v>
      </c>
      <c r="C29" s="109" t="s">
        <v>247</v>
      </c>
      <c r="D29" s="297" t="s">
        <v>130</v>
      </c>
      <c r="E29" s="298">
        <f>E25</f>
        <v>14</v>
      </c>
      <c r="F29" s="377">
        <f>'Volunteer Travel'!F21</f>
        <v>124</v>
      </c>
      <c r="G29" s="11">
        <v>1</v>
      </c>
      <c r="H29" s="284" t="s">
        <v>70</v>
      </c>
      <c r="I29" s="10">
        <f>E29*F29*G29</f>
        <v>1736</v>
      </c>
      <c r="J29" s="383">
        <f t="shared" si="7"/>
        <v>1736</v>
      </c>
      <c r="K29" s="10">
        <f>K25</f>
        <v>13</v>
      </c>
      <c r="L29" s="385">
        <f t="shared" si="15"/>
        <v>126.48</v>
      </c>
      <c r="M29" s="12">
        <v>1</v>
      </c>
      <c r="N29" s="11">
        <f t="shared" si="8"/>
        <v>1644.24</v>
      </c>
      <c r="O29" s="291">
        <f t="shared" si="9"/>
        <v>1644.24</v>
      </c>
      <c r="P29" s="11">
        <f>P25</f>
        <v>13</v>
      </c>
      <c r="Q29" s="385">
        <f t="shared" si="16"/>
        <v>129.00960000000001</v>
      </c>
      <c r="R29" s="12">
        <v>1</v>
      </c>
      <c r="S29" s="194">
        <f t="shared" si="10"/>
        <v>1677.1248000000001</v>
      </c>
      <c r="T29" s="291">
        <f t="shared" si="11"/>
        <v>1677.1248000000001</v>
      </c>
      <c r="U29" s="293">
        <f>U25</f>
        <v>12</v>
      </c>
      <c r="V29" s="385">
        <f t="shared" si="17"/>
        <v>131.58979200000002</v>
      </c>
      <c r="W29" s="12">
        <v>1</v>
      </c>
      <c r="X29" s="11">
        <f>V29*W29</f>
        <v>131.58979200000002</v>
      </c>
      <c r="Y29" s="291">
        <f t="shared" si="12"/>
        <v>1579.0775040000003</v>
      </c>
      <c r="Z29" s="11">
        <f>Z25</f>
        <v>12</v>
      </c>
      <c r="AA29" s="385">
        <f t="shared" si="18"/>
        <v>134.22158784000001</v>
      </c>
      <c r="AB29" s="12">
        <v>1</v>
      </c>
      <c r="AC29" s="11">
        <f t="shared" si="13"/>
        <v>1610.6590540800003</v>
      </c>
      <c r="AD29" s="291">
        <f t="shared" si="14"/>
        <v>1610.6590540800003</v>
      </c>
      <c r="AE29" s="195">
        <f>SUM(AD29,Y29,T29,O29,J29)</f>
        <v>8247.1013580800009</v>
      </c>
      <c r="AF29" s="288">
        <f t="shared" si="6"/>
        <v>8247.1013580800009</v>
      </c>
      <c r="AG29" s="259">
        <f>AF29*0.7</f>
        <v>5772.9709506560002</v>
      </c>
      <c r="AH29" s="260">
        <f>AG29/3</f>
        <v>1924.3236502186667</v>
      </c>
      <c r="AI29" s="260">
        <f>AH29/12</f>
        <v>160.36030418488889</v>
      </c>
    </row>
    <row r="30" spans="1:35" x14ac:dyDescent="0.4">
      <c r="A30" s="109"/>
      <c r="B30" s="613"/>
      <c r="C30" s="109"/>
      <c r="D30" s="297"/>
      <c r="E30" s="298"/>
      <c r="F30" s="377"/>
      <c r="G30" s="11"/>
      <c r="H30" s="284"/>
      <c r="I30" s="10"/>
      <c r="J30" s="383"/>
      <c r="K30" s="10"/>
      <c r="L30" s="385"/>
      <c r="M30" s="12"/>
      <c r="N30" s="11"/>
      <c r="O30" s="291"/>
      <c r="P30" s="11"/>
      <c r="Q30" s="385"/>
      <c r="R30" s="12"/>
      <c r="S30" s="11"/>
      <c r="T30" s="291"/>
      <c r="U30" s="293"/>
      <c r="V30" s="385"/>
      <c r="W30" s="12"/>
      <c r="X30" s="11"/>
      <c r="Y30" s="291"/>
      <c r="Z30" s="11"/>
      <c r="AA30" s="385"/>
      <c r="AB30" s="12"/>
      <c r="AC30" s="11"/>
      <c r="AD30" s="291"/>
      <c r="AE30" s="195"/>
      <c r="AF30" s="291"/>
      <c r="AG30" s="259"/>
      <c r="AH30" s="260"/>
      <c r="AI30" s="260"/>
    </row>
    <row r="31" spans="1:35" x14ac:dyDescent="0.4">
      <c r="A31" s="372"/>
      <c r="B31" s="372"/>
      <c r="C31" s="622"/>
      <c r="D31" s="296" t="s">
        <v>131</v>
      </c>
      <c r="E31" s="285"/>
      <c r="G31" s="11"/>
      <c r="H31" s="284"/>
      <c r="I31" s="10"/>
      <c r="J31" s="383"/>
      <c r="K31" s="10"/>
      <c r="L31" s="11"/>
      <c r="M31" s="12"/>
      <c r="N31" s="11"/>
      <c r="O31" s="195"/>
      <c r="P31" s="11"/>
      <c r="Q31" s="11"/>
      <c r="R31" s="12"/>
      <c r="S31" s="11"/>
      <c r="T31" s="195"/>
      <c r="V31" s="11"/>
      <c r="W31" s="12"/>
      <c r="X31" s="11"/>
      <c r="Y31" s="195"/>
      <c r="Z31" s="11"/>
      <c r="AA31" s="11"/>
      <c r="AB31" s="12"/>
      <c r="AC31" s="11"/>
      <c r="AD31" s="195"/>
      <c r="AE31" s="287"/>
      <c r="AF31" s="288"/>
    </row>
    <row r="32" spans="1:35" x14ac:dyDescent="0.4">
      <c r="A32" s="109" t="s">
        <v>336</v>
      </c>
      <c r="B32" s="613" t="s">
        <v>291</v>
      </c>
      <c r="C32" s="109" t="s">
        <v>247</v>
      </c>
      <c r="D32" s="297" t="s">
        <v>75</v>
      </c>
      <c r="E32" s="298">
        <f>'Volunteer Travel'!C9</f>
        <v>2</v>
      </c>
      <c r="F32" s="377">
        <f>'Volunteer Travel'!G21</f>
        <v>72.072000000000003</v>
      </c>
      <c r="G32" s="11">
        <v>6</v>
      </c>
      <c r="H32" s="284" t="s">
        <v>128</v>
      </c>
      <c r="I32" s="10">
        <f>E32*F32*G32</f>
        <v>864.86400000000003</v>
      </c>
      <c r="J32" s="383">
        <f>F32*G32*E32</f>
        <v>864.86400000000003</v>
      </c>
      <c r="K32" s="10">
        <f>'Volunteer Travel'!D9</f>
        <v>3</v>
      </c>
      <c r="L32" s="385">
        <f>F32*1.02</f>
        <v>73.513440000000003</v>
      </c>
      <c r="M32" s="12">
        <f>G32</f>
        <v>6</v>
      </c>
      <c r="N32" s="10">
        <f>K32*L32*M32</f>
        <v>1323.2419199999999</v>
      </c>
      <c r="O32" s="383">
        <f>K32*L32*M32</f>
        <v>1323.2419199999999</v>
      </c>
      <c r="P32" s="11">
        <f>'Volunteer Travel'!E9</f>
        <v>3</v>
      </c>
      <c r="Q32" s="385">
        <f>L32*1.02</f>
        <v>74.983708800000002</v>
      </c>
      <c r="R32" s="12">
        <f>M32</f>
        <v>6</v>
      </c>
      <c r="S32" s="10">
        <f>P32*Q32*R32</f>
        <v>1349.7067584000001</v>
      </c>
      <c r="T32" s="383">
        <f>P32*Q32*R32</f>
        <v>1349.7067584000001</v>
      </c>
      <c r="U32" s="293">
        <f>'Volunteer Travel'!F9</f>
        <v>3</v>
      </c>
      <c r="V32" s="385">
        <f>Q32*1.02</f>
        <v>76.483382976000001</v>
      </c>
      <c r="W32" s="12">
        <f>R32</f>
        <v>6</v>
      </c>
      <c r="X32" s="10">
        <f>U32*V32*W32</f>
        <v>1376.7008935680001</v>
      </c>
      <c r="Y32" s="383">
        <f>U32*V32*W32</f>
        <v>1376.7008935680001</v>
      </c>
      <c r="Z32" s="11">
        <f>'Volunteer Travel'!G9</f>
        <v>2</v>
      </c>
      <c r="AA32" s="385">
        <f>V32*1.02</f>
        <v>78.013050635520003</v>
      </c>
      <c r="AB32" s="12">
        <f>W32</f>
        <v>6</v>
      </c>
      <c r="AC32" s="10">
        <f>Z32*AA32*AB32</f>
        <v>936.15660762623997</v>
      </c>
      <c r="AD32" s="383">
        <f>Z32*AA32*AB32</f>
        <v>936.15660762623997</v>
      </c>
      <c r="AE32" s="195">
        <f>SUM(AD32,Y32,T32,O32,J32)</f>
        <v>5850.6701795942408</v>
      </c>
      <c r="AF32" s="288">
        <f t="shared" ref="AF32:AF34" si="19">SUM(AE32:AE32)</f>
        <v>5850.6701795942408</v>
      </c>
      <c r="AG32" s="259">
        <f>AF32*0.7</f>
        <v>4095.4691257159684</v>
      </c>
      <c r="AH32" s="260">
        <f>AG32/3</f>
        <v>1365.1563752386562</v>
      </c>
      <c r="AI32" s="260">
        <f>AH32/12</f>
        <v>113.76303126988802</v>
      </c>
    </row>
    <row r="33" spans="1:35" x14ac:dyDescent="0.4">
      <c r="A33" s="109" t="s">
        <v>336</v>
      </c>
      <c r="B33" s="613" t="s">
        <v>290</v>
      </c>
      <c r="C33" s="109" t="s">
        <v>247</v>
      </c>
      <c r="D33" s="297" t="s">
        <v>67</v>
      </c>
      <c r="E33" s="298">
        <f>E32</f>
        <v>2</v>
      </c>
      <c r="F33" s="377">
        <f>'Volunteer Travel'!H21</f>
        <v>59.5</v>
      </c>
      <c r="G33" s="11">
        <v>7</v>
      </c>
      <c r="H33" s="284" t="s">
        <v>46</v>
      </c>
      <c r="I33" s="10">
        <f>E33*F33*G33</f>
        <v>833</v>
      </c>
      <c r="J33" s="383">
        <f t="shared" ref="J33:J34" si="20">F33*G33*E33</f>
        <v>833</v>
      </c>
      <c r="K33" s="10">
        <f>K32</f>
        <v>3</v>
      </c>
      <c r="L33" s="385">
        <f t="shared" ref="L33:L34" si="21">F33*1.02</f>
        <v>60.69</v>
      </c>
      <c r="M33" s="12">
        <f>G33</f>
        <v>7</v>
      </c>
      <c r="N33" s="10">
        <f t="shared" ref="N33:N34" si="22">K33*L33*M33</f>
        <v>1274.49</v>
      </c>
      <c r="O33" s="383">
        <f t="shared" ref="O33:O34" si="23">K33*L33*M33</f>
        <v>1274.49</v>
      </c>
      <c r="P33" s="11">
        <f>P32</f>
        <v>3</v>
      </c>
      <c r="Q33" s="385">
        <f>L33*1.02</f>
        <v>61.903799999999997</v>
      </c>
      <c r="R33" s="12">
        <f>M33</f>
        <v>7</v>
      </c>
      <c r="S33" s="10">
        <f t="shared" ref="S33:S34" si="24">P33*Q33*R33</f>
        <v>1299.9798000000001</v>
      </c>
      <c r="T33" s="383">
        <f t="shared" ref="T33:T34" si="25">P33*Q33*R33</f>
        <v>1299.9798000000001</v>
      </c>
      <c r="U33" s="293">
        <f>U32</f>
        <v>3</v>
      </c>
      <c r="V33" s="385">
        <f>Q33*1.02</f>
        <v>63.141875999999996</v>
      </c>
      <c r="W33" s="12">
        <f>R33</f>
        <v>7</v>
      </c>
      <c r="X33" s="10">
        <f t="shared" ref="X33:X34" si="26">U33*V33*W33</f>
        <v>1325.979396</v>
      </c>
      <c r="Y33" s="383">
        <f t="shared" ref="Y33:Y34" si="27">U33*V33*W33</f>
        <v>1325.979396</v>
      </c>
      <c r="Z33" s="11">
        <f>Z32</f>
        <v>2</v>
      </c>
      <c r="AA33" s="385">
        <f t="shared" ref="AA33:AA34" si="28">V33*1.02</f>
        <v>64.404713520000001</v>
      </c>
      <c r="AB33" s="12">
        <f>W33</f>
        <v>7</v>
      </c>
      <c r="AC33" s="10">
        <f t="shared" ref="AC33:AC34" si="29">Z33*AA33*AB33</f>
        <v>901.66598928000008</v>
      </c>
      <c r="AD33" s="383">
        <f t="shared" ref="AD33:AD34" si="30">Z33*AA33*AB33</f>
        <v>901.66598928000008</v>
      </c>
      <c r="AE33" s="195">
        <f>SUM(AD33,Y33,T33,O33,J33)</f>
        <v>5635.1151852800003</v>
      </c>
      <c r="AF33" s="288">
        <f t="shared" si="19"/>
        <v>5635.1151852800003</v>
      </c>
      <c r="AG33" s="259">
        <f>AF33*0.7</f>
        <v>3944.580629696</v>
      </c>
      <c r="AH33" s="260">
        <f>AG33/3</f>
        <v>1314.8602098986667</v>
      </c>
      <c r="AI33" s="260">
        <f>AH33/12</f>
        <v>109.57168415822223</v>
      </c>
    </row>
    <row r="34" spans="1:35" x14ac:dyDescent="0.4">
      <c r="A34" s="109" t="s">
        <v>336</v>
      </c>
      <c r="B34" s="613" t="s">
        <v>290</v>
      </c>
      <c r="C34" s="109" t="s">
        <v>247</v>
      </c>
      <c r="D34" s="297" t="s">
        <v>130</v>
      </c>
      <c r="E34" s="298">
        <f>E32</f>
        <v>2</v>
      </c>
      <c r="F34" s="377">
        <f>'Volunteer Travel'!I21</f>
        <v>30</v>
      </c>
      <c r="G34" s="11">
        <v>1</v>
      </c>
      <c r="H34" s="284" t="s">
        <v>70</v>
      </c>
      <c r="I34" s="10">
        <f>E34*F34*G34</f>
        <v>60</v>
      </c>
      <c r="J34" s="383">
        <f t="shared" si="20"/>
        <v>60</v>
      </c>
      <c r="K34" s="10">
        <f>K32</f>
        <v>3</v>
      </c>
      <c r="L34" s="385">
        <f t="shared" si="21"/>
        <v>30.6</v>
      </c>
      <c r="M34" s="12">
        <f>G34</f>
        <v>1</v>
      </c>
      <c r="N34" s="10">
        <f t="shared" si="22"/>
        <v>91.800000000000011</v>
      </c>
      <c r="O34" s="383">
        <f t="shared" si="23"/>
        <v>91.800000000000011</v>
      </c>
      <c r="P34" s="11">
        <f>P32</f>
        <v>3</v>
      </c>
      <c r="Q34" s="385">
        <f t="shared" ref="Q34" si="31">L34*1.02</f>
        <v>31.212000000000003</v>
      </c>
      <c r="R34" s="12">
        <f>M34</f>
        <v>1</v>
      </c>
      <c r="S34" s="10">
        <f t="shared" si="24"/>
        <v>93.63600000000001</v>
      </c>
      <c r="T34" s="383">
        <f t="shared" si="25"/>
        <v>93.63600000000001</v>
      </c>
      <c r="U34" s="293">
        <f>U32</f>
        <v>3</v>
      </c>
      <c r="V34" s="385">
        <f t="shared" ref="V34" si="32">Q34*1.02</f>
        <v>31.836240000000004</v>
      </c>
      <c r="W34" s="12">
        <f>R34</f>
        <v>1</v>
      </c>
      <c r="X34" s="10">
        <f t="shared" si="26"/>
        <v>95.508720000000011</v>
      </c>
      <c r="Y34" s="383">
        <f t="shared" si="27"/>
        <v>95.508720000000011</v>
      </c>
      <c r="Z34" s="11">
        <f>Z32</f>
        <v>2</v>
      </c>
      <c r="AA34" s="385">
        <f t="shared" si="28"/>
        <v>32.472964800000007</v>
      </c>
      <c r="AB34" s="12">
        <f>W34</f>
        <v>1</v>
      </c>
      <c r="AC34" s="10">
        <f t="shared" si="29"/>
        <v>64.945929600000014</v>
      </c>
      <c r="AD34" s="383">
        <f t="shared" si="30"/>
        <v>64.945929600000014</v>
      </c>
      <c r="AE34" s="195">
        <f>SUM(AD34,Y34,T34,O34,J34)</f>
        <v>405.89064960000007</v>
      </c>
      <c r="AF34" s="288">
        <f t="shared" si="19"/>
        <v>405.89064960000007</v>
      </c>
      <c r="AG34" s="259">
        <f>AF34*0.7</f>
        <v>284.12345472000004</v>
      </c>
      <c r="AH34" s="260">
        <f>AG34/3</f>
        <v>94.707818240000009</v>
      </c>
      <c r="AI34" s="260">
        <f>AH34/12</f>
        <v>7.8923181866666674</v>
      </c>
    </row>
    <row r="35" spans="1:35" x14ac:dyDescent="0.4">
      <c r="A35" s="109"/>
      <c r="B35" s="613"/>
      <c r="C35" s="109"/>
      <c r="D35" s="370"/>
      <c r="E35" s="285"/>
      <c r="H35" s="284"/>
      <c r="I35" s="10"/>
      <c r="J35" s="339"/>
      <c r="K35" s="10"/>
      <c r="L35" s="11"/>
      <c r="M35" s="12"/>
      <c r="N35" s="11"/>
      <c r="O35" s="195"/>
      <c r="P35" s="11"/>
      <c r="Q35" s="11"/>
      <c r="R35" s="12"/>
      <c r="S35" s="11"/>
      <c r="T35" s="195"/>
      <c r="V35" s="11"/>
      <c r="W35" s="12"/>
      <c r="X35" s="11"/>
      <c r="Y35" s="195"/>
      <c r="Z35" s="11"/>
      <c r="AA35" s="11"/>
      <c r="AB35" s="12"/>
      <c r="AC35" s="11"/>
      <c r="AD35" s="195"/>
      <c r="AE35" s="287"/>
      <c r="AF35" s="288"/>
      <c r="AG35" s="260">
        <f>AF29-AG29</f>
        <v>2474.1304074240006</v>
      </c>
      <c r="AH35" s="260">
        <f>AG35/2</f>
        <v>1237.0652037120003</v>
      </c>
      <c r="AI35" s="260">
        <f>AH35/9</f>
        <v>137.45168930133337</v>
      </c>
    </row>
    <row r="36" spans="1:35" x14ac:dyDescent="0.4">
      <c r="A36" s="109"/>
      <c r="B36" s="372"/>
      <c r="C36" s="109"/>
      <c r="D36" s="296" t="s">
        <v>132</v>
      </c>
      <c r="E36" s="285"/>
      <c r="G36" s="11"/>
      <c r="H36" s="284"/>
      <c r="I36" s="10"/>
      <c r="J36" s="383"/>
      <c r="K36" s="10"/>
      <c r="L36" s="11"/>
      <c r="M36" s="12"/>
      <c r="N36" s="11"/>
      <c r="O36" s="195"/>
      <c r="P36" s="11"/>
      <c r="Q36" s="11"/>
      <c r="R36" s="12"/>
      <c r="S36" s="11"/>
      <c r="T36" s="195"/>
      <c r="V36" s="11"/>
      <c r="W36" s="12"/>
      <c r="X36" s="11"/>
      <c r="Y36" s="195"/>
      <c r="Z36" s="11"/>
      <c r="AA36" s="11"/>
      <c r="AB36" s="12"/>
      <c r="AC36" s="11"/>
      <c r="AD36" s="195"/>
      <c r="AE36" s="287"/>
      <c r="AF36" s="288"/>
    </row>
    <row r="37" spans="1:35" x14ac:dyDescent="0.4">
      <c r="A37" s="109" t="s">
        <v>337</v>
      </c>
      <c r="B37" s="613" t="s">
        <v>291</v>
      </c>
      <c r="C37" s="109" t="s">
        <v>247</v>
      </c>
      <c r="D37" s="338" t="s">
        <v>75</v>
      </c>
      <c r="E37" s="298">
        <v>1</v>
      </c>
      <c r="F37" s="377">
        <f>'Field Travel'!B17</f>
        <v>72.072000000000003</v>
      </c>
      <c r="G37" s="293">
        <f>'Volunteer Travel'!K7</f>
        <v>138</v>
      </c>
      <c r="H37" s="284" t="s">
        <v>128</v>
      </c>
      <c r="I37" s="10">
        <f>E37*F37*G37</f>
        <v>9945.9359999999997</v>
      </c>
      <c r="J37" s="383">
        <f>F37*G37</f>
        <v>9945.9359999999997</v>
      </c>
      <c r="K37" s="10">
        <v>1</v>
      </c>
      <c r="L37" s="385">
        <f>F37*1.02</f>
        <v>73.513440000000003</v>
      </c>
      <c r="M37" s="12">
        <f>'Volunteer Travel'!L7</f>
        <v>138</v>
      </c>
      <c r="N37" s="11">
        <f>L37*M37</f>
        <v>10144.854720000001</v>
      </c>
      <c r="O37" s="291">
        <f>L37*M37</f>
        <v>10144.854720000001</v>
      </c>
      <c r="P37" s="11">
        <v>1</v>
      </c>
      <c r="Q37" s="385">
        <f>L37*1.02</f>
        <v>74.983708800000002</v>
      </c>
      <c r="R37" s="12">
        <f>'Volunteer Travel'!M7</f>
        <v>156</v>
      </c>
      <c r="S37" s="11">
        <f>Q37*R37</f>
        <v>11697.4585728</v>
      </c>
      <c r="T37" s="291">
        <f>Q37*R37</f>
        <v>11697.4585728</v>
      </c>
      <c r="U37" s="293">
        <v>1</v>
      </c>
      <c r="V37" s="385">
        <f t="shared" ref="V37:V39" si="33">Q37*1.02</f>
        <v>76.483382976000001</v>
      </c>
      <c r="W37" s="12">
        <f>'Volunteer Travel'!N7</f>
        <v>132</v>
      </c>
      <c r="X37" s="11">
        <f>V37*W37</f>
        <v>10095.806552832</v>
      </c>
      <c r="Y37" s="291">
        <f>V37*W37</f>
        <v>10095.806552832</v>
      </c>
      <c r="Z37" s="11">
        <v>1</v>
      </c>
      <c r="AA37" s="385">
        <f>V37*1.02</f>
        <v>78.013050635520003</v>
      </c>
      <c r="AB37" s="12">
        <f>'Volunteer Travel'!O7</f>
        <v>126</v>
      </c>
      <c r="AC37" s="11">
        <f>AA37*AB37</f>
        <v>9829.6443800755205</v>
      </c>
      <c r="AD37" s="291">
        <f>AA37*AB37</f>
        <v>9829.6443800755205</v>
      </c>
      <c r="AE37" s="195">
        <f>SUM(AD37,Y37,T37,O37,J37)</f>
        <v>51713.700225707529</v>
      </c>
      <c r="AF37" s="288">
        <f t="shared" ref="AF37:AF39" si="34">SUM(AE37:AE37)</f>
        <v>51713.700225707529</v>
      </c>
      <c r="AG37" s="259">
        <f>AF37*0.7</f>
        <v>36199.59015799527</v>
      </c>
      <c r="AH37" s="260">
        <f>AG37/3</f>
        <v>12066.53005266509</v>
      </c>
      <c r="AI37" s="260">
        <f>AH37/12</f>
        <v>1005.5441710554242</v>
      </c>
    </row>
    <row r="38" spans="1:35" x14ac:dyDescent="0.4">
      <c r="A38" s="109" t="s">
        <v>337</v>
      </c>
      <c r="B38" s="613" t="s">
        <v>290</v>
      </c>
      <c r="C38" s="109" t="s">
        <v>247</v>
      </c>
      <c r="D38" s="338" t="s">
        <v>67</v>
      </c>
      <c r="E38" s="298">
        <v>1</v>
      </c>
      <c r="F38" s="377">
        <f>'Field Travel'!C17</f>
        <v>59.5</v>
      </c>
      <c r="G38" s="293">
        <f>G37</f>
        <v>138</v>
      </c>
      <c r="H38" s="284" t="s">
        <v>46</v>
      </c>
      <c r="I38" s="10">
        <f>E38*F38*G38</f>
        <v>8211</v>
      </c>
      <c r="J38" s="383">
        <f>F38*G38</f>
        <v>8211</v>
      </c>
      <c r="K38" s="10">
        <v>1</v>
      </c>
      <c r="L38" s="385">
        <f t="shared" ref="L38:L39" si="35">F38*1.02</f>
        <v>60.69</v>
      </c>
      <c r="M38" s="12">
        <f>M37</f>
        <v>138</v>
      </c>
      <c r="N38" s="11">
        <f>L38*M38</f>
        <v>8375.2199999999993</v>
      </c>
      <c r="O38" s="291">
        <f>L38*M38</f>
        <v>8375.2199999999993</v>
      </c>
      <c r="P38" s="11">
        <v>1</v>
      </c>
      <c r="Q38" s="385">
        <f t="shared" ref="Q38:Q39" si="36">L38*1.02</f>
        <v>61.903799999999997</v>
      </c>
      <c r="R38" s="12">
        <f>R37</f>
        <v>156</v>
      </c>
      <c r="S38" s="11">
        <f>Q38*R38</f>
        <v>9656.9928</v>
      </c>
      <c r="T38" s="291">
        <f>Q38*R38</f>
        <v>9656.9928</v>
      </c>
      <c r="U38" s="293">
        <v>1</v>
      </c>
      <c r="V38" s="385">
        <f t="shared" si="33"/>
        <v>63.141875999999996</v>
      </c>
      <c r="W38" s="12">
        <f>W37</f>
        <v>132</v>
      </c>
      <c r="X38" s="11">
        <f>V38*W38</f>
        <v>8334.7276320000001</v>
      </c>
      <c r="Y38" s="291">
        <f>V38*W38</f>
        <v>8334.7276320000001</v>
      </c>
      <c r="Z38" s="11">
        <v>1</v>
      </c>
      <c r="AA38" s="385">
        <f>V38*1.02</f>
        <v>64.404713520000001</v>
      </c>
      <c r="AB38" s="12">
        <f>AB37</f>
        <v>126</v>
      </c>
      <c r="AC38" s="11">
        <f>AA38*AB38</f>
        <v>8114.9939035200005</v>
      </c>
      <c r="AD38" s="291">
        <f>AA38*AB38</f>
        <v>8114.9939035200005</v>
      </c>
      <c r="AE38" s="195">
        <f>SUM(AD38,Y38,T38,O38,J38)</f>
        <v>42692.934335520004</v>
      </c>
      <c r="AF38" s="288">
        <f t="shared" si="34"/>
        <v>42692.934335520004</v>
      </c>
      <c r="AG38" s="259">
        <f>AF38*0.7</f>
        <v>29885.054034863999</v>
      </c>
      <c r="AH38" s="260">
        <f>AG38/3</f>
        <v>9961.6846782880002</v>
      </c>
      <c r="AI38" s="260">
        <f>AH38/12</f>
        <v>830.14038985733339</v>
      </c>
    </row>
    <row r="39" spans="1:35" x14ac:dyDescent="0.4">
      <c r="A39" s="109" t="s">
        <v>337</v>
      </c>
      <c r="B39" s="613" t="s">
        <v>300</v>
      </c>
      <c r="C39" s="109" t="s">
        <v>247</v>
      </c>
      <c r="D39" s="338" t="s">
        <v>133</v>
      </c>
      <c r="E39" s="298">
        <v>1</v>
      </c>
      <c r="F39" s="377">
        <f>'Field Travel'!D17</f>
        <v>65</v>
      </c>
      <c r="G39" s="293">
        <f>E25+E32+'Field Travel'!U15</f>
        <v>37</v>
      </c>
      <c r="H39" s="284" t="s">
        <v>70</v>
      </c>
      <c r="I39" s="10">
        <f>E39*F39*G39</f>
        <v>2405</v>
      </c>
      <c r="J39" s="383">
        <f>F39*G39</f>
        <v>2405</v>
      </c>
      <c r="K39" s="10">
        <v>1</v>
      </c>
      <c r="L39" s="385">
        <f t="shared" si="35"/>
        <v>66.3</v>
      </c>
      <c r="M39" s="12">
        <f>K25+K32+'Field Travel'!U16</f>
        <v>37</v>
      </c>
      <c r="N39" s="11">
        <f>L39*M39</f>
        <v>2453.1</v>
      </c>
      <c r="O39" s="291">
        <f>L39*M39</f>
        <v>2453.1</v>
      </c>
      <c r="P39" s="11">
        <v>1</v>
      </c>
      <c r="Q39" s="385">
        <f t="shared" si="36"/>
        <v>67.626000000000005</v>
      </c>
      <c r="R39" s="12">
        <f>P25+P32+'Field Travel'!U17</f>
        <v>46</v>
      </c>
      <c r="S39" s="11">
        <f>Q39*R39</f>
        <v>3110.7960000000003</v>
      </c>
      <c r="T39" s="291">
        <f>Q39*R39</f>
        <v>3110.7960000000003</v>
      </c>
      <c r="U39" s="293">
        <v>1</v>
      </c>
      <c r="V39" s="385">
        <f t="shared" si="33"/>
        <v>68.978520000000003</v>
      </c>
      <c r="W39" s="12">
        <f>U25+U32+'Field Travel'!U18</f>
        <v>36</v>
      </c>
      <c r="X39" s="11">
        <f>V39*W39</f>
        <v>2483.2267200000001</v>
      </c>
      <c r="Y39" s="291">
        <f>V39*W39</f>
        <v>2483.2267200000001</v>
      </c>
      <c r="Z39" s="11">
        <v>1</v>
      </c>
      <c r="AA39" s="385">
        <f t="shared" ref="AA39" si="37">V39*1.02</f>
        <v>70.358090400000009</v>
      </c>
      <c r="AB39" s="12">
        <f>Z25+Z32+'Field Travel'!U19</f>
        <v>35</v>
      </c>
      <c r="AC39" s="11">
        <f>AA39*AB39</f>
        <v>2462.5331640000004</v>
      </c>
      <c r="AD39" s="291">
        <f>AA39*AB39</f>
        <v>2462.5331640000004</v>
      </c>
      <c r="AE39" s="195">
        <f>SUM(AD39,Y39,T39,O39,J39)</f>
        <v>12914.655884000002</v>
      </c>
      <c r="AF39" s="288">
        <f t="shared" si="34"/>
        <v>12914.655884000002</v>
      </c>
      <c r="AG39" s="259">
        <f>AF39*0.7</f>
        <v>9040.2591188000006</v>
      </c>
      <c r="AH39" s="260">
        <f>AG39/3</f>
        <v>3013.4197062666667</v>
      </c>
      <c r="AI39" s="260">
        <f>AH39/12</f>
        <v>251.11830885555557</v>
      </c>
    </row>
    <row r="40" spans="1:35" x14ac:dyDescent="0.4">
      <c r="A40" s="109"/>
      <c r="B40" s="613"/>
      <c r="C40" s="109"/>
      <c r="D40" s="297"/>
      <c r="E40" s="298"/>
      <c r="F40" s="377"/>
      <c r="G40" s="11"/>
      <c r="H40" s="284"/>
      <c r="I40" s="10"/>
      <c r="J40" s="383"/>
      <c r="K40" s="10"/>
      <c r="L40" s="385"/>
      <c r="M40" s="12"/>
      <c r="N40" s="11"/>
      <c r="O40" s="291"/>
      <c r="P40" s="11"/>
      <c r="Q40" s="385"/>
      <c r="R40" s="12"/>
      <c r="S40" s="11"/>
      <c r="T40" s="291"/>
      <c r="U40" s="293"/>
      <c r="V40" s="385"/>
      <c r="W40" s="12"/>
      <c r="X40" s="11"/>
      <c r="Y40" s="291"/>
      <c r="Z40" s="11"/>
      <c r="AA40" s="385"/>
      <c r="AB40" s="12"/>
      <c r="AC40" s="11"/>
      <c r="AD40" s="291"/>
      <c r="AE40" s="195"/>
      <c r="AF40" s="291"/>
      <c r="AG40" s="259"/>
      <c r="AH40" s="260"/>
      <c r="AI40" s="260"/>
    </row>
    <row r="41" spans="1:35" x14ac:dyDescent="0.4">
      <c r="A41" s="372"/>
      <c r="B41" s="372"/>
      <c r="C41" s="622"/>
      <c r="D41" s="370" t="s">
        <v>16</v>
      </c>
      <c r="E41" s="375"/>
      <c r="F41" s="24"/>
      <c r="G41" s="24"/>
      <c r="H41" s="289"/>
      <c r="I41" s="290"/>
      <c r="J41" s="383"/>
      <c r="K41" s="290"/>
      <c r="L41" s="292"/>
      <c r="M41" s="336"/>
      <c r="N41" s="292"/>
      <c r="O41" s="195"/>
      <c r="P41" s="292"/>
      <c r="Q41" s="292"/>
      <c r="R41" s="336"/>
      <c r="S41" s="292"/>
      <c r="T41" s="195"/>
      <c r="U41" s="24"/>
      <c r="V41" s="292"/>
      <c r="W41" s="336"/>
      <c r="X41" s="292"/>
      <c r="Y41" s="195"/>
      <c r="Z41" s="292"/>
      <c r="AA41" s="292"/>
      <c r="AB41" s="336"/>
      <c r="AC41" s="292"/>
      <c r="AD41" s="195"/>
      <c r="AE41" s="287"/>
      <c r="AF41" s="288"/>
      <c r="AI41" s="260">
        <f>AH35/10</f>
        <v>123.70652037120003</v>
      </c>
    </row>
    <row r="42" spans="1:35" x14ac:dyDescent="0.4">
      <c r="A42" s="109" t="s">
        <v>320</v>
      </c>
      <c r="B42" s="109" t="s">
        <v>320</v>
      </c>
      <c r="C42" s="109" t="s">
        <v>320</v>
      </c>
      <c r="D42" s="373" t="s">
        <v>134</v>
      </c>
      <c r="E42" s="285">
        <v>0</v>
      </c>
      <c r="F42" s="11">
        <v>0</v>
      </c>
      <c r="G42" s="4">
        <v>1</v>
      </c>
      <c r="H42" s="376" t="s">
        <v>40</v>
      </c>
      <c r="I42" s="10">
        <f>E42*F42*G42</f>
        <v>0</v>
      </c>
      <c r="J42" s="339">
        <f>SUM(I42:I42)</f>
        <v>0</v>
      </c>
      <c r="K42" s="10">
        <v>1</v>
      </c>
      <c r="L42" s="11"/>
      <c r="M42" s="12">
        <v>1</v>
      </c>
      <c r="N42" s="11">
        <f>M42*L42*K42</f>
        <v>0</v>
      </c>
      <c r="O42" s="195">
        <f>SUM(N42:N42)</f>
        <v>0</v>
      </c>
      <c r="P42" s="11"/>
      <c r="Q42" s="11"/>
      <c r="R42" s="12"/>
      <c r="S42" s="11">
        <f>R42*Q42*P42</f>
        <v>0</v>
      </c>
      <c r="T42" s="195">
        <f>SUM(S42:S42)</f>
        <v>0</v>
      </c>
      <c r="V42" s="11"/>
      <c r="W42" s="12"/>
      <c r="X42" s="11">
        <f>W42*V42*U42</f>
        <v>0</v>
      </c>
      <c r="Y42" s="195">
        <f>SUM(X42:X42)</f>
        <v>0</v>
      </c>
      <c r="Z42" s="11"/>
      <c r="AA42" s="11"/>
      <c r="AB42" s="12"/>
      <c r="AC42" s="11">
        <f>AB42*AA42*Z42</f>
        <v>0</v>
      </c>
      <c r="AD42" s="195">
        <f>SUM(AC42:AC42)</f>
        <v>0</v>
      </c>
      <c r="AE42" s="287">
        <f>I42+N42+S42+X42+AC42</f>
        <v>0</v>
      </c>
      <c r="AF42" s="288">
        <f t="shared" ref="AF42" si="38">SUM(AE42:AE42)</f>
        <v>0</v>
      </c>
    </row>
    <row r="43" spans="1:35" x14ac:dyDescent="0.4">
      <c r="A43" s="109"/>
      <c r="B43" s="109"/>
      <c r="C43" s="109"/>
      <c r="D43" s="372" t="s">
        <v>135</v>
      </c>
      <c r="E43" s="375"/>
      <c r="F43" s="24"/>
      <c r="G43" s="24"/>
      <c r="H43" s="289"/>
      <c r="I43" s="290">
        <f>SUM(I41:I42)</f>
        <v>0</v>
      </c>
      <c r="J43" s="383">
        <f>SUM(J41:J42)</f>
        <v>0</v>
      </c>
      <c r="K43" s="290"/>
      <c r="L43" s="292"/>
      <c r="M43" s="336"/>
      <c r="N43" s="292">
        <f>SUM(N41:N42)</f>
        <v>0</v>
      </c>
      <c r="O43" s="291">
        <f>SUM(O41:O42)</f>
        <v>0</v>
      </c>
      <c r="P43" s="292"/>
      <c r="Q43" s="292"/>
      <c r="R43" s="336"/>
      <c r="S43" s="292">
        <f>SUM(S41:S42)</f>
        <v>0</v>
      </c>
      <c r="T43" s="291">
        <f>SUM(T41:T42)</f>
        <v>0</v>
      </c>
      <c r="U43" s="24"/>
      <c r="V43" s="292"/>
      <c r="W43" s="336"/>
      <c r="X43" s="292">
        <f>SUM(X41:X42)</f>
        <v>0</v>
      </c>
      <c r="Y43" s="291">
        <f>SUM(Y41:Y42)</f>
        <v>0</v>
      </c>
      <c r="Z43" s="292"/>
      <c r="AA43" s="292"/>
      <c r="AB43" s="336"/>
      <c r="AC43" s="292">
        <f>SUM(AC41:AC42)</f>
        <v>0</v>
      </c>
      <c r="AD43" s="291">
        <f>SUM(AD41:AD42)</f>
        <v>0</v>
      </c>
      <c r="AE43" s="287">
        <f>I43+N43+S43+X43+AC43</f>
        <v>0</v>
      </c>
      <c r="AF43" s="288">
        <f>SUM(AE43:AE43)</f>
        <v>0</v>
      </c>
    </row>
    <row r="44" spans="1:35" x14ac:dyDescent="0.4">
      <c r="A44" s="109"/>
      <c r="B44" s="372"/>
      <c r="C44" s="622"/>
      <c r="D44" s="370"/>
      <c r="E44" s="285"/>
      <c r="H44" s="284"/>
      <c r="I44" s="10"/>
      <c r="J44" s="339"/>
      <c r="K44" s="10"/>
      <c r="L44" s="11"/>
      <c r="M44" s="12"/>
      <c r="N44" s="11"/>
      <c r="O44" s="195"/>
      <c r="P44" s="11"/>
      <c r="Q44" s="11"/>
      <c r="R44" s="12"/>
      <c r="S44" s="11"/>
      <c r="T44" s="195"/>
      <c r="V44" s="11"/>
      <c r="W44" s="12"/>
      <c r="X44" s="11"/>
      <c r="Y44" s="195"/>
      <c r="Z44" s="11"/>
      <c r="AA44" s="11"/>
      <c r="AB44" s="12"/>
      <c r="AC44" s="11"/>
      <c r="AD44" s="195"/>
      <c r="AE44" s="287"/>
      <c r="AF44" s="288"/>
    </row>
    <row r="45" spans="1:35" x14ac:dyDescent="0.4">
      <c r="A45" s="109"/>
      <c r="B45" s="372"/>
      <c r="C45" s="622"/>
      <c r="D45" s="370" t="s">
        <v>145</v>
      </c>
      <c r="E45" s="285"/>
      <c r="H45" s="284"/>
      <c r="I45" s="10"/>
      <c r="J45" s="339"/>
      <c r="K45" s="10"/>
      <c r="L45" s="11"/>
      <c r="M45" s="12"/>
      <c r="N45" s="11"/>
      <c r="O45" s="195"/>
      <c r="P45" s="11"/>
      <c r="Q45" s="11"/>
      <c r="R45" s="12"/>
      <c r="S45" s="11"/>
      <c r="T45" s="195"/>
      <c r="V45" s="11"/>
      <c r="W45" s="12"/>
      <c r="X45" s="11"/>
      <c r="Y45" s="195"/>
      <c r="Z45" s="11"/>
      <c r="AA45" s="11"/>
      <c r="AB45" s="12"/>
      <c r="AC45" s="11"/>
      <c r="AD45" s="195"/>
      <c r="AE45" s="287"/>
      <c r="AF45" s="288"/>
    </row>
    <row r="46" spans="1:35" x14ac:dyDescent="0.4">
      <c r="A46" s="109" t="s">
        <v>338</v>
      </c>
      <c r="B46" s="602" t="s">
        <v>299</v>
      </c>
      <c r="C46" s="109" t="s">
        <v>247</v>
      </c>
      <c r="D46" s="374" t="s">
        <v>137</v>
      </c>
      <c r="E46" s="285">
        <v>1</v>
      </c>
      <c r="F46" s="293">
        <f>'FO Expenses'!L19</f>
        <v>75</v>
      </c>
      <c r="G46" s="293">
        <v>11</v>
      </c>
      <c r="H46" s="294" t="s">
        <v>31</v>
      </c>
      <c r="I46" s="10">
        <f>G46*F46*E46</f>
        <v>825</v>
      </c>
      <c r="J46" s="339">
        <f t="shared" ref="J46:J51" si="39">SUM(I46:I46)</f>
        <v>825</v>
      </c>
      <c r="K46" s="10">
        <v>1</v>
      </c>
      <c r="L46" s="11">
        <f>F46*1.02</f>
        <v>76.5</v>
      </c>
      <c r="M46" s="12">
        <v>12</v>
      </c>
      <c r="N46" s="11">
        <f t="shared" ref="N46" si="40">M46*L46*K46</f>
        <v>918</v>
      </c>
      <c r="O46" s="195">
        <f t="shared" ref="O46:O51" si="41">SUM(N46:N46)</f>
        <v>918</v>
      </c>
      <c r="P46" s="11">
        <v>1</v>
      </c>
      <c r="Q46" s="11">
        <f>L46*1.02</f>
        <v>78.03</v>
      </c>
      <c r="R46" s="12">
        <v>12</v>
      </c>
      <c r="S46" s="11">
        <f>R46*Q46*P46</f>
        <v>936.36</v>
      </c>
      <c r="T46" s="295">
        <f t="shared" ref="T46:T51" si="42">SUM(S46:S46)</f>
        <v>936.36</v>
      </c>
      <c r="U46" s="293">
        <v>1</v>
      </c>
      <c r="V46" s="11">
        <f t="shared" ref="V46:V51" si="43">Q46*1.02</f>
        <v>79.590600000000009</v>
      </c>
      <c r="W46" s="12">
        <v>12</v>
      </c>
      <c r="X46" s="11">
        <f>W46*V46*U46</f>
        <v>955.08720000000017</v>
      </c>
      <c r="Y46" s="195">
        <f t="shared" ref="Y46:Y51" si="44">SUM(X46:X46)</f>
        <v>955.08720000000017</v>
      </c>
      <c r="Z46" s="11">
        <v>1</v>
      </c>
      <c r="AA46" s="11">
        <f>V46*1.02</f>
        <v>81.182412000000014</v>
      </c>
      <c r="AB46" s="12">
        <v>9</v>
      </c>
      <c r="AC46" s="11">
        <f>AB46*AA46*Z46</f>
        <v>730.64170800000011</v>
      </c>
      <c r="AD46" s="195">
        <f t="shared" ref="AD46:AD51" si="45">SUM(AC46:AC46)</f>
        <v>730.64170800000011</v>
      </c>
      <c r="AE46" s="358">
        <f t="shared" ref="AE46:AE51" si="46">I46+N46+S46+X46+AC46</f>
        <v>4365.0889080000006</v>
      </c>
      <c r="AF46" s="288">
        <f t="shared" ref="AF46:AF52" si="47">SUM(AE46:AE46)</f>
        <v>4365.0889080000006</v>
      </c>
    </row>
    <row r="47" spans="1:35" x14ac:dyDescent="0.4">
      <c r="A47" s="109" t="s">
        <v>368</v>
      </c>
      <c r="B47" s="602">
        <v>85105</v>
      </c>
      <c r="C47" s="109" t="s">
        <v>247</v>
      </c>
      <c r="D47" s="371" t="s">
        <v>138</v>
      </c>
      <c r="E47" s="285">
        <v>1</v>
      </c>
      <c r="F47" s="293">
        <f>'FO Expenses'!L20</f>
        <v>165</v>
      </c>
      <c r="G47" s="293">
        <v>11</v>
      </c>
      <c r="H47" s="294" t="s">
        <v>31</v>
      </c>
      <c r="I47" s="10">
        <f>G47*F47*E47</f>
        <v>1815</v>
      </c>
      <c r="J47" s="339">
        <f t="shared" si="39"/>
        <v>1815</v>
      </c>
      <c r="K47" s="10">
        <v>1</v>
      </c>
      <c r="L47" s="11">
        <f>F47*1.02</f>
        <v>168.3</v>
      </c>
      <c r="M47" s="12">
        <v>12</v>
      </c>
      <c r="N47" s="11">
        <f>M47*L47*K47</f>
        <v>2019.6000000000001</v>
      </c>
      <c r="O47" s="195">
        <f t="shared" si="41"/>
        <v>2019.6000000000001</v>
      </c>
      <c r="P47" s="11">
        <v>1</v>
      </c>
      <c r="Q47" s="11">
        <f>L47*1.02</f>
        <v>171.66600000000003</v>
      </c>
      <c r="R47" s="12">
        <v>12</v>
      </c>
      <c r="S47" s="11">
        <f>R47*Q47*P47</f>
        <v>2059.9920000000002</v>
      </c>
      <c r="T47" s="295">
        <f t="shared" si="42"/>
        <v>2059.9920000000002</v>
      </c>
      <c r="U47" s="293">
        <v>1</v>
      </c>
      <c r="V47" s="11">
        <f t="shared" si="43"/>
        <v>175.09932000000003</v>
      </c>
      <c r="W47" s="12">
        <v>12</v>
      </c>
      <c r="X47" s="11">
        <f>W47*V47*U47</f>
        <v>2101.1918400000004</v>
      </c>
      <c r="Y47" s="195">
        <f t="shared" si="44"/>
        <v>2101.1918400000004</v>
      </c>
      <c r="Z47" s="11">
        <v>1</v>
      </c>
      <c r="AA47" s="11">
        <f>V47*1.02</f>
        <v>178.60130640000003</v>
      </c>
      <c r="AB47" s="12">
        <v>9</v>
      </c>
      <c r="AC47" s="11">
        <f>AB47*AA47*Z47</f>
        <v>1607.4117576000003</v>
      </c>
      <c r="AD47" s="195">
        <f t="shared" si="45"/>
        <v>1607.4117576000003</v>
      </c>
      <c r="AE47" s="287">
        <f t="shared" si="46"/>
        <v>9603.1955976000008</v>
      </c>
      <c r="AF47" s="288">
        <f t="shared" si="47"/>
        <v>9603.1955976000008</v>
      </c>
    </row>
    <row r="48" spans="1:35" x14ac:dyDescent="0.4">
      <c r="A48" s="109" t="s">
        <v>339</v>
      </c>
      <c r="B48" s="602" t="s">
        <v>301</v>
      </c>
      <c r="C48" s="109" t="s">
        <v>247</v>
      </c>
      <c r="D48" s="371" t="s">
        <v>139</v>
      </c>
      <c r="E48" s="285">
        <v>1</v>
      </c>
      <c r="F48" s="293">
        <f>'FO Expenses'!L21</f>
        <v>60</v>
      </c>
      <c r="G48" s="293">
        <v>11</v>
      </c>
      <c r="H48" s="294" t="s">
        <v>31</v>
      </c>
      <c r="I48" s="10">
        <f>G48*F48*E48</f>
        <v>660</v>
      </c>
      <c r="J48" s="339">
        <f t="shared" si="39"/>
        <v>660</v>
      </c>
      <c r="K48" s="10">
        <v>1</v>
      </c>
      <c r="L48" s="11">
        <f>F48*1.02</f>
        <v>61.2</v>
      </c>
      <c r="M48" s="12">
        <v>12</v>
      </c>
      <c r="N48" s="11">
        <f>M48*L48*K48</f>
        <v>734.40000000000009</v>
      </c>
      <c r="O48" s="195">
        <f t="shared" si="41"/>
        <v>734.40000000000009</v>
      </c>
      <c r="P48" s="11">
        <v>1</v>
      </c>
      <c r="Q48" s="11">
        <f t="shared" ref="Q48:Q51" si="48">L48*1.02</f>
        <v>62.424000000000007</v>
      </c>
      <c r="R48" s="12">
        <v>12</v>
      </c>
      <c r="S48" s="11">
        <f>R48*Q48*P48</f>
        <v>749.08800000000008</v>
      </c>
      <c r="T48" s="295">
        <f t="shared" si="42"/>
        <v>749.08800000000008</v>
      </c>
      <c r="U48" s="293">
        <v>1</v>
      </c>
      <c r="V48" s="11">
        <f t="shared" si="43"/>
        <v>63.672480000000007</v>
      </c>
      <c r="W48" s="12">
        <v>12</v>
      </c>
      <c r="X48" s="11">
        <f>W48*V48*U48</f>
        <v>764.06976000000009</v>
      </c>
      <c r="Y48" s="195">
        <f t="shared" si="44"/>
        <v>764.06976000000009</v>
      </c>
      <c r="Z48" s="11">
        <v>1</v>
      </c>
      <c r="AA48" s="11">
        <f t="shared" ref="AA48:AA51" si="49">V48*1.02</f>
        <v>64.945929600000014</v>
      </c>
      <c r="AB48" s="12">
        <v>9</v>
      </c>
      <c r="AC48" s="11">
        <f>AB48*AA48*Z48</f>
        <v>584.51336640000011</v>
      </c>
      <c r="AD48" s="195">
        <f t="shared" si="45"/>
        <v>584.51336640000011</v>
      </c>
      <c r="AE48" s="287">
        <f>I48+N48+S48+X48+AC48</f>
        <v>3492.0711264000006</v>
      </c>
      <c r="AF48" s="288">
        <f t="shared" si="47"/>
        <v>3492.0711264000006</v>
      </c>
    </row>
    <row r="49" spans="1:32" x14ac:dyDescent="0.4">
      <c r="A49" s="109" t="s">
        <v>340</v>
      </c>
      <c r="B49" s="602" t="s">
        <v>302</v>
      </c>
      <c r="C49" s="109" t="s">
        <v>247</v>
      </c>
      <c r="D49" s="371" t="s">
        <v>140</v>
      </c>
      <c r="E49" s="285">
        <v>1</v>
      </c>
      <c r="F49" s="293">
        <f>'FO Expenses'!L23</f>
        <v>100</v>
      </c>
      <c r="G49" s="293">
        <v>11</v>
      </c>
      <c r="H49" s="294" t="s">
        <v>31</v>
      </c>
      <c r="I49" s="10">
        <f>G49*F49*E49</f>
        <v>1100</v>
      </c>
      <c r="J49" s="339">
        <f t="shared" si="39"/>
        <v>1100</v>
      </c>
      <c r="K49" s="10">
        <v>1</v>
      </c>
      <c r="L49" s="11">
        <f>F49*1.02</f>
        <v>102</v>
      </c>
      <c r="M49" s="12">
        <v>12</v>
      </c>
      <c r="N49" s="11">
        <f t="shared" ref="N49:N51" si="50">M49*L49*K49</f>
        <v>1224</v>
      </c>
      <c r="O49" s="195">
        <f t="shared" si="41"/>
        <v>1224</v>
      </c>
      <c r="P49" s="11">
        <v>1</v>
      </c>
      <c r="Q49" s="11">
        <f t="shared" si="48"/>
        <v>104.04</v>
      </c>
      <c r="R49" s="12">
        <v>12</v>
      </c>
      <c r="S49" s="11">
        <f t="shared" ref="S49:S51" si="51">R49*Q49*P49</f>
        <v>1248.48</v>
      </c>
      <c r="T49" s="295">
        <f t="shared" si="42"/>
        <v>1248.48</v>
      </c>
      <c r="U49" s="293">
        <v>1</v>
      </c>
      <c r="V49" s="11">
        <f t="shared" si="43"/>
        <v>106.1208</v>
      </c>
      <c r="W49" s="12">
        <v>12</v>
      </c>
      <c r="X49" s="11">
        <f t="shared" ref="X49:X51" si="52">W49*V49*U49</f>
        <v>1273.4495999999999</v>
      </c>
      <c r="Y49" s="195">
        <f t="shared" si="44"/>
        <v>1273.4495999999999</v>
      </c>
      <c r="Z49" s="11">
        <v>1</v>
      </c>
      <c r="AA49" s="11">
        <f t="shared" si="49"/>
        <v>108.243216</v>
      </c>
      <c r="AB49" s="12">
        <v>9</v>
      </c>
      <c r="AC49" s="11">
        <f t="shared" ref="AC49:AC51" si="53">AB49*AA49*Z49</f>
        <v>974.18894399999999</v>
      </c>
      <c r="AD49" s="195">
        <f t="shared" si="45"/>
        <v>974.18894399999999</v>
      </c>
      <c r="AE49" s="287">
        <f t="shared" si="46"/>
        <v>5820.118543999999</v>
      </c>
      <c r="AF49" s="288">
        <f t="shared" si="47"/>
        <v>5820.118543999999</v>
      </c>
    </row>
    <row r="50" spans="1:32" x14ac:dyDescent="0.4">
      <c r="A50" s="109" t="s">
        <v>341</v>
      </c>
      <c r="B50" s="602" t="s">
        <v>303</v>
      </c>
      <c r="C50" s="109" t="s">
        <v>247</v>
      </c>
      <c r="D50" s="371" t="s">
        <v>141</v>
      </c>
      <c r="E50" s="285">
        <v>1</v>
      </c>
      <c r="F50" s="293">
        <f>'FO Expenses'!G14</f>
        <v>1025</v>
      </c>
      <c r="G50" s="293">
        <v>11</v>
      </c>
      <c r="H50" s="294" t="s">
        <v>31</v>
      </c>
      <c r="I50" s="10">
        <f t="shared" ref="I50:I51" si="54">G50*F50*E50</f>
        <v>11275</v>
      </c>
      <c r="J50" s="339">
        <f t="shared" si="39"/>
        <v>11275</v>
      </c>
      <c r="K50" s="10">
        <v>1</v>
      </c>
      <c r="L50" s="11">
        <f t="shared" ref="L50:L51" si="55">F50*1.02</f>
        <v>1045.5</v>
      </c>
      <c r="M50" s="12">
        <v>12</v>
      </c>
      <c r="N50" s="11">
        <f t="shared" si="50"/>
        <v>12546</v>
      </c>
      <c r="O50" s="195">
        <f t="shared" si="41"/>
        <v>12546</v>
      </c>
      <c r="P50" s="11">
        <v>1</v>
      </c>
      <c r="Q50" s="11">
        <f t="shared" si="48"/>
        <v>1066.4100000000001</v>
      </c>
      <c r="R50" s="12">
        <v>12</v>
      </c>
      <c r="S50" s="11">
        <f t="shared" si="51"/>
        <v>12796.920000000002</v>
      </c>
      <c r="T50" s="295">
        <f t="shared" si="42"/>
        <v>12796.920000000002</v>
      </c>
      <c r="U50" s="293">
        <v>1</v>
      </c>
      <c r="V50" s="11">
        <f t="shared" si="43"/>
        <v>1087.7382</v>
      </c>
      <c r="W50" s="12">
        <v>12</v>
      </c>
      <c r="X50" s="11">
        <f t="shared" si="52"/>
        <v>13052.858400000001</v>
      </c>
      <c r="Y50" s="195">
        <f t="shared" si="44"/>
        <v>13052.858400000001</v>
      </c>
      <c r="Z50" s="11">
        <v>1</v>
      </c>
      <c r="AA50" s="11">
        <f t="shared" si="49"/>
        <v>1109.492964</v>
      </c>
      <c r="AB50" s="12">
        <v>6</v>
      </c>
      <c r="AC50" s="11">
        <f t="shared" si="53"/>
        <v>6656.9577840000002</v>
      </c>
      <c r="AD50" s="195">
        <f t="shared" si="45"/>
        <v>6656.9577840000002</v>
      </c>
      <c r="AE50" s="287">
        <f t="shared" si="46"/>
        <v>56327.736183999994</v>
      </c>
      <c r="AF50" s="288">
        <f t="shared" si="47"/>
        <v>56327.736183999994</v>
      </c>
    </row>
    <row r="51" spans="1:32" x14ac:dyDescent="0.4">
      <c r="A51" s="109" t="s">
        <v>342</v>
      </c>
      <c r="B51" s="602" t="s">
        <v>304</v>
      </c>
      <c r="C51" s="109" t="s">
        <v>247</v>
      </c>
      <c r="D51" s="371" t="s">
        <v>142</v>
      </c>
      <c r="E51" s="285">
        <v>1</v>
      </c>
      <c r="F51" s="293">
        <f>'FO Expenses'!L22</f>
        <v>150</v>
      </c>
      <c r="G51" s="293">
        <v>11</v>
      </c>
      <c r="H51" s="294" t="s">
        <v>31</v>
      </c>
      <c r="I51" s="10">
        <f t="shared" si="54"/>
        <v>1650</v>
      </c>
      <c r="J51" s="339">
        <f t="shared" si="39"/>
        <v>1650</v>
      </c>
      <c r="K51" s="10">
        <v>1</v>
      </c>
      <c r="L51" s="11">
        <f t="shared" si="55"/>
        <v>153</v>
      </c>
      <c r="M51" s="12">
        <v>12</v>
      </c>
      <c r="N51" s="11">
        <f t="shared" si="50"/>
        <v>1836</v>
      </c>
      <c r="O51" s="195">
        <f t="shared" si="41"/>
        <v>1836</v>
      </c>
      <c r="P51" s="11">
        <v>1</v>
      </c>
      <c r="Q51" s="11">
        <f t="shared" si="48"/>
        <v>156.06</v>
      </c>
      <c r="R51" s="12">
        <v>12</v>
      </c>
      <c r="S51" s="11">
        <f t="shared" si="51"/>
        <v>1872.72</v>
      </c>
      <c r="T51" s="295">
        <f t="shared" si="42"/>
        <v>1872.72</v>
      </c>
      <c r="U51" s="293">
        <v>1</v>
      </c>
      <c r="V51" s="11">
        <f t="shared" si="43"/>
        <v>159.18120000000002</v>
      </c>
      <c r="W51" s="12">
        <v>12</v>
      </c>
      <c r="X51" s="11">
        <f t="shared" si="52"/>
        <v>1910.1744000000003</v>
      </c>
      <c r="Y51" s="195">
        <f t="shared" si="44"/>
        <v>1910.1744000000003</v>
      </c>
      <c r="Z51" s="11">
        <v>1</v>
      </c>
      <c r="AA51" s="11">
        <f t="shared" si="49"/>
        <v>162.36482400000003</v>
      </c>
      <c r="AB51" s="12">
        <v>9</v>
      </c>
      <c r="AC51" s="11">
        <f t="shared" si="53"/>
        <v>1461.2834160000002</v>
      </c>
      <c r="AD51" s="195">
        <f t="shared" si="45"/>
        <v>1461.2834160000002</v>
      </c>
      <c r="AE51" s="287">
        <f t="shared" si="46"/>
        <v>8730.1778160000013</v>
      </c>
      <c r="AF51" s="288">
        <f t="shared" si="47"/>
        <v>8730.1778160000013</v>
      </c>
    </row>
    <row r="52" spans="1:32" ht="12.75" customHeight="1" x14ac:dyDescent="0.4">
      <c r="A52" s="109"/>
      <c r="B52" s="613"/>
      <c r="C52" s="622"/>
      <c r="D52" s="372" t="s">
        <v>143</v>
      </c>
      <c r="E52" s="375"/>
      <c r="F52" s="337"/>
      <c r="G52" s="337"/>
      <c r="H52" s="299"/>
      <c r="I52" s="292">
        <f>SUM(I46:I51)</f>
        <v>17325</v>
      </c>
      <c r="J52" s="383">
        <f>SUM(J46:J51)</f>
        <v>17325</v>
      </c>
      <c r="K52" s="290"/>
      <c r="L52" s="292"/>
      <c r="M52" s="336"/>
      <c r="N52" s="292">
        <f>SUM(N46:N51)</f>
        <v>19278</v>
      </c>
      <c r="O52" s="383">
        <f>SUM(O46:O51)</f>
        <v>19278</v>
      </c>
      <c r="P52" s="292"/>
      <c r="Q52" s="292"/>
      <c r="R52" s="336"/>
      <c r="S52" s="292">
        <f>SUM(S46:S51)</f>
        <v>19663.560000000005</v>
      </c>
      <c r="T52" s="383">
        <f>SUM(T46:T51)</f>
        <v>19663.560000000005</v>
      </c>
      <c r="U52" s="337"/>
      <c r="V52" s="292"/>
      <c r="W52" s="336"/>
      <c r="X52" s="292">
        <f>SUM(X46:X51)</f>
        <v>20056.831200000001</v>
      </c>
      <c r="Y52" s="383">
        <f>SUM(Y46:Y51)</f>
        <v>20056.831200000001</v>
      </c>
      <c r="Z52" s="292"/>
      <c r="AA52" s="292"/>
      <c r="AB52" s="336"/>
      <c r="AC52" s="292">
        <f>SUM(AC46:AC51)</f>
        <v>12014.996976</v>
      </c>
      <c r="AD52" s="383">
        <f>SUM(AD46:AD51)</f>
        <v>12014.996976</v>
      </c>
      <c r="AE52" s="287">
        <f>I52+N52+S52+X52+AC52</f>
        <v>88338.388176000008</v>
      </c>
      <c r="AF52" s="288">
        <f t="shared" si="47"/>
        <v>88338.388176000008</v>
      </c>
    </row>
    <row r="53" spans="1:32" ht="12.6" thickBot="1" x14ac:dyDescent="0.45">
      <c r="A53" s="109"/>
      <c r="B53" s="613"/>
      <c r="C53" s="624"/>
      <c r="D53" s="374"/>
      <c r="E53" s="285"/>
      <c r="H53" s="284"/>
      <c r="I53" s="10"/>
      <c r="J53" s="384"/>
      <c r="K53" s="285"/>
      <c r="M53" s="284"/>
      <c r="N53" s="11"/>
      <c r="O53" s="195"/>
      <c r="R53" s="284"/>
      <c r="S53" s="11"/>
      <c r="T53" s="195"/>
      <c r="V53" s="11"/>
      <c r="W53" s="12"/>
      <c r="X53" s="11"/>
      <c r="Y53" s="339"/>
      <c r="Z53" s="10"/>
      <c r="AA53" s="11"/>
      <c r="AB53" s="12"/>
      <c r="AC53" s="11"/>
      <c r="AD53" s="195"/>
      <c r="AE53" s="287"/>
      <c r="AF53" s="288"/>
    </row>
    <row r="54" spans="1:32" ht="12.6" thickBot="1" x14ac:dyDescent="0.45">
      <c r="A54" s="378"/>
      <c r="B54" s="378"/>
      <c r="C54" s="378"/>
      <c r="D54" s="378" t="s">
        <v>8</v>
      </c>
      <c r="E54" s="379"/>
      <c r="F54" s="300"/>
      <c r="G54" s="300"/>
      <c r="H54" s="380"/>
      <c r="I54" s="359">
        <f>I52+I15+I18+I43+I13+I29</f>
        <v>97764.72</v>
      </c>
      <c r="J54" s="303">
        <f>J52+J15+J18+J43+J13+J29</f>
        <v>97764.72</v>
      </c>
      <c r="K54" s="379"/>
      <c r="L54" s="300"/>
      <c r="M54" s="301"/>
      <c r="N54" s="302">
        <f>N52+N15+N18+N43+N13+N29</f>
        <v>102053.77440000001</v>
      </c>
      <c r="O54" s="303">
        <f>O52+O15+O18+O43+O13+O29</f>
        <v>102053.77440000001</v>
      </c>
      <c r="P54" s="300"/>
      <c r="Q54" s="300"/>
      <c r="R54" s="301"/>
      <c r="S54" s="302">
        <f>S52+S15+S18+S43+S13+S29</f>
        <v>104906.16523200001</v>
      </c>
      <c r="T54" s="303">
        <f>T52+T15+T18+T43+T13+T29</f>
        <v>104906.16523200001</v>
      </c>
      <c r="U54" s="300"/>
      <c r="V54" s="359"/>
      <c r="W54" s="360"/>
      <c r="X54" s="302">
        <f>X52+X15+X18+X43+X13+X29</f>
        <v>106260.86583696</v>
      </c>
      <c r="Y54" s="303">
        <f>Y52+Y15+Y18+Y43+Y13+Y29</f>
        <v>107708.35354896</v>
      </c>
      <c r="Z54" s="359"/>
      <c r="AA54" s="359"/>
      <c r="AB54" s="360"/>
      <c r="AC54" s="302">
        <f>AC52+AC15+AC18+AC43+AC13+AC29</f>
        <v>80116.61967281159</v>
      </c>
      <c r="AD54" s="303">
        <f>AD52+AD15+AD18+AD43+AD13+AD29</f>
        <v>80116.61967281159</v>
      </c>
      <c r="AE54" s="304">
        <f>AE52+AE15+AE18+AE43+AE13+AE29</f>
        <v>492549.63285377162</v>
      </c>
      <c r="AF54" s="305">
        <f>AF52+AF15+AF18+AF43+AF13+AF29</f>
        <v>492549.63285377162</v>
      </c>
    </row>
    <row r="55" spans="1:32" x14ac:dyDescent="0.4">
      <c r="A55" s="306"/>
      <c r="B55" s="306"/>
      <c r="C55" s="306"/>
      <c r="D55" s="306"/>
    </row>
    <row r="56" spans="1:32" x14ac:dyDescent="0.4">
      <c r="A56" s="306"/>
      <c r="B56" s="306"/>
      <c r="C56" s="306"/>
    </row>
    <row r="61" spans="1:32" x14ac:dyDescent="0.4">
      <c r="D61" s="234"/>
      <c r="F61" s="307"/>
      <c r="G61" s="307"/>
      <c r="H61" s="307"/>
      <c r="L61" s="307"/>
      <c r="M61" s="307"/>
      <c r="Q61" s="307"/>
      <c r="R61" s="307"/>
      <c r="V61" s="307"/>
      <c r="W61" s="307"/>
      <c r="AA61" s="307"/>
      <c r="AB61" s="307"/>
    </row>
    <row r="62" spans="1:32" x14ac:dyDescent="0.4">
      <c r="A62" s="234"/>
      <c r="B62" s="234"/>
      <c r="C62" s="234"/>
      <c r="D62" s="234"/>
      <c r="F62" s="307"/>
      <c r="G62" s="307"/>
      <c r="H62" s="307"/>
      <c r="L62" s="307"/>
      <c r="M62" s="307"/>
      <c r="Q62" s="307"/>
      <c r="R62" s="307"/>
      <c r="V62" s="307"/>
      <c r="W62" s="307"/>
      <c r="AA62" s="307"/>
      <c r="AB62" s="307"/>
    </row>
    <row r="63" spans="1:32" x14ac:dyDescent="0.4">
      <c r="A63" s="234"/>
      <c r="B63" s="234"/>
      <c r="C63" s="234"/>
      <c r="D63" s="234"/>
      <c r="F63" s="307"/>
      <c r="G63" s="307"/>
      <c r="H63" s="307"/>
      <c r="L63" s="307"/>
      <c r="M63" s="307"/>
      <c r="Q63" s="307"/>
      <c r="R63" s="307"/>
      <c r="V63" s="307"/>
      <c r="W63" s="307"/>
      <c r="AA63" s="307"/>
      <c r="AB63" s="307"/>
    </row>
    <row r="64" spans="1:32" x14ac:dyDescent="0.4">
      <c r="A64" s="234"/>
      <c r="B64" s="234"/>
      <c r="C64" s="234"/>
      <c r="D64" s="234"/>
      <c r="F64" s="307"/>
      <c r="G64" s="307"/>
      <c r="H64" s="307"/>
      <c r="L64" s="307"/>
      <c r="M64" s="307"/>
      <c r="Q64" s="307"/>
      <c r="R64" s="307"/>
      <c r="V64" s="307"/>
      <c r="W64" s="307"/>
      <c r="AA64" s="307"/>
      <c r="AB64" s="307"/>
    </row>
    <row r="65" spans="1:28" x14ac:dyDescent="0.4">
      <c r="A65" s="234"/>
      <c r="B65" s="234"/>
      <c r="C65" s="234"/>
      <c r="D65" s="234"/>
      <c r="F65" s="307"/>
      <c r="G65" s="307"/>
      <c r="H65" s="307"/>
      <c r="L65" s="307"/>
      <c r="M65" s="307"/>
      <c r="Q65" s="307"/>
      <c r="R65" s="307"/>
      <c r="V65" s="307"/>
      <c r="W65" s="307"/>
      <c r="AA65" s="307"/>
      <c r="AB65" s="307"/>
    </row>
    <row r="66" spans="1:28" x14ac:dyDescent="0.4">
      <c r="A66" s="234"/>
      <c r="B66" s="234"/>
      <c r="C66" s="234"/>
      <c r="D66" s="234"/>
      <c r="F66" s="307"/>
      <c r="G66" s="307"/>
      <c r="H66" s="307"/>
      <c r="L66" s="307"/>
      <c r="M66" s="307"/>
      <c r="Q66" s="307"/>
      <c r="R66" s="307"/>
      <c r="V66" s="307"/>
      <c r="W66" s="307"/>
      <c r="AA66" s="307"/>
      <c r="AB66" s="307"/>
    </row>
    <row r="67" spans="1:28" x14ac:dyDescent="0.4">
      <c r="A67" s="234"/>
      <c r="B67" s="234"/>
      <c r="C67" s="234"/>
      <c r="D67" s="234"/>
      <c r="F67" s="307"/>
      <c r="G67" s="307"/>
      <c r="H67" s="307"/>
      <c r="L67" s="307"/>
      <c r="M67" s="307"/>
      <c r="Q67" s="307"/>
      <c r="R67" s="307"/>
      <c r="V67" s="307"/>
      <c r="W67" s="307"/>
      <c r="AA67" s="307"/>
      <c r="AB67" s="307"/>
    </row>
    <row r="68" spans="1:28" x14ac:dyDescent="0.4">
      <c r="A68" s="234"/>
      <c r="B68" s="234"/>
      <c r="C68" s="234"/>
      <c r="D68" s="234"/>
      <c r="F68" s="307"/>
      <c r="G68" s="307"/>
      <c r="H68" s="307"/>
      <c r="L68" s="307"/>
      <c r="M68" s="307"/>
      <c r="Q68" s="307"/>
      <c r="R68" s="307"/>
      <c r="V68" s="307"/>
      <c r="W68" s="307"/>
      <c r="AA68" s="307"/>
      <c r="AB68" s="307"/>
    </row>
    <row r="69" spans="1:28" x14ac:dyDescent="0.4">
      <c r="A69" s="234"/>
      <c r="B69" s="234"/>
      <c r="C69" s="234"/>
      <c r="D69" s="234"/>
      <c r="F69" s="307"/>
      <c r="G69" s="307"/>
      <c r="H69" s="307"/>
      <c r="L69" s="307"/>
      <c r="M69" s="307"/>
      <c r="Q69" s="307"/>
      <c r="R69" s="307"/>
      <c r="V69" s="307"/>
      <c r="W69" s="307"/>
      <c r="AA69" s="307"/>
      <c r="AB69" s="307"/>
    </row>
    <row r="70" spans="1:28" x14ac:dyDescent="0.4">
      <c r="A70" s="234"/>
      <c r="B70" s="234"/>
      <c r="C70" s="234"/>
      <c r="D70" s="234"/>
      <c r="F70" s="307"/>
      <c r="G70" s="307"/>
      <c r="H70" s="307"/>
      <c r="L70" s="307"/>
      <c r="M70" s="307"/>
      <c r="Q70" s="307"/>
      <c r="R70" s="307"/>
      <c r="V70" s="307"/>
      <c r="W70" s="307"/>
      <c r="AA70" s="307"/>
      <c r="AB70" s="307"/>
    </row>
    <row r="71" spans="1:28" x14ac:dyDescent="0.4">
      <c r="A71" s="234"/>
      <c r="B71" s="234"/>
      <c r="C71" s="234"/>
      <c r="D71" s="234"/>
      <c r="F71" s="308"/>
      <c r="G71" s="308"/>
      <c r="H71" s="308"/>
      <c r="L71" s="308"/>
      <c r="M71" s="308"/>
      <c r="Q71" s="308"/>
      <c r="R71" s="308"/>
      <c r="V71" s="308"/>
      <c r="W71" s="308"/>
      <c r="AA71" s="308"/>
      <c r="AB71" s="308"/>
    </row>
    <row r="72" spans="1:28" x14ac:dyDescent="0.4">
      <c r="A72" s="234"/>
      <c r="B72" s="234"/>
      <c r="C72" s="234"/>
    </row>
  </sheetData>
  <mergeCells count="9">
    <mergeCell ref="A4:A5"/>
    <mergeCell ref="B4:B5"/>
    <mergeCell ref="C4:C5"/>
    <mergeCell ref="Z4:AD4"/>
    <mergeCell ref="D1:Q1"/>
    <mergeCell ref="D2:U2"/>
    <mergeCell ref="K4:O4"/>
    <mergeCell ref="P4:T4"/>
    <mergeCell ref="U4:Y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0F73F-3ED4-4341-9EBE-F7727E8D8BFB}">
  <dimension ref="A1:AI72"/>
  <sheetViews>
    <sheetView workbookViewId="0">
      <pane xSplit="4" ySplit="2" topLeftCell="AF18" activePane="bottomRight" state="frozen"/>
      <selection pane="topRight" activeCell="E1" sqref="E1"/>
      <selection pane="bottomLeft" activeCell="A3" sqref="A3"/>
      <selection pane="bottomRight" activeCell="B48" sqref="B48"/>
    </sheetView>
  </sheetViews>
  <sheetFormatPr defaultColWidth="9.1640625" defaultRowHeight="12.3" x14ac:dyDescent="0.4"/>
  <cols>
    <col min="1" max="1" width="15.94140625" style="4" bestFit="1" customWidth="1"/>
    <col min="2" max="3" width="13.33203125" style="4" customWidth="1"/>
    <col min="4" max="4" width="28.27734375" style="4" bestFit="1" customWidth="1"/>
    <col min="5" max="5" width="6.44140625" style="4" bestFit="1" customWidth="1"/>
    <col min="6" max="6" width="9.44140625" style="4" bestFit="1" customWidth="1"/>
    <col min="7" max="7" width="6.1640625" style="4" bestFit="1" customWidth="1"/>
    <col min="8" max="8" width="7.44140625" style="4" bestFit="1" customWidth="1"/>
    <col min="9" max="9" width="8.44140625" style="4" bestFit="1" customWidth="1"/>
    <col min="10" max="10" width="7.5546875" style="4" bestFit="1" customWidth="1"/>
    <col min="11" max="11" width="6.44140625" style="4" bestFit="1" customWidth="1"/>
    <col min="12" max="12" width="9.44140625" style="4" bestFit="1" customWidth="1"/>
    <col min="13" max="13" width="6.1640625" style="4" bestFit="1" customWidth="1"/>
    <col min="14" max="14" width="8.44140625" style="4" bestFit="1" customWidth="1"/>
    <col min="15" max="15" width="8.83203125" style="4" bestFit="1" customWidth="1"/>
    <col min="16" max="16" width="6.44140625" style="4" bestFit="1" customWidth="1"/>
    <col min="17" max="17" width="9.5546875" style="4" customWidth="1"/>
    <col min="18" max="18" width="8.44140625" style="4" bestFit="1" customWidth="1"/>
    <col min="19" max="20" width="10.44140625" style="4" bestFit="1" customWidth="1"/>
    <col min="21" max="21" width="7.44140625" style="4" bestFit="1" customWidth="1"/>
    <col min="22" max="22" width="7.5546875" style="4" customWidth="1"/>
    <col min="23" max="23" width="8.44140625" style="4" bestFit="1" customWidth="1"/>
    <col min="24" max="25" width="10.44140625" style="4" bestFit="1" customWidth="1"/>
    <col min="26" max="26" width="7.44140625" style="4" bestFit="1" customWidth="1"/>
    <col min="27" max="27" width="8.44140625" style="4" customWidth="1"/>
    <col min="28" max="28" width="8.44140625" style="4" bestFit="1" customWidth="1"/>
    <col min="29" max="30" width="10.44140625" style="4" bestFit="1" customWidth="1"/>
    <col min="31" max="32" width="9.1640625" style="4"/>
    <col min="33" max="33" width="12.5546875" style="4" hidden="1" customWidth="1"/>
    <col min="34" max="34" width="11.5546875" style="4" hidden="1" customWidth="1"/>
    <col min="35" max="35" width="10.5546875" style="4" hidden="1" customWidth="1"/>
    <col min="36" max="16384" width="9.1640625" style="4"/>
  </cols>
  <sheetData>
    <row r="1" spans="1:35" ht="14.1" x14ac:dyDescent="0.5">
      <c r="A1" s="583" t="s">
        <v>267</v>
      </c>
      <c r="B1" s="586" t="s">
        <v>268</v>
      </c>
      <c r="D1" s="642" t="s">
        <v>0</v>
      </c>
      <c r="E1" s="642"/>
      <c r="F1" s="642"/>
      <c r="G1" s="642"/>
      <c r="H1" s="642"/>
      <c r="I1" s="642"/>
      <c r="J1" s="642"/>
      <c r="K1" s="642"/>
      <c r="L1" s="642"/>
      <c r="M1" s="642"/>
      <c r="N1" s="642"/>
      <c r="O1" s="642"/>
      <c r="P1" s="642"/>
      <c r="Q1" s="642"/>
      <c r="R1" s="39"/>
      <c r="S1" s="39"/>
      <c r="T1" s="39"/>
      <c r="U1" s="39"/>
    </row>
    <row r="2" spans="1:35" ht="14.1" customHeight="1" x14ac:dyDescent="0.45">
      <c r="A2" s="584" t="s">
        <v>269</v>
      </c>
      <c r="B2" s="587">
        <v>30100</v>
      </c>
      <c r="D2" s="643" t="s">
        <v>1</v>
      </c>
      <c r="E2" s="643"/>
      <c r="F2" s="643"/>
      <c r="G2" s="643"/>
      <c r="H2" s="643"/>
      <c r="I2" s="643"/>
      <c r="J2" s="643"/>
      <c r="K2" s="643"/>
      <c r="L2" s="643"/>
      <c r="M2" s="643"/>
      <c r="N2" s="643"/>
      <c r="O2" s="643"/>
      <c r="P2" s="643"/>
      <c r="Q2" s="643"/>
      <c r="R2" s="643"/>
      <c r="S2" s="643"/>
      <c r="T2" s="643"/>
      <c r="U2" s="643"/>
    </row>
    <row r="3" spans="1:35" ht="14.4" thickBot="1" x14ac:dyDescent="0.45">
      <c r="A3" s="585" t="s">
        <v>270</v>
      </c>
      <c r="B3" s="588" t="s">
        <v>271</v>
      </c>
    </row>
    <row r="4" spans="1:35" ht="12.6" thickBot="1" x14ac:dyDescent="0.45">
      <c r="A4" s="638" t="s">
        <v>266</v>
      </c>
      <c r="B4" s="636" t="s">
        <v>265</v>
      </c>
      <c r="C4" s="638" t="s">
        <v>264</v>
      </c>
      <c r="D4" s="263" t="s">
        <v>41</v>
      </c>
      <c r="E4" s="264"/>
      <c r="F4" s="265"/>
      <c r="G4" s="265"/>
      <c r="H4" s="266"/>
      <c r="I4" s="267" t="s">
        <v>3</v>
      </c>
      <c r="J4" s="268"/>
      <c r="K4" s="644" t="s">
        <v>4</v>
      </c>
      <c r="L4" s="641"/>
      <c r="M4" s="641"/>
      <c r="N4" s="641"/>
      <c r="O4" s="641"/>
      <c r="P4" s="644" t="s">
        <v>5</v>
      </c>
      <c r="Q4" s="641"/>
      <c r="R4" s="641"/>
      <c r="S4" s="641"/>
      <c r="T4" s="641"/>
      <c r="U4" s="644" t="s">
        <v>6</v>
      </c>
      <c r="V4" s="641"/>
      <c r="W4" s="641"/>
      <c r="X4" s="641"/>
      <c r="Y4" s="645"/>
      <c r="Z4" s="641" t="s">
        <v>7</v>
      </c>
      <c r="AA4" s="641"/>
      <c r="AB4" s="641"/>
      <c r="AC4" s="641"/>
      <c r="AD4" s="641"/>
      <c r="AE4" s="269" t="s">
        <v>8</v>
      </c>
      <c r="AF4" s="270" t="s">
        <v>10</v>
      </c>
    </row>
    <row r="5" spans="1:35" s="278" customFormat="1" ht="10.8" thickBot="1" x14ac:dyDescent="0.45">
      <c r="A5" s="639"/>
      <c r="B5" s="637"/>
      <c r="C5" s="640"/>
      <c r="D5" s="271"/>
      <c r="E5" s="272" t="s">
        <v>112</v>
      </c>
      <c r="F5" s="273" t="s">
        <v>24</v>
      </c>
      <c r="G5" s="273" t="s">
        <v>25</v>
      </c>
      <c r="H5" s="274" t="s">
        <v>26</v>
      </c>
      <c r="I5" s="275" t="s">
        <v>11</v>
      </c>
      <c r="J5" s="276" t="s">
        <v>9</v>
      </c>
      <c r="K5" s="273" t="s">
        <v>112</v>
      </c>
      <c r="L5" s="273" t="s">
        <v>24</v>
      </c>
      <c r="M5" s="274" t="s">
        <v>25</v>
      </c>
      <c r="N5" s="273" t="s">
        <v>11</v>
      </c>
      <c r="O5" s="276" t="s">
        <v>9</v>
      </c>
      <c r="P5" s="273" t="s">
        <v>112</v>
      </c>
      <c r="Q5" s="273" t="s">
        <v>24</v>
      </c>
      <c r="R5" s="274" t="s">
        <v>25</v>
      </c>
      <c r="S5" s="273" t="s">
        <v>11</v>
      </c>
      <c r="T5" s="276" t="s">
        <v>9</v>
      </c>
      <c r="U5" s="273" t="s">
        <v>112</v>
      </c>
      <c r="V5" s="273" t="s">
        <v>24</v>
      </c>
      <c r="W5" s="274" t="s">
        <v>25</v>
      </c>
      <c r="X5" s="273" t="s">
        <v>11</v>
      </c>
      <c r="Y5" s="276" t="s">
        <v>9</v>
      </c>
      <c r="Z5" s="273" t="s">
        <v>112</v>
      </c>
      <c r="AA5" s="273" t="s">
        <v>24</v>
      </c>
      <c r="AB5" s="274" t="s">
        <v>25</v>
      </c>
      <c r="AC5" s="273" t="s">
        <v>11</v>
      </c>
      <c r="AD5" s="276" t="s">
        <v>9</v>
      </c>
      <c r="AE5" s="277" t="s">
        <v>11</v>
      </c>
      <c r="AF5" s="277" t="s">
        <v>8</v>
      </c>
    </row>
    <row r="6" spans="1:35" s="258" customFormat="1" x14ac:dyDescent="0.4">
      <c r="A6" s="369"/>
      <c r="B6" s="369"/>
      <c r="C6" s="620"/>
      <c r="D6" s="369"/>
      <c r="E6" s="281"/>
      <c r="F6" s="279"/>
      <c r="G6" s="279"/>
      <c r="H6" s="280"/>
      <c r="I6" s="281"/>
      <c r="J6" s="381"/>
      <c r="K6" s="281"/>
      <c r="L6" s="279"/>
      <c r="M6" s="280"/>
      <c r="N6" s="279"/>
      <c r="O6" s="282"/>
      <c r="P6" s="279"/>
      <c r="Q6" s="279"/>
      <c r="R6" s="280"/>
      <c r="S6" s="279"/>
      <c r="T6" s="282"/>
      <c r="U6" s="279"/>
      <c r="V6" s="279"/>
      <c r="W6" s="280"/>
      <c r="X6" s="279"/>
      <c r="Y6" s="282"/>
      <c r="Z6" s="279"/>
      <c r="AA6" s="279"/>
      <c r="AB6" s="280"/>
      <c r="AC6" s="279"/>
      <c r="AD6" s="282"/>
      <c r="AE6" s="283"/>
      <c r="AF6" s="283"/>
    </row>
    <row r="7" spans="1:35" x14ac:dyDescent="0.4">
      <c r="A7" s="370"/>
      <c r="B7" s="370"/>
      <c r="C7" s="621"/>
      <c r="D7" s="370" t="s">
        <v>113</v>
      </c>
      <c r="E7" s="285"/>
      <c r="H7" s="284"/>
      <c r="I7" s="285"/>
      <c r="J7" s="382"/>
      <c r="K7" s="285"/>
      <c r="M7" s="284"/>
      <c r="O7" s="59"/>
      <c r="R7" s="284"/>
      <c r="T7" s="59"/>
      <c r="V7" s="11"/>
      <c r="W7" s="12"/>
      <c r="X7" s="11"/>
      <c r="Y7" s="195"/>
      <c r="Z7" s="11"/>
      <c r="AA7" s="11"/>
      <c r="AB7" s="12"/>
      <c r="AC7" s="11"/>
      <c r="AD7" s="195"/>
      <c r="AE7" s="287"/>
      <c r="AF7" s="288"/>
    </row>
    <row r="8" spans="1:35" x14ac:dyDescent="0.4">
      <c r="A8" s="109" t="s">
        <v>275</v>
      </c>
      <c r="B8" s="592" t="s">
        <v>273</v>
      </c>
      <c r="C8" s="109" t="s">
        <v>240</v>
      </c>
      <c r="D8" s="371" t="s">
        <v>114</v>
      </c>
      <c r="E8" s="285">
        <v>1</v>
      </c>
      <c r="F8" s="11">
        <v>4000</v>
      </c>
      <c r="G8" s="11">
        <v>12</v>
      </c>
      <c r="H8" s="284" t="s">
        <v>31</v>
      </c>
      <c r="I8" s="10">
        <f>G8*F8*E8</f>
        <v>48000</v>
      </c>
      <c r="J8" s="339">
        <f>SUM(I8:I8)</f>
        <v>48000</v>
      </c>
      <c r="K8" s="10">
        <v>1</v>
      </c>
      <c r="L8" s="11">
        <f>F8*1.03</f>
        <v>4120</v>
      </c>
      <c r="M8" s="12">
        <v>12</v>
      </c>
      <c r="N8" s="11">
        <f>M8*L8*K8</f>
        <v>49440</v>
      </c>
      <c r="O8" s="195">
        <f>SUM(N8:N8)</f>
        <v>49440</v>
      </c>
      <c r="P8" s="11">
        <v>1</v>
      </c>
      <c r="Q8" s="11">
        <f>L8*1.03</f>
        <v>4243.6000000000004</v>
      </c>
      <c r="R8" s="12">
        <v>12</v>
      </c>
      <c r="S8" s="11">
        <f>R8*Q8*P8</f>
        <v>50923.200000000004</v>
      </c>
      <c r="T8" s="195">
        <f>SUM(S8:S8)</f>
        <v>50923.200000000004</v>
      </c>
      <c r="U8" s="4">
        <v>1</v>
      </c>
      <c r="V8" s="11">
        <f>Q8*1.03</f>
        <v>4370.9080000000004</v>
      </c>
      <c r="W8" s="12">
        <v>12</v>
      </c>
      <c r="X8" s="11">
        <f>W8*V8*U8</f>
        <v>52450.896000000008</v>
      </c>
      <c r="Y8" s="195">
        <f>SUM(X8:X8)</f>
        <v>52450.896000000008</v>
      </c>
      <c r="Z8" s="11">
        <v>1</v>
      </c>
      <c r="AA8" s="11">
        <f>V8*1.03</f>
        <v>4502.0352400000002</v>
      </c>
      <c r="AB8" s="12">
        <v>9</v>
      </c>
      <c r="AC8" s="11">
        <f>AB8*AA8*Z8</f>
        <v>40518.317159999999</v>
      </c>
      <c r="AD8" s="195">
        <f>SUM(AC8:AC8)</f>
        <v>40518.317159999999</v>
      </c>
      <c r="AE8" s="287">
        <f>I8+N8+S8+X8+AC8</f>
        <v>241332.41316000003</v>
      </c>
      <c r="AF8" s="288">
        <f>SUM(AE8:AE8)</f>
        <v>241332.41316000003</v>
      </c>
    </row>
    <row r="9" spans="1:35" x14ac:dyDescent="0.4">
      <c r="A9" s="371"/>
      <c r="B9" s="371"/>
      <c r="C9" s="622"/>
      <c r="D9" s="371"/>
      <c r="E9" s="285"/>
      <c r="H9" s="284"/>
      <c r="I9" s="10"/>
      <c r="J9" s="339"/>
      <c r="K9" s="10"/>
      <c r="L9" s="11"/>
      <c r="M9" s="12"/>
      <c r="N9" s="11"/>
      <c r="O9" s="195"/>
      <c r="P9" s="11"/>
      <c r="Q9" s="11"/>
      <c r="R9" s="12"/>
      <c r="S9" s="11"/>
      <c r="T9" s="195"/>
      <c r="V9" s="11"/>
      <c r="W9" s="12"/>
      <c r="X9" s="11"/>
      <c r="Y9" s="195"/>
      <c r="Z9" s="11"/>
      <c r="AA9" s="11"/>
      <c r="AB9" s="12"/>
      <c r="AC9" s="11"/>
      <c r="AD9" s="195"/>
      <c r="AE9" s="287"/>
      <c r="AF9" s="288"/>
    </row>
    <row r="10" spans="1:35" x14ac:dyDescent="0.4">
      <c r="A10" s="370"/>
      <c r="B10" s="370"/>
      <c r="C10" s="621"/>
      <c r="D10" s="370" t="s">
        <v>115</v>
      </c>
      <c r="E10" s="285"/>
      <c r="H10" s="284"/>
      <c r="I10" s="10"/>
      <c r="J10" s="339"/>
      <c r="K10" s="10"/>
      <c r="L10" s="11"/>
      <c r="M10" s="12"/>
      <c r="N10" s="11"/>
      <c r="O10" s="195"/>
      <c r="P10" s="11"/>
      <c r="Q10" s="11"/>
      <c r="R10" s="12"/>
      <c r="S10" s="11"/>
      <c r="T10" s="195"/>
      <c r="V10" s="11"/>
      <c r="W10" s="12"/>
      <c r="X10" s="11"/>
      <c r="Y10" s="195"/>
      <c r="Z10" s="11"/>
      <c r="AA10" s="11"/>
      <c r="AB10" s="12"/>
      <c r="AC10" s="11"/>
      <c r="AD10" s="195"/>
      <c r="AE10" s="287"/>
      <c r="AF10" s="288"/>
    </row>
    <row r="11" spans="1:35" x14ac:dyDescent="0.4">
      <c r="A11" s="109" t="s">
        <v>275</v>
      </c>
      <c r="B11" s="592" t="s">
        <v>273</v>
      </c>
      <c r="C11" s="109" t="s">
        <v>240</v>
      </c>
      <c r="D11" s="371" t="s">
        <v>116</v>
      </c>
      <c r="E11" s="285">
        <v>1</v>
      </c>
      <c r="F11" s="458">
        <v>1400</v>
      </c>
      <c r="G11" s="11">
        <v>10</v>
      </c>
      <c r="H11" s="284" t="s">
        <v>31</v>
      </c>
      <c r="I11" s="10">
        <f>G11*F11*E11</f>
        <v>14000</v>
      </c>
      <c r="J11" s="339">
        <f>SUM(I11:I11)</f>
        <v>14000</v>
      </c>
      <c r="K11" s="10">
        <f>E11</f>
        <v>1</v>
      </c>
      <c r="L11" s="11">
        <f>F11*1.03</f>
        <v>1442</v>
      </c>
      <c r="M11" s="12">
        <v>12</v>
      </c>
      <c r="N11" s="11">
        <f>M11*L11*K11</f>
        <v>17304</v>
      </c>
      <c r="O11" s="195">
        <f>SUM(N11:N11)</f>
        <v>17304</v>
      </c>
      <c r="P11" s="11">
        <f>E11</f>
        <v>1</v>
      </c>
      <c r="Q11" s="11">
        <f>L11*1.03</f>
        <v>1485.26</v>
      </c>
      <c r="R11" s="12">
        <v>12</v>
      </c>
      <c r="S11" s="11">
        <f>R11*Q11*P11</f>
        <v>17823.12</v>
      </c>
      <c r="T11" s="195">
        <f>SUM(S11:S11)</f>
        <v>17823.12</v>
      </c>
      <c r="U11" s="4">
        <f>E11</f>
        <v>1</v>
      </c>
      <c r="V11" s="11">
        <f>Q11*1.03</f>
        <v>1529.8178</v>
      </c>
      <c r="W11" s="12">
        <v>12</v>
      </c>
      <c r="X11" s="11">
        <f>W11*V11*U11</f>
        <v>18357.813600000001</v>
      </c>
      <c r="Y11" s="195">
        <f>SUM(X11:X11)</f>
        <v>18357.813600000001</v>
      </c>
      <c r="Z11" s="11">
        <f>E11</f>
        <v>1</v>
      </c>
      <c r="AA11" s="11">
        <f>V11*1.03</f>
        <v>1575.7123340000001</v>
      </c>
      <c r="AB11" s="12">
        <v>9</v>
      </c>
      <c r="AC11" s="11">
        <f>AB11*AA11*Z11</f>
        <v>14181.411006</v>
      </c>
      <c r="AD11" s="195">
        <f>SUM(AC11:AC11)</f>
        <v>14181.411006</v>
      </c>
      <c r="AE11" s="287">
        <f>I11+N11+S11+X11+AC11</f>
        <v>81666.344605999984</v>
      </c>
      <c r="AF11" s="288">
        <f>SUM(AE11:AE11)</f>
        <v>81666.344605999984</v>
      </c>
      <c r="AG11" s="287">
        <f t="shared" ref="AG11:AG13" si="0">K11+P11+U11+Z11+AE11</f>
        <v>81670.344605999984</v>
      </c>
      <c r="AH11" s="288">
        <f t="shared" ref="AH11:AH13" si="1">SUM(AG11:AG11)</f>
        <v>81670.344605999984</v>
      </c>
      <c r="AI11" s="287">
        <f t="shared" ref="AI11:AI13" si="2">M11+R11+W11+AB11+AG11</f>
        <v>81715.344605999984</v>
      </c>
    </row>
    <row r="12" spans="1:35" x14ac:dyDescent="0.4">
      <c r="A12" s="109" t="s">
        <v>275</v>
      </c>
      <c r="B12" s="592" t="s">
        <v>273</v>
      </c>
      <c r="C12" s="109" t="s">
        <v>240</v>
      </c>
      <c r="D12" s="371" t="s">
        <v>117</v>
      </c>
      <c r="E12" s="285">
        <v>1</v>
      </c>
      <c r="F12" s="458">
        <v>1400</v>
      </c>
      <c r="G12" s="11">
        <v>6</v>
      </c>
      <c r="H12" s="284" t="s">
        <v>31</v>
      </c>
      <c r="I12" s="10">
        <f>G12*F12*E12</f>
        <v>8400</v>
      </c>
      <c r="J12" s="339">
        <f>SUM(I12:I12)</f>
        <v>8400</v>
      </c>
      <c r="K12" s="10">
        <f>E12</f>
        <v>1</v>
      </c>
      <c r="L12" s="11">
        <f>F12*1.03</f>
        <v>1442</v>
      </c>
      <c r="M12" s="12">
        <v>12</v>
      </c>
      <c r="N12" s="11">
        <f>M12*L12*K12</f>
        <v>17304</v>
      </c>
      <c r="O12" s="195">
        <f>SUM(N12:N12)</f>
        <v>17304</v>
      </c>
      <c r="P12" s="11">
        <f>E12</f>
        <v>1</v>
      </c>
      <c r="Q12" s="11">
        <f>L12*1.03</f>
        <v>1485.26</v>
      </c>
      <c r="R12" s="12">
        <v>12</v>
      </c>
      <c r="S12" s="11">
        <f>R12*Q12*P12</f>
        <v>17823.12</v>
      </c>
      <c r="T12" s="195">
        <f>SUM(S12:S12)</f>
        <v>17823.12</v>
      </c>
      <c r="U12" s="4">
        <f>E12</f>
        <v>1</v>
      </c>
      <c r="V12" s="11">
        <f>Q12*1.03</f>
        <v>1529.8178</v>
      </c>
      <c r="W12" s="12">
        <v>12</v>
      </c>
      <c r="X12" s="11">
        <f>W12*V12*U12</f>
        <v>18357.813600000001</v>
      </c>
      <c r="Y12" s="195">
        <f>SUM(X12:X12)</f>
        <v>18357.813600000001</v>
      </c>
      <c r="Z12" s="11">
        <f>E12</f>
        <v>1</v>
      </c>
      <c r="AA12" s="11">
        <f>V12*1.03</f>
        <v>1575.7123340000001</v>
      </c>
      <c r="AB12" s="12">
        <v>6</v>
      </c>
      <c r="AC12" s="11">
        <f>AB12*AA12*Z12</f>
        <v>9454.2740040000008</v>
      </c>
      <c r="AD12" s="195">
        <f>SUM(AC12:AC12)</f>
        <v>9454.2740040000008</v>
      </c>
      <c r="AE12" s="287">
        <f>I12+N12+S12+X12+AC12</f>
        <v>71339.207603999996</v>
      </c>
      <c r="AF12" s="288">
        <f>SUM(AE12:AE12)</f>
        <v>71339.207603999996</v>
      </c>
      <c r="AG12" s="287">
        <f t="shared" ref="AG12" si="3">K12+P12+U12+Z12+AE12</f>
        <v>71343.207603999996</v>
      </c>
      <c r="AH12" s="288">
        <f t="shared" ref="AH12" si="4">SUM(AG12:AG12)</f>
        <v>71343.207603999996</v>
      </c>
      <c r="AI12" s="287">
        <f t="shared" ref="AI12" si="5">M12+R12+W12+AB12+AG12</f>
        <v>71385.207603999996</v>
      </c>
    </row>
    <row r="13" spans="1:35" x14ac:dyDescent="0.4">
      <c r="A13" s="109" t="s">
        <v>275</v>
      </c>
      <c r="B13" s="592" t="s">
        <v>273</v>
      </c>
      <c r="C13" s="109" t="s">
        <v>240</v>
      </c>
      <c r="D13" s="371" t="s">
        <v>118</v>
      </c>
      <c r="E13" s="285">
        <v>1</v>
      </c>
      <c r="F13" s="458">
        <v>1300</v>
      </c>
      <c r="G13" s="11">
        <v>11</v>
      </c>
      <c r="H13" s="284" t="s">
        <v>31</v>
      </c>
      <c r="I13" s="10">
        <f>G13*F13*E13</f>
        <v>14300</v>
      </c>
      <c r="J13" s="339">
        <f>SUM(I13:I13)</f>
        <v>14300</v>
      </c>
      <c r="K13" s="10">
        <v>1</v>
      </c>
      <c r="L13" s="11">
        <f>F13*1.03</f>
        <v>1339</v>
      </c>
      <c r="M13" s="12">
        <v>12</v>
      </c>
      <c r="N13" s="11">
        <f>M13*L13*K13</f>
        <v>16068</v>
      </c>
      <c r="O13" s="195">
        <f>SUM(N13:N13)</f>
        <v>16068</v>
      </c>
      <c r="P13" s="11">
        <v>1</v>
      </c>
      <c r="Q13" s="11">
        <f>L13*1.03</f>
        <v>1379.17</v>
      </c>
      <c r="R13" s="12">
        <v>12</v>
      </c>
      <c r="S13" s="11">
        <f>R13*Q13*P13</f>
        <v>16550.04</v>
      </c>
      <c r="T13" s="195">
        <f>SUM(S13:S13)</f>
        <v>16550.04</v>
      </c>
      <c r="U13" s="4">
        <v>1</v>
      </c>
      <c r="V13" s="11">
        <f>Q13*1.03</f>
        <v>1420.5451</v>
      </c>
      <c r="W13" s="12">
        <v>12</v>
      </c>
      <c r="X13" s="11">
        <f>W13*V13*U13</f>
        <v>17046.5412</v>
      </c>
      <c r="Y13" s="195">
        <f>SUM(X13:X13)</f>
        <v>17046.5412</v>
      </c>
      <c r="Z13" s="11">
        <v>1</v>
      </c>
      <c r="AA13" s="11">
        <f>V13*1.03</f>
        <v>1463.1614530000002</v>
      </c>
      <c r="AB13" s="12">
        <v>9</v>
      </c>
      <c r="AC13" s="11">
        <f>AB13*AA13*Z13</f>
        <v>13168.453077000002</v>
      </c>
      <c r="AD13" s="195">
        <f>SUM(AC13:AC13)</f>
        <v>13168.453077000002</v>
      </c>
      <c r="AE13" s="287">
        <f>I13+N13+S13+X13+AC13</f>
        <v>77133.034276999999</v>
      </c>
      <c r="AF13" s="288">
        <f>SUM(AE13:AE13)</f>
        <v>77133.034276999999</v>
      </c>
      <c r="AG13" s="287">
        <f t="shared" si="0"/>
        <v>77137.034276999999</v>
      </c>
      <c r="AH13" s="288">
        <f t="shared" si="1"/>
        <v>77137.034276999999</v>
      </c>
      <c r="AI13" s="287">
        <f t="shared" si="2"/>
        <v>77182.034276999999</v>
      </c>
    </row>
    <row r="14" spans="1:35" x14ac:dyDescent="0.4">
      <c r="A14" s="109"/>
      <c r="B14" s="592"/>
      <c r="C14" s="109"/>
      <c r="D14" s="372" t="s">
        <v>119</v>
      </c>
      <c r="E14" s="375"/>
      <c r="F14" s="24"/>
      <c r="G14" s="24"/>
      <c r="H14" s="289"/>
      <c r="I14" s="290">
        <f>SUM(I8:I13)</f>
        <v>84700</v>
      </c>
      <c r="J14" s="383">
        <f>SUM(J8:J13)</f>
        <v>84700</v>
      </c>
      <c r="K14" s="290"/>
      <c r="L14" s="292"/>
      <c r="M14" s="336"/>
      <c r="N14" s="292">
        <f>SUM(N8:N13)</f>
        <v>100116</v>
      </c>
      <c r="O14" s="291">
        <f>SUM(O8:O13)</f>
        <v>100116</v>
      </c>
      <c r="P14" s="292"/>
      <c r="Q14" s="292"/>
      <c r="R14" s="336"/>
      <c r="S14" s="292">
        <f>SUM(S8:S13)</f>
        <v>103119.48000000001</v>
      </c>
      <c r="T14" s="291">
        <f>SUM(T8:T13)</f>
        <v>103119.48000000001</v>
      </c>
      <c r="U14" s="24"/>
      <c r="V14" s="292"/>
      <c r="W14" s="336"/>
      <c r="X14" s="292">
        <f>SUM(X8:X13)</f>
        <v>106213.0644</v>
      </c>
      <c r="Y14" s="291">
        <f>SUM(Y8:Y13)</f>
        <v>106213.0644</v>
      </c>
      <c r="Z14" s="292"/>
      <c r="AA14" s="292"/>
      <c r="AB14" s="336"/>
      <c r="AC14" s="292">
        <f>SUM(AC8:AC13)</f>
        <v>77322.455247000005</v>
      </c>
      <c r="AD14" s="291">
        <f>SUM(AD8:AD13)</f>
        <v>77322.455247000005</v>
      </c>
      <c r="AE14" s="287">
        <f>I14+N14+S14+X14+AC14</f>
        <v>471470.99964699999</v>
      </c>
      <c r="AF14" s="288">
        <f>SUM(AE14:AE14)</f>
        <v>471470.99964699999</v>
      </c>
    </row>
    <row r="15" spans="1:35" x14ac:dyDescent="0.4">
      <c r="A15" s="109"/>
      <c r="B15" s="372"/>
      <c r="C15" s="623"/>
      <c r="D15" s="372"/>
      <c r="E15" s="375"/>
      <c r="F15" s="24"/>
      <c r="G15" s="24"/>
      <c r="H15" s="289"/>
      <c r="I15" s="290"/>
      <c r="J15" s="383"/>
      <c r="K15" s="290"/>
      <c r="L15" s="292"/>
      <c r="M15" s="336"/>
      <c r="N15" s="292"/>
      <c r="O15" s="291"/>
      <c r="P15" s="292"/>
      <c r="Q15" s="292"/>
      <c r="R15" s="336"/>
      <c r="S15" s="292"/>
      <c r="T15" s="291"/>
      <c r="U15" s="24"/>
      <c r="V15" s="292"/>
      <c r="W15" s="336"/>
      <c r="X15" s="292"/>
      <c r="Y15" s="291"/>
      <c r="Z15" s="292"/>
      <c r="AA15" s="292"/>
      <c r="AB15" s="336"/>
      <c r="AC15" s="292"/>
      <c r="AD15" s="291"/>
      <c r="AE15" s="287"/>
      <c r="AF15" s="288"/>
    </row>
    <row r="16" spans="1:35" s="24" customFormat="1" x14ac:dyDescent="0.4">
      <c r="A16" s="109" t="s">
        <v>355</v>
      </c>
      <c r="B16" s="592" t="s">
        <v>279</v>
      </c>
      <c r="C16" s="109" t="s">
        <v>240</v>
      </c>
      <c r="D16" s="370" t="s">
        <v>120</v>
      </c>
      <c r="E16" s="627">
        <v>0.317</v>
      </c>
      <c r="F16" s="11">
        <f>I14</f>
        <v>84700</v>
      </c>
      <c r="G16" s="4"/>
      <c r="H16" s="376"/>
      <c r="I16" s="10">
        <f>F16*E16</f>
        <v>26849.9</v>
      </c>
      <c r="J16" s="383">
        <f>SUM(I16:I16)</f>
        <v>26849.9</v>
      </c>
      <c r="K16" s="628"/>
      <c r="L16" s="11">
        <f>N14</f>
        <v>100116</v>
      </c>
      <c r="M16" s="12"/>
      <c r="N16" s="11">
        <f>L16*E16</f>
        <v>31736.772000000001</v>
      </c>
      <c r="O16" s="291">
        <f>SUM(N16:N16)</f>
        <v>31736.772000000001</v>
      </c>
      <c r="P16" s="125"/>
      <c r="Q16" s="11">
        <f>S14</f>
        <v>103119.48000000001</v>
      </c>
      <c r="R16" s="12"/>
      <c r="S16" s="11">
        <f>Q16*E16</f>
        <v>32688.875160000003</v>
      </c>
      <c r="T16" s="291">
        <f>SUM(S16:S16)</f>
        <v>32688.875160000003</v>
      </c>
      <c r="U16" s="626"/>
      <c r="V16" s="11">
        <f>X14</f>
        <v>106213.0644</v>
      </c>
      <c r="W16" s="12"/>
      <c r="X16" s="11">
        <f>V16*E16</f>
        <v>33669.541414799998</v>
      </c>
      <c r="Y16" s="291">
        <f>SUM(X16:X16)</f>
        <v>33669.541414799998</v>
      </c>
      <c r="Z16" s="125"/>
      <c r="AA16" s="11">
        <f>AC14</f>
        <v>77322.455247000005</v>
      </c>
      <c r="AB16" s="12"/>
      <c r="AC16" s="11">
        <f>AA16*E16</f>
        <v>24511.218313299003</v>
      </c>
      <c r="AD16" s="291">
        <f>SUM(AC16:AC16)</f>
        <v>24511.218313299003</v>
      </c>
      <c r="AE16" s="195">
        <f>I16+N16+S16+X16+AC16</f>
        <v>149456.306888099</v>
      </c>
      <c r="AF16" s="291">
        <f>SUM(AE16:AE16)</f>
        <v>149456.306888099</v>
      </c>
    </row>
    <row r="17" spans="1:35" x14ac:dyDescent="0.4">
      <c r="A17" s="370"/>
      <c r="B17" s="370"/>
      <c r="C17" s="621"/>
      <c r="D17" s="370"/>
      <c r="E17" s="285"/>
      <c r="H17" s="284"/>
      <c r="I17" s="10"/>
      <c r="J17" s="339"/>
      <c r="K17" s="10"/>
      <c r="L17" s="11"/>
      <c r="M17" s="12"/>
      <c r="N17" s="11"/>
      <c r="O17" s="195"/>
      <c r="P17" s="11"/>
      <c r="Q17" s="11"/>
      <c r="R17" s="12"/>
      <c r="S17" s="11"/>
      <c r="T17" s="195"/>
      <c r="V17" s="11"/>
      <c r="W17" s="12"/>
      <c r="X17" s="11"/>
      <c r="Y17" s="195"/>
      <c r="Z17" s="11"/>
      <c r="AA17" s="11"/>
      <c r="AB17" s="12"/>
      <c r="AC17" s="11"/>
      <c r="AD17" s="195"/>
      <c r="AE17" s="287"/>
      <c r="AF17" s="288"/>
    </row>
    <row r="18" spans="1:35" x14ac:dyDescent="0.4">
      <c r="A18" s="370"/>
      <c r="B18" s="370"/>
      <c r="C18" s="621"/>
      <c r="D18" s="370" t="s">
        <v>17</v>
      </c>
      <c r="E18" s="285"/>
      <c r="H18" s="284"/>
      <c r="I18" s="10"/>
      <c r="J18" s="339"/>
      <c r="K18" s="10"/>
      <c r="L18" s="11"/>
      <c r="M18" s="12"/>
      <c r="N18" s="11"/>
      <c r="O18" s="195"/>
      <c r="P18" s="11"/>
      <c r="Q18" s="11"/>
      <c r="R18" s="12"/>
      <c r="S18" s="11"/>
      <c r="T18" s="195"/>
      <c r="V18" s="11"/>
      <c r="W18" s="12"/>
      <c r="X18" s="11"/>
      <c r="Y18" s="195"/>
      <c r="Z18" s="11"/>
      <c r="AA18" s="11"/>
      <c r="AB18" s="12"/>
      <c r="AC18" s="11"/>
      <c r="AD18" s="195"/>
      <c r="AE18" s="287"/>
      <c r="AF18" s="288"/>
    </row>
    <row r="19" spans="1:35" x14ac:dyDescent="0.4">
      <c r="A19" s="109" t="s">
        <v>356</v>
      </c>
      <c r="B19" s="592" t="s">
        <v>296</v>
      </c>
      <c r="C19" s="109" t="s">
        <v>240</v>
      </c>
      <c r="D19" s="371" t="s">
        <v>121</v>
      </c>
      <c r="E19" s="285">
        <f>'FO Expenses'!C5</f>
        <v>4</v>
      </c>
      <c r="F19" s="458">
        <f>'FO Expenses'!B5</f>
        <v>1100</v>
      </c>
      <c r="G19" s="11">
        <v>1</v>
      </c>
      <c r="H19" s="284" t="s">
        <v>40</v>
      </c>
      <c r="I19" s="10">
        <f>E19*F19*G19</f>
        <v>4400</v>
      </c>
      <c r="J19" s="339">
        <f>SUM(I19:I19)</f>
        <v>4400</v>
      </c>
      <c r="K19" s="10">
        <v>0</v>
      </c>
      <c r="L19" s="11">
        <f>F19*1.02</f>
        <v>1122</v>
      </c>
      <c r="M19" s="12">
        <v>1</v>
      </c>
      <c r="N19" s="11">
        <f>M19*L19*K19</f>
        <v>0</v>
      </c>
      <c r="O19" s="195">
        <f>SUM(N19:N19)</f>
        <v>0</v>
      </c>
      <c r="P19" s="11">
        <v>0</v>
      </c>
      <c r="Q19" s="11">
        <f>L19*1.02</f>
        <v>1144.44</v>
      </c>
      <c r="R19" s="12">
        <v>1</v>
      </c>
      <c r="S19" s="11">
        <f>R19*Q19*P19</f>
        <v>0</v>
      </c>
      <c r="T19" s="295">
        <f>SUM(S19:S19)</f>
        <v>0</v>
      </c>
      <c r="U19" s="293">
        <v>0</v>
      </c>
      <c r="V19" s="11">
        <f>Q19*1.02</f>
        <v>1167.3288</v>
      </c>
      <c r="W19" s="12">
        <v>1</v>
      </c>
      <c r="X19" s="11">
        <f>W19*V19*U19</f>
        <v>0</v>
      </c>
      <c r="Y19" s="195">
        <f>SUM(X19:X19)</f>
        <v>0</v>
      </c>
      <c r="Z19" s="11">
        <v>0</v>
      </c>
      <c r="AA19" s="11">
        <f>V19*1.02</f>
        <v>1190.6753759999999</v>
      </c>
      <c r="AB19" s="12">
        <v>1</v>
      </c>
      <c r="AC19" s="11">
        <f>AB19*AA19*Z19</f>
        <v>0</v>
      </c>
      <c r="AD19" s="195">
        <f>SUM(AC19:AC19)</f>
        <v>0</v>
      </c>
      <c r="AE19" s="287">
        <f>I19+N19+S19+X19+AC19</f>
        <v>4400</v>
      </c>
      <c r="AF19" s="288">
        <f>SUM(AE19:AE19)</f>
        <v>4400</v>
      </c>
    </row>
    <row r="20" spans="1:35" x14ac:dyDescent="0.4">
      <c r="A20" s="109" t="s">
        <v>356</v>
      </c>
      <c r="B20" s="592" t="s">
        <v>296</v>
      </c>
      <c r="C20" s="109" t="s">
        <v>240</v>
      </c>
      <c r="D20" s="371" t="s">
        <v>122</v>
      </c>
      <c r="E20" s="285">
        <f>'FO Expenses'!C6</f>
        <v>2</v>
      </c>
      <c r="F20" s="458">
        <f>'FO Expenses'!B6</f>
        <v>160</v>
      </c>
      <c r="G20" s="11">
        <v>1</v>
      </c>
      <c r="H20" s="284" t="s">
        <v>40</v>
      </c>
      <c r="I20" s="10">
        <f>E20*F20*G20</f>
        <v>320</v>
      </c>
      <c r="J20" s="339">
        <f>SUM(I20:I20)</f>
        <v>320</v>
      </c>
      <c r="K20" s="10">
        <v>0</v>
      </c>
      <c r="L20" s="11">
        <f>F20*1.02</f>
        <v>163.19999999999999</v>
      </c>
      <c r="M20" s="12">
        <v>1</v>
      </c>
      <c r="N20" s="11">
        <f>M20*L20*K20</f>
        <v>0</v>
      </c>
      <c r="O20" s="195">
        <f>SUM(N20:N20)</f>
        <v>0</v>
      </c>
      <c r="P20" s="11">
        <v>0</v>
      </c>
      <c r="Q20" s="11">
        <f>L20*1.02</f>
        <v>166.464</v>
      </c>
      <c r="R20" s="12">
        <v>1</v>
      </c>
      <c r="S20" s="11">
        <f>R20*Q20*P20</f>
        <v>0</v>
      </c>
      <c r="T20" s="295">
        <f>SUM(S20:S20)</f>
        <v>0</v>
      </c>
      <c r="U20" s="293">
        <v>0</v>
      </c>
      <c r="V20" s="11">
        <f t="shared" ref="V20:V22" si="6">Q20*1.02</f>
        <v>169.79328000000001</v>
      </c>
      <c r="W20" s="12">
        <v>1</v>
      </c>
      <c r="X20" s="11">
        <f>W20*V20*U20</f>
        <v>0</v>
      </c>
      <c r="Y20" s="195">
        <f>SUM(X20:X20)</f>
        <v>0</v>
      </c>
      <c r="Z20" s="11">
        <v>0</v>
      </c>
      <c r="AA20" s="11">
        <f t="shared" ref="AA20:AA22" si="7">V20*1.02</f>
        <v>173.18914560000002</v>
      </c>
      <c r="AB20" s="12">
        <v>1</v>
      </c>
      <c r="AC20" s="11">
        <f>AB20*AA20*Z20</f>
        <v>0</v>
      </c>
      <c r="AD20" s="195">
        <f>SUM(AC20:AC20)</f>
        <v>0</v>
      </c>
      <c r="AE20" s="287">
        <f>I20+N20+S20+X20+AC20</f>
        <v>320</v>
      </c>
      <c r="AF20" s="288">
        <f>SUM(AE20:AE20)</f>
        <v>320</v>
      </c>
    </row>
    <row r="21" spans="1:35" x14ac:dyDescent="0.4">
      <c r="A21" s="109" t="s">
        <v>356</v>
      </c>
      <c r="B21" s="592" t="s">
        <v>296</v>
      </c>
      <c r="C21" s="109" t="s">
        <v>240</v>
      </c>
      <c r="D21" s="371" t="s">
        <v>123</v>
      </c>
      <c r="E21" s="285">
        <f>'FO Expenses'!C7</f>
        <v>1</v>
      </c>
      <c r="F21" s="458">
        <f>'FO Expenses'!B7</f>
        <v>650</v>
      </c>
      <c r="G21" s="11">
        <v>1</v>
      </c>
      <c r="H21" s="284" t="s">
        <v>40</v>
      </c>
      <c r="I21" s="10">
        <f>E21*F21*G21</f>
        <v>650</v>
      </c>
      <c r="J21" s="339">
        <f>SUM(I21:I21)</f>
        <v>650</v>
      </c>
      <c r="K21" s="10">
        <v>0</v>
      </c>
      <c r="L21" s="11">
        <f>F21*1.02</f>
        <v>663</v>
      </c>
      <c r="M21" s="12">
        <v>1</v>
      </c>
      <c r="N21" s="11">
        <f>M21*L21*K21</f>
        <v>0</v>
      </c>
      <c r="O21" s="195">
        <f>SUM(N21:N21)</f>
        <v>0</v>
      </c>
      <c r="P21" s="11">
        <v>0</v>
      </c>
      <c r="Q21" s="11">
        <f t="shared" ref="Q21:Q22" si="8">L21*1.02</f>
        <v>676.26</v>
      </c>
      <c r="R21" s="12">
        <v>1</v>
      </c>
      <c r="S21" s="11">
        <f>R21*Q21*P21</f>
        <v>0</v>
      </c>
      <c r="T21" s="295">
        <f>SUM(S21:S21)</f>
        <v>0</v>
      </c>
      <c r="U21" s="293">
        <v>0</v>
      </c>
      <c r="V21" s="11">
        <f t="shared" si="6"/>
        <v>689.78520000000003</v>
      </c>
      <c r="W21" s="12">
        <v>1</v>
      </c>
      <c r="X21" s="11">
        <f>W21*V21*U21</f>
        <v>0</v>
      </c>
      <c r="Y21" s="195">
        <f>SUM(X21:X21)</f>
        <v>0</v>
      </c>
      <c r="Z21" s="11">
        <v>0</v>
      </c>
      <c r="AA21" s="11">
        <f t="shared" si="7"/>
        <v>703.58090400000003</v>
      </c>
      <c r="AB21" s="12">
        <v>1</v>
      </c>
      <c r="AC21" s="11">
        <f>AB21*AA21*Z21</f>
        <v>0</v>
      </c>
      <c r="AD21" s="195">
        <f>SUM(AC21:AC21)</f>
        <v>0</v>
      </c>
      <c r="AE21" s="287">
        <f>I21+N21+S21+X21+AC21</f>
        <v>650</v>
      </c>
      <c r="AF21" s="288">
        <f>SUM(AE21:AE21)</f>
        <v>650</v>
      </c>
    </row>
    <row r="22" spans="1:35" x14ac:dyDescent="0.4">
      <c r="A22" s="109" t="s">
        <v>356</v>
      </c>
      <c r="B22" s="592" t="s">
        <v>296</v>
      </c>
      <c r="C22" s="109" t="s">
        <v>240</v>
      </c>
      <c r="D22" s="371" t="s">
        <v>124</v>
      </c>
      <c r="E22" s="285">
        <f>'FO Expenses'!C8</f>
        <v>1</v>
      </c>
      <c r="F22" s="4">
        <f>'FO Expenses'!B8</f>
        <v>530</v>
      </c>
      <c r="G22" s="11">
        <v>1</v>
      </c>
      <c r="H22" s="284" t="s">
        <v>40</v>
      </c>
      <c r="I22" s="10">
        <f>E22*F22*G22</f>
        <v>530</v>
      </c>
      <c r="J22" s="339">
        <f>SUM(I22:I22)</f>
        <v>530</v>
      </c>
      <c r="K22" s="10">
        <v>1</v>
      </c>
      <c r="L22" s="11">
        <f>F22*1.02</f>
        <v>540.6</v>
      </c>
      <c r="M22" s="12">
        <v>1</v>
      </c>
      <c r="N22" s="11">
        <f>M22*L22*K22</f>
        <v>540.6</v>
      </c>
      <c r="O22" s="195">
        <f>SUM(N22:N22)</f>
        <v>540.6</v>
      </c>
      <c r="P22" s="11">
        <v>1</v>
      </c>
      <c r="Q22" s="11">
        <f t="shared" si="8"/>
        <v>551.41200000000003</v>
      </c>
      <c r="R22" s="12">
        <v>1</v>
      </c>
      <c r="S22" s="11">
        <f>R22*Q22*P22</f>
        <v>551.41200000000003</v>
      </c>
      <c r="T22" s="295">
        <f>SUM(S22:S22)</f>
        <v>551.41200000000003</v>
      </c>
      <c r="U22" s="293">
        <v>1</v>
      </c>
      <c r="V22" s="11">
        <f t="shared" si="6"/>
        <v>562.44024000000002</v>
      </c>
      <c r="W22" s="12">
        <v>1</v>
      </c>
      <c r="X22" s="11">
        <f>W22*V22*U22</f>
        <v>562.44024000000002</v>
      </c>
      <c r="Y22" s="195">
        <f>SUM(X22:X22)</f>
        <v>562.44024000000002</v>
      </c>
      <c r="Z22" s="11">
        <v>1</v>
      </c>
      <c r="AA22" s="11">
        <f t="shared" si="7"/>
        <v>573.68904480000003</v>
      </c>
      <c r="AB22" s="12">
        <v>1</v>
      </c>
      <c r="AC22" s="11">
        <f>AB22*AA22*Z22</f>
        <v>573.68904480000003</v>
      </c>
      <c r="AD22" s="195">
        <f>SUM(AC22:AC22)</f>
        <v>573.68904480000003</v>
      </c>
      <c r="AE22" s="287">
        <f>I22+N22+S22+X22+AC22</f>
        <v>2758.1412848</v>
      </c>
      <c r="AF22" s="288">
        <f>SUM(AE22:AE22)</f>
        <v>2758.1412848</v>
      </c>
    </row>
    <row r="23" spans="1:35" x14ac:dyDescent="0.4">
      <c r="A23" s="109"/>
      <c r="B23" s="592"/>
      <c r="C23" s="109"/>
      <c r="D23" s="372" t="s">
        <v>125</v>
      </c>
      <c r="E23" s="375"/>
      <c r="F23" s="24"/>
      <c r="G23" s="24"/>
      <c r="H23" s="289"/>
      <c r="I23" s="290">
        <f>SUM(I19:I22)</f>
        <v>5900</v>
      </c>
      <c r="J23" s="383">
        <f>SUM(J19:J22)</f>
        <v>5900</v>
      </c>
      <c r="K23" s="290"/>
      <c r="L23" s="292"/>
      <c r="M23" s="336"/>
      <c r="N23" s="290">
        <f>SUM(N19:N22)</f>
        <v>540.6</v>
      </c>
      <c r="O23" s="383">
        <f>SUM(O19:O22)</f>
        <v>540.6</v>
      </c>
      <c r="P23" s="292"/>
      <c r="Q23" s="292"/>
      <c r="R23" s="336"/>
      <c r="S23" s="290">
        <f>SUM(S19:S22)</f>
        <v>551.41200000000003</v>
      </c>
      <c r="T23" s="383">
        <f>SUM(T19:T22)</f>
        <v>551.41200000000003</v>
      </c>
      <c r="U23" s="24"/>
      <c r="V23" s="292"/>
      <c r="W23" s="336"/>
      <c r="X23" s="290">
        <f>SUM(X19:X22)</f>
        <v>562.44024000000002</v>
      </c>
      <c r="Y23" s="383">
        <f>SUM(Y19:Y22)</f>
        <v>562.44024000000002</v>
      </c>
      <c r="Z23" s="292"/>
      <c r="AA23" s="292"/>
      <c r="AB23" s="336"/>
      <c r="AC23" s="290">
        <f>SUM(AC19:AC22)</f>
        <v>573.68904480000003</v>
      </c>
      <c r="AD23" s="383">
        <f>SUM(AD19:AD22)</f>
        <v>573.68904480000003</v>
      </c>
      <c r="AE23" s="287">
        <f>I23+N23+S23+X23+AC23</f>
        <v>8128.1412848000009</v>
      </c>
      <c r="AF23" s="288">
        <f>SUM(AE23:AE23)</f>
        <v>8128.1412848000009</v>
      </c>
    </row>
    <row r="24" spans="1:35" ht="13.5" customHeight="1" x14ac:dyDescent="0.4">
      <c r="A24" s="372"/>
      <c r="B24" s="372"/>
      <c r="C24" s="622"/>
      <c r="D24" s="370"/>
      <c r="E24" s="285"/>
      <c r="G24" s="11"/>
      <c r="H24" s="284"/>
      <c r="I24" s="10"/>
      <c r="J24" s="383"/>
      <c r="K24" s="10"/>
      <c r="L24" s="11"/>
      <c r="M24" s="12"/>
      <c r="N24" s="11"/>
      <c r="O24" s="195"/>
      <c r="P24" s="11"/>
      <c r="Q24" s="11"/>
      <c r="R24" s="12"/>
      <c r="S24" s="11"/>
      <c r="T24" s="195"/>
      <c r="V24" s="11"/>
      <c r="W24" s="12"/>
      <c r="X24" s="11"/>
      <c r="Y24" s="195"/>
      <c r="Z24" s="11"/>
      <c r="AA24" s="11"/>
      <c r="AB24" s="12"/>
      <c r="AC24" s="11"/>
      <c r="AD24" s="195"/>
      <c r="AE24" s="287"/>
      <c r="AF24" s="288"/>
    </row>
    <row r="25" spans="1:35" x14ac:dyDescent="0.4">
      <c r="A25" s="372"/>
      <c r="B25" s="372"/>
      <c r="C25" s="622"/>
      <c r="D25" s="296" t="s">
        <v>126</v>
      </c>
      <c r="E25" s="285"/>
      <c r="G25" s="11"/>
      <c r="H25" s="284"/>
      <c r="I25" s="10"/>
      <c r="J25" s="383"/>
      <c r="K25" s="10"/>
      <c r="L25" s="11"/>
      <c r="M25" s="12"/>
      <c r="N25" s="11"/>
      <c r="O25" s="195"/>
      <c r="P25" s="11"/>
      <c r="Q25" s="11"/>
      <c r="R25" s="12"/>
      <c r="S25" s="11"/>
      <c r="T25" s="195"/>
      <c r="V25" s="11"/>
      <c r="W25" s="12"/>
      <c r="X25" s="11"/>
      <c r="Y25" s="195"/>
      <c r="Z25" s="11"/>
      <c r="AA25" s="11"/>
      <c r="AB25" s="12"/>
      <c r="AC25" s="11"/>
      <c r="AD25" s="195"/>
      <c r="AE25" s="287"/>
      <c r="AF25" s="288"/>
    </row>
    <row r="26" spans="1:35" x14ac:dyDescent="0.4">
      <c r="A26" s="109" t="s">
        <v>357</v>
      </c>
      <c r="B26" s="592">
        <v>86040</v>
      </c>
      <c r="C26" s="109" t="s">
        <v>240</v>
      </c>
      <c r="D26" s="297" t="s">
        <v>127</v>
      </c>
      <c r="E26" s="298">
        <f>'Volunteer Travel'!C6</f>
        <v>16</v>
      </c>
      <c r="F26" s="377">
        <f>'Volunteer Travel'!B20</f>
        <v>750</v>
      </c>
      <c r="G26" s="11">
        <v>1</v>
      </c>
      <c r="H26" s="284" t="s">
        <v>70</v>
      </c>
      <c r="I26" s="10">
        <f>E26*F26*G26</f>
        <v>12000</v>
      </c>
      <c r="J26" s="383">
        <f>F26*G26*E26</f>
        <v>12000</v>
      </c>
      <c r="K26" s="10">
        <f>'Volunteer Travel'!D6</f>
        <v>22</v>
      </c>
      <c r="L26" s="385">
        <f>F26*1.02</f>
        <v>765</v>
      </c>
      <c r="M26" s="12">
        <f>G26</f>
        <v>1</v>
      </c>
      <c r="N26" s="11">
        <f>L26*M26*K26</f>
        <v>16830</v>
      </c>
      <c r="O26" s="291">
        <f>L26*M26*K26</f>
        <v>16830</v>
      </c>
      <c r="P26" s="11">
        <f>'Volunteer Travel'!E6</f>
        <v>22</v>
      </c>
      <c r="Q26" s="385">
        <f>L26*1.02</f>
        <v>780.30000000000007</v>
      </c>
      <c r="R26" s="12">
        <f>M26</f>
        <v>1</v>
      </c>
      <c r="S26" s="194">
        <f>Q26*R26*P26</f>
        <v>17166.600000000002</v>
      </c>
      <c r="T26" s="291">
        <f>Q26*R26*P26</f>
        <v>17166.600000000002</v>
      </c>
      <c r="U26" s="293">
        <f>'Volunteer Travel'!F6</f>
        <v>22</v>
      </c>
      <c r="V26" s="385">
        <f>Q26*1.02</f>
        <v>795.90600000000006</v>
      </c>
      <c r="W26" s="12">
        <f>R26</f>
        <v>1</v>
      </c>
      <c r="X26" s="11">
        <f>V26*W26*U26</f>
        <v>17509.932000000001</v>
      </c>
      <c r="Y26" s="291">
        <f>V26*W26*U26</f>
        <v>17509.932000000001</v>
      </c>
      <c r="Z26" s="11">
        <f>'Volunteer Travel'!G6</f>
        <v>16</v>
      </c>
      <c r="AA26" s="385">
        <f>V26*1.02</f>
        <v>811.82412000000011</v>
      </c>
      <c r="AB26" s="12">
        <f>W26</f>
        <v>1</v>
      </c>
      <c r="AC26" s="11">
        <f>AA26*AB26*Z26</f>
        <v>12989.185920000002</v>
      </c>
      <c r="AD26" s="291">
        <f>AA26*AB26*Z26</f>
        <v>12989.185920000002</v>
      </c>
      <c r="AE26" s="195">
        <f>SUM(AD26,Y26,T26,O26,J26)</f>
        <v>76495.71792000001</v>
      </c>
      <c r="AF26" s="288">
        <f t="shared" ref="AF26:AF30" si="9">SUM(AE26:AE26)</f>
        <v>76495.71792000001</v>
      </c>
      <c r="AG26" s="259">
        <f>AF26*0.7</f>
        <v>53547.002544000003</v>
      </c>
      <c r="AH26" s="260">
        <f>AG26/3</f>
        <v>17849.000848</v>
      </c>
      <c r="AI26" s="260">
        <f>AH26/12</f>
        <v>1487.4167373333332</v>
      </c>
    </row>
    <row r="27" spans="1:35" x14ac:dyDescent="0.4">
      <c r="A27" s="109" t="s">
        <v>358</v>
      </c>
      <c r="B27" s="613" t="s">
        <v>291</v>
      </c>
      <c r="C27" s="109" t="s">
        <v>240</v>
      </c>
      <c r="D27" s="297" t="s">
        <v>75</v>
      </c>
      <c r="E27" s="298">
        <f>E26</f>
        <v>16</v>
      </c>
      <c r="F27" s="377">
        <f>'Volunteer Travel'!C20</f>
        <v>92.924999999999997</v>
      </c>
      <c r="G27" s="11">
        <v>14</v>
      </c>
      <c r="H27" s="284" t="s">
        <v>128</v>
      </c>
      <c r="I27" s="10">
        <f>E27*F27*G27</f>
        <v>20815.2</v>
      </c>
      <c r="J27" s="383">
        <f t="shared" ref="J27:J30" si="10">F27*G27*E27</f>
        <v>20815.2</v>
      </c>
      <c r="K27" s="10">
        <f>K26</f>
        <v>22</v>
      </c>
      <c r="L27" s="385">
        <f>F27*1.02</f>
        <v>94.783500000000004</v>
      </c>
      <c r="M27" s="12">
        <f>G27</f>
        <v>14</v>
      </c>
      <c r="N27" s="11">
        <f t="shared" ref="N27:N30" si="11">L27*M27*K27</f>
        <v>29193.317999999999</v>
      </c>
      <c r="O27" s="291">
        <f t="shared" ref="O27:O30" si="12">L27*M27*K27</f>
        <v>29193.317999999999</v>
      </c>
      <c r="P27" s="11">
        <f>P26</f>
        <v>22</v>
      </c>
      <c r="Q27" s="385">
        <f>L27*1.02</f>
        <v>96.679169999999999</v>
      </c>
      <c r="R27" s="12">
        <f>M27</f>
        <v>14</v>
      </c>
      <c r="S27" s="194">
        <f t="shared" ref="S27:S30" si="13">Q27*R27*P27</f>
        <v>29777.184359999999</v>
      </c>
      <c r="T27" s="291">
        <f t="shared" ref="T27:T30" si="14">Q27*R27*P27</f>
        <v>29777.184359999999</v>
      </c>
      <c r="U27" s="293">
        <f>U26</f>
        <v>22</v>
      </c>
      <c r="V27" s="385">
        <f>Q27*1.02</f>
        <v>98.612753400000003</v>
      </c>
      <c r="W27" s="12">
        <f>R27</f>
        <v>14</v>
      </c>
      <c r="X27" s="11">
        <f>V27*W27*U27</f>
        <v>30372.728047200002</v>
      </c>
      <c r="Y27" s="291">
        <f t="shared" ref="Y27:Y30" si="15">V27*W27*U27</f>
        <v>30372.728047200002</v>
      </c>
      <c r="Z27" s="11">
        <f>Z26</f>
        <v>16</v>
      </c>
      <c r="AA27" s="385">
        <f>V27*1.02</f>
        <v>100.585008468</v>
      </c>
      <c r="AB27" s="12">
        <f>W27</f>
        <v>14</v>
      </c>
      <c r="AC27" s="11">
        <f t="shared" ref="AC27:AC30" si="16">AA27*AB27*Z27</f>
        <v>22531.041896832001</v>
      </c>
      <c r="AD27" s="291">
        <f t="shared" ref="AD27:AD30" si="17">AA27*AB27*Z27</f>
        <v>22531.041896832001</v>
      </c>
      <c r="AE27" s="195">
        <f>SUM(AD27,Y27,T27,O27,J27)</f>
        <v>132689.47230403201</v>
      </c>
      <c r="AF27" s="288">
        <f t="shared" si="9"/>
        <v>132689.47230403201</v>
      </c>
      <c r="AG27" s="259">
        <f>AF27*0.7</f>
        <v>92882.630612822395</v>
      </c>
      <c r="AH27" s="260">
        <f>AG27/3</f>
        <v>30960.8768709408</v>
      </c>
      <c r="AI27" s="260">
        <f>AH27/12</f>
        <v>2580.0730725784001</v>
      </c>
    </row>
    <row r="28" spans="1:35" x14ac:dyDescent="0.4">
      <c r="A28" s="109" t="s">
        <v>358</v>
      </c>
      <c r="B28" s="613" t="s">
        <v>290</v>
      </c>
      <c r="C28" s="109" t="s">
        <v>240</v>
      </c>
      <c r="D28" s="297" t="s">
        <v>67</v>
      </c>
      <c r="E28" s="298">
        <f>E26</f>
        <v>16</v>
      </c>
      <c r="F28" s="377">
        <f>'Volunteer Travel'!D20</f>
        <v>55.75</v>
      </c>
      <c r="G28" s="11">
        <v>15</v>
      </c>
      <c r="H28" s="284" t="s">
        <v>46</v>
      </c>
      <c r="I28" s="10">
        <f>E28*F28*G28</f>
        <v>13380</v>
      </c>
      <c r="J28" s="383">
        <f t="shared" si="10"/>
        <v>13380</v>
      </c>
      <c r="K28" s="10">
        <f>K26</f>
        <v>22</v>
      </c>
      <c r="L28" s="385">
        <f t="shared" ref="L28:L30" si="18">F28*1.02</f>
        <v>56.865000000000002</v>
      </c>
      <c r="M28" s="12">
        <f>G28</f>
        <v>15</v>
      </c>
      <c r="N28" s="11">
        <f t="shared" si="11"/>
        <v>18765.45</v>
      </c>
      <c r="O28" s="291">
        <f t="shared" si="12"/>
        <v>18765.45</v>
      </c>
      <c r="P28" s="11">
        <f>P26</f>
        <v>22</v>
      </c>
      <c r="Q28" s="385">
        <f t="shared" ref="Q28:Q30" si="19">L28*1.02</f>
        <v>58.002300000000005</v>
      </c>
      <c r="R28" s="12">
        <f>M28</f>
        <v>15</v>
      </c>
      <c r="S28" s="194">
        <f t="shared" si="13"/>
        <v>19140.759000000002</v>
      </c>
      <c r="T28" s="291">
        <f t="shared" si="14"/>
        <v>19140.759000000002</v>
      </c>
      <c r="U28" s="293">
        <f>U26</f>
        <v>22</v>
      </c>
      <c r="V28" s="385">
        <f t="shared" ref="V28:V30" si="20">Q28*1.02</f>
        <v>59.162346000000007</v>
      </c>
      <c r="W28" s="12">
        <f>R28</f>
        <v>15</v>
      </c>
      <c r="X28" s="11">
        <f t="shared" ref="X28:X30" si="21">V28*W28*U28</f>
        <v>19523.574180000003</v>
      </c>
      <c r="Y28" s="291">
        <f t="shared" si="15"/>
        <v>19523.574180000003</v>
      </c>
      <c r="Z28" s="11">
        <f>Z26</f>
        <v>16</v>
      </c>
      <c r="AA28" s="385">
        <f t="shared" ref="AA28:AA30" si="22">V28*1.02</f>
        <v>60.345592920000009</v>
      </c>
      <c r="AB28" s="12">
        <f>W28</f>
        <v>15</v>
      </c>
      <c r="AC28" s="11">
        <f t="shared" si="16"/>
        <v>14482.942300800001</v>
      </c>
      <c r="AD28" s="291">
        <f t="shared" si="17"/>
        <v>14482.942300800001</v>
      </c>
      <c r="AE28" s="195">
        <f>SUM(AD28,Y28,T28,O28,J28)</f>
        <v>85292.7254808</v>
      </c>
      <c r="AF28" s="288">
        <f t="shared" si="9"/>
        <v>85292.7254808</v>
      </c>
      <c r="AG28" s="259">
        <f>AF28*0.7</f>
        <v>59704.907836559993</v>
      </c>
      <c r="AH28" s="260">
        <f>AG28/3</f>
        <v>19901.635945519996</v>
      </c>
      <c r="AI28" s="260">
        <f>AH28/12</f>
        <v>1658.4696621266664</v>
      </c>
    </row>
    <row r="29" spans="1:35" x14ac:dyDescent="0.4">
      <c r="A29" s="109" t="s">
        <v>358</v>
      </c>
      <c r="B29" s="613" t="s">
        <v>290</v>
      </c>
      <c r="C29" s="109" t="s">
        <v>240</v>
      </c>
      <c r="D29" s="297" t="s">
        <v>129</v>
      </c>
      <c r="E29" s="298">
        <f>E26</f>
        <v>16</v>
      </c>
      <c r="F29" s="377">
        <f>'Volunteer Travel'!E20</f>
        <v>75</v>
      </c>
      <c r="G29" s="11">
        <v>1</v>
      </c>
      <c r="H29" s="284" t="s">
        <v>70</v>
      </c>
      <c r="I29" s="10">
        <f>E29*F29*G29</f>
        <v>1200</v>
      </c>
      <c r="J29" s="383">
        <f t="shared" si="10"/>
        <v>1200</v>
      </c>
      <c r="K29" s="10">
        <f>K27</f>
        <v>22</v>
      </c>
      <c r="L29" s="385">
        <f t="shared" si="18"/>
        <v>76.5</v>
      </c>
      <c r="M29" s="12">
        <f>G29</f>
        <v>1</v>
      </c>
      <c r="N29" s="11">
        <f t="shared" si="11"/>
        <v>1683</v>
      </c>
      <c r="O29" s="291">
        <f t="shared" si="12"/>
        <v>1683</v>
      </c>
      <c r="P29" s="11">
        <f>P27</f>
        <v>22</v>
      </c>
      <c r="Q29" s="385">
        <f t="shared" si="19"/>
        <v>78.03</v>
      </c>
      <c r="R29" s="12">
        <f>M29</f>
        <v>1</v>
      </c>
      <c r="S29" s="194">
        <f t="shared" si="13"/>
        <v>1716.66</v>
      </c>
      <c r="T29" s="291">
        <f t="shared" si="14"/>
        <v>1716.66</v>
      </c>
      <c r="U29" s="293">
        <f>U27</f>
        <v>22</v>
      </c>
      <c r="V29" s="385">
        <f t="shared" si="20"/>
        <v>79.590600000000009</v>
      </c>
      <c r="W29" s="12">
        <f>R29</f>
        <v>1</v>
      </c>
      <c r="X29" s="11">
        <f t="shared" si="21"/>
        <v>1750.9932000000001</v>
      </c>
      <c r="Y29" s="291">
        <f t="shared" si="15"/>
        <v>1750.9932000000001</v>
      </c>
      <c r="Z29" s="11">
        <f>Z27</f>
        <v>16</v>
      </c>
      <c r="AA29" s="385">
        <f t="shared" si="22"/>
        <v>81.182412000000014</v>
      </c>
      <c r="AB29" s="12">
        <f>W29</f>
        <v>1</v>
      </c>
      <c r="AC29" s="11">
        <f t="shared" si="16"/>
        <v>1298.9185920000002</v>
      </c>
      <c r="AD29" s="291">
        <f t="shared" si="17"/>
        <v>1298.9185920000002</v>
      </c>
      <c r="AE29" s="195">
        <f>SUM(AD29,Y29,T29,O29,J29)</f>
        <v>7649.5717920000006</v>
      </c>
      <c r="AF29" s="288">
        <f t="shared" si="9"/>
        <v>7649.5717920000006</v>
      </c>
      <c r="AG29" s="259"/>
      <c r="AH29" s="260"/>
      <c r="AI29" s="260"/>
    </row>
    <row r="30" spans="1:35" x14ac:dyDescent="0.4">
      <c r="A30" s="109" t="s">
        <v>358</v>
      </c>
      <c r="B30" s="613" t="s">
        <v>290</v>
      </c>
      <c r="C30" s="109" t="s">
        <v>240</v>
      </c>
      <c r="D30" s="297" t="s">
        <v>130</v>
      </c>
      <c r="E30" s="298">
        <f>E26</f>
        <v>16</v>
      </c>
      <c r="F30" s="377">
        <f>'Volunteer Travel'!F20</f>
        <v>124</v>
      </c>
      <c r="G30" s="11">
        <v>1</v>
      </c>
      <c r="H30" s="284" t="s">
        <v>70</v>
      </c>
      <c r="I30" s="10">
        <f>E30*F30*G30</f>
        <v>1984</v>
      </c>
      <c r="J30" s="383">
        <f t="shared" si="10"/>
        <v>1984</v>
      </c>
      <c r="K30" s="10">
        <f>K26</f>
        <v>22</v>
      </c>
      <c r="L30" s="385">
        <f t="shared" si="18"/>
        <v>126.48</v>
      </c>
      <c r="M30" s="12">
        <v>1</v>
      </c>
      <c r="N30" s="11">
        <f t="shared" si="11"/>
        <v>2782.56</v>
      </c>
      <c r="O30" s="291">
        <f t="shared" si="12"/>
        <v>2782.56</v>
      </c>
      <c r="P30" s="11">
        <f>P26</f>
        <v>22</v>
      </c>
      <c r="Q30" s="385">
        <f t="shared" si="19"/>
        <v>129.00960000000001</v>
      </c>
      <c r="R30" s="12">
        <v>1</v>
      </c>
      <c r="S30" s="194">
        <f t="shared" si="13"/>
        <v>2838.2112000000002</v>
      </c>
      <c r="T30" s="291">
        <f t="shared" si="14"/>
        <v>2838.2112000000002</v>
      </c>
      <c r="U30" s="293">
        <f>U26</f>
        <v>22</v>
      </c>
      <c r="V30" s="385">
        <f t="shared" si="20"/>
        <v>131.58979200000002</v>
      </c>
      <c r="W30" s="12">
        <v>1</v>
      </c>
      <c r="X30" s="11">
        <f t="shared" si="21"/>
        <v>2894.9754240000002</v>
      </c>
      <c r="Y30" s="291">
        <f t="shared" si="15"/>
        <v>2894.9754240000002</v>
      </c>
      <c r="Z30" s="11">
        <f>Z26</f>
        <v>16</v>
      </c>
      <c r="AA30" s="385">
        <f t="shared" si="22"/>
        <v>134.22158784000001</v>
      </c>
      <c r="AB30" s="12">
        <v>1</v>
      </c>
      <c r="AC30" s="11">
        <f t="shared" si="16"/>
        <v>2147.5454054400002</v>
      </c>
      <c r="AD30" s="291">
        <f t="shared" si="17"/>
        <v>2147.5454054400002</v>
      </c>
      <c r="AE30" s="195">
        <f>SUM(AD30,Y30,T30,O30,J30)</f>
        <v>12647.292029439999</v>
      </c>
      <c r="AF30" s="288">
        <f t="shared" si="9"/>
        <v>12647.292029439999</v>
      </c>
      <c r="AG30" s="259">
        <f>AF30*0.7</f>
        <v>8853.1044206079987</v>
      </c>
      <c r="AH30" s="260">
        <f>AG30/3</f>
        <v>2951.0348068693329</v>
      </c>
      <c r="AI30" s="260">
        <f>AH30/12</f>
        <v>245.91956723911107</v>
      </c>
    </row>
    <row r="31" spans="1:35" x14ac:dyDescent="0.4">
      <c r="A31" s="109"/>
      <c r="B31" s="613"/>
      <c r="C31" s="109"/>
      <c r="D31" s="297"/>
      <c r="E31" s="298"/>
      <c r="F31" s="377"/>
      <c r="G31" s="11"/>
      <c r="H31" s="284"/>
      <c r="I31" s="10"/>
      <c r="J31" s="383"/>
      <c r="K31" s="10"/>
      <c r="L31" s="385"/>
      <c r="M31" s="12"/>
      <c r="N31" s="11"/>
      <c r="O31" s="291"/>
      <c r="P31" s="11"/>
      <c r="Q31" s="385"/>
      <c r="R31" s="12"/>
      <c r="S31" s="11"/>
      <c r="T31" s="291"/>
      <c r="U31" s="293"/>
      <c r="V31" s="385"/>
      <c r="W31" s="12"/>
      <c r="X31" s="11"/>
      <c r="Y31" s="291"/>
      <c r="Z31" s="11"/>
      <c r="AA31" s="385"/>
      <c r="AB31" s="12"/>
      <c r="AC31" s="11"/>
      <c r="AD31" s="291"/>
      <c r="AE31" s="195"/>
      <c r="AF31" s="291"/>
      <c r="AG31" s="259"/>
      <c r="AH31" s="260"/>
      <c r="AI31" s="260"/>
    </row>
    <row r="32" spans="1:35" x14ac:dyDescent="0.4">
      <c r="A32" s="372"/>
      <c r="B32" s="372"/>
      <c r="C32" s="622"/>
      <c r="D32" s="296" t="s">
        <v>131</v>
      </c>
      <c r="E32" s="285"/>
      <c r="G32" s="11"/>
      <c r="H32" s="284"/>
      <c r="I32" s="10"/>
      <c r="J32" s="383"/>
      <c r="K32" s="10"/>
      <c r="L32" s="11"/>
      <c r="M32" s="12"/>
      <c r="N32" s="11"/>
      <c r="O32" s="195"/>
      <c r="P32" s="11"/>
      <c r="Q32" s="11"/>
      <c r="R32" s="12"/>
      <c r="S32" s="11"/>
      <c r="T32" s="195"/>
      <c r="V32" s="11"/>
      <c r="W32" s="12"/>
      <c r="X32" s="11"/>
      <c r="Y32" s="195"/>
      <c r="Z32" s="11"/>
      <c r="AA32" s="11"/>
      <c r="AB32" s="12"/>
      <c r="AC32" s="11"/>
      <c r="AD32" s="195"/>
      <c r="AE32" s="287"/>
      <c r="AF32" s="288"/>
    </row>
    <row r="33" spans="1:35" x14ac:dyDescent="0.4">
      <c r="A33" s="109" t="s">
        <v>359</v>
      </c>
      <c r="B33" s="613" t="s">
        <v>291</v>
      </c>
      <c r="C33" s="109" t="s">
        <v>240</v>
      </c>
      <c r="D33" s="297" t="s">
        <v>75</v>
      </c>
      <c r="E33" s="298">
        <f>'Volunteer Travel'!C7</f>
        <v>2</v>
      </c>
      <c r="F33" s="377">
        <f>'Volunteer Travel'!G20</f>
        <v>65.047499999999999</v>
      </c>
      <c r="G33" s="11">
        <v>6</v>
      </c>
      <c r="H33" s="284" t="s">
        <v>128</v>
      </c>
      <c r="I33" s="10">
        <f>E33*F33*G33</f>
        <v>780.56999999999994</v>
      </c>
      <c r="J33" s="383">
        <f>E33*F33*G33</f>
        <v>780.56999999999994</v>
      </c>
      <c r="K33" s="10">
        <f>'Volunteer Travel'!E7</f>
        <v>1</v>
      </c>
      <c r="L33" s="385">
        <f>F33*1.02</f>
        <v>66.34845</v>
      </c>
      <c r="M33" s="12">
        <f>G33</f>
        <v>6</v>
      </c>
      <c r="N33" s="10">
        <f>K33*L33*M33</f>
        <v>398.09069999999997</v>
      </c>
      <c r="O33" s="383">
        <f>K33*L33*M33</f>
        <v>398.09069999999997</v>
      </c>
      <c r="P33" s="11">
        <f>'Volunteer Travel'!E7</f>
        <v>1</v>
      </c>
      <c r="Q33" s="385">
        <f>L33*1.02</f>
        <v>67.675419000000005</v>
      </c>
      <c r="R33" s="12">
        <f>M33</f>
        <v>6</v>
      </c>
      <c r="S33" s="10">
        <f>P33*Q33*R33</f>
        <v>406.05251400000003</v>
      </c>
      <c r="T33" s="383">
        <f>P33*Q33*R33</f>
        <v>406.05251400000003</v>
      </c>
      <c r="U33" s="293">
        <f>'Volunteer Travel'!F7</f>
        <v>1</v>
      </c>
      <c r="V33" s="385">
        <f>Q33*1.02</f>
        <v>69.028927380000013</v>
      </c>
      <c r="W33" s="12">
        <f>R33</f>
        <v>6</v>
      </c>
      <c r="X33" s="10">
        <f>U33*V33*W33</f>
        <v>414.17356428000005</v>
      </c>
      <c r="Y33" s="383">
        <f>U33*V33*W33</f>
        <v>414.17356428000005</v>
      </c>
      <c r="Z33" s="11">
        <f>'Volunteer Travel'!G7</f>
        <v>1</v>
      </c>
      <c r="AA33" s="385">
        <f>V33*1.02</f>
        <v>70.409505927600009</v>
      </c>
      <c r="AB33" s="12">
        <f>W33</f>
        <v>6</v>
      </c>
      <c r="AC33" s="10">
        <f>Z33*AA33*AB33</f>
        <v>422.45703556560005</v>
      </c>
      <c r="AD33" s="383">
        <f>Z33*AA33*AB33</f>
        <v>422.45703556560005</v>
      </c>
      <c r="AE33" s="195">
        <f>SUM(AD33,Y33,T33,O33,J33)</f>
        <v>2421.3438138455999</v>
      </c>
      <c r="AF33" s="288">
        <f t="shared" ref="AF33:AF35" si="23">SUM(AE33:AE33)</f>
        <v>2421.3438138455999</v>
      </c>
      <c r="AG33" s="259">
        <f>AF33*0.7</f>
        <v>1694.9406696919198</v>
      </c>
      <c r="AH33" s="260">
        <f>AG33/3</f>
        <v>564.98022323063992</v>
      </c>
      <c r="AI33" s="260">
        <f>AH33/12</f>
        <v>47.081685269219996</v>
      </c>
    </row>
    <row r="34" spans="1:35" x14ac:dyDescent="0.4">
      <c r="A34" s="109" t="s">
        <v>359</v>
      </c>
      <c r="B34" s="613" t="s">
        <v>290</v>
      </c>
      <c r="C34" s="109" t="s">
        <v>240</v>
      </c>
      <c r="D34" s="297" t="s">
        <v>67</v>
      </c>
      <c r="E34" s="298">
        <f>E33</f>
        <v>2</v>
      </c>
      <c r="F34" s="377">
        <f>'Volunteer Travel'!H20</f>
        <v>55.75</v>
      </c>
      <c r="G34" s="11">
        <v>7</v>
      </c>
      <c r="H34" s="284" t="s">
        <v>46</v>
      </c>
      <c r="I34" s="10">
        <f>E34*F34*G34</f>
        <v>780.5</v>
      </c>
      <c r="J34" s="383">
        <f t="shared" ref="J34:J35" si="24">E34*F34*G34</f>
        <v>780.5</v>
      </c>
      <c r="K34" s="10">
        <f>K33</f>
        <v>1</v>
      </c>
      <c r="L34" s="385">
        <f t="shared" ref="L34:L35" si="25">F34*1.02</f>
        <v>56.865000000000002</v>
      </c>
      <c r="M34" s="12">
        <f>G34</f>
        <v>7</v>
      </c>
      <c r="N34" s="10">
        <f t="shared" ref="N34:N35" si="26">K34*L34*M34</f>
        <v>398.05500000000001</v>
      </c>
      <c r="O34" s="383">
        <f t="shared" ref="O34:O35" si="27">K34*L34*M34</f>
        <v>398.05500000000001</v>
      </c>
      <c r="P34" s="11">
        <f>P33</f>
        <v>1</v>
      </c>
      <c r="Q34" s="385">
        <f>L34*1.02</f>
        <v>58.002300000000005</v>
      </c>
      <c r="R34" s="12">
        <f>M34</f>
        <v>7</v>
      </c>
      <c r="S34" s="10">
        <f t="shared" ref="S34:S35" si="28">P34*Q34*R34</f>
        <v>406.01610000000005</v>
      </c>
      <c r="T34" s="383">
        <f t="shared" ref="T34:T35" si="29">P34*Q34*R34</f>
        <v>406.01610000000005</v>
      </c>
      <c r="U34" s="293">
        <f>U33</f>
        <v>1</v>
      </c>
      <c r="V34" s="385">
        <f>Q34*1.02</f>
        <v>59.162346000000007</v>
      </c>
      <c r="W34" s="12">
        <f>R34</f>
        <v>7</v>
      </c>
      <c r="X34" s="10">
        <f t="shared" ref="X34:X35" si="30">U34*V34*W34</f>
        <v>414.13642200000004</v>
      </c>
      <c r="Y34" s="383">
        <f t="shared" ref="Y34:Y35" si="31">U34*V34*W34</f>
        <v>414.13642200000004</v>
      </c>
      <c r="Z34" s="11">
        <f>Z33</f>
        <v>1</v>
      </c>
      <c r="AA34" s="385">
        <f t="shared" ref="AA34:AA35" si="32">V34*1.02</f>
        <v>60.345592920000009</v>
      </c>
      <c r="AB34" s="12">
        <f>W34</f>
        <v>7</v>
      </c>
      <c r="AC34" s="10">
        <f t="shared" ref="AC34:AC35" si="33">Z34*AA34*AB34</f>
        <v>422.41915044000007</v>
      </c>
      <c r="AD34" s="383">
        <f t="shared" ref="AD34:AD35" si="34">Z34*AA34*AB34</f>
        <v>422.41915044000007</v>
      </c>
      <c r="AE34" s="195">
        <f>SUM(AD34,Y34,T34,O34,J34)</f>
        <v>2421.1266724400002</v>
      </c>
      <c r="AF34" s="288">
        <f t="shared" si="23"/>
        <v>2421.1266724400002</v>
      </c>
      <c r="AG34" s="259">
        <f>AF34*0.7</f>
        <v>1694.7886707080002</v>
      </c>
      <c r="AH34" s="260">
        <f>AG34/3</f>
        <v>564.92955690266672</v>
      </c>
      <c r="AI34" s="260">
        <f>AH34/12</f>
        <v>47.077463075222227</v>
      </c>
    </row>
    <row r="35" spans="1:35" x14ac:dyDescent="0.4">
      <c r="A35" s="109" t="s">
        <v>359</v>
      </c>
      <c r="B35" s="613" t="s">
        <v>290</v>
      </c>
      <c r="C35" s="109" t="s">
        <v>240</v>
      </c>
      <c r="D35" s="297" t="s">
        <v>130</v>
      </c>
      <c r="E35" s="298">
        <f>E33</f>
        <v>2</v>
      </c>
      <c r="F35" s="377">
        <f>'Volunteer Travel'!I20</f>
        <v>30</v>
      </c>
      <c r="G35" s="11">
        <v>1</v>
      </c>
      <c r="H35" s="284" t="s">
        <v>70</v>
      </c>
      <c r="I35" s="10">
        <f>E35*F35*G35</f>
        <v>60</v>
      </c>
      <c r="J35" s="383">
        <f t="shared" si="24"/>
        <v>60</v>
      </c>
      <c r="K35" s="10">
        <f>K33</f>
        <v>1</v>
      </c>
      <c r="L35" s="385">
        <f t="shared" si="25"/>
        <v>30.6</v>
      </c>
      <c r="M35" s="12">
        <f>G35</f>
        <v>1</v>
      </c>
      <c r="N35" s="10">
        <f t="shared" si="26"/>
        <v>30.6</v>
      </c>
      <c r="O35" s="383">
        <f t="shared" si="27"/>
        <v>30.6</v>
      </c>
      <c r="P35" s="11">
        <f>P33</f>
        <v>1</v>
      </c>
      <c r="Q35" s="385">
        <f t="shared" ref="Q35" si="35">L35*1.02</f>
        <v>31.212000000000003</v>
      </c>
      <c r="R35" s="12">
        <f>M35</f>
        <v>1</v>
      </c>
      <c r="S35" s="10">
        <f t="shared" si="28"/>
        <v>31.212000000000003</v>
      </c>
      <c r="T35" s="383">
        <f t="shared" si="29"/>
        <v>31.212000000000003</v>
      </c>
      <c r="U35" s="293">
        <f>U33</f>
        <v>1</v>
      </c>
      <c r="V35" s="385">
        <f t="shared" ref="V35" si="36">Q35*1.02</f>
        <v>31.836240000000004</v>
      </c>
      <c r="W35" s="12">
        <f>R35</f>
        <v>1</v>
      </c>
      <c r="X35" s="10">
        <f t="shared" si="30"/>
        <v>31.836240000000004</v>
      </c>
      <c r="Y35" s="383">
        <f t="shared" si="31"/>
        <v>31.836240000000004</v>
      </c>
      <c r="Z35" s="11">
        <f>Z33</f>
        <v>1</v>
      </c>
      <c r="AA35" s="385">
        <f t="shared" si="32"/>
        <v>32.472964800000007</v>
      </c>
      <c r="AB35" s="12">
        <f>W35</f>
        <v>1</v>
      </c>
      <c r="AC35" s="10">
        <f t="shared" si="33"/>
        <v>32.472964800000007</v>
      </c>
      <c r="AD35" s="383">
        <f t="shared" si="34"/>
        <v>32.472964800000007</v>
      </c>
      <c r="AE35" s="195">
        <f>SUM(AD35,Y35,T35,O35,J35)</f>
        <v>186.12120480000002</v>
      </c>
      <c r="AF35" s="288">
        <f t="shared" si="23"/>
        <v>186.12120480000002</v>
      </c>
      <c r="AG35" s="259">
        <f>AF35*0.7</f>
        <v>130.28484336</v>
      </c>
      <c r="AH35" s="260">
        <f>AG35/3</f>
        <v>43.428281120000001</v>
      </c>
      <c r="AI35" s="260">
        <f>AH35/12</f>
        <v>3.6190234266666668</v>
      </c>
    </row>
    <row r="36" spans="1:35" x14ac:dyDescent="0.4">
      <c r="A36" s="109"/>
      <c r="B36" s="613"/>
      <c r="C36" s="109"/>
      <c r="D36" s="370"/>
      <c r="E36" s="285"/>
      <c r="H36" s="284"/>
      <c r="I36" s="10"/>
      <c r="J36" s="339"/>
      <c r="K36" s="10"/>
      <c r="L36" s="11"/>
      <c r="M36" s="12"/>
      <c r="N36" s="11"/>
      <c r="O36" s="195"/>
      <c r="P36" s="11"/>
      <c r="Q36" s="11"/>
      <c r="R36" s="12"/>
      <c r="S36" s="11"/>
      <c r="T36" s="195"/>
      <c r="V36" s="11"/>
      <c r="W36" s="12"/>
      <c r="X36" s="11"/>
      <c r="Y36" s="195"/>
      <c r="Z36" s="11"/>
      <c r="AA36" s="11"/>
      <c r="AB36" s="12"/>
      <c r="AC36" s="11"/>
      <c r="AD36" s="195"/>
      <c r="AE36" s="287"/>
      <c r="AF36" s="288"/>
      <c r="AG36" s="260">
        <f>AF30-AG30</f>
        <v>3794.1876088320005</v>
      </c>
      <c r="AH36" s="260">
        <f>AG36/2</f>
        <v>1897.0938044160002</v>
      </c>
      <c r="AI36" s="260">
        <f>AH36/9</f>
        <v>210.7882004906667</v>
      </c>
    </row>
    <row r="37" spans="1:35" x14ac:dyDescent="0.4">
      <c r="A37" s="109"/>
      <c r="B37" s="372"/>
      <c r="C37" s="109"/>
      <c r="D37" s="296" t="s">
        <v>132</v>
      </c>
      <c r="E37" s="285"/>
      <c r="G37" s="11"/>
      <c r="H37" s="284"/>
      <c r="I37" s="10"/>
      <c r="J37" s="383"/>
      <c r="K37" s="10"/>
      <c r="L37" s="11"/>
      <c r="M37" s="12"/>
      <c r="N37" s="11"/>
      <c r="O37" s="195"/>
      <c r="P37" s="11"/>
      <c r="Q37" s="11"/>
      <c r="R37" s="12"/>
      <c r="S37" s="11"/>
      <c r="T37" s="195"/>
      <c r="V37" s="11"/>
      <c r="W37" s="12"/>
      <c r="X37" s="11"/>
      <c r="Y37" s="195"/>
      <c r="Z37" s="11"/>
      <c r="AA37" s="11"/>
      <c r="AB37" s="12"/>
      <c r="AC37" s="11"/>
      <c r="AD37" s="195"/>
      <c r="AE37" s="287"/>
      <c r="AF37" s="288"/>
    </row>
    <row r="38" spans="1:35" x14ac:dyDescent="0.4">
      <c r="A38" s="109" t="s">
        <v>360</v>
      </c>
      <c r="B38" s="613" t="s">
        <v>291</v>
      </c>
      <c r="C38" s="109" t="s">
        <v>240</v>
      </c>
      <c r="D38" s="338" t="s">
        <v>75</v>
      </c>
      <c r="E38" s="298">
        <v>1</v>
      </c>
      <c r="F38" s="377">
        <f>'Field Travel'!B16</f>
        <v>65.047499999999999</v>
      </c>
      <c r="G38" s="293">
        <f>'Volunteer Travel'!K6</f>
        <v>150</v>
      </c>
      <c r="H38" s="284" t="s">
        <v>128</v>
      </c>
      <c r="I38" s="10">
        <f>E38*F38*G38</f>
        <v>9757.125</v>
      </c>
      <c r="J38" s="383">
        <f>F38*G38</f>
        <v>9757.125</v>
      </c>
      <c r="K38" s="10">
        <v>1</v>
      </c>
      <c r="L38" s="385">
        <f>F38*1.02</f>
        <v>66.34845</v>
      </c>
      <c r="M38" s="12">
        <f>'Volunteer Travel'!L6</f>
        <v>180</v>
      </c>
      <c r="N38" s="11">
        <f>L38*M38</f>
        <v>11942.721</v>
      </c>
      <c r="O38" s="291">
        <f>L38*M38</f>
        <v>11942.721</v>
      </c>
      <c r="P38" s="11">
        <v>1</v>
      </c>
      <c r="Q38" s="385">
        <f>L38*1.02</f>
        <v>67.675419000000005</v>
      </c>
      <c r="R38" s="12">
        <f>'Volunteer Travel'!M6</f>
        <v>198</v>
      </c>
      <c r="S38" s="11">
        <f>Q38*R38</f>
        <v>13399.732962000002</v>
      </c>
      <c r="T38" s="291">
        <f>Q38*R38</f>
        <v>13399.732962000002</v>
      </c>
      <c r="U38" s="293">
        <v>1</v>
      </c>
      <c r="V38" s="385">
        <f t="shared" ref="V38:V40" si="37">Q38*1.02</f>
        <v>69.028927380000013</v>
      </c>
      <c r="W38" s="12">
        <f>'Volunteer Travel'!N6</f>
        <v>180</v>
      </c>
      <c r="X38" s="11">
        <f>V38*W38</f>
        <v>12425.206928400003</v>
      </c>
      <c r="Y38" s="291">
        <f>V38*W38</f>
        <v>12425.206928400003</v>
      </c>
      <c r="Z38" s="11">
        <v>1</v>
      </c>
      <c r="AA38" s="385">
        <f>V38*1.02</f>
        <v>70.409505927600009</v>
      </c>
      <c r="AB38" s="12">
        <f>'Volunteer Travel'!O6</f>
        <v>144</v>
      </c>
      <c r="AC38" s="11">
        <f>AA38*AB38</f>
        <v>10138.968853574401</v>
      </c>
      <c r="AD38" s="291">
        <f>AA38*AB38</f>
        <v>10138.968853574401</v>
      </c>
      <c r="AE38" s="195">
        <f>SUM(AD38,Y38,T38,O38,J38)</f>
        <v>57663.754743974401</v>
      </c>
      <c r="AF38" s="288">
        <f t="shared" ref="AF38:AF40" si="38">SUM(AE38:AE38)</f>
        <v>57663.754743974401</v>
      </c>
      <c r="AG38" s="259">
        <f>AF38*0.7</f>
        <v>40364.628320782082</v>
      </c>
      <c r="AH38" s="260">
        <f>AG38/3</f>
        <v>13454.876106927361</v>
      </c>
      <c r="AI38" s="260">
        <f>AH38/12</f>
        <v>1121.23967557728</v>
      </c>
    </row>
    <row r="39" spans="1:35" x14ac:dyDescent="0.4">
      <c r="A39" s="109" t="s">
        <v>360</v>
      </c>
      <c r="B39" s="613" t="s">
        <v>290</v>
      </c>
      <c r="C39" s="109" t="s">
        <v>240</v>
      </c>
      <c r="D39" s="338" t="s">
        <v>67</v>
      </c>
      <c r="E39" s="298">
        <v>1</v>
      </c>
      <c r="F39" s="377">
        <f>'Field Travel'!C16</f>
        <v>55.75</v>
      </c>
      <c r="G39" s="293">
        <f>G38</f>
        <v>150</v>
      </c>
      <c r="H39" s="284" t="s">
        <v>46</v>
      </c>
      <c r="I39" s="10">
        <f>E39*F39*G39</f>
        <v>8362.5</v>
      </c>
      <c r="J39" s="383">
        <f>F39*G39</f>
        <v>8362.5</v>
      </c>
      <c r="K39" s="10">
        <v>1</v>
      </c>
      <c r="L39" s="385">
        <f t="shared" ref="L39:L40" si="39">F39*1.02</f>
        <v>56.865000000000002</v>
      </c>
      <c r="M39" s="12">
        <f>M38</f>
        <v>180</v>
      </c>
      <c r="N39" s="11">
        <f>L39*M39</f>
        <v>10235.700000000001</v>
      </c>
      <c r="O39" s="291">
        <f>L39*M39</f>
        <v>10235.700000000001</v>
      </c>
      <c r="P39" s="11">
        <v>1</v>
      </c>
      <c r="Q39" s="385">
        <f t="shared" ref="Q39:Q40" si="40">L39*1.02</f>
        <v>58.002300000000005</v>
      </c>
      <c r="R39" s="12">
        <f>R38</f>
        <v>198</v>
      </c>
      <c r="S39" s="11">
        <f>Q39*R39</f>
        <v>11484.455400000001</v>
      </c>
      <c r="T39" s="291">
        <f>Q39*R39</f>
        <v>11484.455400000001</v>
      </c>
      <c r="U39" s="293">
        <v>1</v>
      </c>
      <c r="V39" s="385">
        <f t="shared" si="37"/>
        <v>59.162346000000007</v>
      </c>
      <c r="W39" s="12">
        <f>W38</f>
        <v>180</v>
      </c>
      <c r="X39" s="11">
        <f>V39*W39</f>
        <v>10649.222280000002</v>
      </c>
      <c r="Y39" s="291">
        <f>V39*W39</f>
        <v>10649.222280000002</v>
      </c>
      <c r="Z39" s="11">
        <v>1</v>
      </c>
      <c r="AA39" s="385">
        <f>V39*1.02</f>
        <v>60.345592920000009</v>
      </c>
      <c r="AB39" s="12">
        <f>AB38</f>
        <v>144</v>
      </c>
      <c r="AC39" s="11">
        <f>AA39*AB39</f>
        <v>8689.7653804800011</v>
      </c>
      <c r="AD39" s="291">
        <f>AA39*AB39</f>
        <v>8689.7653804800011</v>
      </c>
      <c r="AE39" s="195">
        <f>SUM(AD39,Y39,T39,O39,J39)</f>
        <v>49421.643060479997</v>
      </c>
      <c r="AF39" s="288">
        <f t="shared" si="38"/>
        <v>49421.643060479997</v>
      </c>
      <c r="AG39" s="259">
        <f>AF39*0.7</f>
        <v>34595.150142335995</v>
      </c>
      <c r="AH39" s="260">
        <f>AG39/3</f>
        <v>11531.716714111999</v>
      </c>
      <c r="AI39" s="260">
        <f>AH39/12</f>
        <v>960.97639284266654</v>
      </c>
    </row>
    <row r="40" spans="1:35" x14ac:dyDescent="0.4">
      <c r="A40" s="109" t="s">
        <v>360</v>
      </c>
      <c r="B40" s="613" t="s">
        <v>300</v>
      </c>
      <c r="C40" s="109" t="s">
        <v>240</v>
      </c>
      <c r="D40" s="338" t="s">
        <v>133</v>
      </c>
      <c r="E40" s="298">
        <v>1</v>
      </c>
      <c r="F40" s="377">
        <f>'Field Travel'!D16</f>
        <v>67</v>
      </c>
      <c r="G40" s="293">
        <f>E26+E33+'Field Travel'!L24</f>
        <v>39</v>
      </c>
      <c r="H40" s="284" t="s">
        <v>70</v>
      </c>
      <c r="I40" s="10">
        <f>E40*F40*G40</f>
        <v>2613</v>
      </c>
      <c r="J40" s="383">
        <f>F40*G40</f>
        <v>2613</v>
      </c>
      <c r="K40" s="10">
        <v>1</v>
      </c>
      <c r="L40" s="385">
        <f t="shared" si="39"/>
        <v>68.34</v>
      </c>
      <c r="M40" s="12">
        <f>K26+K33+'Field Travel'!L25</f>
        <v>44</v>
      </c>
      <c r="N40" s="11">
        <f>L40*M40</f>
        <v>3006.96</v>
      </c>
      <c r="O40" s="291">
        <f>L40*M40</f>
        <v>3006.96</v>
      </c>
      <c r="P40" s="11">
        <v>1</v>
      </c>
      <c r="Q40" s="385">
        <f t="shared" si="40"/>
        <v>69.706800000000001</v>
      </c>
      <c r="R40" s="12">
        <f>P26+P33+'Field Travel'!L26</f>
        <v>53</v>
      </c>
      <c r="S40" s="11">
        <f>Q40*R40</f>
        <v>3694.4603999999999</v>
      </c>
      <c r="T40" s="291">
        <f>Q40*R40</f>
        <v>3694.4603999999999</v>
      </c>
      <c r="U40" s="293">
        <v>1</v>
      </c>
      <c r="V40" s="385">
        <f t="shared" si="37"/>
        <v>71.100936000000004</v>
      </c>
      <c r="W40" s="12">
        <f>U26+U33+'Field Travel'!L27</f>
        <v>44</v>
      </c>
      <c r="X40" s="11">
        <f>V40*W40</f>
        <v>3128.4411840000002</v>
      </c>
      <c r="Y40" s="291">
        <f>V40*W40</f>
        <v>3128.4411840000002</v>
      </c>
      <c r="Z40" s="11">
        <v>1</v>
      </c>
      <c r="AA40" s="385">
        <f t="shared" ref="AA40" si="41">V40*1.02</f>
        <v>72.522954720000001</v>
      </c>
      <c r="AB40" s="12">
        <f>Z26+Z33+'Field Travel'!L28</f>
        <v>38</v>
      </c>
      <c r="AC40" s="11">
        <f>AA40*AB40</f>
        <v>2755.87227936</v>
      </c>
      <c r="AD40" s="291">
        <f>AA40*AB40</f>
        <v>2755.87227936</v>
      </c>
      <c r="AE40" s="195">
        <f>SUM(AD40,Y40,T40,O40,J40)</f>
        <v>15198.733863360001</v>
      </c>
      <c r="AF40" s="288">
        <f t="shared" si="38"/>
        <v>15198.733863360001</v>
      </c>
      <c r="AG40" s="259">
        <f>AF40*0.7</f>
        <v>10639.113704351999</v>
      </c>
      <c r="AH40" s="260">
        <f>AG40/3</f>
        <v>3546.3712347839996</v>
      </c>
      <c r="AI40" s="260">
        <f>AH40/12</f>
        <v>295.53093623199999</v>
      </c>
    </row>
    <row r="41" spans="1:35" x14ac:dyDescent="0.4">
      <c r="A41" s="109"/>
      <c r="B41" s="613"/>
      <c r="C41" s="109"/>
      <c r="D41" s="297"/>
      <c r="E41" s="298"/>
      <c r="F41" s="377"/>
      <c r="G41" s="11"/>
      <c r="H41" s="284"/>
      <c r="I41" s="10"/>
      <c r="J41" s="383"/>
      <c r="K41" s="10"/>
      <c r="L41" s="385"/>
      <c r="M41" s="12"/>
      <c r="N41" s="11"/>
      <c r="O41" s="291"/>
      <c r="P41" s="11"/>
      <c r="Q41" s="385"/>
      <c r="R41" s="12"/>
      <c r="S41" s="11"/>
      <c r="T41" s="291"/>
      <c r="U41" s="293"/>
      <c r="V41" s="385"/>
      <c r="W41" s="12"/>
      <c r="X41" s="11"/>
      <c r="Y41" s="291"/>
      <c r="Z41" s="11"/>
      <c r="AA41" s="385"/>
      <c r="AB41" s="12"/>
      <c r="AC41" s="11"/>
      <c r="AD41" s="291"/>
      <c r="AE41" s="195"/>
      <c r="AF41" s="291"/>
      <c r="AG41" s="259"/>
      <c r="AH41" s="260"/>
      <c r="AI41" s="260"/>
    </row>
    <row r="42" spans="1:35" x14ac:dyDescent="0.4">
      <c r="A42" s="372"/>
      <c r="B42" s="372"/>
      <c r="C42" s="622"/>
      <c r="D42" s="370" t="s">
        <v>16</v>
      </c>
      <c r="E42" s="375"/>
      <c r="F42" s="24"/>
      <c r="G42" s="24"/>
      <c r="H42" s="289"/>
      <c r="I42" s="290"/>
      <c r="J42" s="383"/>
      <c r="K42" s="290"/>
      <c r="L42" s="292"/>
      <c r="M42" s="336"/>
      <c r="N42" s="292"/>
      <c r="O42" s="195"/>
      <c r="P42" s="292"/>
      <c r="Q42" s="292"/>
      <c r="R42" s="336"/>
      <c r="S42" s="292"/>
      <c r="T42" s="195"/>
      <c r="U42" s="24"/>
      <c r="V42" s="292"/>
      <c r="W42" s="336"/>
      <c r="X42" s="292"/>
      <c r="Y42" s="195"/>
      <c r="Z42" s="292"/>
      <c r="AA42" s="292"/>
      <c r="AB42" s="336"/>
      <c r="AC42" s="292"/>
      <c r="AD42" s="195"/>
      <c r="AE42" s="287"/>
      <c r="AF42" s="288"/>
      <c r="AI42" s="260">
        <f>AH36/10</f>
        <v>189.70938044160002</v>
      </c>
    </row>
    <row r="43" spans="1:35" x14ac:dyDescent="0.4">
      <c r="A43" s="109" t="s">
        <v>354</v>
      </c>
      <c r="B43" s="613" t="s">
        <v>294</v>
      </c>
      <c r="C43" s="109" t="s">
        <v>240</v>
      </c>
      <c r="D43" s="373" t="s">
        <v>134</v>
      </c>
      <c r="E43" s="285">
        <v>1</v>
      </c>
      <c r="F43" s="11">
        <v>43000</v>
      </c>
      <c r="G43" s="4">
        <v>1</v>
      </c>
      <c r="H43" s="376" t="s">
        <v>40</v>
      </c>
      <c r="I43" s="10">
        <f>E43*F43*G43</f>
        <v>43000</v>
      </c>
      <c r="J43" s="339">
        <f>SUM(I43:I43)</f>
        <v>43000</v>
      </c>
      <c r="K43" s="11"/>
      <c r="L43" s="11"/>
      <c r="M43" s="12"/>
      <c r="N43" s="11">
        <f>M43*L43*K43</f>
        <v>0</v>
      </c>
      <c r="O43" s="195">
        <f>SUM(N43:N43)</f>
        <v>0</v>
      </c>
      <c r="P43" s="11"/>
      <c r="Q43" s="11"/>
      <c r="R43" s="12"/>
      <c r="S43" s="11">
        <f>R43*Q43*P43</f>
        <v>0</v>
      </c>
      <c r="T43" s="195">
        <f>SUM(S43:S43)</f>
        <v>0</v>
      </c>
      <c r="V43" s="11"/>
      <c r="W43" s="12"/>
      <c r="X43" s="11">
        <f>W43*V43*U43</f>
        <v>0</v>
      </c>
      <c r="Y43" s="195">
        <f>SUM(X43:X43)</f>
        <v>0</v>
      </c>
      <c r="Z43" s="11"/>
      <c r="AA43" s="11"/>
      <c r="AB43" s="12"/>
      <c r="AC43" s="11">
        <f>AB43*AA43*Z43</f>
        <v>0</v>
      </c>
      <c r="AD43" s="195">
        <f>SUM(AC43:AC43)</f>
        <v>0</v>
      </c>
      <c r="AE43" s="287">
        <f>I43+N43+S43+X43+AC43</f>
        <v>43000</v>
      </c>
      <c r="AF43" s="288">
        <f t="shared" ref="AF43" si="42">SUM(AE43:AE43)</f>
        <v>43000</v>
      </c>
    </row>
    <row r="44" spans="1:35" x14ac:dyDescent="0.4">
      <c r="A44" s="109"/>
      <c r="B44" s="109"/>
      <c r="C44" s="109"/>
      <c r="D44" s="372" t="s">
        <v>135</v>
      </c>
      <c r="E44" s="375"/>
      <c r="F44" s="24"/>
      <c r="G44" s="24"/>
      <c r="H44" s="289"/>
      <c r="I44" s="290">
        <f>SUM(I42:I43)</f>
        <v>43000</v>
      </c>
      <c r="J44" s="383">
        <f>SUM(J42:J43)</f>
        <v>43000</v>
      </c>
      <c r="K44" s="290"/>
      <c r="L44" s="292"/>
      <c r="M44" s="336"/>
      <c r="N44" s="292">
        <f>SUM(N42:N43)</f>
        <v>0</v>
      </c>
      <c r="O44" s="291">
        <f>SUM(O42:O43)</f>
        <v>0</v>
      </c>
      <c r="P44" s="292"/>
      <c r="Q44" s="292"/>
      <c r="R44" s="336"/>
      <c r="S44" s="292">
        <f>SUM(S42:S43)</f>
        <v>0</v>
      </c>
      <c r="T44" s="291">
        <f>SUM(T42:T43)</f>
        <v>0</v>
      </c>
      <c r="U44" s="24"/>
      <c r="V44" s="292"/>
      <c r="W44" s="336"/>
      <c r="X44" s="292">
        <f>SUM(X42:X43)</f>
        <v>0</v>
      </c>
      <c r="Y44" s="291">
        <f>SUM(Y42:Y43)</f>
        <v>0</v>
      </c>
      <c r="Z44" s="292"/>
      <c r="AA44" s="292"/>
      <c r="AB44" s="336"/>
      <c r="AC44" s="292">
        <f>SUM(AC42:AC43)</f>
        <v>0</v>
      </c>
      <c r="AD44" s="291">
        <f>SUM(AD42:AD43)</f>
        <v>0</v>
      </c>
      <c r="AE44" s="287">
        <f>I44+N44+S44+X44+AC44</f>
        <v>43000</v>
      </c>
      <c r="AF44" s="288">
        <f>SUM(AE44:AE44)</f>
        <v>43000</v>
      </c>
    </row>
    <row r="45" spans="1:35" x14ac:dyDescent="0.4">
      <c r="A45" s="109"/>
      <c r="B45" s="372"/>
      <c r="C45" s="622"/>
      <c r="D45" s="370"/>
      <c r="E45" s="285"/>
      <c r="H45" s="284"/>
      <c r="I45" s="10"/>
      <c r="J45" s="339"/>
      <c r="K45" s="10"/>
      <c r="L45" s="11"/>
      <c r="M45" s="12"/>
      <c r="N45" s="11"/>
      <c r="O45" s="195"/>
      <c r="P45" s="11"/>
      <c r="Q45" s="11"/>
      <c r="R45" s="12"/>
      <c r="S45" s="11"/>
      <c r="T45" s="195"/>
      <c r="V45" s="11"/>
      <c r="W45" s="12"/>
      <c r="X45" s="11"/>
      <c r="Y45" s="195"/>
      <c r="Z45" s="11"/>
      <c r="AA45" s="11"/>
      <c r="AB45" s="12"/>
      <c r="AC45" s="11"/>
      <c r="AD45" s="195"/>
      <c r="AE45" s="287"/>
      <c r="AF45" s="288"/>
    </row>
    <row r="46" spans="1:35" x14ac:dyDescent="0.4">
      <c r="A46" s="109"/>
      <c r="B46" s="372"/>
      <c r="C46" s="622"/>
      <c r="D46" s="370" t="s">
        <v>145</v>
      </c>
      <c r="E46" s="285"/>
      <c r="H46" s="284"/>
      <c r="I46" s="10"/>
      <c r="J46" s="339"/>
      <c r="K46" s="10"/>
      <c r="L46" s="11"/>
      <c r="M46" s="12"/>
      <c r="N46" s="11"/>
      <c r="O46" s="195"/>
      <c r="P46" s="11"/>
      <c r="Q46" s="11"/>
      <c r="R46" s="12"/>
      <c r="S46" s="11"/>
      <c r="T46" s="195"/>
      <c r="V46" s="11"/>
      <c r="W46" s="12"/>
      <c r="X46" s="11"/>
      <c r="Y46" s="195"/>
      <c r="Z46" s="11"/>
      <c r="AA46" s="11"/>
      <c r="AB46" s="12"/>
      <c r="AC46" s="11"/>
      <c r="AD46" s="195"/>
      <c r="AE46" s="287"/>
      <c r="AF46" s="288"/>
    </row>
    <row r="47" spans="1:35" x14ac:dyDescent="0.4">
      <c r="A47" s="109" t="s">
        <v>361</v>
      </c>
      <c r="B47" s="602" t="s">
        <v>299</v>
      </c>
      <c r="C47" s="109" t="s">
        <v>240</v>
      </c>
      <c r="D47" s="374" t="s">
        <v>137</v>
      </c>
      <c r="E47" s="285">
        <v>1</v>
      </c>
      <c r="F47" s="293">
        <f>'FO Expenses'!L5</f>
        <v>65</v>
      </c>
      <c r="G47" s="293">
        <v>11</v>
      </c>
      <c r="H47" s="294" t="s">
        <v>31</v>
      </c>
      <c r="I47" s="10">
        <f>G47*F47*E47</f>
        <v>715</v>
      </c>
      <c r="J47" s="339">
        <f t="shared" ref="J47:J52" si="43">SUM(I47:I47)</f>
        <v>715</v>
      </c>
      <c r="K47" s="10">
        <v>1</v>
      </c>
      <c r="L47" s="11">
        <f>F47*1.02</f>
        <v>66.3</v>
      </c>
      <c r="M47" s="12">
        <v>12</v>
      </c>
      <c r="N47" s="11">
        <f t="shared" ref="N47" si="44">M47*L47*K47</f>
        <v>795.59999999999991</v>
      </c>
      <c r="O47" s="195">
        <f t="shared" ref="O47:O52" si="45">SUM(N47:N47)</f>
        <v>795.59999999999991</v>
      </c>
      <c r="P47" s="11">
        <v>1</v>
      </c>
      <c r="Q47" s="11">
        <f>L47*1.02</f>
        <v>67.626000000000005</v>
      </c>
      <c r="R47" s="12">
        <v>12</v>
      </c>
      <c r="S47" s="11">
        <f>R47*Q47*P47</f>
        <v>811.51200000000006</v>
      </c>
      <c r="T47" s="295">
        <f t="shared" ref="T47:T52" si="46">SUM(S47:S47)</f>
        <v>811.51200000000006</v>
      </c>
      <c r="U47" s="293">
        <v>1</v>
      </c>
      <c r="V47" s="11">
        <f t="shared" ref="V47:V51" si="47">Q47*1.02</f>
        <v>68.978520000000003</v>
      </c>
      <c r="W47" s="12">
        <v>12</v>
      </c>
      <c r="X47" s="11">
        <f>W47*V47*U47</f>
        <v>827.74224000000004</v>
      </c>
      <c r="Y47" s="195">
        <f t="shared" ref="Y47:Y52" si="48">SUM(X47:X47)</f>
        <v>827.74224000000004</v>
      </c>
      <c r="Z47" s="11">
        <v>1</v>
      </c>
      <c r="AA47" s="11">
        <f>V47*1.02</f>
        <v>70.358090400000009</v>
      </c>
      <c r="AB47" s="12">
        <v>9</v>
      </c>
      <c r="AC47" s="11">
        <f>AB47*AA47*Z47</f>
        <v>633.22281360000011</v>
      </c>
      <c r="AD47" s="195">
        <f t="shared" ref="AD47:AD52" si="49">SUM(AC47:AC47)</f>
        <v>633.22281360000011</v>
      </c>
      <c r="AE47" s="358">
        <f t="shared" ref="AE47:AE51" si="50">I47+N47+S47+X47+AC47</f>
        <v>3783.0770536</v>
      </c>
      <c r="AF47" s="288">
        <f t="shared" ref="AF47:AF53" si="51">SUM(AE47:AE47)</f>
        <v>3783.0770536</v>
      </c>
    </row>
    <row r="48" spans="1:35" x14ac:dyDescent="0.4">
      <c r="A48" s="109" t="s">
        <v>362</v>
      </c>
      <c r="B48" s="602">
        <v>85105</v>
      </c>
      <c r="C48" s="109" t="s">
        <v>240</v>
      </c>
      <c r="D48" s="371" t="s">
        <v>138</v>
      </c>
      <c r="E48" s="285">
        <v>1</v>
      </c>
      <c r="F48" s="293">
        <f>'FO Expenses'!L6</f>
        <v>167</v>
      </c>
      <c r="G48" s="293">
        <v>11</v>
      </c>
      <c r="H48" s="294" t="s">
        <v>31</v>
      </c>
      <c r="I48" s="10">
        <f>G48*F48*E48</f>
        <v>1837</v>
      </c>
      <c r="J48" s="339">
        <f t="shared" si="43"/>
        <v>1837</v>
      </c>
      <c r="K48" s="10">
        <v>1</v>
      </c>
      <c r="L48" s="11">
        <f>F48*1.02</f>
        <v>170.34</v>
      </c>
      <c r="M48" s="12">
        <v>12</v>
      </c>
      <c r="N48" s="11">
        <f>M48*L48*K48</f>
        <v>2044.08</v>
      </c>
      <c r="O48" s="195">
        <f t="shared" si="45"/>
        <v>2044.08</v>
      </c>
      <c r="P48" s="11">
        <v>1</v>
      </c>
      <c r="Q48" s="11">
        <f>L48*1.02</f>
        <v>173.74680000000001</v>
      </c>
      <c r="R48" s="12">
        <v>12</v>
      </c>
      <c r="S48" s="11">
        <f>R48*Q48*P48</f>
        <v>2084.9616000000001</v>
      </c>
      <c r="T48" s="295">
        <f t="shared" si="46"/>
        <v>2084.9616000000001</v>
      </c>
      <c r="U48" s="293">
        <v>1</v>
      </c>
      <c r="V48" s="11">
        <f t="shared" si="47"/>
        <v>177.22173600000002</v>
      </c>
      <c r="W48" s="12">
        <v>12</v>
      </c>
      <c r="X48" s="11">
        <f>W48*V48*U48</f>
        <v>2126.6608320000005</v>
      </c>
      <c r="Y48" s="195">
        <f t="shared" si="48"/>
        <v>2126.6608320000005</v>
      </c>
      <c r="Z48" s="11">
        <v>1</v>
      </c>
      <c r="AA48" s="11">
        <f>V48*1.02</f>
        <v>180.76617072000002</v>
      </c>
      <c r="AB48" s="12">
        <v>9</v>
      </c>
      <c r="AC48" s="11">
        <f>AB48*AA48*Z48</f>
        <v>1626.8955364800001</v>
      </c>
      <c r="AD48" s="195">
        <f t="shared" si="49"/>
        <v>1626.8955364800001</v>
      </c>
      <c r="AE48" s="287">
        <f t="shared" si="50"/>
        <v>9719.5979684800004</v>
      </c>
      <c r="AF48" s="288">
        <f t="shared" si="51"/>
        <v>9719.5979684800004</v>
      </c>
    </row>
    <row r="49" spans="1:32" x14ac:dyDescent="0.4">
      <c r="A49" s="109" t="s">
        <v>363</v>
      </c>
      <c r="B49" s="602" t="s">
        <v>301</v>
      </c>
      <c r="C49" s="109" t="s">
        <v>240</v>
      </c>
      <c r="D49" s="371" t="s">
        <v>139</v>
      </c>
      <c r="E49" s="285">
        <v>1</v>
      </c>
      <c r="F49" s="293">
        <f>'FO Expenses'!L7</f>
        <v>71</v>
      </c>
      <c r="G49" s="293">
        <v>11</v>
      </c>
      <c r="H49" s="294" t="s">
        <v>31</v>
      </c>
      <c r="I49" s="10">
        <f>G49*F49*E49</f>
        <v>781</v>
      </c>
      <c r="J49" s="339">
        <f t="shared" si="43"/>
        <v>781</v>
      </c>
      <c r="K49" s="10">
        <v>1</v>
      </c>
      <c r="L49" s="11">
        <f>F49*1.02</f>
        <v>72.42</v>
      </c>
      <c r="M49" s="12">
        <v>12</v>
      </c>
      <c r="N49" s="11">
        <f>M49*L49*K49</f>
        <v>869.04</v>
      </c>
      <c r="O49" s="195">
        <f t="shared" si="45"/>
        <v>869.04</v>
      </c>
      <c r="P49" s="11">
        <v>1</v>
      </c>
      <c r="Q49" s="11">
        <f t="shared" ref="Q49:Q51" si="52">L49*1.02</f>
        <v>73.868400000000008</v>
      </c>
      <c r="R49" s="12">
        <v>12</v>
      </c>
      <c r="S49" s="11">
        <f>R49*Q49*P49</f>
        <v>886.4208000000001</v>
      </c>
      <c r="T49" s="295">
        <f t="shared" si="46"/>
        <v>886.4208000000001</v>
      </c>
      <c r="U49" s="293">
        <v>1</v>
      </c>
      <c r="V49" s="11">
        <f t="shared" si="47"/>
        <v>75.345768000000007</v>
      </c>
      <c r="W49" s="12">
        <v>12</v>
      </c>
      <c r="X49" s="11">
        <f>W49*V49*U49</f>
        <v>904.14921600000002</v>
      </c>
      <c r="Y49" s="195">
        <f t="shared" si="48"/>
        <v>904.14921600000002</v>
      </c>
      <c r="Z49" s="11">
        <v>1</v>
      </c>
      <c r="AA49" s="11">
        <f t="shared" ref="AA49:AA51" si="53">V49*1.02</f>
        <v>76.852683360000015</v>
      </c>
      <c r="AB49" s="12">
        <v>9</v>
      </c>
      <c r="AC49" s="11">
        <f>AB49*AA49*Z49</f>
        <v>691.67415024000013</v>
      </c>
      <c r="AD49" s="195">
        <f t="shared" si="49"/>
        <v>691.67415024000013</v>
      </c>
      <c r="AE49" s="287">
        <f>I49+N49+S49+X49+AC49</f>
        <v>4132.2841662399996</v>
      </c>
      <c r="AF49" s="288">
        <f t="shared" si="51"/>
        <v>4132.2841662399996</v>
      </c>
    </row>
    <row r="50" spans="1:32" x14ac:dyDescent="0.4">
      <c r="A50" s="109" t="s">
        <v>364</v>
      </c>
      <c r="B50" s="602" t="s">
        <v>302</v>
      </c>
      <c r="C50" s="109" t="s">
        <v>240</v>
      </c>
      <c r="D50" s="371" t="s">
        <v>140</v>
      </c>
      <c r="E50" s="285">
        <v>1</v>
      </c>
      <c r="F50" s="293">
        <f>'FO Expenses'!L9</f>
        <v>100</v>
      </c>
      <c r="G50" s="293">
        <v>11</v>
      </c>
      <c r="H50" s="294" t="s">
        <v>31</v>
      </c>
      <c r="I50" s="10">
        <f>G50*F50*E50</f>
        <v>1100</v>
      </c>
      <c r="J50" s="339">
        <f t="shared" si="43"/>
        <v>1100</v>
      </c>
      <c r="K50" s="10">
        <v>1</v>
      </c>
      <c r="L50" s="11">
        <f>F50*1.02</f>
        <v>102</v>
      </c>
      <c r="M50" s="12">
        <v>12</v>
      </c>
      <c r="N50" s="11">
        <f t="shared" ref="N50:N51" si="54">M50*L50*K50</f>
        <v>1224</v>
      </c>
      <c r="O50" s="195">
        <f t="shared" si="45"/>
        <v>1224</v>
      </c>
      <c r="P50" s="11">
        <v>1</v>
      </c>
      <c r="Q50" s="11">
        <f t="shared" si="52"/>
        <v>104.04</v>
      </c>
      <c r="R50" s="12">
        <v>12</v>
      </c>
      <c r="S50" s="11">
        <f t="shared" ref="S50:S51" si="55">R50*Q50*P50</f>
        <v>1248.48</v>
      </c>
      <c r="T50" s="295">
        <f t="shared" si="46"/>
        <v>1248.48</v>
      </c>
      <c r="U50" s="293">
        <v>1</v>
      </c>
      <c r="V50" s="11">
        <f t="shared" si="47"/>
        <v>106.1208</v>
      </c>
      <c r="W50" s="12">
        <v>12</v>
      </c>
      <c r="X50" s="11">
        <f t="shared" ref="X50:X51" si="56">W50*V50*U50</f>
        <v>1273.4495999999999</v>
      </c>
      <c r="Y50" s="195">
        <f t="shared" si="48"/>
        <v>1273.4495999999999</v>
      </c>
      <c r="Z50" s="11">
        <v>1</v>
      </c>
      <c r="AA50" s="11">
        <f t="shared" si="53"/>
        <v>108.243216</v>
      </c>
      <c r="AB50" s="12">
        <v>9</v>
      </c>
      <c r="AC50" s="11">
        <f t="shared" ref="AC50:AC51" si="57">AB50*AA50*Z50</f>
        <v>974.18894399999999</v>
      </c>
      <c r="AD50" s="195">
        <f t="shared" si="49"/>
        <v>974.18894399999999</v>
      </c>
      <c r="AE50" s="287">
        <f t="shared" si="50"/>
        <v>5820.118543999999</v>
      </c>
      <c r="AF50" s="288">
        <f t="shared" si="51"/>
        <v>5820.118543999999</v>
      </c>
    </row>
    <row r="51" spans="1:32" x14ac:dyDescent="0.4">
      <c r="A51" s="109" t="s">
        <v>365</v>
      </c>
      <c r="B51" s="602" t="s">
        <v>303</v>
      </c>
      <c r="C51" s="109" t="s">
        <v>240</v>
      </c>
      <c r="D51" s="371" t="s">
        <v>141</v>
      </c>
      <c r="E51" s="285">
        <v>1</v>
      </c>
      <c r="F51" s="293">
        <f>'FO Expenses'!G5</f>
        <v>850</v>
      </c>
      <c r="G51" s="293">
        <v>11</v>
      </c>
      <c r="H51" s="294" t="s">
        <v>31</v>
      </c>
      <c r="I51" s="10">
        <f t="shared" ref="I51" si="58">G51*F51*E51</f>
        <v>9350</v>
      </c>
      <c r="J51" s="339">
        <f t="shared" si="43"/>
        <v>9350</v>
      </c>
      <c r="K51" s="10">
        <v>1</v>
      </c>
      <c r="L51" s="11">
        <f t="shared" ref="L51" si="59">F51*1.02</f>
        <v>867</v>
      </c>
      <c r="M51" s="12">
        <v>12</v>
      </c>
      <c r="N51" s="11">
        <f t="shared" si="54"/>
        <v>10404</v>
      </c>
      <c r="O51" s="195">
        <f t="shared" si="45"/>
        <v>10404</v>
      </c>
      <c r="P51" s="11">
        <v>1</v>
      </c>
      <c r="Q51" s="11">
        <f t="shared" si="52"/>
        <v>884.34</v>
      </c>
      <c r="R51" s="12">
        <v>12</v>
      </c>
      <c r="S51" s="11">
        <f t="shared" si="55"/>
        <v>10612.08</v>
      </c>
      <c r="T51" s="295">
        <f t="shared" si="46"/>
        <v>10612.08</v>
      </c>
      <c r="U51" s="293">
        <v>1</v>
      </c>
      <c r="V51" s="11">
        <f t="shared" si="47"/>
        <v>902.02680000000009</v>
      </c>
      <c r="W51" s="12">
        <v>12</v>
      </c>
      <c r="X51" s="11">
        <f t="shared" si="56"/>
        <v>10824.321600000001</v>
      </c>
      <c r="Y51" s="195">
        <f t="shared" si="48"/>
        <v>10824.321600000001</v>
      </c>
      <c r="Z51" s="11">
        <v>1</v>
      </c>
      <c r="AA51" s="11">
        <f t="shared" si="53"/>
        <v>920.06733600000007</v>
      </c>
      <c r="AB51" s="12">
        <v>6</v>
      </c>
      <c r="AC51" s="11">
        <f t="shared" si="57"/>
        <v>5520.4040160000004</v>
      </c>
      <c r="AD51" s="195">
        <f t="shared" si="49"/>
        <v>5520.4040160000004</v>
      </c>
      <c r="AE51" s="287">
        <f t="shared" si="50"/>
        <v>46710.805616000005</v>
      </c>
      <c r="AF51" s="288">
        <f t="shared" si="51"/>
        <v>46710.805616000005</v>
      </c>
    </row>
    <row r="52" spans="1:32" x14ac:dyDescent="0.4">
      <c r="A52" s="109" t="s">
        <v>366</v>
      </c>
      <c r="B52" s="602" t="s">
        <v>304</v>
      </c>
      <c r="C52" s="109" t="s">
        <v>240</v>
      </c>
      <c r="D52" s="371" t="s">
        <v>142</v>
      </c>
      <c r="E52" s="285">
        <v>1</v>
      </c>
      <c r="F52" s="293">
        <f>'FO Expenses'!L8</f>
        <v>160.41666666666666</v>
      </c>
      <c r="G52" s="293">
        <v>11</v>
      </c>
      <c r="H52" s="294" t="s">
        <v>31</v>
      </c>
      <c r="I52" s="10">
        <f t="shared" ref="I52" si="60">G52*F52*E52</f>
        <v>1764.5833333333333</v>
      </c>
      <c r="J52" s="339">
        <f t="shared" si="43"/>
        <v>1764.5833333333333</v>
      </c>
      <c r="K52" s="10">
        <v>1</v>
      </c>
      <c r="L52" s="11">
        <f t="shared" ref="L52" si="61">F52*1.02</f>
        <v>163.625</v>
      </c>
      <c r="M52" s="12">
        <v>12</v>
      </c>
      <c r="N52" s="11">
        <f t="shared" ref="N52" si="62">M52*L52*K52</f>
        <v>1963.5</v>
      </c>
      <c r="O52" s="195">
        <f t="shared" si="45"/>
        <v>1963.5</v>
      </c>
      <c r="P52" s="11">
        <v>1</v>
      </c>
      <c r="Q52" s="11">
        <f t="shared" ref="Q52" si="63">L52*1.02</f>
        <v>166.89750000000001</v>
      </c>
      <c r="R52" s="12">
        <v>12</v>
      </c>
      <c r="S52" s="11">
        <f t="shared" ref="S52" si="64">R52*Q52*P52</f>
        <v>2002.77</v>
      </c>
      <c r="T52" s="295">
        <f t="shared" si="46"/>
        <v>2002.77</v>
      </c>
      <c r="U52" s="293">
        <v>1</v>
      </c>
      <c r="V52" s="11">
        <f t="shared" ref="V52" si="65">Q52*1.02</f>
        <v>170.23545000000001</v>
      </c>
      <c r="W52" s="12">
        <v>12</v>
      </c>
      <c r="X52" s="11">
        <f t="shared" ref="X52" si="66">W52*V52*U52</f>
        <v>2042.8254000000002</v>
      </c>
      <c r="Y52" s="195">
        <f t="shared" si="48"/>
        <v>2042.8254000000002</v>
      </c>
      <c r="Z52" s="11">
        <v>1</v>
      </c>
      <c r="AA52" s="11">
        <f t="shared" ref="AA52" si="67">V52*1.02</f>
        <v>173.64015900000001</v>
      </c>
      <c r="AB52" s="12">
        <v>9</v>
      </c>
      <c r="AC52" s="11">
        <f t="shared" ref="AC52" si="68">AB52*AA52*Z52</f>
        <v>1562.7614310000001</v>
      </c>
      <c r="AD52" s="195">
        <f t="shared" si="49"/>
        <v>1562.7614310000001</v>
      </c>
      <c r="AE52" s="287">
        <f t="shared" ref="AE52" si="69">I52+N52+S52+X52+AC52</f>
        <v>9336.4401643333331</v>
      </c>
      <c r="AF52" s="288">
        <f t="shared" si="51"/>
        <v>9336.4401643333331</v>
      </c>
    </row>
    <row r="53" spans="1:32" ht="12.75" customHeight="1" x14ac:dyDescent="0.4">
      <c r="A53" s="109"/>
      <c r="B53" s="613"/>
      <c r="C53" s="622"/>
      <c r="D53" s="372" t="s">
        <v>143</v>
      </c>
      <c r="E53" s="375"/>
      <c r="F53" s="337"/>
      <c r="G53" s="337"/>
      <c r="H53" s="299"/>
      <c r="I53" s="292">
        <f>SUM(I47:I52)</f>
        <v>15547.583333333334</v>
      </c>
      <c r="J53" s="383">
        <f>SUM(J47:J52)</f>
        <v>15547.583333333334</v>
      </c>
      <c r="K53" s="290"/>
      <c r="L53" s="292"/>
      <c r="M53" s="336"/>
      <c r="N53" s="292">
        <f>SUM(N47:N52)</f>
        <v>17300.22</v>
      </c>
      <c r="O53" s="383">
        <f>SUM(O47:O52)</f>
        <v>17300.22</v>
      </c>
      <c r="P53" s="292"/>
      <c r="Q53" s="292"/>
      <c r="R53" s="336"/>
      <c r="S53" s="292">
        <f>SUM(S47:S52)</f>
        <v>17646.224399999999</v>
      </c>
      <c r="T53" s="383">
        <f>SUM(T47:T52)</f>
        <v>17646.224399999999</v>
      </c>
      <c r="U53" s="337"/>
      <c r="V53" s="292"/>
      <c r="W53" s="336"/>
      <c r="X53" s="292">
        <f>SUM(X47:X52)</f>
        <v>17999.148888000003</v>
      </c>
      <c r="Y53" s="383">
        <f>SUM(Y47:Y52)</f>
        <v>17999.148888000003</v>
      </c>
      <c r="Z53" s="292"/>
      <c r="AA53" s="292"/>
      <c r="AB53" s="336"/>
      <c r="AC53" s="292">
        <f>SUM(AC47:AC52)</f>
        <v>11009.146891320002</v>
      </c>
      <c r="AD53" s="383">
        <f>SUM(AD47:AD52)</f>
        <v>11009.146891320002</v>
      </c>
      <c r="AE53" s="287">
        <f>I53+N53+S53+X53+AC53</f>
        <v>79502.323512653355</v>
      </c>
      <c r="AF53" s="288">
        <f t="shared" si="51"/>
        <v>79502.323512653355</v>
      </c>
    </row>
    <row r="54" spans="1:32" ht="12.6" thickBot="1" x14ac:dyDescent="0.45">
      <c r="A54" s="109"/>
      <c r="B54" s="613"/>
      <c r="C54" s="624"/>
      <c r="D54" s="374"/>
      <c r="E54" s="285"/>
      <c r="H54" s="284"/>
      <c r="I54" s="10"/>
      <c r="J54" s="384"/>
      <c r="K54" s="285"/>
      <c r="M54" s="284"/>
      <c r="N54" s="11"/>
      <c r="O54" s="195"/>
      <c r="R54" s="284"/>
      <c r="S54" s="11"/>
      <c r="T54" s="195"/>
      <c r="V54" s="11"/>
      <c r="W54" s="12"/>
      <c r="X54" s="11"/>
      <c r="Y54" s="339"/>
      <c r="Z54" s="10"/>
      <c r="AA54" s="11"/>
      <c r="AB54" s="12"/>
      <c r="AC54" s="11"/>
      <c r="AD54" s="195"/>
      <c r="AE54" s="287"/>
      <c r="AF54" s="288"/>
    </row>
    <row r="55" spans="1:32" ht="12.6" thickBot="1" x14ac:dyDescent="0.45">
      <c r="A55" s="378"/>
      <c r="B55" s="378"/>
      <c r="C55" s="378"/>
      <c r="D55" s="378" t="s">
        <v>8</v>
      </c>
      <c r="E55" s="379"/>
      <c r="F55" s="300"/>
      <c r="G55" s="300"/>
      <c r="H55" s="380"/>
      <c r="I55" s="359">
        <f>I53+I16+I19+I44+I14+I30</f>
        <v>176481.48333333334</v>
      </c>
      <c r="J55" s="303">
        <f>J53+J16+J19+J44+J14+J30</f>
        <v>176481.48333333334</v>
      </c>
      <c r="K55" s="379"/>
      <c r="L55" s="300"/>
      <c r="M55" s="301"/>
      <c r="N55" s="302">
        <f>N53+N16+N19+N44+N14+N30</f>
        <v>151935.552</v>
      </c>
      <c r="O55" s="303">
        <f>O53+O16+O19+O44+O14+O30</f>
        <v>151935.552</v>
      </c>
      <c r="P55" s="300"/>
      <c r="Q55" s="300"/>
      <c r="R55" s="301"/>
      <c r="S55" s="302">
        <f>S53+S16+S19+S44+S14+S30</f>
        <v>156292.79076</v>
      </c>
      <c r="T55" s="303">
        <f>T53+T16+T19+T44+T14+T30</f>
        <v>156292.79076</v>
      </c>
      <c r="U55" s="300"/>
      <c r="V55" s="359"/>
      <c r="W55" s="360"/>
      <c r="X55" s="302">
        <f>X53+X16+X19+X44+X14+X30</f>
        <v>160776.73012680002</v>
      </c>
      <c r="Y55" s="303">
        <f>Y53+Y16+Y19+Y44+Y14+Y30</f>
        <v>160776.73012680002</v>
      </c>
      <c r="Z55" s="359"/>
      <c r="AA55" s="359"/>
      <c r="AB55" s="360"/>
      <c r="AC55" s="302">
        <f>AC53+AC16+AC19+AC44+AC14+AC30</f>
        <v>114990.36585705902</v>
      </c>
      <c r="AD55" s="303">
        <f>AD53+AD16+AD19+AD44+AD14+AD30</f>
        <v>114990.36585705902</v>
      </c>
      <c r="AE55" s="304">
        <f>AE53+AE16+AE19+AE44+AE14+AE30</f>
        <v>760476.92207719234</v>
      </c>
      <c r="AF55" s="305">
        <f>AF53+AF16+AF19+AF44+AF14+AF30</f>
        <v>760476.92207719234</v>
      </c>
    </row>
    <row r="56" spans="1:32" x14ac:dyDescent="0.4">
      <c r="A56" s="306"/>
      <c r="B56" s="306"/>
      <c r="C56" s="306"/>
      <c r="D56" s="306"/>
    </row>
    <row r="58" spans="1:32" x14ac:dyDescent="0.4">
      <c r="F58" s="4">
        <v>900</v>
      </c>
    </row>
    <row r="61" spans="1:32" x14ac:dyDescent="0.4">
      <c r="O61" s="11">
        <f>SUM(AE55+'Dominican Republic'!AD55+Guyana!AD54+Jamaica!AD54)</f>
        <v>1055610.6017572202</v>
      </c>
    </row>
    <row r="62" spans="1:32" x14ac:dyDescent="0.4">
      <c r="A62" s="234"/>
      <c r="B62" s="234"/>
      <c r="C62" s="234"/>
      <c r="D62" s="234"/>
      <c r="F62" s="307"/>
      <c r="G62" s="307"/>
      <c r="H62" s="307"/>
      <c r="L62" s="307"/>
      <c r="M62" s="307"/>
      <c r="Q62" s="307"/>
      <c r="R62" s="307"/>
      <c r="V62" s="307"/>
      <c r="W62" s="307"/>
      <c r="AA62" s="307"/>
      <c r="AB62" s="307"/>
    </row>
    <row r="63" spans="1:32" x14ac:dyDescent="0.4">
      <c r="A63" s="234"/>
      <c r="B63" s="234"/>
      <c r="C63" s="234"/>
      <c r="D63" s="234"/>
      <c r="F63" s="307"/>
      <c r="G63" s="307"/>
      <c r="H63" s="307"/>
      <c r="L63" s="307"/>
      <c r="M63" s="307"/>
      <c r="Q63" s="307"/>
      <c r="R63" s="307"/>
      <c r="V63" s="307"/>
      <c r="W63" s="307"/>
      <c r="AA63" s="307"/>
      <c r="AB63" s="307"/>
    </row>
    <row r="64" spans="1:32" x14ac:dyDescent="0.4">
      <c r="A64" s="234"/>
      <c r="B64" s="234"/>
      <c r="C64" s="234"/>
      <c r="D64" s="234"/>
      <c r="F64" s="307"/>
      <c r="G64" s="307"/>
      <c r="H64" s="307"/>
      <c r="L64" s="307"/>
      <c r="M64" s="307"/>
      <c r="Q64" s="307"/>
      <c r="R64" s="307"/>
      <c r="V64" s="307"/>
      <c r="W64" s="307"/>
      <c r="AA64" s="307"/>
      <c r="AB64" s="307"/>
    </row>
    <row r="65" spans="1:28" x14ac:dyDescent="0.4">
      <c r="A65" s="234"/>
      <c r="B65" s="234"/>
      <c r="C65" s="234"/>
      <c r="D65" s="234"/>
      <c r="F65" s="307"/>
      <c r="G65" s="307"/>
      <c r="H65" s="307"/>
      <c r="L65" s="307"/>
      <c r="M65" s="307"/>
      <c r="Q65" s="307"/>
      <c r="R65" s="307"/>
      <c r="V65" s="307"/>
      <c r="W65" s="307"/>
      <c r="AA65" s="307"/>
      <c r="AB65" s="307"/>
    </row>
    <row r="66" spans="1:28" x14ac:dyDescent="0.4">
      <c r="A66" s="234"/>
      <c r="B66" s="234"/>
      <c r="C66" s="234"/>
      <c r="D66" s="234"/>
      <c r="F66" s="307"/>
      <c r="G66" s="307"/>
      <c r="H66" s="307"/>
      <c r="L66" s="307"/>
      <c r="M66" s="307"/>
      <c r="Q66" s="307"/>
      <c r="R66" s="307"/>
      <c r="V66" s="307"/>
      <c r="W66" s="307"/>
      <c r="AA66" s="307"/>
      <c r="AB66" s="307"/>
    </row>
    <row r="67" spans="1:28" x14ac:dyDescent="0.4">
      <c r="A67" s="234"/>
      <c r="B67" s="234"/>
      <c r="C67" s="234"/>
      <c r="D67" s="234"/>
      <c r="F67" s="307"/>
      <c r="G67" s="307"/>
      <c r="H67" s="307"/>
      <c r="L67" s="307"/>
      <c r="M67" s="307"/>
      <c r="Q67" s="307"/>
      <c r="R67" s="307"/>
      <c r="V67" s="307"/>
      <c r="W67" s="307"/>
      <c r="AA67" s="307"/>
      <c r="AB67" s="307"/>
    </row>
    <row r="68" spans="1:28" x14ac:dyDescent="0.4">
      <c r="A68" s="234"/>
      <c r="B68" s="234"/>
      <c r="C68" s="234"/>
      <c r="D68" s="234"/>
      <c r="F68" s="307"/>
      <c r="G68" s="307"/>
      <c r="H68" s="307"/>
      <c r="L68" s="307"/>
      <c r="M68" s="307"/>
      <c r="Q68" s="307"/>
      <c r="R68" s="307"/>
      <c r="V68" s="307"/>
      <c r="W68" s="307"/>
      <c r="AA68" s="307"/>
      <c r="AB68" s="307"/>
    </row>
    <row r="69" spans="1:28" x14ac:dyDescent="0.4">
      <c r="A69" s="234"/>
      <c r="B69" s="234"/>
      <c r="C69" s="234"/>
      <c r="D69" s="234"/>
      <c r="F69" s="307"/>
      <c r="G69" s="307"/>
      <c r="H69" s="307"/>
      <c r="L69" s="307"/>
      <c r="M69" s="307"/>
      <c r="Q69" s="307"/>
      <c r="R69" s="307"/>
      <c r="V69" s="307"/>
      <c r="W69" s="307"/>
      <c r="AA69" s="307"/>
      <c r="AB69" s="307"/>
    </row>
    <row r="70" spans="1:28" x14ac:dyDescent="0.4">
      <c r="A70" s="234"/>
      <c r="B70" s="234"/>
      <c r="C70" s="234"/>
      <c r="D70" s="234"/>
      <c r="F70" s="307"/>
      <c r="G70" s="307"/>
      <c r="H70" s="307"/>
      <c r="L70" s="307"/>
      <c r="M70" s="307"/>
      <c r="Q70" s="307"/>
      <c r="R70" s="307"/>
      <c r="V70" s="307"/>
      <c r="W70" s="307"/>
      <c r="AA70" s="307"/>
      <c r="AB70" s="307"/>
    </row>
    <row r="71" spans="1:28" x14ac:dyDescent="0.4">
      <c r="A71" s="234"/>
      <c r="B71" s="234"/>
      <c r="C71" s="234"/>
      <c r="D71" s="234"/>
      <c r="F71" s="307"/>
      <c r="G71" s="307"/>
      <c r="H71" s="307"/>
      <c r="L71" s="307"/>
      <c r="M71" s="307"/>
      <c r="Q71" s="307"/>
      <c r="R71" s="307"/>
      <c r="V71" s="307"/>
      <c r="W71" s="307"/>
      <c r="AA71" s="307"/>
      <c r="AB71" s="307"/>
    </row>
    <row r="72" spans="1:28" x14ac:dyDescent="0.4">
      <c r="A72" s="234"/>
      <c r="B72" s="234"/>
      <c r="C72" s="234"/>
      <c r="D72" s="234"/>
      <c r="F72" s="308"/>
      <c r="G72" s="308"/>
      <c r="H72" s="308"/>
      <c r="L72" s="308"/>
      <c r="M72" s="308"/>
      <c r="Q72" s="308"/>
      <c r="R72" s="308"/>
      <c r="V72" s="308"/>
      <c r="W72" s="308"/>
      <c r="AA72" s="308"/>
      <c r="AB72" s="308"/>
    </row>
  </sheetData>
  <mergeCells count="9">
    <mergeCell ref="A4:A5"/>
    <mergeCell ref="B4:B5"/>
    <mergeCell ref="C4:C5"/>
    <mergeCell ref="Z4:AD4"/>
    <mergeCell ref="D1:Q1"/>
    <mergeCell ref="D2:U2"/>
    <mergeCell ref="K4:O4"/>
    <mergeCell ref="P4:T4"/>
    <mergeCell ref="U4:Y4"/>
  </mergeCells>
  <pageMargins left="0.7" right="0.7" top="0.75" bottom="0.75" header="0.3" footer="0.3"/>
  <pageSetup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2F34B-9B0F-43EC-9A95-03AA9DDD87C8}">
  <dimension ref="A1:AI72"/>
  <sheetViews>
    <sheetView tabSelected="1" workbookViewId="0">
      <pane xSplit="4" ySplit="2" topLeftCell="AE31" activePane="bottomRight" state="frozen"/>
      <selection pane="topRight" activeCell="E1" sqref="E1"/>
      <selection pane="bottomLeft" activeCell="A3" sqref="A3"/>
      <selection pane="bottomRight" activeCell="A48" sqref="A48"/>
    </sheetView>
  </sheetViews>
  <sheetFormatPr defaultColWidth="9.1640625" defaultRowHeight="12.3" x14ac:dyDescent="0.4"/>
  <cols>
    <col min="1" max="1" width="15.94140625" style="4" bestFit="1" customWidth="1"/>
    <col min="2" max="3" width="13.33203125" style="4" customWidth="1"/>
    <col min="4" max="4" width="28.27734375" style="4" bestFit="1" customWidth="1"/>
    <col min="5" max="5" width="6.44140625" style="4" bestFit="1" customWidth="1"/>
    <col min="6" max="6" width="9.44140625" style="4" bestFit="1" customWidth="1"/>
    <col min="7" max="7" width="6.1640625" style="4" bestFit="1" customWidth="1"/>
    <col min="8" max="8" width="7.44140625" style="4" bestFit="1" customWidth="1"/>
    <col min="9" max="9" width="8.44140625" style="4" bestFit="1" customWidth="1"/>
    <col min="10" max="10" width="7.5546875" style="4" bestFit="1" customWidth="1"/>
    <col min="11" max="11" width="6.44140625" style="4" bestFit="1" customWidth="1"/>
    <col min="12" max="12" width="9.44140625" style="4" bestFit="1" customWidth="1"/>
    <col min="13" max="13" width="6.1640625" style="4" bestFit="1" customWidth="1"/>
    <col min="14" max="14" width="8.44140625" style="4" bestFit="1" customWidth="1"/>
    <col min="15" max="15" width="7.44140625" style="4" customWidth="1"/>
    <col min="16" max="16" width="6.44140625" style="4" bestFit="1" customWidth="1"/>
    <col min="17" max="17" width="9.5546875" style="4" customWidth="1"/>
    <col min="18" max="18" width="8.44140625" style="4" bestFit="1" customWidth="1"/>
    <col min="19" max="20" width="10.44140625" style="4" bestFit="1" customWidth="1"/>
    <col min="21" max="21" width="7.44140625" style="4" bestFit="1" customWidth="1"/>
    <col min="22" max="22" width="7.5546875" style="4" customWidth="1"/>
    <col min="23" max="23" width="8.44140625" style="4" bestFit="1" customWidth="1"/>
    <col min="24" max="25" width="10.44140625" style="4" bestFit="1" customWidth="1"/>
    <col min="26" max="26" width="7.44140625" style="4" bestFit="1" customWidth="1"/>
    <col min="27" max="27" width="8.44140625" style="4" customWidth="1"/>
    <col min="28" max="28" width="8.44140625" style="4" bestFit="1" customWidth="1"/>
    <col min="29" max="30" width="10.44140625" style="4" bestFit="1" customWidth="1"/>
    <col min="31" max="32" width="9.1640625" style="4"/>
    <col min="33" max="33" width="12.5546875" style="4" hidden="1" customWidth="1"/>
    <col min="34" max="34" width="11.5546875" style="4" hidden="1" customWidth="1"/>
    <col min="35" max="35" width="10.5546875" style="4" hidden="1" customWidth="1"/>
    <col min="36" max="16384" width="9.1640625" style="4"/>
  </cols>
  <sheetData>
    <row r="1" spans="1:35" ht="14.1" x14ac:dyDescent="0.5">
      <c r="A1" s="583" t="s">
        <v>267</v>
      </c>
      <c r="B1" s="586" t="s">
        <v>268</v>
      </c>
      <c r="D1" s="642" t="s">
        <v>0</v>
      </c>
      <c r="E1" s="642"/>
      <c r="F1" s="642"/>
      <c r="G1" s="642"/>
      <c r="H1" s="642"/>
      <c r="I1" s="642"/>
      <c r="J1" s="642"/>
      <c r="K1" s="642"/>
      <c r="L1" s="642"/>
      <c r="M1" s="642"/>
      <c r="N1" s="642"/>
      <c r="O1" s="642"/>
      <c r="P1" s="642"/>
      <c r="Q1" s="642"/>
      <c r="R1" s="39"/>
      <c r="S1" s="39"/>
      <c r="T1" s="39"/>
      <c r="U1" s="39"/>
    </row>
    <row r="2" spans="1:35" ht="14.1" customHeight="1" x14ac:dyDescent="0.45">
      <c r="A2" s="584" t="s">
        <v>269</v>
      </c>
      <c r="B2" s="587">
        <v>30100</v>
      </c>
      <c r="D2" s="643" t="s">
        <v>1</v>
      </c>
      <c r="E2" s="643"/>
      <c r="F2" s="643"/>
      <c r="G2" s="643"/>
      <c r="H2" s="643"/>
      <c r="I2" s="643"/>
      <c r="J2" s="643"/>
      <c r="K2" s="643"/>
      <c r="L2" s="643"/>
      <c r="M2" s="643"/>
      <c r="N2" s="643"/>
      <c r="O2" s="643"/>
      <c r="P2" s="643"/>
      <c r="Q2" s="643"/>
      <c r="R2" s="643"/>
      <c r="S2" s="643"/>
      <c r="T2" s="643"/>
      <c r="U2" s="643"/>
    </row>
    <row r="3" spans="1:35" ht="14.4" thickBot="1" x14ac:dyDescent="0.45">
      <c r="A3" s="585" t="s">
        <v>270</v>
      </c>
      <c r="B3" s="588" t="s">
        <v>271</v>
      </c>
    </row>
    <row r="4" spans="1:35" ht="12.6" thickBot="1" x14ac:dyDescent="0.45">
      <c r="A4" s="638" t="s">
        <v>266</v>
      </c>
      <c r="B4" s="636" t="s">
        <v>265</v>
      </c>
      <c r="C4" s="638" t="s">
        <v>264</v>
      </c>
      <c r="D4" s="263" t="s">
        <v>43</v>
      </c>
      <c r="E4" s="264"/>
      <c r="F4" s="265"/>
      <c r="G4" s="265"/>
      <c r="H4" s="266"/>
      <c r="I4" s="267" t="s">
        <v>3</v>
      </c>
      <c r="J4" s="268"/>
      <c r="K4" s="644" t="s">
        <v>4</v>
      </c>
      <c r="L4" s="641"/>
      <c r="M4" s="641"/>
      <c r="N4" s="641"/>
      <c r="O4" s="641"/>
      <c r="P4" s="644" t="s">
        <v>5</v>
      </c>
      <c r="Q4" s="641"/>
      <c r="R4" s="641"/>
      <c r="S4" s="641"/>
      <c r="T4" s="641"/>
      <c r="U4" s="644" t="s">
        <v>6</v>
      </c>
      <c r="V4" s="641"/>
      <c r="W4" s="641"/>
      <c r="X4" s="641"/>
      <c r="Y4" s="645"/>
      <c r="Z4" s="641" t="s">
        <v>7</v>
      </c>
      <c r="AA4" s="641"/>
      <c r="AB4" s="641"/>
      <c r="AC4" s="641"/>
      <c r="AD4" s="641"/>
      <c r="AE4" s="269" t="s">
        <v>8</v>
      </c>
      <c r="AF4" s="270" t="s">
        <v>10</v>
      </c>
    </row>
    <row r="5" spans="1:35" s="278" customFormat="1" ht="10.8" thickBot="1" x14ac:dyDescent="0.45">
      <c r="A5" s="639"/>
      <c r="B5" s="637"/>
      <c r="C5" s="640"/>
      <c r="D5" s="271"/>
      <c r="E5" s="272" t="s">
        <v>112</v>
      </c>
      <c r="F5" s="273" t="s">
        <v>24</v>
      </c>
      <c r="G5" s="273" t="s">
        <v>25</v>
      </c>
      <c r="H5" s="274" t="s">
        <v>26</v>
      </c>
      <c r="I5" s="275" t="s">
        <v>11</v>
      </c>
      <c r="J5" s="276" t="s">
        <v>9</v>
      </c>
      <c r="K5" s="273" t="s">
        <v>112</v>
      </c>
      <c r="L5" s="273" t="s">
        <v>24</v>
      </c>
      <c r="M5" s="274" t="s">
        <v>25</v>
      </c>
      <c r="N5" s="273" t="s">
        <v>11</v>
      </c>
      <c r="O5" s="276" t="s">
        <v>9</v>
      </c>
      <c r="P5" s="273" t="s">
        <v>112</v>
      </c>
      <c r="Q5" s="273" t="s">
        <v>24</v>
      </c>
      <c r="R5" s="274" t="s">
        <v>25</v>
      </c>
      <c r="S5" s="273" t="s">
        <v>11</v>
      </c>
      <c r="T5" s="276" t="s">
        <v>9</v>
      </c>
      <c r="U5" s="273" t="s">
        <v>112</v>
      </c>
      <c r="V5" s="273" t="s">
        <v>24</v>
      </c>
      <c r="W5" s="274" t="s">
        <v>25</v>
      </c>
      <c r="X5" s="273" t="s">
        <v>11</v>
      </c>
      <c r="Y5" s="276" t="s">
        <v>9</v>
      </c>
      <c r="Z5" s="273" t="s">
        <v>112</v>
      </c>
      <c r="AA5" s="273" t="s">
        <v>24</v>
      </c>
      <c r="AB5" s="274" t="s">
        <v>25</v>
      </c>
      <c r="AC5" s="273" t="s">
        <v>11</v>
      </c>
      <c r="AD5" s="276" t="s">
        <v>9</v>
      </c>
      <c r="AE5" s="277" t="s">
        <v>11</v>
      </c>
      <c r="AF5" s="277" t="s">
        <v>8</v>
      </c>
    </row>
    <row r="6" spans="1:35" s="258" customFormat="1" x14ac:dyDescent="0.4">
      <c r="A6" s="369"/>
      <c r="B6" s="369"/>
      <c r="C6" s="620"/>
      <c r="D6" s="369"/>
      <c r="E6" s="281"/>
      <c r="F6" s="279"/>
      <c r="G6" s="279"/>
      <c r="H6" s="280"/>
      <c r="I6" s="281"/>
      <c r="J6" s="381"/>
      <c r="K6" s="281"/>
      <c r="L6" s="279"/>
      <c r="M6" s="280"/>
      <c r="N6" s="279"/>
      <c r="O6" s="282"/>
      <c r="P6" s="279"/>
      <c r="Q6" s="279"/>
      <c r="R6" s="280"/>
      <c r="S6" s="279"/>
      <c r="T6" s="282"/>
      <c r="U6" s="279"/>
      <c r="V6" s="279"/>
      <c r="W6" s="280"/>
      <c r="X6" s="279"/>
      <c r="Y6" s="282"/>
      <c r="Z6" s="279"/>
      <c r="AA6" s="279"/>
      <c r="AB6" s="280"/>
      <c r="AC6" s="279"/>
      <c r="AD6" s="282"/>
      <c r="AE6" s="283"/>
      <c r="AF6" s="283"/>
    </row>
    <row r="7" spans="1:35" x14ac:dyDescent="0.4">
      <c r="A7" s="370"/>
      <c r="B7" s="370"/>
      <c r="C7" s="621"/>
      <c r="D7" s="370" t="s">
        <v>113</v>
      </c>
      <c r="E7" s="285"/>
      <c r="H7" s="284"/>
      <c r="I7" s="285"/>
      <c r="J7" s="382"/>
      <c r="K7" s="285"/>
      <c r="M7" s="284"/>
      <c r="O7" s="59"/>
      <c r="R7" s="284"/>
      <c r="T7" s="59"/>
      <c r="V7" s="11"/>
      <c r="W7" s="12"/>
      <c r="X7" s="11"/>
      <c r="Y7" s="195"/>
      <c r="Z7" s="11"/>
      <c r="AA7" s="11"/>
      <c r="AB7" s="12"/>
      <c r="AC7" s="11"/>
      <c r="AD7" s="195"/>
      <c r="AE7" s="287"/>
      <c r="AF7" s="288"/>
    </row>
    <row r="8" spans="1:35" x14ac:dyDescent="0.4">
      <c r="A8" s="109" t="s">
        <v>277</v>
      </c>
      <c r="B8" s="592" t="s">
        <v>273</v>
      </c>
      <c r="C8" s="109" t="s">
        <v>248</v>
      </c>
      <c r="D8" s="371" t="s">
        <v>114</v>
      </c>
      <c r="E8" s="285">
        <v>1</v>
      </c>
      <c r="F8" s="11">
        <v>5100</v>
      </c>
      <c r="G8" s="11">
        <v>12</v>
      </c>
      <c r="H8" s="284" t="s">
        <v>31</v>
      </c>
      <c r="I8" s="10">
        <f>G8*F8*E8</f>
        <v>61200</v>
      </c>
      <c r="J8" s="339">
        <f>SUM(I8:I8)</f>
        <v>61200</v>
      </c>
      <c r="K8" s="10">
        <v>1</v>
      </c>
      <c r="L8" s="11">
        <f>F8*1.03</f>
        <v>5253</v>
      </c>
      <c r="M8" s="12">
        <v>12</v>
      </c>
      <c r="N8" s="11">
        <f>M8*L8*K8</f>
        <v>63036</v>
      </c>
      <c r="O8" s="195">
        <f>SUM(N8:N8)</f>
        <v>63036</v>
      </c>
      <c r="P8" s="11">
        <v>1</v>
      </c>
      <c r="Q8" s="11">
        <f>L8*1.03</f>
        <v>5410.59</v>
      </c>
      <c r="R8" s="12">
        <v>12</v>
      </c>
      <c r="S8" s="11">
        <f>R8*Q8*P8</f>
        <v>64927.08</v>
      </c>
      <c r="T8" s="195">
        <f>SUM(S8:S8)</f>
        <v>64927.08</v>
      </c>
      <c r="U8" s="4">
        <v>1</v>
      </c>
      <c r="V8" s="11">
        <f>Q8*1.03</f>
        <v>5572.9077000000007</v>
      </c>
      <c r="W8" s="12">
        <v>12</v>
      </c>
      <c r="X8" s="11">
        <f>W8*V8*U8</f>
        <v>66874.892400000012</v>
      </c>
      <c r="Y8" s="195">
        <f>SUM(X8:X8)</f>
        <v>66874.892400000012</v>
      </c>
      <c r="Z8" s="11">
        <v>1</v>
      </c>
      <c r="AA8" s="11">
        <f>V8*1.03</f>
        <v>5740.0949310000005</v>
      </c>
      <c r="AB8" s="12">
        <v>9</v>
      </c>
      <c r="AC8" s="11">
        <f>AB8*AA8*Z8</f>
        <v>51660.854379000004</v>
      </c>
      <c r="AD8" s="195">
        <f>SUM(AC8:AC8)</f>
        <v>51660.854379000004</v>
      </c>
      <c r="AE8" s="287">
        <f>I8+N8+S8+X8+AC8</f>
        <v>307698.82677900005</v>
      </c>
      <c r="AF8" s="288">
        <f>SUM(AE8:AE8)</f>
        <v>307698.82677900005</v>
      </c>
    </row>
    <row r="9" spans="1:35" x14ac:dyDescent="0.4">
      <c r="A9" s="371"/>
      <c r="B9" s="371"/>
      <c r="C9" s="622"/>
      <c r="D9" s="371"/>
      <c r="E9" s="285"/>
      <c r="H9" s="284"/>
      <c r="I9" s="10"/>
      <c r="J9" s="339"/>
      <c r="K9" s="10"/>
      <c r="L9" s="11"/>
      <c r="M9" s="12"/>
      <c r="N9" s="11"/>
      <c r="O9" s="195"/>
      <c r="P9" s="11"/>
      <c r="Q9" s="11"/>
      <c r="R9" s="12"/>
      <c r="S9" s="11"/>
      <c r="T9" s="195"/>
      <c r="V9" s="11"/>
      <c r="W9" s="12"/>
      <c r="X9" s="11"/>
      <c r="Y9" s="195"/>
      <c r="Z9" s="11"/>
      <c r="AA9" s="11"/>
      <c r="AB9" s="12"/>
      <c r="AC9" s="11"/>
      <c r="AD9" s="195"/>
      <c r="AE9" s="287"/>
      <c r="AF9" s="288"/>
    </row>
    <row r="10" spans="1:35" x14ac:dyDescent="0.4">
      <c r="A10" s="370"/>
      <c r="B10" s="370"/>
      <c r="C10" s="621"/>
      <c r="D10" s="370" t="s">
        <v>115</v>
      </c>
      <c r="E10" s="285"/>
      <c r="H10" s="284"/>
      <c r="I10" s="10"/>
      <c r="J10" s="339"/>
      <c r="K10" s="10"/>
      <c r="L10" s="11"/>
      <c r="M10" s="12"/>
      <c r="N10" s="11"/>
      <c r="O10" s="195"/>
      <c r="P10" s="11"/>
      <c r="Q10" s="11"/>
      <c r="R10" s="12"/>
      <c r="S10" s="11"/>
      <c r="T10" s="195"/>
      <c r="V10" s="11"/>
      <c r="W10" s="12"/>
      <c r="X10" s="11"/>
      <c r="Y10" s="195"/>
      <c r="Z10" s="11"/>
      <c r="AA10" s="11"/>
      <c r="AB10" s="12"/>
      <c r="AC10" s="11"/>
      <c r="AD10" s="195"/>
      <c r="AE10" s="287"/>
      <c r="AF10" s="288"/>
    </row>
    <row r="11" spans="1:35" x14ac:dyDescent="0.4">
      <c r="A11" s="109" t="s">
        <v>277</v>
      </c>
      <c r="B11" s="592" t="s">
        <v>273</v>
      </c>
      <c r="C11" s="109" t="s">
        <v>248</v>
      </c>
      <c r="D11" s="371" t="s">
        <v>144</v>
      </c>
      <c r="E11" s="285">
        <v>1</v>
      </c>
      <c r="F11" s="458">
        <v>1100</v>
      </c>
      <c r="G11" s="11">
        <v>10</v>
      </c>
      <c r="H11" s="284" t="s">
        <v>31</v>
      </c>
      <c r="I11" s="10">
        <f>G11*F11*E11</f>
        <v>11000</v>
      </c>
      <c r="J11" s="339">
        <f>SUM(I11:I11)</f>
        <v>11000</v>
      </c>
      <c r="K11" s="10">
        <f>E11</f>
        <v>1</v>
      </c>
      <c r="L11" s="11">
        <f>F11*1.03</f>
        <v>1133</v>
      </c>
      <c r="M11" s="12">
        <v>12</v>
      </c>
      <c r="N11" s="11">
        <f>M11*L11*K11</f>
        <v>13596</v>
      </c>
      <c r="O11" s="195">
        <f>SUM(N11:N11)</f>
        <v>13596</v>
      </c>
      <c r="P11" s="11">
        <f>E11</f>
        <v>1</v>
      </c>
      <c r="Q11" s="11">
        <f>L11*1.03</f>
        <v>1166.99</v>
      </c>
      <c r="R11" s="12">
        <v>12</v>
      </c>
      <c r="S11" s="11">
        <f>R11*Q11*P11</f>
        <v>14003.880000000001</v>
      </c>
      <c r="T11" s="195">
        <f>SUM(S11:S11)</f>
        <v>14003.880000000001</v>
      </c>
      <c r="U11" s="4">
        <f>E11</f>
        <v>1</v>
      </c>
      <c r="V11" s="11">
        <f>Q11*1.03</f>
        <v>1201.9997000000001</v>
      </c>
      <c r="W11" s="12">
        <v>12</v>
      </c>
      <c r="X11" s="11">
        <f>W11*V11*U11</f>
        <v>14423.9964</v>
      </c>
      <c r="Y11" s="195">
        <f>SUM(X11:X11)</f>
        <v>14423.9964</v>
      </c>
      <c r="Z11" s="11">
        <f>E11</f>
        <v>1</v>
      </c>
      <c r="AA11" s="11">
        <f>V11*1.03</f>
        <v>1238.0596910000002</v>
      </c>
      <c r="AB11" s="12">
        <v>9</v>
      </c>
      <c r="AC11" s="11">
        <f>AB11*AA11*Z11</f>
        <v>11142.537219000002</v>
      </c>
      <c r="AD11" s="195">
        <f>SUM(AC11:AC11)</f>
        <v>11142.537219000002</v>
      </c>
      <c r="AE11" s="195">
        <f>I11+N11+S11+X11+AC11</f>
        <v>64166.413619000014</v>
      </c>
      <c r="AF11" s="291">
        <f>SUM(AE11:AE11)</f>
        <v>64166.413619000014</v>
      </c>
      <c r="AG11" s="195">
        <f t="shared" ref="AG11:AG12" si="0">K11+P11+U11+Z11+AE11</f>
        <v>64170.413619000014</v>
      </c>
      <c r="AH11" s="291">
        <f t="shared" ref="AH11:AH12" si="1">SUM(AG11:AG11)</f>
        <v>64170.413619000014</v>
      </c>
      <c r="AI11" s="195">
        <f t="shared" ref="AI11:AI12" si="2">M11+R11+W11+AB11+AG11</f>
        <v>64215.413619000014</v>
      </c>
    </row>
    <row r="12" spans="1:35" x14ac:dyDescent="0.4">
      <c r="A12" s="109" t="s">
        <v>277</v>
      </c>
      <c r="B12" s="592" t="s">
        <v>273</v>
      </c>
      <c r="C12" s="109" t="s">
        <v>248</v>
      </c>
      <c r="D12" s="371" t="s">
        <v>118</v>
      </c>
      <c r="E12" s="285">
        <v>1</v>
      </c>
      <c r="F12" s="4">
        <v>950</v>
      </c>
      <c r="G12" s="11">
        <v>11</v>
      </c>
      <c r="H12" s="284" t="s">
        <v>31</v>
      </c>
      <c r="I12" s="10">
        <f>G12*F12*E12</f>
        <v>10450</v>
      </c>
      <c r="J12" s="339">
        <f>SUM(I12:I12)</f>
        <v>10450</v>
      </c>
      <c r="K12" s="10">
        <v>1</v>
      </c>
      <c r="L12" s="11">
        <f>F12*1.03</f>
        <v>978.5</v>
      </c>
      <c r="M12" s="12">
        <v>12</v>
      </c>
      <c r="N12" s="11">
        <f>M12*L12*K12</f>
        <v>11742</v>
      </c>
      <c r="O12" s="195">
        <f>SUM(N12:N12)</f>
        <v>11742</v>
      </c>
      <c r="P12" s="11">
        <v>1</v>
      </c>
      <c r="Q12" s="11">
        <f>L12*1.03</f>
        <v>1007.855</v>
      </c>
      <c r="R12" s="12">
        <v>12</v>
      </c>
      <c r="S12" s="11">
        <f>R12*Q12*P12</f>
        <v>12094.26</v>
      </c>
      <c r="T12" s="195">
        <f>SUM(S12:S12)</f>
        <v>12094.26</v>
      </c>
      <c r="U12" s="4">
        <v>1</v>
      </c>
      <c r="V12" s="11">
        <f>Q12*1.03</f>
        <v>1038.0906500000001</v>
      </c>
      <c r="W12" s="12">
        <v>12</v>
      </c>
      <c r="X12" s="11">
        <f>W12*V12*U12</f>
        <v>12457.087800000001</v>
      </c>
      <c r="Y12" s="195">
        <f>SUM(X12:X12)</f>
        <v>12457.087800000001</v>
      </c>
      <c r="Z12" s="11">
        <v>1</v>
      </c>
      <c r="AA12" s="11">
        <f>V12*1.03</f>
        <v>1069.2333695000002</v>
      </c>
      <c r="AB12" s="12">
        <v>9</v>
      </c>
      <c r="AC12" s="11">
        <f>AB12*AA12*Z12</f>
        <v>9623.1003255000014</v>
      </c>
      <c r="AD12" s="195">
        <f>SUM(AC12:AC12)</f>
        <v>9623.1003255000014</v>
      </c>
      <c r="AE12" s="195">
        <f>I12+N12+S12+X12+AC12</f>
        <v>56366.448125500006</v>
      </c>
      <c r="AF12" s="291">
        <f>SUM(AE12:AE12)</f>
        <v>56366.448125500006</v>
      </c>
      <c r="AG12" s="195">
        <f t="shared" si="0"/>
        <v>56370.448125500006</v>
      </c>
      <c r="AH12" s="291">
        <f t="shared" si="1"/>
        <v>56370.448125500006</v>
      </c>
      <c r="AI12" s="195">
        <f t="shared" si="2"/>
        <v>56415.448125500006</v>
      </c>
    </row>
    <row r="13" spans="1:35" x14ac:dyDescent="0.4">
      <c r="A13" s="109"/>
      <c r="B13" s="592"/>
      <c r="C13" s="109"/>
      <c r="D13" s="372" t="s">
        <v>119</v>
      </c>
      <c r="E13" s="375"/>
      <c r="F13" s="24"/>
      <c r="G13" s="24"/>
      <c r="H13" s="289"/>
      <c r="I13" s="290">
        <f>SUM(I8:I12)</f>
        <v>82650</v>
      </c>
      <c r="J13" s="383">
        <f>SUM(J8:J12)</f>
        <v>82650</v>
      </c>
      <c r="K13" s="290"/>
      <c r="L13" s="292"/>
      <c r="M13" s="336"/>
      <c r="N13" s="292">
        <f>SUM(N8:N12)</f>
        <v>88374</v>
      </c>
      <c r="O13" s="291">
        <f>SUM(O8:O12)</f>
        <v>88374</v>
      </c>
      <c r="P13" s="292"/>
      <c r="Q13" s="292"/>
      <c r="R13" s="336"/>
      <c r="S13" s="292">
        <f>SUM(S8:S12)</f>
        <v>91025.22</v>
      </c>
      <c r="T13" s="291">
        <f>SUM(T8:T12)</f>
        <v>91025.22</v>
      </c>
      <c r="U13" s="24"/>
      <c r="V13" s="292"/>
      <c r="W13" s="336"/>
      <c r="X13" s="292">
        <f>SUM(X8:X12)</f>
        <v>93755.976600000024</v>
      </c>
      <c r="Y13" s="291">
        <f>SUM(Y8:Y12)</f>
        <v>93755.976600000024</v>
      </c>
      <c r="Z13" s="292"/>
      <c r="AA13" s="292"/>
      <c r="AB13" s="336"/>
      <c r="AC13" s="292">
        <f>SUM(AC8:AC12)</f>
        <v>72426.491923499998</v>
      </c>
      <c r="AD13" s="291">
        <f>SUM(AD8:AD12)</f>
        <v>72426.491923499998</v>
      </c>
      <c r="AE13" s="195">
        <f>I13+N13+S13+X13+AC13</f>
        <v>428231.68852349999</v>
      </c>
      <c r="AF13" s="291">
        <f>SUM(AE13:AE13)</f>
        <v>428231.68852349999</v>
      </c>
    </row>
    <row r="14" spans="1:35" x14ac:dyDescent="0.4">
      <c r="A14" s="372"/>
      <c r="B14" s="372"/>
      <c r="C14" s="623"/>
      <c r="D14" s="372"/>
      <c r="E14" s="375"/>
      <c r="F14" s="24"/>
      <c r="G14" s="24"/>
      <c r="H14" s="289"/>
      <c r="I14" s="290"/>
      <c r="J14" s="383"/>
      <c r="K14" s="290"/>
      <c r="L14" s="292"/>
      <c r="M14" s="336"/>
      <c r="N14" s="292"/>
      <c r="O14" s="291"/>
      <c r="P14" s="292"/>
      <c r="Q14" s="292"/>
      <c r="R14" s="336"/>
      <c r="S14" s="292"/>
      <c r="T14" s="291"/>
      <c r="U14" s="24"/>
      <c r="V14" s="292"/>
      <c r="W14" s="336"/>
      <c r="X14" s="292"/>
      <c r="Y14" s="291"/>
      <c r="Z14" s="292"/>
      <c r="AA14" s="292"/>
      <c r="AB14" s="336"/>
      <c r="AC14" s="292"/>
      <c r="AD14" s="291"/>
      <c r="AE14" s="195"/>
      <c r="AF14" s="291"/>
    </row>
    <row r="15" spans="1:35" s="24" customFormat="1" x14ac:dyDescent="0.4">
      <c r="A15" s="109" t="s">
        <v>343</v>
      </c>
      <c r="B15" s="592" t="s">
        <v>279</v>
      </c>
      <c r="C15" s="109" t="s">
        <v>248</v>
      </c>
      <c r="D15" s="370" t="s">
        <v>120</v>
      </c>
      <c r="E15" s="627">
        <v>0.1535</v>
      </c>
      <c r="F15" s="11">
        <f>I13</f>
        <v>82650</v>
      </c>
      <c r="G15" s="4"/>
      <c r="H15" s="376"/>
      <c r="I15" s="10">
        <f>F15*E15</f>
        <v>12686.775</v>
      </c>
      <c r="J15" s="383">
        <f>SUM(I15:I15)</f>
        <v>12686.775</v>
      </c>
      <c r="K15" s="628"/>
      <c r="L15" s="11">
        <f>N13</f>
        <v>88374</v>
      </c>
      <c r="M15" s="12"/>
      <c r="N15" s="11">
        <f>L15*E15</f>
        <v>13565.409</v>
      </c>
      <c r="O15" s="291">
        <f>SUM(N15:N15)</f>
        <v>13565.409</v>
      </c>
      <c r="P15" s="125"/>
      <c r="Q15" s="11">
        <f>S13</f>
        <v>91025.22</v>
      </c>
      <c r="R15" s="12"/>
      <c r="S15" s="11">
        <f>Q15*E15</f>
        <v>13972.37127</v>
      </c>
      <c r="T15" s="291">
        <f>SUM(S15:S15)</f>
        <v>13972.37127</v>
      </c>
      <c r="U15" s="626"/>
      <c r="V15" s="11">
        <f>X13</f>
        <v>93755.976600000024</v>
      </c>
      <c r="W15" s="12"/>
      <c r="X15" s="11">
        <f>V15*E15</f>
        <v>14391.542408100004</v>
      </c>
      <c r="Y15" s="291">
        <f>SUM(X15:X15)</f>
        <v>14391.542408100004</v>
      </c>
      <c r="Z15" s="125"/>
      <c r="AA15" s="11">
        <f>AC13</f>
        <v>72426.491923499998</v>
      </c>
      <c r="AB15" s="12"/>
      <c r="AC15" s="11">
        <f>AA15*E15</f>
        <v>11117.466510257249</v>
      </c>
      <c r="AD15" s="291">
        <f>SUM(AC15:AC15)</f>
        <v>11117.466510257249</v>
      </c>
      <c r="AE15" s="195">
        <f>I15+N15+S15+X15+AC15</f>
        <v>65733.564188357253</v>
      </c>
      <c r="AF15" s="291">
        <f>SUM(AE15:AE15)</f>
        <v>65733.564188357253</v>
      </c>
    </row>
    <row r="16" spans="1:35" x14ac:dyDescent="0.4">
      <c r="A16" s="370"/>
      <c r="B16" s="370"/>
      <c r="C16" s="621"/>
      <c r="D16" s="370"/>
      <c r="E16" s="285"/>
      <c r="H16" s="284"/>
      <c r="I16" s="10"/>
      <c r="J16" s="339"/>
      <c r="K16" s="10"/>
      <c r="L16" s="11"/>
      <c r="M16" s="12"/>
      <c r="N16" s="11"/>
      <c r="O16" s="195"/>
      <c r="P16" s="11"/>
      <c r="Q16" s="11"/>
      <c r="R16" s="12"/>
      <c r="S16" s="11"/>
      <c r="T16" s="195"/>
      <c r="V16" s="11"/>
      <c r="W16" s="12"/>
      <c r="X16" s="11"/>
      <c r="Y16" s="195"/>
      <c r="Z16" s="11"/>
      <c r="AA16" s="11"/>
      <c r="AB16" s="12"/>
      <c r="AC16" s="11"/>
      <c r="AD16" s="195"/>
      <c r="AE16" s="287"/>
      <c r="AF16" s="288"/>
    </row>
    <row r="17" spans="1:35" x14ac:dyDescent="0.4">
      <c r="A17" s="370"/>
      <c r="B17" s="370"/>
      <c r="C17" s="621"/>
      <c r="D17" s="370" t="s">
        <v>17</v>
      </c>
      <c r="E17" s="285"/>
      <c r="H17" s="284"/>
      <c r="I17" s="10"/>
      <c r="J17" s="339"/>
      <c r="K17" s="10"/>
      <c r="L17" s="11"/>
      <c r="M17" s="12"/>
      <c r="N17" s="11"/>
      <c r="O17" s="195"/>
      <c r="P17" s="11"/>
      <c r="Q17" s="11"/>
      <c r="R17" s="12"/>
      <c r="S17" s="11"/>
      <c r="T17" s="195"/>
      <c r="V17" s="11"/>
      <c r="W17" s="12"/>
      <c r="X17" s="11"/>
      <c r="Y17" s="195"/>
      <c r="Z17" s="11"/>
      <c r="AA17" s="11"/>
      <c r="AB17" s="12"/>
      <c r="AC17" s="11"/>
      <c r="AD17" s="195"/>
      <c r="AE17" s="287"/>
      <c r="AF17" s="288"/>
    </row>
    <row r="18" spans="1:35" x14ac:dyDescent="0.4">
      <c r="A18" s="109" t="s">
        <v>344</v>
      </c>
      <c r="B18" s="592" t="s">
        <v>296</v>
      </c>
      <c r="C18" s="109" t="s">
        <v>248</v>
      </c>
      <c r="D18" s="371" t="s">
        <v>121</v>
      </c>
      <c r="E18" s="285">
        <f>'FO Expenses'!C26</f>
        <v>3</v>
      </c>
      <c r="F18" s="458">
        <f>'FO Expenses'!B26</f>
        <v>1100</v>
      </c>
      <c r="G18" s="11">
        <v>1</v>
      </c>
      <c r="H18" s="284" t="s">
        <v>40</v>
      </c>
      <c r="I18" s="10">
        <f>E18*F18*G18</f>
        <v>3300</v>
      </c>
      <c r="J18" s="339">
        <f>SUM(I18:I18)</f>
        <v>3300</v>
      </c>
      <c r="K18" s="10">
        <v>0</v>
      </c>
      <c r="L18" s="11">
        <f>F18*1.02</f>
        <v>1122</v>
      </c>
      <c r="M18" s="12">
        <v>1</v>
      </c>
      <c r="N18" s="11">
        <f>M18*L18*K18</f>
        <v>0</v>
      </c>
      <c r="O18" s="195">
        <f>SUM(N18:N18)</f>
        <v>0</v>
      </c>
      <c r="P18" s="11">
        <v>0</v>
      </c>
      <c r="Q18" s="11">
        <f>L18*1.02</f>
        <v>1144.44</v>
      </c>
      <c r="R18" s="12">
        <v>1</v>
      </c>
      <c r="S18" s="11">
        <f>R18*Q18*P18</f>
        <v>0</v>
      </c>
      <c r="T18" s="295">
        <f>SUM(S18:S18)</f>
        <v>0</v>
      </c>
      <c r="U18" s="293">
        <v>0</v>
      </c>
      <c r="V18" s="11">
        <f>Q18*1.02</f>
        <v>1167.3288</v>
      </c>
      <c r="W18" s="12">
        <v>1</v>
      </c>
      <c r="X18" s="11">
        <f>W18*V18*U18</f>
        <v>0</v>
      </c>
      <c r="Y18" s="195">
        <f>SUM(X18:X18)</f>
        <v>0</v>
      </c>
      <c r="Z18" s="11">
        <v>0</v>
      </c>
      <c r="AA18" s="11">
        <f>V18*1.02</f>
        <v>1190.6753759999999</v>
      </c>
      <c r="AB18" s="12">
        <v>1</v>
      </c>
      <c r="AC18" s="11">
        <f>AB18*AA18*Z18</f>
        <v>0</v>
      </c>
      <c r="AD18" s="195">
        <f>SUM(AC18:AC18)</f>
        <v>0</v>
      </c>
      <c r="AE18" s="287">
        <f>I18+N18+S18+X18+AC18</f>
        <v>3300</v>
      </c>
      <c r="AF18" s="288">
        <f>SUM(AE18:AE18)</f>
        <v>3300</v>
      </c>
    </row>
    <row r="19" spans="1:35" x14ac:dyDescent="0.4">
      <c r="A19" s="109" t="s">
        <v>344</v>
      </c>
      <c r="B19" s="592" t="s">
        <v>296</v>
      </c>
      <c r="C19" s="109" t="s">
        <v>248</v>
      </c>
      <c r="D19" s="371" t="s">
        <v>122</v>
      </c>
      <c r="E19" s="285">
        <f>'FO Expenses'!C27</f>
        <v>2</v>
      </c>
      <c r="F19" s="4">
        <f>'FO Expenses'!B27</f>
        <v>370</v>
      </c>
      <c r="G19" s="11">
        <v>1</v>
      </c>
      <c r="H19" s="284" t="s">
        <v>40</v>
      </c>
      <c r="I19" s="10">
        <f>E19*F19*G19</f>
        <v>740</v>
      </c>
      <c r="J19" s="339">
        <f>SUM(I19:I19)</f>
        <v>740</v>
      </c>
      <c r="K19" s="10">
        <v>0</v>
      </c>
      <c r="L19" s="11">
        <f>F19*1.02</f>
        <v>377.40000000000003</v>
      </c>
      <c r="M19" s="12">
        <v>1</v>
      </c>
      <c r="N19" s="11">
        <f>M19*L19*K19</f>
        <v>0</v>
      </c>
      <c r="O19" s="195">
        <f>SUM(N19:N19)</f>
        <v>0</v>
      </c>
      <c r="P19" s="11">
        <v>0</v>
      </c>
      <c r="Q19" s="11">
        <f>L19*1.02</f>
        <v>384.94800000000004</v>
      </c>
      <c r="R19" s="12">
        <v>1</v>
      </c>
      <c r="S19" s="11">
        <f>R19*Q19*P19</f>
        <v>0</v>
      </c>
      <c r="T19" s="295">
        <f>SUM(S19:S19)</f>
        <v>0</v>
      </c>
      <c r="U19" s="293">
        <v>0</v>
      </c>
      <c r="V19" s="11">
        <f t="shared" ref="V19:V21" si="3">Q19*1.02</f>
        <v>392.64696000000004</v>
      </c>
      <c r="W19" s="12">
        <v>1</v>
      </c>
      <c r="X19" s="11">
        <f>W19*V19*U19</f>
        <v>0</v>
      </c>
      <c r="Y19" s="195">
        <f>SUM(X19:X19)</f>
        <v>0</v>
      </c>
      <c r="Z19" s="11">
        <v>0</v>
      </c>
      <c r="AA19" s="11">
        <f t="shared" ref="AA19:AA21" si="4">V19*1.02</f>
        <v>400.49989920000002</v>
      </c>
      <c r="AB19" s="12">
        <v>1</v>
      </c>
      <c r="AC19" s="11">
        <f>AB19*AA19*Z19</f>
        <v>0</v>
      </c>
      <c r="AD19" s="195">
        <f>SUM(AC19:AC19)</f>
        <v>0</v>
      </c>
      <c r="AE19" s="287">
        <f>I19+N19+S19+X19+AC19</f>
        <v>740</v>
      </c>
      <c r="AF19" s="288">
        <f>SUM(AE19:AE19)</f>
        <v>740</v>
      </c>
    </row>
    <row r="20" spans="1:35" x14ac:dyDescent="0.4">
      <c r="A20" s="109" t="s">
        <v>344</v>
      </c>
      <c r="B20" s="592" t="s">
        <v>296</v>
      </c>
      <c r="C20" s="109" t="s">
        <v>248</v>
      </c>
      <c r="D20" s="371" t="s">
        <v>123</v>
      </c>
      <c r="E20" s="285">
        <f>'FO Expenses'!C28</f>
        <v>1</v>
      </c>
      <c r="F20" s="293">
        <f>'FO Expenses'!B28</f>
        <v>588</v>
      </c>
      <c r="G20" s="11">
        <v>1</v>
      </c>
      <c r="H20" s="284" t="s">
        <v>40</v>
      </c>
      <c r="I20" s="10">
        <f>E20*F20*G20</f>
        <v>588</v>
      </c>
      <c r="J20" s="339">
        <f>SUM(I20:I20)</f>
        <v>588</v>
      </c>
      <c r="K20" s="10">
        <v>0</v>
      </c>
      <c r="L20" s="11">
        <f>F20*1.02</f>
        <v>599.76</v>
      </c>
      <c r="M20" s="12">
        <v>1</v>
      </c>
      <c r="N20" s="11">
        <f>M20*L20*K20</f>
        <v>0</v>
      </c>
      <c r="O20" s="195">
        <f>SUM(N20:N20)</f>
        <v>0</v>
      </c>
      <c r="P20" s="11">
        <v>0</v>
      </c>
      <c r="Q20" s="11">
        <f t="shared" ref="Q20:Q21" si="5">L20*1.02</f>
        <v>611.75519999999995</v>
      </c>
      <c r="R20" s="12">
        <v>1</v>
      </c>
      <c r="S20" s="11">
        <f>R20*Q20*P20</f>
        <v>0</v>
      </c>
      <c r="T20" s="295">
        <f>SUM(S20:S20)</f>
        <v>0</v>
      </c>
      <c r="U20" s="293">
        <v>0</v>
      </c>
      <c r="V20" s="11">
        <f t="shared" si="3"/>
        <v>623.99030399999992</v>
      </c>
      <c r="W20" s="12">
        <v>1</v>
      </c>
      <c r="X20" s="11">
        <f>W20*V20*U20</f>
        <v>0</v>
      </c>
      <c r="Y20" s="195">
        <f>SUM(X20:X20)</f>
        <v>0</v>
      </c>
      <c r="Z20" s="11">
        <v>0</v>
      </c>
      <c r="AA20" s="11">
        <f t="shared" si="4"/>
        <v>636.47011007999993</v>
      </c>
      <c r="AB20" s="12">
        <v>1</v>
      </c>
      <c r="AC20" s="11">
        <f>AB20*AA20*Z20</f>
        <v>0</v>
      </c>
      <c r="AD20" s="195">
        <f>SUM(AC20:AC20)</f>
        <v>0</v>
      </c>
      <c r="AE20" s="287">
        <f>I20+N20+S20+X20+AC20</f>
        <v>588</v>
      </c>
      <c r="AF20" s="288">
        <f>SUM(AE20:AE20)</f>
        <v>588</v>
      </c>
    </row>
    <row r="21" spans="1:35" x14ac:dyDescent="0.4">
      <c r="A21" s="109" t="s">
        <v>344</v>
      </c>
      <c r="B21" s="592" t="s">
        <v>296</v>
      </c>
      <c r="C21" s="109" t="s">
        <v>248</v>
      </c>
      <c r="D21" s="371" t="s">
        <v>124</v>
      </c>
      <c r="E21" s="285">
        <v>1</v>
      </c>
      <c r="F21" s="4">
        <f>'FO Expenses'!B29</f>
        <v>530</v>
      </c>
      <c r="G21" s="11">
        <v>1</v>
      </c>
      <c r="H21" s="284" t="s">
        <v>40</v>
      </c>
      <c r="I21" s="10">
        <f>E21*F21*G21</f>
        <v>530</v>
      </c>
      <c r="J21" s="339">
        <f>SUM(I21:I21)</f>
        <v>530</v>
      </c>
      <c r="K21" s="10">
        <v>1</v>
      </c>
      <c r="L21" s="11">
        <f>F21*1.02</f>
        <v>540.6</v>
      </c>
      <c r="M21" s="12">
        <v>1</v>
      </c>
      <c r="N21" s="11">
        <f>M21*L21*K21</f>
        <v>540.6</v>
      </c>
      <c r="O21" s="195">
        <f>SUM(N21:N21)</f>
        <v>540.6</v>
      </c>
      <c r="P21" s="11">
        <v>1</v>
      </c>
      <c r="Q21" s="11">
        <f t="shared" si="5"/>
        <v>551.41200000000003</v>
      </c>
      <c r="R21" s="12">
        <v>1</v>
      </c>
      <c r="S21" s="11">
        <f>R21*Q21*P21</f>
        <v>551.41200000000003</v>
      </c>
      <c r="T21" s="295">
        <f>SUM(S21:S21)</f>
        <v>551.41200000000003</v>
      </c>
      <c r="U21" s="293">
        <v>1</v>
      </c>
      <c r="V21" s="11">
        <f t="shared" si="3"/>
        <v>562.44024000000002</v>
      </c>
      <c r="W21" s="12">
        <v>1</v>
      </c>
      <c r="X21" s="11">
        <f>W21*V21*U21</f>
        <v>562.44024000000002</v>
      </c>
      <c r="Y21" s="195">
        <f>SUM(X21:X21)</f>
        <v>562.44024000000002</v>
      </c>
      <c r="Z21" s="11">
        <v>1</v>
      </c>
      <c r="AA21" s="11">
        <f t="shared" si="4"/>
        <v>573.68904480000003</v>
      </c>
      <c r="AB21" s="12">
        <v>1</v>
      </c>
      <c r="AC21" s="11">
        <f>AB21*AA21*Z21</f>
        <v>573.68904480000003</v>
      </c>
      <c r="AD21" s="195">
        <f>SUM(AC21:AC21)</f>
        <v>573.68904480000003</v>
      </c>
      <c r="AE21" s="287">
        <f>I21+N21+S21+X21+AC21</f>
        <v>2758.1412848</v>
      </c>
      <c r="AF21" s="288">
        <f>SUM(AE21:AE21)</f>
        <v>2758.1412848</v>
      </c>
    </row>
    <row r="22" spans="1:35" x14ac:dyDescent="0.4">
      <c r="A22" s="109"/>
      <c r="B22" s="592"/>
      <c r="C22" s="109"/>
      <c r="D22" s="372" t="s">
        <v>125</v>
      </c>
      <c r="E22" s="375"/>
      <c r="F22" s="24"/>
      <c r="G22" s="24"/>
      <c r="H22" s="289"/>
      <c r="I22" s="290">
        <f>SUM(I18:I21)</f>
        <v>5158</v>
      </c>
      <c r="J22" s="383">
        <f>SUM(J18:J21)</f>
        <v>5158</v>
      </c>
      <c r="K22" s="290"/>
      <c r="L22" s="292"/>
      <c r="M22" s="336"/>
      <c r="N22" s="290">
        <f>SUM(N18:N21)</f>
        <v>540.6</v>
      </c>
      <c r="O22" s="383">
        <f>SUM(O18:O21)</f>
        <v>540.6</v>
      </c>
      <c r="P22" s="292"/>
      <c r="Q22" s="292"/>
      <c r="R22" s="336"/>
      <c r="S22" s="290">
        <f>SUM(S18:S21)</f>
        <v>551.41200000000003</v>
      </c>
      <c r="T22" s="383">
        <f>SUM(T18:T21)</f>
        <v>551.41200000000003</v>
      </c>
      <c r="U22" s="24"/>
      <c r="V22" s="292"/>
      <c r="W22" s="336"/>
      <c r="X22" s="290">
        <f>SUM(X18:X21)</f>
        <v>562.44024000000002</v>
      </c>
      <c r="Y22" s="383">
        <f>SUM(Y18:Y21)</f>
        <v>562.44024000000002</v>
      </c>
      <c r="Z22" s="292"/>
      <c r="AA22" s="292"/>
      <c r="AB22" s="336"/>
      <c r="AC22" s="290">
        <f>SUM(AC18:AC21)</f>
        <v>573.68904480000003</v>
      </c>
      <c r="AD22" s="383">
        <f>SUM(AD18:AD21)</f>
        <v>573.68904480000003</v>
      </c>
      <c r="AE22" s="287">
        <f>I22+N22+S22+X22+AC22</f>
        <v>7386.1412848000009</v>
      </c>
      <c r="AF22" s="288">
        <f>SUM(AE22:AE22)</f>
        <v>7386.1412848000009</v>
      </c>
    </row>
    <row r="23" spans="1:35" ht="13.5" customHeight="1" x14ac:dyDescent="0.4">
      <c r="A23" s="372"/>
      <c r="B23" s="372"/>
      <c r="C23" s="622"/>
      <c r="D23" s="370"/>
      <c r="E23" s="285"/>
      <c r="G23" s="11"/>
      <c r="H23" s="284"/>
      <c r="I23" s="10"/>
      <c r="J23" s="383"/>
      <c r="K23" s="10"/>
      <c r="L23" s="11"/>
      <c r="M23" s="12"/>
      <c r="N23" s="11"/>
      <c r="O23" s="195"/>
      <c r="P23" s="11"/>
      <c r="Q23" s="11"/>
      <c r="R23" s="12"/>
      <c r="S23" s="11"/>
      <c r="T23" s="195"/>
      <c r="V23" s="11"/>
      <c r="W23" s="12"/>
      <c r="X23" s="11"/>
      <c r="Y23" s="195"/>
      <c r="Z23" s="11"/>
      <c r="AA23" s="11"/>
      <c r="AB23" s="12"/>
      <c r="AC23" s="11"/>
      <c r="AD23" s="195"/>
      <c r="AE23" s="287"/>
      <c r="AF23" s="288"/>
    </row>
    <row r="24" spans="1:35" x14ac:dyDescent="0.4">
      <c r="A24" s="372"/>
      <c r="B24" s="372"/>
      <c r="C24" s="622"/>
      <c r="D24" s="296" t="s">
        <v>126</v>
      </c>
      <c r="E24" s="285"/>
      <c r="G24" s="11"/>
      <c r="H24" s="284"/>
      <c r="I24" s="10"/>
      <c r="J24" s="383"/>
      <c r="K24" s="10"/>
      <c r="L24" s="11"/>
      <c r="M24" s="12"/>
      <c r="N24" s="11"/>
      <c r="O24" s="195"/>
      <c r="P24" s="11"/>
      <c r="Q24" s="11"/>
      <c r="R24" s="12"/>
      <c r="S24" s="11"/>
      <c r="T24" s="195"/>
      <c r="V24" s="11"/>
      <c r="W24" s="12"/>
      <c r="X24" s="11"/>
      <c r="Y24" s="195"/>
      <c r="Z24" s="11"/>
      <c r="AA24" s="11"/>
      <c r="AB24" s="12"/>
      <c r="AC24" s="11"/>
      <c r="AD24" s="195"/>
      <c r="AE24" s="287"/>
      <c r="AF24" s="288"/>
    </row>
    <row r="25" spans="1:35" x14ac:dyDescent="0.4">
      <c r="A25" s="109" t="s">
        <v>332</v>
      </c>
      <c r="B25" s="592">
        <v>86040</v>
      </c>
      <c r="C25" s="109" t="s">
        <v>248</v>
      </c>
      <c r="D25" s="297" t="s">
        <v>127</v>
      </c>
      <c r="E25" s="298">
        <f>'Volunteer Travel'!C10</f>
        <v>14</v>
      </c>
      <c r="F25" s="377">
        <f>'Volunteer Travel'!B22</f>
        <v>800</v>
      </c>
      <c r="G25" s="11">
        <v>1</v>
      </c>
      <c r="H25" s="284" t="s">
        <v>70</v>
      </c>
      <c r="I25" s="10">
        <f>E25*F25*G25</f>
        <v>11200</v>
      </c>
      <c r="J25" s="383">
        <f>F25*G25*E25</f>
        <v>11200</v>
      </c>
      <c r="K25" s="10">
        <f>'Volunteer Travel'!D10</f>
        <v>13</v>
      </c>
      <c r="L25" s="385">
        <f>F25*1.02</f>
        <v>816</v>
      </c>
      <c r="M25" s="12">
        <f>G25</f>
        <v>1</v>
      </c>
      <c r="N25" s="11">
        <f>L25*M25*K25</f>
        <v>10608</v>
      </c>
      <c r="O25" s="291">
        <f>L25*M25*K25</f>
        <v>10608</v>
      </c>
      <c r="P25" s="11">
        <f>'Volunteer Travel'!E10</f>
        <v>12</v>
      </c>
      <c r="Q25" s="385">
        <f>L25*1.02</f>
        <v>832.32</v>
      </c>
      <c r="R25" s="12">
        <f>M25</f>
        <v>1</v>
      </c>
      <c r="S25" s="194">
        <f>Q25*R25*P25</f>
        <v>9987.84</v>
      </c>
      <c r="T25" s="291">
        <f>Q25*R25*P25</f>
        <v>9987.84</v>
      </c>
      <c r="U25" s="293">
        <f>'Volunteer Travel'!F10</f>
        <v>12</v>
      </c>
      <c r="V25" s="385">
        <f>Q25*1.02</f>
        <v>848.96640000000002</v>
      </c>
      <c r="W25" s="12">
        <f>R25</f>
        <v>1</v>
      </c>
      <c r="X25" s="11">
        <f>V25*W25*U25</f>
        <v>10187.596799999999</v>
      </c>
      <c r="Y25" s="291">
        <f>V25*W25*U25</f>
        <v>10187.596799999999</v>
      </c>
      <c r="Z25" s="11">
        <f>'Volunteer Travel'!G10</f>
        <v>13</v>
      </c>
      <c r="AA25" s="385">
        <f>V25*1.02</f>
        <v>865.94572800000003</v>
      </c>
      <c r="AB25" s="12">
        <f>W25</f>
        <v>1</v>
      </c>
      <c r="AC25" s="11">
        <f>AA25*AB25*Z25</f>
        <v>11257.294464000001</v>
      </c>
      <c r="AD25" s="291">
        <f>AA25*AB25*Z25</f>
        <v>11257.294464000001</v>
      </c>
      <c r="AE25" s="195">
        <f>SUM(AD25,Y25,T25,O25,J25)</f>
        <v>53240.731264000002</v>
      </c>
      <c r="AF25" s="288">
        <f t="shared" ref="AF25:AF29" si="6">SUM(AE25:AE25)</f>
        <v>53240.731264000002</v>
      </c>
      <c r="AG25" s="259">
        <f>AF25*0.7</f>
        <v>37268.511884799998</v>
      </c>
      <c r="AH25" s="260">
        <f>AG25/3</f>
        <v>12422.837294933333</v>
      </c>
      <c r="AI25" s="260">
        <f>AH25/12</f>
        <v>1035.2364412444444</v>
      </c>
    </row>
    <row r="26" spans="1:35" x14ac:dyDescent="0.4">
      <c r="A26" s="109" t="s">
        <v>345</v>
      </c>
      <c r="B26" s="613" t="s">
        <v>291</v>
      </c>
      <c r="C26" s="109" t="s">
        <v>248</v>
      </c>
      <c r="D26" s="297" t="s">
        <v>75</v>
      </c>
      <c r="E26" s="298">
        <f>E25</f>
        <v>14</v>
      </c>
      <c r="F26" s="377">
        <f>'Volunteer Travel'!C22</f>
        <v>116.05000000000001</v>
      </c>
      <c r="G26" s="11">
        <v>14</v>
      </c>
      <c r="H26" s="284" t="s">
        <v>128</v>
      </c>
      <c r="I26" s="10">
        <f>E26*F26*G26</f>
        <v>22745.800000000003</v>
      </c>
      <c r="J26" s="383">
        <f t="shared" ref="J26:J29" si="7">F26*G26*E26</f>
        <v>22745.800000000003</v>
      </c>
      <c r="K26" s="10">
        <f>K25</f>
        <v>13</v>
      </c>
      <c r="L26" s="385">
        <f>F26*1.02</f>
        <v>118.37100000000001</v>
      </c>
      <c r="M26" s="12">
        <f>G26</f>
        <v>14</v>
      </c>
      <c r="N26" s="11">
        <f t="shared" ref="N26:N29" si="8">L26*M26*K26</f>
        <v>21543.522000000001</v>
      </c>
      <c r="O26" s="291">
        <f t="shared" ref="O26:O29" si="9">L26*M26*K26</f>
        <v>21543.522000000001</v>
      </c>
      <c r="P26" s="11">
        <f>P25</f>
        <v>12</v>
      </c>
      <c r="Q26" s="385">
        <f>L26*1.02</f>
        <v>120.73842</v>
      </c>
      <c r="R26" s="12">
        <f>M26</f>
        <v>14</v>
      </c>
      <c r="S26" s="194">
        <f t="shared" ref="S26:S29" si="10">Q26*R26*P26</f>
        <v>20284.05456</v>
      </c>
      <c r="T26" s="291">
        <f t="shared" ref="T26:T29" si="11">Q26*R26*P26</f>
        <v>20284.05456</v>
      </c>
      <c r="U26" s="293">
        <f>U25</f>
        <v>12</v>
      </c>
      <c r="V26" s="385">
        <f>Q26*1.02</f>
        <v>123.1531884</v>
      </c>
      <c r="W26" s="12">
        <f>R26</f>
        <v>14</v>
      </c>
      <c r="X26" s="11">
        <f>V26*W26</f>
        <v>1724.1446376000001</v>
      </c>
      <c r="Y26" s="291">
        <f t="shared" ref="Y26:Y29" si="12">V26*W26*U26</f>
        <v>20689.735651200001</v>
      </c>
      <c r="Z26" s="11">
        <f>Z25</f>
        <v>13</v>
      </c>
      <c r="AA26" s="385">
        <f>V26*1.02</f>
        <v>125.616252168</v>
      </c>
      <c r="AB26" s="12">
        <f>W26</f>
        <v>14</v>
      </c>
      <c r="AC26" s="11">
        <f t="shared" ref="AC26:AC29" si="13">AA26*AB26*Z26</f>
        <v>22862.157894576001</v>
      </c>
      <c r="AD26" s="291">
        <f t="shared" ref="AD26:AD29" si="14">AA26*AB26*Z26</f>
        <v>22862.157894576001</v>
      </c>
      <c r="AE26" s="195">
        <f>SUM(AD26,Y26,T26,O26,J26)</f>
        <v>108125.270105776</v>
      </c>
      <c r="AF26" s="288">
        <f t="shared" si="6"/>
        <v>108125.270105776</v>
      </c>
      <c r="AG26" s="259">
        <f>AF26*0.7</f>
        <v>75687.689074043199</v>
      </c>
      <c r="AH26" s="260">
        <f>AG26/3</f>
        <v>25229.229691347733</v>
      </c>
      <c r="AI26" s="260">
        <f>AH26/12</f>
        <v>2102.4358076123112</v>
      </c>
    </row>
    <row r="27" spans="1:35" x14ac:dyDescent="0.4">
      <c r="A27" s="109" t="s">
        <v>345</v>
      </c>
      <c r="B27" s="613" t="s">
        <v>290</v>
      </c>
      <c r="C27" s="109" t="s">
        <v>248</v>
      </c>
      <c r="D27" s="297" t="s">
        <v>67</v>
      </c>
      <c r="E27" s="298">
        <f>E25</f>
        <v>14</v>
      </c>
      <c r="F27" s="377">
        <f>'Volunteer Travel'!D22</f>
        <v>50.5</v>
      </c>
      <c r="G27" s="11">
        <v>15</v>
      </c>
      <c r="H27" s="284" t="s">
        <v>46</v>
      </c>
      <c r="I27" s="10">
        <f>E27*F27*G27</f>
        <v>10605</v>
      </c>
      <c r="J27" s="383">
        <f t="shared" si="7"/>
        <v>10605</v>
      </c>
      <c r="K27" s="10">
        <f>K25</f>
        <v>13</v>
      </c>
      <c r="L27" s="385">
        <f t="shared" ref="L27:L29" si="15">F27*1.02</f>
        <v>51.51</v>
      </c>
      <c r="M27" s="12">
        <f>G27</f>
        <v>15</v>
      </c>
      <c r="N27" s="11">
        <f t="shared" si="8"/>
        <v>10044.449999999999</v>
      </c>
      <c r="O27" s="291">
        <f t="shared" si="9"/>
        <v>10044.449999999999</v>
      </c>
      <c r="P27" s="11">
        <f>P25</f>
        <v>12</v>
      </c>
      <c r="Q27" s="385">
        <f t="shared" ref="Q27:Q29" si="16">L27*1.02</f>
        <v>52.540199999999999</v>
      </c>
      <c r="R27" s="12">
        <f>M27</f>
        <v>15</v>
      </c>
      <c r="S27" s="194">
        <f t="shared" si="10"/>
        <v>9457.235999999999</v>
      </c>
      <c r="T27" s="291">
        <f t="shared" si="11"/>
        <v>9457.235999999999</v>
      </c>
      <c r="U27" s="293">
        <f>U25</f>
        <v>12</v>
      </c>
      <c r="V27" s="385">
        <f t="shared" ref="V27:V29" si="17">Q27*1.02</f>
        <v>53.591003999999998</v>
      </c>
      <c r="W27" s="12">
        <f>R27</f>
        <v>15</v>
      </c>
      <c r="X27" s="11">
        <f>V27*W27</f>
        <v>803.86505999999997</v>
      </c>
      <c r="Y27" s="291">
        <f t="shared" si="12"/>
        <v>9646.3807199999992</v>
      </c>
      <c r="Z27" s="11">
        <f>Z25</f>
        <v>13</v>
      </c>
      <c r="AA27" s="385">
        <f t="shared" ref="AA27:AA29" si="18">V27*1.02</f>
        <v>54.66282408</v>
      </c>
      <c r="AB27" s="12">
        <f>W27</f>
        <v>15</v>
      </c>
      <c r="AC27" s="11">
        <f t="shared" si="13"/>
        <v>10659.2506956</v>
      </c>
      <c r="AD27" s="291">
        <f t="shared" si="14"/>
        <v>10659.2506956</v>
      </c>
      <c r="AE27" s="195">
        <f>SUM(AD27,Y27,T27,O27,J27)</f>
        <v>50412.317415599995</v>
      </c>
      <c r="AF27" s="288">
        <f t="shared" si="6"/>
        <v>50412.317415599995</v>
      </c>
      <c r="AG27" s="259">
        <f>AF27*0.7</f>
        <v>35288.622190919996</v>
      </c>
      <c r="AH27" s="260">
        <f>AG27/3</f>
        <v>11762.874063639998</v>
      </c>
      <c r="AI27" s="260">
        <f>AH27/12</f>
        <v>980.2395053033332</v>
      </c>
    </row>
    <row r="28" spans="1:35" x14ac:dyDescent="0.4">
      <c r="A28" s="109" t="s">
        <v>345</v>
      </c>
      <c r="B28" s="613" t="s">
        <v>290</v>
      </c>
      <c r="C28" s="109" t="s">
        <v>248</v>
      </c>
      <c r="D28" s="297" t="s">
        <v>129</v>
      </c>
      <c r="E28" s="298">
        <f>E25</f>
        <v>14</v>
      </c>
      <c r="F28" s="377">
        <f>'Volunteer Travel'!E22</f>
        <v>75</v>
      </c>
      <c r="G28" s="11">
        <v>1</v>
      </c>
      <c r="H28" s="284" t="s">
        <v>70</v>
      </c>
      <c r="I28" s="10">
        <f>E28*F28*G28</f>
        <v>1050</v>
      </c>
      <c r="J28" s="383">
        <f t="shared" si="7"/>
        <v>1050</v>
      </c>
      <c r="K28" s="10">
        <f>K26</f>
        <v>13</v>
      </c>
      <c r="L28" s="385">
        <f t="shared" si="15"/>
        <v>76.5</v>
      </c>
      <c r="M28" s="12">
        <f>G28</f>
        <v>1</v>
      </c>
      <c r="N28" s="11">
        <f t="shared" si="8"/>
        <v>994.5</v>
      </c>
      <c r="O28" s="291">
        <f t="shared" si="9"/>
        <v>994.5</v>
      </c>
      <c r="P28" s="11">
        <f>P26</f>
        <v>12</v>
      </c>
      <c r="Q28" s="385">
        <f t="shared" si="16"/>
        <v>78.03</v>
      </c>
      <c r="R28" s="12">
        <f>M28</f>
        <v>1</v>
      </c>
      <c r="S28" s="194">
        <f t="shared" si="10"/>
        <v>936.36</v>
      </c>
      <c r="T28" s="291">
        <f t="shared" si="11"/>
        <v>936.36</v>
      </c>
      <c r="U28" s="293">
        <f>U26</f>
        <v>12</v>
      </c>
      <c r="V28" s="385">
        <f t="shared" si="17"/>
        <v>79.590600000000009</v>
      </c>
      <c r="W28" s="12">
        <f>R28</f>
        <v>1</v>
      </c>
      <c r="X28" s="11">
        <f>V28*W28</f>
        <v>79.590600000000009</v>
      </c>
      <c r="Y28" s="291">
        <f t="shared" si="12"/>
        <v>955.08720000000017</v>
      </c>
      <c r="Z28" s="11">
        <f>Z26</f>
        <v>13</v>
      </c>
      <c r="AA28" s="385">
        <f t="shared" si="18"/>
        <v>81.182412000000014</v>
      </c>
      <c r="AB28" s="12">
        <f>W28</f>
        <v>1</v>
      </c>
      <c r="AC28" s="11">
        <f t="shared" si="13"/>
        <v>1055.3713560000001</v>
      </c>
      <c r="AD28" s="291">
        <f t="shared" si="14"/>
        <v>1055.3713560000001</v>
      </c>
      <c r="AE28" s="195">
        <f>SUM(AD28,Y28,T28,O28,J28)</f>
        <v>4991.3185560000002</v>
      </c>
      <c r="AF28" s="288">
        <f t="shared" si="6"/>
        <v>4991.3185560000002</v>
      </c>
      <c r="AG28" s="259"/>
      <c r="AH28" s="260"/>
      <c r="AI28" s="260"/>
    </row>
    <row r="29" spans="1:35" x14ac:dyDescent="0.4">
      <c r="A29" s="109" t="s">
        <v>345</v>
      </c>
      <c r="B29" s="613" t="s">
        <v>290</v>
      </c>
      <c r="C29" s="109" t="s">
        <v>248</v>
      </c>
      <c r="D29" s="297" t="s">
        <v>130</v>
      </c>
      <c r="E29" s="298">
        <f>E25</f>
        <v>14</v>
      </c>
      <c r="F29" s="377">
        <f>'Volunteer Travel'!F22</f>
        <v>124</v>
      </c>
      <c r="G29" s="11">
        <v>1</v>
      </c>
      <c r="H29" s="284" t="s">
        <v>70</v>
      </c>
      <c r="I29" s="10">
        <f>E29*F29*G29</f>
        <v>1736</v>
      </c>
      <c r="J29" s="383">
        <f t="shared" si="7"/>
        <v>1736</v>
      </c>
      <c r="K29" s="10">
        <f>K25</f>
        <v>13</v>
      </c>
      <c r="L29" s="385">
        <f t="shared" si="15"/>
        <v>126.48</v>
      </c>
      <c r="M29" s="12">
        <v>1</v>
      </c>
      <c r="N29" s="11">
        <f t="shared" si="8"/>
        <v>1644.24</v>
      </c>
      <c r="O29" s="291">
        <f t="shared" si="9"/>
        <v>1644.24</v>
      </c>
      <c r="P29" s="11">
        <f>P25</f>
        <v>12</v>
      </c>
      <c r="Q29" s="385">
        <f t="shared" si="16"/>
        <v>129.00960000000001</v>
      </c>
      <c r="R29" s="12">
        <v>1</v>
      </c>
      <c r="S29" s="194">
        <f t="shared" si="10"/>
        <v>1548.1152000000002</v>
      </c>
      <c r="T29" s="291">
        <f t="shared" si="11"/>
        <v>1548.1152000000002</v>
      </c>
      <c r="U29" s="293">
        <f>U25</f>
        <v>12</v>
      </c>
      <c r="V29" s="385">
        <f t="shared" si="17"/>
        <v>131.58979200000002</v>
      </c>
      <c r="W29" s="12">
        <v>1</v>
      </c>
      <c r="X29" s="11">
        <f>V29*W29</f>
        <v>131.58979200000002</v>
      </c>
      <c r="Y29" s="291">
        <f t="shared" si="12"/>
        <v>1579.0775040000003</v>
      </c>
      <c r="Z29" s="11">
        <f>Z25</f>
        <v>13</v>
      </c>
      <c r="AA29" s="385">
        <f t="shared" si="18"/>
        <v>134.22158784000001</v>
      </c>
      <c r="AB29" s="12">
        <v>1</v>
      </c>
      <c r="AC29" s="11">
        <f t="shared" si="13"/>
        <v>1744.8806419200002</v>
      </c>
      <c r="AD29" s="291">
        <f t="shared" si="14"/>
        <v>1744.8806419200002</v>
      </c>
      <c r="AE29" s="195">
        <f>SUM(AD29,Y29,T29,O29,J29)</f>
        <v>8252.3133459199998</v>
      </c>
      <c r="AF29" s="288">
        <f t="shared" si="6"/>
        <v>8252.3133459199998</v>
      </c>
      <c r="AG29" s="259">
        <f>AF29*0.7</f>
        <v>5776.6193421439993</v>
      </c>
      <c r="AH29" s="260">
        <f>AG29/3</f>
        <v>1925.5397807146664</v>
      </c>
      <c r="AI29" s="260">
        <f>AH29/12</f>
        <v>160.46164839288886</v>
      </c>
    </row>
    <row r="30" spans="1:35" x14ac:dyDescent="0.4">
      <c r="A30" s="109"/>
      <c r="B30" s="613"/>
      <c r="C30" s="109"/>
      <c r="D30" s="297"/>
      <c r="E30" s="298"/>
      <c r="F30" s="377"/>
      <c r="G30" s="11"/>
      <c r="H30" s="284"/>
      <c r="I30" s="10"/>
      <c r="J30" s="383"/>
      <c r="K30" s="10"/>
      <c r="L30" s="385"/>
      <c r="M30" s="12"/>
      <c r="N30" s="11"/>
      <c r="O30" s="291"/>
      <c r="P30" s="11"/>
      <c r="Q30" s="385"/>
      <c r="R30" s="12"/>
      <c r="S30" s="11"/>
      <c r="T30" s="291"/>
      <c r="U30" s="293"/>
      <c r="V30" s="385"/>
      <c r="W30" s="12"/>
      <c r="X30" s="11"/>
      <c r="Y30" s="291"/>
      <c r="Z30" s="11"/>
      <c r="AA30" s="385"/>
      <c r="AB30" s="12"/>
      <c r="AC30" s="11"/>
      <c r="AD30" s="291"/>
      <c r="AE30" s="195"/>
      <c r="AF30" s="291"/>
      <c r="AG30" s="259"/>
      <c r="AH30" s="260"/>
      <c r="AI30" s="260"/>
    </row>
    <row r="31" spans="1:35" x14ac:dyDescent="0.4">
      <c r="A31" s="372"/>
      <c r="B31" s="372"/>
      <c r="C31" s="622"/>
      <c r="D31" s="296" t="s">
        <v>131</v>
      </c>
      <c r="E31" s="285"/>
      <c r="G31" s="11"/>
      <c r="H31" s="284"/>
      <c r="I31" s="10"/>
      <c r="J31" s="383"/>
      <c r="K31" s="10"/>
      <c r="L31" s="11"/>
      <c r="M31" s="12"/>
      <c r="N31" s="11"/>
      <c r="O31" s="195"/>
      <c r="P31" s="11"/>
      <c r="Q31" s="11"/>
      <c r="R31" s="12"/>
      <c r="S31" s="11"/>
      <c r="T31" s="195"/>
      <c r="V31" s="11"/>
      <c r="W31" s="12"/>
      <c r="X31" s="11"/>
      <c r="Y31" s="195"/>
      <c r="Z31" s="11"/>
      <c r="AA31" s="11"/>
      <c r="AB31" s="12"/>
      <c r="AC31" s="11"/>
      <c r="AD31" s="195"/>
      <c r="AE31" s="287"/>
      <c r="AF31" s="288"/>
    </row>
    <row r="32" spans="1:35" x14ac:dyDescent="0.4">
      <c r="A32" s="109" t="s">
        <v>346</v>
      </c>
      <c r="B32" s="613" t="s">
        <v>291</v>
      </c>
      <c r="C32" s="109" t="s">
        <v>248</v>
      </c>
      <c r="D32" s="297" t="s">
        <v>75</v>
      </c>
      <c r="E32" s="298">
        <f>'Volunteer Travel'!C11</f>
        <v>2</v>
      </c>
      <c r="F32" s="377">
        <f>'Volunteer Travel'!G22</f>
        <v>81.234999999999999</v>
      </c>
      <c r="G32" s="11">
        <v>6</v>
      </c>
      <c r="H32" s="284" t="s">
        <v>128</v>
      </c>
      <c r="I32" s="10">
        <f>E32*F32*G32</f>
        <v>974.81999999999994</v>
      </c>
      <c r="J32" s="383">
        <f>F32*G32*E32</f>
        <v>974.81999999999994</v>
      </c>
      <c r="K32" s="10">
        <f>'Volunteer Travel'!D11</f>
        <v>3</v>
      </c>
      <c r="L32" s="385">
        <f>F32*1.02</f>
        <v>82.859700000000004</v>
      </c>
      <c r="M32" s="12">
        <f>G32</f>
        <v>6</v>
      </c>
      <c r="N32" s="10">
        <f>M32*K32*L32</f>
        <v>1491.4746</v>
      </c>
      <c r="O32" s="383">
        <f>K32*L32*M32</f>
        <v>1491.4746</v>
      </c>
      <c r="P32" s="11">
        <f>'Volunteer Travel'!E11</f>
        <v>3</v>
      </c>
      <c r="Q32" s="385">
        <f>L32*1.02</f>
        <v>84.516894000000008</v>
      </c>
      <c r="R32" s="12">
        <f>M32</f>
        <v>6</v>
      </c>
      <c r="S32" s="10">
        <f>R32*P32*Q32</f>
        <v>1521.3040920000001</v>
      </c>
      <c r="T32" s="383">
        <f>P32*Q32*R32</f>
        <v>1521.3040920000001</v>
      </c>
      <c r="U32" s="293">
        <f>'Volunteer Travel'!F11</f>
        <v>3</v>
      </c>
      <c r="V32" s="385">
        <f>Q32*1.02</f>
        <v>86.207231880000009</v>
      </c>
      <c r="W32" s="12">
        <f>R32</f>
        <v>6</v>
      </c>
      <c r="X32" s="10">
        <f>W32*U32*V32</f>
        <v>1551.7301738400001</v>
      </c>
      <c r="Y32" s="383">
        <f>U32*V32*W32</f>
        <v>1551.7301738400001</v>
      </c>
      <c r="Z32" s="11">
        <f>'Volunteer Travel'!G11</f>
        <v>2</v>
      </c>
      <c r="AA32" s="385">
        <f>V32*1.02</f>
        <v>87.931376517600015</v>
      </c>
      <c r="AB32" s="12">
        <f>W32</f>
        <v>6</v>
      </c>
      <c r="AC32" s="10">
        <f>AB32*Z32*AA32</f>
        <v>1055.1765182112001</v>
      </c>
      <c r="AD32" s="383">
        <f>Z32*AA32*AB32</f>
        <v>1055.1765182112001</v>
      </c>
      <c r="AE32" s="195">
        <f>SUM(AD32,Y32,T32,O32,J32)</f>
        <v>6594.505384051201</v>
      </c>
      <c r="AF32" s="288">
        <f t="shared" ref="AF32:AF34" si="19">SUM(AE32:AE32)</f>
        <v>6594.505384051201</v>
      </c>
      <c r="AG32" s="259">
        <f>AF32*0.7</f>
        <v>4616.1537688358403</v>
      </c>
      <c r="AH32" s="260">
        <f>AG32/3</f>
        <v>1538.7179229452802</v>
      </c>
      <c r="AI32" s="260">
        <f>AH32/12</f>
        <v>128.22649357877336</v>
      </c>
    </row>
    <row r="33" spans="1:35" x14ac:dyDescent="0.4">
      <c r="A33" s="109" t="s">
        <v>346</v>
      </c>
      <c r="B33" s="613" t="s">
        <v>290</v>
      </c>
      <c r="C33" s="109" t="s">
        <v>248</v>
      </c>
      <c r="D33" s="297" t="s">
        <v>67</v>
      </c>
      <c r="E33" s="298">
        <f>E32</f>
        <v>2</v>
      </c>
      <c r="F33" s="377">
        <f>'Volunteer Travel'!H22</f>
        <v>50.5</v>
      </c>
      <c r="G33" s="11">
        <v>7</v>
      </c>
      <c r="H33" s="284" t="s">
        <v>46</v>
      </c>
      <c r="I33" s="10">
        <f>E33*F33*G33</f>
        <v>707</v>
      </c>
      <c r="J33" s="383">
        <f t="shared" ref="J33:J34" si="20">F33*G33*E33</f>
        <v>707</v>
      </c>
      <c r="K33" s="10">
        <f>K32</f>
        <v>3</v>
      </c>
      <c r="L33" s="385">
        <f t="shared" ref="L33:L34" si="21">F33*1.02</f>
        <v>51.51</v>
      </c>
      <c r="M33" s="12">
        <f>G33</f>
        <v>7</v>
      </c>
      <c r="N33" s="10">
        <f t="shared" ref="N33:N34" si="22">M33*K33*L33</f>
        <v>1081.71</v>
      </c>
      <c r="O33" s="383">
        <f t="shared" ref="O33:O34" si="23">K33*L33*M33</f>
        <v>1081.71</v>
      </c>
      <c r="P33" s="11">
        <f>P32</f>
        <v>3</v>
      </c>
      <c r="Q33" s="385">
        <f>L33*1.02</f>
        <v>52.540199999999999</v>
      </c>
      <c r="R33" s="12">
        <f>M33</f>
        <v>7</v>
      </c>
      <c r="S33" s="10">
        <f t="shared" ref="S33:S34" si="24">R33*P33*Q33</f>
        <v>1103.3442</v>
      </c>
      <c r="T33" s="383">
        <f t="shared" ref="T33:T34" si="25">P33*Q33*R33</f>
        <v>1103.3442</v>
      </c>
      <c r="U33" s="293">
        <f>U32</f>
        <v>3</v>
      </c>
      <c r="V33" s="385">
        <f>Q33*1.02</f>
        <v>53.591003999999998</v>
      </c>
      <c r="W33" s="12">
        <f>R33</f>
        <v>7</v>
      </c>
      <c r="X33" s="10">
        <f t="shared" ref="X33:X34" si="26">W33*U33*V33</f>
        <v>1125.4110839999998</v>
      </c>
      <c r="Y33" s="383">
        <f t="shared" ref="Y33:Y34" si="27">U33*V33*W33</f>
        <v>1125.4110839999998</v>
      </c>
      <c r="Z33" s="11">
        <f>Z32</f>
        <v>2</v>
      </c>
      <c r="AA33" s="385">
        <f t="shared" ref="AA33:AA34" si="28">V33*1.02</f>
        <v>54.66282408</v>
      </c>
      <c r="AB33" s="12">
        <f>W33</f>
        <v>7</v>
      </c>
      <c r="AC33" s="10">
        <f t="shared" ref="AC33:AC34" si="29">AB33*Z33*AA33</f>
        <v>765.27953711999999</v>
      </c>
      <c r="AD33" s="383">
        <f t="shared" ref="AD33:AD34" si="30">Z33*AA33*AB33</f>
        <v>765.27953711999999</v>
      </c>
      <c r="AE33" s="195">
        <f>SUM(AD33,Y33,T33,O33,J33)</f>
        <v>4782.7448211199999</v>
      </c>
      <c r="AF33" s="288">
        <f t="shared" si="19"/>
        <v>4782.7448211199999</v>
      </c>
      <c r="AG33" s="259">
        <f>AF33*0.7</f>
        <v>3347.9213747839999</v>
      </c>
      <c r="AH33" s="260">
        <f>AG33/3</f>
        <v>1115.9737915946666</v>
      </c>
      <c r="AI33" s="260">
        <f>AH33/12</f>
        <v>92.99781596622222</v>
      </c>
    </row>
    <row r="34" spans="1:35" x14ac:dyDescent="0.4">
      <c r="A34" s="109" t="s">
        <v>346</v>
      </c>
      <c r="B34" s="613" t="s">
        <v>290</v>
      </c>
      <c r="C34" s="109" t="s">
        <v>248</v>
      </c>
      <c r="D34" s="297" t="s">
        <v>130</v>
      </c>
      <c r="E34" s="298">
        <f>E32</f>
        <v>2</v>
      </c>
      <c r="F34" s="377">
        <f>'Volunteer Travel'!I22</f>
        <v>30</v>
      </c>
      <c r="G34" s="11">
        <v>1</v>
      </c>
      <c r="H34" s="284" t="s">
        <v>70</v>
      </c>
      <c r="I34" s="10">
        <f>E34*F34*G34</f>
        <v>60</v>
      </c>
      <c r="J34" s="383">
        <f t="shared" si="20"/>
        <v>60</v>
      </c>
      <c r="K34" s="10">
        <f>K32</f>
        <v>3</v>
      </c>
      <c r="L34" s="385">
        <f t="shared" si="21"/>
        <v>30.6</v>
      </c>
      <c r="M34" s="12">
        <f>G34</f>
        <v>1</v>
      </c>
      <c r="N34" s="10">
        <f t="shared" si="22"/>
        <v>91.800000000000011</v>
      </c>
      <c r="O34" s="383">
        <f t="shared" si="23"/>
        <v>91.800000000000011</v>
      </c>
      <c r="P34" s="11">
        <f>P32</f>
        <v>3</v>
      </c>
      <c r="Q34" s="385">
        <f t="shared" ref="Q34" si="31">L34*1.02</f>
        <v>31.212000000000003</v>
      </c>
      <c r="R34" s="12">
        <f>M34</f>
        <v>1</v>
      </c>
      <c r="S34" s="10">
        <f t="shared" si="24"/>
        <v>93.63600000000001</v>
      </c>
      <c r="T34" s="383">
        <f t="shared" si="25"/>
        <v>93.63600000000001</v>
      </c>
      <c r="U34" s="293">
        <f>U32</f>
        <v>3</v>
      </c>
      <c r="V34" s="385">
        <f t="shared" ref="V34" si="32">Q34*1.02</f>
        <v>31.836240000000004</v>
      </c>
      <c r="W34" s="12">
        <f>R34</f>
        <v>1</v>
      </c>
      <c r="X34" s="10">
        <f t="shared" si="26"/>
        <v>95.508720000000011</v>
      </c>
      <c r="Y34" s="383">
        <f t="shared" si="27"/>
        <v>95.508720000000011</v>
      </c>
      <c r="Z34" s="11">
        <f>Z32</f>
        <v>2</v>
      </c>
      <c r="AA34" s="385">
        <f t="shared" si="28"/>
        <v>32.472964800000007</v>
      </c>
      <c r="AB34" s="12">
        <f>W34</f>
        <v>1</v>
      </c>
      <c r="AC34" s="10">
        <f t="shared" si="29"/>
        <v>64.945929600000014</v>
      </c>
      <c r="AD34" s="383">
        <f t="shared" si="30"/>
        <v>64.945929600000014</v>
      </c>
      <c r="AE34" s="195">
        <f>SUM(AD34,Y34,T34,O34,J34)</f>
        <v>405.89064960000007</v>
      </c>
      <c r="AF34" s="288">
        <f t="shared" si="19"/>
        <v>405.89064960000007</v>
      </c>
      <c r="AG34" s="259">
        <f>AF34*0.7</f>
        <v>284.12345472000004</v>
      </c>
      <c r="AH34" s="260">
        <f>AG34/3</f>
        <v>94.707818240000009</v>
      </c>
      <c r="AI34" s="260">
        <f>AH34/12</f>
        <v>7.8923181866666674</v>
      </c>
    </row>
    <row r="35" spans="1:35" x14ac:dyDescent="0.4">
      <c r="A35" s="109"/>
      <c r="B35" s="613"/>
      <c r="C35" s="109"/>
      <c r="D35" s="370"/>
      <c r="E35" s="285"/>
      <c r="H35" s="284"/>
      <c r="I35" s="10"/>
      <c r="J35" s="339"/>
      <c r="K35" s="10"/>
      <c r="L35" s="11"/>
      <c r="M35" s="12"/>
      <c r="N35" s="11"/>
      <c r="O35" s="195"/>
      <c r="P35" s="11"/>
      <c r="Q35" s="11"/>
      <c r="R35" s="12"/>
      <c r="S35" s="11"/>
      <c r="T35" s="195"/>
      <c r="V35" s="11"/>
      <c r="W35" s="12"/>
      <c r="X35" s="11"/>
      <c r="Y35" s="195"/>
      <c r="Z35" s="11"/>
      <c r="AA35" s="11"/>
      <c r="AB35" s="12"/>
      <c r="AC35" s="11"/>
      <c r="AD35" s="195"/>
      <c r="AE35" s="287"/>
      <c r="AF35" s="288"/>
      <c r="AG35" s="260">
        <f>AF29-AG29</f>
        <v>2475.6940037760005</v>
      </c>
      <c r="AH35" s="260">
        <f>AG35/2</f>
        <v>1237.8470018880002</v>
      </c>
      <c r="AI35" s="260">
        <f>AH35/9</f>
        <v>137.53855576533337</v>
      </c>
    </row>
    <row r="36" spans="1:35" x14ac:dyDescent="0.4">
      <c r="A36" s="109"/>
      <c r="B36" s="372"/>
      <c r="C36" s="109"/>
      <c r="D36" s="296" t="s">
        <v>132</v>
      </c>
      <c r="E36" s="285"/>
      <c r="G36" s="11"/>
      <c r="H36" s="284"/>
      <c r="I36" s="10"/>
      <c r="J36" s="383"/>
      <c r="K36" s="10"/>
      <c r="L36" s="11"/>
      <c r="M36" s="12"/>
      <c r="N36" s="11"/>
      <c r="O36" s="195"/>
      <c r="P36" s="11"/>
      <c r="Q36" s="11"/>
      <c r="R36" s="12"/>
      <c r="S36" s="11"/>
      <c r="T36" s="195"/>
      <c r="V36" s="11"/>
      <c r="W36" s="12"/>
      <c r="X36" s="11"/>
      <c r="Y36" s="195"/>
      <c r="Z36" s="11"/>
      <c r="AA36" s="11"/>
      <c r="AB36" s="12"/>
      <c r="AC36" s="11"/>
      <c r="AD36" s="195"/>
      <c r="AE36" s="287"/>
      <c r="AF36" s="288"/>
    </row>
    <row r="37" spans="1:35" x14ac:dyDescent="0.4">
      <c r="A37" s="109" t="s">
        <v>347</v>
      </c>
      <c r="B37" s="613" t="s">
        <v>291</v>
      </c>
      <c r="C37" s="109" t="s">
        <v>248</v>
      </c>
      <c r="D37" s="338" t="s">
        <v>75</v>
      </c>
      <c r="E37" s="298">
        <v>1</v>
      </c>
      <c r="F37" s="377">
        <f>'Field Travel'!B18</f>
        <v>81.234999999999999</v>
      </c>
      <c r="G37" s="293">
        <f>'Volunteer Travel'!K8</f>
        <v>138</v>
      </c>
      <c r="H37" s="284" t="s">
        <v>128</v>
      </c>
      <c r="I37" s="10">
        <f>E37*F37*G37</f>
        <v>11210.43</v>
      </c>
      <c r="J37" s="383">
        <f>F37*G37</f>
        <v>11210.43</v>
      </c>
      <c r="K37" s="10">
        <v>1</v>
      </c>
      <c r="L37" s="385">
        <f>F37*1.02</f>
        <v>82.859700000000004</v>
      </c>
      <c r="M37" s="12">
        <f>'Volunteer Travel'!L8</f>
        <v>138</v>
      </c>
      <c r="N37" s="11">
        <f>L37*M37</f>
        <v>11434.6386</v>
      </c>
      <c r="O37" s="291">
        <f>L37*M37</f>
        <v>11434.6386</v>
      </c>
      <c r="P37" s="11">
        <v>1</v>
      </c>
      <c r="Q37" s="385">
        <f>L37*1.02</f>
        <v>84.516894000000008</v>
      </c>
      <c r="R37" s="12">
        <f>'Volunteer Travel'!M8</f>
        <v>150</v>
      </c>
      <c r="S37" s="11">
        <f>Q37*R37</f>
        <v>12677.534100000001</v>
      </c>
      <c r="T37" s="291">
        <f>Q37*R37</f>
        <v>12677.534100000001</v>
      </c>
      <c r="U37" s="293">
        <v>1</v>
      </c>
      <c r="V37" s="385">
        <f t="shared" ref="V37:V39" si="33">Q37*1.02</f>
        <v>86.207231880000009</v>
      </c>
      <c r="W37" s="12">
        <f>'Volunteer Travel'!N8</f>
        <v>132</v>
      </c>
      <c r="X37" s="11">
        <f>V37*W37</f>
        <v>11379.354608160002</v>
      </c>
      <c r="Y37" s="291">
        <f>V37*W37</f>
        <v>11379.354608160002</v>
      </c>
      <c r="Z37" s="11">
        <v>1</v>
      </c>
      <c r="AA37" s="385">
        <f>V37*1.02</f>
        <v>87.931376517600015</v>
      </c>
      <c r="AB37" s="12">
        <f>'Volunteer Travel'!O8</f>
        <v>132</v>
      </c>
      <c r="AC37" s="11">
        <f>AA37*AB37</f>
        <v>11606.941700323201</v>
      </c>
      <c r="AD37" s="291">
        <f>AA37*AB37</f>
        <v>11606.941700323201</v>
      </c>
      <c r="AE37" s="195">
        <f>SUM(AD37,Y37,T37,O37,J37)</f>
        <v>58308.899008483204</v>
      </c>
      <c r="AF37" s="288">
        <f t="shared" ref="AF37:AF39" si="34">SUM(AE37:AE37)</f>
        <v>58308.899008483204</v>
      </c>
      <c r="AG37" s="259">
        <f>AF37*0.7</f>
        <v>40816.229305938243</v>
      </c>
      <c r="AH37" s="260">
        <f>AG37/3</f>
        <v>13605.409768646081</v>
      </c>
      <c r="AI37" s="260">
        <f>AH37/12</f>
        <v>1133.7841473871733</v>
      </c>
    </row>
    <row r="38" spans="1:35" x14ac:dyDescent="0.4">
      <c r="A38" s="109" t="s">
        <v>347</v>
      </c>
      <c r="B38" s="613" t="s">
        <v>290</v>
      </c>
      <c r="C38" s="109" t="s">
        <v>248</v>
      </c>
      <c r="D38" s="338" t="s">
        <v>67</v>
      </c>
      <c r="E38" s="298">
        <v>1</v>
      </c>
      <c r="F38" s="377">
        <f>'Field Travel'!C18</f>
        <v>50.5</v>
      </c>
      <c r="G38" s="293">
        <f>G37</f>
        <v>138</v>
      </c>
      <c r="H38" s="284" t="s">
        <v>46</v>
      </c>
      <c r="I38" s="10">
        <f>E38*F38*G38</f>
        <v>6969</v>
      </c>
      <c r="J38" s="383">
        <f>F38*G38</f>
        <v>6969</v>
      </c>
      <c r="K38" s="10">
        <v>1</v>
      </c>
      <c r="L38" s="385">
        <f t="shared" ref="L38:L39" si="35">F38*1.02</f>
        <v>51.51</v>
      </c>
      <c r="M38" s="12">
        <f>M37</f>
        <v>138</v>
      </c>
      <c r="N38" s="11">
        <f>L38*M38</f>
        <v>7108.38</v>
      </c>
      <c r="O38" s="291">
        <f>L38*M38</f>
        <v>7108.38</v>
      </c>
      <c r="P38" s="11">
        <v>1</v>
      </c>
      <c r="Q38" s="385">
        <f t="shared" ref="Q38:Q39" si="36">L38*1.02</f>
        <v>52.540199999999999</v>
      </c>
      <c r="R38" s="12">
        <f>R37</f>
        <v>150</v>
      </c>
      <c r="S38" s="11">
        <f>Q38*R38</f>
        <v>7881.03</v>
      </c>
      <c r="T38" s="291">
        <f>Q38*R38</f>
        <v>7881.03</v>
      </c>
      <c r="U38" s="293">
        <v>1</v>
      </c>
      <c r="V38" s="385">
        <f t="shared" si="33"/>
        <v>53.591003999999998</v>
      </c>
      <c r="W38" s="12">
        <f>W37</f>
        <v>132</v>
      </c>
      <c r="X38" s="11">
        <f>V38*W38</f>
        <v>7074.0125279999993</v>
      </c>
      <c r="Y38" s="291">
        <f>V38*W38</f>
        <v>7074.0125279999993</v>
      </c>
      <c r="Z38" s="11">
        <v>1</v>
      </c>
      <c r="AA38" s="385">
        <f>V38*1.02</f>
        <v>54.66282408</v>
      </c>
      <c r="AB38" s="12">
        <f>AB37</f>
        <v>132</v>
      </c>
      <c r="AC38" s="11">
        <f>AA38*AB38</f>
        <v>7215.4927785600003</v>
      </c>
      <c r="AD38" s="291">
        <f>AA38*AB38</f>
        <v>7215.4927785600003</v>
      </c>
      <c r="AE38" s="195">
        <f>SUM(AD38,Y38,T38,O38,J38)</f>
        <v>36247.915306559997</v>
      </c>
      <c r="AF38" s="288">
        <f t="shared" si="34"/>
        <v>36247.915306559997</v>
      </c>
      <c r="AG38" s="259">
        <f>AF38*0.7</f>
        <v>25373.540714591996</v>
      </c>
      <c r="AH38" s="260">
        <f>AG38/3</f>
        <v>8457.8469048639981</v>
      </c>
      <c r="AI38" s="260">
        <f>AH38/12</f>
        <v>704.82057540533322</v>
      </c>
    </row>
    <row r="39" spans="1:35" x14ac:dyDescent="0.4">
      <c r="A39" s="109" t="s">
        <v>347</v>
      </c>
      <c r="B39" s="613" t="s">
        <v>300</v>
      </c>
      <c r="C39" s="109" t="s">
        <v>248</v>
      </c>
      <c r="D39" s="338" t="s">
        <v>133</v>
      </c>
      <c r="E39" s="298">
        <v>1</v>
      </c>
      <c r="F39" s="377">
        <f>'Field Travel'!D18</f>
        <v>64</v>
      </c>
      <c r="G39" s="293">
        <f>E25+E32+'Field Travel'!U24</f>
        <v>37</v>
      </c>
      <c r="H39" s="284" t="s">
        <v>70</v>
      </c>
      <c r="I39" s="10">
        <f>E39*F39*G39</f>
        <v>2368</v>
      </c>
      <c r="J39" s="383">
        <f>F39*G39</f>
        <v>2368</v>
      </c>
      <c r="K39" s="10">
        <v>1</v>
      </c>
      <c r="L39" s="385">
        <f t="shared" si="35"/>
        <v>65.28</v>
      </c>
      <c r="M39" s="12">
        <f>K25+K32+'Field Travel'!U25</f>
        <v>37</v>
      </c>
      <c r="N39" s="11">
        <f>L39*M39</f>
        <v>2415.36</v>
      </c>
      <c r="O39" s="291">
        <f>L39*M39</f>
        <v>2415.36</v>
      </c>
      <c r="P39" s="11">
        <v>1</v>
      </c>
      <c r="Q39" s="385">
        <f t="shared" si="36"/>
        <v>66.585599999999999</v>
      </c>
      <c r="R39" s="12">
        <f>P25+P32+'Field Travel'!U26</f>
        <v>45</v>
      </c>
      <c r="S39" s="11">
        <f>Q39*R39</f>
        <v>2996.3519999999999</v>
      </c>
      <c r="T39" s="291">
        <f>Q39*R39</f>
        <v>2996.3519999999999</v>
      </c>
      <c r="U39" s="293">
        <v>1</v>
      </c>
      <c r="V39" s="385">
        <f t="shared" si="33"/>
        <v>67.917311999999995</v>
      </c>
      <c r="W39" s="12">
        <f>U25+U32+'Field Travel'!U27</f>
        <v>36</v>
      </c>
      <c r="X39" s="11">
        <f>V39*W39</f>
        <v>2445.023232</v>
      </c>
      <c r="Y39" s="291">
        <f>V39*W39</f>
        <v>2445.023232</v>
      </c>
      <c r="Z39" s="11">
        <v>1</v>
      </c>
      <c r="AA39" s="385">
        <f t="shared" ref="AA39" si="37">V39*1.02</f>
        <v>69.275658239999999</v>
      </c>
      <c r="AB39" s="12">
        <f>Z25+Z32+'Field Travel'!U28</f>
        <v>36</v>
      </c>
      <c r="AC39" s="11">
        <f>AA39*AB39</f>
        <v>2493.9236966399999</v>
      </c>
      <c r="AD39" s="291">
        <f>AA39*AB39</f>
        <v>2493.9236966399999</v>
      </c>
      <c r="AE39" s="195">
        <f>SUM(AD39,Y39,T39,O39,J39)</f>
        <v>12718.658928639999</v>
      </c>
      <c r="AF39" s="288">
        <f t="shared" si="34"/>
        <v>12718.658928639999</v>
      </c>
      <c r="AG39" s="259">
        <f>AF39*0.7</f>
        <v>8903.0612500479983</v>
      </c>
      <c r="AH39" s="260">
        <f>AG39/3</f>
        <v>2967.6870833493326</v>
      </c>
      <c r="AI39" s="260">
        <f>AH39/12</f>
        <v>247.30725694577771</v>
      </c>
    </row>
    <row r="40" spans="1:35" x14ac:dyDescent="0.4">
      <c r="A40" s="109"/>
      <c r="B40" s="613"/>
      <c r="C40" s="109"/>
      <c r="D40" s="297"/>
      <c r="E40" s="298"/>
      <c r="F40" s="377"/>
      <c r="G40" s="11"/>
      <c r="H40" s="284"/>
      <c r="I40" s="10"/>
      <c r="J40" s="383"/>
      <c r="K40" s="10"/>
      <c r="L40" s="385"/>
      <c r="M40" s="12"/>
      <c r="N40" s="11"/>
      <c r="O40" s="291"/>
      <c r="P40" s="11"/>
      <c r="Q40" s="385"/>
      <c r="R40" s="12"/>
      <c r="S40" s="11"/>
      <c r="T40" s="291"/>
      <c r="U40" s="293"/>
      <c r="V40" s="385"/>
      <c r="W40" s="12"/>
      <c r="X40" s="11"/>
      <c r="Y40" s="291"/>
      <c r="Z40" s="11"/>
      <c r="AA40" s="385"/>
      <c r="AB40" s="12"/>
      <c r="AC40" s="11"/>
      <c r="AD40" s="291"/>
      <c r="AE40" s="195"/>
      <c r="AF40" s="291"/>
      <c r="AG40" s="259"/>
      <c r="AH40" s="260"/>
      <c r="AI40" s="260"/>
    </row>
    <row r="41" spans="1:35" x14ac:dyDescent="0.4">
      <c r="A41" s="372"/>
      <c r="B41" s="372"/>
      <c r="C41" s="622"/>
      <c r="D41" s="370" t="s">
        <v>16</v>
      </c>
      <c r="E41" s="375"/>
      <c r="F41" s="24"/>
      <c r="G41" s="24"/>
      <c r="H41" s="289"/>
      <c r="I41" s="290"/>
      <c r="J41" s="383"/>
      <c r="K41" s="290"/>
      <c r="L41" s="292"/>
      <c r="M41" s="336"/>
      <c r="N41" s="292"/>
      <c r="O41" s="195"/>
      <c r="P41" s="292"/>
      <c r="Q41" s="292"/>
      <c r="R41" s="336"/>
      <c r="S41" s="292"/>
      <c r="T41" s="195"/>
      <c r="U41" s="24"/>
      <c r="V41" s="292"/>
      <c r="W41" s="336"/>
      <c r="X41" s="292"/>
      <c r="Y41" s="195"/>
      <c r="Z41" s="292"/>
      <c r="AA41" s="292"/>
      <c r="AB41" s="336"/>
      <c r="AC41" s="292"/>
      <c r="AD41" s="195"/>
      <c r="AE41" s="287"/>
      <c r="AF41" s="288"/>
      <c r="AI41" s="260">
        <f>AH35/10</f>
        <v>123.78470018880003</v>
      </c>
    </row>
    <row r="42" spans="1:35" x14ac:dyDescent="0.4">
      <c r="A42" s="109" t="s">
        <v>320</v>
      </c>
      <c r="B42" s="109" t="s">
        <v>320</v>
      </c>
      <c r="C42" s="109" t="s">
        <v>320</v>
      </c>
      <c r="D42" s="373" t="s">
        <v>134</v>
      </c>
      <c r="E42" s="285">
        <v>0</v>
      </c>
      <c r="F42" s="458">
        <v>0</v>
      </c>
      <c r="G42" s="4">
        <v>1</v>
      </c>
      <c r="H42" s="376" t="s">
        <v>40</v>
      </c>
      <c r="I42" s="10">
        <f>E42*F42*G42</f>
        <v>0</v>
      </c>
      <c r="J42" s="339">
        <f>SUM(I42:I42)</f>
        <v>0</v>
      </c>
      <c r="K42" s="11"/>
      <c r="L42" s="11"/>
      <c r="M42" s="12"/>
      <c r="N42" s="11">
        <f>M42*L42*K42</f>
        <v>0</v>
      </c>
      <c r="O42" s="195">
        <f>SUM(N42:N42)</f>
        <v>0</v>
      </c>
      <c r="P42" s="11"/>
      <c r="Q42" s="11"/>
      <c r="R42" s="12"/>
      <c r="S42" s="11">
        <f>R42*Q42*P42</f>
        <v>0</v>
      </c>
      <c r="T42" s="195">
        <f>SUM(S42:S42)</f>
        <v>0</v>
      </c>
      <c r="V42" s="11"/>
      <c r="W42" s="12"/>
      <c r="X42" s="11">
        <f>W42*V42*U42</f>
        <v>0</v>
      </c>
      <c r="Y42" s="195">
        <f>SUM(X42:X42)</f>
        <v>0</v>
      </c>
      <c r="Z42" s="11"/>
      <c r="AA42" s="11"/>
      <c r="AB42" s="12"/>
      <c r="AC42" s="11">
        <f>AB42*AA42*Z42</f>
        <v>0</v>
      </c>
      <c r="AD42" s="195">
        <f>SUM(AC42:AC42)</f>
        <v>0</v>
      </c>
      <c r="AE42" s="287">
        <f>I42+N42+S42+X42+AC42</f>
        <v>0</v>
      </c>
      <c r="AF42" s="288">
        <f t="shared" ref="AF42" si="38">SUM(AE42:AE42)</f>
        <v>0</v>
      </c>
    </row>
    <row r="43" spans="1:35" x14ac:dyDescent="0.4">
      <c r="A43" s="109"/>
      <c r="B43" s="109"/>
      <c r="C43" s="109"/>
      <c r="D43" s="372" t="s">
        <v>135</v>
      </c>
      <c r="E43" s="375"/>
      <c r="F43" s="24"/>
      <c r="G43" s="24"/>
      <c r="H43" s="289"/>
      <c r="I43" s="290">
        <f>SUM(I41:I42)</f>
        <v>0</v>
      </c>
      <c r="J43" s="383">
        <f>SUM(J41:J42)</f>
        <v>0</v>
      </c>
      <c r="K43" s="290"/>
      <c r="L43" s="292"/>
      <c r="M43" s="336"/>
      <c r="N43" s="292">
        <f>SUM(N41:N42)</f>
        <v>0</v>
      </c>
      <c r="O43" s="291">
        <f>SUM(O41:O42)</f>
        <v>0</v>
      </c>
      <c r="P43" s="292"/>
      <c r="Q43" s="292"/>
      <c r="R43" s="336"/>
      <c r="S43" s="292">
        <f>SUM(S41:S42)</f>
        <v>0</v>
      </c>
      <c r="T43" s="291">
        <f>SUM(T41:T42)</f>
        <v>0</v>
      </c>
      <c r="U43" s="24"/>
      <c r="V43" s="292"/>
      <c r="W43" s="336"/>
      <c r="X43" s="292">
        <f>SUM(X41:X42)</f>
        <v>0</v>
      </c>
      <c r="Y43" s="291">
        <f>SUM(Y41:Y42)</f>
        <v>0</v>
      </c>
      <c r="Z43" s="292"/>
      <c r="AA43" s="292"/>
      <c r="AB43" s="336"/>
      <c r="AC43" s="292">
        <f>SUM(AC41:AC42)</f>
        <v>0</v>
      </c>
      <c r="AD43" s="291">
        <f>SUM(AD41:AD42)</f>
        <v>0</v>
      </c>
      <c r="AE43" s="287">
        <f>I43+N43+S43+X43+AC43</f>
        <v>0</v>
      </c>
      <c r="AF43" s="288">
        <f>SUM(AE43:AE43)</f>
        <v>0</v>
      </c>
    </row>
    <row r="44" spans="1:35" x14ac:dyDescent="0.4">
      <c r="A44" s="109"/>
      <c r="B44" s="372"/>
      <c r="C44" s="622"/>
      <c r="D44" s="370"/>
      <c r="E44" s="285"/>
      <c r="H44" s="284"/>
      <c r="I44" s="10"/>
      <c r="J44" s="339"/>
      <c r="K44" s="10"/>
      <c r="L44" s="11"/>
      <c r="M44" s="12"/>
      <c r="N44" s="11"/>
      <c r="O44" s="195"/>
      <c r="P44" s="11"/>
      <c r="Q44" s="11"/>
      <c r="R44" s="12"/>
      <c r="S44" s="11"/>
      <c r="T44" s="195"/>
      <c r="V44" s="11"/>
      <c r="W44" s="12"/>
      <c r="X44" s="11"/>
      <c r="Y44" s="195"/>
      <c r="Z44" s="11"/>
      <c r="AA44" s="11"/>
      <c r="AB44" s="12"/>
      <c r="AC44" s="11"/>
      <c r="AD44" s="195"/>
      <c r="AE44" s="287"/>
      <c r="AF44" s="288"/>
    </row>
    <row r="45" spans="1:35" x14ac:dyDescent="0.4">
      <c r="A45" s="109"/>
      <c r="B45" s="372"/>
      <c r="C45" s="622"/>
      <c r="D45" s="370" t="s">
        <v>145</v>
      </c>
      <c r="E45" s="285"/>
      <c r="H45" s="284"/>
      <c r="I45" s="10"/>
      <c r="J45" s="339"/>
      <c r="K45" s="10"/>
      <c r="L45" s="11"/>
      <c r="M45" s="12"/>
      <c r="N45" s="11"/>
      <c r="O45" s="195"/>
      <c r="P45" s="11"/>
      <c r="Q45" s="11"/>
      <c r="R45" s="12"/>
      <c r="S45" s="11"/>
      <c r="T45" s="195"/>
      <c r="V45" s="11"/>
      <c r="W45" s="12"/>
      <c r="X45" s="11"/>
      <c r="Y45" s="195"/>
      <c r="Z45" s="11"/>
      <c r="AA45" s="11"/>
      <c r="AB45" s="12"/>
      <c r="AC45" s="11"/>
      <c r="AD45" s="195"/>
      <c r="AE45" s="287"/>
      <c r="AF45" s="288"/>
    </row>
    <row r="46" spans="1:35" x14ac:dyDescent="0.4">
      <c r="A46" s="109" t="s">
        <v>348</v>
      </c>
      <c r="B46" s="602" t="s">
        <v>299</v>
      </c>
      <c r="C46" s="109" t="s">
        <v>248</v>
      </c>
      <c r="D46" s="374" t="s">
        <v>137</v>
      </c>
      <c r="E46" s="285">
        <v>1</v>
      </c>
      <c r="F46" s="293">
        <f>'FO Expenses'!L26</f>
        <v>75</v>
      </c>
      <c r="G46" s="293">
        <v>11</v>
      </c>
      <c r="H46" s="294" t="s">
        <v>31</v>
      </c>
      <c r="I46" s="10">
        <f>G46*F46*E46</f>
        <v>825</v>
      </c>
      <c r="J46" s="339">
        <f t="shared" ref="J46:J51" si="39">SUM(I46:I46)</f>
        <v>825</v>
      </c>
      <c r="K46" s="10">
        <v>1</v>
      </c>
      <c r="L46" s="11">
        <f>F46*1.02</f>
        <v>76.5</v>
      </c>
      <c r="M46" s="12">
        <v>12</v>
      </c>
      <c r="N46" s="11">
        <f t="shared" ref="N46" si="40">M46*L46*K46</f>
        <v>918</v>
      </c>
      <c r="O46" s="195">
        <f t="shared" ref="O46:O51" si="41">SUM(N46:N46)</f>
        <v>918</v>
      </c>
      <c r="P46" s="11">
        <v>1</v>
      </c>
      <c r="Q46" s="11">
        <f>L46*1.02</f>
        <v>78.03</v>
      </c>
      <c r="R46" s="12">
        <v>12</v>
      </c>
      <c r="S46" s="11">
        <f>R46*Q46*P46</f>
        <v>936.36</v>
      </c>
      <c r="T46" s="295">
        <f t="shared" ref="T46:T51" si="42">SUM(S46:S46)</f>
        <v>936.36</v>
      </c>
      <c r="U46" s="293">
        <v>1</v>
      </c>
      <c r="V46" s="11">
        <f t="shared" ref="V46:V51" si="43">Q46*1.02</f>
        <v>79.590600000000009</v>
      </c>
      <c r="W46" s="12">
        <v>12</v>
      </c>
      <c r="X46" s="11">
        <f>W46*V46*U46</f>
        <v>955.08720000000017</v>
      </c>
      <c r="Y46" s="195">
        <f t="shared" ref="Y46:Y51" si="44">SUM(X46:X46)</f>
        <v>955.08720000000017</v>
      </c>
      <c r="Z46" s="11">
        <v>1</v>
      </c>
      <c r="AA46" s="11">
        <f>V46*1.02</f>
        <v>81.182412000000014</v>
      </c>
      <c r="AB46" s="12">
        <v>9</v>
      </c>
      <c r="AC46" s="11">
        <f>AB46*AA46*Z46</f>
        <v>730.64170800000011</v>
      </c>
      <c r="AD46" s="195">
        <f t="shared" ref="AD46:AD51" si="45">SUM(AC46:AC46)</f>
        <v>730.64170800000011</v>
      </c>
      <c r="AE46" s="358">
        <f t="shared" ref="AE46:AE51" si="46">I46+N46+S46+X46+AC46</f>
        <v>4365.0889080000006</v>
      </c>
      <c r="AF46" s="288">
        <f t="shared" ref="AF46:AF52" si="47">SUM(AE46:AE46)</f>
        <v>4365.0889080000006</v>
      </c>
    </row>
    <row r="47" spans="1:35" x14ac:dyDescent="0.4">
      <c r="A47" s="109" t="s">
        <v>349</v>
      </c>
      <c r="B47" s="602">
        <v>85105</v>
      </c>
      <c r="C47" s="109" t="s">
        <v>248</v>
      </c>
      <c r="D47" s="371" t="s">
        <v>138</v>
      </c>
      <c r="E47" s="285">
        <v>1</v>
      </c>
      <c r="F47" s="293">
        <f>'FO Expenses'!L27</f>
        <v>156.5</v>
      </c>
      <c r="G47" s="293">
        <v>11</v>
      </c>
      <c r="H47" s="294" t="s">
        <v>31</v>
      </c>
      <c r="I47" s="10">
        <f>G47*F47*E47</f>
        <v>1721.5</v>
      </c>
      <c r="J47" s="339">
        <f t="shared" si="39"/>
        <v>1721.5</v>
      </c>
      <c r="K47" s="10">
        <v>1</v>
      </c>
      <c r="L47" s="11">
        <f>F47*1.02</f>
        <v>159.63</v>
      </c>
      <c r="M47" s="12">
        <v>12</v>
      </c>
      <c r="N47" s="11">
        <f>M47*L47*K47</f>
        <v>1915.56</v>
      </c>
      <c r="O47" s="195">
        <f t="shared" si="41"/>
        <v>1915.56</v>
      </c>
      <c r="P47" s="11">
        <v>1</v>
      </c>
      <c r="Q47" s="11">
        <f>L47*1.02</f>
        <v>162.82259999999999</v>
      </c>
      <c r="R47" s="12">
        <v>12</v>
      </c>
      <c r="S47" s="11">
        <f>R47*Q47*P47</f>
        <v>1953.8712</v>
      </c>
      <c r="T47" s="295">
        <f t="shared" si="42"/>
        <v>1953.8712</v>
      </c>
      <c r="U47" s="293">
        <v>1</v>
      </c>
      <c r="V47" s="11">
        <f t="shared" si="43"/>
        <v>166.07905199999999</v>
      </c>
      <c r="W47" s="12">
        <v>12</v>
      </c>
      <c r="X47" s="11">
        <f>W47*V47*U47</f>
        <v>1992.9486239999999</v>
      </c>
      <c r="Y47" s="195">
        <f t="shared" si="44"/>
        <v>1992.9486239999999</v>
      </c>
      <c r="Z47" s="11">
        <v>1</v>
      </c>
      <c r="AA47" s="11">
        <f>V47*1.02</f>
        <v>169.40063304</v>
      </c>
      <c r="AB47" s="12">
        <v>9</v>
      </c>
      <c r="AC47" s="11">
        <f>AB47*AA47*Z47</f>
        <v>1524.60569736</v>
      </c>
      <c r="AD47" s="195">
        <f t="shared" si="45"/>
        <v>1524.60569736</v>
      </c>
      <c r="AE47" s="287">
        <f t="shared" si="46"/>
        <v>9108.4855213600003</v>
      </c>
      <c r="AF47" s="288">
        <f t="shared" si="47"/>
        <v>9108.4855213600003</v>
      </c>
    </row>
    <row r="48" spans="1:35" x14ac:dyDescent="0.4">
      <c r="A48" s="109" t="s">
        <v>350</v>
      </c>
      <c r="B48" s="602" t="s">
        <v>301</v>
      </c>
      <c r="C48" s="109" t="s">
        <v>248</v>
      </c>
      <c r="D48" s="371" t="s">
        <v>139</v>
      </c>
      <c r="E48" s="285">
        <v>1</v>
      </c>
      <c r="F48" s="293">
        <f>'FO Expenses'!L28</f>
        <v>48</v>
      </c>
      <c r="G48" s="293">
        <v>11</v>
      </c>
      <c r="H48" s="294" t="s">
        <v>31</v>
      </c>
      <c r="I48" s="10">
        <f>G48*F48*E48</f>
        <v>528</v>
      </c>
      <c r="J48" s="339">
        <f t="shared" si="39"/>
        <v>528</v>
      </c>
      <c r="K48" s="10">
        <v>1</v>
      </c>
      <c r="L48" s="11">
        <f>F48*1.02</f>
        <v>48.96</v>
      </c>
      <c r="M48" s="12">
        <v>12</v>
      </c>
      <c r="N48" s="11">
        <f>M48*L48*K48</f>
        <v>587.52</v>
      </c>
      <c r="O48" s="195">
        <f t="shared" si="41"/>
        <v>587.52</v>
      </c>
      <c r="P48" s="11">
        <v>1</v>
      </c>
      <c r="Q48" s="11">
        <f t="shared" ref="Q48:Q51" si="48">L48*1.02</f>
        <v>49.9392</v>
      </c>
      <c r="R48" s="12">
        <v>12</v>
      </c>
      <c r="S48" s="11">
        <f>R48*Q48*P48</f>
        <v>599.2704</v>
      </c>
      <c r="T48" s="295">
        <f t="shared" si="42"/>
        <v>599.2704</v>
      </c>
      <c r="U48" s="293">
        <v>1</v>
      </c>
      <c r="V48" s="11">
        <f t="shared" si="43"/>
        <v>50.937984</v>
      </c>
      <c r="W48" s="12">
        <v>12</v>
      </c>
      <c r="X48" s="11">
        <f>W48*V48*U48</f>
        <v>611.255808</v>
      </c>
      <c r="Y48" s="195">
        <f t="shared" si="44"/>
        <v>611.255808</v>
      </c>
      <c r="Z48" s="11">
        <v>1</v>
      </c>
      <c r="AA48" s="11">
        <f t="shared" ref="AA48:AA51" si="49">V48*1.02</f>
        <v>51.956743680000002</v>
      </c>
      <c r="AB48" s="12">
        <v>9</v>
      </c>
      <c r="AC48" s="11">
        <f>AB48*AA48*Z48</f>
        <v>467.61069312000001</v>
      </c>
      <c r="AD48" s="195">
        <f t="shared" si="45"/>
        <v>467.61069312000001</v>
      </c>
      <c r="AE48" s="287">
        <f>I48+N48+S48+X48+AC48</f>
        <v>2793.6569011199999</v>
      </c>
      <c r="AF48" s="288">
        <f t="shared" si="47"/>
        <v>2793.6569011199999</v>
      </c>
    </row>
    <row r="49" spans="1:32" x14ac:dyDescent="0.4">
      <c r="A49" s="109" t="s">
        <v>351</v>
      </c>
      <c r="B49" s="602" t="s">
        <v>302</v>
      </c>
      <c r="C49" s="109" t="s">
        <v>248</v>
      </c>
      <c r="D49" s="371" t="s">
        <v>140</v>
      </c>
      <c r="E49" s="285">
        <v>1</v>
      </c>
      <c r="F49" s="293">
        <f>'FO Expenses'!L30</f>
        <v>100</v>
      </c>
      <c r="G49" s="293">
        <v>11</v>
      </c>
      <c r="H49" s="294" t="s">
        <v>31</v>
      </c>
      <c r="I49" s="10">
        <f>G49*F49*E49</f>
        <v>1100</v>
      </c>
      <c r="J49" s="339">
        <f t="shared" si="39"/>
        <v>1100</v>
      </c>
      <c r="K49" s="10">
        <v>1</v>
      </c>
      <c r="L49" s="11">
        <f>F49*1.02</f>
        <v>102</v>
      </c>
      <c r="M49" s="12">
        <v>12</v>
      </c>
      <c r="N49" s="11">
        <f t="shared" ref="N49:N51" si="50">M49*L49*K49</f>
        <v>1224</v>
      </c>
      <c r="O49" s="195">
        <f t="shared" si="41"/>
        <v>1224</v>
      </c>
      <c r="P49" s="11">
        <v>1</v>
      </c>
      <c r="Q49" s="11">
        <f t="shared" si="48"/>
        <v>104.04</v>
      </c>
      <c r="R49" s="12">
        <v>12</v>
      </c>
      <c r="S49" s="11">
        <f t="shared" ref="S49:S51" si="51">R49*Q49*P49</f>
        <v>1248.48</v>
      </c>
      <c r="T49" s="295">
        <f t="shared" si="42"/>
        <v>1248.48</v>
      </c>
      <c r="U49" s="293">
        <v>1</v>
      </c>
      <c r="V49" s="11">
        <f t="shared" si="43"/>
        <v>106.1208</v>
      </c>
      <c r="W49" s="12">
        <v>12</v>
      </c>
      <c r="X49" s="11">
        <f t="shared" ref="X49:X51" si="52">W49*V49*U49</f>
        <v>1273.4495999999999</v>
      </c>
      <c r="Y49" s="195">
        <f t="shared" si="44"/>
        <v>1273.4495999999999</v>
      </c>
      <c r="Z49" s="11">
        <v>1</v>
      </c>
      <c r="AA49" s="11">
        <f t="shared" si="49"/>
        <v>108.243216</v>
      </c>
      <c r="AB49" s="12">
        <v>9</v>
      </c>
      <c r="AC49" s="11">
        <f t="shared" ref="AC49:AC51" si="53">AB49*AA49*Z49</f>
        <v>974.18894399999999</v>
      </c>
      <c r="AD49" s="195">
        <f t="shared" si="45"/>
        <v>974.18894399999999</v>
      </c>
      <c r="AE49" s="287">
        <f t="shared" si="46"/>
        <v>5820.118543999999</v>
      </c>
      <c r="AF49" s="288">
        <f t="shared" si="47"/>
        <v>5820.118543999999</v>
      </c>
    </row>
    <row r="50" spans="1:32" x14ac:dyDescent="0.4">
      <c r="A50" s="109" t="s">
        <v>352</v>
      </c>
      <c r="B50" s="602" t="s">
        <v>303</v>
      </c>
      <c r="C50" s="109" t="s">
        <v>248</v>
      </c>
      <c r="D50" s="371" t="s">
        <v>141</v>
      </c>
      <c r="E50" s="285">
        <v>1</v>
      </c>
      <c r="F50" s="293">
        <f>'FO Expenses'!G18</f>
        <v>1400</v>
      </c>
      <c r="G50" s="293">
        <v>11</v>
      </c>
      <c r="H50" s="294" t="s">
        <v>31</v>
      </c>
      <c r="I50" s="10">
        <f t="shared" ref="I50:I51" si="54">G50*F50*E50</f>
        <v>15400</v>
      </c>
      <c r="J50" s="339">
        <f t="shared" si="39"/>
        <v>15400</v>
      </c>
      <c r="K50" s="10">
        <v>1</v>
      </c>
      <c r="L50" s="11">
        <f t="shared" ref="L50:L51" si="55">F50*1.02</f>
        <v>1428</v>
      </c>
      <c r="M50" s="12">
        <v>12</v>
      </c>
      <c r="N50" s="11">
        <f t="shared" si="50"/>
        <v>17136</v>
      </c>
      <c r="O50" s="195">
        <f t="shared" si="41"/>
        <v>17136</v>
      </c>
      <c r="P50" s="11">
        <v>1</v>
      </c>
      <c r="Q50" s="11">
        <f t="shared" si="48"/>
        <v>1456.56</v>
      </c>
      <c r="R50" s="12">
        <v>12</v>
      </c>
      <c r="S50" s="11">
        <f t="shared" si="51"/>
        <v>17478.72</v>
      </c>
      <c r="T50" s="295">
        <f t="shared" si="42"/>
        <v>17478.72</v>
      </c>
      <c r="U50" s="293">
        <v>1</v>
      </c>
      <c r="V50" s="11">
        <f t="shared" si="43"/>
        <v>1485.6912</v>
      </c>
      <c r="W50" s="12">
        <v>12</v>
      </c>
      <c r="X50" s="11">
        <f t="shared" si="52"/>
        <v>17828.294399999999</v>
      </c>
      <c r="Y50" s="195">
        <f t="shared" si="44"/>
        <v>17828.294399999999</v>
      </c>
      <c r="Z50" s="11">
        <v>1</v>
      </c>
      <c r="AA50" s="11">
        <f t="shared" si="49"/>
        <v>1515.4050239999999</v>
      </c>
      <c r="AB50" s="12">
        <v>6</v>
      </c>
      <c r="AC50" s="11">
        <f t="shared" si="53"/>
        <v>9092.4301439999999</v>
      </c>
      <c r="AD50" s="195">
        <f t="shared" si="45"/>
        <v>9092.4301439999999</v>
      </c>
      <c r="AE50" s="287">
        <f t="shared" si="46"/>
        <v>76935.444543999998</v>
      </c>
      <c r="AF50" s="288">
        <f t="shared" si="47"/>
        <v>76935.444543999998</v>
      </c>
    </row>
    <row r="51" spans="1:32" x14ac:dyDescent="0.4">
      <c r="A51" s="109" t="s">
        <v>353</v>
      </c>
      <c r="B51" s="602" t="s">
        <v>304</v>
      </c>
      <c r="C51" s="109" t="s">
        <v>248</v>
      </c>
      <c r="D51" s="371" t="s">
        <v>142</v>
      </c>
      <c r="E51" s="285">
        <v>1</v>
      </c>
      <c r="F51" s="293">
        <f>'FO Expenses'!L29</f>
        <v>200</v>
      </c>
      <c r="G51" s="293">
        <v>11</v>
      </c>
      <c r="H51" s="294" t="s">
        <v>31</v>
      </c>
      <c r="I51" s="10">
        <f t="shared" si="54"/>
        <v>2200</v>
      </c>
      <c r="J51" s="339">
        <f t="shared" si="39"/>
        <v>2200</v>
      </c>
      <c r="K51" s="10">
        <v>1</v>
      </c>
      <c r="L51" s="11">
        <f t="shared" si="55"/>
        <v>204</v>
      </c>
      <c r="M51" s="12">
        <v>12</v>
      </c>
      <c r="N51" s="11">
        <f t="shared" si="50"/>
        <v>2448</v>
      </c>
      <c r="O51" s="195">
        <f t="shared" si="41"/>
        <v>2448</v>
      </c>
      <c r="P51" s="11">
        <v>1</v>
      </c>
      <c r="Q51" s="11">
        <f t="shared" si="48"/>
        <v>208.08</v>
      </c>
      <c r="R51" s="12">
        <v>12</v>
      </c>
      <c r="S51" s="11">
        <f t="shared" si="51"/>
        <v>2496.96</v>
      </c>
      <c r="T51" s="295">
        <f t="shared" si="42"/>
        <v>2496.96</v>
      </c>
      <c r="U51" s="293">
        <v>1</v>
      </c>
      <c r="V51" s="11">
        <f t="shared" si="43"/>
        <v>212.24160000000001</v>
      </c>
      <c r="W51" s="12">
        <v>12</v>
      </c>
      <c r="X51" s="11">
        <f t="shared" si="52"/>
        <v>2546.8991999999998</v>
      </c>
      <c r="Y51" s="195">
        <f t="shared" si="44"/>
        <v>2546.8991999999998</v>
      </c>
      <c r="Z51" s="11">
        <v>1</v>
      </c>
      <c r="AA51" s="11">
        <f t="shared" si="49"/>
        <v>216.48643200000001</v>
      </c>
      <c r="AB51" s="12">
        <v>9</v>
      </c>
      <c r="AC51" s="11">
        <f t="shared" si="53"/>
        <v>1948.377888</v>
      </c>
      <c r="AD51" s="195">
        <f t="shared" si="45"/>
        <v>1948.377888</v>
      </c>
      <c r="AE51" s="287">
        <f t="shared" si="46"/>
        <v>11640.237087999998</v>
      </c>
      <c r="AF51" s="288">
        <f t="shared" si="47"/>
        <v>11640.237087999998</v>
      </c>
    </row>
    <row r="52" spans="1:32" ht="12.75" customHeight="1" x14ac:dyDescent="0.4">
      <c r="A52" s="109"/>
      <c r="B52" s="613"/>
      <c r="C52" s="622"/>
      <c r="D52" s="372" t="s">
        <v>143</v>
      </c>
      <c r="E52" s="375"/>
      <c r="F52" s="337"/>
      <c r="G52" s="337"/>
      <c r="H52" s="299"/>
      <c r="I52" s="292">
        <f>SUM(I46:I51)</f>
        <v>21774.5</v>
      </c>
      <c r="J52" s="383">
        <f>SUM(J46:J51)</f>
        <v>21774.5</v>
      </c>
      <c r="K52" s="290"/>
      <c r="L52" s="292"/>
      <c r="M52" s="336"/>
      <c r="N52" s="292">
        <f>SUM(N46:N51)</f>
        <v>24229.08</v>
      </c>
      <c r="O52" s="383">
        <f>SUM(O46:O51)</f>
        <v>24229.08</v>
      </c>
      <c r="P52" s="292"/>
      <c r="Q52" s="292"/>
      <c r="R52" s="336"/>
      <c r="S52" s="292">
        <f>SUM(S46:S51)</f>
        <v>24713.661599999999</v>
      </c>
      <c r="T52" s="383">
        <f>SUM(T46:T51)</f>
        <v>24713.661599999999</v>
      </c>
      <c r="U52" s="337"/>
      <c r="V52" s="292"/>
      <c r="W52" s="336"/>
      <c r="X52" s="292">
        <f>SUM(X46:X51)</f>
        <v>25207.934831999999</v>
      </c>
      <c r="Y52" s="383">
        <f>SUM(Y46:Y51)</f>
        <v>25207.934831999999</v>
      </c>
      <c r="Z52" s="292"/>
      <c r="AA52" s="292"/>
      <c r="AB52" s="336"/>
      <c r="AC52" s="292">
        <f>SUM(AC46:AC51)</f>
        <v>14737.855074480001</v>
      </c>
      <c r="AD52" s="383">
        <f>SUM(AD46:AD51)</f>
        <v>14737.855074480001</v>
      </c>
      <c r="AE52" s="287">
        <f>I52+N52+S52+X52+AC52</f>
        <v>110663.03150648001</v>
      </c>
      <c r="AF52" s="288">
        <f t="shared" si="47"/>
        <v>110663.03150648001</v>
      </c>
    </row>
    <row r="53" spans="1:32" ht="12.6" thickBot="1" x14ac:dyDescent="0.45">
      <c r="A53" s="109"/>
      <c r="B53" s="613"/>
      <c r="C53" s="624"/>
      <c r="D53" s="374"/>
      <c r="E53" s="285"/>
      <c r="H53" s="284"/>
      <c r="I53" s="10"/>
      <c r="J53" s="384"/>
      <c r="K53" s="285"/>
      <c r="M53" s="284"/>
      <c r="N53" s="11"/>
      <c r="O53" s="195"/>
      <c r="R53" s="284"/>
      <c r="S53" s="11"/>
      <c r="T53" s="195"/>
      <c r="V53" s="11"/>
      <c r="W53" s="12"/>
      <c r="X53" s="11"/>
      <c r="Y53" s="339"/>
      <c r="Z53" s="10"/>
      <c r="AA53" s="11"/>
      <c r="AB53" s="12"/>
      <c r="AC53" s="11"/>
      <c r="AD53" s="195"/>
      <c r="AE53" s="287"/>
      <c r="AF53" s="288"/>
    </row>
    <row r="54" spans="1:32" ht="12.6" thickBot="1" x14ac:dyDescent="0.45">
      <c r="A54" s="378"/>
      <c r="B54" s="378"/>
      <c r="C54" s="378"/>
      <c r="D54" s="378" t="s">
        <v>8</v>
      </c>
      <c r="E54" s="379"/>
      <c r="F54" s="300"/>
      <c r="G54" s="300"/>
      <c r="H54" s="380"/>
      <c r="I54" s="359">
        <f>I52+I15+I18+I43+I13+I29</f>
        <v>122147.27499999999</v>
      </c>
      <c r="J54" s="303">
        <f>J52+J15+J18+J43+J13+J29</f>
        <v>122147.27499999999</v>
      </c>
      <c r="K54" s="379"/>
      <c r="L54" s="300"/>
      <c r="M54" s="301"/>
      <c r="N54" s="302">
        <f>N52+N15+N18+N43+N13+N29</f>
        <v>127812.72900000001</v>
      </c>
      <c r="O54" s="303">
        <f>O52+O15+O18+O43+O13+O29</f>
        <v>127812.72900000001</v>
      </c>
      <c r="P54" s="300"/>
      <c r="Q54" s="300"/>
      <c r="R54" s="301"/>
      <c r="S54" s="302">
        <f>S52+S15+S18+S43+S13+S29</f>
        <v>131259.36807</v>
      </c>
      <c r="T54" s="303">
        <f>T52+T15+T18+T43+T13+T29</f>
        <v>131259.36807</v>
      </c>
      <c r="U54" s="300"/>
      <c r="V54" s="359"/>
      <c r="W54" s="360"/>
      <c r="X54" s="302">
        <f>X52+X15+X18+X43+X13+X29</f>
        <v>133487.04363210005</v>
      </c>
      <c r="Y54" s="303">
        <f>Y52+Y15+Y18+Y43+Y13+Y29</f>
        <v>134934.53134410002</v>
      </c>
      <c r="Z54" s="359"/>
      <c r="AA54" s="359"/>
      <c r="AB54" s="360"/>
      <c r="AC54" s="302">
        <f>AC52+AC15+AC18+AC43+AC13+AC29</f>
        <v>100026.69415015724</v>
      </c>
      <c r="AD54" s="303">
        <f>AD52+AD15+AD18+AD43+AD13+AD29</f>
        <v>100026.69415015724</v>
      </c>
      <c r="AE54" s="304">
        <f>AE52+AE15+AE18+AE43+AE13+AE29</f>
        <v>616180.59756425722</v>
      </c>
      <c r="AF54" s="305">
        <f>AF52+AF15+AF18+AF43+AF13+AF29</f>
        <v>616180.59756425722</v>
      </c>
    </row>
    <row r="55" spans="1:32" x14ac:dyDescent="0.4">
      <c r="A55" s="306"/>
      <c r="B55" s="306"/>
      <c r="C55" s="306"/>
      <c r="D55" s="306"/>
    </row>
    <row r="56" spans="1:32" x14ac:dyDescent="0.4">
      <c r="A56" s="306"/>
      <c r="B56" s="306"/>
      <c r="C56" s="306"/>
    </row>
    <row r="61" spans="1:32" x14ac:dyDescent="0.4">
      <c r="D61" s="234"/>
      <c r="F61" s="307"/>
      <c r="G61" s="307"/>
      <c r="H61" s="307"/>
      <c r="L61" s="307"/>
      <c r="M61" s="307"/>
      <c r="Q61" s="307"/>
      <c r="R61" s="307"/>
      <c r="V61" s="307"/>
      <c r="W61" s="307"/>
      <c r="AA61" s="307"/>
      <c r="AB61" s="307"/>
    </row>
    <row r="62" spans="1:32" x14ac:dyDescent="0.4">
      <c r="A62" s="234"/>
      <c r="B62" s="234"/>
      <c r="C62" s="234"/>
      <c r="D62" s="234"/>
      <c r="F62" s="307"/>
      <c r="G62" s="307"/>
      <c r="H62" s="307"/>
      <c r="L62" s="307"/>
      <c r="M62" s="307"/>
      <c r="Q62" s="307"/>
      <c r="R62" s="307"/>
      <c r="V62" s="307"/>
      <c r="W62" s="307"/>
      <c r="AA62" s="307"/>
      <c r="AB62" s="307"/>
    </row>
    <row r="63" spans="1:32" x14ac:dyDescent="0.4">
      <c r="A63" s="234"/>
      <c r="B63" s="234"/>
      <c r="C63" s="234"/>
      <c r="D63" s="234"/>
      <c r="F63" s="307"/>
      <c r="G63" s="307"/>
      <c r="H63" s="307"/>
      <c r="L63" s="307"/>
      <c r="M63" s="307"/>
      <c r="Q63" s="307"/>
      <c r="R63" s="307"/>
      <c r="V63" s="307"/>
      <c r="W63" s="307"/>
      <c r="AA63" s="307"/>
      <c r="AB63" s="307"/>
    </row>
    <row r="64" spans="1:32" x14ac:dyDescent="0.4">
      <c r="A64" s="234"/>
      <c r="B64" s="234"/>
      <c r="C64" s="234"/>
      <c r="D64" s="234"/>
      <c r="F64" s="307"/>
      <c r="G64" s="307"/>
      <c r="H64" s="307"/>
      <c r="L64" s="307"/>
      <c r="M64" s="307"/>
      <c r="Q64" s="307"/>
      <c r="R64" s="307"/>
      <c r="V64" s="307"/>
      <c r="W64" s="307"/>
      <c r="AA64" s="307"/>
      <c r="AB64" s="307"/>
    </row>
    <row r="65" spans="1:28" x14ac:dyDescent="0.4">
      <c r="A65" s="234"/>
      <c r="B65" s="234"/>
      <c r="C65" s="234"/>
      <c r="D65" s="234"/>
      <c r="F65" s="307"/>
      <c r="G65" s="307"/>
      <c r="H65" s="307"/>
      <c r="L65" s="307"/>
      <c r="M65" s="307"/>
      <c r="Q65" s="307"/>
      <c r="R65" s="307"/>
      <c r="V65" s="307"/>
      <c r="W65" s="307"/>
      <c r="AA65" s="307"/>
      <c r="AB65" s="307"/>
    </row>
    <row r="66" spans="1:28" x14ac:dyDescent="0.4">
      <c r="A66" s="234"/>
      <c r="B66" s="234"/>
      <c r="C66" s="234"/>
      <c r="D66" s="234"/>
      <c r="F66" s="307"/>
      <c r="G66" s="307"/>
      <c r="H66" s="307"/>
      <c r="L66" s="307"/>
      <c r="M66" s="307"/>
      <c r="Q66" s="307"/>
      <c r="R66" s="307"/>
      <c r="V66" s="307"/>
      <c r="W66" s="307"/>
      <c r="AA66" s="307"/>
      <c r="AB66" s="307"/>
    </row>
    <row r="67" spans="1:28" x14ac:dyDescent="0.4">
      <c r="A67" s="234"/>
      <c r="B67" s="234"/>
      <c r="C67" s="234"/>
      <c r="D67" s="234"/>
      <c r="F67" s="307"/>
      <c r="G67" s="307"/>
      <c r="H67" s="307"/>
      <c r="L67" s="307"/>
      <c r="M67" s="307"/>
      <c r="Q67" s="307"/>
      <c r="R67" s="307"/>
      <c r="V67" s="307"/>
      <c r="W67" s="307"/>
      <c r="AA67" s="307"/>
      <c r="AB67" s="307"/>
    </row>
    <row r="68" spans="1:28" x14ac:dyDescent="0.4">
      <c r="A68" s="234"/>
      <c r="B68" s="234"/>
      <c r="C68" s="234"/>
      <c r="D68" s="234"/>
      <c r="F68" s="307"/>
      <c r="G68" s="307"/>
      <c r="H68" s="307"/>
      <c r="L68" s="307"/>
      <c r="M68" s="307"/>
      <c r="Q68" s="307"/>
      <c r="R68" s="307"/>
      <c r="V68" s="307"/>
      <c r="W68" s="307"/>
      <c r="AA68" s="307"/>
      <c r="AB68" s="307"/>
    </row>
    <row r="69" spans="1:28" x14ac:dyDescent="0.4">
      <c r="A69" s="234"/>
      <c r="B69" s="234"/>
      <c r="C69" s="234"/>
      <c r="D69" s="234"/>
      <c r="F69" s="307"/>
      <c r="G69" s="307"/>
      <c r="H69" s="307"/>
      <c r="L69" s="307"/>
      <c r="M69" s="307"/>
      <c r="Q69" s="307"/>
      <c r="R69" s="307"/>
      <c r="V69" s="307"/>
      <c r="W69" s="307"/>
      <c r="AA69" s="307"/>
      <c r="AB69" s="307"/>
    </row>
    <row r="70" spans="1:28" x14ac:dyDescent="0.4">
      <c r="A70" s="234"/>
      <c r="B70" s="234"/>
      <c r="C70" s="234"/>
      <c r="D70" s="234"/>
      <c r="F70" s="307"/>
      <c r="G70" s="307"/>
      <c r="H70" s="307"/>
      <c r="L70" s="307"/>
      <c r="M70" s="307"/>
      <c r="Q70" s="307"/>
      <c r="R70" s="307"/>
      <c r="V70" s="307"/>
      <c r="W70" s="307"/>
      <c r="AA70" s="307"/>
      <c r="AB70" s="307"/>
    </row>
    <row r="71" spans="1:28" x14ac:dyDescent="0.4">
      <c r="A71" s="234"/>
      <c r="B71" s="234"/>
      <c r="C71" s="234"/>
      <c r="D71" s="234"/>
      <c r="F71" s="308"/>
      <c r="G71" s="308"/>
      <c r="H71" s="308"/>
      <c r="L71" s="308"/>
      <c r="M71" s="308"/>
      <c r="Q71" s="308"/>
      <c r="R71" s="308"/>
      <c r="V71" s="308"/>
      <c r="W71" s="308"/>
      <c r="AA71" s="308"/>
      <c r="AB71" s="308"/>
    </row>
    <row r="72" spans="1:28" x14ac:dyDescent="0.4">
      <c r="A72" s="234"/>
      <c r="B72" s="234"/>
      <c r="C72" s="234"/>
    </row>
  </sheetData>
  <mergeCells count="9">
    <mergeCell ref="A4:A5"/>
    <mergeCell ref="B4:B5"/>
    <mergeCell ref="C4:C5"/>
    <mergeCell ref="Z4:AD4"/>
    <mergeCell ref="D1:Q1"/>
    <mergeCell ref="D2:U2"/>
    <mergeCell ref="K4:O4"/>
    <mergeCell ref="P4:T4"/>
    <mergeCell ref="U4:Y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Z44"/>
  <sheetViews>
    <sheetView topLeftCell="A9" zoomScale="90" zoomScaleNormal="90" workbookViewId="0">
      <selection activeCell="V38" sqref="V38"/>
    </sheetView>
  </sheetViews>
  <sheetFormatPr defaultColWidth="8.83203125" defaultRowHeight="14.25" customHeight="1" x14ac:dyDescent="0.4"/>
  <cols>
    <col min="1" max="1" width="13.5546875" style="4" customWidth="1"/>
    <col min="2" max="2" width="12.83203125" style="258" customWidth="1"/>
    <col min="3" max="4" width="9.1640625" style="258"/>
    <col min="5" max="5" width="10.44140625" style="258" bestFit="1" customWidth="1"/>
    <col min="6" max="7" width="9.1640625" style="258"/>
    <col min="8" max="8" width="9.5546875" style="4" bestFit="1" customWidth="1"/>
    <col min="9" max="9" width="13" style="4" customWidth="1"/>
    <col min="10" max="10" width="8.83203125" style="4"/>
    <col min="11" max="11" width="12.44140625" style="4" customWidth="1"/>
    <col min="12" max="12" width="8.83203125" style="4"/>
    <col min="13" max="13" width="8.83203125" style="4" customWidth="1"/>
    <col min="14" max="14" width="8.83203125" style="4"/>
    <col min="15" max="15" width="9.1640625" style="4" customWidth="1"/>
    <col min="16" max="16" width="10.1640625" style="4" bestFit="1" customWidth="1"/>
    <col min="17" max="17" width="11.27734375" style="4" customWidth="1"/>
    <col min="18" max="18" width="9.5546875" style="4" bestFit="1" customWidth="1"/>
    <col min="19" max="19" width="9.5546875" style="4" customWidth="1"/>
    <col min="20" max="21" width="9.5546875" style="4" bestFit="1" customWidth="1"/>
    <col min="22" max="22" width="9.83203125" style="4" bestFit="1" customWidth="1"/>
    <col min="23" max="26" width="9.5546875" style="4" bestFit="1" customWidth="1"/>
    <col min="27" max="16384" width="8.83203125" style="4"/>
  </cols>
  <sheetData>
    <row r="1" spans="1:19" ht="14.25" customHeight="1" x14ac:dyDescent="0.45">
      <c r="A1" s="643"/>
      <c r="B1" s="643"/>
      <c r="C1" s="643"/>
      <c r="D1" s="643"/>
      <c r="E1" s="643"/>
      <c r="F1" s="643"/>
      <c r="G1" s="643"/>
      <c r="H1" s="643"/>
      <c r="I1" s="643"/>
      <c r="J1" s="643"/>
      <c r="K1" s="643"/>
      <c r="L1" s="643"/>
      <c r="M1" s="643"/>
      <c r="N1" s="643"/>
      <c r="O1" s="643"/>
      <c r="P1" s="643"/>
      <c r="Q1" s="643"/>
      <c r="R1" s="643"/>
      <c r="S1" s="522"/>
    </row>
    <row r="2" spans="1:19" ht="14.25" customHeight="1" x14ac:dyDescent="0.5">
      <c r="A2" s="650" t="s">
        <v>146</v>
      </c>
      <c r="B2" s="651"/>
      <c r="C2" s="651"/>
      <c r="D2" s="651"/>
      <c r="E2" s="651"/>
      <c r="F2" s="651"/>
      <c r="G2" s="651"/>
      <c r="H2" s="652"/>
    </row>
    <row r="3" spans="1:19" ht="14.1" customHeight="1" x14ac:dyDescent="0.5">
      <c r="A3" s="71"/>
      <c r="B3" s="71"/>
      <c r="C3" s="257" t="s">
        <v>147</v>
      </c>
      <c r="D3" s="257" t="s">
        <v>148</v>
      </c>
      <c r="E3" s="257" t="s">
        <v>149</v>
      </c>
      <c r="F3" s="257" t="s">
        <v>150</v>
      </c>
      <c r="G3" s="257" t="s">
        <v>151</v>
      </c>
      <c r="H3" s="257" t="s">
        <v>152</v>
      </c>
      <c r="J3" s="653" t="s">
        <v>153</v>
      </c>
      <c r="K3" s="654"/>
      <c r="L3" s="654"/>
      <c r="M3" s="654"/>
      <c r="N3" s="654"/>
      <c r="O3" s="655"/>
      <c r="P3" s="312"/>
    </row>
    <row r="4" spans="1:19" s="312" customFormat="1" ht="15" customHeight="1" x14ac:dyDescent="0.4">
      <c r="A4" s="648" t="s">
        <v>39</v>
      </c>
      <c r="B4" s="310" t="s">
        <v>154</v>
      </c>
      <c r="C4" s="311">
        <v>16</v>
      </c>
      <c r="D4" s="311">
        <v>22</v>
      </c>
      <c r="E4" s="311">
        <v>22</v>
      </c>
      <c r="F4" s="311">
        <v>22</v>
      </c>
      <c r="G4" s="311">
        <v>16</v>
      </c>
      <c r="H4" s="309">
        <f t="shared" ref="H4:H14" si="0">SUM(C4:G4)</f>
        <v>98</v>
      </c>
      <c r="J4" s="462" t="s">
        <v>155</v>
      </c>
      <c r="K4" s="354" t="s">
        <v>147</v>
      </c>
      <c r="L4" s="354" t="s">
        <v>148</v>
      </c>
      <c r="M4" s="354" t="s">
        <v>149</v>
      </c>
      <c r="N4" s="354" t="s">
        <v>150</v>
      </c>
      <c r="O4" s="479" t="s">
        <v>151</v>
      </c>
    </row>
    <row r="5" spans="1:19" s="312" customFormat="1" ht="15" customHeight="1" x14ac:dyDescent="0.45">
      <c r="A5" s="649"/>
      <c r="B5" s="361" t="s">
        <v>156</v>
      </c>
      <c r="C5" s="311">
        <v>2</v>
      </c>
      <c r="D5" s="311">
        <v>1</v>
      </c>
      <c r="E5" s="311">
        <v>1</v>
      </c>
      <c r="F5" s="311">
        <v>1</v>
      </c>
      <c r="G5" s="311">
        <v>1</v>
      </c>
      <c r="H5" s="309">
        <f t="shared" si="0"/>
        <v>6</v>
      </c>
      <c r="J5" s="462" t="s">
        <v>39</v>
      </c>
      <c r="K5" s="345">
        <f>(SUM($C4:$C5)*6)+42</f>
        <v>150</v>
      </c>
      <c r="L5" s="345">
        <f>(SUM(D4:D5)*6)+42</f>
        <v>180</v>
      </c>
      <c r="M5" s="345">
        <f>(SUM(E4:E5)*6)+60</f>
        <v>198</v>
      </c>
      <c r="N5" s="345">
        <f>(SUM(F4:F5)*6)+42</f>
        <v>180</v>
      </c>
      <c r="O5" s="480">
        <f>(SUM(G4:G5)*6)+42</f>
        <v>144</v>
      </c>
    </row>
    <row r="6" spans="1:19" s="312" customFormat="1" ht="15" customHeight="1" x14ac:dyDescent="0.4">
      <c r="A6" s="646" t="s">
        <v>157</v>
      </c>
      <c r="B6" s="362" t="s">
        <v>154</v>
      </c>
      <c r="C6" s="363">
        <v>16</v>
      </c>
      <c r="D6" s="363">
        <v>22</v>
      </c>
      <c r="E6" s="363">
        <v>22</v>
      </c>
      <c r="F6" s="363">
        <v>22</v>
      </c>
      <c r="G6" s="363">
        <v>16</v>
      </c>
      <c r="H6" s="364">
        <f t="shared" si="0"/>
        <v>98</v>
      </c>
      <c r="J6" s="462" t="s">
        <v>157</v>
      </c>
      <c r="K6" s="345">
        <f>(SUM(C6:C7)*6)+42</f>
        <v>150</v>
      </c>
      <c r="L6" s="345">
        <f>(SUM(D6:D7)*6)+42</f>
        <v>180</v>
      </c>
      <c r="M6" s="345">
        <f>(SUM(E6:E7)*6)+60</f>
        <v>198</v>
      </c>
      <c r="N6" s="345">
        <f>(SUM(F6:F7)*6)+42</f>
        <v>180</v>
      </c>
      <c r="O6" s="480">
        <f>(SUM(G6:G7)*6)+42</f>
        <v>144</v>
      </c>
    </row>
    <row r="7" spans="1:19" s="312" customFormat="1" ht="15" customHeight="1" x14ac:dyDescent="0.45">
      <c r="A7" s="647"/>
      <c r="B7" s="365" t="s">
        <v>156</v>
      </c>
      <c r="C7" s="363">
        <v>2</v>
      </c>
      <c r="D7" s="363">
        <v>1</v>
      </c>
      <c r="E7" s="363">
        <v>1</v>
      </c>
      <c r="F7" s="363">
        <v>1</v>
      </c>
      <c r="G7" s="363">
        <v>1</v>
      </c>
      <c r="H7" s="364">
        <f t="shared" si="0"/>
        <v>6</v>
      </c>
      <c r="J7" s="462" t="s">
        <v>42</v>
      </c>
      <c r="K7" s="345">
        <f>(SUM(C8:C9)*6)+42</f>
        <v>138</v>
      </c>
      <c r="L7" s="345">
        <f>(SUM(D8:D9)*6)+42</f>
        <v>138</v>
      </c>
      <c r="M7" s="345">
        <f>(SUM(E8:E9)*6)+60</f>
        <v>156</v>
      </c>
      <c r="N7" s="345">
        <f>(SUM(F8:F9)*6)+42</f>
        <v>132</v>
      </c>
      <c r="O7" s="480">
        <f>(SUM(G8:G9)*6)+42</f>
        <v>126</v>
      </c>
      <c r="R7" s="355"/>
      <c r="S7" s="355"/>
    </row>
    <row r="8" spans="1:19" s="312" customFormat="1" ht="15" customHeight="1" x14ac:dyDescent="0.4">
      <c r="A8" s="648" t="s">
        <v>42</v>
      </c>
      <c r="B8" s="310" t="s">
        <v>154</v>
      </c>
      <c r="C8" s="311">
        <v>14</v>
      </c>
      <c r="D8" s="311">
        <v>13</v>
      </c>
      <c r="E8" s="311">
        <v>13</v>
      </c>
      <c r="F8" s="311">
        <v>12</v>
      </c>
      <c r="G8" s="311">
        <v>12</v>
      </c>
      <c r="H8" s="309">
        <f t="shared" si="0"/>
        <v>64</v>
      </c>
      <c r="J8" s="463" t="s">
        <v>43</v>
      </c>
      <c r="K8" s="481">
        <f>(SUM(C10:C11)*6)+42</f>
        <v>138</v>
      </c>
      <c r="L8" s="481">
        <f>(SUM(D10:D11)*6)+42</f>
        <v>138</v>
      </c>
      <c r="M8" s="481">
        <f>(SUM(E10:E11)*6)+60</f>
        <v>150</v>
      </c>
      <c r="N8" s="481">
        <f>(SUM(F10:F11)*6)+42</f>
        <v>132</v>
      </c>
      <c r="O8" s="482">
        <f>(SUM(G10:G11)*6)+42</f>
        <v>132</v>
      </c>
    </row>
    <row r="9" spans="1:19" s="312" customFormat="1" ht="15" customHeight="1" x14ac:dyDescent="0.45">
      <c r="A9" s="649"/>
      <c r="B9" s="361" t="s">
        <v>156</v>
      </c>
      <c r="C9" s="311">
        <v>2</v>
      </c>
      <c r="D9" s="311">
        <v>3</v>
      </c>
      <c r="E9" s="311">
        <v>3</v>
      </c>
      <c r="F9" s="311">
        <v>3</v>
      </c>
      <c r="G9" s="311">
        <v>2</v>
      </c>
      <c r="H9" s="309">
        <f t="shared" si="0"/>
        <v>13</v>
      </c>
      <c r="J9" s="656"/>
    </row>
    <row r="10" spans="1:19" s="312" customFormat="1" ht="15" customHeight="1" x14ac:dyDescent="0.4">
      <c r="A10" s="646" t="s">
        <v>43</v>
      </c>
      <c r="B10" s="362" t="s">
        <v>154</v>
      </c>
      <c r="C10" s="363">
        <v>14</v>
      </c>
      <c r="D10" s="363">
        <v>13</v>
      </c>
      <c r="E10" s="363">
        <v>12</v>
      </c>
      <c r="F10" s="363">
        <v>12</v>
      </c>
      <c r="G10" s="363">
        <v>13</v>
      </c>
      <c r="H10" s="364">
        <f t="shared" si="0"/>
        <v>64</v>
      </c>
      <c r="J10" s="656"/>
    </row>
    <row r="11" spans="1:19" s="312" customFormat="1" ht="15" customHeight="1" x14ac:dyDescent="0.45">
      <c r="A11" s="647"/>
      <c r="B11" s="365" t="s">
        <v>156</v>
      </c>
      <c r="C11" s="363">
        <v>2</v>
      </c>
      <c r="D11" s="363">
        <v>3</v>
      </c>
      <c r="E11" s="363">
        <v>3</v>
      </c>
      <c r="F11" s="363">
        <v>3</v>
      </c>
      <c r="G11" s="363">
        <v>2</v>
      </c>
      <c r="H11" s="364">
        <f t="shared" si="0"/>
        <v>13</v>
      </c>
      <c r="J11" s="355"/>
    </row>
    <row r="12" spans="1:19" s="312" customFormat="1" ht="15" customHeight="1" x14ac:dyDescent="0.4">
      <c r="A12" s="657" t="s">
        <v>158</v>
      </c>
      <c r="B12" s="658"/>
      <c r="C12" s="311">
        <v>3</v>
      </c>
      <c r="D12" s="311">
        <v>3</v>
      </c>
      <c r="E12" s="311">
        <v>4</v>
      </c>
      <c r="F12" s="311">
        <v>4</v>
      </c>
      <c r="G12" s="311">
        <v>4</v>
      </c>
      <c r="H12" s="309">
        <f t="shared" si="0"/>
        <v>18</v>
      </c>
      <c r="J12" s="356"/>
    </row>
    <row r="13" spans="1:19" s="312" customFormat="1" ht="15" customHeight="1" x14ac:dyDescent="0.45">
      <c r="A13" s="668" t="s">
        <v>159</v>
      </c>
      <c r="B13" s="669"/>
      <c r="C13" s="366">
        <f t="shared" ref="C13:G14" si="1">SUM(C4,C6,C8,C10)</f>
        <v>60</v>
      </c>
      <c r="D13" s="366">
        <f t="shared" si="1"/>
        <v>70</v>
      </c>
      <c r="E13" s="366">
        <f t="shared" si="1"/>
        <v>69</v>
      </c>
      <c r="F13" s="366">
        <f t="shared" si="1"/>
        <v>68</v>
      </c>
      <c r="G13" s="366">
        <f t="shared" si="1"/>
        <v>57</v>
      </c>
      <c r="H13" s="364">
        <f t="shared" si="0"/>
        <v>324</v>
      </c>
      <c r="K13" s="440"/>
    </row>
    <row r="14" spans="1:19" s="312" customFormat="1" ht="15" customHeight="1" x14ac:dyDescent="0.45">
      <c r="A14" s="670" t="s">
        <v>160</v>
      </c>
      <c r="B14" s="671"/>
      <c r="C14" s="311">
        <f t="shared" si="1"/>
        <v>8</v>
      </c>
      <c r="D14" s="311">
        <f t="shared" si="1"/>
        <v>8</v>
      </c>
      <c r="E14" s="311">
        <f t="shared" si="1"/>
        <v>8</v>
      </c>
      <c r="F14" s="311">
        <f t="shared" si="1"/>
        <v>8</v>
      </c>
      <c r="G14" s="311">
        <f t="shared" si="1"/>
        <v>6</v>
      </c>
      <c r="H14" s="309">
        <f t="shared" si="0"/>
        <v>38</v>
      </c>
    </row>
    <row r="15" spans="1:19" s="312" customFormat="1" ht="15" customHeight="1" x14ac:dyDescent="0.4">
      <c r="A15" s="672" t="s">
        <v>161</v>
      </c>
      <c r="B15" s="673"/>
      <c r="C15" s="367">
        <f t="shared" ref="C15:H15" si="2">C14+C13+C12</f>
        <v>71</v>
      </c>
      <c r="D15" s="367">
        <f t="shared" si="2"/>
        <v>81</v>
      </c>
      <c r="E15" s="367">
        <f t="shared" si="2"/>
        <v>81</v>
      </c>
      <c r="F15" s="367">
        <f t="shared" si="2"/>
        <v>80</v>
      </c>
      <c r="G15" s="367">
        <f t="shared" si="2"/>
        <v>67</v>
      </c>
      <c r="H15" s="367">
        <f t="shared" si="2"/>
        <v>380</v>
      </c>
      <c r="I15" s="459">
        <f>H14/H15</f>
        <v>0.1</v>
      </c>
      <c r="J15" s="440"/>
      <c r="K15" s="440"/>
    </row>
    <row r="17" spans="1:12" ht="14.25" customHeight="1" x14ac:dyDescent="0.4">
      <c r="B17" s="665" t="s">
        <v>154</v>
      </c>
      <c r="C17" s="666"/>
      <c r="D17" s="666"/>
      <c r="E17" s="666"/>
      <c r="F17" s="667"/>
      <c r="G17" s="525" t="s">
        <v>156</v>
      </c>
      <c r="H17" s="526"/>
      <c r="I17" s="527"/>
    </row>
    <row r="18" spans="1:12" ht="14.25" customHeight="1" x14ac:dyDescent="0.4">
      <c r="A18" s="349" t="s">
        <v>155</v>
      </c>
      <c r="B18" s="350" t="s">
        <v>162</v>
      </c>
      <c r="C18" s="351" t="s">
        <v>68</v>
      </c>
      <c r="D18" s="351" t="s">
        <v>163</v>
      </c>
      <c r="E18" s="352" t="s">
        <v>164</v>
      </c>
      <c r="F18" s="352" t="s">
        <v>165</v>
      </c>
      <c r="G18" s="350" t="s">
        <v>75</v>
      </c>
      <c r="H18" s="351" t="s">
        <v>166</v>
      </c>
      <c r="I18" s="351" t="s">
        <v>165</v>
      </c>
      <c r="K18" s="475" t="s">
        <v>155</v>
      </c>
      <c r="L18" s="476" t="s">
        <v>162</v>
      </c>
    </row>
    <row r="19" spans="1:12" ht="14.25" customHeight="1" x14ac:dyDescent="0.4">
      <c r="A19" s="349" t="s">
        <v>39</v>
      </c>
      <c r="B19" s="341">
        <v>650</v>
      </c>
      <c r="C19" s="342">
        <v>85</v>
      </c>
      <c r="D19" s="342">
        <v>42.5</v>
      </c>
      <c r="E19" s="343">
        <v>75</v>
      </c>
      <c r="F19" s="343">
        <v>124</v>
      </c>
      <c r="G19" s="441">
        <v>59.499999999999993</v>
      </c>
      <c r="H19" s="442">
        <v>42.5</v>
      </c>
      <c r="I19" s="442">
        <v>30</v>
      </c>
      <c r="K19" s="462" t="s">
        <v>39</v>
      </c>
      <c r="L19" s="477">
        <v>650</v>
      </c>
    </row>
    <row r="20" spans="1:12" ht="14.25" customHeight="1" x14ac:dyDescent="0.4">
      <c r="A20" s="349" t="s">
        <v>157</v>
      </c>
      <c r="B20" s="341">
        <v>750</v>
      </c>
      <c r="C20" s="342">
        <v>92.924999999999997</v>
      </c>
      <c r="D20" s="342">
        <v>55.75</v>
      </c>
      <c r="E20" s="343">
        <v>75</v>
      </c>
      <c r="F20" s="343">
        <v>124</v>
      </c>
      <c r="G20" s="441">
        <v>65.047499999999999</v>
      </c>
      <c r="H20" s="442">
        <v>55.75</v>
      </c>
      <c r="I20" s="442">
        <v>30</v>
      </c>
      <c r="K20" s="462" t="s">
        <v>157</v>
      </c>
      <c r="L20" s="477">
        <v>750</v>
      </c>
    </row>
    <row r="21" spans="1:12" ht="14.25" customHeight="1" x14ac:dyDescent="0.4">
      <c r="A21" s="349" t="s">
        <v>42</v>
      </c>
      <c r="B21" s="341">
        <v>850</v>
      </c>
      <c r="C21" s="342">
        <v>102.96000000000001</v>
      </c>
      <c r="D21" s="342">
        <v>59.5</v>
      </c>
      <c r="E21" s="343">
        <v>75</v>
      </c>
      <c r="F21" s="343">
        <v>124</v>
      </c>
      <c r="G21" s="441">
        <v>72.072000000000003</v>
      </c>
      <c r="H21" s="442">
        <v>59.5</v>
      </c>
      <c r="I21" s="442">
        <v>30</v>
      </c>
      <c r="K21" s="462" t="s">
        <v>42</v>
      </c>
      <c r="L21" s="477">
        <v>850</v>
      </c>
    </row>
    <row r="22" spans="1:12" ht="14.25" customHeight="1" x14ac:dyDescent="0.4">
      <c r="A22" s="349" t="s">
        <v>43</v>
      </c>
      <c r="B22" s="346">
        <v>800</v>
      </c>
      <c r="C22" s="347">
        <v>116.05000000000001</v>
      </c>
      <c r="D22" s="347">
        <v>50.5</v>
      </c>
      <c r="E22" s="348">
        <v>75</v>
      </c>
      <c r="F22" s="348">
        <v>124</v>
      </c>
      <c r="G22" s="445">
        <v>81.234999999999999</v>
      </c>
      <c r="H22" s="446">
        <v>50.5</v>
      </c>
      <c r="I22" s="446">
        <v>30</v>
      </c>
      <c r="K22" s="463" t="s">
        <v>43</v>
      </c>
      <c r="L22" s="478">
        <v>800</v>
      </c>
    </row>
    <row r="23" spans="1:12" ht="14.25" customHeight="1" x14ac:dyDescent="0.4">
      <c r="F23" s="4"/>
      <c r="G23" s="4"/>
      <c r="L23" s="293"/>
    </row>
    <row r="24" spans="1:12" ht="14.25" customHeight="1" x14ac:dyDescent="0.4">
      <c r="B24" s="4"/>
      <c r="C24" s="4"/>
      <c r="D24" s="4"/>
      <c r="E24" s="4"/>
      <c r="F24" s="4"/>
      <c r="G24" s="4"/>
    </row>
    <row r="25" spans="1:12" ht="14.25" customHeight="1" x14ac:dyDescent="0.4">
      <c r="B25" s="662" t="s">
        <v>167</v>
      </c>
      <c r="C25" s="663"/>
      <c r="D25" s="663"/>
      <c r="E25" s="663"/>
      <c r="F25" s="663"/>
      <c r="G25" s="664"/>
    </row>
    <row r="26" spans="1:12" ht="14.25" customHeight="1" x14ac:dyDescent="0.4">
      <c r="A26" s="416" t="s">
        <v>155</v>
      </c>
      <c r="B26" s="412" t="s">
        <v>162</v>
      </c>
      <c r="C26" s="351" t="s">
        <v>68</v>
      </c>
      <c r="D26" s="351" t="s">
        <v>163</v>
      </c>
      <c r="E26" s="351"/>
      <c r="F26" s="351" t="s">
        <v>168</v>
      </c>
      <c r="G26" s="352" t="s">
        <v>165</v>
      </c>
    </row>
    <row r="27" spans="1:12" ht="14.25" customHeight="1" x14ac:dyDescent="0.4">
      <c r="A27" s="161" t="s">
        <v>169</v>
      </c>
      <c r="B27" s="413">
        <v>850</v>
      </c>
      <c r="C27" s="342">
        <v>52.5</v>
      </c>
      <c r="D27" s="342">
        <v>68</v>
      </c>
      <c r="E27" s="342"/>
      <c r="F27" s="342">
        <v>75</v>
      </c>
      <c r="G27" s="343">
        <v>124</v>
      </c>
    </row>
    <row r="28" spans="1:12" ht="14.25" customHeight="1" x14ac:dyDescent="0.4">
      <c r="A28" s="161" t="s">
        <v>170</v>
      </c>
      <c r="B28" s="413">
        <v>1070</v>
      </c>
      <c r="C28" s="342">
        <v>55</v>
      </c>
      <c r="D28" s="342">
        <v>58</v>
      </c>
      <c r="E28" s="342"/>
      <c r="F28" s="342">
        <v>75</v>
      </c>
      <c r="G28" s="343">
        <v>124</v>
      </c>
    </row>
    <row r="29" spans="1:12" ht="14.25" customHeight="1" x14ac:dyDescent="0.4">
      <c r="A29" s="161" t="s">
        <v>171</v>
      </c>
      <c r="B29" s="413">
        <v>978</v>
      </c>
      <c r="C29" s="342">
        <v>68.5</v>
      </c>
      <c r="D29" s="342">
        <v>35</v>
      </c>
      <c r="E29" s="342"/>
      <c r="F29" s="342">
        <v>75</v>
      </c>
      <c r="G29" s="343">
        <v>124</v>
      </c>
    </row>
    <row r="30" spans="1:12" ht="14.25" customHeight="1" x14ac:dyDescent="0.4">
      <c r="A30" s="161" t="s">
        <v>172</v>
      </c>
      <c r="B30" s="413">
        <v>650</v>
      </c>
      <c r="C30" s="342">
        <v>63</v>
      </c>
      <c r="D30" s="342">
        <v>58</v>
      </c>
      <c r="E30" s="342"/>
      <c r="F30" s="342">
        <v>75</v>
      </c>
      <c r="G30" s="343">
        <v>124</v>
      </c>
    </row>
    <row r="31" spans="1:12" ht="14.25" customHeight="1" x14ac:dyDescent="0.4">
      <c r="A31" s="161" t="s">
        <v>173</v>
      </c>
      <c r="B31" s="414">
        <v>887</v>
      </c>
      <c r="C31" s="345">
        <v>59.75</v>
      </c>
      <c r="D31" s="345">
        <v>54.75</v>
      </c>
      <c r="E31" s="345"/>
      <c r="F31" s="345">
        <v>75</v>
      </c>
      <c r="G31" s="344">
        <v>124</v>
      </c>
    </row>
    <row r="32" spans="1:12" ht="14.25" customHeight="1" x14ac:dyDescent="0.4">
      <c r="A32" s="417"/>
      <c r="B32" s="412" t="s">
        <v>147</v>
      </c>
      <c r="C32" s="351" t="s">
        <v>148</v>
      </c>
      <c r="D32" s="351" t="s">
        <v>149</v>
      </c>
      <c r="E32" s="351"/>
      <c r="F32" s="351" t="s">
        <v>150</v>
      </c>
      <c r="G32" s="352" t="s">
        <v>151</v>
      </c>
    </row>
    <row r="33" spans="1:26" ht="14.25" customHeight="1" x14ac:dyDescent="0.4">
      <c r="A33" s="417" t="s">
        <v>174</v>
      </c>
      <c r="B33" s="579">
        <f>C12</f>
        <v>3</v>
      </c>
      <c r="C33" s="580">
        <f>D12</f>
        <v>3</v>
      </c>
      <c r="D33" s="580">
        <f>E12</f>
        <v>4</v>
      </c>
      <c r="E33" s="528"/>
      <c r="F33" s="580">
        <f>F12</f>
        <v>4</v>
      </c>
      <c r="G33" s="581">
        <f>G12</f>
        <v>4</v>
      </c>
    </row>
    <row r="34" spans="1:26" ht="14.25" customHeight="1" x14ac:dyDescent="0.4">
      <c r="A34" s="418" t="s">
        <v>175</v>
      </c>
      <c r="B34" s="415">
        <f>ROUND((C31*14)+(D31*15)+(F31+G31),0)</f>
        <v>1857</v>
      </c>
      <c r="C34" s="410">
        <f>ROUND(B34*1.03,0)</f>
        <v>1913</v>
      </c>
      <c r="D34" s="410">
        <f>ROUND(C34*1.03,0)</f>
        <v>1970</v>
      </c>
      <c r="E34" s="410"/>
      <c r="F34" s="410">
        <f>ROUND(D34*1.03,0)</f>
        <v>2029</v>
      </c>
      <c r="G34" s="411">
        <f>ROUND(F34*1.03,0)</f>
        <v>2090</v>
      </c>
    </row>
    <row r="35" spans="1:26" ht="14.25" customHeight="1" x14ac:dyDescent="0.4">
      <c r="B35" s="4"/>
      <c r="C35" s="4"/>
      <c r="D35" s="183">
        <f>D33*D34</f>
        <v>7880</v>
      </c>
      <c r="E35" s="4"/>
      <c r="F35" s="4"/>
      <c r="G35" s="4"/>
    </row>
    <row r="36" spans="1:26" ht="14.25" customHeight="1" x14ac:dyDescent="0.4">
      <c r="B36" s="4"/>
      <c r="C36" s="4"/>
      <c r="D36" s="4"/>
      <c r="E36" s="4"/>
      <c r="F36" s="4"/>
      <c r="G36" s="4"/>
    </row>
    <row r="38" spans="1:26" ht="14.25" customHeight="1" x14ac:dyDescent="0.4">
      <c r="A38" s="412" t="s">
        <v>167</v>
      </c>
      <c r="B38" s="659" t="s">
        <v>147</v>
      </c>
      <c r="C38" s="660"/>
      <c r="D38" s="660"/>
      <c r="E38" s="660"/>
      <c r="F38" s="661"/>
      <c r="G38" s="659" t="s">
        <v>148</v>
      </c>
      <c r="H38" s="660"/>
      <c r="I38" s="660"/>
      <c r="J38" s="660"/>
      <c r="K38" s="661"/>
      <c r="L38" s="659" t="s">
        <v>149</v>
      </c>
      <c r="M38" s="660"/>
      <c r="N38" s="660"/>
      <c r="O38" s="660"/>
      <c r="P38" s="661"/>
      <c r="Q38" s="659" t="s">
        <v>150</v>
      </c>
      <c r="R38" s="660"/>
      <c r="S38" s="660"/>
      <c r="T38" s="660"/>
      <c r="U38" s="661"/>
      <c r="V38" s="659" t="s">
        <v>151</v>
      </c>
      <c r="W38" s="660"/>
      <c r="X38" s="660"/>
      <c r="Y38" s="660"/>
      <c r="Z38" s="661"/>
    </row>
    <row r="39" spans="1:26" ht="14.25" customHeight="1" x14ac:dyDescent="0.4">
      <c r="A39" s="416"/>
      <c r="B39" s="532" t="s">
        <v>112</v>
      </c>
      <c r="C39" s="532" t="s">
        <v>24</v>
      </c>
      <c r="D39" s="532" t="s">
        <v>25</v>
      </c>
      <c r="E39" s="532" t="s">
        <v>26</v>
      </c>
      <c r="F39" s="532" t="s">
        <v>8</v>
      </c>
      <c r="G39" s="532" t="s">
        <v>112</v>
      </c>
      <c r="H39" s="532" t="s">
        <v>24</v>
      </c>
      <c r="I39" s="532" t="s">
        <v>25</v>
      </c>
      <c r="J39" s="532" t="s">
        <v>26</v>
      </c>
      <c r="K39" s="532" t="s">
        <v>8</v>
      </c>
      <c r="L39" s="532" t="s">
        <v>112</v>
      </c>
      <c r="M39" s="532" t="s">
        <v>24</v>
      </c>
      <c r="N39" s="532" t="s">
        <v>25</v>
      </c>
      <c r="O39" s="532" t="s">
        <v>26</v>
      </c>
      <c r="P39" s="532" t="s">
        <v>8</v>
      </c>
      <c r="Q39" s="532" t="s">
        <v>112</v>
      </c>
      <c r="R39" s="532" t="s">
        <v>24</v>
      </c>
      <c r="S39" s="532" t="s">
        <v>25</v>
      </c>
      <c r="T39" s="532" t="s">
        <v>26</v>
      </c>
      <c r="U39" s="532" t="s">
        <v>8</v>
      </c>
      <c r="V39" s="532" t="s">
        <v>112</v>
      </c>
      <c r="W39" s="532" t="s">
        <v>24</v>
      </c>
      <c r="X39" s="532" t="s">
        <v>25</v>
      </c>
      <c r="Y39" s="532" t="s">
        <v>26</v>
      </c>
      <c r="Z39" s="532" t="s">
        <v>8</v>
      </c>
    </row>
    <row r="40" spans="1:26" ht="14.25" customHeight="1" x14ac:dyDescent="0.45">
      <c r="A40" s="531" t="s">
        <v>75</v>
      </c>
      <c r="B40" s="545">
        <v>42</v>
      </c>
      <c r="C40" s="576">
        <v>59.75</v>
      </c>
      <c r="D40" s="547">
        <v>1</v>
      </c>
      <c r="E40" s="547" t="s">
        <v>176</v>
      </c>
      <c r="F40" s="578">
        <v>2510</v>
      </c>
      <c r="G40" s="545">
        <v>42</v>
      </c>
      <c r="H40" s="576">
        <v>62</v>
      </c>
      <c r="I40" s="547">
        <v>1</v>
      </c>
      <c r="J40" s="547" t="s">
        <v>176</v>
      </c>
      <c r="K40" s="578">
        <v>2604</v>
      </c>
      <c r="L40" s="545">
        <v>56</v>
      </c>
      <c r="M40" s="576">
        <f>H40*1.03</f>
        <v>63.86</v>
      </c>
      <c r="N40" s="547">
        <v>1</v>
      </c>
      <c r="O40" s="547" t="s">
        <v>176</v>
      </c>
      <c r="P40" s="578">
        <f>L40*M40</f>
        <v>3576.16</v>
      </c>
      <c r="Q40" s="545">
        <v>56</v>
      </c>
      <c r="R40" s="576">
        <f>65.287786</f>
        <v>65.287785999999997</v>
      </c>
      <c r="S40" s="547">
        <v>1</v>
      </c>
      <c r="T40" s="547" t="s">
        <v>176</v>
      </c>
      <c r="U40" s="578">
        <f>Q40*R40</f>
        <v>3656.1160159999999</v>
      </c>
      <c r="V40" s="545">
        <v>56</v>
      </c>
      <c r="W40" s="576">
        <v>67.246419579999994</v>
      </c>
      <c r="X40" s="547">
        <v>1</v>
      </c>
      <c r="Y40" s="547" t="s">
        <v>176</v>
      </c>
      <c r="Z40" s="578">
        <f>V40*W40</f>
        <v>3765.7994964799996</v>
      </c>
    </row>
    <row r="41" spans="1:26" ht="14.25" customHeight="1" x14ac:dyDescent="0.45">
      <c r="A41" s="531" t="s">
        <v>67</v>
      </c>
      <c r="B41" s="545">
        <v>45</v>
      </c>
      <c r="C41" s="576">
        <v>54.75</v>
      </c>
      <c r="D41" s="547">
        <v>1</v>
      </c>
      <c r="E41" s="547" t="s">
        <v>176</v>
      </c>
      <c r="F41" s="578">
        <v>2464</v>
      </c>
      <c r="G41" s="545">
        <v>45</v>
      </c>
      <c r="H41" s="576">
        <v>56</v>
      </c>
      <c r="I41" s="547">
        <v>1</v>
      </c>
      <c r="J41" s="547" t="s">
        <v>176</v>
      </c>
      <c r="K41" s="578">
        <v>2520</v>
      </c>
      <c r="L41" s="545">
        <v>60</v>
      </c>
      <c r="M41" s="576">
        <f t="shared" ref="M41:M43" si="3">H41*1.03</f>
        <v>57.68</v>
      </c>
      <c r="N41" s="547">
        <v>1</v>
      </c>
      <c r="O41" s="547" t="s">
        <v>176</v>
      </c>
      <c r="P41" s="578">
        <f>L41*M41</f>
        <v>3460.8</v>
      </c>
      <c r="Q41" s="545">
        <v>60</v>
      </c>
      <c r="R41" s="576">
        <f>59.824151</f>
        <v>59.824151000000001</v>
      </c>
      <c r="S41" s="547">
        <v>1</v>
      </c>
      <c r="T41" s="547" t="s">
        <v>176</v>
      </c>
      <c r="U41" s="578">
        <f t="shared" ref="U41:U43" si="4">Q41*R41</f>
        <v>3589.4490599999999</v>
      </c>
      <c r="V41" s="545">
        <v>60</v>
      </c>
      <c r="W41" s="576">
        <v>61.618875529999997</v>
      </c>
      <c r="X41" s="547">
        <v>1</v>
      </c>
      <c r="Y41" s="547" t="s">
        <v>176</v>
      </c>
      <c r="Z41" s="578">
        <f>V41*W41</f>
        <v>3697.1325317999999</v>
      </c>
    </row>
    <row r="42" spans="1:26" ht="14.25" customHeight="1" x14ac:dyDescent="0.45">
      <c r="A42" s="531" t="s">
        <v>129</v>
      </c>
      <c r="B42" s="545">
        <v>3</v>
      </c>
      <c r="C42" s="576">
        <v>75</v>
      </c>
      <c r="D42" s="547">
        <v>1</v>
      </c>
      <c r="E42" s="547" t="s">
        <v>176</v>
      </c>
      <c r="F42" s="578">
        <v>225</v>
      </c>
      <c r="G42" s="545">
        <v>3</v>
      </c>
      <c r="H42" s="576">
        <v>77</v>
      </c>
      <c r="I42" s="547">
        <v>1</v>
      </c>
      <c r="J42" s="547" t="s">
        <v>176</v>
      </c>
      <c r="K42" s="578">
        <v>231</v>
      </c>
      <c r="L42" s="545">
        <v>4</v>
      </c>
      <c r="M42" s="576">
        <f>ROUND(H42*1.03,0)</f>
        <v>79</v>
      </c>
      <c r="N42" s="547">
        <v>1</v>
      </c>
      <c r="O42" s="547" t="s">
        <v>176</v>
      </c>
      <c r="P42" s="578">
        <f t="shared" ref="P42" si="5">L42*M42</f>
        <v>316</v>
      </c>
      <c r="Q42" s="545">
        <v>4</v>
      </c>
      <c r="R42" s="576">
        <f>ROUND(81.954525,0)</f>
        <v>82</v>
      </c>
      <c r="S42" s="547">
        <v>1</v>
      </c>
      <c r="T42" s="547" t="s">
        <v>176</v>
      </c>
      <c r="U42" s="578">
        <f t="shared" si="4"/>
        <v>328</v>
      </c>
      <c r="V42" s="545">
        <v>4</v>
      </c>
      <c r="W42" s="576">
        <v>84.413160750000003</v>
      </c>
      <c r="X42" s="547">
        <v>1</v>
      </c>
      <c r="Y42" s="547" t="s">
        <v>176</v>
      </c>
      <c r="Z42" s="578">
        <f>V42*W42</f>
        <v>337.65264300000001</v>
      </c>
    </row>
    <row r="43" spans="1:26" ht="14.25" customHeight="1" x14ac:dyDescent="0.45">
      <c r="A43" s="531" t="s">
        <v>130</v>
      </c>
      <c r="B43" s="545">
        <v>3</v>
      </c>
      <c r="C43" s="576">
        <v>124</v>
      </c>
      <c r="D43" s="547">
        <v>1</v>
      </c>
      <c r="E43" s="547" t="s">
        <v>176</v>
      </c>
      <c r="F43" s="578">
        <v>372</v>
      </c>
      <c r="G43" s="545">
        <v>3</v>
      </c>
      <c r="H43" s="576">
        <v>128</v>
      </c>
      <c r="I43" s="547">
        <v>1</v>
      </c>
      <c r="J43" s="547" t="s">
        <v>176</v>
      </c>
      <c r="K43" s="578">
        <v>384</v>
      </c>
      <c r="L43" s="545">
        <v>4</v>
      </c>
      <c r="M43" s="576">
        <f t="shared" si="3"/>
        <v>131.84</v>
      </c>
      <c r="N43" s="547">
        <v>1</v>
      </c>
      <c r="O43" s="547" t="s">
        <v>176</v>
      </c>
      <c r="P43" s="578">
        <f>L43*M43</f>
        <v>527.36</v>
      </c>
      <c r="Q43" s="545">
        <v>4</v>
      </c>
      <c r="R43" s="576">
        <f>135.498148</f>
        <v>135.49814799999999</v>
      </c>
      <c r="S43" s="547">
        <v>1</v>
      </c>
      <c r="T43" s="547" t="s">
        <v>176</v>
      </c>
      <c r="U43" s="578">
        <f t="shared" si="4"/>
        <v>541.99259199999995</v>
      </c>
      <c r="V43" s="545">
        <v>4</v>
      </c>
      <c r="W43" s="576">
        <f>139.56309244</f>
        <v>139.56309243999999</v>
      </c>
      <c r="X43" s="547">
        <v>1</v>
      </c>
      <c r="Y43" s="547" t="s">
        <v>176</v>
      </c>
      <c r="Z43" s="578">
        <f t="shared" ref="Z43" si="6">V43*W43</f>
        <v>558.25236975999997</v>
      </c>
    </row>
    <row r="44" spans="1:26" ht="14.25" customHeight="1" x14ac:dyDescent="0.45">
      <c r="A44" s="531" t="s">
        <v>9</v>
      </c>
      <c r="B44" s="550"/>
      <c r="C44" s="551"/>
      <c r="D44" s="552"/>
      <c r="E44" s="552"/>
      <c r="F44" s="577">
        <v>5571</v>
      </c>
      <c r="G44" s="550"/>
      <c r="H44" s="551"/>
      <c r="I44" s="552"/>
      <c r="J44" s="552"/>
      <c r="K44" s="577">
        <v>5739</v>
      </c>
      <c r="L44" s="550"/>
      <c r="M44" s="551"/>
      <c r="N44" s="552"/>
      <c r="O44" s="552"/>
      <c r="P44" s="577">
        <f>SUM(P40:P43)</f>
        <v>7880.32</v>
      </c>
      <c r="Q44" s="550"/>
      <c r="R44" s="551"/>
      <c r="S44" s="552"/>
      <c r="T44" s="552"/>
      <c r="U44" s="577">
        <f>SUM(U40:U43)</f>
        <v>8115.5576679999995</v>
      </c>
      <c r="V44" s="550"/>
      <c r="W44" s="551"/>
      <c r="X44" s="552"/>
      <c r="Y44" s="552"/>
      <c r="Z44" s="577">
        <f>SUM(Z40:Z43)</f>
        <v>8358.8370410400003</v>
      </c>
    </row>
  </sheetData>
  <mergeCells count="19">
    <mergeCell ref="A12:B12"/>
    <mergeCell ref="L38:P38"/>
    <mergeCell ref="Q38:U38"/>
    <mergeCell ref="V38:Z38"/>
    <mergeCell ref="B25:G25"/>
    <mergeCell ref="B17:F17"/>
    <mergeCell ref="B38:F38"/>
    <mergeCell ref="G38:K38"/>
    <mergeCell ref="A13:B13"/>
    <mergeCell ref="A14:B14"/>
    <mergeCell ref="A15:B15"/>
    <mergeCell ref="A6:A7"/>
    <mergeCell ref="A8:A9"/>
    <mergeCell ref="A10:A11"/>
    <mergeCell ref="A1:R1"/>
    <mergeCell ref="A2:H2"/>
    <mergeCell ref="J3:O3"/>
    <mergeCell ref="A4:A5"/>
    <mergeCell ref="J9:J10"/>
  </mergeCells>
  <phoneticPr fontId="30" type="noConversion"/>
  <pageMargins left="0.7" right="0.7" top="0.75" bottom="0.75" header="0.3" footer="0.3"/>
  <pageSetup orientation="portrait" r:id="rId1"/>
  <headerFooter>
    <oddHeader xml:space="preserve">&amp;LPartners of the Americas F2F Caribbean Basin Program Budget: Volunteer Numbers
USAID RFA No. SOL-OAA-13-00006
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4B767-2C51-423C-9B6D-6798333F75B4}">
  <dimension ref="A2:X28"/>
  <sheetViews>
    <sheetView workbookViewId="0">
      <selection activeCell="S4" sqref="S4"/>
    </sheetView>
  </sheetViews>
  <sheetFormatPr defaultRowHeight="12.3" x14ac:dyDescent="0.4"/>
  <cols>
    <col min="1" max="1" width="24.44140625" customWidth="1"/>
    <col min="2" max="2" width="7.44140625" bestFit="1" customWidth="1"/>
    <col min="3" max="3" width="6.27734375" customWidth="1"/>
    <col min="4" max="4" width="7.44140625" bestFit="1" customWidth="1"/>
    <col min="5" max="5" width="9.1640625" customWidth="1"/>
    <col min="10" max="10" width="9.1640625" customWidth="1"/>
    <col min="11" max="11" width="17.83203125" customWidth="1"/>
  </cols>
  <sheetData>
    <row r="2" spans="1:24" x14ac:dyDescent="0.4">
      <c r="H2" s="4"/>
      <c r="I2" s="4"/>
      <c r="J2" s="4"/>
      <c r="K2" s="4"/>
      <c r="L2" s="4"/>
      <c r="M2" s="4"/>
      <c r="N2" s="4"/>
      <c r="O2" s="4"/>
      <c r="P2" s="4"/>
      <c r="Q2" s="4"/>
    </row>
    <row r="3" spans="1:24" ht="14.1" x14ac:dyDescent="0.5">
      <c r="A3" s="653" t="s">
        <v>153</v>
      </c>
      <c r="B3" s="654"/>
      <c r="C3" s="654"/>
      <c r="D3" s="654"/>
      <c r="E3" s="654"/>
      <c r="F3" s="655"/>
      <c r="G3" s="4"/>
      <c r="H3" s="682"/>
      <c r="I3" s="555" t="s">
        <v>177</v>
      </c>
      <c r="J3" s="556"/>
      <c r="K3" s="556"/>
      <c r="L3" s="557"/>
    </row>
    <row r="4" spans="1:24" ht="12.75" customHeight="1" x14ac:dyDescent="0.4">
      <c r="A4" s="462" t="s">
        <v>155</v>
      </c>
      <c r="B4" s="354" t="s">
        <v>147</v>
      </c>
      <c r="C4" s="354" t="s">
        <v>148</v>
      </c>
      <c r="D4" s="354" t="s">
        <v>149</v>
      </c>
      <c r="E4" s="354" t="s">
        <v>150</v>
      </c>
      <c r="F4" s="479" t="s">
        <v>151</v>
      </c>
      <c r="G4" s="312"/>
      <c r="H4" s="683"/>
      <c r="I4" s="558"/>
      <c r="J4" s="559"/>
      <c r="K4" s="559"/>
      <c r="L4" s="560"/>
    </row>
    <row r="5" spans="1:24" ht="12.6" x14ac:dyDescent="0.45">
      <c r="A5" s="462" t="s">
        <v>39</v>
      </c>
      <c r="B5" s="345">
        <f>'Volunteer Travel'!K5</f>
        <v>150</v>
      </c>
      <c r="C5" s="345">
        <f>'Volunteer Travel'!L5</f>
        <v>180</v>
      </c>
      <c r="D5" s="345">
        <f>'Volunteer Travel'!M5</f>
        <v>198</v>
      </c>
      <c r="E5" s="345">
        <f>'Volunteer Travel'!N5</f>
        <v>180</v>
      </c>
      <c r="F5" s="345">
        <f>'Volunteer Travel'!O5</f>
        <v>144</v>
      </c>
      <c r="G5" s="312"/>
      <c r="H5" s="676"/>
      <c r="I5" s="684" t="s">
        <v>178</v>
      </c>
      <c r="J5" s="685"/>
      <c r="K5" s="543" t="s">
        <v>179</v>
      </c>
      <c r="L5" s="543" t="s">
        <v>147</v>
      </c>
    </row>
    <row r="6" spans="1:24" x14ac:dyDescent="0.4">
      <c r="A6" s="462" t="s">
        <v>157</v>
      </c>
      <c r="B6" s="345">
        <f>'Volunteer Travel'!K6</f>
        <v>150</v>
      </c>
      <c r="C6" s="345">
        <f>'Volunteer Travel'!L6</f>
        <v>180</v>
      </c>
      <c r="D6" s="345">
        <f>'Volunteer Travel'!M6</f>
        <v>198</v>
      </c>
      <c r="E6" s="345">
        <f>'Volunteer Travel'!N6</f>
        <v>180</v>
      </c>
      <c r="F6" s="345">
        <f>'Volunteer Travel'!O6</f>
        <v>144</v>
      </c>
      <c r="G6" s="312"/>
      <c r="H6" s="529" t="s">
        <v>180</v>
      </c>
      <c r="I6" s="562" t="s">
        <v>75</v>
      </c>
      <c r="J6" s="562" t="s">
        <v>166</v>
      </c>
      <c r="K6" s="562" t="s">
        <v>181</v>
      </c>
      <c r="L6" s="530"/>
    </row>
    <row r="7" spans="1:24" ht="12.6" x14ac:dyDescent="0.45">
      <c r="A7" s="462" t="s">
        <v>42</v>
      </c>
      <c r="B7" s="345">
        <f>'Volunteer Travel'!K7</f>
        <v>138</v>
      </c>
      <c r="C7" s="345">
        <f>'Volunteer Travel'!L7</f>
        <v>138</v>
      </c>
      <c r="D7" s="345">
        <f>'Volunteer Travel'!M7</f>
        <v>156</v>
      </c>
      <c r="E7" s="345">
        <f>'Volunteer Travel'!N7</f>
        <v>132</v>
      </c>
      <c r="F7" s="345">
        <f>'Volunteer Travel'!O7</f>
        <v>126</v>
      </c>
      <c r="G7" s="312"/>
      <c r="H7" s="531" t="s">
        <v>39</v>
      </c>
      <c r="I7" s="561">
        <v>59.499999999999993</v>
      </c>
      <c r="J7" s="561">
        <v>42.5</v>
      </c>
      <c r="K7" s="561">
        <v>56</v>
      </c>
      <c r="L7" s="561">
        <f>SUM(O15*I7)+(O15*J7)+(K7*(I15+L15))</f>
        <v>17484</v>
      </c>
    </row>
    <row r="8" spans="1:24" ht="12.6" x14ac:dyDescent="0.45">
      <c r="A8" s="463" t="s">
        <v>43</v>
      </c>
      <c r="B8" s="345">
        <f>'Volunteer Travel'!K8</f>
        <v>138</v>
      </c>
      <c r="C8" s="345">
        <f>'Volunteer Travel'!L8</f>
        <v>138</v>
      </c>
      <c r="D8" s="345">
        <f>'Volunteer Travel'!M8</f>
        <v>150</v>
      </c>
      <c r="E8" s="345">
        <f>'Volunteer Travel'!N8</f>
        <v>132</v>
      </c>
      <c r="F8" s="345">
        <f>'Volunteer Travel'!O8</f>
        <v>132</v>
      </c>
      <c r="G8" s="312"/>
      <c r="H8" s="531" t="s">
        <v>157</v>
      </c>
      <c r="I8" s="561">
        <v>65.047499999999999</v>
      </c>
      <c r="J8" s="561">
        <v>55.75</v>
      </c>
      <c r="K8" s="561">
        <v>67</v>
      </c>
      <c r="L8" s="561">
        <f>SUM(O24*I8)+(O24*J8)+(K8*(I24+L24))</f>
        <v>20732.625</v>
      </c>
    </row>
    <row r="9" spans="1:24" ht="12.6" x14ac:dyDescent="0.45">
      <c r="A9" s="312"/>
      <c r="B9" s="312"/>
      <c r="C9" s="312"/>
      <c r="D9" s="312"/>
      <c r="E9" s="312"/>
      <c r="F9" s="312"/>
      <c r="G9" s="312"/>
      <c r="H9" s="531" t="s">
        <v>42</v>
      </c>
      <c r="I9" s="561">
        <v>72.072000000000003</v>
      </c>
      <c r="J9" s="561">
        <v>59.5</v>
      </c>
      <c r="K9" s="561">
        <v>65</v>
      </c>
      <c r="L9" s="561">
        <f>SUM($I9*X15)+($J9*X15)+($K9*(R15+U15))</f>
        <v>20561.936000000002</v>
      </c>
    </row>
    <row r="10" spans="1:24" ht="12.75" customHeight="1" x14ac:dyDescent="0.45">
      <c r="A10" s="656"/>
      <c r="B10" s="312"/>
      <c r="C10" s="312"/>
      <c r="D10" s="312"/>
      <c r="E10" s="312"/>
      <c r="F10" s="312"/>
      <c r="G10" s="312"/>
      <c r="H10" s="531" t="s">
        <v>43</v>
      </c>
      <c r="I10" s="561">
        <v>81.234999999999999</v>
      </c>
      <c r="J10" s="561">
        <v>50.5</v>
      </c>
      <c r="K10" s="561">
        <v>64</v>
      </c>
      <c r="L10" s="561">
        <f>SUM($I10*X24)+($J10*X24)+($K10*(R24+U24))</f>
        <v>20547.43</v>
      </c>
    </row>
    <row r="11" spans="1:24" x14ac:dyDescent="0.4">
      <c r="A11" s="656"/>
      <c r="B11" s="312"/>
      <c r="C11" s="312"/>
      <c r="D11" s="312"/>
      <c r="E11" s="312"/>
      <c r="F11" s="312"/>
      <c r="G11" s="312"/>
      <c r="H11" s="312"/>
      <c r="I11" s="312"/>
      <c r="J11" s="312"/>
      <c r="K11" s="312"/>
      <c r="L11" s="312"/>
      <c r="M11" s="312"/>
      <c r="N11" s="312"/>
      <c r="O11" s="312"/>
      <c r="P11" s="312"/>
      <c r="Q11" s="312"/>
    </row>
    <row r="12" spans="1:24" x14ac:dyDescent="0.4">
      <c r="A12" s="355"/>
      <c r="B12" s="312"/>
      <c r="C12" s="312"/>
      <c r="D12" s="312"/>
      <c r="E12" s="312"/>
      <c r="F12" s="312"/>
      <c r="G12" s="312"/>
      <c r="H12" s="674" t="s">
        <v>182</v>
      </c>
      <c r="I12" s="677" t="s">
        <v>183</v>
      </c>
      <c r="J12" s="678"/>
      <c r="K12" s="678"/>
      <c r="L12" s="678"/>
      <c r="M12" s="678"/>
      <c r="N12" s="678"/>
      <c r="O12" s="679"/>
      <c r="P12" s="312"/>
      <c r="Q12" s="674" t="s">
        <v>182</v>
      </c>
      <c r="R12" s="677" t="s">
        <v>184</v>
      </c>
      <c r="S12" s="678"/>
      <c r="T12" s="678"/>
      <c r="U12" s="678"/>
      <c r="V12" s="678"/>
      <c r="W12" s="678"/>
      <c r="X12" s="679"/>
    </row>
    <row r="13" spans="1:24" ht="12.75" customHeight="1" x14ac:dyDescent="0.4">
      <c r="B13" s="665" t="s">
        <v>185</v>
      </c>
      <c r="C13" s="666"/>
      <c r="D13" s="667"/>
      <c r="E13" s="312"/>
      <c r="F13" s="312"/>
      <c r="G13" s="312"/>
      <c r="H13" s="675"/>
      <c r="I13" s="659" t="s">
        <v>186</v>
      </c>
      <c r="J13" s="660"/>
      <c r="K13" s="661"/>
      <c r="L13" s="659" t="s">
        <v>187</v>
      </c>
      <c r="M13" s="660"/>
      <c r="N13" s="661"/>
      <c r="O13" s="680" t="s">
        <v>188</v>
      </c>
      <c r="P13" s="312"/>
      <c r="Q13" s="675"/>
      <c r="R13" s="659" t="s">
        <v>186</v>
      </c>
      <c r="S13" s="660"/>
      <c r="T13" s="661"/>
      <c r="U13" s="659" t="s">
        <v>187</v>
      </c>
      <c r="V13" s="660"/>
      <c r="W13" s="661"/>
      <c r="X13" s="680" t="s">
        <v>188</v>
      </c>
    </row>
    <row r="14" spans="1:24" x14ac:dyDescent="0.4">
      <c r="A14" s="462" t="s">
        <v>155</v>
      </c>
      <c r="B14" s="357" t="s">
        <v>75</v>
      </c>
      <c r="C14" s="353" t="s">
        <v>166</v>
      </c>
      <c r="D14" s="352" t="s">
        <v>189</v>
      </c>
      <c r="E14" s="312"/>
      <c r="F14" s="312"/>
      <c r="G14" s="312"/>
      <c r="H14" s="676"/>
      <c r="I14" s="544" t="s">
        <v>190</v>
      </c>
      <c r="J14" s="544" t="s">
        <v>191</v>
      </c>
      <c r="K14" s="544" t="s">
        <v>192</v>
      </c>
      <c r="L14" s="544" t="s">
        <v>190</v>
      </c>
      <c r="M14" s="544" t="s">
        <v>191</v>
      </c>
      <c r="N14" s="544" t="s">
        <v>192</v>
      </c>
      <c r="O14" s="681"/>
      <c r="P14" s="312"/>
      <c r="Q14" s="676"/>
      <c r="R14" s="544" t="s">
        <v>190</v>
      </c>
      <c r="S14" s="544" t="s">
        <v>191</v>
      </c>
      <c r="T14" s="544" t="s">
        <v>192</v>
      </c>
      <c r="U14" s="544" t="s">
        <v>190</v>
      </c>
      <c r="V14" s="544" t="s">
        <v>191</v>
      </c>
      <c r="W14" s="544" t="s">
        <v>192</v>
      </c>
      <c r="X14" s="681"/>
    </row>
    <row r="15" spans="1:24" ht="12.6" x14ac:dyDescent="0.45">
      <c r="A15" s="462" t="s">
        <v>39</v>
      </c>
      <c r="B15" s="443">
        <v>59.499999999999993</v>
      </c>
      <c r="C15" s="251">
        <v>42.5</v>
      </c>
      <c r="D15" s="444">
        <v>56</v>
      </c>
      <c r="H15" s="531" t="s">
        <v>147</v>
      </c>
      <c r="I15" s="545">
        <v>18</v>
      </c>
      <c r="J15" s="546">
        <v>6</v>
      </c>
      <c r="K15" s="547">
        <f>I15*J15</f>
        <v>108</v>
      </c>
      <c r="L15" s="548">
        <v>21</v>
      </c>
      <c r="M15" s="546">
        <v>2</v>
      </c>
      <c r="N15" s="547">
        <f>L15*M15</f>
        <v>42</v>
      </c>
      <c r="O15" s="549">
        <f>N15+K15</f>
        <v>150</v>
      </c>
      <c r="P15" s="312"/>
      <c r="Q15" s="531" t="s">
        <v>147</v>
      </c>
      <c r="R15" s="545">
        <v>16</v>
      </c>
      <c r="S15" s="546">
        <v>6</v>
      </c>
      <c r="T15" s="547">
        <f>R15*S15</f>
        <v>96</v>
      </c>
      <c r="U15" s="548">
        <v>21</v>
      </c>
      <c r="V15" s="546">
        <v>2</v>
      </c>
      <c r="W15" s="547">
        <f>U15*V15</f>
        <v>42</v>
      </c>
      <c r="X15" s="549">
        <f>W15+T15</f>
        <v>138</v>
      </c>
    </row>
    <row r="16" spans="1:24" ht="12.75" customHeight="1" x14ac:dyDescent="0.45">
      <c r="A16" s="462" t="s">
        <v>157</v>
      </c>
      <c r="B16" s="443">
        <v>65.047499999999999</v>
      </c>
      <c r="C16" s="251">
        <v>55.75</v>
      </c>
      <c r="D16" s="444">
        <v>67</v>
      </c>
      <c r="H16" s="531" t="s">
        <v>148</v>
      </c>
      <c r="I16" s="545">
        <v>23</v>
      </c>
      <c r="J16" s="546">
        <v>6</v>
      </c>
      <c r="K16" s="547">
        <f t="shared" ref="K16:K19" si="0">I16*J16</f>
        <v>138</v>
      </c>
      <c r="L16" s="548">
        <v>21</v>
      </c>
      <c r="M16" s="546">
        <v>2</v>
      </c>
      <c r="N16" s="547">
        <f t="shared" ref="N16:N18" si="1">L16*M16</f>
        <v>42</v>
      </c>
      <c r="O16" s="549">
        <f t="shared" ref="O16:O18" si="2">N16+K16</f>
        <v>180</v>
      </c>
      <c r="P16" s="312"/>
      <c r="Q16" s="531" t="s">
        <v>148</v>
      </c>
      <c r="R16" s="545">
        <v>16</v>
      </c>
      <c r="S16" s="546">
        <v>6</v>
      </c>
      <c r="T16" s="547">
        <f t="shared" ref="T16:T19" si="3">R16*S16</f>
        <v>96</v>
      </c>
      <c r="U16" s="548">
        <v>21</v>
      </c>
      <c r="V16" s="546">
        <v>2</v>
      </c>
      <c r="W16" s="547">
        <f t="shared" ref="W16:W18" si="4">U16*V16</f>
        <v>42</v>
      </c>
      <c r="X16" s="549">
        <f t="shared" ref="X16:X18" si="5">W16+T16</f>
        <v>138</v>
      </c>
    </row>
    <row r="17" spans="1:24" ht="12.6" x14ac:dyDescent="0.45">
      <c r="A17" s="462" t="s">
        <v>42</v>
      </c>
      <c r="B17" s="443">
        <v>72.072000000000003</v>
      </c>
      <c r="C17" s="251">
        <v>59.5</v>
      </c>
      <c r="D17" s="444">
        <v>65</v>
      </c>
      <c r="H17" s="531" t="s">
        <v>149</v>
      </c>
      <c r="I17" s="545">
        <v>23</v>
      </c>
      <c r="J17" s="546">
        <v>6</v>
      </c>
      <c r="K17" s="547">
        <f t="shared" si="0"/>
        <v>138</v>
      </c>
      <c r="L17" s="548">
        <v>30</v>
      </c>
      <c r="M17" s="546">
        <v>2</v>
      </c>
      <c r="N17" s="547">
        <f t="shared" si="1"/>
        <v>60</v>
      </c>
      <c r="O17" s="549">
        <f t="shared" si="2"/>
        <v>198</v>
      </c>
      <c r="P17" s="4"/>
      <c r="Q17" s="531" t="s">
        <v>149</v>
      </c>
      <c r="R17" s="545">
        <v>16</v>
      </c>
      <c r="S17" s="546">
        <v>6</v>
      </c>
      <c r="T17" s="547">
        <f t="shared" si="3"/>
        <v>96</v>
      </c>
      <c r="U17" s="548">
        <v>30</v>
      </c>
      <c r="V17" s="546">
        <v>2</v>
      </c>
      <c r="W17" s="547">
        <f t="shared" si="4"/>
        <v>60</v>
      </c>
      <c r="X17" s="549">
        <f t="shared" si="5"/>
        <v>156</v>
      </c>
    </row>
    <row r="18" spans="1:24" ht="12.6" x14ac:dyDescent="0.45">
      <c r="A18" s="463" t="s">
        <v>43</v>
      </c>
      <c r="B18" s="447">
        <v>81.234999999999999</v>
      </c>
      <c r="C18" s="448">
        <v>50.5</v>
      </c>
      <c r="D18" s="449">
        <v>64</v>
      </c>
      <c r="H18" s="531" t="s">
        <v>193</v>
      </c>
      <c r="I18" s="545">
        <v>23</v>
      </c>
      <c r="J18" s="546">
        <v>6</v>
      </c>
      <c r="K18" s="547">
        <f t="shared" si="0"/>
        <v>138</v>
      </c>
      <c r="L18" s="548">
        <v>21</v>
      </c>
      <c r="M18" s="546">
        <v>2</v>
      </c>
      <c r="N18" s="547">
        <f t="shared" si="1"/>
        <v>42</v>
      </c>
      <c r="O18" s="549">
        <f t="shared" si="2"/>
        <v>180</v>
      </c>
      <c r="P18" s="4"/>
      <c r="Q18" s="531" t="s">
        <v>193</v>
      </c>
      <c r="R18" s="545">
        <v>15</v>
      </c>
      <c r="S18" s="546">
        <v>6</v>
      </c>
      <c r="T18" s="547">
        <f t="shared" si="3"/>
        <v>90</v>
      </c>
      <c r="U18" s="548">
        <v>21</v>
      </c>
      <c r="V18" s="546">
        <v>2</v>
      </c>
      <c r="W18" s="547">
        <f t="shared" si="4"/>
        <v>42</v>
      </c>
      <c r="X18" s="549">
        <f t="shared" si="5"/>
        <v>132</v>
      </c>
    </row>
    <row r="19" spans="1:24" ht="12.6" x14ac:dyDescent="0.45">
      <c r="H19" s="531" t="s">
        <v>151</v>
      </c>
      <c r="I19" s="550">
        <v>17</v>
      </c>
      <c r="J19" s="551">
        <v>6</v>
      </c>
      <c r="K19" s="552">
        <f t="shared" si="0"/>
        <v>102</v>
      </c>
      <c r="L19" s="553">
        <v>21</v>
      </c>
      <c r="M19" s="551">
        <v>2</v>
      </c>
      <c r="N19" s="552">
        <f>M19*L19</f>
        <v>42</v>
      </c>
      <c r="O19" s="554">
        <f>N19+K19</f>
        <v>144</v>
      </c>
      <c r="P19" s="4"/>
      <c r="Q19" s="531" t="s">
        <v>151</v>
      </c>
      <c r="R19" s="550">
        <v>14</v>
      </c>
      <c r="S19" s="551">
        <v>6</v>
      </c>
      <c r="T19" s="552">
        <f t="shared" si="3"/>
        <v>84</v>
      </c>
      <c r="U19" s="553">
        <v>21</v>
      </c>
      <c r="V19" s="551">
        <v>2</v>
      </c>
      <c r="W19" s="552">
        <f>V19*U19</f>
        <v>42</v>
      </c>
      <c r="X19" s="554">
        <f>W19+T19</f>
        <v>126</v>
      </c>
    </row>
    <row r="20" spans="1:24" x14ac:dyDescent="0.4">
      <c r="H20" s="4"/>
      <c r="I20" s="4"/>
      <c r="J20" s="4"/>
      <c r="K20" s="4"/>
      <c r="L20" s="4"/>
      <c r="M20" s="4"/>
      <c r="N20" s="4"/>
      <c r="O20" s="4"/>
      <c r="P20" s="4"/>
      <c r="Q20" s="4"/>
    </row>
    <row r="21" spans="1:24" x14ac:dyDescent="0.4">
      <c r="H21" s="674" t="s">
        <v>182</v>
      </c>
      <c r="I21" s="677" t="s">
        <v>194</v>
      </c>
      <c r="J21" s="678"/>
      <c r="K21" s="678"/>
      <c r="L21" s="678"/>
      <c r="M21" s="678"/>
      <c r="N21" s="678"/>
      <c r="O21" s="679"/>
      <c r="P21" s="4"/>
      <c r="Q21" s="674" t="s">
        <v>182</v>
      </c>
      <c r="R21" s="677" t="s">
        <v>195</v>
      </c>
      <c r="S21" s="678"/>
      <c r="T21" s="678"/>
      <c r="U21" s="678"/>
      <c r="V21" s="678"/>
      <c r="W21" s="678"/>
      <c r="X21" s="679"/>
    </row>
    <row r="22" spans="1:24" ht="12.75" customHeight="1" x14ac:dyDescent="0.4">
      <c r="H22" s="675"/>
      <c r="I22" s="659" t="s">
        <v>186</v>
      </c>
      <c r="J22" s="660"/>
      <c r="K22" s="661"/>
      <c r="L22" s="659" t="s">
        <v>187</v>
      </c>
      <c r="M22" s="660"/>
      <c r="N22" s="661"/>
      <c r="O22" s="680" t="s">
        <v>188</v>
      </c>
      <c r="P22" s="4"/>
      <c r="Q22" s="675"/>
      <c r="R22" s="659" t="s">
        <v>186</v>
      </c>
      <c r="S22" s="660"/>
      <c r="T22" s="661"/>
      <c r="U22" s="659" t="s">
        <v>187</v>
      </c>
      <c r="V22" s="660"/>
      <c r="W22" s="661"/>
      <c r="X22" s="680" t="s">
        <v>188</v>
      </c>
    </row>
    <row r="23" spans="1:24" x14ac:dyDescent="0.4">
      <c r="H23" s="676"/>
      <c r="I23" s="544" t="s">
        <v>190</v>
      </c>
      <c r="J23" s="544" t="s">
        <v>191</v>
      </c>
      <c r="K23" s="544" t="s">
        <v>192</v>
      </c>
      <c r="L23" s="544" t="s">
        <v>190</v>
      </c>
      <c r="M23" s="544" t="s">
        <v>191</v>
      </c>
      <c r="N23" s="544" t="s">
        <v>192</v>
      </c>
      <c r="O23" s="681"/>
      <c r="P23" s="4"/>
      <c r="Q23" s="676"/>
      <c r="R23" s="544" t="s">
        <v>190</v>
      </c>
      <c r="S23" s="544" t="s">
        <v>191</v>
      </c>
      <c r="T23" s="544" t="s">
        <v>192</v>
      </c>
      <c r="U23" s="544" t="s">
        <v>190</v>
      </c>
      <c r="V23" s="544" t="s">
        <v>191</v>
      </c>
      <c r="W23" s="544" t="s">
        <v>192</v>
      </c>
      <c r="X23" s="681"/>
    </row>
    <row r="24" spans="1:24" ht="12.6" x14ac:dyDescent="0.45">
      <c r="H24" s="531" t="s">
        <v>147</v>
      </c>
      <c r="I24" s="545">
        <v>18</v>
      </c>
      <c r="J24" s="546">
        <v>6</v>
      </c>
      <c r="K24" s="547">
        <f>I24*J24</f>
        <v>108</v>
      </c>
      <c r="L24" s="548">
        <v>21</v>
      </c>
      <c r="M24" s="546">
        <v>2</v>
      </c>
      <c r="N24" s="547">
        <f>L24*M24</f>
        <v>42</v>
      </c>
      <c r="O24" s="549">
        <f>N24+K24</f>
        <v>150</v>
      </c>
      <c r="P24" s="4"/>
      <c r="Q24" s="531" t="s">
        <v>147</v>
      </c>
      <c r="R24" s="545">
        <v>16</v>
      </c>
      <c r="S24" s="546">
        <v>6</v>
      </c>
      <c r="T24" s="547">
        <f>R24*S24</f>
        <v>96</v>
      </c>
      <c r="U24" s="548">
        <v>21</v>
      </c>
      <c r="V24" s="546">
        <v>2</v>
      </c>
      <c r="W24" s="547">
        <f>U24*V24</f>
        <v>42</v>
      </c>
      <c r="X24" s="549">
        <f>W24+T24</f>
        <v>138</v>
      </c>
    </row>
    <row r="25" spans="1:24" ht="12.6" x14ac:dyDescent="0.45">
      <c r="H25" s="531" t="s">
        <v>148</v>
      </c>
      <c r="I25" s="545">
        <v>23</v>
      </c>
      <c r="J25" s="546">
        <v>6</v>
      </c>
      <c r="K25" s="547">
        <f t="shared" ref="K25:K28" si="6">I25*J25</f>
        <v>138</v>
      </c>
      <c r="L25" s="548">
        <v>21</v>
      </c>
      <c r="M25" s="546">
        <v>2</v>
      </c>
      <c r="N25" s="547">
        <f t="shared" ref="N25:N27" si="7">L25*M25</f>
        <v>42</v>
      </c>
      <c r="O25" s="549">
        <f t="shared" ref="O25:O27" si="8">N25+K25</f>
        <v>180</v>
      </c>
      <c r="P25" s="4"/>
      <c r="Q25" s="531" t="s">
        <v>148</v>
      </c>
      <c r="R25" s="545">
        <v>16</v>
      </c>
      <c r="S25" s="546">
        <v>6</v>
      </c>
      <c r="T25" s="547">
        <f t="shared" ref="T25:T28" si="9">R25*S25</f>
        <v>96</v>
      </c>
      <c r="U25" s="548">
        <v>21</v>
      </c>
      <c r="V25" s="546">
        <v>2</v>
      </c>
      <c r="W25" s="547">
        <f t="shared" ref="W25:W27" si="10">U25*V25</f>
        <v>42</v>
      </c>
      <c r="X25" s="549">
        <f t="shared" ref="X25:X27" si="11">W25+T25</f>
        <v>138</v>
      </c>
    </row>
    <row r="26" spans="1:24" ht="12.6" x14ac:dyDescent="0.45">
      <c r="H26" s="531" t="s">
        <v>149</v>
      </c>
      <c r="I26" s="545">
        <v>23</v>
      </c>
      <c r="J26" s="546">
        <v>6</v>
      </c>
      <c r="K26" s="547">
        <f t="shared" si="6"/>
        <v>138</v>
      </c>
      <c r="L26" s="548">
        <v>30</v>
      </c>
      <c r="M26" s="546">
        <v>2</v>
      </c>
      <c r="N26" s="547">
        <f t="shared" si="7"/>
        <v>60</v>
      </c>
      <c r="O26" s="549">
        <f t="shared" si="8"/>
        <v>198</v>
      </c>
      <c r="P26" s="4"/>
      <c r="Q26" s="531" t="s">
        <v>149</v>
      </c>
      <c r="R26" s="545">
        <v>15</v>
      </c>
      <c r="S26" s="546">
        <v>6</v>
      </c>
      <c r="T26" s="547">
        <f t="shared" si="9"/>
        <v>90</v>
      </c>
      <c r="U26" s="548">
        <v>30</v>
      </c>
      <c r="V26" s="546">
        <v>2</v>
      </c>
      <c r="W26" s="547">
        <f t="shared" si="10"/>
        <v>60</v>
      </c>
      <c r="X26" s="549">
        <f t="shared" si="11"/>
        <v>150</v>
      </c>
    </row>
    <row r="27" spans="1:24" ht="12.6" x14ac:dyDescent="0.45">
      <c r="H27" s="531" t="s">
        <v>193</v>
      </c>
      <c r="I27" s="545">
        <v>23</v>
      </c>
      <c r="J27" s="546">
        <v>6</v>
      </c>
      <c r="K27" s="547">
        <f t="shared" si="6"/>
        <v>138</v>
      </c>
      <c r="L27" s="548">
        <v>21</v>
      </c>
      <c r="M27" s="546">
        <v>2</v>
      </c>
      <c r="N27" s="547">
        <f t="shared" si="7"/>
        <v>42</v>
      </c>
      <c r="O27" s="549">
        <f t="shared" si="8"/>
        <v>180</v>
      </c>
      <c r="P27" s="4"/>
      <c r="Q27" s="531" t="s">
        <v>193</v>
      </c>
      <c r="R27" s="545">
        <v>15</v>
      </c>
      <c r="S27" s="546">
        <v>6</v>
      </c>
      <c r="T27" s="547">
        <f t="shared" si="9"/>
        <v>90</v>
      </c>
      <c r="U27" s="548">
        <v>21</v>
      </c>
      <c r="V27" s="546">
        <v>2</v>
      </c>
      <c r="W27" s="547">
        <f t="shared" si="10"/>
        <v>42</v>
      </c>
      <c r="X27" s="549">
        <f t="shared" si="11"/>
        <v>132</v>
      </c>
    </row>
    <row r="28" spans="1:24" ht="12.6" x14ac:dyDescent="0.45">
      <c r="H28" s="531" t="s">
        <v>151</v>
      </c>
      <c r="I28" s="550">
        <v>17</v>
      </c>
      <c r="J28" s="551">
        <v>6</v>
      </c>
      <c r="K28" s="552">
        <f t="shared" si="6"/>
        <v>102</v>
      </c>
      <c r="L28" s="553">
        <v>21</v>
      </c>
      <c r="M28" s="551">
        <v>2</v>
      </c>
      <c r="N28" s="552">
        <f>M28*L28</f>
        <v>42</v>
      </c>
      <c r="O28" s="554">
        <f>N28+K28</f>
        <v>144</v>
      </c>
      <c r="P28" s="4"/>
      <c r="Q28" s="531" t="s">
        <v>151</v>
      </c>
      <c r="R28" s="550">
        <v>15</v>
      </c>
      <c r="S28" s="551">
        <v>6</v>
      </c>
      <c r="T28" s="552">
        <f t="shared" si="9"/>
        <v>90</v>
      </c>
      <c r="U28" s="553">
        <v>21</v>
      </c>
      <c r="V28" s="551">
        <v>2</v>
      </c>
      <c r="W28" s="552">
        <f>V28*U28</f>
        <v>42</v>
      </c>
      <c r="X28" s="554">
        <f>W28+T28</f>
        <v>132</v>
      </c>
    </row>
  </sheetData>
  <mergeCells count="25">
    <mergeCell ref="A3:F3"/>
    <mergeCell ref="H3:H5"/>
    <mergeCell ref="I5:J5"/>
    <mergeCell ref="O13:O14"/>
    <mergeCell ref="B13:D13"/>
    <mergeCell ref="A10:A11"/>
    <mergeCell ref="H12:H14"/>
    <mergeCell ref="I12:O12"/>
    <mergeCell ref="I13:K13"/>
    <mergeCell ref="L13:N13"/>
    <mergeCell ref="H21:H23"/>
    <mergeCell ref="I21:O21"/>
    <mergeCell ref="I22:K22"/>
    <mergeCell ref="L22:N22"/>
    <mergeCell ref="O22:O23"/>
    <mergeCell ref="Q21:Q23"/>
    <mergeCell ref="R21:X21"/>
    <mergeCell ref="R22:T22"/>
    <mergeCell ref="U22:W22"/>
    <mergeCell ref="X22:X23"/>
    <mergeCell ref="Q12:Q14"/>
    <mergeCell ref="R12:X12"/>
    <mergeCell ref="R13:T13"/>
    <mergeCell ref="U13:W13"/>
    <mergeCell ref="X13:X1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88485-03FD-4085-A5F0-0BEB02C66C70}">
  <dimension ref="A1:R20"/>
  <sheetViews>
    <sheetView workbookViewId="0">
      <selection activeCell="M23" sqref="M23"/>
    </sheetView>
  </sheetViews>
  <sheetFormatPr defaultRowHeight="12.3" x14ac:dyDescent="0.4"/>
  <cols>
    <col min="13" max="13" width="42.83203125" customWidth="1"/>
  </cols>
  <sheetData>
    <row r="1" spans="1:18" x14ac:dyDescent="0.4">
      <c r="A1" s="4"/>
      <c r="B1" s="523" t="s">
        <v>196</v>
      </c>
      <c r="C1" s="523"/>
      <c r="D1" s="523"/>
      <c r="E1" s="524"/>
      <c r="G1" s="4"/>
      <c r="H1" s="686" t="s">
        <v>197</v>
      </c>
      <c r="I1" s="687"/>
      <c r="J1" s="687"/>
      <c r="K1" s="688"/>
      <c r="M1" s="689" t="s">
        <v>198</v>
      </c>
      <c r="N1" s="690" t="s">
        <v>199</v>
      </c>
      <c r="O1" s="690" t="s">
        <v>182</v>
      </c>
      <c r="P1" s="691" t="s">
        <v>182</v>
      </c>
    </row>
    <row r="2" spans="1:18" x14ac:dyDescent="0.4">
      <c r="A2" s="471" t="s">
        <v>155</v>
      </c>
      <c r="B2" s="470" t="s">
        <v>162</v>
      </c>
      <c r="C2" s="470" t="s">
        <v>68</v>
      </c>
      <c r="D2" s="470" t="s">
        <v>163</v>
      </c>
      <c r="E2" s="472" t="s">
        <v>165</v>
      </c>
      <c r="G2" s="483" t="s">
        <v>200</v>
      </c>
      <c r="H2" s="486" t="s">
        <v>162</v>
      </c>
      <c r="I2" s="451" t="s">
        <v>68</v>
      </c>
      <c r="J2" s="451" t="s">
        <v>163</v>
      </c>
      <c r="K2" s="452" t="s">
        <v>165</v>
      </c>
      <c r="M2" s="565" t="s">
        <v>201</v>
      </c>
      <c r="N2" s="566" t="s">
        <v>202</v>
      </c>
      <c r="O2" s="566" t="s">
        <v>23</v>
      </c>
      <c r="P2" s="567" t="s">
        <v>8</v>
      </c>
    </row>
    <row r="3" spans="1:18" ht="12.6" x14ac:dyDescent="0.45">
      <c r="A3" s="471" t="s">
        <v>39</v>
      </c>
      <c r="B3" s="464">
        <v>650</v>
      </c>
      <c r="C3" s="464">
        <v>85</v>
      </c>
      <c r="D3" s="464">
        <v>76.5</v>
      </c>
      <c r="E3" s="465">
        <v>124</v>
      </c>
      <c r="G3" s="484" t="s">
        <v>203</v>
      </c>
      <c r="H3" s="487">
        <v>258</v>
      </c>
      <c r="I3" s="453">
        <v>165</v>
      </c>
      <c r="J3" s="453">
        <v>63.2</v>
      </c>
      <c r="K3" s="454">
        <v>100</v>
      </c>
      <c r="M3" s="568" t="s">
        <v>204</v>
      </c>
      <c r="N3" s="569">
        <v>2210</v>
      </c>
      <c r="O3" s="570">
        <v>1</v>
      </c>
      <c r="P3" s="571">
        <f>N3*O3</f>
        <v>2210</v>
      </c>
    </row>
    <row r="4" spans="1:18" ht="12.6" x14ac:dyDescent="0.45">
      <c r="A4" s="471" t="s">
        <v>157</v>
      </c>
      <c r="B4" s="464">
        <v>750</v>
      </c>
      <c r="C4" s="464">
        <v>92.924999999999997</v>
      </c>
      <c r="D4" s="464">
        <v>100.35000000000001</v>
      </c>
      <c r="E4" s="465">
        <v>124</v>
      </c>
      <c r="G4" s="484" t="s">
        <v>205</v>
      </c>
      <c r="H4" s="488">
        <v>348</v>
      </c>
      <c r="I4" s="450">
        <v>55.5</v>
      </c>
      <c r="J4" s="450">
        <v>51.2</v>
      </c>
      <c r="K4" s="455">
        <v>100</v>
      </c>
      <c r="M4" s="568" t="s">
        <v>206</v>
      </c>
      <c r="N4" s="572">
        <v>65</v>
      </c>
      <c r="O4" s="573">
        <f>12*5</f>
        <v>60</v>
      </c>
      <c r="P4" s="574">
        <f>O4*N4</f>
        <v>3900</v>
      </c>
    </row>
    <row r="5" spans="1:18" ht="12.6" x14ac:dyDescent="0.45">
      <c r="A5" s="471" t="s">
        <v>42</v>
      </c>
      <c r="B5" s="464">
        <v>850</v>
      </c>
      <c r="C5" s="464">
        <v>102.96000000000001</v>
      </c>
      <c r="D5" s="464">
        <v>107.10000000000001</v>
      </c>
      <c r="E5" s="465">
        <v>124</v>
      </c>
      <c r="G5" s="484" t="s">
        <v>207</v>
      </c>
      <c r="H5" s="488">
        <v>260</v>
      </c>
      <c r="I5" s="450">
        <v>63</v>
      </c>
      <c r="J5" s="450">
        <v>57.6</v>
      </c>
      <c r="K5" s="455">
        <v>100</v>
      </c>
      <c r="M5" s="568" t="s">
        <v>208</v>
      </c>
      <c r="N5" s="572">
        <v>750</v>
      </c>
      <c r="O5" s="573">
        <v>12</v>
      </c>
      <c r="P5" s="574">
        <f t="shared" ref="P5:P8" si="0">O5*N5</f>
        <v>9000</v>
      </c>
    </row>
    <row r="6" spans="1:18" ht="12.6" x14ac:dyDescent="0.45">
      <c r="A6" s="471" t="s">
        <v>43</v>
      </c>
      <c r="B6" s="464">
        <v>800</v>
      </c>
      <c r="C6" s="464">
        <v>116.05000000000001</v>
      </c>
      <c r="D6" s="464">
        <v>90.9</v>
      </c>
      <c r="E6" s="465">
        <v>124</v>
      </c>
      <c r="G6" s="484" t="s">
        <v>209</v>
      </c>
      <c r="H6" s="488">
        <v>148</v>
      </c>
      <c r="I6" s="450">
        <v>110</v>
      </c>
      <c r="J6" s="450">
        <v>62.1</v>
      </c>
      <c r="K6" s="455">
        <v>100</v>
      </c>
      <c r="M6" s="568" t="s">
        <v>210</v>
      </c>
      <c r="N6" s="572">
        <v>10</v>
      </c>
      <c r="O6" s="573">
        <v>15</v>
      </c>
      <c r="P6" s="574">
        <f t="shared" si="0"/>
        <v>150</v>
      </c>
    </row>
    <row r="7" spans="1:18" ht="12.6" x14ac:dyDescent="0.45">
      <c r="A7" s="473" t="s">
        <v>173</v>
      </c>
      <c r="B7" s="474"/>
      <c r="C7" s="466">
        <f>AVERAGE(C3:C6)</f>
        <v>99.233750000000001</v>
      </c>
      <c r="D7" s="466">
        <f>AVERAGE(D3:D6)</f>
        <v>93.712500000000006</v>
      </c>
      <c r="E7" s="467">
        <f>AVERAGE(E3:E6)</f>
        <v>124</v>
      </c>
      <c r="G7" s="484" t="s">
        <v>173</v>
      </c>
      <c r="H7" s="488">
        <v>253.5</v>
      </c>
      <c r="I7" s="450">
        <v>98.375</v>
      </c>
      <c r="J7" s="450">
        <v>58.524999999999999</v>
      </c>
      <c r="K7" s="455">
        <v>100</v>
      </c>
      <c r="M7" s="568" t="s">
        <v>211</v>
      </c>
      <c r="N7" s="572">
        <v>300</v>
      </c>
      <c r="O7" s="573">
        <v>1</v>
      </c>
      <c r="P7" s="574">
        <f t="shared" si="0"/>
        <v>300</v>
      </c>
      <c r="R7" s="582"/>
    </row>
    <row r="8" spans="1:18" ht="12.6" x14ac:dyDescent="0.45">
      <c r="G8" s="484" t="s">
        <v>212</v>
      </c>
      <c r="H8" s="488">
        <v>65</v>
      </c>
      <c r="I8" s="460"/>
      <c r="J8" s="460"/>
      <c r="K8" s="461"/>
      <c r="M8" s="568" t="s">
        <v>213</v>
      </c>
      <c r="N8" s="572">
        <v>56</v>
      </c>
      <c r="O8" s="573">
        <f>6*15</f>
        <v>90</v>
      </c>
      <c r="P8" s="574">
        <f t="shared" si="0"/>
        <v>5040</v>
      </c>
    </row>
    <row r="9" spans="1:18" x14ac:dyDescent="0.4">
      <c r="A9" s="4"/>
      <c r="B9" s="468" t="s">
        <v>42</v>
      </c>
      <c r="C9" s="468" t="s">
        <v>43</v>
      </c>
      <c r="D9" s="468" t="s">
        <v>157</v>
      </c>
      <c r="E9" s="469" t="s">
        <v>39</v>
      </c>
      <c r="G9" s="484" t="s">
        <v>214</v>
      </c>
      <c r="H9" s="488">
        <f>(H7+H8)*0.1</f>
        <v>31.85</v>
      </c>
      <c r="I9" s="460"/>
      <c r="J9" s="460"/>
      <c r="K9" s="461"/>
      <c r="M9" s="692" t="s">
        <v>9</v>
      </c>
      <c r="N9" s="693"/>
      <c r="O9" s="693"/>
      <c r="P9" s="575">
        <f>SUM(P3:P8)</f>
        <v>20600</v>
      </c>
    </row>
    <row r="10" spans="1:18" x14ac:dyDescent="0.4">
      <c r="A10" s="462" t="s">
        <v>215</v>
      </c>
      <c r="B10" s="464">
        <v>597</v>
      </c>
      <c r="C10" s="464">
        <v>468</v>
      </c>
      <c r="D10" s="464">
        <v>581</v>
      </c>
      <c r="E10" s="465">
        <v>706</v>
      </c>
      <c r="G10" s="485" t="s">
        <v>8</v>
      </c>
      <c r="H10" s="489">
        <f>ROUND(H9+H7+H8,0)</f>
        <v>350</v>
      </c>
      <c r="I10" s="456">
        <f>ROUND(I9+I7+I8,0)</f>
        <v>98</v>
      </c>
      <c r="J10" s="456">
        <f>ROUND(J9+J7+J8,0)</f>
        <v>59</v>
      </c>
      <c r="K10" s="457">
        <f>ROUND(K9+K7+K8,0)</f>
        <v>100</v>
      </c>
    </row>
    <row r="11" spans="1:18" x14ac:dyDescent="0.4">
      <c r="A11" s="462" t="s">
        <v>216</v>
      </c>
      <c r="B11" s="464">
        <v>765</v>
      </c>
      <c r="C11" s="464">
        <v>1196</v>
      </c>
      <c r="D11" s="464">
        <v>744</v>
      </c>
      <c r="E11" s="465">
        <v>617</v>
      </c>
      <c r="G11" s="258"/>
      <c r="H11" s="4"/>
      <c r="I11" s="4"/>
      <c r="J11" s="4"/>
      <c r="K11" s="4"/>
    </row>
    <row r="12" spans="1:18" x14ac:dyDescent="0.4">
      <c r="A12" s="462" t="s">
        <v>217</v>
      </c>
      <c r="B12" s="464">
        <v>594</v>
      </c>
      <c r="C12" s="464">
        <v>372</v>
      </c>
      <c r="D12" s="464">
        <v>368</v>
      </c>
      <c r="E12" s="465">
        <v>322</v>
      </c>
    </row>
    <row r="13" spans="1:18" x14ac:dyDescent="0.4">
      <c r="A13" s="462" t="s">
        <v>218</v>
      </c>
      <c r="B13" s="464">
        <v>874</v>
      </c>
      <c r="C13" s="464">
        <v>612</v>
      </c>
      <c r="D13" s="464">
        <v>774</v>
      </c>
      <c r="E13" s="465">
        <v>457</v>
      </c>
    </row>
    <row r="14" spans="1:18" x14ac:dyDescent="0.4">
      <c r="A14" s="462" t="s">
        <v>173</v>
      </c>
      <c r="B14" s="464">
        <f>AVERAGE(B10:B13)</f>
        <v>707.5</v>
      </c>
      <c r="C14" s="464">
        <f>AVERAGE(C10:C13)</f>
        <v>662</v>
      </c>
      <c r="D14" s="464">
        <f>AVERAGE(D10:D13)</f>
        <v>616.75</v>
      </c>
      <c r="E14" s="465">
        <f>AVERAGE(E10:E13)</f>
        <v>525.5</v>
      </c>
    </row>
    <row r="15" spans="1:18" x14ac:dyDescent="0.4">
      <c r="A15" s="462" t="s">
        <v>212</v>
      </c>
      <c r="B15" s="464">
        <v>65</v>
      </c>
      <c r="C15" s="464">
        <v>65</v>
      </c>
      <c r="D15" s="464">
        <v>65</v>
      </c>
      <c r="E15" s="465">
        <v>65</v>
      </c>
    </row>
    <row r="16" spans="1:18" x14ac:dyDescent="0.4">
      <c r="A16" s="462" t="s">
        <v>214</v>
      </c>
      <c r="B16" s="464">
        <f>(B14+B15)*0.1</f>
        <v>77.25</v>
      </c>
      <c r="C16" s="464">
        <f>(C14+C15)*0.1</f>
        <v>72.7</v>
      </c>
      <c r="D16" s="464">
        <f>(D14+D15)*0.1</f>
        <v>68.174999999999997</v>
      </c>
      <c r="E16" s="465">
        <f>(E14+E15)*0.1</f>
        <v>59.050000000000004</v>
      </c>
    </row>
    <row r="17" spans="1:5" x14ac:dyDescent="0.4">
      <c r="A17" s="463" t="s">
        <v>8</v>
      </c>
      <c r="B17" s="466">
        <f>B16+B14+B15</f>
        <v>849.75</v>
      </c>
      <c r="C17" s="466">
        <f>C16+C14+C15</f>
        <v>799.7</v>
      </c>
      <c r="D17" s="466">
        <f>D16+D14+D15</f>
        <v>749.92499999999995</v>
      </c>
      <c r="E17" s="467">
        <f>E16+E14+E15</f>
        <v>649.54999999999995</v>
      </c>
    </row>
    <row r="18" spans="1:5" x14ac:dyDescent="0.4">
      <c r="A18" s="4"/>
      <c r="B18" s="258"/>
      <c r="C18" s="258"/>
      <c r="D18" s="258"/>
      <c r="E18" s="258"/>
    </row>
    <row r="19" spans="1:5" x14ac:dyDescent="0.4">
      <c r="A19" s="4"/>
      <c r="B19" s="258"/>
      <c r="C19" s="258"/>
      <c r="D19" s="258"/>
      <c r="E19" s="258"/>
    </row>
    <row r="20" spans="1:5" x14ac:dyDescent="0.4">
      <c r="A20" s="312"/>
      <c r="B20" s="312"/>
      <c r="C20" s="312"/>
      <c r="D20" s="312"/>
      <c r="E20" s="312"/>
    </row>
  </sheetData>
  <mergeCells count="3">
    <mergeCell ref="H1:K1"/>
    <mergeCell ref="M1:P1"/>
    <mergeCell ref="M9:O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G32"/>
  <sheetViews>
    <sheetView zoomScaleNormal="100" workbookViewId="0">
      <selection activeCell="B32" sqref="B32"/>
    </sheetView>
  </sheetViews>
  <sheetFormatPr defaultRowHeight="12.3" x14ac:dyDescent="0.4"/>
  <cols>
    <col min="1" max="1" width="61.71875" bestFit="1" customWidth="1"/>
    <col min="2" max="2" width="7.5546875" style="2" customWidth="1"/>
    <col min="3" max="3" width="6.5546875" bestFit="1" customWidth="1"/>
    <col min="4" max="4" width="9.1640625" style="2"/>
    <col min="5" max="5" width="6.1640625" customWidth="1"/>
    <col min="6" max="6" width="54.5546875" bestFit="1" customWidth="1"/>
    <col min="7" max="7" width="6.5546875" style="2" bestFit="1" customWidth="1"/>
    <col min="8" max="8" width="9.71875" bestFit="1" customWidth="1"/>
  </cols>
  <sheetData>
    <row r="1" spans="1:4" s="24" customFormat="1" ht="15" customHeight="1" x14ac:dyDescent="0.4">
      <c r="A1" s="53" t="s">
        <v>28</v>
      </c>
      <c r="B1" s="41"/>
      <c r="C1" s="40"/>
      <c r="D1" s="41"/>
    </row>
    <row r="2" spans="1:4" s="24" customFormat="1" ht="15" customHeight="1" x14ac:dyDescent="0.4">
      <c r="A2" s="40"/>
      <c r="B2" s="41" t="s">
        <v>202</v>
      </c>
      <c r="C2" s="40" t="s">
        <v>23</v>
      </c>
      <c r="D2" s="41" t="s">
        <v>8</v>
      </c>
    </row>
    <row r="3" spans="1:4" s="24" customFormat="1" ht="15" customHeight="1" x14ac:dyDescent="0.4">
      <c r="A3" s="63"/>
      <c r="B3" s="65"/>
      <c r="C3" s="63"/>
      <c r="D3" s="65"/>
    </row>
    <row r="4" spans="1:4" ht="15" customHeight="1" x14ac:dyDescent="0.4">
      <c r="A4" s="92" t="s">
        <v>17</v>
      </c>
      <c r="B4" s="93"/>
      <c r="C4" s="83"/>
      <c r="D4" s="93"/>
    </row>
    <row r="5" spans="1:4" ht="15" customHeight="1" x14ac:dyDescent="0.4">
      <c r="A5" s="15" t="s">
        <v>219</v>
      </c>
      <c r="B5" s="65">
        <f>B26</f>
        <v>1105</v>
      </c>
      <c r="C5" s="63">
        <v>3</v>
      </c>
      <c r="D5" s="65">
        <f>B5*C5</f>
        <v>3315</v>
      </c>
    </row>
    <row r="6" spans="1:4" ht="15" customHeight="1" x14ac:dyDescent="0.4">
      <c r="A6" s="15" t="s">
        <v>88</v>
      </c>
      <c r="B6" s="65">
        <f>B32</f>
        <v>581.29999999999995</v>
      </c>
      <c r="C6" s="63">
        <v>1</v>
      </c>
      <c r="D6" s="65">
        <f>B6*C6</f>
        <v>581.29999999999995</v>
      </c>
    </row>
    <row r="7" spans="1:4" ht="15" customHeight="1" x14ac:dyDescent="0.4">
      <c r="A7" s="123" t="s">
        <v>220</v>
      </c>
      <c r="B7" s="65"/>
      <c r="C7" s="63"/>
      <c r="D7" s="66">
        <f>SUM(D5:D6)</f>
        <v>3896.3</v>
      </c>
    </row>
    <row r="8" spans="1:4" ht="15" customHeight="1" x14ac:dyDescent="0.4">
      <c r="A8" s="63"/>
      <c r="B8" s="65"/>
      <c r="C8" s="63"/>
      <c r="D8" s="65"/>
    </row>
    <row r="9" spans="1:4" ht="15" customHeight="1" x14ac:dyDescent="0.4">
      <c r="A9" s="92" t="s">
        <v>140</v>
      </c>
      <c r="B9" s="93"/>
      <c r="C9" s="83"/>
      <c r="D9" s="93"/>
    </row>
    <row r="10" spans="1:4" ht="15" customHeight="1" x14ac:dyDescent="0.4">
      <c r="A10" s="15" t="s">
        <v>221</v>
      </c>
      <c r="B10" s="65">
        <v>170</v>
      </c>
      <c r="C10" s="63">
        <v>12</v>
      </c>
      <c r="D10" s="65">
        <f>B10*C10</f>
        <v>2040</v>
      </c>
    </row>
    <row r="11" spans="1:4" ht="15" customHeight="1" x14ac:dyDescent="0.4">
      <c r="A11" s="15" t="s">
        <v>222</v>
      </c>
      <c r="B11" s="65">
        <v>500</v>
      </c>
      <c r="C11" s="63">
        <v>1</v>
      </c>
      <c r="D11" s="65">
        <f>B11*C11</f>
        <v>500</v>
      </c>
    </row>
    <row r="12" spans="1:4" ht="15" customHeight="1" x14ac:dyDescent="0.4">
      <c r="A12" s="15" t="s">
        <v>223</v>
      </c>
      <c r="B12" s="65">
        <v>200</v>
      </c>
      <c r="C12" s="63">
        <v>12</v>
      </c>
      <c r="D12" s="65">
        <f>B12*C12</f>
        <v>2400</v>
      </c>
    </row>
    <row r="13" spans="1:4" ht="15" customHeight="1" x14ac:dyDescent="0.4">
      <c r="A13" s="15" t="s">
        <v>224</v>
      </c>
      <c r="B13" s="65">
        <v>480</v>
      </c>
      <c r="C13" s="63">
        <v>4</v>
      </c>
      <c r="D13" s="65">
        <f>B13*C13</f>
        <v>1920</v>
      </c>
    </row>
    <row r="14" spans="1:4" ht="15" customHeight="1" x14ac:dyDescent="0.4">
      <c r="A14" s="15" t="s">
        <v>225</v>
      </c>
      <c r="B14" s="65">
        <v>192</v>
      </c>
      <c r="C14" s="63">
        <v>12</v>
      </c>
      <c r="D14" s="65">
        <f>B14*C14</f>
        <v>2304</v>
      </c>
    </row>
    <row r="15" spans="1:4" ht="15" customHeight="1" x14ac:dyDescent="0.4">
      <c r="A15" s="123" t="s">
        <v>226</v>
      </c>
      <c r="B15" s="65"/>
      <c r="C15" s="63"/>
      <c r="D15" s="66">
        <f>SUM(D10:D14)</f>
        <v>9164</v>
      </c>
    </row>
    <row r="16" spans="1:4" ht="15" customHeight="1" x14ac:dyDescent="0.4">
      <c r="A16" s="123"/>
      <c r="B16" s="65"/>
      <c r="C16" s="63"/>
      <c r="D16" s="66"/>
    </row>
    <row r="17" spans="1:7" ht="15" customHeight="1" x14ac:dyDescent="0.4">
      <c r="A17" s="88" t="s">
        <v>227</v>
      </c>
      <c r="B17" s="89"/>
      <c r="C17" s="90"/>
      <c r="D17" s="91">
        <f>D15+D7</f>
        <v>13060.3</v>
      </c>
    </row>
    <row r="18" spans="1:7" ht="15" customHeight="1" x14ac:dyDescent="0.4"/>
    <row r="19" spans="1:7" ht="15" customHeight="1" x14ac:dyDescent="0.4">
      <c r="E19" s="3"/>
    </row>
    <row r="20" spans="1:7" ht="15" customHeight="1" x14ac:dyDescent="0.4">
      <c r="A20" s="94" t="s">
        <v>228</v>
      </c>
      <c r="B20" s="95"/>
      <c r="C20" s="2"/>
      <c r="D20" s="3"/>
      <c r="F20" s="2"/>
      <c r="G20"/>
    </row>
    <row r="21" spans="1:7" ht="15" customHeight="1" x14ac:dyDescent="0.4">
      <c r="A21" s="86" t="s">
        <v>229</v>
      </c>
      <c r="B21" s="87" t="s">
        <v>230</v>
      </c>
      <c r="C21" s="2"/>
      <c r="D21"/>
      <c r="F21" s="2"/>
      <c r="G21"/>
    </row>
    <row r="22" spans="1:7" ht="15" customHeight="1" x14ac:dyDescent="0.4">
      <c r="A22" s="84"/>
      <c r="B22" s="85"/>
      <c r="C22" s="2"/>
      <c r="D22"/>
      <c r="F22" s="2"/>
      <c r="G22"/>
    </row>
    <row r="23" spans="1:7" ht="15" customHeight="1" x14ac:dyDescent="0.4">
      <c r="A23" s="9" t="s">
        <v>231</v>
      </c>
      <c r="B23" s="66"/>
      <c r="C23" s="2"/>
      <c r="D23"/>
      <c r="F23" s="2"/>
      <c r="G23"/>
    </row>
    <row r="24" spans="1:7" x14ac:dyDescent="0.4">
      <c r="A24" s="15" t="s">
        <v>232</v>
      </c>
      <c r="B24" s="65">
        <v>1050</v>
      </c>
      <c r="C24" s="2"/>
      <c r="D24"/>
      <c r="F24" s="2"/>
      <c r="G24"/>
    </row>
    <row r="25" spans="1:7" x14ac:dyDescent="0.4">
      <c r="A25" s="15" t="s">
        <v>233</v>
      </c>
      <c r="B25" s="65">
        <v>55</v>
      </c>
      <c r="C25" s="2"/>
      <c r="D25"/>
      <c r="F25" s="2"/>
      <c r="G25"/>
    </row>
    <row r="26" spans="1:7" x14ac:dyDescent="0.4">
      <c r="A26" s="63"/>
      <c r="B26" s="66">
        <f>SUM(B24:B25)</f>
        <v>1105</v>
      </c>
      <c r="C26" s="2"/>
      <c r="D26"/>
      <c r="F26" s="2"/>
      <c r="G26"/>
    </row>
    <row r="27" spans="1:7" x14ac:dyDescent="0.4">
      <c r="A27" s="84"/>
      <c r="B27" s="85"/>
      <c r="C27" s="2"/>
      <c r="D27"/>
      <c r="F27" s="2"/>
      <c r="G27"/>
    </row>
    <row r="28" spans="1:7" x14ac:dyDescent="0.4">
      <c r="A28" s="9" t="s">
        <v>234</v>
      </c>
      <c r="B28" s="66"/>
      <c r="C28" s="2"/>
      <c r="D28"/>
      <c r="F28" s="2"/>
      <c r="G28"/>
    </row>
    <row r="29" spans="1:7" x14ac:dyDescent="0.4">
      <c r="A29" s="15" t="s">
        <v>235</v>
      </c>
      <c r="B29" s="65">
        <v>500</v>
      </c>
      <c r="C29" s="2"/>
      <c r="D29"/>
      <c r="F29" s="2"/>
      <c r="G29"/>
    </row>
    <row r="30" spans="1:7" x14ac:dyDescent="0.4">
      <c r="A30" s="15" t="s">
        <v>236</v>
      </c>
      <c r="B30" s="65">
        <v>50.3</v>
      </c>
      <c r="C30" s="2"/>
      <c r="D30"/>
      <c r="F30" s="2"/>
      <c r="G30"/>
    </row>
    <row r="31" spans="1:7" x14ac:dyDescent="0.4">
      <c r="A31" s="15" t="s">
        <v>237</v>
      </c>
      <c r="B31" s="65">
        <v>31</v>
      </c>
      <c r="C31" s="2"/>
      <c r="D31"/>
      <c r="F31" s="2"/>
      <c r="G31"/>
    </row>
    <row r="32" spans="1:7" x14ac:dyDescent="0.4">
      <c r="A32" s="63"/>
      <c r="B32" s="66">
        <f>SUM(B29:B31)</f>
        <v>581.29999999999995</v>
      </c>
      <c r="C32" s="2"/>
      <c r="F32" s="2"/>
      <c r="G32"/>
    </row>
  </sheetData>
  <phoneticPr fontId="8" type="noConversion"/>
  <pageMargins left="0.44" right="0.42" top="1.01" bottom="0.76" header="0.5" footer="0.5"/>
  <pageSetup scale="56" orientation="portrait" r:id="rId1"/>
  <headerFooter alignWithMargins="0">
    <oddHeader>&amp;LPartners of the Americas F2F Caribbean Basin Program Budget: Equipment Costs
USAID RFA No. SOL-OAA-13-00006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E4A0D-212B-4240-880B-9A6D23708436}">
  <dimension ref="A1:O65"/>
  <sheetViews>
    <sheetView workbookViewId="0">
      <selection activeCell="L14" sqref="L14"/>
    </sheetView>
  </sheetViews>
  <sheetFormatPr defaultRowHeight="12.75" customHeight="1" x14ac:dyDescent="0.4"/>
  <cols>
    <col min="1" max="1" width="19.1640625" bestFit="1" customWidth="1"/>
    <col min="6" max="6" width="33.83203125" bestFit="1" customWidth="1"/>
    <col min="8" max="9" width="10.44140625" bestFit="1" customWidth="1"/>
    <col min="11" max="11" width="21.83203125" bestFit="1" customWidth="1"/>
    <col min="14" max="14" width="9.5546875" bestFit="1" customWidth="1"/>
  </cols>
  <sheetData>
    <row r="1" spans="1:15" s="390" customFormat="1" ht="13.8" x14ac:dyDescent="0.45">
      <c r="A1" s="387" t="s">
        <v>92</v>
      </c>
      <c r="B1" s="388"/>
      <c r="C1" s="389"/>
      <c r="D1" s="388"/>
      <c r="F1" s="387" t="s">
        <v>238</v>
      </c>
      <c r="G1" s="388"/>
      <c r="H1" s="389"/>
      <c r="I1" s="388"/>
      <c r="K1" s="387" t="s">
        <v>239</v>
      </c>
      <c r="L1" s="388"/>
      <c r="M1" s="389"/>
      <c r="N1" s="388"/>
    </row>
    <row r="2" spans="1:15" s="390" customFormat="1" ht="13.8" x14ac:dyDescent="0.45">
      <c r="A2" s="389"/>
      <c r="B2" s="388" t="s">
        <v>202</v>
      </c>
      <c r="C2" s="389" t="s">
        <v>23</v>
      </c>
      <c r="D2" s="388" t="s">
        <v>8</v>
      </c>
      <c r="F2" s="389"/>
      <c r="G2" s="388" t="s">
        <v>202</v>
      </c>
      <c r="H2" s="389" t="s">
        <v>23</v>
      </c>
      <c r="I2" s="388" t="s">
        <v>8</v>
      </c>
      <c r="K2" s="389"/>
      <c r="L2" s="388" t="s">
        <v>202</v>
      </c>
      <c r="M2" s="389" t="s">
        <v>23</v>
      </c>
      <c r="N2" s="388" t="s">
        <v>8</v>
      </c>
    </row>
    <row r="3" spans="1:15" s="390" customFormat="1" ht="13.8" x14ac:dyDescent="0.45">
      <c r="A3" s="391"/>
      <c r="B3" s="392"/>
      <c r="C3" s="391"/>
      <c r="D3" s="392"/>
      <c r="F3" s="391"/>
      <c r="G3" s="392"/>
      <c r="H3" s="391"/>
      <c r="I3" s="392"/>
      <c r="K3" s="391"/>
      <c r="L3" s="392"/>
      <c r="M3" s="391"/>
      <c r="N3" s="392"/>
    </row>
    <row r="4" spans="1:15" s="390" customFormat="1" ht="13.8" x14ac:dyDescent="0.45">
      <c r="A4" s="393" t="s">
        <v>240</v>
      </c>
      <c r="B4" s="394"/>
      <c r="C4" s="395"/>
      <c r="D4" s="394"/>
      <c r="F4" s="393" t="s">
        <v>240</v>
      </c>
      <c r="G4" s="394"/>
      <c r="H4" s="395"/>
      <c r="I4" s="394"/>
      <c r="K4" s="393" t="s">
        <v>240</v>
      </c>
      <c r="L4" s="394"/>
      <c r="M4" s="395"/>
      <c r="N4" s="394"/>
    </row>
    <row r="5" spans="1:15" s="390" customFormat="1" ht="13.8" x14ac:dyDescent="0.45">
      <c r="A5" s="391" t="s">
        <v>241</v>
      </c>
      <c r="B5" s="392">
        <v>1100</v>
      </c>
      <c r="C5" s="391">
        <v>4</v>
      </c>
      <c r="D5" s="392">
        <f t="shared" ref="D5:D8" si="0">C5*B5</f>
        <v>4400</v>
      </c>
      <c r="F5" s="391" t="s">
        <v>242</v>
      </c>
      <c r="G5" s="392">
        <v>850</v>
      </c>
      <c r="H5" s="391">
        <v>56</v>
      </c>
      <c r="I5" s="392">
        <f>G5*H5</f>
        <v>47600</v>
      </c>
      <c r="K5" s="391" t="s">
        <v>243</v>
      </c>
      <c r="L5" s="392">
        <v>65</v>
      </c>
      <c r="M5" s="391">
        <v>56</v>
      </c>
      <c r="N5" s="392">
        <f t="shared" ref="N5:N9" si="1">M5*L5</f>
        <v>3640</v>
      </c>
      <c r="O5" s="396"/>
    </row>
    <row r="6" spans="1:15" s="390" customFormat="1" ht="13.8" x14ac:dyDescent="0.45">
      <c r="A6" s="391" t="s">
        <v>122</v>
      </c>
      <c r="B6" s="392">
        <v>160</v>
      </c>
      <c r="C6" s="391">
        <v>2</v>
      </c>
      <c r="D6" s="392">
        <f t="shared" si="0"/>
        <v>320</v>
      </c>
      <c r="F6" s="391"/>
      <c r="G6" s="392"/>
      <c r="H6" s="391"/>
      <c r="I6" s="397">
        <f>SUM(I5:I5)</f>
        <v>47600</v>
      </c>
      <c r="K6" s="391" t="s">
        <v>138</v>
      </c>
      <c r="L6" s="392">
        <v>167</v>
      </c>
      <c r="M6" s="391">
        <v>56</v>
      </c>
      <c r="N6" s="392">
        <f t="shared" si="1"/>
        <v>9352</v>
      </c>
    </row>
    <row r="7" spans="1:15" s="390" customFormat="1" ht="13.8" x14ac:dyDescent="0.45">
      <c r="A7" s="391" t="s">
        <v>244</v>
      </c>
      <c r="B7" s="392">
        <v>650</v>
      </c>
      <c r="C7" s="391">
        <v>1</v>
      </c>
      <c r="D7" s="392">
        <f t="shared" si="0"/>
        <v>650</v>
      </c>
      <c r="F7" s="391"/>
      <c r="G7" s="392"/>
      <c r="H7" s="391"/>
      <c r="I7" s="392"/>
      <c r="K7" s="391" t="s">
        <v>139</v>
      </c>
      <c r="L7" s="392">
        <v>71</v>
      </c>
      <c r="M7" s="391">
        <v>56</v>
      </c>
      <c r="N7" s="392">
        <f t="shared" si="1"/>
        <v>3976</v>
      </c>
    </row>
    <row r="8" spans="1:15" s="390" customFormat="1" ht="13.8" x14ac:dyDescent="0.45">
      <c r="A8" s="391" t="s">
        <v>17</v>
      </c>
      <c r="B8" s="392">
        <v>530</v>
      </c>
      <c r="C8" s="391">
        <v>1</v>
      </c>
      <c r="D8" s="392">
        <f t="shared" si="0"/>
        <v>530</v>
      </c>
      <c r="F8" s="393" t="s">
        <v>245</v>
      </c>
      <c r="G8" s="394"/>
      <c r="H8" s="395"/>
      <c r="I8" s="394"/>
      <c r="K8" s="391" t="s">
        <v>142</v>
      </c>
      <c r="L8" s="392">
        <f>1925/12</f>
        <v>160.41666666666666</v>
      </c>
      <c r="M8" s="391">
        <v>56</v>
      </c>
      <c r="N8" s="392">
        <f t="shared" si="1"/>
        <v>8983.3333333333321</v>
      </c>
    </row>
    <row r="9" spans="1:15" s="390" customFormat="1" ht="13.8" x14ac:dyDescent="0.45">
      <c r="A9" s="391"/>
      <c r="B9" s="392"/>
      <c r="C9" s="391"/>
      <c r="D9" s="397">
        <f>SUM(D5:D8)</f>
        <v>5900</v>
      </c>
      <c r="F9" s="391" t="s">
        <v>242</v>
      </c>
      <c r="G9" s="392">
        <v>900</v>
      </c>
      <c r="H9" s="391">
        <v>56</v>
      </c>
      <c r="I9" s="392">
        <f>G9*H9</f>
        <v>50400</v>
      </c>
      <c r="K9" s="391" t="s">
        <v>246</v>
      </c>
      <c r="L9" s="392">
        <f>25*4</f>
        <v>100</v>
      </c>
      <c r="M9" s="391">
        <v>56</v>
      </c>
      <c r="N9" s="392">
        <f t="shared" si="1"/>
        <v>5600</v>
      </c>
    </row>
    <row r="10" spans="1:15" s="390" customFormat="1" ht="13.8" x14ac:dyDescent="0.45">
      <c r="A10" s="391"/>
      <c r="B10" s="392"/>
      <c r="C10" s="391"/>
      <c r="D10" s="392"/>
      <c r="F10" s="399"/>
      <c r="G10" s="400"/>
      <c r="H10" s="399"/>
      <c r="I10" s="397">
        <f>SUM(I9:I9)</f>
        <v>50400</v>
      </c>
      <c r="K10" s="391"/>
      <c r="L10" s="392"/>
      <c r="M10" s="391"/>
      <c r="N10" s="397">
        <f>SUM(N5:N9)</f>
        <v>31551.333333333332</v>
      </c>
    </row>
    <row r="11" spans="1:15" s="390" customFormat="1" ht="13.8" x14ac:dyDescent="0.45">
      <c r="A11" s="393" t="s">
        <v>245</v>
      </c>
      <c r="B11" s="394"/>
      <c r="C11" s="395"/>
      <c r="D11" s="394"/>
      <c r="F11" s="391"/>
      <c r="G11" s="392"/>
      <c r="H11" s="391"/>
      <c r="I11" s="392"/>
      <c r="K11" s="393" t="s">
        <v>245</v>
      </c>
      <c r="L11" s="394"/>
      <c r="M11" s="395"/>
      <c r="N11" s="394"/>
    </row>
    <row r="12" spans="1:15" s="390" customFormat="1" ht="13.8" x14ac:dyDescent="0.45">
      <c r="A12" s="391" t="s">
        <v>241</v>
      </c>
      <c r="B12" s="392">
        <v>1100</v>
      </c>
      <c r="C12" s="391">
        <v>4</v>
      </c>
      <c r="D12" s="392">
        <f t="shared" ref="D12:D15" si="2">C12*B12</f>
        <v>4400</v>
      </c>
      <c r="F12" s="391"/>
      <c r="G12" s="392"/>
      <c r="H12" s="391"/>
      <c r="I12" s="400"/>
      <c r="K12" s="391" t="s">
        <v>243</v>
      </c>
      <c r="L12" s="392">
        <v>65</v>
      </c>
      <c r="M12" s="391">
        <v>56</v>
      </c>
      <c r="N12" s="392">
        <f t="shared" ref="N12:N16" si="3">M12*L12</f>
        <v>3640</v>
      </c>
      <c r="O12" s="396"/>
    </row>
    <row r="13" spans="1:15" s="390" customFormat="1" ht="13.8" x14ac:dyDescent="0.45">
      <c r="A13" s="391" t="s">
        <v>122</v>
      </c>
      <c r="B13" s="392">
        <v>260</v>
      </c>
      <c r="C13" s="391">
        <v>2</v>
      </c>
      <c r="D13" s="392">
        <f t="shared" si="2"/>
        <v>520</v>
      </c>
      <c r="F13" s="393" t="s">
        <v>247</v>
      </c>
      <c r="G13" s="394"/>
      <c r="H13" s="395"/>
      <c r="I13" s="394"/>
      <c r="K13" s="391" t="s">
        <v>138</v>
      </c>
      <c r="L13" s="392">
        <v>155</v>
      </c>
      <c r="M13" s="391">
        <v>56</v>
      </c>
      <c r="N13" s="392">
        <f t="shared" si="3"/>
        <v>8680</v>
      </c>
      <c r="O13" s="398"/>
    </row>
    <row r="14" spans="1:15" s="401" customFormat="1" ht="13.8" x14ac:dyDescent="0.45">
      <c r="A14" s="391" t="s">
        <v>244</v>
      </c>
      <c r="B14" s="392">
        <v>650</v>
      </c>
      <c r="C14" s="391">
        <v>1</v>
      </c>
      <c r="D14" s="392">
        <f t="shared" si="2"/>
        <v>650</v>
      </c>
      <c r="F14" s="391" t="s">
        <v>242</v>
      </c>
      <c r="G14" s="392">
        <v>1025</v>
      </c>
      <c r="H14" s="391">
        <v>56</v>
      </c>
      <c r="I14" s="392">
        <f>G14*H14</f>
        <v>57400</v>
      </c>
      <c r="K14" s="391" t="s">
        <v>139</v>
      </c>
      <c r="L14" s="392">
        <v>60.13</v>
      </c>
      <c r="M14" s="391">
        <v>56</v>
      </c>
      <c r="N14" s="392">
        <f t="shared" si="3"/>
        <v>3367.28</v>
      </c>
    </row>
    <row r="15" spans="1:15" s="401" customFormat="1" ht="13.8" x14ac:dyDescent="0.45">
      <c r="A15" s="391" t="s">
        <v>17</v>
      </c>
      <c r="B15" s="392">
        <v>530</v>
      </c>
      <c r="C15" s="391">
        <v>1</v>
      </c>
      <c r="D15" s="392">
        <f t="shared" si="2"/>
        <v>530</v>
      </c>
      <c r="F15" s="399"/>
      <c r="G15" s="400"/>
      <c r="H15" s="399"/>
      <c r="I15" s="397">
        <f>SUM(I14:I14)</f>
        <v>57400</v>
      </c>
      <c r="K15" s="391" t="s">
        <v>142</v>
      </c>
      <c r="L15" s="392">
        <f>2805/12</f>
        <v>233.75</v>
      </c>
      <c r="M15" s="391">
        <v>56</v>
      </c>
      <c r="N15" s="392">
        <f t="shared" si="3"/>
        <v>13090</v>
      </c>
    </row>
    <row r="16" spans="1:15" s="402" customFormat="1" ht="13.8" x14ac:dyDescent="0.45">
      <c r="A16" s="391"/>
      <c r="B16" s="392"/>
      <c r="C16" s="391"/>
      <c r="D16" s="397">
        <f>SUM(D12:D15)</f>
        <v>6100</v>
      </c>
      <c r="F16" s="391"/>
      <c r="G16" s="392"/>
      <c r="H16" s="391"/>
      <c r="I16" s="400"/>
      <c r="K16" s="391" t="s">
        <v>246</v>
      </c>
      <c r="L16" s="392">
        <f>25*4</f>
        <v>100</v>
      </c>
      <c r="M16" s="391">
        <v>56</v>
      </c>
      <c r="N16" s="392">
        <f t="shared" si="3"/>
        <v>5600</v>
      </c>
    </row>
    <row r="17" spans="1:15" s="401" customFormat="1" ht="13.8" x14ac:dyDescent="0.45">
      <c r="A17" s="391"/>
      <c r="B17" s="392"/>
      <c r="C17" s="391"/>
      <c r="D17" s="400"/>
      <c r="F17" s="393" t="s">
        <v>248</v>
      </c>
      <c r="G17" s="394"/>
      <c r="H17" s="395"/>
      <c r="I17" s="394"/>
      <c r="K17" s="391"/>
      <c r="L17" s="392"/>
      <c r="M17" s="391"/>
      <c r="N17" s="397">
        <f>SUM(N12:N16)</f>
        <v>34377.279999999999</v>
      </c>
    </row>
    <row r="18" spans="1:15" s="390" customFormat="1" ht="13.8" x14ac:dyDescent="0.45">
      <c r="A18" s="393" t="s">
        <v>247</v>
      </c>
      <c r="B18" s="394"/>
      <c r="C18" s="395"/>
      <c r="D18" s="394"/>
      <c r="F18" s="391" t="s">
        <v>242</v>
      </c>
      <c r="G18" s="392">
        <v>1400</v>
      </c>
      <c r="H18" s="391">
        <v>56</v>
      </c>
      <c r="I18" s="392">
        <f>G18*H18</f>
        <v>78400</v>
      </c>
      <c r="K18" s="393" t="s">
        <v>247</v>
      </c>
      <c r="L18" s="394"/>
      <c r="M18" s="395"/>
      <c r="N18" s="394"/>
    </row>
    <row r="19" spans="1:15" s="390" customFormat="1" ht="13.8" x14ac:dyDescent="0.45">
      <c r="A19" s="391" t="s">
        <v>241</v>
      </c>
      <c r="B19" s="392">
        <v>1100</v>
      </c>
      <c r="C19" s="391">
        <v>3</v>
      </c>
      <c r="D19" s="392">
        <f t="shared" ref="D19:D22" si="4">C19*B19</f>
        <v>3300</v>
      </c>
      <c r="F19" s="399"/>
      <c r="G19" s="400"/>
      <c r="H19" s="399"/>
      <c r="I19" s="397">
        <f>SUM(I18:I18)</f>
        <v>78400</v>
      </c>
      <c r="K19" s="391" t="s">
        <v>243</v>
      </c>
      <c r="L19" s="392">
        <v>75</v>
      </c>
      <c r="M19" s="391">
        <v>56</v>
      </c>
      <c r="N19" s="392">
        <f t="shared" ref="N19:N23" si="5">M19*L19</f>
        <v>4200</v>
      </c>
      <c r="O19" s="396"/>
    </row>
    <row r="20" spans="1:15" s="390" customFormat="1" ht="13.8" x14ac:dyDescent="0.45">
      <c r="A20" s="391" t="s">
        <v>122</v>
      </c>
      <c r="B20" s="392">
        <v>190</v>
      </c>
      <c r="C20" s="391">
        <v>2</v>
      </c>
      <c r="D20" s="392">
        <f t="shared" si="4"/>
        <v>380</v>
      </c>
      <c r="F20" s="391"/>
      <c r="G20" s="392"/>
      <c r="H20" s="391"/>
      <c r="I20" s="392"/>
      <c r="K20" s="391" t="s">
        <v>138</v>
      </c>
      <c r="L20" s="392">
        <v>165</v>
      </c>
      <c r="M20" s="391">
        <v>56</v>
      </c>
      <c r="N20" s="392">
        <f t="shared" si="5"/>
        <v>9240</v>
      </c>
    </row>
    <row r="21" spans="1:15" s="390" customFormat="1" ht="15" x14ac:dyDescent="0.5">
      <c r="A21" s="391" t="s">
        <v>244</v>
      </c>
      <c r="B21" s="392">
        <v>650</v>
      </c>
      <c r="C21" s="391">
        <v>1</v>
      </c>
      <c r="D21" s="392">
        <f t="shared" si="4"/>
        <v>650</v>
      </c>
      <c r="F21" s="694" t="s">
        <v>249</v>
      </c>
      <c r="G21" s="694"/>
      <c r="H21" s="694"/>
      <c r="I21" s="403">
        <f>SUM(I6,I10,I15,I19)</f>
        <v>233800</v>
      </c>
      <c r="K21" s="391" t="s">
        <v>139</v>
      </c>
      <c r="L21" s="392">
        <v>60</v>
      </c>
      <c r="M21" s="391">
        <v>56</v>
      </c>
      <c r="N21" s="392">
        <f t="shared" si="5"/>
        <v>3360</v>
      </c>
    </row>
    <row r="22" spans="1:15" s="390" customFormat="1" ht="13.8" x14ac:dyDescent="0.45">
      <c r="A22" s="391" t="s">
        <v>17</v>
      </c>
      <c r="B22" s="392">
        <v>530</v>
      </c>
      <c r="C22" s="391">
        <v>1</v>
      </c>
      <c r="D22" s="392">
        <f t="shared" si="4"/>
        <v>530</v>
      </c>
      <c r="K22" s="391" t="s">
        <v>142</v>
      </c>
      <c r="L22" s="392">
        <f>1800/12</f>
        <v>150</v>
      </c>
      <c r="M22" s="391">
        <v>56</v>
      </c>
      <c r="N22" s="392">
        <f t="shared" si="5"/>
        <v>8400</v>
      </c>
    </row>
    <row r="23" spans="1:15" s="390" customFormat="1" ht="13.8" x14ac:dyDescent="0.45">
      <c r="A23" s="391"/>
      <c r="B23" s="392"/>
      <c r="C23" s="391"/>
      <c r="D23" s="397">
        <f>SUM(D19:D22)</f>
        <v>4860</v>
      </c>
      <c r="K23" s="391" t="s">
        <v>246</v>
      </c>
      <c r="L23" s="392">
        <f>25*4</f>
        <v>100</v>
      </c>
      <c r="M23" s="391">
        <v>56</v>
      </c>
      <c r="N23" s="392">
        <f t="shared" si="5"/>
        <v>5600</v>
      </c>
    </row>
    <row r="24" spans="1:15" s="390" customFormat="1" ht="13.8" x14ac:dyDescent="0.45">
      <c r="A24" s="391"/>
      <c r="B24" s="392"/>
      <c r="C24" s="391"/>
      <c r="D24" s="400"/>
      <c r="K24" s="391"/>
      <c r="L24" s="392"/>
      <c r="M24" s="391"/>
      <c r="N24" s="397">
        <f>SUM(N19:N23)</f>
        <v>30800</v>
      </c>
    </row>
    <row r="25" spans="1:15" s="390" customFormat="1" ht="13.8" x14ac:dyDescent="0.45">
      <c r="A25" s="393" t="s">
        <v>248</v>
      </c>
      <c r="B25" s="394"/>
      <c r="C25" s="395"/>
      <c r="D25" s="394"/>
      <c r="K25" s="393" t="s">
        <v>248</v>
      </c>
      <c r="L25" s="394"/>
      <c r="M25" s="395"/>
      <c r="N25" s="394"/>
    </row>
    <row r="26" spans="1:15" s="390" customFormat="1" ht="13.8" x14ac:dyDescent="0.45">
      <c r="A26" s="391" t="s">
        <v>241</v>
      </c>
      <c r="B26" s="392">
        <v>1100</v>
      </c>
      <c r="C26" s="391">
        <v>3</v>
      </c>
      <c r="D26" s="392">
        <f t="shared" ref="D26:D29" si="6">C26*B26</f>
        <v>3300</v>
      </c>
      <c r="K26" s="391" t="s">
        <v>243</v>
      </c>
      <c r="L26" s="392">
        <v>75</v>
      </c>
      <c r="M26" s="391">
        <v>56</v>
      </c>
      <c r="N26" s="392">
        <f t="shared" ref="N26:N30" si="7">M26*L26</f>
        <v>4200</v>
      </c>
      <c r="O26" s="396"/>
    </row>
    <row r="27" spans="1:15" s="390" customFormat="1" ht="13.8" x14ac:dyDescent="0.45">
      <c r="A27" s="391" t="s">
        <v>122</v>
      </c>
      <c r="B27" s="392">
        <v>370</v>
      </c>
      <c r="C27" s="391">
        <v>2</v>
      </c>
      <c r="D27" s="392">
        <f t="shared" si="6"/>
        <v>740</v>
      </c>
      <c r="K27" s="391" t="s">
        <v>138</v>
      </c>
      <c r="L27" s="392">
        <v>156.5</v>
      </c>
      <c r="M27" s="391">
        <v>56</v>
      </c>
      <c r="N27" s="392">
        <f t="shared" si="7"/>
        <v>8764</v>
      </c>
      <c r="O27" s="396"/>
    </row>
    <row r="28" spans="1:15" s="390" customFormat="1" ht="13.8" x14ac:dyDescent="0.45">
      <c r="A28" s="391" t="s">
        <v>244</v>
      </c>
      <c r="B28" s="392">
        <v>588</v>
      </c>
      <c r="C28" s="391">
        <v>1</v>
      </c>
      <c r="D28" s="392">
        <f t="shared" si="6"/>
        <v>588</v>
      </c>
      <c r="K28" s="391" t="s">
        <v>139</v>
      </c>
      <c r="L28" s="392">
        <v>48</v>
      </c>
      <c r="M28" s="391">
        <v>56</v>
      </c>
      <c r="N28" s="392">
        <f t="shared" si="7"/>
        <v>2688</v>
      </c>
    </row>
    <row r="29" spans="1:15" s="390" customFormat="1" ht="13.8" x14ac:dyDescent="0.45">
      <c r="A29" s="391" t="s">
        <v>17</v>
      </c>
      <c r="B29" s="392">
        <v>530</v>
      </c>
      <c r="C29" s="391">
        <v>1</v>
      </c>
      <c r="D29" s="392">
        <f t="shared" si="6"/>
        <v>530</v>
      </c>
      <c r="K29" s="391" t="s">
        <v>142</v>
      </c>
      <c r="L29" s="392">
        <f>2400/12</f>
        <v>200</v>
      </c>
      <c r="M29" s="391">
        <v>56</v>
      </c>
      <c r="N29" s="392">
        <f t="shared" si="7"/>
        <v>11200</v>
      </c>
    </row>
    <row r="30" spans="1:15" s="401" customFormat="1" ht="13.8" x14ac:dyDescent="0.45">
      <c r="A30" s="391"/>
      <c r="B30" s="392"/>
      <c r="C30" s="391"/>
      <c r="D30" s="397">
        <f>SUM(D26:D29)</f>
        <v>5158</v>
      </c>
      <c r="F30" s="390"/>
      <c r="G30" s="390"/>
      <c r="H30" s="390"/>
      <c r="I30" s="390"/>
      <c r="K30" s="391" t="s">
        <v>246</v>
      </c>
      <c r="L30" s="392">
        <f>25*4</f>
        <v>100</v>
      </c>
      <c r="M30" s="391">
        <v>56</v>
      </c>
      <c r="N30" s="392">
        <f t="shared" si="7"/>
        <v>5600</v>
      </c>
    </row>
    <row r="31" spans="1:15" s="390" customFormat="1" ht="15" x14ac:dyDescent="0.5">
      <c r="A31" s="407" t="s">
        <v>249</v>
      </c>
      <c r="B31" s="408"/>
      <c r="C31" s="408"/>
      <c r="D31" s="409">
        <f>D30+D23+D16+D9</f>
        <v>22018</v>
      </c>
      <c r="K31" s="404"/>
      <c r="L31" s="404"/>
      <c r="M31" s="404"/>
      <c r="N31" s="405">
        <f>SUM(N26:N30)</f>
        <v>32452</v>
      </c>
    </row>
    <row r="32" spans="1:15" s="390" customFormat="1" ht="14.1" x14ac:dyDescent="0.5">
      <c r="K32" s="695" t="s">
        <v>249</v>
      </c>
      <c r="L32" s="695"/>
      <c r="M32" s="695"/>
      <c r="N32" s="406">
        <f>SUM(N31,N24,N17,N10)</f>
        <v>129180.61333333333</v>
      </c>
    </row>
    <row r="33" spans="1:9" s="390" customFormat="1" ht="13.8" x14ac:dyDescent="0.45">
      <c r="A33"/>
      <c r="B33"/>
      <c r="C33"/>
      <c r="D33"/>
    </row>
    <row r="34" spans="1:9" s="390" customFormat="1" ht="13.8" x14ac:dyDescent="0.45">
      <c r="A34"/>
      <c r="B34"/>
      <c r="C34"/>
      <c r="D34"/>
    </row>
    <row r="35" spans="1:9" s="390" customFormat="1" ht="13.8" x14ac:dyDescent="0.45">
      <c r="A35"/>
      <c r="B35"/>
      <c r="C35"/>
      <c r="D35"/>
    </row>
    <row r="36" spans="1:9" s="390" customFormat="1" ht="13.8" x14ac:dyDescent="0.45">
      <c r="A36"/>
      <c r="B36"/>
      <c r="C36"/>
      <c r="D36"/>
    </row>
    <row r="37" spans="1:9" s="390" customFormat="1" ht="13.8" x14ac:dyDescent="0.45">
      <c r="A37"/>
      <c r="B37"/>
      <c r="C37"/>
      <c r="D37"/>
    </row>
    <row r="38" spans="1:9" s="390" customFormat="1" ht="13.8" x14ac:dyDescent="0.45">
      <c r="A38"/>
      <c r="B38"/>
      <c r="C38"/>
      <c r="D38"/>
    </row>
    <row r="39" spans="1:9" s="390" customFormat="1" ht="13.8" x14ac:dyDescent="0.45">
      <c r="A39"/>
      <c r="B39"/>
      <c r="C39"/>
      <c r="D39"/>
    </row>
    <row r="40" spans="1:9" s="390" customFormat="1" ht="13.8" x14ac:dyDescent="0.45">
      <c r="A40"/>
      <c r="B40"/>
      <c r="C40"/>
      <c r="D40"/>
    </row>
    <row r="41" spans="1:9" s="390" customFormat="1" ht="13.8" x14ac:dyDescent="0.45">
      <c r="A41"/>
      <c r="B41"/>
      <c r="C41"/>
      <c r="D41"/>
    </row>
    <row r="42" spans="1:9" s="390" customFormat="1" ht="13.8" x14ac:dyDescent="0.45">
      <c r="A42"/>
      <c r="B42"/>
      <c r="C42"/>
      <c r="D42"/>
    </row>
    <row r="43" spans="1:9" s="401" customFormat="1" ht="13.8" x14ac:dyDescent="0.45">
      <c r="A43"/>
      <c r="B43"/>
      <c r="C43"/>
      <c r="D43"/>
      <c r="F43" s="390"/>
      <c r="G43" s="390"/>
      <c r="H43" s="390"/>
      <c r="I43" s="390"/>
    </row>
    <row r="44" spans="1:9" s="390" customFormat="1" ht="13.8" x14ac:dyDescent="0.45">
      <c r="A44"/>
      <c r="B44"/>
      <c r="C44"/>
      <c r="D44"/>
    </row>
    <row r="45" spans="1:9" s="390" customFormat="1" ht="13.8" x14ac:dyDescent="0.45">
      <c r="A45"/>
      <c r="B45"/>
      <c r="C45"/>
      <c r="D45"/>
    </row>
    <row r="46" spans="1:9" s="390" customFormat="1" ht="13.8" x14ac:dyDescent="0.45">
      <c r="A46"/>
      <c r="B46"/>
      <c r="C46"/>
      <c r="D46"/>
    </row>
    <row r="47" spans="1:9" s="390" customFormat="1" ht="13.8" x14ac:dyDescent="0.45">
      <c r="A47"/>
      <c r="B47"/>
      <c r="C47"/>
      <c r="D47"/>
    </row>
    <row r="48" spans="1:9" s="390" customFormat="1" ht="13.8" x14ac:dyDescent="0.45">
      <c r="A48"/>
      <c r="B48"/>
      <c r="C48"/>
      <c r="D48"/>
    </row>
    <row r="49" spans="1:9" s="390" customFormat="1" ht="13.8" x14ac:dyDescent="0.45">
      <c r="A49"/>
      <c r="B49"/>
      <c r="C49"/>
      <c r="D49"/>
    </row>
    <row r="50" spans="1:9" s="390" customFormat="1" ht="13.8" x14ac:dyDescent="0.45">
      <c r="A50"/>
      <c r="B50"/>
      <c r="C50"/>
      <c r="D50"/>
      <c r="F50"/>
      <c r="G50"/>
      <c r="H50"/>
      <c r="I50"/>
    </row>
    <row r="51" spans="1:9" s="390" customFormat="1" ht="13.8" x14ac:dyDescent="0.45">
      <c r="A51"/>
      <c r="B51"/>
      <c r="C51"/>
      <c r="D51"/>
      <c r="F51"/>
      <c r="G51"/>
      <c r="H51" s="2"/>
      <c r="I51"/>
    </row>
    <row r="52" spans="1:9" s="390" customFormat="1" ht="13.8" x14ac:dyDescent="0.45">
      <c r="A52"/>
      <c r="B52"/>
      <c r="C52"/>
      <c r="D52"/>
      <c r="F52"/>
      <c r="G52"/>
      <c r="H52" s="2"/>
      <c r="I52"/>
    </row>
    <row r="53" spans="1:9" s="390" customFormat="1" ht="13.8" x14ac:dyDescent="0.45">
      <c r="A53"/>
      <c r="B53"/>
      <c r="C53"/>
      <c r="D53"/>
      <c r="F53"/>
      <c r="G53"/>
      <c r="H53" s="2"/>
      <c r="I53"/>
    </row>
    <row r="54" spans="1:9" s="390" customFormat="1" ht="13.8" x14ac:dyDescent="0.45">
      <c r="A54"/>
      <c r="B54"/>
      <c r="C54"/>
      <c r="D54"/>
      <c r="F54"/>
      <c r="G54"/>
      <c r="H54" s="2"/>
      <c r="I54"/>
    </row>
    <row r="55" spans="1:9" s="390" customFormat="1" ht="13.8" x14ac:dyDescent="0.45">
      <c r="A55"/>
      <c r="B55"/>
      <c r="C55"/>
      <c r="D55"/>
      <c r="F55"/>
      <c r="G55"/>
      <c r="H55" s="2"/>
      <c r="I55"/>
    </row>
    <row r="56" spans="1:9" s="401" customFormat="1" ht="13.8" x14ac:dyDescent="0.45">
      <c r="A56"/>
      <c r="B56"/>
      <c r="C56"/>
      <c r="D56"/>
      <c r="F56"/>
      <c r="G56"/>
      <c r="H56"/>
      <c r="I56"/>
    </row>
    <row r="57" spans="1:9" s="390" customFormat="1" ht="13.8" x14ac:dyDescent="0.45">
      <c r="A57"/>
      <c r="B57"/>
      <c r="C57"/>
      <c r="D57"/>
      <c r="F57"/>
      <c r="G57"/>
      <c r="H57"/>
      <c r="I57"/>
    </row>
    <row r="58" spans="1:9" ht="12.3" x14ac:dyDescent="0.4"/>
    <row r="59" spans="1:9" ht="12.3" x14ac:dyDescent="0.4"/>
    <row r="60" spans="1:9" ht="12.3" x14ac:dyDescent="0.4"/>
    <row r="61" spans="1:9" ht="12.3" x14ac:dyDescent="0.4"/>
    <row r="62" spans="1:9" ht="12.3" x14ac:dyDescent="0.4"/>
    <row r="63" spans="1:9" ht="12.3" x14ac:dyDescent="0.4"/>
    <row r="64" spans="1:9" ht="12.3" x14ac:dyDescent="0.4"/>
    <row r="65" ht="12.3" x14ac:dyDescent="0.4"/>
  </sheetData>
  <mergeCells count="2">
    <mergeCell ref="F21:H21"/>
    <mergeCell ref="K32:M3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68758-D06D-4DDA-9102-0570F74F1597}">
  <dimension ref="A1:W15"/>
  <sheetViews>
    <sheetView workbookViewId="0">
      <selection activeCell="A13" sqref="A13"/>
    </sheetView>
  </sheetViews>
  <sheetFormatPr defaultColWidth="9.1640625" defaultRowHeight="12.3" x14ac:dyDescent="0.4"/>
  <cols>
    <col min="1" max="1" width="19.83203125" style="4" bestFit="1" customWidth="1"/>
    <col min="2" max="2" width="7.1640625" style="4" bestFit="1" customWidth="1"/>
    <col min="3" max="3" width="4.1640625" style="4" bestFit="1" customWidth="1"/>
    <col min="4" max="5" width="6.5546875" style="4" bestFit="1" customWidth="1"/>
    <col min="6" max="6" width="7.1640625" style="4" bestFit="1" customWidth="1"/>
    <col min="7" max="7" width="4.1640625" style="4" bestFit="1" customWidth="1"/>
    <col min="8" max="9" width="6.5546875" style="4" bestFit="1" customWidth="1"/>
    <col min="10" max="10" width="7.1640625" style="4" bestFit="1" customWidth="1"/>
    <col min="11" max="11" width="4.1640625" style="4" bestFit="1" customWidth="1"/>
    <col min="12" max="13" width="6.5546875" style="4" bestFit="1" customWidth="1"/>
    <col min="14" max="14" width="7.1640625" style="4" bestFit="1" customWidth="1"/>
    <col min="15" max="15" width="4.1640625" style="4" bestFit="1" customWidth="1"/>
    <col min="16" max="17" width="6.5546875" style="4" bestFit="1" customWidth="1"/>
    <col min="18" max="18" width="7.1640625" style="4" bestFit="1" customWidth="1"/>
    <col min="19" max="19" width="4.1640625" style="4" bestFit="1" customWidth="1"/>
    <col min="20" max="21" width="6.5546875" style="4" bestFit="1" customWidth="1"/>
    <col min="22" max="23" width="7.5546875" style="4" bestFit="1" customWidth="1"/>
    <col min="24" max="16384" width="9.1640625" style="4"/>
  </cols>
  <sheetData>
    <row r="1" spans="1:23" ht="14.1" x14ac:dyDescent="0.5">
      <c r="A1" s="642" t="s">
        <v>0</v>
      </c>
      <c r="B1" s="642"/>
      <c r="C1" s="642"/>
      <c r="D1" s="642"/>
      <c r="E1" s="642"/>
      <c r="F1" s="642"/>
      <c r="G1" s="642"/>
      <c r="H1" s="642"/>
      <c r="I1" s="642"/>
      <c r="J1" s="642"/>
      <c r="K1" s="642"/>
      <c r="L1" s="642"/>
      <c r="M1" s="642"/>
      <c r="N1" s="642"/>
      <c r="O1" s="39"/>
      <c r="P1" s="39"/>
      <c r="Q1" s="39"/>
      <c r="R1" s="39"/>
    </row>
    <row r="2" spans="1:23" ht="13.8" x14ac:dyDescent="0.45">
      <c r="A2" s="696" t="s">
        <v>250</v>
      </c>
      <c r="B2" s="696"/>
      <c r="C2" s="696"/>
      <c r="D2" s="696"/>
      <c r="E2" s="696"/>
      <c r="F2" s="696"/>
      <c r="G2" s="696"/>
      <c r="H2" s="696"/>
      <c r="I2" s="696"/>
      <c r="J2" s="696"/>
      <c r="K2" s="696"/>
      <c r="L2" s="696"/>
      <c r="M2" s="696"/>
      <c r="N2" s="696"/>
      <c r="O2" s="696"/>
      <c r="P2" s="696"/>
      <c r="Q2" s="696"/>
      <c r="R2" s="696"/>
    </row>
    <row r="3" spans="1:23" ht="12.6" thickBot="1" x14ac:dyDescent="0.45"/>
    <row r="4" spans="1:23" s="428" customFormat="1" ht="12.6" thickBot="1" x14ac:dyDescent="0.45">
      <c r="A4" s="426" t="s">
        <v>18</v>
      </c>
      <c r="B4" s="697" t="s">
        <v>3</v>
      </c>
      <c r="C4" s="698"/>
      <c r="D4" s="698"/>
      <c r="E4" s="699"/>
      <c r="F4" s="697" t="s">
        <v>4</v>
      </c>
      <c r="G4" s="698"/>
      <c r="H4" s="698"/>
      <c r="I4" s="699"/>
      <c r="J4" s="698" t="s">
        <v>5</v>
      </c>
      <c r="K4" s="698"/>
      <c r="L4" s="698"/>
      <c r="M4" s="698"/>
      <c r="N4" s="697" t="s">
        <v>6</v>
      </c>
      <c r="O4" s="698"/>
      <c r="P4" s="698"/>
      <c r="Q4" s="699"/>
      <c r="R4" s="698" t="s">
        <v>7</v>
      </c>
      <c r="S4" s="698"/>
      <c r="T4" s="698"/>
      <c r="U4" s="698"/>
      <c r="V4" s="427" t="s">
        <v>8</v>
      </c>
      <c r="W4" s="427" t="s">
        <v>10</v>
      </c>
    </row>
    <row r="5" spans="1:23" s="435" customFormat="1" x14ac:dyDescent="0.4">
      <c r="A5" s="429"/>
      <c r="B5" s="430" t="s">
        <v>202</v>
      </c>
      <c r="C5" s="431" t="s">
        <v>23</v>
      </c>
      <c r="D5" s="432" t="s">
        <v>11</v>
      </c>
      <c r="E5" s="433" t="s">
        <v>9</v>
      </c>
      <c r="F5" s="430" t="s">
        <v>202</v>
      </c>
      <c r="G5" s="431" t="s">
        <v>23</v>
      </c>
      <c r="H5" s="432" t="s">
        <v>11</v>
      </c>
      <c r="I5" s="433" t="s">
        <v>9</v>
      </c>
      <c r="J5" s="430" t="s">
        <v>202</v>
      </c>
      <c r="K5" s="431" t="s">
        <v>23</v>
      </c>
      <c r="L5" s="432" t="s">
        <v>11</v>
      </c>
      <c r="M5" s="432" t="s">
        <v>9</v>
      </c>
      <c r="N5" s="430" t="s">
        <v>202</v>
      </c>
      <c r="O5" s="431" t="s">
        <v>23</v>
      </c>
      <c r="P5" s="432" t="s">
        <v>11</v>
      </c>
      <c r="Q5" s="433" t="s">
        <v>9</v>
      </c>
      <c r="R5" s="430" t="s">
        <v>202</v>
      </c>
      <c r="S5" s="431" t="s">
        <v>23</v>
      </c>
      <c r="T5" s="432" t="s">
        <v>11</v>
      </c>
      <c r="U5" s="432" t="s">
        <v>9</v>
      </c>
      <c r="V5" s="434" t="s">
        <v>11</v>
      </c>
      <c r="W5" s="434" t="s">
        <v>8</v>
      </c>
    </row>
    <row r="6" spans="1:23" ht="13.5" customHeight="1" x14ac:dyDescent="0.4">
      <c r="A6" s="382"/>
      <c r="B6" s="382"/>
      <c r="C6" s="284"/>
      <c r="E6" s="340"/>
      <c r="F6" s="382"/>
      <c r="G6" s="284"/>
      <c r="I6" s="340"/>
      <c r="J6" s="382"/>
      <c r="K6" s="284"/>
      <c r="N6" s="382"/>
      <c r="O6" s="284"/>
      <c r="Q6" s="340"/>
      <c r="R6" s="382"/>
      <c r="S6" s="284"/>
      <c r="V6" s="286"/>
      <c r="W6" s="286"/>
    </row>
    <row r="7" spans="1:23" x14ac:dyDescent="0.4">
      <c r="A7" s="436" t="s">
        <v>251</v>
      </c>
      <c r="B7" s="437"/>
      <c r="C7" s="284"/>
      <c r="D7" s="11"/>
      <c r="E7" s="194"/>
      <c r="F7" s="437"/>
      <c r="G7" s="284"/>
      <c r="H7" s="11"/>
      <c r="I7" s="194"/>
      <c r="J7" s="437"/>
      <c r="K7" s="284"/>
      <c r="L7" s="11"/>
      <c r="M7" s="11"/>
      <c r="N7" s="437"/>
      <c r="O7" s="284"/>
      <c r="P7" s="11"/>
      <c r="Q7" s="194"/>
      <c r="R7" s="437"/>
      <c r="S7" s="284"/>
      <c r="T7" s="11"/>
      <c r="U7" s="11"/>
      <c r="V7" s="287"/>
      <c r="W7" s="287"/>
    </row>
    <row r="8" spans="1:23" x14ac:dyDescent="0.4">
      <c r="A8" s="382" t="s">
        <v>252</v>
      </c>
      <c r="B8" s="437">
        <v>5000</v>
      </c>
      <c r="C8" s="284">
        <v>1</v>
      </c>
      <c r="D8" s="11">
        <f>B8*C8</f>
        <v>5000</v>
      </c>
      <c r="E8" s="194">
        <f>SUM(D8:D8)</f>
        <v>5000</v>
      </c>
      <c r="F8" s="437"/>
      <c r="G8" s="284">
        <v>0</v>
      </c>
      <c r="H8" s="11">
        <f>F8*G8</f>
        <v>0</v>
      </c>
      <c r="I8" s="194">
        <f>SUM(H8:H8)</f>
        <v>0</v>
      </c>
      <c r="J8" s="437"/>
      <c r="K8" s="284">
        <v>0</v>
      </c>
      <c r="L8" s="11">
        <f>J8*K8</f>
        <v>0</v>
      </c>
      <c r="M8" s="194">
        <f>SUM(L8:L8)</f>
        <v>0</v>
      </c>
      <c r="N8" s="437"/>
      <c r="O8" s="284">
        <v>0</v>
      </c>
      <c r="P8" s="11">
        <f>N8*O8</f>
        <v>0</v>
      </c>
      <c r="Q8" s="194">
        <f>SUM(P8:P8)</f>
        <v>0</v>
      </c>
      <c r="R8" s="437"/>
      <c r="S8" s="284">
        <v>0</v>
      </c>
      <c r="T8" s="11">
        <f>R8*S8</f>
        <v>0</v>
      </c>
      <c r="U8" s="194">
        <f>SUM(T8:T8)</f>
        <v>0</v>
      </c>
      <c r="V8" s="287">
        <f>D8+H8+L8+P8+T8</f>
        <v>5000</v>
      </c>
      <c r="W8" s="287">
        <f>SUM(V8:V8)</f>
        <v>5000</v>
      </c>
    </row>
    <row r="9" spans="1:23" x14ac:dyDescent="0.4">
      <c r="A9" s="382" t="s">
        <v>253</v>
      </c>
      <c r="B9" s="437">
        <v>1000</v>
      </c>
      <c r="C9" s="284">
        <v>0</v>
      </c>
      <c r="D9" s="11">
        <f>B9*C9</f>
        <v>0</v>
      </c>
      <c r="E9" s="194">
        <f>SUM(D9:D9)</f>
        <v>0</v>
      </c>
      <c r="F9" s="437">
        <f>B9</f>
        <v>1000</v>
      </c>
      <c r="G9" s="284">
        <v>1</v>
      </c>
      <c r="H9" s="11">
        <f>F9*G9</f>
        <v>1000</v>
      </c>
      <c r="I9" s="194">
        <f>SUM(H9:H9)</f>
        <v>1000</v>
      </c>
      <c r="J9" s="437">
        <f>F9</f>
        <v>1000</v>
      </c>
      <c r="K9" s="284">
        <v>1</v>
      </c>
      <c r="L9" s="11">
        <f>J9*K9</f>
        <v>1000</v>
      </c>
      <c r="M9" s="194">
        <f>SUM(L9:L9)</f>
        <v>1000</v>
      </c>
      <c r="N9" s="437">
        <f>J9</f>
        <v>1000</v>
      </c>
      <c r="O9" s="284">
        <v>1</v>
      </c>
      <c r="P9" s="11">
        <f>N9*O9</f>
        <v>1000</v>
      </c>
      <c r="Q9" s="194">
        <f>SUM(P9:P9)</f>
        <v>1000</v>
      </c>
      <c r="R9" s="437">
        <f>N9</f>
        <v>1000</v>
      </c>
      <c r="S9" s="284">
        <v>1</v>
      </c>
      <c r="T9" s="11">
        <f>R9*S9</f>
        <v>1000</v>
      </c>
      <c r="U9" s="194">
        <f>SUM(T9:T9)</f>
        <v>1000</v>
      </c>
      <c r="V9" s="287">
        <f>D9+H9+L9+P9+T9</f>
        <v>4000</v>
      </c>
      <c r="W9" s="287">
        <f>SUM(V9:V9)</f>
        <v>4000</v>
      </c>
    </row>
    <row r="10" spans="1:23" x14ac:dyDescent="0.4">
      <c r="A10" s="382" t="s">
        <v>254</v>
      </c>
      <c r="B10" s="437">
        <v>2000</v>
      </c>
      <c r="C10" s="284">
        <v>0</v>
      </c>
      <c r="D10" s="11">
        <f>B10*C10</f>
        <v>0</v>
      </c>
      <c r="E10" s="194">
        <f>SUM(D10:D10)</f>
        <v>0</v>
      </c>
      <c r="F10" s="437">
        <f>B10</f>
        <v>2000</v>
      </c>
      <c r="G10" s="284">
        <v>0</v>
      </c>
      <c r="H10" s="11">
        <f>F10*G10</f>
        <v>0</v>
      </c>
      <c r="I10" s="194">
        <f>SUM(H10:H10)</f>
        <v>0</v>
      </c>
      <c r="J10" s="437">
        <f>F10</f>
        <v>2000</v>
      </c>
      <c r="K10" s="284">
        <v>1</v>
      </c>
      <c r="L10" s="11">
        <f>J10*K10</f>
        <v>2000</v>
      </c>
      <c r="M10" s="194">
        <f>SUM(L10:L10)</f>
        <v>2000</v>
      </c>
      <c r="N10" s="437">
        <f>J10</f>
        <v>2000</v>
      </c>
      <c r="O10" s="284">
        <v>1</v>
      </c>
      <c r="P10" s="11">
        <f>N10*O10</f>
        <v>2000</v>
      </c>
      <c r="Q10" s="194">
        <f>SUM(P10:P10)</f>
        <v>2000</v>
      </c>
      <c r="R10" s="437">
        <f>N10</f>
        <v>2000</v>
      </c>
      <c r="S10" s="284">
        <v>0</v>
      </c>
      <c r="T10" s="11">
        <f>R10*S10</f>
        <v>0</v>
      </c>
      <c r="U10" s="194">
        <f>SUM(T10:T10)</f>
        <v>0</v>
      </c>
      <c r="V10" s="287">
        <f>D10+H10+L10+P10+T10</f>
        <v>4000</v>
      </c>
      <c r="W10" s="287">
        <f>SUM(V10:V10)</f>
        <v>4000</v>
      </c>
    </row>
    <row r="11" spans="1:23" x14ac:dyDescent="0.4">
      <c r="A11" s="438" t="s">
        <v>255</v>
      </c>
      <c r="B11" s="437"/>
      <c r="C11" s="284"/>
      <c r="D11" s="292">
        <f>SUM(D8:D10)</f>
        <v>5000</v>
      </c>
      <c r="E11" s="292">
        <f>SUM(E8:E10)</f>
        <v>5000</v>
      </c>
      <c r="F11" s="437"/>
      <c r="G11" s="284"/>
      <c r="H11" s="292">
        <f>SUM(H8:H10)</f>
        <v>1000</v>
      </c>
      <c r="I11" s="292">
        <f>SUM(I8:I10)</f>
        <v>1000</v>
      </c>
      <c r="J11" s="437"/>
      <c r="K11" s="284"/>
      <c r="L11" s="292">
        <f>SUM(L8:L10)</f>
        <v>3000</v>
      </c>
      <c r="M11" s="292">
        <f>SUM(M8:M10)</f>
        <v>3000</v>
      </c>
      <c r="N11" s="437"/>
      <c r="O11" s="284"/>
      <c r="P11" s="292">
        <f>SUM(P8:P10)</f>
        <v>3000</v>
      </c>
      <c r="Q11" s="292">
        <f>SUM(Q8:Q10)</f>
        <v>3000</v>
      </c>
      <c r="R11" s="437"/>
      <c r="S11" s="284"/>
      <c r="T11" s="292">
        <f>SUM(T8:T10)</f>
        <v>1000</v>
      </c>
      <c r="U11" s="292">
        <f>SUM(U8:U10)</f>
        <v>1000</v>
      </c>
      <c r="V11" s="288">
        <f>D11+H11+L11+P11+T11</f>
        <v>13000</v>
      </c>
      <c r="W11" s="288">
        <f>SUM(V11:V11)</f>
        <v>13000</v>
      </c>
    </row>
    <row r="12" spans="1:23" x14ac:dyDescent="0.4">
      <c r="A12" s="436" t="s">
        <v>96</v>
      </c>
      <c r="B12" s="437"/>
      <c r="C12" s="284"/>
      <c r="D12" s="11"/>
      <c r="E12" s="194"/>
      <c r="F12" s="437"/>
      <c r="G12" s="284"/>
      <c r="H12" s="11"/>
      <c r="I12" s="194"/>
      <c r="J12" s="437"/>
      <c r="K12" s="284"/>
      <c r="L12" s="11"/>
      <c r="M12" s="11"/>
      <c r="N12" s="437"/>
      <c r="O12" s="284"/>
      <c r="P12" s="11"/>
      <c r="Q12" s="194"/>
      <c r="R12" s="437"/>
      <c r="S12" s="284"/>
      <c r="T12" s="11"/>
      <c r="U12" s="11"/>
      <c r="V12" s="287"/>
      <c r="W12" s="287"/>
    </row>
    <row r="13" spans="1:23" x14ac:dyDescent="0.4">
      <c r="A13" s="382" t="s">
        <v>256</v>
      </c>
      <c r="B13" s="437">
        <v>4000</v>
      </c>
      <c r="C13" s="284">
        <v>1</v>
      </c>
      <c r="D13" s="11">
        <f>B13*C13</f>
        <v>4000</v>
      </c>
      <c r="E13" s="194">
        <f>SUM(D13:D13)</f>
        <v>4000</v>
      </c>
      <c r="F13" s="437">
        <v>5000</v>
      </c>
      <c r="G13" s="284">
        <v>1</v>
      </c>
      <c r="H13" s="11">
        <f>F13*G13</f>
        <v>5000</v>
      </c>
      <c r="I13" s="194">
        <f>SUM(H13:H13)</f>
        <v>5000</v>
      </c>
      <c r="J13" s="437">
        <v>5000</v>
      </c>
      <c r="K13" s="284">
        <v>1</v>
      </c>
      <c r="L13" s="11">
        <f>J13*K13</f>
        <v>5000</v>
      </c>
      <c r="M13" s="194">
        <f>SUM(L13:L13)</f>
        <v>5000</v>
      </c>
      <c r="N13" s="437">
        <v>5000</v>
      </c>
      <c r="O13" s="284">
        <v>0</v>
      </c>
      <c r="P13" s="11">
        <f>N13*O13</f>
        <v>0</v>
      </c>
      <c r="Q13" s="194">
        <f>SUM(P13:P13)</f>
        <v>0</v>
      </c>
      <c r="R13" s="437">
        <v>5000</v>
      </c>
      <c r="S13" s="284">
        <v>0</v>
      </c>
      <c r="T13" s="11">
        <f>R13*S13</f>
        <v>0</v>
      </c>
      <c r="U13" s="194">
        <f>SUM(T13:T13)</f>
        <v>0</v>
      </c>
      <c r="V13" s="287">
        <f>D13+H13+L13+P13+T13</f>
        <v>14000</v>
      </c>
      <c r="W13" s="287">
        <f>SUM(V13:V13)</f>
        <v>14000</v>
      </c>
    </row>
    <row r="14" spans="1:23" ht="12.6" thickBot="1" x14ac:dyDescent="0.45">
      <c r="A14" s="382"/>
      <c r="B14" s="382"/>
      <c r="C14" s="284"/>
      <c r="E14" s="340"/>
      <c r="F14" s="382"/>
      <c r="G14" s="284"/>
      <c r="I14" s="340"/>
      <c r="J14" s="382"/>
      <c r="K14" s="284"/>
      <c r="N14" s="382"/>
      <c r="O14" s="284"/>
      <c r="Q14" s="340"/>
      <c r="R14" s="382"/>
      <c r="S14" s="284"/>
      <c r="V14" s="286"/>
      <c r="W14" s="286"/>
    </row>
    <row r="15" spans="1:23" s="24" customFormat="1" ht="12.6" thickBot="1" x14ac:dyDescent="0.45">
      <c r="A15" s="379" t="s">
        <v>227</v>
      </c>
      <c r="B15" s="379"/>
      <c r="C15" s="300"/>
      <c r="D15" s="302">
        <f>D11+D13</f>
        <v>9000</v>
      </c>
      <c r="E15" s="302">
        <f>E11+E13</f>
        <v>9000</v>
      </c>
      <c r="F15" s="379"/>
      <c r="G15" s="300"/>
      <c r="H15" s="302">
        <f>H11+H13</f>
        <v>6000</v>
      </c>
      <c r="I15" s="302">
        <f>I11+I13</f>
        <v>6000</v>
      </c>
      <c r="J15" s="300"/>
      <c r="K15" s="300"/>
      <c r="L15" s="302">
        <f>L11+L13</f>
        <v>8000</v>
      </c>
      <c r="M15" s="302">
        <f>M11+M13</f>
        <v>8000</v>
      </c>
      <c r="N15" s="379"/>
      <c r="O15" s="300"/>
      <c r="P15" s="302">
        <f>P11+P13</f>
        <v>3000</v>
      </c>
      <c r="Q15" s="302">
        <f>Q11+Q13</f>
        <v>3000</v>
      </c>
      <c r="R15" s="300"/>
      <c r="S15" s="300"/>
      <c r="T15" s="302">
        <f>T11+T13</f>
        <v>1000</v>
      </c>
      <c r="U15" s="302">
        <f>U11+U13</f>
        <v>1000</v>
      </c>
      <c r="V15" s="439">
        <f>D15+H15+L15+P15+T15</f>
        <v>27000</v>
      </c>
      <c r="W15" s="439">
        <f>SUM(V15:V15)</f>
        <v>27000</v>
      </c>
    </row>
  </sheetData>
  <mergeCells count="7">
    <mergeCell ref="A1:N1"/>
    <mergeCell ref="A2:R2"/>
    <mergeCell ref="B4:E4"/>
    <mergeCell ref="F4:I4"/>
    <mergeCell ref="J4:M4"/>
    <mergeCell ref="N4:Q4"/>
    <mergeCell ref="R4:U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13"/>
  <sheetViews>
    <sheetView zoomScaleNormal="100" workbookViewId="0">
      <selection activeCell="G25" sqref="G25"/>
    </sheetView>
  </sheetViews>
  <sheetFormatPr defaultColWidth="8.83203125" defaultRowHeight="12.3" x14ac:dyDescent="0.4"/>
  <cols>
    <col min="1" max="1" width="49.27734375" style="4" bestFit="1" customWidth="1"/>
    <col min="2" max="2" width="14.71875" style="4" bestFit="1" customWidth="1"/>
    <col min="3" max="3" width="14.44140625" style="4" bestFit="1" customWidth="1"/>
    <col min="4" max="4" width="10.71875" style="4" customWidth="1"/>
    <col min="5" max="5" width="9.83203125" style="4" bestFit="1" customWidth="1"/>
    <col min="6" max="6" width="9.83203125" style="4" customWidth="1"/>
    <col min="7" max="7" width="14.1640625" style="4" bestFit="1" customWidth="1"/>
    <col min="8" max="8" width="9.44140625" style="4" bestFit="1" customWidth="1"/>
    <col min="9" max="9" width="9.83203125" style="4" bestFit="1" customWidth="1"/>
    <col min="10" max="16384" width="8.83203125" style="4"/>
  </cols>
  <sheetData>
    <row r="1" spans="1:9" ht="52" customHeight="1" x14ac:dyDescent="0.4">
      <c r="A1" s="331" t="s">
        <v>257</v>
      </c>
      <c r="B1" s="319" t="s">
        <v>154</v>
      </c>
      <c r="C1" s="320" t="s">
        <v>192</v>
      </c>
      <c r="D1" s="325" t="s">
        <v>156</v>
      </c>
      <c r="E1" s="326" t="s">
        <v>258</v>
      </c>
      <c r="F1" s="333" t="s">
        <v>259</v>
      </c>
      <c r="G1" s="332" t="s">
        <v>260</v>
      </c>
      <c r="H1" s="700" t="s">
        <v>261</v>
      </c>
      <c r="I1" s="700"/>
    </row>
    <row r="2" spans="1:9" ht="15" customHeight="1" x14ac:dyDescent="0.4">
      <c r="A2" s="15" t="s">
        <v>147</v>
      </c>
      <c r="B2" s="321">
        <f>'Volunteer Travel'!C13</f>
        <v>60</v>
      </c>
      <c r="C2" s="322">
        <f>B2*H3</f>
        <v>900</v>
      </c>
      <c r="D2" s="327">
        <f>'Volunteer Travel'!C14</f>
        <v>8</v>
      </c>
      <c r="E2" s="328">
        <f>D2*I3</f>
        <v>80</v>
      </c>
      <c r="F2" s="334">
        <f>C2+E2</f>
        <v>980</v>
      </c>
      <c r="G2" s="315">
        <f>F2*A11</f>
        <v>511560</v>
      </c>
      <c r="H2" s="314" t="s">
        <v>154</v>
      </c>
      <c r="I2" s="314" t="s">
        <v>156</v>
      </c>
    </row>
    <row r="3" spans="1:9" ht="15" customHeight="1" x14ac:dyDescent="0.4">
      <c r="A3" s="15" t="s">
        <v>148</v>
      </c>
      <c r="B3" s="321">
        <f>'Volunteer Travel'!D13</f>
        <v>70</v>
      </c>
      <c r="C3" s="322">
        <f>B3*H3</f>
        <v>1050</v>
      </c>
      <c r="D3" s="327">
        <f>'Volunteer Travel'!D14</f>
        <v>8</v>
      </c>
      <c r="E3" s="328">
        <f>D3*I3</f>
        <v>80</v>
      </c>
      <c r="F3" s="334">
        <f t="shared" ref="F3:F6" si="0">C3+E3</f>
        <v>1130</v>
      </c>
      <c r="G3" s="315">
        <f>F3*A11</f>
        <v>589860</v>
      </c>
      <c r="H3" s="15">
        <v>15</v>
      </c>
      <c r="I3" s="15">
        <v>10</v>
      </c>
    </row>
    <row r="4" spans="1:9" ht="15" customHeight="1" x14ac:dyDescent="0.4">
      <c r="A4" s="15" t="s">
        <v>149</v>
      </c>
      <c r="B4" s="321">
        <f>'Volunteer Travel'!E13</f>
        <v>69</v>
      </c>
      <c r="C4" s="322">
        <f>B4*H3</f>
        <v>1035</v>
      </c>
      <c r="D4" s="327">
        <f>'Volunteer Travel'!E14</f>
        <v>8</v>
      </c>
      <c r="E4" s="328">
        <f>D4*I3</f>
        <v>80</v>
      </c>
      <c r="F4" s="334">
        <f t="shared" si="0"/>
        <v>1115</v>
      </c>
      <c r="G4" s="315">
        <f>F4*A11</f>
        <v>582030</v>
      </c>
    </row>
    <row r="5" spans="1:9" ht="15" customHeight="1" x14ac:dyDescent="0.4">
      <c r="A5" s="15" t="s">
        <v>150</v>
      </c>
      <c r="B5" s="323">
        <f>'Volunteer Travel'!F13</f>
        <v>68</v>
      </c>
      <c r="C5" s="322">
        <f>B5*H3</f>
        <v>1020</v>
      </c>
      <c r="D5" s="329">
        <f>'Volunteer Travel'!F14</f>
        <v>8</v>
      </c>
      <c r="E5" s="328">
        <f>D5*I3</f>
        <v>80</v>
      </c>
      <c r="F5" s="334">
        <f t="shared" si="0"/>
        <v>1100</v>
      </c>
      <c r="G5" s="315">
        <f>F5*A11</f>
        <v>574200</v>
      </c>
    </row>
    <row r="6" spans="1:9" ht="15" customHeight="1" x14ac:dyDescent="0.4">
      <c r="A6" s="15" t="s">
        <v>151</v>
      </c>
      <c r="B6" s="323">
        <f>'Volunteer Travel'!G13</f>
        <v>57</v>
      </c>
      <c r="C6" s="322">
        <f>B6*H3</f>
        <v>855</v>
      </c>
      <c r="D6" s="329">
        <f>'Volunteer Travel'!G14</f>
        <v>6</v>
      </c>
      <c r="E6" s="328">
        <f>D6*I3</f>
        <v>60</v>
      </c>
      <c r="F6" s="334">
        <f t="shared" si="0"/>
        <v>915</v>
      </c>
      <c r="G6" s="315">
        <f>F6*A11</f>
        <v>477630</v>
      </c>
    </row>
    <row r="7" spans="1:9" ht="15" customHeight="1" x14ac:dyDescent="0.4">
      <c r="A7" s="139" t="s">
        <v>8</v>
      </c>
      <c r="B7" s="324">
        <f>SUM(B2:B6)</f>
        <v>324</v>
      </c>
      <c r="C7" s="322">
        <f>SUM(C2:C6)</f>
        <v>4860</v>
      </c>
      <c r="D7" s="330">
        <f>SUM(D2:D6)</f>
        <v>38</v>
      </c>
      <c r="E7" s="327">
        <f>SUM(E2:E6)</f>
        <v>380</v>
      </c>
      <c r="F7" s="335">
        <f t="shared" ref="F7" si="1">SUM(F2:F6)</f>
        <v>5240</v>
      </c>
      <c r="G7" s="315">
        <f>SUM(G2:G6)</f>
        <v>2735280</v>
      </c>
      <c r="H7" s="24"/>
      <c r="I7" s="24"/>
    </row>
    <row r="8" spans="1:9" ht="15" customHeight="1" x14ac:dyDescent="0.4">
      <c r="A8" s="316" t="s">
        <v>262</v>
      </c>
      <c r="B8" s="318"/>
      <c r="C8" s="318"/>
      <c r="D8" s="318"/>
      <c r="E8" s="318"/>
      <c r="F8" s="318"/>
      <c r="G8" s="317"/>
      <c r="H8" s="293"/>
      <c r="I8" s="138"/>
    </row>
    <row r="9" spans="1:9" ht="12.6" thickBot="1" x14ac:dyDescent="0.45"/>
    <row r="10" spans="1:9" x14ac:dyDescent="0.4">
      <c r="A10" s="261" t="s">
        <v>263</v>
      </c>
    </row>
    <row r="11" spans="1:9" ht="12.6" thickBot="1" x14ac:dyDescent="0.45">
      <c r="A11" s="313">
        <v>522</v>
      </c>
    </row>
    <row r="13" spans="1:9" x14ac:dyDescent="0.4">
      <c r="B13" s="258"/>
      <c r="C13" s="258"/>
      <c r="D13" s="258"/>
      <c r="E13" s="258"/>
      <c r="F13" s="258"/>
    </row>
  </sheetData>
  <mergeCells count="1">
    <mergeCell ref="H1:I1"/>
  </mergeCells>
  <phoneticPr fontId="8" type="noConversion"/>
  <pageMargins left="0.75" right="0.75" top="1.1000000000000001" bottom="1" header="0.5" footer="0.5"/>
  <pageSetup orientation="portrait" r:id="rId1"/>
  <headerFooter alignWithMargins="0">
    <oddHeader>&amp;LPartners of the Americas F2F Caribbean Basin Program Budget: Match Calculation
USAID RFA No. SOL-OAA-13-00006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c808d36-874f-4b27-aec2-2fd649817929" xsi:nil="true"/>
    <lcf76f155ced4ddcb4097134ff3c332f xmlns="f2466082-b6bf-4153-98c3-3c41e85fda18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06C8355D678A459F2EF8957171B231" ma:contentTypeVersion="18" ma:contentTypeDescription="Create a new document." ma:contentTypeScope="" ma:versionID="c89dbf13fad0b1343cd41b5338c7e736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bd4a7335f490c5a41276d1fccfad81ee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1e634b9-0c0d-402e-b683-49cec20119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796171e-60a5-48ad-9b94-11b7e9399efd}" ma:internalName="TaxCatchAll" ma:showField="CatchAllData" ma:web="dc808d36-874f-4b27-aec2-2fd6498179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AA062DA-8B62-4BA9-8C72-E2D6C7D3E80D}">
  <ds:schemaRefs>
    <ds:schemaRef ds:uri="http://schemas.microsoft.com/office/2006/metadata/properties"/>
    <ds:schemaRef ds:uri="http://schemas.microsoft.com/office/infopath/2007/PartnerControls"/>
    <ds:schemaRef ds:uri="dc808d36-874f-4b27-aec2-2fd649817929"/>
    <ds:schemaRef ds:uri="f8135ccf-0908-4d8c-8b6a-2ec449ff78ed"/>
    <ds:schemaRef ds:uri="f2466082-b6bf-4153-98c3-3c41e85fda18"/>
  </ds:schemaRefs>
</ds:datastoreItem>
</file>

<file path=customXml/itemProps2.xml><?xml version="1.0" encoding="utf-8"?>
<ds:datastoreItem xmlns:ds="http://schemas.openxmlformats.org/officeDocument/2006/customXml" ds:itemID="{B69EC06F-D666-4BD8-958B-374EE4D434C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6C93E6D-3CB0-45A6-8077-3548C08631E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2466082-b6bf-4153-98c3-3c41e85fda18"/>
    <ds:schemaRef ds:uri="dc808d36-874f-4b27-aec2-2fd64981792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3</vt:i4>
      </vt:variant>
    </vt:vector>
  </HeadingPairs>
  <TitlesOfParts>
    <vt:vector size="16" baseType="lpstr">
      <vt:lpstr>Summary Budget</vt:lpstr>
      <vt:lpstr>Detailed Budget</vt:lpstr>
      <vt:lpstr>Guatemala </vt:lpstr>
      <vt:lpstr>Guyana</vt:lpstr>
      <vt:lpstr>Dominican Republic</vt:lpstr>
      <vt:lpstr>Jamaica</vt:lpstr>
      <vt:lpstr>Volunteer Travel</vt:lpstr>
      <vt:lpstr>Field Travel</vt:lpstr>
      <vt:lpstr>HQ Travel</vt:lpstr>
      <vt:lpstr>HQ Expenses</vt:lpstr>
      <vt:lpstr>FO Expenses</vt:lpstr>
      <vt:lpstr>Contractual</vt:lpstr>
      <vt:lpstr>Leverage</vt:lpstr>
      <vt:lpstr>'Detailed Budget'!Print_Area</vt:lpstr>
      <vt:lpstr>'HQ Expenses'!Print_Area</vt:lpstr>
      <vt:lpstr>'Summary Budget'!Print_Area</vt:lpstr>
    </vt:vector>
  </TitlesOfParts>
  <Manager/>
  <Company>POA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POA USER</dc:creator>
  <cp:keywords/>
  <dc:description/>
  <cp:lastModifiedBy>Danielle Martin</cp:lastModifiedBy>
  <cp:revision/>
  <dcterms:created xsi:type="dcterms:W3CDTF">2008-05-05T21:17:49Z</dcterms:created>
  <dcterms:modified xsi:type="dcterms:W3CDTF">2025-06-04T14:39:48Z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r8>7450200</vt:r8>
  </property>
  <property fmtid="{D5CDD505-2E9C-101B-9397-08002B2CF9AE}" pid="3" name="ContentTypeId">
    <vt:lpwstr>0x0101003206C8355D678A459F2EF8957171B231</vt:lpwstr>
  </property>
  <property fmtid="{D5CDD505-2E9C-101B-9397-08002B2CF9AE}" pid="4" name="MediaServiceImageTags">
    <vt:lpwstr/>
  </property>
</Properties>
</file>