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Budgets/"/>
    </mc:Choice>
  </mc:AlternateContent>
  <xr:revisionPtr revIDLastSave="7" documentId="8_{15964166-F9BF-4C58-AF5F-BF19E093DA59}" xr6:coauthVersionLast="47" xr6:coauthVersionMax="47" xr10:uidLastSave="{6172BD06-A105-43A8-BC60-EA00E7D4D324}"/>
  <bookViews>
    <workbookView xWindow="-96" yWindow="-96" windowWidth="23232" windowHeight="12552" xr2:uid="{DBC9027D-A6C2-498F-9A41-13ADCB570132}"/>
  </bookViews>
  <sheets>
    <sheet name="CEREAL" sheetId="1" r:id="rId1"/>
  </sheets>
  <externalReferences>
    <externalReference r:id="rId2"/>
  </externalReferences>
  <definedNames>
    <definedName name="Category" localSheetId="0">#N/A</definedName>
    <definedName name="DL_Country" localSheetId="0">#N/A</definedName>
    <definedName name="DL_Country">'[1]Project Budget'!#REF!</definedName>
    <definedName name="DL_TotalDOL" localSheetId="0">#N/A</definedName>
    <definedName name="EQ_Country" localSheetId="0">#N/A</definedName>
    <definedName name="EQ_Country">'[1]Project Budget'!#REF!</definedName>
    <definedName name="EQ_TotalDOL" localSheetId="0">#N/A</definedName>
    <definedName name="EQ_TotalDOL">'[1]Project Budget'!#REF!</definedName>
    <definedName name="inf" localSheetId="0">#N/A</definedName>
    <definedName name="inf">#REF!</definedName>
    <definedName name="JEA_Country" localSheetId="0">#N/A</definedName>
    <definedName name="JEA_Country">#REF!</definedName>
    <definedName name="JEA_Year1" localSheetId="0">#N/A</definedName>
    <definedName name="JEA_Year1">#REF!</definedName>
    <definedName name="ME_Country" localSheetId="0">#N/A</definedName>
    <definedName name="ME_Country">'[1]Project Budget'!#REF!</definedName>
    <definedName name="ME_TotalDOL" localSheetId="0">#N/A</definedName>
    <definedName name="O1_Country" localSheetId="0">#N/A</definedName>
    <definedName name="O1_Country">'[1]Project Budget'!#REF!</definedName>
    <definedName name="O1_TotalDOL" localSheetId="0">#N/A</definedName>
    <definedName name="O1_TotalDOL">'[1]Project Budget'!#REF!</definedName>
    <definedName name="O2_Country" localSheetId="0">#N/A</definedName>
    <definedName name="O2_Country">'[1]Project Budget'!#REF!</definedName>
    <definedName name="O2_TotalDOL" localSheetId="0">#N/A</definedName>
    <definedName name="O2_TotalDOL">'[1]Project Budget'!#REF!</definedName>
    <definedName name="_xlnm.Print_Area" localSheetId="0">#N/A</definedName>
    <definedName name="SU_Country" localSheetId="0">#N/A</definedName>
    <definedName name="SU_Country">'[1]Project Budget'!#REF!</definedName>
    <definedName name="SU_TotalDOL" localSheetId="0">#N/A</definedName>
    <definedName name="TotalDOL" localSheetId="0">#N/A</definedName>
    <definedName name="TR_Country" localSheetId="0">#N/A</definedName>
    <definedName name="TR_Country">'[1]Project Budget'!#REF!</definedName>
    <definedName name="TR_TotalDOL" localSheetId="0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7" i="1" l="1"/>
  <c r="U99" i="1" s="1"/>
  <c r="U93" i="1"/>
  <c r="S91" i="1"/>
  <c r="Q91" i="1"/>
  <c r="O91" i="1"/>
  <c r="T91" i="1" s="1"/>
  <c r="V91" i="1" s="1"/>
  <c r="M91" i="1"/>
  <c r="K91" i="1"/>
  <c r="S90" i="1"/>
  <c r="Q90" i="1"/>
  <c r="O90" i="1"/>
  <c r="M90" i="1"/>
  <c r="T90" i="1" s="1"/>
  <c r="V90" i="1" s="1"/>
  <c r="K90" i="1"/>
  <c r="S89" i="1"/>
  <c r="Q89" i="1"/>
  <c r="O89" i="1"/>
  <c r="M89" i="1"/>
  <c r="K89" i="1"/>
  <c r="U83" i="1"/>
  <c r="U79" i="1"/>
  <c r="K78" i="1"/>
  <c r="S77" i="1"/>
  <c r="Q77" i="1"/>
  <c r="O77" i="1"/>
  <c r="M77" i="1"/>
  <c r="K77" i="1"/>
  <c r="S76" i="1"/>
  <c r="Q76" i="1"/>
  <c r="O76" i="1"/>
  <c r="M76" i="1"/>
  <c r="K76" i="1"/>
  <c r="T74" i="1"/>
  <c r="V74" i="1" s="1"/>
  <c r="Q74" i="1"/>
  <c r="O74" i="1"/>
  <c r="M74" i="1"/>
  <c r="T72" i="1"/>
  <c r="V72" i="1" s="1"/>
  <c r="S72" i="1"/>
  <c r="Q72" i="1"/>
  <c r="O72" i="1"/>
  <c r="M72" i="1"/>
  <c r="S70" i="1"/>
  <c r="Q70" i="1"/>
  <c r="O70" i="1"/>
  <c r="M70" i="1"/>
  <c r="K70" i="1"/>
  <c r="S68" i="1"/>
  <c r="Q68" i="1"/>
  <c r="O68" i="1"/>
  <c r="M68" i="1"/>
  <c r="T68" i="1" s="1"/>
  <c r="V68" i="1" s="1"/>
  <c r="U62" i="1"/>
  <c r="U58" i="1"/>
  <c r="S56" i="1"/>
  <c r="T56" i="1" s="1"/>
  <c r="V56" i="1" s="1"/>
  <c r="O56" i="1"/>
  <c r="M56" i="1"/>
  <c r="K56" i="1"/>
  <c r="S54" i="1"/>
  <c r="Q54" i="1"/>
  <c r="O54" i="1"/>
  <c r="J54" i="1"/>
  <c r="M54" i="1" s="1"/>
  <c r="T52" i="1"/>
  <c r="V52" i="1" s="1"/>
  <c r="S52" i="1"/>
  <c r="Q52" i="1"/>
  <c r="O52" i="1"/>
  <c r="M52" i="1"/>
  <c r="K52" i="1"/>
  <c r="S50" i="1"/>
  <c r="Q50" i="1"/>
  <c r="O50" i="1"/>
  <c r="M50" i="1"/>
  <c r="T50" i="1" s="1"/>
  <c r="V50" i="1" s="1"/>
  <c r="K50" i="1"/>
  <c r="S48" i="1"/>
  <c r="Q48" i="1"/>
  <c r="O48" i="1"/>
  <c r="M48" i="1"/>
  <c r="K48" i="1"/>
  <c r="T48" i="1" s="1"/>
  <c r="V48" i="1" s="1"/>
  <c r="J48" i="1"/>
  <c r="S46" i="1"/>
  <c r="M46" i="1"/>
  <c r="K46" i="1"/>
  <c r="T46" i="1" s="1"/>
  <c r="V46" i="1" s="1"/>
  <c r="U39" i="1"/>
  <c r="S37" i="1"/>
  <c r="Q37" i="1"/>
  <c r="O37" i="1"/>
  <c r="M37" i="1"/>
  <c r="K37" i="1"/>
  <c r="T37" i="1" s="1"/>
  <c r="V37" i="1" s="1"/>
  <c r="S36" i="1"/>
  <c r="Q36" i="1"/>
  <c r="O36" i="1"/>
  <c r="M36" i="1"/>
  <c r="T36" i="1" s="1"/>
  <c r="V36" i="1" s="1"/>
  <c r="K36" i="1"/>
  <c r="S35" i="1"/>
  <c r="Q35" i="1"/>
  <c r="O35" i="1"/>
  <c r="M35" i="1"/>
  <c r="K35" i="1"/>
  <c r="T35" i="1" s="1"/>
  <c r="V35" i="1" s="1"/>
  <c r="S34" i="1"/>
  <c r="Q34" i="1"/>
  <c r="T34" i="1" s="1"/>
  <c r="V34" i="1" s="1"/>
  <c r="O34" i="1"/>
  <c r="M34" i="1"/>
  <c r="K34" i="1"/>
  <c r="S33" i="1"/>
  <c r="Q33" i="1"/>
  <c r="O33" i="1"/>
  <c r="M33" i="1"/>
  <c r="J33" i="1"/>
  <c r="K33" i="1" s="1"/>
  <c r="T33" i="1" s="1"/>
  <c r="V33" i="1" s="1"/>
  <c r="V32" i="1"/>
  <c r="T32" i="1"/>
  <c r="S32" i="1"/>
  <c r="Q32" i="1"/>
  <c r="O32" i="1"/>
  <c r="M32" i="1"/>
  <c r="K32" i="1"/>
  <c r="S31" i="1"/>
  <c r="Q31" i="1"/>
  <c r="O31" i="1"/>
  <c r="M31" i="1"/>
  <c r="K31" i="1"/>
  <c r="T31" i="1" s="1"/>
  <c r="V31" i="1" s="1"/>
  <c r="S30" i="1"/>
  <c r="Q30" i="1"/>
  <c r="O30" i="1"/>
  <c r="M30" i="1"/>
  <c r="K30" i="1"/>
  <c r="S29" i="1"/>
  <c r="Q29" i="1"/>
  <c r="O29" i="1"/>
  <c r="M29" i="1"/>
  <c r="K29" i="1"/>
  <c r="V28" i="1"/>
  <c r="T28" i="1"/>
  <c r="S28" i="1"/>
  <c r="Q28" i="1"/>
  <c r="O28" i="1"/>
  <c r="M28" i="1"/>
  <c r="K28" i="1"/>
  <c r="S27" i="1"/>
  <c r="T27" i="1" s="1"/>
  <c r="V27" i="1" s="1"/>
  <c r="Q27" i="1"/>
  <c r="O27" i="1"/>
  <c r="M27" i="1"/>
  <c r="K27" i="1"/>
  <c r="S26" i="1"/>
  <c r="Q26" i="1"/>
  <c r="T26" i="1" s="1"/>
  <c r="V26" i="1" s="1"/>
  <c r="O26" i="1"/>
  <c r="M26" i="1"/>
  <c r="K26" i="1"/>
  <c r="K39" i="1" s="1"/>
  <c r="S25" i="1"/>
  <c r="Q25" i="1"/>
  <c r="Q39" i="1" s="1"/>
  <c r="O25" i="1"/>
  <c r="T25" i="1" s="1"/>
  <c r="V25" i="1" s="1"/>
  <c r="M25" i="1"/>
  <c r="K25" i="1"/>
  <c r="S24" i="1"/>
  <c r="Q24" i="1"/>
  <c r="O24" i="1"/>
  <c r="O39" i="1" s="1"/>
  <c r="M24" i="1"/>
  <c r="T24" i="1" s="1"/>
  <c r="K24" i="1"/>
  <c r="V22" i="1"/>
  <c r="U22" i="1"/>
  <c r="T22" i="1"/>
  <c r="S22" i="1"/>
  <c r="Q22" i="1"/>
  <c r="O22" i="1"/>
  <c r="M22" i="1"/>
  <c r="K22" i="1"/>
  <c r="U20" i="1"/>
  <c r="T18" i="1"/>
  <c r="V18" i="1" s="1"/>
  <c r="S18" i="1"/>
  <c r="Q18" i="1"/>
  <c r="O18" i="1"/>
  <c r="M18" i="1"/>
  <c r="K18" i="1"/>
  <c r="S17" i="1"/>
  <c r="Q17" i="1"/>
  <c r="O17" i="1"/>
  <c r="M17" i="1"/>
  <c r="K17" i="1"/>
  <c r="S16" i="1"/>
  <c r="Q16" i="1"/>
  <c r="O16" i="1"/>
  <c r="M16" i="1"/>
  <c r="K16" i="1"/>
  <c r="T16" i="1" s="1"/>
  <c r="V16" i="1" s="1"/>
  <c r="S15" i="1"/>
  <c r="Q15" i="1"/>
  <c r="O15" i="1"/>
  <c r="M15" i="1"/>
  <c r="K15" i="1"/>
  <c r="T15" i="1" s="1"/>
  <c r="V15" i="1" s="1"/>
  <c r="S14" i="1"/>
  <c r="Q14" i="1"/>
  <c r="O14" i="1"/>
  <c r="M14" i="1"/>
  <c r="K14" i="1"/>
  <c r="T14" i="1" s="1"/>
  <c r="V14" i="1" s="1"/>
  <c r="T13" i="1"/>
  <c r="V13" i="1" s="1"/>
  <c r="S13" i="1"/>
  <c r="Q13" i="1"/>
  <c r="O13" i="1"/>
  <c r="M13" i="1"/>
  <c r="K13" i="1"/>
  <c r="S12" i="1"/>
  <c r="T12" i="1" s="1"/>
  <c r="V12" i="1" s="1"/>
  <c r="Q12" i="1"/>
  <c r="O12" i="1"/>
  <c r="M12" i="1"/>
  <c r="K12" i="1"/>
  <c r="S11" i="1"/>
  <c r="S20" i="1" s="1"/>
  <c r="Q11" i="1"/>
  <c r="T11" i="1" s="1"/>
  <c r="V11" i="1" s="1"/>
  <c r="O11" i="1"/>
  <c r="M11" i="1"/>
  <c r="K11" i="1"/>
  <c r="S10" i="1"/>
  <c r="Q10" i="1"/>
  <c r="O10" i="1"/>
  <c r="M10" i="1"/>
  <c r="T10" i="1" s="1"/>
  <c r="V10" i="1" s="1"/>
  <c r="K10" i="1"/>
  <c r="S9" i="1"/>
  <c r="Q9" i="1"/>
  <c r="Q20" i="1" s="1"/>
  <c r="O9" i="1"/>
  <c r="O20" i="1" s="1"/>
  <c r="M9" i="1"/>
  <c r="K9" i="1"/>
  <c r="V24" i="1" l="1"/>
  <c r="N66" i="1"/>
  <c r="O66" i="1" s="1"/>
  <c r="N44" i="1"/>
  <c r="O44" i="1" s="1"/>
  <c r="N87" i="1"/>
  <c r="O87" i="1" s="1"/>
  <c r="R65" i="1"/>
  <c r="S65" i="1" s="1"/>
  <c r="R86" i="1"/>
  <c r="S86" i="1" s="1"/>
  <c r="R43" i="1"/>
  <c r="S43" i="1" s="1"/>
  <c r="P86" i="1"/>
  <c r="Q86" i="1" s="1"/>
  <c r="P43" i="1"/>
  <c r="Q43" i="1" s="1"/>
  <c r="P65" i="1"/>
  <c r="Q65" i="1" s="1"/>
  <c r="I66" i="1"/>
  <c r="K66" i="1" s="1"/>
  <c r="I44" i="1"/>
  <c r="K44" i="1" s="1"/>
  <c r="I87" i="1"/>
  <c r="K87" i="1" s="1"/>
  <c r="N65" i="1"/>
  <c r="O65" i="1" s="1"/>
  <c r="O79" i="1" s="1"/>
  <c r="N43" i="1"/>
  <c r="O43" i="1" s="1"/>
  <c r="O58" i="1" s="1"/>
  <c r="N86" i="1"/>
  <c r="O86" i="1" s="1"/>
  <c r="O93" i="1" s="1"/>
  <c r="P44" i="1"/>
  <c r="Q44" i="1" s="1"/>
  <c r="P66" i="1"/>
  <c r="Q66" i="1" s="1"/>
  <c r="P87" i="1"/>
  <c r="Q87" i="1" s="1"/>
  <c r="T30" i="1"/>
  <c r="V30" i="1" s="1"/>
  <c r="T70" i="1"/>
  <c r="V70" i="1" s="1"/>
  <c r="T76" i="1"/>
  <c r="V76" i="1" s="1"/>
  <c r="M20" i="1"/>
  <c r="K20" i="1"/>
  <c r="T9" i="1"/>
  <c r="T29" i="1"/>
  <c r="V29" i="1" s="1"/>
  <c r="S39" i="1"/>
  <c r="T89" i="1"/>
  <c r="V89" i="1" s="1"/>
  <c r="M39" i="1"/>
  <c r="T77" i="1"/>
  <c r="V77" i="1" s="1"/>
  <c r="T17" i="1"/>
  <c r="V17" i="1" s="1"/>
  <c r="K54" i="1"/>
  <c r="T54" i="1" s="1"/>
  <c r="V54" i="1" s="1"/>
  <c r="L65" i="1" l="1"/>
  <c r="M65" i="1" s="1"/>
  <c r="L86" i="1"/>
  <c r="M86" i="1" s="1"/>
  <c r="L43" i="1"/>
  <c r="M43" i="1" s="1"/>
  <c r="O60" i="1"/>
  <c r="O62" i="1"/>
  <c r="S58" i="1"/>
  <c r="O81" i="1"/>
  <c r="O83" i="1"/>
  <c r="L87" i="1"/>
  <c r="M87" i="1" s="1"/>
  <c r="L66" i="1"/>
  <c r="M66" i="1" s="1"/>
  <c r="L44" i="1"/>
  <c r="M44" i="1" s="1"/>
  <c r="T87" i="1"/>
  <c r="V87" i="1" s="1"/>
  <c r="T44" i="1"/>
  <c r="V44" i="1" s="1"/>
  <c r="R66" i="1"/>
  <c r="S66" i="1" s="1"/>
  <c r="T66" i="1" s="1"/>
  <c r="V66" i="1" s="1"/>
  <c r="R44" i="1"/>
  <c r="S44" i="1" s="1"/>
  <c r="R87" i="1"/>
  <c r="S87" i="1" s="1"/>
  <c r="S93" i="1" s="1"/>
  <c r="Q79" i="1"/>
  <c r="V9" i="1"/>
  <c r="V20" i="1" s="1"/>
  <c r="T20" i="1"/>
  <c r="Q58" i="1"/>
  <c r="V39" i="1"/>
  <c r="I65" i="1"/>
  <c r="K65" i="1" s="1"/>
  <c r="I86" i="1"/>
  <c r="K86" i="1" s="1"/>
  <c r="I43" i="1"/>
  <c r="K43" i="1" s="1"/>
  <c r="O95" i="1"/>
  <c r="O97" i="1"/>
  <c r="O99" i="1" s="1"/>
  <c r="Q93" i="1"/>
  <c r="T39" i="1"/>
  <c r="S95" i="1" l="1"/>
  <c r="S97" i="1" s="1"/>
  <c r="Q60" i="1"/>
  <c r="Q62" i="1"/>
  <c r="Q95" i="1"/>
  <c r="Q97" i="1" s="1"/>
  <c r="Q99" i="1" s="1"/>
  <c r="S79" i="1"/>
  <c r="S60" i="1"/>
  <c r="S62" i="1" s="1"/>
  <c r="Q81" i="1"/>
  <c r="Q83" i="1"/>
  <c r="K58" i="1"/>
  <c r="T43" i="1"/>
  <c r="V43" i="1" s="1"/>
  <c r="M58" i="1"/>
  <c r="K93" i="1"/>
  <c r="T86" i="1"/>
  <c r="V86" i="1" s="1"/>
  <c r="M93" i="1"/>
  <c r="T65" i="1"/>
  <c r="K79" i="1"/>
  <c r="M79" i="1"/>
  <c r="K95" i="1" l="1"/>
  <c r="T93" i="1"/>
  <c r="V93" i="1" s="1"/>
  <c r="K97" i="1"/>
  <c r="S81" i="1"/>
  <c r="S83" i="1"/>
  <c r="S99" i="1" s="1"/>
  <c r="K81" i="1"/>
  <c r="T81" i="1" s="1"/>
  <c r="V81" i="1" s="1"/>
  <c r="K60" i="1"/>
  <c r="T58" i="1"/>
  <c r="V58" i="1" s="1"/>
  <c r="K62" i="1"/>
  <c r="T79" i="1"/>
  <c r="V65" i="1"/>
  <c r="V79" i="1" s="1"/>
  <c r="M60" i="1"/>
  <c r="M62" i="1"/>
  <c r="M83" i="1"/>
  <c r="M81" i="1"/>
  <c r="M95" i="1"/>
  <c r="M97" i="1"/>
  <c r="K83" i="1" l="1"/>
  <c r="T83" i="1" s="1"/>
  <c r="V83" i="1" s="1"/>
  <c r="K99" i="1"/>
  <c r="T97" i="1"/>
  <c r="M99" i="1"/>
  <c r="T95" i="1"/>
  <c r="V95" i="1" s="1"/>
  <c r="T62" i="1"/>
  <c r="V62" i="1" s="1"/>
  <c r="T60" i="1"/>
  <c r="V60" i="1" s="1"/>
  <c r="T99" i="1" l="1"/>
  <c r="V97" i="1"/>
  <c r="V99" i="1" s="1"/>
</calcChain>
</file>

<file path=xl/sharedStrings.xml><?xml version="1.0" encoding="utf-8"?>
<sst xmlns="http://schemas.openxmlformats.org/spreadsheetml/2006/main" count="373" uniqueCount="156">
  <si>
    <t>Name of Project: Improving Gender Equity in the Mexican Workplace</t>
  </si>
  <si>
    <t>Name of Subawardee: Center for Reflection and Action on Labor Rights (CEREAL)</t>
  </si>
  <si>
    <t>Subaward Budget</t>
  </si>
  <si>
    <t>Entity:</t>
  </si>
  <si>
    <t>P</t>
  </si>
  <si>
    <t>Budget Assumptions:</t>
  </si>
  <si>
    <t>Program-Dept.:</t>
  </si>
  <si>
    <t>Inflation - Locally Purchased Goods/Services</t>
  </si>
  <si>
    <t>Funder-Grant:</t>
  </si>
  <si>
    <t>DOL425</t>
  </si>
  <si>
    <t>Merit Based Increases for Staff</t>
  </si>
  <si>
    <t>Activity Code</t>
  </si>
  <si>
    <t>Account Code</t>
  </si>
  <si>
    <t>Country Code</t>
  </si>
  <si>
    <t>Subcontract Code</t>
  </si>
  <si>
    <t>Sub-budget Code</t>
  </si>
  <si>
    <t>BUDGET ITEM</t>
  </si>
  <si>
    <t>CATEGORY</t>
  </si>
  <si>
    <t>UNIT</t>
  </si>
  <si>
    <t># of Units</t>
  </si>
  <si>
    <t>RATE/ UNIT</t>
  </si>
  <si>
    <t>YEAR 1
2022</t>
  </si>
  <si>
    <t>YEAR 2
2023</t>
  </si>
  <si>
    <t>YEAR 3
2024</t>
  </si>
  <si>
    <t>YEAR 4
2025</t>
  </si>
  <si>
    <t>YEAR 5
2026</t>
  </si>
  <si>
    <t>TOTAL CEREAL</t>
  </si>
  <si>
    <t>TOTAL COST SHARING</t>
  </si>
  <si>
    <t>PROJECT GRAND TOTAL</t>
  </si>
  <si>
    <t>Direct Labor</t>
  </si>
  <si>
    <t>SUBCEREAL</t>
  </si>
  <si>
    <t>MEX</t>
  </si>
  <si>
    <t>CEREAL</t>
  </si>
  <si>
    <t>CERPERPC</t>
  </si>
  <si>
    <t>Project Coordinator 50%</t>
  </si>
  <si>
    <t>Salaries</t>
  </si>
  <si>
    <t>Month</t>
  </si>
  <si>
    <t>CERPERADM</t>
  </si>
  <si>
    <t>Administration 50%</t>
  </si>
  <si>
    <t>CERPERIDV</t>
  </si>
  <si>
    <t>Institutional Development 50%</t>
  </si>
  <si>
    <t>CERPERLEG</t>
  </si>
  <si>
    <t>Legal Coordinator 50%</t>
  </si>
  <si>
    <t>CERPEROPC</t>
  </si>
  <si>
    <t>Organizational Processes Coordinator 50%</t>
  </si>
  <si>
    <t>CERPEREDU</t>
  </si>
  <si>
    <t>Education Coordinator 50%</t>
  </si>
  <si>
    <t>CERPERPRO</t>
  </si>
  <si>
    <t>Promotor 1 50%</t>
  </si>
  <si>
    <t>Promotor 2 50%</t>
  </si>
  <si>
    <t>Promotor 3 50%</t>
  </si>
  <si>
    <t>Promotor 4 50%</t>
  </si>
  <si>
    <t>Subtotal Direct Labor</t>
  </si>
  <si>
    <t>Subtotal Travel</t>
  </si>
  <si>
    <t>Supplies &amp; Office Expenses</t>
  </si>
  <si>
    <t>CERDESK</t>
  </si>
  <si>
    <t>Desktop computers, laptops and software</t>
  </si>
  <si>
    <t>Supplies</t>
  </si>
  <si>
    <t>Unit</t>
  </si>
  <si>
    <t>CERMEET</t>
  </si>
  <si>
    <t>Meeting Expenses</t>
  </si>
  <si>
    <t>Year</t>
  </si>
  <si>
    <t>CERPHONE</t>
  </si>
  <si>
    <t xml:space="preserve">Phones </t>
  </si>
  <si>
    <t>CERMATLS</t>
  </si>
  <si>
    <t>Stationary / Printing Materials</t>
  </si>
  <si>
    <t>CERCAMARA</t>
  </si>
  <si>
    <t>Camara Canon</t>
  </si>
  <si>
    <t>Set</t>
  </si>
  <si>
    <t>CERPRINT</t>
  </si>
  <si>
    <t>Printer</t>
  </si>
  <si>
    <t>CERSPEAKER</t>
  </si>
  <si>
    <t>Speaker System</t>
  </si>
  <si>
    <t>CERBANK</t>
  </si>
  <si>
    <t xml:space="preserve">Banking and cash handling fees </t>
  </si>
  <si>
    <t>Office Expenses</t>
  </si>
  <si>
    <t>CEREMAIL</t>
  </si>
  <si>
    <t xml:space="preserve">Email/Internet </t>
  </si>
  <si>
    <t>CERCOMMS</t>
  </si>
  <si>
    <t>Phones and Communication Costs</t>
  </si>
  <si>
    <t>CERRENT</t>
  </si>
  <si>
    <t>Office Rent</t>
  </si>
  <si>
    <t>CEREQUIP</t>
  </si>
  <si>
    <t xml:space="preserve">Equipment and office repairs and maintenance </t>
  </si>
  <si>
    <t>CERINSUR</t>
  </si>
  <si>
    <t>Insurance</t>
  </si>
  <si>
    <t>CERSUPPLY</t>
  </si>
  <si>
    <t>Offices supplies</t>
  </si>
  <si>
    <t>Subtotal Supplies &amp; Office Expenses</t>
  </si>
  <si>
    <t>The above is only for percentage calculations for the below outcomes</t>
  </si>
  <si>
    <t>Outcome 1: WO advance issues surrounding substantive equality, including gender proportionality in leadership and participation in key activities, within their institutions</t>
  </si>
  <si>
    <t>Activities/Costs</t>
  </si>
  <si>
    <t>Personnel &amp; Fringe (40% of Direct Labor line item)</t>
  </si>
  <si>
    <t>Outcome1</t>
  </si>
  <si>
    <t>Supplies &amp; Office Expenses (40%)</t>
  </si>
  <si>
    <t>1: Conduct a participatory diagnosis on gender equality and representation issues within WO</t>
  </si>
  <si>
    <t>CEROUT1-1</t>
  </si>
  <si>
    <t>Participatory diagnosis on gender equality and gender representation issues within WO</t>
  </si>
  <si>
    <t>2: Identify and train young women workers in leadership, negotiation, and conflict resolution</t>
  </si>
  <si>
    <t>CEROUT1-2</t>
  </si>
  <si>
    <t>Training of young women workers in leadership, negotiation and conflict resolution.</t>
  </si>
  <si>
    <t>4: Develop strategic plans for WO to comply with the gender provisions of the Mexican labor reform</t>
  </si>
  <si>
    <t>CEROUT1-4</t>
  </si>
  <si>
    <t>Strategic plans for WO to comply with the gender provisions of the Mexican labor reform</t>
  </si>
  <si>
    <t xml:space="preserve">6: Develop protocols focused on eliminating violence and harassment within WO membership </t>
  </si>
  <si>
    <t>CEROUT1-6</t>
  </si>
  <si>
    <t>Protocols focused on eliminating violence and harassment among WO members</t>
  </si>
  <si>
    <t>7: Develop a toolkit for WO to support the integration of the gender perspective and the increase of women members</t>
  </si>
  <si>
    <t>CEROUT1-7</t>
  </si>
  <si>
    <t>Toolkit for substantive equality and the unionization of women</t>
  </si>
  <si>
    <t xml:space="preserve">8: Identify, systematize, and disseminate good practices on gender, democracy, and WO administration </t>
  </si>
  <si>
    <t>CEROUT1-8</t>
  </si>
  <si>
    <t>Compendium of good practices on democracy and WO administration</t>
  </si>
  <si>
    <t>Direct Costs Total for Outcome 1</t>
  </si>
  <si>
    <t>CERIDCCOST</t>
  </si>
  <si>
    <t>Total Indirect Costs (De Minimis 10%) for Outcome 1</t>
  </si>
  <si>
    <t>Indirect Charges</t>
  </si>
  <si>
    <t>Subtotal Outcome 1</t>
  </si>
  <si>
    <t>Outcome 2: Worker organizations undertake sustained action to promote gender equity in the workplace</t>
  </si>
  <si>
    <t>Personnel &amp; Fringe (30% of Direct Labor line item)</t>
  </si>
  <si>
    <t>Outcome2</t>
  </si>
  <si>
    <t>Supplies &amp; Office Expenses (30%)</t>
  </si>
  <si>
    <t>9: Conduct a participatory diagnosis on substantive equality and representation in the prioritized sectors and workplaces</t>
  </si>
  <si>
    <t>CEROUT2-9</t>
  </si>
  <si>
    <t>Participatory diagnosis on gender equality and representation in prioritized sectors and  workplaces</t>
  </si>
  <si>
    <t xml:space="preserve">12: Establish roundtables within WO to disseminate best practices for substantive equality in the workplace </t>
  </si>
  <si>
    <t>CEROUT2-12</t>
  </si>
  <si>
    <t>Permanent roundtables within WO</t>
  </si>
  <si>
    <t>Workshops</t>
  </si>
  <si>
    <t xml:space="preserve">13: Develop technical roundtables on social protection systems led by WO </t>
  </si>
  <si>
    <t>CEROUT2-13</t>
  </si>
  <si>
    <t>Quarterly reports of problems addressed by the roundtables</t>
  </si>
  <si>
    <t>15: Train workers and WO on effective methods for gathering evidence and reporting discrimination and GBVH in the workplace</t>
  </si>
  <si>
    <t>CEROUT2-15</t>
  </si>
  <si>
    <t>Specialized training for the presentation of cases of discrimination and GBVH aimed at workers and WO</t>
  </si>
  <si>
    <t>16: Provide legal support to workers in cases related to gender discrimination, wage violations, failure to pay social protection systems, harassment or violence, and other relevant labor violations</t>
  </si>
  <si>
    <t>CEROUT2-16</t>
  </si>
  <si>
    <t>Network of Lawyers for the Defense of Workers</t>
  </si>
  <si>
    <t>Legal Advice delivered to workers in cases of gender discrimination in the workplace and associated labor violations.</t>
  </si>
  <si>
    <t>Direct Costs Total for Outcome 2</t>
  </si>
  <si>
    <t>Total Indirect Costs (De Minimis 10%) for Outcome 2</t>
  </si>
  <si>
    <t>Subtotal Outcome 2</t>
  </si>
  <si>
    <t>3: Monitoring, Evaluation, and Collection of Reliable Data</t>
  </si>
  <si>
    <t>M&amp;E</t>
  </si>
  <si>
    <t>Supplies &amp; Office Expenses 30%</t>
  </si>
  <si>
    <t>3.7.1.1 Collection of Reliable Data and Processing of Monitoring Data</t>
  </si>
  <si>
    <t>CERLODGPER</t>
  </si>
  <si>
    <t>Lodging and M&amp;IE - Field verification and data collection visits</t>
  </si>
  <si>
    <t>CERTRANS</t>
  </si>
  <si>
    <t>Local transportation - Field verification and data collection visits</t>
  </si>
  <si>
    <t>CERDATA</t>
  </si>
  <si>
    <t>Data collection materials and printing</t>
  </si>
  <si>
    <t>Direct Costs Total for Monitoring, Evaluation, and Collection of Reliable Data</t>
  </si>
  <si>
    <t>Total Indirect Costs (De Minimis 10%) for M&amp;E</t>
  </si>
  <si>
    <t>Subtotal M&amp;E</t>
  </si>
  <si>
    <t>TOTAL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</si>
</sst>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0.0%"/>
    <numFmt numFmtId="165" formatCode="_-* #,##0\ _B_s_-;\-* #,##0\ _B_s_-;_-* &quot;-&quot;??\ _B_s_-;_-@"/>
    <numFmt numFmtId="166" formatCode="_-* #,##0.000\ _B_s_-;\-* #,##0.000\ _B_s_-;_-* &quot;-&quot;??\ _B_s_-;_-@"/>
    <numFmt numFmtId="167" formatCode="_([$$-409]* #,##0_);_([$$-409]* \(#,##0\);_([$$-409]* &quot;-&quot;??_);_(@_)"/>
    <numFmt numFmtId="168" formatCode="_-* #,##0\ _B_s_-;\-* #,##0\ _B_s_-;_-* &quot;-&quot;??\ _B_s_-;_-@_-"/>
    <numFmt numFmtId="169" formatCode="_-* #,##0.00\ _B_s_-;\-* #,##0.00\ _B_s_-;_-* &quot;-&quot;??\ _B_s_-;_-@"/>
    <numFmt numFmtId="170" formatCode="_-* #,##0.00\ &quot;Bs&quot;_-;\-* #,##0.00\ &quot;Bs&quot;_-;_-* &quot;-&quot;??\ &quot;Bs&quot;_-;_-@_-"/>
    <numFmt numFmtId="171" formatCode="_-* #,##0.0\ _B_s_-;\-* #,##0.0\ _B_s_-;_-* &quot;-&quot;??\ _B_s_-;_-@"/>
    <numFmt numFmtId="172" formatCode="_(&quot;$&quot;* #,##0_);_(&quot;$&quot;* \(#,##0\);_(&quot;$&quot;* &quot;-&quot;??_);_(@_)"/>
    <numFmt numFmtId="173" formatCode="_-* #,##0.00\ _B_s_-;\-* #,##0.00\ _B_s_-;_-* &quot;-&quot;??\ _B_s_-;_-@_-"/>
  </numFmts>
  <fonts count="17">
    <font>
      <sz val="10"/>
      <name val="Arial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i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8"/>
      <color theme="1"/>
      <name val="Arial"/>
      <family val="2"/>
    </font>
    <font>
      <sz val="10"/>
      <color rgb="FF000000"/>
      <name val="Arial"/>
      <family val="2"/>
    </font>
    <font>
      <b/>
      <sz val="8"/>
      <color theme="1"/>
      <name val="Arial"/>
      <family val="2"/>
    </font>
    <font>
      <b/>
      <sz val="14"/>
      <name val="Arial"/>
      <family val="2"/>
    </font>
    <font>
      <b/>
      <u/>
      <sz val="8"/>
      <name val="Arial"/>
      <family val="2"/>
    </font>
    <font>
      <u/>
      <sz val="8"/>
      <color theme="1"/>
      <name val="Arial"/>
      <family val="2"/>
    </font>
    <font>
      <u/>
      <sz val="8"/>
      <name val="Arial"/>
      <family val="2"/>
    </font>
    <font>
      <sz val="8"/>
      <color rgb="FFFF0000"/>
      <name val="Arial"/>
      <family val="2"/>
    </font>
    <font>
      <sz val="8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173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9" fillId="0" borderId="0"/>
  </cellStyleXfs>
  <cellXfs count="11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 applyAlignment="1">
      <alignment wrapText="1"/>
    </xf>
    <xf numFmtId="9" fontId="6" fillId="0" borderId="1" xfId="3" applyFont="1" applyBorder="1" applyAlignment="1">
      <alignment wrapText="1"/>
    </xf>
    <xf numFmtId="0" fontId="6" fillId="0" borderId="0" xfId="0" applyFont="1" applyAlignment="1">
      <alignment wrapText="1"/>
    </xf>
    <xf numFmtId="3" fontId="6" fillId="0" borderId="0" xfId="0" applyNumberFormat="1" applyFont="1" applyAlignment="1">
      <alignment wrapText="1"/>
    </xf>
    <xf numFmtId="3" fontId="6" fillId="0" borderId="0" xfId="0" applyNumberFormat="1" applyFont="1"/>
    <xf numFmtId="164" fontId="6" fillId="0" borderId="1" xfId="3" applyNumberFormat="1" applyFont="1" applyBorder="1" applyAlignment="1">
      <alignment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wrapText="1"/>
    </xf>
    <xf numFmtId="3" fontId="3" fillId="0" borderId="2" xfId="0" applyNumberFormat="1" applyFont="1" applyBorder="1" applyAlignment="1">
      <alignment horizontal="center" wrapText="1"/>
    </xf>
    <xf numFmtId="3" fontId="3" fillId="0" borderId="2" xfId="4" applyNumberFormat="1" applyFont="1" applyBorder="1" applyAlignment="1">
      <alignment horizontal="center" wrapText="1"/>
    </xf>
    <xf numFmtId="0" fontId="3" fillId="0" borderId="2" xfId="4" applyFont="1" applyBorder="1" applyAlignment="1">
      <alignment horizont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wrapText="1"/>
    </xf>
    <xf numFmtId="3" fontId="3" fillId="2" borderId="0" xfId="0" applyNumberFormat="1" applyFont="1" applyFill="1" applyAlignment="1">
      <alignment wrapText="1"/>
    </xf>
    <xf numFmtId="3" fontId="1" fillId="2" borderId="0" xfId="0" applyNumberFormat="1" applyFont="1" applyFill="1"/>
    <xf numFmtId="0" fontId="8" fillId="0" borderId="0" xfId="0" applyFont="1" applyAlignment="1">
      <alignment wrapText="1"/>
    </xf>
    <xf numFmtId="0" fontId="8" fillId="0" borderId="0" xfId="5" applyFont="1" applyAlignment="1">
      <alignment horizontal="left" wrapText="1"/>
    </xf>
    <xf numFmtId="0" fontId="8" fillId="0" borderId="0" xfId="5" applyFont="1" applyAlignment="1">
      <alignment horizontal="left"/>
    </xf>
    <xf numFmtId="165" fontId="8" fillId="0" borderId="0" xfId="5" applyNumberFormat="1" applyFont="1" applyAlignment="1">
      <alignment horizontal="right" wrapText="1"/>
    </xf>
    <xf numFmtId="165" fontId="8" fillId="0" borderId="0" xfId="0" applyNumberFormat="1" applyFont="1" applyAlignment="1">
      <alignment horizontal="right" wrapText="1"/>
    </xf>
    <xf numFmtId="43" fontId="8" fillId="0" borderId="0" xfId="5" applyNumberFormat="1" applyFont="1"/>
    <xf numFmtId="166" fontId="8" fillId="0" borderId="0" xfId="5" applyNumberFormat="1" applyFont="1"/>
    <xf numFmtId="0" fontId="8" fillId="0" borderId="0" xfId="5" applyFont="1"/>
    <xf numFmtId="0" fontId="9" fillId="0" borderId="0" xfId="5"/>
    <xf numFmtId="165" fontId="1" fillId="0" borderId="0" xfId="5" applyNumberFormat="1" applyFont="1" applyAlignment="1">
      <alignment horizontal="right" wrapText="1"/>
    </xf>
    <xf numFmtId="0" fontId="10" fillId="0" borderId="0" xfId="5" applyFont="1" applyAlignment="1">
      <alignment horizontal="left" wrapText="1"/>
    </xf>
    <xf numFmtId="0" fontId="3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horizontal="right" wrapText="1"/>
    </xf>
    <xf numFmtId="3" fontId="3" fillId="3" borderId="2" xfId="0" applyNumberFormat="1" applyFont="1" applyFill="1" applyBorder="1" applyAlignment="1">
      <alignment horizontal="right" wrapText="1"/>
    </xf>
    <xf numFmtId="167" fontId="3" fillId="3" borderId="2" xfId="0" applyNumberFormat="1" applyFont="1" applyFill="1" applyBorder="1" applyAlignment="1">
      <alignment horizontal="righ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168" fontId="1" fillId="0" borderId="0" xfId="0" applyNumberFormat="1" applyFont="1" applyAlignment="1">
      <alignment horizontal="right" wrapText="1"/>
    </xf>
    <xf numFmtId="0" fontId="8" fillId="0" borderId="0" xfId="5" applyFont="1" applyAlignment="1">
      <alignment wrapText="1"/>
    </xf>
    <xf numFmtId="0" fontId="8" fillId="0" borderId="0" xfId="5" applyFont="1" applyAlignment="1">
      <alignment horizontal="left" vertical="top"/>
    </xf>
    <xf numFmtId="169" fontId="8" fillId="0" borderId="0" xfId="5" applyNumberFormat="1" applyFont="1" applyAlignment="1">
      <alignment horizontal="right" wrapText="1"/>
    </xf>
    <xf numFmtId="3" fontId="8" fillId="0" borderId="0" xfId="5" applyNumberFormat="1" applyFont="1"/>
    <xf numFmtId="165" fontId="8" fillId="0" borderId="0" xfId="5" applyNumberFormat="1" applyFont="1"/>
    <xf numFmtId="0" fontId="8" fillId="0" borderId="0" xfId="0" applyFont="1" applyAlignment="1">
      <alignment horizontal="left" wrapText="1"/>
    </xf>
    <xf numFmtId="0" fontId="8" fillId="0" borderId="0" xfId="5" applyFont="1" applyAlignment="1">
      <alignment horizontal="left" vertical="top" wrapText="1"/>
    </xf>
    <xf numFmtId="165" fontId="8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wrapText="1"/>
    </xf>
    <xf numFmtId="3" fontId="1" fillId="0" borderId="0" xfId="0" applyNumberFormat="1" applyFont="1"/>
    <xf numFmtId="0" fontId="3" fillId="3" borderId="2" xfId="0" applyFont="1" applyFill="1" applyBorder="1" applyAlignment="1">
      <alignment horizontal="left" wrapText="1"/>
    </xf>
    <xf numFmtId="3" fontId="3" fillId="3" borderId="2" xfId="0" applyNumberFormat="1" applyFont="1" applyFill="1" applyBorder="1" applyAlignment="1">
      <alignment wrapText="1"/>
    </xf>
    <xf numFmtId="167" fontId="3" fillId="3" borderId="2" xfId="2" applyNumberFormat="1" applyFont="1" applyFill="1" applyBorder="1" applyAlignment="1">
      <alignment horizontal="right" wrapText="1"/>
    </xf>
    <xf numFmtId="0" fontId="12" fillId="2" borderId="4" xfId="0" applyFont="1" applyFill="1" applyBorder="1" applyAlignment="1">
      <alignment vertical="top"/>
    </xf>
    <xf numFmtId="0" fontId="3" fillId="2" borderId="4" xfId="0" applyFont="1" applyFill="1" applyBorder="1" applyAlignment="1">
      <alignment vertical="top"/>
    </xf>
    <xf numFmtId="0" fontId="3" fillId="4" borderId="0" xfId="0" applyFont="1" applyFill="1" applyAlignment="1">
      <alignment horizontal="left" wrapText="1"/>
    </xf>
    <xf numFmtId="0" fontId="1" fillId="4" borderId="0" xfId="0" applyFont="1" applyFill="1" applyAlignment="1">
      <alignment horizontal="left" wrapText="1"/>
    </xf>
    <xf numFmtId="0" fontId="1" fillId="4" borderId="0" xfId="0" applyFont="1" applyFill="1" applyAlignment="1">
      <alignment horizontal="left" vertical="top" wrapText="1"/>
    </xf>
    <xf numFmtId="168" fontId="1" fillId="4" borderId="0" xfId="0" applyNumberFormat="1" applyFont="1" applyFill="1" applyAlignment="1">
      <alignment horizontal="right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10" fontId="1" fillId="0" borderId="0" xfId="3" applyNumberFormat="1" applyFont="1" applyFill="1" applyAlignment="1">
      <alignment horizontal="right" wrapText="1"/>
    </xf>
    <xf numFmtId="10" fontId="1" fillId="0" borderId="0" xfId="0" applyNumberFormat="1" applyFont="1" applyAlignment="1">
      <alignment horizontal="right" wrapText="1"/>
    </xf>
    <xf numFmtId="0" fontId="13" fillId="5" borderId="0" xfId="5" applyFont="1" applyFill="1" applyAlignment="1">
      <alignment horizontal="left" wrapText="1"/>
    </xf>
    <xf numFmtId="0" fontId="1" fillId="5" borderId="0" xfId="0" applyFont="1" applyFill="1" applyAlignment="1">
      <alignment vertical="top" wrapText="1"/>
    </xf>
    <xf numFmtId="0" fontId="1" fillId="5" borderId="0" xfId="0" applyFont="1" applyFill="1" applyAlignment="1">
      <alignment vertical="top"/>
    </xf>
    <xf numFmtId="168" fontId="1" fillId="5" borderId="0" xfId="0" applyNumberFormat="1" applyFont="1" applyFill="1" applyAlignment="1">
      <alignment horizontal="right" wrapText="1"/>
    </xf>
    <xf numFmtId="0" fontId="8" fillId="0" borderId="0" xfId="5" applyFont="1" applyAlignment="1">
      <alignment vertical="top"/>
    </xf>
    <xf numFmtId="171" fontId="1" fillId="0" borderId="0" xfId="5" applyNumberFormat="1" applyFont="1" applyAlignment="1">
      <alignment horizontal="right" wrapText="1"/>
    </xf>
    <xf numFmtId="0" fontId="8" fillId="5" borderId="0" xfId="5" applyFont="1" applyFill="1" applyAlignment="1">
      <alignment vertical="top" wrapText="1"/>
    </xf>
    <xf numFmtId="165" fontId="8" fillId="5" borderId="0" xfId="5" applyNumberFormat="1" applyFont="1" applyFill="1" applyAlignment="1">
      <alignment horizontal="right" wrapText="1"/>
    </xf>
    <xf numFmtId="165" fontId="1" fillId="5" borderId="0" xfId="5" applyNumberFormat="1" applyFont="1" applyFill="1" applyAlignment="1">
      <alignment horizontal="right" wrapText="1"/>
    </xf>
    <xf numFmtId="171" fontId="1" fillId="5" borderId="0" xfId="5" applyNumberFormat="1" applyFont="1" applyFill="1" applyAlignment="1">
      <alignment horizontal="right" wrapText="1"/>
    </xf>
    <xf numFmtId="0" fontId="8" fillId="0" borderId="0" xfId="5" applyFont="1" applyAlignment="1">
      <alignment vertical="top" wrapText="1"/>
    </xf>
    <xf numFmtId="0" fontId="13" fillId="5" borderId="0" xfId="5" applyFont="1" applyFill="1" applyAlignment="1">
      <alignment horizontal="left"/>
    </xf>
    <xf numFmtId="0" fontId="8" fillId="5" borderId="0" xfId="5" applyFont="1" applyFill="1" applyAlignment="1">
      <alignment vertical="top"/>
    </xf>
    <xf numFmtId="0" fontId="13" fillId="5" borderId="0" xfId="5" applyFont="1" applyFill="1"/>
    <xf numFmtId="0" fontId="9" fillId="0" borderId="0" xfId="5" applyAlignment="1">
      <alignment vertical="top"/>
    </xf>
    <xf numFmtId="165" fontId="9" fillId="0" borderId="0" xfId="5" applyNumberFormat="1"/>
    <xf numFmtId="0" fontId="3" fillId="3" borderId="2" xfId="0" applyFont="1" applyFill="1" applyBorder="1" applyAlignment="1">
      <alignment vertical="top" wrapText="1"/>
    </xf>
    <xf numFmtId="168" fontId="3" fillId="3" borderId="2" xfId="0" applyNumberFormat="1" applyFont="1" applyFill="1" applyBorder="1" applyAlignment="1">
      <alignment horizontal="right" wrapText="1"/>
    </xf>
    <xf numFmtId="172" fontId="3" fillId="3" borderId="2" xfId="0" applyNumberFormat="1" applyFont="1" applyFill="1" applyBorder="1" applyAlignment="1">
      <alignment horizontal="right" wrapText="1"/>
    </xf>
    <xf numFmtId="0" fontId="14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172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left" vertical="top"/>
    </xf>
    <xf numFmtId="0" fontId="1" fillId="5" borderId="0" xfId="0" applyFont="1" applyFill="1" applyAlignment="1">
      <alignment horizontal="left" vertical="top" wrapText="1"/>
    </xf>
    <xf numFmtId="0" fontId="1" fillId="5" borderId="0" xfId="0" applyFont="1" applyFill="1" applyAlignment="1">
      <alignment horizontal="left" vertical="top"/>
    </xf>
    <xf numFmtId="10" fontId="1" fillId="5" borderId="0" xfId="0" applyNumberFormat="1" applyFont="1" applyFill="1" applyAlignment="1">
      <alignment horizontal="right" wrapText="1"/>
    </xf>
    <xf numFmtId="0" fontId="8" fillId="5" borderId="0" xfId="5" applyFont="1" applyFill="1" applyAlignment="1">
      <alignment horizontal="left" vertical="top" wrapText="1"/>
    </xf>
    <xf numFmtId="0" fontId="8" fillId="5" borderId="0" xfId="5" applyFont="1" applyFill="1" applyAlignment="1">
      <alignment horizontal="left" vertical="top"/>
    </xf>
    <xf numFmtId="0" fontId="9" fillId="0" borderId="0" xfId="5" applyAlignment="1">
      <alignment horizontal="left" vertical="top"/>
    </xf>
    <xf numFmtId="0" fontId="1" fillId="0" borderId="0" xfId="0" applyFont="1" applyAlignment="1">
      <alignment horizontal="left" vertical="center"/>
    </xf>
    <xf numFmtId="0" fontId="14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left" vertical="center"/>
    </xf>
    <xf numFmtId="168" fontId="1" fillId="3" borderId="0" xfId="0" applyNumberFormat="1" applyFont="1" applyFill="1" applyAlignment="1">
      <alignment horizontal="right" wrapText="1"/>
    </xf>
    <xf numFmtId="0" fontId="3" fillId="3" borderId="2" xfId="0" applyFont="1" applyFill="1" applyBorder="1" applyAlignment="1">
      <alignment horizontal="left" vertical="top" wrapText="1"/>
    </xf>
    <xf numFmtId="0" fontId="15" fillId="0" borderId="0" xfId="0" applyFont="1"/>
    <xf numFmtId="10" fontId="3" fillId="0" borderId="0" xfId="0" applyNumberFormat="1" applyFont="1"/>
    <xf numFmtId="3" fontId="3" fillId="0" borderId="0" xfId="0" applyNumberFormat="1" applyFont="1" applyAlignment="1">
      <alignment horizontal="right" wrapText="1"/>
    </xf>
    <xf numFmtId="167" fontId="1" fillId="0" borderId="0" xfId="0" applyNumberFormat="1" applyFont="1" applyAlignment="1">
      <alignment horizontal="right" wrapText="1"/>
    </xf>
    <xf numFmtId="0" fontId="3" fillId="6" borderId="5" xfId="0" applyFont="1" applyFill="1" applyBorder="1" applyAlignment="1">
      <alignment wrapText="1"/>
    </xf>
    <xf numFmtId="3" fontId="3" fillId="6" borderId="5" xfId="0" applyNumberFormat="1" applyFont="1" applyFill="1" applyBorder="1" applyAlignment="1">
      <alignment horizontal="right" wrapText="1"/>
    </xf>
    <xf numFmtId="167" fontId="3" fillId="6" borderId="5" xfId="2" applyNumberFormat="1" applyFont="1" applyFill="1" applyBorder="1" applyAlignment="1">
      <alignment horizontal="right" wrapText="1"/>
    </xf>
    <xf numFmtId="2" fontId="1" fillId="0" borderId="0" xfId="0" applyNumberFormat="1" applyFont="1"/>
    <xf numFmtId="10" fontId="1" fillId="0" borderId="0" xfId="3" applyNumberFormat="1" applyFont="1"/>
    <xf numFmtId="0" fontId="16" fillId="0" borderId="0" xfId="0" applyFont="1" applyAlignment="1">
      <alignment wrapText="1"/>
    </xf>
    <xf numFmtId="168" fontId="1" fillId="0" borderId="0" xfId="0" applyNumberFormat="1" applyFont="1" applyAlignment="1">
      <alignment wrapText="1"/>
    </xf>
    <xf numFmtId="168" fontId="1" fillId="0" borderId="0" xfId="1" applyNumberFormat="1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11" fillId="3" borderId="3" xfId="0" applyFont="1" applyFill="1" applyBorder="1" applyAlignment="1">
      <alignment horizontal="center" vertical="center" wrapText="1"/>
    </xf>
  </cellXfs>
  <cellStyles count="6">
    <cellStyle name="Comma" xfId="1" builtinId="3"/>
    <cellStyle name="Currency" xfId="2" builtinId="4"/>
    <cellStyle name="Normal" xfId="0" builtinId="0"/>
    <cellStyle name="Normal 7" xfId="5" xr:uid="{C2303EA5-A863-4E22-98EA-89DF666A1DFC}"/>
    <cellStyle name="Normal 8" xfId="4" xr:uid="{AE8A0CEC-03C9-4B37-9BA8-0176609B9D44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OL425%20Improving%20Gender%20Equity%20Mod%20001%202022-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Summary"/>
      <sheetName val="Project Budget"/>
      <sheetName val="RMS"/>
      <sheetName val="CEREAL"/>
      <sheetName val="Comparasion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2DA9-45E1-4ED8-8CBA-6B640BEAAAB1}">
  <sheetPr>
    <pageSetUpPr fitToPage="1"/>
  </sheetPr>
  <dimension ref="A1:AK123"/>
  <sheetViews>
    <sheetView tabSelected="1" zoomScale="70" zoomScaleNormal="70" zoomScaleSheetLayoutView="90" workbookViewId="0">
      <pane xSplit="10" ySplit="8" topLeftCell="K9" activePane="bottomRight" state="frozen"/>
      <selection pane="bottomRight" activeCell="F33" sqref="F33"/>
      <selection pane="bottomLeft" activeCell="A11" sqref="A11"/>
      <selection pane="topRight" activeCell="F1" sqref="F1"/>
    </sheetView>
  </sheetViews>
  <sheetFormatPr defaultColWidth="11.42578125" defaultRowHeight="12" customHeight="1"/>
  <cols>
    <col min="1" max="1" width="14" style="47" customWidth="1"/>
    <col min="2" max="2" width="12" style="47" customWidth="1"/>
    <col min="3" max="3" width="11.7109375" style="47" customWidth="1"/>
    <col min="4" max="4" width="15.140625" style="47" customWidth="1"/>
    <col min="5" max="5" width="14.5703125" style="47" customWidth="1"/>
    <col min="6" max="6" width="65.42578125" style="47" customWidth="1"/>
    <col min="7" max="7" width="10.85546875" style="47" bestFit="1" customWidth="1"/>
    <col min="8" max="8" width="7.7109375" style="47" bestFit="1" customWidth="1"/>
    <col min="9" max="9" width="8.42578125" style="47" customWidth="1"/>
    <col min="10" max="10" width="9.140625" style="48" customWidth="1"/>
    <col min="11" max="11" width="9.85546875" style="49" customWidth="1"/>
    <col min="12" max="12" width="9" style="49" customWidth="1"/>
    <col min="13" max="13" width="8.7109375" style="49" customWidth="1"/>
    <col min="14" max="14" width="9.28515625" style="49" customWidth="1"/>
    <col min="15" max="15" width="8.28515625" style="49" customWidth="1"/>
    <col min="16" max="16" width="8.85546875" style="49" customWidth="1"/>
    <col min="17" max="17" width="9.140625" style="49" customWidth="1"/>
    <col min="18" max="18" width="9" style="49" customWidth="1"/>
    <col min="19" max="19" width="7.7109375" style="49" customWidth="1"/>
    <col min="20" max="20" width="9.7109375" style="49" customWidth="1"/>
    <col min="21" max="21" width="7.85546875" style="49" customWidth="1"/>
    <col min="22" max="22" width="11.7109375" style="49" bestFit="1" customWidth="1"/>
    <col min="23" max="23" width="13" style="1" customWidth="1"/>
    <col min="24" max="24" width="12" style="1" customWidth="1"/>
    <col min="25" max="25" width="18.42578125" style="1" customWidth="1"/>
    <col min="26" max="257" width="11.42578125" style="1"/>
    <col min="258" max="258" width="58.42578125" style="1" customWidth="1"/>
    <col min="259" max="259" width="8.42578125" style="1" customWidth="1"/>
    <col min="260" max="260" width="11.42578125" style="1" customWidth="1"/>
    <col min="261" max="261" width="7.85546875" style="1" customWidth="1"/>
    <col min="262" max="262" width="9.42578125" style="1" customWidth="1"/>
    <col min="263" max="263" width="8.85546875" style="1" customWidth="1"/>
    <col min="264" max="264" width="14.42578125" style="1" customWidth="1"/>
    <col min="265" max="265" width="8.85546875" style="1" customWidth="1"/>
    <col min="266" max="266" width="12.140625" style="1" customWidth="1"/>
    <col min="267" max="267" width="8.42578125" style="1" customWidth="1"/>
    <col min="268" max="269" width="11.42578125" style="1" customWidth="1"/>
    <col min="270" max="270" width="11.85546875" style="1" customWidth="1"/>
    <col min="271" max="271" width="11.42578125" style="1" customWidth="1"/>
    <col min="272" max="272" width="10.42578125" style="1" customWidth="1"/>
    <col min="273" max="273" width="11.85546875" style="1" customWidth="1"/>
    <col min="274" max="274" width="10.42578125" style="1" customWidth="1"/>
    <col min="275" max="275" width="12" style="1" customWidth="1"/>
    <col min="276" max="276" width="16.85546875" style="1" customWidth="1"/>
    <col min="277" max="277" width="12.42578125" style="1" customWidth="1"/>
    <col min="278" max="278" width="9.140625" style="1" customWidth="1"/>
    <col min="279" max="279" width="13" style="1" customWidth="1"/>
    <col min="280" max="280" width="12" style="1" customWidth="1"/>
    <col min="281" max="281" width="18.42578125" style="1" customWidth="1"/>
    <col min="282" max="513" width="11.42578125" style="1"/>
    <col min="514" max="514" width="58.42578125" style="1" customWidth="1"/>
    <col min="515" max="515" width="8.42578125" style="1" customWidth="1"/>
    <col min="516" max="516" width="11.42578125" style="1" customWidth="1"/>
    <col min="517" max="517" width="7.85546875" style="1" customWidth="1"/>
    <col min="518" max="518" width="9.42578125" style="1" customWidth="1"/>
    <col min="519" max="519" width="8.85546875" style="1" customWidth="1"/>
    <col min="520" max="520" width="14.42578125" style="1" customWidth="1"/>
    <col min="521" max="521" width="8.85546875" style="1" customWidth="1"/>
    <col min="522" max="522" width="12.140625" style="1" customWidth="1"/>
    <col min="523" max="523" width="8.42578125" style="1" customWidth="1"/>
    <col min="524" max="525" width="11.42578125" style="1" customWidth="1"/>
    <col min="526" max="526" width="11.85546875" style="1" customWidth="1"/>
    <col min="527" max="527" width="11.42578125" style="1" customWidth="1"/>
    <col min="528" max="528" width="10.42578125" style="1" customWidth="1"/>
    <col min="529" max="529" width="11.85546875" style="1" customWidth="1"/>
    <col min="530" max="530" width="10.42578125" style="1" customWidth="1"/>
    <col min="531" max="531" width="12" style="1" customWidth="1"/>
    <col min="532" max="532" width="16.85546875" style="1" customWidth="1"/>
    <col min="533" max="533" width="12.42578125" style="1" customWidth="1"/>
    <col min="534" max="534" width="9.140625" style="1" customWidth="1"/>
    <col min="535" max="535" width="13" style="1" customWidth="1"/>
    <col min="536" max="536" width="12" style="1" customWidth="1"/>
    <col min="537" max="537" width="18.42578125" style="1" customWidth="1"/>
    <col min="538" max="769" width="11.42578125" style="1"/>
    <col min="770" max="770" width="58.42578125" style="1" customWidth="1"/>
    <col min="771" max="771" width="8.42578125" style="1" customWidth="1"/>
    <col min="772" max="772" width="11.42578125" style="1" customWidth="1"/>
    <col min="773" max="773" width="7.85546875" style="1" customWidth="1"/>
    <col min="774" max="774" width="9.42578125" style="1" customWidth="1"/>
    <col min="775" max="775" width="8.85546875" style="1" customWidth="1"/>
    <col min="776" max="776" width="14.42578125" style="1" customWidth="1"/>
    <col min="777" max="777" width="8.85546875" style="1" customWidth="1"/>
    <col min="778" max="778" width="12.140625" style="1" customWidth="1"/>
    <col min="779" max="779" width="8.42578125" style="1" customWidth="1"/>
    <col min="780" max="781" width="11.42578125" style="1" customWidth="1"/>
    <col min="782" max="782" width="11.85546875" style="1" customWidth="1"/>
    <col min="783" max="783" width="11.42578125" style="1" customWidth="1"/>
    <col min="784" max="784" width="10.42578125" style="1" customWidth="1"/>
    <col min="785" max="785" width="11.85546875" style="1" customWidth="1"/>
    <col min="786" max="786" width="10.42578125" style="1" customWidth="1"/>
    <col min="787" max="787" width="12" style="1" customWidth="1"/>
    <col min="788" max="788" width="16.85546875" style="1" customWidth="1"/>
    <col min="789" max="789" width="12.42578125" style="1" customWidth="1"/>
    <col min="790" max="790" width="9.140625" style="1" customWidth="1"/>
    <col min="791" max="791" width="13" style="1" customWidth="1"/>
    <col min="792" max="792" width="12" style="1" customWidth="1"/>
    <col min="793" max="793" width="18.42578125" style="1" customWidth="1"/>
    <col min="794" max="1025" width="11.42578125" style="1"/>
    <col min="1026" max="1026" width="58.42578125" style="1" customWidth="1"/>
    <col min="1027" max="1027" width="8.42578125" style="1" customWidth="1"/>
    <col min="1028" max="1028" width="11.42578125" style="1" customWidth="1"/>
    <col min="1029" max="1029" width="7.85546875" style="1" customWidth="1"/>
    <col min="1030" max="1030" width="9.42578125" style="1" customWidth="1"/>
    <col min="1031" max="1031" width="8.85546875" style="1" customWidth="1"/>
    <col min="1032" max="1032" width="14.42578125" style="1" customWidth="1"/>
    <col min="1033" max="1033" width="8.85546875" style="1" customWidth="1"/>
    <col min="1034" max="1034" width="12.140625" style="1" customWidth="1"/>
    <col min="1035" max="1035" width="8.42578125" style="1" customWidth="1"/>
    <col min="1036" max="1037" width="11.42578125" style="1" customWidth="1"/>
    <col min="1038" max="1038" width="11.85546875" style="1" customWidth="1"/>
    <col min="1039" max="1039" width="11.42578125" style="1" customWidth="1"/>
    <col min="1040" max="1040" width="10.42578125" style="1" customWidth="1"/>
    <col min="1041" max="1041" width="11.85546875" style="1" customWidth="1"/>
    <col min="1042" max="1042" width="10.42578125" style="1" customWidth="1"/>
    <col min="1043" max="1043" width="12" style="1" customWidth="1"/>
    <col min="1044" max="1044" width="16.85546875" style="1" customWidth="1"/>
    <col min="1045" max="1045" width="12.42578125" style="1" customWidth="1"/>
    <col min="1046" max="1046" width="9.140625" style="1" customWidth="1"/>
    <col min="1047" max="1047" width="13" style="1" customWidth="1"/>
    <col min="1048" max="1048" width="12" style="1" customWidth="1"/>
    <col min="1049" max="1049" width="18.42578125" style="1" customWidth="1"/>
    <col min="1050" max="1281" width="11.42578125" style="1"/>
    <col min="1282" max="1282" width="58.42578125" style="1" customWidth="1"/>
    <col min="1283" max="1283" width="8.42578125" style="1" customWidth="1"/>
    <col min="1284" max="1284" width="11.42578125" style="1" customWidth="1"/>
    <col min="1285" max="1285" width="7.85546875" style="1" customWidth="1"/>
    <col min="1286" max="1286" width="9.42578125" style="1" customWidth="1"/>
    <col min="1287" max="1287" width="8.85546875" style="1" customWidth="1"/>
    <col min="1288" max="1288" width="14.42578125" style="1" customWidth="1"/>
    <col min="1289" max="1289" width="8.85546875" style="1" customWidth="1"/>
    <col min="1290" max="1290" width="12.140625" style="1" customWidth="1"/>
    <col min="1291" max="1291" width="8.42578125" style="1" customWidth="1"/>
    <col min="1292" max="1293" width="11.42578125" style="1" customWidth="1"/>
    <col min="1294" max="1294" width="11.85546875" style="1" customWidth="1"/>
    <col min="1295" max="1295" width="11.42578125" style="1" customWidth="1"/>
    <col min="1296" max="1296" width="10.42578125" style="1" customWidth="1"/>
    <col min="1297" max="1297" width="11.85546875" style="1" customWidth="1"/>
    <col min="1298" max="1298" width="10.42578125" style="1" customWidth="1"/>
    <col min="1299" max="1299" width="12" style="1" customWidth="1"/>
    <col min="1300" max="1300" width="16.85546875" style="1" customWidth="1"/>
    <col min="1301" max="1301" width="12.42578125" style="1" customWidth="1"/>
    <col min="1302" max="1302" width="9.140625" style="1" customWidth="1"/>
    <col min="1303" max="1303" width="13" style="1" customWidth="1"/>
    <col min="1304" max="1304" width="12" style="1" customWidth="1"/>
    <col min="1305" max="1305" width="18.42578125" style="1" customWidth="1"/>
    <col min="1306" max="1537" width="11.42578125" style="1"/>
    <col min="1538" max="1538" width="58.42578125" style="1" customWidth="1"/>
    <col min="1539" max="1539" width="8.42578125" style="1" customWidth="1"/>
    <col min="1540" max="1540" width="11.42578125" style="1" customWidth="1"/>
    <col min="1541" max="1541" width="7.85546875" style="1" customWidth="1"/>
    <col min="1542" max="1542" width="9.42578125" style="1" customWidth="1"/>
    <col min="1543" max="1543" width="8.85546875" style="1" customWidth="1"/>
    <col min="1544" max="1544" width="14.42578125" style="1" customWidth="1"/>
    <col min="1545" max="1545" width="8.85546875" style="1" customWidth="1"/>
    <col min="1546" max="1546" width="12.140625" style="1" customWidth="1"/>
    <col min="1547" max="1547" width="8.42578125" style="1" customWidth="1"/>
    <col min="1548" max="1549" width="11.42578125" style="1" customWidth="1"/>
    <col min="1550" max="1550" width="11.85546875" style="1" customWidth="1"/>
    <col min="1551" max="1551" width="11.42578125" style="1" customWidth="1"/>
    <col min="1552" max="1552" width="10.42578125" style="1" customWidth="1"/>
    <col min="1553" max="1553" width="11.85546875" style="1" customWidth="1"/>
    <col min="1554" max="1554" width="10.42578125" style="1" customWidth="1"/>
    <col min="1555" max="1555" width="12" style="1" customWidth="1"/>
    <col min="1556" max="1556" width="16.85546875" style="1" customWidth="1"/>
    <col min="1557" max="1557" width="12.42578125" style="1" customWidth="1"/>
    <col min="1558" max="1558" width="9.140625" style="1" customWidth="1"/>
    <col min="1559" max="1559" width="13" style="1" customWidth="1"/>
    <col min="1560" max="1560" width="12" style="1" customWidth="1"/>
    <col min="1561" max="1561" width="18.42578125" style="1" customWidth="1"/>
    <col min="1562" max="1793" width="11.42578125" style="1"/>
    <col min="1794" max="1794" width="58.42578125" style="1" customWidth="1"/>
    <col min="1795" max="1795" width="8.42578125" style="1" customWidth="1"/>
    <col min="1796" max="1796" width="11.42578125" style="1" customWidth="1"/>
    <col min="1797" max="1797" width="7.85546875" style="1" customWidth="1"/>
    <col min="1798" max="1798" width="9.42578125" style="1" customWidth="1"/>
    <col min="1799" max="1799" width="8.85546875" style="1" customWidth="1"/>
    <col min="1800" max="1800" width="14.42578125" style="1" customWidth="1"/>
    <col min="1801" max="1801" width="8.85546875" style="1" customWidth="1"/>
    <col min="1802" max="1802" width="12.140625" style="1" customWidth="1"/>
    <col min="1803" max="1803" width="8.42578125" style="1" customWidth="1"/>
    <col min="1804" max="1805" width="11.42578125" style="1" customWidth="1"/>
    <col min="1806" max="1806" width="11.85546875" style="1" customWidth="1"/>
    <col min="1807" max="1807" width="11.42578125" style="1" customWidth="1"/>
    <col min="1808" max="1808" width="10.42578125" style="1" customWidth="1"/>
    <col min="1809" max="1809" width="11.85546875" style="1" customWidth="1"/>
    <col min="1810" max="1810" width="10.42578125" style="1" customWidth="1"/>
    <col min="1811" max="1811" width="12" style="1" customWidth="1"/>
    <col min="1812" max="1812" width="16.85546875" style="1" customWidth="1"/>
    <col min="1813" max="1813" width="12.42578125" style="1" customWidth="1"/>
    <col min="1814" max="1814" width="9.140625" style="1" customWidth="1"/>
    <col min="1815" max="1815" width="13" style="1" customWidth="1"/>
    <col min="1816" max="1816" width="12" style="1" customWidth="1"/>
    <col min="1817" max="1817" width="18.42578125" style="1" customWidth="1"/>
    <col min="1818" max="2049" width="11.42578125" style="1"/>
    <col min="2050" max="2050" width="58.42578125" style="1" customWidth="1"/>
    <col min="2051" max="2051" width="8.42578125" style="1" customWidth="1"/>
    <col min="2052" max="2052" width="11.42578125" style="1" customWidth="1"/>
    <col min="2053" max="2053" width="7.85546875" style="1" customWidth="1"/>
    <col min="2054" max="2054" width="9.42578125" style="1" customWidth="1"/>
    <col min="2055" max="2055" width="8.85546875" style="1" customWidth="1"/>
    <col min="2056" max="2056" width="14.42578125" style="1" customWidth="1"/>
    <col min="2057" max="2057" width="8.85546875" style="1" customWidth="1"/>
    <col min="2058" max="2058" width="12.140625" style="1" customWidth="1"/>
    <col min="2059" max="2059" width="8.42578125" style="1" customWidth="1"/>
    <col min="2060" max="2061" width="11.42578125" style="1" customWidth="1"/>
    <col min="2062" max="2062" width="11.85546875" style="1" customWidth="1"/>
    <col min="2063" max="2063" width="11.42578125" style="1" customWidth="1"/>
    <col min="2064" max="2064" width="10.42578125" style="1" customWidth="1"/>
    <col min="2065" max="2065" width="11.85546875" style="1" customWidth="1"/>
    <col min="2066" max="2066" width="10.42578125" style="1" customWidth="1"/>
    <col min="2067" max="2067" width="12" style="1" customWidth="1"/>
    <col min="2068" max="2068" width="16.85546875" style="1" customWidth="1"/>
    <col min="2069" max="2069" width="12.42578125" style="1" customWidth="1"/>
    <col min="2070" max="2070" width="9.140625" style="1" customWidth="1"/>
    <col min="2071" max="2071" width="13" style="1" customWidth="1"/>
    <col min="2072" max="2072" width="12" style="1" customWidth="1"/>
    <col min="2073" max="2073" width="18.42578125" style="1" customWidth="1"/>
    <col min="2074" max="2305" width="11.42578125" style="1"/>
    <col min="2306" max="2306" width="58.42578125" style="1" customWidth="1"/>
    <col min="2307" max="2307" width="8.42578125" style="1" customWidth="1"/>
    <col min="2308" max="2308" width="11.42578125" style="1" customWidth="1"/>
    <col min="2309" max="2309" width="7.85546875" style="1" customWidth="1"/>
    <col min="2310" max="2310" width="9.42578125" style="1" customWidth="1"/>
    <col min="2311" max="2311" width="8.85546875" style="1" customWidth="1"/>
    <col min="2312" max="2312" width="14.42578125" style="1" customWidth="1"/>
    <col min="2313" max="2313" width="8.85546875" style="1" customWidth="1"/>
    <col min="2314" max="2314" width="12.140625" style="1" customWidth="1"/>
    <col min="2315" max="2315" width="8.42578125" style="1" customWidth="1"/>
    <col min="2316" max="2317" width="11.42578125" style="1" customWidth="1"/>
    <col min="2318" max="2318" width="11.85546875" style="1" customWidth="1"/>
    <col min="2319" max="2319" width="11.42578125" style="1" customWidth="1"/>
    <col min="2320" max="2320" width="10.42578125" style="1" customWidth="1"/>
    <col min="2321" max="2321" width="11.85546875" style="1" customWidth="1"/>
    <col min="2322" max="2322" width="10.42578125" style="1" customWidth="1"/>
    <col min="2323" max="2323" width="12" style="1" customWidth="1"/>
    <col min="2324" max="2324" width="16.85546875" style="1" customWidth="1"/>
    <col min="2325" max="2325" width="12.42578125" style="1" customWidth="1"/>
    <col min="2326" max="2326" width="9.140625" style="1" customWidth="1"/>
    <col min="2327" max="2327" width="13" style="1" customWidth="1"/>
    <col min="2328" max="2328" width="12" style="1" customWidth="1"/>
    <col min="2329" max="2329" width="18.42578125" style="1" customWidth="1"/>
    <col min="2330" max="2561" width="11.42578125" style="1"/>
    <col min="2562" max="2562" width="58.42578125" style="1" customWidth="1"/>
    <col min="2563" max="2563" width="8.42578125" style="1" customWidth="1"/>
    <col min="2564" max="2564" width="11.42578125" style="1" customWidth="1"/>
    <col min="2565" max="2565" width="7.85546875" style="1" customWidth="1"/>
    <col min="2566" max="2566" width="9.42578125" style="1" customWidth="1"/>
    <col min="2567" max="2567" width="8.85546875" style="1" customWidth="1"/>
    <col min="2568" max="2568" width="14.42578125" style="1" customWidth="1"/>
    <col min="2569" max="2569" width="8.85546875" style="1" customWidth="1"/>
    <col min="2570" max="2570" width="12.140625" style="1" customWidth="1"/>
    <col min="2571" max="2571" width="8.42578125" style="1" customWidth="1"/>
    <col min="2572" max="2573" width="11.42578125" style="1" customWidth="1"/>
    <col min="2574" max="2574" width="11.85546875" style="1" customWidth="1"/>
    <col min="2575" max="2575" width="11.42578125" style="1" customWidth="1"/>
    <col min="2576" max="2576" width="10.42578125" style="1" customWidth="1"/>
    <col min="2577" max="2577" width="11.85546875" style="1" customWidth="1"/>
    <col min="2578" max="2578" width="10.42578125" style="1" customWidth="1"/>
    <col min="2579" max="2579" width="12" style="1" customWidth="1"/>
    <col min="2580" max="2580" width="16.85546875" style="1" customWidth="1"/>
    <col min="2581" max="2581" width="12.42578125" style="1" customWidth="1"/>
    <col min="2582" max="2582" width="9.140625" style="1" customWidth="1"/>
    <col min="2583" max="2583" width="13" style="1" customWidth="1"/>
    <col min="2584" max="2584" width="12" style="1" customWidth="1"/>
    <col min="2585" max="2585" width="18.42578125" style="1" customWidth="1"/>
    <col min="2586" max="2817" width="11.42578125" style="1"/>
    <col min="2818" max="2818" width="58.42578125" style="1" customWidth="1"/>
    <col min="2819" max="2819" width="8.42578125" style="1" customWidth="1"/>
    <col min="2820" max="2820" width="11.42578125" style="1" customWidth="1"/>
    <col min="2821" max="2821" width="7.85546875" style="1" customWidth="1"/>
    <col min="2822" max="2822" width="9.42578125" style="1" customWidth="1"/>
    <col min="2823" max="2823" width="8.85546875" style="1" customWidth="1"/>
    <col min="2824" max="2824" width="14.42578125" style="1" customWidth="1"/>
    <col min="2825" max="2825" width="8.85546875" style="1" customWidth="1"/>
    <col min="2826" max="2826" width="12.140625" style="1" customWidth="1"/>
    <col min="2827" max="2827" width="8.42578125" style="1" customWidth="1"/>
    <col min="2828" max="2829" width="11.42578125" style="1" customWidth="1"/>
    <col min="2830" max="2830" width="11.85546875" style="1" customWidth="1"/>
    <col min="2831" max="2831" width="11.42578125" style="1" customWidth="1"/>
    <col min="2832" max="2832" width="10.42578125" style="1" customWidth="1"/>
    <col min="2833" max="2833" width="11.85546875" style="1" customWidth="1"/>
    <col min="2834" max="2834" width="10.42578125" style="1" customWidth="1"/>
    <col min="2835" max="2835" width="12" style="1" customWidth="1"/>
    <col min="2836" max="2836" width="16.85546875" style="1" customWidth="1"/>
    <col min="2837" max="2837" width="12.42578125" style="1" customWidth="1"/>
    <col min="2838" max="2838" width="9.140625" style="1" customWidth="1"/>
    <col min="2839" max="2839" width="13" style="1" customWidth="1"/>
    <col min="2840" max="2840" width="12" style="1" customWidth="1"/>
    <col min="2841" max="2841" width="18.42578125" style="1" customWidth="1"/>
    <col min="2842" max="3073" width="11.42578125" style="1"/>
    <col min="3074" max="3074" width="58.42578125" style="1" customWidth="1"/>
    <col min="3075" max="3075" width="8.42578125" style="1" customWidth="1"/>
    <col min="3076" max="3076" width="11.42578125" style="1" customWidth="1"/>
    <col min="3077" max="3077" width="7.85546875" style="1" customWidth="1"/>
    <col min="3078" max="3078" width="9.42578125" style="1" customWidth="1"/>
    <col min="3079" max="3079" width="8.85546875" style="1" customWidth="1"/>
    <col min="3080" max="3080" width="14.42578125" style="1" customWidth="1"/>
    <col min="3081" max="3081" width="8.85546875" style="1" customWidth="1"/>
    <col min="3082" max="3082" width="12.140625" style="1" customWidth="1"/>
    <col min="3083" max="3083" width="8.42578125" style="1" customWidth="1"/>
    <col min="3084" max="3085" width="11.42578125" style="1" customWidth="1"/>
    <col min="3086" max="3086" width="11.85546875" style="1" customWidth="1"/>
    <col min="3087" max="3087" width="11.42578125" style="1" customWidth="1"/>
    <col min="3088" max="3088" width="10.42578125" style="1" customWidth="1"/>
    <col min="3089" max="3089" width="11.85546875" style="1" customWidth="1"/>
    <col min="3090" max="3090" width="10.42578125" style="1" customWidth="1"/>
    <col min="3091" max="3091" width="12" style="1" customWidth="1"/>
    <col min="3092" max="3092" width="16.85546875" style="1" customWidth="1"/>
    <col min="3093" max="3093" width="12.42578125" style="1" customWidth="1"/>
    <col min="3094" max="3094" width="9.140625" style="1" customWidth="1"/>
    <col min="3095" max="3095" width="13" style="1" customWidth="1"/>
    <col min="3096" max="3096" width="12" style="1" customWidth="1"/>
    <col min="3097" max="3097" width="18.42578125" style="1" customWidth="1"/>
    <col min="3098" max="3329" width="11.42578125" style="1"/>
    <col min="3330" max="3330" width="58.42578125" style="1" customWidth="1"/>
    <col min="3331" max="3331" width="8.42578125" style="1" customWidth="1"/>
    <col min="3332" max="3332" width="11.42578125" style="1" customWidth="1"/>
    <col min="3333" max="3333" width="7.85546875" style="1" customWidth="1"/>
    <col min="3334" max="3334" width="9.42578125" style="1" customWidth="1"/>
    <col min="3335" max="3335" width="8.85546875" style="1" customWidth="1"/>
    <col min="3336" max="3336" width="14.42578125" style="1" customWidth="1"/>
    <col min="3337" max="3337" width="8.85546875" style="1" customWidth="1"/>
    <col min="3338" max="3338" width="12.140625" style="1" customWidth="1"/>
    <col min="3339" max="3339" width="8.42578125" style="1" customWidth="1"/>
    <col min="3340" max="3341" width="11.42578125" style="1" customWidth="1"/>
    <col min="3342" max="3342" width="11.85546875" style="1" customWidth="1"/>
    <col min="3343" max="3343" width="11.42578125" style="1" customWidth="1"/>
    <col min="3344" max="3344" width="10.42578125" style="1" customWidth="1"/>
    <col min="3345" max="3345" width="11.85546875" style="1" customWidth="1"/>
    <col min="3346" max="3346" width="10.42578125" style="1" customWidth="1"/>
    <col min="3347" max="3347" width="12" style="1" customWidth="1"/>
    <col min="3348" max="3348" width="16.85546875" style="1" customWidth="1"/>
    <col min="3349" max="3349" width="12.42578125" style="1" customWidth="1"/>
    <col min="3350" max="3350" width="9.140625" style="1" customWidth="1"/>
    <col min="3351" max="3351" width="13" style="1" customWidth="1"/>
    <col min="3352" max="3352" width="12" style="1" customWidth="1"/>
    <col min="3353" max="3353" width="18.42578125" style="1" customWidth="1"/>
    <col min="3354" max="3585" width="11.42578125" style="1"/>
    <col min="3586" max="3586" width="58.42578125" style="1" customWidth="1"/>
    <col min="3587" max="3587" width="8.42578125" style="1" customWidth="1"/>
    <col min="3588" max="3588" width="11.42578125" style="1" customWidth="1"/>
    <col min="3589" max="3589" width="7.85546875" style="1" customWidth="1"/>
    <col min="3590" max="3590" width="9.42578125" style="1" customWidth="1"/>
    <col min="3591" max="3591" width="8.85546875" style="1" customWidth="1"/>
    <col min="3592" max="3592" width="14.42578125" style="1" customWidth="1"/>
    <col min="3593" max="3593" width="8.85546875" style="1" customWidth="1"/>
    <col min="3594" max="3594" width="12.140625" style="1" customWidth="1"/>
    <col min="3595" max="3595" width="8.42578125" style="1" customWidth="1"/>
    <col min="3596" max="3597" width="11.42578125" style="1" customWidth="1"/>
    <col min="3598" max="3598" width="11.85546875" style="1" customWidth="1"/>
    <col min="3599" max="3599" width="11.42578125" style="1" customWidth="1"/>
    <col min="3600" max="3600" width="10.42578125" style="1" customWidth="1"/>
    <col min="3601" max="3601" width="11.85546875" style="1" customWidth="1"/>
    <col min="3602" max="3602" width="10.42578125" style="1" customWidth="1"/>
    <col min="3603" max="3603" width="12" style="1" customWidth="1"/>
    <col min="3604" max="3604" width="16.85546875" style="1" customWidth="1"/>
    <col min="3605" max="3605" width="12.42578125" style="1" customWidth="1"/>
    <col min="3606" max="3606" width="9.140625" style="1" customWidth="1"/>
    <col min="3607" max="3607" width="13" style="1" customWidth="1"/>
    <col min="3608" max="3608" width="12" style="1" customWidth="1"/>
    <col min="3609" max="3609" width="18.42578125" style="1" customWidth="1"/>
    <col min="3610" max="3841" width="11.42578125" style="1"/>
    <col min="3842" max="3842" width="58.42578125" style="1" customWidth="1"/>
    <col min="3843" max="3843" width="8.42578125" style="1" customWidth="1"/>
    <col min="3844" max="3844" width="11.42578125" style="1" customWidth="1"/>
    <col min="3845" max="3845" width="7.85546875" style="1" customWidth="1"/>
    <col min="3846" max="3846" width="9.42578125" style="1" customWidth="1"/>
    <col min="3847" max="3847" width="8.85546875" style="1" customWidth="1"/>
    <col min="3848" max="3848" width="14.42578125" style="1" customWidth="1"/>
    <col min="3849" max="3849" width="8.85546875" style="1" customWidth="1"/>
    <col min="3850" max="3850" width="12.140625" style="1" customWidth="1"/>
    <col min="3851" max="3851" width="8.42578125" style="1" customWidth="1"/>
    <col min="3852" max="3853" width="11.42578125" style="1" customWidth="1"/>
    <col min="3854" max="3854" width="11.85546875" style="1" customWidth="1"/>
    <col min="3855" max="3855" width="11.42578125" style="1" customWidth="1"/>
    <col min="3856" max="3856" width="10.42578125" style="1" customWidth="1"/>
    <col min="3857" max="3857" width="11.85546875" style="1" customWidth="1"/>
    <col min="3858" max="3858" width="10.42578125" style="1" customWidth="1"/>
    <col min="3859" max="3859" width="12" style="1" customWidth="1"/>
    <col min="3860" max="3860" width="16.85546875" style="1" customWidth="1"/>
    <col min="3861" max="3861" width="12.42578125" style="1" customWidth="1"/>
    <col min="3862" max="3862" width="9.140625" style="1" customWidth="1"/>
    <col min="3863" max="3863" width="13" style="1" customWidth="1"/>
    <col min="3864" max="3864" width="12" style="1" customWidth="1"/>
    <col min="3865" max="3865" width="18.42578125" style="1" customWidth="1"/>
    <col min="3866" max="4097" width="11.42578125" style="1"/>
    <col min="4098" max="4098" width="58.42578125" style="1" customWidth="1"/>
    <col min="4099" max="4099" width="8.42578125" style="1" customWidth="1"/>
    <col min="4100" max="4100" width="11.42578125" style="1" customWidth="1"/>
    <col min="4101" max="4101" width="7.85546875" style="1" customWidth="1"/>
    <col min="4102" max="4102" width="9.42578125" style="1" customWidth="1"/>
    <col min="4103" max="4103" width="8.85546875" style="1" customWidth="1"/>
    <col min="4104" max="4104" width="14.42578125" style="1" customWidth="1"/>
    <col min="4105" max="4105" width="8.85546875" style="1" customWidth="1"/>
    <col min="4106" max="4106" width="12.140625" style="1" customWidth="1"/>
    <col min="4107" max="4107" width="8.42578125" style="1" customWidth="1"/>
    <col min="4108" max="4109" width="11.42578125" style="1" customWidth="1"/>
    <col min="4110" max="4110" width="11.85546875" style="1" customWidth="1"/>
    <col min="4111" max="4111" width="11.42578125" style="1" customWidth="1"/>
    <col min="4112" max="4112" width="10.42578125" style="1" customWidth="1"/>
    <col min="4113" max="4113" width="11.85546875" style="1" customWidth="1"/>
    <col min="4114" max="4114" width="10.42578125" style="1" customWidth="1"/>
    <col min="4115" max="4115" width="12" style="1" customWidth="1"/>
    <col min="4116" max="4116" width="16.85546875" style="1" customWidth="1"/>
    <col min="4117" max="4117" width="12.42578125" style="1" customWidth="1"/>
    <col min="4118" max="4118" width="9.140625" style="1" customWidth="1"/>
    <col min="4119" max="4119" width="13" style="1" customWidth="1"/>
    <col min="4120" max="4120" width="12" style="1" customWidth="1"/>
    <col min="4121" max="4121" width="18.42578125" style="1" customWidth="1"/>
    <col min="4122" max="4353" width="11.42578125" style="1"/>
    <col min="4354" max="4354" width="58.42578125" style="1" customWidth="1"/>
    <col min="4355" max="4355" width="8.42578125" style="1" customWidth="1"/>
    <col min="4356" max="4356" width="11.42578125" style="1" customWidth="1"/>
    <col min="4357" max="4357" width="7.85546875" style="1" customWidth="1"/>
    <col min="4358" max="4358" width="9.42578125" style="1" customWidth="1"/>
    <col min="4359" max="4359" width="8.85546875" style="1" customWidth="1"/>
    <col min="4360" max="4360" width="14.42578125" style="1" customWidth="1"/>
    <col min="4361" max="4361" width="8.85546875" style="1" customWidth="1"/>
    <col min="4362" max="4362" width="12.140625" style="1" customWidth="1"/>
    <col min="4363" max="4363" width="8.42578125" style="1" customWidth="1"/>
    <col min="4364" max="4365" width="11.42578125" style="1" customWidth="1"/>
    <col min="4366" max="4366" width="11.85546875" style="1" customWidth="1"/>
    <col min="4367" max="4367" width="11.42578125" style="1" customWidth="1"/>
    <col min="4368" max="4368" width="10.42578125" style="1" customWidth="1"/>
    <col min="4369" max="4369" width="11.85546875" style="1" customWidth="1"/>
    <col min="4370" max="4370" width="10.42578125" style="1" customWidth="1"/>
    <col min="4371" max="4371" width="12" style="1" customWidth="1"/>
    <col min="4372" max="4372" width="16.85546875" style="1" customWidth="1"/>
    <col min="4373" max="4373" width="12.42578125" style="1" customWidth="1"/>
    <col min="4374" max="4374" width="9.140625" style="1" customWidth="1"/>
    <col min="4375" max="4375" width="13" style="1" customWidth="1"/>
    <col min="4376" max="4376" width="12" style="1" customWidth="1"/>
    <col min="4377" max="4377" width="18.42578125" style="1" customWidth="1"/>
    <col min="4378" max="4609" width="11.42578125" style="1"/>
    <col min="4610" max="4610" width="58.42578125" style="1" customWidth="1"/>
    <col min="4611" max="4611" width="8.42578125" style="1" customWidth="1"/>
    <col min="4612" max="4612" width="11.42578125" style="1" customWidth="1"/>
    <col min="4613" max="4613" width="7.85546875" style="1" customWidth="1"/>
    <col min="4614" max="4614" width="9.42578125" style="1" customWidth="1"/>
    <col min="4615" max="4615" width="8.85546875" style="1" customWidth="1"/>
    <col min="4616" max="4616" width="14.42578125" style="1" customWidth="1"/>
    <col min="4617" max="4617" width="8.85546875" style="1" customWidth="1"/>
    <col min="4618" max="4618" width="12.140625" style="1" customWidth="1"/>
    <col min="4619" max="4619" width="8.42578125" style="1" customWidth="1"/>
    <col min="4620" max="4621" width="11.42578125" style="1" customWidth="1"/>
    <col min="4622" max="4622" width="11.85546875" style="1" customWidth="1"/>
    <col min="4623" max="4623" width="11.42578125" style="1" customWidth="1"/>
    <col min="4624" max="4624" width="10.42578125" style="1" customWidth="1"/>
    <col min="4625" max="4625" width="11.85546875" style="1" customWidth="1"/>
    <col min="4626" max="4626" width="10.42578125" style="1" customWidth="1"/>
    <col min="4627" max="4627" width="12" style="1" customWidth="1"/>
    <col min="4628" max="4628" width="16.85546875" style="1" customWidth="1"/>
    <col min="4629" max="4629" width="12.42578125" style="1" customWidth="1"/>
    <col min="4630" max="4630" width="9.140625" style="1" customWidth="1"/>
    <col min="4631" max="4631" width="13" style="1" customWidth="1"/>
    <col min="4632" max="4632" width="12" style="1" customWidth="1"/>
    <col min="4633" max="4633" width="18.42578125" style="1" customWidth="1"/>
    <col min="4634" max="4865" width="11.42578125" style="1"/>
    <col min="4866" max="4866" width="58.42578125" style="1" customWidth="1"/>
    <col min="4867" max="4867" width="8.42578125" style="1" customWidth="1"/>
    <col min="4868" max="4868" width="11.42578125" style="1" customWidth="1"/>
    <col min="4869" max="4869" width="7.85546875" style="1" customWidth="1"/>
    <col min="4870" max="4870" width="9.42578125" style="1" customWidth="1"/>
    <col min="4871" max="4871" width="8.85546875" style="1" customWidth="1"/>
    <col min="4872" max="4872" width="14.42578125" style="1" customWidth="1"/>
    <col min="4873" max="4873" width="8.85546875" style="1" customWidth="1"/>
    <col min="4874" max="4874" width="12.140625" style="1" customWidth="1"/>
    <col min="4875" max="4875" width="8.42578125" style="1" customWidth="1"/>
    <col min="4876" max="4877" width="11.42578125" style="1" customWidth="1"/>
    <col min="4878" max="4878" width="11.85546875" style="1" customWidth="1"/>
    <col min="4879" max="4879" width="11.42578125" style="1" customWidth="1"/>
    <col min="4880" max="4880" width="10.42578125" style="1" customWidth="1"/>
    <col min="4881" max="4881" width="11.85546875" style="1" customWidth="1"/>
    <col min="4882" max="4882" width="10.42578125" style="1" customWidth="1"/>
    <col min="4883" max="4883" width="12" style="1" customWidth="1"/>
    <col min="4884" max="4884" width="16.85546875" style="1" customWidth="1"/>
    <col min="4885" max="4885" width="12.42578125" style="1" customWidth="1"/>
    <col min="4886" max="4886" width="9.140625" style="1" customWidth="1"/>
    <col min="4887" max="4887" width="13" style="1" customWidth="1"/>
    <col min="4888" max="4888" width="12" style="1" customWidth="1"/>
    <col min="4889" max="4889" width="18.42578125" style="1" customWidth="1"/>
    <col min="4890" max="5121" width="11.42578125" style="1"/>
    <col min="5122" max="5122" width="58.42578125" style="1" customWidth="1"/>
    <col min="5123" max="5123" width="8.42578125" style="1" customWidth="1"/>
    <col min="5124" max="5124" width="11.42578125" style="1" customWidth="1"/>
    <col min="5125" max="5125" width="7.85546875" style="1" customWidth="1"/>
    <col min="5126" max="5126" width="9.42578125" style="1" customWidth="1"/>
    <col min="5127" max="5127" width="8.85546875" style="1" customWidth="1"/>
    <col min="5128" max="5128" width="14.42578125" style="1" customWidth="1"/>
    <col min="5129" max="5129" width="8.85546875" style="1" customWidth="1"/>
    <col min="5130" max="5130" width="12.140625" style="1" customWidth="1"/>
    <col min="5131" max="5131" width="8.42578125" style="1" customWidth="1"/>
    <col min="5132" max="5133" width="11.42578125" style="1" customWidth="1"/>
    <col min="5134" max="5134" width="11.85546875" style="1" customWidth="1"/>
    <col min="5135" max="5135" width="11.42578125" style="1" customWidth="1"/>
    <col min="5136" max="5136" width="10.42578125" style="1" customWidth="1"/>
    <col min="5137" max="5137" width="11.85546875" style="1" customWidth="1"/>
    <col min="5138" max="5138" width="10.42578125" style="1" customWidth="1"/>
    <col min="5139" max="5139" width="12" style="1" customWidth="1"/>
    <col min="5140" max="5140" width="16.85546875" style="1" customWidth="1"/>
    <col min="5141" max="5141" width="12.42578125" style="1" customWidth="1"/>
    <col min="5142" max="5142" width="9.140625" style="1" customWidth="1"/>
    <col min="5143" max="5143" width="13" style="1" customWidth="1"/>
    <col min="5144" max="5144" width="12" style="1" customWidth="1"/>
    <col min="5145" max="5145" width="18.42578125" style="1" customWidth="1"/>
    <col min="5146" max="5377" width="11.42578125" style="1"/>
    <col min="5378" max="5378" width="58.42578125" style="1" customWidth="1"/>
    <col min="5379" max="5379" width="8.42578125" style="1" customWidth="1"/>
    <col min="5380" max="5380" width="11.42578125" style="1" customWidth="1"/>
    <col min="5381" max="5381" width="7.85546875" style="1" customWidth="1"/>
    <col min="5382" max="5382" width="9.42578125" style="1" customWidth="1"/>
    <col min="5383" max="5383" width="8.85546875" style="1" customWidth="1"/>
    <col min="5384" max="5384" width="14.42578125" style="1" customWidth="1"/>
    <col min="5385" max="5385" width="8.85546875" style="1" customWidth="1"/>
    <col min="5386" max="5386" width="12.140625" style="1" customWidth="1"/>
    <col min="5387" max="5387" width="8.42578125" style="1" customWidth="1"/>
    <col min="5388" max="5389" width="11.42578125" style="1" customWidth="1"/>
    <col min="5390" max="5390" width="11.85546875" style="1" customWidth="1"/>
    <col min="5391" max="5391" width="11.42578125" style="1" customWidth="1"/>
    <col min="5392" max="5392" width="10.42578125" style="1" customWidth="1"/>
    <col min="5393" max="5393" width="11.85546875" style="1" customWidth="1"/>
    <col min="5394" max="5394" width="10.42578125" style="1" customWidth="1"/>
    <col min="5395" max="5395" width="12" style="1" customWidth="1"/>
    <col min="5396" max="5396" width="16.85546875" style="1" customWidth="1"/>
    <col min="5397" max="5397" width="12.42578125" style="1" customWidth="1"/>
    <col min="5398" max="5398" width="9.140625" style="1" customWidth="1"/>
    <col min="5399" max="5399" width="13" style="1" customWidth="1"/>
    <col min="5400" max="5400" width="12" style="1" customWidth="1"/>
    <col min="5401" max="5401" width="18.42578125" style="1" customWidth="1"/>
    <col min="5402" max="5633" width="11.42578125" style="1"/>
    <col min="5634" max="5634" width="58.42578125" style="1" customWidth="1"/>
    <col min="5635" max="5635" width="8.42578125" style="1" customWidth="1"/>
    <col min="5636" max="5636" width="11.42578125" style="1" customWidth="1"/>
    <col min="5637" max="5637" width="7.85546875" style="1" customWidth="1"/>
    <col min="5638" max="5638" width="9.42578125" style="1" customWidth="1"/>
    <col min="5639" max="5639" width="8.85546875" style="1" customWidth="1"/>
    <col min="5640" max="5640" width="14.42578125" style="1" customWidth="1"/>
    <col min="5641" max="5641" width="8.85546875" style="1" customWidth="1"/>
    <col min="5642" max="5642" width="12.140625" style="1" customWidth="1"/>
    <col min="5643" max="5643" width="8.42578125" style="1" customWidth="1"/>
    <col min="5644" max="5645" width="11.42578125" style="1" customWidth="1"/>
    <col min="5646" max="5646" width="11.85546875" style="1" customWidth="1"/>
    <col min="5647" max="5647" width="11.42578125" style="1" customWidth="1"/>
    <col min="5648" max="5648" width="10.42578125" style="1" customWidth="1"/>
    <col min="5649" max="5649" width="11.85546875" style="1" customWidth="1"/>
    <col min="5650" max="5650" width="10.42578125" style="1" customWidth="1"/>
    <col min="5651" max="5651" width="12" style="1" customWidth="1"/>
    <col min="5652" max="5652" width="16.85546875" style="1" customWidth="1"/>
    <col min="5653" max="5653" width="12.42578125" style="1" customWidth="1"/>
    <col min="5654" max="5654" width="9.140625" style="1" customWidth="1"/>
    <col min="5655" max="5655" width="13" style="1" customWidth="1"/>
    <col min="5656" max="5656" width="12" style="1" customWidth="1"/>
    <col min="5657" max="5657" width="18.42578125" style="1" customWidth="1"/>
    <col min="5658" max="5889" width="11.42578125" style="1"/>
    <col min="5890" max="5890" width="58.42578125" style="1" customWidth="1"/>
    <col min="5891" max="5891" width="8.42578125" style="1" customWidth="1"/>
    <col min="5892" max="5892" width="11.42578125" style="1" customWidth="1"/>
    <col min="5893" max="5893" width="7.85546875" style="1" customWidth="1"/>
    <col min="5894" max="5894" width="9.42578125" style="1" customWidth="1"/>
    <col min="5895" max="5895" width="8.85546875" style="1" customWidth="1"/>
    <col min="5896" max="5896" width="14.42578125" style="1" customWidth="1"/>
    <col min="5897" max="5897" width="8.85546875" style="1" customWidth="1"/>
    <col min="5898" max="5898" width="12.140625" style="1" customWidth="1"/>
    <col min="5899" max="5899" width="8.42578125" style="1" customWidth="1"/>
    <col min="5900" max="5901" width="11.42578125" style="1" customWidth="1"/>
    <col min="5902" max="5902" width="11.85546875" style="1" customWidth="1"/>
    <col min="5903" max="5903" width="11.42578125" style="1" customWidth="1"/>
    <col min="5904" max="5904" width="10.42578125" style="1" customWidth="1"/>
    <col min="5905" max="5905" width="11.85546875" style="1" customWidth="1"/>
    <col min="5906" max="5906" width="10.42578125" style="1" customWidth="1"/>
    <col min="5907" max="5907" width="12" style="1" customWidth="1"/>
    <col min="5908" max="5908" width="16.85546875" style="1" customWidth="1"/>
    <col min="5909" max="5909" width="12.42578125" style="1" customWidth="1"/>
    <col min="5910" max="5910" width="9.140625" style="1" customWidth="1"/>
    <col min="5911" max="5911" width="13" style="1" customWidth="1"/>
    <col min="5912" max="5912" width="12" style="1" customWidth="1"/>
    <col min="5913" max="5913" width="18.42578125" style="1" customWidth="1"/>
    <col min="5914" max="6145" width="11.42578125" style="1"/>
    <col min="6146" max="6146" width="58.42578125" style="1" customWidth="1"/>
    <col min="6147" max="6147" width="8.42578125" style="1" customWidth="1"/>
    <col min="6148" max="6148" width="11.42578125" style="1" customWidth="1"/>
    <col min="6149" max="6149" width="7.85546875" style="1" customWidth="1"/>
    <col min="6150" max="6150" width="9.42578125" style="1" customWidth="1"/>
    <col min="6151" max="6151" width="8.85546875" style="1" customWidth="1"/>
    <col min="6152" max="6152" width="14.42578125" style="1" customWidth="1"/>
    <col min="6153" max="6153" width="8.85546875" style="1" customWidth="1"/>
    <col min="6154" max="6154" width="12.140625" style="1" customWidth="1"/>
    <col min="6155" max="6155" width="8.42578125" style="1" customWidth="1"/>
    <col min="6156" max="6157" width="11.42578125" style="1" customWidth="1"/>
    <col min="6158" max="6158" width="11.85546875" style="1" customWidth="1"/>
    <col min="6159" max="6159" width="11.42578125" style="1" customWidth="1"/>
    <col min="6160" max="6160" width="10.42578125" style="1" customWidth="1"/>
    <col min="6161" max="6161" width="11.85546875" style="1" customWidth="1"/>
    <col min="6162" max="6162" width="10.42578125" style="1" customWidth="1"/>
    <col min="6163" max="6163" width="12" style="1" customWidth="1"/>
    <col min="6164" max="6164" width="16.85546875" style="1" customWidth="1"/>
    <col min="6165" max="6165" width="12.42578125" style="1" customWidth="1"/>
    <col min="6166" max="6166" width="9.140625" style="1" customWidth="1"/>
    <col min="6167" max="6167" width="13" style="1" customWidth="1"/>
    <col min="6168" max="6168" width="12" style="1" customWidth="1"/>
    <col min="6169" max="6169" width="18.42578125" style="1" customWidth="1"/>
    <col min="6170" max="6401" width="11.42578125" style="1"/>
    <col min="6402" max="6402" width="58.42578125" style="1" customWidth="1"/>
    <col min="6403" max="6403" width="8.42578125" style="1" customWidth="1"/>
    <col min="6404" max="6404" width="11.42578125" style="1" customWidth="1"/>
    <col min="6405" max="6405" width="7.85546875" style="1" customWidth="1"/>
    <col min="6406" max="6406" width="9.42578125" style="1" customWidth="1"/>
    <col min="6407" max="6407" width="8.85546875" style="1" customWidth="1"/>
    <col min="6408" max="6408" width="14.42578125" style="1" customWidth="1"/>
    <col min="6409" max="6409" width="8.85546875" style="1" customWidth="1"/>
    <col min="6410" max="6410" width="12.140625" style="1" customWidth="1"/>
    <col min="6411" max="6411" width="8.42578125" style="1" customWidth="1"/>
    <col min="6412" max="6413" width="11.42578125" style="1" customWidth="1"/>
    <col min="6414" max="6414" width="11.85546875" style="1" customWidth="1"/>
    <col min="6415" max="6415" width="11.42578125" style="1" customWidth="1"/>
    <col min="6416" max="6416" width="10.42578125" style="1" customWidth="1"/>
    <col min="6417" max="6417" width="11.85546875" style="1" customWidth="1"/>
    <col min="6418" max="6418" width="10.42578125" style="1" customWidth="1"/>
    <col min="6419" max="6419" width="12" style="1" customWidth="1"/>
    <col min="6420" max="6420" width="16.85546875" style="1" customWidth="1"/>
    <col min="6421" max="6421" width="12.42578125" style="1" customWidth="1"/>
    <col min="6422" max="6422" width="9.140625" style="1" customWidth="1"/>
    <col min="6423" max="6423" width="13" style="1" customWidth="1"/>
    <col min="6424" max="6424" width="12" style="1" customWidth="1"/>
    <col min="6425" max="6425" width="18.42578125" style="1" customWidth="1"/>
    <col min="6426" max="6657" width="11.42578125" style="1"/>
    <col min="6658" max="6658" width="58.42578125" style="1" customWidth="1"/>
    <col min="6659" max="6659" width="8.42578125" style="1" customWidth="1"/>
    <col min="6660" max="6660" width="11.42578125" style="1" customWidth="1"/>
    <col min="6661" max="6661" width="7.85546875" style="1" customWidth="1"/>
    <col min="6662" max="6662" width="9.42578125" style="1" customWidth="1"/>
    <col min="6663" max="6663" width="8.85546875" style="1" customWidth="1"/>
    <col min="6664" max="6664" width="14.42578125" style="1" customWidth="1"/>
    <col min="6665" max="6665" width="8.85546875" style="1" customWidth="1"/>
    <col min="6666" max="6666" width="12.140625" style="1" customWidth="1"/>
    <col min="6667" max="6667" width="8.42578125" style="1" customWidth="1"/>
    <col min="6668" max="6669" width="11.42578125" style="1" customWidth="1"/>
    <col min="6670" max="6670" width="11.85546875" style="1" customWidth="1"/>
    <col min="6671" max="6671" width="11.42578125" style="1" customWidth="1"/>
    <col min="6672" max="6672" width="10.42578125" style="1" customWidth="1"/>
    <col min="6673" max="6673" width="11.85546875" style="1" customWidth="1"/>
    <col min="6674" max="6674" width="10.42578125" style="1" customWidth="1"/>
    <col min="6675" max="6675" width="12" style="1" customWidth="1"/>
    <col min="6676" max="6676" width="16.85546875" style="1" customWidth="1"/>
    <col min="6677" max="6677" width="12.42578125" style="1" customWidth="1"/>
    <col min="6678" max="6678" width="9.140625" style="1" customWidth="1"/>
    <col min="6679" max="6679" width="13" style="1" customWidth="1"/>
    <col min="6680" max="6680" width="12" style="1" customWidth="1"/>
    <col min="6681" max="6681" width="18.42578125" style="1" customWidth="1"/>
    <col min="6682" max="6913" width="11.42578125" style="1"/>
    <col min="6914" max="6914" width="58.42578125" style="1" customWidth="1"/>
    <col min="6915" max="6915" width="8.42578125" style="1" customWidth="1"/>
    <col min="6916" max="6916" width="11.42578125" style="1" customWidth="1"/>
    <col min="6917" max="6917" width="7.85546875" style="1" customWidth="1"/>
    <col min="6918" max="6918" width="9.42578125" style="1" customWidth="1"/>
    <col min="6919" max="6919" width="8.85546875" style="1" customWidth="1"/>
    <col min="6920" max="6920" width="14.42578125" style="1" customWidth="1"/>
    <col min="6921" max="6921" width="8.85546875" style="1" customWidth="1"/>
    <col min="6922" max="6922" width="12.140625" style="1" customWidth="1"/>
    <col min="6923" max="6923" width="8.42578125" style="1" customWidth="1"/>
    <col min="6924" max="6925" width="11.42578125" style="1" customWidth="1"/>
    <col min="6926" max="6926" width="11.85546875" style="1" customWidth="1"/>
    <col min="6927" max="6927" width="11.42578125" style="1" customWidth="1"/>
    <col min="6928" max="6928" width="10.42578125" style="1" customWidth="1"/>
    <col min="6929" max="6929" width="11.85546875" style="1" customWidth="1"/>
    <col min="6930" max="6930" width="10.42578125" style="1" customWidth="1"/>
    <col min="6931" max="6931" width="12" style="1" customWidth="1"/>
    <col min="6932" max="6932" width="16.85546875" style="1" customWidth="1"/>
    <col min="6933" max="6933" width="12.42578125" style="1" customWidth="1"/>
    <col min="6934" max="6934" width="9.140625" style="1" customWidth="1"/>
    <col min="6935" max="6935" width="13" style="1" customWidth="1"/>
    <col min="6936" max="6936" width="12" style="1" customWidth="1"/>
    <col min="6937" max="6937" width="18.42578125" style="1" customWidth="1"/>
    <col min="6938" max="7169" width="11.42578125" style="1"/>
    <col min="7170" max="7170" width="58.42578125" style="1" customWidth="1"/>
    <col min="7171" max="7171" width="8.42578125" style="1" customWidth="1"/>
    <col min="7172" max="7172" width="11.42578125" style="1" customWidth="1"/>
    <col min="7173" max="7173" width="7.85546875" style="1" customWidth="1"/>
    <col min="7174" max="7174" width="9.42578125" style="1" customWidth="1"/>
    <col min="7175" max="7175" width="8.85546875" style="1" customWidth="1"/>
    <col min="7176" max="7176" width="14.42578125" style="1" customWidth="1"/>
    <col min="7177" max="7177" width="8.85546875" style="1" customWidth="1"/>
    <col min="7178" max="7178" width="12.140625" style="1" customWidth="1"/>
    <col min="7179" max="7179" width="8.42578125" style="1" customWidth="1"/>
    <col min="7180" max="7181" width="11.42578125" style="1" customWidth="1"/>
    <col min="7182" max="7182" width="11.85546875" style="1" customWidth="1"/>
    <col min="7183" max="7183" width="11.42578125" style="1" customWidth="1"/>
    <col min="7184" max="7184" width="10.42578125" style="1" customWidth="1"/>
    <col min="7185" max="7185" width="11.85546875" style="1" customWidth="1"/>
    <col min="7186" max="7186" width="10.42578125" style="1" customWidth="1"/>
    <col min="7187" max="7187" width="12" style="1" customWidth="1"/>
    <col min="7188" max="7188" width="16.85546875" style="1" customWidth="1"/>
    <col min="7189" max="7189" width="12.42578125" style="1" customWidth="1"/>
    <col min="7190" max="7190" width="9.140625" style="1" customWidth="1"/>
    <col min="7191" max="7191" width="13" style="1" customWidth="1"/>
    <col min="7192" max="7192" width="12" style="1" customWidth="1"/>
    <col min="7193" max="7193" width="18.42578125" style="1" customWidth="1"/>
    <col min="7194" max="7425" width="11.42578125" style="1"/>
    <col min="7426" max="7426" width="58.42578125" style="1" customWidth="1"/>
    <col min="7427" max="7427" width="8.42578125" style="1" customWidth="1"/>
    <col min="7428" max="7428" width="11.42578125" style="1" customWidth="1"/>
    <col min="7429" max="7429" width="7.85546875" style="1" customWidth="1"/>
    <col min="7430" max="7430" width="9.42578125" style="1" customWidth="1"/>
    <col min="7431" max="7431" width="8.85546875" style="1" customWidth="1"/>
    <col min="7432" max="7432" width="14.42578125" style="1" customWidth="1"/>
    <col min="7433" max="7433" width="8.85546875" style="1" customWidth="1"/>
    <col min="7434" max="7434" width="12.140625" style="1" customWidth="1"/>
    <col min="7435" max="7435" width="8.42578125" style="1" customWidth="1"/>
    <col min="7436" max="7437" width="11.42578125" style="1" customWidth="1"/>
    <col min="7438" max="7438" width="11.85546875" style="1" customWidth="1"/>
    <col min="7439" max="7439" width="11.42578125" style="1" customWidth="1"/>
    <col min="7440" max="7440" width="10.42578125" style="1" customWidth="1"/>
    <col min="7441" max="7441" width="11.85546875" style="1" customWidth="1"/>
    <col min="7442" max="7442" width="10.42578125" style="1" customWidth="1"/>
    <col min="7443" max="7443" width="12" style="1" customWidth="1"/>
    <col min="7444" max="7444" width="16.85546875" style="1" customWidth="1"/>
    <col min="7445" max="7445" width="12.42578125" style="1" customWidth="1"/>
    <col min="7446" max="7446" width="9.140625" style="1" customWidth="1"/>
    <col min="7447" max="7447" width="13" style="1" customWidth="1"/>
    <col min="7448" max="7448" width="12" style="1" customWidth="1"/>
    <col min="7449" max="7449" width="18.42578125" style="1" customWidth="1"/>
    <col min="7450" max="7681" width="11.42578125" style="1"/>
    <col min="7682" max="7682" width="58.42578125" style="1" customWidth="1"/>
    <col min="7683" max="7683" width="8.42578125" style="1" customWidth="1"/>
    <col min="7684" max="7684" width="11.42578125" style="1" customWidth="1"/>
    <col min="7685" max="7685" width="7.85546875" style="1" customWidth="1"/>
    <col min="7686" max="7686" width="9.42578125" style="1" customWidth="1"/>
    <col min="7687" max="7687" width="8.85546875" style="1" customWidth="1"/>
    <col min="7688" max="7688" width="14.42578125" style="1" customWidth="1"/>
    <col min="7689" max="7689" width="8.85546875" style="1" customWidth="1"/>
    <col min="7690" max="7690" width="12.140625" style="1" customWidth="1"/>
    <col min="7691" max="7691" width="8.42578125" style="1" customWidth="1"/>
    <col min="7692" max="7693" width="11.42578125" style="1" customWidth="1"/>
    <col min="7694" max="7694" width="11.85546875" style="1" customWidth="1"/>
    <col min="7695" max="7695" width="11.42578125" style="1" customWidth="1"/>
    <col min="7696" max="7696" width="10.42578125" style="1" customWidth="1"/>
    <col min="7697" max="7697" width="11.85546875" style="1" customWidth="1"/>
    <col min="7698" max="7698" width="10.42578125" style="1" customWidth="1"/>
    <col min="7699" max="7699" width="12" style="1" customWidth="1"/>
    <col min="7700" max="7700" width="16.85546875" style="1" customWidth="1"/>
    <col min="7701" max="7701" width="12.42578125" style="1" customWidth="1"/>
    <col min="7702" max="7702" width="9.140625" style="1" customWidth="1"/>
    <col min="7703" max="7703" width="13" style="1" customWidth="1"/>
    <col min="7704" max="7704" width="12" style="1" customWidth="1"/>
    <col min="7705" max="7705" width="18.42578125" style="1" customWidth="1"/>
    <col min="7706" max="7937" width="11.42578125" style="1"/>
    <col min="7938" max="7938" width="58.42578125" style="1" customWidth="1"/>
    <col min="7939" max="7939" width="8.42578125" style="1" customWidth="1"/>
    <col min="7940" max="7940" width="11.42578125" style="1" customWidth="1"/>
    <col min="7941" max="7941" width="7.85546875" style="1" customWidth="1"/>
    <col min="7942" max="7942" width="9.42578125" style="1" customWidth="1"/>
    <col min="7943" max="7943" width="8.85546875" style="1" customWidth="1"/>
    <col min="7944" max="7944" width="14.42578125" style="1" customWidth="1"/>
    <col min="7945" max="7945" width="8.85546875" style="1" customWidth="1"/>
    <col min="7946" max="7946" width="12.140625" style="1" customWidth="1"/>
    <col min="7947" max="7947" width="8.42578125" style="1" customWidth="1"/>
    <col min="7948" max="7949" width="11.42578125" style="1" customWidth="1"/>
    <col min="7950" max="7950" width="11.85546875" style="1" customWidth="1"/>
    <col min="7951" max="7951" width="11.42578125" style="1" customWidth="1"/>
    <col min="7952" max="7952" width="10.42578125" style="1" customWidth="1"/>
    <col min="7953" max="7953" width="11.85546875" style="1" customWidth="1"/>
    <col min="7954" max="7954" width="10.42578125" style="1" customWidth="1"/>
    <col min="7955" max="7955" width="12" style="1" customWidth="1"/>
    <col min="7956" max="7956" width="16.85546875" style="1" customWidth="1"/>
    <col min="7957" max="7957" width="12.42578125" style="1" customWidth="1"/>
    <col min="7958" max="7958" width="9.140625" style="1" customWidth="1"/>
    <col min="7959" max="7959" width="13" style="1" customWidth="1"/>
    <col min="7960" max="7960" width="12" style="1" customWidth="1"/>
    <col min="7961" max="7961" width="18.42578125" style="1" customWidth="1"/>
    <col min="7962" max="8193" width="11.42578125" style="1"/>
    <col min="8194" max="8194" width="58.42578125" style="1" customWidth="1"/>
    <col min="8195" max="8195" width="8.42578125" style="1" customWidth="1"/>
    <col min="8196" max="8196" width="11.42578125" style="1" customWidth="1"/>
    <col min="8197" max="8197" width="7.85546875" style="1" customWidth="1"/>
    <col min="8198" max="8198" width="9.42578125" style="1" customWidth="1"/>
    <col min="8199" max="8199" width="8.85546875" style="1" customWidth="1"/>
    <col min="8200" max="8200" width="14.42578125" style="1" customWidth="1"/>
    <col min="8201" max="8201" width="8.85546875" style="1" customWidth="1"/>
    <col min="8202" max="8202" width="12.140625" style="1" customWidth="1"/>
    <col min="8203" max="8203" width="8.42578125" style="1" customWidth="1"/>
    <col min="8204" max="8205" width="11.42578125" style="1" customWidth="1"/>
    <col min="8206" max="8206" width="11.85546875" style="1" customWidth="1"/>
    <col min="8207" max="8207" width="11.42578125" style="1" customWidth="1"/>
    <col min="8208" max="8208" width="10.42578125" style="1" customWidth="1"/>
    <col min="8209" max="8209" width="11.85546875" style="1" customWidth="1"/>
    <col min="8210" max="8210" width="10.42578125" style="1" customWidth="1"/>
    <col min="8211" max="8211" width="12" style="1" customWidth="1"/>
    <col min="8212" max="8212" width="16.85546875" style="1" customWidth="1"/>
    <col min="8213" max="8213" width="12.42578125" style="1" customWidth="1"/>
    <col min="8214" max="8214" width="9.140625" style="1" customWidth="1"/>
    <col min="8215" max="8215" width="13" style="1" customWidth="1"/>
    <col min="8216" max="8216" width="12" style="1" customWidth="1"/>
    <col min="8217" max="8217" width="18.42578125" style="1" customWidth="1"/>
    <col min="8218" max="8449" width="11.42578125" style="1"/>
    <col min="8450" max="8450" width="58.42578125" style="1" customWidth="1"/>
    <col min="8451" max="8451" width="8.42578125" style="1" customWidth="1"/>
    <col min="8452" max="8452" width="11.42578125" style="1" customWidth="1"/>
    <col min="8453" max="8453" width="7.85546875" style="1" customWidth="1"/>
    <col min="8454" max="8454" width="9.42578125" style="1" customWidth="1"/>
    <col min="8455" max="8455" width="8.85546875" style="1" customWidth="1"/>
    <col min="8456" max="8456" width="14.42578125" style="1" customWidth="1"/>
    <col min="8457" max="8457" width="8.85546875" style="1" customWidth="1"/>
    <col min="8458" max="8458" width="12.140625" style="1" customWidth="1"/>
    <col min="8459" max="8459" width="8.42578125" style="1" customWidth="1"/>
    <col min="8460" max="8461" width="11.42578125" style="1" customWidth="1"/>
    <col min="8462" max="8462" width="11.85546875" style="1" customWidth="1"/>
    <col min="8463" max="8463" width="11.42578125" style="1" customWidth="1"/>
    <col min="8464" max="8464" width="10.42578125" style="1" customWidth="1"/>
    <col min="8465" max="8465" width="11.85546875" style="1" customWidth="1"/>
    <col min="8466" max="8466" width="10.42578125" style="1" customWidth="1"/>
    <col min="8467" max="8467" width="12" style="1" customWidth="1"/>
    <col min="8468" max="8468" width="16.85546875" style="1" customWidth="1"/>
    <col min="8469" max="8469" width="12.42578125" style="1" customWidth="1"/>
    <col min="8470" max="8470" width="9.140625" style="1" customWidth="1"/>
    <col min="8471" max="8471" width="13" style="1" customWidth="1"/>
    <col min="8472" max="8472" width="12" style="1" customWidth="1"/>
    <col min="8473" max="8473" width="18.42578125" style="1" customWidth="1"/>
    <col min="8474" max="8705" width="11.42578125" style="1"/>
    <col min="8706" max="8706" width="58.42578125" style="1" customWidth="1"/>
    <col min="8707" max="8707" width="8.42578125" style="1" customWidth="1"/>
    <col min="8708" max="8708" width="11.42578125" style="1" customWidth="1"/>
    <col min="8709" max="8709" width="7.85546875" style="1" customWidth="1"/>
    <col min="8710" max="8710" width="9.42578125" style="1" customWidth="1"/>
    <col min="8711" max="8711" width="8.85546875" style="1" customWidth="1"/>
    <col min="8712" max="8712" width="14.42578125" style="1" customWidth="1"/>
    <col min="8713" max="8713" width="8.85546875" style="1" customWidth="1"/>
    <col min="8714" max="8714" width="12.140625" style="1" customWidth="1"/>
    <col min="8715" max="8715" width="8.42578125" style="1" customWidth="1"/>
    <col min="8716" max="8717" width="11.42578125" style="1" customWidth="1"/>
    <col min="8718" max="8718" width="11.85546875" style="1" customWidth="1"/>
    <col min="8719" max="8719" width="11.42578125" style="1" customWidth="1"/>
    <col min="8720" max="8720" width="10.42578125" style="1" customWidth="1"/>
    <col min="8721" max="8721" width="11.85546875" style="1" customWidth="1"/>
    <col min="8722" max="8722" width="10.42578125" style="1" customWidth="1"/>
    <col min="8723" max="8723" width="12" style="1" customWidth="1"/>
    <col min="8724" max="8724" width="16.85546875" style="1" customWidth="1"/>
    <col min="8725" max="8725" width="12.42578125" style="1" customWidth="1"/>
    <col min="8726" max="8726" width="9.140625" style="1" customWidth="1"/>
    <col min="8727" max="8727" width="13" style="1" customWidth="1"/>
    <col min="8728" max="8728" width="12" style="1" customWidth="1"/>
    <col min="8729" max="8729" width="18.42578125" style="1" customWidth="1"/>
    <col min="8730" max="8961" width="11.42578125" style="1"/>
    <col min="8962" max="8962" width="58.42578125" style="1" customWidth="1"/>
    <col min="8963" max="8963" width="8.42578125" style="1" customWidth="1"/>
    <col min="8964" max="8964" width="11.42578125" style="1" customWidth="1"/>
    <col min="8965" max="8965" width="7.85546875" style="1" customWidth="1"/>
    <col min="8966" max="8966" width="9.42578125" style="1" customWidth="1"/>
    <col min="8967" max="8967" width="8.85546875" style="1" customWidth="1"/>
    <col min="8968" max="8968" width="14.42578125" style="1" customWidth="1"/>
    <col min="8969" max="8969" width="8.85546875" style="1" customWidth="1"/>
    <col min="8970" max="8970" width="12.140625" style="1" customWidth="1"/>
    <col min="8971" max="8971" width="8.42578125" style="1" customWidth="1"/>
    <col min="8972" max="8973" width="11.42578125" style="1" customWidth="1"/>
    <col min="8974" max="8974" width="11.85546875" style="1" customWidth="1"/>
    <col min="8975" max="8975" width="11.42578125" style="1" customWidth="1"/>
    <col min="8976" max="8976" width="10.42578125" style="1" customWidth="1"/>
    <col min="8977" max="8977" width="11.85546875" style="1" customWidth="1"/>
    <col min="8978" max="8978" width="10.42578125" style="1" customWidth="1"/>
    <col min="8979" max="8979" width="12" style="1" customWidth="1"/>
    <col min="8980" max="8980" width="16.85546875" style="1" customWidth="1"/>
    <col min="8981" max="8981" width="12.42578125" style="1" customWidth="1"/>
    <col min="8982" max="8982" width="9.140625" style="1" customWidth="1"/>
    <col min="8983" max="8983" width="13" style="1" customWidth="1"/>
    <col min="8984" max="8984" width="12" style="1" customWidth="1"/>
    <col min="8985" max="8985" width="18.42578125" style="1" customWidth="1"/>
    <col min="8986" max="9217" width="11.42578125" style="1"/>
    <col min="9218" max="9218" width="58.42578125" style="1" customWidth="1"/>
    <col min="9219" max="9219" width="8.42578125" style="1" customWidth="1"/>
    <col min="9220" max="9220" width="11.42578125" style="1" customWidth="1"/>
    <col min="9221" max="9221" width="7.85546875" style="1" customWidth="1"/>
    <col min="9222" max="9222" width="9.42578125" style="1" customWidth="1"/>
    <col min="9223" max="9223" width="8.85546875" style="1" customWidth="1"/>
    <col min="9224" max="9224" width="14.42578125" style="1" customWidth="1"/>
    <col min="9225" max="9225" width="8.85546875" style="1" customWidth="1"/>
    <col min="9226" max="9226" width="12.140625" style="1" customWidth="1"/>
    <col min="9227" max="9227" width="8.42578125" style="1" customWidth="1"/>
    <col min="9228" max="9229" width="11.42578125" style="1" customWidth="1"/>
    <col min="9230" max="9230" width="11.85546875" style="1" customWidth="1"/>
    <col min="9231" max="9231" width="11.42578125" style="1" customWidth="1"/>
    <col min="9232" max="9232" width="10.42578125" style="1" customWidth="1"/>
    <col min="9233" max="9233" width="11.85546875" style="1" customWidth="1"/>
    <col min="9234" max="9234" width="10.42578125" style="1" customWidth="1"/>
    <col min="9235" max="9235" width="12" style="1" customWidth="1"/>
    <col min="9236" max="9236" width="16.85546875" style="1" customWidth="1"/>
    <col min="9237" max="9237" width="12.42578125" style="1" customWidth="1"/>
    <col min="9238" max="9238" width="9.140625" style="1" customWidth="1"/>
    <col min="9239" max="9239" width="13" style="1" customWidth="1"/>
    <col min="9240" max="9240" width="12" style="1" customWidth="1"/>
    <col min="9241" max="9241" width="18.42578125" style="1" customWidth="1"/>
    <col min="9242" max="9473" width="11.42578125" style="1"/>
    <col min="9474" max="9474" width="58.42578125" style="1" customWidth="1"/>
    <col min="9475" max="9475" width="8.42578125" style="1" customWidth="1"/>
    <col min="9476" max="9476" width="11.42578125" style="1" customWidth="1"/>
    <col min="9477" max="9477" width="7.85546875" style="1" customWidth="1"/>
    <col min="9478" max="9478" width="9.42578125" style="1" customWidth="1"/>
    <col min="9479" max="9479" width="8.85546875" style="1" customWidth="1"/>
    <col min="9480" max="9480" width="14.42578125" style="1" customWidth="1"/>
    <col min="9481" max="9481" width="8.85546875" style="1" customWidth="1"/>
    <col min="9482" max="9482" width="12.140625" style="1" customWidth="1"/>
    <col min="9483" max="9483" width="8.42578125" style="1" customWidth="1"/>
    <col min="9484" max="9485" width="11.42578125" style="1" customWidth="1"/>
    <col min="9486" max="9486" width="11.85546875" style="1" customWidth="1"/>
    <col min="9487" max="9487" width="11.42578125" style="1" customWidth="1"/>
    <col min="9488" max="9488" width="10.42578125" style="1" customWidth="1"/>
    <col min="9489" max="9489" width="11.85546875" style="1" customWidth="1"/>
    <col min="9490" max="9490" width="10.42578125" style="1" customWidth="1"/>
    <col min="9491" max="9491" width="12" style="1" customWidth="1"/>
    <col min="9492" max="9492" width="16.85546875" style="1" customWidth="1"/>
    <col min="9493" max="9493" width="12.42578125" style="1" customWidth="1"/>
    <col min="9494" max="9494" width="9.140625" style="1" customWidth="1"/>
    <col min="9495" max="9495" width="13" style="1" customWidth="1"/>
    <col min="9496" max="9496" width="12" style="1" customWidth="1"/>
    <col min="9497" max="9497" width="18.42578125" style="1" customWidth="1"/>
    <col min="9498" max="9729" width="11.42578125" style="1"/>
    <col min="9730" max="9730" width="58.42578125" style="1" customWidth="1"/>
    <col min="9731" max="9731" width="8.42578125" style="1" customWidth="1"/>
    <col min="9732" max="9732" width="11.42578125" style="1" customWidth="1"/>
    <col min="9733" max="9733" width="7.85546875" style="1" customWidth="1"/>
    <col min="9734" max="9734" width="9.42578125" style="1" customWidth="1"/>
    <col min="9735" max="9735" width="8.85546875" style="1" customWidth="1"/>
    <col min="9736" max="9736" width="14.42578125" style="1" customWidth="1"/>
    <col min="9737" max="9737" width="8.85546875" style="1" customWidth="1"/>
    <col min="9738" max="9738" width="12.140625" style="1" customWidth="1"/>
    <col min="9739" max="9739" width="8.42578125" style="1" customWidth="1"/>
    <col min="9740" max="9741" width="11.42578125" style="1" customWidth="1"/>
    <col min="9742" max="9742" width="11.85546875" style="1" customWidth="1"/>
    <col min="9743" max="9743" width="11.42578125" style="1" customWidth="1"/>
    <col min="9744" max="9744" width="10.42578125" style="1" customWidth="1"/>
    <col min="9745" max="9745" width="11.85546875" style="1" customWidth="1"/>
    <col min="9746" max="9746" width="10.42578125" style="1" customWidth="1"/>
    <col min="9747" max="9747" width="12" style="1" customWidth="1"/>
    <col min="9748" max="9748" width="16.85546875" style="1" customWidth="1"/>
    <col min="9749" max="9749" width="12.42578125" style="1" customWidth="1"/>
    <col min="9750" max="9750" width="9.140625" style="1" customWidth="1"/>
    <col min="9751" max="9751" width="13" style="1" customWidth="1"/>
    <col min="9752" max="9752" width="12" style="1" customWidth="1"/>
    <col min="9753" max="9753" width="18.42578125" style="1" customWidth="1"/>
    <col min="9754" max="9985" width="11.42578125" style="1"/>
    <col min="9986" max="9986" width="58.42578125" style="1" customWidth="1"/>
    <col min="9987" max="9987" width="8.42578125" style="1" customWidth="1"/>
    <col min="9988" max="9988" width="11.42578125" style="1" customWidth="1"/>
    <col min="9989" max="9989" width="7.85546875" style="1" customWidth="1"/>
    <col min="9990" max="9990" width="9.42578125" style="1" customWidth="1"/>
    <col min="9991" max="9991" width="8.85546875" style="1" customWidth="1"/>
    <col min="9992" max="9992" width="14.42578125" style="1" customWidth="1"/>
    <col min="9993" max="9993" width="8.85546875" style="1" customWidth="1"/>
    <col min="9994" max="9994" width="12.140625" style="1" customWidth="1"/>
    <col min="9995" max="9995" width="8.42578125" style="1" customWidth="1"/>
    <col min="9996" max="9997" width="11.42578125" style="1" customWidth="1"/>
    <col min="9998" max="9998" width="11.85546875" style="1" customWidth="1"/>
    <col min="9999" max="9999" width="11.42578125" style="1" customWidth="1"/>
    <col min="10000" max="10000" width="10.42578125" style="1" customWidth="1"/>
    <col min="10001" max="10001" width="11.85546875" style="1" customWidth="1"/>
    <col min="10002" max="10002" width="10.42578125" style="1" customWidth="1"/>
    <col min="10003" max="10003" width="12" style="1" customWidth="1"/>
    <col min="10004" max="10004" width="16.85546875" style="1" customWidth="1"/>
    <col min="10005" max="10005" width="12.42578125" style="1" customWidth="1"/>
    <col min="10006" max="10006" width="9.140625" style="1" customWidth="1"/>
    <col min="10007" max="10007" width="13" style="1" customWidth="1"/>
    <col min="10008" max="10008" width="12" style="1" customWidth="1"/>
    <col min="10009" max="10009" width="18.42578125" style="1" customWidth="1"/>
    <col min="10010" max="10241" width="11.42578125" style="1"/>
    <col min="10242" max="10242" width="58.42578125" style="1" customWidth="1"/>
    <col min="10243" max="10243" width="8.42578125" style="1" customWidth="1"/>
    <col min="10244" max="10244" width="11.42578125" style="1" customWidth="1"/>
    <col min="10245" max="10245" width="7.85546875" style="1" customWidth="1"/>
    <col min="10246" max="10246" width="9.42578125" style="1" customWidth="1"/>
    <col min="10247" max="10247" width="8.85546875" style="1" customWidth="1"/>
    <col min="10248" max="10248" width="14.42578125" style="1" customWidth="1"/>
    <col min="10249" max="10249" width="8.85546875" style="1" customWidth="1"/>
    <col min="10250" max="10250" width="12.140625" style="1" customWidth="1"/>
    <col min="10251" max="10251" width="8.42578125" style="1" customWidth="1"/>
    <col min="10252" max="10253" width="11.42578125" style="1" customWidth="1"/>
    <col min="10254" max="10254" width="11.85546875" style="1" customWidth="1"/>
    <col min="10255" max="10255" width="11.42578125" style="1" customWidth="1"/>
    <col min="10256" max="10256" width="10.42578125" style="1" customWidth="1"/>
    <col min="10257" max="10257" width="11.85546875" style="1" customWidth="1"/>
    <col min="10258" max="10258" width="10.42578125" style="1" customWidth="1"/>
    <col min="10259" max="10259" width="12" style="1" customWidth="1"/>
    <col min="10260" max="10260" width="16.85546875" style="1" customWidth="1"/>
    <col min="10261" max="10261" width="12.42578125" style="1" customWidth="1"/>
    <col min="10262" max="10262" width="9.140625" style="1" customWidth="1"/>
    <col min="10263" max="10263" width="13" style="1" customWidth="1"/>
    <col min="10264" max="10264" width="12" style="1" customWidth="1"/>
    <col min="10265" max="10265" width="18.42578125" style="1" customWidth="1"/>
    <col min="10266" max="10497" width="11.42578125" style="1"/>
    <col min="10498" max="10498" width="58.42578125" style="1" customWidth="1"/>
    <col min="10499" max="10499" width="8.42578125" style="1" customWidth="1"/>
    <col min="10500" max="10500" width="11.42578125" style="1" customWidth="1"/>
    <col min="10501" max="10501" width="7.85546875" style="1" customWidth="1"/>
    <col min="10502" max="10502" width="9.42578125" style="1" customWidth="1"/>
    <col min="10503" max="10503" width="8.85546875" style="1" customWidth="1"/>
    <col min="10504" max="10504" width="14.42578125" style="1" customWidth="1"/>
    <col min="10505" max="10505" width="8.85546875" style="1" customWidth="1"/>
    <col min="10506" max="10506" width="12.140625" style="1" customWidth="1"/>
    <col min="10507" max="10507" width="8.42578125" style="1" customWidth="1"/>
    <col min="10508" max="10509" width="11.42578125" style="1" customWidth="1"/>
    <col min="10510" max="10510" width="11.85546875" style="1" customWidth="1"/>
    <col min="10511" max="10511" width="11.42578125" style="1" customWidth="1"/>
    <col min="10512" max="10512" width="10.42578125" style="1" customWidth="1"/>
    <col min="10513" max="10513" width="11.85546875" style="1" customWidth="1"/>
    <col min="10514" max="10514" width="10.42578125" style="1" customWidth="1"/>
    <col min="10515" max="10515" width="12" style="1" customWidth="1"/>
    <col min="10516" max="10516" width="16.85546875" style="1" customWidth="1"/>
    <col min="10517" max="10517" width="12.42578125" style="1" customWidth="1"/>
    <col min="10518" max="10518" width="9.140625" style="1" customWidth="1"/>
    <col min="10519" max="10519" width="13" style="1" customWidth="1"/>
    <col min="10520" max="10520" width="12" style="1" customWidth="1"/>
    <col min="10521" max="10521" width="18.42578125" style="1" customWidth="1"/>
    <col min="10522" max="10753" width="11.42578125" style="1"/>
    <col min="10754" max="10754" width="58.42578125" style="1" customWidth="1"/>
    <col min="10755" max="10755" width="8.42578125" style="1" customWidth="1"/>
    <col min="10756" max="10756" width="11.42578125" style="1" customWidth="1"/>
    <col min="10757" max="10757" width="7.85546875" style="1" customWidth="1"/>
    <col min="10758" max="10758" width="9.42578125" style="1" customWidth="1"/>
    <col min="10759" max="10759" width="8.85546875" style="1" customWidth="1"/>
    <col min="10760" max="10760" width="14.42578125" style="1" customWidth="1"/>
    <col min="10761" max="10761" width="8.85546875" style="1" customWidth="1"/>
    <col min="10762" max="10762" width="12.140625" style="1" customWidth="1"/>
    <col min="10763" max="10763" width="8.42578125" style="1" customWidth="1"/>
    <col min="10764" max="10765" width="11.42578125" style="1" customWidth="1"/>
    <col min="10766" max="10766" width="11.85546875" style="1" customWidth="1"/>
    <col min="10767" max="10767" width="11.42578125" style="1" customWidth="1"/>
    <col min="10768" max="10768" width="10.42578125" style="1" customWidth="1"/>
    <col min="10769" max="10769" width="11.85546875" style="1" customWidth="1"/>
    <col min="10770" max="10770" width="10.42578125" style="1" customWidth="1"/>
    <col min="10771" max="10771" width="12" style="1" customWidth="1"/>
    <col min="10772" max="10772" width="16.85546875" style="1" customWidth="1"/>
    <col min="10773" max="10773" width="12.42578125" style="1" customWidth="1"/>
    <col min="10774" max="10774" width="9.140625" style="1" customWidth="1"/>
    <col min="10775" max="10775" width="13" style="1" customWidth="1"/>
    <col min="10776" max="10776" width="12" style="1" customWidth="1"/>
    <col min="10777" max="10777" width="18.42578125" style="1" customWidth="1"/>
    <col min="10778" max="11009" width="11.42578125" style="1"/>
    <col min="11010" max="11010" width="58.42578125" style="1" customWidth="1"/>
    <col min="11011" max="11011" width="8.42578125" style="1" customWidth="1"/>
    <col min="11012" max="11012" width="11.42578125" style="1" customWidth="1"/>
    <col min="11013" max="11013" width="7.85546875" style="1" customWidth="1"/>
    <col min="11014" max="11014" width="9.42578125" style="1" customWidth="1"/>
    <col min="11015" max="11015" width="8.85546875" style="1" customWidth="1"/>
    <col min="11016" max="11016" width="14.42578125" style="1" customWidth="1"/>
    <col min="11017" max="11017" width="8.85546875" style="1" customWidth="1"/>
    <col min="11018" max="11018" width="12.140625" style="1" customWidth="1"/>
    <col min="11019" max="11019" width="8.42578125" style="1" customWidth="1"/>
    <col min="11020" max="11021" width="11.42578125" style="1" customWidth="1"/>
    <col min="11022" max="11022" width="11.85546875" style="1" customWidth="1"/>
    <col min="11023" max="11023" width="11.42578125" style="1" customWidth="1"/>
    <col min="11024" max="11024" width="10.42578125" style="1" customWidth="1"/>
    <col min="11025" max="11025" width="11.85546875" style="1" customWidth="1"/>
    <col min="11026" max="11026" width="10.42578125" style="1" customWidth="1"/>
    <col min="11027" max="11027" width="12" style="1" customWidth="1"/>
    <col min="11028" max="11028" width="16.85546875" style="1" customWidth="1"/>
    <col min="11029" max="11029" width="12.42578125" style="1" customWidth="1"/>
    <col min="11030" max="11030" width="9.140625" style="1" customWidth="1"/>
    <col min="11031" max="11031" width="13" style="1" customWidth="1"/>
    <col min="11032" max="11032" width="12" style="1" customWidth="1"/>
    <col min="11033" max="11033" width="18.42578125" style="1" customWidth="1"/>
    <col min="11034" max="11265" width="11.42578125" style="1"/>
    <col min="11266" max="11266" width="58.42578125" style="1" customWidth="1"/>
    <col min="11267" max="11267" width="8.42578125" style="1" customWidth="1"/>
    <col min="11268" max="11268" width="11.42578125" style="1" customWidth="1"/>
    <col min="11269" max="11269" width="7.85546875" style="1" customWidth="1"/>
    <col min="11270" max="11270" width="9.42578125" style="1" customWidth="1"/>
    <col min="11271" max="11271" width="8.85546875" style="1" customWidth="1"/>
    <col min="11272" max="11272" width="14.42578125" style="1" customWidth="1"/>
    <col min="11273" max="11273" width="8.85546875" style="1" customWidth="1"/>
    <col min="11274" max="11274" width="12.140625" style="1" customWidth="1"/>
    <col min="11275" max="11275" width="8.42578125" style="1" customWidth="1"/>
    <col min="11276" max="11277" width="11.42578125" style="1" customWidth="1"/>
    <col min="11278" max="11278" width="11.85546875" style="1" customWidth="1"/>
    <col min="11279" max="11279" width="11.42578125" style="1" customWidth="1"/>
    <col min="11280" max="11280" width="10.42578125" style="1" customWidth="1"/>
    <col min="11281" max="11281" width="11.85546875" style="1" customWidth="1"/>
    <col min="11282" max="11282" width="10.42578125" style="1" customWidth="1"/>
    <col min="11283" max="11283" width="12" style="1" customWidth="1"/>
    <col min="11284" max="11284" width="16.85546875" style="1" customWidth="1"/>
    <col min="11285" max="11285" width="12.42578125" style="1" customWidth="1"/>
    <col min="11286" max="11286" width="9.140625" style="1" customWidth="1"/>
    <col min="11287" max="11287" width="13" style="1" customWidth="1"/>
    <col min="11288" max="11288" width="12" style="1" customWidth="1"/>
    <col min="11289" max="11289" width="18.42578125" style="1" customWidth="1"/>
    <col min="11290" max="11521" width="11.42578125" style="1"/>
    <col min="11522" max="11522" width="58.42578125" style="1" customWidth="1"/>
    <col min="11523" max="11523" width="8.42578125" style="1" customWidth="1"/>
    <col min="11524" max="11524" width="11.42578125" style="1" customWidth="1"/>
    <col min="11525" max="11525" width="7.85546875" style="1" customWidth="1"/>
    <col min="11526" max="11526" width="9.42578125" style="1" customWidth="1"/>
    <col min="11527" max="11527" width="8.85546875" style="1" customWidth="1"/>
    <col min="11528" max="11528" width="14.42578125" style="1" customWidth="1"/>
    <col min="11529" max="11529" width="8.85546875" style="1" customWidth="1"/>
    <col min="11530" max="11530" width="12.140625" style="1" customWidth="1"/>
    <col min="11531" max="11531" width="8.42578125" style="1" customWidth="1"/>
    <col min="11532" max="11533" width="11.42578125" style="1" customWidth="1"/>
    <col min="11534" max="11534" width="11.85546875" style="1" customWidth="1"/>
    <col min="11535" max="11535" width="11.42578125" style="1" customWidth="1"/>
    <col min="11536" max="11536" width="10.42578125" style="1" customWidth="1"/>
    <col min="11537" max="11537" width="11.85546875" style="1" customWidth="1"/>
    <col min="11538" max="11538" width="10.42578125" style="1" customWidth="1"/>
    <col min="11539" max="11539" width="12" style="1" customWidth="1"/>
    <col min="11540" max="11540" width="16.85546875" style="1" customWidth="1"/>
    <col min="11541" max="11541" width="12.42578125" style="1" customWidth="1"/>
    <col min="11542" max="11542" width="9.140625" style="1" customWidth="1"/>
    <col min="11543" max="11543" width="13" style="1" customWidth="1"/>
    <col min="11544" max="11544" width="12" style="1" customWidth="1"/>
    <col min="11545" max="11545" width="18.42578125" style="1" customWidth="1"/>
    <col min="11546" max="11777" width="11.42578125" style="1"/>
    <col min="11778" max="11778" width="58.42578125" style="1" customWidth="1"/>
    <col min="11779" max="11779" width="8.42578125" style="1" customWidth="1"/>
    <col min="11780" max="11780" width="11.42578125" style="1" customWidth="1"/>
    <col min="11781" max="11781" width="7.85546875" style="1" customWidth="1"/>
    <col min="11782" max="11782" width="9.42578125" style="1" customWidth="1"/>
    <col min="11783" max="11783" width="8.85546875" style="1" customWidth="1"/>
    <col min="11784" max="11784" width="14.42578125" style="1" customWidth="1"/>
    <col min="11785" max="11785" width="8.85546875" style="1" customWidth="1"/>
    <col min="11786" max="11786" width="12.140625" style="1" customWidth="1"/>
    <col min="11787" max="11787" width="8.42578125" style="1" customWidth="1"/>
    <col min="11788" max="11789" width="11.42578125" style="1" customWidth="1"/>
    <col min="11790" max="11790" width="11.85546875" style="1" customWidth="1"/>
    <col min="11791" max="11791" width="11.42578125" style="1" customWidth="1"/>
    <col min="11792" max="11792" width="10.42578125" style="1" customWidth="1"/>
    <col min="11793" max="11793" width="11.85546875" style="1" customWidth="1"/>
    <col min="11794" max="11794" width="10.42578125" style="1" customWidth="1"/>
    <col min="11795" max="11795" width="12" style="1" customWidth="1"/>
    <col min="11796" max="11796" width="16.85546875" style="1" customWidth="1"/>
    <col min="11797" max="11797" width="12.42578125" style="1" customWidth="1"/>
    <col min="11798" max="11798" width="9.140625" style="1" customWidth="1"/>
    <col min="11799" max="11799" width="13" style="1" customWidth="1"/>
    <col min="11800" max="11800" width="12" style="1" customWidth="1"/>
    <col min="11801" max="11801" width="18.42578125" style="1" customWidth="1"/>
    <col min="11802" max="12033" width="11.42578125" style="1"/>
    <col min="12034" max="12034" width="58.42578125" style="1" customWidth="1"/>
    <col min="12035" max="12035" width="8.42578125" style="1" customWidth="1"/>
    <col min="12036" max="12036" width="11.42578125" style="1" customWidth="1"/>
    <col min="12037" max="12037" width="7.85546875" style="1" customWidth="1"/>
    <col min="12038" max="12038" width="9.42578125" style="1" customWidth="1"/>
    <col min="12039" max="12039" width="8.85546875" style="1" customWidth="1"/>
    <col min="12040" max="12040" width="14.42578125" style="1" customWidth="1"/>
    <col min="12041" max="12041" width="8.85546875" style="1" customWidth="1"/>
    <col min="12042" max="12042" width="12.140625" style="1" customWidth="1"/>
    <col min="12043" max="12043" width="8.42578125" style="1" customWidth="1"/>
    <col min="12044" max="12045" width="11.42578125" style="1" customWidth="1"/>
    <col min="12046" max="12046" width="11.85546875" style="1" customWidth="1"/>
    <col min="12047" max="12047" width="11.42578125" style="1" customWidth="1"/>
    <col min="12048" max="12048" width="10.42578125" style="1" customWidth="1"/>
    <col min="12049" max="12049" width="11.85546875" style="1" customWidth="1"/>
    <col min="12050" max="12050" width="10.42578125" style="1" customWidth="1"/>
    <col min="12051" max="12051" width="12" style="1" customWidth="1"/>
    <col min="12052" max="12052" width="16.85546875" style="1" customWidth="1"/>
    <col min="12053" max="12053" width="12.42578125" style="1" customWidth="1"/>
    <col min="12054" max="12054" width="9.140625" style="1" customWidth="1"/>
    <col min="12055" max="12055" width="13" style="1" customWidth="1"/>
    <col min="12056" max="12056" width="12" style="1" customWidth="1"/>
    <col min="12057" max="12057" width="18.42578125" style="1" customWidth="1"/>
    <col min="12058" max="12289" width="11.42578125" style="1"/>
    <col min="12290" max="12290" width="58.42578125" style="1" customWidth="1"/>
    <col min="12291" max="12291" width="8.42578125" style="1" customWidth="1"/>
    <col min="12292" max="12292" width="11.42578125" style="1" customWidth="1"/>
    <col min="12293" max="12293" width="7.85546875" style="1" customWidth="1"/>
    <col min="12294" max="12294" width="9.42578125" style="1" customWidth="1"/>
    <col min="12295" max="12295" width="8.85546875" style="1" customWidth="1"/>
    <col min="12296" max="12296" width="14.42578125" style="1" customWidth="1"/>
    <col min="12297" max="12297" width="8.85546875" style="1" customWidth="1"/>
    <col min="12298" max="12298" width="12.140625" style="1" customWidth="1"/>
    <col min="12299" max="12299" width="8.42578125" style="1" customWidth="1"/>
    <col min="12300" max="12301" width="11.42578125" style="1" customWidth="1"/>
    <col min="12302" max="12302" width="11.85546875" style="1" customWidth="1"/>
    <col min="12303" max="12303" width="11.42578125" style="1" customWidth="1"/>
    <col min="12304" max="12304" width="10.42578125" style="1" customWidth="1"/>
    <col min="12305" max="12305" width="11.85546875" style="1" customWidth="1"/>
    <col min="12306" max="12306" width="10.42578125" style="1" customWidth="1"/>
    <col min="12307" max="12307" width="12" style="1" customWidth="1"/>
    <col min="12308" max="12308" width="16.85546875" style="1" customWidth="1"/>
    <col min="12309" max="12309" width="12.42578125" style="1" customWidth="1"/>
    <col min="12310" max="12310" width="9.140625" style="1" customWidth="1"/>
    <col min="12311" max="12311" width="13" style="1" customWidth="1"/>
    <col min="12312" max="12312" width="12" style="1" customWidth="1"/>
    <col min="12313" max="12313" width="18.42578125" style="1" customWidth="1"/>
    <col min="12314" max="12545" width="11.42578125" style="1"/>
    <col min="12546" max="12546" width="58.42578125" style="1" customWidth="1"/>
    <col min="12547" max="12547" width="8.42578125" style="1" customWidth="1"/>
    <col min="12548" max="12548" width="11.42578125" style="1" customWidth="1"/>
    <col min="12549" max="12549" width="7.85546875" style="1" customWidth="1"/>
    <col min="12550" max="12550" width="9.42578125" style="1" customWidth="1"/>
    <col min="12551" max="12551" width="8.85546875" style="1" customWidth="1"/>
    <col min="12552" max="12552" width="14.42578125" style="1" customWidth="1"/>
    <col min="12553" max="12553" width="8.85546875" style="1" customWidth="1"/>
    <col min="12554" max="12554" width="12.140625" style="1" customWidth="1"/>
    <col min="12555" max="12555" width="8.42578125" style="1" customWidth="1"/>
    <col min="12556" max="12557" width="11.42578125" style="1" customWidth="1"/>
    <col min="12558" max="12558" width="11.85546875" style="1" customWidth="1"/>
    <col min="12559" max="12559" width="11.42578125" style="1" customWidth="1"/>
    <col min="12560" max="12560" width="10.42578125" style="1" customWidth="1"/>
    <col min="12561" max="12561" width="11.85546875" style="1" customWidth="1"/>
    <col min="12562" max="12562" width="10.42578125" style="1" customWidth="1"/>
    <col min="12563" max="12563" width="12" style="1" customWidth="1"/>
    <col min="12564" max="12564" width="16.85546875" style="1" customWidth="1"/>
    <col min="12565" max="12565" width="12.42578125" style="1" customWidth="1"/>
    <col min="12566" max="12566" width="9.140625" style="1" customWidth="1"/>
    <col min="12567" max="12567" width="13" style="1" customWidth="1"/>
    <col min="12568" max="12568" width="12" style="1" customWidth="1"/>
    <col min="12569" max="12569" width="18.42578125" style="1" customWidth="1"/>
    <col min="12570" max="12801" width="11.42578125" style="1"/>
    <col min="12802" max="12802" width="58.42578125" style="1" customWidth="1"/>
    <col min="12803" max="12803" width="8.42578125" style="1" customWidth="1"/>
    <col min="12804" max="12804" width="11.42578125" style="1" customWidth="1"/>
    <col min="12805" max="12805" width="7.85546875" style="1" customWidth="1"/>
    <col min="12806" max="12806" width="9.42578125" style="1" customWidth="1"/>
    <col min="12807" max="12807" width="8.85546875" style="1" customWidth="1"/>
    <col min="12808" max="12808" width="14.42578125" style="1" customWidth="1"/>
    <col min="12809" max="12809" width="8.85546875" style="1" customWidth="1"/>
    <col min="12810" max="12810" width="12.140625" style="1" customWidth="1"/>
    <col min="12811" max="12811" width="8.42578125" style="1" customWidth="1"/>
    <col min="12812" max="12813" width="11.42578125" style="1" customWidth="1"/>
    <col min="12814" max="12814" width="11.85546875" style="1" customWidth="1"/>
    <col min="12815" max="12815" width="11.42578125" style="1" customWidth="1"/>
    <col min="12816" max="12816" width="10.42578125" style="1" customWidth="1"/>
    <col min="12817" max="12817" width="11.85546875" style="1" customWidth="1"/>
    <col min="12818" max="12818" width="10.42578125" style="1" customWidth="1"/>
    <col min="12819" max="12819" width="12" style="1" customWidth="1"/>
    <col min="12820" max="12820" width="16.85546875" style="1" customWidth="1"/>
    <col min="12821" max="12821" width="12.42578125" style="1" customWidth="1"/>
    <col min="12822" max="12822" width="9.140625" style="1" customWidth="1"/>
    <col min="12823" max="12823" width="13" style="1" customWidth="1"/>
    <col min="12824" max="12824" width="12" style="1" customWidth="1"/>
    <col min="12825" max="12825" width="18.42578125" style="1" customWidth="1"/>
    <col min="12826" max="13057" width="11.42578125" style="1"/>
    <col min="13058" max="13058" width="58.42578125" style="1" customWidth="1"/>
    <col min="13059" max="13059" width="8.42578125" style="1" customWidth="1"/>
    <col min="13060" max="13060" width="11.42578125" style="1" customWidth="1"/>
    <col min="13061" max="13061" width="7.85546875" style="1" customWidth="1"/>
    <col min="13062" max="13062" width="9.42578125" style="1" customWidth="1"/>
    <col min="13063" max="13063" width="8.85546875" style="1" customWidth="1"/>
    <col min="13064" max="13064" width="14.42578125" style="1" customWidth="1"/>
    <col min="13065" max="13065" width="8.85546875" style="1" customWidth="1"/>
    <col min="13066" max="13066" width="12.140625" style="1" customWidth="1"/>
    <col min="13067" max="13067" width="8.42578125" style="1" customWidth="1"/>
    <col min="13068" max="13069" width="11.42578125" style="1" customWidth="1"/>
    <col min="13070" max="13070" width="11.85546875" style="1" customWidth="1"/>
    <col min="13071" max="13071" width="11.42578125" style="1" customWidth="1"/>
    <col min="13072" max="13072" width="10.42578125" style="1" customWidth="1"/>
    <col min="13073" max="13073" width="11.85546875" style="1" customWidth="1"/>
    <col min="13074" max="13074" width="10.42578125" style="1" customWidth="1"/>
    <col min="13075" max="13075" width="12" style="1" customWidth="1"/>
    <col min="13076" max="13076" width="16.85546875" style="1" customWidth="1"/>
    <col min="13077" max="13077" width="12.42578125" style="1" customWidth="1"/>
    <col min="13078" max="13078" width="9.140625" style="1" customWidth="1"/>
    <col min="13079" max="13079" width="13" style="1" customWidth="1"/>
    <col min="13080" max="13080" width="12" style="1" customWidth="1"/>
    <col min="13081" max="13081" width="18.42578125" style="1" customWidth="1"/>
    <col min="13082" max="13313" width="11.42578125" style="1"/>
    <col min="13314" max="13314" width="58.42578125" style="1" customWidth="1"/>
    <col min="13315" max="13315" width="8.42578125" style="1" customWidth="1"/>
    <col min="13316" max="13316" width="11.42578125" style="1" customWidth="1"/>
    <col min="13317" max="13317" width="7.85546875" style="1" customWidth="1"/>
    <col min="13318" max="13318" width="9.42578125" style="1" customWidth="1"/>
    <col min="13319" max="13319" width="8.85546875" style="1" customWidth="1"/>
    <col min="13320" max="13320" width="14.42578125" style="1" customWidth="1"/>
    <col min="13321" max="13321" width="8.85546875" style="1" customWidth="1"/>
    <col min="13322" max="13322" width="12.140625" style="1" customWidth="1"/>
    <col min="13323" max="13323" width="8.42578125" style="1" customWidth="1"/>
    <col min="13324" max="13325" width="11.42578125" style="1" customWidth="1"/>
    <col min="13326" max="13326" width="11.85546875" style="1" customWidth="1"/>
    <col min="13327" max="13327" width="11.42578125" style="1" customWidth="1"/>
    <col min="13328" max="13328" width="10.42578125" style="1" customWidth="1"/>
    <col min="13329" max="13329" width="11.85546875" style="1" customWidth="1"/>
    <col min="13330" max="13330" width="10.42578125" style="1" customWidth="1"/>
    <col min="13331" max="13331" width="12" style="1" customWidth="1"/>
    <col min="13332" max="13332" width="16.85546875" style="1" customWidth="1"/>
    <col min="13333" max="13333" width="12.42578125" style="1" customWidth="1"/>
    <col min="13334" max="13334" width="9.140625" style="1" customWidth="1"/>
    <col min="13335" max="13335" width="13" style="1" customWidth="1"/>
    <col min="13336" max="13336" width="12" style="1" customWidth="1"/>
    <col min="13337" max="13337" width="18.42578125" style="1" customWidth="1"/>
    <col min="13338" max="13569" width="11.42578125" style="1"/>
    <col min="13570" max="13570" width="58.42578125" style="1" customWidth="1"/>
    <col min="13571" max="13571" width="8.42578125" style="1" customWidth="1"/>
    <col min="13572" max="13572" width="11.42578125" style="1" customWidth="1"/>
    <col min="13573" max="13573" width="7.85546875" style="1" customWidth="1"/>
    <col min="13574" max="13574" width="9.42578125" style="1" customWidth="1"/>
    <col min="13575" max="13575" width="8.85546875" style="1" customWidth="1"/>
    <col min="13576" max="13576" width="14.42578125" style="1" customWidth="1"/>
    <col min="13577" max="13577" width="8.85546875" style="1" customWidth="1"/>
    <col min="13578" max="13578" width="12.140625" style="1" customWidth="1"/>
    <col min="13579" max="13579" width="8.42578125" style="1" customWidth="1"/>
    <col min="13580" max="13581" width="11.42578125" style="1" customWidth="1"/>
    <col min="13582" max="13582" width="11.85546875" style="1" customWidth="1"/>
    <col min="13583" max="13583" width="11.42578125" style="1" customWidth="1"/>
    <col min="13584" max="13584" width="10.42578125" style="1" customWidth="1"/>
    <col min="13585" max="13585" width="11.85546875" style="1" customWidth="1"/>
    <col min="13586" max="13586" width="10.42578125" style="1" customWidth="1"/>
    <col min="13587" max="13587" width="12" style="1" customWidth="1"/>
    <col min="13588" max="13588" width="16.85546875" style="1" customWidth="1"/>
    <col min="13589" max="13589" width="12.42578125" style="1" customWidth="1"/>
    <col min="13590" max="13590" width="9.140625" style="1" customWidth="1"/>
    <col min="13591" max="13591" width="13" style="1" customWidth="1"/>
    <col min="13592" max="13592" width="12" style="1" customWidth="1"/>
    <col min="13593" max="13593" width="18.42578125" style="1" customWidth="1"/>
    <col min="13594" max="13825" width="11.42578125" style="1"/>
    <col min="13826" max="13826" width="58.42578125" style="1" customWidth="1"/>
    <col min="13827" max="13827" width="8.42578125" style="1" customWidth="1"/>
    <col min="13828" max="13828" width="11.42578125" style="1" customWidth="1"/>
    <col min="13829" max="13829" width="7.85546875" style="1" customWidth="1"/>
    <col min="13830" max="13830" width="9.42578125" style="1" customWidth="1"/>
    <col min="13831" max="13831" width="8.85546875" style="1" customWidth="1"/>
    <col min="13832" max="13832" width="14.42578125" style="1" customWidth="1"/>
    <col min="13833" max="13833" width="8.85546875" style="1" customWidth="1"/>
    <col min="13834" max="13834" width="12.140625" style="1" customWidth="1"/>
    <col min="13835" max="13835" width="8.42578125" style="1" customWidth="1"/>
    <col min="13836" max="13837" width="11.42578125" style="1" customWidth="1"/>
    <col min="13838" max="13838" width="11.85546875" style="1" customWidth="1"/>
    <col min="13839" max="13839" width="11.42578125" style="1" customWidth="1"/>
    <col min="13840" max="13840" width="10.42578125" style="1" customWidth="1"/>
    <col min="13841" max="13841" width="11.85546875" style="1" customWidth="1"/>
    <col min="13842" max="13842" width="10.42578125" style="1" customWidth="1"/>
    <col min="13843" max="13843" width="12" style="1" customWidth="1"/>
    <col min="13844" max="13844" width="16.85546875" style="1" customWidth="1"/>
    <col min="13845" max="13845" width="12.42578125" style="1" customWidth="1"/>
    <col min="13846" max="13846" width="9.140625" style="1" customWidth="1"/>
    <col min="13847" max="13847" width="13" style="1" customWidth="1"/>
    <col min="13848" max="13848" width="12" style="1" customWidth="1"/>
    <col min="13849" max="13849" width="18.42578125" style="1" customWidth="1"/>
    <col min="13850" max="14081" width="11.42578125" style="1"/>
    <col min="14082" max="14082" width="58.42578125" style="1" customWidth="1"/>
    <col min="14083" max="14083" width="8.42578125" style="1" customWidth="1"/>
    <col min="14084" max="14084" width="11.42578125" style="1" customWidth="1"/>
    <col min="14085" max="14085" width="7.85546875" style="1" customWidth="1"/>
    <col min="14086" max="14086" width="9.42578125" style="1" customWidth="1"/>
    <col min="14087" max="14087" width="8.85546875" style="1" customWidth="1"/>
    <col min="14088" max="14088" width="14.42578125" style="1" customWidth="1"/>
    <col min="14089" max="14089" width="8.85546875" style="1" customWidth="1"/>
    <col min="14090" max="14090" width="12.140625" style="1" customWidth="1"/>
    <col min="14091" max="14091" width="8.42578125" style="1" customWidth="1"/>
    <col min="14092" max="14093" width="11.42578125" style="1" customWidth="1"/>
    <col min="14094" max="14094" width="11.85546875" style="1" customWidth="1"/>
    <col min="14095" max="14095" width="11.42578125" style="1" customWidth="1"/>
    <col min="14096" max="14096" width="10.42578125" style="1" customWidth="1"/>
    <col min="14097" max="14097" width="11.85546875" style="1" customWidth="1"/>
    <col min="14098" max="14098" width="10.42578125" style="1" customWidth="1"/>
    <col min="14099" max="14099" width="12" style="1" customWidth="1"/>
    <col min="14100" max="14100" width="16.85546875" style="1" customWidth="1"/>
    <col min="14101" max="14101" width="12.42578125" style="1" customWidth="1"/>
    <col min="14102" max="14102" width="9.140625" style="1" customWidth="1"/>
    <col min="14103" max="14103" width="13" style="1" customWidth="1"/>
    <col min="14104" max="14104" width="12" style="1" customWidth="1"/>
    <col min="14105" max="14105" width="18.42578125" style="1" customWidth="1"/>
    <col min="14106" max="14337" width="11.42578125" style="1"/>
    <col min="14338" max="14338" width="58.42578125" style="1" customWidth="1"/>
    <col min="14339" max="14339" width="8.42578125" style="1" customWidth="1"/>
    <col min="14340" max="14340" width="11.42578125" style="1" customWidth="1"/>
    <col min="14341" max="14341" width="7.85546875" style="1" customWidth="1"/>
    <col min="14342" max="14342" width="9.42578125" style="1" customWidth="1"/>
    <col min="14343" max="14343" width="8.85546875" style="1" customWidth="1"/>
    <col min="14344" max="14344" width="14.42578125" style="1" customWidth="1"/>
    <col min="14345" max="14345" width="8.85546875" style="1" customWidth="1"/>
    <col min="14346" max="14346" width="12.140625" style="1" customWidth="1"/>
    <col min="14347" max="14347" width="8.42578125" style="1" customWidth="1"/>
    <col min="14348" max="14349" width="11.42578125" style="1" customWidth="1"/>
    <col min="14350" max="14350" width="11.85546875" style="1" customWidth="1"/>
    <col min="14351" max="14351" width="11.42578125" style="1" customWidth="1"/>
    <col min="14352" max="14352" width="10.42578125" style="1" customWidth="1"/>
    <col min="14353" max="14353" width="11.85546875" style="1" customWidth="1"/>
    <col min="14354" max="14354" width="10.42578125" style="1" customWidth="1"/>
    <col min="14355" max="14355" width="12" style="1" customWidth="1"/>
    <col min="14356" max="14356" width="16.85546875" style="1" customWidth="1"/>
    <col min="14357" max="14357" width="12.42578125" style="1" customWidth="1"/>
    <col min="14358" max="14358" width="9.140625" style="1" customWidth="1"/>
    <col min="14359" max="14359" width="13" style="1" customWidth="1"/>
    <col min="14360" max="14360" width="12" style="1" customWidth="1"/>
    <col min="14361" max="14361" width="18.42578125" style="1" customWidth="1"/>
    <col min="14362" max="14593" width="11.42578125" style="1"/>
    <col min="14594" max="14594" width="58.42578125" style="1" customWidth="1"/>
    <col min="14595" max="14595" width="8.42578125" style="1" customWidth="1"/>
    <col min="14596" max="14596" width="11.42578125" style="1" customWidth="1"/>
    <col min="14597" max="14597" width="7.85546875" style="1" customWidth="1"/>
    <col min="14598" max="14598" width="9.42578125" style="1" customWidth="1"/>
    <col min="14599" max="14599" width="8.85546875" style="1" customWidth="1"/>
    <col min="14600" max="14600" width="14.42578125" style="1" customWidth="1"/>
    <col min="14601" max="14601" width="8.85546875" style="1" customWidth="1"/>
    <col min="14602" max="14602" width="12.140625" style="1" customWidth="1"/>
    <col min="14603" max="14603" width="8.42578125" style="1" customWidth="1"/>
    <col min="14604" max="14605" width="11.42578125" style="1" customWidth="1"/>
    <col min="14606" max="14606" width="11.85546875" style="1" customWidth="1"/>
    <col min="14607" max="14607" width="11.42578125" style="1" customWidth="1"/>
    <col min="14608" max="14608" width="10.42578125" style="1" customWidth="1"/>
    <col min="14609" max="14609" width="11.85546875" style="1" customWidth="1"/>
    <col min="14610" max="14610" width="10.42578125" style="1" customWidth="1"/>
    <col min="14611" max="14611" width="12" style="1" customWidth="1"/>
    <col min="14612" max="14612" width="16.85546875" style="1" customWidth="1"/>
    <col min="14613" max="14613" width="12.42578125" style="1" customWidth="1"/>
    <col min="14614" max="14614" width="9.140625" style="1" customWidth="1"/>
    <col min="14615" max="14615" width="13" style="1" customWidth="1"/>
    <col min="14616" max="14616" width="12" style="1" customWidth="1"/>
    <col min="14617" max="14617" width="18.42578125" style="1" customWidth="1"/>
    <col min="14618" max="14849" width="11.42578125" style="1"/>
    <col min="14850" max="14850" width="58.42578125" style="1" customWidth="1"/>
    <col min="14851" max="14851" width="8.42578125" style="1" customWidth="1"/>
    <col min="14852" max="14852" width="11.42578125" style="1" customWidth="1"/>
    <col min="14853" max="14853" width="7.85546875" style="1" customWidth="1"/>
    <col min="14854" max="14854" width="9.42578125" style="1" customWidth="1"/>
    <col min="14855" max="14855" width="8.85546875" style="1" customWidth="1"/>
    <col min="14856" max="14856" width="14.42578125" style="1" customWidth="1"/>
    <col min="14857" max="14857" width="8.85546875" style="1" customWidth="1"/>
    <col min="14858" max="14858" width="12.140625" style="1" customWidth="1"/>
    <col min="14859" max="14859" width="8.42578125" style="1" customWidth="1"/>
    <col min="14860" max="14861" width="11.42578125" style="1" customWidth="1"/>
    <col min="14862" max="14862" width="11.85546875" style="1" customWidth="1"/>
    <col min="14863" max="14863" width="11.42578125" style="1" customWidth="1"/>
    <col min="14864" max="14864" width="10.42578125" style="1" customWidth="1"/>
    <col min="14865" max="14865" width="11.85546875" style="1" customWidth="1"/>
    <col min="14866" max="14866" width="10.42578125" style="1" customWidth="1"/>
    <col min="14867" max="14867" width="12" style="1" customWidth="1"/>
    <col min="14868" max="14868" width="16.85546875" style="1" customWidth="1"/>
    <col min="14869" max="14869" width="12.42578125" style="1" customWidth="1"/>
    <col min="14870" max="14870" width="9.140625" style="1" customWidth="1"/>
    <col min="14871" max="14871" width="13" style="1" customWidth="1"/>
    <col min="14872" max="14872" width="12" style="1" customWidth="1"/>
    <col min="14873" max="14873" width="18.42578125" style="1" customWidth="1"/>
    <col min="14874" max="15105" width="11.42578125" style="1"/>
    <col min="15106" max="15106" width="58.42578125" style="1" customWidth="1"/>
    <col min="15107" max="15107" width="8.42578125" style="1" customWidth="1"/>
    <col min="15108" max="15108" width="11.42578125" style="1" customWidth="1"/>
    <col min="15109" max="15109" width="7.85546875" style="1" customWidth="1"/>
    <col min="15110" max="15110" width="9.42578125" style="1" customWidth="1"/>
    <col min="15111" max="15111" width="8.85546875" style="1" customWidth="1"/>
    <col min="15112" max="15112" width="14.42578125" style="1" customWidth="1"/>
    <col min="15113" max="15113" width="8.85546875" style="1" customWidth="1"/>
    <col min="15114" max="15114" width="12.140625" style="1" customWidth="1"/>
    <col min="15115" max="15115" width="8.42578125" style="1" customWidth="1"/>
    <col min="15116" max="15117" width="11.42578125" style="1" customWidth="1"/>
    <col min="15118" max="15118" width="11.85546875" style="1" customWidth="1"/>
    <col min="15119" max="15119" width="11.42578125" style="1" customWidth="1"/>
    <col min="15120" max="15120" width="10.42578125" style="1" customWidth="1"/>
    <col min="15121" max="15121" width="11.85546875" style="1" customWidth="1"/>
    <col min="15122" max="15122" width="10.42578125" style="1" customWidth="1"/>
    <col min="15123" max="15123" width="12" style="1" customWidth="1"/>
    <col min="15124" max="15124" width="16.85546875" style="1" customWidth="1"/>
    <col min="15125" max="15125" width="12.42578125" style="1" customWidth="1"/>
    <col min="15126" max="15126" width="9.140625" style="1" customWidth="1"/>
    <col min="15127" max="15127" width="13" style="1" customWidth="1"/>
    <col min="15128" max="15128" width="12" style="1" customWidth="1"/>
    <col min="15129" max="15129" width="18.42578125" style="1" customWidth="1"/>
    <col min="15130" max="15361" width="11.42578125" style="1"/>
    <col min="15362" max="15362" width="58.42578125" style="1" customWidth="1"/>
    <col min="15363" max="15363" width="8.42578125" style="1" customWidth="1"/>
    <col min="15364" max="15364" width="11.42578125" style="1" customWidth="1"/>
    <col min="15365" max="15365" width="7.85546875" style="1" customWidth="1"/>
    <col min="15366" max="15366" width="9.42578125" style="1" customWidth="1"/>
    <col min="15367" max="15367" width="8.85546875" style="1" customWidth="1"/>
    <col min="15368" max="15368" width="14.42578125" style="1" customWidth="1"/>
    <col min="15369" max="15369" width="8.85546875" style="1" customWidth="1"/>
    <col min="15370" max="15370" width="12.140625" style="1" customWidth="1"/>
    <col min="15371" max="15371" width="8.42578125" style="1" customWidth="1"/>
    <col min="15372" max="15373" width="11.42578125" style="1" customWidth="1"/>
    <col min="15374" max="15374" width="11.85546875" style="1" customWidth="1"/>
    <col min="15375" max="15375" width="11.42578125" style="1" customWidth="1"/>
    <col min="15376" max="15376" width="10.42578125" style="1" customWidth="1"/>
    <col min="15377" max="15377" width="11.85546875" style="1" customWidth="1"/>
    <col min="15378" max="15378" width="10.42578125" style="1" customWidth="1"/>
    <col min="15379" max="15379" width="12" style="1" customWidth="1"/>
    <col min="15380" max="15380" width="16.85546875" style="1" customWidth="1"/>
    <col min="15381" max="15381" width="12.42578125" style="1" customWidth="1"/>
    <col min="15382" max="15382" width="9.140625" style="1" customWidth="1"/>
    <col min="15383" max="15383" width="13" style="1" customWidth="1"/>
    <col min="15384" max="15384" width="12" style="1" customWidth="1"/>
    <col min="15385" max="15385" width="18.42578125" style="1" customWidth="1"/>
    <col min="15386" max="15617" width="11.42578125" style="1"/>
    <col min="15618" max="15618" width="58.42578125" style="1" customWidth="1"/>
    <col min="15619" max="15619" width="8.42578125" style="1" customWidth="1"/>
    <col min="15620" max="15620" width="11.42578125" style="1" customWidth="1"/>
    <col min="15621" max="15621" width="7.85546875" style="1" customWidth="1"/>
    <col min="15622" max="15622" width="9.42578125" style="1" customWidth="1"/>
    <col min="15623" max="15623" width="8.85546875" style="1" customWidth="1"/>
    <col min="15624" max="15624" width="14.42578125" style="1" customWidth="1"/>
    <col min="15625" max="15625" width="8.85546875" style="1" customWidth="1"/>
    <col min="15626" max="15626" width="12.140625" style="1" customWidth="1"/>
    <col min="15627" max="15627" width="8.42578125" style="1" customWidth="1"/>
    <col min="15628" max="15629" width="11.42578125" style="1" customWidth="1"/>
    <col min="15630" max="15630" width="11.85546875" style="1" customWidth="1"/>
    <col min="15631" max="15631" width="11.42578125" style="1" customWidth="1"/>
    <col min="15632" max="15632" width="10.42578125" style="1" customWidth="1"/>
    <col min="15633" max="15633" width="11.85546875" style="1" customWidth="1"/>
    <col min="15634" max="15634" width="10.42578125" style="1" customWidth="1"/>
    <col min="15635" max="15635" width="12" style="1" customWidth="1"/>
    <col min="15636" max="15636" width="16.85546875" style="1" customWidth="1"/>
    <col min="15637" max="15637" width="12.42578125" style="1" customWidth="1"/>
    <col min="15638" max="15638" width="9.140625" style="1" customWidth="1"/>
    <col min="15639" max="15639" width="13" style="1" customWidth="1"/>
    <col min="15640" max="15640" width="12" style="1" customWidth="1"/>
    <col min="15641" max="15641" width="18.42578125" style="1" customWidth="1"/>
    <col min="15642" max="15873" width="11.42578125" style="1"/>
    <col min="15874" max="15874" width="58.42578125" style="1" customWidth="1"/>
    <col min="15875" max="15875" width="8.42578125" style="1" customWidth="1"/>
    <col min="15876" max="15876" width="11.42578125" style="1" customWidth="1"/>
    <col min="15877" max="15877" width="7.85546875" style="1" customWidth="1"/>
    <col min="15878" max="15878" width="9.42578125" style="1" customWidth="1"/>
    <col min="15879" max="15879" width="8.85546875" style="1" customWidth="1"/>
    <col min="15880" max="15880" width="14.42578125" style="1" customWidth="1"/>
    <col min="15881" max="15881" width="8.85546875" style="1" customWidth="1"/>
    <col min="15882" max="15882" width="12.140625" style="1" customWidth="1"/>
    <col min="15883" max="15883" width="8.42578125" style="1" customWidth="1"/>
    <col min="15884" max="15885" width="11.42578125" style="1" customWidth="1"/>
    <col min="15886" max="15886" width="11.85546875" style="1" customWidth="1"/>
    <col min="15887" max="15887" width="11.42578125" style="1" customWidth="1"/>
    <col min="15888" max="15888" width="10.42578125" style="1" customWidth="1"/>
    <col min="15889" max="15889" width="11.85546875" style="1" customWidth="1"/>
    <col min="15890" max="15890" width="10.42578125" style="1" customWidth="1"/>
    <col min="15891" max="15891" width="12" style="1" customWidth="1"/>
    <col min="15892" max="15892" width="16.85546875" style="1" customWidth="1"/>
    <col min="15893" max="15893" width="12.42578125" style="1" customWidth="1"/>
    <col min="15894" max="15894" width="9.140625" style="1" customWidth="1"/>
    <col min="15895" max="15895" width="13" style="1" customWidth="1"/>
    <col min="15896" max="15896" width="12" style="1" customWidth="1"/>
    <col min="15897" max="15897" width="18.42578125" style="1" customWidth="1"/>
    <col min="15898" max="16129" width="11.42578125" style="1"/>
    <col min="16130" max="16130" width="58.42578125" style="1" customWidth="1"/>
    <col min="16131" max="16131" width="8.42578125" style="1" customWidth="1"/>
    <col min="16132" max="16132" width="11.42578125" style="1" customWidth="1"/>
    <col min="16133" max="16133" width="7.85546875" style="1" customWidth="1"/>
    <col min="16134" max="16134" width="9.42578125" style="1" customWidth="1"/>
    <col min="16135" max="16135" width="8.85546875" style="1" customWidth="1"/>
    <col min="16136" max="16136" width="14.42578125" style="1" customWidth="1"/>
    <col min="16137" max="16137" width="8.85546875" style="1" customWidth="1"/>
    <col min="16138" max="16138" width="12.140625" style="1" customWidth="1"/>
    <col min="16139" max="16139" width="8.42578125" style="1" customWidth="1"/>
    <col min="16140" max="16141" width="11.42578125" style="1" customWidth="1"/>
    <col min="16142" max="16142" width="11.85546875" style="1" customWidth="1"/>
    <col min="16143" max="16143" width="11.42578125" style="1" customWidth="1"/>
    <col min="16144" max="16144" width="10.42578125" style="1" customWidth="1"/>
    <col min="16145" max="16145" width="11.85546875" style="1" customWidth="1"/>
    <col min="16146" max="16146" width="10.42578125" style="1" customWidth="1"/>
    <col min="16147" max="16147" width="12" style="1" customWidth="1"/>
    <col min="16148" max="16148" width="16.85546875" style="1" customWidth="1"/>
    <col min="16149" max="16149" width="12.42578125" style="1" customWidth="1"/>
    <col min="16150" max="16150" width="9.140625" style="1" customWidth="1"/>
    <col min="16151" max="16151" width="13" style="1" customWidth="1"/>
    <col min="16152" max="16152" width="12" style="1" customWidth="1"/>
    <col min="16153" max="16153" width="18.42578125" style="1" customWidth="1"/>
    <col min="16154" max="16384" width="11.42578125" style="1"/>
  </cols>
  <sheetData>
    <row r="1" spans="1:37" ht="12" customHeight="1">
      <c r="A1" s="1"/>
      <c r="B1" s="1"/>
      <c r="C1" s="1"/>
      <c r="D1" s="1"/>
      <c r="E1" s="1"/>
      <c r="F1" s="111" t="s">
        <v>0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2"/>
      <c r="X1" s="2"/>
      <c r="Y1" s="2"/>
    </row>
    <row r="2" spans="1:37" ht="12" customHeight="1">
      <c r="A2" s="1"/>
      <c r="B2" s="1"/>
      <c r="C2" s="1"/>
      <c r="D2" s="1"/>
      <c r="E2" s="1"/>
      <c r="F2" s="112" t="s">
        <v>1</v>
      </c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</row>
    <row r="3" spans="1:37" ht="12" customHeight="1">
      <c r="A3" s="1"/>
      <c r="B3" s="1"/>
      <c r="C3" s="1"/>
      <c r="D3" s="1"/>
      <c r="E3" s="1"/>
      <c r="F3" s="113" t="s">
        <v>2</v>
      </c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</row>
    <row r="4" spans="1:37" s="5" customFormat="1" ht="12" customHeight="1">
      <c r="A4" s="3" t="s">
        <v>3</v>
      </c>
      <c r="B4" s="3" t="s">
        <v>4</v>
      </c>
      <c r="C4" s="1"/>
      <c r="D4" s="1"/>
      <c r="E4" s="1"/>
      <c r="F4" s="114" t="s">
        <v>5</v>
      </c>
      <c r="G4" s="11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37" s="5" customFormat="1" ht="12" customHeight="1">
      <c r="A5" s="3" t="s">
        <v>6</v>
      </c>
      <c r="B5" s="3">
        <v>20200</v>
      </c>
      <c r="C5" s="1"/>
      <c r="D5" s="1"/>
      <c r="E5" s="1"/>
      <c r="F5" s="6" t="s">
        <v>7</v>
      </c>
      <c r="G5" s="7">
        <v>1.04</v>
      </c>
      <c r="H5" s="4"/>
      <c r="I5" s="8"/>
      <c r="J5" s="8"/>
      <c r="K5" s="9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37" s="5" customFormat="1" ht="12" customHeight="1">
      <c r="A6" s="3" t="s">
        <v>8</v>
      </c>
      <c r="B6" s="3" t="s">
        <v>9</v>
      </c>
      <c r="C6" s="1"/>
      <c r="D6" s="1"/>
      <c r="E6" s="1"/>
      <c r="F6" s="6" t="s">
        <v>10</v>
      </c>
      <c r="G6" s="11">
        <v>1.0349999999999999</v>
      </c>
      <c r="H6" s="4"/>
      <c r="I6" s="8"/>
      <c r="J6" s="8"/>
      <c r="K6" s="9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37" ht="31.9" thickBot="1">
      <c r="A7" s="12" t="s">
        <v>11</v>
      </c>
      <c r="B7" s="12" t="s">
        <v>12</v>
      </c>
      <c r="C7" s="12" t="s">
        <v>13</v>
      </c>
      <c r="D7" s="12" t="s">
        <v>14</v>
      </c>
      <c r="E7" s="12" t="s">
        <v>15</v>
      </c>
      <c r="F7" s="13" t="s">
        <v>16</v>
      </c>
      <c r="G7" s="13" t="s">
        <v>17</v>
      </c>
      <c r="H7" s="13" t="s">
        <v>18</v>
      </c>
      <c r="I7" s="13" t="s">
        <v>19</v>
      </c>
      <c r="J7" s="14" t="s">
        <v>20</v>
      </c>
      <c r="K7" s="15" t="s">
        <v>21</v>
      </c>
      <c r="L7" s="16" t="s">
        <v>19</v>
      </c>
      <c r="M7" s="15" t="s">
        <v>22</v>
      </c>
      <c r="N7" s="16" t="s">
        <v>19</v>
      </c>
      <c r="O7" s="15" t="s">
        <v>23</v>
      </c>
      <c r="P7" s="16" t="s">
        <v>19</v>
      </c>
      <c r="Q7" s="15" t="s">
        <v>24</v>
      </c>
      <c r="R7" s="16" t="s">
        <v>19</v>
      </c>
      <c r="S7" s="15" t="s">
        <v>25</v>
      </c>
      <c r="T7" s="14" t="s">
        <v>26</v>
      </c>
      <c r="U7" s="14" t="s">
        <v>27</v>
      </c>
      <c r="V7" s="14" t="s">
        <v>28</v>
      </c>
    </row>
    <row r="8" spans="1:37" ht="13.5" customHeight="1">
      <c r="A8" s="17"/>
      <c r="B8" s="17"/>
      <c r="C8" s="17"/>
      <c r="D8" s="17"/>
      <c r="E8" s="17"/>
      <c r="F8" s="17" t="s">
        <v>29</v>
      </c>
      <c r="G8" s="17"/>
      <c r="H8" s="18"/>
      <c r="I8" s="18"/>
      <c r="J8" s="19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spans="1:37" s="29" customFormat="1" ht="12" customHeight="1">
      <c r="A9" s="21" t="s">
        <v>30</v>
      </c>
      <c r="B9" s="21">
        <v>89050</v>
      </c>
      <c r="C9" s="21" t="s">
        <v>31</v>
      </c>
      <c r="D9" s="21" t="s">
        <v>32</v>
      </c>
      <c r="E9" s="21" t="s">
        <v>33</v>
      </c>
      <c r="F9" s="21" t="s">
        <v>34</v>
      </c>
      <c r="G9" s="22" t="s">
        <v>35</v>
      </c>
      <c r="H9" s="23" t="s">
        <v>36</v>
      </c>
      <c r="I9" s="24">
        <v>3</v>
      </c>
      <c r="J9" s="25">
        <v>1586</v>
      </c>
      <c r="K9" s="24">
        <f t="shared" ref="K9:K18" si="0">I9*J9</f>
        <v>4758</v>
      </c>
      <c r="L9" s="24">
        <v>12</v>
      </c>
      <c r="M9" s="24">
        <f>L9*J9*$G$6</f>
        <v>19698.12</v>
      </c>
      <c r="N9" s="24">
        <v>12</v>
      </c>
      <c r="O9" s="24">
        <f t="shared" ref="O9:O18" si="1">N9*J9*$G$6*$G$6</f>
        <v>20387.554199999999</v>
      </c>
      <c r="P9" s="24">
        <v>12</v>
      </c>
      <c r="Q9" s="24">
        <f>P9*J9*$G$6*$G$6*$G$6</f>
        <v>21101.118596999997</v>
      </c>
      <c r="R9" s="24">
        <v>2</v>
      </c>
      <c r="S9" s="24">
        <f>R9*J9*$G$6*$G$6*$G$6*$G$6</f>
        <v>3639.9429579824987</v>
      </c>
      <c r="T9" s="24">
        <f t="shared" ref="T9:T18" si="2">SUM(K9+M9+O9+Q9+S9)</f>
        <v>69584.735754982481</v>
      </c>
      <c r="U9" s="24">
        <v>0</v>
      </c>
      <c r="V9" s="24">
        <f t="shared" ref="V9:V18" si="3">SUM(T9:U9)</f>
        <v>69584.735754982481</v>
      </c>
      <c r="W9" s="26"/>
      <c r="X9" s="27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</row>
    <row r="10" spans="1:37" s="29" customFormat="1" ht="12" customHeight="1">
      <c r="A10" s="21" t="s">
        <v>30</v>
      </c>
      <c r="B10" s="21">
        <v>89050</v>
      </c>
      <c r="C10" s="21" t="s">
        <v>31</v>
      </c>
      <c r="D10" s="21" t="s">
        <v>32</v>
      </c>
      <c r="E10" s="21" t="s">
        <v>37</v>
      </c>
      <c r="F10" s="21" t="s">
        <v>38</v>
      </c>
      <c r="G10" s="22" t="s">
        <v>35</v>
      </c>
      <c r="H10" s="23" t="s">
        <v>36</v>
      </c>
      <c r="I10" s="24">
        <v>3</v>
      </c>
      <c r="J10" s="25">
        <v>1458</v>
      </c>
      <c r="K10" s="24">
        <f t="shared" si="0"/>
        <v>4374</v>
      </c>
      <c r="L10" s="24">
        <v>12</v>
      </c>
      <c r="M10" s="24">
        <f t="shared" ref="M10:M18" si="4">L10*J10*$G$6</f>
        <v>18108.359999999997</v>
      </c>
      <c r="N10" s="24">
        <v>12</v>
      </c>
      <c r="O10" s="24">
        <f t="shared" si="1"/>
        <v>18742.152599999994</v>
      </c>
      <c r="P10" s="24">
        <v>12</v>
      </c>
      <c r="Q10" s="24">
        <f t="shared" ref="Q10:Q18" si="5">P10*J10*$G$6*$G$6*$G$6</f>
        <v>19398.127940999992</v>
      </c>
      <c r="R10" s="24">
        <v>2</v>
      </c>
      <c r="S10" s="24">
        <f t="shared" ref="S10:S18" si="6">R10*J10*$G$6*$G$6*$G$6*$G$6</f>
        <v>3346.1770698224996</v>
      </c>
      <c r="T10" s="24">
        <f t="shared" si="2"/>
        <v>63968.81761082248</v>
      </c>
      <c r="U10" s="24">
        <v>0</v>
      </c>
      <c r="V10" s="24">
        <f t="shared" si="3"/>
        <v>63968.81761082248</v>
      </c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</row>
    <row r="11" spans="1:37" s="29" customFormat="1" ht="12.4">
      <c r="A11" s="21" t="s">
        <v>30</v>
      </c>
      <c r="B11" s="21">
        <v>89050</v>
      </c>
      <c r="C11" s="21" t="s">
        <v>31</v>
      </c>
      <c r="D11" s="21" t="s">
        <v>32</v>
      </c>
      <c r="E11" s="21" t="s">
        <v>39</v>
      </c>
      <c r="F11" s="21" t="s">
        <v>40</v>
      </c>
      <c r="G11" s="22" t="s">
        <v>35</v>
      </c>
      <c r="H11" s="23" t="s">
        <v>36</v>
      </c>
      <c r="I11" s="24">
        <v>3</v>
      </c>
      <c r="J11" s="25">
        <v>1458</v>
      </c>
      <c r="K11" s="24">
        <f t="shared" si="0"/>
        <v>4374</v>
      </c>
      <c r="L11" s="24">
        <v>12</v>
      </c>
      <c r="M11" s="24">
        <f t="shared" si="4"/>
        <v>18108.359999999997</v>
      </c>
      <c r="N11" s="24">
        <v>12</v>
      </c>
      <c r="O11" s="24">
        <f t="shared" si="1"/>
        <v>18742.152599999994</v>
      </c>
      <c r="P11" s="24">
        <v>12</v>
      </c>
      <c r="Q11" s="24">
        <f t="shared" si="5"/>
        <v>19398.127940999992</v>
      </c>
      <c r="R11" s="24">
        <v>2</v>
      </c>
      <c r="S11" s="24">
        <f t="shared" si="6"/>
        <v>3346.1770698224996</v>
      </c>
      <c r="T11" s="24">
        <f t="shared" si="2"/>
        <v>63968.81761082248</v>
      </c>
      <c r="U11" s="24">
        <v>0</v>
      </c>
      <c r="V11" s="24">
        <f t="shared" si="3"/>
        <v>63968.81761082248</v>
      </c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</row>
    <row r="12" spans="1:37" s="29" customFormat="1" ht="12.4">
      <c r="A12" s="21" t="s">
        <v>30</v>
      </c>
      <c r="B12" s="21">
        <v>89050</v>
      </c>
      <c r="C12" s="21" t="s">
        <v>31</v>
      </c>
      <c r="D12" s="21" t="s">
        <v>32</v>
      </c>
      <c r="E12" s="21" t="s">
        <v>41</v>
      </c>
      <c r="F12" s="21" t="s">
        <v>42</v>
      </c>
      <c r="G12" s="22" t="s">
        <v>35</v>
      </c>
      <c r="H12" s="23" t="s">
        <v>36</v>
      </c>
      <c r="I12" s="24">
        <v>3</v>
      </c>
      <c r="J12" s="30">
        <v>1458</v>
      </c>
      <c r="K12" s="24">
        <f t="shared" si="0"/>
        <v>4374</v>
      </c>
      <c r="L12" s="24">
        <v>12</v>
      </c>
      <c r="M12" s="24">
        <f t="shared" si="4"/>
        <v>18108.359999999997</v>
      </c>
      <c r="N12" s="24">
        <v>12</v>
      </c>
      <c r="O12" s="24">
        <f t="shared" si="1"/>
        <v>18742.152599999994</v>
      </c>
      <c r="P12" s="24">
        <v>12</v>
      </c>
      <c r="Q12" s="24">
        <f t="shared" si="5"/>
        <v>19398.127940999992</v>
      </c>
      <c r="R12" s="24">
        <v>2</v>
      </c>
      <c r="S12" s="24">
        <f t="shared" si="6"/>
        <v>3346.1770698224996</v>
      </c>
      <c r="T12" s="24">
        <f t="shared" si="2"/>
        <v>63968.81761082248</v>
      </c>
      <c r="U12" s="24">
        <v>0</v>
      </c>
      <c r="V12" s="24">
        <f t="shared" si="3"/>
        <v>63968.81761082248</v>
      </c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</row>
    <row r="13" spans="1:37" s="29" customFormat="1" ht="12.4">
      <c r="A13" s="21" t="s">
        <v>30</v>
      </c>
      <c r="B13" s="21">
        <v>89050</v>
      </c>
      <c r="C13" s="21" t="s">
        <v>31</v>
      </c>
      <c r="D13" s="21" t="s">
        <v>32</v>
      </c>
      <c r="E13" s="21" t="s">
        <v>43</v>
      </c>
      <c r="F13" s="21" t="s">
        <v>44</v>
      </c>
      <c r="G13" s="22" t="s">
        <v>35</v>
      </c>
      <c r="H13" s="23" t="s">
        <v>36</v>
      </c>
      <c r="I13" s="24">
        <v>3</v>
      </c>
      <c r="J13" s="30">
        <v>1458</v>
      </c>
      <c r="K13" s="24">
        <f t="shared" si="0"/>
        <v>4374</v>
      </c>
      <c r="L13" s="24">
        <v>12</v>
      </c>
      <c r="M13" s="24">
        <f t="shared" si="4"/>
        <v>18108.359999999997</v>
      </c>
      <c r="N13" s="24">
        <v>12</v>
      </c>
      <c r="O13" s="24">
        <f t="shared" si="1"/>
        <v>18742.152599999994</v>
      </c>
      <c r="P13" s="24">
        <v>12</v>
      </c>
      <c r="Q13" s="24">
        <f t="shared" si="5"/>
        <v>19398.127940999992</v>
      </c>
      <c r="R13" s="24">
        <v>2</v>
      </c>
      <c r="S13" s="24">
        <f t="shared" si="6"/>
        <v>3346.1770698224996</v>
      </c>
      <c r="T13" s="24">
        <f t="shared" si="2"/>
        <v>63968.81761082248</v>
      </c>
      <c r="U13" s="24">
        <v>0</v>
      </c>
      <c r="V13" s="24">
        <f t="shared" si="3"/>
        <v>63968.81761082248</v>
      </c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</row>
    <row r="14" spans="1:37" s="29" customFormat="1" ht="12.4">
      <c r="A14" s="21" t="s">
        <v>30</v>
      </c>
      <c r="B14" s="21">
        <v>89050</v>
      </c>
      <c r="C14" s="21" t="s">
        <v>31</v>
      </c>
      <c r="D14" s="21" t="s">
        <v>32</v>
      </c>
      <c r="E14" s="21" t="s">
        <v>45</v>
      </c>
      <c r="F14" s="21" t="s">
        <v>46</v>
      </c>
      <c r="G14" s="22" t="s">
        <v>35</v>
      </c>
      <c r="H14" s="23" t="s">
        <v>36</v>
      </c>
      <c r="I14" s="24">
        <v>3</v>
      </c>
      <c r="J14" s="30">
        <v>1458</v>
      </c>
      <c r="K14" s="24">
        <f t="shared" si="0"/>
        <v>4374</v>
      </c>
      <c r="L14" s="24">
        <v>12</v>
      </c>
      <c r="M14" s="24">
        <f t="shared" si="4"/>
        <v>18108.359999999997</v>
      </c>
      <c r="N14" s="24">
        <v>12</v>
      </c>
      <c r="O14" s="24">
        <f t="shared" si="1"/>
        <v>18742.152599999994</v>
      </c>
      <c r="P14" s="24">
        <v>12</v>
      </c>
      <c r="Q14" s="24">
        <f t="shared" si="5"/>
        <v>19398.127940999992</v>
      </c>
      <c r="R14" s="24"/>
      <c r="S14" s="24">
        <f t="shared" si="6"/>
        <v>0</v>
      </c>
      <c r="T14" s="24">
        <f t="shared" si="2"/>
        <v>60622.640540999979</v>
      </c>
      <c r="U14" s="24">
        <v>0</v>
      </c>
      <c r="V14" s="24">
        <f t="shared" si="3"/>
        <v>60622.640540999979</v>
      </c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</row>
    <row r="15" spans="1:37" s="29" customFormat="1" ht="12.4">
      <c r="A15" s="21" t="s">
        <v>30</v>
      </c>
      <c r="B15" s="21">
        <v>89050</v>
      </c>
      <c r="C15" s="21" t="s">
        <v>31</v>
      </c>
      <c r="D15" s="21" t="s">
        <v>32</v>
      </c>
      <c r="E15" s="21" t="s">
        <v>47</v>
      </c>
      <c r="F15" s="21" t="s">
        <v>48</v>
      </c>
      <c r="G15" s="22" t="s">
        <v>35</v>
      </c>
      <c r="H15" s="23" t="s">
        <v>36</v>
      </c>
      <c r="I15" s="24">
        <v>2</v>
      </c>
      <c r="J15" s="30">
        <v>125</v>
      </c>
      <c r="K15" s="24">
        <f>I15*J15</f>
        <v>250</v>
      </c>
      <c r="L15" s="24">
        <v>12</v>
      </c>
      <c r="M15" s="24">
        <f t="shared" si="4"/>
        <v>1552.4999999999998</v>
      </c>
      <c r="N15" s="24">
        <v>12</v>
      </c>
      <c r="O15" s="24">
        <f t="shared" si="1"/>
        <v>1606.8374999999996</v>
      </c>
      <c r="P15" s="24">
        <v>12</v>
      </c>
      <c r="Q15" s="24">
        <f t="shared" si="5"/>
        <v>1663.0768124999995</v>
      </c>
      <c r="R15" s="24"/>
      <c r="S15" s="24">
        <f t="shared" si="6"/>
        <v>0</v>
      </c>
      <c r="T15" s="24">
        <f t="shared" si="2"/>
        <v>5072.4143124999991</v>
      </c>
      <c r="U15" s="24">
        <v>0</v>
      </c>
      <c r="V15" s="24">
        <f t="shared" si="3"/>
        <v>5072.4143124999991</v>
      </c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</row>
    <row r="16" spans="1:37" s="29" customFormat="1" ht="12.4">
      <c r="A16" s="21" t="s">
        <v>30</v>
      </c>
      <c r="B16" s="21">
        <v>89050</v>
      </c>
      <c r="C16" s="21" t="s">
        <v>31</v>
      </c>
      <c r="D16" s="21" t="s">
        <v>32</v>
      </c>
      <c r="E16" s="21" t="s">
        <v>47</v>
      </c>
      <c r="F16" s="21" t="s">
        <v>49</v>
      </c>
      <c r="G16" s="22" t="s">
        <v>35</v>
      </c>
      <c r="H16" s="23" t="s">
        <v>36</v>
      </c>
      <c r="I16" s="24">
        <v>2</v>
      </c>
      <c r="J16" s="30">
        <v>125</v>
      </c>
      <c r="K16" s="24">
        <f t="shared" ref="K16:K17" si="7">I16*J16</f>
        <v>250</v>
      </c>
      <c r="L16" s="24">
        <v>12</v>
      </c>
      <c r="M16" s="24">
        <f t="shared" si="4"/>
        <v>1552.4999999999998</v>
      </c>
      <c r="N16" s="24">
        <v>12</v>
      </c>
      <c r="O16" s="24">
        <f t="shared" si="1"/>
        <v>1606.8374999999996</v>
      </c>
      <c r="P16" s="24">
        <v>12</v>
      </c>
      <c r="Q16" s="24">
        <f t="shared" si="5"/>
        <v>1663.0768124999995</v>
      </c>
      <c r="R16" s="24"/>
      <c r="S16" s="24">
        <f t="shared" si="6"/>
        <v>0</v>
      </c>
      <c r="T16" s="24">
        <f t="shared" si="2"/>
        <v>5072.4143124999991</v>
      </c>
      <c r="U16" s="24">
        <v>0</v>
      </c>
      <c r="V16" s="24">
        <f t="shared" si="3"/>
        <v>5072.4143124999991</v>
      </c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</row>
    <row r="17" spans="1:37" s="29" customFormat="1" ht="12.4">
      <c r="A17" s="21" t="s">
        <v>30</v>
      </c>
      <c r="B17" s="21">
        <v>89050</v>
      </c>
      <c r="C17" s="21" t="s">
        <v>31</v>
      </c>
      <c r="D17" s="21" t="s">
        <v>32</v>
      </c>
      <c r="E17" s="21" t="s">
        <v>47</v>
      </c>
      <c r="F17" s="21" t="s">
        <v>50</v>
      </c>
      <c r="G17" s="22" t="s">
        <v>35</v>
      </c>
      <c r="H17" s="23" t="s">
        <v>36</v>
      </c>
      <c r="I17" s="24">
        <v>2</v>
      </c>
      <c r="J17" s="30">
        <v>125</v>
      </c>
      <c r="K17" s="24">
        <f t="shared" si="7"/>
        <v>250</v>
      </c>
      <c r="L17" s="24">
        <v>12</v>
      </c>
      <c r="M17" s="24">
        <f t="shared" si="4"/>
        <v>1552.4999999999998</v>
      </c>
      <c r="N17" s="24">
        <v>12</v>
      </c>
      <c r="O17" s="24">
        <f t="shared" si="1"/>
        <v>1606.8374999999996</v>
      </c>
      <c r="P17" s="24">
        <v>12</v>
      </c>
      <c r="Q17" s="24">
        <f t="shared" si="5"/>
        <v>1663.0768124999995</v>
      </c>
      <c r="R17" s="24"/>
      <c r="S17" s="24">
        <f t="shared" si="6"/>
        <v>0</v>
      </c>
      <c r="T17" s="24">
        <f t="shared" si="2"/>
        <v>5072.4143124999991</v>
      </c>
      <c r="U17" s="24">
        <v>0</v>
      </c>
      <c r="V17" s="24">
        <f t="shared" si="3"/>
        <v>5072.4143124999991</v>
      </c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</row>
    <row r="18" spans="1:37" s="29" customFormat="1" ht="12.4">
      <c r="A18" s="21" t="s">
        <v>30</v>
      </c>
      <c r="B18" s="21">
        <v>89050</v>
      </c>
      <c r="C18" s="21" t="s">
        <v>31</v>
      </c>
      <c r="D18" s="21" t="s">
        <v>32</v>
      </c>
      <c r="E18" s="21" t="s">
        <v>47</v>
      </c>
      <c r="F18" s="21" t="s">
        <v>51</v>
      </c>
      <c r="G18" s="22" t="s">
        <v>35</v>
      </c>
      <c r="H18" s="23" t="s">
        <v>36</v>
      </c>
      <c r="I18" s="24">
        <v>2</v>
      </c>
      <c r="J18" s="30">
        <v>125</v>
      </c>
      <c r="K18" s="24">
        <f t="shared" si="0"/>
        <v>250</v>
      </c>
      <c r="L18" s="24">
        <v>12</v>
      </c>
      <c r="M18" s="24">
        <f t="shared" si="4"/>
        <v>1552.4999999999998</v>
      </c>
      <c r="N18" s="24">
        <v>12</v>
      </c>
      <c r="O18" s="24">
        <f t="shared" si="1"/>
        <v>1606.8374999999996</v>
      </c>
      <c r="P18" s="24">
        <v>12</v>
      </c>
      <c r="Q18" s="24">
        <f t="shared" si="5"/>
        <v>1663.0768124999995</v>
      </c>
      <c r="R18" s="24"/>
      <c r="S18" s="24">
        <f t="shared" si="6"/>
        <v>0</v>
      </c>
      <c r="T18" s="24">
        <f t="shared" si="2"/>
        <v>5072.4143124999991</v>
      </c>
      <c r="U18" s="24">
        <v>0</v>
      </c>
      <c r="V18" s="24">
        <f t="shared" si="3"/>
        <v>5072.4143124999991</v>
      </c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</row>
    <row r="19" spans="1:37" s="29" customFormat="1" ht="12.4">
      <c r="A19" s="31"/>
      <c r="B19" s="31"/>
      <c r="C19" s="31"/>
      <c r="D19" s="31"/>
      <c r="E19" s="31"/>
      <c r="F19" s="31"/>
      <c r="G19" s="22"/>
      <c r="H19" s="23"/>
      <c r="I19" s="24"/>
      <c r="J19" s="30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</row>
    <row r="20" spans="1:37" ht="10.9" thickBot="1">
      <c r="A20" s="32"/>
      <c r="B20" s="32"/>
      <c r="C20" s="32"/>
      <c r="D20" s="32"/>
      <c r="E20" s="32"/>
      <c r="F20" s="32" t="s">
        <v>52</v>
      </c>
      <c r="G20" s="32"/>
      <c r="H20" s="33"/>
      <c r="I20" s="33"/>
      <c r="J20" s="34"/>
      <c r="K20" s="35">
        <f>SUM(K9:K19)</f>
        <v>27628</v>
      </c>
      <c r="L20" s="35"/>
      <c r="M20" s="35">
        <f>SUM(M9:M19)</f>
        <v>116449.92</v>
      </c>
      <c r="N20" s="35"/>
      <c r="O20" s="35">
        <f>SUM(O9:O19)</f>
        <v>120525.66719999997</v>
      </c>
      <c r="P20" s="35"/>
      <c r="Q20" s="35">
        <f>SUM(Q9:Q19)</f>
        <v>124744.06555199996</v>
      </c>
      <c r="R20" s="35"/>
      <c r="S20" s="35">
        <f>SUM(S9:S19)</f>
        <v>17024.651237272497</v>
      </c>
      <c r="T20" s="35">
        <f>SUM(T9:T19)</f>
        <v>406372.30398927233</v>
      </c>
      <c r="U20" s="35">
        <f>SUM(U9:U19)</f>
        <v>0</v>
      </c>
      <c r="V20" s="35">
        <f>SUM(V9:V19)</f>
        <v>406372.30398927233</v>
      </c>
    </row>
    <row r="21" spans="1:37" ht="10.15">
      <c r="A21" s="36"/>
      <c r="B21" s="36"/>
      <c r="C21" s="36"/>
      <c r="D21" s="36"/>
      <c r="E21" s="36"/>
      <c r="F21" s="36"/>
      <c r="G21" s="36"/>
      <c r="H21" s="37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</row>
    <row r="22" spans="1:37" ht="10.9" thickBot="1">
      <c r="A22" s="32"/>
      <c r="B22" s="32"/>
      <c r="C22" s="32"/>
      <c r="D22" s="32"/>
      <c r="E22" s="32"/>
      <c r="F22" s="32" t="s">
        <v>53</v>
      </c>
      <c r="G22" s="32"/>
      <c r="H22" s="33"/>
      <c r="I22" s="33"/>
      <c r="J22" s="34"/>
      <c r="K22" s="35">
        <f>SUM(K21:K21)</f>
        <v>0</v>
      </c>
      <c r="L22" s="35"/>
      <c r="M22" s="35">
        <f>SUM(M21:M21)</f>
        <v>0</v>
      </c>
      <c r="N22" s="35"/>
      <c r="O22" s="35">
        <f>SUM(O21:O21)</f>
        <v>0</v>
      </c>
      <c r="P22" s="35"/>
      <c r="Q22" s="35">
        <f>SUM(Q21:Q21)</f>
        <v>0</v>
      </c>
      <c r="R22" s="35"/>
      <c r="S22" s="35">
        <f>SUM(S21:S21)</f>
        <v>0</v>
      </c>
      <c r="T22" s="35">
        <f>SUM(T21:T21)</f>
        <v>0</v>
      </c>
      <c r="U22" s="35">
        <f>SUM(U21:U21)</f>
        <v>0</v>
      </c>
      <c r="V22" s="35">
        <f>SUM(V21:V21)</f>
        <v>0</v>
      </c>
    </row>
    <row r="23" spans="1:37" ht="10.5">
      <c r="A23" s="18"/>
      <c r="B23" s="18"/>
      <c r="C23" s="18"/>
      <c r="D23" s="18"/>
      <c r="E23" s="18"/>
      <c r="F23" s="18" t="s">
        <v>54</v>
      </c>
      <c r="G23" s="18"/>
      <c r="H23" s="18"/>
      <c r="I23" s="18"/>
      <c r="J23" s="19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spans="1:37" s="29" customFormat="1" ht="12.4">
      <c r="A24" s="21" t="s">
        <v>30</v>
      </c>
      <c r="B24" s="21">
        <v>89050</v>
      </c>
      <c r="C24" s="21" t="s">
        <v>31</v>
      </c>
      <c r="D24" s="21" t="s">
        <v>32</v>
      </c>
      <c r="E24" s="39" t="s">
        <v>55</v>
      </c>
      <c r="F24" s="39" t="s">
        <v>56</v>
      </c>
      <c r="G24" s="22" t="s">
        <v>57</v>
      </c>
      <c r="H24" s="40" t="s">
        <v>58</v>
      </c>
      <c r="I24" s="24">
        <v>4</v>
      </c>
      <c r="J24" s="24">
        <v>1000</v>
      </c>
      <c r="K24" s="24">
        <f t="shared" ref="K24:K37" si="8">I24*J24</f>
        <v>4000</v>
      </c>
      <c r="L24" s="24">
        <v>0</v>
      </c>
      <c r="M24" s="24">
        <f t="shared" ref="M24:M37" si="9">L24*J24*$G$5</f>
        <v>0</v>
      </c>
      <c r="N24" s="24">
        <v>0</v>
      </c>
      <c r="O24" s="24">
        <f t="shared" ref="O24:O37" si="10">N24*J24*$G$5*$G$5</f>
        <v>0</v>
      </c>
      <c r="P24" s="24">
        <v>0</v>
      </c>
      <c r="Q24" s="24">
        <f t="shared" ref="Q24:Q37" si="11">P24*J24*$G$5*$G$5*$G$5</f>
        <v>0</v>
      </c>
      <c r="R24" s="24">
        <v>0</v>
      </c>
      <c r="S24" s="24">
        <f t="shared" ref="S24:S37" si="12">R24*J24*$G$5*$G$5*$G$5*$G$5</f>
        <v>0</v>
      </c>
      <c r="T24" s="24">
        <f t="shared" ref="T24:T37" si="13">K24+M24+O24+Q24+S24</f>
        <v>4000</v>
      </c>
      <c r="U24" s="24">
        <v>0</v>
      </c>
      <c r="V24" s="24">
        <f t="shared" ref="V24:V37" si="14">SUM(T24:U24)</f>
        <v>4000</v>
      </c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</row>
    <row r="25" spans="1:37" s="29" customFormat="1" ht="12.4">
      <c r="A25" s="21" t="s">
        <v>30</v>
      </c>
      <c r="B25" s="21">
        <v>89050</v>
      </c>
      <c r="C25" s="21" t="s">
        <v>31</v>
      </c>
      <c r="D25" s="21" t="s">
        <v>32</v>
      </c>
      <c r="E25" s="39" t="s">
        <v>59</v>
      </c>
      <c r="F25" s="22" t="s">
        <v>60</v>
      </c>
      <c r="G25" s="22" t="s">
        <v>57</v>
      </c>
      <c r="H25" s="40" t="s">
        <v>61</v>
      </c>
      <c r="I25" s="24">
        <v>1</v>
      </c>
      <c r="J25" s="24">
        <v>1000</v>
      </c>
      <c r="K25" s="24">
        <f t="shared" si="8"/>
        <v>1000</v>
      </c>
      <c r="L25" s="24">
        <v>1</v>
      </c>
      <c r="M25" s="24">
        <f t="shared" si="9"/>
        <v>1040</v>
      </c>
      <c r="N25" s="24">
        <v>1</v>
      </c>
      <c r="O25" s="24">
        <f t="shared" si="10"/>
        <v>1081.6000000000001</v>
      </c>
      <c r="P25" s="24">
        <v>1</v>
      </c>
      <c r="Q25" s="24">
        <f t="shared" si="11"/>
        <v>1124.8640000000003</v>
      </c>
      <c r="R25" s="41">
        <v>0.25</v>
      </c>
      <c r="S25" s="24">
        <f t="shared" si="12"/>
        <v>292.46464000000009</v>
      </c>
      <c r="T25" s="24">
        <f t="shared" si="13"/>
        <v>4538.928640000001</v>
      </c>
      <c r="U25" s="24">
        <v>0</v>
      </c>
      <c r="V25" s="24">
        <f t="shared" si="14"/>
        <v>4538.928640000001</v>
      </c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</row>
    <row r="26" spans="1:37" s="29" customFormat="1" ht="12.4">
      <c r="A26" s="21" t="s">
        <v>30</v>
      </c>
      <c r="B26" s="21">
        <v>89050</v>
      </c>
      <c r="C26" s="21" t="s">
        <v>31</v>
      </c>
      <c r="D26" s="21" t="s">
        <v>32</v>
      </c>
      <c r="E26" s="39" t="s">
        <v>62</v>
      </c>
      <c r="F26" s="22" t="s">
        <v>63</v>
      </c>
      <c r="G26" s="22" t="s">
        <v>57</v>
      </c>
      <c r="H26" s="40" t="s">
        <v>58</v>
      </c>
      <c r="I26" s="30">
        <v>4</v>
      </c>
      <c r="J26" s="24">
        <v>300</v>
      </c>
      <c r="K26" s="24">
        <f t="shared" si="8"/>
        <v>1200</v>
      </c>
      <c r="L26" s="24">
        <v>0</v>
      </c>
      <c r="M26" s="24">
        <f t="shared" si="9"/>
        <v>0</v>
      </c>
      <c r="N26" s="24">
        <v>0</v>
      </c>
      <c r="O26" s="24">
        <f t="shared" si="10"/>
        <v>0</v>
      </c>
      <c r="P26" s="24">
        <v>0</v>
      </c>
      <c r="Q26" s="24">
        <f t="shared" si="11"/>
        <v>0</v>
      </c>
      <c r="R26" s="24">
        <v>0</v>
      </c>
      <c r="S26" s="24">
        <f t="shared" si="12"/>
        <v>0</v>
      </c>
      <c r="T26" s="24">
        <f t="shared" si="13"/>
        <v>1200</v>
      </c>
      <c r="U26" s="24">
        <v>0</v>
      </c>
      <c r="V26" s="24">
        <f t="shared" si="14"/>
        <v>1200</v>
      </c>
      <c r="W26" s="28"/>
      <c r="X26" s="28"/>
      <c r="Y26" s="42"/>
      <c r="Z26" s="24"/>
      <c r="AA26" s="24"/>
      <c r="AB26" s="24"/>
      <c r="AC26" s="24"/>
      <c r="AD26" s="24"/>
      <c r="AE26" s="42"/>
      <c r="AF26" s="24"/>
      <c r="AG26" s="42"/>
      <c r="AH26" s="42"/>
      <c r="AI26" s="42"/>
      <c r="AJ26" s="43"/>
      <c r="AK26" s="43"/>
    </row>
    <row r="27" spans="1:37" s="29" customFormat="1" ht="12.4">
      <c r="A27" s="21" t="s">
        <v>30</v>
      </c>
      <c r="B27" s="21">
        <v>89050</v>
      </c>
      <c r="C27" s="21" t="s">
        <v>31</v>
      </c>
      <c r="D27" s="21" t="s">
        <v>32</v>
      </c>
      <c r="E27" s="39" t="s">
        <v>64</v>
      </c>
      <c r="F27" s="22" t="s">
        <v>65</v>
      </c>
      <c r="G27" s="22" t="s">
        <v>57</v>
      </c>
      <c r="H27" s="40" t="s">
        <v>61</v>
      </c>
      <c r="I27" s="24">
        <v>1</v>
      </c>
      <c r="J27" s="24">
        <v>900</v>
      </c>
      <c r="K27" s="24">
        <f t="shared" si="8"/>
        <v>900</v>
      </c>
      <c r="L27" s="24">
        <v>1</v>
      </c>
      <c r="M27" s="24">
        <f t="shared" si="9"/>
        <v>936</v>
      </c>
      <c r="N27" s="24">
        <v>1</v>
      </c>
      <c r="O27" s="24">
        <f t="shared" si="10"/>
        <v>973.44</v>
      </c>
      <c r="P27" s="24">
        <v>1</v>
      </c>
      <c r="Q27" s="24">
        <f t="shared" si="11"/>
        <v>1012.3776000000001</v>
      </c>
      <c r="R27" s="41">
        <v>0.25</v>
      </c>
      <c r="S27" s="24">
        <f t="shared" si="12"/>
        <v>263.21817600000003</v>
      </c>
      <c r="T27" s="24">
        <f t="shared" si="13"/>
        <v>4085.0357760000002</v>
      </c>
      <c r="U27" s="24">
        <v>0</v>
      </c>
      <c r="V27" s="24">
        <f t="shared" si="14"/>
        <v>4085.0357760000002</v>
      </c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</row>
    <row r="28" spans="1:37" s="29" customFormat="1" ht="12.4">
      <c r="A28" s="21" t="s">
        <v>30</v>
      </c>
      <c r="B28" s="21">
        <v>89050</v>
      </c>
      <c r="C28" s="21" t="s">
        <v>31</v>
      </c>
      <c r="D28" s="21" t="s">
        <v>32</v>
      </c>
      <c r="E28" s="39" t="s">
        <v>66</v>
      </c>
      <c r="F28" s="44" t="s">
        <v>67</v>
      </c>
      <c r="G28" s="22" t="s">
        <v>57</v>
      </c>
      <c r="H28" s="40" t="s">
        <v>68</v>
      </c>
      <c r="I28" s="24">
        <v>1</v>
      </c>
      <c r="J28" s="24">
        <v>1000</v>
      </c>
      <c r="K28" s="24">
        <f t="shared" si="8"/>
        <v>1000</v>
      </c>
      <c r="L28" s="24">
        <v>0</v>
      </c>
      <c r="M28" s="24">
        <f t="shared" si="9"/>
        <v>0</v>
      </c>
      <c r="N28" s="24">
        <v>0</v>
      </c>
      <c r="O28" s="24">
        <f t="shared" si="10"/>
        <v>0</v>
      </c>
      <c r="P28" s="24">
        <v>0</v>
      </c>
      <c r="Q28" s="24">
        <f t="shared" si="11"/>
        <v>0</v>
      </c>
      <c r="R28" s="24">
        <v>0</v>
      </c>
      <c r="S28" s="24">
        <f t="shared" si="12"/>
        <v>0</v>
      </c>
      <c r="T28" s="24">
        <f t="shared" si="13"/>
        <v>1000</v>
      </c>
      <c r="U28" s="24">
        <v>0</v>
      </c>
      <c r="V28" s="24">
        <f t="shared" si="14"/>
        <v>1000</v>
      </c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</row>
    <row r="29" spans="1:37" s="29" customFormat="1" ht="12.4">
      <c r="A29" s="21" t="s">
        <v>30</v>
      </c>
      <c r="B29" s="21">
        <v>89050</v>
      </c>
      <c r="C29" s="21" t="s">
        <v>31</v>
      </c>
      <c r="D29" s="21" t="s">
        <v>32</v>
      </c>
      <c r="E29" s="39" t="s">
        <v>69</v>
      </c>
      <c r="F29" s="44" t="s">
        <v>70</v>
      </c>
      <c r="G29" s="22" t="s">
        <v>57</v>
      </c>
      <c r="H29" s="40" t="s">
        <v>68</v>
      </c>
      <c r="I29" s="24">
        <v>1</v>
      </c>
      <c r="J29" s="24">
        <v>550</v>
      </c>
      <c r="K29" s="24">
        <f t="shared" si="8"/>
        <v>550</v>
      </c>
      <c r="L29" s="24">
        <v>0</v>
      </c>
      <c r="M29" s="24">
        <f t="shared" si="9"/>
        <v>0</v>
      </c>
      <c r="N29" s="24">
        <v>0</v>
      </c>
      <c r="O29" s="24">
        <f t="shared" si="10"/>
        <v>0</v>
      </c>
      <c r="P29" s="24">
        <v>0</v>
      </c>
      <c r="Q29" s="24">
        <f t="shared" si="11"/>
        <v>0</v>
      </c>
      <c r="R29" s="24">
        <v>0</v>
      </c>
      <c r="S29" s="24">
        <f t="shared" si="12"/>
        <v>0</v>
      </c>
      <c r="T29" s="24">
        <f t="shared" si="13"/>
        <v>550</v>
      </c>
      <c r="U29" s="24">
        <v>0</v>
      </c>
      <c r="V29" s="24">
        <f t="shared" si="14"/>
        <v>550</v>
      </c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</row>
    <row r="30" spans="1:37" s="29" customFormat="1" ht="12.4">
      <c r="A30" s="21" t="s">
        <v>30</v>
      </c>
      <c r="B30" s="21">
        <v>89050</v>
      </c>
      <c r="C30" s="21" t="s">
        <v>31</v>
      </c>
      <c r="D30" s="21" t="s">
        <v>32</v>
      </c>
      <c r="E30" s="39" t="s">
        <v>71</v>
      </c>
      <c r="F30" s="44" t="s">
        <v>72</v>
      </c>
      <c r="G30" s="22" t="s">
        <v>57</v>
      </c>
      <c r="H30" s="40" t="s">
        <v>68</v>
      </c>
      <c r="I30" s="24">
        <v>1</v>
      </c>
      <c r="J30" s="24">
        <v>250</v>
      </c>
      <c r="K30" s="24">
        <f t="shared" si="8"/>
        <v>250</v>
      </c>
      <c r="L30" s="24">
        <v>0</v>
      </c>
      <c r="M30" s="24">
        <f t="shared" si="9"/>
        <v>0</v>
      </c>
      <c r="N30" s="24">
        <v>0</v>
      </c>
      <c r="O30" s="24">
        <f t="shared" si="10"/>
        <v>0</v>
      </c>
      <c r="P30" s="24">
        <v>0</v>
      </c>
      <c r="Q30" s="24">
        <f t="shared" si="11"/>
        <v>0</v>
      </c>
      <c r="R30" s="24">
        <v>0</v>
      </c>
      <c r="S30" s="24">
        <f t="shared" si="12"/>
        <v>0</v>
      </c>
      <c r="T30" s="24">
        <f t="shared" si="13"/>
        <v>250</v>
      </c>
      <c r="U30" s="24">
        <v>0</v>
      </c>
      <c r="V30" s="24">
        <f t="shared" si="14"/>
        <v>250</v>
      </c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</row>
    <row r="31" spans="1:37" s="29" customFormat="1" ht="20.65">
      <c r="A31" s="21" t="s">
        <v>30</v>
      </c>
      <c r="B31" s="21">
        <v>89050</v>
      </c>
      <c r="C31" s="21" t="s">
        <v>31</v>
      </c>
      <c r="D31" s="21" t="s">
        <v>32</v>
      </c>
      <c r="E31" s="39" t="s">
        <v>73</v>
      </c>
      <c r="F31" s="22" t="s">
        <v>74</v>
      </c>
      <c r="G31" s="22" t="s">
        <v>75</v>
      </c>
      <c r="H31" s="45" t="s">
        <v>36</v>
      </c>
      <c r="I31" s="24">
        <v>3</v>
      </c>
      <c r="J31" s="24">
        <v>40</v>
      </c>
      <c r="K31" s="24">
        <f t="shared" si="8"/>
        <v>120</v>
      </c>
      <c r="L31" s="24">
        <v>12</v>
      </c>
      <c r="M31" s="24">
        <f t="shared" si="9"/>
        <v>499.20000000000005</v>
      </c>
      <c r="N31" s="24">
        <v>12</v>
      </c>
      <c r="O31" s="24">
        <f t="shared" si="10"/>
        <v>519.16800000000012</v>
      </c>
      <c r="P31" s="24">
        <v>12</v>
      </c>
      <c r="Q31" s="24">
        <f t="shared" si="11"/>
        <v>539.9347200000002</v>
      </c>
      <c r="R31" s="24">
        <v>2</v>
      </c>
      <c r="S31" s="24">
        <f t="shared" si="12"/>
        <v>93.588684800000024</v>
      </c>
      <c r="T31" s="24">
        <f t="shared" si="13"/>
        <v>1771.8914048000004</v>
      </c>
      <c r="U31" s="24">
        <v>0</v>
      </c>
      <c r="V31" s="24">
        <f t="shared" si="14"/>
        <v>1771.8914048000004</v>
      </c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</row>
    <row r="32" spans="1:37" s="29" customFormat="1" ht="20.65">
      <c r="A32" s="21" t="s">
        <v>30</v>
      </c>
      <c r="B32" s="21">
        <v>89050</v>
      </c>
      <c r="C32" s="21" t="s">
        <v>31</v>
      </c>
      <c r="D32" s="21" t="s">
        <v>32</v>
      </c>
      <c r="E32" s="39" t="s">
        <v>76</v>
      </c>
      <c r="F32" s="22" t="s">
        <v>77</v>
      </c>
      <c r="G32" s="22" t="s">
        <v>75</v>
      </c>
      <c r="H32" s="45" t="s">
        <v>36</v>
      </c>
      <c r="I32" s="24">
        <v>3</v>
      </c>
      <c r="J32" s="24">
        <v>100</v>
      </c>
      <c r="K32" s="24">
        <f t="shared" si="8"/>
        <v>300</v>
      </c>
      <c r="L32" s="24">
        <v>12</v>
      </c>
      <c r="M32" s="24">
        <f t="shared" si="9"/>
        <v>1248</v>
      </c>
      <c r="N32" s="24">
        <v>12</v>
      </c>
      <c r="O32" s="24">
        <f t="shared" si="10"/>
        <v>1297.92</v>
      </c>
      <c r="P32" s="24">
        <v>12</v>
      </c>
      <c r="Q32" s="24">
        <f t="shared" si="11"/>
        <v>1349.8368</v>
      </c>
      <c r="R32" s="24">
        <v>2</v>
      </c>
      <c r="S32" s="24">
        <f t="shared" si="12"/>
        <v>233.97171200000003</v>
      </c>
      <c r="T32" s="24">
        <f t="shared" si="13"/>
        <v>4429.7285119999997</v>
      </c>
      <c r="U32" s="24">
        <v>0</v>
      </c>
      <c r="V32" s="24">
        <f t="shared" si="14"/>
        <v>4429.7285119999997</v>
      </c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</row>
    <row r="33" spans="1:37" s="29" customFormat="1" ht="20.65">
      <c r="A33" s="21" t="s">
        <v>30</v>
      </c>
      <c r="B33" s="21">
        <v>89050</v>
      </c>
      <c r="C33" s="21" t="s">
        <v>31</v>
      </c>
      <c r="D33" s="21" t="s">
        <v>32</v>
      </c>
      <c r="E33" s="39" t="s">
        <v>78</v>
      </c>
      <c r="F33" s="22" t="s">
        <v>79</v>
      </c>
      <c r="G33" s="22" t="s">
        <v>75</v>
      </c>
      <c r="H33" s="45" t="s">
        <v>36</v>
      </c>
      <c r="I33" s="24">
        <v>3</v>
      </c>
      <c r="J33" s="24">
        <f>(30*4)</f>
        <v>120</v>
      </c>
      <c r="K33" s="24">
        <f t="shared" si="8"/>
        <v>360</v>
      </c>
      <c r="L33" s="24">
        <v>12</v>
      </c>
      <c r="M33" s="24">
        <f t="shared" si="9"/>
        <v>1497.6000000000001</v>
      </c>
      <c r="N33" s="24">
        <v>12</v>
      </c>
      <c r="O33" s="24">
        <f t="shared" si="10"/>
        <v>1557.5040000000001</v>
      </c>
      <c r="P33" s="24">
        <v>12</v>
      </c>
      <c r="Q33" s="24">
        <f t="shared" si="11"/>
        <v>1619.8041600000001</v>
      </c>
      <c r="R33" s="24">
        <v>2</v>
      </c>
      <c r="S33" s="24">
        <f t="shared" si="12"/>
        <v>280.76605440000009</v>
      </c>
      <c r="T33" s="24">
        <f t="shared" si="13"/>
        <v>5315.6742144000009</v>
      </c>
      <c r="U33" s="24">
        <v>0</v>
      </c>
      <c r="V33" s="24">
        <f t="shared" si="14"/>
        <v>5315.6742144000009</v>
      </c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</row>
    <row r="34" spans="1:37" s="29" customFormat="1" ht="20.65">
      <c r="A34" s="21" t="s">
        <v>30</v>
      </c>
      <c r="B34" s="21">
        <v>89050</v>
      </c>
      <c r="C34" s="21" t="s">
        <v>31</v>
      </c>
      <c r="D34" s="21" t="s">
        <v>32</v>
      </c>
      <c r="E34" s="39" t="s">
        <v>80</v>
      </c>
      <c r="F34" s="22" t="s">
        <v>81</v>
      </c>
      <c r="G34" s="22" t="s">
        <v>75</v>
      </c>
      <c r="H34" s="45" t="s">
        <v>36</v>
      </c>
      <c r="I34" s="24">
        <v>2</v>
      </c>
      <c r="J34" s="24">
        <v>1000</v>
      </c>
      <c r="K34" s="24">
        <f t="shared" si="8"/>
        <v>2000</v>
      </c>
      <c r="L34" s="24">
        <v>12</v>
      </c>
      <c r="M34" s="24">
        <f t="shared" si="9"/>
        <v>12480</v>
      </c>
      <c r="N34" s="24">
        <v>12</v>
      </c>
      <c r="O34" s="24">
        <f t="shared" si="10"/>
        <v>12979.2</v>
      </c>
      <c r="P34" s="24">
        <v>12</v>
      </c>
      <c r="Q34" s="24">
        <f t="shared" si="11"/>
        <v>13498.368</v>
      </c>
      <c r="R34" s="24">
        <v>2</v>
      </c>
      <c r="S34" s="24">
        <f t="shared" si="12"/>
        <v>2339.7171200000007</v>
      </c>
      <c r="T34" s="24">
        <f t="shared" si="13"/>
        <v>43297.28512</v>
      </c>
      <c r="U34" s="24">
        <v>0</v>
      </c>
      <c r="V34" s="24">
        <f t="shared" si="14"/>
        <v>43297.28512</v>
      </c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</row>
    <row r="35" spans="1:37" s="29" customFormat="1" ht="20.65">
      <c r="A35" s="21" t="s">
        <v>30</v>
      </c>
      <c r="B35" s="21">
        <v>89050</v>
      </c>
      <c r="C35" s="21" t="s">
        <v>31</v>
      </c>
      <c r="D35" s="21" t="s">
        <v>32</v>
      </c>
      <c r="E35" s="39" t="s">
        <v>82</v>
      </c>
      <c r="F35" s="22" t="s">
        <v>83</v>
      </c>
      <c r="G35" s="22" t="s">
        <v>75</v>
      </c>
      <c r="H35" s="45" t="s">
        <v>36</v>
      </c>
      <c r="I35" s="24">
        <v>0</v>
      </c>
      <c r="J35" s="24">
        <v>250</v>
      </c>
      <c r="K35" s="24">
        <f t="shared" si="8"/>
        <v>0</v>
      </c>
      <c r="L35" s="24">
        <v>3</v>
      </c>
      <c r="M35" s="24">
        <f t="shared" si="9"/>
        <v>780</v>
      </c>
      <c r="N35" s="24">
        <v>3</v>
      </c>
      <c r="O35" s="24">
        <f t="shared" si="10"/>
        <v>811.2</v>
      </c>
      <c r="P35" s="24">
        <v>3</v>
      </c>
      <c r="Q35" s="24">
        <f t="shared" si="11"/>
        <v>843.64800000000002</v>
      </c>
      <c r="R35" s="46">
        <v>1</v>
      </c>
      <c r="S35" s="24">
        <f t="shared" si="12"/>
        <v>292.46464000000009</v>
      </c>
      <c r="T35" s="24">
        <f t="shared" si="13"/>
        <v>2727.3126400000001</v>
      </c>
      <c r="U35" s="24">
        <v>0</v>
      </c>
      <c r="V35" s="24">
        <f t="shared" si="14"/>
        <v>2727.3126400000001</v>
      </c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</row>
    <row r="36" spans="1:37" s="29" customFormat="1" ht="20.65">
      <c r="A36" s="21" t="s">
        <v>30</v>
      </c>
      <c r="B36" s="21">
        <v>89050</v>
      </c>
      <c r="C36" s="21" t="s">
        <v>31</v>
      </c>
      <c r="D36" s="21" t="s">
        <v>32</v>
      </c>
      <c r="E36" s="39" t="s">
        <v>84</v>
      </c>
      <c r="F36" s="22" t="s">
        <v>85</v>
      </c>
      <c r="G36" s="22" t="s">
        <v>75</v>
      </c>
      <c r="H36" s="45" t="s">
        <v>61</v>
      </c>
      <c r="I36" s="24">
        <v>1</v>
      </c>
      <c r="J36" s="24">
        <v>250</v>
      </c>
      <c r="K36" s="24">
        <f t="shared" si="8"/>
        <v>250</v>
      </c>
      <c r="L36" s="24">
        <v>1</v>
      </c>
      <c r="M36" s="24">
        <f t="shared" si="9"/>
        <v>260</v>
      </c>
      <c r="N36" s="24">
        <v>1</v>
      </c>
      <c r="O36" s="24">
        <f t="shared" si="10"/>
        <v>270.40000000000003</v>
      </c>
      <c r="P36" s="24">
        <v>1</v>
      </c>
      <c r="Q36" s="24">
        <f t="shared" si="11"/>
        <v>281.21600000000007</v>
      </c>
      <c r="R36" s="41">
        <v>0.25</v>
      </c>
      <c r="S36" s="24">
        <f t="shared" si="12"/>
        <v>73.116160000000022</v>
      </c>
      <c r="T36" s="24">
        <f t="shared" si="13"/>
        <v>1134.7321600000002</v>
      </c>
      <c r="U36" s="24">
        <v>0</v>
      </c>
      <c r="V36" s="24">
        <f t="shared" si="14"/>
        <v>1134.7321600000002</v>
      </c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</row>
    <row r="37" spans="1:37" s="29" customFormat="1" ht="20.65">
      <c r="A37" s="21" t="s">
        <v>30</v>
      </c>
      <c r="B37" s="21">
        <v>89050</v>
      </c>
      <c r="C37" s="21" t="s">
        <v>31</v>
      </c>
      <c r="D37" s="21" t="s">
        <v>32</v>
      </c>
      <c r="E37" s="39" t="s">
        <v>86</v>
      </c>
      <c r="F37" s="47" t="s">
        <v>87</v>
      </c>
      <c r="G37" s="22" t="s">
        <v>75</v>
      </c>
      <c r="H37" s="45" t="s">
        <v>61</v>
      </c>
      <c r="I37" s="24">
        <v>1</v>
      </c>
      <c r="J37" s="24">
        <v>250</v>
      </c>
      <c r="K37" s="24">
        <f t="shared" si="8"/>
        <v>250</v>
      </c>
      <c r="L37" s="24">
        <v>1</v>
      </c>
      <c r="M37" s="24">
        <f t="shared" si="9"/>
        <v>260</v>
      </c>
      <c r="N37" s="24">
        <v>1</v>
      </c>
      <c r="O37" s="24">
        <f t="shared" si="10"/>
        <v>270.40000000000003</v>
      </c>
      <c r="P37" s="24">
        <v>1</v>
      </c>
      <c r="Q37" s="24">
        <f t="shared" si="11"/>
        <v>281.21600000000007</v>
      </c>
      <c r="R37" s="24">
        <v>1</v>
      </c>
      <c r="S37" s="24">
        <f t="shared" si="12"/>
        <v>292.46464000000009</v>
      </c>
      <c r="T37" s="24">
        <f t="shared" si="13"/>
        <v>1354.0806400000004</v>
      </c>
      <c r="U37" s="24">
        <v>0</v>
      </c>
      <c r="V37" s="24">
        <f t="shared" si="14"/>
        <v>1354.0806400000004</v>
      </c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</row>
    <row r="38" spans="1:37" ht="10.15">
      <c r="A38" s="36"/>
      <c r="B38" s="36"/>
      <c r="C38" s="36"/>
      <c r="D38" s="36"/>
      <c r="E38" s="36"/>
      <c r="F38" s="36"/>
      <c r="G38" s="36"/>
      <c r="H38" s="37"/>
    </row>
    <row r="39" spans="1:37" ht="10.9" thickBot="1">
      <c r="A39" s="50"/>
      <c r="B39" s="50"/>
      <c r="C39" s="50"/>
      <c r="D39" s="50"/>
      <c r="E39" s="50"/>
      <c r="F39" s="50" t="s">
        <v>88</v>
      </c>
      <c r="G39" s="50"/>
      <c r="H39" s="32"/>
      <c r="I39" s="32"/>
      <c r="J39" s="51"/>
      <c r="K39" s="52">
        <f>SUM(K24:K37)</f>
        <v>12180</v>
      </c>
      <c r="L39" s="52"/>
      <c r="M39" s="52">
        <f>SUM(M24:M37)</f>
        <v>19000.8</v>
      </c>
      <c r="N39" s="52"/>
      <c r="O39" s="52">
        <f>SUM(O24:O37)</f>
        <v>19760.832000000006</v>
      </c>
      <c r="P39" s="52"/>
      <c r="Q39" s="52">
        <f>SUM(Q24:Q37)</f>
        <v>20551.265280000003</v>
      </c>
      <c r="R39" s="52"/>
      <c r="S39" s="52">
        <f>SUM(S24:S37)</f>
        <v>4161.7718272000011</v>
      </c>
      <c r="T39" s="52">
        <f>SUM(T24:T37)</f>
        <v>75654.66910720001</v>
      </c>
      <c r="U39" s="52">
        <f>SUM(U24:U37)</f>
        <v>0</v>
      </c>
      <c r="V39" s="52">
        <f>SUM(V24:V37)</f>
        <v>75654.66910720001</v>
      </c>
    </row>
    <row r="40" spans="1:37" ht="18" thickBot="1">
      <c r="A40" s="1"/>
      <c r="B40" s="1"/>
      <c r="C40" s="1"/>
      <c r="D40" s="1"/>
      <c r="E40" s="1"/>
      <c r="F40" s="115" t="s">
        <v>89</v>
      </c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</row>
    <row r="41" spans="1:37" ht="10.5">
      <c r="A41" s="53"/>
      <c r="B41" s="53"/>
      <c r="C41" s="53"/>
      <c r="D41" s="53"/>
      <c r="E41" s="53"/>
      <c r="F41" s="53" t="s">
        <v>90</v>
      </c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X41" s="2"/>
    </row>
    <row r="42" spans="1:37" ht="10.5">
      <c r="A42" s="55"/>
      <c r="B42" s="55"/>
      <c r="C42" s="55"/>
      <c r="D42" s="55"/>
      <c r="E42" s="55"/>
      <c r="F42" s="55" t="s">
        <v>91</v>
      </c>
      <c r="G42" s="56"/>
      <c r="H42" s="57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</row>
    <row r="43" spans="1:37" ht="10.15">
      <c r="A43" s="36"/>
      <c r="B43" s="36"/>
      <c r="C43" s="36"/>
      <c r="D43" s="36"/>
      <c r="E43" s="36"/>
      <c r="F43" s="36" t="s">
        <v>92</v>
      </c>
      <c r="G43" s="59" t="s">
        <v>93</v>
      </c>
      <c r="H43" s="60" t="s">
        <v>58</v>
      </c>
      <c r="I43" s="38">
        <f>$K$20</f>
        <v>27628</v>
      </c>
      <c r="J43" s="61">
        <v>0.4</v>
      </c>
      <c r="K43" s="38">
        <f>I43*J43</f>
        <v>11051.2</v>
      </c>
      <c r="L43" s="38">
        <f>$M$20</f>
        <v>116449.92</v>
      </c>
      <c r="M43" s="38">
        <f>L43*J43</f>
        <v>46579.968000000001</v>
      </c>
      <c r="N43" s="38">
        <f>$O$20</f>
        <v>120525.66719999997</v>
      </c>
      <c r="O43" s="38">
        <f>N43*J43</f>
        <v>48210.266879999988</v>
      </c>
      <c r="P43" s="38">
        <f>$Q$20</f>
        <v>124744.06555199996</v>
      </c>
      <c r="Q43" s="38">
        <f>P43*J43</f>
        <v>49897.626220799983</v>
      </c>
      <c r="R43" s="38">
        <f>$S$20</f>
        <v>17024.651237272497</v>
      </c>
      <c r="S43" s="38">
        <f>R43*J43</f>
        <v>6809.8604949089995</v>
      </c>
      <c r="T43" s="38">
        <f>K43+M43+O43+Q43+S43</f>
        <v>162548.92159570896</v>
      </c>
      <c r="U43" s="38">
        <v>0</v>
      </c>
      <c r="V43" s="38">
        <f>SUM(T43:U43)</f>
        <v>162548.92159570896</v>
      </c>
    </row>
    <row r="44" spans="1:37" ht="10.15">
      <c r="A44" s="36"/>
      <c r="B44" s="36"/>
      <c r="C44" s="36"/>
      <c r="D44" s="36"/>
      <c r="E44" s="36"/>
      <c r="F44" s="36" t="s">
        <v>94</v>
      </c>
      <c r="G44" s="59" t="s">
        <v>93</v>
      </c>
      <c r="H44" s="60" t="s">
        <v>58</v>
      </c>
      <c r="I44" s="38">
        <f>$K$39</f>
        <v>12180</v>
      </c>
      <c r="J44" s="62">
        <v>0.4</v>
      </c>
      <c r="K44" s="38">
        <f>I44*J44</f>
        <v>4872</v>
      </c>
      <c r="L44" s="38">
        <f>$M$39</f>
        <v>19000.8</v>
      </c>
      <c r="M44" s="38">
        <f t="shared" ref="M44" si="15">L44*J44</f>
        <v>7600.32</v>
      </c>
      <c r="N44" s="38">
        <f>$O$39</f>
        <v>19760.832000000006</v>
      </c>
      <c r="O44" s="38">
        <f t="shared" ref="O44" si="16">N44*J44</f>
        <v>7904.3328000000029</v>
      </c>
      <c r="P44" s="38">
        <f>$Q$39</f>
        <v>20551.265280000003</v>
      </c>
      <c r="Q44" s="38">
        <f t="shared" ref="Q44" si="17">P44*J44</f>
        <v>8220.5061120000009</v>
      </c>
      <c r="R44" s="38">
        <f>$S$39</f>
        <v>4161.7718272000011</v>
      </c>
      <c r="S44" s="38">
        <f t="shared" ref="S44" si="18">R44*J44</f>
        <v>1664.7087308800005</v>
      </c>
      <c r="T44" s="38">
        <f t="shared" ref="T44" si="19">K44+M44+O44+Q44+S44</f>
        <v>30261.867642880006</v>
      </c>
      <c r="U44" s="38">
        <v>0</v>
      </c>
      <c r="V44" s="38">
        <f t="shared" ref="V44" si="20">SUM(T44:U44)</f>
        <v>30261.867642880006</v>
      </c>
    </row>
    <row r="45" spans="1:37" ht="10.15">
      <c r="A45" s="63"/>
      <c r="B45" s="63"/>
      <c r="C45" s="63"/>
      <c r="D45" s="63"/>
      <c r="E45" s="63"/>
      <c r="F45" s="63" t="s">
        <v>95</v>
      </c>
      <c r="G45" s="64"/>
      <c r="H45" s="65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</row>
    <row r="46" spans="1:37" s="29" customFormat="1" ht="12.4">
      <c r="A46" s="21" t="s">
        <v>30</v>
      </c>
      <c r="B46" s="21">
        <v>89050</v>
      </c>
      <c r="C46" s="21" t="s">
        <v>31</v>
      </c>
      <c r="D46" s="21" t="s">
        <v>32</v>
      </c>
      <c r="E46" s="39" t="s">
        <v>96</v>
      </c>
      <c r="F46" s="22" t="s">
        <v>97</v>
      </c>
      <c r="G46" s="67" t="s">
        <v>93</v>
      </c>
      <c r="H46" s="67" t="s">
        <v>58</v>
      </c>
      <c r="I46" s="24">
        <v>0</v>
      </c>
      <c r="J46" s="30">
        <v>20000</v>
      </c>
      <c r="K46" s="24">
        <f t="shared" ref="K46:K52" si="21">I46*J46</f>
        <v>0</v>
      </c>
      <c r="L46" s="24">
        <v>1</v>
      </c>
      <c r="M46" s="24">
        <f>J46*L46</f>
        <v>20000</v>
      </c>
      <c r="N46" s="68"/>
      <c r="O46" s="24"/>
      <c r="P46" s="68"/>
      <c r="Q46" s="24"/>
      <c r="R46" s="68"/>
      <c r="S46" s="24">
        <f t="shared" ref="S46:S52" si="22">R46*J46</f>
        <v>0</v>
      </c>
      <c r="T46" s="24">
        <f t="shared" ref="T46:T56" si="23">K46+M46+O46+Q46+S46</f>
        <v>20000</v>
      </c>
      <c r="U46" s="24">
        <v>0</v>
      </c>
      <c r="V46" s="24">
        <f t="shared" ref="V46:V56" si="24">SUM(T46:U46)</f>
        <v>20000</v>
      </c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</row>
    <row r="47" spans="1:37" s="29" customFormat="1" ht="12.4">
      <c r="A47" s="63"/>
      <c r="B47" s="63"/>
      <c r="C47" s="63"/>
      <c r="D47" s="63"/>
      <c r="E47" s="63"/>
      <c r="F47" s="63" t="s">
        <v>98</v>
      </c>
      <c r="G47" s="69"/>
      <c r="H47" s="69"/>
      <c r="I47" s="70"/>
      <c r="J47" s="71"/>
      <c r="K47" s="70"/>
      <c r="L47" s="71"/>
      <c r="M47" s="70"/>
      <c r="N47" s="71"/>
      <c r="O47" s="70"/>
      <c r="P47" s="71"/>
      <c r="Q47" s="70"/>
      <c r="R47" s="72"/>
      <c r="S47" s="70"/>
      <c r="T47" s="70"/>
      <c r="U47" s="70"/>
      <c r="V47" s="70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</row>
    <row r="48" spans="1:37" s="29" customFormat="1" ht="12.4">
      <c r="A48" s="21" t="s">
        <v>30</v>
      </c>
      <c r="B48" s="21">
        <v>89050</v>
      </c>
      <c r="C48" s="21" t="s">
        <v>31</v>
      </c>
      <c r="D48" s="21" t="s">
        <v>32</v>
      </c>
      <c r="E48" s="39" t="s">
        <v>99</v>
      </c>
      <c r="F48" s="22" t="s">
        <v>100</v>
      </c>
      <c r="G48" s="73" t="s">
        <v>93</v>
      </c>
      <c r="H48" s="73" t="s">
        <v>58</v>
      </c>
      <c r="I48" s="24">
        <v>1</v>
      </c>
      <c r="J48" s="30">
        <f>17116-9000-6000</f>
        <v>2116</v>
      </c>
      <c r="K48" s="24">
        <f>$J48*I48</f>
        <v>2116</v>
      </c>
      <c r="L48" s="30">
        <v>6</v>
      </c>
      <c r="M48" s="24">
        <f>$J48*L48</f>
        <v>12696</v>
      </c>
      <c r="N48" s="30">
        <v>6</v>
      </c>
      <c r="O48" s="24">
        <f>$J48*N48</f>
        <v>12696</v>
      </c>
      <c r="P48" s="30">
        <v>6</v>
      </c>
      <c r="Q48" s="24">
        <f>$J48*P48</f>
        <v>12696</v>
      </c>
      <c r="R48" s="30">
        <v>2</v>
      </c>
      <c r="S48" s="24">
        <f>$J48*R48</f>
        <v>4232</v>
      </c>
      <c r="T48" s="24">
        <f>K48+M48+O48+Q48+S48</f>
        <v>44436</v>
      </c>
      <c r="U48" s="24">
        <v>0</v>
      </c>
      <c r="V48" s="24">
        <f>SUM(T48:U48)</f>
        <v>44436</v>
      </c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</row>
    <row r="49" spans="1:37" s="29" customFormat="1" ht="12.4">
      <c r="A49" s="74"/>
      <c r="B49" s="74"/>
      <c r="C49" s="74"/>
      <c r="D49" s="74"/>
      <c r="E49" s="74"/>
      <c r="F49" s="74" t="s">
        <v>101</v>
      </c>
      <c r="G49" s="75"/>
      <c r="H49" s="75"/>
      <c r="I49" s="70"/>
      <c r="J49" s="71"/>
      <c r="K49" s="70"/>
      <c r="L49" s="72"/>
      <c r="M49" s="70"/>
      <c r="N49" s="72"/>
      <c r="O49" s="70"/>
      <c r="P49" s="72"/>
      <c r="Q49" s="70"/>
      <c r="R49" s="72"/>
      <c r="S49" s="70"/>
      <c r="T49" s="70"/>
      <c r="U49" s="70"/>
      <c r="V49" s="70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</row>
    <row r="50" spans="1:37" s="29" customFormat="1" ht="12.4">
      <c r="A50" s="21" t="s">
        <v>30</v>
      </c>
      <c r="B50" s="21">
        <v>89050</v>
      </c>
      <c r="C50" s="21" t="s">
        <v>31</v>
      </c>
      <c r="D50" s="21" t="s">
        <v>32</v>
      </c>
      <c r="E50" s="39" t="s">
        <v>102</v>
      </c>
      <c r="F50" s="22" t="s">
        <v>103</v>
      </c>
      <c r="G50" s="73" t="s">
        <v>93</v>
      </c>
      <c r="H50" s="67" t="s">
        <v>58</v>
      </c>
      <c r="I50" s="24"/>
      <c r="J50" s="30">
        <v>5583</v>
      </c>
      <c r="K50" s="24">
        <f t="shared" si="21"/>
        <v>0</v>
      </c>
      <c r="L50" s="30">
        <v>1</v>
      </c>
      <c r="M50" s="24">
        <f t="shared" ref="M50" si="25">L50*J50</f>
        <v>5583</v>
      </c>
      <c r="N50" s="68"/>
      <c r="O50" s="24">
        <f t="shared" ref="O50:O52" si="26">N50*J50</f>
        <v>0</v>
      </c>
      <c r="P50" s="68"/>
      <c r="Q50" s="24">
        <f t="shared" ref="Q50:Q52" si="27">P50*J50</f>
        <v>0</v>
      </c>
      <c r="R50" s="68"/>
      <c r="S50" s="24">
        <f t="shared" si="22"/>
        <v>0</v>
      </c>
      <c r="T50" s="24">
        <f t="shared" si="23"/>
        <v>5583</v>
      </c>
      <c r="U50" s="24">
        <v>0</v>
      </c>
      <c r="V50" s="24">
        <f t="shared" si="24"/>
        <v>5583</v>
      </c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</row>
    <row r="51" spans="1:37" s="29" customFormat="1" ht="12.4">
      <c r="A51" s="76"/>
      <c r="B51" s="76"/>
      <c r="C51" s="76"/>
      <c r="D51" s="76"/>
      <c r="E51" s="76"/>
      <c r="F51" s="76" t="s">
        <v>104</v>
      </c>
      <c r="G51" s="69"/>
      <c r="H51" s="75"/>
      <c r="I51" s="70"/>
      <c r="J51" s="71"/>
      <c r="K51" s="70"/>
      <c r="L51" s="71"/>
      <c r="M51" s="70"/>
      <c r="N51" s="72"/>
      <c r="O51" s="70"/>
      <c r="P51" s="72"/>
      <c r="Q51" s="70"/>
      <c r="R51" s="72"/>
      <c r="S51" s="70"/>
      <c r="T51" s="70"/>
      <c r="U51" s="70"/>
      <c r="V51" s="70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</row>
    <row r="52" spans="1:37" s="29" customFormat="1" ht="12.4">
      <c r="A52" s="21" t="s">
        <v>30</v>
      </c>
      <c r="B52" s="21">
        <v>89050</v>
      </c>
      <c r="C52" s="21" t="s">
        <v>31</v>
      </c>
      <c r="D52" s="21" t="s">
        <v>32</v>
      </c>
      <c r="E52" s="39" t="s">
        <v>105</v>
      </c>
      <c r="F52" s="22" t="s">
        <v>106</v>
      </c>
      <c r="G52" s="73" t="s">
        <v>93</v>
      </c>
      <c r="H52" s="67" t="s">
        <v>58</v>
      </c>
      <c r="I52" s="24"/>
      <c r="J52" s="30">
        <v>5250</v>
      </c>
      <c r="K52" s="24">
        <f t="shared" si="21"/>
        <v>0</v>
      </c>
      <c r="L52" s="30">
        <v>1</v>
      </c>
      <c r="M52" s="24">
        <f>L52*J52</f>
        <v>5250</v>
      </c>
      <c r="N52" s="68"/>
      <c r="O52" s="24">
        <f t="shared" si="26"/>
        <v>0</v>
      </c>
      <c r="P52" s="68"/>
      <c r="Q52" s="24">
        <f t="shared" si="27"/>
        <v>0</v>
      </c>
      <c r="R52" s="68"/>
      <c r="S52" s="24">
        <f t="shared" si="22"/>
        <v>0</v>
      </c>
      <c r="T52" s="24">
        <f t="shared" si="23"/>
        <v>5250</v>
      </c>
      <c r="U52" s="24">
        <v>0</v>
      </c>
      <c r="V52" s="24">
        <f t="shared" si="24"/>
        <v>5250</v>
      </c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</row>
    <row r="53" spans="1:37" s="29" customFormat="1" ht="20.65">
      <c r="A53" s="63"/>
      <c r="B53" s="63"/>
      <c r="C53" s="63"/>
      <c r="D53" s="63"/>
      <c r="E53" s="63"/>
      <c r="F53" s="63" t="s">
        <v>107</v>
      </c>
      <c r="G53" s="69"/>
      <c r="H53" s="69"/>
      <c r="I53" s="70"/>
      <c r="J53" s="71"/>
      <c r="K53" s="70"/>
      <c r="L53" s="71"/>
      <c r="M53" s="70"/>
      <c r="N53" s="72"/>
      <c r="O53" s="70"/>
      <c r="P53" s="72"/>
      <c r="Q53" s="70"/>
      <c r="R53" s="71"/>
      <c r="S53" s="70"/>
      <c r="T53" s="70"/>
      <c r="U53" s="70"/>
      <c r="V53" s="70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</row>
    <row r="54" spans="1:37" s="29" customFormat="1" ht="12.4">
      <c r="A54" s="21" t="s">
        <v>30</v>
      </c>
      <c r="B54" s="21">
        <v>89050</v>
      </c>
      <c r="C54" s="21" t="s">
        <v>31</v>
      </c>
      <c r="D54" s="21" t="s">
        <v>32</v>
      </c>
      <c r="E54" s="39" t="s">
        <v>108</v>
      </c>
      <c r="F54" s="22" t="s">
        <v>109</v>
      </c>
      <c r="G54" s="73" t="s">
        <v>93</v>
      </c>
      <c r="H54" s="67" t="s">
        <v>58</v>
      </c>
      <c r="I54" s="24">
        <v>1</v>
      </c>
      <c r="J54" s="30">
        <f>8856-6000</f>
        <v>2856</v>
      </c>
      <c r="K54" s="24">
        <f>$J54*I54</f>
        <v>2856</v>
      </c>
      <c r="L54" s="24">
        <v>2</v>
      </c>
      <c r="M54" s="24">
        <f>$J54*L54</f>
        <v>5712</v>
      </c>
      <c r="N54" s="30">
        <v>2</v>
      </c>
      <c r="O54" s="24">
        <f>$J54*N54</f>
        <v>5712</v>
      </c>
      <c r="P54" s="30">
        <v>2</v>
      </c>
      <c r="Q54" s="24">
        <f>$J54*P54</f>
        <v>5712</v>
      </c>
      <c r="R54" s="30">
        <v>1</v>
      </c>
      <c r="S54" s="24">
        <f>$J54*R54</f>
        <v>2856</v>
      </c>
      <c r="T54" s="24">
        <f t="shared" si="23"/>
        <v>22848</v>
      </c>
      <c r="U54" s="24">
        <v>0</v>
      </c>
      <c r="V54" s="24">
        <f t="shared" si="24"/>
        <v>22848</v>
      </c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</row>
    <row r="55" spans="1:37" s="29" customFormat="1" ht="20.65">
      <c r="A55" s="63"/>
      <c r="B55" s="63"/>
      <c r="C55" s="63"/>
      <c r="D55" s="63"/>
      <c r="E55" s="63"/>
      <c r="F55" s="63" t="s">
        <v>110</v>
      </c>
      <c r="G55" s="69"/>
      <c r="H55" s="75"/>
      <c r="I55" s="70"/>
      <c r="J55" s="71"/>
      <c r="K55" s="70"/>
      <c r="L55" s="72"/>
      <c r="M55" s="70"/>
      <c r="N55" s="71"/>
      <c r="O55" s="70"/>
      <c r="P55" s="71"/>
      <c r="Q55" s="70"/>
      <c r="R55" s="71"/>
      <c r="S55" s="70"/>
      <c r="T55" s="70"/>
      <c r="U55" s="70"/>
      <c r="V55" s="70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</row>
    <row r="56" spans="1:37" s="29" customFormat="1" ht="12.4">
      <c r="A56" s="21" t="s">
        <v>30</v>
      </c>
      <c r="B56" s="21">
        <v>89050</v>
      </c>
      <c r="C56" s="21" t="s">
        <v>31</v>
      </c>
      <c r="D56" s="21" t="s">
        <v>32</v>
      </c>
      <c r="E56" s="39" t="s">
        <v>111</v>
      </c>
      <c r="F56" s="22" t="s">
        <v>112</v>
      </c>
      <c r="G56" s="73" t="s">
        <v>93</v>
      </c>
      <c r="H56" s="73" t="s">
        <v>58</v>
      </c>
      <c r="I56" s="24"/>
      <c r="J56" s="30">
        <v>1500</v>
      </c>
      <c r="K56" s="24">
        <f>$J56*I56</f>
        <v>0</v>
      </c>
      <c r="L56" s="30">
        <v>1</v>
      </c>
      <c r="M56" s="24">
        <f>$J56*L56</f>
        <v>1500</v>
      </c>
      <c r="N56" s="30">
        <v>2</v>
      </c>
      <c r="O56" s="24">
        <f>$J56*N56</f>
        <v>3000</v>
      </c>
      <c r="P56" s="30">
        <v>1</v>
      </c>
      <c r="Q56" s="24">
        <v>1500</v>
      </c>
      <c r="R56" s="30">
        <v>1</v>
      </c>
      <c r="S56" s="24">
        <f>$J56*R56</f>
        <v>1500</v>
      </c>
      <c r="T56" s="24">
        <f t="shared" si="23"/>
        <v>7500</v>
      </c>
      <c r="U56" s="24">
        <v>0</v>
      </c>
      <c r="V56" s="24">
        <f t="shared" si="24"/>
        <v>7500</v>
      </c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</row>
    <row r="57" spans="1:37" s="29" customFormat="1" ht="12.4">
      <c r="G57" s="77"/>
      <c r="H57" s="77"/>
      <c r="R57" s="7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</row>
    <row r="58" spans="1:37" ht="10.9" thickBot="1">
      <c r="A58" s="32"/>
      <c r="B58" s="32"/>
      <c r="C58" s="32"/>
      <c r="D58" s="32"/>
      <c r="E58" s="32"/>
      <c r="F58" s="32" t="s">
        <v>113</v>
      </c>
      <c r="G58" s="32"/>
      <c r="H58" s="79"/>
      <c r="I58" s="80"/>
      <c r="J58" s="80"/>
      <c r="K58" s="81">
        <f>SUM(K43:K56)</f>
        <v>20895.2</v>
      </c>
      <c r="L58" s="81"/>
      <c r="M58" s="81">
        <f>SUM(M43:M56)</f>
        <v>104921.288</v>
      </c>
      <c r="N58" s="81"/>
      <c r="O58" s="81">
        <f>SUM(O43:O56)</f>
        <v>77522.599679999985</v>
      </c>
      <c r="P58" s="81"/>
      <c r="Q58" s="81">
        <f>SUM(Q43:Q56)</f>
        <v>78026.132332799985</v>
      </c>
      <c r="R58" s="81"/>
      <c r="S58" s="81">
        <f>SUM(S43:S56)</f>
        <v>17062.569225789</v>
      </c>
      <c r="T58" s="81">
        <f>K58+M58+O58+Q58+S58</f>
        <v>298427.78923858894</v>
      </c>
      <c r="U58" s="81">
        <f>SUM(U43:U56)</f>
        <v>0</v>
      </c>
      <c r="V58" s="81">
        <f>SUM(T58:U58)</f>
        <v>298427.78923858894</v>
      </c>
    </row>
    <row r="59" spans="1:37" ht="10.15">
      <c r="A59" s="36"/>
      <c r="B59" s="36"/>
      <c r="C59" s="36"/>
      <c r="D59" s="36"/>
      <c r="E59" s="36"/>
      <c r="F59" s="36"/>
      <c r="G59" s="36"/>
      <c r="H59" s="59"/>
    </row>
    <row r="60" spans="1:37" ht="20.65">
      <c r="A60" s="21" t="s">
        <v>30</v>
      </c>
      <c r="B60" s="21">
        <v>89050</v>
      </c>
      <c r="C60" s="21" t="s">
        <v>31</v>
      </c>
      <c r="D60" s="21" t="s">
        <v>32</v>
      </c>
      <c r="E60" s="39" t="s">
        <v>114</v>
      </c>
      <c r="F60" s="82" t="s">
        <v>115</v>
      </c>
      <c r="G60" s="47" t="s">
        <v>116</v>
      </c>
      <c r="H60" s="83"/>
      <c r="I60" s="84"/>
      <c r="J60" s="62">
        <v>0.1</v>
      </c>
      <c r="K60" s="85">
        <f>(K58)*J60</f>
        <v>2089.52</v>
      </c>
      <c r="L60" s="85"/>
      <c r="M60" s="85">
        <f>(M58)*J60</f>
        <v>10492.1288</v>
      </c>
      <c r="N60" s="85"/>
      <c r="O60" s="85">
        <f>(O58)*J60</f>
        <v>7752.2599679999985</v>
      </c>
      <c r="Q60" s="85">
        <f>(Q58)*$J60</f>
        <v>7802.6132332799989</v>
      </c>
      <c r="S60" s="85">
        <f>(S58)*$J60</f>
        <v>1706.2569225789002</v>
      </c>
      <c r="T60" s="85">
        <f>SUM(K60+M60+O60+Q60+S60)</f>
        <v>29842.778923858899</v>
      </c>
      <c r="U60" s="85">
        <v>0</v>
      </c>
      <c r="V60" s="85">
        <f>SUM(T60:U60)</f>
        <v>29842.778923858899</v>
      </c>
    </row>
    <row r="61" spans="1:37" ht="10.15">
      <c r="A61" s="36"/>
      <c r="B61" s="36"/>
      <c r="C61" s="36"/>
      <c r="D61" s="36"/>
      <c r="E61" s="36"/>
      <c r="F61" s="36"/>
      <c r="G61" s="36"/>
      <c r="H61" s="37"/>
    </row>
    <row r="62" spans="1:37" ht="10.9" thickBot="1">
      <c r="A62" s="32"/>
      <c r="B62" s="32"/>
      <c r="C62" s="32"/>
      <c r="D62" s="32"/>
      <c r="E62" s="32"/>
      <c r="F62" s="32" t="s">
        <v>117</v>
      </c>
      <c r="G62" s="32"/>
      <c r="H62" s="32"/>
      <c r="I62" s="80"/>
      <c r="J62" s="80"/>
      <c r="K62" s="81">
        <f>SUM(K58:K60)</f>
        <v>22984.720000000001</v>
      </c>
      <c r="L62" s="81"/>
      <c r="M62" s="81">
        <f>SUM(M58:M60)</f>
        <v>115413.41680000001</v>
      </c>
      <c r="N62" s="81"/>
      <c r="O62" s="81">
        <f>SUM(O58:O60)</f>
        <v>85274.859647999983</v>
      </c>
      <c r="P62" s="81"/>
      <c r="Q62" s="81">
        <f>SUM(Q58:Q60)</f>
        <v>85828.74556607999</v>
      </c>
      <c r="R62" s="81"/>
      <c r="S62" s="81">
        <f>SUM(S58:S60)</f>
        <v>18768.826148367902</v>
      </c>
      <c r="T62" s="81">
        <f>K62+M62+O62+Q62+S62</f>
        <v>328270.56816244789</v>
      </c>
      <c r="U62" s="81">
        <f>U60</f>
        <v>0</v>
      </c>
      <c r="V62" s="81">
        <f>SUM(T62:U62)</f>
        <v>328270.56816244789</v>
      </c>
    </row>
    <row r="63" spans="1:37" ht="10.5">
      <c r="A63" s="53"/>
      <c r="B63" s="53"/>
      <c r="C63" s="53"/>
      <c r="D63" s="53"/>
      <c r="E63" s="53"/>
      <c r="F63" s="53" t="s">
        <v>118</v>
      </c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X63" s="2"/>
    </row>
    <row r="64" spans="1:37" ht="10.5">
      <c r="A64" s="55"/>
      <c r="B64" s="55"/>
      <c r="C64" s="55"/>
      <c r="D64" s="55"/>
      <c r="E64" s="55"/>
      <c r="F64" s="55" t="s">
        <v>91</v>
      </c>
      <c r="G64" s="56"/>
      <c r="H64" s="57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</row>
    <row r="65" spans="1:37" ht="10.15">
      <c r="A65" s="36"/>
      <c r="B65" s="36"/>
      <c r="C65" s="36"/>
      <c r="D65" s="36"/>
      <c r="E65" s="36"/>
      <c r="F65" s="36" t="s">
        <v>119</v>
      </c>
      <c r="G65" s="37" t="s">
        <v>120</v>
      </c>
      <c r="H65" s="86" t="s">
        <v>58</v>
      </c>
      <c r="I65" s="38">
        <f>$K$20</f>
        <v>27628</v>
      </c>
      <c r="J65" s="61">
        <v>0.3</v>
      </c>
      <c r="K65" s="38">
        <f>I65*J65</f>
        <v>8288.4</v>
      </c>
      <c r="L65" s="38">
        <f>$M$20</f>
        <v>116449.92</v>
      </c>
      <c r="M65" s="38">
        <f>L65*J65</f>
        <v>34934.975999999995</v>
      </c>
      <c r="N65" s="38">
        <f>$O$20</f>
        <v>120525.66719999997</v>
      </c>
      <c r="O65" s="38">
        <f>N65*J65</f>
        <v>36157.700159999986</v>
      </c>
      <c r="P65" s="38">
        <f>$Q$20</f>
        <v>124744.06555199996</v>
      </c>
      <c r="Q65" s="38">
        <f>P65*J65</f>
        <v>37423.219665599987</v>
      </c>
      <c r="R65" s="38">
        <f>$S$20</f>
        <v>17024.651237272497</v>
      </c>
      <c r="S65" s="38">
        <f>R65*J65</f>
        <v>5107.3953711817494</v>
      </c>
      <c r="T65" s="38">
        <f>K65+M65+O65+Q65+S65</f>
        <v>121911.69119678171</v>
      </c>
      <c r="U65" s="38">
        <v>0</v>
      </c>
      <c r="V65" s="38">
        <f>SUM(T65:U65)</f>
        <v>121911.69119678171</v>
      </c>
    </row>
    <row r="66" spans="1:37" ht="10.15">
      <c r="A66" s="36"/>
      <c r="B66" s="36"/>
      <c r="C66" s="36"/>
      <c r="D66" s="36"/>
      <c r="E66" s="36"/>
      <c r="F66" s="36" t="s">
        <v>121</v>
      </c>
      <c r="G66" s="37" t="s">
        <v>120</v>
      </c>
      <c r="H66" s="86" t="s">
        <v>58</v>
      </c>
      <c r="I66" s="38">
        <f>$K$39</f>
        <v>12180</v>
      </c>
      <c r="J66" s="62">
        <v>0.3</v>
      </c>
      <c r="K66" s="38">
        <f t="shared" ref="K66" si="28">I66*J66</f>
        <v>3654</v>
      </c>
      <c r="L66" s="38">
        <f>$M$39</f>
        <v>19000.8</v>
      </c>
      <c r="M66" s="38">
        <f>L66*J66</f>
        <v>5700.24</v>
      </c>
      <c r="N66" s="38">
        <f>$O$39</f>
        <v>19760.832000000006</v>
      </c>
      <c r="O66" s="38">
        <f>N66*J66</f>
        <v>5928.2496000000019</v>
      </c>
      <c r="P66" s="38">
        <f>$Q$39</f>
        <v>20551.265280000003</v>
      </c>
      <c r="Q66" s="38">
        <f>P66*J66</f>
        <v>6165.3795840000012</v>
      </c>
      <c r="R66" s="38">
        <f>$S$39</f>
        <v>4161.7718272000011</v>
      </c>
      <c r="S66" s="38">
        <f t="shared" ref="S66" si="29">R66*J66</f>
        <v>1248.5315481600003</v>
      </c>
      <c r="T66" s="38">
        <f t="shared" ref="T66:T74" si="30">K66+M66+O66+Q66+S66</f>
        <v>22696.400732160004</v>
      </c>
      <c r="U66" s="38">
        <v>0</v>
      </c>
      <c r="V66" s="38">
        <f t="shared" ref="V66:V74" si="31">SUM(T66:U66)</f>
        <v>22696.400732160004</v>
      </c>
    </row>
    <row r="67" spans="1:37" ht="20.45">
      <c r="A67" s="63"/>
      <c r="B67" s="63"/>
      <c r="C67" s="63"/>
      <c r="D67" s="63"/>
      <c r="E67" s="63"/>
      <c r="F67" s="63" t="s">
        <v>122</v>
      </c>
      <c r="G67" s="87"/>
      <c r="H67" s="88"/>
      <c r="I67" s="66"/>
      <c r="J67" s="89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</row>
    <row r="68" spans="1:37" ht="20.45">
      <c r="A68" s="21" t="s">
        <v>30</v>
      </c>
      <c r="B68" s="21">
        <v>89050</v>
      </c>
      <c r="C68" s="21" t="s">
        <v>31</v>
      </c>
      <c r="D68" s="21" t="s">
        <v>32</v>
      </c>
      <c r="E68" s="39" t="s">
        <v>123</v>
      </c>
      <c r="F68" s="22" t="s">
        <v>124</v>
      </c>
      <c r="G68" s="45" t="s">
        <v>120</v>
      </c>
      <c r="H68" s="40" t="s">
        <v>58</v>
      </c>
      <c r="I68" s="24">
        <v>1</v>
      </c>
      <c r="J68" s="30">
        <v>11650</v>
      </c>
      <c r="K68" s="24"/>
      <c r="L68" s="30">
        <v>1</v>
      </c>
      <c r="M68" s="24">
        <f>L68*$J68</f>
        <v>11650</v>
      </c>
      <c r="N68" s="30"/>
      <c r="O68" s="24">
        <f t="shared" ref="O68" si="32">N68*J68</f>
        <v>0</v>
      </c>
      <c r="P68" s="30"/>
      <c r="Q68" s="24">
        <f t="shared" ref="Q68" si="33">P68*J68</f>
        <v>0</v>
      </c>
      <c r="R68" s="30"/>
      <c r="S68" s="24">
        <f t="shared" ref="S68" si="34">R68*J68</f>
        <v>0</v>
      </c>
      <c r="T68" s="24">
        <f t="shared" ref="T68" si="35">K68+M68+O68+Q68+S68</f>
        <v>11650</v>
      </c>
      <c r="U68" s="24">
        <v>0</v>
      </c>
      <c r="V68" s="24">
        <f t="shared" ref="V68" si="36">SUM(T68:U68)</f>
        <v>11650</v>
      </c>
    </row>
    <row r="69" spans="1:37" ht="20.45">
      <c r="A69" s="63"/>
      <c r="B69" s="63"/>
      <c r="C69" s="63"/>
      <c r="D69" s="63"/>
      <c r="E69" s="63"/>
      <c r="F69" s="63" t="s">
        <v>125</v>
      </c>
      <c r="G69" s="87"/>
      <c r="H69" s="88"/>
      <c r="I69" s="66"/>
      <c r="J69" s="89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</row>
    <row r="70" spans="1:37" s="29" customFormat="1" ht="12.4">
      <c r="A70" s="21" t="s">
        <v>30</v>
      </c>
      <c r="B70" s="21">
        <v>89050</v>
      </c>
      <c r="C70" s="21" t="s">
        <v>31</v>
      </c>
      <c r="D70" s="21" t="s">
        <v>32</v>
      </c>
      <c r="E70" s="39" t="s">
        <v>126</v>
      </c>
      <c r="F70" s="22" t="s">
        <v>127</v>
      </c>
      <c r="G70" s="45" t="s">
        <v>120</v>
      </c>
      <c r="H70" s="40" t="s">
        <v>128</v>
      </c>
      <c r="I70" s="24"/>
      <c r="J70" s="30">
        <v>500</v>
      </c>
      <c r="K70" s="24">
        <f>I70*J70</f>
        <v>0</v>
      </c>
      <c r="L70" s="30">
        <v>12</v>
      </c>
      <c r="M70" s="24">
        <f>L70*$J70</f>
        <v>6000</v>
      </c>
      <c r="N70" s="30">
        <v>12</v>
      </c>
      <c r="O70" s="24">
        <f>N70*$J70</f>
        <v>6000</v>
      </c>
      <c r="P70" s="30">
        <v>12</v>
      </c>
      <c r="Q70" s="24">
        <f>P70*$J70</f>
        <v>6000</v>
      </c>
      <c r="R70" s="30">
        <v>6</v>
      </c>
      <c r="S70" s="24">
        <f>R70*$J70</f>
        <v>3000</v>
      </c>
      <c r="T70" s="24">
        <f t="shared" ref="T70" si="37">K70+M70+O70+Q70+S70</f>
        <v>21000</v>
      </c>
      <c r="U70" s="24">
        <v>0</v>
      </c>
      <c r="V70" s="24">
        <f t="shared" ref="V70" si="38">SUM(T70:U70)</f>
        <v>21000</v>
      </c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</row>
    <row r="71" spans="1:37" s="29" customFormat="1" ht="12.4">
      <c r="A71" s="63"/>
      <c r="B71" s="63"/>
      <c r="C71" s="63"/>
      <c r="D71" s="63"/>
      <c r="E71" s="63"/>
      <c r="F71" s="63" t="s">
        <v>129</v>
      </c>
      <c r="G71" s="90"/>
      <c r="H71" s="91"/>
      <c r="I71" s="70"/>
      <c r="J71" s="71"/>
      <c r="K71" s="70"/>
      <c r="L71" s="71"/>
      <c r="M71" s="70"/>
      <c r="N71" s="71"/>
      <c r="O71" s="70"/>
      <c r="P71" s="71"/>
      <c r="Q71" s="70"/>
      <c r="R71" s="71"/>
      <c r="S71" s="70"/>
      <c r="T71" s="70"/>
      <c r="U71" s="70"/>
      <c r="V71" s="70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</row>
    <row r="72" spans="1:37" s="29" customFormat="1" ht="12.4">
      <c r="A72" s="21" t="s">
        <v>30</v>
      </c>
      <c r="B72" s="21">
        <v>89050</v>
      </c>
      <c r="C72" s="21" t="s">
        <v>31</v>
      </c>
      <c r="D72" s="21" t="s">
        <v>32</v>
      </c>
      <c r="E72" s="39" t="s">
        <v>130</v>
      </c>
      <c r="F72" s="22" t="s">
        <v>131</v>
      </c>
      <c r="G72" s="45" t="s">
        <v>120</v>
      </c>
      <c r="H72" s="40" t="s">
        <v>58</v>
      </c>
      <c r="I72" s="24">
        <v>1</v>
      </c>
      <c r="J72" s="30">
        <v>1500</v>
      </c>
      <c r="K72" s="24"/>
      <c r="L72" s="30">
        <v>4</v>
      </c>
      <c r="M72" s="24">
        <f>L72*$J72</f>
        <v>6000</v>
      </c>
      <c r="N72" s="30">
        <v>4</v>
      </c>
      <c r="O72" s="24">
        <f>N72*$J72</f>
        <v>6000</v>
      </c>
      <c r="P72" s="30">
        <v>4</v>
      </c>
      <c r="Q72" s="24">
        <f>P72*$J72</f>
        <v>6000</v>
      </c>
      <c r="R72" s="30">
        <v>2</v>
      </c>
      <c r="S72" s="24">
        <f>R72*$J72</f>
        <v>3000</v>
      </c>
      <c r="T72" s="24">
        <f>K72+M72+O72+Q72+S72</f>
        <v>21000</v>
      </c>
      <c r="U72" s="24">
        <v>0</v>
      </c>
      <c r="V72" s="24">
        <f>SUM(T72:U72)</f>
        <v>21000</v>
      </c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</row>
    <row r="73" spans="1:37" ht="20.45">
      <c r="A73" s="63"/>
      <c r="B73" s="63"/>
      <c r="C73" s="63"/>
      <c r="D73" s="63"/>
      <c r="E73" s="63"/>
      <c r="F73" s="63" t="s">
        <v>132</v>
      </c>
      <c r="G73" s="87"/>
      <c r="H73" s="88"/>
      <c r="I73" s="66"/>
      <c r="J73" s="89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</row>
    <row r="74" spans="1:37" s="29" customFormat="1" ht="20.65">
      <c r="A74" s="21" t="s">
        <v>30</v>
      </c>
      <c r="B74" s="21">
        <v>89050</v>
      </c>
      <c r="C74" s="21" t="s">
        <v>31</v>
      </c>
      <c r="D74" s="21" t="s">
        <v>32</v>
      </c>
      <c r="E74" s="39" t="s">
        <v>133</v>
      </c>
      <c r="F74" s="22" t="s">
        <v>134</v>
      </c>
      <c r="G74" s="45" t="s">
        <v>120</v>
      </c>
      <c r="H74" s="40" t="s">
        <v>58</v>
      </c>
      <c r="I74" s="24">
        <v>1</v>
      </c>
      <c r="J74" s="30">
        <v>1200</v>
      </c>
      <c r="K74" s="24"/>
      <c r="L74" s="30">
        <v>5</v>
      </c>
      <c r="M74" s="24">
        <f>L74*$J74</f>
        <v>6000</v>
      </c>
      <c r="N74" s="30">
        <v>6</v>
      </c>
      <c r="O74" s="24">
        <f>N74*$J74</f>
        <v>7200</v>
      </c>
      <c r="P74" s="30">
        <v>6</v>
      </c>
      <c r="Q74" s="24">
        <f>P74*$J74</f>
        <v>7200</v>
      </c>
      <c r="R74" s="30"/>
      <c r="S74" s="24"/>
      <c r="T74" s="24">
        <f t="shared" si="30"/>
        <v>20400</v>
      </c>
      <c r="U74" s="24">
        <v>0</v>
      </c>
      <c r="V74" s="24">
        <f t="shared" si="31"/>
        <v>20400</v>
      </c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</row>
    <row r="75" spans="1:37" s="29" customFormat="1" ht="30.95">
      <c r="A75" s="63"/>
      <c r="B75" s="63"/>
      <c r="C75" s="63"/>
      <c r="D75" s="63"/>
      <c r="E75" s="63"/>
      <c r="F75" s="63" t="s">
        <v>135</v>
      </c>
      <c r="G75" s="90"/>
      <c r="H75" s="91"/>
      <c r="I75" s="70"/>
      <c r="J75" s="71"/>
      <c r="K75" s="70"/>
      <c r="L75" s="71"/>
      <c r="M75" s="70"/>
      <c r="N75" s="71"/>
      <c r="O75" s="70"/>
      <c r="P75" s="71"/>
      <c r="Q75" s="70"/>
      <c r="R75" s="71"/>
      <c r="S75" s="70"/>
      <c r="T75" s="70"/>
      <c r="U75" s="70"/>
      <c r="V75" s="70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</row>
    <row r="76" spans="1:37" s="29" customFormat="1" ht="12.4">
      <c r="A76" s="21" t="s">
        <v>30</v>
      </c>
      <c r="B76" s="21">
        <v>89050</v>
      </c>
      <c r="C76" s="21" t="s">
        <v>31</v>
      </c>
      <c r="D76" s="21" t="s">
        <v>32</v>
      </c>
      <c r="E76" s="39" t="s">
        <v>136</v>
      </c>
      <c r="F76" s="22" t="s">
        <v>137</v>
      </c>
      <c r="G76" s="45" t="s">
        <v>120</v>
      </c>
      <c r="H76" s="40" t="s">
        <v>58</v>
      </c>
      <c r="I76" s="24">
        <v>1</v>
      </c>
      <c r="J76" s="30">
        <v>1000</v>
      </c>
      <c r="K76" s="24">
        <f t="shared" ref="K76" si="39">I76*J76</f>
        <v>1000</v>
      </c>
      <c r="L76" s="30">
        <v>1</v>
      </c>
      <c r="M76" s="24">
        <f t="shared" ref="M76" si="40">L76*J76</f>
        <v>1000</v>
      </c>
      <c r="N76" s="30">
        <v>1</v>
      </c>
      <c r="O76" s="24">
        <f t="shared" ref="O76" si="41">N76*J76</f>
        <v>1000</v>
      </c>
      <c r="P76" s="30">
        <v>1</v>
      </c>
      <c r="Q76" s="24">
        <f>P76*$J76</f>
        <v>1000</v>
      </c>
      <c r="R76" s="30">
        <v>1</v>
      </c>
      <c r="S76" s="24">
        <f>R76*$J76</f>
        <v>1000</v>
      </c>
      <c r="T76" s="24">
        <f t="shared" ref="T76:T77" si="42">K76+M76+O76+Q76+S76</f>
        <v>5000</v>
      </c>
      <c r="U76" s="24">
        <v>0</v>
      </c>
      <c r="V76" s="24">
        <f t="shared" ref="V76:V77" si="43">SUM(T76:U76)</f>
        <v>5000</v>
      </c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</row>
    <row r="77" spans="1:37" s="29" customFormat="1" ht="20.65">
      <c r="A77" s="21" t="s">
        <v>30</v>
      </c>
      <c r="B77" s="21">
        <v>89050</v>
      </c>
      <c r="C77" s="21" t="s">
        <v>31</v>
      </c>
      <c r="D77" s="21" t="s">
        <v>32</v>
      </c>
      <c r="E77" s="39" t="s">
        <v>136</v>
      </c>
      <c r="F77" s="22" t="s">
        <v>138</v>
      </c>
      <c r="G77" s="45" t="s">
        <v>120</v>
      </c>
      <c r="H77" s="40" t="s">
        <v>58</v>
      </c>
      <c r="I77" s="24">
        <v>0</v>
      </c>
      <c r="J77" s="30">
        <v>6100</v>
      </c>
      <c r="K77" s="24">
        <f>I77*J77</f>
        <v>0</v>
      </c>
      <c r="L77" s="30">
        <v>1</v>
      </c>
      <c r="M77" s="24">
        <f>L77*J77</f>
        <v>6100</v>
      </c>
      <c r="N77" s="30">
        <v>1</v>
      </c>
      <c r="O77" s="24">
        <f>N77*J77</f>
        <v>6100</v>
      </c>
      <c r="P77" s="30">
        <v>1</v>
      </c>
      <c r="Q77" s="24">
        <f>P77*$J77</f>
        <v>6100</v>
      </c>
      <c r="R77" s="68">
        <v>0.5</v>
      </c>
      <c r="S77" s="24">
        <f>R77*$J77</f>
        <v>3050</v>
      </c>
      <c r="T77" s="24">
        <f t="shared" si="42"/>
        <v>21350</v>
      </c>
      <c r="U77" s="24">
        <v>0</v>
      </c>
      <c r="V77" s="24">
        <f t="shared" si="43"/>
        <v>21350</v>
      </c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</row>
    <row r="78" spans="1:37" s="29" customFormat="1" ht="12.4">
      <c r="G78" s="92"/>
      <c r="K78" s="24">
        <f>I78*J78</f>
        <v>0</v>
      </c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</row>
    <row r="79" spans="1:37" ht="10.9" thickBot="1">
      <c r="A79" s="32"/>
      <c r="B79" s="32"/>
      <c r="C79" s="32"/>
      <c r="D79" s="32"/>
      <c r="E79" s="32"/>
      <c r="F79" s="32" t="s">
        <v>139</v>
      </c>
      <c r="G79" s="32"/>
      <c r="H79" s="32"/>
      <c r="I79" s="80"/>
      <c r="J79" s="80"/>
      <c r="K79" s="81">
        <f>SUM(K65:K77)</f>
        <v>12942.4</v>
      </c>
      <c r="L79" s="81"/>
      <c r="M79" s="81">
        <f>SUM(M65:M77)</f>
        <v>77385.215999999986</v>
      </c>
      <c r="N79" s="81"/>
      <c r="O79" s="81">
        <f>SUM(O65:O77)</f>
        <v>68385.949759999989</v>
      </c>
      <c r="P79" s="81"/>
      <c r="Q79" s="81">
        <f>SUM(Q65:Q77)</f>
        <v>69888.599249599996</v>
      </c>
      <c r="R79" s="81"/>
      <c r="S79" s="81">
        <f>SUM(S65:S77)</f>
        <v>16405.926919341749</v>
      </c>
      <c r="T79" s="81">
        <f>SUM(T65:T77)</f>
        <v>245008.09192894172</v>
      </c>
      <c r="U79" s="81">
        <f>SUM(U65:U77)</f>
        <v>0</v>
      </c>
      <c r="V79" s="81">
        <f>SUM(V65:V77)</f>
        <v>245008.09192894172</v>
      </c>
    </row>
    <row r="80" spans="1:37" ht="10.15">
      <c r="A80" s="36"/>
      <c r="B80" s="36"/>
      <c r="C80" s="36"/>
      <c r="D80" s="36"/>
      <c r="E80" s="36"/>
      <c r="F80" s="36"/>
      <c r="G80" s="36"/>
      <c r="H80" s="37"/>
    </row>
    <row r="81" spans="1:24" ht="20.65">
      <c r="A81" s="21" t="s">
        <v>30</v>
      </c>
      <c r="B81" s="21">
        <v>89050</v>
      </c>
      <c r="C81" s="21" t="s">
        <v>31</v>
      </c>
      <c r="D81" s="21" t="s">
        <v>32</v>
      </c>
      <c r="E81" s="39" t="s">
        <v>114</v>
      </c>
      <c r="F81" s="82" t="s">
        <v>140</v>
      </c>
      <c r="G81" s="47" t="s">
        <v>116</v>
      </c>
      <c r="H81" s="84"/>
      <c r="I81" s="84"/>
      <c r="J81" s="62">
        <v>0.1</v>
      </c>
      <c r="K81" s="85">
        <f>(K79)*J81</f>
        <v>1294.24</v>
      </c>
      <c r="L81" s="85"/>
      <c r="M81" s="85">
        <f>(M79)*J81</f>
        <v>7738.5215999999991</v>
      </c>
      <c r="N81" s="85"/>
      <c r="O81" s="85">
        <f>(O79)*J81</f>
        <v>6838.5949759999994</v>
      </c>
      <c r="Q81" s="85">
        <f>(Q79)*$J81</f>
        <v>6988.8599249600002</v>
      </c>
      <c r="S81" s="85">
        <f>(S79)*$J81</f>
        <v>1640.592691934175</v>
      </c>
      <c r="T81" s="85">
        <f>SUM(K81+M81+O81+Q81+S81)</f>
        <v>24500.809192894176</v>
      </c>
      <c r="U81" s="85">
        <v>0</v>
      </c>
      <c r="V81" s="85">
        <f>SUM(T81:U81)</f>
        <v>24500.809192894176</v>
      </c>
    </row>
    <row r="82" spans="1:24" ht="10.15">
      <c r="A82" s="36"/>
      <c r="B82" s="36"/>
      <c r="C82" s="36"/>
      <c r="D82" s="36"/>
      <c r="E82" s="36"/>
      <c r="F82" s="36"/>
      <c r="G82" s="36"/>
      <c r="H82" s="37"/>
    </row>
    <row r="83" spans="1:24" ht="10.9" thickBot="1">
      <c r="A83" s="32"/>
      <c r="B83" s="32"/>
      <c r="C83" s="32"/>
      <c r="D83" s="32"/>
      <c r="E83" s="32"/>
      <c r="F83" s="32" t="s">
        <v>141</v>
      </c>
      <c r="G83" s="32"/>
      <c r="H83" s="32"/>
      <c r="I83" s="80"/>
      <c r="J83" s="80"/>
      <c r="K83" s="81">
        <f>SUM(K79:K81)</f>
        <v>14236.64</v>
      </c>
      <c r="L83" s="81"/>
      <c r="M83" s="81">
        <f>SUM(M79:M81)</f>
        <v>85123.737599999979</v>
      </c>
      <c r="N83" s="81"/>
      <c r="O83" s="81">
        <f>SUM(O79:O81)</f>
        <v>75224.544735999982</v>
      </c>
      <c r="P83" s="81"/>
      <c r="Q83" s="81">
        <f>SUM(Q79:Q81)</f>
        <v>76877.45917455999</v>
      </c>
      <c r="R83" s="81"/>
      <c r="S83" s="81">
        <f>SUM(S79:S81)</f>
        <v>18046.519611275926</v>
      </c>
      <c r="T83" s="81">
        <f>K83+M83+O83+Q83+S83</f>
        <v>269508.90112183586</v>
      </c>
      <c r="U83" s="81">
        <f>U81</f>
        <v>0</v>
      </c>
      <c r="V83" s="81">
        <f>SUM(T83:U83)</f>
        <v>269508.90112183586</v>
      </c>
    </row>
    <row r="84" spans="1:24" ht="10.5">
      <c r="A84" s="53"/>
      <c r="B84" s="53"/>
      <c r="C84" s="53"/>
      <c r="D84" s="53"/>
      <c r="E84" s="53"/>
      <c r="F84" s="53" t="s">
        <v>142</v>
      </c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X84" s="2"/>
    </row>
    <row r="85" spans="1:24" ht="10.5">
      <c r="A85" s="55"/>
      <c r="B85" s="55"/>
      <c r="C85" s="55"/>
      <c r="D85" s="55"/>
      <c r="E85" s="55"/>
      <c r="F85" s="55" t="s">
        <v>91</v>
      </c>
      <c r="G85" s="56"/>
      <c r="H85" s="57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</row>
    <row r="86" spans="1:24" ht="10.15">
      <c r="A86" s="36"/>
      <c r="B86" s="36"/>
      <c r="C86" s="36"/>
      <c r="D86" s="36"/>
      <c r="E86" s="36"/>
      <c r="F86" s="36" t="s">
        <v>119</v>
      </c>
      <c r="G86" s="37" t="s">
        <v>143</v>
      </c>
      <c r="H86" s="93" t="s">
        <v>58</v>
      </c>
      <c r="I86" s="38">
        <f>$K$20</f>
        <v>27628</v>
      </c>
      <c r="J86" s="61">
        <v>0.3</v>
      </c>
      <c r="K86" s="38">
        <f t="shared" ref="K86:K91" si="44">I86*J86</f>
        <v>8288.4</v>
      </c>
      <c r="L86" s="38">
        <f>$M$20</f>
        <v>116449.92</v>
      </c>
      <c r="M86" s="38">
        <f t="shared" ref="M86:M91" si="45">L86*J86</f>
        <v>34934.975999999995</v>
      </c>
      <c r="N86" s="38">
        <f>$O$20</f>
        <v>120525.66719999997</v>
      </c>
      <c r="O86" s="38">
        <f t="shared" ref="O86:O91" si="46">N86*J86</f>
        <v>36157.700159999986</v>
      </c>
      <c r="P86" s="38">
        <f>$Q$20</f>
        <v>124744.06555199996</v>
      </c>
      <c r="Q86" s="38">
        <f t="shared" ref="Q86:Q91" si="47">P86*J86</f>
        <v>37423.219665599987</v>
      </c>
      <c r="R86" s="38">
        <f>$S$20</f>
        <v>17024.651237272497</v>
      </c>
      <c r="S86" s="38">
        <f t="shared" ref="S86:S91" si="48">R86*J86</f>
        <v>5107.3953711817494</v>
      </c>
      <c r="T86" s="38">
        <f t="shared" ref="T86:T91" si="49">K86+M86+O86+Q86+S86</f>
        <v>121911.69119678171</v>
      </c>
      <c r="U86" s="38">
        <v>0</v>
      </c>
      <c r="V86" s="38">
        <f t="shared" ref="V86:V91" si="50">SUM(T86:U86)</f>
        <v>121911.69119678171</v>
      </c>
    </row>
    <row r="87" spans="1:24" ht="10.15">
      <c r="A87" s="36"/>
      <c r="B87" s="36"/>
      <c r="C87" s="36"/>
      <c r="D87" s="36"/>
      <c r="E87" s="36"/>
      <c r="F87" s="36" t="s">
        <v>144</v>
      </c>
      <c r="G87" s="37" t="s">
        <v>143</v>
      </c>
      <c r="H87" s="93" t="s">
        <v>58</v>
      </c>
      <c r="I87" s="38">
        <f>$K$39</f>
        <v>12180</v>
      </c>
      <c r="J87" s="62">
        <v>0.3</v>
      </c>
      <c r="K87" s="38">
        <f t="shared" si="44"/>
        <v>3654</v>
      </c>
      <c r="L87" s="38">
        <f>$M$39</f>
        <v>19000.8</v>
      </c>
      <c r="M87" s="38">
        <f t="shared" si="45"/>
        <v>5700.24</v>
      </c>
      <c r="N87" s="38">
        <f>$O$39</f>
        <v>19760.832000000006</v>
      </c>
      <c r="O87" s="38">
        <f t="shared" si="46"/>
        <v>5928.2496000000019</v>
      </c>
      <c r="P87" s="38">
        <f>$Q$39</f>
        <v>20551.265280000003</v>
      </c>
      <c r="Q87" s="38">
        <f t="shared" si="47"/>
        <v>6165.3795840000012</v>
      </c>
      <c r="R87" s="38">
        <f>$S$39</f>
        <v>4161.7718272000011</v>
      </c>
      <c r="S87" s="38">
        <f t="shared" si="48"/>
        <v>1248.5315481600003</v>
      </c>
      <c r="T87" s="38">
        <f t="shared" si="49"/>
        <v>22696.400732160004</v>
      </c>
      <c r="U87" s="38">
        <v>0</v>
      </c>
      <c r="V87" s="38">
        <f t="shared" si="50"/>
        <v>22696.400732160004</v>
      </c>
    </row>
    <row r="88" spans="1:24" ht="10.15">
      <c r="A88" s="94"/>
      <c r="B88" s="94"/>
      <c r="C88" s="94"/>
      <c r="D88" s="94"/>
      <c r="E88" s="94"/>
      <c r="F88" s="94" t="s">
        <v>145</v>
      </c>
      <c r="G88" s="95"/>
      <c r="H88" s="96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</row>
    <row r="89" spans="1:24" ht="10.15">
      <c r="A89" s="21" t="s">
        <v>30</v>
      </c>
      <c r="B89" s="21">
        <v>89050</v>
      </c>
      <c r="C89" s="21" t="s">
        <v>31</v>
      </c>
      <c r="D89" s="21" t="s">
        <v>32</v>
      </c>
      <c r="E89" s="39" t="s">
        <v>146</v>
      </c>
      <c r="F89" s="36" t="s">
        <v>147</v>
      </c>
      <c r="G89" s="37" t="s">
        <v>143</v>
      </c>
      <c r="H89" s="93" t="s">
        <v>58</v>
      </c>
      <c r="I89" s="38">
        <v>2</v>
      </c>
      <c r="J89" s="38">
        <v>110</v>
      </c>
      <c r="K89" s="38">
        <f>I89*J89</f>
        <v>220</v>
      </c>
      <c r="L89" s="38">
        <v>12</v>
      </c>
      <c r="M89" s="38">
        <f t="shared" si="45"/>
        <v>1320</v>
      </c>
      <c r="N89" s="38">
        <v>12</v>
      </c>
      <c r="O89" s="38">
        <f t="shared" si="46"/>
        <v>1320</v>
      </c>
      <c r="P89" s="38">
        <v>12</v>
      </c>
      <c r="Q89" s="38">
        <f t="shared" si="47"/>
        <v>1320</v>
      </c>
      <c r="R89" s="38">
        <v>2</v>
      </c>
      <c r="S89" s="38">
        <f t="shared" si="48"/>
        <v>220</v>
      </c>
      <c r="T89" s="38">
        <f t="shared" si="49"/>
        <v>4400</v>
      </c>
      <c r="U89" s="38">
        <v>0</v>
      </c>
      <c r="V89" s="38">
        <f t="shared" si="50"/>
        <v>4400</v>
      </c>
    </row>
    <row r="90" spans="1:24" ht="10.15">
      <c r="A90" s="21" t="s">
        <v>30</v>
      </c>
      <c r="B90" s="21">
        <v>89050</v>
      </c>
      <c r="C90" s="21" t="s">
        <v>31</v>
      </c>
      <c r="D90" s="21" t="s">
        <v>32</v>
      </c>
      <c r="E90" s="39" t="s">
        <v>148</v>
      </c>
      <c r="F90" s="36" t="s">
        <v>149</v>
      </c>
      <c r="G90" s="37" t="s">
        <v>143</v>
      </c>
      <c r="H90" s="93" t="s">
        <v>58</v>
      </c>
      <c r="I90" s="38">
        <v>2</v>
      </c>
      <c r="J90" s="38">
        <v>100</v>
      </c>
      <c r="K90" s="38">
        <f t="shared" si="44"/>
        <v>200</v>
      </c>
      <c r="L90" s="38">
        <v>12</v>
      </c>
      <c r="M90" s="38">
        <f t="shared" si="45"/>
        <v>1200</v>
      </c>
      <c r="N90" s="38">
        <v>12</v>
      </c>
      <c r="O90" s="38">
        <f t="shared" si="46"/>
        <v>1200</v>
      </c>
      <c r="P90" s="38">
        <v>12</v>
      </c>
      <c r="Q90" s="38">
        <f t="shared" si="47"/>
        <v>1200</v>
      </c>
      <c r="R90" s="38">
        <v>2</v>
      </c>
      <c r="S90" s="38">
        <f t="shared" si="48"/>
        <v>200</v>
      </c>
      <c r="T90" s="38">
        <f t="shared" si="49"/>
        <v>4000</v>
      </c>
      <c r="U90" s="38">
        <v>0</v>
      </c>
      <c r="V90" s="38">
        <f t="shared" si="50"/>
        <v>4000</v>
      </c>
    </row>
    <row r="91" spans="1:24" ht="10.15">
      <c r="A91" s="21" t="s">
        <v>30</v>
      </c>
      <c r="B91" s="21">
        <v>89050</v>
      </c>
      <c r="C91" s="21" t="s">
        <v>31</v>
      </c>
      <c r="D91" s="21" t="s">
        <v>32</v>
      </c>
      <c r="E91" s="39" t="s">
        <v>150</v>
      </c>
      <c r="F91" s="36" t="s">
        <v>151</v>
      </c>
      <c r="G91" s="37" t="s">
        <v>143</v>
      </c>
      <c r="H91" s="93" t="s">
        <v>58</v>
      </c>
      <c r="I91" s="38">
        <v>1</v>
      </c>
      <c r="J91" s="38">
        <v>100</v>
      </c>
      <c r="K91" s="38">
        <f t="shared" si="44"/>
        <v>100</v>
      </c>
      <c r="L91" s="38">
        <v>4</v>
      </c>
      <c r="M91" s="38">
        <f t="shared" si="45"/>
        <v>400</v>
      </c>
      <c r="N91" s="38">
        <v>4</v>
      </c>
      <c r="O91" s="38">
        <f t="shared" si="46"/>
        <v>400</v>
      </c>
      <c r="P91" s="38">
        <v>4</v>
      </c>
      <c r="Q91" s="38">
        <f t="shared" si="47"/>
        <v>400</v>
      </c>
      <c r="R91" s="38">
        <v>1</v>
      </c>
      <c r="S91" s="38">
        <f t="shared" si="48"/>
        <v>100</v>
      </c>
      <c r="T91" s="38">
        <f t="shared" si="49"/>
        <v>1400</v>
      </c>
      <c r="U91" s="38">
        <v>0</v>
      </c>
      <c r="V91" s="38">
        <f t="shared" si="50"/>
        <v>1400</v>
      </c>
    </row>
    <row r="92" spans="1:24" ht="10.15">
      <c r="A92" s="36"/>
      <c r="B92" s="36"/>
      <c r="C92" s="36"/>
      <c r="D92" s="36"/>
      <c r="E92" s="36"/>
      <c r="F92" s="36"/>
      <c r="G92" s="37"/>
      <c r="H92" s="37"/>
    </row>
    <row r="93" spans="1:24" ht="10.9" thickBot="1">
      <c r="A93" s="32"/>
      <c r="B93" s="32"/>
      <c r="C93" s="32"/>
      <c r="D93" s="32"/>
      <c r="E93" s="32"/>
      <c r="F93" s="32" t="s">
        <v>152</v>
      </c>
      <c r="G93" s="98"/>
      <c r="H93" s="32"/>
      <c r="I93" s="80"/>
      <c r="J93" s="80"/>
      <c r="K93" s="81">
        <f>SUM(K86:K91)</f>
        <v>12462.4</v>
      </c>
      <c r="L93" s="81"/>
      <c r="M93" s="81">
        <f>SUM(M86:M91)</f>
        <v>43555.215999999993</v>
      </c>
      <c r="N93" s="81"/>
      <c r="O93" s="81">
        <f>SUM(O86:O91)</f>
        <v>45005.949759999989</v>
      </c>
      <c r="P93" s="81"/>
      <c r="Q93" s="81">
        <f>SUM(Q86:Q91)</f>
        <v>46508.599249599989</v>
      </c>
      <c r="R93" s="81"/>
      <c r="S93" s="81">
        <f>SUM(S86:S91)</f>
        <v>6875.9269193417495</v>
      </c>
      <c r="T93" s="81">
        <f>K93+M93+O93+Q93+S93</f>
        <v>154408.09192894172</v>
      </c>
      <c r="U93" s="81">
        <f>SUM(U86:U91)</f>
        <v>0</v>
      </c>
      <c r="V93" s="81">
        <f>SUM(T93:U93)</f>
        <v>154408.09192894172</v>
      </c>
    </row>
    <row r="94" spans="1:24" ht="10.15">
      <c r="A94" s="36"/>
      <c r="B94" s="36"/>
      <c r="C94" s="36"/>
      <c r="D94" s="36"/>
      <c r="E94" s="36"/>
      <c r="F94" s="36"/>
      <c r="G94" s="36"/>
      <c r="H94" s="37"/>
    </row>
    <row r="95" spans="1:24" ht="20.65">
      <c r="A95" s="21" t="s">
        <v>30</v>
      </c>
      <c r="B95" s="21">
        <v>89050</v>
      </c>
      <c r="C95" s="21" t="s">
        <v>31</v>
      </c>
      <c r="D95" s="21" t="s">
        <v>32</v>
      </c>
      <c r="E95" s="39" t="s">
        <v>114</v>
      </c>
      <c r="F95" s="82" t="s">
        <v>153</v>
      </c>
      <c r="G95" s="47" t="s">
        <v>116</v>
      </c>
      <c r="H95" s="84"/>
      <c r="I95" s="84"/>
      <c r="J95" s="62">
        <v>0.1</v>
      </c>
      <c r="K95" s="85">
        <f>(K93)*J95</f>
        <v>1246.24</v>
      </c>
      <c r="L95" s="85"/>
      <c r="M95" s="85">
        <f>(M93)*J95</f>
        <v>4355.5215999999991</v>
      </c>
      <c r="N95" s="85"/>
      <c r="O95" s="85">
        <f>(O93)*J95</f>
        <v>4500.5949759999994</v>
      </c>
      <c r="Q95" s="85">
        <f>(Q93)*J95</f>
        <v>4650.8599249599993</v>
      </c>
      <c r="S95" s="85">
        <f>(S93)*J95</f>
        <v>687.59269193417504</v>
      </c>
      <c r="T95" s="85">
        <f>SUM(K95+M95+O95+Q95+S95)</f>
        <v>15440.809192894172</v>
      </c>
      <c r="U95" s="85">
        <v>0</v>
      </c>
      <c r="V95" s="85">
        <f>SUM(T95:U95)</f>
        <v>15440.809192894172</v>
      </c>
    </row>
    <row r="96" spans="1:24" ht="10.15">
      <c r="A96" s="36"/>
      <c r="B96" s="36"/>
      <c r="C96" s="36"/>
      <c r="D96" s="36"/>
      <c r="E96" s="36"/>
      <c r="F96" s="36"/>
      <c r="G96" s="36"/>
      <c r="H96" s="37"/>
    </row>
    <row r="97" spans="1:22" ht="10.9" thickBot="1">
      <c r="A97" s="32"/>
      <c r="B97" s="32"/>
      <c r="C97" s="32"/>
      <c r="D97" s="32"/>
      <c r="E97" s="32"/>
      <c r="F97" s="32" t="s">
        <v>154</v>
      </c>
      <c r="G97" s="32"/>
      <c r="H97" s="32"/>
      <c r="I97" s="80"/>
      <c r="J97" s="80"/>
      <c r="K97" s="81">
        <f>SUM(K93:K95)</f>
        <v>13708.64</v>
      </c>
      <c r="L97" s="81"/>
      <c r="M97" s="81">
        <f>SUM(M93:M95)</f>
        <v>47910.737599999993</v>
      </c>
      <c r="N97" s="81"/>
      <c r="O97" s="81">
        <f>SUM(O93:O95)</f>
        <v>49506.544735999989</v>
      </c>
      <c r="P97" s="81"/>
      <c r="Q97" s="81">
        <f>SUM(Q93:Q95)</f>
        <v>51159.45917455999</v>
      </c>
      <c r="R97" s="81"/>
      <c r="S97" s="81">
        <f>SUM(S93:S95)</f>
        <v>7563.519611275924</v>
      </c>
      <c r="T97" s="81">
        <f>K97+M97+O97+Q97+S97</f>
        <v>169848.90112183592</v>
      </c>
      <c r="U97" s="81">
        <f>U95</f>
        <v>0</v>
      </c>
      <c r="V97" s="81">
        <f>SUM(T97:U97)</f>
        <v>169848.90112183592</v>
      </c>
    </row>
    <row r="98" spans="1:22" ht="10.5">
      <c r="A98" s="99"/>
      <c r="B98" s="99"/>
      <c r="C98" s="99"/>
      <c r="D98" s="99"/>
      <c r="E98" s="99"/>
      <c r="F98" s="99"/>
      <c r="G98" s="99"/>
      <c r="H98" s="100"/>
      <c r="I98" s="2"/>
      <c r="J98" s="101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</row>
    <row r="99" spans="1:22" ht="10.9" thickBot="1">
      <c r="A99" s="103"/>
      <c r="B99" s="103"/>
      <c r="C99" s="103"/>
      <c r="D99" s="103"/>
      <c r="E99" s="103"/>
      <c r="F99" s="103" t="s">
        <v>155</v>
      </c>
      <c r="G99" s="103"/>
      <c r="H99" s="103"/>
      <c r="I99" s="103"/>
      <c r="J99" s="104"/>
      <c r="K99" s="105">
        <f>K97+K62+K83</f>
        <v>50930</v>
      </c>
      <c r="L99" s="105"/>
      <c r="M99" s="105">
        <f>M97+M62+M83</f>
        <v>248447.89199999999</v>
      </c>
      <c r="N99" s="105"/>
      <c r="O99" s="105">
        <f>O97+O62+O83</f>
        <v>210005.94911999995</v>
      </c>
      <c r="P99" s="105"/>
      <c r="Q99" s="105">
        <f>Q97+Q62+Q83</f>
        <v>213865.66391519998</v>
      </c>
      <c r="R99" s="105"/>
      <c r="S99" s="105">
        <f>S97+S62+S83</f>
        <v>44378.865370919753</v>
      </c>
      <c r="T99" s="105">
        <f>T97+T62+T83</f>
        <v>767628.37040611962</v>
      </c>
      <c r="U99" s="105">
        <f>U97+U62+U83</f>
        <v>0</v>
      </c>
      <c r="V99" s="105">
        <f>V97+V62+V83</f>
        <v>767628.37040611962</v>
      </c>
    </row>
    <row r="100" spans="1:22" ht="10.5" thickTop="1"/>
    <row r="101" spans="1:22" ht="10.15"/>
    <row r="102" spans="1:22" ht="10.15">
      <c r="T102" s="106"/>
    </row>
    <row r="103" spans="1:22" ht="10.15">
      <c r="J103" s="1"/>
      <c r="U103" s="107"/>
    </row>
    <row r="104" spans="1:22" ht="10.15">
      <c r="A104" s="108"/>
      <c r="B104" s="108"/>
      <c r="C104" s="108"/>
      <c r="D104" s="108"/>
      <c r="E104" s="108"/>
      <c r="F104" s="108"/>
      <c r="G104" s="108"/>
      <c r="H104" s="109"/>
    </row>
    <row r="105" spans="1:22" ht="10.15">
      <c r="A105" s="108"/>
      <c r="B105" s="108"/>
      <c r="C105" s="108"/>
      <c r="D105" s="108"/>
      <c r="E105" s="108"/>
      <c r="F105" s="108"/>
      <c r="G105" s="108"/>
      <c r="H105" s="110"/>
    </row>
    <row r="106" spans="1:22" ht="10.15"/>
    <row r="107" spans="1:22" ht="10.15">
      <c r="A107" s="108"/>
      <c r="B107" s="108"/>
      <c r="C107" s="108"/>
      <c r="D107" s="108"/>
      <c r="E107" s="108"/>
      <c r="F107" s="108"/>
      <c r="G107" s="108"/>
      <c r="H107" s="109"/>
    </row>
    <row r="108" spans="1:22" ht="10.15">
      <c r="A108" s="108"/>
      <c r="B108" s="108"/>
      <c r="C108" s="108"/>
      <c r="D108" s="108"/>
      <c r="E108" s="108"/>
      <c r="F108" s="108"/>
      <c r="G108" s="108"/>
      <c r="H108" s="110"/>
    </row>
    <row r="109" spans="1:22" ht="10.15"/>
    <row r="110" spans="1:22" ht="10.15">
      <c r="A110" s="108"/>
      <c r="B110" s="108"/>
      <c r="C110" s="108"/>
      <c r="D110" s="108"/>
      <c r="E110" s="108"/>
      <c r="F110" s="108"/>
      <c r="G110" s="108"/>
      <c r="H110" s="109"/>
    </row>
    <row r="111" spans="1:22" ht="10.15">
      <c r="A111" s="108"/>
      <c r="B111" s="108"/>
      <c r="C111" s="108"/>
      <c r="D111" s="108"/>
      <c r="E111" s="108"/>
      <c r="F111" s="108"/>
      <c r="G111" s="108"/>
      <c r="H111" s="110"/>
    </row>
    <row r="112" spans="1:22" ht="10.15"/>
    <row r="113" spans="1:26" ht="10.15">
      <c r="A113" s="108"/>
      <c r="B113" s="108"/>
      <c r="C113" s="108"/>
      <c r="D113" s="108"/>
      <c r="E113" s="108"/>
      <c r="F113" s="108"/>
      <c r="G113" s="108"/>
      <c r="H113" s="109"/>
    </row>
    <row r="114" spans="1:26" ht="10.15">
      <c r="A114" s="108"/>
      <c r="B114" s="108"/>
      <c r="C114" s="108"/>
      <c r="D114" s="108"/>
      <c r="E114" s="108"/>
      <c r="F114" s="108"/>
      <c r="G114" s="108"/>
      <c r="H114" s="110"/>
    </row>
    <row r="115" spans="1:26" ht="10.15">
      <c r="Z115" s="47"/>
    </row>
    <row r="116" spans="1:26" ht="12" customHeight="1">
      <c r="A116" s="108"/>
      <c r="B116" s="108"/>
      <c r="C116" s="108"/>
      <c r="D116" s="108"/>
      <c r="E116" s="108"/>
      <c r="F116" s="108"/>
      <c r="G116" s="108"/>
      <c r="H116" s="109"/>
    </row>
    <row r="117" spans="1:26" ht="12" customHeight="1">
      <c r="A117" s="108"/>
      <c r="B117" s="108"/>
      <c r="C117" s="108"/>
      <c r="D117" s="108"/>
      <c r="E117" s="108"/>
      <c r="F117" s="108"/>
      <c r="G117" s="108"/>
      <c r="H117" s="110"/>
    </row>
    <row r="121" spans="1:26" ht="12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3" spans="1:26" ht="12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</sheetData>
  <mergeCells count="5">
    <mergeCell ref="F1:V1"/>
    <mergeCell ref="F2:V2"/>
    <mergeCell ref="F3:V3"/>
    <mergeCell ref="F4:G4"/>
    <mergeCell ref="F40:V40"/>
  </mergeCells>
  <pageMargins left="0.7" right="0.7" top="0.75" bottom="0.75" header="0.3" footer="0.3"/>
  <pageSetup scale="4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5A2084-9E70-4536-BAAF-C71350A754A0}"/>
</file>

<file path=customXml/itemProps2.xml><?xml version="1.0" encoding="utf-8"?>
<ds:datastoreItem xmlns:ds="http://schemas.openxmlformats.org/officeDocument/2006/customXml" ds:itemID="{D1C7E311-8131-4499-A556-434DAA792CE6}"/>
</file>

<file path=customXml/itemProps3.xml><?xml version="1.0" encoding="utf-8"?>
<ds:datastoreItem xmlns:ds="http://schemas.openxmlformats.org/officeDocument/2006/customXml" ds:itemID="{ACF75993-7B8C-46A4-813B-6C0ACFB360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/>
  <dc:description/>
  <cp:lastModifiedBy>Allison McGovern</cp:lastModifiedBy>
  <cp:revision/>
  <dcterms:created xsi:type="dcterms:W3CDTF">2023-02-02T05:39:23Z</dcterms:created>
  <dcterms:modified xsi:type="dcterms:W3CDTF">2023-02-08T22:07:11Z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