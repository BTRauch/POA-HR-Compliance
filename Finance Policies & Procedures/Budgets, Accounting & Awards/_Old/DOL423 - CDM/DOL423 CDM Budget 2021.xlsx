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Budgets/"/>
    </mc:Choice>
  </mc:AlternateContent>
  <xr:revisionPtr revIDLastSave="358" documentId="13_ncr:1_{8E3E39A8-4A19-4C81-B573-4EEE3146493F}" xr6:coauthVersionLast="47" xr6:coauthVersionMax="47" xr10:uidLastSave="{7F294709-8F23-4DD0-A41A-6FA62FBFEF8E}"/>
  <bookViews>
    <workbookView xWindow="-96" yWindow="-96" windowWidth="23232" windowHeight="12552" xr2:uid="{00000000-000D-0000-FFFF-FFFF00000000}"/>
  </bookViews>
  <sheets>
    <sheet name="CDM" sheetId="29" r:id="rId1"/>
    <sheet name="SF-424 Cost Categories" sheetId="26" state="hidden" r:id="rId2"/>
  </sheets>
  <definedNames>
    <definedName name="Category" localSheetId="0">#N/A</definedName>
    <definedName name="Category">#REF!</definedName>
    <definedName name="DL_Country" localSheetId="0">#N/A</definedName>
    <definedName name="DL_Country">#REF!</definedName>
    <definedName name="DL_TotalDOL" localSheetId="0">#N/A</definedName>
    <definedName name="DL_TotalDOL">#REF!</definedName>
    <definedName name="EQ_Country" localSheetId="0">#N/A</definedName>
    <definedName name="EQ_Country">#REF!</definedName>
    <definedName name="EQ_TotalDOL" localSheetId="0">#N/A</definedName>
    <definedName name="EQ_TotalDOL">#REF!</definedName>
    <definedName name="inf" localSheetId="0">#N/A</definedName>
    <definedName name="inf">#REF!</definedName>
    <definedName name="JEA_Country" localSheetId="0">#N/A</definedName>
    <definedName name="JEA_Country">#REF!</definedName>
    <definedName name="JEA_Year1" localSheetId="0">#N/A</definedName>
    <definedName name="JEA_Year1">#REF!</definedName>
    <definedName name="ME_Country" localSheetId="0">#N/A</definedName>
    <definedName name="ME_Country">#REF!</definedName>
    <definedName name="ME_TotalDOL" localSheetId="0">#N/A</definedName>
    <definedName name="ME_TotalDOL">#REF!</definedName>
    <definedName name="O1_Country" localSheetId="0">#N/A</definedName>
    <definedName name="O1_Country">#REF!</definedName>
    <definedName name="O1_TotalDOL" localSheetId="0">#N/A</definedName>
    <definedName name="O1_TotalDOL">#REF!</definedName>
    <definedName name="O2_Country" localSheetId="0">#N/A</definedName>
    <definedName name="O2_Country">#REF!</definedName>
    <definedName name="O2_TotalDOL" localSheetId="0">#N/A</definedName>
    <definedName name="O2_TotalDOL">#REF!</definedName>
    <definedName name="_xlnm.Print_Area" localSheetId="0">#N/A</definedName>
    <definedName name="SU_Country" localSheetId="0">#N/A</definedName>
    <definedName name="SU_Country">#REF!</definedName>
    <definedName name="SU_TotalDOL" localSheetId="0">#N/A</definedName>
    <definedName name="SU_TotalDOL">#REF!</definedName>
    <definedName name="TotalDOL" localSheetId="0">#N/A</definedName>
    <definedName name="TotalDOL">#REF!</definedName>
    <definedName name="TR_Country" localSheetId="0">#N/A</definedName>
    <definedName name="TR_Country">#REF!</definedName>
    <definedName name="TR_TotalDOL" localSheetId="0">#N/A</definedName>
    <definedName name="TR_TotalDOL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3" i="29" l="1"/>
  <c r="Y34" i="29"/>
  <c r="Y35" i="29"/>
  <c r="Y36" i="29"/>
  <c r="Y37" i="29"/>
  <c r="Y38" i="29"/>
  <c r="Y32" i="29"/>
  <c r="Y28" i="29"/>
  <c r="Y27" i="29"/>
  <c r="Y26" i="29"/>
  <c r="Y22" i="29"/>
  <c r="Y18" i="29"/>
  <c r="Y11" i="29"/>
  <c r="Y12" i="29"/>
  <c r="Y13" i="29"/>
  <c r="Y10" i="29"/>
  <c r="X33" i="29"/>
  <c r="X34" i="29"/>
  <c r="X35" i="29"/>
  <c r="X36" i="29"/>
  <c r="X37" i="29"/>
  <c r="X38" i="29"/>
  <c r="X32" i="29"/>
  <c r="X27" i="29"/>
  <c r="X28" i="29"/>
  <c r="X26" i="29"/>
  <c r="X22" i="29"/>
  <c r="X18" i="29"/>
  <c r="X11" i="29"/>
  <c r="X12" i="29"/>
  <c r="X13" i="29"/>
  <c r="X10" i="29"/>
  <c r="V65" i="29"/>
  <c r="V61" i="29"/>
  <c r="T74" i="29"/>
  <c r="T75" i="29"/>
  <c r="T73" i="29"/>
  <c r="K13" i="29"/>
  <c r="P13" i="29"/>
  <c r="K10" i="29"/>
  <c r="T10" i="29"/>
  <c r="K12" i="29"/>
  <c r="K11" i="29"/>
  <c r="R11" i="29"/>
  <c r="T33" i="29"/>
  <c r="U33" i="29"/>
  <c r="W33" i="29"/>
  <c r="T34" i="29"/>
  <c r="T35" i="29"/>
  <c r="T40" i="29"/>
  <c r="S47" i="29"/>
  <c r="T47" i="29"/>
  <c r="T36" i="29"/>
  <c r="T37" i="29"/>
  <c r="T38" i="29"/>
  <c r="T32" i="29"/>
  <c r="R33" i="29"/>
  <c r="R34" i="29"/>
  <c r="R35" i="29"/>
  <c r="R36" i="29"/>
  <c r="R37" i="29"/>
  <c r="R38" i="29"/>
  <c r="R32" i="29"/>
  <c r="P33" i="29"/>
  <c r="P34" i="29"/>
  <c r="P35" i="29"/>
  <c r="P36" i="29"/>
  <c r="P37" i="29"/>
  <c r="P38" i="29"/>
  <c r="P32" i="29"/>
  <c r="N33" i="29"/>
  <c r="N34" i="29"/>
  <c r="N35" i="29"/>
  <c r="N36" i="29"/>
  <c r="N37" i="29"/>
  <c r="N38" i="29"/>
  <c r="U38" i="29"/>
  <c r="W38" i="29"/>
  <c r="N32" i="29"/>
  <c r="R28" i="29"/>
  <c r="R27" i="29"/>
  <c r="R26" i="29"/>
  <c r="T27" i="29"/>
  <c r="T28" i="29"/>
  <c r="U28" i="29"/>
  <c r="W28" i="29"/>
  <c r="T26" i="29"/>
  <c r="P27" i="29"/>
  <c r="P30" i="29"/>
  <c r="P28" i="29"/>
  <c r="P26" i="29"/>
  <c r="N27" i="29"/>
  <c r="N30" i="29"/>
  <c r="N28" i="29"/>
  <c r="N26" i="29"/>
  <c r="T11" i="29"/>
  <c r="T12" i="29"/>
  <c r="T13" i="29"/>
  <c r="R12" i="29"/>
  <c r="R13" i="29"/>
  <c r="P11" i="29"/>
  <c r="P12" i="29"/>
  <c r="U12" i="29"/>
  <c r="W12" i="29"/>
  <c r="N11" i="29"/>
  <c r="N12" i="29"/>
  <c r="N10" i="29"/>
  <c r="L13" i="29"/>
  <c r="T59" i="29"/>
  <c r="R59" i="29"/>
  <c r="N59" i="29"/>
  <c r="P59" i="29"/>
  <c r="L59" i="29"/>
  <c r="T55" i="29"/>
  <c r="T54" i="29"/>
  <c r="R55" i="29"/>
  <c r="R54" i="29"/>
  <c r="P55" i="29"/>
  <c r="P54" i="29"/>
  <c r="N55" i="29"/>
  <c r="N54" i="29"/>
  <c r="L54" i="29"/>
  <c r="L55" i="29"/>
  <c r="T53" i="29"/>
  <c r="R53" i="29"/>
  <c r="L53" i="29"/>
  <c r="P53" i="29"/>
  <c r="N53" i="29"/>
  <c r="T57" i="29"/>
  <c r="L38" i="29"/>
  <c r="L37" i="29"/>
  <c r="L36" i="29"/>
  <c r="L35" i="29"/>
  <c r="U35" i="29"/>
  <c r="W35" i="29"/>
  <c r="L34" i="29"/>
  <c r="L33" i="29"/>
  <c r="L32" i="29"/>
  <c r="V30" i="29"/>
  <c r="L28" i="29"/>
  <c r="L27" i="29"/>
  <c r="L26" i="29"/>
  <c r="U26" i="29"/>
  <c r="W26" i="29"/>
  <c r="V24" i="29"/>
  <c r="T22" i="29"/>
  <c r="R22" i="29"/>
  <c r="R24" i="29"/>
  <c r="P22" i="29"/>
  <c r="N22" i="29"/>
  <c r="L22" i="29"/>
  <c r="L24" i="29"/>
  <c r="T51" i="29"/>
  <c r="R51" i="29"/>
  <c r="P51" i="29"/>
  <c r="N51" i="29"/>
  <c r="L51" i="29"/>
  <c r="L12" i="29"/>
  <c r="L11" i="29"/>
  <c r="L10" i="29"/>
  <c r="N24" i="29"/>
  <c r="M69" i="29"/>
  <c r="N69" i="29"/>
  <c r="P24" i="29"/>
  <c r="O69" i="29"/>
  <c r="P69" i="29"/>
  <c r="R30" i="29"/>
  <c r="Q70" i="29"/>
  <c r="R70" i="29"/>
  <c r="U32" i="29"/>
  <c r="W32" i="29"/>
  <c r="U22" i="29"/>
  <c r="W22" i="29"/>
  <c r="T24" i="29"/>
  <c r="R74" i="29"/>
  <c r="R75" i="29"/>
  <c r="U75" i="29"/>
  <c r="W75" i="29"/>
  <c r="R73" i="29"/>
  <c r="P74" i="29"/>
  <c r="P75" i="29"/>
  <c r="P73" i="29"/>
  <c r="N74" i="29"/>
  <c r="N75" i="29"/>
  <c r="N73" i="29"/>
  <c r="L74" i="29"/>
  <c r="U74" i="29"/>
  <c r="W74" i="29"/>
  <c r="L75" i="29"/>
  <c r="L73" i="29"/>
  <c r="M45" i="29"/>
  <c r="N45" i="29"/>
  <c r="T50" i="29"/>
  <c r="T52" i="29"/>
  <c r="T56" i="29"/>
  <c r="T58" i="29"/>
  <c r="R50" i="29"/>
  <c r="R52" i="29"/>
  <c r="R56" i="29"/>
  <c r="R57" i="29"/>
  <c r="R58" i="29"/>
  <c r="P50" i="29"/>
  <c r="P52" i="29"/>
  <c r="P56" i="29"/>
  <c r="P57" i="29"/>
  <c r="P58" i="29"/>
  <c r="N52" i="29"/>
  <c r="N56" i="29"/>
  <c r="N57" i="29"/>
  <c r="U57" i="29"/>
  <c r="W57" i="29"/>
  <c r="N58" i="29"/>
  <c r="L52" i="29"/>
  <c r="L56" i="29"/>
  <c r="L57" i="29"/>
  <c r="L58" i="29"/>
  <c r="N50" i="29"/>
  <c r="L50" i="29"/>
  <c r="T49" i="29"/>
  <c r="R49" i="29"/>
  <c r="P49" i="29"/>
  <c r="N49" i="29"/>
  <c r="L49" i="29"/>
  <c r="V81" i="29"/>
  <c r="V77" i="29"/>
  <c r="T72" i="29"/>
  <c r="R72" i="29"/>
  <c r="P72" i="29"/>
  <c r="N72" i="29"/>
  <c r="L72" i="29"/>
  <c r="V40" i="29"/>
  <c r="V15" i="29"/>
  <c r="V20" i="29"/>
  <c r="V83" i="29"/>
  <c r="T46" i="29"/>
  <c r="T70" i="29"/>
  <c r="T71" i="29"/>
  <c r="M46" i="29"/>
  <c r="N46" i="29"/>
  <c r="M70" i="29"/>
  <c r="N70" i="29"/>
  <c r="U27" i="29"/>
  <c r="W27" i="29"/>
  <c r="U37" i="29"/>
  <c r="W37" i="29"/>
  <c r="L15" i="29"/>
  <c r="N13" i="29"/>
  <c r="N15" i="29"/>
  <c r="N18" i="29"/>
  <c r="N20" i="29"/>
  <c r="R10" i="29"/>
  <c r="R15" i="29"/>
  <c r="R18" i="29"/>
  <c r="U51" i="29"/>
  <c r="W51" i="29"/>
  <c r="U56" i="29"/>
  <c r="W56" i="29"/>
  <c r="O45" i="29"/>
  <c r="P45" i="29"/>
  <c r="P10" i="29"/>
  <c r="U10" i="29"/>
  <c r="W10" i="29"/>
  <c r="U50" i="29"/>
  <c r="W50" i="29"/>
  <c r="J45" i="29"/>
  <c r="L45" i="29"/>
  <c r="J69" i="29"/>
  <c r="L69" i="29"/>
  <c r="O46" i="29"/>
  <c r="P46" i="29"/>
  <c r="O70" i="29"/>
  <c r="P70" i="29"/>
  <c r="L18" i="29"/>
  <c r="L20" i="29"/>
  <c r="Q45" i="29"/>
  <c r="R45" i="29"/>
  <c r="Q69" i="29"/>
  <c r="R69" i="29"/>
  <c r="U52" i="29"/>
  <c r="W52" i="29"/>
  <c r="U11" i="29"/>
  <c r="W11" i="29"/>
  <c r="U36" i="29"/>
  <c r="W36" i="29"/>
  <c r="P40" i="29"/>
  <c r="R40" i="29"/>
  <c r="Q47" i="29"/>
  <c r="R47" i="29"/>
  <c r="L30" i="29"/>
  <c r="J46" i="29"/>
  <c r="L46" i="29"/>
  <c r="U46" i="29"/>
  <c r="W46" i="29"/>
  <c r="U58" i="29"/>
  <c r="W58" i="29"/>
  <c r="U59" i="29"/>
  <c r="W59" i="29"/>
  <c r="U49" i="29"/>
  <c r="W49" i="29"/>
  <c r="U55" i="29"/>
  <c r="W55" i="29"/>
  <c r="Q46" i="29"/>
  <c r="R46" i="29"/>
  <c r="U72" i="29"/>
  <c r="W72" i="29"/>
  <c r="U73" i="29"/>
  <c r="W73" i="29"/>
  <c r="U24" i="29"/>
  <c r="W24" i="29"/>
  <c r="L40" i="29"/>
  <c r="J71" i="29"/>
  <c r="L71" i="29"/>
  <c r="U53" i="29"/>
  <c r="W53" i="29"/>
  <c r="U54" i="29"/>
  <c r="W54" i="29"/>
  <c r="P15" i="29"/>
  <c r="P18" i="29"/>
  <c r="U34" i="29"/>
  <c r="W34" i="29"/>
  <c r="O47" i="29"/>
  <c r="P47" i="29"/>
  <c r="O71" i="29"/>
  <c r="P71" i="29"/>
  <c r="Q71" i="29"/>
  <c r="R71" i="29"/>
  <c r="T30" i="29"/>
  <c r="N40" i="29"/>
  <c r="R20" i="29"/>
  <c r="T15" i="29"/>
  <c r="C6" i="26"/>
  <c r="U13" i="29"/>
  <c r="W13" i="29"/>
  <c r="J47" i="29"/>
  <c r="L47" i="29"/>
  <c r="J70" i="29"/>
  <c r="L70" i="29"/>
  <c r="U70" i="29"/>
  <c r="W70" i="29"/>
  <c r="U15" i="29"/>
  <c r="W15" i="29"/>
  <c r="J68" i="29"/>
  <c r="L68" i="29"/>
  <c r="J44" i="29"/>
  <c r="L44" i="29"/>
  <c r="L61" i="29"/>
  <c r="U40" i="29"/>
  <c r="W40" i="29"/>
  <c r="P20" i="29"/>
  <c r="O68" i="29"/>
  <c r="P68" i="29"/>
  <c r="P77" i="29"/>
  <c r="M68" i="29"/>
  <c r="N68" i="29"/>
  <c r="M44" i="29"/>
  <c r="N44" i="29"/>
  <c r="M47" i="29"/>
  <c r="N47" i="29"/>
  <c r="U47" i="29"/>
  <c r="W47" i="29"/>
  <c r="M71" i="29"/>
  <c r="N71" i="29"/>
  <c r="U71" i="29"/>
  <c r="W71" i="29"/>
  <c r="S69" i="29"/>
  <c r="T69" i="29"/>
  <c r="U69" i="29"/>
  <c r="W69" i="29"/>
  <c r="S45" i="29"/>
  <c r="T45" i="29"/>
  <c r="U45" i="29"/>
  <c r="W45" i="29"/>
  <c r="L77" i="29"/>
  <c r="Q44" i="29"/>
  <c r="R44" i="29"/>
  <c r="R61" i="29"/>
  <c r="Q68" i="29"/>
  <c r="R68" i="29"/>
  <c r="R77" i="29"/>
  <c r="T18" i="29"/>
  <c r="U18" i="29"/>
  <c r="W18" i="29"/>
  <c r="U30" i="29"/>
  <c r="W30" i="29"/>
  <c r="C9" i="26"/>
  <c r="O44" i="29"/>
  <c r="P44" i="29"/>
  <c r="P61" i="29"/>
  <c r="P79" i="29"/>
  <c r="P81" i="29"/>
  <c r="L63" i="29"/>
  <c r="L65" i="29"/>
  <c r="P63" i="29"/>
  <c r="P65" i="29"/>
  <c r="R79" i="29"/>
  <c r="R81" i="29"/>
  <c r="R63" i="29"/>
  <c r="R65" i="29"/>
  <c r="T20" i="29"/>
  <c r="L79" i="29"/>
  <c r="L81" i="29"/>
  <c r="N61" i="29"/>
  <c r="N77" i="29"/>
  <c r="C7" i="26"/>
  <c r="C5" i="26"/>
  <c r="P83" i="29"/>
  <c r="L83" i="29"/>
  <c r="N63" i="29"/>
  <c r="N65" i="29"/>
  <c r="S68" i="29"/>
  <c r="T68" i="29"/>
  <c r="S44" i="29"/>
  <c r="T44" i="29"/>
  <c r="U20" i="29"/>
  <c r="W20" i="29"/>
  <c r="N79" i="29"/>
  <c r="N81" i="29"/>
  <c r="R83" i="29"/>
  <c r="N83" i="29"/>
  <c r="T61" i="29"/>
  <c r="U44" i="29"/>
  <c r="T77" i="29"/>
  <c r="U68" i="29"/>
  <c r="W68" i="29"/>
  <c r="W44" i="29"/>
  <c r="U61" i="29"/>
  <c r="W61" i="29"/>
  <c r="T63" i="29"/>
  <c r="U63" i="29"/>
  <c r="W63" i="29"/>
  <c r="T79" i="29"/>
  <c r="U79" i="29"/>
  <c r="W79" i="29"/>
  <c r="U77" i="29"/>
  <c r="W77" i="29"/>
  <c r="T65" i="29"/>
  <c r="T81" i="29"/>
  <c r="T83" i="29"/>
  <c r="U83" i="29"/>
  <c r="W83" i="29"/>
  <c r="U81" i="29"/>
  <c r="W81" i="29"/>
  <c r="U65" i="29"/>
  <c r="W65" i="29"/>
  <c r="C8" i="26" l="1"/>
  <c r="C3" i="26"/>
  <c r="C4" i="26"/>
  <c r="C10" i="26" l="1"/>
  <c r="C12" i="26" s="1"/>
</calcChain>
</file>

<file path=xl/sharedStrings.xml><?xml version="1.0" encoding="utf-8"?>
<sst xmlns="http://schemas.openxmlformats.org/spreadsheetml/2006/main" count="393" uniqueCount="153">
  <si>
    <t>BUDGET ITEM</t>
  </si>
  <si>
    <t>TOTAL COST SHARING</t>
  </si>
  <si>
    <t>PROJECT GRAND TOTAL</t>
  </si>
  <si>
    <t>Direct Labor</t>
  </si>
  <si>
    <t>Travel</t>
  </si>
  <si>
    <t>TOTAL COSTS</t>
  </si>
  <si>
    <t>Entity:</t>
  </si>
  <si>
    <t>P</t>
  </si>
  <si>
    <t>Program-Dept.:</t>
  </si>
  <si>
    <t>Funder-Grant:</t>
  </si>
  <si>
    <t>DOL423</t>
  </si>
  <si>
    <t>Budget Assumptions:</t>
  </si>
  <si>
    <t>Inflation - Locally Purchased Goods/Services</t>
  </si>
  <si>
    <t>Sage Activity</t>
  </si>
  <si>
    <t>Subcontract Code</t>
  </si>
  <si>
    <t>CATEGORY</t>
  </si>
  <si>
    <t>UNIT</t>
  </si>
  <si>
    <t># of Units</t>
  </si>
  <si>
    <t>YEAR 1</t>
  </si>
  <si>
    <t>YEAR 2</t>
  </si>
  <si>
    <t>YEAR 3</t>
  </si>
  <si>
    <t>YEAR 5</t>
  </si>
  <si>
    <t>Salaries</t>
  </si>
  <si>
    <t>Month</t>
  </si>
  <si>
    <t xml:space="preserve">Subtotal </t>
  </si>
  <si>
    <t>Fringe Benefits</t>
  </si>
  <si>
    <t>Subtotal Direct Labor</t>
  </si>
  <si>
    <t>-</t>
  </si>
  <si>
    <t>Day</t>
  </si>
  <si>
    <t>Subtotal Travel</t>
  </si>
  <si>
    <t>Supplies</t>
  </si>
  <si>
    <t>Unit</t>
  </si>
  <si>
    <t>Year</t>
  </si>
  <si>
    <t>Outcome 1: Increase understanding by workers, employers, and union leaders on how to utilize Mexico’s new labor systems to protect labor rights and effectively address labor disputes.</t>
  </si>
  <si>
    <t>Activities/Costs</t>
  </si>
  <si>
    <t>Contractual</t>
  </si>
  <si>
    <t>MX.1.1.B</t>
  </si>
  <si>
    <t>CDM</t>
  </si>
  <si>
    <t>Campaign</t>
  </si>
  <si>
    <t>Trainings</t>
  </si>
  <si>
    <t>Subtotal Outcome 1</t>
  </si>
  <si>
    <t>3: Monitoring, Evaluation, and Collection of Reliable Data</t>
  </si>
  <si>
    <t xml:space="preserve"> -      </t>
  </si>
  <si>
    <t>Lodging and M&amp;IE - Field verification and data collection visits</t>
  </si>
  <si>
    <t>M&amp;E</t>
  </si>
  <si>
    <t>Local transportation - Field verification and data collection visits</t>
  </si>
  <si>
    <t>MX.3.7.B</t>
  </si>
  <si>
    <t>Subtotal Monitoring, Evaluation, and Collection of Reliable Data</t>
  </si>
  <si>
    <t>Indirect Charges</t>
  </si>
  <si>
    <t>Name of Project: Mexico Awareness Raising Project</t>
  </si>
  <si>
    <t>Subaward Budget</t>
  </si>
  <si>
    <t>RATE/ UNIT</t>
  </si>
  <si>
    <r>
      <t xml:space="preserve">YEAR </t>
    </r>
    <r>
      <rPr>
        <b/>
        <sz val="8"/>
        <rFont val="Arial"/>
        <family val="2"/>
      </rPr>
      <t>4</t>
    </r>
  </si>
  <si>
    <t>Personnel</t>
  </si>
  <si>
    <t xml:space="preserve">Fringe benefits </t>
  </si>
  <si>
    <t>Fringe benefits</t>
  </si>
  <si>
    <t>Project Staff - Ground Transportation</t>
  </si>
  <si>
    <t>Laptops and software</t>
  </si>
  <si>
    <t>Cellphone</t>
  </si>
  <si>
    <t>Subtotal Supplies</t>
  </si>
  <si>
    <t>Office Expenses</t>
  </si>
  <si>
    <t xml:space="preserve">Banking and cash handling fees </t>
  </si>
  <si>
    <t>Courier fees/services/postage</t>
  </si>
  <si>
    <t xml:space="preserve">Email/Internet </t>
  </si>
  <si>
    <t>Office Rent</t>
  </si>
  <si>
    <t xml:space="preserve">Equipment and office repairs and maintenance </t>
  </si>
  <si>
    <t>Subtotal Office Expenses</t>
  </si>
  <si>
    <t>The above is only for percentage calculations for the below outcomes</t>
  </si>
  <si>
    <t>Personnel &amp; Fringe (95% of Direct Labor line item)</t>
  </si>
  <si>
    <t>Outcome1</t>
  </si>
  <si>
    <t>Travel 95%</t>
  </si>
  <si>
    <t>Supplies 95%</t>
  </si>
  <si>
    <t>Office Expenses 95%</t>
  </si>
  <si>
    <t>Direct Costs Total for Outcome 1</t>
  </si>
  <si>
    <t>Total Indirect Costs (De Minimis 10%) for Outcome 1</t>
  </si>
  <si>
    <t>Personnel &amp; Fringe (5% of Direct Labor line item)</t>
  </si>
  <si>
    <t>Travel 5%</t>
  </si>
  <si>
    <t>Supplies 5%</t>
  </si>
  <si>
    <t>Office Expenses 5%</t>
  </si>
  <si>
    <t>Data collection materials and printing</t>
  </si>
  <si>
    <t>Direct Costs Total for Monitoring, Evaluation, and Collection of Reliable Data</t>
  </si>
  <si>
    <t>Total Indirect Costs (NICRA or De Minimis)  for M&amp;E and Collection of Reliable Data</t>
  </si>
  <si>
    <t>Name of Subawardee: Centro de los Derechos del Migrante (CDM)</t>
  </si>
  <si>
    <t>Merit Based Increases for Staff</t>
  </si>
  <si>
    <t>TOTAL CDM</t>
  </si>
  <si>
    <t>MX.1.1.B (Outcome 1) / MX.3.7.B (M&amp;E)</t>
  </si>
  <si>
    <t>CDMPERSCDC</t>
  </si>
  <si>
    <t>Communications Director/Coordinator (100%)</t>
  </si>
  <si>
    <t>CDMPERSSMS</t>
  </si>
  <si>
    <t>Social Media Strategist (100%)</t>
  </si>
  <si>
    <t>CDMPERSAA</t>
  </si>
  <si>
    <t>Administration Assistant (100%)</t>
  </si>
  <si>
    <t>CDMPERSPM</t>
  </si>
  <si>
    <t>Partnerships Manager (50%)</t>
  </si>
  <si>
    <t>CDMFRINGE</t>
  </si>
  <si>
    <t>T1. Meetings with POA</t>
  </si>
  <si>
    <t>CDMGROUND</t>
  </si>
  <si>
    <t>Supplies - Under $5,000 USD</t>
  </si>
  <si>
    <t>CDMLAPTOP</t>
  </si>
  <si>
    <t>Device</t>
  </si>
  <si>
    <t>CDMPHONE</t>
  </si>
  <si>
    <t>CDMSUPPLY</t>
  </si>
  <si>
    <t>Office Supplies</t>
  </si>
  <si>
    <t>CDMBANKFEE</t>
  </si>
  <si>
    <t>CDMPOSTAGE</t>
  </si>
  <si>
    <t>CDMADVERT</t>
  </si>
  <si>
    <t>Recruitment/Procurement Advertising</t>
  </si>
  <si>
    <t>CDMEMAIL</t>
  </si>
  <si>
    <t>CDMCELL</t>
  </si>
  <si>
    <t>Cellphone plan</t>
  </si>
  <si>
    <t>CDMRENT</t>
  </si>
  <si>
    <t>CDMMAINT</t>
  </si>
  <si>
    <t>1.1.1.2 Mass and social media campaigns for workers and the general populace</t>
  </si>
  <si>
    <t>CDMTRANSTP</t>
  </si>
  <si>
    <t>Local transportation to support STPS Facebook development</t>
  </si>
  <si>
    <t>CDMDESIGN</t>
  </si>
  <si>
    <t>Graphic design and material development for STPS Facebook</t>
  </si>
  <si>
    <t>CDMCONSULT</t>
  </si>
  <si>
    <t>Consultant: Mexican Lawyer to inform materials being developed</t>
  </si>
  <si>
    <t>CDMCONTDEV</t>
  </si>
  <si>
    <t>Content development and diffusion trainings with unions, confederations, and labor rights NGOs</t>
  </si>
  <si>
    <t>CDMMATLDES</t>
  </si>
  <si>
    <t>Material design and printing for trainings with unions, confederations, and labor rights NGOs</t>
  </si>
  <si>
    <t>CDMSUPPTRA</t>
  </si>
  <si>
    <t>Transportation for project staff to support trainings</t>
  </si>
  <si>
    <t>CDMLODGING</t>
  </si>
  <si>
    <t>Lodging and M&amp;IE for project staff to support trainings</t>
  </si>
  <si>
    <t>CDMKNOWRIG</t>
  </si>
  <si>
    <t>Design of Know Your Rights posters and cards for workers</t>
  </si>
  <si>
    <t>CDMDISSEM</t>
  </si>
  <si>
    <t>Dissemination campaign for Know Your Rights posters and cards within their network</t>
  </si>
  <si>
    <t>CDMPRINT</t>
  </si>
  <si>
    <t>Printing of Know Your Rights posters and cards for dissemination within their network</t>
  </si>
  <si>
    <t>CDMTRANSL</t>
  </si>
  <si>
    <t>Translation costs</t>
  </si>
  <si>
    <t>CDMIDCCOST</t>
  </si>
  <si>
    <t>3.7.2.1 Collection of Reliable Data and Processing of Monitoring Data</t>
  </si>
  <si>
    <t>CDMM&amp;ELOD</t>
  </si>
  <si>
    <t>CDMM&amp;ETRAN</t>
  </si>
  <si>
    <t>CDMM&amp;EMATL</t>
  </si>
  <si>
    <t>Category</t>
  </si>
  <si>
    <t>TOTAL USDOL</t>
  </si>
  <si>
    <t xml:space="preserve">Equipment </t>
  </si>
  <si>
    <t>Other Direct Charges</t>
  </si>
  <si>
    <t>TOTAL</t>
  </si>
  <si>
    <t>Percentage 95% to Outcome 1</t>
  </si>
  <si>
    <t>Percentage 5% to Outcome 3</t>
  </si>
  <si>
    <t>Account Code</t>
  </si>
  <si>
    <t>Country Code</t>
  </si>
  <si>
    <t>Office Code</t>
  </si>
  <si>
    <t>Sub Activity</t>
  </si>
  <si>
    <t>MEX</t>
  </si>
  <si>
    <t>See breakdown column X,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</si>
</sst>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\ &quot;Bs&quot;_-;\-* #,##0.00\ &quot;Bs&quot;_-;_-* &quot;-&quot;??\ &quot;Bs&quot;_-;_-@_-"/>
    <numFmt numFmtId="166" formatCode="_-* #,##0.00\ _B_s_-;\-* #,##0.00\ _B_s_-;_-* &quot;-&quot;??\ _B_s_-;_-@_-"/>
    <numFmt numFmtId="167" formatCode="_-* #,##0\ _B_s_-;\-* #,##0\ _B_s_-;_-* &quot;-&quot;??\ _B_s_-;_-@_-"/>
    <numFmt numFmtId="168" formatCode="0.0%"/>
    <numFmt numFmtId="169" formatCode="_(&quot;$&quot;* #,##0_);_(&quot;$&quot;* \(#,##0\);_(&quot;$&quot;* &quot;-&quot;??_);_(@_)"/>
    <numFmt numFmtId="170" formatCode="_([$$-409]* #,##0_);_([$$-409]* \(#,##0\);_([$$-409]* &quot;-&quot;??_);_(@_)"/>
    <numFmt numFmtId="171" formatCode="_-* #,##0.000\ _B_s_-;\-* #,##0.000\ _B_s_-;_-* &quot;-&quot;??\ _B_s_-;_-@_-"/>
    <numFmt numFmtId="172" formatCode="_-&quot;$&quot;* #,##0_-;\-&quot;$&quot;* #,##0_-;_-&quot;$&quot;* &quot;-&quot;??_-;_-@_-"/>
    <numFmt numFmtId="173" formatCode="_-* #,##0.00\ _€_-;\-* #,##0.00\ _€_-;_-* &quot;-&quot;??\ _€_-;_-@_-"/>
    <numFmt numFmtId="174" formatCode="#,##0.00;[Red]#,##0.00"/>
  </numFmts>
  <fonts count="3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sz val="8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8"/>
      <color indexed="8"/>
      <name val="Tahoma"/>
      <family val="2"/>
    </font>
    <font>
      <sz val="8"/>
      <color indexed="14"/>
      <name val="Tahoma"/>
      <family val="2"/>
    </font>
    <font>
      <b/>
      <sz val="8"/>
      <color indexed="62"/>
      <name val="Tahoma"/>
      <family val="2"/>
    </font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sz val="8"/>
      <color theme="0"/>
      <name val="Tahoma"/>
      <family val="2"/>
    </font>
    <font>
      <b/>
      <sz val="8"/>
      <color rgb="FFFA7D00"/>
      <name val="Tahoma"/>
      <family val="2"/>
    </font>
    <font>
      <b/>
      <sz val="8"/>
      <color theme="0"/>
      <name val="Tahoma"/>
      <family val="2"/>
    </font>
    <font>
      <sz val="10"/>
      <color rgb="FF000000"/>
      <name val="Arial"/>
      <family val="2"/>
    </font>
    <font>
      <i/>
      <sz val="8"/>
      <color rgb="FF7F7F7F"/>
      <name val="Tahoma"/>
      <family val="2"/>
    </font>
    <font>
      <sz val="8"/>
      <color rgb="FF006100"/>
      <name val="Tahoma"/>
      <family val="2"/>
    </font>
    <font>
      <sz val="8"/>
      <color rgb="FF3F3F76"/>
      <name val="Tahoma"/>
      <family val="2"/>
    </font>
    <font>
      <sz val="8"/>
      <color rgb="FFFA7D00"/>
      <name val="Tahoma"/>
      <family val="2"/>
    </font>
    <font>
      <sz val="8"/>
      <color rgb="FF9C6500"/>
      <name val="Tahoma"/>
      <family val="2"/>
    </font>
    <font>
      <b/>
      <sz val="8"/>
      <color rgb="FF3F3F3F"/>
      <name val="Tahoma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  <font>
      <sz val="8"/>
      <color rgb="FFFF0000"/>
      <name val="Arial"/>
      <family val="2"/>
    </font>
    <font>
      <b/>
      <sz val="9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sz val="10"/>
      <name val="Times New Roman"/>
      <family val="1"/>
    </font>
    <font>
      <b/>
      <i/>
      <sz val="10"/>
      <name val="Times New Roman"/>
      <family val="1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98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2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5" borderId="0" applyNumberFormat="0" applyBorder="0" applyAlignment="0" applyProtection="0"/>
    <xf numFmtId="0" fontId="16" fillId="12" borderId="0" applyNumberFormat="0" applyBorder="0" applyAlignment="0" applyProtection="0"/>
    <xf numFmtId="0" fontId="16" fillId="6" borderId="0" applyNumberFormat="0" applyBorder="0" applyAlignment="0" applyProtection="0"/>
    <xf numFmtId="0" fontId="16" fillId="5" borderId="0" applyNumberFormat="0" applyBorder="0" applyAlignment="0" applyProtection="0"/>
    <xf numFmtId="0" fontId="16" fillId="13" borderId="0" applyNumberFormat="0" applyBorder="0" applyAlignment="0" applyProtection="0"/>
    <xf numFmtId="0" fontId="16" fillId="3" borderId="0" applyNumberFormat="0" applyBorder="0" applyAlignment="0" applyProtection="0"/>
    <xf numFmtId="0" fontId="17" fillId="7" borderId="0" applyNumberFormat="0" applyBorder="0" applyAlignment="0" applyProtection="0"/>
    <xf numFmtId="0" fontId="17" fillId="14" borderId="0" applyNumberFormat="0" applyBorder="0" applyAlignment="0" applyProtection="0"/>
    <xf numFmtId="0" fontId="17" fillId="6" borderId="0" applyNumberFormat="0" applyBorder="0" applyAlignment="0" applyProtection="0"/>
    <xf numFmtId="0" fontId="17" fillId="5" borderId="0" applyNumberFormat="0" applyBorder="0" applyAlignment="0" applyProtection="0"/>
    <xf numFmtId="0" fontId="17" fillId="15" borderId="0" applyNumberFormat="0" applyBorder="0" applyAlignment="0" applyProtection="0"/>
    <xf numFmtId="0" fontId="17" fillId="3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3" fillId="18" borderId="0" applyNumberFormat="0" applyBorder="0" applyAlignment="0" applyProtection="0"/>
    <xf numFmtId="0" fontId="18" fillId="2" borderId="16" applyNumberFormat="0" applyAlignment="0" applyProtection="0"/>
    <xf numFmtId="0" fontId="19" fillId="19" borderId="17" applyNumberFormat="0" applyAlignment="0" applyProtection="0"/>
    <xf numFmtId="166" fontId="1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3" fontId="11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3" fontId="15" fillId="0" borderId="0" applyFont="0" applyFill="0" applyBorder="0" applyAlignment="0" applyProtection="0"/>
    <xf numFmtId="166" fontId="6" fillId="0" borderId="0" applyFont="0" applyFill="0" applyBorder="0" applyAlignment="0" applyProtection="0"/>
    <xf numFmtId="173" fontId="1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42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65" fontId="10" fillId="0" borderId="0" applyFont="0" applyFill="0" applyBorder="0" applyAlignment="0" applyProtection="0"/>
    <xf numFmtId="44" fontId="12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20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20" borderId="0" applyNumberFormat="0" applyBorder="0" applyAlignment="0" applyProtection="0"/>
    <xf numFmtId="0" fontId="14" fillId="0" borderId="1" applyNumberFormat="0" applyFill="0" applyAlignment="0" applyProtection="0"/>
    <xf numFmtId="0" fontId="14" fillId="0" borderId="18" applyNumberFormat="0" applyFill="0" applyAlignment="0" applyProtection="0"/>
    <xf numFmtId="0" fontId="14" fillId="0" borderId="2" applyNumberFormat="0" applyFill="0" applyAlignment="0" applyProtection="0"/>
    <xf numFmtId="0" fontId="14" fillId="0" borderId="0" applyNumberFormat="0" applyFill="0" applyBorder="0" applyAlignment="0" applyProtection="0"/>
    <xf numFmtId="0" fontId="23" fillId="21" borderId="16" applyNumberFormat="0" applyAlignment="0" applyProtection="0"/>
    <xf numFmtId="0" fontId="24" fillId="0" borderId="19" applyNumberFormat="0" applyFill="0" applyAlignment="0" applyProtection="0"/>
    <xf numFmtId="17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5" fillId="22" borderId="0" applyNumberFormat="0" applyBorder="0" applyAlignment="0" applyProtection="0"/>
    <xf numFmtId="0" fontId="8" fillId="0" borderId="0"/>
    <xf numFmtId="0" fontId="6" fillId="0" borderId="0"/>
    <xf numFmtId="0" fontId="16" fillId="0" borderId="0"/>
    <xf numFmtId="3" fontId="20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5" fillId="0" borderId="0"/>
    <xf numFmtId="0" fontId="20" fillId="0" borderId="0"/>
    <xf numFmtId="0" fontId="12" fillId="23" borderId="20" applyNumberFormat="0" applyFont="0" applyAlignment="0" applyProtection="0"/>
    <xf numFmtId="0" fontId="26" fillId="2" borderId="21" applyNumberFormat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27" fillId="0" borderId="3" applyNumberFormat="0" applyFill="0" applyAlignment="0" applyProtection="0"/>
    <xf numFmtId="0" fontId="28" fillId="0" borderId="0" applyNumberFormat="0" applyFill="0" applyBorder="0" applyAlignment="0" applyProtection="0"/>
    <xf numFmtId="166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</cellStyleXfs>
  <cellXfs count="130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3" fontId="2" fillId="0" borderId="0" xfId="0" applyNumberFormat="1" applyFont="1"/>
    <xf numFmtId="3" fontId="2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167" fontId="2" fillId="0" borderId="0" xfId="0" applyNumberFormat="1" applyFont="1" applyAlignment="1">
      <alignment horizontal="right" wrapText="1"/>
    </xf>
    <xf numFmtId="3" fontId="3" fillId="24" borderId="4" xfId="0" applyNumberFormat="1" applyFont="1" applyFill="1" applyBorder="1" applyAlignment="1">
      <alignment wrapText="1"/>
    </xf>
    <xf numFmtId="0" fontId="3" fillId="25" borderId="5" xfId="0" applyFont="1" applyFill="1" applyBorder="1" applyAlignment="1">
      <alignment wrapText="1"/>
    </xf>
    <xf numFmtId="3" fontId="2" fillId="26" borderId="0" xfId="0" applyNumberFormat="1" applyFont="1" applyFill="1"/>
    <xf numFmtId="0" fontId="2" fillId="0" borderId="0" xfId="0" applyFont="1" applyAlignment="1">
      <alignment horizontal="left" wrapText="1"/>
    </xf>
    <xf numFmtId="167" fontId="2" fillId="0" borderId="0" xfId="28" applyNumberFormat="1" applyFont="1" applyFill="1" applyBorder="1" applyAlignment="1"/>
    <xf numFmtId="0" fontId="3" fillId="0" borderId="4" xfId="0" applyFont="1" applyBorder="1" applyAlignment="1">
      <alignment horizontal="center" wrapText="1"/>
    </xf>
    <xf numFmtId="3" fontId="3" fillId="0" borderId="4" xfId="0" applyNumberFormat="1" applyFont="1" applyBorder="1" applyAlignment="1">
      <alignment horizontal="center" wrapText="1"/>
    </xf>
    <xf numFmtId="3" fontId="2" fillId="0" borderId="0" xfId="0" applyNumberFormat="1" applyFont="1" applyAlignment="1">
      <alignment horizontal="right" wrapText="1"/>
    </xf>
    <xf numFmtId="0" fontId="3" fillId="24" borderId="4" xfId="0" applyFont="1" applyFill="1" applyBorder="1" applyAlignment="1">
      <alignment wrapText="1"/>
    </xf>
    <xf numFmtId="170" fontId="3" fillId="24" borderId="4" xfId="0" applyNumberFormat="1" applyFont="1" applyFill="1" applyBorder="1" applyAlignment="1">
      <alignment horizontal="right" wrapText="1"/>
    </xf>
    <xf numFmtId="10" fontId="3" fillId="0" borderId="0" xfId="0" applyNumberFormat="1" applyFont="1"/>
    <xf numFmtId="0" fontId="3" fillId="0" borderId="0" xfId="0" applyFont="1"/>
    <xf numFmtId="167" fontId="3" fillId="24" borderId="4" xfId="0" applyNumberFormat="1" applyFont="1" applyFill="1" applyBorder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3" fillId="24" borderId="4" xfId="0" applyFont="1" applyFill="1" applyBorder="1" applyAlignment="1">
      <alignment horizontal="right" wrapText="1"/>
    </xf>
    <xf numFmtId="3" fontId="3" fillId="24" borderId="4" xfId="0" applyNumberFormat="1" applyFont="1" applyFill="1" applyBorder="1" applyAlignment="1">
      <alignment horizontal="right" wrapText="1"/>
    </xf>
    <xf numFmtId="169" fontId="3" fillId="24" borderId="4" xfId="0" applyNumberFormat="1" applyFont="1" applyFill="1" applyBorder="1" applyAlignment="1">
      <alignment horizontal="right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24" borderId="4" xfId="0" applyFont="1" applyFill="1" applyBorder="1" applyAlignment="1">
      <alignment horizontal="left" wrapText="1"/>
    </xf>
    <xf numFmtId="170" fontId="2" fillId="0" borderId="0" xfId="0" applyNumberFormat="1" applyFont="1" applyAlignment="1">
      <alignment horizontal="right" wrapText="1"/>
    </xf>
    <xf numFmtId="3" fontId="3" fillId="0" borderId="0" xfId="0" applyNumberFormat="1" applyFont="1" applyAlignment="1">
      <alignment horizontal="right" wrapText="1"/>
    </xf>
    <xf numFmtId="3" fontId="3" fillId="25" borderId="5" xfId="0" applyNumberFormat="1" applyFont="1" applyFill="1" applyBorder="1" applyAlignment="1">
      <alignment horizontal="right" wrapText="1"/>
    </xf>
    <xf numFmtId="0" fontId="3" fillId="26" borderId="0" xfId="0" applyFont="1" applyFill="1" applyAlignment="1">
      <alignment wrapText="1"/>
    </xf>
    <xf numFmtId="3" fontId="3" fillId="26" borderId="0" xfId="0" applyNumberFormat="1" applyFont="1" applyFill="1" applyAlignment="1">
      <alignment wrapText="1"/>
    </xf>
    <xf numFmtId="169" fontId="2" fillId="0" borderId="0" xfId="0" applyNumberFormat="1" applyFont="1" applyAlignment="1">
      <alignment horizontal="right" wrapText="1"/>
    </xf>
    <xf numFmtId="0" fontId="29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167" fontId="3" fillId="0" borderId="0" xfId="0" applyNumberFormat="1" applyFont="1" applyAlignment="1">
      <alignment horizontal="right" wrapText="1"/>
    </xf>
    <xf numFmtId="171" fontId="2" fillId="0" borderId="0" xfId="28" applyNumberFormat="1" applyFont="1" applyFill="1" applyBorder="1" applyAlignment="1"/>
    <xf numFmtId="167" fontId="2" fillId="0" borderId="0" xfId="0" applyNumberFormat="1" applyFont="1" applyAlignment="1">
      <alignment wrapText="1"/>
    </xf>
    <xf numFmtId="167" fontId="2" fillId="0" borderId="0" xfId="28" applyNumberFormat="1" applyFont="1" applyAlignment="1">
      <alignment wrapText="1"/>
    </xf>
    <xf numFmtId="0" fontId="3" fillId="27" borderId="0" xfId="0" applyFont="1" applyFill="1" applyAlignment="1">
      <alignment wrapText="1"/>
    </xf>
    <xf numFmtId="0" fontId="3" fillId="27" borderId="0" xfId="0" applyFont="1" applyFill="1" applyAlignment="1">
      <alignment horizontal="right" wrapText="1"/>
    </xf>
    <xf numFmtId="3" fontId="3" fillId="27" borderId="0" xfId="0" applyNumberFormat="1" applyFont="1" applyFill="1" applyAlignment="1">
      <alignment horizontal="right" wrapText="1"/>
    </xf>
    <xf numFmtId="170" fontId="3" fillId="27" borderId="0" xfId="0" applyNumberFormat="1" applyFont="1" applyFill="1" applyAlignment="1">
      <alignment horizontal="right" wrapText="1"/>
    </xf>
    <xf numFmtId="169" fontId="3" fillId="27" borderId="0" xfId="0" applyNumberFormat="1" applyFont="1" applyFill="1" applyAlignment="1">
      <alignment horizontal="right" wrapText="1"/>
    </xf>
    <xf numFmtId="3" fontId="3" fillId="0" borderId="4" xfId="0" applyNumberFormat="1" applyFont="1" applyBorder="1" applyAlignment="1">
      <alignment horizontal="center"/>
    </xf>
    <xf numFmtId="0" fontId="4" fillId="24" borderId="0" xfId="0" applyFont="1" applyFill="1" applyAlignment="1">
      <alignment horizontal="left" wrapText="1"/>
    </xf>
    <xf numFmtId="0" fontId="3" fillId="24" borderId="0" xfId="0" applyFont="1" applyFill="1" applyAlignment="1">
      <alignment horizontal="right" wrapText="1"/>
    </xf>
    <xf numFmtId="3" fontId="3" fillId="24" borderId="0" xfId="0" applyNumberFormat="1" applyFont="1" applyFill="1" applyAlignment="1">
      <alignment horizontal="right" wrapText="1"/>
    </xf>
    <xf numFmtId="170" fontId="3" fillId="24" borderId="0" xfId="0" applyNumberFormat="1" applyFont="1" applyFill="1" applyAlignment="1">
      <alignment horizontal="right" wrapText="1"/>
    </xf>
    <xf numFmtId="169" fontId="3" fillId="24" borderId="0" xfId="0" applyNumberFormat="1" applyFont="1" applyFill="1" applyAlignment="1">
      <alignment horizontal="right" wrapText="1"/>
    </xf>
    <xf numFmtId="0" fontId="3" fillId="26" borderId="0" xfId="0" applyFont="1" applyFill="1" applyAlignment="1">
      <alignment vertical="center" wrapText="1"/>
    </xf>
    <xf numFmtId="167" fontId="2" fillId="24" borderId="0" xfId="0" applyNumberFormat="1" applyFont="1" applyFill="1" applyAlignment="1">
      <alignment horizontal="right" wrapText="1"/>
    </xf>
    <xf numFmtId="10" fontId="2" fillId="0" borderId="0" xfId="280" applyNumberFormat="1" applyFont="1"/>
    <xf numFmtId="0" fontId="2" fillId="24" borderId="0" xfId="0" applyFont="1" applyFill="1" applyAlignment="1">
      <alignment horizontal="left" wrapText="1"/>
    </xf>
    <xf numFmtId="0" fontId="3" fillId="24" borderId="0" xfId="0" applyFont="1" applyFill="1" applyAlignment="1">
      <alignment wrapText="1"/>
    </xf>
    <xf numFmtId="0" fontId="0" fillId="28" borderId="0" xfId="0" applyFill="1"/>
    <xf numFmtId="0" fontId="0" fillId="28" borderId="7" xfId="0" applyFill="1" applyBorder="1"/>
    <xf numFmtId="0" fontId="0" fillId="28" borderId="8" xfId="0" applyFill="1" applyBorder="1"/>
    <xf numFmtId="0" fontId="0" fillId="28" borderId="9" xfId="0" applyFill="1" applyBorder="1"/>
    <xf numFmtId="0" fontId="7" fillId="24" borderId="10" xfId="0" applyFont="1" applyFill="1" applyBorder="1"/>
    <xf numFmtId="0" fontId="7" fillId="24" borderId="11" xfId="0" applyFont="1" applyFill="1" applyBorder="1"/>
    <xf numFmtId="0" fontId="3" fillId="26" borderId="6" xfId="0" applyFont="1" applyFill="1" applyBorder="1" applyAlignment="1">
      <alignment vertical="top"/>
    </xf>
    <xf numFmtId="172" fontId="0" fillId="28" borderId="12" xfId="0" applyNumberFormat="1" applyFill="1" applyBorder="1"/>
    <xf numFmtId="172" fontId="0" fillId="28" borderId="13" xfId="0" applyNumberFormat="1" applyFill="1" applyBorder="1"/>
    <xf numFmtId="172" fontId="0" fillId="28" borderId="14" xfId="0" applyNumberFormat="1" applyFill="1" applyBorder="1"/>
    <xf numFmtId="0" fontId="7" fillId="28" borderId="15" xfId="0" applyFont="1" applyFill="1" applyBorder="1"/>
    <xf numFmtId="3" fontId="2" fillId="24" borderId="0" xfId="0" applyNumberFormat="1" applyFont="1" applyFill="1" applyAlignment="1">
      <alignment horizontal="right" wrapText="1"/>
    </xf>
    <xf numFmtId="170" fontId="3" fillId="24" borderId="4" xfId="143" applyNumberFormat="1" applyFont="1" applyFill="1" applyBorder="1" applyAlignment="1">
      <alignment horizontal="right" wrapText="1"/>
    </xf>
    <xf numFmtId="167" fontId="3" fillId="24" borderId="0" xfId="0" applyNumberFormat="1" applyFont="1" applyFill="1" applyAlignment="1">
      <alignment horizontal="right" wrapText="1"/>
    </xf>
    <xf numFmtId="170" fontId="3" fillId="25" borderId="5" xfId="143" applyNumberFormat="1" applyFont="1" applyFill="1" applyBorder="1" applyAlignment="1">
      <alignment horizontal="right" wrapText="1"/>
    </xf>
    <xf numFmtId="0" fontId="3" fillId="24" borderId="0" xfId="0" applyFont="1" applyFill="1" applyAlignment="1">
      <alignment horizontal="left" wrapText="1"/>
    </xf>
    <xf numFmtId="0" fontId="3" fillId="24" borderId="0" xfId="0" applyFont="1" applyFill="1" applyAlignment="1">
      <alignment horizontal="left"/>
    </xf>
    <xf numFmtId="43" fontId="2" fillId="0" borderId="0" xfId="28" applyNumberFormat="1" applyFont="1" applyFill="1" applyBorder="1" applyAlignment="1"/>
    <xf numFmtId="0" fontId="9" fillId="26" borderId="6" xfId="0" applyFont="1" applyFill="1" applyBorder="1" applyAlignment="1">
      <alignment vertical="top"/>
    </xf>
    <xf numFmtId="9" fontId="7" fillId="0" borderId="0" xfId="0" applyNumberFormat="1" applyFont="1" applyAlignment="1">
      <alignment vertical="center"/>
    </xf>
    <xf numFmtId="4" fontId="2" fillId="0" borderId="0" xfId="0" applyNumberFormat="1" applyFont="1" applyAlignment="1">
      <alignment wrapText="1"/>
    </xf>
    <xf numFmtId="10" fontId="2" fillId="0" borderId="0" xfId="280" applyNumberFormat="1" applyFont="1" applyFill="1" applyAlignment="1">
      <alignment horizontal="right" wrapText="1"/>
    </xf>
    <xf numFmtId="43" fontId="2" fillId="0" borderId="0" xfId="0" applyNumberFormat="1" applyFont="1"/>
    <xf numFmtId="1" fontId="2" fillId="0" borderId="0" xfId="0" applyNumberFormat="1" applyFont="1" applyAlignment="1">
      <alignment horizontal="right"/>
    </xf>
    <xf numFmtId="167" fontId="2" fillId="0" borderId="0" xfId="28" applyNumberFormat="1" applyFont="1" applyFill="1"/>
    <xf numFmtId="0" fontId="3" fillId="29" borderId="0" xfId="0" applyFont="1" applyFill="1" applyAlignment="1">
      <alignment horizontal="left" wrapText="1"/>
    </xf>
    <xf numFmtId="0" fontId="2" fillId="29" borderId="0" xfId="0" applyFont="1" applyFill="1" applyAlignment="1">
      <alignment horizontal="left" wrapText="1"/>
    </xf>
    <xf numFmtId="0" fontId="2" fillId="29" borderId="0" xfId="0" applyFont="1" applyFill="1" applyAlignment="1">
      <alignment horizontal="left" vertical="top" wrapText="1"/>
    </xf>
    <xf numFmtId="167" fontId="2" fillId="29" borderId="0" xfId="0" applyNumberFormat="1" applyFont="1" applyFill="1" applyAlignment="1">
      <alignment horizontal="right" wrapText="1"/>
    </xf>
    <xf numFmtId="10" fontId="2" fillId="0" borderId="0" xfId="280" applyNumberFormat="1" applyFont="1" applyFill="1"/>
    <xf numFmtId="2" fontId="2" fillId="0" borderId="0" xfId="0" applyNumberFormat="1" applyFont="1"/>
    <xf numFmtId="0" fontId="2" fillId="0" borderId="0" xfId="0" applyFont="1" applyAlignment="1">
      <alignment horizontal="center"/>
    </xf>
    <xf numFmtId="0" fontId="2" fillId="24" borderId="0" xfId="0" applyFont="1" applyFill="1" applyAlignment="1">
      <alignment horizontal="left" vertical="top"/>
    </xf>
    <xf numFmtId="0" fontId="33" fillId="0" borderId="0" xfId="0" applyFont="1"/>
    <xf numFmtId="0" fontId="34" fillId="0" borderId="0" xfId="0" applyFont="1" applyAlignment="1">
      <alignment horizontal="center" vertical="center" wrapText="1"/>
    </xf>
    <xf numFmtId="0" fontId="33" fillId="0" borderId="23" xfId="0" applyFont="1" applyBorder="1" applyAlignment="1">
      <alignment wrapText="1"/>
    </xf>
    <xf numFmtId="0" fontId="33" fillId="0" borderId="0" xfId="0" applyFont="1" applyAlignment="1">
      <alignment wrapText="1"/>
    </xf>
    <xf numFmtId="3" fontId="33" fillId="0" borderId="0" xfId="0" applyNumberFormat="1" applyFont="1" applyAlignment="1">
      <alignment wrapText="1"/>
    </xf>
    <xf numFmtId="3" fontId="33" fillId="0" borderId="0" xfId="0" applyNumberFormat="1" applyFont="1"/>
    <xf numFmtId="9" fontId="33" fillId="0" borderId="23" xfId="280" applyFont="1" applyBorder="1" applyAlignment="1">
      <alignment wrapText="1"/>
    </xf>
    <xf numFmtId="168" fontId="33" fillId="0" borderId="23" xfId="280" applyNumberFormat="1" applyFont="1" applyBorder="1" applyAlignment="1">
      <alignment wrapText="1"/>
    </xf>
    <xf numFmtId="0" fontId="35" fillId="0" borderId="0" xfId="0" applyFont="1" applyAlignment="1">
      <alignment horizontal="left" wrapText="1"/>
    </xf>
    <xf numFmtId="0" fontId="37" fillId="0" borderId="0" xfId="0" applyFont="1" applyAlignment="1">
      <alignment horizontal="left" vertical="center"/>
    </xf>
    <xf numFmtId="0" fontId="30" fillId="0" borderId="4" xfId="0" applyFont="1" applyBorder="1" applyAlignment="1">
      <alignment horizontal="center" wrapText="1"/>
    </xf>
    <xf numFmtId="167" fontId="2" fillId="0" borderId="0" xfId="0" applyNumberFormat="1" applyFont="1" applyAlignment="1">
      <alignment horizontal="left" vertical="top" wrapText="1"/>
    </xf>
    <xf numFmtId="3" fontId="2" fillId="0" borderId="0" xfId="0" applyNumberFormat="1" applyFont="1" applyAlignment="1">
      <alignment horizontal="left" vertical="top"/>
    </xf>
    <xf numFmtId="169" fontId="3" fillId="24" borderId="4" xfId="0" applyNumberFormat="1" applyFont="1" applyFill="1" applyBorder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3" fillId="30" borderId="0" xfId="0" applyFont="1" applyFill="1" applyAlignment="1">
      <alignment horizontal="center" vertical="center"/>
    </xf>
    <xf numFmtId="0" fontId="3" fillId="30" borderId="0" xfId="0" applyFont="1" applyFill="1"/>
    <xf numFmtId="6" fontId="3" fillId="30" borderId="0" xfId="0" applyNumberFormat="1" applyFont="1" applyFill="1" applyAlignment="1">
      <alignment horizontal="center" vertical="center"/>
    </xf>
    <xf numFmtId="0" fontId="2" fillId="30" borderId="0" xfId="0" applyFont="1" applyFill="1"/>
    <xf numFmtId="0" fontId="34" fillId="30" borderId="0" xfId="0" applyFont="1" applyFill="1" applyAlignment="1">
      <alignment horizontal="center" vertical="center" wrapText="1"/>
    </xf>
    <xf numFmtId="3" fontId="33" fillId="30" borderId="0" xfId="0" applyNumberFormat="1" applyFont="1" applyFill="1"/>
    <xf numFmtId="3" fontId="3" fillId="30" borderId="4" xfId="0" applyNumberFormat="1" applyFont="1" applyFill="1" applyBorder="1" applyAlignment="1">
      <alignment horizontal="center" wrapText="1"/>
    </xf>
    <xf numFmtId="0" fontId="31" fillId="30" borderId="0" xfId="0" applyFont="1" applyFill="1" applyAlignment="1">
      <alignment vertical="center"/>
    </xf>
    <xf numFmtId="170" fontId="2" fillId="30" borderId="0" xfId="143" applyNumberFormat="1" applyFont="1" applyFill="1" applyAlignment="1">
      <alignment horizontal="center"/>
    </xf>
    <xf numFmtId="167" fontId="2" fillId="30" borderId="0" xfId="0" applyNumberFormat="1" applyFont="1" applyFill="1" applyAlignment="1">
      <alignment horizontal="center" vertical="center"/>
    </xf>
    <xf numFmtId="167" fontId="2" fillId="30" borderId="0" xfId="28" applyNumberFormat="1" applyFont="1" applyFill="1" applyBorder="1" applyAlignment="1"/>
    <xf numFmtId="0" fontId="2" fillId="30" borderId="0" xfId="0" applyFont="1" applyFill="1" applyAlignment="1">
      <alignment wrapText="1"/>
    </xf>
    <xf numFmtId="4" fontId="2" fillId="30" borderId="0" xfId="0" applyNumberFormat="1" applyFont="1" applyFill="1" applyAlignment="1">
      <alignment wrapText="1"/>
    </xf>
    <xf numFmtId="3" fontId="3" fillId="30" borderId="0" xfId="0" applyNumberFormat="1" applyFont="1" applyFill="1"/>
    <xf numFmtId="169" fontId="2" fillId="30" borderId="0" xfId="0" applyNumberFormat="1" applyFont="1" applyFill="1"/>
    <xf numFmtId="170" fontId="2" fillId="30" borderId="0" xfId="0" applyNumberFormat="1" applyFont="1" applyFill="1"/>
    <xf numFmtId="3" fontId="2" fillId="30" borderId="0" xfId="0" applyNumberFormat="1" applyFont="1" applyFill="1" applyAlignment="1">
      <alignment wrapText="1"/>
    </xf>
    <xf numFmtId="0" fontId="30" fillId="0" borderId="0" xfId="0" applyFont="1" applyAlignment="1">
      <alignment horizontal="center" wrapText="1"/>
    </xf>
    <xf numFmtId="0" fontId="30" fillId="0" borderId="0" xfId="0" applyFont="1" applyAlignment="1">
      <alignment horizontal="center" vertical="center" wrapText="1"/>
    </xf>
    <xf numFmtId="3" fontId="30" fillId="0" borderId="0" xfId="0" applyNumberFormat="1" applyFont="1" applyAlignment="1">
      <alignment horizontal="center" vertical="center" wrapText="1"/>
    </xf>
    <xf numFmtId="0" fontId="32" fillId="24" borderId="22" xfId="0" applyFont="1" applyFill="1" applyBorder="1" applyAlignment="1">
      <alignment horizontal="center" vertical="center" wrapText="1"/>
    </xf>
    <xf numFmtId="0" fontId="34" fillId="0" borderId="23" xfId="0" applyFont="1" applyBorder="1" applyAlignment="1">
      <alignment horizontal="center" wrapText="1"/>
    </xf>
  </cellXfs>
  <cellStyles count="298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Comma [0] 2" xfId="29" xr:uid="{00000000-0005-0000-0000-00001C000000}"/>
    <cellStyle name="Comma 10" xfId="30" xr:uid="{00000000-0005-0000-0000-00001D000000}"/>
    <cellStyle name="Comma 100" xfId="31" xr:uid="{00000000-0005-0000-0000-00001E000000}"/>
    <cellStyle name="Comma 101" xfId="32" xr:uid="{00000000-0005-0000-0000-00001F000000}"/>
    <cellStyle name="Comma 102" xfId="33" xr:uid="{00000000-0005-0000-0000-000020000000}"/>
    <cellStyle name="Comma 103" xfId="34" xr:uid="{00000000-0005-0000-0000-000021000000}"/>
    <cellStyle name="Comma 104" xfId="295" xr:uid="{D448082A-7DB8-4426-A249-3D0B46428217}"/>
    <cellStyle name="Comma 11" xfId="35" xr:uid="{00000000-0005-0000-0000-000022000000}"/>
    <cellStyle name="Comma 12" xfId="36" xr:uid="{00000000-0005-0000-0000-000023000000}"/>
    <cellStyle name="Comma 13" xfId="37" xr:uid="{00000000-0005-0000-0000-000024000000}"/>
    <cellStyle name="Comma 14" xfId="38" xr:uid="{00000000-0005-0000-0000-000025000000}"/>
    <cellStyle name="Comma 15" xfId="39" xr:uid="{00000000-0005-0000-0000-000026000000}"/>
    <cellStyle name="Comma 16" xfId="40" xr:uid="{00000000-0005-0000-0000-000027000000}"/>
    <cellStyle name="Comma 17" xfId="41" xr:uid="{00000000-0005-0000-0000-000028000000}"/>
    <cellStyle name="Comma 18" xfId="42" xr:uid="{00000000-0005-0000-0000-000029000000}"/>
    <cellStyle name="Comma 19" xfId="43" xr:uid="{00000000-0005-0000-0000-00002A000000}"/>
    <cellStyle name="Comma 2" xfId="44" xr:uid="{00000000-0005-0000-0000-00002B000000}"/>
    <cellStyle name="Comma 2 2" xfId="45" xr:uid="{00000000-0005-0000-0000-00002C000000}"/>
    <cellStyle name="Comma 2 3" xfId="46" xr:uid="{00000000-0005-0000-0000-00002D000000}"/>
    <cellStyle name="Comma 20" xfId="47" xr:uid="{00000000-0005-0000-0000-00002E000000}"/>
    <cellStyle name="Comma 21" xfId="48" xr:uid="{00000000-0005-0000-0000-00002F000000}"/>
    <cellStyle name="Comma 22" xfId="49" xr:uid="{00000000-0005-0000-0000-000030000000}"/>
    <cellStyle name="Comma 23" xfId="50" xr:uid="{00000000-0005-0000-0000-000031000000}"/>
    <cellStyle name="Comma 24" xfId="51" xr:uid="{00000000-0005-0000-0000-000032000000}"/>
    <cellStyle name="Comma 25" xfId="52" xr:uid="{00000000-0005-0000-0000-000033000000}"/>
    <cellStyle name="Comma 26" xfId="53" xr:uid="{00000000-0005-0000-0000-000034000000}"/>
    <cellStyle name="Comma 27" xfId="54" xr:uid="{00000000-0005-0000-0000-000035000000}"/>
    <cellStyle name="Comma 28" xfId="55" xr:uid="{00000000-0005-0000-0000-000036000000}"/>
    <cellStyle name="Comma 29" xfId="56" xr:uid="{00000000-0005-0000-0000-000037000000}"/>
    <cellStyle name="Comma 3" xfId="57" xr:uid="{00000000-0005-0000-0000-000038000000}"/>
    <cellStyle name="Comma 3 2" xfId="58" xr:uid="{00000000-0005-0000-0000-000039000000}"/>
    <cellStyle name="Comma 3 3" xfId="59" xr:uid="{00000000-0005-0000-0000-00003A000000}"/>
    <cellStyle name="Comma 30" xfId="60" xr:uid="{00000000-0005-0000-0000-00003B000000}"/>
    <cellStyle name="Comma 31" xfId="61" xr:uid="{00000000-0005-0000-0000-00003C000000}"/>
    <cellStyle name="Comma 32" xfId="62" xr:uid="{00000000-0005-0000-0000-00003D000000}"/>
    <cellStyle name="Comma 33" xfId="63" xr:uid="{00000000-0005-0000-0000-00003E000000}"/>
    <cellStyle name="Comma 34" xfId="64" xr:uid="{00000000-0005-0000-0000-00003F000000}"/>
    <cellStyle name="Comma 35" xfId="65" xr:uid="{00000000-0005-0000-0000-000040000000}"/>
    <cellStyle name="Comma 36" xfId="66" xr:uid="{00000000-0005-0000-0000-000041000000}"/>
    <cellStyle name="Comma 37" xfId="67" xr:uid="{00000000-0005-0000-0000-000042000000}"/>
    <cellStyle name="Comma 38" xfId="68" xr:uid="{00000000-0005-0000-0000-000043000000}"/>
    <cellStyle name="Comma 39" xfId="69" xr:uid="{00000000-0005-0000-0000-000044000000}"/>
    <cellStyle name="Comma 4" xfId="70" xr:uid="{00000000-0005-0000-0000-000045000000}"/>
    <cellStyle name="Comma 4 2" xfId="71" xr:uid="{00000000-0005-0000-0000-000046000000}"/>
    <cellStyle name="Comma 40" xfId="72" xr:uid="{00000000-0005-0000-0000-000047000000}"/>
    <cellStyle name="Comma 41" xfId="73" xr:uid="{00000000-0005-0000-0000-000048000000}"/>
    <cellStyle name="Comma 42" xfId="74" xr:uid="{00000000-0005-0000-0000-000049000000}"/>
    <cellStyle name="Comma 43" xfId="75" xr:uid="{00000000-0005-0000-0000-00004A000000}"/>
    <cellStyle name="Comma 44" xfId="76" xr:uid="{00000000-0005-0000-0000-00004B000000}"/>
    <cellStyle name="Comma 45" xfId="77" xr:uid="{00000000-0005-0000-0000-00004C000000}"/>
    <cellStyle name="Comma 46" xfId="78" xr:uid="{00000000-0005-0000-0000-00004D000000}"/>
    <cellStyle name="Comma 47" xfId="79" xr:uid="{00000000-0005-0000-0000-00004E000000}"/>
    <cellStyle name="Comma 48" xfId="80" xr:uid="{00000000-0005-0000-0000-00004F000000}"/>
    <cellStyle name="Comma 49" xfId="81" xr:uid="{00000000-0005-0000-0000-000050000000}"/>
    <cellStyle name="Comma 5" xfId="82" xr:uid="{00000000-0005-0000-0000-000051000000}"/>
    <cellStyle name="Comma 5 2" xfId="83" xr:uid="{00000000-0005-0000-0000-000052000000}"/>
    <cellStyle name="Comma 50" xfId="84" xr:uid="{00000000-0005-0000-0000-000053000000}"/>
    <cellStyle name="Comma 51" xfId="85" xr:uid="{00000000-0005-0000-0000-000054000000}"/>
    <cellStyle name="Comma 52" xfId="86" xr:uid="{00000000-0005-0000-0000-000055000000}"/>
    <cellStyle name="Comma 53" xfId="87" xr:uid="{00000000-0005-0000-0000-000056000000}"/>
    <cellStyle name="Comma 54" xfId="88" xr:uid="{00000000-0005-0000-0000-000057000000}"/>
    <cellStyle name="Comma 54 2" xfId="89" xr:uid="{00000000-0005-0000-0000-000058000000}"/>
    <cellStyle name="Comma 55" xfId="90" xr:uid="{00000000-0005-0000-0000-000059000000}"/>
    <cellStyle name="Comma 56" xfId="91" xr:uid="{00000000-0005-0000-0000-00005A000000}"/>
    <cellStyle name="Comma 56 2" xfId="92" xr:uid="{00000000-0005-0000-0000-00005B000000}"/>
    <cellStyle name="Comma 56 3" xfId="93" xr:uid="{00000000-0005-0000-0000-00005C000000}"/>
    <cellStyle name="Comma 57" xfId="94" xr:uid="{00000000-0005-0000-0000-00005D000000}"/>
    <cellStyle name="Comma 58" xfId="95" xr:uid="{00000000-0005-0000-0000-00005E000000}"/>
    <cellStyle name="Comma 59" xfId="96" xr:uid="{00000000-0005-0000-0000-00005F000000}"/>
    <cellStyle name="Comma 6" xfId="97" xr:uid="{00000000-0005-0000-0000-000060000000}"/>
    <cellStyle name="Comma 60" xfId="98" xr:uid="{00000000-0005-0000-0000-000061000000}"/>
    <cellStyle name="Comma 61" xfId="99" xr:uid="{00000000-0005-0000-0000-000062000000}"/>
    <cellStyle name="Comma 62" xfId="100" xr:uid="{00000000-0005-0000-0000-000063000000}"/>
    <cellStyle name="Comma 63" xfId="101" xr:uid="{00000000-0005-0000-0000-000064000000}"/>
    <cellStyle name="Comma 64" xfId="102" xr:uid="{00000000-0005-0000-0000-000065000000}"/>
    <cellStyle name="Comma 65" xfId="103" xr:uid="{00000000-0005-0000-0000-000066000000}"/>
    <cellStyle name="Comma 66" xfId="104" xr:uid="{00000000-0005-0000-0000-000067000000}"/>
    <cellStyle name="Comma 67" xfId="105" xr:uid="{00000000-0005-0000-0000-000068000000}"/>
    <cellStyle name="Comma 68" xfId="106" xr:uid="{00000000-0005-0000-0000-000069000000}"/>
    <cellStyle name="Comma 69" xfId="107" xr:uid="{00000000-0005-0000-0000-00006A000000}"/>
    <cellStyle name="Comma 7" xfId="108" xr:uid="{00000000-0005-0000-0000-00006B000000}"/>
    <cellStyle name="Comma 70" xfId="109" xr:uid="{00000000-0005-0000-0000-00006C000000}"/>
    <cellStyle name="Comma 71" xfId="110" xr:uid="{00000000-0005-0000-0000-00006D000000}"/>
    <cellStyle name="Comma 72" xfId="111" xr:uid="{00000000-0005-0000-0000-00006E000000}"/>
    <cellStyle name="Comma 73" xfId="112" xr:uid="{00000000-0005-0000-0000-00006F000000}"/>
    <cellStyle name="Comma 74" xfId="113" xr:uid="{00000000-0005-0000-0000-000070000000}"/>
    <cellStyle name="Comma 75" xfId="114" xr:uid="{00000000-0005-0000-0000-000071000000}"/>
    <cellStyle name="Comma 76" xfId="115" xr:uid="{00000000-0005-0000-0000-000072000000}"/>
    <cellStyle name="Comma 77" xfId="116" xr:uid="{00000000-0005-0000-0000-000073000000}"/>
    <cellStyle name="Comma 78" xfId="117" xr:uid="{00000000-0005-0000-0000-000074000000}"/>
    <cellStyle name="Comma 79" xfId="118" xr:uid="{00000000-0005-0000-0000-000075000000}"/>
    <cellStyle name="Comma 8" xfId="119" xr:uid="{00000000-0005-0000-0000-000076000000}"/>
    <cellStyle name="Comma 80" xfId="120" xr:uid="{00000000-0005-0000-0000-000077000000}"/>
    <cellStyle name="Comma 81" xfId="121" xr:uid="{00000000-0005-0000-0000-000078000000}"/>
    <cellStyle name="Comma 82" xfId="122" xr:uid="{00000000-0005-0000-0000-000079000000}"/>
    <cellStyle name="Comma 83" xfId="123" xr:uid="{00000000-0005-0000-0000-00007A000000}"/>
    <cellStyle name="Comma 84" xfId="124" xr:uid="{00000000-0005-0000-0000-00007B000000}"/>
    <cellStyle name="Comma 85" xfId="125" xr:uid="{00000000-0005-0000-0000-00007C000000}"/>
    <cellStyle name="Comma 86" xfId="126" xr:uid="{00000000-0005-0000-0000-00007D000000}"/>
    <cellStyle name="Comma 87" xfId="127" xr:uid="{00000000-0005-0000-0000-00007E000000}"/>
    <cellStyle name="Comma 88" xfId="128" xr:uid="{00000000-0005-0000-0000-00007F000000}"/>
    <cellStyle name="Comma 89" xfId="129" xr:uid="{00000000-0005-0000-0000-000080000000}"/>
    <cellStyle name="Comma 9" xfId="130" xr:uid="{00000000-0005-0000-0000-000081000000}"/>
    <cellStyle name="Comma 90" xfId="131" xr:uid="{00000000-0005-0000-0000-000082000000}"/>
    <cellStyle name="Comma 91" xfId="132" xr:uid="{00000000-0005-0000-0000-000083000000}"/>
    <cellStyle name="Comma 92" xfId="133" xr:uid="{00000000-0005-0000-0000-000084000000}"/>
    <cellStyle name="Comma 93" xfId="134" xr:uid="{00000000-0005-0000-0000-000085000000}"/>
    <cellStyle name="Comma 94" xfId="135" xr:uid="{00000000-0005-0000-0000-000086000000}"/>
    <cellStyle name="Comma 95" xfId="136" xr:uid="{00000000-0005-0000-0000-000087000000}"/>
    <cellStyle name="Comma 96" xfId="137" xr:uid="{00000000-0005-0000-0000-000088000000}"/>
    <cellStyle name="Comma 96 2" xfId="138" xr:uid="{00000000-0005-0000-0000-000089000000}"/>
    <cellStyle name="Comma 96 3" xfId="139" xr:uid="{00000000-0005-0000-0000-00008A000000}"/>
    <cellStyle name="Comma 97" xfId="140" xr:uid="{00000000-0005-0000-0000-00008B000000}"/>
    <cellStyle name="Comma 98" xfId="141" xr:uid="{00000000-0005-0000-0000-00008C000000}"/>
    <cellStyle name="Comma 99" xfId="142" xr:uid="{00000000-0005-0000-0000-00008D000000}"/>
    <cellStyle name="Currency" xfId="143" builtinId="4"/>
    <cellStyle name="Currency [0] 2" xfId="144" xr:uid="{00000000-0005-0000-0000-00008F000000}"/>
    <cellStyle name="Currency 10" xfId="145" xr:uid="{00000000-0005-0000-0000-000090000000}"/>
    <cellStyle name="Currency 100" xfId="146" xr:uid="{00000000-0005-0000-0000-000091000000}"/>
    <cellStyle name="Currency 101" xfId="147" xr:uid="{00000000-0005-0000-0000-000092000000}"/>
    <cellStyle name="Currency 102" xfId="148" xr:uid="{00000000-0005-0000-0000-000093000000}"/>
    <cellStyle name="Currency 103" xfId="297" xr:uid="{F64EC0AF-DECC-433F-B2F0-666C06E9F820}"/>
    <cellStyle name="Currency 11" xfId="149" xr:uid="{00000000-0005-0000-0000-000094000000}"/>
    <cellStyle name="Currency 12" xfId="150" xr:uid="{00000000-0005-0000-0000-000095000000}"/>
    <cellStyle name="Currency 13" xfId="151" xr:uid="{00000000-0005-0000-0000-000096000000}"/>
    <cellStyle name="Currency 14" xfId="152" xr:uid="{00000000-0005-0000-0000-000097000000}"/>
    <cellStyle name="Currency 15" xfId="153" xr:uid="{00000000-0005-0000-0000-000098000000}"/>
    <cellStyle name="Currency 16" xfId="154" xr:uid="{00000000-0005-0000-0000-000099000000}"/>
    <cellStyle name="Currency 17" xfId="155" xr:uid="{00000000-0005-0000-0000-00009A000000}"/>
    <cellStyle name="Currency 18" xfId="156" xr:uid="{00000000-0005-0000-0000-00009B000000}"/>
    <cellStyle name="Currency 19" xfId="157" xr:uid="{00000000-0005-0000-0000-00009C000000}"/>
    <cellStyle name="Currency 2" xfId="158" xr:uid="{00000000-0005-0000-0000-00009D000000}"/>
    <cellStyle name="Currency 2 2" xfId="159" xr:uid="{00000000-0005-0000-0000-00009E000000}"/>
    <cellStyle name="Currency 2 3" xfId="160" xr:uid="{00000000-0005-0000-0000-00009F000000}"/>
    <cellStyle name="Currency 20" xfId="161" xr:uid="{00000000-0005-0000-0000-0000A0000000}"/>
    <cellStyle name="Currency 21" xfId="162" xr:uid="{00000000-0005-0000-0000-0000A1000000}"/>
    <cellStyle name="Currency 22" xfId="163" xr:uid="{00000000-0005-0000-0000-0000A2000000}"/>
    <cellStyle name="Currency 23" xfId="164" xr:uid="{00000000-0005-0000-0000-0000A3000000}"/>
    <cellStyle name="Currency 24" xfId="165" xr:uid="{00000000-0005-0000-0000-0000A4000000}"/>
    <cellStyle name="Currency 25" xfId="166" xr:uid="{00000000-0005-0000-0000-0000A5000000}"/>
    <cellStyle name="Currency 26" xfId="167" xr:uid="{00000000-0005-0000-0000-0000A6000000}"/>
    <cellStyle name="Currency 27" xfId="168" xr:uid="{00000000-0005-0000-0000-0000A7000000}"/>
    <cellStyle name="Currency 28" xfId="169" xr:uid="{00000000-0005-0000-0000-0000A8000000}"/>
    <cellStyle name="Currency 29" xfId="170" xr:uid="{00000000-0005-0000-0000-0000A9000000}"/>
    <cellStyle name="Currency 3" xfId="171" xr:uid="{00000000-0005-0000-0000-0000AA000000}"/>
    <cellStyle name="Currency 3 2" xfId="172" xr:uid="{00000000-0005-0000-0000-0000AB000000}"/>
    <cellStyle name="Currency 30" xfId="173" xr:uid="{00000000-0005-0000-0000-0000AC000000}"/>
    <cellStyle name="Currency 31" xfId="174" xr:uid="{00000000-0005-0000-0000-0000AD000000}"/>
    <cellStyle name="Currency 32" xfId="175" xr:uid="{00000000-0005-0000-0000-0000AE000000}"/>
    <cellStyle name="Currency 33" xfId="176" xr:uid="{00000000-0005-0000-0000-0000AF000000}"/>
    <cellStyle name="Currency 34" xfId="177" xr:uid="{00000000-0005-0000-0000-0000B0000000}"/>
    <cellStyle name="Currency 35" xfId="178" xr:uid="{00000000-0005-0000-0000-0000B1000000}"/>
    <cellStyle name="Currency 36" xfId="179" xr:uid="{00000000-0005-0000-0000-0000B2000000}"/>
    <cellStyle name="Currency 37" xfId="180" xr:uid="{00000000-0005-0000-0000-0000B3000000}"/>
    <cellStyle name="Currency 38" xfId="181" xr:uid="{00000000-0005-0000-0000-0000B4000000}"/>
    <cellStyle name="Currency 39" xfId="182" xr:uid="{00000000-0005-0000-0000-0000B5000000}"/>
    <cellStyle name="Currency 4" xfId="183" xr:uid="{00000000-0005-0000-0000-0000B6000000}"/>
    <cellStyle name="Currency 4 2" xfId="184" xr:uid="{00000000-0005-0000-0000-0000B7000000}"/>
    <cellStyle name="Currency 4 3" xfId="185" xr:uid="{00000000-0005-0000-0000-0000B8000000}"/>
    <cellStyle name="Currency 4 4" xfId="186" xr:uid="{00000000-0005-0000-0000-0000B9000000}"/>
    <cellStyle name="Currency 40" xfId="187" xr:uid="{00000000-0005-0000-0000-0000BA000000}"/>
    <cellStyle name="Currency 41" xfId="188" xr:uid="{00000000-0005-0000-0000-0000BB000000}"/>
    <cellStyle name="Currency 42" xfId="189" xr:uid="{00000000-0005-0000-0000-0000BC000000}"/>
    <cellStyle name="Currency 43" xfId="190" xr:uid="{00000000-0005-0000-0000-0000BD000000}"/>
    <cellStyle name="Currency 44" xfId="191" xr:uid="{00000000-0005-0000-0000-0000BE000000}"/>
    <cellStyle name="Currency 45" xfId="192" xr:uid="{00000000-0005-0000-0000-0000BF000000}"/>
    <cellStyle name="Currency 46" xfId="193" xr:uid="{00000000-0005-0000-0000-0000C0000000}"/>
    <cellStyle name="Currency 47" xfId="194" xr:uid="{00000000-0005-0000-0000-0000C1000000}"/>
    <cellStyle name="Currency 48" xfId="195" xr:uid="{00000000-0005-0000-0000-0000C2000000}"/>
    <cellStyle name="Currency 49" xfId="196" xr:uid="{00000000-0005-0000-0000-0000C3000000}"/>
    <cellStyle name="Currency 5" xfId="197" xr:uid="{00000000-0005-0000-0000-0000C4000000}"/>
    <cellStyle name="Currency 5 2" xfId="198" xr:uid="{00000000-0005-0000-0000-0000C5000000}"/>
    <cellStyle name="Currency 50" xfId="199" xr:uid="{00000000-0005-0000-0000-0000C6000000}"/>
    <cellStyle name="Currency 51" xfId="200" xr:uid="{00000000-0005-0000-0000-0000C7000000}"/>
    <cellStyle name="Currency 52" xfId="201" xr:uid="{00000000-0005-0000-0000-0000C8000000}"/>
    <cellStyle name="Currency 53" xfId="202" xr:uid="{00000000-0005-0000-0000-0000C9000000}"/>
    <cellStyle name="Currency 54" xfId="203" xr:uid="{00000000-0005-0000-0000-0000CA000000}"/>
    <cellStyle name="Currency 54 2" xfId="204" xr:uid="{00000000-0005-0000-0000-0000CB000000}"/>
    <cellStyle name="Currency 55" xfId="205" xr:uid="{00000000-0005-0000-0000-0000CC000000}"/>
    <cellStyle name="Currency 55 2" xfId="206" xr:uid="{00000000-0005-0000-0000-0000CD000000}"/>
    <cellStyle name="Currency 56" xfId="207" xr:uid="{00000000-0005-0000-0000-0000CE000000}"/>
    <cellStyle name="Currency 57" xfId="208" xr:uid="{00000000-0005-0000-0000-0000CF000000}"/>
    <cellStyle name="Currency 58" xfId="209" xr:uid="{00000000-0005-0000-0000-0000D0000000}"/>
    <cellStyle name="Currency 59" xfId="210" xr:uid="{00000000-0005-0000-0000-0000D1000000}"/>
    <cellStyle name="Currency 6" xfId="211" xr:uid="{00000000-0005-0000-0000-0000D2000000}"/>
    <cellStyle name="Currency 6 2" xfId="212" xr:uid="{00000000-0005-0000-0000-0000D3000000}"/>
    <cellStyle name="Currency 60" xfId="213" xr:uid="{00000000-0005-0000-0000-0000D4000000}"/>
    <cellStyle name="Currency 61" xfId="214" xr:uid="{00000000-0005-0000-0000-0000D5000000}"/>
    <cellStyle name="Currency 62" xfId="215" xr:uid="{00000000-0005-0000-0000-0000D6000000}"/>
    <cellStyle name="Currency 63" xfId="216" xr:uid="{00000000-0005-0000-0000-0000D7000000}"/>
    <cellStyle name="Currency 64" xfId="217" xr:uid="{00000000-0005-0000-0000-0000D8000000}"/>
    <cellStyle name="Currency 65" xfId="218" xr:uid="{00000000-0005-0000-0000-0000D9000000}"/>
    <cellStyle name="Currency 66" xfId="219" xr:uid="{00000000-0005-0000-0000-0000DA000000}"/>
    <cellStyle name="Currency 67" xfId="220" xr:uid="{00000000-0005-0000-0000-0000DB000000}"/>
    <cellStyle name="Currency 68" xfId="221" xr:uid="{00000000-0005-0000-0000-0000DC000000}"/>
    <cellStyle name="Currency 69" xfId="222" xr:uid="{00000000-0005-0000-0000-0000DD000000}"/>
    <cellStyle name="Currency 7" xfId="223" xr:uid="{00000000-0005-0000-0000-0000DE000000}"/>
    <cellStyle name="Currency 70" xfId="224" xr:uid="{00000000-0005-0000-0000-0000DF000000}"/>
    <cellStyle name="Currency 71" xfId="225" xr:uid="{00000000-0005-0000-0000-0000E0000000}"/>
    <cellStyle name="Currency 72" xfId="226" xr:uid="{00000000-0005-0000-0000-0000E1000000}"/>
    <cellStyle name="Currency 73" xfId="227" xr:uid="{00000000-0005-0000-0000-0000E2000000}"/>
    <cellStyle name="Currency 74" xfId="228" xr:uid="{00000000-0005-0000-0000-0000E3000000}"/>
    <cellStyle name="Currency 75" xfId="229" xr:uid="{00000000-0005-0000-0000-0000E4000000}"/>
    <cellStyle name="Currency 76" xfId="230" xr:uid="{00000000-0005-0000-0000-0000E5000000}"/>
    <cellStyle name="Currency 77" xfId="231" xr:uid="{00000000-0005-0000-0000-0000E6000000}"/>
    <cellStyle name="Currency 78" xfId="232" xr:uid="{00000000-0005-0000-0000-0000E7000000}"/>
    <cellStyle name="Currency 79" xfId="233" xr:uid="{00000000-0005-0000-0000-0000E8000000}"/>
    <cellStyle name="Currency 8" xfId="234" xr:uid="{00000000-0005-0000-0000-0000E9000000}"/>
    <cellStyle name="Currency 80" xfId="235" xr:uid="{00000000-0005-0000-0000-0000EA000000}"/>
    <cellStyle name="Currency 81" xfId="236" xr:uid="{00000000-0005-0000-0000-0000EB000000}"/>
    <cellStyle name="Currency 82" xfId="237" xr:uid="{00000000-0005-0000-0000-0000EC000000}"/>
    <cellStyle name="Currency 83" xfId="238" xr:uid="{00000000-0005-0000-0000-0000ED000000}"/>
    <cellStyle name="Currency 84" xfId="239" xr:uid="{00000000-0005-0000-0000-0000EE000000}"/>
    <cellStyle name="Currency 85" xfId="240" xr:uid="{00000000-0005-0000-0000-0000EF000000}"/>
    <cellStyle name="Currency 86" xfId="241" xr:uid="{00000000-0005-0000-0000-0000F0000000}"/>
    <cellStyle name="Currency 87" xfId="242" xr:uid="{00000000-0005-0000-0000-0000F1000000}"/>
    <cellStyle name="Currency 88" xfId="243" xr:uid="{00000000-0005-0000-0000-0000F2000000}"/>
    <cellStyle name="Currency 89" xfId="244" xr:uid="{00000000-0005-0000-0000-0000F3000000}"/>
    <cellStyle name="Currency 9" xfId="245" xr:uid="{00000000-0005-0000-0000-0000F4000000}"/>
    <cellStyle name="Currency 90" xfId="246" xr:uid="{00000000-0005-0000-0000-0000F5000000}"/>
    <cellStyle name="Currency 91" xfId="247" xr:uid="{00000000-0005-0000-0000-0000F6000000}"/>
    <cellStyle name="Currency 92" xfId="248" xr:uid="{00000000-0005-0000-0000-0000F7000000}"/>
    <cellStyle name="Currency 93" xfId="249" xr:uid="{00000000-0005-0000-0000-0000F8000000}"/>
    <cellStyle name="Currency 94" xfId="250" xr:uid="{00000000-0005-0000-0000-0000F9000000}"/>
    <cellStyle name="Currency 95" xfId="251" xr:uid="{00000000-0005-0000-0000-0000FA000000}"/>
    <cellStyle name="Currency 95 2" xfId="252" xr:uid="{00000000-0005-0000-0000-0000FB000000}"/>
    <cellStyle name="Currency 96" xfId="253" xr:uid="{00000000-0005-0000-0000-0000FC000000}"/>
    <cellStyle name="Currency 97" xfId="254" xr:uid="{00000000-0005-0000-0000-0000FD000000}"/>
    <cellStyle name="Currency 98" xfId="255" xr:uid="{00000000-0005-0000-0000-0000FE000000}"/>
    <cellStyle name="Currency 99" xfId="256" xr:uid="{00000000-0005-0000-0000-0000FF000000}"/>
    <cellStyle name="Explanatory Text 2" xfId="257" xr:uid="{00000000-0005-0000-0000-000000010000}"/>
    <cellStyle name="Good 2" xfId="258" xr:uid="{00000000-0005-0000-0000-000001010000}"/>
    <cellStyle name="Heading 1 2" xfId="259" xr:uid="{00000000-0005-0000-0000-000002010000}"/>
    <cellStyle name="Heading 2 2" xfId="260" xr:uid="{00000000-0005-0000-0000-000003010000}"/>
    <cellStyle name="Heading 3 2" xfId="261" xr:uid="{00000000-0005-0000-0000-000004010000}"/>
    <cellStyle name="Heading 4 2" xfId="262" xr:uid="{00000000-0005-0000-0000-000005010000}"/>
    <cellStyle name="Input 2" xfId="263" xr:uid="{00000000-0005-0000-0000-000006010000}"/>
    <cellStyle name="Linked Cell 2" xfId="264" xr:uid="{00000000-0005-0000-0000-000007010000}"/>
    <cellStyle name="Millares 2" xfId="265" xr:uid="{00000000-0005-0000-0000-000008010000}"/>
    <cellStyle name="Millares 3" xfId="266" xr:uid="{00000000-0005-0000-0000-000009010000}"/>
    <cellStyle name="Neutral 2" xfId="267" xr:uid="{00000000-0005-0000-0000-00000A010000}"/>
    <cellStyle name="Normal" xfId="0" builtinId="0"/>
    <cellStyle name="Normal 2" xfId="268" xr:uid="{00000000-0005-0000-0000-00000C010000}"/>
    <cellStyle name="Normal 2 2" xfId="269" xr:uid="{00000000-0005-0000-0000-00000D010000}"/>
    <cellStyle name="Normal 2 3" xfId="270" xr:uid="{00000000-0005-0000-0000-00000E010000}"/>
    <cellStyle name="Normal 2 4" xfId="271" xr:uid="{00000000-0005-0000-0000-00000F010000}"/>
    <cellStyle name="Normal 3" xfId="272" xr:uid="{00000000-0005-0000-0000-000010010000}"/>
    <cellStyle name="Normal 3 2" xfId="273" xr:uid="{00000000-0005-0000-0000-000011010000}"/>
    <cellStyle name="Normal 4" xfId="274" xr:uid="{00000000-0005-0000-0000-000012010000}"/>
    <cellStyle name="Normal 4 2" xfId="275" xr:uid="{00000000-0005-0000-0000-000013010000}"/>
    <cellStyle name="Normal 5" xfId="276" xr:uid="{00000000-0005-0000-0000-000014010000}"/>
    <cellStyle name="Normal 6" xfId="277" xr:uid="{00000000-0005-0000-0000-000015010000}"/>
    <cellStyle name="Note 2" xfId="278" xr:uid="{00000000-0005-0000-0000-000016010000}"/>
    <cellStyle name="Output 2" xfId="279" xr:uid="{00000000-0005-0000-0000-000017010000}"/>
    <cellStyle name="Percent" xfId="280" builtinId="5"/>
    <cellStyle name="Percent 2" xfId="281" xr:uid="{00000000-0005-0000-0000-000019010000}"/>
    <cellStyle name="Percent 2 2" xfId="282" xr:uid="{00000000-0005-0000-0000-00001A010000}"/>
    <cellStyle name="Percent 2 3" xfId="283" xr:uid="{00000000-0005-0000-0000-00001B010000}"/>
    <cellStyle name="Percent 3" xfId="284" xr:uid="{00000000-0005-0000-0000-00001C010000}"/>
    <cellStyle name="Percent 3 2" xfId="285" xr:uid="{00000000-0005-0000-0000-00001D010000}"/>
    <cellStyle name="Percent 4" xfId="286" xr:uid="{00000000-0005-0000-0000-00001E010000}"/>
    <cellStyle name="Percent 4 2" xfId="287" xr:uid="{00000000-0005-0000-0000-00001F010000}"/>
    <cellStyle name="Percent 5" xfId="288" xr:uid="{00000000-0005-0000-0000-000020010000}"/>
    <cellStyle name="Percent 6" xfId="289" xr:uid="{00000000-0005-0000-0000-000021010000}"/>
    <cellStyle name="Percent 6 2" xfId="290" xr:uid="{00000000-0005-0000-0000-000022010000}"/>
    <cellStyle name="Percent 6 3" xfId="291" xr:uid="{00000000-0005-0000-0000-000023010000}"/>
    <cellStyle name="Percent 7" xfId="296" xr:uid="{FDB5CA18-E62C-4B70-A345-807EF87ECD70}"/>
    <cellStyle name="Title 2" xfId="292" xr:uid="{00000000-0005-0000-0000-000024010000}"/>
    <cellStyle name="Total 2" xfId="293" xr:uid="{00000000-0005-0000-0000-000025010000}"/>
    <cellStyle name="Warning Text 2" xfId="294" xr:uid="{00000000-0005-0000-0000-00002601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4CEA6-F5E9-492C-A2DC-2AA7DED73C0F}">
  <sheetPr>
    <pageSetUpPr fitToPage="1"/>
  </sheetPr>
  <dimension ref="A1:AO107"/>
  <sheetViews>
    <sheetView tabSelected="1" zoomScale="89" zoomScaleNormal="100" zoomScaleSheetLayoutView="90" workbookViewId="0">
      <pane ySplit="7" topLeftCell="A61" activePane="bottomLeft" state="frozen"/>
      <selection pane="bottomLeft" activeCell="D54" sqref="D54"/>
    </sheetView>
  </sheetViews>
  <sheetFormatPr defaultColWidth="11.44140625" defaultRowHeight="12" customHeight="1" x14ac:dyDescent="0.35"/>
  <cols>
    <col min="1" max="1" width="30.88671875" style="1" customWidth="1"/>
    <col min="2" max="5" width="10.1640625" style="1" customWidth="1"/>
    <col min="6" max="6" width="19.83203125" style="1" bestFit="1" customWidth="1"/>
    <col min="7" max="7" width="68.44140625" style="1" customWidth="1"/>
    <col min="8" max="8" width="11.71875" style="1" customWidth="1"/>
    <col min="9" max="10" width="7.5546875" style="1" customWidth="1"/>
    <col min="11" max="11" width="6.5546875" style="6" customWidth="1"/>
    <col min="12" max="12" width="7.44140625" style="5" customWidth="1"/>
    <col min="13" max="18" width="8.27734375" style="5" customWidth="1"/>
    <col min="19" max="19" width="7.5546875" style="5" customWidth="1"/>
    <col min="20" max="20" width="6" style="5" customWidth="1"/>
    <col min="21" max="21" width="8.27734375" style="5" customWidth="1"/>
    <col min="22" max="22" width="7.5546875" style="5" customWidth="1"/>
    <col min="23" max="23" width="8.27734375" style="5" bestFit="1" customWidth="1"/>
    <col min="24" max="24" width="9.5546875" style="111" customWidth="1"/>
    <col min="25" max="25" width="12.44140625" style="111" customWidth="1"/>
    <col min="26" max="26" width="9.1640625" style="2" customWidth="1"/>
    <col min="27" max="27" width="13" style="2" customWidth="1"/>
    <col min="28" max="28" width="12" style="2" customWidth="1"/>
    <col min="29" max="29" width="18.44140625" style="2" customWidth="1"/>
    <col min="30" max="261" width="11.44140625" style="2"/>
    <col min="262" max="262" width="58.44140625" style="2" customWidth="1"/>
    <col min="263" max="263" width="8.44140625" style="2" customWidth="1"/>
    <col min="264" max="264" width="11.44140625" style="2" customWidth="1"/>
    <col min="265" max="265" width="7.83203125" style="2" customWidth="1"/>
    <col min="266" max="266" width="9.44140625" style="2" customWidth="1"/>
    <col min="267" max="267" width="8.83203125" style="2" customWidth="1"/>
    <col min="268" max="268" width="14.44140625" style="2" customWidth="1"/>
    <col min="269" max="269" width="8.83203125" style="2" customWidth="1"/>
    <col min="270" max="270" width="12.1640625" style="2" customWidth="1"/>
    <col min="271" max="271" width="8.44140625" style="2" customWidth="1"/>
    <col min="272" max="273" width="11.44140625" style="2" customWidth="1"/>
    <col min="274" max="274" width="11.83203125" style="2" customWidth="1"/>
    <col min="275" max="275" width="11.44140625" style="2" customWidth="1"/>
    <col min="276" max="276" width="10.44140625" style="2" customWidth="1"/>
    <col min="277" max="277" width="11.83203125" style="2" customWidth="1"/>
    <col min="278" max="278" width="10.44140625" style="2" customWidth="1"/>
    <col min="279" max="279" width="12" style="2" customWidth="1"/>
    <col min="280" max="280" width="16.83203125" style="2" customWidth="1"/>
    <col min="281" max="281" width="12.44140625" style="2" customWidth="1"/>
    <col min="282" max="282" width="9.1640625" style="2" customWidth="1"/>
    <col min="283" max="283" width="13" style="2" customWidth="1"/>
    <col min="284" max="284" width="12" style="2" customWidth="1"/>
    <col min="285" max="285" width="18.44140625" style="2" customWidth="1"/>
    <col min="286" max="517" width="11.44140625" style="2"/>
    <col min="518" max="518" width="58.44140625" style="2" customWidth="1"/>
    <col min="519" max="519" width="8.44140625" style="2" customWidth="1"/>
    <col min="520" max="520" width="11.44140625" style="2" customWidth="1"/>
    <col min="521" max="521" width="7.83203125" style="2" customWidth="1"/>
    <col min="522" max="522" width="9.44140625" style="2" customWidth="1"/>
    <col min="523" max="523" width="8.83203125" style="2" customWidth="1"/>
    <col min="524" max="524" width="14.44140625" style="2" customWidth="1"/>
    <col min="525" max="525" width="8.83203125" style="2" customWidth="1"/>
    <col min="526" max="526" width="12.1640625" style="2" customWidth="1"/>
    <col min="527" max="527" width="8.44140625" style="2" customWidth="1"/>
    <col min="528" max="529" width="11.44140625" style="2" customWidth="1"/>
    <col min="530" max="530" width="11.83203125" style="2" customWidth="1"/>
    <col min="531" max="531" width="11.44140625" style="2" customWidth="1"/>
    <col min="532" max="532" width="10.44140625" style="2" customWidth="1"/>
    <col min="533" max="533" width="11.83203125" style="2" customWidth="1"/>
    <col min="534" max="534" width="10.44140625" style="2" customWidth="1"/>
    <col min="535" max="535" width="12" style="2" customWidth="1"/>
    <col min="536" max="536" width="16.83203125" style="2" customWidth="1"/>
    <col min="537" max="537" width="12.44140625" style="2" customWidth="1"/>
    <col min="538" max="538" width="9.1640625" style="2" customWidth="1"/>
    <col min="539" max="539" width="13" style="2" customWidth="1"/>
    <col min="540" max="540" width="12" style="2" customWidth="1"/>
    <col min="541" max="541" width="18.44140625" style="2" customWidth="1"/>
    <col min="542" max="773" width="11.44140625" style="2"/>
    <col min="774" max="774" width="58.44140625" style="2" customWidth="1"/>
    <col min="775" max="775" width="8.44140625" style="2" customWidth="1"/>
    <col min="776" max="776" width="11.44140625" style="2" customWidth="1"/>
    <col min="777" max="777" width="7.83203125" style="2" customWidth="1"/>
    <col min="778" max="778" width="9.44140625" style="2" customWidth="1"/>
    <col min="779" max="779" width="8.83203125" style="2" customWidth="1"/>
    <col min="780" max="780" width="14.44140625" style="2" customWidth="1"/>
    <col min="781" max="781" width="8.83203125" style="2" customWidth="1"/>
    <col min="782" max="782" width="12.1640625" style="2" customWidth="1"/>
    <col min="783" max="783" width="8.44140625" style="2" customWidth="1"/>
    <col min="784" max="785" width="11.44140625" style="2" customWidth="1"/>
    <col min="786" max="786" width="11.83203125" style="2" customWidth="1"/>
    <col min="787" max="787" width="11.44140625" style="2" customWidth="1"/>
    <col min="788" max="788" width="10.44140625" style="2" customWidth="1"/>
    <col min="789" max="789" width="11.83203125" style="2" customWidth="1"/>
    <col min="790" max="790" width="10.44140625" style="2" customWidth="1"/>
    <col min="791" max="791" width="12" style="2" customWidth="1"/>
    <col min="792" max="792" width="16.83203125" style="2" customWidth="1"/>
    <col min="793" max="793" width="12.44140625" style="2" customWidth="1"/>
    <col min="794" max="794" width="9.1640625" style="2" customWidth="1"/>
    <col min="795" max="795" width="13" style="2" customWidth="1"/>
    <col min="796" max="796" width="12" style="2" customWidth="1"/>
    <col min="797" max="797" width="18.44140625" style="2" customWidth="1"/>
    <col min="798" max="1029" width="11.44140625" style="2"/>
    <col min="1030" max="1030" width="58.44140625" style="2" customWidth="1"/>
    <col min="1031" max="1031" width="8.44140625" style="2" customWidth="1"/>
    <col min="1032" max="1032" width="11.44140625" style="2" customWidth="1"/>
    <col min="1033" max="1033" width="7.83203125" style="2" customWidth="1"/>
    <col min="1034" max="1034" width="9.44140625" style="2" customWidth="1"/>
    <col min="1035" max="1035" width="8.83203125" style="2" customWidth="1"/>
    <col min="1036" max="1036" width="14.44140625" style="2" customWidth="1"/>
    <col min="1037" max="1037" width="8.83203125" style="2" customWidth="1"/>
    <col min="1038" max="1038" width="12.1640625" style="2" customWidth="1"/>
    <col min="1039" max="1039" width="8.44140625" style="2" customWidth="1"/>
    <col min="1040" max="1041" width="11.44140625" style="2" customWidth="1"/>
    <col min="1042" max="1042" width="11.83203125" style="2" customWidth="1"/>
    <col min="1043" max="1043" width="11.44140625" style="2" customWidth="1"/>
    <col min="1044" max="1044" width="10.44140625" style="2" customWidth="1"/>
    <col min="1045" max="1045" width="11.83203125" style="2" customWidth="1"/>
    <col min="1046" max="1046" width="10.44140625" style="2" customWidth="1"/>
    <col min="1047" max="1047" width="12" style="2" customWidth="1"/>
    <col min="1048" max="1048" width="16.83203125" style="2" customWidth="1"/>
    <col min="1049" max="1049" width="12.44140625" style="2" customWidth="1"/>
    <col min="1050" max="1050" width="9.1640625" style="2" customWidth="1"/>
    <col min="1051" max="1051" width="13" style="2" customWidth="1"/>
    <col min="1052" max="1052" width="12" style="2" customWidth="1"/>
    <col min="1053" max="1053" width="18.44140625" style="2" customWidth="1"/>
    <col min="1054" max="1285" width="11.44140625" style="2"/>
    <col min="1286" max="1286" width="58.44140625" style="2" customWidth="1"/>
    <col min="1287" max="1287" width="8.44140625" style="2" customWidth="1"/>
    <col min="1288" max="1288" width="11.44140625" style="2" customWidth="1"/>
    <col min="1289" max="1289" width="7.83203125" style="2" customWidth="1"/>
    <col min="1290" max="1290" width="9.44140625" style="2" customWidth="1"/>
    <col min="1291" max="1291" width="8.83203125" style="2" customWidth="1"/>
    <col min="1292" max="1292" width="14.44140625" style="2" customWidth="1"/>
    <col min="1293" max="1293" width="8.83203125" style="2" customWidth="1"/>
    <col min="1294" max="1294" width="12.1640625" style="2" customWidth="1"/>
    <col min="1295" max="1295" width="8.44140625" style="2" customWidth="1"/>
    <col min="1296" max="1297" width="11.44140625" style="2" customWidth="1"/>
    <col min="1298" max="1298" width="11.83203125" style="2" customWidth="1"/>
    <col min="1299" max="1299" width="11.44140625" style="2" customWidth="1"/>
    <col min="1300" max="1300" width="10.44140625" style="2" customWidth="1"/>
    <col min="1301" max="1301" width="11.83203125" style="2" customWidth="1"/>
    <col min="1302" max="1302" width="10.44140625" style="2" customWidth="1"/>
    <col min="1303" max="1303" width="12" style="2" customWidth="1"/>
    <col min="1304" max="1304" width="16.83203125" style="2" customWidth="1"/>
    <col min="1305" max="1305" width="12.44140625" style="2" customWidth="1"/>
    <col min="1306" max="1306" width="9.1640625" style="2" customWidth="1"/>
    <col min="1307" max="1307" width="13" style="2" customWidth="1"/>
    <col min="1308" max="1308" width="12" style="2" customWidth="1"/>
    <col min="1309" max="1309" width="18.44140625" style="2" customWidth="1"/>
    <col min="1310" max="1541" width="11.44140625" style="2"/>
    <col min="1542" max="1542" width="58.44140625" style="2" customWidth="1"/>
    <col min="1543" max="1543" width="8.44140625" style="2" customWidth="1"/>
    <col min="1544" max="1544" width="11.44140625" style="2" customWidth="1"/>
    <col min="1545" max="1545" width="7.83203125" style="2" customWidth="1"/>
    <col min="1546" max="1546" width="9.44140625" style="2" customWidth="1"/>
    <col min="1547" max="1547" width="8.83203125" style="2" customWidth="1"/>
    <col min="1548" max="1548" width="14.44140625" style="2" customWidth="1"/>
    <col min="1549" max="1549" width="8.83203125" style="2" customWidth="1"/>
    <col min="1550" max="1550" width="12.1640625" style="2" customWidth="1"/>
    <col min="1551" max="1551" width="8.44140625" style="2" customWidth="1"/>
    <col min="1552" max="1553" width="11.44140625" style="2" customWidth="1"/>
    <col min="1554" max="1554" width="11.83203125" style="2" customWidth="1"/>
    <col min="1555" max="1555" width="11.44140625" style="2" customWidth="1"/>
    <col min="1556" max="1556" width="10.44140625" style="2" customWidth="1"/>
    <col min="1557" max="1557" width="11.83203125" style="2" customWidth="1"/>
    <col min="1558" max="1558" width="10.44140625" style="2" customWidth="1"/>
    <col min="1559" max="1559" width="12" style="2" customWidth="1"/>
    <col min="1560" max="1560" width="16.83203125" style="2" customWidth="1"/>
    <col min="1561" max="1561" width="12.44140625" style="2" customWidth="1"/>
    <col min="1562" max="1562" width="9.1640625" style="2" customWidth="1"/>
    <col min="1563" max="1563" width="13" style="2" customWidth="1"/>
    <col min="1564" max="1564" width="12" style="2" customWidth="1"/>
    <col min="1565" max="1565" width="18.44140625" style="2" customWidth="1"/>
    <col min="1566" max="1797" width="11.44140625" style="2"/>
    <col min="1798" max="1798" width="58.44140625" style="2" customWidth="1"/>
    <col min="1799" max="1799" width="8.44140625" style="2" customWidth="1"/>
    <col min="1800" max="1800" width="11.44140625" style="2" customWidth="1"/>
    <col min="1801" max="1801" width="7.83203125" style="2" customWidth="1"/>
    <col min="1802" max="1802" width="9.44140625" style="2" customWidth="1"/>
    <col min="1803" max="1803" width="8.83203125" style="2" customWidth="1"/>
    <col min="1804" max="1804" width="14.44140625" style="2" customWidth="1"/>
    <col min="1805" max="1805" width="8.83203125" style="2" customWidth="1"/>
    <col min="1806" max="1806" width="12.1640625" style="2" customWidth="1"/>
    <col min="1807" max="1807" width="8.44140625" style="2" customWidth="1"/>
    <col min="1808" max="1809" width="11.44140625" style="2" customWidth="1"/>
    <col min="1810" max="1810" width="11.83203125" style="2" customWidth="1"/>
    <col min="1811" max="1811" width="11.44140625" style="2" customWidth="1"/>
    <col min="1812" max="1812" width="10.44140625" style="2" customWidth="1"/>
    <col min="1813" max="1813" width="11.83203125" style="2" customWidth="1"/>
    <col min="1814" max="1814" width="10.44140625" style="2" customWidth="1"/>
    <col min="1815" max="1815" width="12" style="2" customWidth="1"/>
    <col min="1816" max="1816" width="16.83203125" style="2" customWidth="1"/>
    <col min="1817" max="1817" width="12.44140625" style="2" customWidth="1"/>
    <col min="1818" max="1818" width="9.1640625" style="2" customWidth="1"/>
    <col min="1819" max="1819" width="13" style="2" customWidth="1"/>
    <col min="1820" max="1820" width="12" style="2" customWidth="1"/>
    <col min="1821" max="1821" width="18.44140625" style="2" customWidth="1"/>
    <col min="1822" max="2053" width="11.44140625" style="2"/>
    <col min="2054" max="2054" width="58.44140625" style="2" customWidth="1"/>
    <col min="2055" max="2055" width="8.44140625" style="2" customWidth="1"/>
    <col min="2056" max="2056" width="11.44140625" style="2" customWidth="1"/>
    <col min="2057" max="2057" width="7.83203125" style="2" customWidth="1"/>
    <col min="2058" max="2058" width="9.44140625" style="2" customWidth="1"/>
    <col min="2059" max="2059" width="8.83203125" style="2" customWidth="1"/>
    <col min="2060" max="2060" width="14.44140625" style="2" customWidth="1"/>
    <col min="2061" max="2061" width="8.83203125" style="2" customWidth="1"/>
    <col min="2062" max="2062" width="12.1640625" style="2" customWidth="1"/>
    <col min="2063" max="2063" width="8.44140625" style="2" customWidth="1"/>
    <col min="2064" max="2065" width="11.44140625" style="2" customWidth="1"/>
    <col min="2066" max="2066" width="11.83203125" style="2" customWidth="1"/>
    <col min="2067" max="2067" width="11.44140625" style="2" customWidth="1"/>
    <col min="2068" max="2068" width="10.44140625" style="2" customWidth="1"/>
    <col min="2069" max="2069" width="11.83203125" style="2" customWidth="1"/>
    <col min="2070" max="2070" width="10.44140625" style="2" customWidth="1"/>
    <col min="2071" max="2071" width="12" style="2" customWidth="1"/>
    <col min="2072" max="2072" width="16.83203125" style="2" customWidth="1"/>
    <col min="2073" max="2073" width="12.44140625" style="2" customWidth="1"/>
    <col min="2074" max="2074" width="9.1640625" style="2" customWidth="1"/>
    <col min="2075" max="2075" width="13" style="2" customWidth="1"/>
    <col min="2076" max="2076" width="12" style="2" customWidth="1"/>
    <col min="2077" max="2077" width="18.44140625" style="2" customWidth="1"/>
    <col min="2078" max="2309" width="11.44140625" style="2"/>
    <col min="2310" max="2310" width="58.44140625" style="2" customWidth="1"/>
    <col min="2311" max="2311" width="8.44140625" style="2" customWidth="1"/>
    <col min="2312" max="2312" width="11.44140625" style="2" customWidth="1"/>
    <col min="2313" max="2313" width="7.83203125" style="2" customWidth="1"/>
    <col min="2314" max="2314" width="9.44140625" style="2" customWidth="1"/>
    <col min="2315" max="2315" width="8.83203125" style="2" customWidth="1"/>
    <col min="2316" max="2316" width="14.44140625" style="2" customWidth="1"/>
    <col min="2317" max="2317" width="8.83203125" style="2" customWidth="1"/>
    <col min="2318" max="2318" width="12.1640625" style="2" customWidth="1"/>
    <col min="2319" max="2319" width="8.44140625" style="2" customWidth="1"/>
    <col min="2320" max="2321" width="11.44140625" style="2" customWidth="1"/>
    <col min="2322" max="2322" width="11.83203125" style="2" customWidth="1"/>
    <col min="2323" max="2323" width="11.44140625" style="2" customWidth="1"/>
    <col min="2324" max="2324" width="10.44140625" style="2" customWidth="1"/>
    <col min="2325" max="2325" width="11.83203125" style="2" customWidth="1"/>
    <col min="2326" max="2326" width="10.44140625" style="2" customWidth="1"/>
    <col min="2327" max="2327" width="12" style="2" customWidth="1"/>
    <col min="2328" max="2328" width="16.83203125" style="2" customWidth="1"/>
    <col min="2329" max="2329" width="12.44140625" style="2" customWidth="1"/>
    <col min="2330" max="2330" width="9.1640625" style="2" customWidth="1"/>
    <col min="2331" max="2331" width="13" style="2" customWidth="1"/>
    <col min="2332" max="2332" width="12" style="2" customWidth="1"/>
    <col min="2333" max="2333" width="18.44140625" style="2" customWidth="1"/>
    <col min="2334" max="2565" width="11.44140625" style="2"/>
    <col min="2566" max="2566" width="58.44140625" style="2" customWidth="1"/>
    <col min="2567" max="2567" width="8.44140625" style="2" customWidth="1"/>
    <col min="2568" max="2568" width="11.44140625" style="2" customWidth="1"/>
    <col min="2569" max="2569" width="7.83203125" style="2" customWidth="1"/>
    <col min="2570" max="2570" width="9.44140625" style="2" customWidth="1"/>
    <col min="2571" max="2571" width="8.83203125" style="2" customWidth="1"/>
    <col min="2572" max="2572" width="14.44140625" style="2" customWidth="1"/>
    <col min="2573" max="2573" width="8.83203125" style="2" customWidth="1"/>
    <col min="2574" max="2574" width="12.1640625" style="2" customWidth="1"/>
    <col min="2575" max="2575" width="8.44140625" style="2" customWidth="1"/>
    <col min="2576" max="2577" width="11.44140625" style="2" customWidth="1"/>
    <col min="2578" max="2578" width="11.83203125" style="2" customWidth="1"/>
    <col min="2579" max="2579" width="11.44140625" style="2" customWidth="1"/>
    <col min="2580" max="2580" width="10.44140625" style="2" customWidth="1"/>
    <col min="2581" max="2581" width="11.83203125" style="2" customWidth="1"/>
    <col min="2582" max="2582" width="10.44140625" style="2" customWidth="1"/>
    <col min="2583" max="2583" width="12" style="2" customWidth="1"/>
    <col min="2584" max="2584" width="16.83203125" style="2" customWidth="1"/>
    <col min="2585" max="2585" width="12.44140625" style="2" customWidth="1"/>
    <col min="2586" max="2586" width="9.1640625" style="2" customWidth="1"/>
    <col min="2587" max="2587" width="13" style="2" customWidth="1"/>
    <col min="2588" max="2588" width="12" style="2" customWidth="1"/>
    <col min="2589" max="2589" width="18.44140625" style="2" customWidth="1"/>
    <col min="2590" max="2821" width="11.44140625" style="2"/>
    <col min="2822" max="2822" width="58.44140625" style="2" customWidth="1"/>
    <col min="2823" max="2823" width="8.44140625" style="2" customWidth="1"/>
    <col min="2824" max="2824" width="11.44140625" style="2" customWidth="1"/>
    <col min="2825" max="2825" width="7.83203125" style="2" customWidth="1"/>
    <col min="2826" max="2826" width="9.44140625" style="2" customWidth="1"/>
    <col min="2827" max="2827" width="8.83203125" style="2" customWidth="1"/>
    <col min="2828" max="2828" width="14.44140625" style="2" customWidth="1"/>
    <col min="2829" max="2829" width="8.83203125" style="2" customWidth="1"/>
    <col min="2830" max="2830" width="12.1640625" style="2" customWidth="1"/>
    <col min="2831" max="2831" width="8.44140625" style="2" customWidth="1"/>
    <col min="2832" max="2833" width="11.44140625" style="2" customWidth="1"/>
    <col min="2834" max="2834" width="11.83203125" style="2" customWidth="1"/>
    <col min="2835" max="2835" width="11.44140625" style="2" customWidth="1"/>
    <col min="2836" max="2836" width="10.44140625" style="2" customWidth="1"/>
    <col min="2837" max="2837" width="11.83203125" style="2" customWidth="1"/>
    <col min="2838" max="2838" width="10.44140625" style="2" customWidth="1"/>
    <col min="2839" max="2839" width="12" style="2" customWidth="1"/>
    <col min="2840" max="2840" width="16.83203125" style="2" customWidth="1"/>
    <col min="2841" max="2841" width="12.44140625" style="2" customWidth="1"/>
    <col min="2842" max="2842" width="9.1640625" style="2" customWidth="1"/>
    <col min="2843" max="2843" width="13" style="2" customWidth="1"/>
    <col min="2844" max="2844" width="12" style="2" customWidth="1"/>
    <col min="2845" max="2845" width="18.44140625" style="2" customWidth="1"/>
    <col min="2846" max="3077" width="11.44140625" style="2"/>
    <col min="3078" max="3078" width="58.44140625" style="2" customWidth="1"/>
    <col min="3079" max="3079" width="8.44140625" style="2" customWidth="1"/>
    <col min="3080" max="3080" width="11.44140625" style="2" customWidth="1"/>
    <col min="3081" max="3081" width="7.83203125" style="2" customWidth="1"/>
    <col min="3082" max="3082" width="9.44140625" style="2" customWidth="1"/>
    <col min="3083" max="3083" width="8.83203125" style="2" customWidth="1"/>
    <col min="3084" max="3084" width="14.44140625" style="2" customWidth="1"/>
    <col min="3085" max="3085" width="8.83203125" style="2" customWidth="1"/>
    <col min="3086" max="3086" width="12.1640625" style="2" customWidth="1"/>
    <col min="3087" max="3087" width="8.44140625" style="2" customWidth="1"/>
    <col min="3088" max="3089" width="11.44140625" style="2" customWidth="1"/>
    <col min="3090" max="3090" width="11.83203125" style="2" customWidth="1"/>
    <col min="3091" max="3091" width="11.44140625" style="2" customWidth="1"/>
    <col min="3092" max="3092" width="10.44140625" style="2" customWidth="1"/>
    <col min="3093" max="3093" width="11.83203125" style="2" customWidth="1"/>
    <col min="3094" max="3094" width="10.44140625" style="2" customWidth="1"/>
    <col min="3095" max="3095" width="12" style="2" customWidth="1"/>
    <col min="3096" max="3096" width="16.83203125" style="2" customWidth="1"/>
    <col min="3097" max="3097" width="12.44140625" style="2" customWidth="1"/>
    <col min="3098" max="3098" width="9.1640625" style="2" customWidth="1"/>
    <col min="3099" max="3099" width="13" style="2" customWidth="1"/>
    <col min="3100" max="3100" width="12" style="2" customWidth="1"/>
    <col min="3101" max="3101" width="18.44140625" style="2" customWidth="1"/>
    <col min="3102" max="3333" width="11.44140625" style="2"/>
    <col min="3334" max="3334" width="58.44140625" style="2" customWidth="1"/>
    <col min="3335" max="3335" width="8.44140625" style="2" customWidth="1"/>
    <col min="3336" max="3336" width="11.44140625" style="2" customWidth="1"/>
    <col min="3337" max="3337" width="7.83203125" style="2" customWidth="1"/>
    <col min="3338" max="3338" width="9.44140625" style="2" customWidth="1"/>
    <col min="3339" max="3339" width="8.83203125" style="2" customWidth="1"/>
    <col min="3340" max="3340" width="14.44140625" style="2" customWidth="1"/>
    <col min="3341" max="3341" width="8.83203125" style="2" customWidth="1"/>
    <col min="3342" max="3342" width="12.1640625" style="2" customWidth="1"/>
    <col min="3343" max="3343" width="8.44140625" style="2" customWidth="1"/>
    <col min="3344" max="3345" width="11.44140625" style="2" customWidth="1"/>
    <col min="3346" max="3346" width="11.83203125" style="2" customWidth="1"/>
    <col min="3347" max="3347" width="11.44140625" style="2" customWidth="1"/>
    <col min="3348" max="3348" width="10.44140625" style="2" customWidth="1"/>
    <col min="3349" max="3349" width="11.83203125" style="2" customWidth="1"/>
    <col min="3350" max="3350" width="10.44140625" style="2" customWidth="1"/>
    <col min="3351" max="3351" width="12" style="2" customWidth="1"/>
    <col min="3352" max="3352" width="16.83203125" style="2" customWidth="1"/>
    <col min="3353" max="3353" width="12.44140625" style="2" customWidth="1"/>
    <col min="3354" max="3354" width="9.1640625" style="2" customWidth="1"/>
    <col min="3355" max="3355" width="13" style="2" customWidth="1"/>
    <col min="3356" max="3356" width="12" style="2" customWidth="1"/>
    <col min="3357" max="3357" width="18.44140625" style="2" customWidth="1"/>
    <col min="3358" max="3589" width="11.44140625" style="2"/>
    <col min="3590" max="3590" width="58.44140625" style="2" customWidth="1"/>
    <col min="3591" max="3591" width="8.44140625" style="2" customWidth="1"/>
    <col min="3592" max="3592" width="11.44140625" style="2" customWidth="1"/>
    <col min="3593" max="3593" width="7.83203125" style="2" customWidth="1"/>
    <col min="3594" max="3594" width="9.44140625" style="2" customWidth="1"/>
    <col min="3595" max="3595" width="8.83203125" style="2" customWidth="1"/>
    <col min="3596" max="3596" width="14.44140625" style="2" customWidth="1"/>
    <col min="3597" max="3597" width="8.83203125" style="2" customWidth="1"/>
    <col min="3598" max="3598" width="12.1640625" style="2" customWidth="1"/>
    <col min="3599" max="3599" width="8.44140625" style="2" customWidth="1"/>
    <col min="3600" max="3601" width="11.44140625" style="2" customWidth="1"/>
    <col min="3602" max="3602" width="11.83203125" style="2" customWidth="1"/>
    <col min="3603" max="3603" width="11.44140625" style="2" customWidth="1"/>
    <col min="3604" max="3604" width="10.44140625" style="2" customWidth="1"/>
    <col min="3605" max="3605" width="11.83203125" style="2" customWidth="1"/>
    <col min="3606" max="3606" width="10.44140625" style="2" customWidth="1"/>
    <col min="3607" max="3607" width="12" style="2" customWidth="1"/>
    <col min="3608" max="3608" width="16.83203125" style="2" customWidth="1"/>
    <col min="3609" max="3609" width="12.44140625" style="2" customWidth="1"/>
    <col min="3610" max="3610" width="9.1640625" style="2" customWidth="1"/>
    <col min="3611" max="3611" width="13" style="2" customWidth="1"/>
    <col min="3612" max="3612" width="12" style="2" customWidth="1"/>
    <col min="3613" max="3613" width="18.44140625" style="2" customWidth="1"/>
    <col min="3614" max="3845" width="11.44140625" style="2"/>
    <col min="3846" max="3846" width="58.44140625" style="2" customWidth="1"/>
    <col min="3847" max="3847" width="8.44140625" style="2" customWidth="1"/>
    <col min="3848" max="3848" width="11.44140625" style="2" customWidth="1"/>
    <col min="3849" max="3849" width="7.83203125" style="2" customWidth="1"/>
    <col min="3850" max="3850" width="9.44140625" style="2" customWidth="1"/>
    <col min="3851" max="3851" width="8.83203125" style="2" customWidth="1"/>
    <col min="3852" max="3852" width="14.44140625" style="2" customWidth="1"/>
    <col min="3853" max="3853" width="8.83203125" style="2" customWidth="1"/>
    <col min="3854" max="3854" width="12.1640625" style="2" customWidth="1"/>
    <col min="3855" max="3855" width="8.44140625" style="2" customWidth="1"/>
    <col min="3856" max="3857" width="11.44140625" style="2" customWidth="1"/>
    <col min="3858" max="3858" width="11.83203125" style="2" customWidth="1"/>
    <col min="3859" max="3859" width="11.44140625" style="2" customWidth="1"/>
    <col min="3860" max="3860" width="10.44140625" style="2" customWidth="1"/>
    <col min="3861" max="3861" width="11.83203125" style="2" customWidth="1"/>
    <col min="3862" max="3862" width="10.44140625" style="2" customWidth="1"/>
    <col min="3863" max="3863" width="12" style="2" customWidth="1"/>
    <col min="3864" max="3864" width="16.83203125" style="2" customWidth="1"/>
    <col min="3865" max="3865" width="12.44140625" style="2" customWidth="1"/>
    <col min="3866" max="3866" width="9.1640625" style="2" customWidth="1"/>
    <col min="3867" max="3867" width="13" style="2" customWidth="1"/>
    <col min="3868" max="3868" width="12" style="2" customWidth="1"/>
    <col min="3869" max="3869" width="18.44140625" style="2" customWidth="1"/>
    <col min="3870" max="4101" width="11.44140625" style="2"/>
    <col min="4102" max="4102" width="58.44140625" style="2" customWidth="1"/>
    <col min="4103" max="4103" width="8.44140625" style="2" customWidth="1"/>
    <col min="4104" max="4104" width="11.44140625" style="2" customWidth="1"/>
    <col min="4105" max="4105" width="7.83203125" style="2" customWidth="1"/>
    <col min="4106" max="4106" width="9.44140625" style="2" customWidth="1"/>
    <col min="4107" max="4107" width="8.83203125" style="2" customWidth="1"/>
    <col min="4108" max="4108" width="14.44140625" style="2" customWidth="1"/>
    <col min="4109" max="4109" width="8.83203125" style="2" customWidth="1"/>
    <col min="4110" max="4110" width="12.1640625" style="2" customWidth="1"/>
    <col min="4111" max="4111" width="8.44140625" style="2" customWidth="1"/>
    <col min="4112" max="4113" width="11.44140625" style="2" customWidth="1"/>
    <col min="4114" max="4114" width="11.83203125" style="2" customWidth="1"/>
    <col min="4115" max="4115" width="11.44140625" style="2" customWidth="1"/>
    <col min="4116" max="4116" width="10.44140625" style="2" customWidth="1"/>
    <col min="4117" max="4117" width="11.83203125" style="2" customWidth="1"/>
    <col min="4118" max="4118" width="10.44140625" style="2" customWidth="1"/>
    <col min="4119" max="4119" width="12" style="2" customWidth="1"/>
    <col min="4120" max="4120" width="16.83203125" style="2" customWidth="1"/>
    <col min="4121" max="4121" width="12.44140625" style="2" customWidth="1"/>
    <col min="4122" max="4122" width="9.1640625" style="2" customWidth="1"/>
    <col min="4123" max="4123" width="13" style="2" customWidth="1"/>
    <col min="4124" max="4124" width="12" style="2" customWidth="1"/>
    <col min="4125" max="4125" width="18.44140625" style="2" customWidth="1"/>
    <col min="4126" max="4357" width="11.44140625" style="2"/>
    <col min="4358" max="4358" width="58.44140625" style="2" customWidth="1"/>
    <col min="4359" max="4359" width="8.44140625" style="2" customWidth="1"/>
    <col min="4360" max="4360" width="11.44140625" style="2" customWidth="1"/>
    <col min="4361" max="4361" width="7.83203125" style="2" customWidth="1"/>
    <col min="4362" max="4362" width="9.44140625" style="2" customWidth="1"/>
    <col min="4363" max="4363" width="8.83203125" style="2" customWidth="1"/>
    <col min="4364" max="4364" width="14.44140625" style="2" customWidth="1"/>
    <col min="4365" max="4365" width="8.83203125" style="2" customWidth="1"/>
    <col min="4366" max="4366" width="12.1640625" style="2" customWidth="1"/>
    <col min="4367" max="4367" width="8.44140625" style="2" customWidth="1"/>
    <col min="4368" max="4369" width="11.44140625" style="2" customWidth="1"/>
    <col min="4370" max="4370" width="11.83203125" style="2" customWidth="1"/>
    <col min="4371" max="4371" width="11.44140625" style="2" customWidth="1"/>
    <col min="4372" max="4372" width="10.44140625" style="2" customWidth="1"/>
    <col min="4373" max="4373" width="11.83203125" style="2" customWidth="1"/>
    <col min="4374" max="4374" width="10.44140625" style="2" customWidth="1"/>
    <col min="4375" max="4375" width="12" style="2" customWidth="1"/>
    <col min="4376" max="4376" width="16.83203125" style="2" customWidth="1"/>
    <col min="4377" max="4377" width="12.44140625" style="2" customWidth="1"/>
    <col min="4378" max="4378" width="9.1640625" style="2" customWidth="1"/>
    <col min="4379" max="4379" width="13" style="2" customWidth="1"/>
    <col min="4380" max="4380" width="12" style="2" customWidth="1"/>
    <col min="4381" max="4381" width="18.44140625" style="2" customWidth="1"/>
    <col min="4382" max="4613" width="11.44140625" style="2"/>
    <col min="4614" max="4614" width="58.44140625" style="2" customWidth="1"/>
    <col min="4615" max="4615" width="8.44140625" style="2" customWidth="1"/>
    <col min="4616" max="4616" width="11.44140625" style="2" customWidth="1"/>
    <col min="4617" max="4617" width="7.83203125" style="2" customWidth="1"/>
    <col min="4618" max="4618" width="9.44140625" style="2" customWidth="1"/>
    <col min="4619" max="4619" width="8.83203125" style="2" customWidth="1"/>
    <col min="4620" max="4620" width="14.44140625" style="2" customWidth="1"/>
    <col min="4621" max="4621" width="8.83203125" style="2" customWidth="1"/>
    <col min="4622" max="4622" width="12.1640625" style="2" customWidth="1"/>
    <col min="4623" max="4623" width="8.44140625" style="2" customWidth="1"/>
    <col min="4624" max="4625" width="11.44140625" style="2" customWidth="1"/>
    <col min="4626" max="4626" width="11.83203125" style="2" customWidth="1"/>
    <col min="4627" max="4627" width="11.44140625" style="2" customWidth="1"/>
    <col min="4628" max="4628" width="10.44140625" style="2" customWidth="1"/>
    <col min="4629" max="4629" width="11.83203125" style="2" customWidth="1"/>
    <col min="4630" max="4630" width="10.44140625" style="2" customWidth="1"/>
    <col min="4631" max="4631" width="12" style="2" customWidth="1"/>
    <col min="4632" max="4632" width="16.83203125" style="2" customWidth="1"/>
    <col min="4633" max="4633" width="12.44140625" style="2" customWidth="1"/>
    <col min="4634" max="4634" width="9.1640625" style="2" customWidth="1"/>
    <col min="4635" max="4635" width="13" style="2" customWidth="1"/>
    <col min="4636" max="4636" width="12" style="2" customWidth="1"/>
    <col min="4637" max="4637" width="18.44140625" style="2" customWidth="1"/>
    <col min="4638" max="4869" width="11.44140625" style="2"/>
    <col min="4870" max="4870" width="58.44140625" style="2" customWidth="1"/>
    <col min="4871" max="4871" width="8.44140625" style="2" customWidth="1"/>
    <col min="4872" max="4872" width="11.44140625" style="2" customWidth="1"/>
    <col min="4873" max="4873" width="7.83203125" style="2" customWidth="1"/>
    <col min="4874" max="4874" width="9.44140625" style="2" customWidth="1"/>
    <col min="4875" max="4875" width="8.83203125" style="2" customWidth="1"/>
    <col min="4876" max="4876" width="14.44140625" style="2" customWidth="1"/>
    <col min="4877" max="4877" width="8.83203125" style="2" customWidth="1"/>
    <col min="4878" max="4878" width="12.1640625" style="2" customWidth="1"/>
    <col min="4879" max="4879" width="8.44140625" style="2" customWidth="1"/>
    <col min="4880" max="4881" width="11.44140625" style="2" customWidth="1"/>
    <col min="4882" max="4882" width="11.83203125" style="2" customWidth="1"/>
    <col min="4883" max="4883" width="11.44140625" style="2" customWidth="1"/>
    <col min="4884" max="4884" width="10.44140625" style="2" customWidth="1"/>
    <col min="4885" max="4885" width="11.83203125" style="2" customWidth="1"/>
    <col min="4886" max="4886" width="10.44140625" style="2" customWidth="1"/>
    <col min="4887" max="4887" width="12" style="2" customWidth="1"/>
    <col min="4888" max="4888" width="16.83203125" style="2" customWidth="1"/>
    <col min="4889" max="4889" width="12.44140625" style="2" customWidth="1"/>
    <col min="4890" max="4890" width="9.1640625" style="2" customWidth="1"/>
    <col min="4891" max="4891" width="13" style="2" customWidth="1"/>
    <col min="4892" max="4892" width="12" style="2" customWidth="1"/>
    <col min="4893" max="4893" width="18.44140625" style="2" customWidth="1"/>
    <col min="4894" max="5125" width="11.44140625" style="2"/>
    <col min="5126" max="5126" width="58.44140625" style="2" customWidth="1"/>
    <col min="5127" max="5127" width="8.44140625" style="2" customWidth="1"/>
    <col min="5128" max="5128" width="11.44140625" style="2" customWidth="1"/>
    <col min="5129" max="5129" width="7.83203125" style="2" customWidth="1"/>
    <col min="5130" max="5130" width="9.44140625" style="2" customWidth="1"/>
    <col min="5131" max="5131" width="8.83203125" style="2" customWidth="1"/>
    <col min="5132" max="5132" width="14.44140625" style="2" customWidth="1"/>
    <col min="5133" max="5133" width="8.83203125" style="2" customWidth="1"/>
    <col min="5134" max="5134" width="12.1640625" style="2" customWidth="1"/>
    <col min="5135" max="5135" width="8.44140625" style="2" customWidth="1"/>
    <col min="5136" max="5137" width="11.44140625" style="2" customWidth="1"/>
    <col min="5138" max="5138" width="11.83203125" style="2" customWidth="1"/>
    <col min="5139" max="5139" width="11.44140625" style="2" customWidth="1"/>
    <col min="5140" max="5140" width="10.44140625" style="2" customWidth="1"/>
    <col min="5141" max="5141" width="11.83203125" style="2" customWidth="1"/>
    <col min="5142" max="5142" width="10.44140625" style="2" customWidth="1"/>
    <col min="5143" max="5143" width="12" style="2" customWidth="1"/>
    <col min="5144" max="5144" width="16.83203125" style="2" customWidth="1"/>
    <col min="5145" max="5145" width="12.44140625" style="2" customWidth="1"/>
    <col min="5146" max="5146" width="9.1640625" style="2" customWidth="1"/>
    <col min="5147" max="5147" width="13" style="2" customWidth="1"/>
    <col min="5148" max="5148" width="12" style="2" customWidth="1"/>
    <col min="5149" max="5149" width="18.44140625" style="2" customWidth="1"/>
    <col min="5150" max="5381" width="11.44140625" style="2"/>
    <col min="5382" max="5382" width="58.44140625" style="2" customWidth="1"/>
    <col min="5383" max="5383" width="8.44140625" style="2" customWidth="1"/>
    <col min="5384" max="5384" width="11.44140625" style="2" customWidth="1"/>
    <col min="5385" max="5385" width="7.83203125" style="2" customWidth="1"/>
    <col min="5386" max="5386" width="9.44140625" style="2" customWidth="1"/>
    <col min="5387" max="5387" width="8.83203125" style="2" customWidth="1"/>
    <col min="5388" max="5388" width="14.44140625" style="2" customWidth="1"/>
    <col min="5389" max="5389" width="8.83203125" style="2" customWidth="1"/>
    <col min="5390" max="5390" width="12.1640625" style="2" customWidth="1"/>
    <col min="5391" max="5391" width="8.44140625" style="2" customWidth="1"/>
    <col min="5392" max="5393" width="11.44140625" style="2" customWidth="1"/>
    <col min="5394" max="5394" width="11.83203125" style="2" customWidth="1"/>
    <col min="5395" max="5395" width="11.44140625" style="2" customWidth="1"/>
    <col min="5396" max="5396" width="10.44140625" style="2" customWidth="1"/>
    <col min="5397" max="5397" width="11.83203125" style="2" customWidth="1"/>
    <col min="5398" max="5398" width="10.44140625" style="2" customWidth="1"/>
    <col min="5399" max="5399" width="12" style="2" customWidth="1"/>
    <col min="5400" max="5400" width="16.83203125" style="2" customWidth="1"/>
    <col min="5401" max="5401" width="12.44140625" style="2" customWidth="1"/>
    <col min="5402" max="5402" width="9.1640625" style="2" customWidth="1"/>
    <col min="5403" max="5403" width="13" style="2" customWidth="1"/>
    <col min="5404" max="5404" width="12" style="2" customWidth="1"/>
    <col min="5405" max="5405" width="18.44140625" style="2" customWidth="1"/>
    <col min="5406" max="5637" width="11.44140625" style="2"/>
    <col min="5638" max="5638" width="58.44140625" style="2" customWidth="1"/>
    <col min="5639" max="5639" width="8.44140625" style="2" customWidth="1"/>
    <col min="5640" max="5640" width="11.44140625" style="2" customWidth="1"/>
    <col min="5641" max="5641" width="7.83203125" style="2" customWidth="1"/>
    <col min="5642" max="5642" width="9.44140625" style="2" customWidth="1"/>
    <col min="5643" max="5643" width="8.83203125" style="2" customWidth="1"/>
    <col min="5644" max="5644" width="14.44140625" style="2" customWidth="1"/>
    <col min="5645" max="5645" width="8.83203125" style="2" customWidth="1"/>
    <col min="5646" max="5646" width="12.1640625" style="2" customWidth="1"/>
    <col min="5647" max="5647" width="8.44140625" style="2" customWidth="1"/>
    <col min="5648" max="5649" width="11.44140625" style="2" customWidth="1"/>
    <col min="5650" max="5650" width="11.83203125" style="2" customWidth="1"/>
    <col min="5651" max="5651" width="11.44140625" style="2" customWidth="1"/>
    <col min="5652" max="5652" width="10.44140625" style="2" customWidth="1"/>
    <col min="5653" max="5653" width="11.83203125" style="2" customWidth="1"/>
    <col min="5654" max="5654" width="10.44140625" style="2" customWidth="1"/>
    <col min="5655" max="5655" width="12" style="2" customWidth="1"/>
    <col min="5656" max="5656" width="16.83203125" style="2" customWidth="1"/>
    <col min="5657" max="5657" width="12.44140625" style="2" customWidth="1"/>
    <col min="5658" max="5658" width="9.1640625" style="2" customWidth="1"/>
    <col min="5659" max="5659" width="13" style="2" customWidth="1"/>
    <col min="5660" max="5660" width="12" style="2" customWidth="1"/>
    <col min="5661" max="5661" width="18.44140625" style="2" customWidth="1"/>
    <col min="5662" max="5893" width="11.44140625" style="2"/>
    <col min="5894" max="5894" width="58.44140625" style="2" customWidth="1"/>
    <col min="5895" max="5895" width="8.44140625" style="2" customWidth="1"/>
    <col min="5896" max="5896" width="11.44140625" style="2" customWidth="1"/>
    <col min="5897" max="5897" width="7.83203125" style="2" customWidth="1"/>
    <col min="5898" max="5898" width="9.44140625" style="2" customWidth="1"/>
    <col min="5899" max="5899" width="8.83203125" style="2" customWidth="1"/>
    <col min="5900" max="5900" width="14.44140625" style="2" customWidth="1"/>
    <col min="5901" max="5901" width="8.83203125" style="2" customWidth="1"/>
    <col min="5902" max="5902" width="12.1640625" style="2" customWidth="1"/>
    <col min="5903" max="5903" width="8.44140625" style="2" customWidth="1"/>
    <col min="5904" max="5905" width="11.44140625" style="2" customWidth="1"/>
    <col min="5906" max="5906" width="11.83203125" style="2" customWidth="1"/>
    <col min="5907" max="5907" width="11.44140625" style="2" customWidth="1"/>
    <col min="5908" max="5908" width="10.44140625" style="2" customWidth="1"/>
    <col min="5909" max="5909" width="11.83203125" style="2" customWidth="1"/>
    <col min="5910" max="5910" width="10.44140625" style="2" customWidth="1"/>
    <col min="5911" max="5911" width="12" style="2" customWidth="1"/>
    <col min="5912" max="5912" width="16.83203125" style="2" customWidth="1"/>
    <col min="5913" max="5913" width="12.44140625" style="2" customWidth="1"/>
    <col min="5914" max="5914" width="9.1640625" style="2" customWidth="1"/>
    <col min="5915" max="5915" width="13" style="2" customWidth="1"/>
    <col min="5916" max="5916" width="12" style="2" customWidth="1"/>
    <col min="5917" max="5917" width="18.44140625" style="2" customWidth="1"/>
    <col min="5918" max="6149" width="11.44140625" style="2"/>
    <col min="6150" max="6150" width="58.44140625" style="2" customWidth="1"/>
    <col min="6151" max="6151" width="8.44140625" style="2" customWidth="1"/>
    <col min="6152" max="6152" width="11.44140625" style="2" customWidth="1"/>
    <col min="6153" max="6153" width="7.83203125" style="2" customWidth="1"/>
    <col min="6154" max="6154" width="9.44140625" style="2" customWidth="1"/>
    <col min="6155" max="6155" width="8.83203125" style="2" customWidth="1"/>
    <col min="6156" max="6156" width="14.44140625" style="2" customWidth="1"/>
    <col min="6157" max="6157" width="8.83203125" style="2" customWidth="1"/>
    <col min="6158" max="6158" width="12.1640625" style="2" customWidth="1"/>
    <col min="6159" max="6159" width="8.44140625" style="2" customWidth="1"/>
    <col min="6160" max="6161" width="11.44140625" style="2" customWidth="1"/>
    <col min="6162" max="6162" width="11.83203125" style="2" customWidth="1"/>
    <col min="6163" max="6163" width="11.44140625" style="2" customWidth="1"/>
    <col min="6164" max="6164" width="10.44140625" style="2" customWidth="1"/>
    <col min="6165" max="6165" width="11.83203125" style="2" customWidth="1"/>
    <col min="6166" max="6166" width="10.44140625" style="2" customWidth="1"/>
    <col min="6167" max="6167" width="12" style="2" customWidth="1"/>
    <col min="6168" max="6168" width="16.83203125" style="2" customWidth="1"/>
    <col min="6169" max="6169" width="12.44140625" style="2" customWidth="1"/>
    <col min="6170" max="6170" width="9.1640625" style="2" customWidth="1"/>
    <col min="6171" max="6171" width="13" style="2" customWidth="1"/>
    <col min="6172" max="6172" width="12" style="2" customWidth="1"/>
    <col min="6173" max="6173" width="18.44140625" style="2" customWidth="1"/>
    <col min="6174" max="6405" width="11.44140625" style="2"/>
    <col min="6406" max="6406" width="58.44140625" style="2" customWidth="1"/>
    <col min="6407" max="6407" width="8.44140625" style="2" customWidth="1"/>
    <col min="6408" max="6408" width="11.44140625" style="2" customWidth="1"/>
    <col min="6409" max="6409" width="7.83203125" style="2" customWidth="1"/>
    <col min="6410" max="6410" width="9.44140625" style="2" customWidth="1"/>
    <col min="6411" max="6411" width="8.83203125" style="2" customWidth="1"/>
    <col min="6412" max="6412" width="14.44140625" style="2" customWidth="1"/>
    <col min="6413" max="6413" width="8.83203125" style="2" customWidth="1"/>
    <col min="6414" max="6414" width="12.1640625" style="2" customWidth="1"/>
    <col min="6415" max="6415" width="8.44140625" style="2" customWidth="1"/>
    <col min="6416" max="6417" width="11.44140625" style="2" customWidth="1"/>
    <col min="6418" max="6418" width="11.83203125" style="2" customWidth="1"/>
    <col min="6419" max="6419" width="11.44140625" style="2" customWidth="1"/>
    <col min="6420" max="6420" width="10.44140625" style="2" customWidth="1"/>
    <col min="6421" max="6421" width="11.83203125" style="2" customWidth="1"/>
    <col min="6422" max="6422" width="10.44140625" style="2" customWidth="1"/>
    <col min="6423" max="6423" width="12" style="2" customWidth="1"/>
    <col min="6424" max="6424" width="16.83203125" style="2" customWidth="1"/>
    <col min="6425" max="6425" width="12.44140625" style="2" customWidth="1"/>
    <col min="6426" max="6426" width="9.1640625" style="2" customWidth="1"/>
    <col min="6427" max="6427" width="13" style="2" customWidth="1"/>
    <col min="6428" max="6428" width="12" style="2" customWidth="1"/>
    <col min="6429" max="6429" width="18.44140625" style="2" customWidth="1"/>
    <col min="6430" max="6661" width="11.44140625" style="2"/>
    <col min="6662" max="6662" width="58.44140625" style="2" customWidth="1"/>
    <col min="6663" max="6663" width="8.44140625" style="2" customWidth="1"/>
    <col min="6664" max="6664" width="11.44140625" style="2" customWidth="1"/>
    <col min="6665" max="6665" width="7.83203125" style="2" customWidth="1"/>
    <col min="6666" max="6666" width="9.44140625" style="2" customWidth="1"/>
    <col min="6667" max="6667" width="8.83203125" style="2" customWidth="1"/>
    <col min="6668" max="6668" width="14.44140625" style="2" customWidth="1"/>
    <col min="6669" max="6669" width="8.83203125" style="2" customWidth="1"/>
    <col min="6670" max="6670" width="12.1640625" style="2" customWidth="1"/>
    <col min="6671" max="6671" width="8.44140625" style="2" customWidth="1"/>
    <col min="6672" max="6673" width="11.44140625" style="2" customWidth="1"/>
    <col min="6674" max="6674" width="11.83203125" style="2" customWidth="1"/>
    <col min="6675" max="6675" width="11.44140625" style="2" customWidth="1"/>
    <col min="6676" max="6676" width="10.44140625" style="2" customWidth="1"/>
    <col min="6677" max="6677" width="11.83203125" style="2" customWidth="1"/>
    <col min="6678" max="6678" width="10.44140625" style="2" customWidth="1"/>
    <col min="6679" max="6679" width="12" style="2" customWidth="1"/>
    <col min="6680" max="6680" width="16.83203125" style="2" customWidth="1"/>
    <col min="6681" max="6681" width="12.44140625" style="2" customWidth="1"/>
    <col min="6682" max="6682" width="9.1640625" style="2" customWidth="1"/>
    <col min="6683" max="6683" width="13" style="2" customWidth="1"/>
    <col min="6684" max="6684" width="12" style="2" customWidth="1"/>
    <col min="6685" max="6685" width="18.44140625" style="2" customWidth="1"/>
    <col min="6686" max="6917" width="11.44140625" style="2"/>
    <col min="6918" max="6918" width="58.44140625" style="2" customWidth="1"/>
    <col min="6919" max="6919" width="8.44140625" style="2" customWidth="1"/>
    <col min="6920" max="6920" width="11.44140625" style="2" customWidth="1"/>
    <col min="6921" max="6921" width="7.83203125" style="2" customWidth="1"/>
    <col min="6922" max="6922" width="9.44140625" style="2" customWidth="1"/>
    <col min="6923" max="6923" width="8.83203125" style="2" customWidth="1"/>
    <col min="6924" max="6924" width="14.44140625" style="2" customWidth="1"/>
    <col min="6925" max="6925" width="8.83203125" style="2" customWidth="1"/>
    <col min="6926" max="6926" width="12.1640625" style="2" customWidth="1"/>
    <col min="6927" max="6927" width="8.44140625" style="2" customWidth="1"/>
    <col min="6928" max="6929" width="11.44140625" style="2" customWidth="1"/>
    <col min="6930" max="6930" width="11.83203125" style="2" customWidth="1"/>
    <col min="6931" max="6931" width="11.44140625" style="2" customWidth="1"/>
    <col min="6932" max="6932" width="10.44140625" style="2" customWidth="1"/>
    <col min="6933" max="6933" width="11.83203125" style="2" customWidth="1"/>
    <col min="6934" max="6934" width="10.44140625" style="2" customWidth="1"/>
    <col min="6935" max="6935" width="12" style="2" customWidth="1"/>
    <col min="6936" max="6936" width="16.83203125" style="2" customWidth="1"/>
    <col min="6937" max="6937" width="12.44140625" style="2" customWidth="1"/>
    <col min="6938" max="6938" width="9.1640625" style="2" customWidth="1"/>
    <col min="6939" max="6939" width="13" style="2" customWidth="1"/>
    <col min="6940" max="6940" width="12" style="2" customWidth="1"/>
    <col min="6941" max="6941" width="18.44140625" style="2" customWidth="1"/>
    <col min="6942" max="7173" width="11.44140625" style="2"/>
    <col min="7174" max="7174" width="58.44140625" style="2" customWidth="1"/>
    <col min="7175" max="7175" width="8.44140625" style="2" customWidth="1"/>
    <col min="7176" max="7176" width="11.44140625" style="2" customWidth="1"/>
    <col min="7177" max="7177" width="7.83203125" style="2" customWidth="1"/>
    <col min="7178" max="7178" width="9.44140625" style="2" customWidth="1"/>
    <col min="7179" max="7179" width="8.83203125" style="2" customWidth="1"/>
    <col min="7180" max="7180" width="14.44140625" style="2" customWidth="1"/>
    <col min="7181" max="7181" width="8.83203125" style="2" customWidth="1"/>
    <col min="7182" max="7182" width="12.1640625" style="2" customWidth="1"/>
    <col min="7183" max="7183" width="8.44140625" style="2" customWidth="1"/>
    <col min="7184" max="7185" width="11.44140625" style="2" customWidth="1"/>
    <col min="7186" max="7186" width="11.83203125" style="2" customWidth="1"/>
    <col min="7187" max="7187" width="11.44140625" style="2" customWidth="1"/>
    <col min="7188" max="7188" width="10.44140625" style="2" customWidth="1"/>
    <col min="7189" max="7189" width="11.83203125" style="2" customWidth="1"/>
    <col min="7190" max="7190" width="10.44140625" style="2" customWidth="1"/>
    <col min="7191" max="7191" width="12" style="2" customWidth="1"/>
    <col min="7192" max="7192" width="16.83203125" style="2" customWidth="1"/>
    <col min="7193" max="7193" width="12.44140625" style="2" customWidth="1"/>
    <col min="7194" max="7194" width="9.1640625" style="2" customWidth="1"/>
    <col min="7195" max="7195" width="13" style="2" customWidth="1"/>
    <col min="7196" max="7196" width="12" style="2" customWidth="1"/>
    <col min="7197" max="7197" width="18.44140625" style="2" customWidth="1"/>
    <col min="7198" max="7429" width="11.44140625" style="2"/>
    <col min="7430" max="7430" width="58.44140625" style="2" customWidth="1"/>
    <col min="7431" max="7431" width="8.44140625" style="2" customWidth="1"/>
    <col min="7432" max="7432" width="11.44140625" style="2" customWidth="1"/>
    <col min="7433" max="7433" width="7.83203125" style="2" customWidth="1"/>
    <col min="7434" max="7434" width="9.44140625" style="2" customWidth="1"/>
    <col min="7435" max="7435" width="8.83203125" style="2" customWidth="1"/>
    <col min="7436" max="7436" width="14.44140625" style="2" customWidth="1"/>
    <col min="7437" max="7437" width="8.83203125" style="2" customWidth="1"/>
    <col min="7438" max="7438" width="12.1640625" style="2" customWidth="1"/>
    <col min="7439" max="7439" width="8.44140625" style="2" customWidth="1"/>
    <col min="7440" max="7441" width="11.44140625" style="2" customWidth="1"/>
    <col min="7442" max="7442" width="11.83203125" style="2" customWidth="1"/>
    <col min="7443" max="7443" width="11.44140625" style="2" customWidth="1"/>
    <col min="7444" max="7444" width="10.44140625" style="2" customWidth="1"/>
    <col min="7445" max="7445" width="11.83203125" style="2" customWidth="1"/>
    <col min="7446" max="7446" width="10.44140625" style="2" customWidth="1"/>
    <col min="7447" max="7447" width="12" style="2" customWidth="1"/>
    <col min="7448" max="7448" width="16.83203125" style="2" customWidth="1"/>
    <col min="7449" max="7449" width="12.44140625" style="2" customWidth="1"/>
    <col min="7450" max="7450" width="9.1640625" style="2" customWidth="1"/>
    <col min="7451" max="7451" width="13" style="2" customWidth="1"/>
    <col min="7452" max="7452" width="12" style="2" customWidth="1"/>
    <col min="7453" max="7453" width="18.44140625" style="2" customWidth="1"/>
    <col min="7454" max="7685" width="11.44140625" style="2"/>
    <col min="7686" max="7686" width="58.44140625" style="2" customWidth="1"/>
    <col min="7687" max="7687" width="8.44140625" style="2" customWidth="1"/>
    <col min="7688" max="7688" width="11.44140625" style="2" customWidth="1"/>
    <col min="7689" max="7689" width="7.83203125" style="2" customWidth="1"/>
    <col min="7690" max="7690" width="9.44140625" style="2" customWidth="1"/>
    <col min="7691" max="7691" width="8.83203125" style="2" customWidth="1"/>
    <col min="7692" max="7692" width="14.44140625" style="2" customWidth="1"/>
    <col min="7693" max="7693" width="8.83203125" style="2" customWidth="1"/>
    <col min="7694" max="7694" width="12.1640625" style="2" customWidth="1"/>
    <col min="7695" max="7695" width="8.44140625" style="2" customWidth="1"/>
    <col min="7696" max="7697" width="11.44140625" style="2" customWidth="1"/>
    <col min="7698" max="7698" width="11.83203125" style="2" customWidth="1"/>
    <col min="7699" max="7699" width="11.44140625" style="2" customWidth="1"/>
    <col min="7700" max="7700" width="10.44140625" style="2" customWidth="1"/>
    <col min="7701" max="7701" width="11.83203125" style="2" customWidth="1"/>
    <col min="7702" max="7702" width="10.44140625" style="2" customWidth="1"/>
    <col min="7703" max="7703" width="12" style="2" customWidth="1"/>
    <col min="7704" max="7704" width="16.83203125" style="2" customWidth="1"/>
    <col min="7705" max="7705" width="12.44140625" style="2" customWidth="1"/>
    <col min="7706" max="7706" width="9.1640625" style="2" customWidth="1"/>
    <col min="7707" max="7707" width="13" style="2" customWidth="1"/>
    <col min="7708" max="7708" width="12" style="2" customWidth="1"/>
    <col min="7709" max="7709" width="18.44140625" style="2" customWidth="1"/>
    <col min="7710" max="7941" width="11.44140625" style="2"/>
    <col min="7942" max="7942" width="58.44140625" style="2" customWidth="1"/>
    <col min="7943" max="7943" width="8.44140625" style="2" customWidth="1"/>
    <col min="7944" max="7944" width="11.44140625" style="2" customWidth="1"/>
    <col min="7945" max="7945" width="7.83203125" style="2" customWidth="1"/>
    <col min="7946" max="7946" width="9.44140625" style="2" customWidth="1"/>
    <col min="7947" max="7947" width="8.83203125" style="2" customWidth="1"/>
    <col min="7948" max="7948" width="14.44140625" style="2" customWidth="1"/>
    <col min="7949" max="7949" width="8.83203125" style="2" customWidth="1"/>
    <col min="7950" max="7950" width="12.1640625" style="2" customWidth="1"/>
    <col min="7951" max="7951" width="8.44140625" style="2" customWidth="1"/>
    <col min="7952" max="7953" width="11.44140625" style="2" customWidth="1"/>
    <col min="7954" max="7954" width="11.83203125" style="2" customWidth="1"/>
    <col min="7955" max="7955" width="11.44140625" style="2" customWidth="1"/>
    <col min="7956" max="7956" width="10.44140625" style="2" customWidth="1"/>
    <col min="7957" max="7957" width="11.83203125" style="2" customWidth="1"/>
    <col min="7958" max="7958" width="10.44140625" style="2" customWidth="1"/>
    <col min="7959" max="7959" width="12" style="2" customWidth="1"/>
    <col min="7960" max="7960" width="16.83203125" style="2" customWidth="1"/>
    <col min="7961" max="7961" width="12.44140625" style="2" customWidth="1"/>
    <col min="7962" max="7962" width="9.1640625" style="2" customWidth="1"/>
    <col min="7963" max="7963" width="13" style="2" customWidth="1"/>
    <col min="7964" max="7964" width="12" style="2" customWidth="1"/>
    <col min="7965" max="7965" width="18.44140625" style="2" customWidth="1"/>
    <col min="7966" max="8197" width="11.44140625" style="2"/>
    <col min="8198" max="8198" width="58.44140625" style="2" customWidth="1"/>
    <col min="8199" max="8199" width="8.44140625" style="2" customWidth="1"/>
    <col min="8200" max="8200" width="11.44140625" style="2" customWidth="1"/>
    <col min="8201" max="8201" width="7.83203125" style="2" customWidth="1"/>
    <col min="8202" max="8202" width="9.44140625" style="2" customWidth="1"/>
    <col min="8203" max="8203" width="8.83203125" style="2" customWidth="1"/>
    <col min="8204" max="8204" width="14.44140625" style="2" customWidth="1"/>
    <col min="8205" max="8205" width="8.83203125" style="2" customWidth="1"/>
    <col min="8206" max="8206" width="12.1640625" style="2" customWidth="1"/>
    <col min="8207" max="8207" width="8.44140625" style="2" customWidth="1"/>
    <col min="8208" max="8209" width="11.44140625" style="2" customWidth="1"/>
    <col min="8210" max="8210" width="11.83203125" style="2" customWidth="1"/>
    <col min="8211" max="8211" width="11.44140625" style="2" customWidth="1"/>
    <col min="8212" max="8212" width="10.44140625" style="2" customWidth="1"/>
    <col min="8213" max="8213" width="11.83203125" style="2" customWidth="1"/>
    <col min="8214" max="8214" width="10.44140625" style="2" customWidth="1"/>
    <col min="8215" max="8215" width="12" style="2" customWidth="1"/>
    <col min="8216" max="8216" width="16.83203125" style="2" customWidth="1"/>
    <col min="8217" max="8217" width="12.44140625" style="2" customWidth="1"/>
    <col min="8218" max="8218" width="9.1640625" style="2" customWidth="1"/>
    <col min="8219" max="8219" width="13" style="2" customWidth="1"/>
    <col min="8220" max="8220" width="12" style="2" customWidth="1"/>
    <col min="8221" max="8221" width="18.44140625" style="2" customWidth="1"/>
    <col min="8222" max="8453" width="11.44140625" style="2"/>
    <col min="8454" max="8454" width="58.44140625" style="2" customWidth="1"/>
    <col min="8455" max="8455" width="8.44140625" style="2" customWidth="1"/>
    <col min="8456" max="8456" width="11.44140625" style="2" customWidth="1"/>
    <col min="8457" max="8457" width="7.83203125" style="2" customWidth="1"/>
    <col min="8458" max="8458" width="9.44140625" style="2" customWidth="1"/>
    <col min="8459" max="8459" width="8.83203125" style="2" customWidth="1"/>
    <col min="8460" max="8460" width="14.44140625" style="2" customWidth="1"/>
    <col min="8461" max="8461" width="8.83203125" style="2" customWidth="1"/>
    <col min="8462" max="8462" width="12.1640625" style="2" customWidth="1"/>
    <col min="8463" max="8463" width="8.44140625" style="2" customWidth="1"/>
    <col min="8464" max="8465" width="11.44140625" style="2" customWidth="1"/>
    <col min="8466" max="8466" width="11.83203125" style="2" customWidth="1"/>
    <col min="8467" max="8467" width="11.44140625" style="2" customWidth="1"/>
    <col min="8468" max="8468" width="10.44140625" style="2" customWidth="1"/>
    <col min="8469" max="8469" width="11.83203125" style="2" customWidth="1"/>
    <col min="8470" max="8470" width="10.44140625" style="2" customWidth="1"/>
    <col min="8471" max="8471" width="12" style="2" customWidth="1"/>
    <col min="8472" max="8472" width="16.83203125" style="2" customWidth="1"/>
    <col min="8473" max="8473" width="12.44140625" style="2" customWidth="1"/>
    <col min="8474" max="8474" width="9.1640625" style="2" customWidth="1"/>
    <col min="8475" max="8475" width="13" style="2" customWidth="1"/>
    <col min="8476" max="8476" width="12" style="2" customWidth="1"/>
    <col min="8477" max="8477" width="18.44140625" style="2" customWidth="1"/>
    <col min="8478" max="8709" width="11.44140625" style="2"/>
    <col min="8710" max="8710" width="58.44140625" style="2" customWidth="1"/>
    <col min="8711" max="8711" width="8.44140625" style="2" customWidth="1"/>
    <col min="8712" max="8712" width="11.44140625" style="2" customWidth="1"/>
    <col min="8713" max="8713" width="7.83203125" style="2" customWidth="1"/>
    <col min="8714" max="8714" width="9.44140625" style="2" customWidth="1"/>
    <col min="8715" max="8715" width="8.83203125" style="2" customWidth="1"/>
    <col min="8716" max="8716" width="14.44140625" style="2" customWidth="1"/>
    <col min="8717" max="8717" width="8.83203125" style="2" customWidth="1"/>
    <col min="8718" max="8718" width="12.1640625" style="2" customWidth="1"/>
    <col min="8719" max="8719" width="8.44140625" style="2" customWidth="1"/>
    <col min="8720" max="8721" width="11.44140625" style="2" customWidth="1"/>
    <col min="8722" max="8722" width="11.83203125" style="2" customWidth="1"/>
    <col min="8723" max="8723" width="11.44140625" style="2" customWidth="1"/>
    <col min="8724" max="8724" width="10.44140625" style="2" customWidth="1"/>
    <col min="8725" max="8725" width="11.83203125" style="2" customWidth="1"/>
    <col min="8726" max="8726" width="10.44140625" style="2" customWidth="1"/>
    <col min="8727" max="8727" width="12" style="2" customWidth="1"/>
    <col min="8728" max="8728" width="16.83203125" style="2" customWidth="1"/>
    <col min="8729" max="8729" width="12.44140625" style="2" customWidth="1"/>
    <col min="8730" max="8730" width="9.1640625" style="2" customWidth="1"/>
    <col min="8731" max="8731" width="13" style="2" customWidth="1"/>
    <col min="8732" max="8732" width="12" style="2" customWidth="1"/>
    <col min="8733" max="8733" width="18.44140625" style="2" customWidth="1"/>
    <col min="8734" max="8965" width="11.44140625" style="2"/>
    <col min="8966" max="8966" width="58.44140625" style="2" customWidth="1"/>
    <col min="8967" max="8967" width="8.44140625" style="2" customWidth="1"/>
    <col min="8968" max="8968" width="11.44140625" style="2" customWidth="1"/>
    <col min="8969" max="8969" width="7.83203125" style="2" customWidth="1"/>
    <col min="8970" max="8970" width="9.44140625" style="2" customWidth="1"/>
    <col min="8971" max="8971" width="8.83203125" style="2" customWidth="1"/>
    <col min="8972" max="8972" width="14.44140625" style="2" customWidth="1"/>
    <col min="8973" max="8973" width="8.83203125" style="2" customWidth="1"/>
    <col min="8974" max="8974" width="12.1640625" style="2" customWidth="1"/>
    <col min="8975" max="8975" width="8.44140625" style="2" customWidth="1"/>
    <col min="8976" max="8977" width="11.44140625" style="2" customWidth="1"/>
    <col min="8978" max="8978" width="11.83203125" style="2" customWidth="1"/>
    <col min="8979" max="8979" width="11.44140625" style="2" customWidth="1"/>
    <col min="8980" max="8980" width="10.44140625" style="2" customWidth="1"/>
    <col min="8981" max="8981" width="11.83203125" style="2" customWidth="1"/>
    <col min="8982" max="8982" width="10.44140625" style="2" customWidth="1"/>
    <col min="8983" max="8983" width="12" style="2" customWidth="1"/>
    <col min="8984" max="8984" width="16.83203125" style="2" customWidth="1"/>
    <col min="8985" max="8985" width="12.44140625" style="2" customWidth="1"/>
    <col min="8986" max="8986" width="9.1640625" style="2" customWidth="1"/>
    <col min="8987" max="8987" width="13" style="2" customWidth="1"/>
    <col min="8988" max="8988" width="12" style="2" customWidth="1"/>
    <col min="8989" max="8989" width="18.44140625" style="2" customWidth="1"/>
    <col min="8990" max="9221" width="11.44140625" style="2"/>
    <col min="9222" max="9222" width="58.44140625" style="2" customWidth="1"/>
    <col min="9223" max="9223" width="8.44140625" style="2" customWidth="1"/>
    <col min="9224" max="9224" width="11.44140625" style="2" customWidth="1"/>
    <col min="9225" max="9225" width="7.83203125" style="2" customWidth="1"/>
    <col min="9226" max="9226" width="9.44140625" style="2" customWidth="1"/>
    <col min="9227" max="9227" width="8.83203125" style="2" customWidth="1"/>
    <col min="9228" max="9228" width="14.44140625" style="2" customWidth="1"/>
    <col min="9229" max="9229" width="8.83203125" style="2" customWidth="1"/>
    <col min="9230" max="9230" width="12.1640625" style="2" customWidth="1"/>
    <col min="9231" max="9231" width="8.44140625" style="2" customWidth="1"/>
    <col min="9232" max="9233" width="11.44140625" style="2" customWidth="1"/>
    <col min="9234" max="9234" width="11.83203125" style="2" customWidth="1"/>
    <col min="9235" max="9235" width="11.44140625" style="2" customWidth="1"/>
    <col min="9236" max="9236" width="10.44140625" style="2" customWidth="1"/>
    <col min="9237" max="9237" width="11.83203125" style="2" customWidth="1"/>
    <col min="9238" max="9238" width="10.44140625" style="2" customWidth="1"/>
    <col min="9239" max="9239" width="12" style="2" customWidth="1"/>
    <col min="9240" max="9240" width="16.83203125" style="2" customWidth="1"/>
    <col min="9241" max="9241" width="12.44140625" style="2" customWidth="1"/>
    <col min="9242" max="9242" width="9.1640625" style="2" customWidth="1"/>
    <col min="9243" max="9243" width="13" style="2" customWidth="1"/>
    <col min="9244" max="9244" width="12" style="2" customWidth="1"/>
    <col min="9245" max="9245" width="18.44140625" style="2" customWidth="1"/>
    <col min="9246" max="9477" width="11.44140625" style="2"/>
    <col min="9478" max="9478" width="58.44140625" style="2" customWidth="1"/>
    <col min="9479" max="9479" width="8.44140625" style="2" customWidth="1"/>
    <col min="9480" max="9480" width="11.44140625" style="2" customWidth="1"/>
    <col min="9481" max="9481" width="7.83203125" style="2" customWidth="1"/>
    <col min="9482" max="9482" width="9.44140625" style="2" customWidth="1"/>
    <col min="9483" max="9483" width="8.83203125" style="2" customWidth="1"/>
    <col min="9484" max="9484" width="14.44140625" style="2" customWidth="1"/>
    <col min="9485" max="9485" width="8.83203125" style="2" customWidth="1"/>
    <col min="9486" max="9486" width="12.1640625" style="2" customWidth="1"/>
    <col min="9487" max="9487" width="8.44140625" style="2" customWidth="1"/>
    <col min="9488" max="9489" width="11.44140625" style="2" customWidth="1"/>
    <col min="9490" max="9490" width="11.83203125" style="2" customWidth="1"/>
    <col min="9491" max="9491" width="11.44140625" style="2" customWidth="1"/>
    <col min="9492" max="9492" width="10.44140625" style="2" customWidth="1"/>
    <col min="9493" max="9493" width="11.83203125" style="2" customWidth="1"/>
    <col min="9494" max="9494" width="10.44140625" style="2" customWidth="1"/>
    <col min="9495" max="9495" width="12" style="2" customWidth="1"/>
    <col min="9496" max="9496" width="16.83203125" style="2" customWidth="1"/>
    <col min="9497" max="9497" width="12.44140625" style="2" customWidth="1"/>
    <col min="9498" max="9498" width="9.1640625" style="2" customWidth="1"/>
    <col min="9499" max="9499" width="13" style="2" customWidth="1"/>
    <col min="9500" max="9500" width="12" style="2" customWidth="1"/>
    <col min="9501" max="9501" width="18.44140625" style="2" customWidth="1"/>
    <col min="9502" max="9733" width="11.44140625" style="2"/>
    <col min="9734" max="9734" width="58.44140625" style="2" customWidth="1"/>
    <col min="9735" max="9735" width="8.44140625" style="2" customWidth="1"/>
    <col min="9736" max="9736" width="11.44140625" style="2" customWidth="1"/>
    <col min="9737" max="9737" width="7.83203125" style="2" customWidth="1"/>
    <col min="9738" max="9738" width="9.44140625" style="2" customWidth="1"/>
    <col min="9739" max="9739" width="8.83203125" style="2" customWidth="1"/>
    <col min="9740" max="9740" width="14.44140625" style="2" customWidth="1"/>
    <col min="9741" max="9741" width="8.83203125" style="2" customWidth="1"/>
    <col min="9742" max="9742" width="12.1640625" style="2" customWidth="1"/>
    <col min="9743" max="9743" width="8.44140625" style="2" customWidth="1"/>
    <col min="9744" max="9745" width="11.44140625" style="2" customWidth="1"/>
    <col min="9746" max="9746" width="11.83203125" style="2" customWidth="1"/>
    <col min="9747" max="9747" width="11.44140625" style="2" customWidth="1"/>
    <col min="9748" max="9748" width="10.44140625" style="2" customWidth="1"/>
    <col min="9749" max="9749" width="11.83203125" style="2" customWidth="1"/>
    <col min="9750" max="9750" width="10.44140625" style="2" customWidth="1"/>
    <col min="9751" max="9751" width="12" style="2" customWidth="1"/>
    <col min="9752" max="9752" width="16.83203125" style="2" customWidth="1"/>
    <col min="9753" max="9753" width="12.44140625" style="2" customWidth="1"/>
    <col min="9754" max="9754" width="9.1640625" style="2" customWidth="1"/>
    <col min="9755" max="9755" width="13" style="2" customWidth="1"/>
    <col min="9756" max="9756" width="12" style="2" customWidth="1"/>
    <col min="9757" max="9757" width="18.44140625" style="2" customWidth="1"/>
    <col min="9758" max="9989" width="11.44140625" style="2"/>
    <col min="9990" max="9990" width="58.44140625" style="2" customWidth="1"/>
    <col min="9991" max="9991" width="8.44140625" style="2" customWidth="1"/>
    <col min="9992" max="9992" width="11.44140625" style="2" customWidth="1"/>
    <col min="9993" max="9993" width="7.83203125" style="2" customWidth="1"/>
    <col min="9994" max="9994" width="9.44140625" style="2" customWidth="1"/>
    <col min="9995" max="9995" width="8.83203125" style="2" customWidth="1"/>
    <col min="9996" max="9996" width="14.44140625" style="2" customWidth="1"/>
    <col min="9997" max="9997" width="8.83203125" style="2" customWidth="1"/>
    <col min="9998" max="9998" width="12.1640625" style="2" customWidth="1"/>
    <col min="9999" max="9999" width="8.44140625" style="2" customWidth="1"/>
    <col min="10000" max="10001" width="11.44140625" style="2" customWidth="1"/>
    <col min="10002" max="10002" width="11.83203125" style="2" customWidth="1"/>
    <col min="10003" max="10003" width="11.44140625" style="2" customWidth="1"/>
    <col min="10004" max="10004" width="10.44140625" style="2" customWidth="1"/>
    <col min="10005" max="10005" width="11.83203125" style="2" customWidth="1"/>
    <col min="10006" max="10006" width="10.44140625" style="2" customWidth="1"/>
    <col min="10007" max="10007" width="12" style="2" customWidth="1"/>
    <col min="10008" max="10008" width="16.83203125" style="2" customWidth="1"/>
    <col min="10009" max="10009" width="12.44140625" style="2" customWidth="1"/>
    <col min="10010" max="10010" width="9.1640625" style="2" customWidth="1"/>
    <col min="10011" max="10011" width="13" style="2" customWidth="1"/>
    <col min="10012" max="10012" width="12" style="2" customWidth="1"/>
    <col min="10013" max="10013" width="18.44140625" style="2" customWidth="1"/>
    <col min="10014" max="10245" width="11.44140625" style="2"/>
    <col min="10246" max="10246" width="58.44140625" style="2" customWidth="1"/>
    <col min="10247" max="10247" width="8.44140625" style="2" customWidth="1"/>
    <col min="10248" max="10248" width="11.44140625" style="2" customWidth="1"/>
    <col min="10249" max="10249" width="7.83203125" style="2" customWidth="1"/>
    <col min="10250" max="10250" width="9.44140625" style="2" customWidth="1"/>
    <col min="10251" max="10251" width="8.83203125" style="2" customWidth="1"/>
    <col min="10252" max="10252" width="14.44140625" style="2" customWidth="1"/>
    <col min="10253" max="10253" width="8.83203125" style="2" customWidth="1"/>
    <col min="10254" max="10254" width="12.1640625" style="2" customWidth="1"/>
    <col min="10255" max="10255" width="8.44140625" style="2" customWidth="1"/>
    <col min="10256" max="10257" width="11.44140625" style="2" customWidth="1"/>
    <col min="10258" max="10258" width="11.83203125" style="2" customWidth="1"/>
    <col min="10259" max="10259" width="11.44140625" style="2" customWidth="1"/>
    <col min="10260" max="10260" width="10.44140625" style="2" customWidth="1"/>
    <col min="10261" max="10261" width="11.83203125" style="2" customWidth="1"/>
    <col min="10262" max="10262" width="10.44140625" style="2" customWidth="1"/>
    <col min="10263" max="10263" width="12" style="2" customWidth="1"/>
    <col min="10264" max="10264" width="16.83203125" style="2" customWidth="1"/>
    <col min="10265" max="10265" width="12.44140625" style="2" customWidth="1"/>
    <col min="10266" max="10266" width="9.1640625" style="2" customWidth="1"/>
    <col min="10267" max="10267" width="13" style="2" customWidth="1"/>
    <col min="10268" max="10268" width="12" style="2" customWidth="1"/>
    <col min="10269" max="10269" width="18.44140625" style="2" customWidth="1"/>
    <col min="10270" max="10501" width="11.44140625" style="2"/>
    <col min="10502" max="10502" width="58.44140625" style="2" customWidth="1"/>
    <col min="10503" max="10503" width="8.44140625" style="2" customWidth="1"/>
    <col min="10504" max="10504" width="11.44140625" style="2" customWidth="1"/>
    <col min="10505" max="10505" width="7.83203125" style="2" customWidth="1"/>
    <col min="10506" max="10506" width="9.44140625" style="2" customWidth="1"/>
    <col min="10507" max="10507" width="8.83203125" style="2" customWidth="1"/>
    <col min="10508" max="10508" width="14.44140625" style="2" customWidth="1"/>
    <col min="10509" max="10509" width="8.83203125" style="2" customWidth="1"/>
    <col min="10510" max="10510" width="12.1640625" style="2" customWidth="1"/>
    <col min="10511" max="10511" width="8.44140625" style="2" customWidth="1"/>
    <col min="10512" max="10513" width="11.44140625" style="2" customWidth="1"/>
    <col min="10514" max="10514" width="11.83203125" style="2" customWidth="1"/>
    <col min="10515" max="10515" width="11.44140625" style="2" customWidth="1"/>
    <col min="10516" max="10516" width="10.44140625" style="2" customWidth="1"/>
    <col min="10517" max="10517" width="11.83203125" style="2" customWidth="1"/>
    <col min="10518" max="10518" width="10.44140625" style="2" customWidth="1"/>
    <col min="10519" max="10519" width="12" style="2" customWidth="1"/>
    <col min="10520" max="10520" width="16.83203125" style="2" customWidth="1"/>
    <col min="10521" max="10521" width="12.44140625" style="2" customWidth="1"/>
    <col min="10522" max="10522" width="9.1640625" style="2" customWidth="1"/>
    <col min="10523" max="10523" width="13" style="2" customWidth="1"/>
    <col min="10524" max="10524" width="12" style="2" customWidth="1"/>
    <col min="10525" max="10525" width="18.44140625" style="2" customWidth="1"/>
    <col min="10526" max="10757" width="11.44140625" style="2"/>
    <col min="10758" max="10758" width="58.44140625" style="2" customWidth="1"/>
    <col min="10759" max="10759" width="8.44140625" style="2" customWidth="1"/>
    <col min="10760" max="10760" width="11.44140625" style="2" customWidth="1"/>
    <col min="10761" max="10761" width="7.83203125" style="2" customWidth="1"/>
    <col min="10762" max="10762" width="9.44140625" style="2" customWidth="1"/>
    <col min="10763" max="10763" width="8.83203125" style="2" customWidth="1"/>
    <col min="10764" max="10764" width="14.44140625" style="2" customWidth="1"/>
    <col min="10765" max="10765" width="8.83203125" style="2" customWidth="1"/>
    <col min="10766" max="10766" width="12.1640625" style="2" customWidth="1"/>
    <col min="10767" max="10767" width="8.44140625" style="2" customWidth="1"/>
    <col min="10768" max="10769" width="11.44140625" style="2" customWidth="1"/>
    <col min="10770" max="10770" width="11.83203125" style="2" customWidth="1"/>
    <col min="10771" max="10771" width="11.44140625" style="2" customWidth="1"/>
    <col min="10772" max="10772" width="10.44140625" style="2" customWidth="1"/>
    <col min="10773" max="10773" width="11.83203125" style="2" customWidth="1"/>
    <col min="10774" max="10774" width="10.44140625" style="2" customWidth="1"/>
    <col min="10775" max="10775" width="12" style="2" customWidth="1"/>
    <col min="10776" max="10776" width="16.83203125" style="2" customWidth="1"/>
    <col min="10777" max="10777" width="12.44140625" style="2" customWidth="1"/>
    <col min="10778" max="10778" width="9.1640625" style="2" customWidth="1"/>
    <col min="10779" max="10779" width="13" style="2" customWidth="1"/>
    <col min="10780" max="10780" width="12" style="2" customWidth="1"/>
    <col min="10781" max="10781" width="18.44140625" style="2" customWidth="1"/>
    <col min="10782" max="11013" width="11.44140625" style="2"/>
    <col min="11014" max="11014" width="58.44140625" style="2" customWidth="1"/>
    <col min="11015" max="11015" width="8.44140625" style="2" customWidth="1"/>
    <col min="11016" max="11016" width="11.44140625" style="2" customWidth="1"/>
    <col min="11017" max="11017" width="7.83203125" style="2" customWidth="1"/>
    <col min="11018" max="11018" width="9.44140625" style="2" customWidth="1"/>
    <col min="11019" max="11019" width="8.83203125" style="2" customWidth="1"/>
    <col min="11020" max="11020" width="14.44140625" style="2" customWidth="1"/>
    <col min="11021" max="11021" width="8.83203125" style="2" customWidth="1"/>
    <col min="11022" max="11022" width="12.1640625" style="2" customWidth="1"/>
    <col min="11023" max="11023" width="8.44140625" style="2" customWidth="1"/>
    <col min="11024" max="11025" width="11.44140625" style="2" customWidth="1"/>
    <col min="11026" max="11026" width="11.83203125" style="2" customWidth="1"/>
    <col min="11027" max="11027" width="11.44140625" style="2" customWidth="1"/>
    <col min="11028" max="11028" width="10.44140625" style="2" customWidth="1"/>
    <col min="11029" max="11029" width="11.83203125" style="2" customWidth="1"/>
    <col min="11030" max="11030" width="10.44140625" style="2" customWidth="1"/>
    <col min="11031" max="11031" width="12" style="2" customWidth="1"/>
    <col min="11032" max="11032" width="16.83203125" style="2" customWidth="1"/>
    <col min="11033" max="11033" width="12.44140625" style="2" customWidth="1"/>
    <col min="11034" max="11034" width="9.1640625" style="2" customWidth="1"/>
    <col min="11035" max="11035" width="13" style="2" customWidth="1"/>
    <col min="11036" max="11036" width="12" style="2" customWidth="1"/>
    <col min="11037" max="11037" width="18.44140625" style="2" customWidth="1"/>
    <col min="11038" max="11269" width="11.44140625" style="2"/>
    <col min="11270" max="11270" width="58.44140625" style="2" customWidth="1"/>
    <col min="11271" max="11271" width="8.44140625" style="2" customWidth="1"/>
    <col min="11272" max="11272" width="11.44140625" style="2" customWidth="1"/>
    <col min="11273" max="11273" width="7.83203125" style="2" customWidth="1"/>
    <col min="11274" max="11274" width="9.44140625" style="2" customWidth="1"/>
    <col min="11275" max="11275" width="8.83203125" style="2" customWidth="1"/>
    <col min="11276" max="11276" width="14.44140625" style="2" customWidth="1"/>
    <col min="11277" max="11277" width="8.83203125" style="2" customWidth="1"/>
    <col min="11278" max="11278" width="12.1640625" style="2" customWidth="1"/>
    <col min="11279" max="11279" width="8.44140625" style="2" customWidth="1"/>
    <col min="11280" max="11281" width="11.44140625" style="2" customWidth="1"/>
    <col min="11282" max="11282" width="11.83203125" style="2" customWidth="1"/>
    <col min="11283" max="11283" width="11.44140625" style="2" customWidth="1"/>
    <col min="11284" max="11284" width="10.44140625" style="2" customWidth="1"/>
    <col min="11285" max="11285" width="11.83203125" style="2" customWidth="1"/>
    <col min="11286" max="11286" width="10.44140625" style="2" customWidth="1"/>
    <col min="11287" max="11287" width="12" style="2" customWidth="1"/>
    <col min="11288" max="11288" width="16.83203125" style="2" customWidth="1"/>
    <col min="11289" max="11289" width="12.44140625" style="2" customWidth="1"/>
    <col min="11290" max="11290" width="9.1640625" style="2" customWidth="1"/>
    <col min="11291" max="11291" width="13" style="2" customWidth="1"/>
    <col min="11292" max="11292" width="12" style="2" customWidth="1"/>
    <col min="11293" max="11293" width="18.44140625" style="2" customWidth="1"/>
    <col min="11294" max="11525" width="11.44140625" style="2"/>
    <col min="11526" max="11526" width="58.44140625" style="2" customWidth="1"/>
    <col min="11527" max="11527" width="8.44140625" style="2" customWidth="1"/>
    <col min="11528" max="11528" width="11.44140625" style="2" customWidth="1"/>
    <col min="11529" max="11529" width="7.83203125" style="2" customWidth="1"/>
    <col min="11530" max="11530" width="9.44140625" style="2" customWidth="1"/>
    <col min="11531" max="11531" width="8.83203125" style="2" customWidth="1"/>
    <col min="11532" max="11532" width="14.44140625" style="2" customWidth="1"/>
    <col min="11533" max="11533" width="8.83203125" style="2" customWidth="1"/>
    <col min="11534" max="11534" width="12.1640625" style="2" customWidth="1"/>
    <col min="11535" max="11535" width="8.44140625" style="2" customWidth="1"/>
    <col min="11536" max="11537" width="11.44140625" style="2" customWidth="1"/>
    <col min="11538" max="11538" width="11.83203125" style="2" customWidth="1"/>
    <col min="11539" max="11539" width="11.44140625" style="2" customWidth="1"/>
    <col min="11540" max="11540" width="10.44140625" style="2" customWidth="1"/>
    <col min="11541" max="11541" width="11.83203125" style="2" customWidth="1"/>
    <col min="11542" max="11542" width="10.44140625" style="2" customWidth="1"/>
    <col min="11543" max="11543" width="12" style="2" customWidth="1"/>
    <col min="11544" max="11544" width="16.83203125" style="2" customWidth="1"/>
    <col min="11545" max="11545" width="12.44140625" style="2" customWidth="1"/>
    <col min="11546" max="11546" width="9.1640625" style="2" customWidth="1"/>
    <col min="11547" max="11547" width="13" style="2" customWidth="1"/>
    <col min="11548" max="11548" width="12" style="2" customWidth="1"/>
    <col min="11549" max="11549" width="18.44140625" style="2" customWidth="1"/>
    <col min="11550" max="11781" width="11.44140625" style="2"/>
    <col min="11782" max="11782" width="58.44140625" style="2" customWidth="1"/>
    <col min="11783" max="11783" width="8.44140625" style="2" customWidth="1"/>
    <col min="11784" max="11784" width="11.44140625" style="2" customWidth="1"/>
    <col min="11785" max="11785" width="7.83203125" style="2" customWidth="1"/>
    <col min="11786" max="11786" width="9.44140625" style="2" customWidth="1"/>
    <col min="11787" max="11787" width="8.83203125" style="2" customWidth="1"/>
    <col min="11788" max="11788" width="14.44140625" style="2" customWidth="1"/>
    <col min="11789" max="11789" width="8.83203125" style="2" customWidth="1"/>
    <col min="11790" max="11790" width="12.1640625" style="2" customWidth="1"/>
    <col min="11791" max="11791" width="8.44140625" style="2" customWidth="1"/>
    <col min="11792" max="11793" width="11.44140625" style="2" customWidth="1"/>
    <col min="11794" max="11794" width="11.83203125" style="2" customWidth="1"/>
    <col min="11795" max="11795" width="11.44140625" style="2" customWidth="1"/>
    <col min="11796" max="11796" width="10.44140625" style="2" customWidth="1"/>
    <col min="11797" max="11797" width="11.83203125" style="2" customWidth="1"/>
    <col min="11798" max="11798" width="10.44140625" style="2" customWidth="1"/>
    <col min="11799" max="11799" width="12" style="2" customWidth="1"/>
    <col min="11800" max="11800" width="16.83203125" style="2" customWidth="1"/>
    <col min="11801" max="11801" width="12.44140625" style="2" customWidth="1"/>
    <col min="11802" max="11802" width="9.1640625" style="2" customWidth="1"/>
    <col min="11803" max="11803" width="13" style="2" customWidth="1"/>
    <col min="11804" max="11804" width="12" style="2" customWidth="1"/>
    <col min="11805" max="11805" width="18.44140625" style="2" customWidth="1"/>
    <col min="11806" max="12037" width="11.44140625" style="2"/>
    <col min="12038" max="12038" width="58.44140625" style="2" customWidth="1"/>
    <col min="12039" max="12039" width="8.44140625" style="2" customWidth="1"/>
    <col min="12040" max="12040" width="11.44140625" style="2" customWidth="1"/>
    <col min="12041" max="12041" width="7.83203125" style="2" customWidth="1"/>
    <col min="12042" max="12042" width="9.44140625" style="2" customWidth="1"/>
    <col min="12043" max="12043" width="8.83203125" style="2" customWidth="1"/>
    <col min="12044" max="12044" width="14.44140625" style="2" customWidth="1"/>
    <col min="12045" max="12045" width="8.83203125" style="2" customWidth="1"/>
    <col min="12046" max="12046" width="12.1640625" style="2" customWidth="1"/>
    <col min="12047" max="12047" width="8.44140625" style="2" customWidth="1"/>
    <col min="12048" max="12049" width="11.44140625" style="2" customWidth="1"/>
    <col min="12050" max="12050" width="11.83203125" style="2" customWidth="1"/>
    <col min="12051" max="12051" width="11.44140625" style="2" customWidth="1"/>
    <col min="12052" max="12052" width="10.44140625" style="2" customWidth="1"/>
    <col min="12053" max="12053" width="11.83203125" style="2" customWidth="1"/>
    <col min="12054" max="12054" width="10.44140625" style="2" customWidth="1"/>
    <col min="12055" max="12055" width="12" style="2" customWidth="1"/>
    <col min="12056" max="12056" width="16.83203125" style="2" customWidth="1"/>
    <col min="12057" max="12057" width="12.44140625" style="2" customWidth="1"/>
    <col min="12058" max="12058" width="9.1640625" style="2" customWidth="1"/>
    <col min="12059" max="12059" width="13" style="2" customWidth="1"/>
    <col min="12060" max="12060" width="12" style="2" customWidth="1"/>
    <col min="12061" max="12061" width="18.44140625" style="2" customWidth="1"/>
    <col min="12062" max="12293" width="11.44140625" style="2"/>
    <col min="12294" max="12294" width="58.44140625" style="2" customWidth="1"/>
    <col min="12295" max="12295" width="8.44140625" style="2" customWidth="1"/>
    <col min="12296" max="12296" width="11.44140625" style="2" customWidth="1"/>
    <col min="12297" max="12297" width="7.83203125" style="2" customWidth="1"/>
    <col min="12298" max="12298" width="9.44140625" style="2" customWidth="1"/>
    <col min="12299" max="12299" width="8.83203125" style="2" customWidth="1"/>
    <col min="12300" max="12300" width="14.44140625" style="2" customWidth="1"/>
    <col min="12301" max="12301" width="8.83203125" style="2" customWidth="1"/>
    <col min="12302" max="12302" width="12.1640625" style="2" customWidth="1"/>
    <col min="12303" max="12303" width="8.44140625" style="2" customWidth="1"/>
    <col min="12304" max="12305" width="11.44140625" style="2" customWidth="1"/>
    <col min="12306" max="12306" width="11.83203125" style="2" customWidth="1"/>
    <col min="12307" max="12307" width="11.44140625" style="2" customWidth="1"/>
    <col min="12308" max="12308" width="10.44140625" style="2" customWidth="1"/>
    <col min="12309" max="12309" width="11.83203125" style="2" customWidth="1"/>
    <col min="12310" max="12310" width="10.44140625" style="2" customWidth="1"/>
    <col min="12311" max="12311" width="12" style="2" customWidth="1"/>
    <col min="12312" max="12312" width="16.83203125" style="2" customWidth="1"/>
    <col min="12313" max="12313" width="12.44140625" style="2" customWidth="1"/>
    <col min="12314" max="12314" width="9.1640625" style="2" customWidth="1"/>
    <col min="12315" max="12315" width="13" style="2" customWidth="1"/>
    <col min="12316" max="12316" width="12" style="2" customWidth="1"/>
    <col min="12317" max="12317" width="18.44140625" style="2" customWidth="1"/>
    <col min="12318" max="12549" width="11.44140625" style="2"/>
    <col min="12550" max="12550" width="58.44140625" style="2" customWidth="1"/>
    <col min="12551" max="12551" width="8.44140625" style="2" customWidth="1"/>
    <col min="12552" max="12552" width="11.44140625" style="2" customWidth="1"/>
    <col min="12553" max="12553" width="7.83203125" style="2" customWidth="1"/>
    <col min="12554" max="12554" width="9.44140625" style="2" customWidth="1"/>
    <col min="12555" max="12555" width="8.83203125" style="2" customWidth="1"/>
    <col min="12556" max="12556" width="14.44140625" style="2" customWidth="1"/>
    <col min="12557" max="12557" width="8.83203125" style="2" customWidth="1"/>
    <col min="12558" max="12558" width="12.1640625" style="2" customWidth="1"/>
    <col min="12559" max="12559" width="8.44140625" style="2" customWidth="1"/>
    <col min="12560" max="12561" width="11.44140625" style="2" customWidth="1"/>
    <col min="12562" max="12562" width="11.83203125" style="2" customWidth="1"/>
    <col min="12563" max="12563" width="11.44140625" style="2" customWidth="1"/>
    <col min="12564" max="12564" width="10.44140625" style="2" customWidth="1"/>
    <col min="12565" max="12565" width="11.83203125" style="2" customWidth="1"/>
    <col min="12566" max="12566" width="10.44140625" style="2" customWidth="1"/>
    <col min="12567" max="12567" width="12" style="2" customWidth="1"/>
    <col min="12568" max="12568" width="16.83203125" style="2" customWidth="1"/>
    <col min="12569" max="12569" width="12.44140625" style="2" customWidth="1"/>
    <col min="12570" max="12570" width="9.1640625" style="2" customWidth="1"/>
    <col min="12571" max="12571" width="13" style="2" customWidth="1"/>
    <col min="12572" max="12572" width="12" style="2" customWidth="1"/>
    <col min="12573" max="12573" width="18.44140625" style="2" customWidth="1"/>
    <col min="12574" max="12805" width="11.44140625" style="2"/>
    <col min="12806" max="12806" width="58.44140625" style="2" customWidth="1"/>
    <col min="12807" max="12807" width="8.44140625" style="2" customWidth="1"/>
    <col min="12808" max="12808" width="11.44140625" style="2" customWidth="1"/>
    <col min="12809" max="12809" width="7.83203125" style="2" customWidth="1"/>
    <col min="12810" max="12810" width="9.44140625" style="2" customWidth="1"/>
    <col min="12811" max="12811" width="8.83203125" style="2" customWidth="1"/>
    <col min="12812" max="12812" width="14.44140625" style="2" customWidth="1"/>
    <col min="12813" max="12813" width="8.83203125" style="2" customWidth="1"/>
    <col min="12814" max="12814" width="12.1640625" style="2" customWidth="1"/>
    <col min="12815" max="12815" width="8.44140625" style="2" customWidth="1"/>
    <col min="12816" max="12817" width="11.44140625" style="2" customWidth="1"/>
    <col min="12818" max="12818" width="11.83203125" style="2" customWidth="1"/>
    <col min="12819" max="12819" width="11.44140625" style="2" customWidth="1"/>
    <col min="12820" max="12820" width="10.44140625" style="2" customWidth="1"/>
    <col min="12821" max="12821" width="11.83203125" style="2" customWidth="1"/>
    <col min="12822" max="12822" width="10.44140625" style="2" customWidth="1"/>
    <col min="12823" max="12823" width="12" style="2" customWidth="1"/>
    <col min="12824" max="12824" width="16.83203125" style="2" customWidth="1"/>
    <col min="12825" max="12825" width="12.44140625" style="2" customWidth="1"/>
    <col min="12826" max="12826" width="9.1640625" style="2" customWidth="1"/>
    <col min="12827" max="12827" width="13" style="2" customWidth="1"/>
    <col min="12828" max="12828" width="12" style="2" customWidth="1"/>
    <col min="12829" max="12829" width="18.44140625" style="2" customWidth="1"/>
    <col min="12830" max="13061" width="11.44140625" style="2"/>
    <col min="13062" max="13062" width="58.44140625" style="2" customWidth="1"/>
    <col min="13063" max="13063" width="8.44140625" style="2" customWidth="1"/>
    <col min="13064" max="13064" width="11.44140625" style="2" customWidth="1"/>
    <col min="13065" max="13065" width="7.83203125" style="2" customWidth="1"/>
    <col min="13066" max="13066" width="9.44140625" style="2" customWidth="1"/>
    <col min="13067" max="13067" width="8.83203125" style="2" customWidth="1"/>
    <col min="13068" max="13068" width="14.44140625" style="2" customWidth="1"/>
    <col min="13069" max="13069" width="8.83203125" style="2" customWidth="1"/>
    <col min="13070" max="13070" width="12.1640625" style="2" customWidth="1"/>
    <col min="13071" max="13071" width="8.44140625" style="2" customWidth="1"/>
    <col min="13072" max="13073" width="11.44140625" style="2" customWidth="1"/>
    <col min="13074" max="13074" width="11.83203125" style="2" customWidth="1"/>
    <col min="13075" max="13075" width="11.44140625" style="2" customWidth="1"/>
    <col min="13076" max="13076" width="10.44140625" style="2" customWidth="1"/>
    <col min="13077" max="13077" width="11.83203125" style="2" customWidth="1"/>
    <col min="13078" max="13078" width="10.44140625" style="2" customWidth="1"/>
    <col min="13079" max="13079" width="12" style="2" customWidth="1"/>
    <col min="13080" max="13080" width="16.83203125" style="2" customWidth="1"/>
    <col min="13081" max="13081" width="12.44140625" style="2" customWidth="1"/>
    <col min="13082" max="13082" width="9.1640625" style="2" customWidth="1"/>
    <col min="13083" max="13083" width="13" style="2" customWidth="1"/>
    <col min="13084" max="13084" width="12" style="2" customWidth="1"/>
    <col min="13085" max="13085" width="18.44140625" style="2" customWidth="1"/>
    <col min="13086" max="13317" width="11.44140625" style="2"/>
    <col min="13318" max="13318" width="58.44140625" style="2" customWidth="1"/>
    <col min="13319" max="13319" width="8.44140625" style="2" customWidth="1"/>
    <col min="13320" max="13320" width="11.44140625" style="2" customWidth="1"/>
    <col min="13321" max="13321" width="7.83203125" style="2" customWidth="1"/>
    <col min="13322" max="13322" width="9.44140625" style="2" customWidth="1"/>
    <col min="13323" max="13323" width="8.83203125" style="2" customWidth="1"/>
    <col min="13324" max="13324" width="14.44140625" style="2" customWidth="1"/>
    <col min="13325" max="13325" width="8.83203125" style="2" customWidth="1"/>
    <col min="13326" max="13326" width="12.1640625" style="2" customWidth="1"/>
    <col min="13327" max="13327" width="8.44140625" style="2" customWidth="1"/>
    <col min="13328" max="13329" width="11.44140625" style="2" customWidth="1"/>
    <col min="13330" max="13330" width="11.83203125" style="2" customWidth="1"/>
    <col min="13331" max="13331" width="11.44140625" style="2" customWidth="1"/>
    <col min="13332" max="13332" width="10.44140625" style="2" customWidth="1"/>
    <col min="13333" max="13333" width="11.83203125" style="2" customWidth="1"/>
    <col min="13334" max="13334" width="10.44140625" style="2" customWidth="1"/>
    <col min="13335" max="13335" width="12" style="2" customWidth="1"/>
    <col min="13336" max="13336" width="16.83203125" style="2" customWidth="1"/>
    <col min="13337" max="13337" width="12.44140625" style="2" customWidth="1"/>
    <col min="13338" max="13338" width="9.1640625" style="2" customWidth="1"/>
    <col min="13339" max="13339" width="13" style="2" customWidth="1"/>
    <col min="13340" max="13340" width="12" style="2" customWidth="1"/>
    <col min="13341" max="13341" width="18.44140625" style="2" customWidth="1"/>
    <col min="13342" max="13573" width="11.44140625" style="2"/>
    <col min="13574" max="13574" width="58.44140625" style="2" customWidth="1"/>
    <col min="13575" max="13575" width="8.44140625" style="2" customWidth="1"/>
    <col min="13576" max="13576" width="11.44140625" style="2" customWidth="1"/>
    <col min="13577" max="13577" width="7.83203125" style="2" customWidth="1"/>
    <col min="13578" max="13578" width="9.44140625" style="2" customWidth="1"/>
    <col min="13579" max="13579" width="8.83203125" style="2" customWidth="1"/>
    <col min="13580" max="13580" width="14.44140625" style="2" customWidth="1"/>
    <col min="13581" max="13581" width="8.83203125" style="2" customWidth="1"/>
    <col min="13582" max="13582" width="12.1640625" style="2" customWidth="1"/>
    <col min="13583" max="13583" width="8.44140625" style="2" customWidth="1"/>
    <col min="13584" max="13585" width="11.44140625" style="2" customWidth="1"/>
    <col min="13586" max="13586" width="11.83203125" style="2" customWidth="1"/>
    <col min="13587" max="13587" width="11.44140625" style="2" customWidth="1"/>
    <col min="13588" max="13588" width="10.44140625" style="2" customWidth="1"/>
    <col min="13589" max="13589" width="11.83203125" style="2" customWidth="1"/>
    <col min="13590" max="13590" width="10.44140625" style="2" customWidth="1"/>
    <col min="13591" max="13591" width="12" style="2" customWidth="1"/>
    <col min="13592" max="13592" width="16.83203125" style="2" customWidth="1"/>
    <col min="13593" max="13593" width="12.44140625" style="2" customWidth="1"/>
    <col min="13594" max="13594" width="9.1640625" style="2" customWidth="1"/>
    <col min="13595" max="13595" width="13" style="2" customWidth="1"/>
    <col min="13596" max="13596" width="12" style="2" customWidth="1"/>
    <col min="13597" max="13597" width="18.44140625" style="2" customWidth="1"/>
    <col min="13598" max="13829" width="11.44140625" style="2"/>
    <col min="13830" max="13830" width="58.44140625" style="2" customWidth="1"/>
    <col min="13831" max="13831" width="8.44140625" style="2" customWidth="1"/>
    <col min="13832" max="13832" width="11.44140625" style="2" customWidth="1"/>
    <col min="13833" max="13833" width="7.83203125" style="2" customWidth="1"/>
    <col min="13834" max="13834" width="9.44140625" style="2" customWidth="1"/>
    <col min="13835" max="13835" width="8.83203125" style="2" customWidth="1"/>
    <col min="13836" max="13836" width="14.44140625" style="2" customWidth="1"/>
    <col min="13837" max="13837" width="8.83203125" style="2" customWidth="1"/>
    <col min="13838" max="13838" width="12.1640625" style="2" customWidth="1"/>
    <col min="13839" max="13839" width="8.44140625" style="2" customWidth="1"/>
    <col min="13840" max="13841" width="11.44140625" style="2" customWidth="1"/>
    <col min="13842" max="13842" width="11.83203125" style="2" customWidth="1"/>
    <col min="13843" max="13843" width="11.44140625" style="2" customWidth="1"/>
    <col min="13844" max="13844" width="10.44140625" style="2" customWidth="1"/>
    <col min="13845" max="13845" width="11.83203125" style="2" customWidth="1"/>
    <col min="13846" max="13846" width="10.44140625" style="2" customWidth="1"/>
    <col min="13847" max="13847" width="12" style="2" customWidth="1"/>
    <col min="13848" max="13848" width="16.83203125" style="2" customWidth="1"/>
    <col min="13849" max="13849" width="12.44140625" style="2" customWidth="1"/>
    <col min="13850" max="13850" width="9.1640625" style="2" customWidth="1"/>
    <col min="13851" max="13851" width="13" style="2" customWidth="1"/>
    <col min="13852" max="13852" width="12" style="2" customWidth="1"/>
    <col min="13853" max="13853" width="18.44140625" style="2" customWidth="1"/>
    <col min="13854" max="14085" width="11.44140625" style="2"/>
    <col min="14086" max="14086" width="58.44140625" style="2" customWidth="1"/>
    <col min="14087" max="14087" width="8.44140625" style="2" customWidth="1"/>
    <col min="14088" max="14088" width="11.44140625" style="2" customWidth="1"/>
    <col min="14089" max="14089" width="7.83203125" style="2" customWidth="1"/>
    <col min="14090" max="14090" width="9.44140625" style="2" customWidth="1"/>
    <col min="14091" max="14091" width="8.83203125" style="2" customWidth="1"/>
    <col min="14092" max="14092" width="14.44140625" style="2" customWidth="1"/>
    <col min="14093" max="14093" width="8.83203125" style="2" customWidth="1"/>
    <col min="14094" max="14094" width="12.1640625" style="2" customWidth="1"/>
    <col min="14095" max="14095" width="8.44140625" style="2" customWidth="1"/>
    <col min="14096" max="14097" width="11.44140625" style="2" customWidth="1"/>
    <col min="14098" max="14098" width="11.83203125" style="2" customWidth="1"/>
    <col min="14099" max="14099" width="11.44140625" style="2" customWidth="1"/>
    <col min="14100" max="14100" width="10.44140625" style="2" customWidth="1"/>
    <col min="14101" max="14101" width="11.83203125" style="2" customWidth="1"/>
    <col min="14102" max="14102" width="10.44140625" style="2" customWidth="1"/>
    <col min="14103" max="14103" width="12" style="2" customWidth="1"/>
    <col min="14104" max="14104" width="16.83203125" style="2" customWidth="1"/>
    <col min="14105" max="14105" width="12.44140625" style="2" customWidth="1"/>
    <col min="14106" max="14106" width="9.1640625" style="2" customWidth="1"/>
    <col min="14107" max="14107" width="13" style="2" customWidth="1"/>
    <col min="14108" max="14108" width="12" style="2" customWidth="1"/>
    <col min="14109" max="14109" width="18.44140625" style="2" customWidth="1"/>
    <col min="14110" max="14341" width="11.44140625" style="2"/>
    <col min="14342" max="14342" width="58.44140625" style="2" customWidth="1"/>
    <col min="14343" max="14343" width="8.44140625" style="2" customWidth="1"/>
    <col min="14344" max="14344" width="11.44140625" style="2" customWidth="1"/>
    <col min="14345" max="14345" width="7.83203125" style="2" customWidth="1"/>
    <col min="14346" max="14346" width="9.44140625" style="2" customWidth="1"/>
    <col min="14347" max="14347" width="8.83203125" style="2" customWidth="1"/>
    <col min="14348" max="14348" width="14.44140625" style="2" customWidth="1"/>
    <col min="14349" max="14349" width="8.83203125" style="2" customWidth="1"/>
    <col min="14350" max="14350" width="12.1640625" style="2" customWidth="1"/>
    <col min="14351" max="14351" width="8.44140625" style="2" customWidth="1"/>
    <col min="14352" max="14353" width="11.44140625" style="2" customWidth="1"/>
    <col min="14354" max="14354" width="11.83203125" style="2" customWidth="1"/>
    <col min="14355" max="14355" width="11.44140625" style="2" customWidth="1"/>
    <col min="14356" max="14356" width="10.44140625" style="2" customWidth="1"/>
    <col min="14357" max="14357" width="11.83203125" style="2" customWidth="1"/>
    <col min="14358" max="14358" width="10.44140625" style="2" customWidth="1"/>
    <col min="14359" max="14359" width="12" style="2" customWidth="1"/>
    <col min="14360" max="14360" width="16.83203125" style="2" customWidth="1"/>
    <col min="14361" max="14361" width="12.44140625" style="2" customWidth="1"/>
    <col min="14362" max="14362" width="9.1640625" style="2" customWidth="1"/>
    <col min="14363" max="14363" width="13" style="2" customWidth="1"/>
    <col min="14364" max="14364" width="12" style="2" customWidth="1"/>
    <col min="14365" max="14365" width="18.44140625" style="2" customWidth="1"/>
    <col min="14366" max="14597" width="11.44140625" style="2"/>
    <col min="14598" max="14598" width="58.44140625" style="2" customWidth="1"/>
    <col min="14599" max="14599" width="8.44140625" style="2" customWidth="1"/>
    <col min="14600" max="14600" width="11.44140625" style="2" customWidth="1"/>
    <col min="14601" max="14601" width="7.83203125" style="2" customWidth="1"/>
    <col min="14602" max="14602" width="9.44140625" style="2" customWidth="1"/>
    <col min="14603" max="14603" width="8.83203125" style="2" customWidth="1"/>
    <col min="14604" max="14604" width="14.44140625" style="2" customWidth="1"/>
    <col min="14605" max="14605" width="8.83203125" style="2" customWidth="1"/>
    <col min="14606" max="14606" width="12.1640625" style="2" customWidth="1"/>
    <col min="14607" max="14607" width="8.44140625" style="2" customWidth="1"/>
    <col min="14608" max="14609" width="11.44140625" style="2" customWidth="1"/>
    <col min="14610" max="14610" width="11.83203125" style="2" customWidth="1"/>
    <col min="14611" max="14611" width="11.44140625" style="2" customWidth="1"/>
    <col min="14612" max="14612" width="10.44140625" style="2" customWidth="1"/>
    <col min="14613" max="14613" width="11.83203125" style="2" customWidth="1"/>
    <col min="14614" max="14614" width="10.44140625" style="2" customWidth="1"/>
    <col min="14615" max="14615" width="12" style="2" customWidth="1"/>
    <col min="14616" max="14616" width="16.83203125" style="2" customWidth="1"/>
    <col min="14617" max="14617" width="12.44140625" style="2" customWidth="1"/>
    <col min="14618" max="14618" width="9.1640625" style="2" customWidth="1"/>
    <col min="14619" max="14619" width="13" style="2" customWidth="1"/>
    <col min="14620" max="14620" width="12" style="2" customWidth="1"/>
    <col min="14621" max="14621" width="18.44140625" style="2" customWidth="1"/>
    <col min="14622" max="14853" width="11.44140625" style="2"/>
    <col min="14854" max="14854" width="58.44140625" style="2" customWidth="1"/>
    <col min="14855" max="14855" width="8.44140625" style="2" customWidth="1"/>
    <col min="14856" max="14856" width="11.44140625" style="2" customWidth="1"/>
    <col min="14857" max="14857" width="7.83203125" style="2" customWidth="1"/>
    <col min="14858" max="14858" width="9.44140625" style="2" customWidth="1"/>
    <col min="14859" max="14859" width="8.83203125" style="2" customWidth="1"/>
    <col min="14860" max="14860" width="14.44140625" style="2" customWidth="1"/>
    <col min="14861" max="14861" width="8.83203125" style="2" customWidth="1"/>
    <col min="14862" max="14862" width="12.1640625" style="2" customWidth="1"/>
    <col min="14863" max="14863" width="8.44140625" style="2" customWidth="1"/>
    <col min="14864" max="14865" width="11.44140625" style="2" customWidth="1"/>
    <col min="14866" max="14866" width="11.83203125" style="2" customWidth="1"/>
    <col min="14867" max="14867" width="11.44140625" style="2" customWidth="1"/>
    <col min="14868" max="14868" width="10.44140625" style="2" customWidth="1"/>
    <col min="14869" max="14869" width="11.83203125" style="2" customWidth="1"/>
    <col min="14870" max="14870" width="10.44140625" style="2" customWidth="1"/>
    <col min="14871" max="14871" width="12" style="2" customWidth="1"/>
    <col min="14872" max="14872" width="16.83203125" style="2" customWidth="1"/>
    <col min="14873" max="14873" width="12.44140625" style="2" customWidth="1"/>
    <col min="14874" max="14874" width="9.1640625" style="2" customWidth="1"/>
    <col min="14875" max="14875" width="13" style="2" customWidth="1"/>
    <col min="14876" max="14876" width="12" style="2" customWidth="1"/>
    <col min="14877" max="14877" width="18.44140625" style="2" customWidth="1"/>
    <col min="14878" max="15109" width="11.44140625" style="2"/>
    <col min="15110" max="15110" width="58.44140625" style="2" customWidth="1"/>
    <col min="15111" max="15111" width="8.44140625" style="2" customWidth="1"/>
    <col min="15112" max="15112" width="11.44140625" style="2" customWidth="1"/>
    <col min="15113" max="15113" width="7.83203125" style="2" customWidth="1"/>
    <col min="15114" max="15114" width="9.44140625" style="2" customWidth="1"/>
    <col min="15115" max="15115" width="8.83203125" style="2" customWidth="1"/>
    <col min="15116" max="15116" width="14.44140625" style="2" customWidth="1"/>
    <col min="15117" max="15117" width="8.83203125" style="2" customWidth="1"/>
    <col min="15118" max="15118" width="12.1640625" style="2" customWidth="1"/>
    <col min="15119" max="15119" width="8.44140625" style="2" customWidth="1"/>
    <col min="15120" max="15121" width="11.44140625" style="2" customWidth="1"/>
    <col min="15122" max="15122" width="11.83203125" style="2" customWidth="1"/>
    <col min="15123" max="15123" width="11.44140625" style="2" customWidth="1"/>
    <col min="15124" max="15124" width="10.44140625" style="2" customWidth="1"/>
    <col min="15125" max="15125" width="11.83203125" style="2" customWidth="1"/>
    <col min="15126" max="15126" width="10.44140625" style="2" customWidth="1"/>
    <col min="15127" max="15127" width="12" style="2" customWidth="1"/>
    <col min="15128" max="15128" width="16.83203125" style="2" customWidth="1"/>
    <col min="15129" max="15129" width="12.44140625" style="2" customWidth="1"/>
    <col min="15130" max="15130" width="9.1640625" style="2" customWidth="1"/>
    <col min="15131" max="15131" width="13" style="2" customWidth="1"/>
    <col min="15132" max="15132" width="12" style="2" customWidth="1"/>
    <col min="15133" max="15133" width="18.44140625" style="2" customWidth="1"/>
    <col min="15134" max="15365" width="11.44140625" style="2"/>
    <col min="15366" max="15366" width="58.44140625" style="2" customWidth="1"/>
    <col min="15367" max="15367" width="8.44140625" style="2" customWidth="1"/>
    <col min="15368" max="15368" width="11.44140625" style="2" customWidth="1"/>
    <col min="15369" max="15369" width="7.83203125" style="2" customWidth="1"/>
    <col min="15370" max="15370" width="9.44140625" style="2" customWidth="1"/>
    <col min="15371" max="15371" width="8.83203125" style="2" customWidth="1"/>
    <col min="15372" max="15372" width="14.44140625" style="2" customWidth="1"/>
    <col min="15373" max="15373" width="8.83203125" style="2" customWidth="1"/>
    <col min="15374" max="15374" width="12.1640625" style="2" customWidth="1"/>
    <col min="15375" max="15375" width="8.44140625" style="2" customWidth="1"/>
    <col min="15376" max="15377" width="11.44140625" style="2" customWidth="1"/>
    <col min="15378" max="15378" width="11.83203125" style="2" customWidth="1"/>
    <col min="15379" max="15379" width="11.44140625" style="2" customWidth="1"/>
    <col min="15380" max="15380" width="10.44140625" style="2" customWidth="1"/>
    <col min="15381" max="15381" width="11.83203125" style="2" customWidth="1"/>
    <col min="15382" max="15382" width="10.44140625" style="2" customWidth="1"/>
    <col min="15383" max="15383" width="12" style="2" customWidth="1"/>
    <col min="15384" max="15384" width="16.83203125" style="2" customWidth="1"/>
    <col min="15385" max="15385" width="12.44140625" style="2" customWidth="1"/>
    <col min="15386" max="15386" width="9.1640625" style="2" customWidth="1"/>
    <col min="15387" max="15387" width="13" style="2" customWidth="1"/>
    <col min="15388" max="15388" width="12" style="2" customWidth="1"/>
    <col min="15389" max="15389" width="18.44140625" style="2" customWidth="1"/>
    <col min="15390" max="15621" width="11.44140625" style="2"/>
    <col min="15622" max="15622" width="58.44140625" style="2" customWidth="1"/>
    <col min="15623" max="15623" width="8.44140625" style="2" customWidth="1"/>
    <col min="15624" max="15624" width="11.44140625" style="2" customWidth="1"/>
    <col min="15625" max="15625" width="7.83203125" style="2" customWidth="1"/>
    <col min="15626" max="15626" width="9.44140625" style="2" customWidth="1"/>
    <col min="15627" max="15627" width="8.83203125" style="2" customWidth="1"/>
    <col min="15628" max="15628" width="14.44140625" style="2" customWidth="1"/>
    <col min="15629" max="15629" width="8.83203125" style="2" customWidth="1"/>
    <col min="15630" max="15630" width="12.1640625" style="2" customWidth="1"/>
    <col min="15631" max="15631" width="8.44140625" style="2" customWidth="1"/>
    <col min="15632" max="15633" width="11.44140625" style="2" customWidth="1"/>
    <col min="15634" max="15634" width="11.83203125" style="2" customWidth="1"/>
    <col min="15635" max="15635" width="11.44140625" style="2" customWidth="1"/>
    <col min="15636" max="15636" width="10.44140625" style="2" customWidth="1"/>
    <col min="15637" max="15637" width="11.83203125" style="2" customWidth="1"/>
    <col min="15638" max="15638" width="10.44140625" style="2" customWidth="1"/>
    <col min="15639" max="15639" width="12" style="2" customWidth="1"/>
    <col min="15640" max="15640" width="16.83203125" style="2" customWidth="1"/>
    <col min="15641" max="15641" width="12.44140625" style="2" customWidth="1"/>
    <col min="15642" max="15642" width="9.1640625" style="2" customWidth="1"/>
    <col min="15643" max="15643" width="13" style="2" customWidth="1"/>
    <col min="15644" max="15644" width="12" style="2" customWidth="1"/>
    <col min="15645" max="15645" width="18.44140625" style="2" customWidth="1"/>
    <col min="15646" max="15877" width="11.44140625" style="2"/>
    <col min="15878" max="15878" width="58.44140625" style="2" customWidth="1"/>
    <col min="15879" max="15879" width="8.44140625" style="2" customWidth="1"/>
    <col min="15880" max="15880" width="11.44140625" style="2" customWidth="1"/>
    <col min="15881" max="15881" width="7.83203125" style="2" customWidth="1"/>
    <col min="15882" max="15882" width="9.44140625" style="2" customWidth="1"/>
    <col min="15883" max="15883" width="8.83203125" style="2" customWidth="1"/>
    <col min="15884" max="15884" width="14.44140625" style="2" customWidth="1"/>
    <col min="15885" max="15885" width="8.83203125" style="2" customWidth="1"/>
    <col min="15886" max="15886" width="12.1640625" style="2" customWidth="1"/>
    <col min="15887" max="15887" width="8.44140625" style="2" customWidth="1"/>
    <col min="15888" max="15889" width="11.44140625" style="2" customWidth="1"/>
    <col min="15890" max="15890" width="11.83203125" style="2" customWidth="1"/>
    <col min="15891" max="15891" width="11.44140625" style="2" customWidth="1"/>
    <col min="15892" max="15892" width="10.44140625" style="2" customWidth="1"/>
    <col min="15893" max="15893" width="11.83203125" style="2" customWidth="1"/>
    <col min="15894" max="15894" width="10.44140625" style="2" customWidth="1"/>
    <col min="15895" max="15895" width="12" style="2" customWidth="1"/>
    <col min="15896" max="15896" width="16.83203125" style="2" customWidth="1"/>
    <col min="15897" max="15897" width="12.44140625" style="2" customWidth="1"/>
    <col min="15898" max="15898" width="9.1640625" style="2" customWidth="1"/>
    <col min="15899" max="15899" width="13" style="2" customWidth="1"/>
    <col min="15900" max="15900" width="12" style="2" customWidth="1"/>
    <col min="15901" max="15901" width="18.44140625" style="2" customWidth="1"/>
    <col min="15902" max="16133" width="11.44140625" style="2"/>
    <col min="16134" max="16134" width="58.44140625" style="2" customWidth="1"/>
    <col min="16135" max="16135" width="8.44140625" style="2" customWidth="1"/>
    <col min="16136" max="16136" width="11.44140625" style="2" customWidth="1"/>
    <col min="16137" max="16137" width="7.83203125" style="2" customWidth="1"/>
    <col min="16138" max="16138" width="9.44140625" style="2" customWidth="1"/>
    <col min="16139" max="16139" width="8.83203125" style="2" customWidth="1"/>
    <col min="16140" max="16140" width="14.44140625" style="2" customWidth="1"/>
    <col min="16141" max="16141" width="8.83203125" style="2" customWidth="1"/>
    <col min="16142" max="16142" width="12.1640625" style="2" customWidth="1"/>
    <col min="16143" max="16143" width="8.44140625" style="2" customWidth="1"/>
    <col min="16144" max="16145" width="11.44140625" style="2" customWidth="1"/>
    <col min="16146" max="16146" width="11.83203125" style="2" customWidth="1"/>
    <col min="16147" max="16147" width="11.44140625" style="2" customWidth="1"/>
    <col min="16148" max="16148" width="10.44140625" style="2" customWidth="1"/>
    <col min="16149" max="16149" width="11.83203125" style="2" customWidth="1"/>
    <col min="16150" max="16150" width="10.44140625" style="2" customWidth="1"/>
    <col min="16151" max="16151" width="12" style="2" customWidth="1"/>
    <col min="16152" max="16152" width="16.83203125" style="2" customWidth="1"/>
    <col min="16153" max="16153" width="12.44140625" style="2" customWidth="1"/>
    <col min="16154" max="16154" width="9.1640625" style="2" customWidth="1"/>
    <col min="16155" max="16155" width="13" style="2" customWidth="1"/>
    <col min="16156" max="16156" width="12" style="2" customWidth="1"/>
    <col min="16157" max="16157" width="18.44140625" style="2" customWidth="1"/>
    <col min="16158" max="16384" width="11.44140625" style="2"/>
  </cols>
  <sheetData>
    <row r="1" spans="1:29" ht="12" customHeight="1" x14ac:dyDescent="0.4">
      <c r="A1" s="102" t="s">
        <v>6</v>
      </c>
      <c r="B1" s="102" t="s">
        <v>7</v>
      </c>
      <c r="C1" s="2"/>
      <c r="D1" s="2"/>
      <c r="E1" s="2"/>
      <c r="F1" s="2"/>
      <c r="G1" s="125" t="s">
        <v>49</v>
      </c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08"/>
      <c r="Y1" s="109"/>
      <c r="Z1" s="20"/>
      <c r="AA1" s="20"/>
      <c r="AB1" s="20"/>
      <c r="AC1" s="20"/>
    </row>
    <row r="2" spans="1:29" ht="12" customHeight="1" x14ac:dyDescent="0.4">
      <c r="A2" s="102" t="s">
        <v>8</v>
      </c>
      <c r="B2" s="102">
        <v>20200</v>
      </c>
      <c r="C2" s="2"/>
      <c r="D2" s="2"/>
      <c r="E2" s="2"/>
      <c r="F2" s="2"/>
      <c r="G2" s="126" t="s">
        <v>82</v>
      </c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10"/>
      <c r="Y2" s="109"/>
      <c r="Z2" s="20"/>
    </row>
    <row r="3" spans="1:29" ht="12" customHeight="1" x14ac:dyDescent="0.35">
      <c r="A3" s="102" t="s">
        <v>9</v>
      </c>
      <c r="B3" s="102" t="s">
        <v>10</v>
      </c>
      <c r="C3" s="2"/>
      <c r="D3" s="2"/>
      <c r="E3" s="2"/>
      <c r="F3" s="2"/>
      <c r="G3" s="127" t="s">
        <v>50</v>
      </c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</row>
    <row r="4" spans="1:29" s="93" customFormat="1" ht="12" customHeight="1" x14ac:dyDescent="0.45">
      <c r="G4" s="129" t="s">
        <v>11</v>
      </c>
      <c r="H4" s="129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112"/>
      <c r="Y4" s="112"/>
      <c r="Z4" s="94"/>
      <c r="AA4" s="94"/>
      <c r="AB4" s="94"/>
    </row>
    <row r="5" spans="1:29" s="93" customFormat="1" ht="12" customHeight="1" x14ac:dyDescent="0.45">
      <c r="A5" s="2"/>
      <c r="B5" s="2"/>
      <c r="C5" s="2"/>
      <c r="D5" s="2"/>
      <c r="E5" s="2"/>
      <c r="F5" s="2"/>
      <c r="G5" s="95" t="s">
        <v>12</v>
      </c>
      <c r="H5" s="99">
        <v>1.05</v>
      </c>
      <c r="I5" s="94"/>
      <c r="J5" s="96"/>
      <c r="K5" s="96"/>
      <c r="L5" s="97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113"/>
      <c r="Y5" s="113"/>
      <c r="Z5" s="98"/>
      <c r="AA5" s="98"/>
      <c r="AB5" s="98"/>
    </row>
    <row r="6" spans="1:29" s="93" customFormat="1" ht="12" customHeight="1" x14ac:dyDescent="0.45">
      <c r="A6" s="2"/>
      <c r="B6" s="2"/>
      <c r="C6" s="2"/>
      <c r="D6" s="2"/>
      <c r="E6" s="2"/>
      <c r="F6" s="2"/>
      <c r="G6" s="95" t="s">
        <v>83</v>
      </c>
      <c r="H6" s="100">
        <v>1.0349999999999999</v>
      </c>
      <c r="I6" s="94"/>
      <c r="J6" s="96"/>
      <c r="K6" s="96"/>
      <c r="L6" s="97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113"/>
      <c r="Y6" s="113"/>
      <c r="Z6" s="98"/>
      <c r="AA6" s="98"/>
      <c r="AB6" s="98"/>
    </row>
    <row r="7" spans="1:29" ht="42.3" thickBot="1" x14ac:dyDescent="0.45">
      <c r="A7" s="103" t="s">
        <v>13</v>
      </c>
      <c r="B7" s="103" t="s">
        <v>147</v>
      </c>
      <c r="C7" s="103" t="s">
        <v>148</v>
      </c>
      <c r="D7" s="103" t="s">
        <v>149</v>
      </c>
      <c r="E7" s="103" t="s">
        <v>14</v>
      </c>
      <c r="F7" s="103" t="s">
        <v>150</v>
      </c>
      <c r="G7" s="14" t="s">
        <v>0</v>
      </c>
      <c r="H7" s="14" t="s">
        <v>15</v>
      </c>
      <c r="I7" s="14" t="s">
        <v>16</v>
      </c>
      <c r="J7" s="14" t="s">
        <v>17</v>
      </c>
      <c r="K7" s="15" t="s">
        <v>51</v>
      </c>
      <c r="L7" s="49" t="s">
        <v>18</v>
      </c>
      <c r="M7" s="14" t="s">
        <v>17</v>
      </c>
      <c r="N7" s="49" t="s">
        <v>19</v>
      </c>
      <c r="O7" s="14" t="s">
        <v>17</v>
      </c>
      <c r="P7" s="49" t="s">
        <v>20</v>
      </c>
      <c r="Q7" s="14" t="s">
        <v>17</v>
      </c>
      <c r="R7" s="49" t="s">
        <v>52</v>
      </c>
      <c r="S7" s="14" t="s">
        <v>17</v>
      </c>
      <c r="T7" s="49" t="s">
        <v>21</v>
      </c>
      <c r="U7" s="15" t="s">
        <v>84</v>
      </c>
      <c r="V7" s="15" t="s">
        <v>1</v>
      </c>
      <c r="W7" s="15" t="s">
        <v>2</v>
      </c>
      <c r="X7" s="114" t="s">
        <v>145</v>
      </c>
      <c r="Y7" s="114" t="s">
        <v>146</v>
      </c>
    </row>
    <row r="8" spans="1:29" ht="13.5" customHeight="1" x14ac:dyDescent="0.4">
      <c r="A8" s="55"/>
      <c r="B8" s="55"/>
      <c r="C8" s="55"/>
      <c r="D8" s="55"/>
      <c r="E8" s="55"/>
      <c r="F8" s="55"/>
      <c r="G8" s="55" t="s">
        <v>3</v>
      </c>
      <c r="H8" s="55"/>
      <c r="I8" s="33"/>
      <c r="J8" s="33"/>
      <c r="K8" s="34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5"/>
      <c r="Y8" s="115"/>
      <c r="Z8" s="79"/>
    </row>
    <row r="9" spans="1:29" ht="12" customHeight="1" x14ac:dyDescent="0.4">
      <c r="A9" s="75"/>
      <c r="B9" s="75"/>
      <c r="C9" s="75"/>
      <c r="D9" s="75"/>
      <c r="E9" s="75"/>
      <c r="F9" s="75"/>
      <c r="G9" s="75" t="s">
        <v>53</v>
      </c>
      <c r="H9" s="75"/>
      <c r="I9" s="76"/>
      <c r="J9" s="51"/>
      <c r="K9" s="52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</row>
    <row r="10" spans="1:29" ht="12" customHeight="1" x14ac:dyDescent="0.35">
      <c r="A10" s="107" t="s">
        <v>85</v>
      </c>
      <c r="B10" s="12">
        <v>89050</v>
      </c>
      <c r="C10" s="12" t="s">
        <v>151</v>
      </c>
      <c r="D10" s="12" t="s">
        <v>151</v>
      </c>
      <c r="E10" s="28" t="s">
        <v>37</v>
      </c>
      <c r="F10" s="104" t="s">
        <v>86</v>
      </c>
      <c r="G10" s="101" t="s">
        <v>87</v>
      </c>
      <c r="H10" s="12" t="s">
        <v>22</v>
      </c>
      <c r="I10" s="37" t="s">
        <v>23</v>
      </c>
      <c r="J10" s="8">
        <v>6</v>
      </c>
      <c r="K10" s="8">
        <f>3500</f>
        <v>3500</v>
      </c>
      <c r="L10" s="8">
        <f t="shared" ref="L10:L13" si="0">J10*K10</f>
        <v>21000</v>
      </c>
      <c r="M10" s="8">
        <v>12</v>
      </c>
      <c r="N10" s="8">
        <f>M10*K10*$H$6</f>
        <v>43470</v>
      </c>
      <c r="O10" s="8">
        <v>12</v>
      </c>
      <c r="P10" s="8">
        <f>O10*K10*$H$6*$H$6</f>
        <v>44991.45</v>
      </c>
      <c r="Q10" s="8">
        <v>12</v>
      </c>
      <c r="R10" s="8">
        <f>Q10*K10*$H$6*$H$6*$H$6</f>
        <v>46566.150749999993</v>
      </c>
      <c r="S10" s="8">
        <v>0</v>
      </c>
      <c r="T10" s="8">
        <f>S10*K10*$H$6*$H$6*$H$6*$H$6</f>
        <v>0</v>
      </c>
      <c r="U10" s="8">
        <f t="shared" ref="U10:U13" si="1">SUM(L10+N10+P10+R10+T10)</f>
        <v>156027.60074999998</v>
      </c>
      <c r="V10" s="8">
        <v>0</v>
      </c>
      <c r="W10" s="8">
        <f t="shared" ref="W10:W13" si="2">SUM(U10:V10)</f>
        <v>156027.60074999998</v>
      </c>
      <c r="X10" s="116">
        <f>W10*0.95</f>
        <v>148226.22071249998</v>
      </c>
      <c r="Y10" s="117">
        <f>W10-X10</f>
        <v>7801.3800374999992</v>
      </c>
      <c r="Z10" s="91"/>
      <c r="AA10" s="77"/>
      <c r="AB10" s="41"/>
    </row>
    <row r="11" spans="1:29" ht="12" customHeight="1" x14ac:dyDescent="0.35">
      <c r="A11" s="107" t="s">
        <v>85</v>
      </c>
      <c r="B11" s="12">
        <v>89050</v>
      </c>
      <c r="C11" s="12" t="s">
        <v>151</v>
      </c>
      <c r="D11" s="12" t="s">
        <v>151</v>
      </c>
      <c r="E11" s="28" t="s">
        <v>37</v>
      </c>
      <c r="F11" s="104" t="s">
        <v>88</v>
      </c>
      <c r="G11" s="101" t="s">
        <v>89</v>
      </c>
      <c r="H11" s="12" t="s">
        <v>22</v>
      </c>
      <c r="I11" s="37" t="s">
        <v>23</v>
      </c>
      <c r="J11" s="8">
        <v>6</v>
      </c>
      <c r="K11" s="8">
        <f>2800</f>
        <v>2800</v>
      </c>
      <c r="L11" s="8">
        <f t="shared" si="0"/>
        <v>16800</v>
      </c>
      <c r="M11" s="8">
        <v>12</v>
      </c>
      <c r="N11" s="8">
        <f>M11*K11*$H$6</f>
        <v>34776</v>
      </c>
      <c r="O11" s="8">
        <v>12</v>
      </c>
      <c r="P11" s="8">
        <f>O11*K11*$H$6*$H$6</f>
        <v>35993.159999999996</v>
      </c>
      <c r="Q11" s="8">
        <v>12</v>
      </c>
      <c r="R11" s="8">
        <f>Q11*K11*$H$6*$H$6*$H$6</f>
        <v>37252.92059999999</v>
      </c>
      <c r="S11" s="8">
        <v>0</v>
      </c>
      <c r="T11" s="8">
        <f>S11*K11*$H$6*$H$6*$H$6*$H$6</f>
        <v>0</v>
      </c>
      <c r="U11" s="8">
        <f t="shared" si="1"/>
        <v>124822.08059999999</v>
      </c>
      <c r="V11" s="8">
        <v>0</v>
      </c>
      <c r="W11" s="8">
        <f t="shared" si="2"/>
        <v>124822.08059999999</v>
      </c>
      <c r="X11" s="116">
        <f t="shared" ref="X11:X13" si="3">W11*0.95</f>
        <v>118580.97656999998</v>
      </c>
      <c r="Y11" s="117">
        <f t="shared" ref="Y11:Y13" si="4">W11-X11</f>
        <v>6241.1040300000022</v>
      </c>
      <c r="Z11" s="80"/>
      <c r="AA11" s="13"/>
      <c r="AB11" s="13"/>
    </row>
    <row r="12" spans="1:29" ht="12" customHeight="1" x14ac:dyDescent="0.35">
      <c r="A12" s="107" t="s">
        <v>85</v>
      </c>
      <c r="B12" s="12">
        <v>89050</v>
      </c>
      <c r="C12" s="12" t="s">
        <v>151</v>
      </c>
      <c r="D12" s="12" t="s">
        <v>151</v>
      </c>
      <c r="E12" s="28" t="s">
        <v>37</v>
      </c>
      <c r="F12" s="104" t="s">
        <v>90</v>
      </c>
      <c r="G12" s="101" t="s">
        <v>91</v>
      </c>
      <c r="H12" s="12" t="s">
        <v>22</v>
      </c>
      <c r="I12" s="37" t="s">
        <v>23</v>
      </c>
      <c r="J12" s="8">
        <v>6</v>
      </c>
      <c r="K12" s="8">
        <f>2200</f>
        <v>2200</v>
      </c>
      <c r="L12" s="8">
        <f t="shared" si="0"/>
        <v>13200</v>
      </c>
      <c r="M12" s="8">
        <v>12</v>
      </c>
      <c r="N12" s="8">
        <f>M12*K12*$H$6</f>
        <v>27323.999999999996</v>
      </c>
      <c r="O12" s="8">
        <v>12</v>
      </c>
      <c r="P12" s="8">
        <f>O12*K12*$H$6*$H$6</f>
        <v>28280.339999999993</v>
      </c>
      <c r="Q12" s="8">
        <v>12</v>
      </c>
      <c r="R12" s="8">
        <f>Q12*K12*$H$6*$H$6*$H$6</f>
        <v>29270.15189999999</v>
      </c>
      <c r="S12" s="8">
        <v>0</v>
      </c>
      <c r="T12" s="8">
        <f>S12*K12*$H$6*$H$6*$H$6*$H$6</f>
        <v>0</v>
      </c>
      <c r="U12" s="8">
        <f t="shared" si="1"/>
        <v>98074.491899999994</v>
      </c>
      <c r="V12" s="8">
        <v>0</v>
      </c>
      <c r="W12" s="8">
        <f t="shared" si="2"/>
        <v>98074.491899999994</v>
      </c>
      <c r="X12" s="116">
        <f t="shared" si="3"/>
        <v>93170.767304999987</v>
      </c>
      <c r="Y12" s="117">
        <f t="shared" si="4"/>
        <v>4903.724595000007</v>
      </c>
    </row>
    <row r="13" spans="1:29" ht="12" customHeight="1" x14ac:dyDescent="0.35">
      <c r="A13" s="107" t="s">
        <v>85</v>
      </c>
      <c r="B13" s="12">
        <v>89050</v>
      </c>
      <c r="C13" s="12" t="s">
        <v>151</v>
      </c>
      <c r="D13" s="12" t="s">
        <v>151</v>
      </c>
      <c r="E13" s="28" t="s">
        <v>37</v>
      </c>
      <c r="F13" s="104" t="s">
        <v>92</v>
      </c>
      <c r="G13" s="101" t="s">
        <v>93</v>
      </c>
      <c r="H13" s="12" t="s">
        <v>22</v>
      </c>
      <c r="I13" s="37" t="s">
        <v>23</v>
      </c>
      <c r="J13" s="8">
        <v>6</v>
      </c>
      <c r="K13" s="8">
        <f>2300*50%</f>
        <v>1150</v>
      </c>
      <c r="L13" s="8">
        <f t="shared" si="0"/>
        <v>6900</v>
      </c>
      <c r="M13" s="8">
        <v>12</v>
      </c>
      <c r="N13" s="8">
        <f>M13*K13*$H$6</f>
        <v>14282.999999999998</v>
      </c>
      <c r="O13" s="8">
        <v>12</v>
      </c>
      <c r="P13" s="8">
        <f>O13*K13*$H$6*$H$6</f>
        <v>14782.904999999997</v>
      </c>
      <c r="Q13" s="8">
        <v>12</v>
      </c>
      <c r="R13" s="8">
        <f>Q13*K13*$H$6*$H$6*$H$6</f>
        <v>15300.306674999996</v>
      </c>
      <c r="S13" s="8">
        <v>0</v>
      </c>
      <c r="T13" s="8">
        <f>S13*K13*$H$6*$H$6*$H$6*$H$6</f>
        <v>0</v>
      </c>
      <c r="U13" s="8">
        <f t="shared" si="1"/>
        <v>51266.211674999999</v>
      </c>
      <c r="V13" s="8">
        <v>0</v>
      </c>
      <c r="W13" s="8">
        <f t="shared" si="2"/>
        <v>51266.211674999999</v>
      </c>
      <c r="X13" s="116">
        <f t="shared" si="3"/>
        <v>48702.901091249994</v>
      </c>
      <c r="Y13" s="117">
        <f t="shared" si="4"/>
        <v>2563.3105837500043</v>
      </c>
    </row>
    <row r="14" spans="1:29" ht="12" customHeight="1" x14ac:dyDescent="0.35">
      <c r="A14" s="12"/>
      <c r="B14" s="12"/>
      <c r="C14" s="12"/>
      <c r="D14" s="12"/>
      <c r="E14" s="12"/>
      <c r="F14" s="12"/>
      <c r="G14" s="12"/>
      <c r="H14" s="12"/>
      <c r="I14" s="37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118"/>
      <c r="Y14" s="118"/>
      <c r="Z14" s="13"/>
    </row>
    <row r="15" spans="1:29" ht="12" customHeight="1" x14ac:dyDescent="0.4">
      <c r="A15" s="39"/>
      <c r="B15" s="39"/>
      <c r="C15" s="39"/>
      <c r="D15" s="39"/>
      <c r="E15" s="39"/>
      <c r="F15" s="39"/>
      <c r="G15" s="39" t="s">
        <v>24</v>
      </c>
      <c r="H15" s="39"/>
      <c r="I15" s="38"/>
      <c r="J15" s="40"/>
      <c r="K15" s="40"/>
      <c r="L15" s="40">
        <f>SUM(L10:L13)</f>
        <v>57900</v>
      </c>
      <c r="M15" s="40"/>
      <c r="N15" s="40">
        <f>SUM(N10:N13)</f>
        <v>119853</v>
      </c>
      <c r="O15" s="40"/>
      <c r="P15" s="40">
        <f>SUM(P10:P13)</f>
        <v>124047.85499999998</v>
      </c>
      <c r="Q15" s="40"/>
      <c r="R15" s="40">
        <f>SUM(R10:R13)</f>
        <v>128389.52992499998</v>
      </c>
      <c r="S15" s="40"/>
      <c r="T15" s="40">
        <f>SUM(T10:T13)</f>
        <v>0</v>
      </c>
      <c r="U15" s="40">
        <f>SUM(L15+N15+P15+R15+T15)</f>
        <v>430190.38492499996</v>
      </c>
      <c r="V15" s="40">
        <f>SUM(V10:V13)</f>
        <v>0</v>
      </c>
      <c r="W15" s="40">
        <f>SUM(U15:V15)</f>
        <v>430190.38492499996</v>
      </c>
      <c r="X15" s="118"/>
      <c r="Y15" s="119"/>
      <c r="Z15" s="77"/>
    </row>
    <row r="16" spans="1:29" ht="12" customHeight="1" x14ac:dyDescent="0.4">
      <c r="A16" s="39"/>
      <c r="B16" s="39"/>
      <c r="C16" s="39"/>
      <c r="D16" s="39"/>
      <c r="E16" s="39"/>
      <c r="F16" s="39"/>
      <c r="G16" s="39"/>
      <c r="H16" s="39"/>
      <c r="I16" s="38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118"/>
      <c r="Y16" s="119"/>
      <c r="Z16" s="77"/>
    </row>
    <row r="17" spans="1:41" ht="12" customHeight="1" x14ac:dyDescent="0.4">
      <c r="A17" s="75"/>
      <c r="B17" s="75"/>
      <c r="C17" s="75"/>
      <c r="D17" s="75"/>
      <c r="E17" s="75"/>
      <c r="F17" s="75"/>
      <c r="G17" s="75" t="s">
        <v>25</v>
      </c>
      <c r="H17" s="75"/>
      <c r="I17" s="76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56"/>
      <c r="V17" s="73"/>
      <c r="W17" s="73"/>
      <c r="X17" s="118"/>
      <c r="Y17" s="120"/>
      <c r="Z17" s="13"/>
    </row>
    <row r="18" spans="1:41" ht="12" customHeight="1" x14ac:dyDescent="0.35">
      <c r="A18" s="107" t="s">
        <v>85</v>
      </c>
      <c r="B18" s="12">
        <v>89050</v>
      </c>
      <c r="C18" s="12" t="s">
        <v>151</v>
      </c>
      <c r="D18" s="12" t="s">
        <v>151</v>
      </c>
      <c r="E18" s="28" t="s">
        <v>37</v>
      </c>
      <c r="F18" s="12" t="s">
        <v>94</v>
      </c>
      <c r="G18" s="12" t="s">
        <v>54</v>
      </c>
      <c r="H18" s="12" t="s">
        <v>55</v>
      </c>
      <c r="I18" s="37"/>
      <c r="J18" s="8"/>
      <c r="K18" s="81">
        <v>0.30399999999999999</v>
      </c>
      <c r="L18" s="8">
        <f>K18*L15</f>
        <v>17601.599999999999</v>
      </c>
      <c r="M18" s="8"/>
      <c r="N18" s="8">
        <f>K18*N15</f>
        <v>36435.311999999998</v>
      </c>
      <c r="O18" s="8"/>
      <c r="P18" s="8">
        <f>K18*P15</f>
        <v>37710.54791999999</v>
      </c>
      <c r="Q18" s="8"/>
      <c r="R18" s="8">
        <f>R15*K18</f>
        <v>39030.417097199992</v>
      </c>
      <c r="S18" s="8"/>
      <c r="T18" s="8">
        <f>K18*T15</f>
        <v>0</v>
      </c>
      <c r="U18" s="8">
        <f>SUM(T18,R18,P18,N18,L18)</f>
        <v>130777.87701719999</v>
      </c>
      <c r="V18" s="8">
        <v>0</v>
      </c>
      <c r="W18" s="8">
        <f>SUM(U18:V18)</f>
        <v>130777.87701719999</v>
      </c>
      <c r="X18" s="116">
        <f t="shared" ref="X18" si="5">W18*0.95</f>
        <v>124238.98316633998</v>
      </c>
      <c r="Y18" s="117">
        <f t="shared" ref="Y18" si="6">W18-X18</f>
        <v>6538.8938508600113</v>
      </c>
      <c r="Z18" s="13"/>
    </row>
    <row r="19" spans="1:41" ht="12" customHeight="1" x14ac:dyDescent="0.35">
      <c r="I19" s="27"/>
      <c r="J19" s="23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8"/>
      <c r="W19" s="16"/>
      <c r="X19" s="118"/>
      <c r="Y19" s="118"/>
      <c r="Z19" s="13"/>
    </row>
    <row r="20" spans="1:41" ht="10.8" thickBot="1" x14ac:dyDescent="0.45">
      <c r="A20" s="17"/>
      <c r="B20" s="17"/>
      <c r="C20" s="17"/>
      <c r="D20" s="17"/>
      <c r="E20" s="17"/>
      <c r="F20" s="17"/>
      <c r="G20" s="17" t="s">
        <v>26</v>
      </c>
      <c r="H20" s="17"/>
      <c r="I20" s="24"/>
      <c r="J20" s="24"/>
      <c r="K20" s="25"/>
      <c r="L20" s="18">
        <f>SUM(L15:L18)</f>
        <v>75501.600000000006</v>
      </c>
      <c r="M20" s="18"/>
      <c r="N20" s="18">
        <f>SUM(N15:N18)</f>
        <v>156288.31200000001</v>
      </c>
      <c r="O20" s="18"/>
      <c r="P20" s="18">
        <f>SUM(P15:P18)</f>
        <v>161758.40291999996</v>
      </c>
      <c r="Q20" s="18"/>
      <c r="R20" s="18">
        <f>SUM(R15:R18)</f>
        <v>167419.94702219998</v>
      </c>
      <c r="S20" s="18"/>
      <c r="T20" s="18">
        <f>SUM(T15:T18)</f>
        <v>0</v>
      </c>
      <c r="U20" s="18">
        <f>L20+N20+P20+R20+T20</f>
        <v>560968.2619421999</v>
      </c>
      <c r="V20" s="18">
        <f>SUM(V9:V18)</f>
        <v>0</v>
      </c>
      <c r="W20" s="26">
        <f>SUM(U20:V20)</f>
        <v>560968.2619421999</v>
      </c>
      <c r="Z20" s="82"/>
    </row>
    <row r="21" spans="1:41" ht="10.5" x14ac:dyDescent="0.4">
      <c r="A21" s="44"/>
      <c r="B21" s="44"/>
      <c r="C21" s="44"/>
      <c r="D21" s="44"/>
      <c r="E21" s="44"/>
      <c r="F21" s="44"/>
      <c r="G21" s="44" t="s">
        <v>95</v>
      </c>
      <c r="H21" s="44"/>
      <c r="I21" s="45"/>
      <c r="J21" s="45"/>
      <c r="K21" s="46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8"/>
      <c r="Z21" s="82"/>
    </row>
    <row r="22" spans="1:41" ht="10.199999999999999" x14ac:dyDescent="0.35">
      <c r="A22" s="107" t="s">
        <v>85</v>
      </c>
      <c r="B22" s="12">
        <v>89050</v>
      </c>
      <c r="C22" s="12" t="s">
        <v>151</v>
      </c>
      <c r="D22" s="12" t="s">
        <v>151</v>
      </c>
      <c r="E22" s="28" t="s">
        <v>37</v>
      </c>
      <c r="F22" s="1" t="s">
        <v>96</v>
      </c>
      <c r="G22" s="1" t="s">
        <v>56</v>
      </c>
      <c r="H22" s="1" t="s">
        <v>4</v>
      </c>
      <c r="I22" s="23" t="s">
        <v>28</v>
      </c>
      <c r="J22" s="23">
        <v>6</v>
      </c>
      <c r="K22" s="16">
        <v>30</v>
      </c>
      <c r="L22" s="30">
        <f>J22*K22</f>
        <v>180</v>
      </c>
      <c r="M22" s="30">
        <v>6</v>
      </c>
      <c r="N22" s="30">
        <f t="shared" ref="N22" si="7">M22*K22*$H$5</f>
        <v>189</v>
      </c>
      <c r="O22" s="30">
        <v>6</v>
      </c>
      <c r="P22" s="30">
        <f t="shared" ref="P22" si="8">O22*K22*$H$5*$H$5</f>
        <v>198.45000000000002</v>
      </c>
      <c r="Q22" s="30">
        <v>6</v>
      </c>
      <c r="R22" s="30">
        <f t="shared" ref="R22" si="9">Q22*K22*$H$5*$H$5*$H$5</f>
        <v>208.37250000000003</v>
      </c>
      <c r="S22" s="30">
        <v>0</v>
      </c>
      <c r="T22" s="30">
        <f t="shared" ref="T22" si="10">S22*K22*$H$5*$H$5*$H$5*$H$5</f>
        <v>0</v>
      </c>
      <c r="U22" s="30">
        <f>L22+N22+P22+R22+T22</f>
        <v>775.8225000000001</v>
      </c>
      <c r="V22" s="30" t="s">
        <v>27</v>
      </c>
      <c r="W22" s="35">
        <f>SUM(U22:V22)</f>
        <v>775.8225000000001</v>
      </c>
      <c r="X22" s="116">
        <f t="shared" ref="X22" si="11">W22*0.95</f>
        <v>737.03137500000003</v>
      </c>
      <c r="Y22" s="117">
        <f t="shared" ref="Y22" si="12">W22-X22</f>
        <v>38.791125000000079</v>
      </c>
      <c r="Z22" s="82"/>
    </row>
    <row r="23" spans="1:41" ht="10.199999999999999" x14ac:dyDescent="0.35">
      <c r="I23" s="23"/>
      <c r="J23" s="23"/>
      <c r="K23" s="16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5"/>
      <c r="Z23" s="82"/>
    </row>
    <row r="24" spans="1:41" ht="10.5" x14ac:dyDescent="0.4">
      <c r="A24" s="59"/>
      <c r="B24" s="59"/>
      <c r="C24" s="59"/>
      <c r="D24" s="59"/>
      <c r="E24" s="59"/>
      <c r="F24" s="59"/>
      <c r="G24" s="59" t="s">
        <v>29</v>
      </c>
      <c r="H24" s="59"/>
      <c r="I24" s="51"/>
      <c r="J24" s="51"/>
      <c r="K24" s="52"/>
      <c r="L24" s="53">
        <f>SUM(L22:L22)</f>
        <v>180</v>
      </c>
      <c r="M24" s="53"/>
      <c r="N24" s="53">
        <f>SUM(N22:N22)</f>
        <v>189</v>
      </c>
      <c r="O24" s="53"/>
      <c r="P24" s="53">
        <f>SUM(P22:P22)</f>
        <v>198.45000000000002</v>
      </c>
      <c r="Q24" s="53"/>
      <c r="R24" s="53">
        <f>SUM(R22:R22)</f>
        <v>208.37250000000003</v>
      </c>
      <c r="S24" s="53"/>
      <c r="T24" s="53">
        <f>SUM(T22:T22)</f>
        <v>0</v>
      </c>
      <c r="U24" s="53">
        <f>L24+N24+P24+R24+T24</f>
        <v>775.8225000000001</v>
      </c>
      <c r="V24" s="53">
        <f>SUM(V22:V22)</f>
        <v>0</v>
      </c>
      <c r="W24" s="54">
        <f>SUM(U24:V24)</f>
        <v>775.8225000000001</v>
      </c>
      <c r="Z24" s="82"/>
    </row>
    <row r="25" spans="1:41" ht="12" customHeight="1" x14ac:dyDescent="0.4">
      <c r="A25" s="33"/>
      <c r="B25" s="33"/>
      <c r="C25" s="33"/>
      <c r="D25" s="33"/>
      <c r="E25" s="33"/>
      <c r="F25" s="33"/>
      <c r="G25" s="33" t="s">
        <v>97</v>
      </c>
      <c r="H25" s="33"/>
      <c r="I25" s="33"/>
      <c r="J25" s="33"/>
      <c r="K25" s="34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Y25" s="121"/>
    </row>
    <row r="26" spans="1:41" ht="12" customHeight="1" x14ac:dyDescent="0.35">
      <c r="A26" s="107" t="s">
        <v>85</v>
      </c>
      <c r="B26" s="12">
        <v>89050</v>
      </c>
      <c r="C26" s="12" t="s">
        <v>151</v>
      </c>
      <c r="D26" s="12" t="s">
        <v>151</v>
      </c>
      <c r="E26" s="28" t="s">
        <v>37</v>
      </c>
      <c r="F26" s="1" t="s">
        <v>98</v>
      </c>
      <c r="G26" s="1" t="s">
        <v>57</v>
      </c>
      <c r="H26" s="12" t="s">
        <v>30</v>
      </c>
      <c r="I26" s="27" t="s">
        <v>99</v>
      </c>
      <c r="J26" s="8">
        <v>4</v>
      </c>
      <c r="K26" s="8">
        <v>800</v>
      </c>
      <c r="L26" s="8">
        <f t="shared" ref="L26:L28" si="13">J26*K26</f>
        <v>3200</v>
      </c>
      <c r="M26" s="8">
        <v>0</v>
      </c>
      <c r="N26" s="8">
        <f>M26*K26*$H$5</f>
        <v>0</v>
      </c>
      <c r="O26" s="8">
        <v>0</v>
      </c>
      <c r="P26" s="8">
        <f>O26*K26*$H$5*$H$5</f>
        <v>0</v>
      </c>
      <c r="Q26" s="8">
        <v>0</v>
      </c>
      <c r="R26" s="8">
        <f>Q26*K26*$H$5*$H$5*$H$5</f>
        <v>0</v>
      </c>
      <c r="S26" s="8">
        <v>0</v>
      </c>
      <c r="T26" s="8">
        <f>S26*K26*$H$5*$H$5*$H$5*$H$5</f>
        <v>0</v>
      </c>
      <c r="U26" s="8">
        <f t="shared" ref="U26:U28" si="14">L26+N26+P26+R26+T26</f>
        <v>3200</v>
      </c>
      <c r="V26" s="8">
        <v>0</v>
      </c>
      <c r="W26" s="8">
        <f t="shared" ref="W26:W28" si="15">SUM(U26:V26)</f>
        <v>3200</v>
      </c>
      <c r="X26" s="116">
        <f t="shared" ref="X26:X28" si="16">W26*0.95</f>
        <v>3040</v>
      </c>
      <c r="Y26" s="117">
        <f t="shared" ref="Y26:Y28" si="17">W26-X26</f>
        <v>160</v>
      </c>
    </row>
    <row r="27" spans="1:41" ht="12" customHeight="1" x14ac:dyDescent="0.35">
      <c r="A27" s="107" t="s">
        <v>85</v>
      </c>
      <c r="B27" s="12">
        <v>89050</v>
      </c>
      <c r="C27" s="12" t="s">
        <v>151</v>
      </c>
      <c r="D27" s="12" t="s">
        <v>151</v>
      </c>
      <c r="E27" s="28" t="s">
        <v>37</v>
      </c>
      <c r="F27" s="12" t="s">
        <v>100</v>
      </c>
      <c r="G27" s="12" t="s">
        <v>58</v>
      </c>
      <c r="H27" s="12" t="s">
        <v>30</v>
      </c>
      <c r="I27" s="27" t="s">
        <v>99</v>
      </c>
      <c r="J27" s="8">
        <v>1</v>
      </c>
      <c r="K27" s="8">
        <v>550</v>
      </c>
      <c r="L27" s="8">
        <f t="shared" si="13"/>
        <v>550</v>
      </c>
      <c r="M27" s="8">
        <v>0</v>
      </c>
      <c r="N27" s="8">
        <f>M27*K27*$H$5</f>
        <v>0</v>
      </c>
      <c r="O27" s="8">
        <v>0</v>
      </c>
      <c r="P27" s="8">
        <f>O27*K27*$H$5*$H$5</f>
        <v>0</v>
      </c>
      <c r="Q27" s="8">
        <v>0</v>
      </c>
      <c r="R27" s="8">
        <f>Q27*K27*$H$5*$H$5*$H$5</f>
        <v>0</v>
      </c>
      <c r="S27" s="8">
        <v>0</v>
      </c>
      <c r="T27" s="8">
        <f>S27*K27*$H$5*$H$5*$H$5*$H$5</f>
        <v>0</v>
      </c>
      <c r="U27" s="8">
        <f t="shared" si="14"/>
        <v>550</v>
      </c>
      <c r="V27" s="8">
        <v>0</v>
      </c>
      <c r="W27" s="8">
        <f t="shared" si="15"/>
        <v>550</v>
      </c>
      <c r="X27" s="116">
        <f t="shared" si="16"/>
        <v>522.5</v>
      </c>
      <c r="Y27" s="117">
        <f t="shared" si="17"/>
        <v>27.5</v>
      </c>
      <c r="Z27" s="83"/>
      <c r="AC27" s="5"/>
      <c r="AD27" s="8"/>
      <c r="AE27" s="8"/>
      <c r="AF27" s="8"/>
      <c r="AG27" s="8"/>
      <c r="AH27" s="8"/>
      <c r="AI27" s="5"/>
      <c r="AJ27" s="8"/>
      <c r="AK27" s="5"/>
      <c r="AL27" s="5"/>
      <c r="AM27" s="5"/>
      <c r="AN27" s="13"/>
      <c r="AO27" s="13"/>
    </row>
    <row r="28" spans="1:41" ht="12" customHeight="1" x14ac:dyDescent="0.35">
      <c r="A28" s="107" t="s">
        <v>85</v>
      </c>
      <c r="B28" s="12">
        <v>89050</v>
      </c>
      <c r="C28" s="12" t="s">
        <v>151</v>
      </c>
      <c r="D28" s="12" t="s">
        <v>151</v>
      </c>
      <c r="E28" s="28" t="s">
        <v>37</v>
      </c>
      <c r="F28" s="12" t="s">
        <v>101</v>
      </c>
      <c r="G28" s="12" t="s">
        <v>102</v>
      </c>
      <c r="H28" s="12" t="s">
        <v>30</v>
      </c>
      <c r="I28" s="27" t="s">
        <v>23</v>
      </c>
      <c r="J28" s="8">
        <v>6</v>
      </c>
      <c r="K28" s="8">
        <v>125</v>
      </c>
      <c r="L28" s="8">
        <f t="shared" si="13"/>
        <v>750</v>
      </c>
      <c r="M28" s="8">
        <v>12</v>
      </c>
      <c r="N28" s="8">
        <f>M28*K28*$H$5</f>
        <v>1575</v>
      </c>
      <c r="O28" s="8">
        <v>12</v>
      </c>
      <c r="P28" s="8">
        <f>O28*K28*$H$5*$H$5</f>
        <v>1653.75</v>
      </c>
      <c r="Q28" s="8">
        <v>12</v>
      </c>
      <c r="R28" s="8">
        <f>Q28*K28*$H$5*$H$5*$H$5</f>
        <v>1736.4375</v>
      </c>
      <c r="S28" s="8">
        <v>0</v>
      </c>
      <c r="T28" s="8">
        <f>S28*K28*$H$5*$H$5*$H$5*$H$5</f>
        <v>0</v>
      </c>
      <c r="U28" s="8">
        <f t="shared" si="14"/>
        <v>5715.1875</v>
      </c>
      <c r="V28" s="8">
        <v>0</v>
      </c>
      <c r="W28" s="8">
        <f t="shared" si="15"/>
        <v>5715.1875</v>
      </c>
      <c r="X28" s="116">
        <f t="shared" si="16"/>
        <v>5429.4281249999995</v>
      </c>
      <c r="Y28" s="117">
        <f t="shared" si="17"/>
        <v>285.75937500000055</v>
      </c>
    </row>
    <row r="29" spans="1:41" ht="12" customHeight="1" x14ac:dyDescent="0.35">
      <c r="A29" s="12"/>
      <c r="B29" s="12"/>
      <c r="C29" s="12"/>
      <c r="D29" s="12"/>
      <c r="E29" s="12"/>
      <c r="F29" s="12"/>
      <c r="G29" s="12"/>
      <c r="H29" s="12"/>
      <c r="I29" s="28"/>
    </row>
    <row r="30" spans="1:41" ht="12" customHeight="1" thickBot="1" x14ac:dyDescent="0.45">
      <c r="A30" s="29"/>
      <c r="B30" s="29"/>
      <c r="C30" s="29"/>
      <c r="D30" s="29"/>
      <c r="E30" s="29"/>
      <c r="F30" s="29"/>
      <c r="G30" s="29" t="s">
        <v>59</v>
      </c>
      <c r="H30" s="29"/>
      <c r="I30" s="17"/>
      <c r="J30" s="17"/>
      <c r="K30" s="9"/>
      <c r="L30" s="72">
        <f>SUM(L26:L28)</f>
        <v>4500</v>
      </c>
      <c r="M30" s="72"/>
      <c r="N30" s="72">
        <f>SUM(N26:N28)</f>
        <v>1575</v>
      </c>
      <c r="O30" s="72"/>
      <c r="P30" s="72">
        <f>SUM(P26:P28)</f>
        <v>1653.75</v>
      </c>
      <c r="Q30" s="72"/>
      <c r="R30" s="72">
        <f>SUM(R26:R28)</f>
        <v>1736.4375</v>
      </c>
      <c r="S30" s="72"/>
      <c r="T30" s="72">
        <f>SUM(T26:T28)</f>
        <v>0</v>
      </c>
      <c r="U30" s="18">
        <f>L30+N30+P30+R30+T30</f>
        <v>9465.1875</v>
      </c>
      <c r="V30" s="72">
        <f>SUM(V26:V28)</f>
        <v>0</v>
      </c>
      <c r="W30" s="26">
        <f>SUM(U30:V30)</f>
        <v>9465.1875</v>
      </c>
      <c r="Z30" s="84"/>
    </row>
    <row r="31" spans="1:41" ht="12" customHeight="1" x14ac:dyDescent="0.4">
      <c r="A31" s="33"/>
      <c r="B31" s="33"/>
      <c r="C31" s="33"/>
      <c r="D31" s="33"/>
      <c r="E31" s="33"/>
      <c r="F31" s="33"/>
      <c r="G31" s="33" t="s">
        <v>60</v>
      </c>
      <c r="H31" s="33"/>
      <c r="I31" s="33"/>
      <c r="J31" s="33"/>
      <c r="K31" s="34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Y31" s="121"/>
    </row>
    <row r="32" spans="1:41" ht="12" customHeight="1" x14ac:dyDescent="0.35">
      <c r="A32" s="107" t="s">
        <v>85</v>
      </c>
      <c r="B32" s="12">
        <v>89050</v>
      </c>
      <c r="C32" s="12" t="s">
        <v>151</v>
      </c>
      <c r="D32" s="12" t="s">
        <v>151</v>
      </c>
      <c r="E32" s="28" t="s">
        <v>37</v>
      </c>
      <c r="F32" s="101" t="s">
        <v>103</v>
      </c>
      <c r="G32" s="101" t="s">
        <v>61</v>
      </c>
      <c r="H32" s="12" t="s">
        <v>60</v>
      </c>
      <c r="I32" s="28" t="s">
        <v>23</v>
      </c>
      <c r="J32" s="8">
        <v>5</v>
      </c>
      <c r="K32" s="8">
        <v>30</v>
      </c>
      <c r="L32" s="8">
        <f t="shared" ref="L32:L38" si="18">J32*K32</f>
        <v>150</v>
      </c>
      <c r="M32" s="8">
        <v>12</v>
      </c>
      <c r="N32" s="8">
        <f t="shared" ref="N32:N38" si="19">M32*K32*$H$5</f>
        <v>378</v>
      </c>
      <c r="O32" s="8">
        <v>12</v>
      </c>
      <c r="P32" s="8">
        <f t="shared" ref="P32:P38" si="20">O32*K32*$H$5*$H$5</f>
        <v>396.90000000000003</v>
      </c>
      <c r="Q32" s="8">
        <v>12</v>
      </c>
      <c r="R32" s="8">
        <f t="shared" ref="R32:R38" si="21">Q32*K32*$H$5*$H$5*$H$5</f>
        <v>416.74500000000006</v>
      </c>
      <c r="S32" s="8">
        <v>0</v>
      </c>
      <c r="T32" s="8">
        <f t="shared" ref="T32:T38" si="22">S32*K32*$H$5*$H$5*$H$5*$H$5</f>
        <v>0</v>
      </c>
      <c r="U32" s="8">
        <f t="shared" ref="U32:U38" si="23">L32+N32+P32+R32+T32</f>
        <v>1341.6450000000002</v>
      </c>
      <c r="V32" s="8">
        <v>0</v>
      </c>
      <c r="W32" s="8">
        <f t="shared" ref="W32:W38" si="24">SUM(U32:V32)</f>
        <v>1341.6450000000002</v>
      </c>
      <c r="X32" s="116">
        <f t="shared" ref="X32:X38" si="25">W32*0.95</f>
        <v>1274.5627500000001</v>
      </c>
      <c r="Y32" s="117">
        <f t="shared" ref="Y32:Y38" si="26">W32-X32</f>
        <v>67.082250000000158</v>
      </c>
    </row>
    <row r="33" spans="1:28" ht="12" customHeight="1" x14ac:dyDescent="0.35">
      <c r="A33" s="107" t="s">
        <v>85</v>
      </c>
      <c r="B33" s="12">
        <v>89050</v>
      </c>
      <c r="C33" s="12" t="s">
        <v>151</v>
      </c>
      <c r="D33" s="12" t="s">
        <v>151</v>
      </c>
      <c r="E33" s="28" t="s">
        <v>37</v>
      </c>
      <c r="F33" s="101" t="s">
        <v>104</v>
      </c>
      <c r="G33" s="101" t="s">
        <v>62</v>
      </c>
      <c r="H33" s="12" t="s">
        <v>60</v>
      </c>
      <c r="I33" s="28" t="s">
        <v>32</v>
      </c>
      <c r="J33" s="8">
        <v>0</v>
      </c>
      <c r="K33" s="8">
        <v>50</v>
      </c>
      <c r="L33" s="8">
        <f t="shared" si="18"/>
        <v>0</v>
      </c>
      <c r="M33" s="8">
        <v>1</v>
      </c>
      <c r="N33" s="8">
        <f t="shared" si="19"/>
        <v>52.5</v>
      </c>
      <c r="O33" s="8">
        <v>1</v>
      </c>
      <c r="P33" s="8">
        <f t="shared" si="20"/>
        <v>55.125</v>
      </c>
      <c r="Q33" s="8">
        <v>1</v>
      </c>
      <c r="R33" s="8">
        <f t="shared" si="21"/>
        <v>57.881250000000001</v>
      </c>
      <c r="S33" s="8">
        <v>0</v>
      </c>
      <c r="T33" s="8">
        <f t="shared" si="22"/>
        <v>0</v>
      </c>
      <c r="U33" s="8">
        <f t="shared" si="23"/>
        <v>165.50624999999999</v>
      </c>
      <c r="V33" s="8">
        <v>0</v>
      </c>
      <c r="W33" s="8">
        <f t="shared" si="24"/>
        <v>165.50624999999999</v>
      </c>
      <c r="X33" s="116">
        <f t="shared" si="25"/>
        <v>157.23093749999998</v>
      </c>
      <c r="Y33" s="117">
        <f t="shared" si="26"/>
        <v>8.2753125000000125</v>
      </c>
    </row>
    <row r="34" spans="1:28" ht="12" customHeight="1" x14ac:dyDescent="0.35">
      <c r="A34" s="107" t="s">
        <v>85</v>
      </c>
      <c r="B34" s="12">
        <v>89050</v>
      </c>
      <c r="C34" s="12" t="s">
        <v>151</v>
      </c>
      <c r="D34" s="12" t="s">
        <v>151</v>
      </c>
      <c r="E34" s="28" t="s">
        <v>37</v>
      </c>
      <c r="F34" s="101" t="s">
        <v>105</v>
      </c>
      <c r="G34" s="101" t="s">
        <v>106</v>
      </c>
      <c r="H34" s="12" t="s">
        <v>60</v>
      </c>
      <c r="I34" s="28" t="s">
        <v>32</v>
      </c>
      <c r="J34" s="8">
        <v>3</v>
      </c>
      <c r="K34" s="8">
        <v>300</v>
      </c>
      <c r="L34" s="8">
        <f t="shared" si="18"/>
        <v>900</v>
      </c>
      <c r="M34" s="8">
        <v>0</v>
      </c>
      <c r="N34" s="8">
        <f t="shared" si="19"/>
        <v>0</v>
      </c>
      <c r="O34" s="8">
        <v>0</v>
      </c>
      <c r="P34" s="8">
        <f t="shared" si="20"/>
        <v>0</v>
      </c>
      <c r="Q34" s="8">
        <v>0</v>
      </c>
      <c r="R34" s="8">
        <f t="shared" si="21"/>
        <v>0</v>
      </c>
      <c r="S34" s="8">
        <v>0</v>
      </c>
      <c r="T34" s="8">
        <f t="shared" si="22"/>
        <v>0</v>
      </c>
      <c r="U34" s="8">
        <f t="shared" si="23"/>
        <v>900</v>
      </c>
      <c r="V34" s="8">
        <v>0</v>
      </c>
      <c r="W34" s="8">
        <f t="shared" si="24"/>
        <v>900</v>
      </c>
      <c r="X34" s="116">
        <f t="shared" si="25"/>
        <v>855</v>
      </c>
      <c r="Y34" s="117">
        <f t="shared" si="26"/>
        <v>45</v>
      </c>
    </row>
    <row r="35" spans="1:28" ht="12" customHeight="1" x14ac:dyDescent="0.35">
      <c r="A35" s="107" t="s">
        <v>85</v>
      </c>
      <c r="B35" s="12">
        <v>89050</v>
      </c>
      <c r="C35" s="12" t="s">
        <v>151</v>
      </c>
      <c r="D35" s="12" t="s">
        <v>151</v>
      </c>
      <c r="E35" s="28" t="s">
        <v>37</v>
      </c>
      <c r="F35" s="101" t="s">
        <v>107</v>
      </c>
      <c r="G35" s="101" t="s">
        <v>63</v>
      </c>
      <c r="H35" s="12" t="s">
        <v>60</v>
      </c>
      <c r="I35" s="28" t="s">
        <v>23</v>
      </c>
      <c r="J35" s="8">
        <v>6</v>
      </c>
      <c r="K35" s="8">
        <v>200</v>
      </c>
      <c r="L35" s="8">
        <f t="shared" si="18"/>
        <v>1200</v>
      </c>
      <c r="M35" s="8">
        <v>12</v>
      </c>
      <c r="N35" s="8">
        <f t="shared" si="19"/>
        <v>2520</v>
      </c>
      <c r="O35" s="8">
        <v>12</v>
      </c>
      <c r="P35" s="8">
        <f t="shared" si="20"/>
        <v>2646</v>
      </c>
      <c r="Q35" s="8">
        <v>12</v>
      </c>
      <c r="R35" s="8">
        <f t="shared" si="21"/>
        <v>2778.3</v>
      </c>
      <c r="S35" s="8">
        <v>0</v>
      </c>
      <c r="T35" s="8">
        <f t="shared" si="22"/>
        <v>0</v>
      </c>
      <c r="U35" s="8">
        <f t="shared" si="23"/>
        <v>9144.2999999999993</v>
      </c>
      <c r="V35" s="8">
        <v>0</v>
      </c>
      <c r="W35" s="8">
        <f t="shared" si="24"/>
        <v>9144.2999999999993</v>
      </c>
      <c r="X35" s="116">
        <f t="shared" si="25"/>
        <v>8687.0849999999991</v>
      </c>
      <c r="Y35" s="117">
        <f t="shared" si="26"/>
        <v>457.21500000000015</v>
      </c>
    </row>
    <row r="36" spans="1:28" ht="12" customHeight="1" x14ac:dyDescent="0.35">
      <c r="A36" s="107" t="s">
        <v>85</v>
      </c>
      <c r="B36" s="12">
        <v>89050</v>
      </c>
      <c r="C36" s="12" t="s">
        <v>151</v>
      </c>
      <c r="D36" s="12" t="s">
        <v>151</v>
      </c>
      <c r="E36" s="28" t="s">
        <v>37</v>
      </c>
      <c r="F36" s="101" t="s">
        <v>108</v>
      </c>
      <c r="G36" s="101" t="s">
        <v>109</v>
      </c>
      <c r="H36" s="12" t="s">
        <v>60</v>
      </c>
      <c r="I36" s="28" t="s">
        <v>23</v>
      </c>
      <c r="J36" s="8">
        <v>6</v>
      </c>
      <c r="K36" s="8">
        <v>150</v>
      </c>
      <c r="L36" s="8">
        <f t="shared" si="18"/>
        <v>900</v>
      </c>
      <c r="M36" s="8">
        <v>12</v>
      </c>
      <c r="N36" s="8">
        <f t="shared" si="19"/>
        <v>1890</v>
      </c>
      <c r="O36" s="8">
        <v>12</v>
      </c>
      <c r="P36" s="8">
        <f t="shared" si="20"/>
        <v>1984.5</v>
      </c>
      <c r="Q36" s="8">
        <v>12</v>
      </c>
      <c r="R36" s="8">
        <f t="shared" si="21"/>
        <v>2083.7249999999999</v>
      </c>
      <c r="S36" s="8">
        <v>0</v>
      </c>
      <c r="T36" s="8">
        <f t="shared" si="22"/>
        <v>0</v>
      </c>
      <c r="U36" s="8">
        <f t="shared" si="23"/>
        <v>6858.2250000000004</v>
      </c>
      <c r="V36" s="8">
        <v>0</v>
      </c>
      <c r="W36" s="8">
        <f t="shared" si="24"/>
        <v>6858.2250000000004</v>
      </c>
      <c r="X36" s="116">
        <f t="shared" si="25"/>
        <v>6515.3137500000003</v>
      </c>
      <c r="Y36" s="117">
        <f t="shared" si="26"/>
        <v>342.91125000000011</v>
      </c>
    </row>
    <row r="37" spans="1:28" ht="12" customHeight="1" x14ac:dyDescent="0.35">
      <c r="A37" s="107" t="s">
        <v>85</v>
      </c>
      <c r="B37" s="12">
        <v>89050</v>
      </c>
      <c r="C37" s="12" t="s">
        <v>151</v>
      </c>
      <c r="D37" s="12" t="s">
        <v>151</v>
      </c>
      <c r="E37" s="28" t="s">
        <v>37</v>
      </c>
      <c r="F37" s="101" t="s">
        <v>110</v>
      </c>
      <c r="G37" s="101" t="s">
        <v>64</v>
      </c>
      <c r="H37" s="12" t="s">
        <v>60</v>
      </c>
      <c r="I37" s="28" t="s">
        <v>23</v>
      </c>
      <c r="J37" s="8">
        <v>6</v>
      </c>
      <c r="K37" s="8">
        <v>900</v>
      </c>
      <c r="L37" s="8">
        <f t="shared" si="18"/>
        <v>5400</v>
      </c>
      <c r="M37" s="8">
        <v>12</v>
      </c>
      <c r="N37" s="8">
        <f t="shared" si="19"/>
        <v>11340</v>
      </c>
      <c r="O37" s="8">
        <v>12</v>
      </c>
      <c r="P37" s="8">
        <f t="shared" si="20"/>
        <v>11907</v>
      </c>
      <c r="Q37" s="8">
        <v>12</v>
      </c>
      <c r="R37" s="8">
        <f t="shared" si="21"/>
        <v>12502.35</v>
      </c>
      <c r="S37" s="8">
        <v>0</v>
      </c>
      <c r="T37" s="8">
        <f t="shared" si="22"/>
        <v>0</v>
      </c>
      <c r="U37" s="8">
        <f t="shared" si="23"/>
        <v>41149.35</v>
      </c>
      <c r="V37" s="8">
        <v>0</v>
      </c>
      <c r="W37" s="8">
        <f t="shared" si="24"/>
        <v>41149.35</v>
      </c>
      <c r="X37" s="116">
        <f t="shared" si="25"/>
        <v>39091.8825</v>
      </c>
      <c r="Y37" s="117">
        <f t="shared" si="26"/>
        <v>2057.4674999999988</v>
      </c>
    </row>
    <row r="38" spans="1:28" ht="12" customHeight="1" x14ac:dyDescent="0.35">
      <c r="A38" s="107" t="s">
        <v>85</v>
      </c>
      <c r="B38" s="12">
        <v>89050</v>
      </c>
      <c r="C38" s="12" t="s">
        <v>151</v>
      </c>
      <c r="D38" s="12" t="s">
        <v>151</v>
      </c>
      <c r="E38" s="28" t="s">
        <v>37</v>
      </c>
      <c r="F38" s="101" t="s">
        <v>111</v>
      </c>
      <c r="G38" s="101" t="s">
        <v>65</v>
      </c>
      <c r="H38" s="12" t="s">
        <v>60</v>
      </c>
      <c r="I38" s="28" t="s">
        <v>32</v>
      </c>
      <c r="J38" s="8">
        <v>1</v>
      </c>
      <c r="K38" s="8">
        <v>250</v>
      </c>
      <c r="L38" s="8">
        <f t="shared" si="18"/>
        <v>250</v>
      </c>
      <c r="M38" s="8">
        <v>1</v>
      </c>
      <c r="N38" s="8">
        <f t="shared" si="19"/>
        <v>262.5</v>
      </c>
      <c r="O38" s="8">
        <v>1</v>
      </c>
      <c r="P38" s="8">
        <f t="shared" si="20"/>
        <v>275.625</v>
      </c>
      <c r="Q38" s="8">
        <v>1</v>
      </c>
      <c r="R38" s="8">
        <f t="shared" si="21"/>
        <v>289.40625</v>
      </c>
      <c r="S38" s="8">
        <v>0</v>
      </c>
      <c r="T38" s="8">
        <f t="shared" si="22"/>
        <v>0</v>
      </c>
      <c r="U38" s="8">
        <f t="shared" si="23"/>
        <v>1077.53125</v>
      </c>
      <c r="V38" s="8">
        <v>0</v>
      </c>
      <c r="W38" s="8">
        <f t="shared" si="24"/>
        <v>1077.53125</v>
      </c>
      <c r="X38" s="116">
        <f t="shared" si="25"/>
        <v>1023.6546874999999</v>
      </c>
      <c r="Y38" s="117">
        <f t="shared" si="26"/>
        <v>53.876562500000091</v>
      </c>
    </row>
    <row r="39" spans="1:28" ht="12" customHeight="1" x14ac:dyDescent="0.35">
      <c r="A39" s="12"/>
      <c r="B39" s="12"/>
      <c r="C39" s="12"/>
      <c r="D39" s="12"/>
      <c r="E39" s="12"/>
      <c r="F39" s="12"/>
      <c r="G39" s="12"/>
      <c r="H39" s="12"/>
      <c r="I39" s="28"/>
    </row>
    <row r="40" spans="1:28" ht="12" customHeight="1" thickBot="1" x14ac:dyDescent="0.45">
      <c r="A40" s="29"/>
      <c r="B40" s="29"/>
      <c r="C40" s="29"/>
      <c r="D40" s="29"/>
      <c r="E40" s="29"/>
      <c r="F40" s="29"/>
      <c r="G40" s="29" t="s">
        <v>66</v>
      </c>
      <c r="H40" s="29"/>
      <c r="I40" s="17"/>
      <c r="J40" s="17"/>
      <c r="K40" s="9"/>
      <c r="L40" s="72">
        <f>SUM(L32:L38)</f>
        <v>8800</v>
      </c>
      <c r="M40" s="72"/>
      <c r="N40" s="72">
        <f>SUM(N32:N38)</f>
        <v>16443</v>
      </c>
      <c r="O40" s="72"/>
      <c r="P40" s="72">
        <f>SUM(P32:P38)</f>
        <v>17265.150000000001</v>
      </c>
      <c r="Q40" s="72"/>
      <c r="R40" s="72">
        <f>SUM(R32:R38)</f>
        <v>18128.407500000001</v>
      </c>
      <c r="S40" s="72"/>
      <c r="T40" s="72">
        <f>SUM(T32:T38)</f>
        <v>0</v>
      </c>
      <c r="U40" s="18">
        <f>L40+N40+P40+R40+T40</f>
        <v>60636.557500000003</v>
      </c>
      <c r="V40" s="72">
        <f>SUM(V32:V38)</f>
        <v>0</v>
      </c>
      <c r="W40" s="26">
        <f>SUM(U40:V40)</f>
        <v>60636.557500000003</v>
      </c>
      <c r="Z40" s="84"/>
    </row>
    <row r="41" spans="1:28" ht="30" customHeight="1" thickBot="1" x14ac:dyDescent="0.4">
      <c r="A41" s="2"/>
      <c r="B41" s="2"/>
      <c r="C41" s="2"/>
      <c r="D41" s="2"/>
      <c r="E41" s="2"/>
      <c r="F41" s="2"/>
      <c r="G41" s="128" t="s">
        <v>67</v>
      </c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Z41" s="84"/>
    </row>
    <row r="42" spans="1:28" ht="12" customHeight="1" x14ac:dyDescent="0.4">
      <c r="A42" s="78"/>
      <c r="B42" s="78"/>
      <c r="C42" s="78"/>
      <c r="D42" s="78"/>
      <c r="E42" s="78"/>
      <c r="F42" s="78"/>
      <c r="G42" s="78" t="s">
        <v>33</v>
      </c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Y42" s="121"/>
      <c r="AB42" s="20"/>
    </row>
    <row r="43" spans="1:28" ht="12" customHeight="1" x14ac:dyDescent="0.4">
      <c r="A43" s="85"/>
      <c r="B43" s="85"/>
      <c r="C43" s="85"/>
      <c r="D43" s="85"/>
      <c r="E43" s="85"/>
      <c r="F43" s="85"/>
      <c r="G43" s="85" t="s">
        <v>34</v>
      </c>
      <c r="H43" s="86"/>
      <c r="I43" s="87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Y43" s="122"/>
    </row>
    <row r="44" spans="1:28" ht="12" customHeight="1" x14ac:dyDescent="0.35">
      <c r="A44" s="107" t="s">
        <v>36</v>
      </c>
      <c r="B44" s="12">
        <v>89050</v>
      </c>
      <c r="C44" s="12" t="s">
        <v>151</v>
      </c>
      <c r="D44" s="12" t="s">
        <v>151</v>
      </c>
      <c r="E44" s="28" t="s">
        <v>37</v>
      </c>
      <c r="F44" s="12" t="s">
        <v>152</v>
      </c>
      <c r="G44" s="12" t="s">
        <v>68</v>
      </c>
      <c r="H44" s="12" t="s">
        <v>69</v>
      </c>
      <c r="I44" s="27" t="s">
        <v>31</v>
      </c>
      <c r="J44" s="8">
        <f>$L$20</f>
        <v>75501.600000000006</v>
      </c>
      <c r="K44" s="81">
        <v>0.95</v>
      </c>
      <c r="L44" s="8">
        <f>J44*K44</f>
        <v>71726.52</v>
      </c>
      <c r="M44" s="8">
        <f>$N$20</f>
        <v>156288.31200000001</v>
      </c>
      <c r="N44" s="8">
        <f>M44*K44</f>
        <v>148473.8964</v>
      </c>
      <c r="O44" s="8">
        <f>$P$20</f>
        <v>161758.40291999996</v>
      </c>
      <c r="P44" s="8">
        <f>O44*K44</f>
        <v>153670.48277399995</v>
      </c>
      <c r="Q44" s="8">
        <f>$R$20</f>
        <v>167419.94702219998</v>
      </c>
      <c r="R44" s="8">
        <f>Q44*K44</f>
        <v>159048.94967108997</v>
      </c>
      <c r="S44" s="8">
        <f>$T$20</f>
        <v>0</v>
      </c>
      <c r="T44" s="8">
        <f>S44*K44</f>
        <v>0</v>
      </c>
      <c r="U44" s="8">
        <f>L44+N44+P44+R44+T44</f>
        <v>532919.8488450899</v>
      </c>
      <c r="V44" s="8">
        <v>0</v>
      </c>
      <c r="W44" s="8">
        <f>SUM(U44:V44)</f>
        <v>532919.8488450899</v>
      </c>
    </row>
    <row r="45" spans="1:28" ht="12" customHeight="1" x14ac:dyDescent="0.35">
      <c r="A45" s="107" t="s">
        <v>36</v>
      </c>
      <c r="B45" s="12">
        <v>89050</v>
      </c>
      <c r="C45" s="12" t="s">
        <v>151</v>
      </c>
      <c r="D45" s="12" t="s">
        <v>151</v>
      </c>
      <c r="E45" s="28" t="s">
        <v>37</v>
      </c>
      <c r="F45" s="12" t="s">
        <v>152</v>
      </c>
      <c r="G45" s="12" t="s">
        <v>70</v>
      </c>
      <c r="H45" s="12" t="s">
        <v>69</v>
      </c>
      <c r="I45" s="27" t="s">
        <v>31</v>
      </c>
      <c r="J45" s="8">
        <f>L24</f>
        <v>180</v>
      </c>
      <c r="K45" s="81">
        <v>0.95</v>
      </c>
      <c r="L45" s="8">
        <f t="shared" ref="L45" si="27">J45*K45</f>
        <v>171</v>
      </c>
      <c r="M45" s="8">
        <f>N24</f>
        <v>189</v>
      </c>
      <c r="N45" s="8">
        <f t="shared" ref="N45" si="28">M45*K45</f>
        <v>179.54999999999998</v>
      </c>
      <c r="O45" s="8">
        <f>P24</f>
        <v>198.45000000000002</v>
      </c>
      <c r="P45" s="8">
        <f t="shared" ref="P45" si="29">O45*K45</f>
        <v>188.5275</v>
      </c>
      <c r="Q45" s="8">
        <f>R24</f>
        <v>208.37250000000003</v>
      </c>
      <c r="R45" s="8">
        <f t="shared" ref="R45" si="30">Q45*K45</f>
        <v>197.95387500000001</v>
      </c>
      <c r="S45" s="8">
        <f>$T$30</f>
        <v>0</v>
      </c>
      <c r="T45" s="8">
        <f t="shared" ref="T45" si="31">S45*K45</f>
        <v>0</v>
      </c>
      <c r="U45" s="8">
        <f t="shared" ref="U45" si="32">L45+N45+P45+R45+T45</f>
        <v>737.03137500000003</v>
      </c>
      <c r="V45" s="8">
        <v>0</v>
      </c>
      <c r="W45" s="8">
        <f t="shared" ref="W45" si="33">SUM(U45:V45)</f>
        <v>737.03137500000003</v>
      </c>
    </row>
    <row r="46" spans="1:28" ht="12" customHeight="1" x14ac:dyDescent="0.35">
      <c r="A46" s="107" t="s">
        <v>36</v>
      </c>
      <c r="B46" s="12">
        <v>89050</v>
      </c>
      <c r="C46" s="12" t="s">
        <v>151</v>
      </c>
      <c r="D46" s="12" t="s">
        <v>151</v>
      </c>
      <c r="E46" s="28" t="s">
        <v>37</v>
      </c>
      <c r="F46" s="12" t="s">
        <v>152</v>
      </c>
      <c r="G46" s="12" t="s">
        <v>71</v>
      </c>
      <c r="H46" s="12" t="s">
        <v>69</v>
      </c>
      <c r="I46" s="27" t="s">
        <v>31</v>
      </c>
      <c r="J46" s="8">
        <f>$L$30</f>
        <v>4500</v>
      </c>
      <c r="K46" s="81">
        <v>0.95</v>
      </c>
      <c r="L46" s="8">
        <f t="shared" ref="L46:L47" si="34">J46*K46</f>
        <v>4275</v>
      </c>
      <c r="M46" s="8">
        <f>$N$30</f>
        <v>1575</v>
      </c>
      <c r="N46" s="8">
        <f t="shared" ref="N46:N47" si="35">M46*K46</f>
        <v>1496.25</v>
      </c>
      <c r="O46" s="8">
        <f>$P$30</f>
        <v>1653.75</v>
      </c>
      <c r="P46" s="8">
        <f t="shared" ref="P46:P47" si="36">O46*K46</f>
        <v>1571.0625</v>
      </c>
      <c r="Q46" s="8">
        <f>$R$30</f>
        <v>1736.4375</v>
      </c>
      <c r="R46" s="8">
        <f t="shared" ref="R46:R47" si="37">Q46*K46</f>
        <v>1649.6156249999999</v>
      </c>
      <c r="S46" s="8">
        <v>0</v>
      </c>
      <c r="T46" s="8">
        <f t="shared" ref="T46:T47" si="38">S46*K46</f>
        <v>0</v>
      </c>
      <c r="U46" s="8">
        <f t="shared" ref="U46:U47" si="39">L46+N46+P46+R46+T46</f>
        <v>8991.9281250000004</v>
      </c>
      <c r="V46" s="8">
        <v>0</v>
      </c>
      <c r="W46" s="8">
        <f t="shared" ref="W46:W47" si="40">SUM(U46:V46)</f>
        <v>8991.9281250000004</v>
      </c>
    </row>
    <row r="47" spans="1:28" ht="12" customHeight="1" x14ac:dyDescent="0.35">
      <c r="A47" s="107" t="s">
        <v>36</v>
      </c>
      <c r="B47" s="12">
        <v>89050</v>
      </c>
      <c r="C47" s="12" t="s">
        <v>151</v>
      </c>
      <c r="D47" s="12" t="s">
        <v>151</v>
      </c>
      <c r="E47" s="28" t="s">
        <v>37</v>
      </c>
      <c r="F47" s="12" t="s">
        <v>152</v>
      </c>
      <c r="G47" s="12" t="s">
        <v>72</v>
      </c>
      <c r="H47" s="12" t="s">
        <v>69</v>
      </c>
      <c r="I47" s="27" t="s">
        <v>31</v>
      </c>
      <c r="J47" s="8">
        <f>$L$40</f>
        <v>8800</v>
      </c>
      <c r="K47" s="81">
        <v>0.95</v>
      </c>
      <c r="L47" s="8">
        <f t="shared" si="34"/>
        <v>8360</v>
      </c>
      <c r="M47" s="8">
        <f>$N$40</f>
        <v>16443</v>
      </c>
      <c r="N47" s="8">
        <f t="shared" si="35"/>
        <v>15620.849999999999</v>
      </c>
      <c r="O47" s="8">
        <f>$P$40</f>
        <v>17265.150000000001</v>
      </c>
      <c r="P47" s="8">
        <f t="shared" si="36"/>
        <v>16401.892500000002</v>
      </c>
      <c r="Q47" s="8">
        <f>$R$40</f>
        <v>18128.407500000001</v>
      </c>
      <c r="R47" s="8">
        <f t="shared" si="37"/>
        <v>17221.987125</v>
      </c>
      <c r="S47" s="8">
        <f>$T$40</f>
        <v>0</v>
      </c>
      <c r="T47" s="8">
        <f t="shared" si="38"/>
        <v>0</v>
      </c>
      <c r="U47" s="8">
        <f t="shared" si="39"/>
        <v>57604.729625</v>
      </c>
      <c r="V47" s="8">
        <v>0</v>
      </c>
      <c r="W47" s="8">
        <f t="shared" si="40"/>
        <v>57604.729625</v>
      </c>
    </row>
    <row r="48" spans="1:28" ht="12" customHeight="1" x14ac:dyDescent="0.35">
      <c r="A48" s="50"/>
      <c r="B48" s="50"/>
      <c r="C48" s="50"/>
      <c r="D48" s="50"/>
      <c r="E48" s="50"/>
      <c r="F48" s="50"/>
      <c r="G48" s="50" t="s">
        <v>112</v>
      </c>
      <c r="H48" s="58"/>
      <c r="I48" s="92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</row>
    <row r="49" spans="1:25" ht="10.199999999999999" x14ac:dyDescent="0.35">
      <c r="A49" s="107" t="s">
        <v>36</v>
      </c>
      <c r="B49" s="12">
        <v>89050</v>
      </c>
      <c r="C49" s="12" t="s">
        <v>151</v>
      </c>
      <c r="D49" s="12" t="s">
        <v>151</v>
      </c>
      <c r="E49" s="28" t="s">
        <v>37</v>
      </c>
      <c r="F49" s="12" t="s">
        <v>113</v>
      </c>
      <c r="G49" s="12" t="s">
        <v>114</v>
      </c>
      <c r="H49" s="12" t="s">
        <v>69</v>
      </c>
      <c r="I49" s="27" t="s">
        <v>28</v>
      </c>
      <c r="J49" s="8">
        <v>0</v>
      </c>
      <c r="K49" s="8">
        <v>30</v>
      </c>
      <c r="L49" s="8">
        <f>K49*J49</f>
        <v>0</v>
      </c>
      <c r="M49" s="8">
        <v>3</v>
      </c>
      <c r="N49" s="8">
        <f>M49*K49</f>
        <v>90</v>
      </c>
      <c r="O49" s="8">
        <v>3</v>
      </c>
      <c r="P49" s="8">
        <f>O49*K49</f>
        <v>90</v>
      </c>
      <c r="Q49" s="8">
        <v>2</v>
      </c>
      <c r="R49" s="8">
        <f>Q49*K49</f>
        <v>60</v>
      </c>
      <c r="S49" s="8">
        <v>0</v>
      </c>
      <c r="T49" s="8">
        <f>S49*K49</f>
        <v>0</v>
      </c>
      <c r="U49" s="8">
        <f>SUM(L49,N49,P49,R49,T49)</f>
        <v>240</v>
      </c>
      <c r="V49" s="8">
        <v>0</v>
      </c>
      <c r="W49" s="8">
        <f t="shared" ref="W49:W59" si="41">SUM(U49:V49)</f>
        <v>240</v>
      </c>
    </row>
    <row r="50" spans="1:25" ht="12" customHeight="1" x14ac:dyDescent="0.35">
      <c r="A50" s="107" t="s">
        <v>36</v>
      </c>
      <c r="B50" s="12">
        <v>89050</v>
      </c>
      <c r="C50" s="12" t="s">
        <v>151</v>
      </c>
      <c r="D50" s="12" t="s">
        <v>151</v>
      </c>
      <c r="E50" s="28" t="s">
        <v>37</v>
      </c>
      <c r="F50" s="12" t="s">
        <v>115</v>
      </c>
      <c r="G50" s="12" t="s">
        <v>116</v>
      </c>
      <c r="H50" s="12" t="s">
        <v>69</v>
      </c>
      <c r="I50" s="27" t="s">
        <v>31</v>
      </c>
      <c r="J50" s="8">
        <v>0</v>
      </c>
      <c r="K50" s="8">
        <v>500</v>
      </c>
      <c r="L50" s="8">
        <f>K50*J50</f>
        <v>0</v>
      </c>
      <c r="M50" s="8">
        <v>1</v>
      </c>
      <c r="N50" s="8">
        <f>M50*K50</f>
        <v>500</v>
      </c>
      <c r="O50" s="8">
        <v>1</v>
      </c>
      <c r="P50" s="8">
        <f t="shared" ref="P50:P59" si="42">O50*K50</f>
        <v>500</v>
      </c>
      <c r="Q50" s="8">
        <v>0</v>
      </c>
      <c r="R50" s="8">
        <f t="shared" ref="R50:R59" si="43">Q50*K50</f>
        <v>0</v>
      </c>
      <c r="S50" s="8">
        <v>0</v>
      </c>
      <c r="T50" s="8">
        <f t="shared" ref="T50:T59" si="44">S50*K50</f>
        <v>0</v>
      </c>
      <c r="U50" s="8">
        <f t="shared" ref="U50:U59" si="45">SUM(L50,N50,P50,R50,T50)</f>
        <v>1000</v>
      </c>
      <c r="V50" s="8">
        <v>0</v>
      </c>
      <c r="W50" s="8">
        <f t="shared" si="41"/>
        <v>1000</v>
      </c>
    </row>
    <row r="51" spans="1:25" ht="12" customHeight="1" x14ac:dyDescent="0.35">
      <c r="A51" s="107" t="s">
        <v>36</v>
      </c>
      <c r="B51" s="12">
        <v>89050</v>
      </c>
      <c r="C51" s="12" t="s">
        <v>151</v>
      </c>
      <c r="D51" s="12" t="s">
        <v>151</v>
      </c>
      <c r="E51" s="28" t="s">
        <v>37</v>
      </c>
      <c r="F51" s="101" t="s">
        <v>117</v>
      </c>
      <c r="G51" s="101" t="s">
        <v>118</v>
      </c>
      <c r="H51" s="12" t="s">
        <v>69</v>
      </c>
      <c r="I51" s="37" t="s">
        <v>23</v>
      </c>
      <c r="J51" s="8">
        <v>0</v>
      </c>
      <c r="K51" s="8">
        <v>3200</v>
      </c>
      <c r="L51" s="8">
        <f>J51*K51</f>
        <v>0</v>
      </c>
      <c r="M51" s="8">
        <v>3</v>
      </c>
      <c r="N51" s="8">
        <f>M51*K51</f>
        <v>9600</v>
      </c>
      <c r="O51" s="8">
        <v>3</v>
      </c>
      <c r="P51" s="8">
        <f>O51*K51</f>
        <v>9600</v>
      </c>
      <c r="Q51" s="8">
        <v>3</v>
      </c>
      <c r="R51" s="8">
        <f>Q51*K51</f>
        <v>9600</v>
      </c>
      <c r="S51" s="8">
        <v>0</v>
      </c>
      <c r="T51" s="8">
        <f>S51*K51</f>
        <v>0</v>
      </c>
      <c r="U51" s="8">
        <f>SUM(L51+N51+P51+R51+T51)</f>
        <v>28800</v>
      </c>
      <c r="V51" s="8">
        <v>0</v>
      </c>
      <c r="W51" s="8">
        <f>SUM(U51:V51)</f>
        <v>28800</v>
      </c>
    </row>
    <row r="52" spans="1:25" ht="10.199999999999999" x14ac:dyDescent="0.35">
      <c r="A52" s="107" t="s">
        <v>36</v>
      </c>
      <c r="B52" s="12">
        <v>89050</v>
      </c>
      <c r="C52" s="12" t="s">
        <v>151</v>
      </c>
      <c r="D52" s="12" t="s">
        <v>151</v>
      </c>
      <c r="E52" s="28" t="s">
        <v>37</v>
      </c>
      <c r="F52" s="12" t="s">
        <v>119</v>
      </c>
      <c r="G52" s="12" t="s">
        <v>120</v>
      </c>
      <c r="H52" s="12" t="s">
        <v>69</v>
      </c>
      <c r="I52" s="27" t="s">
        <v>39</v>
      </c>
      <c r="J52" s="8">
        <v>0</v>
      </c>
      <c r="K52" s="8">
        <v>500</v>
      </c>
      <c r="L52" s="8">
        <f t="shared" ref="L52:L59" si="46">K52*J52</f>
        <v>0</v>
      </c>
      <c r="M52" s="8">
        <v>3</v>
      </c>
      <c r="N52" s="8">
        <f t="shared" ref="N52:N59" si="47">M52*K52</f>
        <v>1500</v>
      </c>
      <c r="O52" s="8">
        <v>3</v>
      </c>
      <c r="P52" s="8">
        <f t="shared" si="42"/>
        <v>1500</v>
      </c>
      <c r="Q52" s="8">
        <v>3</v>
      </c>
      <c r="R52" s="8">
        <f t="shared" si="43"/>
        <v>1500</v>
      </c>
      <c r="S52" s="8">
        <v>0</v>
      </c>
      <c r="T52" s="8">
        <f t="shared" si="44"/>
        <v>0</v>
      </c>
      <c r="U52" s="8">
        <f t="shared" si="45"/>
        <v>4500</v>
      </c>
      <c r="V52" s="8">
        <v>0</v>
      </c>
      <c r="W52" s="8">
        <f t="shared" si="41"/>
        <v>4500</v>
      </c>
    </row>
    <row r="53" spans="1:25" ht="10.199999999999999" x14ac:dyDescent="0.35">
      <c r="A53" s="107" t="s">
        <v>36</v>
      </c>
      <c r="B53" s="12">
        <v>89050</v>
      </c>
      <c r="C53" s="12" t="s">
        <v>151</v>
      </c>
      <c r="D53" s="12" t="s">
        <v>151</v>
      </c>
      <c r="E53" s="28" t="s">
        <v>37</v>
      </c>
      <c r="F53" s="12" t="s">
        <v>121</v>
      </c>
      <c r="G53" s="12" t="s">
        <v>122</v>
      </c>
      <c r="H53" s="12" t="s">
        <v>69</v>
      </c>
      <c r="I53" s="27" t="s">
        <v>39</v>
      </c>
      <c r="J53" s="8">
        <v>0</v>
      </c>
      <c r="K53" s="8">
        <v>300</v>
      </c>
      <c r="L53" s="8">
        <f t="shared" si="46"/>
        <v>0</v>
      </c>
      <c r="M53" s="8">
        <v>3</v>
      </c>
      <c r="N53" s="8">
        <f t="shared" si="47"/>
        <v>900</v>
      </c>
      <c r="O53" s="8">
        <v>3</v>
      </c>
      <c r="P53" s="8">
        <f t="shared" si="42"/>
        <v>900</v>
      </c>
      <c r="Q53" s="8">
        <v>3</v>
      </c>
      <c r="R53" s="8">
        <f t="shared" si="43"/>
        <v>900</v>
      </c>
      <c r="S53" s="8">
        <v>0</v>
      </c>
      <c r="T53" s="8">
        <f t="shared" si="44"/>
        <v>0</v>
      </c>
      <c r="U53" s="8">
        <f t="shared" si="45"/>
        <v>2700</v>
      </c>
      <c r="V53" s="8">
        <v>0</v>
      </c>
      <c r="W53" s="8">
        <f t="shared" si="41"/>
        <v>2700</v>
      </c>
    </row>
    <row r="54" spans="1:25" ht="10.199999999999999" x14ac:dyDescent="0.35">
      <c r="A54" s="107" t="s">
        <v>36</v>
      </c>
      <c r="B54" s="12">
        <v>89050</v>
      </c>
      <c r="C54" s="12" t="s">
        <v>151</v>
      </c>
      <c r="D54" s="12" t="s">
        <v>151</v>
      </c>
      <c r="E54" s="28" t="s">
        <v>37</v>
      </c>
      <c r="F54" s="12" t="s">
        <v>123</v>
      </c>
      <c r="G54" s="12" t="s">
        <v>124</v>
      </c>
      <c r="H54" s="12" t="s">
        <v>69</v>
      </c>
      <c r="I54" s="27" t="s">
        <v>28</v>
      </c>
      <c r="J54" s="8">
        <v>0</v>
      </c>
      <c r="K54" s="8">
        <v>150</v>
      </c>
      <c r="L54" s="8">
        <f t="shared" si="46"/>
        <v>0</v>
      </c>
      <c r="M54" s="8">
        <v>9</v>
      </c>
      <c r="N54" s="8">
        <f t="shared" si="47"/>
        <v>1350</v>
      </c>
      <c r="O54" s="8">
        <v>9</v>
      </c>
      <c r="P54" s="8">
        <f t="shared" si="42"/>
        <v>1350</v>
      </c>
      <c r="Q54" s="8">
        <v>9</v>
      </c>
      <c r="R54" s="8">
        <f t="shared" si="43"/>
        <v>1350</v>
      </c>
      <c r="S54" s="8">
        <v>0</v>
      </c>
      <c r="T54" s="8">
        <f t="shared" si="44"/>
        <v>0</v>
      </c>
      <c r="U54" s="8">
        <f t="shared" si="45"/>
        <v>4050</v>
      </c>
      <c r="V54" s="8">
        <v>0</v>
      </c>
      <c r="W54" s="8">
        <f t="shared" si="41"/>
        <v>4050</v>
      </c>
    </row>
    <row r="55" spans="1:25" ht="10.199999999999999" x14ac:dyDescent="0.35">
      <c r="A55" s="107" t="s">
        <v>36</v>
      </c>
      <c r="B55" s="12">
        <v>89050</v>
      </c>
      <c r="C55" s="12" t="s">
        <v>151</v>
      </c>
      <c r="D55" s="12" t="s">
        <v>151</v>
      </c>
      <c r="E55" s="28" t="s">
        <v>37</v>
      </c>
      <c r="F55" s="12" t="s">
        <v>125</v>
      </c>
      <c r="G55" s="12" t="s">
        <v>126</v>
      </c>
      <c r="H55" s="12" t="s">
        <v>69</v>
      </c>
      <c r="I55" s="27" t="s">
        <v>28</v>
      </c>
      <c r="J55" s="8">
        <v>0</v>
      </c>
      <c r="K55" s="8">
        <v>110</v>
      </c>
      <c r="L55" s="8">
        <f t="shared" si="46"/>
        <v>0</v>
      </c>
      <c r="M55" s="8">
        <v>9</v>
      </c>
      <c r="N55" s="8">
        <f t="shared" si="47"/>
        <v>990</v>
      </c>
      <c r="O55" s="8">
        <v>9</v>
      </c>
      <c r="P55" s="8">
        <f t="shared" si="42"/>
        <v>990</v>
      </c>
      <c r="Q55" s="8">
        <v>9</v>
      </c>
      <c r="R55" s="8">
        <f t="shared" si="43"/>
        <v>990</v>
      </c>
      <c r="S55" s="8">
        <v>0</v>
      </c>
      <c r="T55" s="8">
        <f t="shared" si="44"/>
        <v>0</v>
      </c>
      <c r="U55" s="8">
        <f t="shared" si="45"/>
        <v>2970</v>
      </c>
      <c r="V55" s="8">
        <v>0</v>
      </c>
      <c r="W55" s="8">
        <f t="shared" si="41"/>
        <v>2970</v>
      </c>
    </row>
    <row r="56" spans="1:25" ht="10.199999999999999" x14ac:dyDescent="0.35">
      <c r="A56" s="107" t="s">
        <v>36</v>
      </c>
      <c r="B56" s="12">
        <v>89050</v>
      </c>
      <c r="C56" s="12" t="s">
        <v>151</v>
      </c>
      <c r="D56" s="12" t="s">
        <v>151</v>
      </c>
      <c r="E56" s="28" t="s">
        <v>37</v>
      </c>
      <c r="F56" s="12" t="s">
        <v>127</v>
      </c>
      <c r="G56" s="12" t="s">
        <v>128</v>
      </c>
      <c r="H56" s="12" t="s">
        <v>69</v>
      </c>
      <c r="I56" s="27" t="s">
        <v>31</v>
      </c>
      <c r="J56" s="8">
        <v>0</v>
      </c>
      <c r="K56" s="8">
        <v>8000</v>
      </c>
      <c r="L56" s="8">
        <f t="shared" si="46"/>
        <v>0</v>
      </c>
      <c r="M56" s="8">
        <v>1</v>
      </c>
      <c r="N56" s="8">
        <f t="shared" si="47"/>
        <v>8000</v>
      </c>
      <c r="O56" s="8">
        <v>1</v>
      </c>
      <c r="P56" s="8">
        <f t="shared" si="42"/>
        <v>8000</v>
      </c>
      <c r="Q56" s="8">
        <v>1</v>
      </c>
      <c r="R56" s="8">
        <f t="shared" si="43"/>
        <v>8000</v>
      </c>
      <c r="S56" s="8">
        <v>0</v>
      </c>
      <c r="T56" s="8">
        <f t="shared" si="44"/>
        <v>0</v>
      </c>
      <c r="U56" s="8">
        <f t="shared" si="45"/>
        <v>24000</v>
      </c>
      <c r="V56" s="8">
        <v>0</v>
      </c>
      <c r="W56" s="8">
        <f t="shared" si="41"/>
        <v>24000</v>
      </c>
    </row>
    <row r="57" spans="1:25" ht="10.199999999999999" x14ac:dyDescent="0.35">
      <c r="A57" s="107" t="s">
        <v>36</v>
      </c>
      <c r="B57" s="12">
        <v>89050</v>
      </c>
      <c r="C57" s="12" t="s">
        <v>151</v>
      </c>
      <c r="D57" s="12" t="s">
        <v>151</v>
      </c>
      <c r="E57" s="28" t="s">
        <v>37</v>
      </c>
      <c r="F57" s="12" t="s">
        <v>129</v>
      </c>
      <c r="G57" s="12" t="s">
        <v>130</v>
      </c>
      <c r="H57" s="12" t="s">
        <v>69</v>
      </c>
      <c r="I57" s="27" t="s">
        <v>38</v>
      </c>
      <c r="J57" s="8">
        <v>0</v>
      </c>
      <c r="K57" s="8">
        <v>2000</v>
      </c>
      <c r="L57" s="8">
        <f t="shared" si="46"/>
        <v>0</v>
      </c>
      <c r="M57" s="8">
        <v>1</v>
      </c>
      <c r="N57" s="8">
        <f t="shared" si="47"/>
        <v>2000</v>
      </c>
      <c r="O57" s="8">
        <v>1</v>
      </c>
      <c r="P57" s="8">
        <f t="shared" si="42"/>
        <v>2000</v>
      </c>
      <c r="Q57" s="8">
        <v>1</v>
      </c>
      <c r="R57" s="8">
        <f t="shared" si="43"/>
        <v>2000</v>
      </c>
      <c r="S57" s="8">
        <v>0</v>
      </c>
      <c r="T57" s="8">
        <f>S57*K57</f>
        <v>0</v>
      </c>
      <c r="U57" s="8">
        <f t="shared" si="45"/>
        <v>6000</v>
      </c>
      <c r="V57" s="8">
        <v>0</v>
      </c>
      <c r="W57" s="8">
        <f t="shared" si="41"/>
        <v>6000</v>
      </c>
    </row>
    <row r="58" spans="1:25" ht="10.199999999999999" x14ac:dyDescent="0.35">
      <c r="A58" s="107" t="s">
        <v>36</v>
      </c>
      <c r="B58" s="12">
        <v>89050</v>
      </c>
      <c r="C58" s="12" t="s">
        <v>151</v>
      </c>
      <c r="D58" s="12" t="s">
        <v>151</v>
      </c>
      <c r="E58" s="28" t="s">
        <v>37</v>
      </c>
      <c r="F58" s="12" t="s">
        <v>131</v>
      </c>
      <c r="G58" s="12" t="s">
        <v>132</v>
      </c>
      <c r="H58" s="12" t="s">
        <v>69</v>
      </c>
      <c r="I58" s="27" t="s">
        <v>31</v>
      </c>
      <c r="J58" s="8">
        <v>0</v>
      </c>
      <c r="K58" s="8">
        <v>800</v>
      </c>
      <c r="L58" s="8">
        <f t="shared" si="46"/>
        <v>0</v>
      </c>
      <c r="M58" s="8">
        <v>1</v>
      </c>
      <c r="N58" s="8">
        <f t="shared" si="47"/>
        <v>800</v>
      </c>
      <c r="O58" s="8">
        <v>1</v>
      </c>
      <c r="P58" s="8">
        <f t="shared" si="42"/>
        <v>800</v>
      </c>
      <c r="Q58" s="8">
        <v>1</v>
      </c>
      <c r="R58" s="8">
        <f t="shared" si="43"/>
        <v>800</v>
      </c>
      <c r="S58" s="8">
        <v>0</v>
      </c>
      <c r="T58" s="8">
        <f t="shared" si="44"/>
        <v>0</v>
      </c>
      <c r="U58" s="8">
        <f t="shared" si="45"/>
        <v>2400</v>
      </c>
      <c r="V58" s="8">
        <v>0</v>
      </c>
      <c r="W58" s="8">
        <f t="shared" si="41"/>
        <v>2400</v>
      </c>
    </row>
    <row r="59" spans="1:25" ht="10.199999999999999" x14ac:dyDescent="0.35">
      <c r="A59" s="107" t="s">
        <v>36</v>
      </c>
      <c r="B59" s="12">
        <v>89050</v>
      </c>
      <c r="C59" s="12" t="s">
        <v>151</v>
      </c>
      <c r="D59" s="12" t="s">
        <v>151</v>
      </c>
      <c r="E59" s="28" t="s">
        <v>37</v>
      </c>
      <c r="F59" s="12" t="s">
        <v>133</v>
      </c>
      <c r="G59" s="12" t="s">
        <v>134</v>
      </c>
      <c r="H59" s="12" t="s">
        <v>69</v>
      </c>
      <c r="I59" s="27" t="s">
        <v>31</v>
      </c>
      <c r="J59" s="8">
        <v>0</v>
      </c>
      <c r="K59" s="8">
        <v>1000</v>
      </c>
      <c r="L59" s="8">
        <f t="shared" si="46"/>
        <v>0</v>
      </c>
      <c r="M59" s="8">
        <v>5</v>
      </c>
      <c r="N59" s="8">
        <f t="shared" si="47"/>
        <v>5000</v>
      </c>
      <c r="O59" s="8">
        <v>2</v>
      </c>
      <c r="P59" s="8">
        <f t="shared" si="42"/>
        <v>2000</v>
      </c>
      <c r="Q59" s="8">
        <v>1</v>
      </c>
      <c r="R59" s="8">
        <f t="shared" si="43"/>
        <v>1000</v>
      </c>
      <c r="S59" s="8">
        <v>0</v>
      </c>
      <c r="T59" s="8">
        <f t="shared" si="44"/>
        <v>0</v>
      </c>
      <c r="U59" s="8">
        <f t="shared" si="45"/>
        <v>8000</v>
      </c>
      <c r="V59" s="8">
        <v>0</v>
      </c>
      <c r="W59" s="8">
        <f t="shared" si="41"/>
        <v>8000</v>
      </c>
    </row>
    <row r="60" spans="1:25" ht="12" customHeight="1" x14ac:dyDescent="0.35">
      <c r="A60" s="12"/>
      <c r="B60" s="12"/>
      <c r="C60" s="12"/>
      <c r="D60" s="12"/>
      <c r="E60" s="12"/>
      <c r="F60" s="12"/>
      <c r="G60" s="12"/>
      <c r="H60" s="12"/>
      <c r="I60" s="28"/>
    </row>
    <row r="61" spans="1:25" ht="12" customHeight="1" thickBot="1" x14ac:dyDescent="0.45">
      <c r="A61" s="17"/>
      <c r="B61" s="17"/>
      <c r="C61" s="17"/>
      <c r="D61" s="17"/>
      <c r="E61" s="17"/>
      <c r="F61" s="17"/>
      <c r="G61" s="17" t="s">
        <v>73</v>
      </c>
      <c r="H61" s="17"/>
      <c r="I61" s="17"/>
      <c r="J61" s="21"/>
      <c r="K61" s="21"/>
      <c r="L61" s="26">
        <f>SUM(L44:L59)</f>
        <v>84532.52</v>
      </c>
      <c r="M61" s="26"/>
      <c r="N61" s="26">
        <f>SUM(N44:N59)</f>
        <v>196500.54639999999</v>
      </c>
      <c r="O61" s="26"/>
      <c r="P61" s="26">
        <f>SUM(P44:P59)</f>
        <v>199561.96527399996</v>
      </c>
      <c r="Q61" s="26"/>
      <c r="R61" s="26">
        <f>SUM(R44:R59)</f>
        <v>204318.50629608997</v>
      </c>
      <c r="S61" s="26"/>
      <c r="T61" s="26">
        <f>SUM(T44:T59)</f>
        <v>0</v>
      </c>
      <c r="U61" s="26">
        <f>SUM(U44:U59)</f>
        <v>684913.53797008994</v>
      </c>
      <c r="V61" s="26">
        <f>SUM(V44:V59)</f>
        <v>0</v>
      </c>
      <c r="W61" s="26">
        <f>SUM(U61:V61)</f>
        <v>684913.53797008994</v>
      </c>
      <c r="Y61" s="123"/>
    </row>
    <row r="62" spans="1:25" ht="12" customHeight="1" x14ac:dyDescent="0.35">
      <c r="A62" s="12"/>
      <c r="B62" s="12"/>
      <c r="C62" s="12"/>
      <c r="D62" s="12"/>
      <c r="E62" s="12"/>
      <c r="F62" s="12"/>
      <c r="G62" s="12"/>
      <c r="H62" s="12"/>
      <c r="I62" s="28"/>
    </row>
    <row r="63" spans="1:25" ht="12" customHeight="1" x14ac:dyDescent="0.4">
      <c r="A63" s="107" t="s">
        <v>36</v>
      </c>
      <c r="B63" s="12">
        <v>89050</v>
      </c>
      <c r="C63" s="12" t="s">
        <v>151</v>
      </c>
      <c r="D63" s="12" t="s">
        <v>151</v>
      </c>
      <c r="E63" s="28" t="s">
        <v>37</v>
      </c>
      <c r="F63" s="104" t="s">
        <v>135</v>
      </c>
      <c r="G63" s="4" t="s">
        <v>74</v>
      </c>
      <c r="H63" s="1" t="s">
        <v>48</v>
      </c>
      <c r="I63" s="3"/>
      <c r="J63" s="3"/>
      <c r="K63" s="22">
        <v>0.1</v>
      </c>
      <c r="L63" s="35">
        <f>(L61)*K63</f>
        <v>8453.2520000000004</v>
      </c>
      <c r="M63" s="35"/>
      <c r="N63" s="35">
        <f>(N61)*K63</f>
        <v>19650.054640000002</v>
      </c>
      <c r="O63" s="35"/>
      <c r="P63" s="35">
        <f>(P61)*K63</f>
        <v>19956.196527399996</v>
      </c>
      <c r="R63" s="35">
        <f>(R61)*K63</f>
        <v>20431.850629608998</v>
      </c>
      <c r="T63" s="35">
        <f>(T61)*K63</f>
        <v>0</v>
      </c>
      <c r="U63" s="35">
        <f>SUM(L63+N63+P63+R63+T63)</f>
        <v>68491.353797008996</v>
      </c>
      <c r="V63" s="35">
        <v>0</v>
      </c>
      <c r="W63" s="35">
        <f>SUM(U63:V63)</f>
        <v>68491.353797008996</v>
      </c>
      <c r="Y63" s="122"/>
    </row>
    <row r="64" spans="1:25" ht="12" customHeight="1" x14ac:dyDescent="0.35">
      <c r="A64" s="12"/>
      <c r="B64" s="12"/>
      <c r="C64" s="12"/>
      <c r="D64" s="12"/>
      <c r="E64" s="12"/>
      <c r="F64" s="12"/>
      <c r="G64" s="12"/>
      <c r="H64" s="12"/>
      <c r="I64" s="28"/>
    </row>
    <row r="65" spans="1:28" ht="12" customHeight="1" thickBot="1" x14ac:dyDescent="0.45">
      <c r="A65" s="17"/>
      <c r="B65" s="17"/>
      <c r="C65" s="17"/>
      <c r="D65" s="17"/>
      <c r="E65" s="17"/>
      <c r="F65" s="17"/>
      <c r="G65" s="17" t="s">
        <v>40</v>
      </c>
      <c r="H65" s="17"/>
      <c r="I65" s="17"/>
      <c r="J65" s="21"/>
      <c r="K65" s="21"/>
      <c r="L65" s="26">
        <f>SUM(L61:L63)</f>
        <v>92985.771999999997</v>
      </c>
      <c r="M65" s="26"/>
      <c r="N65" s="26">
        <f>SUM(N61:N63)</f>
        <v>216150.60103999998</v>
      </c>
      <c r="O65" s="26"/>
      <c r="P65" s="26">
        <f>SUM(P61:P63)</f>
        <v>219518.16180139995</v>
      </c>
      <c r="Q65" s="26"/>
      <c r="R65" s="26">
        <f>SUM(R61:R63)</f>
        <v>224750.35692569896</v>
      </c>
      <c r="S65" s="26"/>
      <c r="T65" s="26">
        <f>SUM(T61:T63)</f>
        <v>0</v>
      </c>
      <c r="U65" s="26">
        <f>L65+N65+P65+R65+T65</f>
        <v>753404.8917670988</v>
      </c>
      <c r="V65" s="26">
        <f>V63</f>
        <v>0</v>
      </c>
      <c r="W65" s="26">
        <f>SUM(U65:V65)</f>
        <v>753404.8917670988</v>
      </c>
      <c r="Y65" s="123"/>
    </row>
    <row r="66" spans="1:28" ht="12" customHeight="1" x14ac:dyDescent="0.4">
      <c r="A66" s="78"/>
      <c r="B66" s="78"/>
      <c r="C66" s="78"/>
      <c r="D66" s="78"/>
      <c r="E66" s="78"/>
      <c r="F66" s="78"/>
      <c r="G66" s="78" t="s">
        <v>41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Y66" s="121"/>
      <c r="AB66" s="20"/>
    </row>
    <row r="67" spans="1:28" ht="12" customHeight="1" x14ac:dyDescent="0.4">
      <c r="A67" s="85"/>
      <c r="B67" s="85"/>
      <c r="C67" s="85"/>
      <c r="D67" s="85"/>
      <c r="E67" s="85"/>
      <c r="F67" s="85"/>
      <c r="G67" s="85" t="s">
        <v>34</v>
      </c>
      <c r="H67" s="86"/>
      <c r="I67" s="87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Y67" s="122"/>
    </row>
    <row r="68" spans="1:28" ht="12" customHeight="1" x14ac:dyDescent="0.35">
      <c r="A68" s="12" t="s">
        <v>46</v>
      </c>
      <c r="B68" s="12">
        <v>89050</v>
      </c>
      <c r="C68" s="12" t="s">
        <v>151</v>
      </c>
      <c r="D68" s="12" t="s">
        <v>151</v>
      </c>
      <c r="E68" s="28" t="s">
        <v>37</v>
      </c>
      <c r="F68" s="12" t="s">
        <v>152</v>
      </c>
      <c r="G68" s="12" t="s">
        <v>75</v>
      </c>
      <c r="H68" s="12" t="s">
        <v>44</v>
      </c>
      <c r="I68" s="27" t="s">
        <v>31</v>
      </c>
      <c r="J68" s="8">
        <f>$L$20</f>
        <v>75501.600000000006</v>
      </c>
      <c r="K68" s="81">
        <v>0.05</v>
      </c>
      <c r="L68" s="8">
        <f t="shared" ref="L68:L72" si="48">J68*K68</f>
        <v>3775.0800000000004</v>
      </c>
      <c r="M68" s="8">
        <f>$N$20</f>
        <v>156288.31200000001</v>
      </c>
      <c r="N68" s="8">
        <f t="shared" ref="N68:N72" si="49">M68*K68</f>
        <v>7814.4156000000003</v>
      </c>
      <c r="O68" s="8">
        <f>$P$20</f>
        <v>161758.40291999996</v>
      </c>
      <c r="P68" s="8">
        <f t="shared" ref="P68:P72" si="50">O68*K68</f>
        <v>8087.9201459999986</v>
      </c>
      <c r="Q68" s="8">
        <f>$R$20</f>
        <v>167419.94702219998</v>
      </c>
      <c r="R68" s="8">
        <f t="shared" ref="R68:R72" si="51">Q68*K68</f>
        <v>8370.9973511099997</v>
      </c>
      <c r="S68" s="8">
        <f>$T$20</f>
        <v>0</v>
      </c>
      <c r="T68" s="8">
        <f t="shared" ref="T68:T72" si="52">S68*K68</f>
        <v>0</v>
      </c>
      <c r="U68" s="8">
        <f t="shared" ref="U68:U72" si="53">L68+N68+P68+R68+T68</f>
        <v>28048.413097109998</v>
      </c>
      <c r="V68" s="8">
        <v>0</v>
      </c>
      <c r="W68" s="8">
        <f t="shared" ref="W68:W72" si="54">SUM(U68:V68)</f>
        <v>28048.413097109998</v>
      </c>
    </row>
    <row r="69" spans="1:28" ht="12" customHeight="1" x14ac:dyDescent="0.35">
      <c r="A69" s="12" t="s">
        <v>46</v>
      </c>
      <c r="B69" s="12">
        <v>89050</v>
      </c>
      <c r="C69" s="12" t="s">
        <v>151</v>
      </c>
      <c r="D69" s="12" t="s">
        <v>151</v>
      </c>
      <c r="E69" s="28" t="s">
        <v>37</v>
      </c>
      <c r="F69" s="12" t="s">
        <v>152</v>
      </c>
      <c r="G69" s="12" t="s">
        <v>76</v>
      </c>
      <c r="H69" s="12" t="s">
        <v>69</v>
      </c>
      <c r="I69" s="27" t="s">
        <v>31</v>
      </c>
      <c r="J69" s="8">
        <f>L24</f>
        <v>180</v>
      </c>
      <c r="K69" s="81">
        <v>0.05</v>
      </c>
      <c r="L69" s="8">
        <f t="shared" si="48"/>
        <v>9</v>
      </c>
      <c r="M69" s="8">
        <f>N24</f>
        <v>189</v>
      </c>
      <c r="N69" s="8">
        <f t="shared" si="49"/>
        <v>9.4500000000000011</v>
      </c>
      <c r="O69" s="8">
        <f>P24</f>
        <v>198.45000000000002</v>
      </c>
      <c r="P69" s="8">
        <f t="shared" si="50"/>
        <v>9.9225000000000012</v>
      </c>
      <c r="Q69" s="8">
        <f>R24</f>
        <v>208.37250000000003</v>
      </c>
      <c r="R69" s="8">
        <f t="shared" si="51"/>
        <v>10.418625000000002</v>
      </c>
      <c r="S69" s="8">
        <f>$T$30</f>
        <v>0</v>
      </c>
      <c r="T69" s="8">
        <f t="shared" si="52"/>
        <v>0</v>
      </c>
      <c r="U69" s="8">
        <f t="shared" si="53"/>
        <v>38.791125000000008</v>
      </c>
      <c r="V69" s="8">
        <v>0</v>
      </c>
      <c r="W69" s="8">
        <f t="shared" si="54"/>
        <v>38.791125000000008</v>
      </c>
    </row>
    <row r="70" spans="1:28" ht="12" customHeight="1" x14ac:dyDescent="0.35">
      <c r="A70" s="12" t="s">
        <v>46</v>
      </c>
      <c r="B70" s="12">
        <v>89050</v>
      </c>
      <c r="C70" s="12" t="s">
        <v>151</v>
      </c>
      <c r="D70" s="12" t="s">
        <v>151</v>
      </c>
      <c r="E70" s="28" t="s">
        <v>37</v>
      </c>
      <c r="F70" s="12" t="s">
        <v>152</v>
      </c>
      <c r="G70" s="12" t="s">
        <v>77</v>
      </c>
      <c r="H70" s="12" t="s">
        <v>44</v>
      </c>
      <c r="I70" s="27" t="s">
        <v>31</v>
      </c>
      <c r="J70" s="8">
        <f>$L$30</f>
        <v>4500</v>
      </c>
      <c r="K70" s="81">
        <v>0.05</v>
      </c>
      <c r="L70" s="8">
        <f t="shared" si="48"/>
        <v>225</v>
      </c>
      <c r="M70" s="8">
        <f>$N$30</f>
        <v>1575</v>
      </c>
      <c r="N70" s="8">
        <f t="shared" si="49"/>
        <v>78.75</v>
      </c>
      <c r="O70" s="8">
        <f>$P$30</f>
        <v>1653.75</v>
      </c>
      <c r="P70" s="8">
        <f t="shared" si="50"/>
        <v>82.6875</v>
      </c>
      <c r="Q70" s="8">
        <f>$R$30</f>
        <v>1736.4375</v>
      </c>
      <c r="R70" s="8">
        <f t="shared" si="51"/>
        <v>86.821875000000006</v>
      </c>
      <c r="S70" s="8">
        <v>0</v>
      </c>
      <c r="T70" s="8">
        <f t="shared" si="52"/>
        <v>0</v>
      </c>
      <c r="U70" s="8">
        <f t="shared" si="53"/>
        <v>473.25937499999998</v>
      </c>
      <c r="V70" s="8">
        <v>0</v>
      </c>
      <c r="W70" s="8">
        <f t="shared" si="54"/>
        <v>473.25937499999998</v>
      </c>
    </row>
    <row r="71" spans="1:28" ht="12" customHeight="1" x14ac:dyDescent="0.35">
      <c r="A71" s="12" t="s">
        <v>46</v>
      </c>
      <c r="B71" s="12">
        <v>89050</v>
      </c>
      <c r="C71" s="12" t="s">
        <v>151</v>
      </c>
      <c r="D71" s="12" t="s">
        <v>151</v>
      </c>
      <c r="E71" s="28" t="s">
        <v>37</v>
      </c>
      <c r="F71" s="12" t="s">
        <v>152</v>
      </c>
      <c r="G71" s="12" t="s">
        <v>78</v>
      </c>
      <c r="H71" s="12" t="s">
        <v>44</v>
      </c>
      <c r="I71" s="27" t="s">
        <v>31</v>
      </c>
      <c r="J71" s="8">
        <f>$L$40</f>
        <v>8800</v>
      </c>
      <c r="K71" s="22">
        <v>0.05</v>
      </c>
      <c r="L71" s="8">
        <f t="shared" si="48"/>
        <v>440</v>
      </c>
      <c r="M71" s="8">
        <f>$N$40</f>
        <v>16443</v>
      </c>
      <c r="N71" s="8">
        <f t="shared" si="49"/>
        <v>822.15000000000009</v>
      </c>
      <c r="O71" s="8">
        <f>$P$40</f>
        <v>17265.150000000001</v>
      </c>
      <c r="P71" s="8">
        <f t="shared" si="50"/>
        <v>863.25750000000016</v>
      </c>
      <c r="Q71" s="8">
        <f>$R$40</f>
        <v>18128.407500000001</v>
      </c>
      <c r="R71" s="8">
        <f t="shared" si="51"/>
        <v>906.42037500000015</v>
      </c>
      <c r="S71" s="8">
        <v>0</v>
      </c>
      <c r="T71" s="8">
        <f t="shared" si="52"/>
        <v>0</v>
      </c>
      <c r="U71" s="8">
        <f t="shared" si="53"/>
        <v>3031.8278750000004</v>
      </c>
      <c r="V71" s="8">
        <v>0</v>
      </c>
      <c r="W71" s="8">
        <f t="shared" si="54"/>
        <v>3031.8278750000004</v>
      </c>
    </row>
    <row r="72" spans="1:28" ht="12" customHeight="1" x14ac:dyDescent="0.35">
      <c r="A72" s="50"/>
      <c r="B72" s="50"/>
      <c r="C72" s="50"/>
      <c r="D72" s="50"/>
      <c r="E72" s="50"/>
      <c r="F72" s="50"/>
      <c r="G72" s="50" t="s">
        <v>136</v>
      </c>
      <c r="H72" s="58" t="s">
        <v>44</v>
      </c>
      <c r="I72" s="92" t="s">
        <v>31</v>
      </c>
      <c r="J72" s="56">
        <v>0</v>
      </c>
      <c r="K72" s="56">
        <v>0</v>
      </c>
      <c r="L72" s="56">
        <f t="shared" si="48"/>
        <v>0</v>
      </c>
      <c r="M72" s="56">
        <v>0</v>
      </c>
      <c r="N72" s="56">
        <f t="shared" si="49"/>
        <v>0</v>
      </c>
      <c r="O72" s="56">
        <v>0</v>
      </c>
      <c r="P72" s="56">
        <f t="shared" si="50"/>
        <v>0</v>
      </c>
      <c r="Q72" s="56">
        <v>0</v>
      </c>
      <c r="R72" s="56">
        <f t="shared" si="51"/>
        <v>0</v>
      </c>
      <c r="S72" s="56"/>
      <c r="T72" s="56">
        <f t="shared" si="52"/>
        <v>0</v>
      </c>
      <c r="U72" s="56">
        <f t="shared" si="53"/>
        <v>0</v>
      </c>
      <c r="V72" s="56">
        <v>0</v>
      </c>
      <c r="W72" s="56">
        <f t="shared" si="54"/>
        <v>0</v>
      </c>
    </row>
    <row r="73" spans="1:28" ht="12" customHeight="1" x14ac:dyDescent="0.35">
      <c r="A73" s="12" t="s">
        <v>46</v>
      </c>
      <c r="B73" s="12">
        <v>89050</v>
      </c>
      <c r="C73" s="12" t="s">
        <v>151</v>
      </c>
      <c r="D73" s="12" t="s">
        <v>151</v>
      </c>
      <c r="E73" s="28" t="s">
        <v>37</v>
      </c>
      <c r="F73" s="104" t="s">
        <v>137</v>
      </c>
      <c r="G73" s="12" t="s">
        <v>43</v>
      </c>
      <c r="H73" s="12" t="s">
        <v>44</v>
      </c>
      <c r="I73" s="27" t="s">
        <v>31</v>
      </c>
      <c r="J73" s="8">
        <v>0</v>
      </c>
      <c r="K73" s="23">
        <v>110</v>
      </c>
      <c r="L73" s="8">
        <f>K73*J73</f>
        <v>0</v>
      </c>
      <c r="M73" s="23">
        <v>6</v>
      </c>
      <c r="N73" s="16">
        <f>M73*K73</f>
        <v>660</v>
      </c>
      <c r="O73" s="23">
        <v>10</v>
      </c>
      <c r="P73" s="16">
        <f>O73*K73</f>
        <v>1100</v>
      </c>
      <c r="Q73" s="23">
        <v>10</v>
      </c>
      <c r="R73" s="23">
        <f>Q73*K73</f>
        <v>1100</v>
      </c>
      <c r="S73" s="8">
        <v>0</v>
      </c>
      <c r="T73" s="8">
        <f>S73*K73</f>
        <v>0</v>
      </c>
      <c r="U73" s="16">
        <f>SUM(L73,N73,P73,R73,T73)</f>
        <v>2860</v>
      </c>
      <c r="V73" s="23" t="s">
        <v>42</v>
      </c>
      <c r="W73" s="16">
        <f>SUM(U73:V73)</f>
        <v>2860</v>
      </c>
    </row>
    <row r="74" spans="1:28" ht="12" customHeight="1" x14ac:dyDescent="0.35">
      <c r="A74" s="12" t="s">
        <v>46</v>
      </c>
      <c r="B74" s="12">
        <v>89050</v>
      </c>
      <c r="C74" s="12" t="s">
        <v>151</v>
      </c>
      <c r="D74" s="12" t="s">
        <v>151</v>
      </c>
      <c r="E74" s="28" t="s">
        <v>37</v>
      </c>
      <c r="F74" s="104" t="s">
        <v>138</v>
      </c>
      <c r="G74" s="12" t="s">
        <v>45</v>
      </c>
      <c r="H74" s="12" t="s">
        <v>44</v>
      </c>
      <c r="I74" s="27" t="s">
        <v>31</v>
      </c>
      <c r="J74" s="8">
        <v>0</v>
      </c>
      <c r="K74" s="23">
        <v>25</v>
      </c>
      <c r="L74" s="8">
        <f t="shared" ref="L74:L75" si="55">K74*J74</f>
        <v>0</v>
      </c>
      <c r="M74" s="23">
        <v>6</v>
      </c>
      <c r="N74" s="16">
        <f t="shared" ref="N74:N75" si="56">M74*K74</f>
        <v>150</v>
      </c>
      <c r="O74" s="23">
        <v>10</v>
      </c>
      <c r="P74" s="16">
        <f t="shared" ref="P74:P75" si="57">O74*K74</f>
        <v>250</v>
      </c>
      <c r="Q74" s="23">
        <v>10</v>
      </c>
      <c r="R74" s="23">
        <f t="shared" ref="R74:R75" si="58">Q74*K74</f>
        <v>250</v>
      </c>
      <c r="S74" s="8">
        <v>0</v>
      </c>
      <c r="T74" s="8">
        <f t="shared" ref="T74:T75" si="59">S74*K74</f>
        <v>0</v>
      </c>
      <c r="U74" s="16">
        <f t="shared" ref="U74:U75" si="60">SUM(L74,N74,P74,R74,T74)</f>
        <v>650</v>
      </c>
      <c r="V74" s="23" t="s">
        <v>42</v>
      </c>
      <c r="W74" s="16">
        <f t="shared" ref="W74:W75" si="61">SUM(U74:V74)</f>
        <v>650</v>
      </c>
    </row>
    <row r="75" spans="1:28" ht="12" customHeight="1" x14ac:dyDescent="0.35">
      <c r="A75" s="12" t="s">
        <v>46</v>
      </c>
      <c r="B75" s="12">
        <v>89050</v>
      </c>
      <c r="C75" s="12" t="s">
        <v>151</v>
      </c>
      <c r="D75" s="12" t="s">
        <v>151</v>
      </c>
      <c r="E75" s="28" t="s">
        <v>37</v>
      </c>
      <c r="F75" s="104" t="s">
        <v>139</v>
      </c>
      <c r="G75" s="12" t="s">
        <v>79</v>
      </c>
      <c r="H75" s="12" t="s">
        <v>44</v>
      </c>
      <c r="I75" s="27" t="s">
        <v>31</v>
      </c>
      <c r="J75" s="8">
        <v>0</v>
      </c>
      <c r="K75" s="23">
        <v>150</v>
      </c>
      <c r="L75" s="8">
        <f t="shared" si="55"/>
        <v>0</v>
      </c>
      <c r="M75" s="23">
        <v>3</v>
      </c>
      <c r="N75" s="16">
        <f t="shared" si="56"/>
        <v>450</v>
      </c>
      <c r="O75" s="23">
        <v>5</v>
      </c>
      <c r="P75" s="16">
        <f t="shared" si="57"/>
        <v>750</v>
      </c>
      <c r="Q75" s="23">
        <v>5</v>
      </c>
      <c r="R75" s="23">
        <f t="shared" si="58"/>
        <v>750</v>
      </c>
      <c r="S75" s="8">
        <v>0</v>
      </c>
      <c r="T75" s="8">
        <f t="shared" si="59"/>
        <v>0</v>
      </c>
      <c r="U75" s="16">
        <f t="shared" si="60"/>
        <v>1950</v>
      </c>
      <c r="V75" s="23" t="s">
        <v>42</v>
      </c>
      <c r="W75" s="16">
        <f t="shared" si="61"/>
        <v>1950</v>
      </c>
    </row>
    <row r="76" spans="1:28" ht="12" customHeight="1" x14ac:dyDescent="0.35">
      <c r="A76" s="12"/>
      <c r="B76" s="12"/>
      <c r="C76" s="12"/>
      <c r="D76" s="12"/>
      <c r="E76" s="12"/>
      <c r="F76" s="105"/>
      <c r="G76" s="12"/>
      <c r="H76" s="12"/>
      <c r="I76" s="28"/>
    </row>
    <row r="77" spans="1:28" ht="12" customHeight="1" thickBot="1" x14ac:dyDescent="0.45">
      <c r="A77" s="17"/>
      <c r="B77" s="17"/>
      <c r="C77" s="17"/>
      <c r="D77" s="17"/>
      <c r="E77" s="17"/>
      <c r="F77" s="106"/>
      <c r="G77" s="17" t="s">
        <v>80</v>
      </c>
      <c r="H77" s="17"/>
      <c r="I77" s="17"/>
      <c r="J77" s="21"/>
      <c r="K77" s="21"/>
      <c r="L77" s="26">
        <f>SUM(L68:L75)</f>
        <v>4449.08</v>
      </c>
      <c r="M77" s="26"/>
      <c r="N77" s="26">
        <f>SUM(N68:N75)</f>
        <v>9984.7656000000006</v>
      </c>
      <c r="O77" s="26"/>
      <c r="P77" s="26">
        <f>SUM(P68:P75)</f>
        <v>11143.787645999999</v>
      </c>
      <c r="Q77" s="26"/>
      <c r="R77" s="26">
        <f>SUM(R68:R75)</f>
        <v>11474.658226109999</v>
      </c>
      <c r="S77" s="26"/>
      <c r="T77" s="26">
        <f>SUM(T68:T75)</f>
        <v>0</v>
      </c>
      <c r="U77" s="26">
        <f>L77+N77+P77+R77+T77</f>
        <v>37052.291472109995</v>
      </c>
      <c r="V77" s="26">
        <f>SUM(V68:V75)</f>
        <v>0</v>
      </c>
      <c r="W77" s="26">
        <f>SUM(U77:V77)</f>
        <v>37052.291472109995</v>
      </c>
      <c r="Y77" s="123"/>
    </row>
    <row r="78" spans="1:28" ht="12" customHeight="1" x14ac:dyDescent="0.35">
      <c r="A78" s="12"/>
      <c r="B78" s="12"/>
      <c r="C78" s="12"/>
      <c r="D78" s="12"/>
      <c r="E78" s="12"/>
      <c r="F78" s="105"/>
      <c r="G78" s="12"/>
      <c r="H78" s="12"/>
      <c r="I78" s="28"/>
    </row>
    <row r="79" spans="1:28" ht="12" customHeight="1" x14ac:dyDescent="0.4">
      <c r="A79" s="12" t="s">
        <v>46</v>
      </c>
      <c r="B79" s="12">
        <v>89050</v>
      </c>
      <c r="C79" s="12" t="s">
        <v>151</v>
      </c>
      <c r="D79" s="12" t="s">
        <v>151</v>
      </c>
      <c r="E79" s="28" t="s">
        <v>37</v>
      </c>
      <c r="F79" s="104" t="s">
        <v>135</v>
      </c>
      <c r="G79" s="4" t="s">
        <v>81</v>
      </c>
      <c r="H79" s="1" t="s">
        <v>48</v>
      </c>
      <c r="I79" s="3"/>
      <c r="J79" s="3"/>
      <c r="K79" s="22">
        <v>0.1</v>
      </c>
      <c r="L79" s="35">
        <f>(L77)*K79</f>
        <v>444.90800000000002</v>
      </c>
      <c r="M79" s="35"/>
      <c r="N79" s="35">
        <f>(N77)*K79</f>
        <v>998.47656000000006</v>
      </c>
      <c r="O79" s="35"/>
      <c r="P79" s="35">
        <f>(P77)*K79</f>
        <v>1114.3787645999998</v>
      </c>
      <c r="R79" s="35">
        <f>(R77)*K79</f>
        <v>1147.465822611</v>
      </c>
      <c r="T79" s="35">
        <f>(T77)*K79</f>
        <v>0</v>
      </c>
      <c r="U79" s="35">
        <f>SUM(L79+N79+P79+R79+T79)</f>
        <v>3705.2291472109996</v>
      </c>
      <c r="V79" s="35">
        <v>0</v>
      </c>
      <c r="W79" s="35">
        <f>SUM(U79:V79)</f>
        <v>3705.2291472109996</v>
      </c>
      <c r="Y79" s="122"/>
    </row>
    <row r="80" spans="1:28" ht="12" customHeight="1" x14ac:dyDescent="0.35">
      <c r="A80" s="12"/>
      <c r="B80" s="12"/>
      <c r="C80" s="12"/>
      <c r="D80" s="12"/>
      <c r="E80" s="12"/>
      <c r="F80" s="12"/>
      <c r="G80" s="12"/>
      <c r="H80" s="12"/>
      <c r="I80" s="28"/>
    </row>
    <row r="81" spans="1:26" ht="12" customHeight="1" thickBot="1" x14ac:dyDescent="0.45">
      <c r="A81" s="17"/>
      <c r="B81" s="17"/>
      <c r="C81" s="17"/>
      <c r="D81" s="17"/>
      <c r="E81" s="17"/>
      <c r="F81" s="17"/>
      <c r="G81" s="17" t="s">
        <v>47</v>
      </c>
      <c r="H81" s="17"/>
      <c r="I81" s="17"/>
      <c r="J81" s="21"/>
      <c r="K81" s="21"/>
      <c r="L81" s="26">
        <f>SUM(L77:L79)</f>
        <v>4893.9880000000003</v>
      </c>
      <c r="M81" s="26"/>
      <c r="N81" s="26">
        <f>SUM(N77:N79)</f>
        <v>10983.242160000002</v>
      </c>
      <c r="O81" s="26"/>
      <c r="P81" s="26">
        <f>SUM(P77:P79)</f>
        <v>12258.166410599999</v>
      </c>
      <c r="Q81" s="26"/>
      <c r="R81" s="26">
        <f>SUM(R77:R79)</f>
        <v>12622.124048721</v>
      </c>
      <c r="S81" s="26"/>
      <c r="T81" s="26">
        <f>SUM(T77:T79)</f>
        <v>0</v>
      </c>
      <c r="U81" s="26">
        <f>L81+N81+P81+R81+T81</f>
        <v>40757.520619321003</v>
      </c>
      <c r="V81" s="26">
        <f>SUM(V72:V75)</f>
        <v>0</v>
      </c>
      <c r="W81" s="26">
        <f>SUM(U81:V81)</f>
        <v>40757.520619321003</v>
      </c>
      <c r="Y81" s="123"/>
    </row>
    <row r="82" spans="1:26" ht="12" customHeight="1" x14ac:dyDescent="0.4">
      <c r="A82" s="36"/>
      <c r="B82" s="36"/>
      <c r="C82" s="36"/>
      <c r="D82" s="36"/>
      <c r="E82" s="36"/>
      <c r="F82" s="36"/>
      <c r="G82" s="36"/>
      <c r="H82" s="36"/>
      <c r="I82" s="19"/>
      <c r="J82" s="20"/>
      <c r="K82" s="31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124"/>
      <c r="Y82" s="122"/>
      <c r="Z82" s="89"/>
    </row>
    <row r="83" spans="1:26" ht="12" customHeight="1" thickBot="1" x14ac:dyDescent="0.45">
      <c r="A83" s="10"/>
      <c r="B83" s="10"/>
      <c r="C83" s="10"/>
      <c r="D83" s="10"/>
      <c r="E83" s="10"/>
      <c r="F83" s="10"/>
      <c r="G83" s="10" t="s">
        <v>5</v>
      </c>
      <c r="H83" s="10"/>
      <c r="I83" s="10"/>
      <c r="J83" s="10"/>
      <c r="K83" s="32"/>
      <c r="L83" s="74">
        <f>L81+L65</f>
        <v>97879.76</v>
      </c>
      <c r="M83" s="74"/>
      <c r="N83" s="74">
        <f>N81+N65</f>
        <v>227133.84319999997</v>
      </c>
      <c r="O83" s="74"/>
      <c r="P83" s="74">
        <f>P81+P65</f>
        <v>231776.32821199996</v>
      </c>
      <c r="Q83" s="74"/>
      <c r="R83" s="74">
        <f>R81+R65</f>
        <v>237372.48097441994</v>
      </c>
      <c r="S83" s="74"/>
      <c r="T83" s="74">
        <f>T81+T65</f>
        <v>0</v>
      </c>
      <c r="U83" s="74">
        <f>T83+R83+P83+N83+L83</f>
        <v>794162.41238641995</v>
      </c>
      <c r="V83" s="74">
        <f>V81+V65</f>
        <v>0</v>
      </c>
      <c r="W83" s="74">
        <f>SUM(U83:V83)</f>
        <v>794162.41238641995</v>
      </c>
      <c r="Y83" s="122"/>
    </row>
    <row r="84" spans="1:26" ht="12" customHeight="1" thickTop="1" x14ac:dyDescent="0.35"/>
    <row r="86" spans="1:26" ht="12" customHeight="1" x14ac:dyDescent="0.35">
      <c r="U86" s="90"/>
    </row>
    <row r="87" spans="1:26" ht="12" customHeight="1" x14ac:dyDescent="0.35">
      <c r="K87" s="2"/>
      <c r="V87" s="57"/>
    </row>
    <row r="88" spans="1:26" ht="12" customHeight="1" x14ac:dyDescent="0.35">
      <c r="A88" s="7"/>
      <c r="B88" s="7"/>
      <c r="C88" s="7"/>
      <c r="D88" s="7"/>
      <c r="E88" s="7"/>
      <c r="F88" s="7"/>
      <c r="G88" s="7"/>
      <c r="H88" s="7"/>
      <c r="I88" s="42"/>
    </row>
    <row r="89" spans="1:26" ht="12" customHeight="1" x14ac:dyDescent="0.35">
      <c r="A89" s="7"/>
      <c r="B89" s="7"/>
      <c r="C89" s="7"/>
      <c r="D89" s="7"/>
      <c r="E89" s="7"/>
      <c r="F89" s="7"/>
      <c r="G89" s="7"/>
      <c r="H89" s="7"/>
      <c r="I89" s="43"/>
    </row>
    <row r="91" spans="1:26" ht="12" customHeight="1" x14ac:dyDescent="0.35">
      <c r="A91" s="7"/>
      <c r="B91" s="7"/>
      <c r="C91" s="7"/>
      <c r="D91" s="7"/>
      <c r="E91" s="7"/>
      <c r="F91" s="7"/>
      <c r="G91" s="7"/>
      <c r="H91" s="7"/>
      <c r="I91" s="42"/>
    </row>
    <row r="92" spans="1:26" ht="12" customHeight="1" x14ac:dyDescent="0.35">
      <c r="A92" s="7"/>
      <c r="B92" s="7"/>
      <c r="C92" s="7"/>
      <c r="D92" s="7"/>
      <c r="E92" s="7"/>
      <c r="F92" s="7"/>
      <c r="G92" s="7"/>
      <c r="H92" s="7"/>
      <c r="I92" s="43"/>
    </row>
    <row r="94" spans="1:26" ht="12" customHeight="1" x14ac:dyDescent="0.35">
      <c r="A94" s="7"/>
      <c r="B94" s="7"/>
      <c r="C94" s="7"/>
      <c r="D94" s="7"/>
      <c r="E94" s="7"/>
      <c r="F94" s="7"/>
      <c r="G94" s="7"/>
      <c r="H94" s="7"/>
      <c r="I94" s="42"/>
    </row>
    <row r="95" spans="1:26" ht="12" customHeight="1" x14ac:dyDescent="0.35">
      <c r="A95" s="7"/>
      <c r="B95" s="7"/>
      <c r="C95" s="7"/>
      <c r="D95" s="7"/>
      <c r="E95" s="7"/>
      <c r="F95" s="7"/>
      <c r="G95" s="7"/>
      <c r="H95" s="7"/>
      <c r="I95" s="43"/>
    </row>
    <row r="97" spans="1:30" ht="12" customHeight="1" x14ac:dyDescent="0.35">
      <c r="A97" s="7"/>
      <c r="B97" s="7"/>
      <c r="C97" s="7"/>
      <c r="D97" s="7"/>
      <c r="E97" s="7"/>
      <c r="F97" s="7"/>
      <c r="G97" s="7"/>
      <c r="H97" s="7"/>
      <c r="I97" s="42"/>
    </row>
    <row r="98" spans="1:30" ht="12" customHeight="1" x14ac:dyDescent="0.35">
      <c r="A98" s="7"/>
      <c r="B98" s="7"/>
      <c r="C98" s="7"/>
      <c r="D98" s="7"/>
      <c r="E98" s="7"/>
      <c r="F98" s="7"/>
      <c r="G98" s="7"/>
      <c r="H98" s="7"/>
      <c r="I98" s="43"/>
    </row>
    <row r="99" spans="1:30" ht="12" customHeight="1" x14ac:dyDescent="0.35">
      <c r="AD99" s="1"/>
    </row>
    <row r="100" spans="1:30" ht="12" customHeight="1" x14ac:dyDescent="0.35">
      <c r="A100" s="7"/>
      <c r="B100" s="7"/>
      <c r="C100" s="7"/>
      <c r="D100" s="7"/>
      <c r="E100" s="7"/>
      <c r="F100" s="7"/>
      <c r="G100" s="7"/>
      <c r="H100" s="7"/>
      <c r="I100" s="42"/>
    </row>
    <row r="101" spans="1:30" ht="12" customHeight="1" x14ac:dyDescent="0.35">
      <c r="A101" s="7"/>
      <c r="B101" s="7"/>
      <c r="C101" s="7"/>
      <c r="D101" s="7"/>
      <c r="E101" s="7"/>
      <c r="F101" s="7"/>
      <c r="G101" s="7"/>
      <c r="H101" s="7"/>
      <c r="I101" s="43"/>
    </row>
    <row r="105" spans="1:30" ht="12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7" spans="1:30" ht="12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</sheetData>
  <mergeCells count="5">
    <mergeCell ref="G1:W1"/>
    <mergeCell ref="G2:W2"/>
    <mergeCell ref="G3:W3"/>
    <mergeCell ref="G41:W41"/>
    <mergeCell ref="G4:H4"/>
  </mergeCells>
  <pageMargins left="0.7" right="0.7" top="0.75" bottom="0.75" header="0.3" footer="0.3"/>
  <pageSetup scale="1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2"/>
  <sheetViews>
    <sheetView zoomScale="150" zoomScaleNormal="150" workbookViewId="0">
      <selection activeCell="F15" sqref="F15"/>
    </sheetView>
  </sheetViews>
  <sheetFormatPr defaultColWidth="10.83203125" defaultRowHeight="12.3" x14ac:dyDescent="0.4"/>
  <cols>
    <col min="1" max="1" width="10.83203125" style="60"/>
    <col min="2" max="2" width="18.1640625" style="60" customWidth="1"/>
    <col min="3" max="3" width="17" style="60" customWidth="1"/>
    <col min="4" max="16384" width="10.83203125" style="60"/>
  </cols>
  <sheetData>
    <row r="1" spans="2:3" ht="12.6" thickBot="1" x14ac:dyDescent="0.45"/>
    <row r="2" spans="2:3" ht="12.6" thickBot="1" x14ac:dyDescent="0.45">
      <c r="B2" s="64" t="s">
        <v>140</v>
      </c>
      <c r="C2" s="65" t="s">
        <v>141</v>
      </c>
    </row>
    <row r="3" spans="2:3" ht="24" customHeight="1" thickTop="1" x14ac:dyDescent="0.4">
      <c r="B3" s="63" t="s">
        <v>22</v>
      </c>
      <c r="C3" s="67" t="e">
        <f>SUMIF(Category,B3,TotalDOL)</f>
        <v>#REF!</v>
      </c>
    </row>
    <row r="4" spans="2:3" ht="23.25" customHeight="1" x14ac:dyDescent="0.4">
      <c r="B4" s="61" t="s">
        <v>25</v>
      </c>
      <c r="C4" s="67" t="e">
        <f>SUMIF(Category,"Fringe Benefits",TotalDOL)</f>
        <v>#REF!</v>
      </c>
    </row>
    <row r="5" spans="2:3" ht="23.25" customHeight="1" x14ac:dyDescent="0.4">
      <c r="B5" s="61" t="s">
        <v>4</v>
      </c>
      <c r="C5" s="67" t="e">
        <f>SUMIF(Category,"Travel",TotalDOL)</f>
        <v>#REF!</v>
      </c>
    </row>
    <row r="6" spans="2:3" ht="25" customHeight="1" x14ac:dyDescent="0.4">
      <c r="B6" s="61" t="s">
        <v>142</v>
      </c>
      <c r="C6" s="67" t="e">
        <f>SUMIF(Category,"Equipment",TotalDOL)</f>
        <v>#REF!</v>
      </c>
    </row>
    <row r="7" spans="2:3" ht="25" customHeight="1" x14ac:dyDescent="0.4">
      <c r="B7" s="61" t="s">
        <v>30</v>
      </c>
      <c r="C7" s="67" t="e">
        <f>SUMIF(Category,"Supplies",TotalDOL)</f>
        <v>#REF!</v>
      </c>
    </row>
    <row r="8" spans="2:3" ht="24" customHeight="1" x14ac:dyDescent="0.4">
      <c r="B8" s="61" t="s">
        <v>35</v>
      </c>
      <c r="C8" s="67" t="e">
        <f>SUMIF(Category,"Contractual",TotalDOL)</f>
        <v>#REF!</v>
      </c>
    </row>
    <row r="9" spans="2:3" ht="24" customHeight="1" x14ac:dyDescent="0.4">
      <c r="B9" s="61" t="s">
        <v>143</v>
      </c>
      <c r="C9" s="67" t="e">
        <f>SUMIF(Category,"Other",TotalDOL)</f>
        <v>#REF!</v>
      </c>
    </row>
    <row r="10" spans="2:3" ht="24" customHeight="1" thickBot="1" x14ac:dyDescent="0.45">
      <c r="B10" s="62" t="s">
        <v>48</v>
      </c>
      <c r="C10" s="68" t="e">
        <f>SUMIF(Category,"Indirect Charges",TotalDOL)</f>
        <v>#REF!</v>
      </c>
    </row>
    <row r="11" spans="2:3" ht="12.6" thickBot="1" x14ac:dyDescent="0.45"/>
    <row r="12" spans="2:3" ht="12.6" thickBot="1" x14ac:dyDescent="0.45">
      <c r="B12" s="70" t="s">
        <v>144</v>
      </c>
      <c r="C12" s="69" t="e">
        <f>SUM(C3:C10)</f>
        <v>#REF!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CA2CCA-8430-474F-B459-3D2EFE4134DA}"/>
</file>

<file path=customXml/itemProps2.xml><?xml version="1.0" encoding="utf-8"?>
<ds:datastoreItem xmlns:ds="http://schemas.openxmlformats.org/officeDocument/2006/customXml" ds:itemID="{F000A6E6-5886-4F26-B6D1-DE3051D4E4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D5FEB7-53D2-48FD-AA6F-8ADDC4F339C2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12FD7816-1A2F-48DC-AE79-E934211CDC02}">
  <ds:schemaRefs>
    <ds:schemaRef ds:uri="http://schemas.microsoft.com/office/2006/metadata/properties"/>
    <ds:schemaRef ds:uri="http://schemas.microsoft.com/office/infopath/2007/PartnerControls"/>
    <ds:schemaRef ds:uri="f8135ccf-0908-4d8c-8b6a-2ec449ff78ed"/>
    <ds:schemaRef ds:uri="dc808d36-874f-4b27-aec2-2fd649817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CDM</vt:lpstr>
      <vt:lpstr>SF-424 Cost Categories</vt:lpstr>
    </vt:vector>
  </TitlesOfParts>
  <Manager/>
  <Company>Compañeros de las Americas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Lourdes Coloma</dc:creator>
  <cp:keywords/>
  <dc:description/>
  <cp:lastModifiedBy>Danielle Martin</cp:lastModifiedBy>
  <cp:revision/>
  <dcterms:created xsi:type="dcterms:W3CDTF">2007-06-26T13:33:20Z</dcterms:created>
  <dcterms:modified xsi:type="dcterms:W3CDTF">2022-08-11T06:13:57Z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6322600.00000000</vt:lpwstr>
  </property>
  <property fmtid="{D5CDD505-2E9C-101B-9397-08002B2CF9AE}" pid="3" name="ContentTypeId">
    <vt:lpwstr>0x0101003206C8355D678A459F2EF8957171B231</vt:lpwstr>
  </property>
  <property fmtid="{D5CDD505-2E9C-101B-9397-08002B2CF9AE}" pid="4" name="MediaServiceImageTags">
    <vt:lpwstr/>
  </property>
</Properties>
</file>