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3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Grant Setups &amp; Valid Combinations/"/>
    </mc:Choice>
  </mc:AlternateContent>
  <xr:revisionPtr revIDLastSave="62" documentId="8_{5412B75D-C901-42E0-9D41-BDB591E96237}" xr6:coauthVersionLast="47" xr6:coauthVersionMax="47" xr10:uidLastSave="{A36B502B-B744-4FA7-B8F6-018DAE1622F3}"/>
  <bookViews>
    <workbookView xWindow="-4458" yWindow="2250" windowWidth="9534" windowHeight="3612" firstSheet="1" activeTab="1" xr2:uid="{00000000-000D-0000-FFFF-FFFF00000000}"/>
  </bookViews>
  <sheets>
    <sheet name="Budget Summary" sheetId="1" r:id="rId1"/>
    <sheet name="Budget Details" sheetId="2" r:id="rId2"/>
    <sheet name="Volunteer Time Cost Share" sheetId="3" r:id="rId3"/>
  </sheets>
  <definedNames>
    <definedName name="_xlnm.Print_Area" localSheetId="1">'Budget Details'!$C$1:$J$51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1" l="1"/>
  <c r="H23" i="2"/>
  <c r="G23" i="2"/>
  <c r="B19" i="1" l="1"/>
  <c r="B20" i="1"/>
  <c r="B21" i="1"/>
  <c r="B18" i="1"/>
  <c r="C12" i="3"/>
  <c r="C11" i="3"/>
  <c r="C10" i="3"/>
  <c r="H42" i="2"/>
  <c r="C5" i="3"/>
  <c r="C6" i="3"/>
  <c r="C7" i="3"/>
  <c r="D42" i="2"/>
  <c r="D34" i="2"/>
  <c r="D32" i="2"/>
  <c r="D30" i="2"/>
  <c r="D21" i="2"/>
  <c r="D20" i="2"/>
  <c r="D22" i="2"/>
  <c r="D18" i="2"/>
  <c r="D17" i="2"/>
  <c r="D9" i="2"/>
  <c r="G7" i="2"/>
  <c r="I7" i="2" s="1"/>
  <c r="G42" i="2"/>
  <c r="G16" i="2"/>
  <c r="I16" i="2" s="1"/>
  <c r="G15" i="2"/>
  <c r="G6" i="2"/>
  <c r="G8" i="2"/>
  <c r="I8" i="2" s="1"/>
  <c r="G38" i="2"/>
  <c r="G32" i="2"/>
  <c r="I32" i="2" s="1"/>
  <c r="G39" i="2"/>
  <c r="J39" i="2" s="1"/>
  <c r="G40" i="2"/>
  <c r="G34" i="2"/>
  <c r="G30" i="2"/>
  <c r="I22" i="2"/>
  <c r="I23" i="2" s="1"/>
  <c r="G20" i="2"/>
  <c r="I20" i="2" s="1"/>
  <c r="G21" i="2"/>
  <c r="J21" i="2" s="1"/>
  <c r="G18" i="2"/>
  <c r="J18" i="2" s="1"/>
  <c r="G17" i="2"/>
  <c r="I17" i="2" s="1"/>
  <c r="E42" i="2"/>
  <c r="E40" i="2"/>
  <c r="E39" i="2"/>
  <c r="E38" i="2"/>
  <c r="E34" i="2"/>
  <c r="J34" i="2" s="1"/>
  <c r="E32" i="2"/>
  <c r="E30" i="2"/>
  <c r="E22" i="2"/>
  <c r="E21" i="2"/>
  <c r="E20" i="2"/>
  <c r="E18" i="2"/>
  <c r="E17" i="2"/>
  <c r="E8" i="2"/>
  <c r="E7" i="2"/>
  <c r="E6" i="2"/>
  <c r="J36" i="2"/>
  <c r="E7" i="3"/>
  <c r="E5" i="3"/>
  <c r="E8" i="3"/>
  <c r="F23" i="2"/>
  <c r="F47" i="2"/>
  <c r="I44" i="2"/>
  <c r="I36" i="2"/>
  <c r="E11" i="3"/>
  <c r="E12" i="3"/>
  <c r="I6" i="2"/>
  <c r="I15" i="2"/>
  <c r="E10" i="3"/>
  <c r="E13" i="3"/>
  <c r="E6" i="3"/>
  <c r="H9" i="2"/>
  <c r="H11" i="2"/>
  <c r="H12" i="2" s="1"/>
  <c r="I34" i="2"/>
  <c r="F9" i="2"/>
  <c r="F12" i="2"/>
  <c r="F50" i="2"/>
  <c r="I30" i="2"/>
  <c r="J44" i="2"/>
  <c r="D11" i="2"/>
  <c r="D12" i="2" s="1"/>
  <c r="E14" i="3"/>
  <c r="H46" i="2"/>
  <c r="H47" i="2" s="1"/>
  <c r="C5" i="1" s="1"/>
  <c r="I46" i="2"/>
  <c r="E9" i="2" l="1"/>
  <c r="E11" i="2" s="1"/>
  <c r="E12" i="2" s="1"/>
  <c r="J22" i="2"/>
  <c r="J8" i="2"/>
  <c r="J38" i="2"/>
  <c r="I18" i="2"/>
  <c r="F51" i="2"/>
  <c r="J7" i="2"/>
  <c r="G9" i="2"/>
  <c r="B15" i="1" s="1"/>
  <c r="E23" i="2"/>
  <c r="H51" i="2"/>
  <c r="B26" i="1" s="1"/>
  <c r="C7" i="1"/>
  <c r="C8" i="1" s="1"/>
  <c r="J17" i="2"/>
  <c r="J40" i="2"/>
  <c r="D23" i="2"/>
  <c r="J32" i="2"/>
  <c r="J6" i="2"/>
  <c r="E47" i="2"/>
  <c r="J42" i="2"/>
  <c r="D47" i="2"/>
  <c r="C6" i="1"/>
  <c r="C10" i="1" s="1"/>
  <c r="C9" i="1"/>
  <c r="E49" i="2"/>
  <c r="E50" i="2" s="1"/>
  <c r="E51" i="2" s="1"/>
  <c r="I21" i="2"/>
  <c r="I42" i="2"/>
  <c r="I9" i="2"/>
  <c r="G47" i="2"/>
  <c r="B5" i="1"/>
  <c r="J9" i="2"/>
  <c r="J20" i="2"/>
  <c r="J30" i="2"/>
  <c r="G11" i="2"/>
  <c r="J23" i="2"/>
  <c r="D49" i="2" l="1"/>
  <c r="D50" i="2" s="1"/>
  <c r="D51" i="2" s="1"/>
  <c r="J11" i="2"/>
  <c r="G12" i="2"/>
  <c r="I11" i="2"/>
  <c r="D5" i="1"/>
  <c r="B6" i="1"/>
  <c r="B22" i="1"/>
  <c r="B27" i="1" s="1"/>
  <c r="G49" i="2"/>
  <c r="J47" i="2"/>
  <c r="I47" i="2"/>
  <c r="D6" i="1" l="1"/>
  <c r="I49" i="2"/>
  <c r="G50" i="2"/>
  <c r="J49" i="2"/>
  <c r="J12" i="2"/>
  <c r="I12" i="2"/>
  <c r="B16" i="1"/>
  <c r="B7" i="1"/>
  <c r="B8" i="1" l="1"/>
  <c r="D7" i="1"/>
  <c r="B9" i="1"/>
  <c r="D9" i="1" s="1"/>
  <c r="B23" i="1"/>
  <c r="B24" i="1"/>
  <c r="B28" i="1" s="1"/>
  <c r="J50" i="2"/>
  <c r="I50" i="2"/>
  <c r="G51" i="2"/>
  <c r="J51" i="2" l="1"/>
  <c r="I51" i="2"/>
  <c r="B25" i="1"/>
  <c r="D8" i="1"/>
  <c r="B10" i="1"/>
  <c r="D10" i="1" s="1"/>
</calcChain>
</file>

<file path=xl/sharedStrings.xml><?xml version="1.0" encoding="utf-8"?>
<sst xmlns="http://schemas.openxmlformats.org/spreadsheetml/2006/main" count="132" uniqueCount="122">
  <si>
    <t xml:space="preserve">Partners of the Americas </t>
  </si>
  <si>
    <t>Education and Culture Program 2021</t>
  </si>
  <si>
    <t>CFDA 19.415</t>
  </si>
  <si>
    <t>Budget Summary</t>
  </si>
  <si>
    <t>Educational and Cultural Affairs</t>
  </si>
  <si>
    <t>Cost Sharing</t>
  </si>
  <si>
    <t>Total</t>
  </si>
  <si>
    <t>Program Costs</t>
  </si>
  <si>
    <t>Program costs per participant</t>
  </si>
  <si>
    <t>Administrative Costs</t>
  </si>
  <si>
    <t>Administrative costs per participant</t>
  </si>
  <si>
    <t>Total Costs</t>
  </si>
  <si>
    <t>Total costs per participant
Number of Participants: 30</t>
  </si>
  <si>
    <t>Budget Categories</t>
  </si>
  <si>
    <t>Amount</t>
  </si>
  <si>
    <t>1. Personnel*</t>
  </si>
  <si>
    <t>2. Fringe Benefits*</t>
  </si>
  <si>
    <t>3. Travel</t>
  </si>
  <si>
    <t>4. Equipment</t>
  </si>
  <si>
    <t>5. Supplies*</t>
  </si>
  <si>
    <t>6. Contractual</t>
  </si>
  <si>
    <t>7. Construction</t>
  </si>
  <si>
    <t>8. Other Direct Costs</t>
  </si>
  <si>
    <t>9. Total Direct Costs (lines 1-8)</t>
  </si>
  <si>
    <t>10. Indirect Costs*</t>
  </si>
  <si>
    <t>11. Total Costs (lines 9-10)</t>
  </si>
  <si>
    <t>12. Cost-Sharing</t>
  </si>
  <si>
    <t>Program Costs Total</t>
  </si>
  <si>
    <t>Administrative Costs Total</t>
  </si>
  <si>
    <t>*Administrative Costs</t>
  </si>
  <si>
    <t>Entity: P</t>
  </si>
  <si>
    <t>Partners of the Americas</t>
  </si>
  <si>
    <t>Program-Dept: EC</t>
  </si>
  <si>
    <t>Funder-Grant: DOS285</t>
  </si>
  <si>
    <t>Activity Code</t>
  </si>
  <si>
    <t>Object Code</t>
  </si>
  <si>
    <t>Budget Category</t>
  </si>
  <si>
    <t>2020 Original ECA Funds Requested</t>
  </si>
  <si>
    <t>2020 ECA Revised Funds Requested**</t>
  </si>
  <si>
    <t>2020 Actual Expenses</t>
  </si>
  <si>
    <t>2021 ECA Funds Requested</t>
  </si>
  <si>
    <t>2021 Cost Sharing</t>
  </si>
  <si>
    <t>2021 Total Budget</t>
  </si>
  <si>
    <t>% Change</t>
  </si>
  <si>
    <t>I. Salaries*</t>
  </si>
  <si>
    <t>PERSNL</t>
  </si>
  <si>
    <t>Timesheets</t>
  </si>
  <si>
    <t>1. Program Director - $10,070/Month (March 2021 - June 2021 at 5% LOE, and July 2021 - Feb. 2022 at 10% LOE)</t>
  </si>
  <si>
    <t>2. Senior Program Officer - $6,276/Month (March - June 2021 at 50% LOE, and July 2021 - Feb. 2022 at 100% LOE)</t>
  </si>
  <si>
    <t>3. Program Assistant - $4,416/Month (March 2021 - June 2021 at 30% LOE, and July 2021 - Feb. 2022 at 50% LOE)</t>
  </si>
  <si>
    <t>Total Salaries</t>
  </si>
  <si>
    <t>II. Fringe Benefits*</t>
  </si>
  <si>
    <t>FRINGE</t>
  </si>
  <si>
    <t>Total Fringe Benefits</t>
  </si>
  <si>
    <t>III. Travel</t>
  </si>
  <si>
    <t>1. Staff Travel</t>
  </si>
  <si>
    <t>STFTRAVEL</t>
  </si>
  <si>
    <t>a. Domestic Round Trip Airfare ($500 x 2)</t>
  </si>
  <si>
    <t>STFCN DIEM</t>
  </si>
  <si>
    <t>b. Domestic Per Diem ($180 x 5 x 2)</t>
  </si>
  <si>
    <t>c. International Round Trip Airfare ($1,400 x 2 trip)</t>
  </si>
  <si>
    <t>7520 Per Diem/ (7320 Lodging</t>
  </si>
  <si>
    <t>d. International Lodging &amp; Per Diem ($225 x 7 days x 2 trips)</t>
  </si>
  <si>
    <t>2. Participant Travel</t>
  </si>
  <si>
    <t>PARTTRAVEL</t>
  </si>
  <si>
    <t>a. Round Trip Airfare ($1,800 x 30 trips)</t>
  </si>
  <si>
    <t>PARTPERDIE</t>
  </si>
  <si>
    <t>b. International/Domestic Per Diem ($100 x 30 trips)</t>
  </si>
  <si>
    <t>c. Visa Fees ($180 x 2 participants)</t>
  </si>
  <si>
    <t>Total Travel</t>
  </si>
  <si>
    <t>IV. Equipment</t>
  </si>
  <si>
    <t>V. Supplies*</t>
  </si>
  <si>
    <t>VI. Contractual</t>
  </si>
  <si>
    <t>VII. Construction</t>
  </si>
  <si>
    <t>VIII. Other Direct Costs</t>
  </si>
  <si>
    <t>1. Honoraria</t>
  </si>
  <si>
    <t>EVENT</t>
  </si>
  <si>
    <t>a. Event Coordinator ($320/day x 96 days) (8 Days/Month)</t>
  </si>
  <si>
    <t xml:space="preserve">2. Allowances </t>
  </si>
  <si>
    <t>TEACHERAST</t>
  </si>
  <si>
    <t>a. Teacher Allowance ($400 x 2 trips)</t>
  </si>
  <si>
    <t xml:space="preserve">3. Fees </t>
  </si>
  <si>
    <t>MONEVAL</t>
  </si>
  <si>
    <t>a. Monitoring and Evaluation ($250 x 20 days)</t>
  </si>
  <si>
    <t>4. Events</t>
  </si>
  <si>
    <t>MEETING</t>
  </si>
  <si>
    <t>a. Event Costs - What Works Peer Learning Event</t>
  </si>
  <si>
    <t>5. Communications</t>
  </si>
  <si>
    <t>CONSULT</t>
  </si>
  <si>
    <t>a. Consultant for Promotion &amp; Program Communications ($250/month x 12 months)</t>
  </si>
  <si>
    <t>SUBSCRIPT</t>
  </si>
  <si>
    <t>b. Platform Subscriptions ($75/month x 12 months)</t>
  </si>
  <si>
    <t>COMM</t>
  </si>
  <si>
    <t>c. Online Platform for E-Trainings ($2000/year)</t>
  </si>
  <si>
    <t>6. Small Project Grants</t>
  </si>
  <si>
    <t>GRANTS</t>
  </si>
  <si>
    <t>a. Grants ($3,000 x 18 grants)</t>
  </si>
  <si>
    <t xml:space="preserve">7. Materials </t>
  </si>
  <si>
    <t>TRANS</t>
  </si>
  <si>
    <t>a. Translation</t>
  </si>
  <si>
    <t>8. Volunteer Time</t>
  </si>
  <si>
    <t>Partners</t>
  </si>
  <si>
    <t>Counts</t>
  </si>
  <si>
    <t xml:space="preserve">a.  U.S. and LAC Volunteer Time </t>
  </si>
  <si>
    <t>Total Other Direct Costs</t>
  </si>
  <si>
    <t>IX. Indirect Costs*</t>
  </si>
  <si>
    <t>IDC</t>
  </si>
  <si>
    <t>Total Indirect Costs</t>
  </si>
  <si>
    <t>TOTAL COSTS</t>
  </si>
  <si>
    <t>U.S. and LAC Volunteer Time</t>
  </si>
  <si>
    <t xml:space="preserve">Item </t>
  </si>
  <si>
    <t># Vol-days</t>
  </si>
  <si>
    <t>Daily Rate</t>
  </si>
  <si>
    <t>Travel/project grants</t>
  </si>
  <si>
    <t>Total Cost Share</t>
  </si>
  <si>
    <t>Non-US Volunteers</t>
  </si>
  <si>
    <t xml:space="preserve">  Participant selection/planning and preparation</t>
  </si>
  <si>
    <t xml:space="preserve">  Orientation</t>
  </si>
  <si>
    <t xml:space="preserve">  Follow-on engagement</t>
  </si>
  <si>
    <t>Sub total</t>
  </si>
  <si>
    <t>U.S. Volunteers</t>
  </si>
  <si>
    <t>Total volunteer time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</si>
</sst>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.00%"/>
    <numFmt numFmtId="166" formatCode="&quot;$&quot;#,##0.00"/>
    <numFmt numFmtId="167" formatCode="_(* #,##0_);_(* \(#,##0\);_(* &quot;-&quot;??_);_(@_)"/>
    <numFmt numFmtId="168" formatCode="_(&quot;$&quot;* #,##0_);_(&quot;$&quot;* \(#,##0\);_(&quot;$&quot;* &quot;-&quot;??_);_(@_)"/>
    <numFmt numFmtId="169" formatCode="0.0%"/>
  </numFmts>
  <fonts count="29">
    <font>
      <sz val="12"/>
      <color indexed="8"/>
      <name val="Verdana"/>
    </font>
    <font>
      <sz val="11"/>
      <color indexed="8"/>
      <name val="Calibri"/>
      <family val="2"/>
    </font>
    <font>
      <sz val="12"/>
      <color indexed="8"/>
      <name val="Verdana"/>
      <family val="2"/>
    </font>
    <font>
      <sz val="10"/>
      <color indexed="8"/>
      <name val="Helvetica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sz val="10"/>
      <color indexed="8"/>
      <name val="Helvetica"/>
      <family val="2"/>
      <scheme val="major"/>
    </font>
    <font>
      <b/>
      <sz val="10"/>
      <color indexed="8"/>
      <name val="Helvetica"/>
      <family val="2"/>
      <scheme val="major"/>
    </font>
    <font>
      <sz val="10"/>
      <color indexed="8"/>
      <name val="Helvetica"/>
      <family val="2"/>
      <scheme val="minor"/>
    </font>
    <font>
      <sz val="11"/>
      <color indexed="8"/>
      <name val="Helvetica"/>
      <family val="2"/>
      <scheme val="minor"/>
    </font>
    <font>
      <b/>
      <sz val="10"/>
      <color indexed="8"/>
      <name val="Helvetica"/>
      <family val="2"/>
      <scheme val="minor"/>
    </font>
    <font>
      <u/>
      <sz val="11"/>
      <color rgb="FFFF0000"/>
      <name val="Calibri"/>
      <family val="2"/>
    </font>
    <font>
      <u/>
      <sz val="11"/>
      <color theme="7"/>
      <name val="Calibri"/>
      <family val="2"/>
    </font>
    <font>
      <sz val="11"/>
      <color theme="7"/>
      <name val="Calibri"/>
      <family val="2"/>
    </font>
    <font>
      <b/>
      <i/>
      <sz val="10"/>
      <color indexed="8"/>
      <name val="Helvetica"/>
      <family val="2"/>
      <scheme val="major"/>
    </font>
    <font>
      <i/>
      <sz val="10"/>
      <color indexed="8"/>
      <name val="Helvetica"/>
      <family val="2"/>
      <scheme val="minor"/>
    </font>
    <font>
      <sz val="10"/>
      <name val="Helvetica"/>
      <family val="2"/>
      <scheme val="minor"/>
    </font>
    <font>
      <sz val="10"/>
      <color rgb="FFFF0000"/>
      <name val="Helvetica"/>
      <family val="2"/>
      <scheme val="minor"/>
    </font>
    <font>
      <b/>
      <sz val="10"/>
      <color rgb="FFFF0000"/>
      <name val="Helvetica"/>
      <family val="2"/>
      <scheme val="minor"/>
    </font>
    <font>
      <i/>
      <sz val="10"/>
      <color rgb="FFFF0000"/>
      <name val="Helvetica"/>
      <family val="2"/>
      <scheme val="minor"/>
    </font>
    <font>
      <b/>
      <sz val="10"/>
      <name val="Helvetica"/>
      <family val="2"/>
      <scheme val="minor"/>
    </font>
    <font>
      <b/>
      <sz val="10"/>
      <color indexed="8"/>
      <name val="Helvetica"/>
      <scheme val="major"/>
    </font>
    <font>
      <sz val="11"/>
      <color indexed="8"/>
      <name val="Helvetica"/>
      <scheme val="major"/>
    </font>
    <font>
      <b/>
      <sz val="10"/>
      <name val="Helvetica"/>
      <scheme val="major"/>
    </font>
    <font>
      <u/>
      <sz val="11"/>
      <color indexed="8"/>
      <name val="Helvetica"/>
      <scheme val="major"/>
    </font>
    <font>
      <sz val="10"/>
      <color indexed="8"/>
      <name val="Helvetica"/>
      <scheme val="major"/>
    </font>
    <font>
      <b/>
      <i/>
      <sz val="11"/>
      <name val="Helvetica"/>
      <scheme val="major"/>
    </font>
    <font>
      <b/>
      <sz val="11"/>
      <color indexed="8"/>
      <name val="Helvetica"/>
      <scheme val="major"/>
    </font>
    <font>
      <b/>
      <sz val="16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9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</borders>
  <cellStyleXfs count="5">
    <xf numFmtId="0" fontId="0" fillId="0" borderId="0" applyNumberFormat="0" applyFill="0" applyBorder="0" applyProtection="0">
      <alignment vertical="top" wrapText="1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NumberFormat="0" applyFill="0" applyBorder="0" applyProtection="0">
      <alignment vertical="top" wrapText="1"/>
    </xf>
    <xf numFmtId="9" fontId="2" fillId="0" borderId="0" applyFont="0" applyFill="0" applyBorder="0" applyAlignment="0" applyProtection="0"/>
  </cellStyleXfs>
  <cellXfs count="262">
    <xf numFmtId="0" fontId="0" fillId="0" borderId="0" xfId="0">
      <alignment vertical="top" wrapText="1"/>
    </xf>
    <xf numFmtId="0" fontId="1" fillId="0" borderId="0" xfId="0" applyNumberFormat="1" applyFont="1" applyAlignment="1"/>
    <xf numFmtId="0" fontId="1" fillId="0" borderId="0" xfId="0" applyFont="1" applyBorder="1" applyAlignment="1"/>
    <xf numFmtId="0" fontId="1" fillId="0" borderId="0" xfId="0" applyNumberFormat="1" applyFont="1" applyBorder="1" applyAlignment="1"/>
    <xf numFmtId="164" fontId="1" fillId="0" borderId="0" xfId="0" applyNumberFormat="1" applyFont="1" applyAlignment="1"/>
    <xf numFmtId="168" fontId="1" fillId="0" borderId="0" xfId="0" applyNumberFormat="1" applyFont="1" applyAlignment="1"/>
    <xf numFmtId="2" fontId="1" fillId="0" borderId="0" xfId="0" applyNumberFormat="1" applyFont="1" applyAlignment="1"/>
    <xf numFmtId="0" fontId="5" fillId="0" borderId="0" xfId="0" applyFont="1" applyBorder="1" applyAlignment="1"/>
    <xf numFmtId="164" fontId="5" fillId="0" borderId="0" xfId="0" applyNumberFormat="1" applyFont="1" applyBorder="1" applyAlignment="1"/>
    <xf numFmtId="1" fontId="6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/>
    <xf numFmtId="0" fontId="7" fillId="0" borderId="2" xfId="0" applyNumberFormat="1" applyFont="1" applyBorder="1" applyAlignment="1"/>
    <xf numFmtId="0" fontId="10" fillId="0" borderId="4" xfId="0" applyNumberFormat="1" applyFont="1" applyBorder="1" applyAlignment="1">
      <alignment vertical="top"/>
    </xf>
    <xf numFmtId="3" fontId="8" fillId="0" borderId="5" xfId="0" applyNumberFormat="1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1" fontId="9" fillId="0" borderId="7" xfId="0" applyNumberFormat="1" applyFont="1" applyBorder="1" applyAlignment="1">
      <alignment vertical="center"/>
    </xf>
    <xf numFmtId="168" fontId="8" fillId="0" borderId="8" xfId="2" applyNumberFormat="1" applyFont="1" applyBorder="1" applyAlignment="1">
      <alignment vertical="center"/>
    </xf>
    <xf numFmtId="9" fontId="8" fillId="0" borderId="9" xfId="0" applyNumberFormat="1" applyFont="1" applyBorder="1" applyAlignment="1">
      <alignment vertical="center"/>
    </xf>
    <xf numFmtId="168" fontId="8" fillId="0" borderId="10" xfId="2" applyNumberFormat="1" applyFont="1" applyBorder="1" applyAlignment="1">
      <alignment vertical="center"/>
    </xf>
    <xf numFmtId="0" fontId="10" fillId="0" borderId="11" xfId="0" applyNumberFormat="1" applyFont="1" applyBorder="1" applyAlignment="1">
      <alignment vertical="top"/>
    </xf>
    <xf numFmtId="168" fontId="10" fillId="0" borderId="12" xfId="2" applyNumberFormat="1" applyFont="1" applyBorder="1" applyAlignment="1">
      <alignment vertical="center"/>
    </xf>
    <xf numFmtId="168" fontId="10" fillId="0" borderId="13" xfId="2" applyNumberFormat="1" applyFont="1" applyBorder="1" applyAlignment="1">
      <alignment vertical="center"/>
    </xf>
    <xf numFmtId="9" fontId="8" fillId="0" borderId="14" xfId="0" applyNumberFormat="1" applyFont="1" applyBorder="1" applyAlignment="1">
      <alignment vertical="center"/>
    </xf>
    <xf numFmtId="164" fontId="8" fillId="0" borderId="5" xfId="0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9" fontId="8" fillId="0" borderId="7" xfId="0" applyNumberFormat="1" applyFont="1" applyBorder="1" applyAlignment="1">
      <alignment vertical="center"/>
    </xf>
    <xf numFmtId="164" fontId="8" fillId="0" borderId="10" xfId="0" applyNumberFormat="1" applyFont="1" applyBorder="1" applyAlignment="1">
      <alignment vertical="center"/>
    </xf>
    <xf numFmtId="164" fontId="8" fillId="0" borderId="8" xfId="0" applyNumberFormat="1" applyFont="1" applyBorder="1" applyAlignment="1">
      <alignment vertical="center"/>
    </xf>
    <xf numFmtId="168" fontId="8" fillId="0" borderId="8" xfId="2" applyNumberFormat="1" applyFont="1" applyFill="1" applyBorder="1" applyAlignment="1">
      <alignment vertical="center"/>
    </xf>
    <xf numFmtId="168" fontId="8" fillId="0" borderId="15" xfId="2" applyNumberFormat="1" applyFont="1" applyFill="1" applyBorder="1" applyAlignment="1">
      <alignment vertical="center"/>
    </xf>
    <xf numFmtId="168" fontId="8" fillId="0" borderId="15" xfId="2" applyNumberFormat="1" applyFont="1" applyBorder="1" applyAlignment="1">
      <alignment vertical="center"/>
    </xf>
    <xf numFmtId="9" fontId="8" fillId="0" borderId="16" xfId="0" applyNumberFormat="1" applyFont="1" applyBorder="1" applyAlignment="1">
      <alignment vertical="center"/>
    </xf>
    <xf numFmtId="168" fontId="10" fillId="0" borderId="17" xfId="2" applyNumberFormat="1" applyFont="1" applyBorder="1" applyAlignment="1">
      <alignment vertical="center"/>
    </xf>
    <xf numFmtId="168" fontId="10" fillId="0" borderId="17" xfId="2" applyNumberFormat="1" applyFont="1" applyFill="1" applyBorder="1" applyAlignment="1">
      <alignment vertical="center"/>
    </xf>
    <xf numFmtId="9" fontId="8" fillId="0" borderId="18" xfId="0" applyNumberFormat="1" applyFont="1" applyBorder="1" applyAlignment="1">
      <alignment vertical="center"/>
    </xf>
    <xf numFmtId="0" fontId="10" fillId="0" borderId="19" xfId="0" applyNumberFormat="1" applyFont="1" applyBorder="1" applyAlignment="1">
      <alignment vertical="top"/>
    </xf>
    <xf numFmtId="0" fontId="10" fillId="0" borderId="20" xfId="0" applyNumberFormat="1" applyFont="1" applyBorder="1" applyAlignment="1">
      <alignment vertical="top"/>
    </xf>
    <xf numFmtId="0" fontId="10" fillId="0" borderId="21" xfId="0" applyNumberFormat="1" applyFont="1" applyBorder="1" applyAlignment="1">
      <alignment vertical="top"/>
    </xf>
    <xf numFmtId="168" fontId="8" fillId="0" borderId="8" xfId="2" applyNumberFormat="1" applyFont="1" applyBorder="1" applyAlignment="1"/>
    <xf numFmtId="168" fontId="8" fillId="0" borderId="8" xfId="2" applyNumberFormat="1" applyFont="1" applyFill="1" applyBorder="1" applyAlignment="1"/>
    <xf numFmtId="168" fontId="10" fillId="0" borderId="13" xfId="2" applyNumberFormat="1" applyFont="1" applyBorder="1" applyAlignment="1"/>
    <xf numFmtId="168" fontId="10" fillId="0" borderId="13" xfId="2" applyNumberFormat="1" applyFont="1" applyFill="1" applyBorder="1" applyAlignment="1"/>
    <xf numFmtId="0" fontId="10" fillId="0" borderId="22" xfId="0" applyNumberFormat="1" applyFont="1" applyBorder="1" applyAlignment="1">
      <alignment vertical="top"/>
    </xf>
    <xf numFmtId="168" fontId="10" fillId="0" borderId="23" xfId="2" applyNumberFormat="1" applyFont="1" applyBorder="1" applyAlignment="1">
      <alignment vertical="top"/>
    </xf>
    <xf numFmtId="9" fontId="8" fillId="0" borderId="3" xfId="0" applyNumberFormat="1" applyFont="1" applyBorder="1" applyAlignment="1"/>
    <xf numFmtId="168" fontId="8" fillId="0" borderId="24" xfId="2" applyNumberFormat="1" applyFont="1" applyFill="1" applyBorder="1" applyAlignment="1">
      <alignment vertical="center"/>
    </xf>
    <xf numFmtId="168" fontId="10" fillId="0" borderId="25" xfId="2" applyNumberFormat="1" applyFont="1" applyFill="1" applyBorder="1" applyAlignment="1">
      <alignment vertical="center"/>
    </xf>
    <xf numFmtId="9" fontId="8" fillId="0" borderId="18" xfId="0" applyNumberFormat="1" applyFont="1" applyBorder="1" applyAlignment="1"/>
    <xf numFmtId="43" fontId="6" fillId="0" borderId="8" xfId="1" applyFont="1" applyBorder="1" applyAlignment="1">
      <alignment horizontal="center"/>
    </xf>
    <xf numFmtId="44" fontId="6" fillId="0" borderId="8" xfId="2" applyFont="1" applyBorder="1" applyAlignment="1"/>
    <xf numFmtId="44" fontId="6" fillId="0" borderId="8" xfId="2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167" fontId="6" fillId="0" borderId="8" xfId="2" applyNumberFormat="1" applyFont="1" applyBorder="1" applyAlignment="1">
      <alignment horizontal="center"/>
    </xf>
    <xf numFmtId="167" fontId="7" fillId="0" borderId="26" xfId="1" applyNumberFormat="1" applyFont="1" applyBorder="1" applyAlignment="1">
      <alignment horizontal="center"/>
    </xf>
    <xf numFmtId="2" fontId="5" fillId="0" borderId="0" xfId="0" applyNumberFormat="1" applyFont="1" applyBorder="1" applyAlignment="1"/>
    <xf numFmtId="0" fontId="8" fillId="0" borderId="27" xfId="0" applyNumberFormat="1" applyFont="1" applyFill="1" applyBorder="1" applyAlignment="1">
      <alignment vertical="top"/>
    </xf>
    <xf numFmtId="9" fontId="8" fillId="0" borderId="9" xfId="0" applyNumberFormat="1" applyFont="1" applyFill="1" applyBorder="1" applyAlignment="1">
      <alignment vertical="center"/>
    </xf>
    <xf numFmtId="168" fontId="5" fillId="0" borderId="0" xfId="0" applyNumberFormat="1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7" fillId="2" borderId="1" xfId="0" applyNumberFormat="1" applyFont="1" applyFill="1" applyBorder="1" applyAlignment="1">
      <alignment horizontal="center"/>
    </xf>
    <xf numFmtId="0" fontId="7" fillId="2" borderId="8" xfId="0" applyNumberFormat="1" applyFont="1" applyFill="1" applyBorder="1" applyAlignment="1"/>
    <xf numFmtId="0" fontId="7" fillId="2" borderId="8" xfId="0" applyNumberFormat="1" applyFont="1" applyFill="1" applyBorder="1" applyAlignment="1">
      <alignment horizontal="right"/>
    </xf>
    <xf numFmtId="0" fontId="7" fillId="2" borderId="8" xfId="0" applyNumberFormat="1" applyFont="1" applyFill="1" applyBorder="1" applyAlignment="1">
      <alignment horizontal="center" wrapText="1"/>
    </xf>
    <xf numFmtId="0" fontId="7" fillId="2" borderId="9" xfId="0" applyNumberFormat="1" applyFont="1" applyFill="1" applyBorder="1" applyAlignment="1">
      <alignment horizontal="center" wrapText="1"/>
    </xf>
    <xf numFmtId="0" fontId="7" fillId="3" borderId="1" xfId="0" applyNumberFormat="1" applyFont="1" applyFill="1" applyBorder="1" applyAlignment="1"/>
    <xf numFmtId="167" fontId="7" fillId="3" borderId="8" xfId="1" applyNumberFormat="1" applyFont="1" applyFill="1" applyBorder="1" applyAlignment="1">
      <alignment horizontal="center"/>
    </xf>
    <xf numFmtId="44" fontId="7" fillId="3" borderId="8" xfId="2" applyFont="1" applyFill="1" applyBorder="1" applyAlignment="1">
      <alignment horizontal="center"/>
    </xf>
    <xf numFmtId="0" fontId="7" fillId="3" borderId="28" xfId="0" applyNumberFormat="1" applyFont="1" applyFill="1" applyBorder="1" applyAlignment="1"/>
    <xf numFmtId="167" fontId="7" fillId="3" borderId="29" xfId="1" applyNumberFormat="1" applyFont="1" applyFill="1" applyBorder="1" applyAlignment="1">
      <alignment horizontal="center"/>
    </xf>
    <xf numFmtId="43" fontId="7" fillId="3" borderId="29" xfId="1" applyFont="1" applyFill="1" applyBorder="1" applyAlignment="1">
      <alignment horizontal="center"/>
    </xf>
    <xf numFmtId="0" fontId="14" fillId="0" borderId="1" xfId="0" applyNumberFormat="1" applyFont="1" applyBorder="1" applyAlignment="1"/>
    <xf numFmtId="168" fontId="8" fillId="0" borderId="30" xfId="2" applyNumberFormat="1" applyFont="1" applyFill="1" applyBorder="1" applyAlignment="1">
      <alignment vertical="center"/>
    </xf>
    <xf numFmtId="168" fontId="8" fillId="0" borderId="31" xfId="2" applyNumberFormat="1" applyFont="1" applyFill="1" applyBorder="1" applyAlignment="1">
      <alignment vertical="center"/>
    </xf>
    <xf numFmtId="0" fontId="10" fillId="0" borderId="11" xfId="0" applyNumberFormat="1" applyFont="1" applyFill="1" applyBorder="1" applyAlignment="1">
      <alignment vertical="top"/>
    </xf>
    <xf numFmtId="0" fontId="15" fillId="0" borderId="27" xfId="0" applyNumberFormat="1" applyFont="1" applyFill="1" applyBorder="1" applyAlignment="1">
      <alignment vertical="top"/>
    </xf>
    <xf numFmtId="168" fontId="6" fillId="0" borderId="9" xfId="2" applyNumberFormat="1" applyFont="1" applyBorder="1" applyAlignment="1"/>
    <xf numFmtId="168" fontId="6" fillId="0" borderId="9" xfId="1" applyNumberFormat="1" applyFont="1" applyBorder="1" applyAlignment="1">
      <alignment horizontal="center"/>
    </xf>
    <xf numFmtId="168" fontId="7" fillId="3" borderId="9" xfId="2" applyNumberFormat="1" applyFont="1" applyFill="1" applyBorder="1" applyAlignment="1">
      <alignment horizontal="center"/>
    </xf>
    <xf numFmtId="168" fontId="6" fillId="0" borderId="9" xfId="2" applyNumberFormat="1" applyFont="1" applyBorder="1" applyAlignment="1">
      <alignment horizontal="center"/>
    </xf>
    <xf numFmtId="168" fontId="7" fillId="3" borderId="32" xfId="2" applyNumberFormat="1" applyFont="1" applyFill="1" applyBorder="1" applyAlignment="1">
      <alignment horizontal="center"/>
    </xf>
    <xf numFmtId="168" fontId="7" fillId="0" borderId="18" xfId="2" applyNumberFormat="1" applyFont="1" applyBorder="1" applyAlignment="1">
      <alignment horizontal="center"/>
    </xf>
    <xf numFmtId="164" fontId="8" fillId="4" borderId="33" xfId="0" applyNumberFormat="1" applyFont="1" applyFill="1" applyBorder="1" applyAlignment="1">
      <alignment vertical="center"/>
    </xf>
    <xf numFmtId="164" fontId="8" fillId="4" borderId="34" xfId="0" applyNumberFormat="1" applyFont="1" applyFill="1" applyBorder="1" applyAlignment="1">
      <alignment vertical="center"/>
    </xf>
    <xf numFmtId="164" fontId="8" fillId="4" borderId="35" xfId="0" applyNumberFormat="1" applyFont="1" applyFill="1" applyBorder="1" applyAlignment="1">
      <alignment vertical="center"/>
    </xf>
    <xf numFmtId="164" fontId="8" fillId="4" borderId="36" xfId="0" applyNumberFormat="1" applyFont="1" applyFill="1" applyBorder="1" applyAlignment="1">
      <alignment vertical="center"/>
    </xf>
    <xf numFmtId="164" fontId="8" fillId="4" borderId="24" xfId="0" applyNumberFormat="1" applyFont="1" applyFill="1" applyBorder="1" applyAlignment="1">
      <alignment vertical="center"/>
    </xf>
    <xf numFmtId="164" fontId="8" fillId="4" borderId="37" xfId="0" applyNumberFormat="1" applyFont="1" applyFill="1" applyBorder="1" applyAlignment="1">
      <alignment vertical="center"/>
    </xf>
    <xf numFmtId="168" fontId="8" fillId="0" borderId="38" xfId="2" applyNumberFormat="1" applyFont="1" applyBorder="1" applyAlignment="1">
      <alignment vertical="center"/>
    </xf>
    <xf numFmtId="168" fontId="8" fillId="0" borderId="39" xfId="2" applyNumberFormat="1" applyFont="1" applyBorder="1" applyAlignment="1">
      <alignment vertical="center"/>
    </xf>
    <xf numFmtId="42" fontId="16" fillId="0" borderId="10" xfId="2" applyNumberFormat="1" applyFont="1" applyFill="1" applyBorder="1" applyAlignment="1">
      <alignment vertical="center"/>
    </xf>
    <xf numFmtId="168" fontId="4" fillId="0" borderId="0" xfId="0" applyNumberFormat="1" applyFont="1" applyAlignment="1"/>
    <xf numFmtId="44" fontId="1" fillId="0" borderId="0" xfId="0" applyNumberFormat="1" applyFont="1" applyAlignment="1"/>
    <xf numFmtId="0" fontId="10" fillId="0" borderId="40" xfId="0" applyNumberFormat="1" applyFont="1" applyBorder="1" applyAlignment="1">
      <alignment vertical="top"/>
    </xf>
    <xf numFmtId="0" fontId="15" fillId="0" borderId="41" xfId="0" applyNumberFormat="1" applyFont="1" applyFill="1" applyBorder="1" applyAlignment="1">
      <alignment vertical="top"/>
    </xf>
    <xf numFmtId="164" fontId="8" fillId="4" borderId="42" xfId="0" applyNumberFormat="1" applyFont="1" applyFill="1" applyBorder="1" applyAlignment="1">
      <alignment vertical="center"/>
    </xf>
    <xf numFmtId="164" fontId="8" fillId="4" borderId="43" xfId="0" applyNumberFormat="1" applyFont="1" applyFill="1" applyBorder="1" applyAlignment="1">
      <alignment vertical="center"/>
    </xf>
    <xf numFmtId="164" fontId="8" fillId="4" borderId="44" xfId="0" applyNumberFormat="1" applyFont="1" applyFill="1" applyBorder="1" applyAlignment="1">
      <alignment vertical="center"/>
    </xf>
    <xf numFmtId="168" fontId="8" fillId="0" borderId="45" xfId="2" applyNumberFormat="1" applyFont="1" applyBorder="1" applyAlignment="1">
      <alignment vertical="top"/>
    </xf>
    <xf numFmtId="9" fontId="8" fillId="0" borderId="7" xfId="0" applyNumberFormat="1" applyFont="1" applyBorder="1" applyAlignment="1"/>
    <xf numFmtId="164" fontId="8" fillId="0" borderId="24" xfId="0" applyNumberFormat="1" applyFont="1" applyFill="1" applyBorder="1" applyAlignment="1">
      <alignment vertical="center"/>
    </xf>
    <xf numFmtId="164" fontId="10" fillId="0" borderId="46" xfId="0" applyNumberFormat="1" applyFont="1" applyBorder="1" applyAlignment="1">
      <alignment vertical="center"/>
    </xf>
    <xf numFmtId="164" fontId="8" fillId="0" borderId="47" xfId="0" applyNumberFormat="1" applyFont="1" applyBorder="1" applyAlignment="1">
      <alignment vertical="center"/>
    </xf>
    <xf numFmtId="9" fontId="8" fillId="0" borderId="48" xfId="0" applyNumberFormat="1" applyFont="1" applyBorder="1" applyAlignment="1">
      <alignment vertical="center"/>
    </xf>
    <xf numFmtId="9" fontId="8" fillId="0" borderId="37" xfId="0" applyNumberFormat="1" applyFont="1" applyFill="1" applyBorder="1" applyAlignment="1">
      <alignment vertical="center"/>
    </xf>
    <xf numFmtId="168" fontId="15" fillId="0" borderId="31" xfId="2" applyNumberFormat="1" applyFont="1" applyFill="1" applyBorder="1" applyAlignment="1">
      <alignment vertical="center"/>
    </xf>
    <xf numFmtId="168" fontId="10" fillId="0" borderId="49" xfId="2" applyNumberFormat="1" applyFont="1" applyBorder="1" applyAlignment="1">
      <alignment vertical="center"/>
    </xf>
    <xf numFmtId="168" fontId="10" fillId="0" borderId="50" xfId="2" applyNumberFormat="1" applyFont="1" applyBorder="1" applyAlignment="1">
      <alignment vertical="center"/>
    </xf>
    <xf numFmtId="9" fontId="8" fillId="0" borderId="51" xfId="0" applyNumberFormat="1" applyFont="1" applyBorder="1" applyAlignment="1">
      <alignment vertical="center"/>
    </xf>
    <xf numFmtId="168" fontId="8" fillId="0" borderId="10" xfId="2" applyNumberFormat="1" applyFont="1" applyFill="1" applyBorder="1" applyAlignment="1">
      <alignment vertical="center"/>
    </xf>
    <xf numFmtId="9" fontId="8" fillId="0" borderId="14" xfId="0" applyNumberFormat="1" applyFont="1" applyFill="1" applyBorder="1" applyAlignment="1">
      <alignment vertical="center"/>
    </xf>
    <xf numFmtId="165" fontId="8" fillId="0" borderId="27" xfId="0" applyNumberFormat="1" applyFont="1" applyFill="1" applyBorder="1" applyAlignment="1">
      <alignment horizontal="left" vertical="top"/>
    </xf>
    <xf numFmtId="0" fontId="10" fillId="0" borderId="4" xfId="0" applyNumberFormat="1" applyFont="1" applyFill="1" applyBorder="1" applyAlignment="1">
      <alignment vertical="top"/>
    </xf>
    <xf numFmtId="0" fontId="8" fillId="0" borderId="52" xfId="0" applyNumberFormat="1" applyFont="1" applyFill="1" applyBorder="1" applyAlignment="1">
      <alignment vertical="top"/>
    </xf>
    <xf numFmtId="0" fontId="10" fillId="0" borderId="53" xfId="0" applyNumberFormat="1" applyFont="1" applyFill="1" applyBorder="1" applyAlignment="1">
      <alignment vertical="top"/>
    </xf>
    <xf numFmtId="44" fontId="1" fillId="0" borderId="0" xfId="2" applyFont="1" applyAlignment="1"/>
    <xf numFmtId="0" fontId="0" fillId="0" borderId="0" xfId="0" applyNumberFormat="1">
      <alignment vertical="top" wrapText="1"/>
    </xf>
    <xf numFmtId="43" fontId="1" fillId="0" borderId="0" xfId="0" applyNumberFormat="1" applyFont="1" applyAlignment="1"/>
    <xf numFmtId="1" fontId="18" fillId="0" borderId="54" xfId="0" applyNumberFormat="1" applyFont="1" applyFill="1" applyBorder="1" applyAlignment="1">
      <alignment vertical="center"/>
    </xf>
    <xf numFmtId="168" fontId="17" fillId="0" borderId="24" xfId="2" applyNumberFormat="1" applyFont="1" applyFill="1" applyBorder="1" applyAlignment="1">
      <alignment horizontal="center" vertical="center"/>
    </xf>
    <xf numFmtId="168" fontId="17" fillId="0" borderId="55" xfId="2" applyNumberFormat="1" applyFont="1" applyFill="1" applyBorder="1" applyAlignment="1">
      <alignment horizontal="center" vertical="center"/>
    </xf>
    <xf numFmtId="168" fontId="17" fillId="0" borderId="36" xfId="2" applyNumberFormat="1" applyFont="1" applyFill="1" applyBorder="1" applyAlignment="1">
      <alignment horizontal="center" vertical="center"/>
    </xf>
    <xf numFmtId="168" fontId="18" fillId="0" borderId="56" xfId="2" applyNumberFormat="1" applyFont="1" applyFill="1" applyBorder="1" applyAlignment="1">
      <alignment vertical="center"/>
    </xf>
    <xf numFmtId="164" fontId="18" fillId="0" borderId="54" xfId="0" applyNumberFormat="1" applyFont="1" applyFill="1" applyBorder="1" applyAlignment="1">
      <alignment vertical="center"/>
    </xf>
    <xf numFmtId="168" fontId="18" fillId="0" borderId="50" xfId="2" applyNumberFormat="1" applyFont="1" applyFill="1" applyBorder="1" applyAlignment="1">
      <alignment vertical="center"/>
    </xf>
    <xf numFmtId="164" fontId="19" fillId="0" borderId="24" xfId="0" applyNumberFormat="1" applyFont="1" applyFill="1" applyBorder="1" applyAlignment="1">
      <alignment vertical="center"/>
    </xf>
    <xf numFmtId="44" fontId="17" fillId="0" borderId="24" xfId="2" applyFont="1" applyFill="1" applyBorder="1" applyAlignment="1">
      <alignment vertical="center"/>
    </xf>
    <xf numFmtId="168" fontId="17" fillId="0" borderId="57" xfId="2" applyNumberFormat="1" applyFont="1" applyFill="1" applyBorder="1" applyAlignment="1">
      <alignment vertical="center"/>
    </xf>
    <xf numFmtId="168" fontId="19" fillId="0" borderId="24" xfId="2" applyNumberFormat="1" applyFont="1" applyFill="1" applyBorder="1" applyAlignment="1">
      <alignment vertical="center"/>
    </xf>
    <xf numFmtId="168" fontId="17" fillId="0" borderId="24" xfId="2" applyNumberFormat="1" applyFont="1" applyFill="1" applyBorder="1" applyAlignment="1">
      <alignment horizontal="right" vertical="center"/>
    </xf>
    <xf numFmtId="168" fontId="17" fillId="0" borderId="24" xfId="2" applyNumberFormat="1" applyFont="1" applyFill="1" applyBorder="1" applyAlignment="1">
      <alignment vertical="center"/>
    </xf>
    <xf numFmtId="168" fontId="18" fillId="0" borderId="25" xfId="2" applyNumberFormat="1" applyFont="1" applyFill="1" applyBorder="1" applyAlignment="1">
      <alignment vertical="center"/>
    </xf>
    <xf numFmtId="164" fontId="17" fillId="4" borderId="34" xfId="0" applyNumberFormat="1" applyFont="1" applyFill="1" applyBorder="1" applyAlignment="1">
      <alignment vertical="center"/>
    </xf>
    <xf numFmtId="164" fontId="17" fillId="4" borderId="24" xfId="0" applyNumberFormat="1" applyFont="1" applyFill="1" applyBorder="1" applyAlignment="1">
      <alignment vertical="center"/>
    </xf>
    <xf numFmtId="164" fontId="17" fillId="4" borderId="43" xfId="0" applyNumberFormat="1" applyFont="1" applyFill="1" applyBorder="1" applyAlignment="1">
      <alignment vertical="center"/>
    </xf>
    <xf numFmtId="164" fontId="18" fillId="0" borderId="47" xfId="0" applyNumberFormat="1" applyFont="1" applyFill="1" applyBorder="1" applyAlignment="1">
      <alignment vertical="center"/>
    </xf>
    <xf numFmtId="168" fontId="18" fillId="0" borderId="50" xfId="2" applyNumberFormat="1" applyFont="1" applyFill="1" applyBorder="1" applyAlignment="1">
      <alignment horizontal="right" vertical="center"/>
    </xf>
    <xf numFmtId="168" fontId="17" fillId="0" borderId="45" xfId="2" applyNumberFormat="1" applyFont="1" applyFill="1" applyBorder="1" applyAlignment="1">
      <alignment horizontal="right"/>
    </xf>
    <xf numFmtId="168" fontId="18" fillId="0" borderId="58" xfId="2" applyNumberFormat="1" applyFont="1" applyFill="1" applyBorder="1" applyAlignment="1">
      <alignment horizontal="right"/>
    </xf>
    <xf numFmtId="168" fontId="18" fillId="0" borderId="26" xfId="2" applyNumberFormat="1" applyFont="1" applyFill="1" applyBorder="1" applyAlignment="1">
      <alignment horizontal="right"/>
    </xf>
    <xf numFmtId="0" fontId="20" fillId="5" borderId="59" xfId="0" applyNumberFormat="1" applyFont="1" applyFill="1" applyBorder="1" applyAlignment="1">
      <alignment horizontal="center" vertical="center" wrapText="1"/>
    </xf>
    <xf numFmtId="0" fontId="18" fillId="5" borderId="60" xfId="0" applyNumberFormat="1" applyFont="1" applyFill="1" applyBorder="1" applyAlignment="1">
      <alignment horizontal="center" vertical="center" wrapText="1"/>
    </xf>
    <xf numFmtId="0" fontId="20" fillId="5" borderId="61" xfId="0" applyNumberFormat="1" applyFont="1" applyFill="1" applyBorder="1" applyAlignment="1">
      <alignment horizontal="center" vertical="center" wrapText="1"/>
    </xf>
    <xf numFmtId="0" fontId="20" fillId="5" borderId="3" xfId="0" applyNumberFormat="1" applyFont="1" applyFill="1" applyBorder="1" applyAlignment="1">
      <alignment horizontal="center" vertical="center" wrapText="1"/>
    </xf>
    <xf numFmtId="168" fontId="1" fillId="0" borderId="0" xfId="0" applyNumberFormat="1" applyFont="1" applyBorder="1" applyAlignment="1"/>
    <xf numFmtId="168" fontId="5" fillId="0" borderId="0" xfId="0" applyNumberFormat="1" applyFont="1" applyBorder="1" applyAlignment="1"/>
    <xf numFmtId="0" fontId="3" fillId="0" borderId="27" xfId="0" applyNumberFormat="1" applyFont="1" applyFill="1" applyBorder="1">
      <alignment vertical="top" wrapText="1"/>
    </xf>
    <xf numFmtId="168" fontId="10" fillId="6" borderId="23" xfId="2" applyNumberFormat="1" applyFont="1" applyFill="1" applyBorder="1" applyAlignment="1">
      <alignment vertical="top"/>
    </xf>
    <xf numFmtId="167" fontId="6" fillId="0" borderId="8" xfId="1" applyNumberFormat="1" applyFont="1" applyFill="1" applyBorder="1" applyAlignment="1">
      <alignment horizontal="center"/>
    </xf>
    <xf numFmtId="168" fontId="6" fillId="0" borderId="9" xfId="1" applyNumberFormat="1" applyFont="1" applyFill="1" applyBorder="1" applyAlignment="1">
      <alignment horizontal="center"/>
    </xf>
    <xf numFmtId="0" fontId="1" fillId="0" borderId="0" xfId="0" applyNumberFormat="1" applyFont="1" applyFill="1" applyAlignment="1"/>
    <xf numFmtId="167" fontId="6" fillId="0" borderId="62" xfId="1" applyNumberFormat="1" applyFont="1" applyFill="1" applyBorder="1" applyAlignment="1">
      <alignment horizontal="center"/>
    </xf>
    <xf numFmtId="168" fontId="6" fillId="0" borderId="63" xfId="1" applyNumberFormat="1" applyFont="1" applyFill="1" applyBorder="1" applyAlignment="1">
      <alignment horizontal="center"/>
    </xf>
    <xf numFmtId="0" fontId="5" fillId="0" borderId="0" xfId="0" applyFont="1" applyFill="1" applyBorder="1" applyAlignment="1"/>
    <xf numFmtId="168" fontId="8" fillId="0" borderId="64" xfId="2" applyNumberFormat="1" applyFont="1" applyBorder="1" applyAlignment="1">
      <alignment vertical="center"/>
    </xf>
    <xf numFmtId="168" fontId="8" fillId="0" borderId="43" xfId="2" applyNumberFormat="1" applyFont="1" applyBorder="1" applyAlignment="1">
      <alignment vertical="center"/>
    </xf>
    <xf numFmtId="168" fontId="8" fillId="0" borderId="65" xfId="2" applyNumberFormat="1" applyFont="1" applyBorder="1" applyAlignment="1">
      <alignment vertical="center"/>
    </xf>
    <xf numFmtId="168" fontId="8" fillId="0" borderId="66" xfId="2" applyNumberFormat="1" applyFont="1" applyBorder="1" applyAlignment="1">
      <alignment vertical="center"/>
    </xf>
    <xf numFmtId="168" fontId="8" fillId="0" borderId="67" xfId="2" applyNumberFormat="1" applyFont="1" applyBorder="1" applyAlignment="1">
      <alignment vertical="center"/>
    </xf>
    <xf numFmtId="1" fontId="10" fillId="0" borderId="68" xfId="0" applyNumberFormat="1" applyFont="1" applyBorder="1" applyAlignment="1">
      <alignment vertical="center"/>
    </xf>
    <xf numFmtId="1" fontId="10" fillId="0" borderId="69" xfId="0" applyNumberFormat="1" applyFont="1" applyBorder="1" applyAlignment="1">
      <alignment vertical="center"/>
    </xf>
    <xf numFmtId="164" fontId="10" fillId="0" borderId="70" xfId="0" applyNumberFormat="1" applyFont="1" applyBorder="1" applyAlignment="1">
      <alignment vertical="center"/>
    </xf>
    <xf numFmtId="164" fontId="10" fillId="0" borderId="71" xfId="0" applyNumberFormat="1" applyFont="1" applyBorder="1" applyAlignment="1">
      <alignment vertical="center"/>
    </xf>
    <xf numFmtId="164" fontId="15" fillId="0" borderId="57" xfId="0" applyNumberFormat="1" applyFont="1" applyBorder="1" applyAlignment="1">
      <alignment vertical="center"/>
    </xf>
    <xf numFmtId="164" fontId="15" fillId="0" borderId="72" xfId="0" applyNumberFormat="1" applyFont="1" applyBorder="1" applyAlignment="1">
      <alignment vertical="center"/>
    </xf>
    <xf numFmtId="168" fontId="8" fillId="0" borderId="57" xfId="2" applyNumberFormat="1" applyFont="1" applyFill="1" applyBorder="1" applyAlignment="1">
      <alignment vertical="center"/>
    </xf>
    <xf numFmtId="168" fontId="8" fillId="0" borderId="36" xfId="2" applyNumberFormat="1" applyFont="1" applyFill="1" applyBorder="1" applyAlignment="1">
      <alignment vertical="center"/>
    </xf>
    <xf numFmtId="168" fontId="15" fillId="0" borderId="57" xfId="2" applyNumberFormat="1" applyFont="1" applyFill="1" applyBorder="1" applyAlignment="1">
      <alignment vertical="center"/>
    </xf>
    <xf numFmtId="168" fontId="8" fillId="0" borderId="72" xfId="2" applyNumberFormat="1" applyFont="1" applyFill="1" applyBorder="1" applyAlignment="1">
      <alignment vertical="center"/>
    </xf>
    <xf numFmtId="168" fontId="15" fillId="0" borderId="72" xfId="2" applyNumberFormat="1" applyFont="1" applyFill="1" applyBorder="1" applyAlignment="1">
      <alignment vertical="center"/>
    </xf>
    <xf numFmtId="168" fontId="8" fillId="0" borderId="72" xfId="2" applyNumberFormat="1" applyFont="1" applyBorder="1" applyAlignment="1">
      <alignment vertical="center"/>
    </xf>
    <xf numFmtId="168" fontId="8" fillId="0" borderId="57" xfId="2" applyNumberFormat="1" applyFont="1" applyBorder="1" applyAlignment="1">
      <alignment vertical="center"/>
    </xf>
    <xf numFmtId="168" fontId="10" fillId="0" borderId="73" xfId="2" applyNumberFormat="1" applyFont="1" applyBorder="1" applyAlignment="1">
      <alignment vertical="center"/>
    </xf>
    <xf numFmtId="164" fontId="10" fillId="0" borderId="74" xfId="0" applyNumberFormat="1" applyFont="1" applyBorder="1" applyAlignment="1">
      <alignment vertical="center"/>
    </xf>
    <xf numFmtId="168" fontId="8" fillId="0" borderId="75" xfId="2" applyNumberFormat="1" applyFont="1" applyBorder="1" applyAlignment="1">
      <alignment vertical="center"/>
    </xf>
    <xf numFmtId="168" fontId="15" fillId="0" borderId="36" xfId="2" applyNumberFormat="1" applyFont="1" applyFill="1" applyBorder="1" applyAlignment="1">
      <alignment vertical="center"/>
    </xf>
    <xf numFmtId="168" fontId="10" fillId="0" borderId="76" xfId="2" applyNumberFormat="1" applyFont="1" applyBorder="1" applyAlignment="1">
      <alignment vertical="center"/>
    </xf>
    <xf numFmtId="168" fontId="10" fillId="0" borderId="39" xfId="2" applyNumberFormat="1" applyFont="1" applyBorder="1" applyAlignment="1">
      <alignment vertical="top"/>
    </xf>
    <xf numFmtId="168" fontId="8" fillId="0" borderId="10" xfId="2" applyNumberFormat="1" applyFont="1" applyBorder="1" applyAlignment="1"/>
    <xf numFmtId="168" fontId="10" fillId="0" borderId="12" xfId="2" applyNumberFormat="1" applyFont="1" applyBorder="1" applyAlignment="1"/>
    <xf numFmtId="168" fontId="10" fillId="0" borderId="69" xfId="2" applyNumberFormat="1" applyFont="1" applyBorder="1" applyAlignment="1">
      <alignment vertical="top"/>
    </xf>
    <xf numFmtId="168" fontId="8" fillId="0" borderId="72" xfId="2" applyNumberFormat="1" applyFont="1" applyBorder="1" applyAlignment="1"/>
    <xf numFmtId="168" fontId="10" fillId="0" borderId="73" xfId="2" applyNumberFormat="1" applyFont="1" applyBorder="1" applyAlignment="1"/>
    <xf numFmtId="0" fontId="22" fillId="0" borderId="0" xfId="0" applyNumberFormat="1" applyFont="1" applyAlignment="1"/>
    <xf numFmtId="0" fontId="23" fillId="5" borderId="46" xfId="0" applyNumberFormat="1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 wrapText="1"/>
    </xf>
    <xf numFmtId="0" fontId="23" fillId="5" borderId="48" xfId="0" applyFont="1" applyFill="1" applyBorder="1" applyAlignment="1">
      <alignment horizontal="center" vertical="center"/>
    </xf>
    <xf numFmtId="0" fontId="22" fillId="0" borderId="0" xfId="0" applyFont="1" applyBorder="1" applyAlignment="1"/>
    <xf numFmtId="0" fontId="24" fillId="0" borderId="0" xfId="0" applyNumberFormat="1" applyFont="1" applyAlignment="1">
      <alignment horizontal="center"/>
    </xf>
    <xf numFmtId="0" fontId="21" fillId="0" borderId="81" xfId="0" applyNumberFormat="1" applyFont="1" applyBorder="1" applyAlignment="1"/>
    <xf numFmtId="164" fontId="21" fillId="0" borderId="45" xfId="0" applyNumberFormat="1" applyFont="1" applyBorder="1" applyAlignment="1">
      <alignment horizontal="right"/>
    </xf>
    <xf numFmtId="164" fontId="21" fillId="0" borderId="82" xfId="0" applyNumberFormat="1" applyFont="1" applyBorder="1" applyAlignment="1">
      <alignment horizontal="right"/>
    </xf>
    <xf numFmtId="164" fontId="21" fillId="0" borderId="37" xfId="0" applyNumberFormat="1" applyFont="1" applyBorder="1" applyAlignment="1">
      <alignment horizontal="right"/>
    </xf>
    <xf numFmtId="0" fontId="22" fillId="0" borderId="0" xfId="0" applyFont="1" applyBorder="1" applyAlignment="1">
      <alignment horizontal="right"/>
    </xf>
    <xf numFmtId="169" fontId="22" fillId="0" borderId="0" xfId="4" applyNumberFormat="1" applyFont="1" applyAlignment="1"/>
    <xf numFmtId="0" fontId="25" fillId="0" borderId="1" xfId="0" applyNumberFormat="1" applyFont="1" applyBorder="1" applyAlignment="1"/>
    <xf numFmtId="164" fontId="25" fillId="0" borderId="8" xfId="0" applyNumberFormat="1" applyFont="1" applyBorder="1" applyAlignment="1">
      <alignment horizontal="right"/>
    </xf>
    <xf numFmtId="166" fontId="25" fillId="0" borderId="82" xfId="0" applyNumberFormat="1" applyFont="1" applyBorder="1" applyAlignment="1">
      <alignment horizontal="right"/>
    </xf>
    <xf numFmtId="164" fontId="25" fillId="0" borderId="37" xfId="0" applyNumberFormat="1" applyFont="1" applyBorder="1" applyAlignment="1">
      <alignment horizontal="right"/>
    </xf>
    <xf numFmtId="0" fontId="21" fillId="0" borderId="1" xfId="0" applyNumberFormat="1" applyFont="1" applyBorder="1" applyAlignment="1"/>
    <xf numFmtId="164" fontId="21" fillId="0" borderId="8" xfId="0" applyNumberFormat="1" applyFont="1" applyBorder="1" applyAlignment="1">
      <alignment horizontal="right"/>
    </xf>
    <xf numFmtId="169" fontId="22" fillId="0" borderId="0" xfId="4" applyNumberFormat="1" applyFont="1" applyBorder="1" applyAlignment="1"/>
    <xf numFmtId="9" fontId="22" fillId="0" borderId="0" xfId="0" applyNumberFormat="1" applyFont="1" applyAlignment="1"/>
    <xf numFmtId="0" fontId="24" fillId="0" borderId="0" xfId="0" applyNumberFormat="1" applyFont="1" applyAlignment="1">
      <alignment horizontal="right"/>
    </xf>
    <xf numFmtId="167" fontId="22" fillId="0" borderId="0" xfId="1" applyNumberFormat="1" applyFont="1" applyAlignment="1"/>
    <xf numFmtId="164" fontId="22" fillId="0" borderId="0" xfId="0" applyNumberFormat="1" applyFont="1" applyAlignment="1"/>
    <xf numFmtId="0" fontId="26" fillId="7" borderId="46" xfId="0" applyNumberFormat="1" applyFont="1" applyFill="1" applyBorder="1" applyAlignment="1">
      <alignment horizontal="center"/>
    </xf>
    <xf numFmtId="0" fontId="26" fillId="7" borderId="48" xfId="0" applyNumberFormat="1" applyFont="1" applyFill="1" applyBorder="1" applyAlignment="1">
      <alignment horizontal="center"/>
    </xf>
    <xf numFmtId="0" fontId="22" fillId="0" borderId="31" xfId="0" applyNumberFormat="1" applyFont="1" applyBorder="1" applyAlignment="1"/>
    <xf numFmtId="166" fontId="22" fillId="0" borderId="0" xfId="0" applyNumberFormat="1" applyFont="1" applyAlignment="1"/>
    <xf numFmtId="0" fontId="22" fillId="0" borderId="88" xfId="0" applyNumberFormat="1" applyFont="1" applyBorder="1" applyAlignment="1">
      <alignment horizontal="center"/>
    </xf>
    <xf numFmtId="0" fontId="22" fillId="0" borderId="49" xfId="0" applyNumberFormat="1" applyFont="1" applyBorder="1" applyAlignment="1">
      <alignment horizontal="center"/>
    </xf>
    <xf numFmtId="168" fontId="22" fillId="0" borderId="37" xfId="2" applyNumberFormat="1" applyFont="1" applyBorder="1" applyAlignment="1"/>
    <xf numFmtId="168" fontId="22" fillId="8" borderId="37" xfId="2" applyNumberFormat="1" applyFont="1" applyFill="1" applyBorder="1" applyAlignment="1"/>
    <xf numFmtId="168" fontId="22" fillId="0" borderId="51" xfId="2" applyNumberFormat="1" applyFont="1" applyBorder="1" applyAlignment="1"/>
    <xf numFmtId="168" fontId="22" fillId="0" borderId="89" xfId="2" applyNumberFormat="1" applyFont="1" applyBorder="1" applyAlignment="1"/>
    <xf numFmtId="0" fontId="27" fillId="0" borderId="31" xfId="0" applyNumberFormat="1" applyFont="1" applyBorder="1" applyAlignment="1"/>
    <xf numFmtId="168" fontId="27" fillId="0" borderId="37" xfId="2" applyNumberFormat="1" applyFont="1" applyBorder="1" applyAlignment="1"/>
    <xf numFmtId="0" fontId="27" fillId="0" borderId="0" xfId="0" applyNumberFormat="1" applyFont="1" applyAlignment="1"/>
    <xf numFmtId="0" fontId="27" fillId="0" borderId="49" xfId="0" applyNumberFormat="1" applyFont="1" applyBorder="1" applyAlignment="1"/>
    <xf numFmtId="168" fontId="27" fillId="0" borderId="51" xfId="2" applyNumberFormat="1" applyFont="1" applyBorder="1" applyAlignment="1"/>
    <xf numFmtId="0" fontId="20" fillId="5" borderId="90" xfId="0" applyNumberFormat="1" applyFont="1" applyFill="1" applyBorder="1" applyAlignment="1">
      <alignment horizontal="center" vertical="center" wrapText="1"/>
    </xf>
    <xf numFmtId="0" fontId="28" fillId="0" borderId="0" xfId="0" applyNumberFormat="1" applyFont="1" applyAlignment="1">
      <alignment horizontal="left"/>
    </xf>
    <xf numFmtId="0" fontId="8" fillId="0" borderId="27" xfId="0" applyNumberFormat="1" applyFont="1" applyFill="1" applyBorder="1" applyAlignment="1">
      <alignment horizontal="left" vertical="center"/>
    </xf>
    <xf numFmtId="0" fontId="8" fillId="0" borderId="41" xfId="0" applyNumberFormat="1" applyFont="1" applyFill="1" applyBorder="1" applyAlignment="1">
      <alignment horizontal="left" vertical="center"/>
    </xf>
    <xf numFmtId="165" fontId="8" fillId="0" borderId="27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left"/>
    </xf>
    <xf numFmtId="0" fontId="10" fillId="0" borderId="4" xfId="0" applyNumberFormat="1" applyFont="1" applyBorder="1" applyAlignment="1">
      <alignment horizontal="left" vertical="top"/>
    </xf>
    <xf numFmtId="0" fontId="10" fillId="0" borderId="11" xfId="0" applyNumberFormat="1" applyFont="1" applyFill="1" applyBorder="1" applyAlignment="1">
      <alignment horizontal="left" vertical="top"/>
    </xf>
    <xf numFmtId="0" fontId="10" fillId="0" borderId="11" xfId="0" applyNumberFormat="1" applyFont="1" applyBorder="1" applyAlignment="1">
      <alignment horizontal="left" vertical="top"/>
    </xf>
    <xf numFmtId="0" fontId="10" fillId="0" borderId="4" xfId="0" applyNumberFormat="1" applyFont="1" applyFill="1" applyBorder="1" applyAlignment="1">
      <alignment horizontal="left" vertical="top"/>
    </xf>
    <xf numFmtId="0" fontId="15" fillId="0" borderId="27" xfId="0" applyNumberFormat="1" applyFont="1" applyFill="1" applyBorder="1" applyAlignment="1">
      <alignment horizontal="left" vertical="top"/>
    </xf>
    <xf numFmtId="0" fontId="10" fillId="0" borderId="19" xfId="0" applyNumberFormat="1" applyFont="1" applyBorder="1" applyAlignment="1">
      <alignment horizontal="left" vertical="top"/>
    </xf>
    <xf numFmtId="0" fontId="10" fillId="0" borderId="20" xfId="0" applyNumberFormat="1" applyFont="1" applyBorder="1" applyAlignment="1">
      <alignment horizontal="left" vertical="top"/>
    </xf>
    <xf numFmtId="0" fontId="10" fillId="0" borderId="21" xfId="0" applyNumberFormat="1" applyFont="1" applyBorder="1" applyAlignment="1">
      <alignment horizontal="left" vertical="top"/>
    </xf>
    <xf numFmtId="0" fontId="10" fillId="0" borderId="40" xfId="0" applyNumberFormat="1" applyFont="1" applyBorder="1" applyAlignment="1">
      <alignment horizontal="left" vertical="top"/>
    </xf>
    <xf numFmtId="0" fontId="8" fillId="0" borderId="41" xfId="0" applyNumberFormat="1" applyFont="1" applyFill="1" applyBorder="1" applyAlignment="1">
      <alignment horizontal="left" vertical="top"/>
    </xf>
    <xf numFmtId="0" fontId="15" fillId="0" borderId="41" xfId="0" applyNumberFormat="1" applyFont="1" applyFill="1" applyBorder="1" applyAlignment="1">
      <alignment horizontal="left" vertical="top"/>
    </xf>
    <xf numFmtId="0" fontId="10" fillId="0" borderId="53" xfId="0" applyNumberFormat="1" applyFont="1" applyFill="1" applyBorder="1" applyAlignment="1">
      <alignment horizontal="left" vertical="top"/>
    </xf>
    <xf numFmtId="0" fontId="10" fillId="0" borderId="22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8" fillId="0" borderId="27" xfId="0" applyNumberFormat="1" applyFont="1" applyFill="1" applyBorder="1" applyAlignment="1">
      <alignment horizontal="left" vertical="center" wrapText="1"/>
    </xf>
    <xf numFmtId="0" fontId="21" fillId="0" borderId="0" xfId="0" applyNumberFormat="1" applyFont="1" applyAlignment="1">
      <alignment horizontal="center"/>
    </xf>
    <xf numFmtId="0" fontId="21" fillId="0" borderId="80" xfId="0" applyNumberFormat="1" applyFont="1" applyFill="1" applyBorder="1" applyAlignment="1">
      <alignment horizontal="center"/>
    </xf>
    <xf numFmtId="0" fontId="25" fillId="0" borderId="83" xfId="0" applyNumberFormat="1" applyFont="1" applyBorder="1" applyAlignment="1">
      <alignment horizontal="left" vertical="top" wrapText="1"/>
    </xf>
    <xf numFmtId="1" fontId="25" fillId="0" borderId="85" xfId="0" applyNumberFormat="1" applyFont="1" applyBorder="1" applyAlignment="1">
      <alignment horizontal="left" vertical="top"/>
    </xf>
    <xf numFmtId="164" fontId="25" fillId="0" borderId="62" xfId="0" applyNumberFormat="1" applyFont="1" applyBorder="1" applyAlignment="1">
      <alignment horizontal="right"/>
    </xf>
    <xf numFmtId="164" fontId="25" fillId="0" borderId="26" xfId="0" applyNumberFormat="1" applyFont="1" applyBorder="1" applyAlignment="1">
      <alignment horizontal="right"/>
    </xf>
    <xf numFmtId="164" fontId="25" fillId="0" borderId="84" xfId="0" applyNumberFormat="1" applyFont="1" applyBorder="1" applyAlignment="1">
      <alignment horizontal="right"/>
    </xf>
    <xf numFmtId="164" fontId="25" fillId="0" borderId="86" xfId="0" applyNumberFormat="1" applyFont="1" applyBorder="1" applyAlignment="1">
      <alignment horizontal="right"/>
    </xf>
    <xf numFmtId="164" fontId="25" fillId="0" borderId="44" xfId="0" applyNumberFormat="1" applyFont="1" applyBorder="1" applyAlignment="1">
      <alignment horizontal="right"/>
    </xf>
    <xf numFmtId="164" fontId="25" fillId="0" borderId="87" xfId="0" applyNumberFormat="1" applyFont="1" applyBorder="1" applyAlignment="1">
      <alignment horizontal="right"/>
    </xf>
    <xf numFmtId="0" fontId="10" fillId="0" borderId="0" xfId="0" applyNumberFormat="1" applyFont="1" applyBorder="1" applyAlignment="1">
      <alignment horizontal="center" vertical="top"/>
    </xf>
    <xf numFmtId="0" fontId="10" fillId="0" borderId="0" xfId="0" applyNumberFormat="1" applyFont="1" applyFill="1" applyBorder="1" applyAlignment="1">
      <alignment horizontal="center" vertical="top"/>
    </xf>
    <xf numFmtId="0" fontId="3" fillId="0" borderId="91" xfId="0" applyNumberFormat="1" applyFont="1" applyFill="1" applyBorder="1" applyAlignment="1">
      <alignment horizontal="left" vertical="center" wrapText="1"/>
    </xf>
    <xf numFmtId="0" fontId="3" fillId="0" borderId="92" xfId="0" applyNumberFormat="1" applyFont="1" applyFill="1" applyBorder="1" applyAlignment="1">
      <alignment horizontal="left" vertical="center" wrapText="1"/>
    </xf>
    <xf numFmtId="0" fontId="3" fillId="0" borderId="93" xfId="0" applyNumberFormat="1" applyFont="1" applyFill="1" applyBorder="1" applyAlignment="1">
      <alignment horizontal="left" vertical="center" wrapText="1"/>
    </xf>
    <xf numFmtId="0" fontId="7" fillId="5" borderId="77" xfId="0" applyNumberFormat="1" applyFont="1" applyFill="1" applyBorder="1" applyAlignment="1">
      <alignment horizontal="center"/>
    </xf>
    <xf numFmtId="1" fontId="7" fillId="5" borderId="78" xfId="0" applyNumberFormat="1" applyFont="1" applyFill="1" applyBorder="1" applyAlignment="1">
      <alignment horizontal="center"/>
    </xf>
    <xf numFmtId="1" fontId="7" fillId="5" borderId="79" xfId="0" applyNumberFormat="1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Percent" xfId="4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D6D4CA"/>
      <rgbColor rgb="00B8CCE4"/>
      <rgbColor rgb="007F7F7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opLeftCell="A2" zoomScaleNormal="100" workbookViewId="0">
      <selection activeCell="B20" sqref="B20"/>
    </sheetView>
  </sheetViews>
  <sheetFormatPr defaultColWidth="6.59765625" defaultRowHeight="15" customHeight="1"/>
  <cols>
    <col min="1" max="1" width="24.8984375" style="184" customWidth="1"/>
    <col min="2" max="2" width="10.09765625" style="184" customWidth="1"/>
    <col min="3" max="3" width="8.3984375" style="184" customWidth="1"/>
    <col min="4" max="4" width="7.8984375" style="184" customWidth="1"/>
    <col min="5" max="6" width="6.59765625" style="184"/>
    <col min="7" max="7" width="8.5" style="184" bestFit="1" customWidth="1"/>
    <col min="8" max="16384" width="6.59765625" style="184"/>
  </cols>
  <sheetData>
    <row r="1" spans="1:7" ht="15" customHeight="1">
      <c r="A1" s="244" t="s">
        <v>0</v>
      </c>
      <c r="B1" s="244"/>
      <c r="C1" s="244"/>
      <c r="D1" s="244"/>
    </row>
    <row r="2" spans="1:7" ht="15" customHeight="1">
      <c r="A2" s="244" t="s">
        <v>1</v>
      </c>
      <c r="B2" s="244"/>
      <c r="C2" s="244"/>
      <c r="D2" s="244"/>
    </row>
    <row r="3" spans="1:7" ht="14.1" thickBot="1">
      <c r="A3" s="245" t="s">
        <v>2</v>
      </c>
      <c r="B3" s="245"/>
      <c r="C3" s="245"/>
      <c r="D3" s="245"/>
    </row>
    <row r="4" spans="1:7" ht="36.950000000000003">
      <c r="A4" s="185" t="s">
        <v>3</v>
      </c>
      <c r="B4" s="186" t="s">
        <v>4</v>
      </c>
      <c r="C4" s="186" t="s">
        <v>5</v>
      </c>
      <c r="D4" s="187" t="s">
        <v>6</v>
      </c>
      <c r="E4" s="188"/>
      <c r="F4" s="189"/>
      <c r="G4" s="189"/>
    </row>
    <row r="5" spans="1:7" ht="17.100000000000001" customHeight="1">
      <c r="A5" s="190" t="s">
        <v>7</v>
      </c>
      <c r="B5" s="191">
        <f>'Budget Details'!G23+'Budget Details'!G47</f>
        <v>167772</v>
      </c>
      <c r="C5" s="192">
        <f>'Budget Details'!H23+'Budget Details'!H47</f>
        <v>112276.8</v>
      </c>
      <c r="D5" s="193">
        <f t="shared" ref="D5:D10" si="0">B5+C5</f>
        <v>280048.8</v>
      </c>
      <c r="E5" s="194"/>
      <c r="F5" s="195"/>
      <c r="G5" s="195"/>
    </row>
    <row r="6" spans="1:7" ht="13.9">
      <c r="A6" s="196" t="s">
        <v>8</v>
      </c>
      <c r="B6" s="197">
        <f>B5/30</f>
        <v>5592.4</v>
      </c>
      <c r="C6" s="198">
        <f>C5/30</f>
        <v>3742.56</v>
      </c>
      <c r="D6" s="199">
        <f t="shared" si="0"/>
        <v>9334.9599999999991</v>
      </c>
      <c r="G6" s="195"/>
    </row>
    <row r="7" spans="1:7" ht="15.75" customHeight="1">
      <c r="A7" s="200" t="s">
        <v>9</v>
      </c>
      <c r="B7" s="201">
        <f>'Budget Details'!G9+'Budget Details'!G12+'Budget Details'!G50</f>
        <v>199338.0585672773</v>
      </c>
      <c r="C7" s="192">
        <f>'Budget Details'!H9+'Budget Details'!H12</f>
        <v>0</v>
      </c>
      <c r="D7" s="193">
        <f t="shared" si="0"/>
        <v>199338.0585672773</v>
      </c>
      <c r="E7" s="194"/>
      <c r="F7" s="202"/>
      <c r="G7" s="195"/>
    </row>
    <row r="8" spans="1:7" ht="17.100000000000001" customHeight="1">
      <c r="A8" s="196" t="s">
        <v>10</v>
      </c>
      <c r="B8" s="197">
        <f>B7/30</f>
        <v>6644.6019522425768</v>
      </c>
      <c r="C8" s="198">
        <f>C7/30</f>
        <v>0</v>
      </c>
      <c r="D8" s="199">
        <f t="shared" si="0"/>
        <v>6644.6019522425768</v>
      </c>
      <c r="E8" s="188"/>
      <c r="F8" s="203"/>
      <c r="G8" s="203"/>
    </row>
    <row r="9" spans="1:7" ht="18" customHeight="1">
      <c r="A9" s="200" t="s">
        <v>11</v>
      </c>
      <c r="B9" s="201">
        <f>B5+B7</f>
        <v>367110.05856727727</v>
      </c>
      <c r="C9" s="192">
        <f>C5+C7</f>
        <v>112276.8</v>
      </c>
      <c r="D9" s="193">
        <f t="shared" si="0"/>
        <v>479386.85856727726</v>
      </c>
      <c r="E9" s="188"/>
    </row>
    <row r="10" spans="1:7" ht="17.100000000000001" customHeight="1">
      <c r="A10" s="246" t="s">
        <v>12</v>
      </c>
      <c r="B10" s="248">
        <f>B6+B8</f>
        <v>12237.001952242575</v>
      </c>
      <c r="C10" s="250">
        <f>C6+C8</f>
        <v>3742.56</v>
      </c>
      <c r="D10" s="252">
        <f t="shared" si="0"/>
        <v>15979.561952242575</v>
      </c>
      <c r="E10" s="188"/>
    </row>
    <row r="11" spans="1:7" ht="14.1" thickBot="1">
      <c r="A11" s="247"/>
      <c r="B11" s="249"/>
      <c r="C11" s="251"/>
      <c r="D11" s="253"/>
      <c r="E11" s="188"/>
    </row>
    <row r="12" spans="1:7" ht="17.100000000000001" customHeight="1">
      <c r="A12" s="204"/>
      <c r="B12" s="205"/>
      <c r="C12" s="205"/>
      <c r="D12" s="205"/>
      <c r="E12" s="188"/>
    </row>
    <row r="13" spans="1:7" ht="17.100000000000001" customHeight="1" thickBot="1">
      <c r="B13" s="206"/>
      <c r="C13" s="206"/>
      <c r="D13" s="206"/>
      <c r="E13" s="188"/>
    </row>
    <row r="14" spans="1:7" ht="13.9">
      <c r="A14" s="207" t="s">
        <v>13</v>
      </c>
      <c r="B14" s="208" t="s">
        <v>14</v>
      </c>
    </row>
    <row r="15" spans="1:7" ht="15" customHeight="1">
      <c r="A15" s="209" t="s">
        <v>15</v>
      </c>
      <c r="B15" s="213">
        <f>'Budget Details'!G9</f>
        <v>96457.57</v>
      </c>
      <c r="C15" s="210"/>
    </row>
    <row r="16" spans="1:7" ht="15" customHeight="1">
      <c r="A16" s="209" t="s">
        <v>16</v>
      </c>
      <c r="B16" s="213">
        <f>'Budget Details'!G12</f>
        <v>21037.396016999999</v>
      </c>
    </row>
    <row r="17" spans="1:2" ht="15" customHeight="1">
      <c r="A17" s="209" t="s">
        <v>17</v>
      </c>
      <c r="B17" s="213">
        <f>'Budget Details'!G23</f>
        <v>65750</v>
      </c>
    </row>
    <row r="18" spans="1:2" ht="15" customHeight="1">
      <c r="A18" s="209" t="s">
        <v>18</v>
      </c>
      <c r="B18" s="214">
        <f>'Budget Details'!G24</f>
        <v>0</v>
      </c>
    </row>
    <row r="19" spans="1:2" ht="15" customHeight="1">
      <c r="A19" s="209" t="s">
        <v>19</v>
      </c>
      <c r="B19" s="214">
        <f>'Budget Details'!G25</f>
        <v>0</v>
      </c>
    </row>
    <row r="20" spans="1:2" ht="15" customHeight="1">
      <c r="A20" s="209" t="s">
        <v>20</v>
      </c>
      <c r="B20" s="214">
        <f>'Budget Details'!G26</f>
        <v>0</v>
      </c>
    </row>
    <row r="21" spans="1:2" ht="15" customHeight="1">
      <c r="A21" s="209" t="s">
        <v>21</v>
      </c>
      <c r="B21" s="214">
        <f>'Budget Details'!G27</f>
        <v>0</v>
      </c>
    </row>
    <row r="22" spans="1:2" ht="15" customHeight="1">
      <c r="A22" s="209" t="s">
        <v>22</v>
      </c>
      <c r="B22" s="213">
        <f>'Budget Details'!G47</f>
        <v>102022</v>
      </c>
    </row>
    <row r="23" spans="1:2" s="219" customFormat="1" ht="15" customHeight="1">
      <c r="A23" s="217" t="s">
        <v>23</v>
      </c>
      <c r="B23" s="218">
        <f>SUM(B15:B22)</f>
        <v>285266.96601700003</v>
      </c>
    </row>
    <row r="24" spans="1:2" ht="15" customHeight="1">
      <c r="A24" s="209" t="s">
        <v>24</v>
      </c>
      <c r="B24" s="213">
        <f>'Budget Details'!G50</f>
        <v>81843.092550277303</v>
      </c>
    </row>
    <row r="25" spans="1:2" s="219" customFormat="1" ht="15" customHeight="1">
      <c r="A25" s="217" t="s">
        <v>25</v>
      </c>
      <c r="B25" s="218">
        <f>B24+B23</f>
        <v>367110.05856727733</v>
      </c>
    </row>
    <row r="26" spans="1:2" s="219" customFormat="1" ht="15" customHeight="1" thickBot="1">
      <c r="A26" s="220" t="s">
        <v>26</v>
      </c>
      <c r="B26" s="221">
        <f>'Budget Details'!H51</f>
        <v>112276.8</v>
      </c>
    </row>
    <row r="27" spans="1:2" ht="15" customHeight="1">
      <c r="A27" s="211" t="s">
        <v>27</v>
      </c>
      <c r="B27" s="216">
        <f>B17+B22</f>
        <v>167772</v>
      </c>
    </row>
    <row r="28" spans="1:2" ht="15" customHeight="1" thickBot="1">
      <c r="A28" s="212" t="s">
        <v>28</v>
      </c>
      <c r="B28" s="215">
        <f>B15+B16+B24</f>
        <v>199338.0585672773</v>
      </c>
    </row>
    <row r="29" spans="1:2" ht="15" customHeight="1">
      <c r="A29" s="2" t="s">
        <v>29</v>
      </c>
    </row>
  </sheetData>
  <mergeCells count="7">
    <mergeCell ref="A1:D1"/>
    <mergeCell ref="A3:D3"/>
    <mergeCell ref="A10:A11"/>
    <mergeCell ref="B10:B11"/>
    <mergeCell ref="C10:C11"/>
    <mergeCell ref="D10:D11"/>
    <mergeCell ref="A2:D2"/>
  </mergeCells>
  <pageMargins left="0.75" right="0.75" top="1" bottom="1" header="0.5" footer="0.5"/>
  <pageSetup orientation="landscape" r:id="rId1"/>
  <headerFooter alignWithMargins="0">
    <oddFooter>&amp;L&amp;"Helvetica,Regular"&amp;12&amp;K000000	&amp;P</oddFooter>
  </headerFooter>
  <ignoredErrors>
    <ignoredError sqref="C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0"/>
  <sheetViews>
    <sheetView showGridLines="0" tabSelected="1" zoomScale="89" zoomScaleNormal="100" workbookViewId="0">
      <selection activeCell="C17" sqref="C17"/>
    </sheetView>
  </sheetViews>
  <sheetFormatPr defaultColWidth="6.59765625" defaultRowHeight="15" customHeight="1"/>
  <cols>
    <col min="1" max="1" width="11.796875" style="227" customWidth="1"/>
    <col min="2" max="2" width="10.296875" style="227" customWidth="1"/>
    <col min="3" max="3" width="23.5" style="1" customWidth="1"/>
    <col min="4" max="4" width="11.796875" style="1" hidden="1" customWidth="1"/>
    <col min="5" max="5" width="13.296875" style="1" hidden="1" customWidth="1"/>
    <col min="6" max="6" width="7.796875" style="1" hidden="1" customWidth="1"/>
    <col min="7" max="7" width="10.796875" style="1" bestFit="1" customWidth="1"/>
    <col min="8" max="9" width="7.19921875" style="1" bestFit="1" customWidth="1"/>
    <col min="10" max="10" width="6" style="1" customWidth="1"/>
    <col min="11" max="11" width="8" style="1" customWidth="1"/>
    <col min="12" max="12" width="5.19921875" style="1" bestFit="1" customWidth="1"/>
    <col min="13" max="13" width="7.69921875" style="1" bestFit="1" customWidth="1"/>
    <col min="14" max="14" width="9.5" style="1" customWidth="1"/>
    <col min="15" max="15" width="7.69921875" style="1" customWidth="1"/>
    <col min="16" max="16384" width="6.59765625" style="1"/>
  </cols>
  <sheetData>
    <row r="1" spans="1:13" ht="17.100000000000001" customHeight="1">
      <c r="A1" s="223" t="s">
        <v>30</v>
      </c>
      <c r="C1" s="254" t="s">
        <v>31</v>
      </c>
      <c r="D1" s="254"/>
      <c r="E1" s="254"/>
      <c r="F1" s="254"/>
      <c r="G1" s="254"/>
      <c r="H1" s="254"/>
      <c r="I1" s="254"/>
      <c r="J1" s="254"/>
      <c r="K1" s="2"/>
    </row>
    <row r="2" spans="1:13" ht="17.100000000000001" customHeight="1">
      <c r="A2" s="223" t="s">
        <v>32</v>
      </c>
      <c r="C2" s="254" t="s">
        <v>1</v>
      </c>
      <c r="D2" s="254"/>
      <c r="E2" s="254"/>
      <c r="F2" s="254"/>
      <c r="G2" s="254"/>
      <c r="H2" s="254"/>
      <c r="I2" s="254"/>
      <c r="J2" s="254"/>
      <c r="K2" s="2"/>
    </row>
    <row r="3" spans="1:13" ht="17.100000000000001" customHeight="1" thickBot="1">
      <c r="A3" s="223" t="s">
        <v>33</v>
      </c>
      <c r="C3" s="255" t="s">
        <v>2</v>
      </c>
      <c r="D3" s="255"/>
      <c r="E3" s="255"/>
      <c r="F3" s="255"/>
      <c r="G3" s="255"/>
      <c r="H3" s="255"/>
      <c r="I3" s="255"/>
      <c r="J3" s="255"/>
      <c r="K3" s="58"/>
      <c r="L3" s="59"/>
    </row>
    <row r="4" spans="1:13" ht="37.15" thickBot="1">
      <c r="A4" s="222" t="s">
        <v>34</v>
      </c>
      <c r="B4" s="222" t="s">
        <v>35</v>
      </c>
      <c r="C4" s="222" t="s">
        <v>36</v>
      </c>
      <c r="D4" s="141" t="s">
        <v>37</v>
      </c>
      <c r="E4" s="141" t="s">
        <v>38</v>
      </c>
      <c r="F4" s="142" t="s">
        <v>39</v>
      </c>
      <c r="G4" s="143" t="s">
        <v>40</v>
      </c>
      <c r="H4" s="143" t="s">
        <v>41</v>
      </c>
      <c r="I4" s="143" t="s">
        <v>42</v>
      </c>
      <c r="J4" s="144" t="s">
        <v>43</v>
      </c>
      <c r="K4" s="57"/>
      <c r="L4" s="60"/>
    </row>
    <row r="5" spans="1:13" ht="14.45">
      <c r="A5" s="228"/>
      <c r="B5" s="228"/>
      <c r="C5" s="12" t="s">
        <v>44</v>
      </c>
      <c r="D5" s="161"/>
      <c r="E5" s="160"/>
      <c r="F5" s="119"/>
      <c r="G5" s="13"/>
      <c r="H5" s="14"/>
      <c r="I5" s="14"/>
      <c r="J5" s="15"/>
      <c r="K5" s="54"/>
    </row>
    <row r="6" spans="1:13" ht="24.6">
      <c r="A6" s="256" t="s">
        <v>45</v>
      </c>
      <c r="B6" s="256" t="s">
        <v>46</v>
      </c>
      <c r="C6" s="147" t="s">
        <v>47</v>
      </c>
      <c r="D6" s="91">
        <v>12941</v>
      </c>
      <c r="E6" s="91">
        <f>(9730*0.05*3)+(9730*0.1*7)+((9730*1.035)*0.1*6)</f>
        <v>14312.83</v>
      </c>
      <c r="F6" s="120">
        <v>0</v>
      </c>
      <c r="G6" s="91">
        <f>(10070*0.05*4)+(10070*0.1*6)+((10070*1.035)*0.1*2)</f>
        <v>10140.49</v>
      </c>
      <c r="H6" s="28">
        <v>0</v>
      </c>
      <c r="I6" s="28">
        <f>SUM(G6:H6)</f>
        <v>10140.49</v>
      </c>
      <c r="J6" s="56">
        <f>(G6-E6)/E6</f>
        <v>-0.29151048395041373</v>
      </c>
      <c r="M6" s="93"/>
    </row>
    <row r="7" spans="1:13" ht="24.6">
      <c r="A7" s="257"/>
      <c r="B7" s="257"/>
      <c r="C7" s="147" t="s">
        <v>48</v>
      </c>
      <c r="D7" s="73">
        <v>83886</v>
      </c>
      <c r="E7" s="73">
        <f>(6064*0.2*3)+(6064*0.85*7)+((6064*1.035)*1*4)+((6064*1.035)*0.5*2)</f>
        <v>71100.399999999994</v>
      </c>
      <c r="F7" s="121">
        <v>11615.6</v>
      </c>
      <c r="G7" s="73">
        <f>(6276*0.5*4)+(6276*6)+((6276*1.035)*2)</f>
        <v>63199.32</v>
      </c>
      <c r="H7" s="28">
        <v>0</v>
      </c>
      <c r="I7" s="28">
        <f>SUM(G7:H7)</f>
        <v>63199.32</v>
      </c>
      <c r="J7" s="56">
        <f>(G7-E7)/E7</f>
        <v>-0.11112567580491804</v>
      </c>
    </row>
    <row r="8" spans="1:13" ht="24.6">
      <c r="A8" s="258"/>
      <c r="B8" s="258"/>
      <c r="C8" s="147" t="s">
        <v>49</v>
      </c>
      <c r="D8" s="45">
        <v>5882</v>
      </c>
      <c r="E8" s="45">
        <f>4313*0.2*6</f>
        <v>5175.6000000000004</v>
      </c>
      <c r="F8" s="122">
        <v>974.63</v>
      </c>
      <c r="G8" s="91">
        <f>(4416*0.3*4)+(4416*0.5*6)+((4416*1.035)*0.5*2)</f>
        <v>23117.760000000002</v>
      </c>
      <c r="H8" s="45">
        <v>0</v>
      </c>
      <c r="I8" s="45">
        <f>SUM(G8:H8)</f>
        <v>23117.760000000002</v>
      </c>
      <c r="J8" s="56">
        <f>(G8-E8)/E8</f>
        <v>3.4666821238117325</v>
      </c>
      <c r="K8" s="7"/>
    </row>
    <row r="9" spans="1:13" ht="14.65" thickBot="1">
      <c r="A9" s="229"/>
      <c r="B9" s="229"/>
      <c r="C9" s="75" t="s">
        <v>50</v>
      </c>
      <c r="D9" s="46">
        <f>SUM(D6:D8)</f>
        <v>102709</v>
      </c>
      <c r="E9" s="46">
        <f>SUM(E6:E8)</f>
        <v>90588.83</v>
      </c>
      <c r="F9" s="123">
        <f>SUM(F6:F8)</f>
        <v>12590.23</v>
      </c>
      <c r="G9" s="46">
        <f>SUM(G6:G8)</f>
        <v>96457.57</v>
      </c>
      <c r="H9" s="33">
        <f>SUM(H6:H8)</f>
        <v>0</v>
      </c>
      <c r="I9" s="33">
        <f>SUM(G9:H9)</f>
        <v>96457.57</v>
      </c>
      <c r="J9" s="111">
        <f>(G9-E9)/E9</f>
        <v>6.4784366902630328E-2</v>
      </c>
      <c r="K9" s="146"/>
      <c r="L9" s="5"/>
      <c r="M9" s="5"/>
    </row>
    <row r="10" spans="1:13" ht="14.45">
      <c r="A10" s="228"/>
      <c r="B10" s="228"/>
      <c r="C10" s="12" t="s">
        <v>51</v>
      </c>
      <c r="D10" s="163"/>
      <c r="E10" s="162"/>
      <c r="F10" s="124"/>
      <c r="G10" s="23"/>
      <c r="H10" s="24"/>
      <c r="I10" s="24"/>
      <c r="J10" s="25"/>
      <c r="K10" s="7"/>
    </row>
    <row r="11" spans="1:13" ht="14.45">
      <c r="A11" s="112" t="s">
        <v>52</v>
      </c>
      <c r="B11" s="112" t="s">
        <v>46</v>
      </c>
      <c r="C11" s="112">
        <v>0.21809999999999999</v>
      </c>
      <c r="D11" s="171">
        <f>D9*0.2647</f>
        <v>27187.0723</v>
      </c>
      <c r="E11" s="172">
        <f>E9*C11</f>
        <v>19757.423823000001</v>
      </c>
      <c r="F11" s="120">
        <v>3587.09</v>
      </c>
      <c r="G11" s="159">
        <f>G9*C11</f>
        <v>21037.396016999999</v>
      </c>
      <c r="H11" s="16">
        <f>H9*0.2647</f>
        <v>0</v>
      </c>
      <c r="I11" s="16">
        <f>SUM(G11:H11)</f>
        <v>21037.396016999999</v>
      </c>
      <c r="J11" s="17">
        <f>(G11-E11)/E11</f>
        <v>6.4784366902630175E-2</v>
      </c>
      <c r="K11" s="7"/>
    </row>
    <row r="12" spans="1:13" ht="14.65" thickBot="1">
      <c r="A12" s="230"/>
      <c r="B12" s="230"/>
      <c r="C12" s="19" t="s">
        <v>53</v>
      </c>
      <c r="D12" s="173">
        <f>SUM(D11)</f>
        <v>27187.0723</v>
      </c>
      <c r="E12" s="20">
        <f>SUM(E11)</f>
        <v>19757.423823000001</v>
      </c>
      <c r="F12" s="125">
        <f>SUM(F11)</f>
        <v>3587.09</v>
      </c>
      <c r="G12" s="20">
        <f>SUM(G11)</f>
        <v>21037.396016999999</v>
      </c>
      <c r="H12" s="21">
        <f>SUM(H11)</f>
        <v>0</v>
      </c>
      <c r="I12" s="21">
        <f>SUM(G12:H12)</f>
        <v>21037.396016999999</v>
      </c>
      <c r="J12" s="22">
        <f>(G12-E12)/E12</f>
        <v>6.4784366902630175E-2</v>
      </c>
      <c r="K12" s="7"/>
    </row>
    <row r="13" spans="1:13" ht="14.45">
      <c r="A13" s="231"/>
      <c r="B13" s="231"/>
      <c r="C13" s="113" t="s">
        <v>54</v>
      </c>
      <c r="D13" s="163"/>
      <c r="E13" s="162"/>
      <c r="F13" s="124"/>
      <c r="G13" s="23"/>
      <c r="H13" s="24"/>
      <c r="I13" s="24"/>
      <c r="J13" s="25"/>
      <c r="K13" s="7"/>
    </row>
    <row r="14" spans="1:13" ht="14.45">
      <c r="A14" s="232"/>
      <c r="B14" s="232"/>
      <c r="C14" s="76" t="s">
        <v>55</v>
      </c>
      <c r="D14" s="165"/>
      <c r="E14" s="164"/>
      <c r="F14" s="126"/>
      <c r="G14" s="26"/>
      <c r="H14" s="27"/>
      <c r="I14" s="27"/>
      <c r="J14" s="17"/>
      <c r="K14" s="7"/>
    </row>
    <row r="15" spans="1:13" ht="14.45">
      <c r="A15" s="224" t="s">
        <v>56</v>
      </c>
      <c r="B15" s="224">
        <v>7510</v>
      </c>
      <c r="C15" s="55" t="s">
        <v>57</v>
      </c>
      <c r="D15" s="169">
        <v>0</v>
      </c>
      <c r="E15" s="166">
        <v>0</v>
      </c>
      <c r="F15" s="127">
        <v>0</v>
      </c>
      <c r="G15" s="159">
        <f>500*2</f>
        <v>1000</v>
      </c>
      <c r="H15" s="28">
        <v>0</v>
      </c>
      <c r="I15" s="16">
        <f>SUM(E15:H15)</f>
        <v>1000</v>
      </c>
      <c r="J15" s="17">
        <v>1</v>
      </c>
      <c r="K15" s="7"/>
    </row>
    <row r="16" spans="1:13" ht="14.45">
      <c r="A16" s="224" t="s">
        <v>58</v>
      </c>
      <c r="B16" s="224">
        <v>7520</v>
      </c>
      <c r="C16" s="55" t="s">
        <v>59</v>
      </c>
      <c r="D16" s="169">
        <v>0</v>
      </c>
      <c r="E16" s="166">
        <v>0</v>
      </c>
      <c r="F16" s="127">
        <v>0</v>
      </c>
      <c r="G16" s="155">
        <f>180*5*2</f>
        <v>1800</v>
      </c>
      <c r="H16" s="28">
        <v>0</v>
      </c>
      <c r="I16" s="16">
        <f>SUM(E16:H16)</f>
        <v>1800</v>
      </c>
      <c r="J16" s="17">
        <v>1</v>
      </c>
      <c r="K16" s="7"/>
    </row>
    <row r="17" spans="1:11" ht="14.45">
      <c r="A17" s="224" t="s">
        <v>56</v>
      </c>
      <c r="B17" s="224">
        <v>7510</v>
      </c>
      <c r="C17" s="55" t="s">
        <v>60</v>
      </c>
      <c r="D17" s="45">
        <f>1200*2</f>
        <v>2400</v>
      </c>
      <c r="E17" s="167">
        <f>1400*2</f>
        <v>2800</v>
      </c>
      <c r="F17" s="128">
        <v>0</v>
      </c>
      <c r="G17" s="45">
        <f>1400*2</f>
        <v>2800</v>
      </c>
      <c r="H17" s="110">
        <v>0</v>
      </c>
      <c r="I17" s="28">
        <f>SUM(G17:H17)</f>
        <v>2800</v>
      </c>
      <c r="J17" s="17">
        <f>(G17-E17)/E17</f>
        <v>0</v>
      </c>
      <c r="K17" s="7"/>
    </row>
    <row r="18" spans="1:11" ht="24.6">
      <c r="A18" s="224" t="s">
        <v>58</v>
      </c>
      <c r="B18" s="243" t="s">
        <v>61</v>
      </c>
      <c r="C18" s="55" t="s">
        <v>62</v>
      </c>
      <c r="D18" s="45">
        <f>225*5*2</f>
        <v>2250</v>
      </c>
      <c r="E18" s="167">
        <f>225*7*2</f>
        <v>3150</v>
      </c>
      <c r="F18" s="128">
        <v>0</v>
      </c>
      <c r="G18" s="45">
        <f>225*7*2</f>
        <v>3150</v>
      </c>
      <c r="H18" s="110">
        <v>0</v>
      </c>
      <c r="I18" s="28">
        <f>SUM(G18:H18)</f>
        <v>3150</v>
      </c>
      <c r="J18" s="17">
        <f>(G18-E18)/E18</f>
        <v>0</v>
      </c>
      <c r="K18" s="7"/>
    </row>
    <row r="19" spans="1:11" ht="14.45">
      <c r="A19" s="232"/>
      <c r="B19" s="232"/>
      <c r="C19" s="76" t="s">
        <v>63</v>
      </c>
      <c r="D19" s="170"/>
      <c r="E19" s="168"/>
      <c r="F19" s="129"/>
      <c r="G19" s="90"/>
      <c r="H19" s="28"/>
      <c r="I19" s="16"/>
      <c r="J19" s="17"/>
      <c r="K19" s="7"/>
    </row>
    <row r="20" spans="1:11" ht="14.45">
      <c r="A20" s="224" t="s">
        <v>64</v>
      </c>
      <c r="B20" s="224">
        <v>7010</v>
      </c>
      <c r="C20" s="55" t="s">
        <v>65</v>
      </c>
      <c r="D20" s="18">
        <f>1600*55</f>
        <v>88000</v>
      </c>
      <c r="E20" s="18">
        <f>1800*35</f>
        <v>63000</v>
      </c>
      <c r="F20" s="130">
        <v>0</v>
      </c>
      <c r="G20" s="18">
        <f>1800*30</f>
        <v>54000</v>
      </c>
      <c r="H20" s="28">
        <v>0</v>
      </c>
      <c r="I20" s="16">
        <f>SUM(G20:H20)</f>
        <v>54000</v>
      </c>
      <c r="J20" s="17">
        <f>(G20-E20)/E20</f>
        <v>-0.14285714285714285</v>
      </c>
      <c r="K20" s="7"/>
    </row>
    <row r="21" spans="1:11" ht="14.45">
      <c r="A21" s="224" t="s">
        <v>66</v>
      </c>
      <c r="B21" s="224">
        <v>7015</v>
      </c>
      <c r="C21" s="55" t="s">
        <v>67</v>
      </c>
      <c r="D21" s="89">
        <f>100*55</f>
        <v>5500</v>
      </c>
      <c r="E21" s="89">
        <f>100*35</f>
        <v>3500</v>
      </c>
      <c r="F21" s="131">
        <v>0</v>
      </c>
      <c r="G21" s="155">
        <f>100*30</f>
        <v>3000</v>
      </c>
      <c r="H21" s="29">
        <v>0</v>
      </c>
      <c r="I21" s="30">
        <f>SUM(G21:H21)</f>
        <v>3000</v>
      </c>
      <c r="J21" s="31">
        <f>(G21-E21)/E21</f>
        <v>-0.14285714285714285</v>
      </c>
      <c r="K21" s="154"/>
    </row>
    <row r="22" spans="1:11" ht="14.45" hidden="1">
      <c r="A22" s="225"/>
      <c r="B22" s="225"/>
      <c r="C22" s="55" t="s">
        <v>68</v>
      </c>
      <c r="D22" s="45">
        <f>180*5</f>
        <v>900</v>
      </c>
      <c r="E22" s="167">
        <f>180*2</f>
        <v>360</v>
      </c>
      <c r="F22" s="131">
        <v>0</v>
      </c>
      <c r="G22" s="155">
        <v>0</v>
      </c>
      <c r="H22" s="29">
        <v>0</v>
      </c>
      <c r="I22" s="30">
        <f>SUM(G22:H22)</f>
        <v>0</v>
      </c>
      <c r="J22" s="31">
        <f>(G22-E22)/E22</f>
        <v>-1</v>
      </c>
      <c r="K22" s="154"/>
    </row>
    <row r="23" spans="1:11" ht="14.65" thickBot="1">
      <c r="A23" s="230"/>
      <c r="B23" s="230"/>
      <c r="C23" s="19" t="s">
        <v>69</v>
      </c>
      <c r="D23" s="32">
        <f>SUM(D15:D22)</f>
        <v>99050</v>
      </c>
      <c r="E23" s="32">
        <f>SUM(E15:E22)</f>
        <v>72810</v>
      </c>
      <c r="F23" s="132">
        <f>SUM(F15:F21)</f>
        <v>0</v>
      </c>
      <c r="G23" s="32">
        <f>SUM(G15:G22)</f>
        <v>65750</v>
      </c>
      <c r="H23" s="32">
        <f>SUM(H15:H22)</f>
        <v>0</v>
      </c>
      <c r="I23" s="32">
        <f>SUM(I15:I22)</f>
        <v>65750</v>
      </c>
      <c r="J23" s="34">
        <f>(G23-E23)/E23</f>
        <v>-9.6964702650734785E-2</v>
      </c>
      <c r="K23" s="7"/>
    </row>
    <row r="24" spans="1:11" ht="14.45">
      <c r="A24" s="233"/>
      <c r="B24" s="233"/>
      <c r="C24" s="35" t="s">
        <v>70</v>
      </c>
      <c r="D24" s="83"/>
      <c r="E24" s="83"/>
      <c r="F24" s="133"/>
      <c r="G24" s="84"/>
      <c r="H24" s="84"/>
      <c r="I24" s="84"/>
      <c r="J24" s="85"/>
      <c r="K24" s="7"/>
    </row>
    <row r="25" spans="1:11" ht="14.45">
      <c r="A25" s="234"/>
      <c r="B25" s="234"/>
      <c r="C25" s="36" t="s">
        <v>71</v>
      </c>
      <c r="D25" s="86"/>
      <c r="E25" s="86"/>
      <c r="F25" s="134"/>
      <c r="G25" s="87"/>
      <c r="H25" s="87"/>
      <c r="I25" s="87"/>
      <c r="J25" s="88"/>
      <c r="K25" s="7"/>
    </row>
    <row r="26" spans="1:11" ht="14.45">
      <c r="A26" s="234"/>
      <c r="B26" s="234"/>
      <c r="C26" s="36" t="s">
        <v>72</v>
      </c>
      <c r="D26" s="86"/>
      <c r="E26" s="86"/>
      <c r="F26" s="134"/>
      <c r="G26" s="87"/>
      <c r="H26" s="87"/>
      <c r="I26" s="87"/>
      <c r="J26" s="88"/>
      <c r="K26" s="7"/>
    </row>
    <row r="27" spans="1:11" ht="14.65" thickBot="1">
      <c r="A27" s="235"/>
      <c r="B27" s="235"/>
      <c r="C27" s="37" t="s">
        <v>73</v>
      </c>
      <c r="D27" s="96"/>
      <c r="E27" s="96"/>
      <c r="F27" s="135"/>
      <c r="G27" s="97"/>
      <c r="H27" s="97"/>
      <c r="I27" s="97"/>
      <c r="J27" s="98"/>
      <c r="K27" s="7"/>
    </row>
    <row r="28" spans="1:11" ht="14.45">
      <c r="A28" s="236"/>
      <c r="B28" s="236"/>
      <c r="C28" s="94" t="s">
        <v>74</v>
      </c>
      <c r="D28" s="102"/>
      <c r="E28" s="174"/>
      <c r="F28" s="136"/>
      <c r="G28" s="103"/>
      <c r="H28" s="103"/>
      <c r="I28" s="103"/>
      <c r="J28" s="104"/>
      <c r="K28" s="7"/>
    </row>
    <row r="29" spans="1:11" ht="14.45">
      <c r="A29" s="232"/>
      <c r="B29" s="232"/>
      <c r="C29" s="76" t="s">
        <v>75</v>
      </c>
      <c r="D29" s="156"/>
      <c r="E29" s="156"/>
      <c r="F29" s="126"/>
      <c r="G29" s="101"/>
      <c r="H29" s="101"/>
      <c r="I29" s="101"/>
      <c r="J29" s="105"/>
      <c r="K29" s="7"/>
    </row>
    <row r="30" spans="1:11" ht="14.45">
      <c r="A30" s="225" t="s">
        <v>76</v>
      </c>
      <c r="B30" s="225">
        <v>7610</v>
      </c>
      <c r="C30" s="55" t="s">
        <v>77</v>
      </c>
      <c r="D30" s="45">
        <f>320*32</f>
        <v>10240</v>
      </c>
      <c r="E30" s="157">
        <f>320*88</f>
        <v>28160</v>
      </c>
      <c r="F30" s="130">
        <v>0</v>
      </c>
      <c r="G30" s="45">
        <f>320*96</f>
        <v>30720</v>
      </c>
      <c r="H30" s="45">
        <v>0</v>
      </c>
      <c r="I30" s="45">
        <f>SUM(G30:H30)</f>
        <v>30720</v>
      </c>
      <c r="J30" s="105">
        <f>(G30-E30)/E30</f>
        <v>9.0909090909090912E-2</v>
      </c>
      <c r="K30" s="7"/>
    </row>
    <row r="31" spans="1:11" ht="14.45">
      <c r="A31" s="232"/>
      <c r="B31" s="232"/>
      <c r="C31" s="76" t="s">
        <v>78</v>
      </c>
      <c r="D31" s="157"/>
      <c r="E31" s="157"/>
      <c r="F31" s="130"/>
      <c r="G31" s="45"/>
      <c r="H31" s="45"/>
      <c r="I31" s="45"/>
      <c r="J31" s="105"/>
      <c r="K31" s="7"/>
    </row>
    <row r="32" spans="1:11" ht="14.45">
      <c r="A32" s="225" t="s">
        <v>79</v>
      </c>
      <c r="B32" s="225">
        <v>7015</v>
      </c>
      <c r="C32" s="55" t="s">
        <v>80</v>
      </c>
      <c r="D32" s="45">
        <f>400*4</f>
        <v>1600</v>
      </c>
      <c r="E32" s="157">
        <f>400*2</f>
        <v>800</v>
      </c>
      <c r="F32" s="130">
        <v>0</v>
      </c>
      <c r="G32" s="45">
        <f>400*2</f>
        <v>800</v>
      </c>
      <c r="H32" s="45">
        <v>0</v>
      </c>
      <c r="I32" s="45">
        <f>SUM(G32:H32)</f>
        <v>800</v>
      </c>
      <c r="J32" s="105">
        <f>(G32-E32)/E32</f>
        <v>0</v>
      </c>
      <c r="K32" s="7"/>
    </row>
    <row r="33" spans="1:14" ht="14.45">
      <c r="A33" s="232"/>
      <c r="B33" s="232"/>
      <c r="C33" s="76" t="s">
        <v>81</v>
      </c>
      <c r="D33" s="157"/>
      <c r="E33" s="157"/>
      <c r="F33" s="130"/>
      <c r="G33" s="45"/>
      <c r="H33" s="45"/>
      <c r="I33" s="45"/>
      <c r="J33" s="105"/>
      <c r="K33" s="7"/>
    </row>
    <row r="34" spans="1:14" ht="14.45">
      <c r="A34" s="225" t="s">
        <v>82</v>
      </c>
      <c r="B34" s="225">
        <v>8221</v>
      </c>
      <c r="C34" s="55" t="s">
        <v>83</v>
      </c>
      <c r="D34" s="45">
        <f>250*4</f>
        <v>1000</v>
      </c>
      <c r="E34" s="157">
        <f>250*20</f>
        <v>5000</v>
      </c>
      <c r="F34" s="130">
        <v>0</v>
      </c>
      <c r="G34" s="45">
        <f>250*20</f>
        <v>5000</v>
      </c>
      <c r="H34" s="45">
        <v>0</v>
      </c>
      <c r="I34" s="45">
        <f>SUM(G34:H34)</f>
        <v>5000</v>
      </c>
      <c r="J34" s="105">
        <f>(G34-E34)/E34</f>
        <v>0</v>
      </c>
      <c r="K34" s="7"/>
      <c r="M34" s="5"/>
      <c r="N34" s="93"/>
    </row>
    <row r="35" spans="1:14" ht="14.45">
      <c r="A35" s="232"/>
      <c r="B35" s="232"/>
      <c r="C35" s="76" t="s">
        <v>84</v>
      </c>
      <c r="D35" s="157"/>
      <c r="E35" s="157"/>
      <c r="F35" s="130"/>
      <c r="G35" s="45"/>
      <c r="H35" s="45"/>
      <c r="I35" s="45"/>
      <c r="J35" s="105"/>
      <c r="K35" s="7"/>
      <c r="M35" s="5"/>
      <c r="N35" s="93"/>
    </row>
    <row r="36" spans="1:14" ht="14.45">
      <c r="A36" s="225" t="s">
        <v>85</v>
      </c>
      <c r="B36" s="225">
        <v>7390</v>
      </c>
      <c r="C36" s="55" t="s">
        <v>86</v>
      </c>
      <c r="D36" s="157">
        <v>5000</v>
      </c>
      <c r="E36" s="157">
        <v>5000</v>
      </c>
      <c r="F36" s="130">
        <v>0</v>
      </c>
      <c r="G36" s="45">
        <v>5000</v>
      </c>
      <c r="H36" s="45">
        <v>0</v>
      </c>
      <c r="I36" s="45">
        <f>SUM(G36:H36)</f>
        <v>5000</v>
      </c>
      <c r="J36" s="105">
        <f>(G36-E36)/E36</f>
        <v>0</v>
      </c>
      <c r="K36" s="7"/>
      <c r="M36" s="5"/>
      <c r="N36" s="93"/>
    </row>
    <row r="37" spans="1:14" ht="14.45">
      <c r="A37" s="232"/>
      <c r="B37" s="232"/>
      <c r="C37" s="76" t="s">
        <v>87</v>
      </c>
      <c r="D37" s="157"/>
      <c r="E37" s="157"/>
      <c r="F37" s="130"/>
      <c r="G37" s="45"/>
      <c r="H37" s="45"/>
      <c r="I37" s="45"/>
      <c r="J37" s="105"/>
      <c r="K37" s="7"/>
      <c r="M37" s="5"/>
      <c r="N37" s="93"/>
    </row>
    <row r="38" spans="1:14" ht="14.45">
      <c r="A38" s="237" t="s">
        <v>88</v>
      </c>
      <c r="B38" s="225">
        <v>7610</v>
      </c>
      <c r="C38" s="55" t="s">
        <v>89</v>
      </c>
      <c r="D38" s="157">
        <v>0</v>
      </c>
      <c r="E38" s="157">
        <f>225*16</f>
        <v>3600</v>
      </c>
      <c r="F38" s="130">
        <v>0</v>
      </c>
      <c r="G38" s="45">
        <f>250*12</f>
        <v>3000</v>
      </c>
      <c r="H38" s="45">
        <v>0</v>
      </c>
      <c r="I38" s="45">
        <v>0</v>
      </c>
      <c r="J38" s="105">
        <f>(G38-E38)/E38</f>
        <v>-0.16666666666666666</v>
      </c>
      <c r="K38" s="7"/>
      <c r="M38" s="5"/>
      <c r="N38" s="93"/>
    </row>
    <row r="39" spans="1:14" ht="14.45">
      <c r="A39" s="237" t="s">
        <v>90</v>
      </c>
      <c r="B39" s="225">
        <v>8110</v>
      </c>
      <c r="C39" s="55" t="s">
        <v>91</v>
      </c>
      <c r="D39" s="157">
        <v>0</v>
      </c>
      <c r="E39" s="157">
        <f>75*16</f>
        <v>1200</v>
      </c>
      <c r="F39" s="130">
        <v>0</v>
      </c>
      <c r="G39" s="45">
        <f>75*12</f>
        <v>900</v>
      </c>
      <c r="H39" s="45">
        <v>0</v>
      </c>
      <c r="I39" s="45">
        <v>0</v>
      </c>
      <c r="J39" s="105">
        <f>(G39-E39)/E39</f>
        <v>-0.25</v>
      </c>
      <c r="K39" s="7"/>
      <c r="M39" s="5"/>
      <c r="N39" s="93"/>
    </row>
    <row r="40" spans="1:14" ht="14.45">
      <c r="A40" s="237" t="s">
        <v>92</v>
      </c>
      <c r="B40" s="225">
        <v>8110</v>
      </c>
      <c r="C40" s="55" t="s">
        <v>93</v>
      </c>
      <c r="D40" s="158">
        <v>0</v>
      </c>
      <c r="E40" s="175">
        <f>2000*2</f>
        <v>4000</v>
      </c>
      <c r="F40" s="130">
        <v>0</v>
      </c>
      <c r="G40" s="45">
        <f>2000</f>
        <v>2000</v>
      </c>
      <c r="H40" s="45">
        <v>0</v>
      </c>
      <c r="I40" s="45">
        <v>0</v>
      </c>
      <c r="J40" s="105">
        <f>(G40-E40)/E40</f>
        <v>-0.5</v>
      </c>
      <c r="K40" s="7"/>
      <c r="M40" s="5"/>
      <c r="N40" s="93"/>
    </row>
    <row r="41" spans="1:14" ht="14.45">
      <c r="A41" s="238"/>
      <c r="B41" s="238"/>
      <c r="C41" s="95" t="s">
        <v>94</v>
      </c>
      <c r="D41" s="106"/>
      <c r="E41" s="176"/>
      <c r="F41" s="130"/>
      <c r="G41" s="45"/>
      <c r="H41" s="45"/>
      <c r="I41" s="45"/>
      <c r="J41" s="105"/>
      <c r="K41" s="7"/>
    </row>
    <row r="42" spans="1:14" ht="14.45">
      <c r="A42" s="225" t="s">
        <v>95</v>
      </c>
      <c r="B42" s="225">
        <v>7360</v>
      </c>
      <c r="C42" s="55" t="s">
        <v>96</v>
      </c>
      <c r="D42" s="45">
        <f>3000*12</f>
        <v>36000</v>
      </c>
      <c r="E42" s="167">
        <f>3000*18</f>
        <v>54000</v>
      </c>
      <c r="F42" s="130">
        <v>0</v>
      </c>
      <c r="G42" s="45">
        <f>3000*18</f>
        <v>54000</v>
      </c>
      <c r="H42" s="45">
        <f>3000*18</f>
        <v>54000</v>
      </c>
      <c r="I42" s="45">
        <f>SUM(G42:H42)</f>
        <v>108000</v>
      </c>
      <c r="J42" s="105">
        <f>(G42-E42)/E42</f>
        <v>0</v>
      </c>
      <c r="K42" s="154"/>
    </row>
    <row r="43" spans="1:14" ht="14.45">
      <c r="A43" s="238"/>
      <c r="B43" s="238"/>
      <c r="C43" s="95" t="s">
        <v>97</v>
      </c>
      <c r="D43" s="106"/>
      <c r="E43" s="176"/>
      <c r="F43" s="130"/>
      <c r="G43" s="45"/>
      <c r="H43" s="45"/>
      <c r="I43" s="45"/>
      <c r="J43" s="105"/>
      <c r="K43" s="7"/>
    </row>
    <row r="44" spans="1:14" ht="14.45">
      <c r="A44" s="225" t="s">
        <v>98</v>
      </c>
      <c r="B44" s="225">
        <v>7740</v>
      </c>
      <c r="C44" s="55" t="s">
        <v>99</v>
      </c>
      <c r="D44" s="45">
        <v>281</v>
      </c>
      <c r="E44" s="167">
        <v>350.5</v>
      </c>
      <c r="F44" s="130">
        <v>0</v>
      </c>
      <c r="G44" s="45">
        <v>602</v>
      </c>
      <c r="H44" s="45">
        <v>0</v>
      </c>
      <c r="I44" s="45">
        <f>SUM(G44:H44)</f>
        <v>602</v>
      </c>
      <c r="J44" s="105">
        <f>(G44-E44)/E44</f>
        <v>0.71754636233951496</v>
      </c>
      <c r="K44" s="7"/>
    </row>
    <row r="45" spans="1:14" ht="14.45">
      <c r="A45" s="238"/>
      <c r="B45" s="238"/>
      <c r="C45" s="95" t="s">
        <v>100</v>
      </c>
      <c r="D45" s="74"/>
      <c r="E45" s="167"/>
      <c r="F45" s="130"/>
      <c r="G45" s="45"/>
      <c r="H45" s="45"/>
      <c r="I45" s="45"/>
      <c r="J45" s="105"/>
      <c r="K45" s="7"/>
    </row>
    <row r="46" spans="1:14" ht="14.65">
      <c r="A46" s="225" t="s">
        <v>101</v>
      </c>
      <c r="B46" s="225" t="s">
        <v>102</v>
      </c>
      <c r="C46" s="114" t="s">
        <v>103</v>
      </c>
      <c r="D46" s="74">
        <v>0</v>
      </c>
      <c r="E46" s="167">
        <v>0</v>
      </c>
      <c r="F46" s="131">
        <v>0</v>
      </c>
      <c r="G46" s="45">
        <v>0</v>
      </c>
      <c r="H46" s="45">
        <f>'Volunteer Time Cost Share'!E14</f>
        <v>58276.800000000003</v>
      </c>
      <c r="I46" s="45">
        <f>SUM(G46:H46)</f>
        <v>58276.800000000003</v>
      </c>
      <c r="J46" s="105">
        <v>0</v>
      </c>
      <c r="K46" s="7"/>
      <c r="M46" s="117"/>
    </row>
    <row r="47" spans="1:14" ht="14.65" thickBot="1">
      <c r="A47" s="239"/>
      <c r="B47" s="239"/>
      <c r="C47" s="115" t="s">
        <v>104</v>
      </c>
      <c r="D47" s="107">
        <f>SUM(D27:D46)</f>
        <v>54121</v>
      </c>
      <c r="E47" s="177">
        <f>SUM(E27:E46)</f>
        <v>102110.5</v>
      </c>
      <c r="F47" s="137">
        <f>SUM(F30:F46)</f>
        <v>0</v>
      </c>
      <c r="G47" s="108">
        <f>SUM(G30:G46)</f>
        <v>102022</v>
      </c>
      <c r="H47" s="108">
        <f>SUM(H30:H46)</f>
        <v>112276.8</v>
      </c>
      <c r="I47" s="108">
        <f>SUM(G47:H47)</f>
        <v>214298.8</v>
      </c>
      <c r="J47" s="109">
        <f>(G47-E47)/E47</f>
        <v>-8.667081250214229E-4</v>
      </c>
      <c r="K47" s="2"/>
    </row>
    <row r="48" spans="1:14" ht="14.45">
      <c r="A48" s="231"/>
      <c r="B48" s="231"/>
      <c r="C48" s="113" t="s">
        <v>105</v>
      </c>
      <c r="D48" s="181"/>
      <c r="E48" s="178"/>
      <c r="F48" s="138"/>
      <c r="G48" s="99"/>
      <c r="H48" s="99"/>
      <c r="I48" s="99"/>
      <c r="J48" s="100"/>
      <c r="K48" s="2"/>
    </row>
    <row r="49" spans="1:11" ht="14.45">
      <c r="A49" s="226" t="s">
        <v>106</v>
      </c>
      <c r="B49" s="225">
        <v>8400</v>
      </c>
      <c r="C49" s="112">
        <v>0.28689999999999999</v>
      </c>
      <c r="D49" s="182">
        <f>(D47+D23+D12+D9)*0.2969</f>
        <v>84042.613765870003</v>
      </c>
      <c r="E49" s="179">
        <f>(E47+E23+E12+E9)*C49</f>
        <v>81843.031671818695</v>
      </c>
      <c r="F49" s="130">
        <v>4103.04</v>
      </c>
      <c r="G49" s="38">
        <f>(G47+G23+G12+G9)*C49</f>
        <v>81843.092550277303</v>
      </c>
      <c r="H49" s="39">
        <v>0</v>
      </c>
      <c r="I49" s="38">
        <f>SUM(G49:H49)</f>
        <v>81843.092550277303</v>
      </c>
      <c r="J49" s="31">
        <f>(G49-E49)/E49</f>
        <v>7.4384412898573868E-7</v>
      </c>
      <c r="K49" s="2"/>
    </row>
    <row r="50" spans="1:11" ht="14.65" thickBot="1">
      <c r="A50" s="230"/>
      <c r="B50" s="230"/>
      <c r="C50" s="19" t="s">
        <v>107</v>
      </c>
      <c r="D50" s="183">
        <f>D49</f>
        <v>84042.613765870003</v>
      </c>
      <c r="E50" s="180">
        <f>E49</f>
        <v>81843.031671818695</v>
      </c>
      <c r="F50" s="139">
        <f>F49</f>
        <v>4103.04</v>
      </c>
      <c r="G50" s="40">
        <f>G49</f>
        <v>81843.092550277303</v>
      </c>
      <c r="H50" s="41">
        <v>0</v>
      </c>
      <c r="I50" s="40">
        <f>SUM(G50:H50)</f>
        <v>81843.092550277303</v>
      </c>
      <c r="J50" s="47">
        <f>(G50-E50)/E50</f>
        <v>7.4384412898573868E-7</v>
      </c>
      <c r="K50" s="2"/>
    </row>
    <row r="51" spans="1:11" ht="14.65" thickBot="1">
      <c r="A51" s="240"/>
      <c r="B51" s="240"/>
      <c r="C51" s="42" t="s">
        <v>108</v>
      </c>
      <c r="D51" s="43">
        <f>D50+D47+D23+D12+D9</f>
        <v>367109.68606586999</v>
      </c>
      <c r="E51" s="43">
        <f>E50+E47+E23+E12+E9</f>
        <v>367109.7854948187</v>
      </c>
      <c r="F51" s="140">
        <f>F50+F47+F23+F12+F9</f>
        <v>20280.36</v>
      </c>
      <c r="G51" s="148">
        <f>G50+G47+G23+G12+G9</f>
        <v>367110.05856727733</v>
      </c>
      <c r="H51" s="43">
        <f>H47+H12+H9</f>
        <v>112276.8</v>
      </c>
      <c r="I51" s="43">
        <f>SUM(G51:H51)</f>
        <v>479386.85856727732</v>
      </c>
      <c r="J51" s="44">
        <f>(G51-E51)/E51</f>
        <v>7.4384412897346973E-7</v>
      </c>
      <c r="K51" s="2"/>
    </row>
    <row r="52" spans="1:11" ht="14.45">
      <c r="A52" s="241"/>
      <c r="B52" s="241"/>
      <c r="C52" s="2" t="s">
        <v>29</v>
      </c>
      <c r="D52" s="145"/>
      <c r="E52" s="145"/>
      <c r="F52" s="2"/>
      <c r="G52" s="8"/>
      <c r="H52" s="2"/>
      <c r="I52" s="2"/>
      <c r="J52" s="2"/>
      <c r="K52" s="2"/>
    </row>
    <row r="53" spans="1:11" ht="14.45">
      <c r="A53" s="242"/>
      <c r="B53" s="242"/>
      <c r="C53" s="3"/>
      <c r="D53" s="145"/>
      <c r="E53" s="145"/>
      <c r="F53" s="3"/>
      <c r="G53" s="3"/>
      <c r="H53" s="3"/>
      <c r="I53" s="3"/>
      <c r="J53" s="3"/>
      <c r="K53" s="3"/>
    </row>
    <row r="54" spans="1:11" ht="14.45">
      <c r="G54" s="92"/>
      <c r="H54" s="6"/>
    </row>
    <row r="55" spans="1:11" ht="14.45">
      <c r="G55" s="4"/>
      <c r="H55" s="6"/>
    </row>
    <row r="56" spans="1:11" ht="14.45">
      <c r="H56" s="6"/>
    </row>
    <row r="60" spans="1:11" ht="15" customHeight="1">
      <c r="F60" s="5"/>
    </row>
  </sheetData>
  <mergeCells count="5">
    <mergeCell ref="C1:J1"/>
    <mergeCell ref="C2:J2"/>
    <mergeCell ref="C3:J3"/>
    <mergeCell ref="A6:A8"/>
    <mergeCell ref="B6:B8"/>
  </mergeCells>
  <conditionalFormatting sqref="G51">
    <cfRule type="cellIs" dxfId="0" priority="1" stopIfTrue="1" operator="notBetween">
      <formula>367110</formula>
      <formula>367111</formula>
    </cfRule>
  </conditionalFormatting>
  <pageMargins left="0.5" right="0.5" top="0.5" bottom="0.5" header="0.5" footer="0.5"/>
  <pageSetup scale="75" orientation="portrait" r:id="rId1"/>
  <headerFooter alignWithMargins="0">
    <oddFooter>&amp;L&amp;"Helvetica,Regular"&amp;12&amp;K000000	&amp;P</oddFooter>
  </headerFooter>
  <ignoredErrors>
    <ignoredError sqref="I17:I1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zoomScaleNormal="100" workbookViewId="0">
      <selection activeCell="B21" sqref="B21"/>
    </sheetView>
  </sheetViews>
  <sheetFormatPr defaultColWidth="6.59765625" defaultRowHeight="15" customHeight="1"/>
  <cols>
    <col min="1" max="1" width="30.5" style="1" customWidth="1"/>
    <col min="2" max="2" width="8" style="1" customWidth="1"/>
    <col min="3" max="3" width="7.59765625" style="1" customWidth="1"/>
    <col min="4" max="4" width="9" style="1" bestFit="1" customWidth="1"/>
    <col min="5" max="5" width="9.09765625" style="1" bestFit="1" customWidth="1"/>
    <col min="6" max="16384" width="6.59765625" style="1"/>
  </cols>
  <sheetData>
    <row r="1" spans="1:8" ht="15.95" customHeight="1">
      <c r="A1" s="259" t="s">
        <v>109</v>
      </c>
      <c r="B1" s="260"/>
      <c r="C1" s="260"/>
      <c r="D1" s="260"/>
      <c r="E1" s="261"/>
    </row>
    <row r="2" spans="1:8" ht="46.5" customHeight="1">
      <c r="A2" s="61" t="s">
        <v>110</v>
      </c>
      <c r="B2" s="62" t="s">
        <v>111</v>
      </c>
      <c r="C2" s="63" t="s">
        <v>112</v>
      </c>
      <c r="D2" s="64" t="s">
        <v>113</v>
      </c>
      <c r="E2" s="65" t="s">
        <v>114</v>
      </c>
    </row>
    <row r="3" spans="1:8" ht="15.95" customHeight="1">
      <c r="A3" s="9"/>
      <c r="B3" s="49"/>
      <c r="C3" s="50"/>
      <c r="D3" s="50"/>
      <c r="E3" s="77"/>
    </row>
    <row r="4" spans="1:8" ht="15.95" customHeight="1">
      <c r="A4" s="72" t="s">
        <v>115</v>
      </c>
      <c r="B4" s="49"/>
      <c r="C4" s="50"/>
      <c r="D4" s="50"/>
      <c r="E4" s="77"/>
    </row>
    <row r="5" spans="1:8" ht="15.95" customHeight="1">
      <c r="A5" s="10" t="s">
        <v>116</v>
      </c>
      <c r="B5" s="51">
        <v>2</v>
      </c>
      <c r="C5" s="48">
        <f>5*8</f>
        <v>40</v>
      </c>
      <c r="D5" s="51">
        <v>15</v>
      </c>
      <c r="E5" s="78">
        <f>B5*C5*D5</f>
        <v>1200</v>
      </c>
    </row>
    <row r="6" spans="1:8" ht="15.95" customHeight="1">
      <c r="A6" s="10" t="s">
        <v>117</v>
      </c>
      <c r="B6" s="51">
        <v>2</v>
      </c>
      <c r="C6" s="48">
        <f>5*8</f>
        <v>40</v>
      </c>
      <c r="D6" s="51">
        <v>15</v>
      </c>
      <c r="E6" s="78">
        <f>B6*C6*D6</f>
        <v>1200</v>
      </c>
    </row>
    <row r="7" spans="1:8" ht="15.95" customHeight="1">
      <c r="A7" s="10" t="s">
        <v>118</v>
      </c>
      <c r="B7" s="149">
        <v>5</v>
      </c>
      <c r="C7" s="48">
        <f>5*8</f>
        <v>40</v>
      </c>
      <c r="D7" s="149">
        <v>15</v>
      </c>
      <c r="E7" s="150">
        <f>B7*C7*D7</f>
        <v>3000</v>
      </c>
      <c r="F7" s="151"/>
      <c r="G7" s="151"/>
      <c r="H7" s="151"/>
    </row>
    <row r="8" spans="1:8" ht="15.95" customHeight="1">
      <c r="A8" s="66" t="s">
        <v>119</v>
      </c>
      <c r="B8" s="67"/>
      <c r="C8" s="68"/>
      <c r="D8" s="67"/>
      <c r="E8" s="79">
        <f>SUM(E5:E7)</f>
        <v>5400</v>
      </c>
    </row>
    <row r="9" spans="1:8" ht="15.95" customHeight="1">
      <c r="A9" s="72" t="s">
        <v>120</v>
      </c>
      <c r="B9" s="52"/>
      <c r="C9" s="50"/>
      <c r="D9" s="52"/>
      <c r="E9" s="80"/>
    </row>
    <row r="10" spans="1:8" ht="15.95" customHeight="1">
      <c r="A10" s="10" t="s">
        <v>116</v>
      </c>
      <c r="B10" s="51">
        <v>2</v>
      </c>
      <c r="C10" s="48">
        <f>48.96*8</f>
        <v>391.68</v>
      </c>
      <c r="D10" s="51">
        <v>15</v>
      </c>
      <c r="E10" s="78">
        <f>B10*C10*D10</f>
        <v>11750.4</v>
      </c>
      <c r="F10" s="118"/>
    </row>
    <row r="11" spans="1:8" ht="15.95" customHeight="1">
      <c r="A11" s="10" t="s">
        <v>117</v>
      </c>
      <c r="B11" s="51">
        <v>2</v>
      </c>
      <c r="C11" s="48">
        <f>48.96*8</f>
        <v>391.68</v>
      </c>
      <c r="D11" s="51">
        <v>15</v>
      </c>
      <c r="E11" s="78">
        <f>B11*C11*D11</f>
        <v>11750.4</v>
      </c>
    </row>
    <row r="12" spans="1:8" ht="15.95" customHeight="1">
      <c r="A12" s="10" t="s">
        <v>118</v>
      </c>
      <c r="B12" s="152">
        <v>5</v>
      </c>
      <c r="C12" s="48">
        <f>48.96*8</f>
        <v>391.68</v>
      </c>
      <c r="D12" s="149">
        <v>15</v>
      </c>
      <c r="E12" s="153">
        <f>B12*C12*D12</f>
        <v>29376</v>
      </c>
      <c r="F12" s="151"/>
      <c r="G12" s="151"/>
    </row>
    <row r="13" spans="1:8" ht="15.75" customHeight="1" thickBot="1">
      <c r="A13" s="69" t="s">
        <v>119</v>
      </c>
      <c r="B13" s="70"/>
      <c r="C13" s="71"/>
      <c r="D13" s="70"/>
      <c r="E13" s="81">
        <f>SUM(E10:E12)</f>
        <v>52876.800000000003</v>
      </c>
    </row>
    <row r="14" spans="1:8" ht="15.75" customHeight="1" thickBot="1">
      <c r="A14" s="11" t="s">
        <v>121</v>
      </c>
      <c r="B14" s="53"/>
      <c r="C14" s="53"/>
      <c r="D14" s="53"/>
      <c r="E14" s="82">
        <f>E13+E8</f>
        <v>58276.800000000003</v>
      </c>
    </row>
    <row r="28" spans="5:5" ht="15" customHeight="1">
      <c r="E28" s="116"/>
    </row>
    <row r="29" spans="5:5" ht="15" customHeight="1">
      <c r="E29" s="116"/>
    </row>
    <row r="30" spans="5:5" ht="15" customHeight="1">
      <c r="E30" s="93"/>
    </row>
  </sheetData>
  <mergeCells count="1">
    <mergeCell ref="A1:E1"/>
  </mergeCells>
  <pageMargins left="0.75" right="0.75" top="1" bottom="1" header="0.5" footer="0.5"/>
  <pageSetup orientation="portrait"/>
  <headerFooter alignWithMargins="0"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A109DAA7-70DB-4414-9AC5-8CFF5C75AD47}"/>
</file>

<file path=customXml/itemProps2.xml><?xml version="1.0" encoding="utf-8"?>
<ds:datastoreItem xmlns:ds="http://schemas.openxmlformats.org/officeDocument/2006/customXml" ds:itemID="{F1962BD9-67BE-4CA8-9E78-2E7EA9208B68}"/>
</file>

<file path=customXml/itemProps3.xml><?xml version="1.0" encoding="utf-8"?>
<ds:datastoreItem xmlns:ds="http://schemas.openxmlformats.org/officeDocument/2006/customXml" ds:itemID="{A5812C67-7642-4E3F-88A0-D6A60D7333F0}"/>
</file>

<file path=customXml/itemProps4.xml><?xml version="1.0" encoding="utf-8"?>
<ds:datastoreItem xmlns:ds="http://schemas.openxmlformats.org/officeDocument/2006/customXml" ds:itemID="{917E8C5C-EAA3-4A42-96FE-B0C13BBFF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Noel</dc:creator>
  <cp:keywords/>
  <dc:description/>
  <cp:lastModifiedBy>Arlette G. Gutierrez</cp:lastModifiedBy>
  <cp:revision/>
  <dcterms:created xsi:type="dcterms:W3CDTF">2014-11-21T15:16:24Z</dcterms:created>
  <dcterms:modified xsi:type="dcterms:W3CDTF">2022-08-25T23:51:30Z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3544400.00000000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