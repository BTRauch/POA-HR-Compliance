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24226"/>
  <mc:AlternateContent xmlns:mc="http://schemas.openxmlformats.org/markup-compatibility/2006">
    <mc:Choice Requires="x15">
      <x15ac:absPath xmlns:x15ac="http://schemas.microsoft.com/office/spreadsheetml/2010/11/ac" url="https://partnersnet107.sharepoint.com/sites/FA/Organizational FA/Finance Policies &amp; Procedures/Budgets, Accounting &amp; Awards/"/>
    </mc:Choice>
  </mc:AlternateContent>
  <xr:revisionPtr revIDLastSave="7" documentId="8_{D2C01D6F-B5A5-4A37-97E3-047C3005BB41}" xr6:coauthVersionLast="47" xr6:coauthVersionMax="47" xr10:uidLastSave="{5BC82703-09C6-448E-82A4-A585BAFC6F94}"/>
  <bookViews>
    <workbookView xWindow="2898" yWindow="1068" windowWidth="10800" windowHeight="11292" tabRatio="895" firstSheet="1" activeTab="1" xr2:uid="{00000000-000D-0000-FFFF-FFFF00000000}"/>
  </bookViews>
  <sheets>
    <sheet name="OrigBudget Summary ProAntioquia" sheetId="21" state="hidden" r:id="rId1"/>
    <sheet name="Budget ProAntioquia" sheetId="20" r:id="rId2"/>
    <sheet name="Hoja1" sheetId="25" state="hidden" r:id="rId3"/>
    <sheet name="Proyecciones 2023" sheetId="23" state="hidden" r:id="rId4"/>
    <sheet name="New Budget Summary PA 2023" sheetId="24" r:id="rId5"/>
    <sheet name="Mod 5" sheetId="26" r:id="rId6"/>
  </sheets>
  <definedNames>
    <definedName name="\a">#REF!</definedName>
    <definedName name="\c">#REF!</definedName>
    <definedName name="\i">#REF!</definedName>
    <definedName name="\P">#REF!</definedName>
    <definedName name="\r">#REF!</definedName>
    <definedName name="__pd1">#REF!</definedName>
    <definedName name="__pd6">#REF!</definedName>
    <definedName name="__tix1">#REF!</definedName>
    <definedName name="__tix2">#REF!</definedName>
    <definedName name="__tix6">#REF!</definedName>
    <definedName name="_1">#REF!</definedName>
    <definedName name="_1998">#REF!</definedName>
    <definedName name="_1999">#REF!</definedName>
    <definedName name="_2">#REF!</definedName>
    <definedName name="_2000">#REF!</definedName>
    <definedName name="_2001">#REF!</definedName>
    <definedName name="_2002">#REF!</definedName>
    <definedName name="_3">#REF!</definedName>
    <definedName name="_4">#REF!</definedName>
    <definedName name="_5">#REF!</definedName>
    <definedName name="_6">#REF!</definedName>
    <definedName name="_7">#REF!</definedName>
    <definedName name="_8">#REF!</definedName>
    <definedName name="_xlnm._FilterDatabase" localSheetId="1" hidden="1">'Budget ProAntioquia'!$E$10:$ES$155</definedName>
    <definedName name="_fmi1">#REF!</definedName>
    <definedName name="_fmi2">#REF!</definedName>
    <definedName name="_fmi3">#REF!</definedName>
    <definedName name="_fmi4">#REF!</definedName>
    <definedName name="_Order1" hidden="1">255</definedName>
    <definedName name="_Order2" hidden="1">255</definedName>
    <definedName name="_PIB01">#REF!</definedName>
    <definedName name="_PIB02">#REF!</definedName>
    <definedName name="_PIB95">#REF!</definedName>
    <definedName name="_PIB96">#REF!</definedName>
    <definedName name="_PIB97">#REF!</definedName>
    <definedName name="_PIB98">#REF!</definedName>
    <definedName name="_PIB99">#REF!</definedName>
    <definedName name="_RES9397">#REF!</definedName>
    <definedName name="_rez2">#REF!</definedName>
    <definedName name="_rez3">#REF!</definedName>
    <definedName name="_rez4">#REF!</definedName>
    <definedName name="_Table1_Out" hidden="1">#REF!</definedName>
    <definedName name="_Table2_In2" hidden="1">#REF!</definedName>
    <definedName name="_Table2_Out" hidden="1">#REF!</definedName>
    <definedName name="a">#REF!</definedName>
    <definedName name="A_2002">#REF!</definedName>
    <definedName name="A_CAPITAL">#REF!</definedName>
    <definedName name="A_DEPTOS">#REF!</definedName>
    <definedName name="A_impresión_IM">#REF!</definedName>
    <definedName name="A_MUNPIOS">#REF!</definedName>
    <definedName name="AAA">#REF!</definedName>
    <definedName name="AEFormar">#REF!</definedName>
    <definedName name="Ajustado">#REF!</definedName>
    <definedName name="almuerzo">#REF!</definedName>
    <definedName name="alquilertableta">#REF!</definedName>
    <definedName name="ANEXO_No.">#REF!</definedName>
    <definedName name="ANEXO_No._5">#REF!</definedName>
    <definedName name="ANP" localSheetId="1" hidden="1">{"sum",#N/A,FALSE,"Summary";"admin1",#N/A,FALSE,"Admin";"admin2",#N/A,FALSE,"Admin";"admin3",#N/A,FALSE,"Admin";"nat",#N/A,FALSE,"Natugo";"irri1",#N/A,FALSE,"Irrigation";"irri2",#N/A,FALSE,"Irrigation";"oil1",#N/A,FALSE,"Press and Sesame";"oil2",#N/A,FALSE,"Press and Sesame";"stove1",#N/A,FALSE,"Stove";"stove2",#N/A,FALSE,"Stove"}</definedName>
    <definedName name="ANP" localSheetId="5" hidden="1">{"sum",#N/A,FALSE,"Summary";"admin1",#N/A,FALSE,"Admin";"admin2",#N/A,FALSE,"Admin";"admin3",#N/A,FALSE,"Admin";"nat",#N/A,FALSE,"Natugo";"irri1",#N/A,FALSE,"Irrigation";"irri2",#N/A,FALSE,"Irrigation";"oil1",#N/A,FALSE,"Press and Sesame";"oil2",#N/A,FALSE,"Press and Sesame";"stove1",#N/A,FALSE,"Stove";"stove2",#N/A,FALSE,"Stove"}</definedName>
    <definedName name="ANP" localSheetId="0" hidden="1">{"sum",#N/A,FALSE,"Summary";"admin1",#N/A,FALSE,"Admin";"admin2",#N/A,FALSE,"Admin";"admin3",#N/A,FALSE,"Admin";"nat",#N/A,FALSE,"Natugo";"irri1",#N/A,FALSE,"Irrigation";"irri2",#N/A,FALSE,"Irrigation";"oil1",#N/A,FALSE,"Press and Sesame";"oil2",#N/A,FALSE,"Press and Sesame";"stove1",#N/A,FALSE,"Stove";"stove2",#N/A,FALSE,"Stove"}</definedName>
    <definedName name="ANP" hidden="1">{"sum",#N/A,FALSE,"Summary";"admin1",#N/A,FALSE,"Admin";"admin2",#N/A,FALSE,"Admin";"admin3",#N/A,FALSE,"Admin";"nat",#N/A,FALSE,"Natugo";"irri1",#N/A,FALSE,"Irrigation";"irri2",#N/A,FALSE,"Irrigation";"oil1",#N/A,FALSE,"Press and Sesame";"oil2",#N/A,FALSE,"Press and Sesame";"stove1",#N/A,FALSE,"Stove";"stove2",#N/A,FALSE,"Stove"}</definedName>
    <definedName name="ANPDH">#REF!</definedName>
    <definedName name="aprnac">#REF!</definedName>
    <definedName name="APROPIACIONES_PAC_Y_REZAGO_1999___2000">#REF!</definedName>
    <definedName name="aprprp">#REF!</definedName>
    <definedName name="asigbas">#REF!</definedName>
    <definedName name="asigbasempu">#REF!</definedName>
    <definedName name="asigbasisten">#REF!</definedName>
    <definedName name="asigmen">#REF!</definedName>
    <definedName name="auxalm">#REF!</definedName>
    <definedName name="B">#REF!</definedName>
    <definedName name="BASE" hidden="1">#REF!</definedName>
    <definedName name="basnac">#REF!</definedName>
    <definedName name="basprp">#REF!</definedName>
    <definedName name="Board">#REF!</definedName>
    <definedName name="bonser">#REF!</definedName>
    <definedName name="cantidadtabletamatricula">#REF!</definedName>
    <definedName name="CARBOCRECIM">#REF!</definedName>
    <definedName name="CARBOPESOS">#REF!</definedName>
    <definedName name="CARBOPIB">#REF!</definedName>
    <definedName name="castigocuadro2">#REF!</definedName>
    <definedName name="CAT_00">#REF!</definedName>
    <definedName name="CAT_01">#REF!</definedName>
    <definedName name="CAT_02">#REF!</definedName>
    <definedName name="CAT_94">#REF!</definedName>
    <definedName name="CAT_95">#REF!</definedName>
    <definedName name="CAT_96">#REF!</definedName>
    <definedName name="CAT_97">#REF!</definedName>
    <definedName name="CAT_98">#REF!</definedName>
    <definedName name="CAT_99">#REF!</definedName>
    <definedName name="CEE_Consult">#REF!</definedName>
    <definedName name="CENIDH">#REF!</definedName>
    <definedName name="CENSO1964">#REF!</definedName>
    <definedName name="CENSO1973">#REF!</definedName>
    <definedName name="CENSO1985">#REF!</definedName>
    <definedName name="CENTROGESTOR">#REF!</definedName>
    <definedName name="CENTROGESTORDEPENDENCIA">#REF!</definedName>
    <definedName name="centrogestornuevo">#REF!</definedName>
    <definedName name="COD_DEP">#REF!</definedName>
    <definedName name="COD_DEPARTAMENTO">#REF!</definedName>
    <definedName name="COD_MUN">#REF!</definedName>
    <definedName name="CODIGO_DIVIPOLA">#REF!</definedName>
    <definedName name="COL_MENU">#REF!</definedName>
    <definedName name="COLUM00PESOS">#REF!</definedName>
    <definedName name="COLUM00PIB">#REF!</definedName>
    <definedName name="COLUM01PESOS">#REF!</definedName>
    <definedName name="COLUM01PIB">#REF!</definedName>
    <definedName name="COLUM02PESOS">#REF!</definedName>
    <definedName name="COLUM02PIB">#REF!</definedName>
    <definedName name="COLUM03PESOS">#REF!</definedName>
    <definedName name="COLUM03PIB">#REF!</definedName>
    <definedName name="COLUM04PESOS">#REF!</definedName>
    <definedName name="COLUM04PIB">#REF!</definedName>
    <definedName name="COLUM05PESOS">#REF!</definedName>
    <definedName name="COLUM05PIB">#REF!</definedName>
    <definedName name="COLUM06PESOS">#REF!</definedName>
    <definedName name="COLUM06PIB">#REF!</definedName>
    <definedName name="COLUM07PESOS">#REF!</definedName>
    <definedName name="COLUM07PIB">#REF!</definedName>
    <definedName name="COLUM98PESOS">#REF!</definedName>
    <definedName name="COLUM98PIB">#REF!</definedName>
    <definedName name="COLUM99PESOS">#REF!</definedName>
    <definedName name="COLUM99PIB">#REF!</definedName>
    <definedName name="COMPOSICION_DEL_PRESUPUESTO_DE_RENTAS_DE_LA_NACION">#REF!</definedName>
    <definedName name="Confis">#REF!</definedName>
    <definedName name="Consultants">#REF!</definedName>
    <definedName name="CPDH" localSheetId="1" hidden="1">{"sum",#N/A,FALSE,"Summary";"admin1",#N/A,FALSE,"Admin";"admin2",#N/A,FALSE,"Admin";"admin3",#N/A,FALSE,"Admin";"nat",#N/A,FALSE,"Natugo";"irri1",#N/A,FALSE,"Irrigation";"irri2",#N/A,FALSE,"Irrigation";"oil1",#N/A,FALSE,"Press and Sesame";"oil2",#N/A,FALSE,"Press and Sesame";"stove1",#N/A,FALSE,"Stove";"stove2",#N/A,FALSE,"Stove"}</definedName>
    <definedName name="CPDH" localSheetId="5" hidden="1">{"sum",#N/A,FALSE,"Summary";"admin1",#N/A,FALSE,"Admin";"admin2",#N/A,FALSE,"Admin";"admin3",#N/A,FALSE,"Admin";"nat",#N/A,FALSE,"Natugo";"irri1",#N/A,FALSE,"Irrigation";"irri2",#N/A,FALSE,"Irrigation";"oil1",#N/A,FALSE,"Press and Sesame";"oil2",#N/A,FALSE,"Press and Sesame";"stove1",#N/A,FALSE,"Stove";"stove2",#N/A,FALSE,"Stove"}</definedName>
    <definedName name="CPDH" localSheetId="0" hidden="1">{"sum",#N/A,FALSE,"Summary";"admin1",#N/A,FALSE,"Admin";"admin2",#N/A,FALSE,"Admin";"admin3",#N/A,FALSE,"Admin";"nat",#N/A,FALSE,"Natugo";"irri1",#N/A,FALSE,"Irrigation";"irri2",#N/A,FALSE,"Irrigation";"oil1",#N/A,FALSE,"Press and Sesame";"oil2",#N/A,FALSE,"Press and Sesame";"stove1",#N/A,FALSE,"Stove";"stove2",#N/A,FALSE,"Stove"}</definedName>
    <definedName name="CPDH" hidden="1">{"sum",#N/A,FALSE,"Summary";"admin1",#N/A,FALSE,"Admin";"admin2",#N/A,FALSE,"Admin";"admin3",#N/A,FALSE,"Admin";"nat",#N/A,FALSE,"Natugo";"irri1",#N/A,FALSE,"Irrigation";"irri2",#N/A,FALSE,"Irrigation";"oil1",#N/A,FALSE,"Press and Sesame";"oil2",#N/A,FALSE,"Press and Sesame";"stove1",#N/A,FALSE,"Stove";"stove2",#N/A,FALSE,"Stove"}</definedName>
    <definedName name="CRBLO00_">#REF!</definedName>
    <definedName name="CRBLO93_">#REF!</definedName>
    <definedName name="CRBLO94_">#REF!</definedName>
    <definedName name="CRBLO95_">#REF!</definedName>
    <definedName name="CRBLO96_">#REF!</definedName>
    <definedName name="CRBLO97_">#REF!</definedName>
    <definedName name="CRBLO98_">#REF!</definedName>
    <definedName name="CRBLO99_">#REF!</definedName>
    <definedName name="CRCOMB00_">#REF!</definedName>
    <definedName name="CRCOMB93_">#REF!</definedName>
    <definedName name="CRCOMB94_">#REF!</definedName>
    <definedName name="CRCOMB95_">#REF!</definedName>
    <definedName name="CRCOMB96_">#REF!</definedName>
    <definedName name="CRCOMB97_">#REF!</definedName>
    <definedName name="CRCOMB98_">#REF!</definedName>
    <definedName name="CRCOMB99_">#REF!</definedName>
    <definedName name="CRDEM00_">#REF!</definedName>
    <definedName name="CRDEM93_">#REF!</definedName>
    <definedName name="CRDEM94_">#REF!</definedName>
    <definedName name="CRDEM95_">#REF!</definedName>
    <definedName name="CRDEM96_">#REF!</definedName>
    <definedName name="CRDEM97_">#REF!</definedName>
    <definedName name="CRDEM98_">#REF!</definedName>
    <definedName name="CRDEM99_">#REF!</definedName>
    <definedName name="CREUF00_">#REF!</definedName>
    <definedName name="CREUF93_">#REF!</definedName>
    <definedName name="CREUF94_">#REF!</definedName>
    <definedName name="CREUF95_">#REF!</definedName>
    <definedName name="CREUF96_">#REF!</definedName>
    <definedName name="CREUF97_">#REF!</definedName>
    <definedName name="CREUF98_">#REF!</definedName>
    <definedName name="CREUF99_">#REF!</definedName>
    <definedName name="cruce">#REF!</definedName>
    <definedName name="CRUCE2">#REF!</definedName>
    <definedName name="CRUCE3">#REF!</definedName>
    <definedName name="Cuadro_2b1">#REF!</definedName>
    <definedName name="CUADRO_No._1">#REF!</definedName>
    <definedName name="CUADRO_No._10">#REF!</definedName>
    <definedName name="CUADRO_No._12">#REF!</definedName>
    <definedName name="CUADRO_No._13">#REF!</definedName>
    <definedName name="Cuadro_No._1a">#REF!</definedName>
    <definedName name="Cuadro_No._1b">#REF!</definedName>
    <definedName name="Cuadro_No._1C">#REF!</definedName>
    <definedName name="CUADRO_No._2">#REF!</definedName>
    <definedName name="CUADRO_No._3">#REF!</definedName>
    <definedName name="CUADRO_No._4">#REF!</definedName>
    <definedName name="CUADRO_No._5">#REF!</definedName>
    <definedName name="CUADRO_No._6">#REF!</definedName>
    <definedName name="CUADRO_No._6A">#REF!</definedName>
    <definedName name="CUADRO_No._7">#REF!</definedName>
    <definedName name="CUADRO_No._8">#REF!</definedName>
    <definedName name="CUADRO_No._9">#REF!</definedName>
    <definedName name="Cuadro2b">#REF!</definedName>
    <definedName name="CUAINGRE">#REF!</definedName>
    <definedName name="Cwvu.ComparEneMar9697." hidden="1">#REF!,#REF!,#REF!,#REF!,#REF!,#REF!</definedName>
    <definedName name="Cwvu.EneFeb." hidden="1">#REF!,#REF!</definedName>
    <definedName name="Cwvu.EneMar." hidden="1">#REF!,#REF!,#REF!,#REF!</definedName>
    <definedName name="Cwvu.Formato._.Corto." hidden="1">#REF!,#REF!,#REF!,#REF!,#REF!,#REF!,#REF!,#REF!,#REF!,#REF!,#REF!,#REF!</definedName>
    <definedName name="Cwvu.Formato._.Total." hidden="1">#REF!,#REF!,#REF!</definedName>
    <definedName name="d">#REF!</definedName>
    <definedName name="dasdasd">#REF!</definedName>
    <definedName name="_xlnm.Database">#REF!</definedName>
    <definedName name="DBALANCEFMI2">#REF!</definedName>
    <definedName name="DboREGISTRO_LEY_617">#REF!</definedName>
    <definedName name="DDD"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debajo98">#REF!</definedName>
    <definedName name="DEPAR_CA">#REF!</definedName>
    <definedName name="DEPAR_DEP">#REF!</definedName>
    <definedName name="DEPAR_MUN">#REF!</definedName>
    <definedName name="DEPENDENCIA">#REF!</definedName>
    <definedName name="DEPTO">#REF!</definedName>
    <definedName name="DEPTO_2002">#REF!</definedName>
    <definedName name="DETALLE_DE_LA_COMPOSICION_DEL_PRESUPUESTO_DE_RENTAS_DE_LA_NACION">#REF!</definedName>
    <definedName name="DETALLE1996">#REF!</definedName>
    <definedName name="DETALLE1997">#REF!</definedName>
    <definedName name="deuda">#REF!</definedName>
    <definedName name="DEUDA_FLOTANTE_1990_1998">#REF!</definedName>
    <definedName name="diames">#REF!</definedName>
    <definedName name="DIFERCOLUM00">#REF!</definedName>
    <definedName name="DIFERCOLUM01">#REF!</definedName>
    <definedName name="DIFERCOLUM02">#REF!</definedName>
    <definedName name="DIFERCOLUM99">#REF!</definedName>
    <definedName name="digitador">#REF!</definedName>
    <definedName name="dos">#REF!</definedName>
    <definedName name="DPTOS">#REF!</definedName>
    <definedName name="ECOPETROLCRECIM">#REF!</definedName>
    <definedName name="ECOPETROLPESOS">#REF!</definedName>
    <definedName name="ECOPETROLPIB">#REF!</definedName>
    <definedName name="EDUCA_00">#REF!</definedName>
    <definedName name="EDUCA_01">#REF!</definedName>
    <definedName name="EDUCA_94">#REF!</definedName>
    <definedName name="EDUCA_95">#REF!</definedName>
    <definedName name="EDUCA_96">#REF!</definedName>
    <definedName name="EDUCA_97">#REF!</definedName>
    <definedName name="EDUCA_98">#REF!</definedName>
    <definedName name="EDUCA_99">#REF!</definedName>
    <definedName name="EGRAFICOS1">#REF!</definedName>
    <definedName name="EGRAFICOS2">#REF!</definedName>
    <definedName name="EGRAFICOS3">#REF!</definedName>
    <definedName name="ejcprp">#REF!</definedName>
    <definedName name="eje">#REF!</definedName>
    <definedName name="ELASTICIDAD_RECAUDO_IVA">#REF!</definedName>
    <definedName name="ELECTRICOCRECIM">#REF!</definedName>
    <definedName name="ELECTRICOPESOS">#REF!</definedName>
    <definedName name="ELECTRICOPIB">#REF!</definedName>
    <definedName name="emppln">#REF!</definedName>
    <definedName name="encima98">#REF!</definedName>
    <definedName name="ENEROP">#REF!</definedName>
    <definedName name="ENERORN">#REF!</definedName>
    <definedName name="ENERORP">#REF!</definedName>
    <definedName name="Equipment">#REF!</definedName>
    <definedName name="ESCENARIO__0">#REF!</definedName>
    <definedName name="ESCENARIO__1">#REF!</definedName>
    <definedName name="ESCENARIO_1__Ajustado">#REF!</definedName>
    <definedName name="ESCENARIO_2">#REF!</definedName>
    <definedName name="ESCENARIO_3">#REF!</definedName>
    <definedName name="ESCENARIO_NUEVO">#REF!</definedName>
    <definedName name="estimaciones">#REF!</definedName>
    <definedName name="FEBRERON">#REF!</definedName>
    <definedName name="FEBREROP">#REF!</definedName>
    <definedName name="FEBRERORN">#REF!</definedName>
    <definedName name="FEBRERORP">#REF!</definedName>
    <definedName name="ffff" hidden="1">{TRUE,TRUE,-2.75,-17.75,483,276.75,FALSE,TRUE,TRUE,TRUE,0,3,15,1,110,11,8,4,TRUE,TRUE,3,TRUE,1,TRUE,75,"Swvu.EneFeb.","ACwvu.EneFeb.",#N/A,FALSE,FALSE,1.24,0.787401575,0.74,0.984251969,1,"","",FALSE,FALSE,FALSE,FALSE,1,#N/A,1,1,#DIV/0!,FALSE,"Rwvu.EneFeb.","Cwvu.EneFeb.",FALSE,FALSE,FALSE,1,300,300,FALSE,FALSE,TRUE,TRUE,TRUE}</definedName>
    <definedName name="FFPPT">#REF!</definedName>
    <definedName name="fg">#REF!</definedName>
    <definedName name="FNCCRECIM">#REF!</definedName>
    <definedName name="FNCPESOS">#REF!</definedName>
    <definedName name="FNCPIB">#REF!</definedName>
    <definedName name="FONDO">#REF!</definedName>
    <definedName name="FONDOS">#REF!</definedName>
    <definedName name="FONPET2000">#REF!</definedName>
    <definedName name="FONPET2001">#REF!</definedName>
    <definedName name="FONPET2002">#REF!</definedName>
    <definedName name="FONPET2003">#REF!</definedName>
    <definedName name="FONPET2004">#REF!</definedName>
    <definedName name="FONPET2005">#REF!</definedName>
    <definedName name="FONPETOTAL"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FOPEA" localSheetId="1" hidden="1">{"sum",#N/A,FALSE,"Summary";"admin1",#N/A,FALSE,"Admin";"admin2",#N/A,FALSE,"Admin";"admin3",#N/A,FALSE,"Admin";"nat",#N/A,FALSE,"Natugo";"irri1",#N/A,FALSE,"Irrigation";"irri2",#N/A,FALSE,"Irrigation";"oil1",#N/A,FALSE,"Press and Sesame";"oil2",#N/A,FALSE,"Press and Sesame";"stove1",#N/A,FALSE,"Stove";"stove2",#N/A,FALSE,"Stove"}</definedName>
    <definedName name="FOPEA" localSheetId="5" hidden="1">{"sum",#N/A,FALSE,"Summary";"admin1",#N/A,FALSE,"Admin";"admin2",#N/A,FALSE,"Admin";"admin3",#N/A,FALSE,"Admin";"nat",#N/A,FALSE,"Natugo";"irri1",#N/A,FALSE,"Irrigation";"irri2",#N/A,FALSE,"Irrigation";"oil1",#N/A,FALSE,"Press and Sesame";"oil2",#N/A,FALSE,"Press and Sesame";"stove1",#N/A,FALSE,"Stove";"stove2",#N/A,FALSE,"Stove"}</definedName>
    <definedName name="FOPEA" localSheetId="0" hidden="1">{"sum",#N/A,FALSE,"Summary";"admin1",#N/A,FALSE,"Admin";"admin2",#N/A,FALSE,"Admin";"admin3",#N/A,FALSE,"Admin";"nat",#N/A,FALSE,"Natugo";"irri1",#N/A,FALSE,"Irrigation";"irri2",#N/A,FALSE,"Irrigation";"oil1",#N/A,FALSE,"Press and Sesame";"oil2",#N/A,FALSE,"Press and Sesame";"stove1",#N/A,FALSE,"Stove";"stove2",#N/A,FALSE,"Stove"}</definedName>
    <definedName name="FOPEA" hidden="1">{"sum",#N/A,FALSE,"Summary";"admin1",#N/A,FALSE,"Admin";"admin2",#N/A,FALSE,"Admin";"admin3",#N/A,FALSE,"Admin";"nat",#N/A,FALSE,"Natugo";"irri1",#N/A,FALSE,"Irrigation";"irri2",#N/A,FALSE,"Irrigation";"oil1",#N/A,FALSE,"Press and Sesame";"oil2",#N/A,FALSE,"Press and Sesame";"stove1",#N/A,FALSE,"Stove";"stove2",#N/A,FALSE,"Stove"}</definedName>
    <definedName name="FORZ_00">#REF!</definedName>
    <definedName name="FORZ_01_RESERVA">#REF!</definedName>
    <definedName name="FORZ_94">#REF!</definedName>
    <definedName name="FORZ_95">#REF!</definedName>
    <definedName name="FORZ_96">#REF!</definedName>
    <definedName name="FORZ_97">#REF!</definedName>
    <definedName name="FORZ_98">#REF!</definedName>
    <definedName name="FORZ_99">#REF!</definedName>
    <definedName name="FORZ_PG_02">#REF!</definedName>
    <definedName name="fsfsf">#REF!</definedName>
    <definedName name="fun">#REF!</definedName>
    <definedName name="Fundamedios" localSheetId="1" hidden="1">{"sum",#N/A,FALSE,"Summary";"admin1",#N/A,FALSE,"Admin";"admin2",#N/A,FALSE,"Admin";"admin3",#N/A,FALSE,"Admin";"nat",#N/A,FALSE,"Natugo";"irri1",#N/A,FALSE,"Irrigation";"irri2",#N/A,FALSE,"Irrigation";"oil1",#N/A,FALSE,"Press and Sesame";"oil2",#N/A,FALSE,"Press and Sesame";"stove1",#N/A,FALSE,"Stove";"stove2",#N/A,FALSE,"Stove"}</definedName>
    <definedName name="Fundamedios" localSheetId="5" hidden="1">{"sum",#N/A,FALSE,"Summary";"admin1",#N/A,FALSE,"Admin";"admin2",#N/A,FALSE,"Admin";"admin3",#N/A,FALSE,"Admin";"nat",#N/A,FALSE,"Natugo";"irri1",#N/A,FALSE,"Irrigation";"irri2",#N/A,FALSE,"Irrigation";"oil1",#N/A,FALSE,"Press and Sesame";"oil2",#N/A,FALSE,"Press and Sesame";"stove1",#N/A,FALSE,"Stove";"stove2",#N/A,FALSE,"Stove"}</definedName>
    <definedName name="Fundamedios" localSheetId="0" hidden="1">{"sum",#N/A,FALSE,"Summary";"admin1",#N/A,FALSE,"Admin";"admin2",#N/A,FALSE,"Admin";"admin3",#N/A,FALSE,"Admin";"nat",#N/A,FALSE,"Natugo";"irri1",#N/A,FALSE,"Irrigation";"irri2",#N/A,FALSE,"Irrigation";"oil1",#N/A,FALSE,"Press and Sesame";"oil2",#N/A,FALSE,"Press and Sesame";"stove1",#N/A,FALSE,"Stove";"stove2",#N/A,FALSE,"Stove"}</definedName>
    <definedName name="Fundamedios" hidden="1">{"sum",#N/A,FALSE,"Summary";"admin1",#N/A,FALSE,"Admin";"admin2",#N/A,FALSE,"Admin";"admin3",#N/A,FALSE,"Admin";"nat",#N/A,FALSE,"Natugo";"irri1",#N/A,FALSE,"Irrigation";"irri2",#N/A,FALSE,"Irrigation";"oil1",#N/A,FALSE,"Press and Sesame";"oil2",#N/A,FALSE,"Press and Sesame";"stove1",#N/A,FALSE,"Stove";"stove2",#N/A,FALSE,"Stove"}</definedName>
    <definedName name="FUT">#REF!</definedName>
    <definedName name="futnac">#REF!</definedName>
    <definedName name="futprp">#REF!</definedName>
    <definedName name="GASOLINA_REGULAR">#REF!</definedName>
    <definedName name="gasrep">#REF!</definedName>
    <definedName name="Gastos_generales">#REF!</definedName>
    <definedName name="GOBIERNOCRECIM">#REF!</definedName>
    <definedName name="GOBIERNOPESOS">#REF!</definedName>
    <definedName name="GOBIERNOPIB">#REF!</definedName>
    <definedName name="GREFORMASRESUM1">#REF!</definedName>
    <definedName name="GREFORMASRESUM2">#REF!</definedName>
    <definedName name="GREFORMASRESUM3">#REF!</definedName>
    <definedName name="horaasistente">#REF!</definedName>
    <definedName name="horext">#REF!</definedName>
    <definedName name="Housing">#REF!</definedName>
    <definedName name="i">#REF!</definedName>
    <definedName name="IN00_">#REF!</definedName>
    <definedName name="IN93_">#REF!</definedName>
    <definedName name="IN94_">#REF!</definedName>
    <definedName name="IN95_">#REF!</definedName>
    <definedName name="IN96_">#REF!</definedName>
    <definedName name="IN97_">#REF!</definedName>
    <definedName name="IN98_">#REF!</definedName>
    <definedName name="IN99_">#REF!</definedName>
    <definedName name="INCGG00_">#REF!</definedName>
    <definedName name="INCGG93_">#REF!</definedName>
    <definedName name="INCGG94_">#REF!</definedName>
    <definedName name="INCGG95_">#REF!</definedName>
    <definedName name="INCGG96_">#REF!</definedName>
    <definedName name="INCGG97_">#REF!</definedName>
    <definedName name="INCGG98_">#REF!</definedName>
    <definedName name="INCGG99_">#REF!</definedName>
    <definedName name="INCSP00_">#REF!</definedName>
    <definedName name="INCSP93_">#REF!</definedName>
    <definedName name="INCSP94_">#REF!</definedName>
    <definedName name="INCSP95_">#REF!</definedName>
    <definedName name="INCSP96_">#REF!</definedName>
    <definedName name="INCSP97_">#REF!</definedName>
    <definedName name="INCSP98_">#REF!</definedName>
    <definedName name="INCSP99_">#REF!</definedName>
    <definedName name="INCTRAN00_">#REF!</definedName>
    <definedName name="INCTRAN93_">#REF!</definedName>
    <definedName name="INCTRAN94_">#REF!</definedName>
    <definedName name="INCTRAN95_">#REF!</definedName>
    <definedName name="INCTRAN96_">#REF!</definedName>
    <definedName name="INCTRAN97_">#REF!</definedName>
    <definedName name="INCTRAN98_">#REF!</definedName>
    <definedName name="INCTRAN99_">#REF!</definedName>
    <definedName name="inf">#REF!</definedName>
    <definedName name="Inflation">#REF!</definedName>
    <definedName name="ingapr">#REF!</definedName>
    <definedName name="ingbas">#REF!</definedName>
    <definedName name="ingest">#REF!</definedName>
    <definedName name="ingprg">#REF!</definedName>
    <definedName name="ingresos">#REF!</definedName>
    <definedName name="INGRESOS_DE_LA_NACION__1996_REAL__1997_ESTIMACION_Y_1998_PROYECCION">#REF!</definedName>
    <definedName name="ingresos97">#REF!</definedName>
    <definedName name="ingsol">#REF!</definedName>
    <definedName name="Interns">#REF!</definedName>
    <definedName name="INTYCOM00_">#REF!</definedName>
    <definedName name="INTYCOM94_">#REF!</definedName>
    <definedName name="INTYCOM95_">#REF!</definedName>
    <definedName name="INTYCOM96_">#REF!</definedName>
    <definedName name="INTYCOM97_">#REF!</definedName>
    <definedName name="INTYCOM98_">#REF!</definedName>
    <definedName name="INTYCOM99_">#REF!</definedName>
    <definedName name="ipys" localSheetId="1" hidden="1">{"sum",#N/A,FALSE,"Summary";"admin1",#N/A,FALSE,"Admin";"admin2",#N/A,FALSE,"Admin";"admin3",#N/A,FALSE,"Admin";"nat",#N/A,FALSE,"Natugo";"irri1",#N/A,FALSE,"Irrigation";"irri2",#N/A,FALSE,"Irrigation";"oil1",#N/A,FALSE,"Press and Sesame";"oil2",#N/A,FALSE,"Press and Sesame";"stove1",#N/A,FALSE,"Stove";"stove2",#N/A,FALSE,"Stove"}</definedName>
    <definedName name="ipys" localSheetId="5" hidden="1">{"sum",#N/A,FALSE,"Summary";"admin1",#N/A,FALSE,"Admin";"admin2",#N/A,FALSE,"Admin";"admin3",#N/A,FALSE,"Admin";"nat",#N/A,FALSE,"Natugo";"irri1",#N/A,FALSE,"Irrigation";"irri2",#N/A,FALSE,"Irrigation";"oil1",#N/A,FALSE,"Press and Sesame";"oil2",#N/A,FALSE,"Press and Sesame";"stove1",#N/A,FALSE,"Stove";"stove2",#N/A,FALSE,"Stove"}</definedName>
    <definedName name="ipys" localSheetId="0" hidden="1">{"sum",#N/A,FALSE,"Summary";"admin1",#N/A,FALSE,"Admin";"admin2",#N/A,FALSE,"Admin";"admin3",#N/A,FALSE,"Admin";"nat",#N/A,FALSE,"Natugo";"irri1",#N/A,FALSE,"Irrigation";"irri2",#N/A,FALSE,"Irrigation";"oil1",#N/A,FALSE,"Press and Sesame";"oil2",#N/A,FALSE,"Press and Sesame";"stove1",#N/A,FALSE,"Stove";"stove2",#N/A,FALSE,"Stove"}</definedName>
    <definedName name="ipys" hidden="1">{"sum",#N/A,FALSE,"Summary";"admin1",#N/A,FALSE,"Admin";"admin2",#N/A,FALSE,"Admin";"admin3",#N/A,FALSE,"Admin";"nat",#N/A,FALSE,"Natugo";"irri1",#N/A,FALSE,"Irrigation";"irri2",#N/A,FALSE,"Irrigation";"oil1",#N/A,FALSE,"Press and Sesame";"oil2",#N/A,FALSE,"Press and Sesame";"stove1",#N/A,FALSE,"Stove";"stove2",#N/A,FALSE,"Stove"}</definedName>
    <definedName name="IVAN">#REF!</definedName>
    <definedName name="jenn">#REF!</definedName>
    <definedName name="KBALANCEVSFMI">#REF!</definedName>
    <definedName name="kkkk">#REF!</definedName>
    <definedName name="LIBRE_00">#REF!</definedName>
    <definedName name="LIBRE_01_RESERVA">#REF!</definedName>
    <definedName name="LIBRE_02">#REF!</definedName>
    <definedName name="LIBRE_94">#REF!</definedName>
    <definedName name="LIBRE_95">#REF!</definedName>
    <definedName name="LIBRE_96">#REF!</definedName>
    <definedName name="LIBRE_97">#REF!</definedName>
    <definedName name="LIBRE_98">#REF!</definedName>
    <definedName name="LIBRE_99">#REF!</definedName>
    <definedName name="LIFER">#REF!</definedName>
    <definedName name="LIN">#REF!</definedName>
    <definedName name="liqui">#REF!</definedName>
    <definedName name="liquidacion97">#REF!</definedName>
    <definedName name="llamadasdiarias">#REF!</definedName>
    <definedName name="Local_Hire">#REF!</definedName>
    <definedName name="Local_Hires">#REF!</definedName>
    <definedName name="LPORTADASECTOR">#REF!</definedName>
    <definedName name="M">#REF!</definedName>
    <definedName name="MACRO">#REF!</definedName>
    <definedName name="MARZON">#REF!</definedName>
    <definedName name="MARZOP">#REF!</definedName>
    <definedName name="MARZORN">#REF!</definedName>
    <definedName name="MARZORP">#REF!</definedName>
    <definedName name="Merit">#REF!</definedName>
    <definedName name="METAAFPDCC">#REF!</definedName>
    <definedName name="METAPDCC">#REF!</definedName>
    <definedName name="METASAFPDCC">#REF!</definedName>
    <definedName name="METASAFPDM">#REF!</definedName>
    <definedName name="METASPDCC">#REF!</definedName>
    <definedName name="METASPDM">#REF!</definedName>
    <definedName name="METROCRECIM">#REF!</definedName>
    <definedName name="METROPESOS">#REF!</definedName>
    <definedName name="METROPIB">#REF!</definedName>
    <definedName name="mincelular">#REF!</definedName>
    <definedName name="MINISTRO">#REF!</definedName>
    <definedName name="MUNICIPIO">#REF!</definedName>
    <definedName name="NACION">#REF!</definedName>
    <definedName name="nivel">#REF!</definedName>
    <definedName name="NOINCLUIDCRECIM">#REF!</definedName>
    <definedName name="NOINCLUIPESOS">#REF!</definedName>
    <definedName name="nomniv">#REF!</definedName>
    <definedName name="NOVDEUDAFLOTANTE">#REF!</definedName>
    <definedName name="NOVEVOLREZAGO">#REF!</definedName>
    <definedName name="OE97B">#REF!</definedName>
    <definedName name="OEPROY97">#REF!</definedName>
    <definedName name="OPEN">#REF!</definedName>
    <definedName name="opetesore00">#REF!</definedName>
    <definedName name="opetesore98">#REF!</definedName>
    <definedName name="opetesore99">#REF!</definedName>
    <definedName name="P">#REF!</definedName>
    <definedName name="padf01">#REF!</definedName>
    <definedName name="padf02">#REF!</definedName>
    <definedName name="padf03">#REF!</definedName>
    <definedName name="padf04">#REF!</definedName>
    <definedName name="padf05">#REF!</definedName>
    <definedName name="PAGOPROM00_">#REF!</definedName>
    <definedName name="PAGOPROM93_">#REF!</definedName>
    <definedName name="PAGOPROM94_">#REF!</definedName>
    <definedName name="PAGOPROM95_">#REF!</definedName>
    <definedName name="PAGOPROM96_">#REF!</definedName>
    <definedName name="PAGOPROM97_">#REF!</definedName>
    <definedName name="PAGOPROM98_">#REF!</definedName>
    <definedName name="PAGOPROM99_">#REF!</definedName>
    <definedName name="PARTICIPACIONES_1997___2000">#REF!</definedName>
    <definedName name="PARTMUN00_">#REF!</definedName>
    <definedName name="PARTMUN93_">#REF!</definedName>
    <definedName name="PARTMUN94_">#REF!</definedName>
    <definedName name="PARTMUN95_">#REF!</definedName>
    <definedName name="PARTMUN96_">#REF!</definedName>
    <definedName name="PARTMUN97_">#REF!</definedName>
    <definedName name="PARTMUN98_">#REF!</definedName>
    <definedName name="PARTMUN99_">#REF!</definedName>
    <definedName name="Pcpta_00">#REF!</definedName>
    <definedName name="Pcpta_01">#REF!</definedName>
    <definedName name="Pcpta_02">#REF!</definedName>
    <definedName name="Pcpta_99">#REF!</definedName>
    <definedName name="PERNOTEC00_">#REF!</definedName>
    <definedName name="PERNOTEC93_">#REF!</definedName>
    <definedName name="PERNOTEC94_">#REF!</definedName>
    <definedName name="PERNOTEC95_">#REF!</definedName>
    <definedName name="PERNOTEC96_">#REF!</definedName>
    <definedName name="PERNOTEC97_">#REF!</definedName>
    <definedName name="PERNOTEC98_">#REF!</definedName>
    <definedName name="PERNOTEC99_">#REF!</definedName>
    <definedName name="PEROTRA00_">#REF!</definedName>
    <definedName name="PEROTRA93_">#REF!</definedName>
    <definedName name="PEROTRA94_">#REF!</definedName>
    <definedName name="PEROTRA95_">#REF!</definedName>
    <definedName name="PEROTRA96_">#REF!</definedName>
    <definedName name="PEROTRA97_">#REF!</definedName>
    <definedName name="PEROTRA98_">#REF!</definedName>
    <definedName name="PEROTRA99_">#REF!</definedName>
    <definedName name="PERTRANS00_">#REF!</definedName>
    <definedName name="PERTRANS93_">#REF!</definedName>
    <definedName name="PERTRANS94_">#REF!</definedName>
    <definedName name="PERTRANS95_">#REF!</definedName>
    <definedName name="PERTRANS96_">#REF!</definedName>
    <definedName name="PERTRANS97_">#REF!</definedName>
    <definedName name="PERTRANS98_">#REF!</definedName>
    <definedName name="PERTRANS99_">#REF!</definedName>
    <definedName name="PIB">#REF!</definedName>
    <definedName name="PIB00">#REF!</definedName>
    <definedName name="PIB00_">#REF!</definedName>
    <definedName name="PIB93_">#REF!</definedName>
    <definedName name="PIB94_">#REF!</definedName>
    <definedName name="PIB95_">#REF!</definedName>
    <definedName name="PIB96_">#REF!</definedName>
    <definedName name="PIB97_">#REF!</definedName>
    <definedName name="PIB98_">#REF!</definedName>
    <definedName name="PIB99_">#REF!</definedName>
    <definedName name="PICN_00_REAF_98">#REF!</definedName>
    <definedName name="PICN_01_RESERVA">#REF!</definedName>
    <definedName name="PICN_94">#REF!</definedName>
    <definedName name="PICN_95">#REF!</definedName>
    <definedName name="PICN_96">#REF!</definedName>
    <definedName name="PICN_97">#REF!</definedName>
    <definedName name="PICN_98">#REF!</definedName>
    <definedName name="PICN_99_REF_97">#REF!</definedName>
    <definedName name="PLANNER">#REF!</definedName>
    <definedName name="PORC_LIBRE_00">#REF!</definedName>
    <definedName name="PORC_LIBRE_01">#REF!</definedName>
    <definedName name="PORC_LIBRE_02">#REF!</definedName>
    <definedName name="PORC_LIBRE_94">#REF!</definedName>
    <definedName name="PORC_LIBRE_95">#REF!</definedName>
    <definedName name="PORC_LIBRE_96">#REF!</definedName>
    <definedName name="PORC_LIBRE_97">#REF!</definedName>
    <definedName name="PORC_LIBRE_98">#REF!</definedName>
    <definedName name="PORC_LIBRE_99">#REF!</definedName>
    <definedName name="POSPRE">#REF!</definedName>
    <definedName name="post.difo3" localSheetId="1" hidden="1">{"sum",#N/A,FALSE,"Summary";"admin1",#N/A,FALSE,"Admin";"admin2",#N/A,FALSE,"Admin";"admin3",#N/A,FALSE,"Admin";"nat",#N/A,FALSE,"Natugo";"irri1",#N/A,FALSE,"Irrigation";"irri2",#N/A,FALSE,"Irrigation";"oil1",#N/A,FALSE,"Press and Sesame";"oil2",#N/A,FALSE,"Press and Sesame";"stove1",#N/A,FALSE,"Stove";"stove2",#N/A,FALSE,"Stove"}</definedName>
    <definedName name="post.difo3" localSheetId="5" hidden="1">{"sum",#N/A,FALSE,"Summary";"admin1",#N/A,FALSE,"Admin";"admin2",#N/A,FALSE,"Admin";"admin3",#N/A,FALSE,"Admin";"nat",#N/A,FALSE,"Natugo";"irri1",#N/A,FALSE,"Irrigation";"irri2",#N/A,FALSE,"Irrigation";"oil1",#N/A,FALSE,"Press and Sesame";"oil2",#N/A,FALSE,"Press and Sesame";"stove1",#N/A,FALSE,"Stove";"stove2",#N/A,FALSE,"Stove"}</definedName>
    <definedName name="post.difo3" localSheetId="0" hidden="1">{"sum",#N/A,FALSE,"Summary";"admin1",#N/A,FALSE,"Admin";"admin2",#N/A,FALSE,"Admin";"admin3",#N/A,FALSE,"Admin";"nat",#N/A,FALSE,"Natugo";"irri1",#N/A,FALSE,"Irrigation";"irri2",#N/A,FALSE,"Irrigation";"oil1",#N/A,FALSE,"Press and Sesame";"oil2",#N/A,FALSE,"Press and Sesame";"stove1",#N/A,FALSE,"Stove";"stove2",#N/A,FALSE,"Stove"}</definedName>
    <definedName name="post.difo3" hidden="1">{"sum",#N/A,FALSE,"Summary";"admin1",#N/A,FALSE,"Admin";"admin2",#N/A,FALSE,"Admin";"admin3",#N/A,FALSE,"Admin";"nat",#N/A,FALSE,"Natugo";"irri1",#N/A,FALSE,"Irrigation";"irri2",#N/A,FALSE,"Irrigation";"oil1",#N/A,FALSE,"Press and Sesame";"oil2",#N/A,FALSE,"Press and Sesame";"stove1",#N/A,FALSE,"Stove";"stove2",#N/A,FALSE,"Stove"}</definedName>
    <definedName name="post05" localSheetId="1" hidden="1">{"sum",#N/A,FALSE,"Summary";"admin1",#N/A,FALSE,"Admin";"admin2",#N/A,FALSE,"Admin";"admin3",#N/A,FALSE,"Admin";"nat",#N/A,FALSE,"Natugo";"irri1",#N/A,FALSE,"Irrigation";"irri2",#N/A,FALSE,"Irrigation";"oil1",#N/A,FALSE,"Press and Sesame";"oil2",#N/A,FALSE,"Press and Sesame";"stove1",#N/A,FALSE,"Stove";"stove2",#N/A,FALSE,"Stove"}</definedName>
    <definedName name="post05" localSheetId="5" hidden="1">{"sum",#N/A,FALSE,"Summary";"admin1",#N/A,FALSE,"Admin";"admin2",#N/A,FALSE,"Admin";"admin3",#N/A,FALSE,"Admin";"nat",#N/A,FALSE,"Natugo";"irri1",#N/A,FALSE,"Irrigation";"irri2",#N/A,FALSE,"Irrigation";"oil1",#N/A,FALSE,"Press and Sesame";"oil2",#N/A,FALSE,"Press and Sesame";"stove1",#N/A,FALSE,"Stove";"stove2",#N/A,FALSE,"Stove"}</definedName>
    <definedName name="post05" localSheetId="0" hidden="1">{"sum",#N/A,FALSE,"Summary";"admin1",#N/A,FALSE,"Admin";"admin2",#N/A,FALSE,"Admin";"admin3",#N/A,FALSE,"Admin";"nat",#N/A,FALSE,"Natugo";"irri1",#N/A,FALSE,"Irrigation";"irri2",#N/A,FALSE,"Irrigation";"oil1",#N/A,FALSE,"Press and Sesame";"oil2",#N/A,FALSE,"Press and Sesame";"stove1",#N/A,FALSE,"Stove";"stove2",#N/A,FALSE,"Stove"}</definedName>
    <definedName name="post05" hidden="1">{"sum",#N/A,FALSE,"Summary";"admin1",#N/A,FALSE,"Admin";"admin2",#N/A,FALSE,"Admin";"admin3",#N/A,FALSE,"Admin";"nat",#N/A,FALSE,"Natugo";"irri1",#N/A,FALSE,"Irrigation";"irri2",#N/A,FALSE,"Irrigation";"oil1",#N/A,FALSE,"Press and Sesame";"oil2",#N/A,FALSE,"Press and Sesame";"stove1",#N/A,FALSE,"Stove";"stove2",#N/A,FALSE,"Stove"}</definedName>
    <definedName name="postdif01">#REF!</definedName>
    <definedName name="postdif02">#REF!</definedName>
    <definedName name="PPTO97">#REF!</definedName>
    <definedName name="PRESUPUESTO__1998">#REF!</definedName>
    <definedName name="prgnac">#REF!</definedName>
    <definedName name="prgprp">#REF!</definedName>
    <definedName name="primant">#REF!</definedName>
    <definedName name="primnav">#REF!</definedName>
    <definedName name="primser">#REF!</definedName>
    <definedName name="primtec">#REF!</definedName>
    <definedName name="primvac">#REF!</definedName>
    <definedName name="_xlnm.Print_Area" localSheetId="1">'Budget ProAntioquia'!$F$8:$AQ$151</definedName>
    <definedName name="_xlnm.Print_Area" localSheetId="5">'Mod 5'!$A$1:$S$24</definedName>
    <definedName name="_xlnm.Print_Area" localSheetId="0">'OrigBudget Summary ProAntioquia'!$A$1:$S$23</definedName>
    <definedName name="Print_Titles_MI" localSheetId="1">#REF!</definedName>
    <definedName name="Print_Titles_MI" localSheetId="5">#REF!</definedName>
    <definedName name="Print_Titles_MI" localSheetId="0">#REF!</definedName>
    <definedName name="Print_Titles_MI">#REF!</definedName>
    <definedName name="PRIO">#REF!</definedName>
    <definedName name="PROPIOS">#REF!</definedName>
    <definedName name="prynac">#REF!</definedName>
    <definedName name="pryprp">#REF!</definedName>
    <definedName name="pyd">#REF!</definedName>
    <definedName name="rango1">#REF!</definedName>
    <definedName name="RDPTO">#REF!</definedName>
    <definedName name="re">#REF!</definedName>
    <definedName name="RECALCULO">#REF!</definedName>
    <definedName name="RECAPRO00_">#REF!</definedName>
    <definedName name="RECAPRO93_">#REF!</definedName>
    <definedName name="RECAPRO94_">#REF!</definedName>
    <definedName name="RECAPRO95_">#REF!</definedName>
    <definedName name="RECAPRO96_">#REF!</definedName>
    <definedName name="RECAPRO97_">#REF!</definedName>
    <definedName name="RECAPRO98_">#REF!</definedName>
    <definedName name="RECAPRO99_">#REF!</definedName>
    <definedName name="recing">#REF!</definedName>
    <definedName name="recnac">#REF!</definedName>
    <definedName name="recprp">#REF!</definedName>
    <definedName name="refrigerio">#REF!</definedName>
    <definedName name="reg">#REF!</definedName>
    <definedName name="REGALIAS00_">#REF!</definedName>
    <definedName name="REGALIAS93_">#REF!</definedName>
    <definedName name="REGALIAS94_">#REF!</definedName>
    <definedName name="REGALIAS95_">#REF!</definedName>
    <definedName name="REGALIAS96_">#REF!</definedName>
    <definedName name="REGALIAS97_">#REF!</definedName>
    <definedName name="REGALIAS98_">#REF!</definedName>
    <definedName name="REGALIAS99_">#REF!</definedName>
    <definedName name="REGIONALCRECIM">#REF!</definedName>
    <definedName name="REGIONALPESOS">#REF!</definedName>
    <definedName name="REGIONALPIB">#REF!</definedName>
    <definedName name="Rep_ing_02">#REF!</definedName>
    <definedName name="REQUERIDOS">#REF!</definedName>
    <definedName name="reservasalon">#REF!</definedName>
    <definedName name="RESTO">#REF!</definedName>
    <definedName name="RESTOCRECIM">#REF!</definedName>
    <definedName name="RESTOPESOS">#REF!</definedName>
    <definedName name="RESTOPIB">#REF!</definedName>
    <definedName name="RESUMIDO">#REF!</definedName>
    <definedName name="rezago">#REF!</definedName>
    <definedName name="Rwvu.ComparEneMar9697." hidden="1">#REF!,#REF!</definedName>
    <definedName name="Rwvu.EneFeb." hidden="1">#REF!,#REF!</definedName>
    <definedName name="Rwvu.Formato._.Corto." hidden="1">#REF!,#REF!,#REF!,#REF!,#REF!,#REF!</definedName>
    <definedName name="Rwvu.OPEF._.96." hidden="1">#REF!,#REF!</definedName>
    <definedName name="Rwvu.OPEF._.97." hidden="1">#REF!,#REF!,#REF!</definedName>
    <definedName name="SALIR">#REF!</definedName>
    <definedName name="sdf" localSheetId="1">#REF!</definedName>
    <definedName name="sdf" localSheetId="5">#REF!</definedName>
    <definedName name="sdf" localSheetId="0">#REF!</definedName>
    <definedName name="sdf">#REF!</definedName>
    <definedName name="secing">#REF!</definedName>
    <definedName name="SEGSOCIALCRECIM">#REF!</definedName>
    <definedName name="SEGSOCIALPESOS">#REF!</definedName>
    <definedName name="SEGSOCIALPIB">#REF!</definedName>
    <definedName name="SENDEMANDA00_">#REF!</definedName>
    <definedName name="SENDEMANDA93_">#REF!</definedName>
    <definedName name="SENDEMANDA94_">#REF!</definedName>
    <definedName name="SENDEMANDA95_">#REF!</definedName>
    <definedName name="SENDEMANDA96_">#REF!</definedName>
    <definedName name="SENDEMANDA97_">#REF!</definedName>
    <definedName name="SENDEMANDA98_">#REF!</definedName>
    <definedName name="SENDEMANDA99_">#REF!</definedName>
    <definedName name="SENPERDIDAS00_">#REF!</definedName>
    <definedName name="SENPERDIDAS93_">#REF!</definedName>
    <definedName name="SENPERDIDAS94_">#REF!</definedName>
    <definedName name="SENPERDIDAS95_">#REF!</definedName>
    <definedName name="SENPERDIDAS96_">#REF!</definedName>
    <definedName name="SENPERDIDAS97_">#REF!</definedName>
    <definedName name="SENPERDIDAS98_">#REF!</definedName>
    <definedName name="SENPERDIDAS99_">#REF!</definedName>
    <definedName name="SENRECAUDO00_">#REF!</definedName>
    <definedName name="SENRECAUDO93_">#REF!</definedName>
    <definedName name="SENRECAUDO94_">#REF!</definedName>
    <definedName name="SENRECAUDO95_">#REF!</definedName>
    <definedName name="SENRECAUDO96_">#REF!</definedName>
    <definedName name="SENRECAUDO97_">#REF!</definedName>
    <definedName name="SENRECAUDO98_">#REF!</definedName>
    <definedName name="SENRECAUDO99_">#REF!</definedName>
    <definedName name="SENSUPERAVIT00_">#REF!</definedName>
    <definedName name="SENSUPERAVIT93_">#REF!</definedName>
    <definedName name="SENSUPERAVIT94_">#REF!</definedName>
    <definedName name="SENSUPERAVIT95_">#REF!</definedName>
    <definedName name="SENSUPERAVIT96_">#REF!</definedName>
    <definedName name="SENSUPERAVIT97_">#REF!</definedName>
    <definedName name="SENSUPERAVIT98_">#REF!</definedName>
    <definedName name="SENSUPERAVIT99_">#REF!</definedName>
    <definedName name="SENTARIFA00_">#REF!</definedName>
    <definedName name="SENTARIFA93_">#REF!</definedName>
    <definedName name="SENTARIFA94_">#REF!</definedName>
    <definedName name="SENTARIFA95_">#REF!</definedName>
    <definedName name="SENTARIFA96_">#REF!</definedName>
    <definedName name="SENTARIFA97_">#REF!</definedName>
    <definedName name="SENTARIFA98_">#REF!</definedName>
    <definedName name="SENTARIFA99_">#REF!</definedName>
    <definedName name="SENVARDEM00_">#REF!</definedName>
    <definedName name="SENVARDEM93_">#REF!</definedName>
    <definedName name="SENVARDEM94_">#REF!</definedName>
    <definedName name="SENVARDEM95_">#REF!</definedName>
    <definedName name="SENVARDEM96_">#REF!</definedName>
    <definedName name="SENVARDEM97_">#REF!</definedName>
    <definedName name="SENVARDEM98_">#REF!</definedName>
    <definedName name="SENVARDEM99_">#REF!</definedName>
    <definedName name="SENVENTAS00_">#REF!</definedName>
    <definedName name="SENVENTAS93_">#REF!</definedName>
    <definedName name="SENVENTAS94_">#REF!</definedName>
    <definedName name="SENVENTAS95_">#REF!</definedName>
    <definedName name="SENVENTAS96_">#REF!</definedName>
    <definedName name="SENVENTAS97_">#REF!</definedName>
    <definedName name="SENVENTAS98_">#REF!</definedName>
    <definedName name="SENVENTAS99_">#REF!</definedName>
    <definedName name="SERVICIODEUDANACION">#REF!</definedName>
    <definedName name="Servicios_personales">#REF!</definedName>
    <definedName name="SGP_PG_02">#REF!</definedName>
    <definedName name="SITFID95_">#REF!</definedName>
    <definedName name="SITFIS00_">#REF!</definedName>
    <definedName name="SITFIS93_">#REF!</definedName>
    <definedName name="SITFIS94_">#REF!</definedName>
    <definedName name="SITFIS95_">#REF!</definedName>
    <definedName name="SITFIS96_">#REF!</definedName>
    <definedName name="SITFIS97_">#REF!</definedName>
    <definedName name="SITFIS98_">#REF!</definedName>
    <definedName name="SITFIS99_">#REF!</definedName>
    <definedName name="solnac">#REF!</definedName>
    <definedName name="solprp">#REF!</definedName>
    <definedName name="SORTEADO">#REF!</definedName>
    <definedName name="subtrn">#REF!</definedName>
    <definedName name="talleristas">#REF!</definedName>
    <definedName name="TCP00_">#REF!</definedName>
    <definedName name="TCP93_">#REF!</definedName>
    <definedName name="TCP94_">#REF!</definedName>
    <definedName name="TCP95_">#REF!</definedName>
    <definedName name="TCP96_">#REF!</definedName>
    <definedName name="TCP97_">#REF!</definedName>
    <definedName name="TCP98_">#REF!</definedName>
    <definedName name="TCP99_">#REF!</definedName>
    <definedName name="TELECOMCRECIM">#REF!</definedName>
    <definedName name="TELECOMPESOS">#REF!</definedName>
    <definedName name="TELECOMPIB">#REF!</definedName>
    <definedName name="Títulos_a_imprimir_IM">#REF!</definedName>
    <definedName name="TODO">#REF!</definedName>
    <definedName name="TOTAL">#REF!</definedName>
    <definedName name="tothorext">#REF!</definedName>
    <definedName name="totindemvac">#REF!</definedName>
    <definedName name="tranferencias">#REF!</definedName>
    <definedName name="transporte1">#REF!</definedName>
    <definedName name="TRANSTOT00_">#REF!</definedName>
    <definedName name="TRANSTOT93_">#REF!</definedName>
    <definedName name="TRANSTOT94_">#REF!</definedName>
    <definedName name="TRANSTOT95_">#REF!</definedName>
    <definedName name="TRANSTOT96_">#REF!</definedName>
    <definedName name="TRANSTOT97_">#REF!</definedName>
    <definedName name="TRANSTOT98_">#REF!</definedName>
    <definedName name="TRANSTOT99_">#REF!</definedName>
    <definedName name="Travel_Regional" localSheetId="1">#REF!</definedName>
    <definedName name="Travel_Regional" localSheetId="5">#REF!</definedName>
    <definedName name="Travel_Regional" localSheetId="0">#REF!</definedName>
    <definedName name="Travel_Regional">#REF!</definedName>
    <definedName name="Travel_WDC">#REF!</definedName>
    <definedName name="uno">#REF!</definedName>
    <definedName name="v"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valor">#REF!</definedName>
    <definedName name="valorimpreso">#REF!</definedName>
    <definedName name="valorpuntoIng">#REF!</definedName>
    <definedName name="VARIACIONES">#REF!</definedName>
    <definedName name="VARPIB00_">#REF!</definedName>
    <definedName name="VARPIB93_">#REF!</definedName>
    <definedName name="VARPIB94_">#REF!</definedName>
    <definedName name="VARPIB95_">#REF!</definedName>
    <definedName name="VARPIB96_">#REF!</definedName>
    <definedName name="VARPIB97_">#REF!</definedName>
    <definedName name="VARPIB98_">#REF!</definedName>
    <definedName name="VARPIB99_">#REF!</definedName>
    <definedName name="VIGENCIA">#REF!</definedName>
    <definedName name="Vigencia_1999">#REF!</definedName>
    <definedName name="Vigencia_2000">#REF!</definedName>
    <definedName name="Vigencia_2001">#REF!</definedName>
    <definedName name="Vigencia_2002">#REF!</definedName>
    <definedName name="warm.mali" localSheetId="1" hidden="1">{"sum",#N/A,FALSE,"Summary";"admin1",#N/A,FALSE,"Admin";"admin2",#N/A,FALSE,"Admin";"admin3",#N/A,FALSE,"Admin";"nat",#N/A,FALSE,"Natugo";"irri1",#N/A,FALSE,"Irrigation";"irri2",#N/A,FALSE,"Irrigation";"oil1",#N/A,FALSE,"Press and Sesame";"oil2",#N/A,FALSE,"Press and Sesame";"stove1",#N/A,FALSE,"Stove";"stove2",#N/A,FALSE,"Stove"}</definedName>
    <definedName name="warm.mali" localSheetId="5" hidden="1">{"sum",#N/A,FALSE,"Summary";"admin1",#N/A,FALSE,"Admin";"admin2",#N/A,FALSE,"Admin";"admin3",#N/A,FALSE,"Admin";"nat",#N/A,FALSE,"Natugo";"irri1",#N/A,FALSE,"Irrigation";"irri2",#N/A,FALSE,"Irrigation";"oil1",#N/A,FALSE,"Press and Sesame";"oil2",#N/A,FALSE,"Press and Sesame";"stove1",#N/A,FALSE,"Stove";"stove2",#N/A,FALSE,"Stove"}</definedName>
    <definedName name="warm.mali" localSheetId="0" hidden="1">{"sum",#N/A,FALSE,"Summary";"admin1",#N/A,FALSE,"Admin";"admin2",#N/A,FALSE,"Admin";"admin3",#N/A,FALSE,"Admin";"nat",#N/A,FALSE,"Natugo";"irri1",#N/A,FALSE,"Irrigation";"irri2",#N/A,FALSE,"Irrigation";"oil1",#N/A,FALSE,"Press and Sesame";"oil2",#N/A,FALSE,"Press and Sesame";"stove1",#N/A,FALSE,"Stove";"stove2",#N/A,FALSE,"Stove"}</definedName>
    <definedName name="warm.mali" hidden="1">{"sum",#N/A,FALSE,"Summary";"admin1",#N/A,FALSE,"Admin";"admin2",#N/A,FALSE,"Admin";"admin3",#N/A,FALSE,"Admin";"nat",#N/A,FALSE,"Natugo";"irri1",#N/A,FALSE,"Irrigation";"irri2",#N/A,FALSE,"Irrigation";"oil1",#N/A,FALSE,"Press and Sesame";"oil2",#N/A,FALSE,"Press and Sesame";"stove1",#N/A,FALSE,"Stove";"stove2",#N/A,FALSE,"Stove"}</definedName>
    <definedName name="wrn.mali." localSheetId="1" hidden="1">{"sum",#N/A,FALSE,"Summary";"admin1",#N/A,FALSE,"Admin";"admin2",#N/A,FALSE,"Admin";"admin3",#N/A,FALSE,"Admin";"nat",#N/A,FALSE,"Natugo";"irri1",#N/A,FALSE,"Irrigation";"irri2",#N/A,FALSE,"Irrigation";"oil1",#N/A,FALSE,"Press and Sesame";"oil2",#N/A,FALSE,"Press and Sesame";"stove1",#N/A,FALSE,"Stove";"stove2",#N/A,FALSE,"Stove"}</definedName>
    <definedName name="wrn.mali." localSheetId="5" hidden="1">{"sum",#N/A,FALSE,"Summary";"admin1",#N/A,FALSE,"Admin";"admin2",#N/A,FALSE,"Admin";"admin3",#N/A,FALSE,"Admin";"nat",#N/A,FALSE,"Natugo";"irri1",#N/A,FALSE,"Irrigation";"irri2",#N/A,FALSE,"Irrigation";"oil1",#N/A,FALSE,"Press and Sesame";"oil2",#N/A,FALSE,"Press and Sesame";"stove1",#N/A,FALSE,"Stove";"stove2",#N/A,FALSE,"Stove"}</definedName>
    <definedName name="wrn.mali." localSheetId="0" hidden="1">{"sum",#N/A,FALSE,"Summary";"admin1",#N/A,FALSE,"Admin";"admin2",#N/A,FALSE,"Admin";"admin3",#N/A,FALSE,"Admin";"nat",#N/A,FALSE,"Natugo";"irri1",#N/A,FALSE,"Irrigation";"irri2",#N/A,FALSE,"Irrigation";"oil1",#N/A,FALSE,"Press and Sesame";"oil2",#N/A,FALSE,"Press and Sesame";"stove1",#N/A,FALSE,"Stove";"stove2",#N/A,FALSE,"Stove"}</definedName>
    <definedName name="wrn.mali." hidden="1">{"sum",#N/A,FALSE,"Summary";"admin1",#N/A,FALSE,"Admin";"admin2",#N/A,FALSE,"Admin";"admin3",#N/A,FALSE,"Admin";"nat",#N/A,FALSE,"Natugo";"irri1",#N/A,FALSE,"Irrigation";"irri2",#N/A,FALSE,"Irrigation";"oil1",#N/A,FALSE,"Press and Sesame";"oil2",#N/A,FALSE,"Press and Sesame";"stove1",#N/A,FALSE,"Stove";"stove2",#N/A,FALSE,"Stove"}</definedName>
    <definedName name="wvu.ComparEneMar9697." hidden="1">{TRUE,TRUE,-2.75,-17.75,483,255,FALSE,TRUE,TRUE,TRUE,0,43,#N/A,1,#N/A,9.08333333333333,25.6923076923077,1,FALSE,FALSE,3,TRUE,1,FALSE,75,"Swvu.ComparEneMar9697.","ACwvu.ComparEneMar9697.",#N/A,FALSE,FALSE,1.78,0.787401575,0.74,0.984251969,2,"","",FALSE,FALSE,FALSE,FALSE,1,#N/A,1,1,"=R3C3:R96C47",FALSE,"Rwvu.ComparEneMar9697.","Cwvu.ComparEneMar9697.",FALSE,FALSE,FALSE,1,300,300,FALSE,FALSE,TRUE,TRUE,TRUE}</definedName>
    <definedName name="wvu.EneFeb." hidden="1">{TRUE,TRUE,-2.75,-17.75,483,276.75,FALSE,TRUE,TRUE,TRUE,0,3,15,1,110,11,8,4,TRUE,TRUE,3,TRUE,1,TRUE,75,"Swvu.EneFeb.","ACwvu.EneFeb.",#N/A,FALSE,FALSE,1.24,0.787401575,0.74,0.984251969,1,"","",FALSE,FALSE,FALSE,FALSE,1,#N/A,1,1,#DIV/0!,FALSE,"Rwvu.EneFeb.","Cwvu.EneFeb.",FALSE,FALSE,FALSE,1,300,300,FALSE,FALSE,TRUE,TRUE,TRUE}</definedName>
    <definedName name="wvu.Formato._.Corto."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wvu.Formato._.Total." hidden="1">{TRUE,TRUE,-2.75,-17,483,276.75,FALSE,TRUE,TRUE,TRUE,0,2,#N/A,1,#N/A,12.5875,23.9230769230769,1,FALSE,FALSE,3,TRUE,1,FALSE,75,"Swvu.Formato._.Total.","ACwvu.Formato._.Total.",#N/A,FALSE,FALSE,1.78,0.787401575,0.74,0.984251969,1,"","",FALSE,FALSE,FALSE,FALSE,1,#N/A,1,1,"=R3C3:R149C30",FALSE,"Rwvu.Formato._.Total.","Cwvu.Formato._.Total.",FALSE,FALSE,FALSE,5,300,300,FALSE,FALSE,TRUE,TRUE,TRUE}</definedName>
    <definedName name="wvu.OPEF._.96." hidden="1">{TRUE,TRUE,-2.75,-17.75,483,276.75,FALSE,TRUE,TRUE,TRUE,0,1,#N/A,4,#N/A,8.57142857142857,19.625,1,FALSE,FALSE,3,TRUE,1,FALSE,75,"Swvu.OPEF._.96.","ACwvu.OPEF._.96.",#N/A,FALSE,FALSE,1.88,0.787401575,0.39,0.6,1,"","",FALSE,FALSE,FALSE,FALSE,1,#N/A,1,1,"=R4C2:R117C13",FALSE,"Rwvu.OPEF._.96.",#N/A,FALSE,FALSE,FALSE,5,300,300,FALSE,FALSE,TRUE,TRUE,TRUE}</definedName>
    <definedName name="wvu.OPEF._.97." hidden="1">{TRUE,TRUE,-2.75,-17.75,483,276.75,FALSE,TRUE,TRUE,TRUE,0,2,#N/A,1,#N/A,6.24489795918367,20,1,FALSE,FALSE,3,TRUE,1,FALSE,75,"Swvu.OPEF._.97.","ACwvu.OPEF._.97.",#N/A,FALSE,FALSE,1.88,0.787401575,0.39,1.56,1,"","",FALSE,FALSE,FALSE,FALSE,1,#N/A,1,1,"=R4C2:R117C9",FALSE,"Rwvu.OPEF._.97.",#N/A,FALSE,FALSE,FALSE,5,300,300,FALSE,FALSE,TRUE,TRUE,TRUE}</definedName>
    <definedName name="xxx"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Z">#REF!</definedName>
    <definedName name="Z_91E95AE5_DCC2_11D0_8DF1_00805F2A002D_.wvu.Cols" hidden="1">#REF!,#REF!</definedName>
    <definedName name="Z_91E95AE6_DCC2_11D0_8DF1_00805F2A002D_.wvu.Cols" hidden="1">#REF!,#REF!</definedName>
    <definedName name="Z_91E95AE6_DCC2_11D0_8DF1_00805F2A002D_.wvu.Rows" hidden="1">#REF!,#REF!</definedName>
    <definedName name="Z_91E95AE7_DCC2_11D0_8DF1_00805F2A002D_.wvu.Cols" hidden="1">#REF!,#REF!,#REF!,#REF!,#REF!,#REF!,#REF!,#REF!</definedName>
    <definedName name="Z_91E95AE8_DCC2_11D0_8DF1_00805F2A002D_.wvu.Cols" hidden="1">#REF!,#REF!,#REF!,#REF!,#REF!</definedName>
    <definedName name="Z_91E95AE9_DCC2_11D0_8DF1_00805F2A002D_.wvu.Cols" hidden="1">#REF!,#REF!,#REF!,#REF!,#REF!,#REF!</definedName>
    <definedName name="Z_91E95AEB_DCC2_11D0_8DF1_00805F2A002D_.wvu.Cols" hidden="1">#REF!,#REF!</definedName>
    <definedName name="Z_91E95AEC_DCC2_11D0_8DF1_00805F2A002D_.wvu.Cols" hidden="1">#REF!,#REF!,#REF!,#REF!,#REF!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Z22" i="26" l="1"/>
  <c r="Z20" i="26"/>
  <c r="Z18" i="26"/>
  <c r="Z16" i="26"/>
  <c r="Z14" i="26"/>
  <c r="Z12" i="26"/>
  <c r="Z10" i="26"/>
  <c r="Z8" i="26"/>
  <c r="V24" i="26"/>
  <c r="V23" i="26"/>
  <c r="V22" i="26"/>
  <c r="V20" i="26"/>
  <c r="V18" i="26"/>
  <c r="V16" i="26"/>
  <c r="V14" i="26"/>
  <c r="V12" i="26"/>
  <c r="V10" i="26"/>
  <c r="V8" i="26"/>
  <c r="U24" i="26"/>
  <c r="U23" i="26"/>
  <c r="U22" i="26"/>
  <c r="U20" i="26"/>
  <c r="U18" i="26"/>
  <c r="U16" i="26"/>
  <c r="U14" i="26"/>
  <c r="U12" i="26"/>
  <c r="U10" i="26"/>
  <c r="U8" i="26"/>
  <c r="T8" i="26"/>
  <c r="T23" i="26"/>
  <c r="T20" i="26"/>
  <c r="T18" i="26"/>
  <c r="T22" i="26" s="1"/>
  <c r="T24" i="26" s="1"/>
  <c r="T16" i="26"/>
  <c r="T14" i="26"/>
  <c r="T12" i="26"/>
  <c r="T10" i="26"/>
  <c r="O22" i="26" l="1"/>
  <c r="O24" i="26" s="1"/>
  <c r="N22" i="26"/>
  <c r="N24" i="26" s="1"/>
  <c r="L22" i="26"/>
  <c r="L24" i="26" s="1"/>
  <c r="K22" i="26"/>
  <c r="K24" i="26" s="1"/>
  <c r="I22" i="26"/>
  <c r="I24" i="26" s="1"/>
  <c r="H22" i="26"/>
  <c r="H24" i="26" s="1"/>
  <c r="F22" i="26"/>
  <c r="F24" i="26" s="1"/>
  <c r="E22" i="26"/>
  <c r="E24" i="26" s="1"/>
  <c r="C22" i="26"/>
  <c r="C24" i="26" s="1"/>
  <c r="B22" i="26"/>
  <c r="B24" i="26" s="1"/>
  <c r="P8" i="26"/>
  <c r="P22" i="26" s="1"/>
  <c r="P24" i="26" s="1"/>
  <c r="M8" i="26"/>
  <c r="M22" i="26" s="1"/>
  <c r="M24" i="26" s="1"/>
  <c r="J8" i="26"/>
  <c r="J22" i="26" s="1"/>
  <c r="J24" i="26" s="1"/>
  <c r="G8" i="26"/>
  <c r="G22" i="26" s="1"/>
  <c r="G24" i="26" s="1"/>
  <c r="D8" i="26"/>
  <c r="D22" i="26" s="1"/>
  <c r="D24" i="26" s="1"/>
  <c r="AR105" i="20"/>
  <c r="BX122" i="20"/>
  <c r="BZ122" i="20" s="1"/>
  <c r="CB131" i="20"/>
  <c r="BR121" i="20"/>
  <c r="BT121" i="20" s="1"/>
  <c r="BE122" i="20"/>
  <c r="BF118" i="20"/>
  <c r="CB115" i="20"/>
  <c r="CB87" i="20"/>
  <c r="CB81" i="20"/>
  <c r="CB44" i="20"/>
  <c r="CB43" i="20"/>
  <c r="BT37" i="20"/>
  <c r="BN37" i="20"/>
  <c r="BG37" i="20"/>
  <c r="BE26" i="20"/>
  <c r="AS18" i="20"/>
  <c r="O21" i="21"/>
  <c r="L21" i="21"/>
  <c r="L23" i="21" s="1"/>
  <c r="J7" i="21"/>
  <c r="J21" i="21" s="1"/>
  <c r="D7" i="21"/>
  <c r="D21" i="21" s="1"/>
  <c r="D23" i="21" s="1"/>
  <c r="Q21" i="21" l="1"/>
  <c r="Q23" i="21" s="1"/>
  <c r="N21" i="21"/>
  <c r="N23" i="21" s="1"/>
  <c r="E21" i="21"/>
  <c r="E23" i="21" s="1"/>
  <c r="F21" i="21"/>
  <c r="S21" i="21"/>
  <c r="S23" i="21" s="1"/>
  <c r="I21" i="21"/>
  <c r="I23" i="21" s="1"/>
  <c r="K21" i="21"/>
  <c r="K23" i="21" s="1"/>
  <c r="H21" i="21"/>
  <c r="H23" i="21" s="1"/>
  <c r="C21" i="21"/>
  <c r="C23" i="21" s="1"/>
  <c r="M7" i="21"/>
  <c r="M21" i="21" s="1"/>
  <c r="M23" i="21" s="1"/>
  <c r="R21" i="21"/>
  <c r="F23" i="21"/>
  <c r="O23" i="21"/>
  <c r="J23" i="21"/>
  <c r="R23" i="21"/>
  <c r="G7" i="21"/>
  <c r="G21" i="21" s="1"/>
  <c r="G23" i="21" s="1"/>
  <c r="P7" i="21"/>
  <c r="P21" i="21" s="1"/>
  <c r="P23" i="21" s="1"/>
  <c r="B21" i="21"/>
  <c r="B23" i="21" s="1"/>
  <c r="BL91" i="20" l="1"/>
  <c r="BL92" i="20" s="1"/>
  <c r="BJ15" i="20"/>
  <c r="CA37" i="20"/>
  <c r="BJ14" i="20"/>
  <c r="BL14" i="20" s="1"/>
  <c r="BE91" i="20"/>
  <c r="BG91" i="20" s="1"/>
  <c r="CM153" i="20"/>
  <c r="CN153" i="20"/>
  <c r="CO153" i="20"/>
  <c r="CP153" i="20"/>
  <c r="CQ153" i="20"/>
  <c r="CR153" i="20"/>
  <c r="CS153" i="20"/>
  <c r="CT153" i="20"/>
  <c r="CU153" i="20"/>
  <c r="CV153" i="20"/>
  <c r="CW153" i="20"/>
  <c r="CX153" i="20"/>
  <c r="CY153" i="20"/>
  <c r="CZ153" i="20"/>
  <c r="DA153" i="20"/>
  <c r="DB153" i="20"/>
  <c r="DC153" i="20"/>
  <c r="DD153" i="20"/>
  <c r="DE153" i="20"/>
  <c r="DF153" i="20"/>
  <c r="DG153" i="20"/>
  <c r="DH153" i="20"/>
  <c r="DI153" i="20"/>
  <c r="DJ153" i="20"/>
  <c r="DK153" i="20"/>
  <c r="DL153" i="20"/>
  <c r="DM153" i="20"/>
  <c r="DN153" i="20"/>
  <c r="DO153" i="20"/>
  <c r="DP153" i="20"/>
  <c r="DQ153" i="20"/>
  <c r="DR153" i="20"/>
  <c r="DS153" i="20"/>
  <c r="DT153" i="20"/>
  <c r="DU153" i="20"/>
  <c r="DV153" i="20"/>
  <c r="DW153" i="20"/>
  <c r="DX153" i="20"/>
  <c r="DY153" i="20"/>
  <c r="DZ153" i="20"/>
  <c r="EA153" i="20"/>
  <c r="EB153" i="20"/>
  <c r="EC153" i="20"/>
  <c r="ED153" i="20"/>
  <c r="EE153" i="20"/>
  <c r="EF153" i="20"/>
  <c r="EG153" i="20"/>
  <c r="EH153" i="20"/>
  <c r="EI153" i="20"/>
  <c r="EJ153" i="20"/>
  <c r="EK153" i="20"/>
  <c r="EL153" i="20"/>
  <c r="EN153" i="20"/>
  <c r="EO153" i="20"/>
  <c r="EP153" i="20"/>
  <c r="EQ153" i="20"/>
  <c r="ER153" i="20"/>
  <c r="ES153" i="20"/>
  <c r="CK38" i="20"/>
  <c r="CK91" i="20" l="1"/>
  <c r="BB38" i="20"/>
  <c r="BY118" i="20"/>
  <c r="BS118" i="20"/>
  <c r="BM118" i="20"/>
  <c r="BY88" i="20"/>
  <c r="BY105" i="20"/>
  <c r="BV105" i="20"/>
  <c r="BS105" i="20"/>
  <c r="BP105" i="20"/>
  <c r="BM105" i="20"/>
  <c r="BJ105" i="20"/>
  <c r="BC105" i="20"/>
  <c r="S68" i="23" l="1"/>
  <c r="R19" i="23"/>
  <c r="S20" i="23"/>
  <c r="S22" i="23"/>
  <c r="S21" i="23"/>
  <c r="EM135" i="20"/>
  <c r="CK131" i="20"/>
  <c r="CK130" i="20"/>
  <c r="BP135" i="20"/>
  <c r="BL131" i="20"/>
  <c r="U41" i="23"/>
  <c r="BZ91" i="20"/>
  <c r="BZ90" i="20"/>
  <c r="CL11" i="20" l="1"/>
  <c r="EM153" i="20"/>
  <c r="BZ92" i="20"/>
  <c r="AR108" i="20" l="1"/>
  <c r="AS108" i="20"/>
  <c r="AU108" i="20"/>
  <c r="AU118" i="20"/>
  <c r="AR118" i="20"/>
  <c r="AS118" i="20"/>
  <c r="AS105" i="20"/>
  <c r="AU105" i="20"/>
  <c r="AZ103" i="20"/>
  <c r="AZ104" i="20"/>
  <c r="AW104" i="20"/>
  <c r="AV104" i="20"/>
  <c r="AS96" i="20"/>
  <c r="AU96" i="20"/>
  <c r="AS45" i="20"/>
  <c r="AT45" i="20"/>
  <c r="AU45" i="20"/>
  <c r="AV45" i="20"/>
  <c r="AZ45" i="20"/>
  <c r="AR45" i="20"/>
  <c r="AU148" i="20"/>
  <c r="CK144" i="20"/>
  <c r="CK93" i="20"/>
  <c r="CL93" i="20" s="1"/>
  <c r="CK92" i="20"/>
  <c r="CL92" i="20" s="1"/>
  <c r="CB104" i="20"/>
  <c r="BN104" i="20"/>
  <c r="BR104" i="20"/>
  <c r="BX104" i="20"/>
  <c r="BZ104" i="20" s="1"/>
  <c r="CI104" i="20"/>
  <c r="BE104" i="20"/>
  <c r="BG104" i="20" s="1"/>
  <c r="CK79" i="20"/>
  <c r="CK74" i="20"/>
  <c r="CK73" i="20"/>
  <c r="CK71" i="20"/>
  <c r="CK69" i="20"/>
  <c r="CK64" i="20"/>
  <c r="CK61" i="20"/>
  <c r="CK59" i="20"/>
  <c r="CK72" i="20"/>
  <c r="CK66" i="20"/>
  <c r="CK63" i="20"/>
  <c r="CK62" i="20"/>
  <c r="CK55" i="20"/>
  <c r="CK57" i="20"/>
  <c r="CK56" i="20"/>
  <c r="CK54" i="20"/>
  <c r="CK68" i="20"/>
  <c r="CK67" i="20"/>
  <c r="CK78" i="20"/>
  <c r="CK77" i="20"/>
  <c r="CK76" i="20"/>
  <c r="BE44" i="20"/>
  <c r="CK13" i="20"/>
  <c r="CL13" i="20" s="1"/>
  <c r="CK14" i="20"/>
  <c r="CK15" i="20"/>
  <c r="CK16" i="20"/>
  <c r="CK17" i="20"/>
  <c r="CK18" i="20"/>
  <c r="CL18" i="20" s="1"/>
  <c r="CK19" i="20"/>
  <c r="CL19" i="20" s="1"/>
  <c r="CK20" i="20"/>
  <c r="CK21" i="20"/>
  <c r="CK22" i="20"/>
  <c r="CK23" i="20"/>
  <c r="CK24" i="20"/>
  <c r="CK25" i="20"/>
  <c r="CK26" i="20"/>
  <c r="CK27" i="20"/>
  <c r="CK28" i="20"/>
  <c r="CK29" i="20"/>
  <c r="CK30" i="20"/>
  <c r="CK31" i="20"/>
  <c r="CK32" i="20"/>
  <c r="CK33" i="20"/>
  <c r="CK34" i="20"/>
  <c r="CL34" i="20" s="1"/>
  <c r="CK35" i="20"/>
  <c r="CL35" i="20" s="1"/>
  <c r="CK36" i="20"/>
  <c r="CL36" i="20" s="1"/>
  <c r="CK37" i="20"/>
  <c r="CK39" i="20"/>
  <c r="CL39" i="20" s="1"/>
  <c r="CK40" i="20"/>
  <c r="CL40" i="20" s="1"/>
  <c r="CK41" i="20"/>
  <c r="CL41" i="20" s="1"/>
  <c r="CK42" i="20"/>
  <c r="CK43" i="20"/>
  <c r="CK44" i="20"/>
  <c r="CK45" i="20"/>
  <c r="CL45" i="20" s="1"/>
  <c r="CK46" i="20"/>
  <c r="CL46" i="20" s="1"/>
  <c r="CK47" i="20"/>
  <c r="CK48" i="20"/>
  <c r="CK49" i="20"/>
  <c r="CK50" i="20"/>
  <c r="CK51" i="20"/>
  <c r="CL51" i="20" s="1"/>
  <c r="CK52" i="20"/>
  <c r="CL52" i="20" s="1"/>
  <c r="CK53" i="20"/>
  <c r="CL53" i="20" s="1"/>
  <c r="CK58" i="20"/>
  <c r="CL58" i="20" s="1"/>
  <c r="CK60" i="20"/>
  <c r="CL60" i="20" s="1"/>
  <c r="CK65" i="20"/>
  <c r="CL65" i="20" s="1"/>
  <c r="CK70" i="20"/>
  <c r="CL70" i="20" s="1"/>
  <c r="CK75" i="20"/>
  <c r="CL75" i="20" s="1"/>
  <c r="CK80" i="20"/>
  <c r="CL80" i="20" s="1"/>
  <c r="CK81" i="20"/>
  <c r="CL81" i="20" s="1"/>
  <c r="CK82" i="20"/>
  <c r="CL82" i="20" s="1"/>
  <c r="CK83" i="20"/>
  <c r="CK84" i="20"/>
  <c r="CL84" i="20" s="1"/>
  <c r="CK85" i="20"/>
  <c r="CL85" i="20" s="1"/>
  <c r="CK86" i="20"/>
  <c r="CL86" i="20" s="1"/>
  <c r="CK87" i="20"/>
  <c r="CK88" i="20"/>
  <c r="CL88" i="20" s="1"/>
  <c r="CK89" i="20"/>
  <c r="CL89" i="20" s="1"/>
  <c r="CK90" i="20"/>
  <c r="CK94" i="20"/>
  <c r="CK95" i="20"/>
  <c r="CK96" i="20"/>
  <c r="CL96" i="20" s="1"/>
  <c r="CK97" i="20"/>
  <c r="CL97" i="20" s="1"/>
  <c r="CK98" i="20"/>
  <c r="CL98" i="20" s="1"/>
  <c r="CK99" i="20"/>
  <c r="CL99" i="20" s="1"/>
  <c r="CK100" i="20"/>
  <c r="CK101" i="20"/>
  <c r="CK102" i="20"/>
  <c r="CK103" i="20"/>
  <c r="CK104" i="20"/>
  <c r="CK105" i="20"/>
  <c r="CL105" i="20" s="1"/>
  <c r="CK106" i="20"/>
  <c r="CL106" i="20" s="1"/>
  <c r="CK107" i="20"/>
  <c r="CK108" i="20"/>
  <c r="CL108" i="20" s="1"/>
  <c r="CK109" i="20"/>
  <c r="CL109" i="20" s="1"/>
  <c r="CK110" i="20"/>
  <c r="CL110" i="20" s="1"/>
  <c r="CK111" i="20"/>
  <c r="CL111" i="20" s="1"/>
  <c r="CK112" i="20"/>
  <c r="CK113" i="20"/>
  <c r="CK114" i="20"/>
  <c r="CK115" i="20"/>
  <c r="CK116" i="20"/>
  <c r="CK117" i="20"/>
  <c r="CK118" i="20"/>
  <c r="CL118" i="20" s="1"/>
  <c r="CK119" i="20"/>
  <c r="CL119" i="20" s="1"/>
  <c r="CK120" i="20"/>
  <c r="CK121" i="20"/>
  <c r="CK122" i="20"/>
  <c r="CK123" i="20"/>
  <c r="CK124" i="20"/>
  <c r="CL124" i="20" s="1"/>
  <c r="CK125" i="20"/>
  <c r="CK126" i="20"/>
  <c r="CK127" i="20"/>
  <c r="CK128" i="20"/>
  <c r="CK129" i="20"/>
  <c r="CK132" i="20"/>
  <c r="CK133" i="20"/>
  <c r="CK134" i="20"/>
  <c r="CK135" i="20"/>
  <c r="CK136" i="20"/>
  <c r="CL136" i="20" s="1"/>
  <c r="CK137" i="20"/>
  <c r="CL137" i="20" s="1"/>
  <c r="CK138" i="20"/>
  <c r="CK139" i="20"/>
  <c r="CK140" i="20"/>
  <c r="CL140" i="20" s="1"/>
  <c r="CK141" i="20"/>
  <c r="CK142" i="20"/>
  <c r="CK143" i="20"/>
  <c r="CL143" i="20" s="1"/>
  <c r="CK145" i="20"/>
  <c r="CK146" i="20"/>
  <c r="CK147" i="20"/>
  <c r="CK148" i="20"/>
  <c r="CL148" i="20" s="1"/>
  <c r="CK149" i="20"/>
  <c r="CL149" i="20" s="1"/>
  <c r="CK150" i="20"/>
  <c r="CL150" i="20" s="1"/>
  <c r="CK151" i="20"/>
  <c r="CK152" i="20"/>
  <c r="CK12" i="20"/>
  <c r="CL12" i="20" s="1"/>
  <c r="AR26" i="20"/>
  <c r="AT26" i="20"/>
  <c r="AT21" i="20"/>
  <c r="AT20" i="20"/>
  <c r="AV20" i="20" s="1"/>
  <c r="AU109" i="20" l="1"/>
  <c r="AU149" i="20"/>
  <c r="AX104" i="20"/>
  <c r="AY104" i="20" s="1"/>
  <c r="BA104" i="20" s="1"/>
  <c r="AT34" i="20"/>
  <c r="CA104" i="20"/>
  <c r="CE104" i="20" s="1"/>
  <c r="CH104" i="20" s="1"/>
  <c r="BT104" i="20"/>
  <c r="CC104" i="20" s="1"/>
  <c r="AV26" i="20"/>
  <c r="CG104" i="20" l="1"/>
  <c r="CJ104" i="20" s="1"/>
  <c r="CL104" i="20" s="1"/>
  <c r="CG16" i="20" l="1"/>
  <c r="CJ16" i="20" s="1"/>
  <c r="CL16" i="20" s="1"/>
  <c r="Q19" i="23" l="1" a="1"/>
  <c r="Q19" i="23" s="1"/>
  <c r="Q20" i="23"/>
  <c r="Q21" i="23"/>
  <c r="F19" i="23"/>
  <c r="R22" i="23"/>
  <c r="K87" i="23"/>
  <c r="K89" i="23"/>
  <c r="K90" i="23"/>
  <c r="K92" i="23"/>
  <c r="K88" i="23"/>
  <c r="G22" i="24"/>
  <c r="F22" i="24"/>
  <c r="E22" i="24"/>
  <c r="D22" i="24"/>
  <c r="C22" i="24"/>
  <c r="B22" i="24"/>
  <c r="R13" i="24"/>
  <c r="C13" i="24"/>
  <c r="D13" i="24" s="1"/>
  <c r="R11" i="24"/>
  <c r="F11" i="24"/>
  <c r="C11" i="24"/>
  <c r="AI107" i="23"/>
  <c r="AB107" i="23"/>
  <c r="AA107" i="23"/>
  <c r="AF107" i="23" s="1"/>
  <c r="Z107" i="23"/>
  <c r="AE107" i="23" s="1"/>
  <c r="Y107" i="23"/>
  <c r="AD107" i="23" s="1"/>
  <c r="X107" i="23"/>
  <c r="AC107" i="23" s="1"/>
  <c r="W107" i="23"/>
  <c r="AI106" i="23"/>
  <c r="AF106" i="23"/>
  <c r="AE106" i="23"/>
  <c r="AA106" i="23"/>
  <c r="Z106" i="23"/>
  <c r="Y106" i="23"/>
  <c r="AD106" i="23" s="1"/>
  <c r="AG106" i="23" s="1"/>
  <c r="X106" i="23"/>
  <c r="AC106" i="23" s="1"/>
  <c r="W106" i="23"/>
  <c r="AB106" i="23" s="1"/>
  <c r="AI105" i="23"/>
  <c r="AC105" i="23"/>
  <c r="AB105" i="23"/>
  <c r="AA105" i="23"/>
  <c r="AF105" i="23" s="1"/>
  <c r="Z105" i="23"/>
  <c r="AE105" i="23" s="1"/>
  <c r="Y105" i="23"/>
  <c r="AD105" i="23" s="1"/>
  <c r="X105" i="23"/>
  <c r="W105" i="23"/>
  <c r="AI104" i="23"/>
  <c r="AG104" i="23"/>
  <c r="AF104" i="23"/>
  <c r="AE104" i="23"/>
  <c r="AA104" i="23"/>
  <c r="Z104" i="23"/>
  <c r="Y104" i="23"/>
  <c r="AD104" i="23" s="1"/>
  <c r="X104" i="23"/>
  <c r="AC104" i="23" s="1"/>
  <c r="W104" i="23"/>
  <c r="AB104" i="23" s="1"/>
  <c r="R104" i="23"/>
  <c r="AI103" i="23"/>
  <c r="AD103" i="23"/>
  <c r="AC103" i="23"/>
  <c r="AB103" i="23"/>
  <c r="AG103" i="23" s="1"/>
  <c r="AA103" i="23"/>
  <c r="AF103" i="23" s="1"/>
  <c r="Z103" i="23"/>
  <c r="AE103" i="23" s="1"/>
  <c r="Y103" i="23"/>
  <c r="X103" i="23"/>
  <c r="W103" i="23"/>
  <c r="AK102" i="23"/>
  <c r="AJ102" i="23"/>
  <c r="AH102" i="23"/>
  <c r="V102" i="23"/>
  <c r="U102" i="23"/>
  <c r="T102" i="23"/>
  <c r="S102" i="23"/>
  <c r="S107" i="23" s="1"/>
  <c r="R102" i="23"/>
  <c r="AI101" i="23"/>
  <c r="AE101" i="23"/>
  <c r="AD101" i="23"/>
  <c r="AC101" i="23"/>
  <c r="AA101" i="23"/>
  <c r="AF101" i="23" s="1"/>
  <c r="Z101" i="23"/>
  <c r="Y101" i="23"/>
  <c r="X101" i="23"/>
  <c r="W101" i="23"/>
  <c r="AB101" i="23" s="1"/>
  <c r="AG101" i="23" s="1"/>
  <c r="AI100" i="23"/>
  <c r="AI102" i="23" s="1"/>
  <c r="AA100" i="23"/>
  <c r="AA102" i="23" s="1"/>
  <c r="Z100" i="23"/>
  <c r="Y100" i="23"/>
  <c r="X100" i="23"/>
  <c r="X102" i="23" s="1"/>
  <c r="W100" i="23"/>
  <c r="W102" i="23" s="1"/>
  <c r="AI94" i="23"/>
  <c r="AF94" i="23"/>
  <c r="AE94" i="23"/>
  <c r="AA94" i="23"/>
  <c r="Z94" i="23"/>
  <c r="Y94" i="23"/>
  <c r="AD94" i="23" s="1"/>
  <c r="X94" i="23"/>
  <c r="AC94" i="23" s="1"/>
  <c r="W94" i="23"/>
  <c r="AB94" i="23" s="1"/>
  <c r="AG94" i="23" s="1"/>
  <c r="AI93" i="23"/>
  <c r="AC93" i="23"/>
  <c r="AB93" i="23"/>
  <c r="AA93" i="23"/>
  <c r="AF93" i="23" s="1"/>
  <c r="Z93" i="23"/>
  <c r="AE93" i="23" s="1"/>
  <c r="Y93" i="23"/>
  <c r="AD93" i="23" s="1"/>
  <c r="X93" i="23"/>
  <c r="W93" i="23"/>
  <c r="AI92" i="23"/>
  <c r="AF92" i="23"/>
  <c r="AE92" i="23"/>
  <c r="AA92" i="23"/>
  <c r="Z92" i="23"/>
  <c r="Y92" i="23"/>
  <c r="AD92" i="23" s="1"/>
  <c r="X92" i="23"/>
  <c r="AC92" i="23" s="1"/>
  <c r="W92" i="23"/>
  <c r="AB92" i="23" s="1"/>
  <c r="AG92" i="23" s="1"/>
  <c r="AB91" i="23"/>
  <c r="AG91" i="23" s="1"/>
  <c r="AA91" i="23"/>
  <c r="AF91" i="23" s="1"/>
  <c r="Z91" i="23"/>
  <c r="AE91" i="23" s="1"/>
  <c r="Y91" i="23"/>
  <c r="AD91" i="23" s="1"/>
  <c r="X91" i="23"/>
  <c r="AC91" i="23" s="1"/>
  <c r="W91" i="23"/>
  <c r="J91" i="23"/>
  <c r="I91" i="23"/>
  <c r="H91" i="23"/>
  <c r="AF89" i="23"/>
  <c r="AA89" i="23"/>
  <c r="Z89" i="23"/>
  <c r="AE89" i="23" s="1"/>
  <c r="Y89" i="23"/>
  <c r="AD89" i="23" s="1"/>
  <c r="X89" i="23"/>
  <c r="AC89" i="23" s="1"/>
  <c r="W89" i="23"/>
  <c r="AB89" i="23" s="1"/>
  <c r="AG89" i="23" s="1"/>
  <c r="AI84" i="23"/>
  <c r="AF84" i="23"/>
  <c r="AE84" i="23"/>
  <c r="AA84" i="23"/>
  <c r="Z84" i="23"/>
  <c r="Y84" i="23"/>
  <c r="AD84" i="23" s="1"/>
  <c r="X84" i="23"/>
  <c r="AC84" i="23" s="1"/>
  <c r="W84" i="23"/>
  <c r="AB84" i="23" s="1"/>
  <c r="AG84" i="23" s="1"/>
  <c r="AJ84" i="23" s="1"/>
  <c r="AI83" i="23"/>
  <c r="AD83" i="23"/>
  <c r="AC83" i="23"/>
  <c r="AB83" i="23"/>
  <c r="AG83" i="23" s="1"/>
  <c r="AJ83" i="23" s="1"/>
  <c r="AA83" i="23"/>
  <c r="AF83" i="23" s="1"/>
  <c r="Z83" i="23"/>
  <c r="AE83" i="23" s="1"/>
  <c r="Y83" i="23"/>
  <c r="X83" i="23"/>
  <c r="W83" i="23"/>
  <c r="R83" i="23"/>
  <c r="S83" i="23" s="1"/>
  <c r="AI82" i="23"/>
  <c r="AC82" i="23"/>
  <c r="AB82" i="23"/>
  <c r="AA82" i="23"/>
  <c r="AF82" i="23" s="1"/>
  <c r="Z82" i="23"/>
  <c r="AE82" i="23" s="1"/>
  <c r="Y82" i="23"/>
  <c r="AD82" i="23" s="1"/>
  <c r="X82" i="23"/>
  <c r="W82" i="23"/>
  <c r="R82" i="23"/>
  <c r="S82" i="23" s="1"/>
  <c r="AI81" i="23"/>
  <c r="AB81" i="23"/>
  <c r="AA81" i="23"/>
  <c r="AF81" i="23" s="1"/>
  <c r="Z81" i="23"/>
  <c r="AE81" i="23" s="1"/>
  <c r="Y81" i="23"/>
  <c r="AD81" i="23" s="1"/>
  <c r="X81" i="23"/>
  <c r="AC81" i="23" s="1"/>
  <c r="W81" i="23"/>
  <c r="R81" i="23"/>
  <c r="S81" i="23" s="1"/>
  <c r="AF80" i="23"/>
  <c r="Z80" i="23"/>
  <c r="AE80" i="23" s="1"/>
  <c r="Y80" i="23"/>
  <c r="AD80" i="23" s="1"/>
  <c r="X80" i="23"/>
  <c r="AC80" i="23" s="1"/>
  <c r="Q80" i="23"/>
  <c r="P80" i="23"/>
  <c r="O80" i="23"/>
  <c r="N80" i="23"/>
  <c r="M80" i="23"/>
  <c r="L80" i="23"/>
  <c r="AI80" i="23" s="1"/>
  <c r="K80" i="23"/>
  <c r="J80" i="23"/>
  <c r="AA80" i="23" s="1"/>
  <c r="I80" i="23"/>
  <c r="H80" i="23"/>
  <c r="G80" i="23"/>
  <c r="F80" i="23"/>
  <c r="W80" i="23" s="1"/>
  <c r="AB80" i="23" s="1"/>
  <c r="AG80" i="23" s="1"/>
  <c r="AI79" i="23"/>
  <c r="AG79" i="23"/>
  <c r="AC79" i="23"/>
  <c r="AA79" i="23"/>
  <c r="AF79" i="23" s="1"/>
  <c r="Z79" i="23"/>
  <c r="AE79" i="23" s="1"/>
  <c r="Y79" i="23"/>
  <c r="AD79" i="23" s="1"/>
  <c r="X79" i="23"/>
  <c r="W79" i="23"/>
  <c r="AB79" i="23" s="1"/>
  <c r="R79" i="23"/>
  <c r="AI78" i="23"/>
  <c r="AF78" i="23"/>
  <c r="AE78" i="23"/>
  <c r="AD78" i="23"/>
  <c r="AA78" i="23"/>
  <c r="Z78" i="23"/>
  <c r="Y78" i="23"/>
  <c r="X78" i="23"/>
  <c r="AC78" i="23" s="1"/>
  <c r="W78" i="23"/>
  <c r="AB78" i="23" s="1"/>
  <c r="AG78" i="23" s="1"/>
  <c r="S78" i="23"/>
  <c r="R78" i="23"/>
  <c r="AC77" i="23"/>
  <c r="Q77" i="23"/>
  <c r="P77" i="23"/>
  <c r="AI77" i="23" s="1"/>
  <c r="O77" i="23"/>
  <c r="N77" i="23"/>
  <c r="M77" i="23"/>
  <c r="L77" i="23"/>
  <c r="K77" i="23"/>
  <c r="J77" i="23"/>
  <c r="AA77" i="23" s="1"/>
  <c r="AF77" i="23" s="1"/>
  <c r="I77" i="23"/>
  <c r="Z77" i="23" s="1"/>
  <c r="AE77" i="23" s="1"/>
  <c r="H77" i="23"/>
  <c r="Y77" i="23" s="1"/>
  <c r="AD77" i="23" s="1"/>
  <c r="G77" i="23"/>
  <c r="X77" i="23" s="1"/>
  <c r="F77" i="23"/>
  <c r="AI76" i="23"/>
  <c r="AE76" i="23"/>
  <c r="AD76" i="23"/>
  <c r="AC76" i="23"/>
  <c r="AA76" i="23"/>
  <c r="AF76" i="23" s="1"/>
  <c r="Z76" i="23"/>
  <c r="Y76" i="23"/>
  <c r="X76" i="23"/>
  <c r="W76" i="23"/>
  <c r="AB76" i="23" s="1"/>
  <c r="AF75" i="23"/>
  <c r="AD75" i="23"/>
  <c r="AB75" i="23"/>
  <c r="AG75" i="23" s="1"/>
  <c r="AA75" i="23"/>
  <c r="Z75" i="23"/>
  <c r="AE75" i="23" s="1"/>
  <c r="Y75" i="23"/>
  <c r="X75" i="23"/>
  <c r="AC75" i="23" s="1"/>
  <c r="W75" i="23"/>
  <c r="K75" i="23"/>
  <c r="AI74" i="23"/>
  <c r="AC74" i="23"/>
  <c r="AB74" i="23"/>
  <c r="AG74" i="23" s="1"/>
  <c r="AJ74" i="23" s="1"/>
  <c r="AA74" i="23"/>
  <c r="AF74" i="23" s="1"/>
  <c r="Z74" i="23"/>
  <c r="AE74" i="23" s="1"/>
  <c r="Y74" i="23"/>
  <c r="AD74" i="23" s="1"/>
  <c r="X74" i="23"/>
  <c r="W74" i="23"/>
  <c r="R74" i="23"/>
  <c r="S74" i="23" s="1"/>
  <c r="AI73" i="23"/>
  <c r="AF73" i="23"/>
  <c r="AB73" i="23"/>
  <c r="AA73" i="23"/>
  <c r="Z73" i="23"/>
  <c r="AE73" i="23" s="1"/>
  <c r="Y73" i="23"/>
  <c r="AD73" i="23" s="1"/>
  <c r="X73" i="23"/>
  <c r="AC73" i="23" s="1"/>
  <c r="W73" i="23"/>
  <c r="R73" i="23"/>
  <c r="S73" i="23" s="1"/>
  <c r="AI72" i="23"/>
  <c r="AA72" i="23"/>
  <c r="AF72" i="23" s="1"/>
  <c r="Z72" i="23"/>
  <c r="AE72" i="23" s="1"/>
  <c r="AG72" i="23" s="1"/>
  <c r="AJ72" i="23" s="1"/>
  <c r="Y72" i="23"/>
  <c r="AD72" i="23" s="1"/>
  <c r="X72" i="23"/>
  <c r="AC72" i="23" s="1"/>
  <c r="W72" i="23"/>
  <c r="AB72" i="23" s="1"/>
  <c r="R72" i="23"/>
  <c r="S72" i="23" s="1"/>
  <c r="AI71" i="23"/>
  <c r="AF71" i="23"/>
  <c r="AD71" i="23"/>
  <c r="AG71" i="23" s="1"/>
  <c r="AJ71" i="23" s="1"/>
  <c r="AB71" i="23"/>
  <c r="AA71" i="23"/>
  <c r="Z71" i="23"/>
  <c r="AE71" i="23" s="1"/>
  <c r="Y71" i="23"/>
  <c r="X71" i="23"/>
  <c r="AC71" i="23" s="1"/>
  <c r="W71" i="23"/>
  <c r="S71" i="23"/>
  <c r="R71" i="23"/>
  <c r="Y70" i="23"/>
  <c r="AD70" i="23" s="1"/>
  <c r="X70" i="23"/>
  <c r="AC70" i="23" s="1"/>
  <c r="W70" i="23"/>
  <c r="AB70" i="23" s="1"/>
  <c r="P70" i="23"/>
  <c r="O70" i="23"/>
  <c r="N70" i="23"/>
  <c r="M70" i="23"/>
  <c r="L70" i="23"/>
  <c r="K70" i="23"/>
  <c r="J70" i="23"/>
  <c r="AA70" i="23" s="1"/>
  <c r="AF70" i="23" s="1"/>
  <c r="I70" i="23"/>
  <c r="Z70" i="23" s="1"/>
  <c r="AE70" i="23" s="1"/>
  <c r="H70" i="23"/>
  <c r="G70" i="23"/>
  <c r="F70" i="23"/>
  <c r="AC69" i="23"/>
  <c r="AB69" i="23"/>
  <c r="AA69" i="23"/>
  <c r="AF69" i="23" s="1"/>
  <c r="Z69" i="23"/>
  <c r="AE69" i="23" s="1"/>
  <c r="AG69" i="23" s="1"/>
  <c r="AJ69" i="23" s="1"/>
  <c r="Y69" i="23"/>
  <c r="AD69" i="23" s="1"/>
  <c r="X69" i="23"/>
  <c r="W69" i="23"/>
  <c r="R69" i="23"/>
  <c r="S69" i="23" s="1"/>
  <c r="Q69" i="23"/>
  <c r="K69" i="23"/>
  <c r="AI69" i="23" s="1"/>
  <c r="E69" i="23"/>
  <c r="AE68" i="23"/>
  <c r="X68" i="23"/>
  <c r="AC68" i="23" s="1"/>
  <c r="W68" i="23"/>
  <c r="AB68" i="23" s="1"/>
  <c r="T68" i="23"/>
  <c r="R68" i="23"/>
  <c r="P68" i="23"/>
  <c r="O68" i="23"/>
  <c r="N68" i="23"/>
  <c r="M68" i="23"/>
  <c r="L68" i="23"/>
  <c r="L66" i="23" s="1"/>
  <c r="K68" i="23"/>
  <c r="AI68" i="23" s="1"/>
  <c r="J68" i="23"/>
  <c r="I68" i="23"/>
  <c r="Z68" i="23" s="1"/>
  <c r="H68" i="23"/>
  <c r="Y68" i="23" s="1"/>
  <c r="AD68" i="23" s="1"/>
  <c r="G68" i="23"/>
  <c r="AI67" i="23"/>
  <c r="AC67" i="23"/>
  <c r="AA67" i="23"/>
  <c r="AF67" i="23" s="1"/>
  <c r="Z67" i="23"/>
  <c r="AE67" i="23" s="1"/>
  <c r="Y67" i="23"/>
  <c r="AD67" i="23" s="1"/>
  <c r="X67" i="23"/>
  <c r="W67" i="23"/>
  <c r="AB67" i="23" s="1"/>
  <c r="T67" i="23"/>
  <c r="Q67" i="23"/>
  <c r="Q68" i="23" s="1"/>
  <c r="Z66" i="23"/>
  <c r="AE66" i="23" s="1"/>
  <c r="Y66" i="23"/>
  <c r="AD66" i="23" s="1"/>
  <c r="P66" i="23"/>
  <c r="O66" i="23"/>
  <c r="N66" i="23"/>
  <c r="M66" i="23"/>
  <c r="K66" i="23"/>
  <c r="I66" i="23"/>
  <c r="H66" i="23"/>
  <c r="G66" i="23"/>
  <c r="X66" i="23" s="1"/>
  <c r="AC66" i="23" s="1"/>
  <c r="F66" i="23"/>
  <c r="AI65" i="23"/>
  <c r="AC65" i="23"/>
  <c r="AB65" i="23"/>
  <c r="AG65" i="23" s="1"/>
  <c r="AJ65" i="23" s="1"/>
  <c r="AA65" i="23"/>
  <c r="AF65" i="23" s="1"/>
  <c r="Z65" i="23"/>
  <c r="AE65" i="23" s="1"/>
  <c r="Y65" i="23"/>
  <c r="AD65" i="23" s="1"/>
  <c r="X65" i="23"/>
  <c r="W65" i="23"/>
  <c r="AI64" i="23"/>
  <c r="AF64" i="23"/>
  <c r="AE64" i="23"/>
  <c r="AA64" i="23"/>
  <c r="Z64" i="23"/>
  <c r="Y64" i="23"/>
  <c r="AD64" i="23" s="1"/>
  <c r="X64" i="23"/>
  <c r="AC64" i="23" s="1"/>
  <c r="W64" i="23"/>
  <c r="AB64" i="23" s="1"/>
  <c r="AG64" i="23" s="1"/>
  <c r="AJ64" i="23" s="1"/>
  <c r="T64" i="23"/>
  <c r="R64" i="23"/>
  <c r="AE63" i="23"/>
  <c r="AD63" i="23"/>
  <c r="Z63" i="23"/>
  <c r="Y63" i="23"/>
  <c r="X63" i="23"/>
  <c r="AC63" i="23" s="1"/>
  <c r="W63" i="23"/>
  <c r="AB63" i="23" s="1"/>
  <c r="J63" i="23"/>
  <c r="AI62" i="23"/>
  <c r="AC62" i="23"/>
  <c r="AB62" i="23"/>
  <c r="AG62" i="23" s="1"/>
  <c r="AJ62" i="23" s="1"/>
  <c r="AA62" i="23"/>
  <c r="AF62" i="23" s="1"/>
  <c r="Z62" i="23"/>
  <c r="AE62" i="23" s="1"/>
  <c r="Y62" i="23"/>
  <c r="AD62" i="23" s="1"/>
  <c r="X62" i="23"/>
  <c r="W62" i="23"/>
  <c r="R62" i="23"/>
  <c r="T62" i="23" s="1"/>
  <c r="AF61" i="23"/>
  <c r="AB61" i="23"/>
  <c r="AA61" i="23"/>
  <c r="Z61" i="23"/>
  <c r="AE61" i="23" s="1"/>
  <c r="Y61" i="23"/>
  <c r="AD61" i="23" s="1"/>
  <c r="X61" i="23"/>
  <c r="AC61" i="23" s="1"/>
  <c r="W61" i="23"/>
  <c r="M61" i="23"/>
  <c r="L61" i="23"/>
  <c r="Z60" i="23"/>
  <c r="AE60" i="23" s="1"/>
  <c r="Q60" i="23"/>
  <c r="P60" i="23"/>
  <c r="K60" i="23"/>
  <c r="I60" i="23"/>
  <c r="H60" i="23"/>
  <c r="Y60" i="23" s="1"/>
  <c r="AD60" i="23" s="1"/>
  <c r="G60" i="23"/>
  <c r="X60" i="23" s="1"/>
  <c r="AC60" i="23" s="1"/>
  <c r="F60" i="23"/>
  <c r="AI59" i="23"/>
  <c r="AE59" i="23"/>
  <c r="AD59" i="23"/>
  <c r="AC59" i="23"/>
  <c r="AA59" i="23"/>
  <c r="AF59" i="23" s="1"/>
  <c r="Z59" i="23"/>
  <c r="Y59" i="23"/>
  <c r="X59" i="23"/>
  <c r="W59" i="23"/>
  <c r="AB59" i="23" s="1"/>
  <c r="AG59" i="23" s="1"/>
  <c r="AJ59" i="23" s="1"/>
  <c r="AI58" i="23"/>
  <c r="AB58" i="23"/>
  <c r="AG58" i="23" s="1"/>
  <c r="AJ58" i="23" s="1"/>
  <c r="AA58" i="23"/>
  <c r="AF58" i="23" s="1"/>
  <c r="Z58" i="23"/>
  <c r="AE58" i="23" s="1"/>
  <c r="Y58" i="23"/>
  <c r="AD58" i="23" s="1"/>
  <c r="X58" i="23"/>
  <c r="AC58" i="23" s="1"/>
  <c r="W58" i="23"/>
  <c r="R58" i="23"/>
  <c r="AI57" i="23"/>
  <c r="AF57" i="23"/>
  <c r="AA57" i="23"/>
  <c r="Z57" i="23"/>
  <c r="AE57" i="23" s="1"/>
  <c r="Y57" i="23"/>
  <c r="AD57" i="23" s="1"/>
  <c r="AG57" i="23" s="1"/>
  <c r="AJ57" i="23" s="1"/>
  <c r="X57" i="23"/>
  <c r="AC57" i="23" s="1"/>
  <c r="W57" i="23"/>
  <c r="AB57" i="23" s="1"/>
  <c r="R57" i="23"/>
  <c r="AI56" i="23"/>
  <c r="AF56" i="23"/>
  <c r="AE56" i="23"/>
  <c r="AD56" i="23"/>
  <c r="AC56" i="23"/>
  <c r="AA56" i="23"/>
  <c r="Z56" i="23"/>
  <c r="Y56" i="23"/>
  <c r="X56" i="23"/>
  <c r="W56" i="23"/>
  <c r="AB56" i="23" s="1"/>
  <c r="R56" i="23"/>
  <c r="AI55" i="23"/>
  <c r="AD55" i="23"/>
  <c r="AC55" i="23"/>
  <c r="AB55" i="23"/>
  <c r="AA55" i="23"/>
  <c r="AF55" i="23" s="1"/>
  <c r="Z55" i="23"/>
  <c r="AE55" i="23" s="1"/>
  <c r="Y55" i="23"/>
  <c r="X55" i="23"/>
  <c r="W55" i="23"/>
  <c r="R55" i="23"/>
  <c r="AI54" i="23"/>
  <c r="AB54" i="23"/>
  <c r="AA54" i="23"/>
  <c r="AF54" i="23" s="1"/>
  <c r="Z54" i="23"/>
  <c r="AE54" i="23" s="1"/>
  <c r="Y54" i="23"/>
  <c r="AD54" i="23" s="1"/>
  <c r="AG54" i="23" s="1"/>
  <c r="AJ54" i="23" s="1"/>
  <c r="X54" i="23"/>
  <c r="AC54" i="23" s="1"/>
  <c r="W54" i="23"/>
  <c r="R54" i="23"/>
  <c r="AI53" i="23"/>
  <c r="AF53" i="23"/>
  <c r="AE53" i="23"/>
  <c r="AA53" i="23"/>
  <c r="Z53" i="23"/>
  <c r="Y53" i="23"/>
  <c r="AD53" i="23" s="1"/>
  <c r="X53" i="23"/>
  <c r="AC53" i="23" s="1"/>
  <c r="W53" i="23"/>
  <c r="AB53" i="23" s="1"/>
  <c r="AG53" i="23" s="1"/>
  <c r="AJ53" i="23" s="1"/>
  <c r="R53" i="23"/>
  <c r="AE52" i="23"/>
  <c r="AD52" i="23"/>
  <c r="AB52" i="23"/>
  <c r="AG52" i="23" s="1"/>
  <c r="W52" i="23"/>
  <c r="Q52" i="23"/>
  <c r="P52" i="23"/>
  <c r="O52" i="23"/>
  <c r="N52" i="23"/>
  <c r="M52" i="23"/>
  <c r="L52" i="23"/>
  <c r="K52" i="23"/>
  <c r="J52" i="23"/>
  <c r="AA52" i="23" s="1"/>
  <c r="AF52" i="23" s="1"/>
  <c r="I52" i="23"/>
  <c r="Z52" i="23" s="1"/>
  <c r="H52" i="23"/>
  <c r="Y52" i="23" s="1"/>
  <c r="G52" i="23"/>
  <c r="X52" i="23" s="1"/>
  <c r="AC52" i="23" s="1"/>
  <c r="F52" i="23"/>
  <c r="AI51" i="23"/>
  <c r="AF51" i="23"/>
  <c r="AE51" i="23"/>
  <c r="AA51" i="23"/>
  <c r="Z51" i="23"/>
  <c r="Y51" i="23"/>
  <c r="AD51" i="23" s="1"/>
  <c r="X51" i="23"/>
  <c r="AC51" i="23" s="1"/>
  <c r="W51" i="23"/>
  <c r="AB51" i="23" s="1"/>
  <c r="AG51" i="23" s="1"/>
  <c r="AJ51" i="23" s="1"/>
  <c r="AI50" i="23"/>
  <c r="AD50" i="23"/>
  <c r="AC50" i="23"/>
  <c r="AB50" i="23"/>
  <c r="AA50" i="23"/>
  <c r="AF50" i="23" s="1"/>
  <c r="Z50" i="23"/>
  <c r="AE50" i="23" s="1"/>
  <c r="Y50" i="23"/>
  <c r="X50" i="23"/>
  <c r="W50" i="23"/>
  <c r="R50" i="23"/>
  <c r="AI49" i="23"/>
  <c r="AB49" i="23"/>
  <c r="X49" i="23"/>
  <c r="AC49" i="23" s="1"/>
  <c r="W49" i="23"/>
  <c r="AA49" i="23"/>
  <c r="AF49" i="23" s="1"/>
  <c r="Z49" i="23"/>
  <c r="AE49" i="23" s="1"/>
  <c r="H44" i="23"/>
  <c r="Y44" i="23" s="1"/>
  <c r="AD44" i="23" s="1"/>
  <c r="AI48" i="23"/>
  <c r="AD48" i="23"/>
  <c r="AC48" i="23"/>
  <c r="AB48" i="23"/>
  <c r="Y48" i="23"/>
  <c r="X48" i="23"/>
  <c r="W48" i="23"/>
  <c r="AA48" i="23"/>
  <c r="AF48" i="23" s="1"/>
  <c r="Z48" i="23"/>
  <c r="AE48" i="23" s="1"/>
  <c r="AI47" i="23"/>
  <c r="AD47" i="23"/>
  <c r="AC47" i="23"/>
  <c r="AB47" i="23"/>
  <c r="Y47" i="23"/>
  <c r="X47" i="23"/>
  <c r="W47" i="23"/>
  <c r="AA47" i="23"/>
  <c r="AF47" i="23" s="1"/>
  <c r="AI46" i="23"/>
  <c r="AD46" i="23"/>
  <c r="AC46" i="23"/>
  <c r="AB46" i="23"/>
  <c r="AG46" i="23" s="1"/>
  <c r="AJ46" i="23" s="1"/>
  <c r="AA46" i="23"/>
  <c r="AF46" i="23" s="1"/>
  <c r="Z46" i="23"/>
  <c r="AE46" i="23" s="1"/>
  <c r="Y46" i="23"/>
  <c r="X46" i="23"/>
  <c r="W46" i="23"/>
  <c r="R46" i="23"/>
  <c r="AI45" i="23"/>
  <c r="AB45" i="23"/>
  <c r="AA45" i="23"/>
  <c r="AF45" i="23" s="1"/>
  <c r="X45" i="23"/>
  <c r="AC45" i="23" s="1"/>
  <c r="W45" i="23"/>
  <c r="AC44" i="23"/>
  <c r="X44" i="23"/>
  <c r="Q44" i="23"/>
  <c r="P44" i="23"/>
  <c r="O44" i="23"/>
  <c r="N44" i="23"/>
  <c r="M44" i="23"/>
  <c r="L44" i="23"/>
  <c r="K44" i="23"/>
  <c r="F44" i="23"/>
  <c r="W44" i="23" s="1"/>
  <c r="AB44" i="23" s="1"/>
  <c r="AI43" i="23"/>
  <c r="AE43" i="23"/>
  <c r="AD43" i="23"/>
  <c r="AC43" i="23"/>
  <c r="AA43" i="23"/>
  <c r="AF43" i="23" s="1"/>
  <c r="Z43" i="23"/>
  <c r="Y43" i="23"/>
  <c r="X43" i="23"/>
  <c r="W43" i="23"/>
  <c r="AB43" i="23" s="1"/>
  <c r="AG43" i="23" s="1"/>
  <c r="AJ43" i="23" s="1"/>
  <c r="AI42" i="23"/>
  <c r="AC42" i="23"/>
  <c r="AB42" i="23"/>
  <c r="AA42" i="23"/>
  <c r="AF42" i="23" s="1"/>
  <c r="Z42" i="23"/>
  <c r="AE42" i="23" s="1"/>
  <c r="Y42" i="23"/>
  <c r="AD42" i="23" s="1"/>
  <c r="X42" i="23"/>
  <c r="W42" i="23"/>
  <c r="R42" i="23"/>
  <c r="U42" i="23" s="1"/>
  <c r="AI41" i="23"/>
  <c r="AF41" i="23"/>
  <c r="AD41" i="23"/>
  <c r="AB41" i="23"/>
  <c r="AA41" i="23"/>
  <c r="Z41" i="23"/>
  <c r="AE41" i="23" s="1"/>
  <c r="Y41" i="23"/>
  <c r="X41" i="23"/>
  <c r="AC41" i="23" s="1"/>
  <c r="AG41" i="23" s="1"/>
  <c r="AJ41" i="23" s="1"/>
  <c r="W41" i="23"/>
  <c r="J41" i="23"/>
  <c r="R41" i="23" s="1"/>
  <c r="AD40" i="23"/>
  <c r="AB40" i="23"/>
  <c r="Z40" i="23"/>
  <c r="AE40" i="23" s="1"/>
  <c r="Y40" i="23"/>
  <c r="X40" i="23"/>
  <c r="AC40" i="23" s="1"/>
  <c r="W40" i="23"/>
  <c r="P34" i="23"/>
  <c r="AA40" i="23"/>
  <c r="AF40" i="23" s="1"/>
  <c r="I40" i="23"/>
  <c r="AI39" i="23"/>
  <c r="AE39" i="23"/>
  <c r="AD39" i="23"/>
  <c r="Z39" i="23"/>
  <c r="Y39" i="23"/>
  <c r="X39" i="23"/>
  <c r="AC39" i="23" s="1"/>
  <c r="W39" i="23"/>
  <c r="AB39" i="23" s="1"/>
  <c r="J39" i="23"/>
  <c r="AI38" i="23"/>
  <c r="AF38" i="23"/>
  <c r="AE38" i="23"/>
  <c r="AB38" i="23"/>
  <c r="AG38" i="23" s="1"/>
  <c r="AJ38" i="23" s="1"/>
  <c r="AA38" i="23"/>
  <c r="Z38" i="23"/>
  <c r="Y38" i="23"/>
  <c r="AD38" i="23" s="1"/>
  <c r="X38" i="23"/>
  <c r="AC38" i="23" s="1"/>
  <c r="W38" i="23"/>
  <c r="R38" i="23"/>
  <c r="U38" i="23" s="1"/>
  <c r="L38" i="23"/>
  <c r="Z37" i="23"/>
  <c r="AE37" i="23" s="1"/>
  <c r="Y37" i="23"/>
  <c r="AD37" i="23" s="1"/>
  <c r="X37" i="23"/>
  <c r="AC37" i="23" s="1"/>
  <c r="W37" i="23"/>
  <c r="AB37" i="23" s="1"/>
  <c r="T37" i="23"/>
  <c r="K37" i="23"/>
  <c r="R36" i="23"/>
  <c r="Z35" i="23"/>
  <c r="AE35" i="23" s="1"/>
  <c r="Y35" i="23"/>
  <c r="AD35" i="23" s="1"/>
  <c r="X35" i="23"/>
  <c r="AC35" i="23" s="1"/>
  <c r="W35" i="23"/>
  <c r="AB35" i="23" s="1"/>
  <c r="P35" i="23"/>
  <c r="N34" i="23"/>
  <c r="K35" i="23"/>
  <c r="AD34" i="23"/>
  <c r="AC34" i="23"/>
  <c r="X34" i="23"/>
  <c r="W34" i="23"/>
  <c r="AB34" i="23" s="1"/>
  <c r="Q34" i="23"/>
  <c r="K34" i="23"/>
  <c r="I34" i="23"/>
  <c r="Z34" i="23" s="1"/>
  <c r="AE34" i="23" s="1"/>
  <c r="H34" i="23"/>
  <c r="Y34" i="23" s="1"/>
  <c r="G34" i="23"/>
  <c r="F34" i="23"/>
  <c r="F32" i="23" s="1"/>
  <c r="AI33" i="23"/>
  <c r="AF33" i="23"/>
  <c r="AE33" i="23"/>
  <c r="AA33" i="23"/>
  <c r="Z33" i="23"/>
  <c r="Y33" i="23"/>
  <c r="AD33" i="23" s="1"/>
  <c r="X33" i="23"/>
  <c r="AC33" i="23" s="1"/>
  <c r="W33" i="23"/>
  <c r="AB33" i="23" s="1"/>
  <c r="K32" i="23"/>
  <c r="G32" i="23"/>
  <c r="X32" i="23" s="1"/>
  <c r="AC32" i="23" s="1"/>
  <c r="AI31" i="23"/>
  <c r="AF31" i="23"/>
  <c r="AE31" i="23"/>
  <c r="AD31" i="23"/>
  <c r="AC31" i="23"/>
  <c r="AA31" i="23"/>
  <c r="Z31" i="23"/>
  <c r="Y31" i="23"/>
  <c r="X31" i="23"/>
  <c r="W31" i="23"/>
  <c r="AB31" i="23" s="1"/>
  <c r="AG31" i="23" s="1"/>
  <c r="AJ31" i="23" s="1"/>
  <c r="AI30" i="23"/>
  <c r="AD30" i="23"/>
  <c r="AC30" i="23"/>
  <c r="AB30" i="23"/>
  <c r="AA30" i="23"/>
  <c r="AF30" i="23" s="1"/>
  <c r="Z30" i="23"/>
  <c r="AE30" i="23" s="1"/>
  <c r="Y30" i="23"/>
  <c r="X30" i="23"/>
  <c r="W30" i="23"/>
  <c r="S30" i="23"/>
  <c r="R30" i="23"/>
  <c r="AI29" i="23"/>
  <c r="AC29" i="23"/>
  <c r="AB29" i="23"/>
  <c r="AA29" i="23"/>
  <c r="AF29" i="23" s="1"/>
  <c r="Z29" i="23"/>
  <c r="AE29" i="23" s="1"/>
  <c r="Y29" i="23"/>
  <c r="AD29" i="23" s="1"/>
  <c r="X29" i="23"/>
  <c r="W29" i="23"/>
  <c r="R29" i="23"/>
  <c r="S29" i="23" s="1"/>
  <c r="AI28" i="23"/>
  <c r="AF28" i="23"/>
  <c r="AA28" i="23"/>
  <c r="Z28" i="23"/>
  <c r="AE28" i="23" s="1"/>
  <c r="Y28" i="23"/>
  <c r="AD28" i="23" s="1"/>
  <c r="X28" i="23"/>
  <c r="AC28" i="23" s="1"/>
  <c r="F28" i="23"/>
  <c r="W28" i="23" s="1"/>
  <c r="AB28" i="23" s="1"/>
  <c r="AI27" i="23"/>
  <c r="AF27" i="23"/>
  <c r="AB27" i="23"/>
  <c r="AA27" i="23"/>
  <c r="Z27" i="23"/>
  <c r="AE27" i="23" s="1"/>
  <c r="Y27" i="23"/>
  <c r="AD27" i="23" s="1"/>
  <c r="X27" i="23"/>
  <c r="AC27" i="23" s="1"/>
  <c r="W27" i="23"/>
  <c r="R27" i="23"/>
  <c r="S27" i="23" s="1"/>
  <c r="AI26" i="23"/>
  <c r="AF26" i="23"/>
  <c r="AE26" i="23"/>
  <c r="AA26" i="23"/>
  <c r="Z26" i="23"/>
  <c r="Y26" i="23"/>
  <c r="AD26" i="23" s="1"/>
  <c r="X26" i="23"/>
  <c r="AC26" i="23" s="1"/>
  <c r="W26" i="23"/>
  <c r="AB26" i="23" s="1"/>
  <c r="R26" i="23"/>
  <c r="S26" i="23" s="1"/>
  <c r="AI25" i="23"/>
  <c r="AF25" i="23"/>
  <c r="AD25" i="23"/>
  <c r="AA25" i="23"/>
  <c r="Z25" i="23"/>
  <c r="AE25" i="23" s="1"/>
  <c r="Y25" i="23"/>
  <c r="X25" i="23"/>
  <c r="AC25" i="23" s="1"/>
  <c r="W25" i="23"/>
  <c r="AB25" i="23" s="1"/>
  <c r="J25" i="23"/>
  <c r="G25" i="23"/>
  <c r="R25" i="23" s="1"/>
  <c r="S25" i="23" s="1"/>
  <c r="D25" i="23"/>
  <c r="AE24" i="23"/>
  <c r="AA24" i="23"/>
  <c r="AF24" i="23" s="1"/>
  <c r="Z24" i="23"/>
  <c r="Y24" i="23"/>
  <c r="AD24" i="23" s="1"/>
  <c r="Q24" i="23"/>
  <c r="P24" i="23"/>
  <c r="O24" i="23"/>
  <c r="N24" i="23"/>
  <c r="M24" i="23"/>
  <c r="L24" i="23"/>
  <c r="K24" i="23"/>
  <c r="J24" i="23"/>
  <c r="I24" i="23"/>
  <c r="H24" i="23"/>
  <c r="G24" i="23"/>
  <c r="X24" i="23" s="1"/>
  <c r="AC24" i="23" s="1"/>
  <c r="AI23" i="23"/>
  <c r="AC23" i="23"/>
  <c r="AB23" i="23"/>
  <c r="AA23" i="23"/>
  <c r="AF23" i="23" s="1"/>
  <c r="Z23" i="23"/>
  <c r="AE23" i="23" s="1"/>
  <c r="Y23" i="23"/>
  <c r="AD23" i="23" s="1"/>
  <c r="X23" i="23"/>
  <c r="W23" i="23"/>
  <c r="AI22" i="23"/>
  <c r="AF22" i="23"/>
  <c r="AD22" i="23"/>
  <c r="AA22" i="23"/>
  <c r="Z22" i="23"/>
  <c r="AE22" i="23" s="1"/>
  <c r="Y22" i="23"/>
  <c r="X22" i="23"/>
  <c r="AC22" i="23" s="1"/>
  <c r="W22" i="23"/>
  <c r="AB22" i="23" s="1"/>
  <c r="AG22" i="23" s="1"/>
  <c r="AF21" i="23"/>
  <c r="AE21" i="23"/>
  <c r="AD21" i="23"/>
  <c r="AB21" i="23"/>
  <c r="AA21" i="23"/>
  <c r="Z21" i="23"/>
  <c r="Y21" i="23"/>
  <c r="X21" i="23"/>
  <c r="AC21" i="23" s="1"/>
  <c r="W21" i="23"/>
  <c r="AI21" i="23"/>
  <c r="AC20" i="23"/>
  <c r="AA20" i="23"/>
  <c r="AF20" i="23" s="1"/>
  <c r="X20" i="23"/>
  <c r="W20" i="23"/>
  <c r="AB20" i="23" s="1"/>
  <c r="P20" i="23"/>
  <c r="O20" i="23"/>
  <c r="N20" i="23"/>
  <c r="M20" i="23"/>
  <c r="L20" i="23"/>
  <c r="K20" i="23"/>
  <c r="AI20" i="23" s="1"/>
  <c r="J20" i="23"/>
  <c r="I20" i="23"/>
  <c r="Z20" i="23" s="1"/>
  <c r="AE20" i="23" s="1"/>
  <c r="H20" i="23"/>
  <c r="Y20" i="23" s="1"/>
  <c r="AD20" i="23" s="1"/>
  <c r="P19" i="23" a="1"/>
  <c r="P19" i="23" s="1"/>
  <c r="O19" i="23" a="1"/>
  <c r="O19" i="23" s="1"/>
  <c r="N19" i="23" a="1"/>
  <c r="N19" i="23" s="1"/>
  <c r="M19" i="23" a="1"/>
  <c r="M19" i="23" s="1"/>
  <c r="L19" i="23" a="1"/>
  <c r="L19" i="23" s="1"/>
  <c r="K19" i="23" a="1"/>
  <c r="K19" i="23" s="1"/>
  <c r="J19" i="23" a="1"/>
  <c r="J19" i="23" s="1"/>
  <c r="AA19" i="23" s="1"/>
  <c r="AF19" i="23" s="1"/>
  <c r="I19" i="23" a="1"/>
  <c r="I19" i="23" s="1"/>
  <c r="Z19" i="23" s="1"/>
  <c r="AE19" i="23" s="1"/>
  <c r="H19" i="23"/>
  <c r="Y19" i="23" s="1"/>
  <c r="AD19" i="23" s="1"/>
  <c r="G19" i="23"/>
  <c r="X19" i="23" s="1"/>
  <c r="AC19" i="23" s="1"/>
  <c r="W19" i="23"/>
  <c r="AB19" i="23" s="1"/>
  <c r="AI18" i="23"/>
  <c r="AF18" i="23"/>
  <c r="AD18" i="23"/>
  <c r="AB18" i="23"/>
  <c r="AG18" i="23" s="1"/>
  <c r="AA18" i="23"/>
  <c r="Z18" i="23"/>
  <c r="AE18" i="23" s="1"/>
  <c r="Y18" i="23"/>
  <c r="X18" i="23"/>
  <c r="AC18" i="23" s="1"/>
  <c r="W18" i="23"/>
  <c r="AI17" i="23"/>
  <c r="AE17" i="23"/>
  <c r="AC17" i="23"/>
  <c r="AA17" i="23"/>
  <c r="AF17" i="23" s="1"/>
  <c r="Z17" i="23"/>
  <c r="Y17" i="23"/>
  <c r="AD17" i="23" s="1"/>
  <c r="X17" i="23"/>
  <c r="W17" i="23"/>
  <c r="AB17" i="23" s="1"/>
  <c r="T17" i="23"/>
  <c r="S17" i="23"/>
  <c r="R17" i="23"/>
  <c r="E17" i="23"/>
  <c r="AI16" i="23"/>
  <c r="AF16" i="23"/>
  <c r="AD16" i="23"/>
  <c r="AB16" i="23"/>
  <c r="AA16" i="23"/>
  <c r="Z16" i="23"/>
  <c r="AE16" i="23" s="1"/>
  <c r="Y16" i="23"/>
  <c r="X16" i="23"/>
  <c r="AC16" i="23" s="1"/>
  <c r="W16" i="23"/>
  <c r="T16" i="23"/>
  <c r="R16" i="23"/>
  <c r="S16" i="23" s="1"/>
  <c r="E16" i="23"/>
  <c r="AI15" i="23"/>
  <c r="AE15" i="23"/>
  <c r="AC15" i="23"/>
  <c r="AA15" i="23"/>
  <c r="AF15" i="23" s="1"/>
  <c r="Z15" i="23"/>
  <c r="Y15" i="23"/>
  <c r="AD15" i="23" s="1"/>
  <c r="X15" i="23"/>
  <c r="W15" i="23"/>
  <c r="AB15" i="23" s="1"/>
  <c r="T15" i="23"/>
  <c r="S15" i="23"/>
  <c r="R15" i="23"/>
  <c r="E15" i="23"/>
  <c r="AI14" i="23"/>
  <c r="AF14" i="23"/>
  <c r="AD14" i="23"/>
  <c r="AB14" i="23"/>
  <c r="AA14" i="23"/>
  <c r="Z14" i="23"/>
  <c r="AE14" i="23" s="1"/>
  <c r="Y14" i="23"/>
  <c r="X14" i="23"/>
  <c r="AC14" i="23" s="1"/>
  <c r="W14" i="23"/>
  <c r="T14" i="23"/>
  <c r="R14" i="23"/>
  <c r="S14" i="23" s="1"/>
  <c r="E14" i="23"/>
  <c r="AI13" i="23"/>
  <c r="AE13" i="23"/>
  <c r="AC13" i="23"/>
  <c r="AA13" i="23"/>
  <c r="AF13" i="23" s="1"/>
  <c r="Z13" i="23"/>
  <c r="Y13" i="23"/>
  <c r="AD13" i="23" s="1"/>
  <c r="X13" i="23"/>
  <c r="W13" i="23"/>
  <c r="AB13" i="23" s="1"/>
  <c r="T13" i="23"/>
  <c r="S13" i="23"/>
  <c r="R13" i="23"/>
  <c r="E13" i="23"/>
  <c r="D13" i="23"/>
  <c r="AI12" i="23"/>
  <c r="AE12" i="23"/>
  <c r="AC12" i="23"/>
  <c r="AA12" i="23"/>
  <c r="AF12" i="23" s="1"/>
  <c r="Z12" i="23"/>
  <c r="Y12" i="23"/>
  <c r="AD12" i="23" s="1"/>
  <c r="X12" i="23"/>
  <c r="W12" i="23"/>
  <c r="AB12" i="23" s="1"/>
  <c r="T12" i="23"/>
  <c r="S12" i="23"/>
  <c r="R12" i="23"/>
  <c r="E12" i="23"/>
  <c r="AI11" i="23"/>
  <c r="AF11" i="23"/>
  <c r="AD11" i="23"/>
  <c r="AB11" i="23"/>
  <c r="AA11" i="23"/>
  <c r="Z11" i="23"/>
  <c r="AE11" i="23" s="1"/>
  <c r="Y11" i="23"/>
  <c r="X11" i="23"/>
  <c r="AC11" i="23" s="1"/>
  <c r="W11" i="23"/>
  <c r="T11" i="23"/>
  <c r="R11" i="23"/>
  <c r="S11" i="23" s="1"/>
  <c r="E11" i="23"/>
  <c r="AI10" i="23"/>
  <c r="AE10" i="23"/>
  <c r="AC10" i="23"/>
  <c r="AA10" i="23"/>
  <c r="AF10" i="23" s="1"/>
  <c r="Z10" i="23"/>
  <c r="Y10" i="23"/>
  <c r="AD10" i="23" s="1"/>
  <c r="X10" i="23"/>
  <c r="W10" i="23"/>
  <c r="AB10" i="23" s="1"/>
  <c r="T10" i="23"/>
  <c r="S10" i="23"/>
  <c r="R10" i="23"/>
  <c r="AI9" i="23"/>
  <c r="AE9" i="23"/>
  <c r="AC9" i="23"/>
  <c r="AA9" i="23"/>
  <c r="AF9" i="23" s="1"/>
  <c r="Z9" i="23"/>
  <c r="Y9" i="23"/>
  <c r="AD9" i="23" s="1"/>
  <c r="X9" i="23"/>
  <c r="W9" i="23"/>
  <c r="AB9" i="23" s="1"/>
  <c r="T9" i="23"/>
  <c r="S9" i="23"/>
  <c r="R9" i="23"/>
  <c r="E9" i="23"/>
  <c r="AI8" i="23"/>
  <c r="AF8" i="23"/>
  <c r="AD8" i="23"/>
  <c r="AB8" i="23"/>
  <c r="AA8" i="23"/>
  <c r="Z8" i="23"/>
  <c r="AE8" i="23" s="1"/>
  <c r="Y8" i="23"/>
  <c r="X8" i="23"/>
  <c r="AC8" i="23" s="1"/>
  <c r="W8" i="23"/>
  <c r="T8" i="23"/>
  <c r="R8" i="23"/>
  <c r="S8" i="23" s="1"/>
  <c r="E8" i="23"/>
  <c r="AI7" i="23"/>
  <c r="AE7" i="23"/>
  <c r="AC7" i="23"/>
  <c r="AA7" i="23"/>
  <c r="AF7" i="23" s="1"/>
  <c r="Z7" i="23"/>
  <c r="Y7" i="23"/>
  <c r="AD7" i="23" s="1"/>
  <c r="X7" i="23"/>
  <c r="W7" i="23"/>
  <c r="AB7" i="23" s="1"/>
  <c r="T7" i="23"/>
  <c r="S7" i="23"/>
  <c r="R7" i="23"/>
  <c r="E7" i="23"/>
  <c r="AI6" i="23"/>
  <c r="AF6" i="23"/>
  <c r="AD6" i="23"/>
  <c r="AB6" i="23"/>
  <c r="AA6" i="23"/>
  <c r="Z6" i="23"/>
  <c r="AE6" i="23" s="1"/>
  <c r="Y6" i="23"/>
  <c r="X6" i="23"/>
  <c r="AC6" i="23" s="1"/>
  <c r="W6" i="23"/>
  <c r="T6" i="23"/>
  <c r="R6" i="23"/>
  <c r="S6" i="23" s="1"/>
  <c r="E6" i="23"/>
  <c r="AI5" i="23"/>
  <c r="AE5" i="23"/>
  <c r="AC5" i="23"/>
  <c r="AA5" i="23"/>
  <c r="AF5" i="23" s="1"/>
  <c r="Z5" i="23"/>
  <c r="Y5" i="23"/>
  <c r="AD5" i="23" s="1"/>
  <c r="X5" i="23"/>
  <c r="W5" i="23"/>
  <c r="AB5" i="23" s="1"/>
  <c r="AG5" i="23" s="1"/>
  <c r="AJ5" i="23" s="1"/>
  <c r="T5" i="23"/>
  <c r="S5" i="23"/>
  <c r="R5" i="23"/>
  <c r="E5" i="23"/>
  <c r="Q3" i="23"/>
  <c r="P3" i="23"/>
  <c r="O3" i="23"/>
  <c r="N3" i="23"/>
  <c r="M3" i="23"/>
  <c r="L3" i="23"/>
  <c r="K3" i="23"/>
  <c r="J3" i="23"/>
  <c r="I3" i="23"/>
  <c r="H3" i="23"/>
  <c r="G3" i="23"/>
  <c r="G87" i="23" s="1"/>
  <c r="F3" i="23"/>
  <c r="AY152" i="20"/>
  <c r="AX152" i="20"/>
  <c r="AW152" i="20"/>
  <c r="AV152" i="20"/>
  <c r="AQ152" i="20"/>
  <c r="AW151" i="20"/>
  <c r="AV151" i="20"/>
  <c r="AP151" i="20"/>
  <c r="AO151" i="20"/>
  <c r="BN115" i="20"/>
  <c r="AW115" i="20"/>
  <c r="AV115" i="20"/>
  <c r="AP115" i="20"/>
  <c r="CI115" i="20" s="1"/>
  <c r="AO115" i="20"/>
  <c r="AM148" i="20"/>
  <c r="AG148" i="20"/>
  <c r="AA148" i="20"/>
  <c r="U148" i="20"/>
  <c r="O148" i="20"/>
  <c r="CB147" i="20"/>
  <c r="BX147" i="20"/>
  <c r="BZ147" i="20" s="1"/>
  <c r="BR147" i="20"/>
  <c r="BL147" i="20"/>
  <c r="BN147" i="20" s="1"/>
  <c r="BG147" i="20"/>
  <c r="AW147" i="20"/>
  <c r="AT147" i="20"/>
  <c r="AV147" i="20" s="1"/>
  <c r="AP147" i="20"/>
  <c r="AJ147" i="20"/>
  <c r="AL147" i="20" s="1"/>
  <c r="AN147" i="20" s="1"/>
  <c r="AD147" i="20"/>
  <c r="AF147" i="20" s="1"/>
  <c r="AH147" i="20" s="1"/>
  <c r="X147" i="20"/>
  <c r="Z147" i="20" s="1"/>
  <c r="AB147" i="20" s="1"/>
  <c r="R147" i="20"/>
  <c r="T147" i="20" s="1"/>
  <c r="V147" i="20" s="1"/>
  <c r="N147" i="20"/>
  <c r="CB146" i="20"/>
  <c r="BX146" i="20"/>
  <c r="BZ146" i="20" s="1"/>
  <c r="BR146" i="20"/>
  <c r="BL146" i="20"/>
  <c r="BN146" i="20" s="1"/>
  <c r="BG146" i="20"/>
  <c r="AW146" i="20"/>
  <c r="AT146" i="20"/>
  <c r="AR146" i="20"/>
  <c r="AP146" i="20"/>
  <c r="AJ146" i="20"/>
  <c r="AL146" i="20" s="1"/>
  <c r="AN146" i="20" s="1"/>
  <c r="AD146" i="20"/>
  <c r="AF146" i="20" s="1"/>
  <c r="AH146" i="20" s="1"/>
  <c r="X146" i="20"/>
  <c r="Z146" i="20" s="1"/>
  <c r="AB146" i="20" s="1"/>
  <c r="R146" i="20"/>
  <c r="T146" i="20" s="1"/>
  <c r="N146" i="20"/>
  <c r="P146" i="20" s="1"/>
  <c r="CB145" i="20"/>
  <c r="BX145" i="20"/>
  <c r="BZ145" i="20" s="1"/>
  <c r="BR145" i="20"/>
  <c r="BL145" i="20"/>
  <c r="BN145" i="20" s="1"/>
  <c r="CC145" i="20" s="1"/>
  <c r="BE145" i="20"/>
  <c r="BG145" i="20" s="1"/>
  <c r="AW145" i="20"/>
  <c r="AT145" i="20"/>
  <c r="AV145" i="20" s="1"/>
  <c r="AP145" i="20"/>
  <c r="AJ145" i="20"/>
  <c r="AL145" i="20" s="1"/>
  <c r="AN145" i="20" s="1"/>
  <c r="AD145" i="20"/>
  <c r="AF145" i="20" s="1"/>
  <c r="AH145" i="20" s="1"/>
  <c r="X145" i="20"/>
  <c r="Z145" i="20" s="1"/>
  <c r="AB145" i="20" s="1"/>
  <c r="R145" i="20"/>
  <c r="T145" i="20" s="1"/>
  <c r="V145" i="20" s="1"/>
  <c r="N145" i="20"/>
  <c r="BX144" i="20"/>
  <c r="BZ144" i="20" s="1"/>
  <c r="BR144" i="20"/>
  <c r="BL144" i="20"/>
  <c r="BN144" i="20" s="1"/>
  <c r="AW144" i="20"/>
  <c r="AP144" i="20"/>
  <c r="AJ144" i="20"/>
  <c r="AL144" i="20" s="1"/>
  <c r="AN144" i="20" s="1"/>
  <c r="AD144" i="20"/>
  <c r="AF144" i="20" s="1"/>
  <c r="AH144" i="20" s="1"/>
  <c r="X144" i="20"/>
  <c r="Z144" i="20" s="1"/>
  <c r="AB144" i="20" s="1"/>
  <c r="R144" i="20"/>
  <c r="T144" i="20" s="1"/>
  <c r="V144" i="20" s="1"/>
  <c r="N144" i="20"/>
  <c r="BX142" i="20"/>
  <c r="BZ142" i="20" s="1"/>
  <c r="BR142" i="20"/>
  <c r="AW142" i="20"/>
  <c r="AP142" i="20"/>
  <c r="AJ142" i="20"/>
  <c r="AL142" i="20" s="1"/>
  <c r="AN142" i="20" s="1"/>
  <c r="AD142" i="20"/>
  <c r="AF142" i="20" s="1"/>
  <c r="AH142" i="20" s="1"/>
  <c r="X142" i="20"/>
  <c r="Z142" i="20" s="1"/>
  <c r="AB142" i="20" s="1"/>
  <c r="R142" i="20"/>
  <c r="T142" i="20" s="1"/>
  <c r="N142" i="20"/>
  <c r="P142" i="20" s="1"/>
  <c r="CB141" i="20"/>
  <c r="BX141" i="20"/>
  <c r="BZ141" i="20" s="1"/>
  <c r="BR141" i="20"/>
  <c r="BT141" i="20" s="1"/>
  <c r="BL141" i="20"/>
  <c r="BE141" i="20"/>
  <c r="BG141" i="20" s="1"/>
  <c r="AW141" i="20"/>
  <c r="AV141" i="20"/>
  <c r="AP141" i="20"/>
  <c r="AJ141" i="20"/>
  <c r="AL141" i="20" s="1"/>
  <c r="AN141" i="20" s="1"/>
  <c r="AD141" i="20"/>
  <c r="AF141" i="20" s="1"/>
  <c r="AH141" i="20" s="1"/>
  <c r="X141" i="20"/>
  <c r="Z141" i="20" s="1"/>
  <c r="AB141" i="20" s="1"/>
  <c r="R141" i="20"/>
  <c r="T141" i="20" s="1"/>
  <c r="V141" i="20" s="1"/>
  <c r="N141" i="20"/>
  <c r="P141" i="20" s="1"/>
  <c r="BX139" i="20"/>
  <c r="BZ139" i="20" s="1"/>
  <c r="BR139" i="20"/>
  <c r="BL139" i="20"/>
  <c r="BN139" i="20" s="1"/>
  <c r="BF139" i="20"/>
  <c r="BG139" i="20" s="1"/>
  <c r="AW139" i="20"/>
  <c r="AT139" i="20"/>
  <c r="AV139" i="20" s="1"/>
  <c r="AP139" i="20"/>
  <c r="AJ139" i="20"/>
  <c r="AL139" i="20" s="1"/>
  <c r="AN139" i="20" s="1"/>
  <c r="AD139" i="20"/>
  <c r="AF139" i="20" s="1"/>
  <c r="AH139" i="20" s="1"/>
  <c r="X139" i="20"/>
  <c r="Z139" i="20" s="1"/>
  <c r="AB139" i="20" s="1"/>
  <c r="R139" i="20"/>
  <c r="T139" i="20" s="1"/>
  <c r="N139" i="20"/>
  <c r="P139" i="20" s="1"/>
  <c r="CB138" i="20"/>
  <c r="BX138" i="20"/>
  <c r="BZ138" i="20" s="1"/>
  <c r="BR138" i="20"/>
  <c r="BT138" i="20" s="1"/>
  <c r="BL138" i="20"/>
  <c r="BE138" i="20"/>
  <c r="BG138" i="20" s="1"/>
  <c r="AW138" i="20"/>
  <c r="AP138" i="20"/>
  <c r="AJ138" i="20"/>
  <c r="AL138" i="20" s="1"/>
  <c r="AN138" i="20" s="1"/>
  <c r="AD138" i="20"/>
  <c r="AF138" i="20" s="1"/>
  <c r="AH138" i="20" s="1"/>
  <c r="X138" i="20"/>
  <c r="Z138" i="20" s="1"/>
  <c r="AB138" i="20" s="1"/>
  <c r="R138" i="20"/>
  <c r="T138" i="20" s="1"/>
  <c r="N138" i="20"/>
  <c r="P138" i="20" s="1"/>
  <c r="CB135" i="20"/>
  <c r="BX135" i="20"/>
  <c r="BZ135" i="20" s="1"/>
  <c r="BR135" i="20"/>
  <c r="BL135" i="20"/>
  <c r="BN135" i="20" s="1"/>
  <c r="BE135" i="20"/>
  <c r="BG135" i="20" s="1"/>
  <c r="AW135" i="20"/>
  <c r="AV135" i="20"/>
  <c r="CB134" i="20"/>
  <c r="BX134" i="20"/>
  <c r="BZ134" i="20" s="1"/>
  <c r="BR134" i="20"/>
  <c r="BN134" i="20"/>
  <c r="BG134" i="20"/>
  <c r="AW134" i="20"/>
  <c r="AV134" i="20"/>
  <c r="AP134" i="20"/>
  <c r="AJ134" i="20"/>
  <c r="AL134" i="20" s="1"/>
  <c r="AN134" i="20" s="1"/>
  <c r="AD134" i="20"/>
  <c r="AF134" i="20" s="1"/>
  <c r="AH134" i="20" s="1"/>
  <c r="X134" i="20"/>
  <c r="Z134" i="20" s="1"/>
  <c r="AB134" i="20" s="1"/>
  <c r="R134" i="20"/>
  <c r="T134" i="20" s="1"/>
  <c r="N134" i="20"/>
  <c r="P134" i="20" s="1"/>
  <c r="CB133" i="20"/>
  <c r="BX133" i="20"/>
  <c r="BR133" i="20"/>
  <c r="BT133" i="20" s="1"/>
  <c r="BN133" i="20"/>
  <c r="BE133" i="20"/>
  <c r="BG133" i="20" s="1"/>
  <c r="AW133" i="20"/>
  <c r="AT133" i="20"/>
  <c r="AV133" i="20" s="1"/>
  <c r="AP133" i="20"/>
  <c r="AJ133" i="20"/>
  <c r="AL133" i="20" s="1"/>
  <c r="AN133" i="20" s="1"/>
  <c r="AD133" i="20"/>
  <c r="AF133" i="20" s="1"/>
  <c r="AH133" i="20" s="1"/>
  <c r="X133" i="20"/>
  <c r="Z133" i="20" s="1"/>
  <c r="AB133" i="20" s="1"/>
  <c r="R133" i="20"/>
  <c r="T133" i="20" s="1"/>
  <c r="V133" i="20" s="1"/>
  <c r="N133" i="20"/>
  <c r="P133" i="20" s="1"/>
  <c r="CB132" i="20"/>
  <c r="BX132" i="20"/>
  <c r="BZ132" i="20" s="1"/>
  <c r="BR132" i="20"/>
  <c r="BN132" i="20"/>
  <c r="BG132" i="20"/>
  <c r="AW132" i="20"/>
  <c r="AV132" i="20"/>
  <c r="AP132" i="20"/>
  <c r="AJ132" i="20"/>
  <c r="AL132" i="20" s="1"/>
  <c r="AN132" i="20" s="1"/>
  <c r="AD132" i="20"/>
  <c r="AF132" i="20" s="1"/>
  <c r="AH132" i="20" s="1"/>
  <c r="X132" i="20"/>
  <c r="Z132" i="20" s="1"/>
  <c r="AB132" i="20" s="1"/>
  <c r="R132" i="20"/>
  <c r="T132" i="20" s="1"/>
  <c r="V132" i="20" s="1"/>
  <c r="N132" i="20"/>
  <c r="P132" i="20" s="1"/>
  <c r="BX131" i="20"/>
  <c r="BZ131" i="20" s="1"/>
  <c r="BR131" i="20"/>
  <c r="BN131" i="20"/>
  <c r="BE131" i="20"/>
  <c r="BG131" i="20" s="1"/>
  <c r="AW131" i="20"/>
  <c r="AT131" i="20"/>
  <c r="AV131" i="20" s="1"/>
  <c r="AP131" i="20"/>
  <c r="AJ131" i="20"/>
  <c r="AL131" i="20" s="1"/>
  <c r="AN131" i="20" s="1"/>
  <c r="AD131" i="20"/>
  <c r="AF131" i="20" s="1"/>
  <c r="AH131" i="20" s="1"/>
  <c r="X131" i="20"/>
  <c r="Z131" i="20" s="1"/>
  <c r="AB131" i="20" s="1"/>
  <c r="R131" i="20"/>
  <c r="T131" i="20" s="1"/>
  <c r="V131" i="20" s="1"/>
  <c r="N131" i="20"/>
  <c r="CB130" i="20"/>
  <c r="BX130" i="20"/>
  <c r="BZ130" i="20" s="1"/>
  <c r="BR130" i="20"/>
  <c r="BT130" i="20" s="1"/>
  <c r="BN130" i="20"/>
  <c r="BE130" i="20"/>
  <c r="AW130" i="20"/>
  <c r="AV130" i="20"/>
  <c r="AP130" i="20"/>
  <c r="AJ130" i="20"/>
  <c r="AL130" i="20" s="1"/>
  <c r="AN130" i="20" s="1"/>
  <c r="AD130" i="20"/>
  <c r="AF130" i="20" s="1"/>
  <c r="AH130" i="20" s="1"/>
  <c r="X130" i="20"/>
  <c r="Z130" i="20" s="1"/>
  <c r="AB130" i="20" s="1"/>
  <c r="R130" i="20"/>
  <c r="T130" i="20" s="1"/>
  <c r="V130" i="20" s="1"/>
  <c r="N130" i="20"/>
  <c r="P130" i="20" s="1"/>
  <c r="BX129" i="20"/>
  <c r="BZ129" i="20" s="1"/>
  <c r="BR129" i="20"/>
  <c r="BT129" i="20" s="1"/>
  <c r="BE129" i="20"/>
  <c r="AW129" i="20"/>
  <c r="AT129" i="20"/>
  <c r="AV129" i="20" s="1"/>
  <c r="AP129" i="20"/>
  <c r="AJ129" i="20"/>
  <c r="AL129" i="20" s="1"/>
  <c r="AN129" i="20" s="1"/>
  <c r="AD129" i="20"/>
  <c r="AF129" i="20" s="1"/>
  <c r="AH129" i="20" s="1"/>
  <c r="X129" i="20"/>
  <c r="Z129" i="20" s="1"/>
  <c r="AB129" i="20" s="1"/>
  <c r="R129" i="20"/>
  <c r="T129" i="20" s="1"/>
  <c r="N129" i="20"/>
  <c r="P129" i="20" s="1"/>
  <c r="CB128" i="20"/>
  <c r="BX128" i="20"/>
  <c r="BZ128" i="20" s="1"/>
  <c r="BR128" i="20"/>
  <c r="BT128" i="20" s="1"/>
  <c r="BL128" i="20"/>
  <c r="BN128" i="20" s="1"/>
  <c r="BE128" i="20"/>
  <c r="BG128" i="20" s="1"/>
  <c r="AW128" i="20"/>
  <c r="AT128" i="20"/>
  <c r="AR128" i="20"/>
  <c r="AP128" i="20"/>
  <c r="AJ128" i="20"/>
  <c r="AL128" i="20" s="1"/>
  <c r="AN128" i="20" s="1"/>
  <c r="AD128" i="20"/>
  <c r="AF128" i="20" s="1"/>
  <c r="AH128" i="20" s="1"/>
  <c r="X128" i="20"/>
  <c r="Z128" i="20" s="1"/>
  <c r="AB128" i="20" s="1"/>
  <c r="R128" i="20"/>
  <c r="T128" i="20" s="1"/>
  <c r="V128" i="20" s="1"/>
  <c r="N128" i="20"/>
  <c r="CB127" i="20"/>
  <c r="BX127" i="20"/>
  <c r="BZ127" i="20" s="1"/>
  <c r="BR127" i="20"/>
  <c r="BL127" i="20"/>
  <c r="BN127" i="20" s="1"/>
  <c r="BE127" i="20"/>
  <c r="BG127" i="20" s="1"/>
  <c r="AW127" i="20"/>
  <c r="AV127" i="20"/>
  <c r="AP127" i="20"/>
  <c r="AJ127" i="20"/>
  <c r="AL127" i="20" s="1"/>
  <c r="AN127" i="20" s="1"/>
  <c r="AD127" i="20"/>
  <c r="AF127" i="20" s="1"/>
  <c r="AH127" i="20" s="1"/>
  <c r="X127" i="20"/>
  <c r="Z127" i="20" s="1"/>
  <c r="AB127" i="20" s="1"/>
  <c r="R127" i="20"/>
  <c r="T127" i="20" s="1"/>
  <c r="N127" i="20"/>
  <c r="P127" i="20" s="1"/>
  <c r="CB126" i="20"/>
  <c r="BX126" i="20"/>
  <c r="BZ126" i="20" s="1"/>
  <c r="BR126" i="20"/>
  <c r="BT126" i="20" s="1"/>
  <c r="BL126" i="20"/>
  <c r="BE126" i="20"/>
  <c r="BG126" i="20" s="1"/>
  <c r="AW126" i="20"/>
  <c r="AT126" i="20"/>
  <c r="AR126" i="20"/>
  <c r="AP126" i="20"/>
  <c r="AJ126" i="20"/>
  <c r="AL126" i="20" s="1"/>
  <c r="AN126" i="20" s="1"/>
  <c r="AD126" i="20"/>
  <c r="AF126" i="20" s="1"/>
  <c r="AH126" i="20" s="1"/>
  <c r="X126" i="20"/>
  <c r="Z126" i="20" s="1"/>
  <c r="AB126" i="20" s="1"/>
  <c r="R126" i="20"/>
  <c r="T126" i="20" s="1"/>
  <c r="V126" i="20" s="1"/>
  <c r="N126" i="20"/>
  <c r="CB125" i="20"/>
  <c r="BX125" i="20"/>
  <c r="BZ125" i="20" s="1"/>
  <c r="BR125" i="20"/>
  <c r="BT125" i="20" s="1"/>
  <c r="BL125" i="20"/>
  <c r="BN125" i="20" s="1"/>
  <c r="BE125" i="20"/>
  <c r="BG125" i="20" s="1"/>
  <c r="AW125" i="20"/>
  <c r="AT125" i="20"/>
  <c r="AV125" i="20" s="1"/>
  <c r="AP125" i="20"/>
  <c r="AJ125" i="20"/>
  <c r="AL125" i="20" s="1"/>
  <c r="AN125" i="20" s="1"/>
  <c r="AD125" i="20"/>
  <c r="AF125" i="20" s="1"/>
  <c r="AH125" i="20" s="1"/>
  <c r="X125" i="20"/>
  <c r="Z125" i="20" s="1"/>
  <c r="R125" i="20"/>
  <c r="T125" i="20" s="1"/>
  <c r="V125" i="20" s="1"/>
  <c r="N125" i="20"/>
  <c r="P125" i="20" s="1"/>
  <c r="CB123" i="20"/>
  <c r="BX123" i="20"/>
  <c r="BZ123" i="20" s="1"/>
  <c r="BR123" i="20"/>
  <c r="BT123" i="20" s="1"/>
  <c r="BN123" i="20"/>
  <c r="BE123" i="20"/>
  <c r="BG123" i="20" s="1"/>
  <c r="AW123" i="20"/>
  <c r="AV123" i="20"/>
  <c r="AP123" i="20"/>
  <c r="AJ123" i="20"/>
  <c r="AL123" i="20" s="1"/>
  <c r="AN123" i="20" s="1"/>
  <c r="AD123" i="20"/>
  <c r="AF123" i="20" s="1"/>
  <c r="AH123" i="20" s="1"/>
  <c r="X123" i="20"/>
  <c r="Z123" i="20" s="1"/>
  <c r="AB123" i="20" s="1"/>
  <c r="R123" i="20"/>
  <c r="T123" i="20" s="1"/>
  <c r="N123" i="20"/>
  <c r="P123" i="20" s="1"/>
  <c r="CB122" i="20"/>
  <c r="BJ122" i="20"/>
  <c r="BG122" i="20"/>
  <c r="AW122" i="20"/>
  <c r="AT122" i="20"/>
  <c r="AR122" i="20"/>
  <c r="AP122" i="20"/>
  <c r="AJ122" i="20"/>
  <c r="AL122" i="20" s="1"/>
  <c r="AN122" i="20" s="1"/>
  <c r="AD122" i="20"/>
  <c r="AF122" i="20" s="1"/>
  <c r="AH122" i="20" s="1"/>
  <c r="X122" i="20"/>
  <c r="Z122" i="20" s="1"/>
  <c r="AB122" i="20" s="1"/>
  <c r="R122" i="20"/>
  <c r="T122" i="20" s="1"/>
  <c r="V122" i="20" s="1"/>
  <c r="N122" i="20"/>
  <c r="CB121" i="20"/>
  <c r="BX121" i="20"/>
  <c r="BZ121" i="20" s="1"/>
  <c r="BR96" i="20"/>
  <c r="BT96" i="20" s="1"/>
  <c r="BL121" i="20"/>
  <c r="BN121" i="20" s="1"/>
  <c r="BE121" i="20"/>
  <c r="BG121" i="20" s="1"/>
  <c r="AW121" i="20"/>
  <c r="AT121" i="20"/>
  <c r="AV121" i="20" s="1"/>
  <c r="AP121" i="20"/>
  <c r="AJ121" i="20"/>
  <c r="AL121" i="20" s="1"/>
  <c r="AN121" i="20" s="1"/>
  <c r="AD121" i="20"/>
  <c r="AF121" i="20" s="1"/>
  <c r="AH121" i="20" s="1"/>
  <c r="X121" i="20"/>
  <c r="Z121" i="20" s="1"/>
  <c r="AB121" i="20" s="1"/>
  <c r="R121" i="20"/>
  <c r="T121" i="20" s="1"/>
  <c r="V121" i="20" s="1"/>
  <c r="N121" i="20"/>
  <c r="P121" i="20" s="1"/>
  <c r="CB120" i="20"/>
  <c r="BX120" i="20"/>
  <c r="BZ120" i="20" s="1"/>
  <c r="BR120" i="20"/>
  <c r="BT120" i="20" s="1"/>
  <c r="BL120" i="20"/>
  <c r="BN120" i="20" s="1"/>
  <c r="BE120" i="20"/>
  <c r="AW120" i="20"/>
  <c r="AT120" i="20"/>
  <c r="AV120" i="20" s="1"/>
  <c r="AP120" i="20"/>
  <c r="AJ120" i="20"/>
  <c r="AL120" i="20" s="1"/>
  <c r="AN120" i="20" s="1"/>
  <c r="AD120" i="20"/>
  <c r="AF120" i="20" s="1"/>
  <c r="X120" i="20"/>
  <c r="Z120" i="20" s="1"/>
  <c r="R120" i="20"/>
  <c r="T120" i="20" s="1"/>
  <c r="N120" i="20"/>
  <c r="BS149" i="20"/>
  <c r="AS149" i="20"/>
  <c r="AR142" i="20"/>
  <c r="AM118" i="20"/>
  <c r="AG118" i="20"/>
  <c r="AA118" i="20"/>
  <c r="U118" i="20"/>
  <c r="CB117" i="20"/>
  <c r="BJ117" i="20"/>
  <c r="BL117" i="20" s="1"/>
  <c r="BN117" i="20" s="1"/>
  <c r="BE117" i="20"/>
  <c r="BG117" i="20" s="1"/>
  <c r="AW117" i="20"/>
  <c r="CB116" i="20"/>
  <c r="BJ116" i="20"/>
  <c r="BP116" i="20" s="1"/>
  <c r="BE116" i="20"/>
  <c r="BG116" i="20" s="1"/>
  <c r="AW116" i="20"/>
  <c r="CB114" i="20"/>
  <c r="BP114" i="20"/>
  <c r="BL114" i="20"/>
  <c r="BE114" i="20"/>
  <c r="BG114" i="20" s="1"/>
  <c r="AW114" i="20"/>
  <c r="AV114" i="20"/>
  <c r="AJ114" i="20"/>
  <c r="AL114" i="20" s="1"/>
  <c r="AN114" i="20" s="1"/>
  <c r="AD114" i="20"/>
  <c r="AF114" i="20" s="1"/>
  <c r="AH114" i="20" s="1"/>
  <c r="X114" i="20"/>
  <c r="Z114" i="20" s="1"/>
  <c r="R114" i="20"/>
  <c r="T114" i="20" s="1"/>
  <c r="V114" i="20" s="1"/>
  <c r="O114" i="20"/>
  <c r="AP114" i="20" s="1"/>
  <c r="N114" i="20"/>
  <c r="CB113" i="20"/>
  <c r="BP113" i="20"/>
  <c r="BR113" i="20" s="1"/>
  <c r="BC113" i="20"/>
  <c r="AW113" i="20"/>
  <c r="AV113" i="20"/>
  <c r="AJ113" i="20"/>
  <c r="AL113" i="20" s="1"/>
  <c r="AN113" i="20" s="1"/>
  <c r="AD113" i="20"/>
  <c r="AF113" i="20" s="1"/>
  <c r="AH113" i="20" s="1"/>
  <c r="X113" i="20"/>
  <c r="Z113" i="20" s="1"/>
  <c r="AB113" i="20" s="1"/>
  <c r="R113" i="20"/>
  <c r="T113" i="20" s="1"/>
  <c r="O113" i="20"/>
  <c r="N113" i="20"/>
  <c r="CB112" i="20"/>
  <c r="BX112" i="20"/>
  <c r="BZ112" i="20" s="1"/>
  <c r="BP112" i="20"/>
  <c r="BL112" i="20"/>
  <c r="BN112" i="20" s="1"/>
  <c r="BG112" i="20"/>
  <c r="AW112" i="20"/>
  <c r="AT112" i="20"/>
  <c r="AP112" i="20"/>
  <c r="AJ112" i="20"/>
  <c r="AL112" i="20" s="1"/>
  <c r="AD112" i="20"/>
  <c r="AF112" i="20" s="1"/>
  <c r="X112" i="20"/>
  <c r="Z112" i="20" s="1"/>
  <c r="R112" i="20"/>
  <c r="T112" i="20" s="1"/>
  <c r="N112" i="20"/>
  <c r="P112" i="20" s="1"/>
  <c r="F17" i="24"/>
  <c r="AR109" i="20"/>
  <c r="B17" i="24" s="1"/>
  <c r="CB108" i="20"/>
  <c r="CF108" i="20" s="1"/>
  <c r="BX108" i="20"/>
  <c r="BR108" i="20"/>
  <c r="BT108" i="20" s="1"/>
  <c r="BL108" i="20"/>
  <c r="BN108" i="20" s="1"/>
  <c r="BE108" i="20"/>
  <c r="BG108" i="20" s="1"/>
  <c r="AM108" i="20"/>
  <c r="AG108" i="20"/>
  <c r="AA108" i="20"/>
  <c r="U108" i="20"/>
  <c r="O108" i="20"/>
  <c r="CB107" i="20"/>
  <c r="CF107" i="20" s="1"/>
  <c r="BX107" i="20"/>
  <c r="BZ107" i="20" s="1"/>
  <c r="BR107" i="20"/>
  <c r="BT107" i="20" s="1"/>
  <c r="BL107" i="20"/>
  <c r="BN107" i="20" s="1"/>
  <c r="BE107" i="20"/>
  <c r="BG107" i="20" s="1"/>
  <c r="AW107" i="20"/>
  <c r="AW108" i="20" s="1"/>
  <c r="AT107" i="20"/>
  <c r="AP107" i="20"/>
  <c r="AP108" i="20" s="1"/>
  <c r="AJ107" i="20"/>
  <c r="AL107" i="20" s="1"/>
  <c r="AD107" i="20"/>
  <c r="AF107" i="20" s="1"/>
  <c r="X107" i="20"/>
  <c r="Z107" i="20" s="1"/>
  <c r="R107" i="20"/>
  <c r="T107" i="20" s="1"/>
  <c r="N107" i="20"/>
  <c r="CF106" i="20"/>
  <c r="BC109" i="20"/>
  <c r="AM105" i="20"/>
  <c r="AG105" i="20"/>
  <c r="AA105" i="20"/>
  <c r="U105" i="20"/>
  <c r="O105" i="20"/>
  <c r="CB103" i="20"/>
  <c r="BX103" i="20"/>
  <c r="BZ103" i="20" s="1"/>
  <c r="BR103" i="20"/>
  <c r="BL103" i="20"/>
  <c r="BN103" i="20" s="1"/>
  <c r="BE103" i="20"/>
  <c r="BG103" i="20" s="1"/>
  <c r="AW103" i="20"/>
  <c r="AV103" i="20"/>
  <c r="CB102" i="20"/>
  <c r="BX102" i="20"/>
  <c r="BZ102" i="20" s="1"/>
  <c r="BR102" i="20"/>
  <c r="BT102" i="20" s="1"/>
  <c r="BL102" i="20"/>
  <c r="BN102" i="20" s="1"/>
  <c r="BE102" i="20"/>
  <c r="BG102" i="20" s="1"/>
  <c r="AW102" i="20"/>
  <c r="AV102" i="20"/>
  <c r="AP102" i="20"/>
  <c r="AL102" i="20"/>
  <c r="AN102" i="20" s="1"/>
  <c r="AF102" i="20"/>
  <c r="AH102" i="20" s="1"/>
  <c r="Z102" i="20"/>
  <c r="AB102" i="20" s="1"/>
  <c r="T102" i="20"/>
  <c r="V102" i="20" s="1"/>
  <c r="N102" i="20"/>
  <c r="P102" i="20" s="1"/>
  <c r="CB101" i="20"/>
  <c r="BX101" i="20"/>
  <c r="BZ101" i="20" s="1"/>
  <c r="BR101" i="20"/>
  <c r="BT101" i="20" s="1"/>
  <c r="BL101" i="20"/>
  <c r="BN101" i="20" s="1"/>
  <c r="BE101" i="20"/>
  <c r="BG101" i="20" s="1"/>
  <c r="AW101" i="20"/>
  <c r="AT101" i="20"/>
  <c r="AP101" i="20"/>
  <c r="AJ101" i="20"/>
  <c r="AL101" i="20" s="1"/>
  <c r="AN101" i="20" s="1"/>
  <c r="AD101" i="20"/>
  <c r="AF101" i="20" s="1"/>
  <c r="AH101" i="20" s="1"/>
  <c r="X101" i="20"/>
  <c r="Z101" i="20" s="1"/>
  <c r="AB101" i="20" s="1"/>
  <c r="R101" i="20"/>
  <c r="T101" i="20" s="1"/>
  <c r="N101" i="20"/>
  <c r="P101" i="20" s="1"/>
  <c r="CB100" i="20"/>
  <c r="BX100" i="20"/>
  <c r="BR100" i="20"/>
  <c r="BL100" i="20"/>
  <c r="BE100" i="20"/>
  <c r="AW100" i="20"/>
  <c r="AV100" i="20"/>
  <c r="AP100" i="20"/>
  <c r="AJ100" i="20"/>
  <c r="AL100" i="20" s="1"/>
  <c r="AN100" i="20" s="1"/>
  <c r="AD100" i="20"/>
  <c r="AF100" i="20" s="1"/>
  <c r="X100" i="20"/>
  <c r="Z100" i="20" s="1"/>
  <c r="R100" i="20"/>
  <c r="T100" i="20" s="1"/>
  <c r="N100" i="20"/>
  <c r="CF99" i="20"/>
  <c r="CB96" i="20"/>
  <c r="CF96" i="20" s="1"/>
  <c r="BC96" i="20"/>
  <c r="AM96" i="20"/>
  <c r="AG96" i="20"/>
  <c r="AA96" i="20"/>
  <c r="U96" i="20"/>
  <c r="O96" i="20"/>
  <c r="CB95" i="20"/>
  <c r="BN95" i="20"/>
  <c r="BE95" i="20"/>
  <c r="CA95" i="20" s="1"/>
  <c r="AW95" i="20"/>
  <c r="AT95" i="20"/>
  <c r="AV95" i="20" s="1"/>
  <c r="AP95" i="20"/>
  <c r="AJ95" i="20"/>
  <c r="AL95" i="20" s="1"/>
  <c r="AN95" i="20" s="1"/>
  <c r="AD95" i="20"/>
  <c r="AF95" i="20" s="1"/>
  <c r="X95" i="20"/>
  <c r="Z95" i="20" s="1"/>
  <c r="AB95" i="20" s="1"/>
  <c r="R95" i="20"/>
  <c r="T95" i="20" s="1"/>
  <c r="V95" i="20" s="1"/>
  <c r="N95" i="20"/>
  <c r="P95" i="20" s="1"/>
  <c r="CB94" i="20"/>
  <c r="BN94" i="20"/>
  <c r="BE94" i="20"/>
  <c r="AW94" i="20"/>
  <c r="AT94" i="20"/>
  <c r="AR94" i="20"/>
  <c r="AR96" i="20" s="1"/>
  <c r="AP94" i="20"/>
  <c r="AJ94" i="20"/>
  <c r="AD94" i="20"/>
  <c r="X94" i="20"/>
  <c r="R94" i="20"/>
  <c r="T94" i="20" s="1"/>
  <c r="N94" i="20"/>
  <c r="P94" i="20" s="1"/>
  <c r="BX92" i="20"/>
  <c r="BC92" i="20"/>
  <c r="AR92" i="20"/>
  <c r="BS91" i="20"/>
  <c r="CB91" i="20" s="1"/>
  <c r="BR91" i="20"/>
  <c r="BR92" i="20" s="1"/>
  <c r="BE92" i="20"/>
  <c r="AV91" i="20"/>
  <c r="AU91" i="20"/>
  <c r="AU92" i="20" s="1"/>
  <c r="AU97" i="20" s="1"/>
  <c r="F15" i="24" s="1"/>
  <c r="AS91" i="20"/>
  <c r="AS92" i="20" s="1"/>
  <c r="AS97" i="20" s="1"/>
  <c r="C15" i="24" s="1"/>
  <c r="AO91" i="20"/>
  <c r="AJ91" i="20"/>
  <c r="AM91" i="20" s="1"/>
  <c r="AN91" i="20" s="1"/>
  <c r="AD91" i="20"/>
  <c r="AG91" i="20" s="1"/>
  <c r="AH91" i="20" s="1"/>
  <c r="X91" i="20"/>
  <c r="AA91" i="20" s="1"/>
  <c r="AB91" i="20" s="1"/>
  <c r="R91" i="20"/>
  <c r="U91" i="20" s="1"/>
  <c r="V91" i="20" s="1"/>
  <c r="O91" i="20"/>
  <c r="CB90" i="20"/>
  <c r="CA90" i="20"/>
  <c r="BN90" i="20"/>
  <c r="BG90" i="20"/>
  <c r="AW90" i="20"/>
  <c r="AT90" i="20"/>
  <c r="AT92" i="20" s="1"/>
  <c r="AP90" i="20"/>
  <c r="AJ90" i="20"/>
  <c r="AD90" i="20"/>
  <c r="X90" i="20"/>
  <c r="R90" i="20"/>
  <c r="T90" i="20" s="1"/>
  <c r="N90" i="20"/>
  <c r="P90" i="20" s="1"/>
  <c r="BV88" i="20"/>
  <c r="BC88" i="20"/>
  <c r="BX87" i="20"/>
  <c r="BJ87" i="20"/>
  <c r="BJ88" i="20" s="1"/>
  <c r="BE87" i="20"/>
  <c r="BE88" i="20" s="1"/>
  <c r="CB84" i="20"/>
  <c r="CF84" i="20" s="1"/>
  <c r="BX84" i="20"/>
  <c r="BZ84" i="20" s="1"/>
  <c r="BR84" i="20"/>
  <c r="Q13" i="24" s="1"/>
  <c r="BL84" i="20"/>
  <c r="BN84" i="20" s="1"/>
  <c r="BE84" i="20"/>
  <c r="AM84" i="20"/>
  <c r="O13" i="24" s="1"/>
  <c r="AG84" i="20"/>
  <c r="L13" i="24" s="1"/>
  <c r="AA84" i="20"/>
  <c r="I13" i="24" s="1"/>
  <c r="U84" i="20"/>
  <c r="F13" i="24" s="1"/>
  <c r="O84" i="20"/>
  <c r="CB83" i="20"/>
  <c r="CA83" i="20"/>
  <c r="BN83" i="20"/>
  <c r="BG83" i="20"/>
  <c r="AW83" i="20"/>
  <c r="AV83" i="20"/>
  <c r="AP83" i="20"/>
  <c r="AJ83" i="20"/>
  <c r="AL83" i="20" s="1"/>
  <c r="AD83" i="20"/>
  <c r="AF83" i="20" s="1"/>
  <c r="X83" i="20"/>
  <c r="Z83" i="20" s="1"/>
  <c r="R83" i="20"/>
  <c r="T83" i="20" s="1"/>
  <c r="N83" i="20"/>
  <c r="CF81" i="20"/>
  <c r="CC80" i="20"/>
  <c r="CA80" i="20"/>
  <c r="BY80" i="20"/>
  <c r="AM80" i="20"/>
  <c r="BS80" i="20" s="1"/>
  <c r="AG80" i="20"/>
  <c r="BM80" i="20" s="1"/>
  <c r="AA80" i="20"/>
  <c r="U80" i="20"/>
  <c r="O80" i="20"/>
  <c r="CA79" i="20"/>
  <c r="BY79" i="20"/>
  <c r="BS79" i="20"/>
  <c r="BM79" i="20"/>
  <c r="BN79" i="20" s="1"/>
  <c r="BF79" i="20"/>
  <c r="BG79" i="20" s="1"/>
  <c r="AW79" i="20"/>
  <c r="AV79" i="20"/>
  <c r="AP79" i="20"/>
  <c r="AJ79" i="20"/>
  <c r="AL79" i="20" s="1"/>
  <c r="AN79" i="20" s="1"/>
  <c r="AD79" i="20"/>
  <c r="AF79" i="20" s="1"/>
  <c r="AH79" i="20" s="1"/>
  <c r="X79" i="20"/>
  <c r="Z79" i="20" s="1"/>
  <c r="AB79" i="20" s="1"/>
  <c r="R79" i="20"/>
  <c r="T79" i="20" s="1"/>
  <c r="V79" i="20" s="1"/>
  <c r="N79" i="20"/>
  <c r="P79" i="20" s="1"/>
  <c r="CA78" i="20"/>
  <c r="BY78" i="20"/>
  <c r="BY92" i="20" s="1"/>
  <c r="BY97" i="20" s="1"/>
  <c r="R15" i="24" s="1"/>
  <c r="BS78" i="20"/>
  <c r="BM78" i="20"/>
  <c r="BF78" i="20"/>
  <c r="BG78" i="20" s="1"/>
  <c r="AW78" i="20"/>
  <c r="AV78" i="20"/>
  <c r="AP78" i="20"/>
  <c r="AJ78" i="20"/>
  <c r="AL78" i="20" s="1"/>
  <c r="AN78" i="20" s="1"/>
  <c r="AD78" i="20"/>
  <c r="AF78" i="20" s="1"/>
  <c r="AH78" i="20" s="1"/>
  <c r="X78" i="20"/>
  <c r="Z78" i="20" s="1"/>
  <c r="AB78" i="20" s="1"/>
  <c r="R78" i="20"/>
  <c r="T78" i="20" s="1"/>
  <c r="V78" i="20" s="1"/>
  <c r="N78" i="20"/>
  <c r="P78" i="20" s="1"/>
  <c r="CA77" i="20"/>
  <c r="BY77" i="20"/>
  <c r="BS77" i="20"/>
  <c r="BM77" i="20"/>
  <c r="BN77" i="20" s="1"/>
  <c r="BF77" i="20"/>
  <c r="BG77" i="20" s="1"/>
  <c r="AW77" i="20"/>
  <c r="AV77" i="20"/>
  <c r="AP77" i="20"/>
  <c r="AJ77" i="20"/>
  <c r="AL77" i="20" s="1"/>
  <c r="AN77" i="20" s="1"/>
  <c r="AD77" i="20"/>
  <c r="AF77" i="20" s="1"/>
  <c r="AH77" i="20" s="1"/>
  <c r="X77" i="20"/>
  <c r="Z77" i="20" s="1"/>
  <c r="AB77" i="20" s="1"/>
  <c r="R77" i="20"/>
  <c r="T77" i="20" s="1"/>
  <c r="N77" i="20"/>
  <c r="P77" i="20" s="1"/>
  <c r="CA76" i="20"/>
  <c r="BY76" i="20"/>
  <c r="BS76" i="20"/>
  <c r="BM76" i="20"/>
  <c r="BN76" i="20" s="1"/>
  <c r="BF76" i="20"/>
  <c r="BG76" i="20" s="1"/>
  <c r="AW76" i="20"/>
  <c r="AV76" i="20"/>
  <c r="AP76" i="20"/>
  <c r="AJ76" i="20"/>
  <c r="AL76" i="20" s="1"/>
  <c r="AN76" i="20" s="1"/>
  <c r="AD76" i="20"/>
  <c r="AF76" i="20" s="1"/>
  <c r="AH76" i="20" s="1"/>
  <c r="X76" i="20"/>
  <c r="Z76" i="20" s="1"/>
  <c r="AB76" i="20" s="1"/>
  <c r="R76" i="20"/>
  <c r="T76" i="20" s="1"/>
  <c r="V76" i="20" s="1"/>
  <c r="N76" i="20"/>
  <c r="P76" i="20" s="1"/>
  <c r="CA74" i="20"/>
  <c r="BY74" i="20"/>
  <c r="BS74" i="20"/>
  <c r="BM74" i="20"/>
  <c r="BN74" i="20" s="1"/>
  <c r="BF74" i="20"/>
  <c r="BG74" i="20" s="1"/>
  <c r="AW74" i="20"/>
  <c r="AV74" i="20"/>
  <c r="AP74" i="20"/>
  <c r="AJ74" i="20"/>
  <c r="AL74" i="20" s="1"/>
  <c r="AN74" i="20" s="1"/>
  <c r="AD74" i="20"/>
  <c r="AF74" i="20" s="1"/>
  <c r="AH74" i="20" s="1"/>
  <c r="X74" i="20"/>
  <c r="Z74" i="20" s="1"/>
  <c r="AB74" i="20" s="1"/>
  <c r="R74" i="20"/>
  <c r="T74" i="20" s="1"/>
  <c r="V74" i="20" s="1"/>
  <c r="N74" i="20"/>
  <c r="P74" i="20" s="1"/>
  <c r="CA73" i="20"/>
  <c r="BY73" i="20"/>
  <c r="BS73" i="20"/>
  <c r="BM73" i="20"/>
  <c r="BF73" i="20"/>
  <c r="BG73" i="20" s="1"/>
  <c r="AW73" i="20"/>
  <c r="AV73" i="20"/>
  <c r="AP73" i="20"/>
  <c r="AJ73" i="20"/>
  <c r="AL73" i="20" s="1"/>
  <c r="AN73" i="20" s="1"/>
  <c r="AD73" i="20"/>
  <c r="AF73" i="20" s="1"/>
  <c r="AH73" i="20" s="1"/>
  <c r="X73" i="20"/>
  <c r="Z73" i="20" s="1"/>
  <c r="AB73" i="20" s="1"/>
  <c r="R73" i="20"/>
  <c r="T73" i="20" s="1"/>
  <c r="V73" i="20" s="1"/>
  <c r="N73" i="20"/>
  <c r="P73" i="20" s="1"/>
  <c r="CA72" i="20"/>
  <c r="BY72" i="20"/>
  <c r="BS72" i="20"/>
  <c r="BM72" i="20"/>
  <c r="BN72" i="20" s="1"/>
  <c r="BF72" i="20"/>
  <c r="BG72" i="20" s="1"/>
  <c r="AW72" i="20"/>
  <c r="AV72" i="20"/>
  <c r="AP72" i="20"/>
  <c r="AJ72" i="20"/>
  <c r="AL72" i="20" s="1"/>
  <c r="AN72" i="20" s="1"/>
  <c r="AD72" i="20"/>
  <c r="AF72" i="20" s="1"/>
  <c r="AH72" i="20" s="1"/>
  <c r="X72" i="20"/>
  <c r="Z72" i="20" s="1"/>
  <c r="AB72" i="20" s="1"/>
  <c r="R72" i="20"/>
  <c r="T72" i="20" s="1"/>
  <c r="V72" i="20" s="1"/>
  <c r="N72" i="20"/>
  <c r="CA71" i="20"/>
  <c r="BY71" i="20"/>
  <c r="BS71" i="20"/>
  <c r="BM71" i="20"/>
  <c r="BN71" i="20" s="1"/>
  <c r="BF71" i="20"/>
  <c r="BG71" i="20" s="1"/>
  <c r="AW71" i="20"/>
  <c r="AV71" i="20"/>
  <c r="AP71" i="20"/>
  <c r="AJ71" i="20"/>
  <c r="AL71" i="20" s="1"/>
  <c r="AN71" i="20" s="1"/>
  <c r="AD71" i="20"/>
  <c r="AF71" i="20" s="1"/>
  <c r="AH71" i="20" s="1"/>
  <c r="X71" i="20"/>
  <c r="Z71" i="20" s="1"/>
  <c r="AB71" i="20" s="1"/>
  <c r="R71" i="20"/>
  <c r="T71" i="20" s="1"/>
  <c r="V71" i="20" s="1"/>
  <c r="N71" i="20"/>
  <c r="CA69" i="20"/>
  <c r="BY69" i="20"/>
  <c r="BS69" i="20"/>
  <c r="BM69" i="20"/>
  <c r="BN69" i="20" s="1"/>
  <c r="BF69" i="20"/>
  <c r="BG69" i="20" s="1"/>
  <c r="AW69" i="20"/>
  <c r="AV69" i="20"/>
  <c r="AP69" i="20"/>
  <c r="AJ69" i="20"/>
  <c r="AL69" i="20" s="1"/>
  <c r="AN69" i="20" s="1"/>
  <c r="AD69" i="20"/>
  <c r="AF69" i="20" s="1"/>
  <c r="AH69" i="20" s="1"/>
  <c r="X69" i="20"/>
  <c r="Z69" i="20" s="1"/>
  <c r="AB69" i="20" s="1"/>
  <c r="R69" i="20"/>
  <c r="T69" i="20" s="1"/>
  <c r="N69" i="20"/>
  <c r="P69" i="20" s="1"/>
  <c r="CA68" i="20"/>
  <c r="BY68" i="20"/>
  <c r="BS68" i="20"/>
  <c r="BM68" i="20"/>
  <c r="BN68" i="20" s="1"/>
  <c r="BF68" i="20"/>
  <c r="BG68" i="20" s="1"/>
  <c r="AW68" i="20"/>
  <c r="AV68" i="20"/>
  <c r="AP68" i="20"/>
  <c r="AJ68" i="20"/>
  <c r="AL68" i="20" s="1"/>
  <c r="AN68" i="20" s="1"/>
  <c r="AD68" i="20"/>
  <c r="AF68" i="20" s="1"/>
  <c r="AH68" i="20" s="1"/>
  <c r="X68" i="20"/>
  <c r="Z68" i="20" s="1"/>
  <c r="AB68" i="20" s="1"/>
  <c r="R68" i="20"/>
  <c r="T68" i="20" s="1"/>
  <c r="V68" i="20" s="1"/>
  <c r="N68" i="20"/>
  <c r="P68" i="20" s="1"/>
  <c r="CA67" i="20"/>
  <c r="BY67" i="20"/>
  <c r="BS67" i="20"/>
  <c r="BM67" i="20"/>
  <c r="BN67" i="20" s="1"/>
  <c r="BF67" i="20"/>
  <c r="BG67" i="20" s="1"/>
  <c r="AW67" i="20"/>
  <c r="AV67" i="20"/>
  <c r="AP67" i="20"/>
  <c r="AJ67" i="20"/>
  <c r="AL67" i="20" s="1"/>
  <c r="AN67" i="20" s="1"/>
  <c r="AD67" i="20"/>
  <c r="AF67" i="20" s="1"/>
  <c r="AH67" i="20" s="1"/>
  <c r="X67" i="20"/>
  <c r="Z67" i="20" s="1"/>
  <c r="AB67" i="20" s="1"/>
  <c r="R67" i="20"/>
  <c r="T67" i="20" s="1"/>
  <c r="V67" i="20" s="1"/>
  <c r="N67" i="20"/>
  <c r="CA66" i="20"/>
  <c r="BY66" i="20"/>
  <c r="BS66" i="20"/>
  <c r="BM66" i="20"/>
  <c r="BF66" i="20"/>
  <c r="BG66" i="20" s="1"/>
  <c r="AW66" i="20"/>
  <c r="AV66" i="20"/>
  <c r="AP66" i="20"/>
  <c r="AJ66" i="20"/>
  <c r="AL66" i="20" s="1"/>
  <c r="AN66" i="20" s="1"/>
  <c r="AD66" i="20"/>
  <c r="AF66" i="20" s="1"/>
  <c r="AH66" i="20" s="1"/>
  <c r="X66" i="20"/>
  <c r="Z66" i="20" s="1"/>
  <c r="AB66" i="20" s="1"/>
  <c r="R66" i="20"/>
  <c r="T66" i="20" s="1"/>
  <c r="V66" i="20" s="1"/>
  <c r="N66" i="20"/>
  <c r="CA64" i="20"/>
  <c r="BY64" i="20"/>
  <c r="BS64" i="20"/>
  <c r="BM64" i="20"/>
  <c r="BN64" i="20" s="1"/>
  <c r="BF64" i="20"/>
  <c r="BG64" i="20" s="1"/>
  <c r="AW64" i="20"/>
  <c r="AV64" i="20"/>
  <c r="AP64" i="20"/>
  <c r="AJ64" i="20"/>
  <c r="AI64" i="20"/>
  <c r="AD64" i="20"/>
  <c r="AC64" i="20"/>
  <c r="X64" i="20"/>
  <c r="W64" i="20"/>
  <c r="R64" i="20"/>
  <c r="T64" i="20" s="1"/>
  <c r="J64" i="20"/>
  <c r="N64" i="20" s="1"/>
  <c r="P64" i="20" s="1"/>
  <c r="CA63" i="20"/>
  <c r="BY63" i="20"/>
  <c r="BS63" i="20"/>
  <c r="BM63" i="20"/>
  <c r="BN63" i="20" s="1"/>
  <c r="BF63" i="20"/>
  <c r="BG63" i="20" s="1"/>
  <c r="AW63" i="20"/>
  <c r="AV63" i="20"/>
  <c r="AP63" i="20"/>
  <c r="AJ63" i="20"/>
  <c r="AI63" i="20"/>
  <c r="AD63" i="20"/>
  <c r="AC63" i="20"/>
  <c r="X63" i="20"/>
  <c r="W63" i="20"/>
  <c r="R63" i="20"/>
  <c r="T63" i="20" s="1"/>
  <c r="V63" i="20" s="1"/>
  <c r="J63" i="20"/>
  <c r="N63" i="20" s="1"/>
  <c r="CA62" i="20"/>
  <c r="BY62" i="20"/>
  <c r="BS62" i="20"/>
  <c r="BM62" i="20"/>
  <c r="BM88" i="20" s="1"/>
  <c r="BF62" i="20"/>
  <c r="BG62" i="20" s="1"/>
  <c r="AW62" i="20"/>
  <c r="AV62" i="20"/>
  <c r="AP62" i="20"/>
  <c r="AJ62" i="20"/>
  <c r="AI62" i="20"/>
  <c r="AD62" i="20"/>
  <c r="AC62" i="20"/>
  <c r="X62" i="20"/>
  <c r="W62" i="20"/>
  <c r="R62" i="20"/>
  <c r="T62" i="20" s="1"/>
  <c r="V62" i="20" s="1"/>
  <c r="J62" i="20"/>
  <c r="N62" i="20" s="1"/>
  <c r="CA61" i="20"/>
  <c r="BY61" i="20"/>
  <c r="BS61" i="20"/>
  <c r="BM61" i="20"/>
  <c r="BN61" i="20" s="1"/>
  <c r="BF61" i="20"/>
  <c r="BG61" i="20" s="1"/>
  <c r="AW61" i="20"/>
  <c r="AV61" i="20"/>
  <c r="AP61" i="20"/>
  <c r="AJ61" i="20"/>
  <c r="AI61" i="20"/>
  <c r="AD61" i="20"/>
  <c r="AC61" i="20"/>
  <c r="X61" i="20"/>
  <c r="W61" i="20"/>
  <c r="R61" i="20"/>
  <c r="T61" i="20" s="1"/>
  <c r="V61" i="20" s="1"/>
  <c r="J61" i="20"/>
  <c r="N61" i="20" s="1"/>
  <c r="P61" i="20" s="1"/>
  <c r="CA59" i="20"/>
  <c r="BY59" i="20"/>
  <c r="BS59" i="20"/>
  <c r="BM59" i="20"/>
  <c r="BN59" i="20" s="1"/>
  <c r="BF59" i="20"/>
  <c r="BG59" i="20" s="1"/>
  <c r="AW59" i="20"/>
  <c r="AV59" i="20"/>
  <c r="AP59" i="20"/>
  <c r="K59" i="20"/>
  <c r="AJ59" i="20" s="1"/>
  <c r="AL59" i="20" s="1"/>
  <c r="AN59" i="20" s="1"/>
  <c r="CA57" i="20"/>
  <c r="BY57" i="20"/>
  <c r="BZ57" i="20" s="1"/>
  <c r="BS57" i="20"/>
  <c r="BT57" i="20" s="1"/>
  <c r="BM57" i="20"/>
  <c r="BF57" i="20"/>
  <c r="BG57" i="20" s="1"/>
  <c r="AW57" i="20"/>
  <c r="AV57" i="20"/>
  <c r="AP57" i="20"/>
  <c r="AJ57" i="20"/>
  <c r="AL57" i="20" s="1"/>
  <c r="AN57" i="20" s="1"/>
  <c r="AD57" i="20"/>
  <c r="AF57" i="20" s="1"/>
  <c r="AH57" i="20" s="1"/>
  <c r="X57" i="20"/>
  <c r="Z57" i="20" s="1"/>
  <c r="AB57" i="20" s="1"/>
  <c r="R57" i="20"/>
  <c r="T57" i="20" s="1"/>
  <c r="V57" i="20" s="1"/>
  <c r="N57" i="20"/>
  <c r="P57" i="20" s="1"/>
  <c r="CA56" i="20"/>
  <c r="BY56" i="20"/>
  <c r="BZ56" i="20" s="1"/>
  <c r="BS56" i="20"/>
  <c r="BT56" i="20" s="1"/>
  <c r="BM56" i="20"/>
  <c r="BN56" i="20" s="1"/>
  <c r="BF56" i="20"/>
  <c r="BG56" i="20" s="1"/>
  <c r="AW56" i="20"/>
  <c r="AV56" i="20"/>
  <c r="AP56" i="20"/>
  <c r="AJ56" i="20"/>
  <c r="AL56" i="20" s="1"/>
  <c r="AN56" i="20" s="1"/>
  <c r="AD56" i="20"/>
  <c r="AF56" i="20" s="1"/>
  <c r="AH56" i="20" s="1"/>
  <c r="X56" i="20"/>
  <c r="Z56" i="20" s="1"/>
  <c r="AB56" i="20" s="1"/>
  <c r="R56" i="20"/>
  <c r="T56" i="20" s="1"/>
  <c r="N56" i="20"/>
  <c r="P56" i="20" s="1"/>
  <c r="CA55" i="20"/>
  <c r="BY55" i="20"/>
  <c r="BS55" i="20"/>
  <c r="BM55" i="20"/>
  <c r="BN55" i="20" s="1"/>
  <c r="BF55" i="20"/>
  <c r="BG55" i="20" s="1"/>
  <c r="AW55" i="20"/>
  <c r="AV55" i="20"/>
  <c r="AP55" i="20"/>
  <c r="AJ55" i="20"/>
  <c r="AL55" i="20" s="1"/>
  <c r="AN55" i="20" s="1"/>
  <c r="AD55" i="20"/>
  <c r="AF55" i="20" s="1"/>
  <c r="AH55" i="20" s="1"/>
  <c r="X55" i="20"/>
  <c r="Z55" i="20" s="1"/>
  <c r="AB55" i="20" s="1"/>
  <c r="R55" i="20"/>
  <c r="T55" i="20" s="1"/>
  <c r="V55" i="20" s="1"/>
  <c r="N55" i="20"/>
  <c r="CA54" i="20"/>
  <c r="BY54" i="20"/>
  <c r="BS54" i="20"/>
  <c r="BM54" i="20"/>
  <c r="BN54" i="20" s="1"/>
  <c r="BF54" i="20"/>
  <c r="AW54" i="20"/>
  <c r="AT54" i="20"/>
  <c r="AT80" i="20" s="1"/>
  <c r="AR54" i="20"/>
  <c r="AP54" i="20"/>
  <c r="AJ54" i="20"/>
  <c r="AL54" i="20" s="1"/>
  <c r="AD54" i="20"/>
  <c r="AF54" i="20" s="1"/>
  <c r="AH54" i="20" s="1"/>
  <c r="X54" i="20"/>
  <c r="Z54" i="20" s="1"/>
  <c r="R54" i="20"/>
  <c r="T54" i="20" s="1"/>
  <c r="N54" i="20"/>
  <c r="BY51" i="20"/>
  <c r="BX51" i="20"/>
  <c r="BR51" i="20"/>
  <c r="BL51" i="20"/>
  <c r="BE51" i="20"/>
  <c r="AR51" i="20"/>
  <c r="AM51" i="20"/>
  <c r="BS51" i="20" s="1"/>
  <c r="AG51" i="20"/>
  <c r="BM51" i="20" s="1"/>
  <c r="AA51" i="20"/>
  <c r="BF51" i="20" s="1"/>
  <c r="U51" i="20"/>
  <c r="O51" i="20"/>
  <c r="BY50" i="20"/>
  <c r="BX50" i="20"/>
  <c r="BS50" i="20"/>
  <c r="BR50" i="20"/>
  <c r="BM50" i="20"/>
  <c r="BL50" i="20"/>
  <c r="BF50" i="20"/>
  <c r="BE50" i="20"/>
  <c r="AW50" i="20"/>
  <c r="AV50" i="20"/>
  <c r="AP50" i="20"/>
  <c r="AJ50" i="20"/>
  <c r="AL50" i="20" s="1"/>
  <c r="AN50" i="20" s="1"/>
  <c r="AD50" i="20"/>
  <c r="AF50" i="20" s="1"/>
  <c r="AH50" i="20" s="1"/>
  <c r="X50" i="20"/>
  <c r="Z50" i="20" s="1"/>
  <c r="AB50" i="20" s="1"/>
  <c r="R50" i="20"/>
  <c r="T50" i="20" s="1"/>
  <c r="V50" i="20" s="1"/>
  <c r="N50" i="20"/>
  <c r="CA49" i="20"/>
  <c r="BY49" i="20"/>
  <c r="BS49" i="20"/>
  <c r="BM49" i="20"/>
  <c r="BN49" i="20" s="1"/>
  <c r="BF49" i="20"/>
  <c r="BG49" i="20" s="1"/>
  <c r="AW49" i="20"/>
  <c r="AV49" i="20"/>
  <c r="AP49" i="20"/>
  <c r="AJ49" i="20"/>
  <c r="AL49" i="20" s="1"/>
  <c r="AN49" i="20" s="1"/>
  <c r="AD49" i="20"/>
  <c r="AF49" i="20" s="1"/>
  <c r="AH49" i="20" s="1"/>
  <c r="X49" i="20"/>
  <c r="Z49" i="20" s="1"/>
  <c r="AB49" i="20" s="1"/>
  <c r="R49" i="20"/>
  <c r="T49" i="20" s="1"/>
  <c r="V49" i="20" s="1"/>
  <c r="N49" i="20"/>
  <c r="P49" i="20" s="1"/>
  <c r="CA48" i="20"/>
  <c r="BY48" i="20"/>
  <c r="BS48" i="20"/>
  <c r="BM48" i="20"/>
  <c r="BN48" i="20" s="1"/>
  <c r="BF48" i="20"/>
  <c r="BG48" i="20" s="1"/>
  <c r="AW48" i="20"/>
  <c r="AV48" i="20"/>
  <c r="AP48" i="20"/>
  <c r="AJ48" i="20"/>
  <c r="AL48" i="20" s="1"/>
  <c r="AN48" i="20" s="1"/>
  <c r="AD48" i="20"/>
  <c r="AF48" i="20" s="1"/>
  <c r="AH48" i="20" s="1"/>
  <c r="X48" i="20"/>
  <c r="Z48" i="20" s="1"/>
  <c r="AB48" i="20" s="1"/>
  <c r="R48" i="20"/>
  <c r="T48" i="20" s="1"/>
  <c r="V48" i="20" s="1"/>
  <c r="N48" i="20"/>
  <c r="P48" i="20" s="1"/>
  <c r="CA47" i="20"/>
  <c r="BY47" i="20"/>
  <c r="BS47" i="20"/>
  <c r="BM47" i="20"/>
  <c r="BN47" i="20" s="1"/>
  <c r="BF47" i="20"/>
  <c r="BG47" i="20" s="1"/>
  <c r="AW47" i="20"/>
  <c r="AV47" i="20"/>
  <c r="AP47" i="20"/>
  <c r="AJ47" i="20"/>
  <c r="AL47" i="20" s="1"/>
  <c r="AD47" i="20"/>
  <c r="AF47" i="20" s="1"/>
  <c r="AH47" i="20" s="1"/>
  <c r="X47" i="20"/>
  <c r="Z47" i="20" s="1"/>
  <c r="R47" i="20"/>
  <c r="T47" i="20" s="1"/>
  <c r="V47" i="20" s="1"/>
  <c r="N47" i="20"/>
  <c r="CB45" i="20"/>
  <c r="CF45" i="20" s="1"/>
  <c r="BY45" i="20"/>
  <c r="BS45" i="20"/>
  <c r="BM45" i="20"/>
  <c r="BF45" i="20"/>
  <c r="BC45" i="20"/>
  <c r="BC81" i="20" s="1"/>
  <c r="BX44" i="20"/>
  <c r="BZ44" i="20" s="1"/>
  <c r="BR44" i="20"/>
  <c r="BT44" i="20" s="1"/>
  <c r="BL44" i="20"/>
  <c r="BN44" i="20" s="1"/>
  <c r="AW44" i="20"/>
  <c r="BX43" i="20"/>
  <c r="BZ43" i="20" s="1"/>
  <c r="BR43" i="20"/>
  <c r="BJ43" i="20"/>
  <c r="BL43" i="20" s="1"/>
  <c r="BN43" i="20" s="1"/>
  <c r="BE43" i="20"/>
  <c r="BG43" i="20" s="1"/>
  <c r="AW43" i="20"/>
  <c r="BX42" i="20"/>
  <c r="BZ42" i="20" s="1"/>
  <c r="BR42" i="20"/>
  <c r="BJ42" i="20"/>
  <c r="BJ45" i="20" s="1"/>
  <c r="BF42" i="20"/>
  <c r="CB42" i="20" s="1"/>
  <c r="BE42" i="20"/>
  <c r="AW42" i="20"/>
  <c r="BV39" i="20"/>
  <c r="BP39" i="20"/>
  <c r="BJ39" i="20"/>
  <c r="BC39" i="20"/>
  <c r="AU38" i="20"/>
  <c r="AS38" i="20"/>
  <c r="AR38" i="20"/>
  <c r="AR39" i="20" s="1"/>
  <c r="B9" i="24" s="1"/>
  <c r="AI38" i="20"/>
  <c r="AC38" i="20"/>
  <c r="W38" i="20"/>
  <c r="Q38" i="20"/>
  <c r="CB37" i="20"/>
  <c r="CC37" i="20" s="1"/>
  <c r="AW37" i="20"/>
  <c r="AT37" i="20"/>
  <c r="AV37" i="20" s="1"/>
  <c r="CE37" i="20" s="1"/>
  <c r="AI37" i="20"/>
  <c r="AC37" i="20"/>
  <c r="W37" i="20"/>
  <c r="Q37" i="20"/>
  <c r="BZ33" i="20"/>
  <c r="BP33" i="20"/>
  <c r="BR33" i="20" s="1"/>
  <c r="BF33" i="20"/>
  <c r="CB33" i="20" s="1"/>
  <c r="BE33" i="20"/>
  <c r="AW33" i="20"/>
  <c r="AV33" i="20"/>
  <c r="BZ32" i="20"/>
  <c r="BP32" i="20"/>
  <c r="BR32" i="20" s="1"/>
  <c r="BF32" i="20"/>
  <c r="CB32" i="20" s="1"/>
  <c r="BE32" i="20"/>
  <c r="AW32" i="20"/>
  <c r="AV32" i="20"/>
  <c r="BZ31" i="20"/>
  <c r="BP31" i="20"/>
  <c r="BR31" i="20" s="1"/>
  <c r="BF31" i="20"/>
  <c r="CB31" i="20" s="1"/>
  <c r="BE31" i="20"/>
  <c r="AW31" i="20"/>
  <c r="AZ31" i="20"/>
  <c r="BZ30" i="20"/>
  <c r="BP30" i="20"/>
  <c r="BR30" i="20" s="1"/>
  <c r="BF30" i="20"/>
  <c r="CB30" i="20" s="1"/>
  <c r="BE30" i="20"/>
  <c r="AW30" i="20"/>
  <c r="AV30" i="20"/>
  <c r="BJ29" i="20"/>
  <c r="BL29" i="20" s="1"/>
  <c r="BN29" i="20" s="1"/>
  <c r="BF29" i="20"/>
  <c r="CB29" i="20" s="1"/>
  <c r="BE29" i="20"/>
  <c r="AW29" i="20"/>
  <c r="BJ28" i="20"/>
  <c r="BP28" i="20" s="1"/>
  <c r="BR28" i="20" s="1"/>
  <c r="BF28" i="20"/>
  <c r="CB28" i="20" s="1"/>
  <c r="BE28" i="20"/>
  <c r="AW28" i="20"/>
  <c r="BY27" i="20"/>
  <c r="BX27" i="20"/>
  <c r="BM27" i="20"/>
  <c r="BS27" i="20" s="1"/>
  <c r="BC27" i="20"/>
  <c r="BE27" i="20" s="1"/>
  <c r="AV27" i="20"/>
  <c r="AU27" i="20"/>
  <c r="AS27" i="20"/>
  <c r="AO27" i="20"/>
  <c r="BJ27" i="20" s="1"/>
  <c r="BL27" i="20" s="1"/>
  <c r="AJ27" i="20"/>
  <c r="AM27" i="20" s="1"/>
  <c r="AN27" i="20" s="1"/>
  <c r="AD27" i="20"/>
  <c r="AG27" i="20" s="1"/>
  <c r="AH27" i="20" s="1"/>
  <c r="X27" i="20"/>
  <c r="AA27" i="20" s="1"/>
  <c r="AB27" i="20" s="1"/>
  <c r="R27" i="20"/>
  <c r="U27" i="20" s="1"/>
  <c r="V27" i="20" s="1"/>
  <c r="O27" i="20"/>
  <c r="BP26" i="20"/>
  <c r="BV26" i="20" s="1"/>
  <c r="BX26" i="20" s="1"/>
  <c r="BZ26" i="20" s="1"/>
  <c r="BF26" i="20"/>
  <c r="CB26" i="20" s="1"/>
  <c r="AW26" i="20"/>
  <c r="AP26" i="20"/>
  <c r="Q26" i="20"/>
  <c r="K26" i="20"/>
  <c r="X26" i="20" s="1"/>
  <c r="BX25" i="20"/>
  <c r="BZ25" i="20" s="1"/>
  <c r="BF25" i="20"/>
  <c r="CB25" i="20" s="1"/>
  <c r="BC25" i="20"/>
  <c r="AW25" i="20"/>
  <c r="AV25" i="20"/>
  <c r="AP25" i="20"/>
  <c r="K25" i="20"/>
  <c r="AJ25" i="20" s="1"/>
  <c r="AL25" i="20" s="1"/>
  <c r="AN25" i="20" s="1"/>
  <c r="BX24" i="20"/>
  <c r="BZ24" i="20" s="1"/>
  <c r="BP24" i="20"/>
  <c r="BR24" i="20" s="1"/>
  <c r="BM24" i="20"/>
  <c r="BL24" i="20"/>
  <c r="BE24" i="20"/>
  <c r="AV24" i="20"/>
  <c r="AS24" i="20"/>
  <c r="AW24" i="20" s="1"/>
  <c r="AO24" i="20"/>
  <c r="AJ24" i="20"/>
  <c r="AM24" i="20" s="1"/>
  <c r="AN24" i="20" s="1"/>
  <c r="AD24" i="20"/>
  <c r="AG24" i="20" s="1"/>
  <c r="AH24" i="20" s="1"/>
  <c r="X24" i="20"/>
  <c r="AA24" i="20" s="1"/>
  <c r="BF24" i="20" s="1"/>
  <c r="CB24" i="20" s="1"/>
  <c r="R24" i="20"/>
  <c r="U24" i="20" s="1"/>
  <c r="V24" i="20" s="1"/>
  <c r="O24" i="20"/>
  <c r="P24" i="20" s="1"/>
  <c r="BX23" i="20"/>
  <c r="BS23" i="20"/>
  <c r="BY23" i="20" s="1"/>
  <c r="BP23" i="20"/>
  <c r="BR23" i="20" s="1"/>
  <c r="BM23" i="20"/>
  <c r="BL23" i="20"/>
  <c r="BE23" i="20"/>
  <c r="AV23" i="20"/>
  <c r="AU23" i="20"/>
  <c r="AS23" i="20"/>
  <c r="AO23" i="20"/>
  <c r="AJ23" i="20"/>
  <c r="AM23" i="20" s="1"/>
  <c r="AN23" i="20" s="1"/>
  <c r="AD23" i="20"/>
  <c r="AG23" i="20" s="1"/>
  <c r="AH23" i="20" s="1"/>
  <c r="X23" i="20"/>
  <c r="AA23" i="20" s="1"/>
  <c r="R23" i="20"/>
  <c r="U23" i="20" s="1"/>
  <c r="V23" i="20" s="1"/>
  <c r="O23" i="20"/>
  <c r="P23" i="20" s="1"/>
  <c r="BX22" i="20"/>
  <c r="BP22" i="20"/>
  <c r="BR22" i="20" s="1"/>
  <c r="BM22" i="20"/>
  <c r="BS22" i="20" s="1"/>
  <c r="BL22" i="20"/>
  <c r="BE22" i="20"/>
  <c r="AV22" i="20"/>
  <c r="AU22" i="20"/>
  <c r="AS22" i="20"/>
  <c r="AO22" i="20"/>
  <c r="AJ22" i="20"/>
  <c r="AM22" i="20" s="1"/>
  <c r="AD22" i="20"/>
  <c r="AG22" i="20" s="1"/>
  <c r="X22" i="20"/>
  <c r="AA22" i="20" s="1"/>
  <c r="AB22" i="20" s="1"/>
  <c r="R22" i="20"/>
  <c r="U22" i="20" s="1"/>
  <c r="V22" i="20" s="1"/>
  <c r="O22" i="20"/>
  <c r="P22" i="20" s="1"/>
  <c r="BJ21" i="20"/>
  <c r="BP21" i="20" s="1"/>
  <c r="BF21" i="20"/>
  <c r="BE21" i="20"/>
  <c r="AW21" i="20"/>
  <c r="AR21" i="20"/>
  <c r="AP21" i="20"/>
  <c r="K21" i="20"/>
  <c r="R21" i="20" s="1"/>
  <c r="T21" i="20" s="1"/>
  <c r="BJ20" i="20"/>
  <c r="BP20" i="20" s="1"/>
  <c r="BF20" i="20"/>
  <c r="CB20" i="20" s="1"/>
  <c r="BE20" i="20"/>
  <c r="AW20" i="20"/>
  <c r="AP20" i="20"/>
  <c r="Q20" i="20"/>
  <c r="K20" i="20"/>
  <c r="X20" i="20" s="1"/>
  <c r="AD19" i="20"/>
  <c r="BC18" i="20"/>
  <c r="AR18" i="20"/>
  <c r="AD18" i="20"/>
  <c r="BS17" i="20"/>
  <c r="BS18" i="20" s="1"/>
  <c r="BR17" i="20"/>
  <c r="BM17" i="20"/>
  <c r="BM18" i="20" s="1"/>
  <c r="BL17" i="20"/>
  <c r="BF17" i="20"/>
  <c r="BF18" i="20" s="1"/>
  <c r="BE17" i="20"/>
  <c r="AV17" i="20"/>
  <c r="AU17" i="20"/>
  <c r="AW17" i="20" s="1"/>
  <c r="AO17" i="20"/>
  <c r="AJ17" i="20"/>
  <c r="AD17" i="20"/>
  <c r="X17" i="20"/>
  <c r="W17" i="20"/>
  <c r="R17" i="20"/>
  <c r="Q17" i="20"/>
  <c r="O17" i="20"/>
  <c r="O37" i="20" s="1"/>
  <c r="BX15" i="20"/>
  <c r="BZ15" i="20" s="1"/>
  <c r="BL15" i="20"/>
  <c r="BF15" i="20"/>
  <c r="CB15" i="20" s="1"/>
  <c r="BE15" i="20"/>
  <c r="AW15" i="20"/>
  <c r="AT15" i="20"/>
  <c r="AV15" i="20" s="1"/>
  <c r="AP15" i="20"/>
  <c r="W15" i="20"/>
  <c r="AC15" i="20" s="1"/>
  <c r="Q15" i="20"/>
  <c r="K15" i="20"/>
  <c r="AD15" i="20" s="1"/>
  <c r="BP14" i="20"/>
  <c r="BF14" i="20"/>
  <c r="CB14" i="20" s="1"/>
  <c r="BE14" i="20"/>
  <c r="AW14" i="20"/>
  <c r="AT14" i="20"/>
  <c r="AP14" i="20"/>
  <c r="W14" i="20"/>
  <c r="AC14" i="20" s="1"/>
  <c r="Q14" i="20"/>
  <c r="K14" i="20"/>
  <c r="AJ14" i="20" s="1"/>
  <c r="CB129" i="20" l="1"/>
  <c r="BR21" i="20"/>
  <c r="BV21" i="20"/>
  <c r="BX21" i="20" s="1"/>
  <c r="BN15" i="20"/>
  <c r="BL18" i="20"/>
  <c r="CF37" i="20"/>
  <c r="AI35" i="23"/>
  <c r="L34" i="23"/>
  <c r="I44" i="23"/>
  <c r="Z44" i="23" s="1"/>
  <c r="AE44" i="23" s="1"/>
  <c r="BZ100" i="20"/>
  <c r="BZ105" i="20" s="1"/>
  <c r="BX105" i="20"/>
  <c r="BX109" i="20" s="1"/>
  <c r="BN100" i="20"/>
  <c r="BN105" i="20" s="1"/>
  <c r="BL105" i="20"/>
  <c r="BL109" i="20" s="1"/>
  <c r="BT100" i="20"/>
  <c r="BR105" i="20"/>
  <c r="CB118" i="20"/>
  <c r="CF118" i="20" s="1"/>
  <c r="AT96" i="20"/>
  <c r="AT97" i="20" s="1"/>
  <c r="E15" i="24" s="1"/>
  <c r="G15" i="24" s="1"/>
  <c r="BT131" i="20"/>
  <c r="CA131" i="20"/>
  <c r="BT43" i="20"/>
  <c r="CA43" i="20"/>
  <c r="AW118" i="20"/>
  <c r="BX88" i="20"/>
  <c r="BZ87" i="20"/>
  <c r="BZ88" i="20" s="1"/>
  <c r="AW96" i="20"/>
  <c r="AW45" i="20"/>
  <c r="AU39" i="20"/>
  <c r="F9" i="24" s="1"/>
  <c r="AV101" i="20"/>
  <c r="AX101" i="20" s="1"/>
  <c r="AT105" i="20"/>
  <c r="AU34" i="20"/>
  <c r="AV107" i="20"/>
  <c r="AV108" i="20" s="1"/>
  <c r="AT108" i="20"/>
  <c r="AW148" i="20"/>
  <c r="AW105" i="20"/>
  <c r="AW109" i="20" s="1"/>
  <c r="AT142" i="20"/>
  <c r="AV142" i="20" s="1"/>
  <c r="AT118" i="20"/>
  <c r="BE105" i="20"/>
  <c r="BE109" i="20" s="1"/>
  <c r="BL142" i="20"/>
  <c r="BN142" i="20" s="1"/>
  <c r="BG54" i="20"/>
  <c r="BF105" i="20"/>
  <c r="BF109" i="20" s="1"/>
  <c r="BX96" i="20"/>
  <c r="BZ96" i="20" s="1"/>
  <c r="BL96" i="20"/>
  <c r="BS109" i="20"/>
  <c r="BY109" i="20"/>
  <c r="R17" i="24" s="1"/>
  <c r="AT81" i="20"/>
  <c r="E11" i="24" s="1"/>
  <c r="G11" i="24" s="1"/>
  <c r="BF142" i="20"/>
  <c r="CB142" i="20" s="1"/>
  <c r="CF142" i="20" s="1"/>
  <c r="CI142" i="20" s="1"/>
  <c r="BY148" i="20"/>
  <c r="BY149" i="20" s="1"/>
  <c r="BM92" i="20"/>
  <c r="AR138" i="20"/>
  <c r="AV138" i="20" s="1"/>
  <c r="AX138" i="20" s="1"/>
  <c r="BS88" i="20"/>
  <c r="BS92" i="20"/>
  <c r="N84" i="20"/>
  <c r="BJ148" i="20"/>
  <c r="T84" i="20"/>
  <c r="E13" i="24" s="1"/>
  <c r="BM148" i="20"/>
  <c r="BM109" i="20"/>
  <c r="AP84" i="20"/>
  <c r="U13" i="24" s="1"/>
  <c r="V13" i="24" s="1"/>
  <c r="BF88" i="20"/>
  <c r="BF92" i="20" s="1"/>
  <c r="BF97" i="20" s="1"/>
  <c r="I15" i="24" s="1"/>
  <c r="O34" i="23"/>
  <c r="AG40" i="23"/>
  <c r="R47" i="23"/>
  <c r="AI40" i="23"/>
  <c r="R49" i="23"/>
  <c r="BN22" i="20"/>
  <c r="BT23" i="20"/>
  <c r="AV31" i="20"/>
  <c r="AX31" i="20" s="1"/>
  <c r="AY31" i="20" s="1"/>
  <c r="BA31" i="20" s="1"/>
  <c r="AR34" i="20"/>
  <c r="AR35" i="20" s="1"/>
  <c r="B7" i="24" s="1"/>
  <c r="BP29" i="20"/>
  <c r="BR29" i="20" s="1"/>
  <c r="BT29" i="20" s="1"/>
  <c r="BL32" i="20"/>
  <c r="BN32" i="20" s="1"/>
  <c r="BT21" i="20"/>
  <c r="AL62" i="20"/>
  <c r="AN62" i="20" s="1"/>
  <c r="AL61" i="20"/>
  <c r="AN61" i="20" s="1"/>
  <c r="AJ15" i="20"/>
  <c r="CF24" i="20"/>
  <c r="BL28" i="20"/>
  <c r="BN28" i="20" s="1"/>
  <c r="AZ29" i="20"/>
  <c r="Z62" i="20"/>
  <c r="AB62" i="20" s="1"/>
  <c r="BN17" i="20"/>
  <c r="AZ28" i="20"/>
  <c r="AZ33" i="20"/>
  <c r="BT17" i="20"/>
  <c r="AV94" i="20"/>
  <c r="AV126" i="20"/>
  <c r="AX126" i="20" s="1"/>
  <c r="AZ32" i="20"/>
  <c r="AL63" i="20"/>
  <c r="AN63" i="20" s="1"/>
  <c r="AV21" i="20"/>
  <c r="AW27" i="20"/>
  <c r="AX27" i="20" s="1"/>
  <c r="AV128" i="20"/>
  <c r="AX128" i="20" s="1"/>
  <c r="AD26" i="20"/>
  <c r="AV28" i="20"/>
  <c r="AZ30" i="20"/>
  <c r="AJ26" i="20"/>
  <c r="CC83" i="20"/>
  <c r="AX127" i="20"/>
  <c r="R20" i="20"/>
  <c r="T20" i="20" s="1"/>
  <c r="T108" i="20" s="1"/>
  <c r="N25" i="20"/>
  <c r="P25" i="20" s="1"/>
  <c r="AW38" i="20"/>
  <c r="AW39" i="20" s="1"/>
  <c r="BL42" i="20"/>
  <c r="BN42" i="20" s="1"/>
  <c r="AV90" i="20"/>
  <c r="AR97" i="20"/>
  <c r="B15" i="24" s="1"/>
  <c r="D15" i="24" s="1"/>
  <c r="AD20" i="20"/>
  <c r="BM34" i="20"/>
  <c r="BM35" i="20" s="1"/>
  <c r="BM38" i="20" s="1"/>
  <c r="BM39" i="20" s="1"/>
  <c r="L9" i="24" s="1"/>
  <c r="R25" i="20"/>
  <c r="T25" i="20" s="1"/>
  <c r="V25" i="20" s="1"/>
  <c r="Z63" i="20"/>
  <c r="AB63" i="20" s="1"/>
  <c r="AV122" i="20"/>
  <c r="AX122" i="20" s="1"/>
  <c r="X25" i="20"/>
  <c r="Z25" i="20" s="1"/>
  <c r="AB25" i="20" s="1"/>
  <c r="X21" i="20"/>
  <c r="Z21" i="20" s="1"/>
  <c r="AB21" i="20" s="1"/>
  <c r="AS34" i="20"/>
  <c r="AD25" i="20"/>
  <c r="AF25" i="20" s="1"/>
  <c r="AH25" i="20" s="1"/>
  <c r="AV29" i="20"/>
  <c r="Z64" i="20"/>
  <c r="AB64" i="20" s="1"/>
  <c r="BY17" i="20"/>
  <c r="CB17" i="20" s="1"/>
  <c r="CF17" i="20" s="1"/>
  <c r="AX56" i="20"/>
  <c r="AV146" i="20"/>
  <c r="AX146" i="20" s="1"/>
  <c r="AW23" i="20"/>
  <c r="AX23" i="20" s="1"/>
  <c r="AF64" i="20"/>
  <c r="AH64" i="20" s="1"/>
  <c r="AT18" i="20"/>
  <c r="AT35" i="20" s="1"/>
  <c r="AW22" i="20"/>
  <c r="AX22" i="20" s="1"/>
  <c r="AV54" i="20"/>
  <c r="CE54" i="20" s="1"/>
  <c r="N59" i="20"/>
  <c r="P59" i="20" s="1"/>
  <c r="N14" i="20"/>
  <c r="P14" i="20" s="1"/>
  <c r="AJ20" i="20"/>
  <c r="BL20" i="20"/>
  <c r="AD21" i="20"/>
  <c r="AF21" i="20" s="1"/>
  <c r="AH21" i="20" s="1"/>
  <c r="BL26" i="20"/>
  <c r="BN26" i="20" s="1"/>
  <c r="R59" i="20"/>
  <c r="T59" i="20" s="1"/>
  <c r="V59" i="20" s="1"/>
  <c r="AF62" i="20"/>
  <c r="AH62" i="20" s="1"/>
  <c r="AL64" i="20"/>
  <c r="AN64" i="20" s="1"/>
  <c r="AV14" i="20"/>
  <c r="N15" i="20"/>
  <c r="P15" i="20" s="1"/>
  <c r="AJ21" i="20"/>
  <c r="AL21" i="20" s="1"/>
  <c r="AN21" i="20" s="1"/>
  <c r="BN27" i="20"/>
  <c r="BL30" i="20"/>
  <c r="BN30" i="20" s="1"/>
  <c r="AS39" i="20"/>
  <c r="C9" i="24" s="1"/>
  <c r="D9" i="24" s="1"/>
  <c r="X59" i="20"/>
  <c r="Z59" i="20" s="1"/>
  <c r="AB59" i="20" s="1"/>
  <c r="R14" i="20"/>
  <c r="T14" i="20" s="1"/>
  <c r="V14" i="20" s="1"/>
  <c r="BL21" i="20"/>
  <c r="BN21" i="20" s="1"/>
  <c r="N26" i="20"/>
  <c r="P26" i="20" s="1"/>
  <c r="BL33" i="20"/>
  <c r="BN33" i="20" s="1"/>
  <c r="AD59" i="20"/>
  <c r="AF59" i="20" s="1"/>
  <c r="AH59" i="20" s="1"/>
  <c r="R15" i="20"/>
  <c r="T15" i="20" s="1"/>
  <c r="V15" i="20" s="1"/>
  <c r="AU18" i="20"/>
  <c r="N20" i="20"/>
  <c r="P20" i="20" s="1"/>
  <c r="BN23" i="20"/>
  <c r="AT38" i="20"/>
  <c r="AT39" i="20" s="1"/>
  <c r="E9" i="24" s="1"/>
  <c r="Z61" i="20"/>
  <c r="AB61" i="20" s="1"/>
  <c r="AF63" i="20"/>
  <c r="AH63" i="20" s="1"/>
  <c r="AW91" i="20"/>
  <c r="AX91" i="20" s="1"/>
  <c r="AV112" i="20"/>
  <c r="X14" i="20"/>
  <c r="Z14" i="20" s="1"/>
  <c r="AB14" i="20" s="1"/>
  <c r="R26" i="20"/>
  <c r="T26" i="20" s="1"/>
  <c r="V26" i="20" s="1"/>
  <c r="BL31" i="20"/>
  <c r="BN31" i="20" s="1"/>
  <c r="AD14" i="20"/>
  <c r="AF14" i="20" s="1"/>
  <c r="AH14" i="20" s="1"/>
  <c r="X15" i="20"/>
  <c r="Z15" i="20" s="1"/>
  <c r="AB15" i="20" s="1"/>
  <c r="N21" i="20"/>
  <c r="P21" i="20" s="1"/>
  <c r="BN24" i="20"/>
  <c r="AF61" i="20"/>
  <c r="AH61" i="20" s="1"/>
  <c r="AX95" i="20"/>
  <c r="CE61" i="20"/>
  <c r="BG26" i="20"/>
  <c r="AX151" i="20"/>
  <c r="AM149" i="20"/>
  <c r="O19" i="24" s="1"/>
  <c r="S13" i="24"/>
  <c r="AP96" i="20"/>
  <c r="AX113" i="20"/>
  <c r="AX132" i="20"/>
  <c r="AQ115" i="20"/>
  <c r="AZ115" i="20" s="1"/>
  <c r="AX72" i="20"/>
  <c r="BG21" i="20"/>
  <c r="CF44" i="20"/>
  <c r="CI44" i="20" s="1"/>
  <c r="CE69" i="20"/>
  <c r="AX67" i="20"/>
  <c r="CF123" i="20"/>
  <c r="CI123" i="20" s="1"/>
  <c r="CF100" i="20"/>
  <c r="CI100" i="20" s="1"/>
  <c r="CA132" i="20"/>
  <c r="CE74" i="20"/>
  <c r="CI107" i="20"/>
  <c r="CF122" i="20"/>
  <c r="CI122" i="20" s="1"/>
  <c r="CE64" i="20"/>
  <c r="CC76" i="20"/>
  <c r="CF90" i="20"/>
  <c r="CI90" i="20" s="1"/>
  <c r="BG17" i="20"/>
  <c r="BV28" i="20"/>
  <c r="BX28" i="20" s="1"/>
  <c r="BZ28" i="20" s="1"/>
  <c r="CC77" i="20"/>
  <c r="AX139" i="20"/>
  <c r="CC90" i="20"/>
  <c r="CC68" i="20"/>
  <c r="BG20" i="20"/>
  <c r="AX63" i="20"/>
  <c r="AL118" i="20"/>
  <c r="AX130" i="20"/>
  <c r="CA139" i="20"/>
  <c r="CE139" i="20" s="1"/>
  <c r="U17" i="20"/>
  <c r="U18" i="20" s="1"/>
  <c r="BG29" i="20"/>
  <c r="AX42" i="20"/>
  <c r="BP122" i="20"/>
  <c r="BR122" i="20" s="1"/>
  <c r="BT122" i="20" s="1"/>
  <c r="BP15" i="20"/>
  <c r="BR15" i="20" s="1"/>
  <c r="CA15" i="20" s="1"/>
  <c r="BG30" i="20"/>
  <c r="CF43" i="20"/>
  <c r="CI43" i="20" s="1"/>
  <c r="CE68" i="20"/>
  <c r="AG38" i="20"/>
  <c r="CE71" i="20"/>
  <c r="AX76" i="20"/>
  <c r="CF95" i="20"/>
  <c r="CI95" i="20" s="1"/>
  <c r="CA123" i="20"/>
  <c r="CE123" i="20" s="1"/>
  <c r="CF31" i="20"/>
  <c r="CI31" i="20" s="1"/>
  <c r="AX59" i="20"/>
  <c r="CE63" i="20"/>
  <c r="BG14" i="20"/>
  <c r="AX15" i="20"/>
  <c r="AM109" i="20"/>
  <c r="O17" i="24" s="1"/>
  <c r="AX145" i="20"/>
  <c r="CB78" i="20"/>
  <c r="CF78" i="20" s="1"/>
  <c r="CI78" i="20" s="1"/>
  <c r="CA130" i="20"/>
  <c r="CC128" i="20"/>
  <c r="BG31" i="20"/>
  <c r="AX44" i="20"/>
  <c r="AY44" i="20" s="1"/>
  <c r="BA44" i="20" s="1"/>
  <c r="BT50" i="20"/>
  <c r="BZ51" i="20"/>
  <c r="CB64" i="20"/>
  <c r="CF64" i="20" s="1"/>
  <c r="CB76" i="20"/>
  <c r="CF76" i="20" s="1"/>
  <c r="P83" i="20"/>
  <c r="P84" i="20" s="1"/>
  <c r="CF113" i="20"/>
  <c r="CA134" i="20"/>
  <c r="AQ151" i="20"/>
  <c r="AZ151" i="20" s="1"/>
  <c r="CA144" i="20"/>
  <c r="AP51" i="20"/>
  <c r="CE48" i="20"/>
  <c r="CB68" i="20"/>
  <c r="CF68" i="20" s="1"/>
  <c r="BE96" i="20"/>
  <c r="BG96" i="20" s="1"/>
  <c r="CC101" i="20"/>
  <c r="CC112" i="20"/>
  <c r="CF120" i="20"/>
  <c r="CI120" i="20" s="1"/>
  <c r="CF127" i="20"/>
  <c r="CI127" i="20" s="1"/>
  <c r="CF15" i="20"/>
  <c r="CI15" i="20" s="1"/>
  <c r="BS34" i="20"/>
  <c r="BS35" i="20" s="1"/>
  <c r="BS38" i="20" s="1"/>
  <c r="AX25" i="20"/>
  <c r="BG32" i="20"/>
  <c r="AX37" i="20"/>
  <c r="AX47" i="20"/>
  <c r="CE59" i="20"/>
  <c r="AX71" i="20"/>
  <c r="CE76" i="20"/>
  <c r="CB77" i="20"/>
  <c r="CF77" i="20" s="1"/>
  <c r="CC79" i="20"/>
  <c r="CA135" i="20"/>
  <c r="AX115" i="20"/>
  <c r="CF25" i="20"/>
  <c r="CI25" i="20" s="1"/>
  <c r="CB69" i="20"/>
  <c r="CF69" i="20" s="1"/>
  <c r="CB73" i="20"/>
  <c r="CF73" i="20" s="1"/>
  <c r="CI73" i="20" s="1"/>
  <c r="CF87" i="20"/>
  <c r="CI87" i="20" s="1"/>
  <c r="U109" i="20"/>
  <c r="AX116" i="20"/>
  <c r="AY116" i="20" s="1"/>
  <c r="BA116" i="20" s="1"/>
  <c r="AX117" i="20"/>
  <c r="AY117" i="20" s="1"/>
  <c r="BA117" i="20" s="1"/>
  <c r="CF138" i="20"/>
  <c r="CI138" i="20" s="1"/>
  <c r="CF141" i="20"/>
  <c r="CI141" i="20" s="1"/>
  <c r="BN51" i="20"/>
  <c r="CF114" i="20"/>
  <c r="CI114" i="20" s="1"/>
  <c r="CF116" i="20"/>
  <c r="CI116" i="20" s="1"/>
  <c r="CE95" i="20"/>
  <c r="BG28" i="20"/>
  <c r="BG33" i="20"/>
  <c r="AX57" i="20"/>
  <c r="CB74" i="20"/>
  <c r="CF74" i="20" s="1"/>
  <c r="CE77" i="20"/>
  <c r="AX83" i="20"/>
  <c r="BG87" i="20"/>
  <c r="BG88" i="20" s="1"/>
  <c r="CF101" i="20"/>
  <c r="CI101" i="20" s="1"/>
  <c r="P114" i="20"/>
  <c r="BE39" i="20"/>
  <c r="BT30" i="20"/>
  <c r="AI14" i="20"/>
  <c r="AL14" i="20" s="1"/>
  <c r="CF28" i="20"/>
  <c r="CI28" i="20" s="1"/>
  <c r="AN107" i="20"/>
  <c r="BT32" i="20"/>
  <c r="O18" i="20"/>
  <c r="CF20" i="20"/>
  <c r="CI20" i="20" s="1"/>
  <c r="CB48" i="20"/>
  <c r="CF48" i="20" s="1"/>
  <c r="CI48" i="20" s="1"/>
  <c r="BG51" i="20"/>
  <c r="CC71" i="20"/>
  <c r="CE72" i="20"/>
  <c r="BN73" i="20"/>
  <c r="CC73" i="20" s="1"/>
  <c r="AP105" i="20"/>
  <c r="N118" i="20"/>
  <c r="BT135" i="20"/>
  <c r="CC146" i="20"/>
  <c r="BG15" i="20"/>
  <c r="BE45" i="20"/>
  <c r="BG45" i="20" s="1"/>
  <c r="CB71" i="20"/>
  <c r="CF71" i="20" s="1"/>
  <c r="CI71" i="20" s="1"/>
  <c r="AX74" i="20"/>
  <c r="CA94" i="20"/>
  <c r="AX100" i="20"/>
  <c r="AH107" i="20"/>
  <c r="BG130" i="20"/>
  <c r="CB139" i="20"/>
  <c r="CF139" i="20" s="1"/>
  <c r="AX141" i="20"/>
  <c r="CF32" i="20"/>
  <c r="CI32" i="20" s="1"/>
  <c r="BG42" i="20"/>
  <c r="BG44" i="20"/>
  <c r="CB47" i="20"/>
  <c r="CF47" i="20" s="1"/>
  <c r="CI47" i="20" s="1"/>
  <c r="AO56" i="20"/>
  <c r="AQ56" i="20" s="1"/>
  <c r="AO66" i="20"/>
  <c r="AQ66" i="20" s="1"/>
  <c r="CC147" i="20"/>
  <c r="CF29" i="20"/>
  <c r="CI29" i="20" s="1"/>
  <c r="CF33" i="20"/>
  <c r="CI33" i="20" s="1"/>
  <c r="BT51" i="20"/>
  <c r="CB55" i="20"/>
  <c r="CF55" i="20" s="1"/>
  <c r="CI55" i="20" s="1"/>
  <c r="V56" i="20"/>
  <c r="CB57" i="20"/>
  <c r="CF57" i="20" s="1"/>
  <c r="CI57" i="20" s="1"/>
  <c r="CB61" i="20"/>
  <c r="CF61" i="20" s="1"/>
  <c r="AX68" i="20"/>
  <c r="CE79" i="20"/>
  <c r="CA84" i="20"/>
  <c r="CE84" i="20" s="1"/>
  <c r="CG84" i="20" s="1"/>
  <c r="N96" i="20"/>
  <c r="AN112" i="20"/>
  <c r="AN118" i="20" s="1"/>
  <c r="CF126" i="20"/>
  <c r="CI126" i="20" s="1"/>
  <c r="BT132" i="20"/>
  <c r="BT134" i="20"/>
  <c r="CA145" i="20"/>
  <c r="CE145" i="20" s="1"/>
  <c r="CA146" i="20"/>
  <c r="AX24" i="20"/>
  <c r="BR26" i="20"/>
  <c r="BT26" i="20" s="1"/>
  <c r="CB51" i="20"/>
  <c r="CF51" i="20" s="1"/>
  <c r="BN57" i="20"/>
  <c r="CB62" i="20"/>
  <c r="CF62" i="20" s="1"/>
  <c r="CI62" i="20" s="1"/>
  <c r="BG84" i="20"/>
  <c r="BC97" i="20"/>
  <c r="AB100" i="20"/>
  <c r="CC123" i="20"/>
  <c r="AO130" i="20"/>
  <c r="AQ130" i="20" s="1"/>
  <c r="CF131" i="20"/>
  <c r="CI131" i="20" s="1"/>
  <c r="CF133" i="20"/>
  <c r="CI133" i="20" s="1"/>
  <c r="CF26" i="20"/>
  <c r="CI26" i="20" s="1"/>
  <c r="CE49" i="20"/>
  <c r="CA50" i="20"/>
  <c r="BN62" i="20"/>
  <c r="CE67" i="20"/>
  <c r="CF94" i="20"/>
  <c r="CI94" i="20" s="1"/>
  <c r="CA107" i="20"/>
  <c r="AX120" i="20"/>
  <c r="CA138" i="20"/>
  <c r="CA141" i="20"/>
  <c r="CE141" i="20" s="1"/>
  <c r="CF146" i="20"/>
  <c r="CI146" i="20" s="1"/>
  <c r="CA147" i="20"/>
  <c r="CE147" i="20" s="1"/>
  <c r="AX55" i="20"/>
  <c r="CE55" i="20"/>
  <c r="V83" i="20"/>
  <c r="V84" i="20" s="1"/>
  <c r="AG149" i="20"/>
  <c r="BN18" i="20"/>
  <c r="BE18" i="20"/>
  <c r="BG18" i="20" s="1"/>
  <c r="BZ21" i="20"/>
  <c r="BZ27" i="20"/>
  <c r="BG50" i="20"/>
  <c r="BZ50" i="20"/>
  <c r="AO76" i="20"/>
  <c r="BT84" i="20"/>
  <c r="BG94" i="20"/>
  <c r="CC94" i="20" s="1"/>
  <c r="AA109" i="20"/>
  <c r="CF130" i="20"/>
  <c r="CI130" i="20" s="1"/>
  <c r="BT139" i="20"/>
  <c r="CC139" i="20" s="1"/>
  <c r="AO141" i="20"/>
  <c r="AQ141" i="20" s="1"/>
  <c r="AI19" i="23"/>
  <c r="AJ22" i="23"/>
  <c r="AI24" i="23"/>
  <c r="BF23" i="20"/>
  <c r="CB23" i="20" s="1"/>
  <c r="AB23" i="20"/>
  <c r="AB114" i="20"/>
  <c r="AO114" i="20"/>
  <c r="AQ114" i="20" s="1"/>
  <c r="BE113" i="20"/>
  <c r="AX114" i="20"/>
  <c r="BT91" i="20"/>
  <c r="BZ23" i="20"/>
  <c r="P17" i="20"/>
  <c r="U149" i="20"/>
  <c r="BT33" i="20"/>
  <c r="AM34" i="20"/>
  <c r="AM38" i="20"/>
  <c r="AN22" i="20"/>
  <c r="BT31" i="20"/>
  <c r="CF14" i="20"/>
  <c r="AB83" i="20"/>
  <c r="AP24" i="20"/>
  <c r="AX32" i="20"/>
  <c r="AY32" i="20" s="1"/>
  <c r="CA17" i="20"/>
  <c r="AP22" i="20"/>
  <c r="AG34" i="20"/>
  <c r="AH22" i="20"/>
  <c r="BY22" i="20"/>
  <c r="BG24" i="20"/>
  <c r="BT28" i="20"/>
  <c r="BV20" i="20"/>
  <c r="BR20" i="20"/>
  <c r="AB47" i="20"/>
  <c r="BR14" i="20"/>
  <c r="AC17" i="20"/>
  <c r="AA17" i="20"/>
  <c r="U34" i="20"/>
  <c r="AP23" i="20"/>
  <c r="AB24" i="20"/>
  <c r="AP27" i="20"/>
  <c r="P27" i="20"/>
  <c r="BG27" i="20"/>
  <c r="AI15" i="20"/>
  <c r="AF15" i="20"/>
  <c r="AX17" i="20"/>
  <c r="CB21" i="20"/>
  <c r="CF21" i="20" s="1"/>
  <c r="CI21" i="20" s="1"/>
  <c r="U38" i="20"/>
  <c r="AN47" i="20"/>
  <c r="V64" i="20"/>
  <c r="AX43" i="20"/>
  <c r="AY43" i="20" s="1"/>
  <c r="BA43" i="20" s="1"/>
  <c r="BV14" i="20"/>
  <c r="BJ18" i="20"/>
  <c r="W20" i="20"/>
  <c r="V21" i="20"/>
  <c r="CA22" i="20"/>
  <c r="CA23" i="20"/>
  <c r="CA24" i="20"/>
  <c r="BE25" i="20"/>
  <c r="BG25" i="20" s="1"/>
  <c r="AX30" i="20"/>
  <c r="AY30" i="20" s="1"/>
  <c r="O34" i="20"/>
  <c r="BT42" i="20"/>
  <c r="AO47" i="20"/>
  <c r="AX49" i="20"/>
  <c r="BT24" i="20"/>
  <c r="CF30" i="20"/>
  <c r="CI30" i="20" s="1"/>
  <c r="AX50" i="20"/>
  <c r="AO57" i="20"/>
  <c r="V69" i="20"/>
  <c r="AO69" i="20"/>
  <c r="BF80" i="20"/>
  <c r="CB80" i="20" s="1"/>
  <c r="CF80" i="20" s="1"/>
  <c r="AA81" i="20"/>
  <c r="AP80" i="20"/>
  <c r="AH100" i="20"/>
  <c r="CF103" i="20"/>
  <c r="CI103" i="20" s="1"/>
  <c r="AX103" i="20"/>
  <c r="AY103" i="20" s="1"/>
  <c r="BA103" i="20" s="1"/>
  <c r="AX20" i="20"/>
  <c r="BF22" i="20"/>
  <c r="BT22" i="20"/>
  <c r="W26" i="20"/>
  <c r="BP27" i="20"/>
  <c r="BR27" i="20" s="1"/>
  <c r="AX33" i="20"/>
  <c r="AY33" i="20" s="1"/>
  <c r="AA34" i="20"/>
  <c r="AN54" i="20"/>
  <c r="AN105" i="20" s="1"/>
  <c r="CB63" i="20"/>
  <c r="CF63" i="20" s="1"/>
  <c r="CI63" i="20" s="1"/>
  <c r="AO72" i="20"/>
  <c r="P72" i="20"/>
  <c r="AX73" i="20"/>
  <c r="CE73" i="20"/>
  <c r="CE78" i="20"/>
  <c r="AX78" i="20"/>
  <c r="CF83" i="20"/>
  <c r="CI83" i="20" s="1"/>
  <c r="T118" i="20"/>
  <c r="AO112" i="20"/>
  <c r="V112" i="20"/>
  <c r="CF102" i="20"/>
  <c r="CI102" i="20" s="1"/>
  <c r="AX102" i="20"/>
  <c r="O38" i="20"/>
  <c r="O39" i="20" s="1"/>
  <c r="AA38" i="20"/>
  <c r="CE47" i="20"/>
  <c r="BN50" i="20"/>
  <c r="CC67" i="20"/>
  <c r="AO68" i="20"/>
  <c r="AX123" i="20"/>
  <c r="P62" i="20"/>
  <c r="AX66" i="20"/>
  <c r="CE66" i="20"/>
  <c r="AO49" i="20"/>
  <c r="CB50" i="20"/>
  <c r="CF50" i="20" s="1"/>
  <c r="CI50" i="20" s="1"/>
  <c r="V54" i="20"/>
  <c r="P55" i="20"/>
  <c r="AO55" i="20"/>
  <c r="CC69" i="20"/>
  <c r="AO74" i="20"/>
  <c r="AO54" i="20"/>
  <c r="P54" i="20"/>
  <c r="V77" i="20"/>
  <c r="AO77" i="20"/>
  <c r="CF42" i="20"/>
  <c r="CI42" i="20" s="1"/>
  <c r="CB49" i="20"/>
  <c r="CF49" i="20" s="1"/>
  <c r="CI49" i="20" s="1"/>
  <c r="AO50" i="20"/>
  <c r="P50" i="20"/>
  <c r="CA51" i="20"/>
  <c r="CE51" i="20" s="1"/>
  <c r="AB54" i="20"/>
  <c r="CB56" i="20"/>
  <c r="CF56" i="20" s="1"/>
  <c r="CI56" i="20" s="1"/>
  <c r="P67" i="20"/>
  <c r="AO67" i="20"/>
  <c r="CC72" i="20"/>
  <c r="AL84" i="20"/>
  <c r="AN83" i="20"/>
  <c r="CE83" i="20"/>
  <c r="V123" i="20"/>
  <c r="AO123" i="20"/>
  <c r="AO126" i="20"/>
  <c r="P126" i="20"/>
  <c r="CB54" i="20"/>
  <c r="CF54" i="20" s="1"/>
  <c r="CE57" i="20"/>
  <c r="P63" i="20"/>
  <c r="BN66" i="20"/>
  <c r="CB66" i="20"/>
  <c r="CF66" i="20" s="1"/>
  <c r="CI66" i="20" s="1"/>
  <c r="AO73" i="20"/>
  <c r="U81" i="20"/>
  <c r="AH95" i="20"/>
  <c r="AO95" i="20"/>
  <c r="CA127" i="20"/>
  <c r="CE127" i="20" s="1"/>
  <c r="BT127" i="20"/>
  <c r="CC127" i="20" s="1"/>
  <c r="CA44" i="20"/>
  <c r="AX48" i="20"/>
  <c r="CE62" i="20"/>
  <c r="AX62" i="20"/>
  <c r="AO79" i="20"/>
  <c r="CA100" i="20"/>
  <c r="CE100" i="20" s="1"/>
  <c r="BG100" i="20"/>
  <c r="AB112" i="20"/>
  <c r="Z118" i="20"/>
  <c r="AO132" i="20"/>
  <c r="AO48" i="20"/>
  <c r="CB72" i="20"/>
  <c r="CF72" i="20" s="1"/>
  <c r="CC74" i="20"/>
  <c r="AO78" i="20"/>
  <c r="CB79" i="20"/>
  <c r="CF79" i="20" s="1"/>
  <c r="CI79" i="20" s="1"/>
  <c r="V90" i="20"/>
  <c r="W90" i="20" s="1"/>
  <c r="Z90" i="20" s="1"/>
  <c r="BN91" i="20"/>
  <c r="AX64" i="20"/>
  <c r="AX69" i="20"/>
  <c r="AO71" i="20"/>
  <c r="AX77" i="20"/>
  <c r="BN114" i="20"/>
  <c r="CC114" i="20" s="1"/>
  <c r="P47" i="20"/>
  <c r="CE56" i="20"/>
  <c r="AX61" i="20"/>
  <c r="P66" i="20"/>
  <c r="CB67" i="20"/>
  <c r="CF67" i="20" s="1"/>
  <c r="CI67" i="20" s="1"/>
  <c r="P71" i="20"/>
  <c r="AH83" i="20"/>
  <c r="AH84" i="20" s="1"/>
  <c r="AP91" i="20"/>
  <c r="P91" i="20"/>
  <c r="CA91" i="20"/>
  <c r="CE91" i="20" s="1"/>
  <c r="V113" i="20"/>
  <c r="AO113" i="20"/>
  <c r="BZ133" i="20"/>
  <c r="CA133" i="20"/>
  <c r="P145" i="20"/>
  <c r="AO145" i="20"/>
  <c r="CB59" i="20"/>
  <c r="CF59" i="20" s="1"/>
  <c r="CI59" i="20" s="1"/>
  <c r="BN78" i="20"/>
  <c r="CC78" i="20" s="1"/>
  <c r="AX79" i="20"/>
  <c r="O81" i="20"/>
  <c r="AM81" i="20"/>
  <c r="AG81" i="20"/>
  <c r="AO83" i="20"/>
  <c r="AX125" i="20"/>
  <c r="CF125" i="20"/>
  <c r="CI125" i="20" s="1"/>
  <c r="BP87" i="20"/>
  <c r="BL87" i="20"/>
  <c r="BL88" i="20" s="1"/>
  <c r="AL105" i="20"/>
  <c r="BT113" i="20"/>
  <c r="P122" i="20"/>
  <c r="AO122" i="20"/>
  <c r="AO128" i="20"/>
  <c r="P128" i="20"/>
  <c r="P100" i="20"/>
  <c r="AO100" i="20"/>
  <c r="AO101" i="20"/>
  <c r="CA103" i="20"/>
  <c r="CE103" i="20" s="1"/>
  <c r="AO107" i="20"/>
  <c r="AO108" i="20" s="1"/>
  <c r="CC108" i="20"/>
  <c r="CF112" i="20"/>
  <c r="CI112" i="20" s="1"/>
  <c r="BV116" i="20"/>
  <c r="BX116" i="20" s="1"/>
  <c r="BZ116" i="20" s="1"/>
  <c r="BR116" i="20"/>
  <c r="AB125" i="20"/>
  <c r="AO125" i="20"/>
  <c r="V129" i="20"/>
  <c r="AO129" i="20"/>
  <c r="V100" i="20"/>
  <c r="T105" i="20"/>
  <c r="V101" i="20"/>
  <c r="CA101" i="20"/>
  <c r="CA102" i="20"/>
  <c r="CE102" i="20" s="1"/>
  <c r="BT103" i="20"/>
  <c r="N105" i="20"/>
  <c r="V107" i="20"/>
  <c r="CA108" i="20"/>
  <c r="BZ108" i="20"/>
  <c r="AF118" i="20"/>
  <c r="AH112" i="20"/>
  <c r="AH118" i="20" s="1"/>
  <c r="C19" i="24"/>
  <c r="BE148" i="20"/>
  <c r="BG120" i="20"/>
  <c r="CA120" i="20"/>
  <c r="CE120" i="20" s="1"/>
  <c r="T96" i="20"/>
  <c r="V94" i="20"/>
  <c r="V96" i="20" s="1"/>
  <c r="AO102" i="20"/>
  <c r="CC102" i="20"/>
  <c r="AB107" i="20"/>
  <c r="CC107" i="20"/>
  <c r="O109" i="20"/>
  <c r="CF121" i="20"/>
  <c r="CI121" i="20" s="1"/>
  <c r="AX121" i="20"/>
  <c r="BN126" i="20"/>
  <c r="CC126" i="20" s="1"/>
  <c r="CA126" i="20"/>
  <c r="BL129" i="20"/>
  <c r="BN129" i="20" s="1"/>
  <c r="AO134" i="20"/>
  <c r="V134" i="20"/>
  <c r="V127" i="20"/>
  <c r="AO127" i="20"/>
  <c r="CA112" i="20"/>
  <c r="CF117" i="20"/>
  <c r="CI117" i="20" s="1"/>
  <c r="P120" i="20"/>
  <c r="AO120" i="20"/>
  <c r="AP148" i="20"/>
  <c r="CA121" i="20"/>
  <c r="CE121" i="20" s="1"/>
  <c r="CC121" i="20"/>
  <c r="O118" i="20"/>
  <c r="O149" i="20" s="1"/>
  <c r="AP113" i="20"/>
  <c r="CA128" i="20"/>
  <c r="AO146" i="20"/>
  <c r="V146" i="20"/>
  <c r="BG95" i="20"/>
  <c r="CC95" i="20" s="1"/>
  <c r="P113" i="20"/>
  <c r="AB120" i="20"/>
  <c r="CF135" i="20"/>
  <c r="CI135" i="20" s="1"/>
  <c r="AX135" i="20"/>
  <c r="BT142" i="20"/>
  <c r="BA87" i="20"/>
  <c r="AG109" i="20"/>
  <c r="BP117" i="20"/>
  <c r="BP45" i="20" s="1"/>
  <c r="AH120" i="20"/>
  <c r="AO121" i="20"/>
  <c r="P107" i="20"/>
  <c r="CA125" i="20"/>
  <c r="CE125" i="20" s="1"/>
  <c r="CF128" i="20"/>
  <c r="CI128" i="20" s="1"/>
  <c r="AX129" i="20"/>
  <c r="AX131" i="20"/>
  <c r="AO139" i="20"/>
  <c r="V139" i="20"/>
  <c r="AO144" i="20"/>
  <c r="AX147" i="20"/>
  <c r="CF147" i="20"/>
  <c r="CI147" i="20" s="1"/>
  <c r="AA149" i="20"/>
  <c r="AO131" i="20"/>
  <c r="AX134" i="20"/>
  <c r="CF134" i="20"/>
  <c r="CI134" i="20" s="1"/>
  <c r="BL116" i="20"/>
  <c r="BN116" i="20" s="1"/>
  <c r="P131" i="20"/>
  <c r="AO142" i="20"/>
  <c r="V142" i="20"/>
  <c r="CF145" i="20"/>
  <c r="CI145" i="20" s="1"/>
  <c r="T148" i="20"/>
  <c r="AO133" i="20"/>
  <c r="AO138" i="20"/>
  <c r="V138" i="20"/>
  <c r="V120" i="20"/>
  <c r="BL122" i="20"/>
  <c r="BN122" i="20" s="1"/>
  <c r="CF132" i="20"/>
  <c r="CI132" i="20" s="1"/>
  <c r="AO147" i="20"/>
  <c r="BN138" i="20"/>
  <c r="CC138" i="20" s="1"/>
  <c r="BN141" i="20"/>
  <c r="CC141" i="20" s="1"/>
  <c r="P144" i="20"/>
  <c r="P147" i="20"/>
  <c r="P96" i="20" s="1"/>
  <c r="AX133" i="20"/>
  <c r="AG6" i="23"/>
  <c r="AJ6" i="23" s="1"/>
  <c r="AG7" i="23"/>
  <c r="AJ7" i="23" s="1"/>
  <c r="AG8" i="23"/>
  <c r="AJ8" i="23" s="1"/>
  <c r="AG9" i="23"/>
  <c r="AJ9" i="23" s="1"/>
  <c r="AG13" i="23"/>
  <c r="AJ13" i="23" s="1"/>
  <c r="AG14" i="23"/>
  <c r="AJ14" i="23" s="1"/>
  <c r="AG15" i="23"/>
  <c r="AJ15" i="23" s="1"/>
  <c r="AG16" i="23"/>
  <c r="AJ16" i="23" s="1"/>
  <c r="AG17" i="23"/>
  <c r="AJ17" i="23" s="1"/>
  <c r="AG23" i="23"/>
  <c r="AJ23" i="23" s="1"/>
  <c r="AG25" i="23"/>
  <c r="AJ25" i="23" s="1"/>
  <c r="AG42" i="23"/>
  <c r="AJ42" i="23" s="1"/>
  <c r="AG68" i="23"/>
  <c r="AJ68" i="23" s="1"/>
  <c r="AG19" i="23"/>
  <c r="AG21" i="23"/>
  <c r="AJ21" i="23" s="1"/>
  <c r="AG26" i="23"/>
  <c r="AJ26" i="23" s="1"/>
  <c r="AG30" i="23"/>
  <c r="AJ30" i="23" s="1"/>
  <c r="AG33" i="23"/>
  <c r="AJ33" i="23" s="1"/>
  <c r="W32" i="23"/>
  <c r="AB32" i="23" s="1"/>
  <c r="AG20" i="23"/>
  <c r="AJ20" i="23" s="1"/>
  <c r="AG28" i="23"/>
  <c r="AJ28" i="23" s="1"/>
  <c r="AG10" i="23"/>
  <c r="AJ10" i="23" s="1"/>
  <c r="AG11" i="23"/>
  <c r="AJ11" i="23" s="1"/>
  <c r="AG12" i="23"/>
  <c r="AJ12" i="23" s="1"/>
  <c r="AG27" i="23"/>
  <c r="AJ27" i="23" s="1"/>
  <c r="AG29" i="23"/>
  <c r="AJ29" i="23" s="1"/>
  <c r="AG67" i="23"/>
  <c r="AJ67" i="23" s="1"/>
  <c r="R35" i="23"/>
  <c r="AA35" i="23"/>
  <c r="AF35" i="23" s="1"/>
  <c r="AG35" i="23" s="1"/>
  <c r="AJ35" i="23" s="1"/>
  <c r="H32" i="23"/>
  <c r="Y32" i="23" s="1"/>
  <c r="AD32" i="23" s="1"/>
  <c r="P32" i="23"/>
  <c r="J34" i="23"/>
  <c r="AA39" i="23"/>
  <c r="AF39" i="23" s="1"/>
  <c r="AG39" i="23" s="1"/>
  <c r="AJ39" i="23" s="1"/>
  <c r="R39" i="23"/>
  <c r="U39" i="23" s="1"/>
  <c r="R48" i="23"/>
  <c r="N61" i="23"/>
  <c r="AG81" i="23"/>
  <c r="AJ81" i="23" s="1"/>
  <c r="R21" i="23"/>
  <c r="I32" i="23"/>
  <c r="Z32" i="23" s="1"/>
  <c r="AE32" i="23" s="1"/>
  <c r="R37" i="23"/>
  <c r="U37" i="23" s="1"/>
  <c r="AA37" i="23"/>
  <c r="AF37" i="23" s="1"/>
  <c r="AG37" i="23" s="1"/>
  <c r="AI37" i="23"/>
  <c r="Z47" i="23"/>
  <c r="AE47" i="23" s="1"/>
  <c r="AG47" i="23" s="1"/>
  <c r="AJ47" i="23" s="1"/>
  <c r="AG70" i="23"/>
  <c r="AG82" i="23"/>
  <c r="AJ82" i="23" s="1"/>
  <c r="R20" i="23"/>
  <c r="F24" i="23"/>
  <c r="M34" i="23"/>
  <c r="AG50" i="23"/>
  <c r="AJ50" i="23" s="1"/>
  <c r="AG56" i="23"/>
  <c r="AJ56" i="23" s="1"/>
  <c r="W60" i="23"/>
  <c r="AB60" i="23" s="1"/>
  <c r="AG61" i="23"/>
  <c r="AA68" i="23"/>
  <c r="AF68" i="23" s="1"/>
  <c r="J66" i="23"/>
  <c r="AA66" i="23" s="1"/>
  <c r="AF66" i="23" s="1"/>
  <c r="Q70" i="23"/>
  <c r="T69" i="23"/>
  <c r="AI70" i="23"/>
  <c r="AG73" i="23"/>
  <c r="AJ73" i="23" s="1"/>
  <c r="Y102" i="23"/>
  <c r="AD100" i="23"/>
  <c r="AD102" i="23" s="1"/>
  <c r="AG105" i="23"/>
  <c r="X87" i="23"/>
  <c r="AC87" i="23" s="1"/>
  <c r="G90" i="23"/>
  <c r="X90" i="23" s="1"/>
  <c r="AC90" i="23" s="1"/>
  <c r="Z45" i="23"/>
  <c r="AE45" i="23" s="1"/>
  <c r="Z102" i="23"/>
  <c r="AE100" i="23"/>
  <c r="AE102" i="23" s="1"/>
  <c r="AG107" i="23"/>
  <c r="R3" i="23"/>
  <c r="R28" i="23"/>
  <c r="S28" i="23" s="1"/>
  <c r="R40" i="23"/>
  <c r="U40" i="23" s="1"/>
  <c r="AG55" i="23"/>
  <c r="AJ55" i="23" s="1"/>
  <c r="AG76" i="23"/>
  <c r="J44" i="23"/>
  <c r="AA44" i="23" s="1"/>
  <c r="AF44" i="23" s="1"/>
  <c r="AG44" i="23" s="1"/>
  <c r="AJ44" i="23" s="1"/>
  <c r="AG48" i="23"/>
  <c r="AJ48" i="23" s="1"/>
  <c r="R52" i="23"/>
  <c r="AA63" i="23"/>
  <c r="AF63" i="23" s="1"/>
  <c r="AG63" i="23" s="1"/>
  <c r="L63" i="23"/>
  <c r="J60" i="23"/>
  <c r="AA60" i="23" s="1"/>
  <c r="AF60" i="23" s="1"/>
  <c r="W77" i="23"/>
  <c r="AB77" i="23" s="1"/>
  <c r="AG77" i="23" s="1"/>
  <c r="R77" i="23"/>
  <c r="AG93" i="23"/>
  <c r="AI44" i="23"/>
  <c r="R45" i="23"/>
  <c r="Y45" i="23"/>
  <c r="AD45" i="23" s="1"/>
  <c r="Y49" i="23"/>
  <c r="AD49" i="23" s="1"/>
  <c r="AG49" i="23" s="1"/>
  <c r="AJ49" i="23" s="1"/>
  <c r="AI52" i="23"/>
  <c r="L60" i="23"/>
  <c r="W66" i="23"/>
  <c r="AB66" i="23" s="1"/>
  <c r="AG66" i="23" s="1"/>
  <c r="R80" i="23"/>
  <c r="AF100" i="23"/>
  <c r="AF102" i="23" s="1"/>
  <c r="Q75" i="23"/>
  <c r="R75" i="23" s="1"/>
  <c r="S75" i="23" s="1"/>
  <c r="R67" i="23"/>
  <c r="S67" i="23" s="1"/>
  <c r="AB100" i="23"/>
  <c r="AC100" i="23"/>
  <c r="AC102" i="23" s="1"/>
  <c r="CC55" i="20" l="1"/>
  <c r="CC49" i="20"/>
  <c r="CC59" i="20"/>
  <c r="CE23" i="20"/>
  <c r="CC23" i="20"/>
  <c r="CE17" i="20"/>
  <c r="CG17" i="20" s="1"/>
  <c r="CC17" i="20"/>
  <c r="CE134" i="20"/>
  <c r="CG134" i="20" s="1"/>
  <c r="CC134" i="20"/>
  <c r="CC47" i="20"/>
  <c r="CC61" i="20"/>
  <c r="CE22" i="20"/>
  <c r="CE50" i="20"/>
  <c r="CG50" i="20" s="1"/>
  <c r="CC50" i="20"/>
  <c r="CE132" i="20"/>
  <c r="CG132" i="20" s="1"/>
  <c r="CC132" i="20"/>
  <c r="CC54" i="20"/>
  <c r="CE133" i="20"/>
  <c r="CG133" i="20" s="1"/>
  <c r="CC133" i="20"/>
  <c r="CE15" i="20"/>
  <c r="CC15" i="20"/>
  <c r="CE43" i="20"/>
  <c r="CH43" i="20" s="1"/>
  <c r="CC43" i="20"/>
  <c r="CC64" i="20"/>
  <c r="CC56" i="20"/>
  <c r="CI14" i="20"/>
  <c r="CF18" i="20"/>
  <c r="CC57" i="20"/>
  <c r="CC48" i="20"/>
  <c r="CE135" i="20"/>
  <c r="CH135" i="20" s="1"/>
  <c r="CC135" i="20"/>
  <c r="CE131" i="20"/>
  <c r="CH131" i="20" s="1"/>
  <c r="CC131" i="20"/>
  <c r="CC62" i="20"/>
  <c r="CE130" i="20"/>
  <c r="CC130" i="20"/>
  <c r="CE44" i="20"/>
  <c r="CH44" i="20" s="1"/>
  <c r="CC44" i="20"/>
  <c r="CB88" i="20"/>
  <c r="CF88" i="20" s="1"/>
  <c r="CC66" i="20"/>
  <c r="CC63" i="20"/>
  <c r="CB18" i="20"/>
  <c r="CE24" i="20"/>
  <c r="CC24" i="20"/>
  <c r="BN96" i="20"/>
  <c r="BL97" i="20"/>
  <c r="BN20" i="20"/>
  <c r="AX107" i="20"/>
  <c r="AX108" i="20" s="1"/>
  <c r="CA105" i="20"/>
  <c r="CE105" i="20" s="1"/>
  <c r="AT148" i="20"/>
  <c r="AT149" i="20" s="1"/>
  <c r="E19" i="24" s="1"/>
  <c r="L32" i="23"/>
  <c r="L87" i="23" s="1"/>
  <c r="L89" i="23" s="1"/>
  <c r="CE107" i="20"/>
  <c r="CH107" i="20" s="1"/>
  <c r="BS97" i="20"/>
  <c r="O15" i="24" s="1"/>
  <c r="AT109" i="20"/>
  <c r="E17" i="24" s="1"/>
  <c r="G17" i="24" s="1"/>
  <c r="CC96" i="20"/>
  <c r="AW149" i="20"/>
  <c r="CE101" i="20"/>
  <c r="CG101" i="20" s="1"/>
  <c r="AV34" i="20"/>
  <c r="AV35" i="20" s="1"/>
  <c r="BT92" i="20"/>
  <c r="CC91" i="20"/>
  <c r="CC92" i="20" s="1"/>
  <c r="CA42" i="20"/>
  <c r="AW92" i="20"/>
  <c r="AW97" i="20" s="1"/>
  <c r="AX105" i="20"/>
  <c r="AX94" i="20"/>
  <c r="AX96" i="20" s="1"/>
  <c r="AV96" i="20"/>
  <c r="AY42" i="20"/>
  <c r="AX45" i="20"/>
  <c r="AX112" i="20"/>
  <c r="AX118" i="20" s="1"/>
  <c r="AV118" i="20"/>
  <c r="AV105" i="20"/>
  <c r="AV109" i="20" s="1"/>
  <c r="AS35" i="20"/>
  <c r="C7" i="24" s="1"/>
  <c r="D7" i="24" s="1"/>
  <c r="AW34" i="20"/>
  <c r="AW35" i="20" s="1"/>
  <c r="G9" i="24"/>
  <c r="CE90" i="20"/>
  <c r="CG90" i="20" s="1"/>
  <c r="AV92" i="20"/>
  <c r="AU35" i="20"/>
  <c r="AU150" i="20" s="1"/>
  <c r="AU152" i="20" s="1"/>
  <c r="AY135" i="20"/>
  <c r="AR144" i="20"/>
  <c r="AV144" i="20" s="1"/>
  <c r="CA142" i="20"/>
  <c r="CE142" i="20" s="1"/>
  <c r="CG142" i="20" s="1"/>
  <c r="P105" i="20"/>
  <c r="BX97" i="20"/>
  <c r="Q15" i="24" s="1"/>
  <c r="S15" i="24" s="1"/>
  <c r="BF144" i="20"/>
  <c r="BG144" i="20" s="1"/>
  <c r="CC144" i="20" s="1"/>
  <c r="BG142" i="20"/>
  <c r="CC142" i="20" s="1"/>
  <c r="P108" i="20"/>
  <c r="CB92" i="20"/>
  <c r="CF92" i="20" s="1"/>
  <c r="AF105" i="20"/>
  <c r="BG92" i="20"/>
  <c r="AN84" i="20"/>
  <c r="BM97" i="20"/>
  <c r="L15" i="24" s="1"/>
  <c r="BN92" i="20"/>
  <c r="V51" i="20"/>
  <c r="Z105" i="20"/>
  <c r="N148" i="20"/>
  <c r="N149" i="20" s="1"/>
  <c r="AB105" i="20"/>
  <c r="AB84" i="20"/>
  <c r="Z84" i="20"/>
  <c r="H13" i="24" s="1"/>
  <c r="T51" i="20"/>
  <c r="Z51" i="20"/>
  <c r="AP109" i="20"/>
  <c r="U17" i="24" s="1"/>
  <c r="AF84" i="20"/>
  <c r="K13" i="24" s="1"/>
  <c r="AR80" i="20"/>
  <c r="AH105" i="20"/>
  <c r="CE138" i="20"/>
  <c r="CG138" i="20" s="1"/>
  <c r="N51" i="20"/>
  <c r="CB105" i="20"/>
  <c r="T109" i="20"/>
  <c r="N108" i="20"/>
  <c r="N109" i="20" s="1"/>
  <c r="BE118" i="20"/>
  <c r="BE149" i="20" s="1"/>
  <c r="BG22" i="20"/>
  <c r="BG129" i="20"/>
  <c r="AX29" i="20"/>
  <c r="AY29" i="20" s="1"/>
  <c r="BA29" i="20" s="1"/>
  <c r="AX28" i="20"/>
  <c r="AY28" i="20" s="1"/>
  <c r="BA28" i="20" s="1"/>
  <c r="AL15" i="20"/>
  <c r="AN15" i="20" s="1"/>
  <c r="P87" i="23"/>
  <c r="P89" i="23" s="1"/>
  <c r="I87" i="23"/>
  <c r="Z87" i="23" s="1"/>
  <c r="AE87" i="23" s="1"/>
  <c r="AJ40" i="23"/>
  <c r="AG45" i="23"/>
  <c r="AJ45" i="23" s="1"/>
  <c r="R44" i="23"/>
  <c r="CE128" i="20"/>
  <c r="CG128" i="20" s="1"/>
  <c r="CA28" i="20"/>
  <c r="CC28" i="20" s="1"/>
  <c r="BA33" i="20"/>
  <c r="CE94" i="20"/>
  <c r="CG94" i="20" s="1"/>
  <c r="BA30" i="20"/>
  <c r="BV29" i="20"/>
  <c r="BX29" i="20" s="1"/>
  <c r="BZ29" i="20" s="1"/>
  <c r="AX21" i="20"/>
  <c r="CE126" i="20"/>
  <c r="CG126" i="20" s="1"/>
  <c r="CA32" i="20"/>
  <c r="CC32" i="20" s="1"/>
  <c r="CI24" i="20"/>
  <c r="CA21" i="20"/>
  <c r="CG15" i="20"/>
  <c r="BA32" i="20"/>
  <c r="AX14" i="20"/>
  <c r="AX26" i="20"/>
  <c r="N80" i="20"/>
  <c r="CA33" i="20"/>
  <c r="CC33" i="20" s="1"/>
  <c r="BZ17" i="20"/>
  <c r="AX54" i="20"/>
  <c r="AO62" i="20"/>
  <c r="AQ62" i="20" s="1"/>
  <c r="AO63" i="20"/>
  <c r="AQ63" i="20" s="1"/>
  <c r="AV38" i="20"/>
  <c r="BY18" i="20"/>
  <c r="CF23" i="20"/>
  <c r="CG23" i="20" s="1"/>
  <c r="E7" i="24"/>
  <c r="N37" i="20"/>
  <c r="P37" i="20" s="1"/>
  <c r="BL45" i="20"/>
  <c r="BL81" i="20" s="1"/>
  <c r="BN81" i="20" s="1"/>
  <c r="CF91" i="20"/>
  <c r="CG91" i="20" s="1"/>
  <c r="CE112" i="20"/>
  <c r="CH112" i="20" s="1"/>
  <c r="P18" i="20"/>
  <c r="CE146" i="20"/>
  <c r="CH146" i="20" s="1"/>
  <c r="AO64" i="20"/>
  <c r="AQ64" i="20" s="1"/>
  <c r="AX90" i="20"/>
  <c r="AX92" i="20" s="1"/>
  <c r="CA31" i="20"/>
  <c r="CC31" i="20" s="1"/>
  <c r="CG61" i="20"/>
  <c r="N34" i="20"/>
  <c r="CE108" i="20"/>
  <c r="CG108" i="20" s="1"/>
  <c r="AO25" i="20"/>
  <c r="BJ25" i="20" s="1"/>
  <c r="N18" i="20"/>
  <c r="N38" i="20"/>
  <c r="P38" i="20" s="1"/>
  <c r="AO59" i="20"/>
  <c r="AQ59" i="20" s="1"/>
  <c r="AO61" i="20"/>
  <c r="CH61" i="20" s="1"/>
  <c r="T80" i="20"/>
  <c r="CA30" i="20"/>
  <c r="CC30" i="20" s="1"/>
  <c r="AO21" i="20"/>
  <c r="CG69" i="20"/>
  <c r="T18" i="20"/>
  <c r="AY115" i="20"/>
  <c r="BA115" i="20" s="1"/>
  <c r="CG100" i="20"/>
  <c r="CG123" i="20"/>
  <c r="CC84" i="20"/>
  <c r="BV114" i="20"/>
  <c r="BX114" i="20" s="1"/>
  <c r="BZ114" i="20" s="1"/>
  <c r="BN14" i="20"/>
  <c r="P118" i="20"/>
  <c r="CH130" i="20"/>
  <c r="CG141" i="20"/>
  <c r="CJ141" i="20" s="1"/>
  <c r="AY151" i="20"/>
  <c r="BA151" i="20" s="1"/>
  <c r="BE81" i="20"/>
  <c r="H11" i="24" s="1"/>
  <c r="Z18" i="20"/>
  <c r="BE97" i="20"/>
  <c r="H15" i="24" s="1"/>
  <c r="CG64" i="20"/>
  <c r="V17" i="20"/>
  <c r="V18" i="20" s="1"/>
  <c r="CG59" i="20"/>
  <c r="U35" i="20"/>
  <c r="U37" i="20"/>
  <c r="U39" i="20" s="1"/>
  <c r="CC51" i="20"/>
  <c r="BP18" i="20"/>
  <c r="CA96" i="20"/>
  <c r="CE96" i="20" s="1"/>
  <c r="CG96" i="20" s="1"/>
  <c r="BT15" i="20"/>
  <c r="CG95" i="20"/>
  <c r="CG63" i="20"/>
  <c r="BG23" i="20"/>
  <c r="T38" i="20"/>
  <c r="V38" i="20" s="1"/>
  <c r="CG79" i="20"/>
  <c r="CG76" i="20"/>
  <c r="CG77" i="20"/>
  <c r="AB118" i="20"/>
  <c r="CG83" i="20"/>
  <c r="BG113" i="20"/>
  <c r="P51" i="20"/>
  <c r="CG66" i="20"/>
  <c r="CJ66" i="20" s="1"/>
  <c r="CH76" i="20"/>
  <c r="CG78" i="20"/>
  <c r="CG73" i="20"/>
  <c r="CG139" i="20"/>
  <c r="CI74" i="20"/>
  <c r="CG74" i="20"/>
  <c r="CG55" i="20"/>
  <c r="CG51" i="20"/>
  <c r="O7" i="24"/>
  <c r="L7" i="24"/>
  <c r="CG54" i="20"/>
  <c r="CG127" i="20"/>
  <c r="AN14" i="20"/>
  <c r="AQ76" i="20"/>
  <c r="AZ76" i="20" s="1"/>
  <c r="CG120" i="20"/>
  <c r="CG71" i="20"/>
  <c r="AP81" i="20"/>
  <c r="CI139" i="20"/>
  <c r="Q87" i="23"/>
  <c r="Q89" i="23" s="1"/>
  <c r="V118" i="20"/>
  <c r="T149" i="20"/>
  <c r="CG125" i="20"/>
  <c r="CG121" i="20"/>
  <c r="CH56" i="20"/>
  <c r="AO14" i="20"/>
  <c r="L19" i="24"/>
  <c r="I17" i="24"/>
  <c r="CA122" i="20"/>
  <c r="CB27" i="20"/>
  <c r="CG130" i="20"/>
  <c r="CJ130" i="20" s="1"/>
  <c r="CG48" i="20"/>
  <c r="O35" i="20"/>
  <c r="CA26" i="20"/>
  <c r="G13" i="24"/>
  <c r="CG145" i="20"/>
  <c r="CG62" i="20"/>
  <c r="V105" i="20"/>
  <c r="F19" i="24"/>
  <c r="CG37" i="20"/>
  <c r="P34" i="20"/>
  <c r="AQ23" i="20"/>
  <c r="AZ23" i="20" s="1"/>
  <c r="CH91" i="20"/>
  <c r="AB90" i="20"/>
  <c r="AC90" i="20" s="1"/>
  <c r="AF90" i="20" s="1"/>
  <c r="AF51" i="20" s="1"/>
  <c r="CH103" i="20"/>
  <c r="CG103" i="20"/>
  <c r="CJ103" i="20" s="1"/>
  <c r="CH24" i="20"/>
  <c r="CG24" i="20"/>
  <c r="CG72" i="20"/>
  <c r="CI72" i="20"/>
  <c r="CI76" i="20"/>
  <c r="CA129" i="20"/>
  <c r="CH71" i="20"/>
  <c r="AQ71" i="20"/>
  <c r="CH73" i="20"/>
  <c r="AQ73" i="20"/>
  <c r="I11" i="24"/>
  <c r="AY66" i="20"/>
  <c r="AZ66" i="20"/>
  <c r="CG135" i="20"/>
  <c r="CJ135" i="20" s="1"/>
  <c r="AQ101" i="20"/>
  <c r="N13" i="24"/>
  <c r="CA92" i="20"/>
  <c r="CE92" i="20" s="1"/>
  <c r="H17" i="24"/>
  <c r="BG109" i="20"/>
  <c r="AQ126" i="20"/>
  <c r="CG47" i="20"/>
  <c r="AZ114" i="20"/>
  <c r="AY114" i="20"/>
  <c r="AC26" i="20"/>
  <c r="Z26" i="20"/>
  <c r="Z148" i="20" s="1"/>
  <c r="Z149" i="20" s="1"/>
  <c r="CI54" i="20"/>
  <c r="AQ131" i="20"/>
  <c r="AQ146" i="20"/>
  <c r="Q17" i="24"/>
  <c r="S17" i="24" s="1"/>
  <c r="BZ109" i="20"/>
  <c r="BJ113" i="20"/>
  <c r="AQ113" i="20"/>
  <c r="BV113" i="20"/>
  <c r="AQ79" i="20"/>
  <c r="CH79" i="20"/>
  <c r="CH95" i="20"/>
  <c r="AQ95" i="20"/>
  <c r="AQ68" i="20"/>
  <c r="CH68" i="20"/>
  <c r="BS39" i="20"/>
  <c r="V20" i="20"/>
  <c r="V34" i="20" s="1"/>
  <c r="T37" i="20"/>
  <c r="T34" i="20"/>
  <c r="AH15" i="20"/>
  <c r="AF18" i="20"/>
  <c r="CH55" i="20"/>
  <c r="AQ55" i="20"/>
  <c r="AQ112" i="20"/>
  <c r="AO118" i="20"/>
  <c r="CG67" i="20"/>
  <c r="Z20" i="20"/>
  <c r="Z108" i="20" s="1"/>
  <c r="AC20" i="20"/>
  <c r="AQ121" i="20"/>
  <c r="CH121" i="20"/>
  <c r="CH120" i="20"/>
  <c r="AQ120" i="20"/>
  <c r="AQ57" i="20"/>
  <c r="CH57" i="20"/>
  <c r="BF34" i="20"/>
  <c r="BF35" i="20" s="1"/>
  <c r="BF38" i="20" s="1"/>
  <c r="BT14" i="20"/>
  <c r="BR18" i="20"/>
  <c r="BT18" i="20" s="1"/>
  <c r="BT20" i="20"/>
  <c r="AQ24" i="20"/>
  <c r="I19" i="24"/>
  <c r="P148" i="20"/>
  <c r="K17" i="24"/>
  <c r="BN109" i="20"/>
  <c r="W94" i="20"/>
  <c r="Z94" i="20" s="1"/>
  <c r="P80" i="20"/>
  <c r="CC100" i="20"/>
  <c r="AQ72" i="20"/>
  <c r="CH72" i="20"/>
  <c r="AQ102" i="20"/>
  <c r="CH102" i="20"/>
  <c r="CG102" i="20"/>
  <c r="AQ122" i="20"/>
  <c r="AQ83" i="20"/>
  <c r="CH83" i="20"/>
  <c r="AQ91" i="20"/>
  <c r="AQ147" i="20"/>
  <c r="CH147" i="20"/>
  <c r="V148" i="20"/>
  <c r="AQ138" i="20"/>
  <c r="CH141" i="20"/>
  <c r="CG147" i="20"/>
  <c r="L11" i="24"/>
  <c r="M13" i="24"/>
  <c r="AQ78" i="20"/>
  <c r="CH78" i="20"/>
  <c r="AQ132" i="20"/>
  <c r="CH123" i="20"/>
  <c r="AQ123" i="20"/>
  <c r="CI77" i="20"/>
  <c r="CH74" i="20"/>
  <c r="AQ74" i="20"/>
  <c r="CI69" i="20"/>
  <c r="CH22" i="20"/>
  <c r="AA18" i="20"/>
  <c r="AA35" i="20" s="1"/>
  <c r="AB17" i="20"/>
  <c r="AB18" i="20" s="1"/>
  <c r="AA37" i="20"/>
  <c r="AA39" i="20" s="1"/>
  <c r="BE34" i="20"/>
  <c r="AQ134" i="20"/>
  <c r="AQ50" i="20"/>
  <c r="CH139" i="20"/>
  <c r="AQ139" i="20"/>
  <c r="BR109" i="20"/>
  <c r="AX142" i="20"/>
  <c r="AP118" i="20"/>
  <c r="AP149" i="20" s="1"/>
  <c r="CI113" i="20"/>
  <c r="CA116" i="20"/>
  <c r="CE116" i="20" s="1"/>
  <c r="BT116" i="20"/>
  <c r="CC116" i="20" s="1"/>
  <c r="CG49" i="20"/>
  <c r="BL148" i="20"/>
  <c r="CI61" i="20"/>
  <c r="AP38" i="20"/>
  <c r="AQ47" i="20"/>
  <c r="CH47" i="20"/>
  <c r="BX20" i="20"/>
  <c r="CA20" i="20" s="1"/>
  <c r="CH66" i="20"/>
  <c r="CC103" i="20"/>
  <c r="BT105" i="20"/>
  <c r="AQ128" i="20"/>
  <c r="BN87" i="20"/>
  <c r="BN88" i="20" s="1"/>
  <c r="CH145" i="20"/>
  <c r="AQ145" i="20"/>
  <c r="CG56" i="20"/>
  <c r="CJ56" i="20" s="1"/>
  <c r="CG68" i="20"/>
  <c r="CI68" i="20"/>
  <c r="AQ48" i="20"/>
  <c r="CH48" i="20"/>
  <c r="CI64" i="20"/>
  <c r="CH54" i="20"/>
  <c r="AQ54" i="20"/>
  <c r="BT27" i="20"/>
  <c r="CA27" i="20"/>
  <c r="CE27" i="20" s="1"/>
  <c r="BX14" i="20"/>
  <c r="BV18" i="20"/>
  <c r="BY34" i="20"/>
  <c r="CB22" i="20"/>
  <c r="CC22" i="20" s="1"/>
  <c r="BZ22" i="20"/>
  <c r="BV117" i="20"/>
  <c r="BR117" i="20"/>
  <c r="BR45" i="20" s="1"/>
  <c r="BT45" i="20" s="1"/>
  <c r="AZ130" i="20"/>
  <c r="AY130" i="20"/>
  <c r="AQ129" i="20"/>
  <c r="AQ100" i="20"/>
  <c r="CH100" i="20"/>
  <c r="BP88" i="20"/>
  <c r="BR87" i="20"/>
  <c r="AQ133" i="20"/>
  <c r="AQ142" i="20"/>
  <c r="AQ144" i="20"/>
  <c r="L17" i="24"/>
  <c r="AZ141" i="20"/>
  <c r="AY141" i="20"/>
  <c r="CC120" i="20"/>
  <c r="AQ127" i="20"/>
  <c r="CH127" i="20"/>
  <c r="C17" i="24"/>
  <c r="AQ125" i="20"/>
  <c r="CH125" i="20"/>
  <c r="AQ107" i="20"/>
  <c r="AQ108" i="20" s="1"/>
  <c r="O11" i="24"/>
  <c r="CG57" i="20"/>
  <c r="CH67" i="20"/>
  <c r="AQ67" i="20"/>
  <c r="AQ77" i="20"/>
  <c r="CH77" i="20"/>
  <c r="AQ49" i="20"/>
  <c r="CH49" i="20"/>
  <c r="AQ69" i="20"/>
  <c r="CH69" i="20"/>
  <c r="AQ27" i="20"/>
  <c r="AG17" i="20"/>
  <c r="AI17" i="20"/>
  <c r="AM17" i="20" s="1"/>
  <c r="CH23" i="20"/>
  <c r="AQ22" i="20"/>
  <c r="AP34" i="20"/>
  <c r="AZ56" i="20"/>
  <c r="AY56" i="20"/>
  <c r="T70" i="23"/>
  <c r="O61" i="23"/>
  <c r="U35" i="23"/>
  <c r="T35" i="23"/>
  <c r="T38" i="23" s="1"/>
  <c r="AI34" i="23"/>
  <c r="AB102" i="23"/>
  <c r="AG100" i="23"/>
  <c r="AG102" i="23" s="1"/>
  <c r="AA34" i="23"/>
  <c r="AF34" i="23" s="1"/>
  <c r="AG34" i="23" s="1"/>
  <c r="J32" i="23"/>
  <c r="R70" i="23"/>
  <c r="S70" i="23" s="1"/>
  <c r="R34" i="23"/>
  <c r="AI75" i="23"/>
  <c r="AJ75" i="23" s="1"/>
  <c r="H87" i="23"/>
  <c r="AJ70" i="23"/>
  <c r="R24" i="23"/>
  <c r="W24" i="23"/>
  <c r="AB24" i="23" s="1"/>
  <c r="AG24" i="23" s="1"/>
  <c r="F87" i="23"/>
  <c r="AJ37" i="23"/>
  <c r="Q66" i="23"/>
  <c r="M63" i="23"/>
  <c r="AG60" i="23"/>
  <c r="CH132" i="20" l="1"/>
  <c r="CH17" i="20"/>
  <c r="CG43" i="20"/>
  <c r="CJ43" i="20" s="1"/>
  <c r="CG44" i="20"/>
  <c r="CJ44" i="20" s="1"/>
  <c r="CH133" i="20"/>
  <c r="CH50" i="20"/>
  <c r="CH134" i="20"/>
  <c r="CG131" i="20"/>
  <c r="CE42" i="20"/>
  <c r="CG42" i="20" s="1"/>
  <c r="CJ42" i="20" s="1"/>
  <c r="CC42" i="20"/>
  <c r="CE26" i="20"/>
  <c r="CG26" i="20" s="1"/>
  <c r="CC26" i="20"/>
  <c r="CE21" i="20"/>
  <c r="CG21" i="20" s="1"/>
  <c r="CC21" i="20"/>
  <c r="CE20" i="20"/>
  <c r="CG20" i="20" s="1"/>
  <c r="CC20" i="20"/>
  <c r="CE129" i="20"/>
  <c r="CC129" i="20"/>
  <c r="CF105" i="20"/>
  <c r="CB109" i="20"/>
  <c r="CE122" i="20"/>
  <c r="CG122" i="20" s="1"/>
  <c r="CJ122" i="20" s="1"/>
  <c r="CL122" i="20" s="1"/>
  <c r="CC122" i="20"/>
  <c r="CF27" i="20"/>
  <c r="CI27" i="20" s="1"/>
  <c r="CC27" i="20"/>
  <c r="AX109" i="20"/>
  <c r="CG107" i="20"/>
  <c r="I90" i="23"/>
  <c r="Z90" i="23" s="1"/>
  <c r="AE90" i="23" s="1"/>
  <c r="CH101" i="20"/>
  <c r="AV97" i="20"/>
  <c r="U15" i="24"/>
  <c r="AS150" i="20"/>
  <c r="AS152" i="20" s="1"/>
  <c r="CC105" i="20"/>
  <c r="AX34" i="20"/>
  <c r="AX35" i="20" s="1"/>
  <c r="AR148" i="20"/>
  <c r="AR149" i="20" s="1"/>
  <c r="C21" i="24"/>
  <c r="C23" i="24" s="1"/>
  <c r="AZ27" i="20"/>
  <c r="AY27" i="20"/>
  <c r="BA42" i="20"/>
  <c r="AY45" i="20"/>
  <c r="AX38" i="20"/>
  <c r="AX39" i="20" s="1"/>
  <c r="AV39" i="20"/>
  <c r="AX97" i="20"/>
  <c r="AX144" i="20"/>
  <c r="AX148" i="20" s="1"/>
  <c r="AX149" i="20" s="1"/>
  <c r="AV148" i="20"/>
  <c r="AV149" i="20" s="1"/>
  <c r="BA135" i="20"/>
  <c r="CE144" i="20"/>
  <c r="CH144" i="20" s="1"/>
  <c r="P109" i="20"/>
  <c r="BZ97" i="20"/>
  <c r="CB144" i="20"/>
  <c r="BM150" i="20"/>
  <c r="BM151" i="20" s="1"/>
  <c r="L22" i="24" s="1"/>
  <c r="L23" i="24" s="1"/>
  <c r="P13" i="24"/>
  <c r="CF97" i="20"/>
  <c r="CG92" i="20"/>
  <c r="CB97" i="20"/>
  <c r="Z109" i="20"/>
  <c r="J13" i="24"/>
  <c r="AO105" i="20"/>
  <c r="CH138" i="20"/>
  <c r="T81" i="20"/>
  <c r="N81" i="20"/>
  <c r="AO15" i="20"/>
  <c r="CH15" i="20" s="1"/>
  <c r="AO84" i="20"/>
  <c r="Z80" i="20"/>
  <c r="Z81" i="20" s="1"/>
  <c r="AR81" i="20"/>
  <c r="B11" i="24" s="1"/>
  <c r="D11" i="24" s="1"/>
  <c r="CE80" i="20"/>
  <c r="CG80" i="20" s="1"/>
  <c r="BR148" i="20"/>
  <c r="BT148" i="20" s="1"/>
  <c r="CF109" i="20"/>
  <c r="V80" i="20"/>
  <c r="V81" i="20" s="1"/>
  <c r="BR81" i="20"/>
  <c r="BT81" i="20" s="1"/>
  <c r="BF148" i="20"/>
  <c r="BX117" i="20"/>
  <c r="BX148" i="20" s="1"/>
  <c r="BZ148" i="20" s="1"/>
  <c r="BV45" i="20"/>
  <c r="CA14" i="20"/>
  <c r="V108" i="20"/>
  <c r="V109" i="20" s="1"/>
  <c r="CF22" i="20"/>
  <c r="CG22" i="20" s="1"/>
  <c r="CJ22" i="20" s="1"/>
  <c r="CF129" i="20"/>
  <c r="CI129" i="20" s="1"/>
  <c r="AB51" i="20"/>
  <c r="AL18" i="20"/>
  <c r="CH128" i="20"/>
  <c r="P90" i="23"/>
  <c r="P91" i="23"/>
  <c r="CA29" i="20"/>
  <c r="AQ21" i="20"/>
  <c r="AZ21" i="20" s="1"/>
  <c r="CE33" i="20"/>
  <c r="CH33" i="20" s="1"/>
  <c r="CE31" i="20"/>
  <c r="CG31" i="20" s="1"/>
  <c r="CJ31" i="20" s="1"/>
  <c r="CE30" i="20"/>
  <c r="CG30" i="20" s="1"/>
  <c r="CJ30" i="20" s="1"/>
  <c r="CL30" i="20" s="1"/>
  <c r="CE28" i="20"/>
  <c r="CH28" i="20" s="1"/>
  <c r="CH126" i="20"/>
  <c r="BV34" i="20"/>
  <c r="BV35" i="20" s="1"/>
  <c r="CE32" i="20"/>
  <c r="F7" i="24"/>
  <c r="G7" i="24" s="1"/>
  <c r="AQ14" i="20"/>
  <c r="CG112" i="20"/>
  <c r="CJ112" i="20" s="1"/>
  <c r="CL112" i="20" s="1"/>
  <c r="CH63" i="20"/>
  <c r="AT150" i="20"/>
  <c r="AT152" i="20" s="1"/>
  <c r="BN45" i="20"/>
  <c r="K11" i="24"/>
  <c r="M11" i="24" s="1"/>
  <c r="AQ61" i="20"/>
  <c r="AY61" i="20" s="1"/>
  <c r="CI23" i="20"/>
  <c r="CH62" i="20"/>
  <c r="BY35" i="20"/>
  <c r="BY38" i="20" s="1"/>
  <c r="CI91" i="20"/>
  <c r="CG146" i="20"/>
  <c r="CJ146" i="20" s="1"/>
  <c r="CH42" i="20"/>
  <c r="CH59" i="20"/>
  <c r="CH64" i="20"/>
  <c r="N35" i="20"/>
  <c r="T35" i="20"/>
  <c r="AQ25" i="20"/>
  <c r="AZ25" i="20" s="1"/>
  <c r="N39" i="20"/>
  <c r="CJ23" i="20"/>
  <c r="P149" i="20"/>
  <c r="BG97" i="20"/>
  <c r="CJ76" i="20"/>
  <c r="BG81" i="20"/>
  <c r="V149" i="20"/>
  <c r="AY23" i="20"/>
  <c r="CA114" i="20"/>
  <c r="CE114" i="20" s="1"/>
  <c r="CG114" i="20" s="1"/>
  <c r="CJ114" i="20" s="1"/>
  <c r="AY76" i="20"/>
  <c r="BA76" i="20" s="1"/>
  <c r="V35" i="20"/>
  <c r="CH129" i="20"/>
  <c r="P81" i="20"/>
  <c r="BA130" i="20"/>
  <c r="CB34" i="20"/>
  <c r="CB35" i="20" s="1"/>
  <c r="BA56" i="20"/>
  <c r="BA141" i="20"/>
  <c r="G19" i="24"/>
  <c r="P35" i="20"/>
  <c r="U11" i="24"/>
  <c r="AH90" i="20"/>
  <c r="K15" i="24"/>
  <c r="M15" i="24" s="1"/>
  <c r="BN97" i="20"/>
  <c r="AZ128" i="20"/>
  <c r="AY128" i="20"/>
  <c r="CJ128" i="20"/>
  <c r="AZ113" i="20"/>
  <c r="AY113" i="20"/>
  <c r="J15" i="24"/>
  <c r="BN148" i="20"/>
  <c r="T39" i="20"/>
  <c r="V37" i="20"/>
  <c r="V39" i="20" s="1"/>
  <c r="CJ68" i="20"/>
  <c r="CL68" i="20" s="1"/>
  <c r="AZ68" i="20"/>
  <c r="AY68" i="20"/>
  <c r="BJ118" i="20"/>
  <c r="BJ149" i="20" s="1"/>
  <c r="BL113" i="20"/>
  <c r="AZ131" i="20"/>
  <c r="CJ131" i="20"/>
  <c r="AY131" i="20"/>
  <c r="AB26" i="20"/>
  <c r="AB148" i="20" s="1"/>
  <c r="AB149" i="20" s="1"/>
  <c r="Z38" i="20"/>
  <c r="AB38" i="20" s="1"/>
  <c r="J11" i="24"/>
  <c r="BA66" i="20"/>
  <c r="CJ73" i="20"/>
  <c r="AZ73" i="20"/>
  <c r="AY73" i="20"/>
  <c r="CJ49" i="20"/>
  <c r="AZ49" i="20"/>
  <c r="AY49" i="20"/>
  <c r="CA87" i="20"/>
  <c r="CE87" i="20" s="1"/>
  <c r="BT87" i="20"/>
  <c r="CC87" i="20" s="1"/>
  <c r="BR88" i="20"/>
  <c r="U19" i="24"/>
  <c r="CA109" i="20"/>
  <c r="BG34" i="20"/>
  <c r="BE35" i="20"/>
  <c r="BE150" i="20" s="1"/>
  <c r="AZ83" i="20"/>
  <c r="CJ83" i="20"/>
  <c r="AY83" i="20"/>
  <c r="AZ120" i="20"/>
  <c r="AY120" i="20"/>
  <c r="CJ120" i="20"/>
  <c r="AI20" i="20"/>
  <c r="AL20" i="20" s="1"/>
  <c r="AL108" i="20" s="1"/>
  <c r="AL109" i="20" s="1"/>
  <c r="AF20" i="20"/>
  <c r="AF108" i="20" s="1"/>
  <c r="AF109" i="20" s="1"/>
  <c r="AQ118" i="20"/>
  <c r="AZ118" i="20" s="1"/>
  <c r="AZ112" i="20"/>
  <c r="AY112" i="20"/>
  <c r="AY118" i="20" s="1"/>
  <c r="CJ95" i="20"/>
  <c r="CL95" i="20" s="1"/>
  <c r="AY95" i="20"/>
  <c r="AZ95" i="20"/>
  <c r="AF26" i="20"/>
  <c r="AF148" i="20" s="1"/>
  <c r="AF149" i="20" s="1"/>
  <c r="AI26" i="20"/>
  <c r="AL26" i="20" s="1"/>
  <c r="CJ121" i="20"/>
  <c r="AZ121" i="20"/>
  <c r="AY121" i="20"/>
  <c r="AZ129" i="20"/>
  <c r="AY129" i="20"/>
  <c r="AY48" i="20"/>
  <c r="AZ48" i="20"/>
  <c r="CJ48" i="20"/>
  <c r="CL48" i="20" s="1"/>
  <c r="CJ134" i="20"/>
  <c r="AZ134" i="20"/>
  <c r="AY134" i="20"/>
  <c r="AZ63" i="20"/>
  <c r="AY63" i="20"/>
  <c r="CJ63" i="20"/>
  <c r="CL63" i="20" s="1"/>
  <c r="AZ133" i="20"/>
  <c r="CJ133" i="20"/>
  <c r="AY133" i="20"/>
  <c r="Z96" i="20"/>
  <c r="AB94" i="20"/>
  <c r="CH116" i="20"/>
  <c r="CG116" i="20"/>
  <c r="CJ116" i="20" s="1"/>
  <c r="CL116" i="20" s="1"/>
  <c r="AY74" i="20"/>
  <c r="CJ74" i="20"/>
  <c r="AZ74" i="20"/>
  <c r="M17" i="24"/>
  <c r="AY55" i="20"/>
  <c r="CJ55" i="20"/>
  <c r="AZ55" i="20"/>
  <c r="AZ126" i="20"/>
  <c r="AY126" i="20"/>
  <c r="CJ126" i="20"/>
  <c r="AM18" i="20"/>
  <c r="AM35" i="20" s="1"/>
  <c r="AN17" i="20"/>
  <c r="AN18" i="20" s="1"/>
  <c r="AM37" i="20"/>
  <c r="AY69" i="20"/>
  <c r="AZ69" i="20"/>
  <c r="CJ69" i="20"/>
  <c r="CL69" i="20" s="1"/>
  <c r="AY77" i="20"/>
  <c r="AZ77" i="20"/>
  <c r="CJ77" i="20"/>
  <c r="CJ54" i="20"/>
  <c r="AZ54" i="20"/>
  <c r="AY54" i="20"/>
  <c r="AY145" i="20"/>
  <c r="CJ145" i="20"/>
  <c r="CL145" i="20" s="1"/>
  <c r="AZ145" i="20"/>
  <c r="AY47" i="20"/>
  <c r="AZ47" i="20"/>
  <c r="CJ47" i="20"/>
  <c r="CL47" i="20" s="1"/>
  <c r="AZ139" i="20"/>
  <c r="AY139" i="20"/>
  <c r="CJ139" i="20"/>
  <c r="CL139" i="20" s="1"/>
  <c r="AY122" i="20"/>
  <c r="AZ122" i="20"/>
  <c r="CJ24" i="20"/>
  <c r="AZ24" i="20"/>
  <c r="AY24" i="20"/>
  <c r="I7" i="24"/>
  <c r="BG38" i="20"/>
  <c r="O9" i="24"/>
  <c r="O21" i="24" s="1"/>
  <c r="BS150" i="20"/>
  <c r="BA114" i="20"/>
  <c r="BT117" i="20"/>
  <c r="BT118" i="20" s="1"/>
  <c r="AZ22" i="20"/>
  <c r="AY22" i="20"/>
  <c r="BX34" i="20"/>
  <c r="BZ20" i="20"/>
  <c r="AZ91" i="20"/>
  <c r="AY91" i="20"/>
  <c r="CJ91" i="20"/>
  <c r="CL91" i="20" s="1"/>
  <c r="CJ132" i="20"/>
  <c r="CL132" i="20" s="1"/>
  <c r="AZ132" i="20"/>
  <c r="AY132" i="20"/>
  <c r="Z34" i="20"/>
  <c r="Z35" i="20" s="1"/>
  <c r="AB20" i="20"/>
  <c r="AB108" i="20" s="1"/>
  <c r="AB109" i="20" s="1"/>
  <c r="J17" i="24" s="1"/>
  <c r="Z37" i="20"/>
  <c r="AP17" i="20"/>
  <c r="AG37" i="20"/>
  <c r="AG39" i="20" s="1"/>
  <c r="AH17" i="20"/>
  <c r="AH18" i="20" s="1"/>
  <c r="AG18" i="20"/>
  <c r="AG35" i="20" s="1"/>
  <c r="CJ67" i="20"/>
  <c r="CL67" i="20" s="1"/>
  <c r="AY67" i="20"/>
  <c r="AZ67" i="20"/>
  <c r="CJ127" i="20"/>
  <c r="CL127" i="20" s="1"/>
  <c r="AY127" i="20"/>
  <c r="AZ127" i="20"/>
  <c r="AZ144" i="20"/>
  <c r="AY100" i="20"/>
  <c r="CJ100" i="20"/>
  <c r="CL100" i="20" s="1"/>
  <c r="AQ105" i="20"/>
  <c r="AZ100" i="20"/>
  <c r="CJ64" i="20"/>
  <c r="CL64" i="20" s="1"/>
  <c r="AZ64" i="20"/>
  <c r="AY64" i="20"/>
  <c r="CJ79" i="20"/>
  <c r="CL79" i="20" s="1"/>
  <c r="AZ79" i="20"/>
  <c r="AY79" i="20"/>
  <c r="CJ101" i="20"/>
  <c r="AZ101" i="20"/>
  <c r="AY101" i="20"/>
  <c r="AY142" i="20"/>
  <c r="AZ142" i="20"/>
  <c r="CJ142" i="20"/>
  <c r="CL142" i="20" s="1"/>
  <c r="BX18" i="20"/>
  <c r="BZ18" i="20" s="1"/>
  <c r="BZ14" i="20"/>
  <c r="CJ125" i="20"/>
  <c r="CL125" i="20" s="1"/>
  <c r="AY125" i="20"/>
  <c r="AZ125" i="20"/>
  <c r="CJ102" i="20"/>
  <c r="AZ102" i="20"/>
  <c r="AY102" i="20"/>
  <c r="CJ62" i="20"/>
  <c r="CL62" i="20" s="1"/>
  <c r="AZ62" i="20"/>
  <c r="AY62" i="20"/>
  <c r="BL25" i="20"/>
  <c r="BL34" i="20" s="1"/>
  <c r="BL35" i="20" s="1"/>
  <c r="BL38" i="20" s="1"/>
  <c r="BJ34" i="20"/>
  <c r="BJ35" i="20" s="1"/>
  <c r="BP25" i="20"/>
  <c r="CJ59" i="20"/>
  <c r="AZ59" i="20"/>
  <c r="AY59" i="20"/>
  <c r="CH27" i="20"/>
  <c r="N17" i="24"/>
  <c r="P17" i="24" s="1"/>
  <c r="BT109" i="20"/>
  <c r="CJ138" i="20"/>
  <c r="CL138" i="20" s="1"/>
  <c r="AZ138" i="20"/>
  <c r="AY138" i="20"/>
  <c r="CJ71" i="20"/>
  <c r="CL71" i="20" s="1"/>
  <c r="AZ71" i="20"/>
  <c r="AY71" i="20"/>
  <c r="CJ107" i="20"/>
  <c r="AZ107" i="20"/>
  <c r="AZ108" i="20" s="1"/>
  <c r="AY107" i="20"/>
  <c r="AY108" i="20" s="1"/>
  <c r="CH142" i="20"/>
  <c r="E21" i="24"/>
  <c r="P39" i="20"/>
  <c r="AZ50" i="20"/>
  <c r="AY50" i="20"/>
  <c r="CJ50" i="20"/>
  <c r="AZ123" i="20"/>
  <c r="AY123" i="20"/>
  <c r="CJ123" i="20"/>
  <c r="CJ78" i="20"/>
  <c r="CL78" i="20" s="1"/>
  <c r="AY78" i="20"/>
  <c r="AZ78" i="20"/>
  <c r="AZ147" i="20"/>
  <c r="CJ147" i="20"/>
  <c r="AY147" i="20"/>
  <c r="CJ72" i="20"/>
  <c r="CL72" i="20" s="1"/>
  <c r="AZ72" i="20"/>
  <c r="AY72" i="20"/>
  <c r="CJ57" i="20"/>
  <c r="CL57" i="20" s="1"/>
  <c r="AZ57" i="20"/>
  <c r="AY57" i="20"/>
  <c r="BX113" i="20"/>
  <c r="AY146" i="20"/>
  <c r="AZ146" i="20"/>
  <c r="W87" i="23"/>
  <c r="AB87" i="23" s="1"/>
  <c r="F90" i="23"/>
  <c r="R61" i="23"/>
  <c r="T61" i="23" s="1"/>
  <c r="AI61" i="23"/>
  <c r="AJ61" i="23" s="1"/>
  <c r="N63" i="23"/>
  <c r="M60" i="23"/>
  <c r="H90" i="23"/>
  <c r="Y90" i="23" s="1"/>
  <c r="AD90" i="23" s="1"/>
  <c r="Y87" i="23"/>
  <c r="AD87" i="23" s="1"/>
  <c r="Q32" i="23"/>
  <c r="R66" i="23"/>
  <c r="AI66" i="23"/>
  <c r="AA32" i="23"/>
  <c r="AF32" i="23" s="1"/>
  <c r="AG32" i="23" s="1"/>
  <c r="J87" i="23"/>
  <c r="K91" i="23"/>
  <c r="CG27" i="20" l="1"/>
  <c r="CJ27" i="20" s="1"/>
  <c r="CL27" i="20" s="1"/>
  <c r="CH122" i="20"/>
  <c r="G21" i="24"/>
  <c r="CH21" i="20"/>
  <c r="CE29" i="20"/>
  <c r="CG29" i="20" s="1"/>
  <c r="CJ29" i="20" s="1"/>
  <c r="CL29" i="20" s="1"/>
  <c r="CC29" i="20"/>
  <c r="CE14" i="20"/>
  <c r="CH14" i="20" s="1"/>
  <c r="CC14" i="20"/>
  <c r="CC18" i="20" s="1"/>
  <c r="CF144" i="20"/>
  <c r="CI144" i="20" s="1"/>
  <c r="CB148" i="20"/>
  <c r="CF148" i="20" s="1"/>
  <c r="AR150" i="20"/>
  <c r="AR152" i="20" s="1"/>
  <c r="AZ152" i="20" s="1"/>
  <c r="AY144" i="20"/>
  <c r="AY148" i="20" s="1"/>
  <c r="AY149" i="20" s="1"/>
  <c r="B19" i="24"/>
  <c r="D19" i="24" s="1"/>
  <c r="D21" i="24" s="1"/>
  <c r="AY105" i="20"/>
  <c r="AY109" i="20" s="1"/>
  <c r="AZ105" i="20"/>
  <c r="BM152" i="20"/>
  <c r="AO18" i="20"/>
  <c r="CI22" i="20"/>
  <c r="AQ15" i="20"/>
  <c r="CJ15" i="20" s="1"/>
  <c r="CL15" i="20" s="1"/>
  <c r="N11" i="24"/>
  <c r="P11" i="24" s="1"/>
  <c r="CF34" i="20"/>
  <c r="CF35" i="20" s="1"/>
  <c r="CG129" i="20"/>
  <c r="CJ129" i="20" s="1"/>
  <c r="CL129" i="20" s="1"/>
  <c r="CA117" i="20"/>
  <c r="CE117" i="20" s="1"/>
  <c r="CH117" i="20" s="1"/>
  <c r="AQ84" i="20"/>
  <c r="CA18" i="20"/>
  <c r="CA148" i="20"/>
  <c r="CE148" i="20" s="1"/>
  <c r="BF149" i="20"/>
  <c r="CB149" i="20" s="1"/>
  <c r="CF149" i="20" s="1"/>
  <c r="AI90" i="20"/>
  <c r="AL90" i="20" s="1"/>
  <c r="AL51" i="20" s="1"/>
  <c r="AH51" i="20"/>
  <c r="CL76" i="20"/>
  <c r="CL120" i="20"/>
  <c r="CA45" i="20"/>
  <c r="CE45" i="20" s="1"/>
  <c r="CG45" i="20" s="1"/>
  <c r="CL31" i="20"/>
  <c r="CL130" i="20"/>
  <c r="AB96" i="20"/>
  <c r="AB80" i="20"/>
  <c r="AB81" i="20" s="1"/>
  <c r="CL128" i="20"/>
  <c r="CL101" i="20"/>
  <c r="CL103" i="20"/>
  <c r="CL134" i="20"/>
  <c r="CL49" i="20"/>
  <c r="CL66" i="20"/>
  <c r="CL77" i="20"/>
  <c r="CL121" i="20"/>
  <c r="CL131" i="20"/>
  <c r="CL141" i="20"/>
  <c r="CL44" i="20"/>
  <c r="CL102" i="20"/>
  <c r="CL126" i="20"/>
  <c r="CL123" i="20"/>
  <c r="CL83" i="20"/>
  <c r="CL73" i="20"/>
  <c r="CL146" i="20"/>
  <c r="CL54" i="20"/>
  <c r="CL135" i="20"/>
  <c r="BZ117" i="20"/>
  <c r="CC117" i="20" s="1"/>
  <c r="BX45" i="20"/>
  <c r="CL23" i="20"/>
  <c r="CL22" i="20"/>
  <c r="CL24" i="20"/>
  <c r="CL114" i="20"/>
  <c r="CJ21" i="20"/>
  <c r="CL21" i="20" s="1"/>
  <c r="CG28" i="20"/>
  <c r="CJ28" i="20" s="1"/>
  <c r="CL28" i="20" s="1"/>
  <c r="AY21" i="20"/>
  <c r="CH30" i="20"/>
  <c r="F21" i="24"/>
  <c r="F23" i="24" s="1"/>
  <c r="AY14" i="20"/>
  <c r="CG33" i="20"/>
  <c r="CJ33" i="20" s="1"/>
  <c r="CH31" i="20"/>
  <c r="CG32" i="20"/>
  <c r="CJ32" i="20" s="1"/>
  <c r="CL32" i="20" s="1"/>
  <c r="CH32" i="20"/>
  <c r="AY25" i="20"/>
  <c r="BA25" i="20" s="1"/>
  <c r="AZ14" i="20"/>
  <c r="BA23" i="20"/>
  <c r="AZ61" i="20"/>
  <c r="BA61" i="20" s="1"/>
  <c r="CJ61" i="20"/>
  <c r="CL61" i="20" s="1"/>
  <c r="R7" i="24"/>
  <c r="U7" i="24" s="1"/>
  <c r="CH114" i="20"/>
  <c r="BA73" i="20"/>
  <c r="BA62" i="20"/>
  <c r="BA101" i="20"/>
  <c r="BA134" i="20"/>
  <c r="AB34" i="20"/>
  <c r="AB35" i="20" s="1"/>
  <c r="BA68" i="20"/>
  <c r="BA113" i="20"/>
  <c r="BA91" i="20"/>
  <c r="BA24" i="20"/>
  <c r="AC94" i="20"/>
  <c r="AF94" i="20" s="1"/>
  <c r="BA147" i="20"/>
  <c r="BA64" i="20"/>
  <c r="BA139" i="20"/>
  <c r="BA126" i="20"/>
  <c r="BA49" i="20"/>
  <c r="BA59" i="20"/>
  <c r="BA72" i="20"/>
  <c r="BA50" i="20"/>
  <c r="BA138" i="20"/>
  <c r="BA102" i="20"/>
  <c r="BA107" i="20"/>
  <c r="BA132" i="20"/>
  <c r="BA121" i="20"/>
  <c r="BA131" i="20"/>
  <c r="BA74" i="20"/>
  <c r="BA77" i="20"/>
  <c r="BA123" i="20"/>
  <c r="BA27" i="20"/>
  <c r="BA127" i="20"/>
  <c r="BA83" i="20"/>
  <c r="T17" i="24"/>
  <c r="V17" i="24" s="1"/>
  <c r="BA112" i="20"/>
  <c r="BZ113" i="20"/>
  <c r="BX118" i="20"/>
  <c r="BX149" i="20" s="1"/>
  <c r="CB38" i="20"/>
  <c r="BF39" i="20"/>
  <c r="BG39" i="20" s="1"/>
  <c r="BT88" i="20"/>
  <c r="CC88" i="20" s="1"/>
  <c r="E23" i="24"/>
  <c r="BA145" i="20"/>
  <c r="BA57" i="20"/>
  <c r="BA71" i="20"/>
  <c r="BR25" i="20"/>
  <c r="BR118" i="20" s="1"/>
  <c r="BR149" i="20" s="1"/>
  <c r="BP34" i="20"/>
  <c r="BP35" i="20" s="1"/>
  <c r="BA79" i="20"/>
  <c r="BA100" i="20"/>
  <c r="BA67" i="20"/>
  <c r="BA54" i="20"/>
  <c r="BA69" i="20"/>
  <c r="BA63" i="20"/>
  <c r="BA129" i="20"/>
  <c r="AH26" i="20"/>
  <c r="AH148" i="20" s="1"/>
  <c r="AH149" i="20" s="1"/>
  <c r="AF38" i="20"/>
  <c r="AH38" i="20" s="1"/>
  <c r="BN113" i="20"/>
  <c r="CA113" i="20"/>
  <c r="BL118" i="20"/>
  <c r="BL149" i="20" s="1"/>
  <c r="BA128" i="20"/>
  <c r="AN26" i="20"/>
  <c r="AL38" i="20"/>
  <c r="AP37" i="20"/>
  <c r="CI37" i="20" s="1"/>
  <c r="AM39" i="20"/>
  <c r="BA78" i="20"/>
  <c r="BN25" i="20"/>
  <c r="BA125" i="20"/>
  <c r="BX35" i="20"/>
  <c r="BX38" i="20" s="1"/>
  <c r="BS151" i="20"/>
  <c r="BS152" i="20" s="1"/>
  <c r="AL34" i="20"/>
  <c r="AL35" i="20" s="1"/>
  <c r="AN20" i="20"/>
  <c r="AN108" i="20" s="1"/>
  <c r="AN109" i="20" s="1"/>
  <c r="AL37" i="20"/>
  <c r="CI17" i="20"/>
  <c r="AQ17" i="20"/>
  <c r="CJ17" i="20" s="1"/>
  <c r="CL17" i="20" s="1"/>
  <c r="AP18" i="20"/>
  <c r="AP35" i="20" s="1"/>
  <c r="CH87" i="20"/>
  <c r="CG87" i="20"/>
  <c r="CJ87" i="20" s="1"/>
  <c r="BA48" i="20"/>
  <c r="BA146" i="20"/>
  <c r="BY39" i="20"/>
  <c r="BA22" i="20"/>
  <c r="BA122" i="20"/>
  <c r="BA95" i="20"/>
  <c r="AO26" i="20"/>
  <c r="CG14" i="20"/>
  <c r="CJ14" i="20" s="1"/>
  <c r="CL14" i="20" s="1"/>
  <c r="Z39" i="20"/>
  <c r="AB37" i="20"/>
  <c r="AB39" i="20" s="1"/>
  <c r="CE109" i="20"/>
  <c r="CG109" i="20" s="1"/>
  <c r="CG105" i="20"/>
  <c r="BZ34" i="20"/>
  <c r="BZ35" i="20" s="1"/>
  <c r="BA55" i="20"/>
  <c r="AH20" i="20"/>
  <c r="AH108" i="20" s="1"/>
  <c r="AH109" i="20" s="1"/>
  <c r="AF37" i="20"/>
  <c r="AF34" i="20"/>
  <c r="AF35" i="20" s="1"/>
  <c r="AO20" i="20"/>
  <c r="BA142" i="20"/>
  <c r="BA47" i="20"/>
  <c r="BA133" i="20"/>
  <c r="BA120" i="20"/>
  <c r="H7" i="24"/>
  <c r="BG35" i="20"/>
  <c r="CA88" i="20"/>
  <c r="CE88" i="20" s="1"/>
  <c r="BR97" i="20"/>
  <c r="BT97" i="20" s="1"/>
  <c r="O63" i="23"/>
  <c r="N60" i="23"/>
  <c r="N32" i="23" s="1"/>
  <c r="J90" i="23"/>
  <c r="AA87" i="23"/>
  <c r="AF87" i="23" s="1"/>
  <c r="AG87" i="23" s="1"/>
  <c r="Q91" i="23"/>
  <c r="Q90" i="23"/>
  <c r="H9" i="24"/>
  <c r="AI63" i="23"/>
  <c r="AJ63" i="23" s="1"/>
  <c r="W90" i="23"/>
  <c r="AB90" i="23" s="1"/>
  <c r="M32" i="23"/>
  <c r="M87" i="23" s="1"/>
  <c r="CH29" i="20" l="1"/>
  <c r="CG144" i="20"/>
  <c r="CJ144" i="20" s="1"/>
  <c r="CL144" i="20" s="1"/>
  <c r="CE18" i="20"/>
  <c r="CE113" i="20"/>
  <c r="CF38" i="20"/>
  <c r="CI38" i="20" s="1"/>
  <c r="B21" i="24"/>
  <c r="B23" i="24" s="1"/>
  <c r="G30" i="24" s="1"/>
  <c r="CF39" i="20"/>
  <c r="CF150" i="20" s="1"/>
  <c r="BA144" i="20"/>
  <c r="BZ118" i="20"/>
  <c r="AY15" i="20"/>
  <c r="AZ15" i="20"/>
  <c r="AZ84" i="20"/>
  <c r="CG117" i="20"/>
  <c r="CJ117" i="20" s="1"/>
  <c r="AN90" i="20"/>
  <c r="AN51" i="20" s="1"/>
  <c r="CG148" i="20"/>
  <c r="AL148" i="20"/>
  <c r="AL149" i="20" s="1"/>
  <c r="AO90" i="20"/>
  <c r="AO51" i="20" s="1"/>
  <c r="CE81" i="20"/>
  <c r="CG81" i="20" s="1"/>
  <c r="BX81" i="20"/>
  <c r="BZ45" i="20"/>
  <c r="CC45" i="20" s="1"/>
  <c r="AH94" i="20"/>
  <c r="AI94" i="20" s="1"/>
  <c r="AL94" i="20" s="1"/>
  <c r="AL80" i="20" s="1"/>
  <c r="AL81" i="20" s="1"/>
  <c r="AF80" i="20"/>
  <c r="CL74" i="20"/>
  <c r="CL147" i="20"/>
  <c r="AO109" i="20"/>
  <c r="CL87" i="20"/>
  <c r="CL56" i="20"/>
  <c r="CL43" i="20"/>
  <c r="CL33" i="20"/>
  <c r="CL42" i="20"/>
  <c r="N87" i="23"/>
  <c r="N89" i="23" s="1"/>
  <c r="BA21" i="20"/>
  <c r="BA14" i="20"/>
  <c r="CH26" i="20"/>
  <c r="AF96" i="20"/>
  <c r="AH34" i="20"/>
  <c r="AH35" i="20" s="1"/>
  <c r="AN34" i="20"/>
  <c r="AN35" i="20" s="1"/>
  <c r="I9" i="24"/>
  <c r="J9" i="24" s="1"/>
  <c r="BF150" i="20"/>
  <c r="CH20" i="20"/>
  <c r="AQ20" i="20"/>
  <c r="AO34" i="20"/>
  <c r="CG18" i="20"/>
  <c r="R9" i="24"/>
  <c r="CB39" i="20"/>
  <c r="BY150" i="20"/>
  <c r="AO38" i="20"/>
  <c r="AN38" i="20"/>
  <c r="AH37" i="20"/>
  <c r="AH39" i="20" s="1"/>
  <c r="AF39" i="20"/>
  <c r="AL39" i="20"/>
  <c r="AN37" i="20"/>
  <c r="AO37" i="20"/>
  <c r="CH37" i="20" s="1"/>
  <c r="BN34" i="20"/>
  <c r="CA25" i="20"/>
  <c r="BT25" i="20"/>
  <c r="BR34" i="20"/>
  <c r="BZ149" i="20"/>
  <c r="N15" i="24"/>
  <c r="CC97" i="20"/>
  <c r="CA97" i="20"/>
  <c r="AZ17" i="20"/>
  <c r="AY17" i="20"/>
  <c r="AQ18" i="20"/>
  <c r="G23" i="24"/>
  <c r="G31" i="24"/>
  <c r="BT149" i="20"/>
  <c r="CA149" i="20"/>
  <c r="CG113" i="20"/>
  <c r="CJ113" i="20" s="1"/>
  <c r="CH113" i="20"/>
  <c r="AQ26" i="20"/>
  <c r="CE97" i="20"/>
  <c r="CG97" i="20" s="1"/>
  <c r="CG88" i="20"/>
  <c r="O22" i="24"/>
  <c r="O23" i="24" s="1"/>
  <c r="BN149" i="20"/>
  <c r="J7" i="24"/>
  <c r="Q7" i="24"/>
  <c r="AP39" i="20"/>
  <c r="BN118" i="20"/>
  <c r="CC113" i="20"/>
  <c r="J95" i="23"/>
  <c r="J96" i="23" s="1"/>
  <c r="AA90" i="23"/>
  <c r="AF90" i="23" s="1"/>
  <c r="AG90" i="23"/>
  <c r="O60" i="23"/>
  <c r="R63" i="23"/>
  <c r="T63" i="23" s="1"/>
  <c r="CE25" i="20" l="1"/>
  <c r="CE34" i="20" s="1"/>
  <c r="CC25" i="20"/>
  <c r="CC34" i="20" s="1"/>
  <c r="CC35" i="20" s="1"/>
  <c r="CA34" i="20"/>
  <c r="BG150" i="20"/>
  <c r="BF151" i="20"/>
  <c r="BF152" i="20" s="1"/>
  <c r="D23" i="24"/>
  <c r="AQ38" i="20"/>
  <c r="AY38" i="20" s="1"/>
  <c r="BA15" i="20"/>
  <c r="CL117" i="20"/>
  <c r="CH90" i="20"/>
  <c r="AN148" i="20"/>
  <c r="AN149" i="20" s="1"/>
  <c r="AO148" i="20"/>
  <c r="AO149" i="20" s="1"/>
  <c r="AQ90" i="20"/>
  <c r="AQ51" i="20" s="1"/>
  <c r="AZ51" i="20" s="1"/>
  <c r="AF81" i="20"/>
  <c r="AO80" i="20"/>
  <c r="AH96" i="20"/>
  <c r="AH80" i="20"/>
  <c r="AH81" i="20" s="1"/>
  <c r="CJ20" i="20"/>
  <c r="AZ26" i="20"/>
  <c r="BZ81" i="20"/>
  <c r="CC81" i="20" s="1"/>
  <c r="Q11" i="24"/>
  <c r="CA81" i="20"/>
  <c r="CL113" i="20"/>
  <c r="N91" i="23"/>
  <c r="N90" i="23"/>
  <c r="AO35" i="20"/>
  <c r="AZ18" i="20"/>
  <c r="AN39" i="20"/>
  <c r="K7" i="24"/>
  <c r="BN35" i="20"/>
  <c r="AQ34" i="20"/>
  <c r="AZ20" i="20"/>
  <c r="AY20" i="20"/>
  <c r="BA17" i="20"/>
  <c r="BT34" i="20"/>
  <c r="CA35" i="20"/>
  <c r="BR35" i="20"/>
  <c r="BR38" i="20" s="1"/>
  <c r="CA38" i="20" s="1"/>
  <c r="CC38" i="20" s="1"/>
  <c r="AQ37" i="20"/>
  <c r="CJ37" i="20" s="1"/>
  <c r="AO39" i="20"/>
  <c r="AY26" i="20"/>
  <c r="CJ26" i="20"/>
  <c r="BX39" i="20"/>
  <c r="BZ38" i="20"/>
  <c r="BZ39" i="20" s="1"/>
  <c r="BY151" i="20"/>
  <c r="S7" i="24"/>
  <c r="CB150" i="20"/>
  <c r="CG25" i="20"/>
  <c r="CE35" i="20"/>
  <c r="AL96" i="20"/>
  <c r="AN94" i="20"/>
  <c r="AO94" i="20"/>
  <c r="P15" i="24"/>
  <c r="T15" i="24"/>
  <c r="V15" i="24" s="1"/>
  <c r="U9" i="24"/>
  <c r="U21" i="24" s="1"/>
  <c r="I21" i="24"/>
  <c r="M89" i="23"/>
  <c r="O32" i="23"/>
  <c r="O87" i="23" s="1"/>
  <c r="AI60" i="23"/>
  <c r="R60" i="23"/>
  <c r="CH25" i="20" l="1"/>
  <c r="AZ38" i="20"/>
  <c r="BA38" i="20" s="1"/>
  <c r="AY34" i="20"/>
  <c r="AY35" i="20" s="1"/>
  <c r="AY90" i="20"/>
  <c r="AY92" i="20" s="1"/>
  <c r="AZ90" i="20"/>
  <c r="AZ92" i="20" s="1"/>
  <c r="AQ148" i="20"/>
  <c r="AQ149" i="20" s="1"/>
  <c r="CJ90" i="20"/>
  <c r="CL90" i="20" s="1"/>
  <c r="S11" i="24"/>
  <c r="T11" i="24"/>
  <c r="V11" i="24" s="1"/>
  <c r="AQ80" i="20"/>
  <c r="AO81" i="20"/>
  <c r="AQ109" i="20"/>
  <c r="CL26" i="20"/>
  <c r="CL133" i="20"/>
  <c r="CL20" i="20"/>
  <c r="CL107" i="20"/>
  <c r="AN96" i="20"/>
  <c r="AN80" i="20"/>
  <c r="AN81" i="20" s="1"/>
  <c r="CL50" i="20"/>
  <c r="R22" i="24"/>
  <c r="R19" i="24"/>
  <c r="R21" i="24" s="1"/>
  <c r="R23" i="24" s="1"/>
  <c r="BN38" i="20"/>
  <c r="BL39" i="20"/>
  <c r="BL150" i="20" s="1"/>
  <c r="BL151" i="20" s="1"/>
  <c r="BL152" i="20" s="1"/>
  <c r="CH94" i="20"/>
  <c r="AQ94" i="20"/>
  <c r="AO96" i="20"/>
  <c r="CJ25" i="20"/>
  <c r="CL25" i="20" s="1"/>
  <c r="CG34" i="20"/>
  <c r="CG35" i="20" s="1"/>
  <c r="BY152" i="20"/>
  <c r="BA26" i="20"/>
  <c r="AY37" i="20"/>
  <c r="AY39" i="20" s="1"/>
  <c r="AZ37" i="20"/>
  <c r="AQ35" i="20"/>
  <c r="AZ34" i="20"/>
  <c r="N7" i="24"/>
  <c r="BT35" i="20"/>
  <c r="I22" i="24"/>
  <c r="I23" i="24" s="1"/>
  <c r="CB151" i="20"/>
  <c r="CF151" i="20" s="1"/>
  <c r="BA20" i="20"/>
  <c r="Q9" i="24"/>
  <c r="BX150" i="20"/>
  <c r="M7" i="24"/>
  <c r="AQ39" i="20"/>
  <c r="AI32" i="23"/>
  <c r="R32" i="23"/>
  <c r="M90" i="23"/>
  <c r="M91" i="23"/>
  <c r="BX151" i="20" l="1"/>
  <c r="BZ150" i="20"/>
  <c r="T7" i="24"/>
  <c r="V7" i="24" s="1"/>
  <c r="AZ148" i="20"/>
  <c r="BA90" i="20"/>
  <c r="AZ149" i="20"/>
  <c r="AZ80" i="20"/>
  <c r="AQ81" i="20"/>
  <c r="CL37" i="20"/>
  <c r="AQ96" i="20"/>
  <c r="AZ96" i="20" s="1"/>
  <c r="CJ94" i="20"/>
  <c r="AZ94" i="20"/>
  <c r="AY94" i="20"/>
  <c r="AY96" i="20" s="1"/>
  <c r="AY97" i="20" s="1"/>
  <c r="AZ35" i="20"/>
  <c r="AZ39" i="20"/>
  <c r="K9" i="24"/>
  <c r="BN39" i="20"/>
  <c r="CI151" i="20"/>
  <c r="CF152" i="20"/>
  <c r="BA37" i="20"/>
  <c r="CB152" i="20"/>
  <c r="Q19" i="24"/>
  <c r="S19" i="24" s="1"/>
  <c r="U22" i="24"/>
  <c r="U23" i="24" s="1"/>
  <c r="BR39" i="20"/>
  <c r="BT38" i="20"/>
  <c r="CE38" i="20"/>
  <c r="S9" i="24"/>
  <c r="P7" i="24"/>
  <c r="O89" i="23"/>
  <c r="R89" i="23" s="1"/>
  <c r="CG38" i="20" l="1"/>
  <c r="CJ38" i="20" s="1"/>
  <c r="CL38" i="20" s="1"/>
  <c r="CH38" i="20"/>
  <c r="AZ81" i="20"/>
  <c r="CL94" i="20"/>
  <c r="CL59" i="20"/>
  <c r="BE152" i="20"/>
  <c r="H19" i="24"/>
  <c r="H21" i="24" s="1"/>
  <c r="Q21" i="24"/>
  <c r="S21" i="24" s="1"/>
  <c r="BA94" i="20"/>
  <c r="N9" i="24"/>
  <c r="BT39" i="20"/>
  <c r="CC39" i="20" s="1"/>
  <c r="CA39" i="20"/>
  <c r="BR150" i="20"/>
  <c r="BZ151" i="20"/>
  <c r="BZ152" i="20" s="1"/>
  <c r="Q22" i="24"/>
  <c r="BN150" i="20"/>
  <c r="BX152" i="20"/>
  <c r="M9" i="24"/>
  <c r="O90" i="23"/>
  <c r="O91" i="23"/>
  <c r="S22" i="24" l="1"/>
  <c r="S23" i="24" s="1"/>
  <c r="T9" i="24"/>
  <c r="V9" i="24" s="1"/>
  <c r="J19" i="24"/>
  <c r="J21" i="24" s="1"/>
  <c r="K19" i="24"/>
  <c r="K21" i="24" s="1"/>
  <c r="Q23" i="24"/>
  <c r="BT150" i="20"/>
  <c r="CC150" i="20" s="1"/>
  <c r="BR151" i="20"/>
  <c r="CE39" i="20"/>
  <c r="CA150" i="20"/>
  <c r="K22" i="24"/>
  <c r="BN151" i="20"/>
  <c r="M22" i="24" s="1"/>
  <c r="P9" i="24"/>
  <c r="N19" i="24" l="1"/>
  <c r="CA151" i="20"/>
  <c r="M19" i="24"/>
  <c r="M21" i="24" s="1"/>
  <c r="M23" i="24" s="1"/>
  <c r="K23" i="24"/>
  <c r="BN152" i="20"/>
  <c r="N22" i="24"/>
  <c r="BT151" i="20"/>
  <c r="P22" i="24" s="1"/>
  <c r="CG39" i="20"/>
  <c r="BR152" i="20"/>
  <c r="T19" i="24" l="1"/>
  <c r="V19" i="24" s="1"/>
  <c r="N21" i="24"/>
  <c r="N23" i="24" s="1"/>
  <c r="G34" i="24" s="1"/>
  <c r="G36" i="24" s="1"/>
  <c r="P19" i="24"/>
  <c r="P21" i="24" s="1"/>
  <c r="P23" i="24" s="1"/>
  <c r="BT152" i="20"/>
  <c r="T21" i="24" l="1"/>
  <c r="R85" i="23"/>
  <c r="R87" i="23"/>
  <c r="S87" i="23" s="1"/>
  <c r="V21" i="24" l="1"/>
  <c r="BG115" i="20"/>
  <c r="BG105" i="20" s="1"/>
  <c r="CA115" i="20"/>
  <c r="AI87" i="23"/>
  <c r="AJ87" i="23" s="1"/>
  <c r="CE115" i="20" l="1"/>
  <c r="CG115" i="20" s="1"/>
  <c r="CA118" i="20"/>
  <c r="CC109" i="20"/>
  <c r="BG118" i="20"/>
  <c r="BG148" i="20"/>
  <c r="CC148" i="20" s="1"/>
  <c r="L90" i="23"/>
  <c r="L91" i="23"/>
  <c r="AI89" i="23"/>
  <c r="AJ89" i="23" s="1"/>
  <c r="CC115" i="20"/>
  <c r="CH115" i="20" l="1"/>
  <c r="CE118" i="20"/>
  <c r="CC118" i="20"/>
  <c r="BG149" i="20"/>
  <c r="CC149" i="20" s="1"/>
  <c r="R91" i="23"/>
  <c r="AI91" i="23"/>
  <c r="AJ91" i="23" s="1"/>
  <c r="CJ115" i="20"/>
  <c r="R90" i="23"/>
  <c r="AI90" i="23"/>
  <c r="AJ90" i="23" s="1"/>
  <c r="S89" i="23"/>
  <c r="AM89" i="23"/>
  <c r="AL89" i="23"/>
  <c r="CG118" i="20" l="1"/>
  <c r="CE149" i="20"/>
  <c r="CL115" i="20"/>
  <c r="CE151" i="20"/>
  <c r="H22" i="24"/>
  <c r="BG151" i="20"/>
  <c r="S90" i="23"/>
  <c r="T90" i="23"/>
  <c r="CG149" i="20" l="1"/>
  <c r="CE150" i="20"/>
  <c r="CG150" i="20" s="1"/>
  <c r="H23" i="24"/>
  <c r="T22" i="24"/>
  <c r="T23" i="24" s="1"/>
  <c r="CC151" i="20"/>
  <c r="CC152" i="20" s="1"/>
  <c r="BG152" i="20"/>
  <c r="J22" i="24"/>
  <c r="J23" i="24" s="1"/>
  <c r="CA152" i="20"/>
  <c r="CE152" i="20" l="1"/>
  <c r="V22" i="24"/>
  <c r="V23" i="24" s="1"/>
  <c r="CH151" i="20"/>
  <c r="CG151" i="20"/>
  <c r="CJ151" i="20" l="1"/>
  <c r="CG152" i="20"/>
  <c r="CL151" i="20" l="1"/>
  <c r="CL55" i="20"/>
  <c r="AF150" i="20"/>
  <c r="AF97" i="20"/>
  <c r="AF92" i="20"/>
  <c r="AZ109" i="20"/>
  <c r="AZ97" i="20"/>
  <c r="AQ97" i="20"/>
  <c r="AQ92" i="20"/>
  <c r="AZ150" i="20"/>
  <c r="AQ150" i="20"/>
  <c r="AO150" i="20"/>
  <c r="AL150" i="20"/>
  <c r="AL97" i="20"/>
  <c r="AL92" i="20"/>
  <c r="AB150" i="20"/>
  <c r="AB97" i="20"/>
  <c r="AB92" i="20"/>
  <c r="AP150" i="20"/>
  <c r="AM150" i="20"/>
  <c r="AM97" i="20"/>
  <c r="AM92" i="20"/>
  <c r="O97" i="20"/>
  <c r="O92" i="20"/>
  <c r="AP97" i="20"/>
  <c r="AP92" i="20"/>
  <c r="AO97" i="20"/>
  <c r="AO92" i="20"/>
  <c r="AH92" i="20"/>
  <c r="AH97" i="20"/>
  <c r="AH150" i="20"/>
  <c r="P92" i="20"/>
  <c r="P97" i="20"/>
  <c r="AN92" i="20"/>
  <c r="AN97" i="20"/>
  <c r="AN150" i="20"/>
  <c r="AG150" i="20"/>
  <c r="AG97" i="20"/>
  <c r="AG92" i="20"/>
  <c r="N92" i="20"/>
  <c r="N97" i="20"/>
  <c r="U92" i="20"/>
  <c r="U97" i="20"/>
  <c r="U150" i="20"/>
  <c r="Z92" i="20"/>
  <c r="Z97" i="20"/>
  <c r="Z150" i="20"/>
  <c r="V92" i="20"/>
  <c r="V97" i="20"/>
  <c r="T92" i="20"/>
  <c r="T97" i="20"/>
  <c r="T150" i="20"/>
  <c r="V150" i="20"/>
  <c r="AA92" i="20"/>
  <c r="AA97" i="20"/>
  <c r="AA150"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tc={BC5D4B54-FD48-4C56-85CF-DFF10920E2AC}</author>
    <author>tc={64A4775E-5110-4F1A-97E1-6589F894CC2A}</author>
    <author>tc={442BD6B7-CB34-410F-9D20-A44D6808E2E9}</author>
    <author>tc={FD786312-79AB-4AE6-965E-9F275759639C}</author>
    <author>tc={CEA7280E-677F-4DE6-804B-4CA5C741B9BE}</author>
  </authors>
  <commentList>
    <comment ref="K19" authorId="0" shapeId="0" xr:uid="{BC5D4B54-FD48-4C56-85CF-DFF10920E2AC}">
      <text>
        <t>[Threaded comment]
Your version of Excel allows you to read this threaded comment; however, any edits to it will get removed if the file is opened in a newer version of Excel. Learn more: https://go.microsoft.com/fwlink/?linkid=870924
Comment:
    PRIMAS EN FRINGE MEJOR!!!</t>
      </text>
    </comment>
    <comment ref="G24" authorId="1" shapeId="0" xr:uid="{64A4775E-5110-4F1A-97E1-6589F894CC2A}">
      <text>
        <t>[Threaded comment]
Your version of Excel allows you to read this threaded comment; however, any edits to it will get removed if the file is opened in a newer version of Excel. Learn more: https://go.microsoft.com/fwlink/?linkid=870924
Comment:
    Incluye corrección de $429.000 a una tasa de 4369,073</t>
      </text>
    </comment>
    <comment ref="G34" authorId="2" shapeId="0" xr:uid="{442BD6B7-CB34-410F-9D20-A44D6808E2E9}">
      <text>
        <t>[Threaded comment]
Your version of Excel allows you to read this threaded comment; however, any edits to it will get removed if the file is opened in a newer version of Excel. Learn more: https://go.microsoft.com/fwlink/?linkid=870924
Comment:
    Corrección de $2'551.900 a una tasa de $4781,104993</t>
      </text>
    </comment>
    <comment ref="I35" authorId="3" shapeId="0" xr:uid="{FD786312-79AB-4AE6-965E-9F275759639C}">
      <text>
        <t>[Threaded comment]
Your version of Excel allows you to read this threaded comment; however, any edits to it will get removed if the file is opened in a newer version of Excel. Learn more: https://go.microsoft.com/fwlink/?linkid=870924
Comment:
    medellin</t>
      </text>
    </comment>
    <comment ref="A39" authorId="4" shapeId="0" xr:uid="{CEA7280E-677F-4DE6-804B-4CA5C741B9BE}">
      <text>
        <t>[Threaded comment]
Your version of Excel allows you to read this threaded comment; however, any edits to it will get removed if the file is opened in a newer version of Excel. Learn more: https://go.microsoft.com/fwlink/?linkid=870924
Comment:
    cual es el flujo de envíos y a que lugares?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tc={90BC5EAD-CE2B-4B74-B6A4-B079F4F94879}</author>
  </authors>
  <commentList>
    <comment ref="B2" authorId="0" shapeId="0" xr:uid="{90BC5EAD-CE2B-4B74-B6A4-B079F4F9487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@Vanessa Ardila López , cambiar título porque ya no es RFA.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<sst xmlns="http://schemas.openxmlformats.org/spreadsheetml/2006/main" count="1506" uniqueCount="481">
  <si>
    <t>Name of Subawardee: ProAntioquia</t>
  </si>
  <si>
    <t>USAID RFA No. 7200AA21RFA00001</t>
  </si>
  <si>
    <t>Line Items</t>
  </si>
  <si>
    <t>Year 1</t>
  </si>
  <si>
    <t>Year 2</t>
  </si>
  <si>
    <t>Year 3</t>
  </si>
  <si>
    <t>Year 4</t>
  </si>
  <si>
    <t>Year 5</t>
  </si>
  <si>
    <t>Total</t>
  </si>
  <si>
    <t xml:space="preserve">Total </t>
  </si>
  <si>
    <t xml:space="preserve">Grand </t>
  </si>
  <si>
    <t>USAID</t>
  </si>
  <si>
    <t>Leverage</t>
  </si>
  <si>
    <t>Personnel</t>
  </si>
  <si>
    <t>Fringe Benefits</t>
  </si>
  <si>
    <t>Travel</t>
  </si>
  <si>
    <t>Equipment</t>
  </si>
  <si>
    <t>Supplies</t>
  </si>
  <si>
    <t>Contractual</t>
  </si>
  <si>
    <t>Other Direct Costs</t>
  </si>
  <si>
    <t>Total Direct Costs</t>
  </si>
  <si>
    <t>Indirect Costs</t>
  </si>
  <si>
    <t>USAID Juntos Aprendemos</t>
  </si>
  <si>
    <t>ProAntioquia</t>
  </si>
  <si>
    <t>Subaward Budget</t>
  </si>
  <si>
    <t>Country: Colombia</t>
  </si>
  <si>
    <t>Budget Assumptions</t>
  </si>
  <si>
    <t>Inflation - Locally Purchased Goods/Services - 6%</t>
  </si>
  <si>
    <t>Merit Based Increases for HQ &amp; Field Staff - 4%</t>
  </si>
  <si>
    <t>*Key Personnel</t>
  </si>
  <si>
    <t>Original Budget</t>
  </si>
  <si>
    <t>Actuals/Estimates Year 1 and 2</t>
  </si>
  <si>
    <t>Projections for Year 3 -5</t>
  </si>
  <si>
    <t>New Proposed Budget Total</t>
  </si>
  <si>
    <t>DEFICIT/SURPLUS</t>
  </si>
  <si>
    <t>SALDO</t>
  </si>
  <si>
    <t>BALANCE</t>
  </si>
  <si>
    <t>27 USAID</t>
  </si>
  <si>
    <t>27 LEVERAGE</t>
  </si>
  <si>
    <t>Year 6</t>
  </si>
  <si>
    <t>Year 3- 6</t>
  </si>
  <si>
    <t>BUDGET REALIGNEMENT</t>
  </si>
  <si>
    <t>LINE NUMBER</t>
  </si>
  <si>
    <t>SECTION</t>
  </si>
  <si>
    <t>SUB-SCTION</t>
  </si>
  <si>
    <t>SOURCE</t>
  </si>
  <si>
    <t>Unit</t>
  </si>
  <si>
    <t>Cost</t>
  </si>
  <si>
    <t>Duration</t>
  </si>
  <si>
    <t>Type</t>
  </si>
  <si>
    <t>USAID Year 1 -Actuals August 16, 2021 - December 31, 2021</t>
  </si>
  <si>
    <t>Leverage Year 1 -Actuals August 16, 2021 - December 31, 2021</t>
  </si>
  <si>
    <t xml:space="preserve">USAID Year 2 -Actuals/Estimate January 1, 2022 - December 31, 2022 </t>
  </si>
  <si>
    <t xml:space="preserve">Leverage Year 2 -Actuals/Estimate January 1, 2022 - December 31, 2022 </t>
  </si>
  <si>
    <t>USAID EXECUTED</t>
  </si>
  <si>
    <t>LEVERAGE EXECUTED</t>
  </si>
  <si>
    <t>TOTAL EXECUTED</t>
  </si>
  <si>
    <t>Balance remaining</t>
  </si>
  <si>
    <t>Balance Remaining</t>
  </si>
  <si>
    <t>Control</t>
  </si>
  <si>
    <t>NOTAS</t>
  </si>
  <si>
    <t>Total USAID</t>
  </si>
  <si>
    <t>Total Leverage</t>
  </si>
  <si>
    <t>Grand Total</t>
  </si>
  <si>
    <t>USAID
DEFICIT/SURPLUS</t>
  </si>
  <si>
    <t>LEVERAGE
DEFICIT/SURPLUS</t>
  </si>
  <si>
    <t>TOTAL
DEFICIT/SURPLUS</t>
  </si>
  <si>
    <t>Partnerships and Alliances Director*</t>
  </si>
  <si>
    <t>Partnerships and Alliances Coordinator</t>
  </si>
  <si>
    <t>Education Director (HQ-ProAntioquia)</t>
  </si>
  <si>
    <t>Teacher Training Specialist (2)</t>
  </si>
  <si>
    <t>Visual Documentation
Communications Professional</t>
  </si>
  <si>
    <t>Content Development Professional</t>
  </si>
  <si>
    <t>Finance &amp; Admin Coordinator
Project Analyst</t>
  </si>
  <si>
    <t>Fringe Benefits – Colombia HQ and Field Staff (above $2,600 monthly)</t>
  </si>
  <si>
    <t>Local Transportation (Airfare, Taxis, &amp; Rental Car/Driver) for Directors</t>
  </si>
  <si>
    <t>Meals and Incidentals for Directors</t>
  </si>
  <si>
    <t>Lodging for Directors</t>
  </si>
  <si>
    <t>Other Travel Related Expenses for Directors</t>
  </si>
  <si>
    <t>Meals and Incidentals for Site Visits and M&amp;E</t>
  </si>
  <si>
    <t>Lodging for Site Visits and M&amp;E</t>
  </si>
  <si>
    <t>Other Travel Related Expenses for Site Visits and M&amp;E</t>
  </si>
  <si>
    <t>Vehicle Fuel Expense</t>
  </si>
  <si>
    <t>Local Transportation for Advisory Board Meetings</t>
  </si>
  <si>
    <t>Meals and Incidentals for Advisory Board Meetings</t>
  </si>
  <si>
    <t>Lodging for Advisory Board Meetings</t>
  </si>
  <si>
    <t>Other Travel Related Expenses for Advisory Board Meetings</t>
  </si>
  <si>
    <t>Local Transportation for Annual Forums</t>
  </si>
  <si>
    <t>Meals and Incidentals for Annual Forums</t>
  </si>
  <si>
    <t>Lodging for Annual Forums</t>
  </si>
  <si>
    <t>Other Travel Related Expenses for Annual Forums</t>
  </si>
  <si>
    <t>Local Transportation for SMT Meetings</t>
  </si>
  <si>
    <t>Meals and Incidentals for SMT Meetings</t>
  </si>
  <si>
    <t>Lodging for SMT Meetings</t>
  </si>
  <si>
    <t>Other Travel Related Expenses for SMT Meetings</t>
  </si>
  <si>
    <t>Local Transportation for Steering Committee Meeting</t>
  </si>
  <si>
    <t>Meals and Incidentals for Steering Committee Meeting</t>
  </si>
  <si>
    <t>Lodging for Steering Committee Meeting</t>
  </si>
  <si>
    <t>Other Travel Related Expenses for Steering Committee Meeting</t>
  </si>
  <si>
    <t xml:space="preserve"> Vehicle for Field Office</t>
  </si>
  <si>
    <t>Personal Protective Equipment (Gloves, Masks, Hand Sanitizer, Antibacterial Wipes etc.)</t>
  </si>
  <si>
    <t>Consultant for data analysis to build public policy guidelines</t>
  </si>
  <si>
    <t>Consultant for technical advice for advocacy on public policy</t>
  </si>
  <si>
    <t>Entrena-QL methodology for development of educational materials</t>
  </si>
  <si>
    <t>Local Office Security Contractor (Local Hire)</t>
  </si>
  <si>
    <t>Prototypes and pilots of educational materials</t>
  </si>
  <si>
    <t>Adaptation of existing content and methodologies for educational materials</t>
  </si>
  <si>
    <t>Content for school campaigns</t>
  </si>
  <si>
    <t>Translation costs</t>
  </si>
  <si>
    <t>Courier fees/services/postage</t>
  </si>
  <si>
    <t xml:space="preserve">Banking and cash handling fees </t>
  </si>
  <si>
    <t>Vehicle Insurance &amp; Maintenance</t>
  </si>
  <si>
    <t>Development of teacher training books for Replica Workshops</t>
  </si>
  <si>
    <t>Graphic and operational design of digital courses</t>
  </si>
  <si>
    <t>Graphic design for teachers training materials</t>
  </si>
  <si>
    <t>Transport of books for children</t>
  </si>
  <si>
    <t>Process systematization book</t>
  </si>
  <si>
    <t>Videos for teacher training</t>
  </si>
  <si>
    <t>Books for children (Collection of NEXO literary)</t>
  </si>
  <si>
    <t>Printing of informational materials</t>
  </si>
  <si>
    <t>Round table with local private sector to build public policy guidelines</t>
  </si>
  <si>
    <t>Regional workshops about strategic themes of public policy guidelines</t>
  </si>
  <si>
    <t xml:space="preserve">M&amp;E Database Platform Access </t>
  </si>
  <si>
    <t>Data Collection Tools</t>
  </si>
  <si>
    <t>On-going Training Workshops for Data Collection Staff</t>
  </si>
  <si>
    <t>PERSONNEL</t>
  </si>
  <si>
    <t xml:space="preserve">Headquarters Personnel </t>
  </si>
  <si>
    <t>LOE</t>
  </si>
  <si>
    <t>Project Office (Bogota)</t>
  </si>
  <si>
    <t>/months</t>
  </si>
  <si>
    <t>Key Personnel responsable de liderar la implementación de procesos y actividades de formalización de Alianzas. Se contrata la nueva persona en este rol el 8 de mayo de 2023 por el tiempo del proyecto.</t>
  </si>
  <si>
    <t>Responsable de coordinar la implementación de procesos y actividades de formalización de alianzas en el marco del programa Juntos Aprendemos .</t>
  </si>
  <si>
    <t>ProAntioquia Office</t>
  </si>
  <si>
    <t>LEVERAGE</t>
  </si>
  <si>
    <t>Tiempos de dedicación al programa de la dirección del area de Educación de la fundación Proantioquia. (Leverage).</t>
  </si>
  <si>
    <t>Subtotal HQ Personnel</t>
  </si>
  <si>
    <t>Field Personnel</t>
  </si>
  <si>
    <t xml:space="preserve">Especialistas responsables de acompañar los procesos de diseño, ejecución y evaluación de programas educativos desde la creación de escenarios que favorezcan la consolidación de prácticas de mediación de maestros/ambientes de aprendizaje incluyentes o con enfoque GESI. Son 2 personas, cargadas al 100%. </t>
  </si>
  <si>
    <t>Teacher Training Professionals (4)</t>
  </si>
  <si>
    <t>Profesionales responsables de acompañar los procesos de planeación, diseño, ejecución y evaluación de programas educativos desde la creación de escenarios que favorezcan la consolidación de prácticas de mediación de maestros/ambientes de aprendizaje incluyentes o con enfoque GESI. Son 4 personas, cargadas al 100%.</t>
  </si>
  <si>
    <r>
      <rPr>
        <sz val="10"/>
        <rFont val="Times New Roman"/>
        <family val="1"/>
      </rPr>
      <t xml:space="preserve">Administrative Coordinator
</t>
    </r>
    <r>
      <rPr>
        <sz val="10"/>
        <color rgb="FF00B050"/>
        <rFont val="Times New Roman"/>
        <family val="1"/>
      </rPr>
      <t>Administrative and Organizational Cultural Leader</t>
    </r>
  </si>
  <si>
    <t>Tiempos de dedicación de la lider administrativa y de cultura organizacional de la fundación Proantioquia al proyecto, en especifico en la coordinación y manejo de temas administrativos propios de movimientos contables y de personal adscritos al programa desde lo que comprende la operación de Proantioquia en el programa Juntos Aprendemos. (Leverage).</t>
  </si>
  <si>
    <t>Professional Accountant</t>
  </si>
  <si>
    <t>Tiempos de dedicación de la profesional contable de la fundación Proantioquia al proyecto, en especifico en la coordinación y manejo de temas contables desde lo que comprende la operación de Proantioquia en el programa Juntos Aprendemos. (Leverage).</t>
  </si>
  <si>
    <t>Tiempos de dedicación del area de comunicaciones de la fundación Proantioquia en el programa Juntos Aprendemos. (Leverage).</t>
  </si>
  <si>
    <t>Tiempos de dedicación del area de educación de la fundación Proantioquia al proyecto, en especifico en temas vinculados a la generación de contenidos y gestión del conocimiento. (Leverage).Esta linea no se requiere.</t>
  </si>
  <si>
    <t>Responsable de realizar los reportes financieros al cooperante, dar tramite administrativo a las solicitudes de fondos, accruals y demas requerimientos que desde POA sean solicitados para dar cumplimiento a las responsabilidades contractuales adquiridas con el subacuerdo y da cuenta de la operación de la fundación Proantioquia sobre la ejecución de las subactividades y demas información que pueda ser solicitada, se espera que esta persona esté activa hasta el final de proyecto.</t>
  </si>
  <si>
    <t>Operations and Planning Professional
Human Resources Professional</t>
  </si>
  <si>
    <t>Tiempos de dedicación del area de gestion humana de la fundación Proantioquia al proyecto, en especifico en la coordinación y manejo de manejo de personal adscritos al programa desde lo que comprende la operación de Proantioquia en el programa Juntos Aprendemos. (Leverage).</t>
  </si>
  <si>
    <t xml:space="preserve">Juntos Aprendemos Project Leader </t>
  </si>
  <si>
    <t>Responsable de coordinar la implementación de procesos y actividades de formación de maestros en el marco del programa Juntos Aprendemos, se espera que esta persona esté activa hasta el final de proyecto.</t>
  </si>
  <si>
    <t>Logistics professional</t>
  </si>
  <si>
    <t>Responsable de asistir, acompañar y soportar los procesos logísticos del proyecto Juntos Aprendemos, se espera que esta persona esté activa hasta el final de proyecto.</t>
  </si>
  <si>
    <t>Monitoring, evaluation and Learning (MEL) professional</t>
  </si>
  <si>
    <t>Responsable de participar y dar el manejo objetivo de los datos según requerimientos de la mesa de monitoreo y evaluación del programa Juntos Aprendemos, se espera que esta persona esté activa hasta el final de proyecto.</t>
  </si>
  <si>
    <t>Metrics Analyst</t>
  </si>
  <si>
    <t>Responsable de centralizar y acompañar los procesos de manejo y reporte de datos del programa Juntos Aprendemos desde lo comprendido en la operación de Proantioquia ademas de brindar apoyo al profesional de monitoreo y evaluación según las solicitudes que tenga desde su participación dentro del proyecto.</t>
  </si>
  <si>
    <t>Administrative Assistant</t>
  </si>
  <si>
    <t>Responsable de registrar los movimientos contables del proyecto, preparar los pagos de seguridad social, nómina y obligaciones de los colaboradores del proyecto, se espera que esta persona esté activa hasta el final de proyecto.</t>
  </si>
  <si>
    <t xml:space="preserve">Operations Assistant </t>
  </si>
  <si>
    <t>Responsable de apoyar las tareas operativas, documentales, logísticas y la sistematización de datos del programa Juntos Aprendemos desde la fundación Proantioquia, se espera que esta persona esté activa hasta el final de proyecto.</t>
  </si>
  <si>
    <t>Subtotal Field Personnel</t>
  </si>
  <si>
    <t>Personnel Total</t>
  </si>
  <si>
    <t>FRINGE BENEFITS</t>
  </si>
  <si>
    <t>MIXED</t>
  </si>
  <si>
    <t>Seguridad social (sobre $2,600), se dejará todo en una sola línea dado que el calculo porcentual a cargar es el mismo para todo el personal</t>
  </si>
  <si>
    <t>Fringe Benefits - Colombia HQ and Field Staff (below $2,600 monthly)</t>
  </si>
  <si>
    <t>Seguridad social: para lo reportado mes a mes se registra lo efectivamente pagado (30,54%) sobre el salario mensual percibido por los colaboradores (Salud 8,5%, Pensión 12%, Caja de compensación familiar 4%, ARL 1,044%, Sena 2%, ICBF 3%), el restante exigido por ley se reporta en los periodos en que sea efectivamente pagado (provision de vacaciones (4,17%), provision de prima (8,33%), de ello el valor a cargar mes a mes es de 52,4% sobre el salario mensual percibido,  para un total cargado a seguridad social de 52,4%. El valor relacionado comprende las provisiones del año 2022 efectivamente pagado en el año 2023. El valor presentado para el año 2023 incluye  provision de cesantias (8,33%), provision de int ces (1%) del año 2022 los cuales fueron efectivamente pagados en el mes de enero de 2023. El valor presentado para el 2023 corresponde a lo efectivamente pagado (30,54%) sobre el salario mas los pagos correspondientes a primas legales , se excluyen los pagos de cesantias e intereses a cesantias para ser sumados en el año 2024 dada la limitación del monto obligado actual</t>
  </si>
  <si>
    <t>Fringe Benefits Total</t>
  </si>
  <si>
    <t>TRAVEL</t>
  </si>
  <si>
    <t>Staff Travel</t>
  </si>
  <si>
    <t>Local Transportation (Airfare, Taxis, &amp; Rental Car/Driver)</t>
  </si>
  <si>
    <t>/trip</t>
  </si>
  <si>
    <t>Este valor comprende transporte aéreo y terrestre vinculados a la operación del proyecto. Se estiman 137 viajes relacionados con S+M (esto comprende la operación en 3 ciudades que son Santa Marta, Cali y Riohacha para el desarrollo de 5 sesiones vinculadas a actividades de formación a docentes en un total de 47 sedes educativas) este despliegue requiere transporte aéreo ida y vuelta  a las ciudades seleccionadas, transporte terrestre hacia los aeropuertos y desplazamiento en campo (adjunto programación) se estima que se realice un viaje por sesión y que en promedio los formadores y personal de apoyo estén 2 días en territorio. De manera adicional, para el desarrollo de las plenarias docentes se requiere que asistan a territorio además del formador, un apoyo para la recolección de datos, 28 viajes relacionados con la subactividad Directivos Docentes, 2 para asuntos generales del proyecto que puede incluir actividades relacionadas con monitoreo y evaluación o actividades GESI y 2 para Alianzas para un total de 169 viajes. según la experiencia en este tipo de actividades.</t>
  </si>
  <si>
    <t xml:space="preserve">Meals and incidentals </t>
  </si>
  <si>
    <t>/day</t>
  </si>
  <si>
    <t>Este valor comprende viáticos de los colaboradores en campo. Se estiman 137 viajes relacionados con S+M (esto comprende la operación en 3 ciudades que son: Santa Marta, Cali y Riohacha para el desarrollo de 5 sesiones vinculadas a actividades de formación a docentes en un total de 47 sedes educativas) se estima que se realice un viaje por sesión y que en promedio los formadores y personal de apoyo estén 2 días en territorio, el valor unitario corresponde a un estimado de “viaticos perdiem” para que la persona en campo pueda tener acceso a su alimentación e hidratación, esto dado las cantidades de viáticos aprobadas por ciudad, este valor será legalizado por la persona en campo cuando regrese de su viaje dando cuenta de las exclusiones de gasto que le son aplicables desde lo ocurrido. de manera adicional para el desarrollo de las plenarias docentes se requiere que asistan a territorio además del formador, un apoyo  para la recolección de datos, 28 relacionados con DD, 2 para asuntos generales del proyecto que puede incluir actividades relacionadas con monitoreo y evaluación o actividades GESI y 2 para Alianzas para un total de 170 perdiem.</t>
  </si>
  <si>
    <t xml:space="preserve">Lodging </t>
  </si>
  <si>
    <t>Este valor comprende hospedajes y otros costos imprevistos que puedan derivarse de la operación. Se estiman 137 viajes relacionados con S+M (esto comprende la operación en 3 ciudades que son: Santa Marta, Cali y Riohacha para el desarrollo de 5 sesiones vinculadas a actividades de formación a docentes en un total de 47 sedes educativas) de manera adicional para el desarrollo de las plenarias docentes se requiere que asistan a territorio además del formador, un apoyo  para la recolección de datos, este despliegue requiere transporte aéreo ida y vuelta  a las ciudades seleccionadas, transporte terrestre hacia los aeropuertos y desplazamiento en campo (adjunto programación) se estima que se realice un viaje por sesión y que en promedio los formadores y personal de apoyo estén 2 días en territorio lo que requiere un estimado de una noche de alojamiento, 28 relacionados con DD, 2 para asuntos generales del proyecto que puede incluir actividades relacionadas con monitoreo y evaluación o actividades GESI y 3 para Alianzas para un total de 170 hospedajes.</t>
  </si>
  <si>
    <t>Subtotal Staff Travel</t>
  </si>
  <si>
    <t>HQ Staff Travel</t>
  </si>
  <si>
    <t>Transporte local para que los directores viajen a las diferentes áreas de implementación para supervisar las actividades del proyecto, incluidas las actividades de formación de docentes. Esta linea no se requiere.</t>
  </si>
  <si>
    <t>Comidas e imprevistos para que los Directores viajen a las diferentes áreas de implementación para supervisar las actividades del proyecto, incluidas las actividades de Formación de Profesores. Esta linea no se requiere.</t>
  </si>
  <si>
    <t>Alojamiento para que los Directores viajen a las diferentes áreas de implementación para supervisar las actividades del proyecto, incluidas las actividades de Formación de Docentes. Esta linea no se requiere.</t>
  </si>
  <si>
    <t>Otros gastos relacionados con los viajes de los Directores para viajar a las diferentes áreas de implementación. Esta linea no se requiere.</t>
  </si>
  <si>
    <t>Subtotal HQ Staff Travel</t>
  </si>
  <si>
    <t>Field Travel</t>
  </si>
  <si>
    <t>T.1 Field Staff Travel for Site Visits and M&amp;E</t>
  </si>
  <si>
    <t>Local Transportation (Airfare, Taxis, &amp; Rental Car/Driver) for Site Visits and M&amp;E</t>
  </si>
  <si>
    <t>Transporte local, incluidos pasajes aéreos, taxis y alquiler de automóviles/conductor, presupuestado para que el personal de campo viaje para llevar a cabo actividades de monitoreo y evaluación, incluida la recopilación y verificación de datos. Esta linea no se requiere.</t>
  </si>
  <si>
    <t>Comidas e imprevistos para que el personal local viaje para llevar a cabo actividades de seguimiento y evaluación, incluida la recopilación y verificación de datos. Esta linea no se requiere.</t>
  </si>
  <si>
    <t>Alojamiento para personal local para llevar a cabo actividades de seguimiento y evaluación, incluida la recopilación y verificación de datos. Esta linea no se requiere.</t>
  </si>
  <si>
    <t>Otros gastos de viaje relacionados con el personal local para llevar a cabo actividades de seguimiento y evaluación, incluida la recopilación y verificación de datos. Esta linea no se requiere.</t>
  </si>
  <si>
    <t>T.2 Local Travel in Antioquia for Field Staff</t>
  </si>
  <si>
    <t>/month</t>
  </si>
  <si>
    <t>Gastos de combustible vehicular para el vehículo del proyecto. Esta linea no se requiere.</t>
  </si>
  <si>
    <t>T.3 Travel for Advisory Board Meetings - 2 Annually</t>
  </si>
  <si>
    <t>Vuelos domésticos locales dentro del país, transporte desde y hacia los aeropuertos y algunos transportes locales para que el personal de ProAntioquia participe en las reuniones de la Junta Asesora de Juntos Aprendemos. Esta linea no se requiere.</t>
  </si>
  <si>
    <t>Alimentos y gastos imprevistos para que el personal de ProAntioquia participe en las reuniones de la Junta Asesora de Juntos Aprendemos. Esta linea no se requiere.</t>
  </si>
  <si>
    <t>Alojamiento para que el personal de ProAntioquia participe en las reuniones de la Junta Asesora de Juntos Aprendemos. Esta linea no se requiere.</t>
  </si>
  <si>
    <t>Otros gastos de viaje relacionados con que el personal de ProAntioquia participe en las reuniones de la Junta Asesora de Juntos Aprendemos. Esta linea no se requiere.</t>
  </si>
  <si>
    <t>T.4 Travel for Annual Forums for Education Observatories</t>
  </si>
  <si>
    <t>Vuelos domésticos locales dentro del país, transporte desde y hacia los aeropuertos y algunos transportes locales para que el personal de ProAntioquia participe en los Foros Anuales Juntos Aprendemos para observatorios educativos. Esta linea no se requiere.</t>
  </si>
  <si>
    <t>Alimentos y gastos imprevistos para que el personal de ProAntioquia participe en los Foros Anuales Juntos Aprendemos para observatorios educativos. Esta linea no se requiere.</t>
  </si>
  <si>
    <t>Alojamiento para que el personal de ProAntioquia participe en los Foros Anuales Juntos Aprendemos para observatorios educativos. Esta linea no se requiere.</t>
  </si>
  <si>
    <t>Otros gastos de viaje relacionados a que el personal de ProAntioquia participe en los Foros Anuales Juntos Aprendemos para observatorios educativos. Esta linea no se requiere.</t>
  </si>
  <si>
    <t>T.5 Travel to SMT In-Person Meetings in Bogota</t>
  </si>
  <si>
    <t>Vuelos domésticos locales en el país, transporte desde y hacia los aeropuertos y algunos transportes locales para que el personal de ProAntioquia participe en las reuniones presenciales del SMT en Bogotá.Esta linea no se requiere.</t>
  </si>
  <si>
    <t>Alimentos y gastos imprevistos para que el personal de ProAntioquia participe en las reuniones presenciales del SMT en Bogotá.Esta linea no se requiere.</t>
  </si>
  <si>
    <t>Alojamiento para que el personal de ProAntioquia participe en las reuniones presenciales del SMT en Bogotá.Esta linea no se requiere.</t>
  </si>
  <si>
    <t>Otros gastos de viaje relacionados con que el personal de ProAntioquia participe en las reuniones presenciales del SMT en Bogotá. Esta linea no se requiere.</t>
  </si>
  <si>
    <t>T.6 Travel to Annual In-Person Steering Committee Meeting in Bogota</t>
  </si>
  <si>
    <t>Vuelos domésticos locales en el país, transporte desde y hacia los aeropuertos y algunos transportes locales para que el personal de ProAntioquia participe en las reuniones anuales presenciales del Comité Directivo de Juntos Aprendemos en Bogotá. Esta linea no se requiere.</t>
  </si>
  <si>
    <t>Alimentos y gastos imprevistos para que el personal de ProAntioquia participe en las reuniones anuales presenciales del Comité Directivo de Juntos Aprendemos en Bogotá. Esta linea no se requiere.</t>
  </si>
  <si>
    <t>Alojamiento para que el personal de ProAntioquia participe en las reuniones anuales presenciales del Comité Directivo de Juntos Aprendemos en Bogotá. Esta linea no se requiere.</t>
  </si>
  <si>
    <t>Otros gastos de viaje relacionados con que el personal de ProAntioquia participe en las reuniones anuales presenciales del Comité Directivo de Juntos Aprendemos en Bogotá. Esta linea no se requiere.</t>
  </si>
  <si>
    <t>Subtotal Field Travel</t>
  </si>
  <si>
    <t>Travel Total</t>
  </si>
  <si>
    <t>Equipment  - Over $5,000 USD</t>
  </si>
  <si>
    <t>EQUIPMENT</t>
  </si>
  <si>
    <t>VEHICLE</t>
  </si>
  <si>
    <t>/unit</t>
  </si>
  <si>
    <t>El presupuesto original incluía la compra de un (1) vehículo (siguiendo las pautas de adquisición y los requisitos de abastecimiento de USAID) para las operaciones del proyecto en Antioquia. Esta linea no se requiere.</t>
  </si>
  <si>
    <t>Equipment Total</t>
  </si>
  <si>
    <t>Supplies - Under $5,000 USD</t>
  </si>
  <si>
    <t>Office supplies &amp; stationery</t>
  </si>
  <si>
    <t>SUPPLIES</t>
  </si>
  <si>
    <t>Recursos requeridos para la compra de materiales de apoyo a los talleres e insumos menores para el desarrollo de las funciones del equipo, tales como papelería, elementos de oficina como impresora, tintas para impresión, tablero, elementos de apoyo audiovisual.</t>
  </si>
  <si>
    <t>Subtotal Supplies</t>
  </si>
  <si>
    <t>HQ Office Supplies</t>
  </si>
  <si>
    <t>Laptops and software</t>
  </si>
  <si>
    <t xml:space="preserve">El presupuesto original incluía la compra de (1) computadora portátil según las cotizaciones locales. </t>
  </si>
  <si>
    <t>Workspaces (Space, furniture, internet access, telephone and meeting room)</t>
  </si>
  <si>
    <t>Espacios de oficina del programa cargado al 100% y alquiler de la bodega donde se almacenan los materiales, libros y otros elementos asociados a la ejecución de la subactividad Ser+Maestro.</t>
  </si>
  <si>
    <t>Subtotal HQ Office Supplies</t>
  </si>
  <si>
    <t>Field Office Supplies</t>
  </si>
  <si>
    <t>Desktop computers, laptops and software</t>
  </si>
  <si>
    <t>Rubro para la compra de equipos de cómputo (estimado en USD 750) y software (se estima 1 desarrollo para mejorar el proceso de recolección de datos estimado en USD 563,33) y/o licencias (se estiman 2 licencias de power bi anual por valor de USD 220) para el trabajo de los profesionales del proyecto además de costos de mantenimiento de los ya adquiridos según necesidades de la operación (según experiencia de Proantioquia se estima en USD 300).</t>
  </si>
  <si>
    <t>Rubro para la compra y disposición de elementos de cuidado de la bioseguridad en campo en procesos de formación y eventos que se realicen desde la operación de Proantioquia en JA. SE suspende este requisito en mayo 2023.</t>
  </si>
  <si>
    <t>Subtotal Field Office Supplies</t>
  </si>
  <si>
    <t>Supplies Total</t>
  </si>
  <si>
    <t>Consultants</t>
  </si>
  <si>
    <t>CONTRACTUAL</t>
  </si>
  <si>
    <t>CONSULTANTS</t>
  </si>
  <si>
    <t>El presupuesto original incluía un consultor local de análisis de datos al 50% LOE durante 15 meses para construir lineamientos de política pública. Esta linea no se requiere.</t>
  </si>
  <si>
    <t>El presupuesto original incluía un consultor de asesoría técnica local al 50% LOE durante 20 meses para apoyar en la incidencia en políticas públicas. Se sugiere agrupar las consultorias en una sola línea aparte.</t>
  </si>
  <si>
    <t>El presupuesto original incluía contratar a la firma dominicana Entrena al 50% LOE durante 2 meses para apoyar en la transferencia de la metodología Quantum Learning (QL) al programa. Esta linea no se requiere.</t>
  </si>
  <si>
    <t>Consultants – Technical Assistance for Activity Programming</t>
  </si>
  <si>
    <t>Recurso solicitado para la contratación de personal que brinde apoyo profesional en temas específicos al proyecto. Este recurso se requiere para  apoyos de bajo costo para diligenciamiento de datos (se estima en 2 momentos para un valor de USD 1155,35) además de Costos asociados a la búsqueda y selección de la persona que asumirá la dirección de alianzas para el programa Juntos Aprendemos en calidad de headhunter ($5.603,75).</t>
  </si>
  <si>
    <t>Rapid Response Fund Consultant Pool</t>
  </si>
  <si>
    <t>Subtotal Consultants</t>
  </si>
  <si>
    <t>Security</t>
  </si>
  <si>
    <t>SECURITY</t>
  </si>
  <si>
    <t>El presupuesto original incluía la contratación de un contratista de seguridad local para llevar a cabo el detalle de seguridad de la oficina del proyecto para garantizar que el personal, los participantes y las partes interesadas estén equipados con los protocolos de seguridad necesarios para llevar a cabo las actividades del proyecto de manera segura. Esta linea no se requiere.</t>
  </si>
  <si>
    <t>Subtotal Security</t>
  </si>
  <si>
    <t>Contractual Total</t>
  </si>
  <si>
    <t>HQ - Other Direct Costs</t>
  </si>
  <si>
    <t>OTHER DIRECT COSTS</t>
  </si>
  <si>
    <t>HQ</t>
  </si>
  <si>
    <t>El presupuesto original incluía materiales educativos prototipo y piloto.</t>
  </si>
  <si>
    <t>El presupuesto original incluía esta línea de gastos de apalancamiento para adaptar el contenido y las metodologías existentes para materiales educativos de las actividades del proyecto. Se propone eliminar y redistribuir en otro apalancamiento</t>
  </si>
  <si>
    <t>El presupuesto original incluía este apalancamiento de ProAntioquia para el desarrollo de contenidos generales para una campaña de comunicación en las escuelas. Esta linea no se requiere.</t>
  </si>
  <si>
    <t>Rapid response fund ODC Pool</t>
  </si>
  <si>
    <t>RAPID RESPONSE</t>
  </si>
  <si>
    <t>Fondo de respuesta rapida solicitado por USAID para el 2023, por el 3% del monto obligado a sep.2023</t>
  </si>
  <si>
    <t>Food (snacks) for activities</t>
  </si>
  <si>
    <t>Este recurso incluye la alimentación que se requiere en el marco de los talleres de formación, eventos y reuniones estratégicas del programa.  Se estiman 6626 asistencias a las subactividades vinculadas con S+M y DD, de manera adicional Se estiman 155 sesiones de formación a docentes en el marco de operación de la subactividad Ser+Maestro, 32 vinculados a la subactividad Directivos Docentes y 10 para eventos vinculados a alianzas y comprende refrigerios para asistentes a los eventos de formación a docentes.</t>
  </si>
  <si>
    <t>Food (coffee station) for activities</t>
  </si>
  <si>
    <t>Este recurso incluye la alimentación que se requiere en el marco de los talleres de formación, eventos y reuniones estratégicas del programa.  Se estiman 155 sesiones de formación a docentes en el marco de operación de la subactividad Ser+Maestro, 32 vinculados a la subactividad Directivos Docentes y 10 para eventos vinculados a alianzas y fortalecimiento institucional.</t>
  </si>
  <si>
    <t>Subtotal HQ Other Direct Costs</t>
  </si>
  <si>
    <t>Field Office (FO) - Other Direct Costs</t>
  </si>
  <si>
    <t>FIELD OFFICE</t>
  </si>
  <si>
    <t>/year</t>
  </si>
  <si>
    <t>El presupuesto original incluía la traducción de los materiales del proyecto.</t>
  </si>
  <si>
    <t>El presupuesto original incluía tarifas de mensajería, servicios y gastos postales relacionados con las actividades del proyecto.</t>
  </si>
  <si>
    <t xml:space="preserve">Gastos bancarios, se estima un gasto menor de acuerdo con la experiencia. </t>
  </si>
  <si>
    <t>Gastos de seguro vehicular y mantenimiento del vehículo del proyecto. Esta linea no se requiere.</t>
  </si>
  <si>
    <t>Objective 1: Improved quality of education for children and youth in receptor communities</t>
  </si>
  <si>
    <t>El presupuesto original incluía el desarrollo de libros para la formación de docentes durante los Talleres Réplica</t>
  </si>
  <si>
    <t>Diseño gráfico y desarrollo de cinco (5) cursos digitales.</t>
  </si>
  <si>
    <t>Dseño gráfico de materiales de formación docente. Esta linea no se requiere.</t>
  </si>
  <si>
    <t>Development of digital network strategy for Parche Maestro</t>
  </si>
  <si>
    <t>El presupuesto original contemplaba el diseño y desarrollo de cuatro (4) estrategias digitales de formación docente</t>
  </si>
  <si>
    <t>Transport of books for teacher training Replica Workshops</t>
  </si>
  <si>
    <t>El presupuesto original incluía el transporte de los libros de formación docente para los Talleres Réplica</t>
  </si>
  <si>
    <t>El presupuesto original incluía el transporte de libros infantiles para los Talleres de Réplica. Esta linea no se requiere.</t>
  </si>
  <si>
    <t>Graphic design of classroom guides</t>
  </si>
  <si>
    <t xml:space="preserve">Proantioquia is budgeting for the graphic design of teacher training materials. The estimated cost is based on Proantioquia’s previous experience with similar designs </t>
  </si>
  <si>
    <t>El presupuesto original incluía producir 1.000 ejemplares de un libro que recopile la sistematización del proceso del proyecto</t>
  </si>
  <si>
    <t>El presupuesto original incluía la producción de tres (3) videos de capacitación docente</t>
  </si>
  <si>
    <t>El presupuesto original incluía la dotación de 4.000 libros de la colección literaria NEXO para los niños participantes. Esta linea no se requiere.</t>
  </si>
  <si>
    <t>Editorial production</t>
  </si>
  <si>
    <t>/kit</t>
  </si>
  <si>
    <t>Este recurso está asociado a la edición, impresión, diagramación y diseño de los libros pertenecientes al programa ser + maestro y otras actividades (4 libros y 1 bitacora, se proyecta la elaboración de 1000 kits)</t>
  </si>
  <si>
    <t>Objective 2: Increased access to quality education for children and youth in receptor communities</t>
  </si>
  <si>
    <t>Local government and community-based organizations support the enrollment of children and youth in schools</t>
  </si>
  <si>
    <t>Work sessions with interest stakeholders</t>
  </si>
  <si>
    <t>/meeting</t>
  </si>
  <si>
    <t xml:space="preserve">Recurso solicitado por alianzas para la generación de eventos y encuentros que les permitan promover el trabajo con nuevos aliados, este rubro comprende toda la logística y desarrollo para estos encuentros, se estiman 3 encuentros importantes y 2 encuentros pequeños para un total de 5 en el año 2023. </t>
  </si>
  <si>
    <t>El presupuesto original incluía la impresión de materiales informativos para 23 mesas redondas para brindar asistencia técnica al gobierno local y las organizaciones comunitarias para desarrollar su capacidad para apoyar la inscripción de niños y jóvenes en las escuelas.</t>
  </si>
  <si>
    <t>Objective 3: Strengthened community engagement in educational opportunities</t>
  </si>
  <si>
    <t>El presupuesto original incluía gastos para dos (2) mesas redondas con actores del sector privado local para construir lineamientos de política pública</t>
  </si>
  <si>
    <t>El presupuesto original incluía gastos de talleres para nueve (9) talleres sobre temas estratégicos de lineamientos de política pública.</t>
  </si>
  <si>
    <t>Monitoring, Evaluation, and Collection of Reliable Data</t>
  </si>
  <si>
    <t>Acceso a la plataforma de base de datos de M&amp;E para subir datos sobre el avance de sus actividades e indicadores a la base de datos Juntos Aprendemos</t>
  </si>
  <si>
    <t>Rubro para la impresión de instrumentos de recolección de información para los asistentes a los procesos de formación tanto de S+M como de DD para la obtención de datos relacionados tanto de la operación del programa Juntos Aprendemos como de información a reportar para la mesa de monitoreo y evaluación además de información adicional que pueda servir de insumo para la medición y comparación de resultados.</t>
  </si>
  <si>
    <t>On-going M&amp;E Training Workshops</t>
  </si>
  <si>
    <t>/workshop</t>
  </si>
  <si>
    <t>Talleres continuos de capacitación en M&amp;E para desarrollar capacidades y reforzar los requisitos y lineamientos de M&amp;E dentro de su personal para la recopilación y el informe precisos de datos sobre las actividades del proyecto en función de los requisitos de USAID.</t>
  </si>
  <si>
    <t>Talleres continuos de capacitación en M&amp;E para reforzar los requisitos y lineamientos de M&amp;E dentro de su personal de recopilación de datos para la recopilación, el registro y la carga precisos de datos sobre las actividades del proyecto en función de los requisitos de USAID</t>
  </si>
  <si>
    <t>Subtotal Field Office Other Direct Costs</t>
  </si>
  <si>
    <t>Other Direct Costs Total</t>
  </si>
  <si>
    <t xml:space="preserve">Total Indirect Costs (NICRA or De Minimis) </t>
  </si>
  <si>
    <t>INDIRECT COSTS</t>
  </si>
  <si>
    <t>NICRA</t>
  </si>
  <si>
    <t>Solicitud de costos indirectos por el 9% de la ejecución a partir del mes de junio de 2023 según proyecciones.</t>
  </si>
  <si>
    <t>total</t>
  </si>
  <si>
    <t>*NUEVAS LINEAS</t>
  </si>
  <si>
    <t>*Se utilizó un incremento anual del 4% despues del año 3, según budget inicial</t>
  </si>
  <si>
    <t>NA</t>
  </si>
  <si>
    <t>Other travel related expenses</t>
  </si>
  <si>
    <t>General consultants</t>
  </si>
  <si>
    <t>Rapid response fund (3%)</t>
  </si>
  <si>
    <t>Round tables with interest stakeholders</t>
  </si>
  <si>
    <t>Rapid response fund ODC pool</t>
  </si>
  <si>
    <t>ENERO</t>
  </si>
  <si>
    <t>FEBRERO</t>
  </si>
  <si>
    <t>MARZO</t>
  </si>
  <si>
    <t>ABRIL</t>
  </si>
  <si>
    <t>MAYO</t>
  </si>
  <si>
    <t>JUNIO</t>
  </si>
  <si>
    <t>JULIO</t>
  </si>
  <si>
    <t>AGOSTO</t>
  </si>
  <si>
    <t>SEPTIEMBRE</t>
  </si>
  <si>
    <t>OCTUBRE</t>
  </si>
  <si>
    <t>NOVIEMBRE</t>
  </si>
  <si>
    <t>DICIEMBRE</t>
  </si>
  <si>
    <t>TOTAL</t>
  </si>
  <si>
    <t>PERSONAL</t>
  </si>
  <si>
    <t>10-10-89</t>
  </si>
  <si>
    <t>NOMBRE</t>
  </si>
  <si>
    <t>CARGO</t>
  </si>
  <si>
    <t>DEDICACIÓN</t>
  </si>
  <si>
    <t>SALARIO</t>
  </si>
  <si>
    <t>TRM</t>
  </si>
  <si>
    <t>Enero</t>
  </si>
  <si>
    <t>Febrero</t>
  </si>
  <si>
    <t>Marzo</t>
  </si>
  <si>
    <t>Abril</t>
  </si>
  <si>
    <t>Mayo</t>
  </si>
  <si>
    <t>II Semestre</t>
  </si>
  <si>
    <t>Luz Mery Rojas</t>
  </si>
  <si>
    <t>Coordinadora de formación de maestros</t>
  </si>
  <si>
    <t>Carolina Taborda</t>
  </si>
  <si>
    <t>Profesional de educación</t>
  </si>
  <si>
    <t>Andres Restrepo</t>
  </si>
  <si>
    <t>Juan Carlos Ramirez</t>
  </si>
  <si>
    <t>Sara Castañeda</t>
  </si>
  <si>
    <t>Juan David Colorado</t>
  </si>
  <si>
    <t>Profesional de monitoreo y evaluación</t>
  </si>
  <si>
    <t>Carolina Zuluaga</t>
  </si>
  <si>
    <t>Profesional logistica</t>
  </si>
  <si>
    <t>Johnatan Diaz</t>
  </si>
  <si>
    <t>Profesional de proyectos</t>
  </si>
  <si>
    <t>alba osorio</t>
  </si>
  <si>
    <t>Julieth Taborda</t>
  </si>
  <si>
    <t>profesional de educación</t>
  </si>
  <si>
    <t>Analista de Metricas</t>
  </si>
  <si>
    <t>Analista de metricas</t>
  </si>
  <si>
    <t>Karina anaya</t>
  </si>
  <si>
    <t>auxiliar administrativo</t>
  </si>
  <si>
    <t>Auxiliar operativo</t>
  </si>
  <si>
    <t>SEGURIDAD SOCIAL</t>
  </si>
  <si>
    <t>Seguridad social</t>
  </si>
  <si>
    <t>Primas por servicio y/o liquidaciones</t>
  </si>
  <si>
    <t>Cesantías e intereses</t>
  </si>
  <si>
    <t>GENERAL O TRANSVERSAL</t>
  </si>
  <si>
    <t>Viajes</t>
  </si>
  <si>
    <t>Laptops and software (licencias)</t>
  </si>
  <si>
    <t>Banking and handling cash</t>
  </si>
  <si>
    <t>suministros</t>
  </si>
  <si>
    <t>locaciones Workspaces (Space, furniture, internet access, telephone and meeting room)</t>
  </si>
  <si>
    <t>Alimentación en reuniones</t>
  </si>
  <si>
    <t>SUBACTIVIDADES</t>
  </si>
  <si>
    <t>SER+MAESTRO</t>
  </si>
  <si>
    <t>10-10-84</t>
  </si>
  <si>
    <t>costo por sesion</t>
  </si>
  <si>
    <t>costo por grupo</t>
  </si>
  <si>
    <t>Auxilio de vivienda operación en Riohacha</t>
  </si>
  <si>
    <t>Alimentación de maestros</t>
  </si>
  <si>
    <t>Suministros</t>
  </si>
  <si>
    <t>Bodega - locaciones Workspaces (Space, furniture, internet access, telephone and meeting room)</t>
  </si>
  <si>
    <t>PARCHE</t>
  </si>
  <si>
    <t>10-10-85</t>
  </si>
  <si>
    <t>Consultores-contratistas</t>
  </si>
  <si>
    <t>hotel, viaticos y tiquetes para tener una experiencia exitosa por subactividad (y 2 mas de las subactividades d elos tors socios) y por cad auna de las ciudadades + espacios y todo el equipo nuestro apoyando (viatixcos y tiquetes) y un solo speaker + seria un evento de 2 dias (tiquetes y viativpoxs ´para 3 dias) + espacios</t>
  </si>
  <si>
    <r>
      <t xml:space="preserve">Development of </t>
    </r>
    <r>
      <rPr>
        <sz val="10"/>
        <color rgb="FFFF0000"/>
        <rFont val="Roboto"/>
      </rPr>
      <t xml:space="preserve">digital network </t>
    </r>
    <r>
      <rPr>
        <sz val="10"/>
        <color theme="1"/>
        <rFont val="Roboto"/>
      </rPr>
      <t>strategy for Parche Maestro</t>
    </r>
  </si>
  <si>
    <t>POLITICAS PUBLICAS</t>
  </si>
  <si>
    <t>10-10-87</t>
  </si>
  <si>
    <t>DIRECTIVOS DOCENTES</t>
  </si>
  <si>
    <t>10-10-83</t>
  </si>
  <si>
    <t>Alimentación de maestros/asistentes</t>
  </si>
  <si>
    <t>ALIANZAS</t>
  </si>
  <si>
    <t>10-10-88</t>
  </si>
  <si>
    <t>Salario Dir Alianzas</t>
  </si>
  <si>
    <t>Directora de alianzas</t>
  </si>
  <si>
    <t>Seg social Dir Alianzas</t>
  </si>
  <si>
    <t>Salario coord alianzas</t>
  </si>
  <si>
    <t>Coordinadora de alianzas</t>
  </si>
  <si>
    <t>Seg social Coord alianzas</t>
  </si>
  <si>
    <t>Headhunter para dirección de alianzas</t>
  </si>
  <si>
    <t xml:space="preserve">Organización de encuentros, meetings y eventos </t>
  </si>
  <si>
    <t>Prima por servicios personal alianzas</t>
  </si>
  <si>
    <t>GESI</t>
  </si>
  <si>
    <t>MONITOREO Y EVALUACIÓN</t>
  </si>
  <si>
    <t>10-10-86</t>
  </si>
  <si>
    <t>Laptops y software</t>
  </si>
  <si>
    <t>Consultores</t>
  </si>
  <si>
    <t>FONDO DE EMERGENCIA</t>
  </si>
  <si>
    <t>EJECUCIÓN</t>
  </si>
  <si>
    <t>TOTAL (CON FONDOS DE EMERGENCIA)</t>
  </si>
  <si>
    <t>Costos indirectos (en pesos TRM $4.550)</t>
  </si>
  <si>
    <t>TRM SUG</t>
  </si>
  <si>
    <t>MINIMIS</t>
  </si>
  <si>
    <t>MINIMIS (TRM $4550)</t>
  </si>
  <si>
    <t>USAID No. 7200AA21RFA00001</t>
  </si>
  <si>
    <t>ITEM</t>
  </si>
  <si>
    <t>VALOR (USD)</t>
  </si>
  <si>
    <t>Observaciones</t>
  </si>
  <si>
    <t>Actuals 2021</t>
  </si>
  <si>
    <t>Actuals 2022</t>
  </si>
  <si>
    <t>Proy 2023</t>
  </si>
  <si>
    <t>Proy 2024</t>
  </si>
  <si>
    <t>Sugerido</t>
  </si>
  <si>
    <t>Proy 2025</t>
  </si>
  <si>
    <t>Proy 2026</t>
  </si>
  <si>
    <t>Sub-Award No. 800-Proantioquia under Cooperative Agreement No. 7200AA21CA00003</t>
  </si>
  <si>
    <t>Original</t>
  </si>
  <si>
    <t>Realigned Amounts</t>
  </si>
  <si>
    <t xml:space="preserve">New </t>
  </si>
  <si>
    <t>Leverge</t>
  </si>
  <si>
    <t>Sage Activity</t>
  </si>
  <si>
    <t>Account Code</t>
  </si>
  <si>
    <t>Country Code</t>
  </si>
  <si>
    <t>Sub Activity</t>
  </si>
  <si>
    <t>SUBPROANT</t>
  </si>
  <si>
    <t>COL2</t>
  </si>
  <si>
    <t>PAPERSNL</t>
  </si>
  <si>
    <t>PAFRINGE</t>
  </si>
  <si>
    <t>PAHQTRVL</t>
  </si>
  <si>
    <t>PAT1TRVL</t>
  </si>
  <si>
    <t>PAHQLAPTOP</t>
  </si>
  <si>
    <t>PAHQWORK</t>
  </si>
  <si>
    <t>PAFODESKTP</t>
  </si>
  <si>
    <t>PAPPE</t>
  </si>
  <si>
    <t>PASECURITY</t>
  </si>
  <si>
    <t>PACONTECH</t>
  </si>
  <si>
    <t>PACONFUND</t>
  </si>
  <si>
    <t>PACONTAP</t>
  </si>
  <si>
    <t>PAPROTYPE</t>
  </si>
  <si>
    <t>PARAPFUND</t>
  </si>
  <si>
    <t>PASNACKS</t>
  </si>
  <si>
    <t>PACOFFEE</t>
  </si>
  <si>
    <t>PATRANSL</t>
  </si>
  <si>
    <t>PAPOSTAGE</t>
  </si>
  <si>
    <t>PABANKFEE</t>
  </si>
  <si>
    <t>PADEVTEACH</t>
  </si>
  <si>
    <t>PADESCOURS</t>
  </si>
  <si>
    <t>PADIGNETWK</t>
  </si>
  <si>
    <t>PATRANSREP</t>
  </si>
  <si>
    <t>PACLASGUID</t>
  </si>
  <si>
    <t>PAVIDEOSTT</t>
  </si>
  <si>
    <t>PAEDITPRO</t>
  </si>
  <si>
    <t>PAIDC</t>
  </si>
  <si>
    <t>PAPRINTMAT</t>
  </si>
  <si>
    <t>PAWORKSES</t>
  </si>
  <si>
    <t>PAM&amp;EDATA</t>
  </si>
  <si>
    <t>PADATACOL</t>
  </si>
  <si>
    <t>PAM&amp;ETRAIN</t>
  </si>
  <si>
    <t>PATRAINDCS</t>
  </si>
  <si>
    <t>PASUPPLIES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</si>
</sst>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4" formatCode="_(&quot;$&quot;* #,##0.00_);_(&quot;$&quot;* \(#,##0.00\);_(&quot;$&quot;* &quot;-&quot;??_);_(@_)"/>
    <numFmt numFmtId="43" formatCode="_(* #,##0.00_);_(* \(#,##0.00\);_(* &quot;-&quot;??_);_(@_)"/>
    <numFmt numFmtId="164" formatCode="&quot;$&quot;\ #,##0.00;[Red]\-&quot;$&quot;\ #,##0.00"/>
    <numFmt numFmtId="165" formatCode="_-&quot;$&quot;\ * #,##0_-;\-&quot;$&quot;\ * #,##0_-;_-&quot;$&quot;\ * &quot;-&quot;_-;_-@_-"/>
    <numFmt numFmtId="166" formatCode="_-&quot;$&quot;\ * #,##0.00_-;\-&quot;$&quot;\ * #,##0.00_-;_-&quot;$&quot;\ * &quot;-&quot;??_-;_-@_-"/>
    <numFmt numFmtId="167" formatCode="_-* #,##0.00_-;\-* #,##0.00_-;_-* &quot;-&quot;??_-;_-@_-"/>
    <numFmt numFmtId="168" formatCode="_(* #,##0_);_(* \(#,##0\);_(* &quot;-&quot;??_);_(@_)"/>
    <numFmt numFmtId="169" formatCode="#,##0.0"/>
    <numFmt numFmtId="170" formatCode="#,##0.0000"/>
    <numFmt numFmtId="171" formatCode="0.000%"/>
    <numFmt numFmtId="172" formatCode="0.0%"/>
    <numFmt numFmtId="173" formatCode="#,##0.00000000"/>
    <numFmt numFmtId="174" formatCode="#,##0.000000"/>
    <numFmt numFmtId="175" formatCode="_-[$USD]\ * #,##0.00_-;\-[$USD]\ * #,##0.00_-;_-[$USD]\ * &quot;-&quot;??_-;_-@_-"/>
    <numFmt numFmtId="176" formatCode="_-* #,##0.0_-;\-* #,##0.0_-;_-* &quot;-&quot;??_-;_-@_-"/>
    <numFmt numFmtId="177" formatCode="[$USD]\ #,##0.00"/>
    <numFmt numFmtId="178" formatCode="_-&quot;$&quot;\ * #,##0.000_-;\-&quot;$&quot;\ * #,##0.000_-;_-&quot;$&quot;\ * &quot;-&quot;??_-;_-@_-"/>
    <numFmt numFmtId="179" formatCode="_-&quot;$&quot;\ * #,##0_-;\-&quot;$&quot;\ * #,##0_-;_-&quot;$&quot;\ * &quot;-&quot;??_-;_-@_-"/>
  </numFmts>
  <fonts count="4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rgb="FF000000"/>
      <name val="Calibri"/>
      <family val="2"/>
    </font>
    <font>
      <sz val="11"/>
      <color rgb="FF000000"/>
      <name val="Calibri"/>
      <family val="2"/>
    </font>
    <font>
      <sz val="11"/>
      <color indexed="8"/>
      <name val="Calibri"/>
      <family val="2"/>
    </font>
    <font>
      <sz val="10"/>
      <name val="Times New Roman"/>
      <family val="1"/>
    </font>
    <font>
      <b/>
      <i/>
      <sz val="10"/>
      <name val="Times New Roman"/>
      <family val="1"/>
    </font>
    <font>
      <b/>
      <sz val="10"/>
      <name val="Times New Roman"/>
      <family val="1"/>
    </font>
    <font>
      <b/>
      <i/>
      <sz val="12"/>
      <name val="Times New Roman"/>
      <family val="1"/>
    </font>
    <font>
      <i/>
      <sz val="10"/>
      <name val="Times New Roman"/>
      <family val="1"/>
    </font>
    <font>
      <b/>
      <i/>
      <sz val="10"/>
      <color theme="0"/>
      <name val="Times New Roman"/>
      <family val="1"/>
    </font>
    <font>
      <b/>
      <sz val="12"/>
      <name val="Times New Roman"/>
      <family val="1"/>
    </font>
    <font>
      <sz val="12"/>
      <name val="Times New Roman"/>
      <family val="1"/>
    </font>
    <font>
      <b/>
      <i/>
      <sz val="12"/>
      <color theme="0"/>
      <name val="Times New Roman"/>
      <family val="1"/>
    </font>
    <font>
      <sz val="10"/>
      <color rgb="FF00B050"/>
      <name val="Times New Roman"/>
      <family val="1"/>
    </font>
    <font>
      <sz val="10"/>
      <color rgb="FFFF0000"/>
      <name val="Times New Roman"/>
      <family val="1"/>
    </font>
    <font>
      <b/>
      <sz val="10"/>
      <color rgb="FF00B050"/>
      <name val="Times New Roman"/>
      <family val="1"/>
    </font>
    <font>
      <sz val="10"/>
      <name val="Arial"/>
      <family val="2"/>
    </font>
    <font>
      <sz val="10"/>
      <color theme="1"/>
      <name val="Roboto"/>
    </font>
    <font>
      <b/>
      <sz val="10"/>
      <color rgb="FF002060"/>
      <name val="Roboto"/>
    </font>
    <font>
      <b/>
      <sz val="10"/>
      <color theme="1"/>
      <name val="Roboto"/>
    </font>
    <font>
      <b/>
      <sz val="10"/>
      <name val="Roboto"/>
    </font>
    <font>
      <b/>
      <sz val="10"/>
      <color rgb="FF00B0F0"/>
      <name val="Roboto"/>
    </font>
    <font>
      <sz val="10"/>
      <color theme="8" tint="-0.249977111117893"/>
      <name val="Roboto"/>
    </font>
    <font>
      <sz val="10"/>
      <color rgb="FFFFC000"/>
      <name val="Roboto"/>
    </font>
    <font>
      <sz val="10"/>
      <name val="Roboto"/>
    </font>
    <font>
      <sz val="10"/>
      <color rgb="FF002060"/>
      <name val="Roboto"/>
    </font>
    <font>
      <sz val="10"/>
      <color theme="0"/>
      <name val="Roboto"/>
    </font>
    <font>
      <sz val="10"/>
      <color rgb="FFFF0000"/>
      <name val="Roboto"/>
    </font>
    <font>
      <b/>
      <sz val="12"/>
      <color rgb="FF002060"/>
      <name val="Roboto"/>
    </font>
    <font>
      <b/>
      <sz val="11"/>
      <color theme="7" tint="-0.249977111117893"/>
      <name val="Roboto"/>
    </font>
    <font>
      <sz val="11"/>
      <color theme="7" tint="-0.249977111117893"/>
      <name val="Roboto"/>
    </font>
    <font>
      <sz val="11"/>
      <color rgb="FF002060"/>
      <name val="Roboto"/>
    </font>
    <font>
      <sz val="11"/>
      <color theme="7"/>
      <name val="Roboto"/>
    </font>
    <font>
      <sz val="12"/>
      <color theme="0"/>
      <name val="Roboto"/>
    </font>
    <font>
      <sz val="7"/>
      <color rgb="FF242424"/>
      <name val="Calibri"/>
      <family val="2"/>
      <scheme val="minor"/>
    </font>
    <font>
      <b/>
      <sz val="14"/>
      <color theme="1"/>
      <name val="Roboto"/>
    </font>
    <font>
      <b/>
      <sz val="10"/>
      <name val="Arial"/>
      <family val="2"/>
    </font>
    <font>
      <sz val="10"/>
      <name val="Arial"/>
      <family val="2"/>
    </font>
    <font>
      <sz val="11"/>
      <name val="Times New Roman"/>
      <family val="1"/>
    </font>
    <font>
      <sz val="11"/>
      <color rgb="FF00B050"/>
      <name val="Times New Roman"/>
      <family val="1"/>
    </font>
    <font>
      <sz val="8"/>
      <name val="Arial"/>
      <family val="2"/>
    </font>
  </fonts>
  <fills count="24">
    <fill>
      <patternFill patternType="none"/>
    </fill>
    <fill>
      <patternFill patternType="gray125"/>
    </fill>
    <fill>
      <patternFill patternType="solid">
        <fgColor theme="3" tint="0.79998168889431442"/>
        <bgColor indexed="64"/>
      </patternFill>
    </fill>
    <fill>
      <patternFill patternType="solid">
        <fgColor theme="3" tint="-0.249977111117893"/>
        <bgColor indexed="64"/>
      </patternFill>
    </fill>
    <fill>
      <patternFill patternType="solid">
        <fgColor rgb="FFD7E5F5"/>
        <bgColor indexed="64"/>
      </patternFill>
    </fill>
    <fill>
      <patternFill patternType="solid">
        <fgColor rgb="FFE7F0F9"/>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7">
    <xf numFmtId="0" fontId="0" fillId="0" borderId="0"/>
    <xf numFmtId="9" fontId="5" fillId="0" borderId="0" applyFont="0" applyFill="0" applyBorder="0" applyAlignment="0" applyProtection="0"/>
    <xf numFmtId="0" fontId="5" fillId="0" borderId="0"/>
    <xf numFmtId="0" fontId="6" fillId="0" borderId="0"/>
    <xf numFmtId="0" fontId="7" fillId="0" borderId="0"/>
    <xf numFmtId="43" fontId="5" fillId="0" borderId="0" applyFont="0" applyFill="0" applyBorder="0" applyAlignment="0" applyProtection="0"/>
    <xf numFmtId="0" fontId="4" fillId="0" borderId="0"/>
    <xf numFmtId="44" fontId="4" fillId="0" borderId="0" applyFont="0" applyFill="0" applyBorder="0" applyAlignment="0" applyProtection="0"/>
    <xf numFmtId="0" fontId="3" fillId="0" borderId="0"/>
    <xf numFmtId="44"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43" fontId="3" fillId="0" borderId="0" applyFont="0" applyFill="0" applyBorder="0" applyAlignment="0" applyProtection="0"/>
    <xf numFmtId="0" fontId="5" fillId="0" borderId="0"/>
    <xf numFmtId="9" fontId="5" fillId="0" borderId="0" applyFont="0" applyFill="0" applyBorder="0" applyAlignment="0" applyProtection="0"/>
    <xf numFmtId="44" fontId="5" fillId="0" borderId="0" applyFont="0" applyFill="0" applyBorder="0" applyAlignment="0" applyProtection="0"/>
    <xf numFmtId="0" fontId="6"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167" fontId="21" fillId="0" borderId="0" applyFont="0" applyFill="0" applyBorder="0" applyAlignment="0" applyProtection="0"/>
    <xf numFmtId="166" fontId="21" fillId="0" borderId="0" applyFont="0" applyFill="0" applyBorder="0" applyAlignment="0" applyProtection="0"/>
    <xf numFmtId="167" fontId="5" fillId="0" borderId="0" applyFont="0" applyFill="0" applyBorder="0" applyAlignment="0" applyProtection="0"/>
    <xf numFmtId="0" fontId="1" fillId="0" borderId="0"/>
    <xf numFmtId="166" fontId="1" fillId="0" borderId="0" applyFont="0" applyFill="0" applyBorder="0" applyAlignment="0" applyProtection="0"/>
    <xf numFmtId="0" fontId="1" fillId="0" borderId="0"/>
    <xf numFmtId="166" fontId="8" fillId="0" borderId="0" applyFont="0" applyFill="0" applyBorder="0" applyAlignment="0" applyProtection="0"/>
    <xf numFmtId="167" fontId="1" fillId="0" borderId="0" applyFont="0" applyFill="0" applyBorder="0" applyAlignment="0" applyProtection="0"/>
    <xf numFmtId="166" fontId="5" fillId="0" borderId="0" applyFont="0" applyFill="0" applyBorder="0" applyAlignment="0" applyProtection="0"/>
    <xf numFmtId="0" fontId="1" fillId="0" borderId="0"/>
    <xf numFmtId="166" fontId="1" fillId="0" borderId="0" applyFont="0" applyFill="0" applyBorder="0" applyAlignment="0" applyProtection="0"/>
    <xf numFmtId="0" fontId="1" fillId="0" borderId="0"/>
    <xf numFmtId="167" fontId="1" fillId="0" borderId="0" applyFont="0" applyFill="0" applyBorder="0" applyAlignment="0" applyProtection="0"/>
    <xf numFmtId="167" fontId="5" fillId="0" borderId="0" applyFont="0" applyFill="0" applyBorder="0" applyAlignment="0" applyProtection="0"/>
    <xf numFmtId="166" fontId="5" fillId="0" borderId="0" applyFont="0" applyFill="0" applyBorder="0" applyAlignment="0" applyProtection="0"/>
    <xf numFmtId="165" fontId="42" fillId="0" borderId="0" applyFont="0" applyFill="0" applyBorder="0" applyAlignment="0" applyProtection="0"/>
  </cellStyleXfs>
  <cellXfs count="630">
    <xf numFmtId="0" fontId="0" fillId="0" borderId="0" xfId="0"/>
    <xf numFmtId="0" fontId="9" fillId="0" borderId="1" xfId="0" applyFont="1" applyBorder="1" applyAlignment="1">
      <alignment wrapText="1"/>
    </xf>
    <xf numFmtId="9" fontId="9" fillId="0" borderId="1" xfId="1" applyFont="1" applyBorder="1" applyAlignment="1">
      <alignment horizontal="center" wrapText="1"/>
    </xf>
    <xf numFmtId="0" fontId="16" fillId="0" borderId="0" xfId="0" applyFont="1"/>
    <xf numFmtId="0" fontId="17" fillId="3" borderId="2" xfId="0" applyFont="1" applyFill="1" applyBorder="1" applyAlignment="1">
      <alignment horizontal="right"/>
    </xf>
    <xf numFmtId="0" fontId="17" fillId="3" borderId="9" xfId="0" applyFont="1" applyFill="1" applyBorder="1" applyAlignment="1">
      <alignment horizontal="right"/>
    </xf>
    <xf numFmtId="9" fontId="16" fillId="0" borderId="0" xfId="1" applyFont="1" applyBorder="1"/>
    <xf numFmtId="0" fontId="15" fillId="0" borderId="0" xfId="0" applyFont="1"/>
    <xf numFmtId="3" fontId="16" fillId="0" borderId="0" xfId="0" applyNumberFormat="1" applyFont="1"/>
    <xf numFmtId="0" fontId="15" fillId="0" borderId="1" xfId="0" applyFont="1" applyBorder="1"/>
    <xf numFmtId="0" fontId="16" fillId="0" borderId="1" xfId="0" applyFont="1" applyBorder="1"/>
    <xf numFmtId="0" fontId="16" fillId="0" borderId="8" xfId="0" applyFont="1" applyBorder="1"/>
    <xf numFmtId="170" fontId="16" fillId="0" borderId="0" xfId="0" applyNumberFormat="1" applyFont="1"/>
    <xf numFmtId="38" fontId="16" fillId="0" borderId="0" xfId="0" applyNumberFormat="1" applyFont="1"/>
    <xf numFmtId="4" fontId="11" fillId="5" borderId="2" xfId="0" applyNumberFormat="1" applyFont="1" applyFill="1" applyBorder="1" applyAlignment="1">
      <alignment vertical="center"/>
    </xf>
    <xf numFmtId="3" fontId="9" fillId="0" borderId="2" xfId="0" applyNumberFormat="1" applyFont="1" applyBorder="1" applyAlignment="1">
      <alignment vertical="center"/>
    </xf>
    <xf numFmtId="3" fontId="11" fillId="5" borderId="1" xfId="0" applyNumberFormat="1" applyFont="1" applyFill="1" applyBorder="1" applyAlignment="1">
      <alignment vertical="center"/>
    </xf>
    <xf numFmtId="3" fontId="11" fillId="9" borderId="9" xfId="0" applyNumberFormat="1" applyFont="1" applyFill="1" applyBorder="1" applyAlignment="1">
      <alignment vertical="center"/>
    </xf>
    <xf numFmtId="3" fontId="11" fillId="0" borderId="2" xfId="0" applyNumberFormat="1" applyFont="1" applyBorder="1" applyAlignment="1">
      <alignment vertical="center"/>
    </xf>
    <xf numFmtId="3" fontId="11" fillId="2" borderId="1" xfId="0" applyNumberFormat="1" applyFont="1" applyFill="1" applyBorder="1" applyAlignment="1">
      <alignment vertical="center"/>
    </xf>
    <xf numFmtId="3" fontId="9" fillId="0" borderId="1" xfId="0" applyNumberFormat="1" applyFont="1" applyBorder="1" applyAlignment="1">
      <alignment vertical="center"/>
    </xf>
    <xf numFmtId="9" fontId="9" fillId="0" borderId="0" xfId="1" applyFont="1" applyBorder="1" applyAlignment="1">
      <alignment vertical="center"/>
    </xf>
    <xf numFmtId="3" fontId="11" fillId="5" borderId="24" xfId="0" applyNumberFormat="1" applyFont="1" applyFill="1" applyBorder="1" applyAlignment="1">
      <alignment vertical="center"/>
    </xf>
    <xf numFmtId="3" fontId="9" fillId="9" borderId="9" xfId="0" applyNumberFormat="1" applyFont="1" applyFill="1" applyBorder="1" applyAlignment="1">
      <alignment vertical="center"/>
    </xf>
    <xf numFmtId="3" fontId="10" fillId="9" borderId="9" xfId="0" applyNumberFormat="1" applyFont="1" applyFill="1" applyBorder="1" applyAlignment="1">
      <alignment vertical="center"/>
    </xf>
    <xf numFmtId="4" fontId="11" fillId="5" borderId="24" xfId="0" applyNumberFormat="1" applyFont="1" applyFill="1" applyBorder="1" applyAlignment="1">
      <alignment vertical="center"/>
    </xf>
    <xf numFmtId="0" fontId="22" fillId="0" borderId="0" xfId="0" applyFont="1"/>
    <xf numFmtId="0" fontId="22" fillId="14" borderId="0" xfId="0" applyFont="1" applyFill="1"/>
    <xf numFmtId="0" fontId="24" fillId="0" borderId="0" xfId="0" applyFont="1"/>
    <xf numFmtId="166" fontId="22" fillId="0" borderId="0" xfId="0" applyNumberFormat="1" applyFont="1"/>
    <xf numFmtId="166" fontId="24" fillId="0" borderId="0" xfId="22" applyFont="1"/>
    <xf numFmtId="166" fontId="25" fillId="0" borderId="0" xfId="0" applyNumberFormat="1" applyFont="1"/>
    <xf numFmtId="0" fontId="26" fillId="0" borderId="23" xfId="0" applyFont="1" applyBorder="1" applyAlignment="1">
      <alignment horizontal="center"/>
    </xf>
    <xf numFmtId="166" fontId="26" fillId="0" borderId="22" xfId="22" applyFont="1" applyBorder="1"/>
    <xf numFmtId="9" fontId="22" fillId="0" borderId="0" xfId="0" applyNumberFormat="1" applyFont="1"/>
    <xf numFmtId="166" fontId="22" fillId="0" borderId="0" xfId="22" applyFont="1"/>
    <xf numFmtId="175" fontId="27" fillId="15" borderId="0" xfId="0" applyNumberFormat="1" applyFont="1" applyFill="1"/>
    <xf numFmtId="175" fontId="27" fillId="0" borderId="0" xfId="0" applyNumberFormat="1" applyFont="1"/>
    <xf numFmtId="164" fontId="22" fillId="0" borderId="0" xfId="0" applyNumberFormat="1" applyFont="1"/>
    <xf numFmtId="166" fontId="22" fillId="14" borderId="0" xfId="0" applyNumberFormat="1" applyFont="1" applyFill="1"/>
    <xf numFmtId="166" fontId="24" fillId="0" borderId="0" xfId="0" applyNumberFormat="1" applyFont="1"/>
    <xf numFmtId="0" fontId="22" fillId="0" borderId="0" xfId="0" quotePrefix="1" applyFont="1"/>
    <xf numFmtId="166" fontId="22" fillId="0" borderId="0" xfId="22" applyFont="1" applyFill="1"/>
    <xf numFmtId="164" fontId="22" fillId="0" borderId="0" xfId="22" applyNumberFormat="1" applyFont="1"/>
    <xf numFmtId="166" fontId="28" fillId="0" borderId="0" xfId="0" applyNumberFormat="1" applyFont="1"/>
    <xf numFmtId="166" fontId="29" fillId="0" borderId="0" xfId="22" applyFont="1"/>
    <xf numFmtId="176" fontId="22" fillId="14" borderId="0" xfId="21" applyNumberFormat="1" applyFont="1" applyFill="1"/>
    <xf numFmtId="0" fontId="23" fillId="0" borderId="0" xfId="0" applyFont="1"/>
    <xf numFmtId="0" fontId="30" fillId="0" borderId="0" xfId="0" applyFont="1"/>
    <xf numFmtId="166" fontId="23" fillId="0" borderId="0" xfId="22" applyFont="1"/>
    <xf numFmtId="0" fontId="24" fillId="14" borderId="0" xfId="0" applyFont="1" applyFill="1"/>
    <xf numFmtId="166" fontId="24" fillId="14" borderId="0" xfId="22" applyFont="1" applyFill="1"/>
    <xf numFmtId="0" fontId="31" fillId="0" borderId="0" xfId="0" applyFont="1"/>
    <xf numFmtId="166" fontId="22" fillId="0" borderId="0" xfId="22" applyFont="1" applyAlignment="1">
      <alignment horizontal="right"/>
    </xf>
    <xf numFmtId="166" fontId="22" fillId="0" borderId="0" xfId="22" applyFont="1" applyFill="1" applyAlignment="1">
      <alignment horizontal="right"/>
    </xf>
    <xf numFmtId="166" fontId="30" fillId="0" borderId="0" xfId="22" applyFont="1"/>
    <xf numFmtId="166" fontId="30" fillId="0" borderId="0" xfId="0" applyNumberFormat="1" applyFont="1"/>
    <xf numFmtId="166" fontId="29" fillId="0" borderId="0" xfId="22" applyFont="1" applyFill="1"/>
    <xf numFmtId="166" fontId="22" fillId="14" borderId="0" xfId="22" applyFont="1" applyFill="1"/>
    <xf numFmtId="166" fontId="24" fillId="0" borderId="0" xfId="22" applyFont="1" applyFill="1" applyBorder="1"/>
    <xf numFmtId="166" fontId="24" fillId="0" borderId="0" xfId="22" applyFont="1" applyBorder="1"/>
    <xf numFmtId="176" fontId="22" fillId="14" borderId="0" xfId="21" applyNumberFormat="1" applyFont="1" applyFill="1" applyBorder="1"/>
    <xf numFmtId="166" fontId="24" fillId="0" borderId="0" xfId="22" applyFont="1" applyFill="1"/>
    <xf numFmtId="166" fontId="32" fillId="0" borderId="0" xfId="22" applyFont="1"/>
    <xf numFmtId="164" fontId="27" fillId="0" borderId="0" xfId="0" applyNumberFormat="1" applyFont="1"/>
    <xf numFmtId="172" fontId="22" fillId="0" borderId="0" xfId="0" applyNumberFormat="1" applyFont="1"/>
    <xf numFmtId="166" fontId="25" fillId="0" borderId="8" xfId="0" applyNumberFormat="1" applyFont="1" applyBorder="1"/>
    <xf numFmtId="166" fontId="33" fillId="0" borderId="0" xfId="0" applyNumberFormat="1" applyFont="1"/>
    <xf numFmtId="0" fontId="34" fillId="0" borderId="0" xfId="0" applyFont="1"/>
    <xf numFmtId="0" fontId="35" fillId="0" borderId="0" xfId="0" applyFont="1"/>
    <xf numFmtId="166" fontId="34" fillId="0" borderId="0" xfId="0" applyNumberFormat="1" applyFont="1"/>
    <xf numFmtId="166" fontId="36" fillId="0" borderId="0" xfId="0" applyNumberFormat="1" applyFont="1"/>
    <xf numFmtId="166" fontId="37" fillId="0" borderId="0" xfId="22" applyFont="1"/>
    <xf numFmtId="0" fontId="36" fillId="0" borderId="0" xfId="0" applyFont="1"/>
    <xf numFmtId="0" fontId="23" fillId="0" borderId="0" xfId="0" applyFont="1" applyAlignment="1">
      <alignment horizontal="center"/>
    </xf>
    <xf numFmtId="0" fontId="24" fillId="0" borderId="0" xfId="0" applyFont="1" applyAlignment="1">
      <alignment horizontal="center" vertical="center"/>
    </xf>
    <xf numFmtId="177" fontId="22" fillId="0" borderId="0" xfId="0" applyNumberFormat="1" applyFont="1"/>
    <xf numFmtId="177" fontId="22" fillId="14" borderId="0" xfId="0" applyNumberFormat="1" applyFont="1" applyFill="1"/>
    <xf numFmtId="177" fontId="22" fillId="16" borderId="0" xfId="0" applyNumberFormat="1" applyFont="1" applyFill="1"/>
    <xf numFmtId="164" fontId="22" fillId="0" borderId="0" xfId="22" applyNumberFormat="1" applyFont="1" applyFill="1"/>
    <xf numFmtId="175" fontId="27" fillId="17" borderId="0" xfId="0" applyNumberFormat="1" applyFont="1" applyFill="1"/>
    <xf numFmtId="177" fontId="22" fillId="18" borderId="0" xfId="0" applyNumberFormat="1" applyFont="1" applyFill="1"/>
    <xf numFmtId="164" fontId="29" fillId="0" borderId="0" xfId="22" applyNumberFormat="1" applyFont="1" applyFill="1"/>
    <xf numFmtId="164" fontId="27" fillId="15" borderId="0" xfId="0" applyNumberFormat="1" applyFont="1" applyFill="1"/>
    <xf numFmtId="175" fontId="22" fillId="17" borderId="0" xfId="0" applyNumberFormat="1" applyFont="1" applyFill="1"/>
    <xf numFmtId="0" fontId="31" fillId="16" borderId="0" xfId="0" applyFont="1" applyFill="1"/>
    <xf numFmtId="166" fontId="31" fillId="16" borderId="0" xfId="0" applyNumberFormat="1" applyFont="1" applyFill="1"/>
    <xf numFmtId="166" fontId="38" fillId="16" borderId="0" xfId="0" applyNumberFormat="1" applyFont="1" applyFill="1"/>
    <xf numFmtId="177" fontId="31" fillId="16" borderId="0" xfId="0" applyNumberFormat="1" applyFont="1" applyFill="1"/>
    <xf numFmtId="174" fontId="22" fillId="0" borderId="0" xfId="0" applyNumberFormat="1" applyFont="1"/>
    <xf numFmtId="172" fontId="22" fillId="0" borderId="0" xfId="1" applyNumberFormat="1" applyFont="1"/>
    <xf numFmtId="3" fontId="15" fillId="0" borderId="0" xfId="0" applyNumberFormat="1" applyFont="1"/>
    <xf numFmtId="177" fontId="22" fillId="7" borderId="0" xfId="0" applyNumberFormat="1" applyFont="1" applyFill="1"/>
    <xf numFmtId="3" fontId="39" fillId="0" borderId="0" xfId="0" applyNumberFormat="1" applyFont="1"/>
    <xf numFmtId="178" fontId="22" fillId="0" borderId="0" xfId="0" applyNumberFormat="1" applyFont="1"/>
    <xf numFmtId="0" fontId="22" fillId="0" borderId="1" xfId="0" applyFont="1" applyBorder="1"/>
    <xf numFmtId="166" fontId="22" fillId="0" borderId="1" xfId="22" applyFont="1" applyBorder="1"/>
    <xf numFmtId="166" fontId="22" fillId="0" borderId="0" xfId="22" applyFont="1" applyBorder="1"/>
    <xf numFmtId="0" fontId="24" fillId="0" borderId="1" xfId="0" applyFont="1" applyBorder="1"/>
    <xf numFmtId="166" fontId="24" fillId="0" borderId="1" xfId="0" applyNumberFormat="1" applyFont="1" applyBorder="1"/>
    <xf numFmtId="166" fontId="24" fillId="0" borderId="3" xfId="0" applyNumberFormat="1" applyFont="1" applyBorder="1"/>
    <xf numFmtId="166" fontId="24" fillId="0" borderId="2" xfId="0" applyNumberFormat="1" applyFont="1" applyBorder="1"/>
    <xf numFmtId="4" fontId="11" fillId="2" borderId="18" xfId="0" applyNumberFormat="1" applyFont="1" applyFill="1" applyBorder="1" applyAlignment="1">
      <alignment vertical="center"/>
    </xf>
    <xf numFmtId="4" fontId="11" fillId="2" borderId="2" xfId="0" applyNumberFormat="1" applyFont="1" applyFill="1" applyBorder="1" applyAlignment="1">
      <alignment vertical="center"/>
    </xf>
    <xf numFmtId="0" fontId="14" fillId="3" borderId="25" xfId="0" applyFont="1" applyFill="1" applyBorder="1" applyAlignment="1">
      <alignment horizontal="center"/>
    </xf>
    <xf numFmtId="0" fontId="14" fillId="3" borderId="26" xfId="0" applyFont="1" applyFill="1" applyBorder="1" applyAlignment="1">
      <alignment horizontal="center"/>
    </xf>
    <xf numFmtId="0" fontId="14" fillId="3" borderId="27" xfId="0" applyFont="1" applyFill="1" applyBorder="1" applyAlignment="1">
      <alignment horizontal="center"/>
    </xf>
    <xf numFmtId="166" fontId="40" fillId="0" borderId="1" xfId="0" applyNumberFormat="1" applyFont="1" applyBorder="1"/>
    <xf numFmtId="0" fontId="40" fillId="0" borderId="1" xfId="0" applyFont="1" applyBorder="1"/>
    <xf numFmtId="4" fontId="9" fillId="0" borderId="0" xfId="0" applyNumberFormat="1" applyFont="1" applyAlignment="1">
      <alignment vertical="center"/>
    </xf>
    <xf numFmtId="3" fontId="9" fillId="0" borderId="0" xfId="0" applyNumberFormat="1" applyFont="1" applyAlignment="1">
      <alignment vertical="center"/>
    </xf>
    <xf numFmtId="3" fontId="9" fillId="0" borderId="0" xfId="0" applyNumberFormat="1" applyFont="1"/>
    <xf numFmtId="4" fontId="11" fillId="0" borderId="0" xfId="0" applyNumberFormat="1" applyFont="1" applyAlignment="1">
      <alignment vertical="center"/>
    </xf>
    <xf numFmtId="0" fontId="9" fillId="0" borderId="0" xfId="0" applyFont="1"/>
    <xf numFmtId="0" fontId="9" fillId="0" borderId="0" xfId="0" applyFont="1" applyAlignment="1">
      <alignment vertical="center" wrapText="1"/>
    </xf>
    <xf numFmtId="0" fontId="10" fillId="0" borderId="0" xfId="0" applyFont="1" applyAlignment="1">
      <alignment horizontal="center"/>
    </xf>
    <xf numFmtId="0" fontId="10" fillId="0" borderId="0" xfId="0" applyFont="1" applyAlignment="1">
      <alignment horizontal="center" vertical="center" wrapText="1"/>
    </xf>
    <xf numFmtId="0" fontId="9" fillId="0" borderId="0" xfId="0" applyFont="1" applyAlignment="1">
      <alignment wrapText="1"/>
    </xf>
    <xf numFmtId="3" fontId="9" fillId="0" borderId="0" xfId="0" applyNumberFormat="1" applyFont="1" applyAlignment="1">
      <alignment wrapText="1"/>
    </xf>
    <xf numFmtId="3" fontId="9" fillId="0" borderId="0" xfId="0" applyNumberFormat="1" applyFont="1" applyAlignment="1">
      <alignment horizontal="center"/>
    </xf>
    <xf numFmtId="169" fontId="9" fillId="0" borderId="0" xfId="0" applyNumberFormat="1" applyFont="1" applyAlignment="1">
      <alignment horizontal="center"/>
    </xf>
    <xf numFmtId="43" fontId="13" fillId="0" borderId="0" xfId="0" applyNumberFormat="1" applyFont="1" applyAlignment="1">
      <alignment horizontal="left"/>
    </xf>
    <xf numFmtId="0" fontId="15" fillId="19" borderId="0" xfId="0" applyFont="1" applyFill="1" applyAlignment="1">
      <alignment horizontal="center"/>
    </xf>
    <xf numFmtId="0" fontId="15" fillId="9" borderId="0" xfId="0" applyFont="1" applyFill="1" applyAlignment="1">
      <alignment horizontal="center"/>
    </xf>
    <xf numFmtId="3" fontId="9" fillId="0" borderId="0" xfId="0" applyNumberFormat="1" applyFont="1" applyAlignment="1">
      <alignment vertical="center" wrapText="1"/>
    </xf>
    <xf numFmtId="4" fontId="9" fillId="0" borderId="0" xfId="0" applyNumberFormat="1" applyFont="1"/>
    <xf numFmtId="0" fontId="9" fillId="0" borderId="0" xfId="0" applyFont="1" applyAlignment="1">
      <alignment vertical="center"/>
    </xf>
    <xf numFmtId="0" fontId="11" fillId="0" borderId="0" xfId="0" applyFont="1" applyAlignment="1">
      <alignment vertical="center"/>
    </xf>
    <xf numFmtId="0" fontId="10" fillId="0" borderId="0" xfId="0" applyFont="1" applyAlignment="1">
      <alignment vertical="center"/>
    </xf>
    <xf numFmtId="166" fontId="9" fillId="0" borderId="0" xfId="22" applyFont="1" applyBorder="1"/>
    <xf numFmtId="0" fontId="9" fillId="0" borderId="1" xfId="0" applyFont="1" applyBorder="1"/>
    <xf numFmtId="0" fontId="14" fillId="3" borderId="1" xfId="0" applyFont="1" applyFill="1" applyBorder="1" applyAlignment="1">
      <alignment horizontal="right"/>
    </xf>
    <xf numFmtId="0" fontId="14" fillId="3" borderId="1" xfId="0" applyFont="1" applyFill="1" applyBorder="1" applyAlignment="1">
      <alignment horizontal="center"/>
    </xf>
    <xf numFmtId="0" fontId="14" fillId="3" borderId="1" xfId="0" applyFont="1" applyFill="1" applyBorder="1" applyAlignment="1">
      <alignment vertical="center" wrapText="1"/>
    </xf>
    <xf numFmtId="0" fontId="10" fillId="19" borderId="1" xfId="0" applyFont="1" applyFill="1" applyBorder="1" applyAlignment="1">
      <alignment vertical="center" wrapText="1"/>
    </xf>
    <xf numFmtId="0" fontId="11" fillId="0" borderId="1" xfId="0" applyFont="1" applyBorder="1"/>
    <xf numFmtId="43" fontId="11" fillId="20" borderId="1" xfId="0" applyNumberFormat="1" applyFont="1" applyFill="1" applyBorder="1" applyAlignment="1">
      <alignment vertical="center"/>
    </xf>
    <xf numFmtId="44" fontId="11" fillId="20" borderId="1" xfId="0" applyNumberFormat="1" applyFont="1" applyFill="1" applyBorder="1"/>
    <xf numFmtId="43" fontId="11" fillId="0" borderId="1" xfId="0" applyNumberFormat="1" applyFont="1" applyBorder="1"/>
    <xf numFmtId="10" fontId="9" fillId="0" borderId="1" xfId="0" applyNumberFormat="1" applyFont="1" applyBorder="1"/>
    <xf numFmtId="9" fontId="9" fillId="0" borderId="1" xfId="1" applyFont="1" applyFill="1" applyBorder="1" applyAlignment="1"/>
    <xf numFmtId="3" fontId="9" fillId="0" borderId="1" xfId="0" applyNumberFormat="1" applyFont="1" applyBorder="1"/>
    <xf numFmtId="43" fontId="11" fillId="0" borderId="1" xfId="0" applyNumberFormat="1" applyFont="1" applyBorder="1" applyAlignment="1">
      <alignment horizontal="center"/>
    </xf>
    <xf numFmtId="0" fontId="9" fillId="0" borderId="1" xfId="0" applyFont="1" applyBorder="1" applyAlignment="1">
      <alignment vertical="center"/>
    </xf>
    <xf numFmtId="167" fontId="9" fillId="0" borderId="1" xfId="2" applyNumberFormat="1" applyFont="1" applyBorder="1" applyAlignment="1">
      <alignment vertical="center"/>
    </xf>
    <xf numFmtId="9" fontId="9" fillId="0" borderId="1" xfId="1" applyFont="1" applyFill="1" applyBorder="1" applyAlignment="1">
      <alignment vertical="center"/>
    </xf>
    <xf numFmtId="0" fontId="9" fillId="0" borderId="1" xfId="2" applyFont="1" applyBorder="1" applyAlignment="1">
      <alignment vertical="center"/>
    </xf>
    <xf numFmtId="4" fontId="9" fillId="0" borderId="1" xfId="0" applyNumberFormat="1" applyFont="1" applyBorder="1" applyAlignment="1">
      <alignment vertical="center"/>
    </xf>
    <xf numFmtId="0" fontId="11" fillId="0" borderId="1" xfId="0" applyFont="1" applyBorder="1" applyAlignment="1">
      <alignment vertical="center"/>
    </xf>
    <xf numFmtId="3" fontId="9" fillId="0" borderId="1" xfId="2" applyNumberFormat="1" applyFont="1" applyBorder="1" applyAlignment="1">
      <alignment vertical="center"/>
    </xf>
    <xf numFmtId="43" fontId="11" fillId="0" borderId="1" xfId="0" applyNumberFormat="1" applyFont="1" applyBorder="1" applyAlignment="1">
      <alignment vertical="center"/>
    </xf>
    <xf numFmtId="3" fontId="11" fillId="0" borderId="1" xfId="2" applyNumberFormat="1" applyFont="1" applyBorder="1" applyAlignment="1">
      <alignment vertical="center"/>
    </xf>
    <xf numFmtId="3" fontId="11" fillId="0" borderId="1" xfId="0" applyNumberFormat="1" applyFont="1" applyBorder="1" applyAlignment="1">
      <alignment vertical="center"/>
    </xf>
    <xf numFmtId="4" fontId="11" fillId="0" borderId="1" xfId="0" applyNumberFormat="1" applyFont="1" applyBorder="1" applyAlignment="1">
      <alignment vertical="center"/>
    </xf>
    <xf numFmtId="0" fontId="11" fillId="0" borderId="1" xfId="2" applyFont="1" applyBorder="1" applyAlignment="1">
      <alignment vertical="center"/>
    </xf>
    <xf numFmtId="43" fontId="18" fillId="0" borderId="1" xfId="0" applyNumberFormat="1" applyFont="1" applyBorder="1" applyAlignment="1">
      <alignment vertical="center"/>
    </xf>
    <xf numFmtId="43" fontId="9" fillId="0" borderId="1" xfId="0" applyNumberFormat="1" applyFont="1" applyBorder="1" applyAlignment="1">
      <alignment vertical="center"/>
    </xf>
    <xf numFmtId="2" fontId="9" fillId="0" borderId="1" xfId="0" applyNumberFormat="1" applyFont="1" applyBorder="1" applyAlignment="1">
      <alignment vertical="center"/>
    </xf>
    <xf numFmtId="43" fontId="9" fillId="13" borderId="1" xfId="0" applyNumberFormat="1" applyFont="1" applyFill="1" applyBorder="1" applyAlignment="1">
      <alignment vertical="center"/>
    </xf>
    <xf numFmtId="1" fontId="9" fillId="0" borderId="1" xfId="0" applyNumberFormat="1" applyFont="1" applyBorder="1" applyAlignment="1">
      <alignment vertical="center"/>
    </xf>
    <xf numFmtId="43" fontId="10" fillId="0" borderId="1" xfId="0" applyNumberFormat="1" applyFont="1" applyBorder="1" applyAlignment="1">
      <alignment vertical="center"/>
    </xf>
    <xf numFmtId="0" fontId="10" fillId="0" borderId="1" xfId="0" applyFont="1" applyBorder="1" applyAlignment="1">
      <alignment vertical="center"/>
    </xf>
    <xf numFmtId="3" fontId="10" fillId="0" borderId="1" xfId="0" applyNumberFormat="1" applyFont="1" applyBorder="1" applyAlignment="1">
      <alignment vertical="center"/>
    </xf>
    <xf numFmtId="4" fontId="10" fillId="0" borderId="1" xfId="0" applyNumberFormat="1" applyFont="1" applyBorder="1" applyAlignment="1">
      <alignment vertical="center"/>
    </xf>
    <xf numFmtId="43" fontId="11" fillId="5" borderId="1" xfId="0" applyNumberFormat="1" applyFont="1" applyFill="1" applyBorder="1" applyAlignment="1">
      <alignment vertical="center"/>
    </xf>
    <xf numFmtId="4" fontId="11" fillId="5" borderId="1" xfId="0" applyNumberFormat="1" applyFont="1" applyFill="1" applyBorder="1" applyAlignment="1">
      <alignment vertical="center"/>
    </xf>
    <xf numFmtId="0" fontId="11" fillId="5" borderId="1" xfId="0" applyFont="1" applyFill="1" applyBorder="1" applyAlignment="1">
      <alignment vertical="center"/>
    </xf>
    <xf numFmtId="0" fontId="11" fillId="20" borderId="1" xfId="0" applyFont="1" applyFill="1" applyBorder="1"/>
    <xf numFmtId="43" fontId="11" fillId="4" borderId="1" xfId="0" applyNumberFormat="1" applyFont="1" applyFill="1" applyBorder="1" applyAlignment="1">
      <alignment vertical="center"/>
    </xf>
    <xf numFmtId="43" fontId="9" fillId="13" borderId="1" xfId="13" applyNumberFormat="1" applyFont="1" applyFill="1" applyBorder="1" applyAlignment="1">
      <alignment vertical="center"/>
    </xf>
    <xf numFmtId="171" fontId="9" fillId="0" borderId="1" xfId="1" applyNumberFormat="1" applyFont="1" applyBorder="1" applyAlignment="1">
      <alignment vertical="center"/>
    </xf>
    <xf numFmtId="43" fontId="9" fillId="0" borderId="1" xfId="13" applyNumberFormat="1" applyFont="1" applyBorder="1" applyAlignment="1">
      <alignment vertical="center"/>
    </xf>
    <xf numFmtId="43" fontId="11" fillId="12" borderId="1" xfId="0" applyNumberFormat="1" applyFont="1" applyFill="1" applyBorder="1" applyAlignment="1">
      <alignment vertical="center"/>
    </xf>
    <xf numFmtId="0" fontId="11" fillId="12" borderId="1" xfId="0" applyFont="1" applyFill="1" applyBorder="1"/>
    <xf numFmtId="173" fontId="18" fillId="0" borderId="1" xfId="0" applyNumberFormat="1" applyFont="1" applyBorder="1" applyAlignment="1">
      <alignment vertical="center" wrapText="1"/>
    </xf>
    <xf numFmtId="173" fontId="18" fillId="0" borderId="1" xfId="0" applyNumberFormat="1" applyFont="1" applyBorder="1" applyAlignment="1">
      <alignment vertical="center"/>
    </xf>
    <xf numFmtId="0" fontId="18" fillId="0" borderId="1" xfId="0" applyFont="1" applyBorder="1" applyAlignment="1">
      <alignment vertical="center"/>
    </xf>
    <xf numFmtId="0" fontId="9" fillId="13" borderId="1" xfId="0" applyFont="1" applyFill="1" applyBorder="1" applyAlignment="1">
      <alignment vertical="center"/>
    </xf>
    <xf numFmtId="168" fontId="9" fillId="0" borderId="1" xfId="0" applyNumberFormat="1" applyFont="1" applyBorder="1" applyAlignment="1">
      <alignment vertical="center"/>
    </xf>
    <xf numFmtId="168" fontId="10" fillId="0" borderId="1" xfId="0" applyNumberFormat="1" applyFont="1" applyBorder="1" applyAlignment="1">
      <alignment vertical="center"/>
    </xf>
    <xf numFmtId="168" fontId="11" fillId="0" borderId="1" xfId="0" applyNumberFormat="1" applyFont="1" applyBorder="1" applyAlignment="1">
      <alignment vertical="center"/>
    </xf>
    <xf numFmtId="1" fontId="11" fillId="0" borderId="1" xfId="0" applyNumberFormat="1" applyFont="1" applyBorder="1" applyAlignment="1">
      <alignment vertical="center"/>
    </xf>
    <xf numFmtId="0" fontId="9" fillId="13" borderId="1" xfId="0" applyFont="1" applyFill="1" applyBorder="1" applyAlignment="1">
      <alignment vertical="center" wrapText="1"/>
    </xf>
    <xf numFmtId="43" fontId="11" fillId="0" borderId="1" xfId="0" applyNumberFormat="1" applyFont="1" applyBorder="1" applyAlignment="1">
      <alignment vertical="center" wrapText="1"/>
    </xf>
    <xf numFmtId="168" fontId="11" fillId="5" borderId="1" xfId="0" applyNumberFormat="1" applyFont="1" applyFill="1" applyBorder="1" applyAlignment="1">
      <alignment vertical="center"/>
    </xf>
    <xf numFmtId="2" fontId="11" fillId="5" borderId="1" xfId="0" applyNumberFormat="1" applyFont="1" applyFill="1" applyBorder="1" applyAlignment="1">
      <alignment vertical="center"/>
    </xf>
    <xf numFmtId="2" fontId="10" fillId="0" borderId="1" xfId="0" applyNumberFormat="1" applyFont="1" applyBorder="1" applyAlignment="1">
      <alignment vertical="center"/>
    </xf>
    <xf numFmtId="0" fontId="9" fillId="0" borderId="1" xfId="0" applyFont="1" applyBorder="1" applyAlignment="1">
      <alignment vertical="center" wrapText="1"/>
    </xf>
    <xf numFmtId="43" fontId="9" fillId="13" borderId="1" xfId="0" applyNumberFormat="1" applyFont="1" applyFill="1" applyBorder="1" applyAlignment="1">
      <alignment vertical="center" wrapText="1"/>
    </xf>
    <xf numFmtId="0" fontId="11" fillId="12" borderId="1" xfId="0" applyFont="1" applyFill="1" applyBorder="1" applyAlignment="1">
      <alignment vertical="center"/>
    </xf>
    <xf numFmtId="43" fontId="10" fillId="5" borderId="1" xfId="0" applyNumberFormat="1" applyFont="1" applyFill="1" applyBorder="1" applyAlignment="1">
      <alignment vertical="center"/>
    </xf>
    <xf numFmtId="3" fontId="10" fillId="5" borderId="1" xfId="0" applyNumberFormat="1" applyFont="1" applyFill="1" applyBorder="1" applyAlignment="1">
      <alignment vertical="center"/>
    </xf>
    <xf numFmtId="4" fontId="10" fillId="5" borderId="1" xfId="0" applyNumberFormat="1" applyFont="1" applyFill="1" applyBorder="1" applyAlignment="1">
      <alignment vertical="center"/>
    </xf>
    <xf numFmtId="0" fontId="11" fillId="20" borderId="1" xfId="0" applyFont="1" applyFill="1" applyBorder="1" applyAlignment="1">
      <alignment vertical="center"/>
    </xf>
    <xf numFmtId="43" fontId="9" fillId="0" borderId="1" xfId="0" applyNumberFormat="1" applyFont="1" applyBorder="1" applyAlignment="1">
      <alignment vertical="center" wrapText="1"/>
    </xf>
    <xf numFmtId="3" fontId="9" fillId="0" borderId="1" xfId="13" applyNumberFormat="1" applyFont="1" applyBorder="1" applyAlignment="1">
      <alignment vertical="center"/>
    </xf>
    <xf numFmtId="43" fontId="11" fillId="6" borderId="1" xfId="0" applyNumberFormat="1" applyFont="1" applyFill="1" applyBorder="1" applyAlignment="1">
      <alignment vertical="center" wrapText="1"/>
    </xf>
    <xf numFmtId="43" fontId="11" fillId="6" borderId="1" xfId="0" applyNumberFormat="1" applyFont="1" applyFill="1" applyBorder="1" applyAlignment="1">
      <alignment vertical="center"/>
    </xf>
    <xf numFmtId="1" fontId="9" fillId="6" borderId="1" xfId="0" applyNumberFormat="1" applyFont="1" applyFill="1" applyBorder="1" applyAlignment="1">
      <alignment vertical="center"/>
    </xf>
    <xf numFmtId="168" fontId="9" fillId="6" borderId="1" xfId="0" applyNumberFormat="1" applyFont="1" applyFill="1" applyBorder="1" applyAlignment="1">
      <alignment vertical="center"/>
    </xf>
    <xf numFmtId="43" fontId="9" fillId="6" borderId="1" xfId="0" applyNumberFormat="1" applyFont="1" applyFill="1" applyBorder="1" applyAlignment="1">
      <alignment vertical="center"/>
    </xf>
    <xf numFmtId="3" fontId="9" fillId="6" borderId="1" xfId="0" applyNumberFormat="1" applyFont="1" applyFill="1" applyBorder="1" applyAlignment="1">
      <alignment vertical="center"/>
    </xf>
    <xf numFmtId="4" fontId="9" fillId="6" borderId="1" xfId="0" applyNumberFormat="1" applyFont="1" applyFill="1" applyBorder="1" applyAlignment="1">
      <alignment vertical="center"/>
    </xf>
    <xf numFmtId="0" fontId="10" fillId="0" borderId="1" xfId="0" applyFont="1" applyBorder="1" applyAlignment="1">
      <alignment vertical="center" wrapText="1"/>
    </xf>
    <xf numFmtId="0" fontId="9" fillId="6" borderId="1" xfId="0" applyFont="1" applyFill="1" applyBorder="1" applyAlignment="1">
      <alignment vertical="center"/>
    </xf>
    <xf numFmtId="3" fontId="9" fillId="6" borderId="1" xfId="13" applyNumberFormat="1" applyFont="1" applyFill="1" applyBorder="1" applyAlignment="1">
      <alignment vertical="center"/>
    </xf>
    <xf numFmtId="0" fontId="11" fillId="2" borderId="1" xfId="0" applyFont="1" applyFill="1" applyBorder="1" applyAlignment="1">
      <alignment vertical="center"/>
    </xf>
    <xf numFmtId="43" fontId="11" fillId="2" borderId="1" xfId="0" applyNumberFormat="1" applyFont="1" applyFill="1" applyBorder="1" applyAlignment="1">
      <alignment vertical="center"/>
    </xf>
    <xf numFmtId="41" fontId="11" fillId="2" borderId="1" xfId="0" applyNumberFormat="1" applyFont="1" applyFill="1" applyBorder="1" applyAlignment="1">
      <alignment vertical="center"/>
    </xf>
    <xf numFmtId="4" fontId="11" fillId="2" borderId="1" xfId="0" applyNumberFormat="1" applyFont="1" applyFill="1" applyBorder="1" applyAlignment="1">
      <alignment vertical="center"/>
    </xf>
    <xf numFmtId="168" fontId="11" fillId="2" borderId="1" xfId="0" applyNumberFormat="1" applyFont="1" applyFill="1" applyBorder="1" applyAlignment="1">
      <alignment vertical="center"/>
    </xf>
    <xf numFmtId="0" fontId="18" fillId="2" borderId="1" xfId="0" applyFont="1" applyFill="1" applyBorder="1" applyAlignment="1">
      <alignment vertical="center"/>
    </xf>
    <xf numFmtId="0" fontId="9" fillId="0" borderId="3" xfId="0" applyFont="1" applyBorder="1"/>
    <xf numFmtId="0" fontId="11" fillId="0" borderId="3" xfId="0" applyFont="1" applyBorder="1" applyAlignment="1">
      <alignment vertical="center"/>
    </xf>
    <xf numFmtId="0" fontId="9" fillId="0" borderId="18" xfId="0" applyFont="1" applyBorder="1" applyAlignment="1">
      <alignment vertical="center"/>
    </xf>
    <xf numFmtId="0" fontId="11" fillId="0" borderId="18" xfId="0" applyFont="1" applyBorder="1" applyAlignment="1">
      <alignment vertical="center"/>
    </xf>
    <xf numFmtId="3" fontId="10" fillId="0" borderId="18" xfId="0" applyNumberFormat="1" applyFont="1" applyBorder="1" applyAlignment="1">
      <alignment vertical="center"/>
    </xf>
    <xf numFmtId="3" fontId="9" fillId="0" borderId="18" xfId="0" applyNumberFormat="1" applyFont="1" applyBorder="1" applyAlignment="1">
      <alignment vertical="center"/>
    </xf>
    <xf numFmtId="4" fontId="11" fillId="0" borderId="18" xfId="0" applyNumberFormat="1" applyFont="1" applyBorder="1" applyAlignment="1">
      <alignment vertical="center"/>
    </xf>
    <xf numFmtId="0" fontId="14" fillId="3" borderId="18" xfId="0" applyFont="1" applyFill="1" applyBorder="1" applyAlignment="1">
      <alignment horizontal="center"/>
    </xf>
    <xf numFmtId="0" fontId="14" fillId="3" borderId="24" xfId="0" applyFont="1" applyFill="1" applyBorder="1" applyAlignment="1">
      <alignment horizontal="center"/>
    </xf>
    <xf numFmtId="3" fontId="9" fillId="0" borderId="18" xfId="0" applyNumberFormat="1" applyFont="1" applyBorder="1"/>
    <xf numFmtId="3" fontId="9" fillId="0" borderId="24" xfId="0" applyNumberFormat="1" applyFont="1" applyBorder="1"/>
    <xf numFmtId="3" fontId="9" fillId="0" borderId="24" xfId="0" applyNumberFormat="1" applyFont="1" applyBorder="1" applyAlignment="1">
      <alignment vertical="center"/>
    </xf>
    <xf numFmtId="3" fontId="10" fillId="0" borderId="24" xfId="0" applyNumberFormat="1" applyFont="1" applyBorder="1" applyAlignment="1">
      <alignment vertical="center"/>
    </xf>
    <xf numFmtId="3" fontId="11" fillId="5" borderId="18" xfId="0" applyNumberFormat="1" applyFont="1" applyFill="1" applyBorder="1" applyAlignment="1">
      <alignment vertical="center"/>
    </xf>
    <xf numFmtId="4" fontId="11" fillId="5" borderId="18" xfId="0" applyNumberFormat="1" applyFont="1" applyFill="1" applyBorder="1" applyAlignment="1">
      <alignment vertical="center"/>
    </xf>
    <xf numFmtId="168" fontId="10" fillId="5" borderId="18" xfId="0" applyNumberFormat="1" applyFont="1" applyFill="1" applyBorder="1" applyAlignment="1">
      <alignment vertical="center"/>
    </xf>
    <xf numFmtId="4" fontId="9" fillId="0" borderId="18" xfId="0" applyNumberFormat="1" applyFont="1" applyBorder="1" applyAlignment="1">
      <alignment vertical="center"/>
    </xf>
    <xf numFmtId="4" fontId="9" fillId="0" borderId="24" xfId="0" applyNumberFormat="1" applyFont="1" applyBorder="1" applyAlignment="1">
      <alignment vertical="center"/>
    </xf>
    <xf numFmtId="3" fontId="9" fillId="6" borderId="18" xfId="0" applyNumberFormat="1" applyFont="1" applyFill="1" applyBorder="1" applyAlignment="1">
      <alignment vertical="center"/>
    </xf>
    <xf numFmtId="3" fontId="9" fillId="6" borderId="24" xfId="0" applyNumberFormat="1" applyFont="1" applyFill="1" applyBorder="1" applyAlignment="1">
      <alignment vertical="center"/>
    </xf>
    <xf numFmtId="3" fontId="9" fillId="0" borderId="2" xfId="0" applyNumberFormat="1" applyFont="1" applyBorder="1"/>
    <xf numFmtId="4" fontId="9" fillId="0" borderId="2" xfId="0" applyNumberFormat="1" applyFont="1" applyBorder="1" applyAlignment="1">
      <alignment vertical="center"/>
    </xf>
    <xf numFmtId="4" fontId="11" fillId="0" borderId="2" xfId="0" applyNumberFormat="1" applyFont="1" applyBorder="1" applyAlignment="1">
      <alignment vertical="center"/>
    </xf>
    <xf numFmtId="4" fontId="10" fillId="0" borderId="2" xfId="0" applyNumberFormat="1" applyFont="1" applyBorder="1" applyAlignment="1">
      <alignment vertical="center"/>
    </xf>
    <xf numFmtId="0" fontId="14" fillId="9" borderId="9" xfId="0" applyFont="1" applyFill="1" applyBorder="1" applyAlignment="1">
      <alignment horizontal="center"/>
    </xf>
    <xf numFmtId="3" fontId="9" fillId="9" borderId="9" xfId="0" applyNumberFormat="1" applyFont="1" applyFill="1" applyBorder="1"/>
    <xf numFmtId="4" fontId="9" fillId="0" borderId="24" xfId="0" applyNumberFormat="1" applyFont="1" applyBorder="1"/>
    <xf numFmtId="4" fontId="11" fillId="0" borderId="24" xfId="0" applyNumberFormat="1" applyFont="1" applyBorder="1" applyAlignment="1">
      <alignment vertical="center"/>
    </xf>
    <xf numFmtId="4" fontId="10" fillId="0" borderId="18" xfId="0" applyNumberFormat="1" applyFont="1" applyBorder="1" applyAlignment="1">
      <alignment vertical="center"/>
    </xf>
    <xf numFmtId="4" fontId="10" fillId="0" borderId="24" xfId="0" applyNumberFormat="1" applyFont="1" applyBorder="1" applyAlignment="1">
      <alignment vertical="center"/>
    </xf>
    <xf numFmtId="4" fontId="10" fillId="5" borderId="18" xfId="0" applyNumberFormat="1" applyFont="1" applyFill="1" applyBorder="1" applyAlignment="1">
      <alignment vertical="center"/>
    </xf>
    <xf numFmtId="4" fontId="10" fillId="5" borderId="24" xfId="0" applyNumberFormat="1" applyFont="1" applyFill="1" applyBorder="1" applyAlignment="1">
      <alignment vertical="center"/>
    </xf>
    <xf numFmtId="4" fontId="9" fillId="6" borderId="18" xfId="0" applyNumberFormat="1" applyFont="1" applyFill="1" applyBorder="1" applyAlignment="1">
      <alignment vertical="center"/>
    </xf>
    <xf numFmtId="4" fontId="9" fillId="6" borderId="24" xfId="0" applyNumberFormat="1" applyFont="1" applyFill="1" applyBorder="1" applyAlignment="1">
      <alignment vertical="center"/>
    </xf>
    <xf numFmtId="4" fontId="11" fillId="2" borderId="24" xfId="0" applyNumberFormat="1" applyFont="1" applyFill="1" applyBorder="1" applyAlignment="1">
      <alignment vertical="center"/>
    </xf>
    <xf numFmtId="9" fontId="9" fillId="0" borderId="18" xfId="1" applyFont="1" applyBorder="1" applyAlignment="1">
      <alignment vertical="center"/>
    </xf>
    <xf numFmtId="1" fontId="9" fillId="0" borderId="18" xfId="0" applyNumberFormat="1" applyFont="1" applyBorder="1" applyAlignment="1">
      <alignment vertical="center"/>
    </xf>
    <xf numFmtId="1" fontId="11" fillId="0" borderId="18" xfId="0" applyNumberFormat="1" applyFont="1" applyBorder="1" applyAlignment="1">
      <alignment vertical="center"/>
    </xf>
    <xf numFmtId="43" fontId="11" fillId="0" borderId="18" xfId="0" applyNumberFormat="1" applyFont="1" applyBorder="1" applyAlignment="1">
      <alignment vertical="center"/>
    </xf>
    <xf numFmtId="43" fontId="9" fillId="0" borderId="18" xfId="0" applyNumberFormat="1" applyFont="1" applyBorder="1" applyAlignment="1">
      <alignment vertical="center"/>
    </xf>
    <xf numFmtId="1" fontId="11" fillId="5" borderId="18" xfId="0" applyNumberFormat="1" applyFont="1" applyFill="1" applyBorder="1" applyAlignment="1">
      <alignment vertical="center"/>
    </xf>
    <xf numFmtId="2" fontId="11" fillId="5" borderId="24" xfId="0" applyNumberFormat="1" applyFont="1" applyFill="1" applyBorder="1" applyAlignment="1">
      <alignment vertical="center"/>
    </xf>
    <xf numFmtId="1" fontId="10" fillId="0" borderId="18" xfId="0" applyNumberFormat="1" applyFont="1" applyBorder="1" applyAlignment="1">
      <alignment vertical="center"/>
    </xf>
    <xf numFmtId="2" fontId="10" fillId="0" borderId="24" xfId="0" applyNumberFormat="1" applyFont="1" applyBorder="1" applyAlignment="1">
      <alignment vertical="center"/>
    </xf>
    <xf numFmtId="43" fontId="10" fillId="0" borderId="18" xfId="0" applyNumberFormat="1" applyFont="1" applyBorder="1" applyAlignment="1">
      <alignment vertical="center"/>
    </xf>
    <xf numFmtId="168" fontId="9" fillId="0" borderId="18" xfId="0" applyNumberFormat="1" applyFont="1" applyBorder="1" applyAlignment="1">
      <alignment vertical="center"/>
    </xf>
    <xf numFmtId="1" fontId="11" fillId="2" borderId="18" xfId="0" applyNumberFormat="1" applyFont="1" applyFill="1" applyBorder="1" applyAlignment="1">
      <alignment vertical="center"/>
    </xf>
    <xf numFmtId="4" fontId="9" fillId="6" borderId="2" xfId="0" applyNumberFormat="1" applyFont="1" applyFill="1" applyBorder="1" applyAlignment="1">
      <alignment vertical="center"/>
    </xf>
    <xf numFmtId="43" fontId="11" fillId="0" borderId="18" xfId="0" applyNumberFormat="1" applyFont="1" applyBorder="1"/>
    <xf numFmtId="9" fontId="9" fillId="0" borderId="18" xfId="1" applyFont="1" applyFill="1" applyBorder="1" applyAlignment="1">
      <alignment vertical="center"/>
    </xf>
    <xf numFmtId="9" fontId="11" fillId="0" borderId="18" xfId="1" applyFont="1" applyFill="1" applyBorder="1" applyAlignment="1">
      <alignment vertical="center"/>
    </xf>
    <xf numFmtId="9" fontId="9" fillId="0" borderId="18" xfId="0" applyNumberFormat="1" applyFont="1" applyBorder="1" applyAlignment="1">
      <alignment vertical="center"/>
    </xf>
    <xf numFmtId="9" fontId="11" fillId="5" borderId="18" xfId="0" applyNumberFormat="1" applyFont="1" applyFill="1" applyBorder="1" applyAlignment="1">
      <alignment vertical="center"/>
    </xf>
    <xf numFmtId="172" fontId="9" fillId="0" borderId="18" xfId="0" applyNumberFormat="1" applyFont="1" applyBorder="1" applyAlignment="1">
      <alignment vertical="center"/>
    </xf>
    <xf numFmtId="9" fontId="11" fillId="0" borderId="18" xfId="0" applyNumberFormat="1" applyFont="1" applyBorder="1" applyAlignment="1">
      <alignment vertical="center"/>
    </xf>
    <xf numFmtId="43" fontId="11" fillId="6" borderId="18" xfId="0" applyNumberFormat="1" applyFont="1" applyFill="1" applyBorder="1" applyAlignment="1">
      <alignment vertical="center"/>
    </xf>
    <xf numFmtId="0" fontId="9" fillId="6" borderId="18" xfId="0" applyFont="1" applyFill="1" applyBorder="1" applyAlignment="1">
      <alignment vertical="center"/>
    </xf>
    <xf numFmtId="0" fontId="14" fillId="19" borderId="2" xfId="0" applyFont="1" applyFill="1" applyBorder="1" applyAlignment="1">
      <alignment horizontal="center"/>
    </xf>
    <xf numFmtId="0" fontId="10" fillId="19" borderId="2" xfId="0" applyFont="1" applyFill="1" applyBorder="1" applyAlignment="1">
      <alignment vertical="center" wrapText="1"/>
    </xf>
    <xf numFmtId="2" fontId="11" fillId="5" borderId="18" xfId="0" applyNumberFormat="1" applyFont="1" applyFill="1" applyBorder="1" applyAlignment="1">
      <alignment vertical="center"/>
    </xf>
    <xf numFmtId="2" fontId="9" fillId="0" borderId="18" xfId="0" applyNumberFormat="1" applyFont="1" applyBorder="1" applyAlignment="1">
      <alignment vertical="center"/>
    </xf>
    <xf numFmtId="1" fontId="9" fillId="6" borderId="18" xfId="0" applyNumberFormat="1" applyFont="1" applyFill="1" applyBorder="1" applyAlignment="1">
      <alignment vertical="center"/>
    </xf>
    <xf numFmtId="0" fontId="9" fillId="20" borderId="1" xfId="0" applyFont="1" applyFill="1" applyBorder="1"/>
    <xf numFmtId="0" fontId="9" fillId="20" borderId="2" xfId="0" applyFont="1" applyFill="1" applyBorder="1"/>
    <xf numFmtId="44" fontId="11" fillId="20" borderId="18" xfId="0" applyNumberFormat="1" applyFont="1" applyFill="1" applyBorder="1"/>
    <xf numFmtId="0" fontId="9" fillId="20" borderId="24" xfId="0" applyFont="1" applyFill="1" applyBorder="1"/>
    <xf numFmtId="0" fontId="9" fillId="20" borderId="18" xfId="0" applyFont="1" applyFill="1" applyBorder="1"/>
    <xf numFmtId="3" fontId="9" fillId="20" borderId="1" xfId="0" applyNumberFormat="1" applyFont="1" applyFill="1" applyBorder="1" applyAlignment="1">
      <alignment vertical="center"/>
    </xf>
    <xf numFmtId="3" fontId="9" fillId="20" borderId="2" xfId="0" applyNumberFormat="1" applyFont="1" applyFill="1" applyBorder="1" applyAlignment="1">
      <alignment vertical="center"/>
    </xf>
    <xf numFmtId="9" fontId="9" fillId="20" borderId="18" xfId="0" applyNumberFormat="1" applyFont="1" applyFill="1" applyBorder="1" applyAlignment="1">
      <alignment vertical="center"/>
    </xf>
    <xf numFmtId="0" fontId="9" fillId="20" borderId="1" xfId="0" applyFont="1" applyFill="1" applyBorder="1" applyAlignment="1">
      <alignment vertical="center"/>
    </xf>
    <xf numFmtId="4" fontId="9" fillId="20" borderId="1" xfId="0" applyNumberFormat="1" applyFont="1" applyFill="1" applyBorder="1" applyAlignment="1">
      <alignment vertical="center"/>
    </xf>
    <xf numFmtId="4" fontId="9" fillId="20" borderId="24" xfId="0" applyNumberFormat="1" applyFont="1" applyFill="1" applyBorder="1" applyAlignment="1">
      <alignment vertical="center"/>
    </xf>
    <xf numFmtId="3" fontId="9" fillId="20" borderId="24" xfId="0" applyNumberFormat="1" applyFont="1" applyFill="1" applyBorder="1" applyAlignment="1">
      <alignment vertical="center"/>
    </xf>
    <xf numFmtId="3" fontId="9" fillId="20" borderId="18" xfId="0" applyNumberFormat="1" applyFont="1" applyFill="1" applyBorder="1" applyAlignment="1">
      <alignment vertical="center"/>
    </xf>
    <xf numFmtId="4" fontId="9" fillId="20" borderId="18" xfId="0" applyNumberFormat="1" applyFont="1" applyFill="1" applyBorder="1" applyAlignment="1">
      <alignment vertical="center"/>
    </xf>
    <xf numFmtId="3" fontId="11" fillId="20" borderId="18" xfId="0" applyNumberFormat="1" applyFont="1" applyFill="1" applyBorder="1" applyAlignment="1">
      <alignment vertical="center"/>
    </xf>
    <xf numFmtId="3" fontId="11" fillId="20" borderId="1" xfId="0" applyNumberFormat="1" applyFont="1" applyFill="1" applyBorder="1" applyAlignment="1">
      <alignment vertical="center"/>
    </xf>
    <xf numFmtId="3" fontId="11" fillId="20" borderId="24" xfId="0" applyNumberFormat="1" applyFont="1" applyFill="1" applyBorder="1" applyAlignment="1">
      <alignment vertical="center"/>
    </xf>
    <xf numFmtId="0" fontId="9" fillId="20" borderId="18" xfId="0" applyFont="1" applyFill="1" applyBorder="1" applyAlignment="1">
      <alignment vertical="center"/>
    </xf>
    <xf numFmtId="1" fontId="9" fillId="20" borderId="18" xfId="0" applyNumberFormat="1" applyFont="1" applyFill="1" applyBorder="1" applyAlignment="1">
      <alignment vertical="center"/>
    </xf>
    <xf numFmtId="168" fontId="9" fillId="20" borderId="1" xfId="0" applyNumberFormat="1" applyFont="1" applyFill="1" applyBorder="1" applyAlignment="1">
      <alignment vertical="center"/>
    </xf>
    <xf numFmtId="4" fontId="11" fillId="20" borderId="1" xfId="0" applyNumberFormat="1" applyFont="1" applyFill="1" applyBorder="1" applyAlignment="1">
      <alignment vertical="center"/>
    </xf>
    <xf numFmtId="4" fontId="11" fillId="20" borderId="24" xfId="0" applyNumberFormat="1" applyFont="1" applyFill="1" applyBorder="1" applyAlignment="1">
      <alignment vertical="center"/>
    </xf>
    <xf numFmtId="4" fontId="9" fillId="20" borderId="2" xfId="0" applyNumberFormat="1" applyFont="1" applyFill="1" applyBorder="1" applyAlignment="1">
      <alignment vertical="center"/>
    </xf>
    <xf numFmtId="2" fontId="9" fillId="20" borderId="1" xfId="0" applyNumberFormat="1" applyFont="1" applyFill="1" applyBorder="1" applyAlignment="1">
      <alignment vertical="center"/>
    </xf>
    <xf numFmtId="43" fontId="11" fillId="20" borderId="18" xfId="0" applyNumberFormat="1" applyFont="1" applyFill="1" applyBorder="1" applyAlignment="1">
      <alignment vertical="center"/>
    </xf>
    <xf numFmtId="3" fontId="10" fillId="0" borderId="2" xfId="0" applyNumberFormat="1" applyFont="1" applyBorder="1" applyAlignment="1">
      <alignment vertical="center"/>
    </xf>
    <xf numFmtId="3" fontId="11" fillId="5" borderId="2" xfId="0" applyNumberFormat="1" applyFont="1" applyFill="1" applyBorder="1" applyAlignment="1">
      <alignment vertical="center"/>
    </xf>
    <xf numFmtId="3" fontId="11" fillId="2" borderId="2" xfId="0" applyNumberFormat="1" applyFont="1" applyFill="1" applyBorder="1" applyAlignment="1">
      <alignment vertical="center"/>
    </xf>
    <xf numFmtId="3" fontId="9" fillId="6" borderId="2" xfId="0" applyNumberFormat="1" applyFont="1" applyFill="1" applyBorder="1" applyAlignment="1">
      <alignment vertical="center"/>
    </xf>
    <xf numFmtId="168" fontId="10" fillId="5" borderId="1" xfId="0" applyNumberFormat="1" applyFont="1" applyFill="1" applyBorder="1" applyAlignment="1">
      <alignment vertical="center"/>
    </xf>
    <xf numFmtId="0" fontId="14" fillId="3" borderId="2" xfId="0" applyFont="1" applyFill="1" applyBorder="1" applyAlignment="1">
      <alignment horizontal="center"/>
    </xf>
    <xf numFmtId="3" fontId="11" fillId="20" borderId="2" xfId="0" applyNumberFormat="1" applyFont="1" applyFill="1" applyBorder="1" applyAlignment="1">
      <alignment vertical="center"/>
    </xf>
    <xf numFmtId="4" fontId="11" fillId="20" borderId="2" xfId="0" applyNumberFormat="1" applyFont="1" applyFill="1" applyBorder="1" applyAlignment="1">
      <alignment vertical="center"/>
    </xf>
    <xf numFmtId="43" fontId="11" fillId="5" borderId="2" xfId="0" applyNumberFormat="1" applyFont="1" applyFill="1" applyBorder="1" applyAlignment="1">
      <alignment vertical="center"/>
    </xf>
    <xf numFmtId="43" fontId="10" fillId="5" borderId="2" xfId="0" applyNumberFormat="1" applyFont="1" applyFill="1" applyBorder="1" applyAlignment="1">
      <alignment vertical="center"/>
    </xf>
    <xf numFmtId="0" fontId="9" fillId="0" borderId="3" xfId="0" applyFont="1" applyBorder="1" applyAlignment="1">
      <alignment vertical="center"/>
    </xf>
    <xf numFmtId="179" fontId="0" fillId="0" borderId="1" xfId="22" applyNumberFormat="1" applyFont="1" applyBorder="1"/>
    <xf numFmtId="0" fontId="14" fillId="3" borderId="10" xfId="0" applyFont="1" applyFill="1" applyBorder="1" applyAlignment="1">
      <alignment horizontal="center" wrapText="1"/>
    </xf>
    <xf numFmtId="0" fontId="9" fillId="20" borderId="25" xfId="0" applyFont="1" applyFill="1" applyBorder="1"/>
    <xf numFmtId="0" fontId="9" fillId="20" borderId="26" xfId="0" applyFont="1" applyFill="1" applyBorder="1"/>
    <xf numFmtId="179" fontId="0" fillId="0" borderId="18" xfId="22" applyNumberFormat="1" applyFont="1" applyBorder="1"/>
    <xf numFmtId="3" fontId="16" fillId="4" borderId="9" xfId="0" applyNumberFormat="1" applyFont="1" applyFill="1" applyBorder="1"/>
    <xf numFmtId="0" fontId="17" fillId="3" borderId="30" xfId="0" applyFont="1" applyFill="1" applyBorder="1" applyAlignment="1">
      <alignment horizontal="right"/>
    </xf>
    <xf numFmtId="0" fontId="17" fillId="3" borderId="31" xfId="0" applyFont="1" applyFill="1" applyBorder="1" applyAlignment="1">
      <alignment horizontal="right"/>
    </xf>
    <xf numFmtId="0" fontId="12" fillId="0" borderId="32" xfId="0" applyFont="1" applyBorder="1" applyAlignment="1">
      <alignment horizontal="right"/>
    </xf>
    <xf numFmtId="3" fontId="16" fillId="4" borderId="30" xfId="0" applyNumberFormat="1" applyFont="1" applyFill="1" applyBorder="1"/>
    <xf numFmtId="3" fontId="16" fillId="4" borderId="31" xfId="0" applyNumberFormat="1" applyFont="1" applyFill="1" applyBorder="1"/>
    <xf numFmtId="3" fontId="16" fillId="0" borderId="32" xfId="0" applyNumberFormat="1" applyFont="1" applyBorder="1"/>
    <xf numFmtId="3" fontId="16" fillId="0" borderId="34" xfId="0" applyNumberFormat="1" applyFont="1" applyBorder="1"/>
    <xf numFmtId="0" fontId="12" fillId="0" borderId="36" xfId="0" applyFont="1" applyBorder="1" applyAlignment="1">
      <alignment horizontal="right"/>
    </xf>
    <xf numFmtId="0" fontId="17" fillId="3" borderId="14" xfId="0" applyFont="1" applyFill="1" applyBorder="1" applyAlignment="1">
      <alignment horizontal="right"/>
    </xf>
    <xf numFmtId="44" fontId="15" fillId="4" borderId="30" xfId="0" applyNumberFormat="1" applyFont="1" applyFill="1" applyBorder="1"/>
    <xf numFmtId="43" fontId="15" fillId="0" borderId="32" xfId="0" applyNumberFormat="1" applyFont="1" applyBorder="1"/>
    <xf numFmtId="43" fontId="15" fillId="4" borderId="30" xfId="0" applyNumberFormat="1" applyFont="1" applyFill="1" applyBorder="1"/>
    <xf numFmtId="43" fontId="16" fillId="0" borderId="32" xfId="0" applyNumberFormat="1" applyFont="1" applyBorder="1"/>
    <xf numFmtId="43" fontId="12" fillId="0" borderId="32" xfId="0" applyNumberFormat="1" applyFont="1" applyBorder="1" applyAlignment="1">
      <alignment horizontal="right"/>
    </xf>
    <xf numFmtId="0" fontId="15" fillId="4" borderId="30" xfId="0" applyFont="1" applyFill="1" applyBorder="1"/>
    <xf numFmtId="0" fontId="15" fillId="5" borderId="37" xfId="0" applyFont="1" applyFill="1" applyBorder="1"/>
    <xf numFmtId="3" fontId="11" fillId="0" borderId="18" xfId="0" applyNumberFormat="1" applyFont="1" applyBorder="1" applyAlignment="1">
      <alignment vertical="center"/>
    </xf>
    <xf numFmtId="43" fontId="18" fillId="0" borderId="1" xfId="0" applyNumberFormat="1" applyFont="1" applyBorder="1" applyAlignment="1">
      <alignment vertical="center" wrapText="1"/>
    </xf>
    <xf numFmtId="43" fontId="18" fillId="22" borderId="1" xfId="0" applyNumberFormat="1" applyFont="1" applyFill="1" applyBorder="1" applyAlignment="1">
      <alignment vertical="center"/>
    </xf>
    <xf numFmtId="167" fontId="18" fillId="22" borderId="1" xfId="2" applyNumberFormat="1" applyFont="1" applyFill="1" applyBorder="1" applyAlignment="1">
      <alignment vertical="center" wrapText="1"/>
    </xf>
    <xf numFmtId="0" fontId="11" fillId="0" borderId="1" xfId="0" applyFont="1" applyBorder="1" applyAlignment="1">
      <alignment horizontal="left" textRotation="90"/>
    </xf>
    <xf numFmtId="43" fontId="11" fillId="20" borderId="1" xfId="0" applyNumberFormat="1" applyFont="1" applyFill="1" applyBorder="1" applyAlignment="1">
      <alignment horizontal="left" textRotation="90"/>
    </xf>
    <xf numFmtId="167" fontId="9" fillId="0" borderId="1" xfId="2" applyNumberFormat="1" applyFont="1" applyBorder="1" applyAlignment="1">
      <alignment horizontal="left" textRotation="90"/>
    </xf>
    <xf numFmtId="43" fontId="11" fillId="0" borderId="1" xfId="0" applyNumberFormat="1" applyFont="1" applyBorder="1" applyAlignment="1">
      <alignment horizontal="left" textRotation="90"/>
    </xf>
    <xf numFmtId="43" fontId="18" fillId="22" borderId="1" xfId="0" applyNumberFormat="1" applyFont="1" applyFill="1" applyBorder="1" applyAlignment="1">
      <alignment horizontal="left" textRotation="90"/>
    </xf>
    <xf numFmtId="43" fontId="18" fillId="0" borderId="1" xfId="0" applyNumberFormat="1" applyFont="1" applyBorder="1" applyAlignment="1">
      <alignment horizontal="left" textRotation="90" wrapText="1"/>
    </xf>
    <xf numFmtId="43" fontId="9" fillId="0" borderId="1" xfId="0" applyNumberFormat="1" applyFont="1" applyBorder="1" applyAlignment="1">
      <alignment horizontal="left" textRotation="90"/>
    </xf>
    <xf numFmtId="43" fontId="9" fillId="13" borderId="1" xfId="0" applyNumberFormat="1" applyFont="1" applyFill="1" applyBorder="1" applyAlignment="1">
      <alignment horizontal="left" textRotation="90"/>
    </xf>
    <xf numFmtId="167" fontId="18" fillId="22" borderId="1" xfId="2" applyNumberFormat="1" applyFont="1" applyFill="1" applyBorder="1" applyAlignment="1">
      <alignment horizontal="left" textRotation="90" wrapText="1"/>
    </xf>
    <xf numFmtId="43" fontId="10" fillId="0" borderId="1" xfId="0" applyNumberFormat="1" applyFont="1" applyBorder="1" applyAlignment="1">
      <alignment horizontal="left" textRotation="90"/>
    </xf>
    <xf numFmtId="43" fontId="11" fillId="5" borderId="1" xfId="0" applyNumberFormat="1" applyFont="1" applyFill="1" applyBorder="1" applyAlignment="1">
      <alignment horizontal="left" textRotation="90"/>
    </xf>
    <xf numFmtId="43" fontId="9" fillId="13" borderId="1" xfId="13" applyNumberFormat="1" applyFont="1" applyFill="1" applyBorder="1" applyAlignment="1">
      <alignment horizontal="left" textRotation="90"/>
    </xf>
    <xf numFmtId="43" fontId="9" fillId="0" borderId="1" xfId="13" applyNumberFormat="1" applyFont="1" applyBorder="1" applyAlignment="1">
      <alignment horizontal="left" textRotation="90"/>
    </xf>
    <xf numFmtId="43" fontId="11" fillId="12" borderId="1" xfId="0" applyNumberFormat="1" applyFont="1" applyFill="1" applyBorder="1" applyAlignment="1">
      <alignment horizontal="left" textRotation="90"/>
    </xf>
    <xf numFmtId="173" fontId="18" fillId="0" borderId="1" xfId="0" applyNumberFormat="1" applyFont="1" applyBorder="1" applyAlignment="1">
      <alignment horizontal="left" textRotation="90" wrapText="1"/>
    </xf>
    <xf numFmtId="0" fontId="10" fillId="0" borderId="1" xfId="0" applyFont="1" applyBorder="1" applyAlignment="1">
      <alignment horizontal="left" textRotation="90"/>
    </xf>
    <xf numFmtId="0" fontId="9" fillId="13" borderId="1" xfId="0" applyFont="1" applyFill="1" applyBorder="1" applyAlignment="1">
      <alignment horizontal="left" textRotation="90"/>
    </xf>
    <xf numFmtId="0" fontId="9" fillId="13" borderId="1" xfId="0" applyFont="1" applyFill="1" applyBorder="1" applyAlignment="1">
      <alignment horizontal="left" textRotation="90" wrapText="1"/>
    </xf>
    <xf numFmtId="43" fontId="11" fillId="0" borderId="1" xfId="0" applyNumberFormat="1" applyFont="1" applyBorder="1" applyAlignment="1">
      <alignment horizontal="left" textRotation="90" wrapText="1"/>
    </xf>
    <xf numFmtId="0" fontId="9" fillId="0" borderId="1" xfId="0" applyFont="1" applyBorder="1" applyAlignment="1">
      <alignment horizontal="left" textRotation="90" wrapText="1"/>
    </xf>
    <xf numFmtId="43" fontId="9" fillId="13" borderId="1" xfId="0" applyNumberFormat="1" applyFont="1" applyFill="1" applyBorder="1" applyAlignment="1">
      <alignment horizontal="left" textRotation="90" wrapText="1"/>
    </xf>
    <xf numFmtId="0" fontId="11" fillId="12" borderId="1" xfId="0" applyFont="1" applyFill="1" applyBorder="1" applyAlignment="1">
      <alignment horizontal="left" textRotation="90"/>
    </xf>
    <xf numFmtId="0" fontId="11" fillId="20" borderId="1" xfId="0" applyFont="1" applyFill="1" applyBorder="1" applyAlignment="1">
      <alignment horizontal="left" textRotation="90"/>
    </xf>
    <xf numFmtId="43" fontId="9" fillId="0" borderId="1" xfId="0" applyNumberFormat="1" applyFont="1" applyBorder="1" applyAlignment="1">
      <alignment horizontal="left" textRotation="90" wrapText="1"/>
    </xf>
    <xf numFmtId="0" fontId="18" fillId="2" borderId="1" xfId="0" applyFont="1" applyFill="1" applyBorder="1" applyAlignment="1">
      <alignment horizontal="left" textRotation="90"/>
    </xf>
    <xf numFmtId="43" fontId="11" fillId="6" borderId="1" xfId="0" applyNumberFormat="1" applyFont="1" applyFill="1" applyBorder="1" applyAlignment="1">
      <alignment horizontal="left" textRotation="90" wrapText="1"/>
    </xf>
    <xf numFmtId="0" fontId="10" fillId="0" borderId="1" xfId="0" applyFont="1" applyBorder="1" applyAlignment="1">
      <alignment horizontal="left" textRotation="90" wrapText="1"/>
    </xf>
    <xf numFmtId="0" fontId="11" fillId="2" borderId="1" xfId="0" applyFont="1" applyFill="1" applyBorder="1" applyAlignment="1">
      <alignment horizontal="left" textRotation="90"/>
    </xf>
    <xf numFmtId="173" fontId="18" fillId="21" borderId="1" xfId="0" applyNumberFormat="1" applyFont="1" applyFill="1" applyBorder="1" applyAlignment="1">
      <alignment vertical="center" wrapText="1"/>
    </xf>
    <xf numFmtId="0" fontId="18" fillId="21" borderId="1" xfId="0" applyFont="1" applyFill="1" applyBorder="1" applyAlignment="1">
      <alignment vertical="center"/>
    </xf>
    <xf numFmtId="165" fontId="9" fillId="0" borderId="0" xfId="36" applyFont="1" applyBorder="1"/>
    <xf numFmtId="0" fontId="14" fillId="3" borderId="3" xfId="0" applyFont="1" applyFill="1" applyBorder="1" applyAlignment="1">
      <alignment horizontal="center"/>
    </xf>
    <xf numFmtId="179" fontId="9" fillId="0" borderId="0" xfId="22" applyNumberFormat="1" applyFont="1" applyAlignment="1">
      <alignment vertical="center"/>
    </xf>
    <xf numFmtId="179" fontId="11" fillId="0" borderId="0" xfId="22" applyNumberFormat="1" applyFont="1" applyAlignment="1">
      <alignment vertical="center"/>
    </xf>
    <xf numFmtId="179" fontId="9" fillId="0" borderId="0" xfId="22" applyNumberFormat="1" applyFont="1"/>
    <xf numFmtId="0" fontId="9" fillId="0" borderId="0" xfId="22" applyNumberFormat="1" applyFont="1" applyAlignment="1">
      <alignment vertical="center"/>
    </xf>
    <xf numFmtId="179" fontId="9" fillId="0" borderId="0" xfId="22" applyNumberFormat="1" applyFont="1" applyFill="1" applyAlignment="1">
      <alignment vertical="center"/>
    </xf>
    <xf numFmtId="179" fontId="11" fillId="0" borderId="0" xfId="22" applyNumberFormat="1" applyFont="1" applyFill="1" applyAlignment="1">
      <alignment vertical="center"/>
    </xf>
    <xf numFmtId="0" fontId="9" fillId="0" borderId="0" xfId="13" applyFont="1" applyAlignment="1">
      <alignment vertical="center"/>
    </xf>
    <xf numFmtId="179" fontId="10" fillId="0" borderId="0" xfId="22" applyNumberFormat="1" applyFont="1" applyAlignment="1">
      <alignment vertical="center"/>
    </xf>
    <xf numFmtId="179" fontId="0" fillId="0" borderId="18" xfId="22" applyNumberFormat="1" applyFont="1" applyFill="1" applyBorder="1"/>
    <xf numFmtId="179" fontId="0" fillId="0" borderId="1" xfId="22" applyNumberFormat="1" applyFont="1" applyFill="1" applyBorder="1"/>
    <xf numFmtId="0" fontId="18" fillId="0" borderId="1" xfId="0" applyFont="1" applyBorder="1"/>
    <xf numFmtId="1" fontId="9" fillId="0" borderId="1" xfId="2" applyNumberFormat="1" applyFont="1" applyBorder="1" applyAlignment="1">
      <alignment vertical="center"/>
    </xf>
    <xf numFmtId="167" fontId="18" fillId="0" borderId="1" xfId="2" applyNumberFormat="1" applyFont="1" applyBorder="1" applyAlignment="1">
      <alignment vertical="center" wrapText="1"/>
    </xf>
    <xf numFmtId="167" fontId="18" fillId="0" borderId="1" xfId="2" applyNumberFormat="1" applyFont="1" applyBorder="1" applyAlignment="1">
      <alignment vertical="center"/>
    </xf>
    <xf numFmtId="171" fontId="9" fillId="0" borderId="1" xfId="1" applyNumberFormat="1" applyFont="1" applyFill="1" applyBorder="1" applyAlignment="1">
      <alignment vertical="center"/>
    </xf>
    <xf numFmtId="173" fontId="9" fillId="0" borderId="1" xfId="0" applyNumberFormat="1" applyFont="1" applyBorder="1" applyAlignment="1">
      <alignment vertical="center"/>
    </xf>
    <xf numFmtId="3" fontId="13" fillId="0" borderId="1" xfId="0" applyNumberFormat="1" applyFont="1" applyBorder="1" applyAlignment="1">
      <alignment vertical="center"/>
    </xf>
    <xf numFmtId="168" fontId="13" fillId="0" borderId="18" xfId="0" applyNumberFormat="1" applyFont="1" applyBorder="1" applyAlignment="1">
      <alignment vertical="center"/>
    </xf>
    <xf numFmtId="43" fontId="13" fillId="0" borderId="1" xfId="0" applyNumberFormat="1" applyFont="1" applyBorder="1" applyAlignment="1">
      <alignment vertical="center"/>
    </xf>
    <xf numFmtId="4" fontId="13" fillId="0" borderId="1" xfId="0" applyNumberFormat="1" applyFont="1" applyBorder="1" applyAlignment="1">
      <alignment vertical="center"/>
    </xf>
    <xf numFmtId="4" fontId="13" fillId="0" borderId="24" xfId="0" applyNumberFormat="1" applyFont="1" applyBorder="1" applyAlignment="1">
      <alignment vertical="center"/>
    </xf>
    <xf numFmtId="3" fontId="13" fillId="0" borderId="24" xfId="0" applyNumberFormat="1" applyFont="1" applyBorder="1" applyAlignment="1">
      <alignment vertical="center"/>
    </xf>
    <xf numFmtId="4" fontId="13" fillId="0" borderId="18" xfId="0" applyNumberFormat="1" applyFont="1" applyBorder="1" applyAlignment="1">
      <alignment vertical="center"/>
    </xf>
    <xf numFmtId="3" fontId="13" fillId="0" borderId="2" xfId="0" applyNumberFormat="1" applyFont="1" applyBorder="1" applyAlignment="1">
      <alignment vertical="center"/>
    </xf>
    <xf numFmtId="168" fontId="10" fillId="0" borderId="18" xfId="0" applyNumberFormat="1" applyFont="1" applyBorder="1" applyAlignment="1">
      <alignment vertical="center"/>
    </xf>
    <xf numFmtId="10" fontId="9" fillId="0" borderId="1" xfId="0" applyNumberFormat="1" applyFont="1" applyBorder="1" applyAlignment="1">
      <alignment vertical="center"/>
    </xf>
    <xf numFmtId="1" fontId="9" fillId="0" borderId="1" xfId="13" applyNumberFormat="1" applyFont="1" applyBorder="1" applyAlignment="1">
      <alignment vertical="center"/>
    </xf>
    <xf numFmtId="168" fontId="9" fillId="0" borderId="1" xfId="13" applyNumberFormat="1" applyFont="1" applyBorder="1" applyAlignment="1">
      <alignment vertical="center"/>
    </xf>
    <xf numFmtId="0" fontId="15" fillId="0" borderId="0" xfId="0" applyFont="1" applyAlignment="1">
      <alignment horizontal="center"/>
    </xf>
    <xf numFmtId="167" fontId="43" fillId="23" borderId="1" xfId="2" applyNumberFormat="1" applyFont="1" applyFill="1" applyBorder="1" applyAlignment="1">
      <alignment horizontal="left" textRotation="90" wrapText="1"/>
    </xf>
    <xf numFmtId="43" fontId="44" fillId="23" borderId="1" xfId="0" applyNumberFormat="1" applyFont="1" applyFill="1" applyBorder="1" applyAlignment="1">
      <alignment horizontal="left" textRotation="90" wrapText="1"/>
    </xf>
    <xf numFmtId="43" fontId="43" fillId="23" borderId="1" xfId="0" applyNumberFormat="1" applyFont="1" applyFill="1" applyBorder="1" applyAlignment="1">
      <alignment horizontal="left" textRotation="90" wrapText="1"/>
    </xf>
    <xf numFmtId="167" fontId="44" fillId="23" borderId="1" xfId="2" applyNumberFormat="1" applyFont="1" applyFill="1" applyBorder="1" applyAlignment="1">
      <alignment horizontal="left" textRotation="90" wrapText="1"/>
    </xf>
    <xf numFmtId="43" fontId="43" fillId="23" borderId="1" xfId="13" applyNumberFormat="1" applyFont="1" applyFill="1" applyBorder="1" applyAlignment="1">
      <alignment horizontal="left" textRotation="90" wrapText="1"/>
    </xf>
    <xf numFmtId="0" fontId="43" fillId="23" borderId="1" xfId="0" applyFont="1" applyFill="1" applyBorder="1" applyAlignment="1">
      <alignment horizontal="left" textRotation="90" wrapText="1"/>
    </xf>
    <xf numFmtId="0" fontId="20" fillId="0" borderId="0" xfId="0" applyFont="1"/>
    <xf numFmtId="0" fontId="14" fillId="3" borderId="2" xfId="0" applyFont="1" applyFill="1" applyBorder="1" applyAlignment="1">
      <alignment vertical="center" wrapText="1"/>
    </xf>
    <xf numFmtId="0" fontId="9" fillId="20" borderId="2" xfId="0" applyFont="1" applyFill="1" applyBorder="1" applyAlignment="1">
      <alignment vertical="center" wrapText="1"/>
    </xf>
    <xf numFmtId="3" fontId="9" fillId="0" borderId="2" xfId="0" applyNumberFormat="1" applyFont="1" applyBorder="1" applyAlignment="1">
      <alignment vertical="center" wrapText="1"/>
    </xf>
    <xf numFmtId="4" fontId="9" fillId="0" borderId="2" xfId="0" applyNumberFormat="1" applyFont="1" applyBorder="1" applyAlignment="1">
      <alignment vertical="center" wrapText="1"/>
    </xf>
    <xf numFmtId="4" fontId="11" fillId="0" borderId="2" xfId="0" applyNumberFormat="1" applyFont="1" applyBorder="1" applyAlignment="1">
      <alignment vertical="center" wrapText="1"/>
    </xf>
    <xf numFmtId="2" fontId="9" fillId="0" borderId="2" xfId="0" applyNumberFormat="1" applyFont="1" applyBorder="1" applyAlignment="1">
      <alignment vertical="center" wrapText="1"/>
    </xf>
    <xf numFmtId="4" fontId="10" fillId="0" borderId="2" xfId="0" applyNumberFormat="1" applyFont="1" applyBorder="1" applyAlignment="1">
      <alignment vertical="center" wrapText="1"/>
    </xf>
    <xf numFmtId="4" fontId="11" fillId="5" borderId="2" xfId="0" applyNumberFormat="1" applyFont="1" applyFill="1" applyBorder="1" applyAlignment="1">
      <alignment vertical="center" wrapText="1"/>
    </xf>
    <xf numFmtId="3" fontId="9" fillId="20" borderId="2" xfId="0" applyNumberFormat="1" applyFont="1" applyFill="1" applyBorder="1" applyAlignment="1">
      <alignment vertical="center" wrapText="1"/>
    </xf>
    <xf numFmtId="173" fontId="9" fillId="0" borderId="2" xfId="0" applyNumberFormat="1" applyFont="1" applyBorder="1" applyAlignment="1">
      <alignment vertical="center" wrapText="1"/>
    </xf>
    <xf numFmtId="173" fontId="9" fillId="0" borderId="2" xfId="0" applyNumberFormat="1" applyFont="1" applyBorder="1" applyAlignment="1">
      <alignment wrapText="1"/>
    </xf>
    <xf numFmtId="173" fontId="10" fillId="0" borderId="2" xfId="0" applyNumberFormat="1" applyFont="1" applyBorder="1" applyAlignment="1">
      <alignment vertical="center" wrapText="1"/>
    </xf>
    <xf numFmtId="2" fontId="9" fillId="0" borderId="2" xfId="2" applyNumberFormat="1" applyFont="1" applyBorder="1" applyAlignment="1">
      <alignment vertical="center" wrapText="1"/>
    </xf>
    <xf numFmtId="4" fontId="13" fillId="0" borderId="2" xfId="0" applyNumberFormat="1" applyFont="1" applyBorder="1" applyAlignment="1">
      <alignment vertical="center" wrapText="1"/>
    </xf>
    <xf numFmtId="3" fontId="11" fillId="5" borderId="2" xfId="0" applyNumberFormat="1" applyFont="1" applyFill="1" applyBorder="1" applyAlignment="1">
      <alignment vertical="center" wrapText="1"/>
    </xf>
    <xf numFmtId="2" fontId="11" fillId="5" borderId="2" xfId="0" applyNumberFormat="1" applyFont="1" applyFill="1" applyBorder="1" applyAlignment="1">
      <alignment vertical="center" wrapText="1"/>
    </xf>
    <xf numFmtId="2" fontId="10" fillId="0" borderId="2" xfId="0" applyNumberFormat="1" applyFont="1" applyBorder="1" applyAlignment="1">
      <alignment vertical="center" wrapText="1"/>
    </xf>
    <xf numFmtId="3" fontId="10" fillId="5" borderId="2" xfId="0" applyNumberFormat="1" applyFont="1" applyFill="1" applyBorder="1" applyAlignment="1">
      <alignment vertical="center" wrapText="1"/>
    </xf>
    <xf numFmtId="3" fontId="11" fillId="20" borderId="2" xfId="0" applyNumberFormat="1" applyFont="1" applyFill="1" applyBorder="1" applyAlignment="1">
      <alignment vertical="center" wrapText="1"/>
    </xf>
    <xf numFmtId="3" fontId="9" fillId="6" borderId="2" xfId="0" applyNumberFormat="1" applyFont="1" applyFill="1" applyBorder="1" applyAlignment="1">
      <alignment vertical="center" wrapText="1"/>
    </xf>
    <xf numFmtId="3" fontId="10" fillId="0" borderId="2" xfId="0" applyNumberFormat="1" applyFont="1" applyBorder="1" applyAlignment="1">
      <alignment vertical="center" wrapText="1"/>
    </xf>
    <xf numFmtId="4" fontId="11" fillId="2" borderId="2" xfId="0" applyNumberFormat="1" applyFont="1" applyFill="1" applyBorder="1" applyAlignment="1">
      <alignment vertical="center" wrapText="1"/>
    </xf>
    <xf numFmtId="44" fontId="11" fillId="20" borderId="3" xfId="0" applyNumberFormat="1" applyFont="1" applyFill="1" applyBorder="1"/>
    <xf numFmtId="43" fontId="11" fillId="0" borderId="3" xfId="0" applyNumberFormat="1" applyFont="1" applyBorder="1"/>
    <xf numFmtId="9" fontId="9" fillId="0" borderId="3" xfId="1" applyFont="1" applyFill="1" applyBorder="1" applyAlignment="1">
      <alignment vertical="center"/>
    </xf>
    <xf numFmtId="9" fontId="11" fillId="0" borderId="3" xfId="1" applyFont="1" applyFill="1" applyBorder="1" applyAlignment="1">
      <alignment vertical="center"/>
    </xf>
    <xf numFmtId="9" fontId="9" fillId="0" borderId="3" xfId="0" applyNumberFormat="1" applyFont="1" applyBorder="1" applyAlignment="1">
      <alignment vertical="center"/>
    </xf>
    <xf numFmtId="9" fontId="11" fillId="5" borderId="3" xfId="0" applyNumberFormat="1" applyFont="1" applyFill="1" applyBorder="1" applyAlignment="1">
      <alignment vertical="center"/>
    </xf>
    <xf numFmtId="9" fontId="9" fillId="20" borderId="3" xfId="0" applyNumberFormat="1" applyFont="1" applyFill="1" applyBorder="1" applyAlignment="1">
      <alignment vertical="center"/>
    </xf>
    <xf numFmtId="172" fontId="9" fillId="0" borderId="3" xfId="0" applyNumberFormat="1" applyFont="1" applyBorder="1" applyAlignment="1">
      <alignment vertical="center"/>
    </xf>
    <xf numFmtId="9" fontId="11" fillId="0" borderId="3" xfId="0" applyNumberFormat="1" applyFont="1" applyBorder="1" applyAlignment="1">
      <alignment vertical="center"/>
    </xf>
    <xf numFmtId="1" fontId="9" fillId="0" borderId="3" xfId="0" applyNumberFormat="1" applyFont="1" applyBorder="1" applyAlignment="1">
      <alignment vertical="center"/>
    </xf>
    <xf numFmtId="1" fontId="11" fillId="0" borderId="3" xfId="0" applyNumberFormat="1" applyFont="1" applyBorder="1" applyAlignment="1">
      <alignment vertical="center"/>
    </xf>
    <xf numFmtId="43" fontId="11" fillId="0" borderId="3" xfId="0" applyNumberFormat="1" applyFont="1" applyBorder="1" applyAlignment="1">
      <alignment vertical="center"/>
    </xf>
    <xf numFmtId="43" fontId="9" fillId="0" borderId="3" xfId="0" applyNumberFormat="1" applyFont="1" applyBorder="1" applyAlignment="1">
      <alignment vertical="center"/>
    </xf>
    <xf numFmtId="168" fontId="13" fillId="0" borderId="3" xfId="0" applyNumberFormat="1" applyFont="1" applyBorder="1" applyAlignment="1">
      <alignment vertical="center"/>
    </xf>
    <xf numFmtId="168" fontId="10" fillId="0" borderId="3" xfId="0" applyNumberFormat="1" applyFont="1" applyBorder="1" applyAlignment="1">
      <alignment vertical="center"/>
    </xf>
    <xf numFmtId="1" fontId="11" fillId="5" borderId="3" xfId="0" applyNumberFormat="1" applyFont="1" applyFill="1" applyBorder="1" applyAlignment="1">
      <alignment vertical="center"/>
    </xf>
    <xf numFmtId="0" fontId="9" fillId="20" borderId="3" xfId="0" applyFont="1" applyFill="1" applyBorder="1" applyAlignment="1">
      <alignment vertical="center"/>
    </xf>
    <xf numFmtId="1" fontId="9" fillId="20" borderId="3" xfId="0" applyNumberFormat="1" applyFont="1" applyFill="1" applyBorder="1" applyAlignment="1">
      <alignment vertical="center"/>
    </xf>
    <xf numFmtId="1" fontId="10" fillId="0" borderId="3" xfId="0" applyNumberFormat="1" applyFont="1" applyBorder="1" applyAlignment="1">
      <alignment vertical="center"/>
    </xf>
    <xf numFmtId="168" fontId="10" fillId="5" borderId="3" xfId="0" applyNumberFormat="1" applyFont="1" applyFill="1" applyBorder="1" applyAlignment="1">
      <alignment vertical="center"/>
    </xf>
    <xf numFmtId="43" fontId="11" fillId="20" borderId="3" xfId="0" applyNumberFormat="1" applyFont="1" applyFill="1" applyBorder="1" applyAlignment="1">
      <alignment vertical="center"/>
    </xf>
    <xf numFmtId="43" fontId="10" fillId="0" borderId="3" xfId="0" applyNumberFormat="1" applyFont="1" applyBorder="1" applyAlignment="1">
      <alignment vertical="center"/>
    </xf>
    <xf numFmtId="3" fontId="9" fillId="0" borderId="3" xfId="0" applyNumberFormat="1" applyFont="1" applyBorder="1" applyAlignment="1">
      <alignment vertical="center"/>
    </xf>
    <xf numFmtId="3" fontId="9" fillId="6" borderId="3" xfId="0" applyNumberFormat="1" applyFont="1" applyFill="1" applyBorder="1" applyAlignment="1">
      <alignment vertical="center"/>
    </xf>
    <xf numFmtId="168" fontId="9" fillId="0" borderId="3" xfId="0" applyNumberFormat="1" applyFont="1" applyBorder="1" applyAlignment="1">
      <alignment vertical="center"/>
    </xf>
    <xf numFmtId="43" fontId="11" fillId="6" borderId="3" xfId="0" applyNumberFormat="1" applyFont="1" applyFill="1" applyBorder="1" applyAlignment="1">
      <alignment vertical="center"/>
    </xf>
    <xf numFmtId="0" fontId="9" fillId="6" borderId="3" xfId="0" applyFont="1" applyFill="1" applyBorder="1" applyAlignment="1">
      <alignment vertical="center"/>
    </xf>
    <xf numFmtId="1" fontId="11" fillId="2" borderId="3" xfId="0" applyNumberFormat="1" applyFont="1" applyFill="1" applyBorder="1" applyAlignment="1">
      <alignment vertical="center"/>
    </xf>
    <xf numFmtId="0" fontId="9" fillId="9" borderId="9" xfId="0" applyFont="1" applyFill="1" applyBorder="1"/>
    <xf numFmtId="3" fontId="13" fillId="9" borderId="9" xfId="0" applyNumberFormat="1" applyFont="1" applyFill="1" applyBorder="1" applyAlignment="1">
      <alignment vertical="center"/>
    </xf>
    <xf numFmtId="0" fontId="19" fillId="0" borderId="2" xfId="0" applyFont="1" applyBorder="1"/>
    <xf numFmtId="0" fontId="18" fillId="2" borderId="13" xfId="0" applyFont="1" applyFill="1" applyBorder="1" applyAlignment="1">
      <alignment vertical="center"/>
    </xf>
    <xf numFmtId="10" fontId="9" fillId="2" borderId="13" xfId="0" applyNumberFormat="1" applyFont="1" applyFill="1" applyBorder="1" applyAlignment="1">
      <alignment vertical="center"/>
    </xf>
    <xf numFmtId="3" fontId="9" fillId="2" borderId="13" xfId="0" applyNumberFormat="1" applyFont="1" applyFill="1" applyBorder="1" applyAlignment="1">
      <alignment vertical="center"/>
    </xf>
    <xf numFmtId="4" fontId="9" fillId="2" borderId="13" xfId="0" applyNumberFormat="1" applyFont="1" applyFill="1" applyBorder="1" applyAlignment="1">
      <alignment vertical="center"/>
    </xf>
    <xf numFmtId="4" fontId="9" fillId="2" borderId="10" xfId="0" applyNumberFormat="1" applyFont="1" applyFill="1" applyBorder="1" applyAlignment="1">
      <alignment vertical="center"/>
    </xf>
    <xf numFmtId="1" fontId="9" fillId="2" borderId="40" xfId="0" applyNumberFormat="1" applyFont="1" applyFill="1" applyBorder="1" applyAlignment="1">
      <alignment vertical="center"/>
    </xf>
    <xf numFmtId="168" fontId="9" fillId="2" borderId="13" xfId="0" applyNumberFormat="1" applyFont="1" applyFill="1" applyBorder="1" applyAlignment="1">
      <alignment vertical="center"/>
    </xf>
    <xf numFmtId="4" fontId="9" fillId="2" borderId="10" xfId="0" applyNumberFormat="1" applyFont="1" applyFill="1" applyBorder="1" applyAlignment="1">
      <alignment vertical="center" wrapText="1"/>
    </xf>
    <xf numFmtId="4" fontId="9" fillId="2" borderId="41" xfId="0" applyNumberFormat="1" applyFont="1" applyFill="1" applyBorder="1" applyAlignment="1">
      <alignment vertical="center"/>
    </xf>
    <xf numFmtId="1" fontId="9" fillId="2" borderId="7" xfId="0" applyNumberFormat="1" applyFont="1" applyFill="1" applyBorder="1" applyAlignment="1">
      <alignment vertical="center"/>
    </xf>
    <xf numFmtId="4" fontId="9" fillId="2" borderId="40" xfId="0" applyNumberFormat="1" applyFont="1" applyFill="1" applyBorder="1" applyAlignment="1">
      <alignment vertical="center"/>
    </xf>
    <xf numFmtId="3" fontId="9" fillId="9" borderId="8" xfId="0" applyNumberFormat="1" applyFont="1" applyFill="1" applyBorder="1" applyAlignment="1">
      <alignment vertical="center"/>
    </xf>
    <xf numFmtId="3" fontId="9" fillId="2" borderId="10" xfId="0" applyNumberFormat="1" applyFont="1" applyFill="1" applyBorder="1" applyAlignment="1">
      <alignment vertical="center"/>
    </xf>
    <xf numFmtId="0" fontId="11" fillId="2" borderId="42" xfId="0" applyFont="1" applyFill="1" applyBorder="1" applyAlignment="1">
      <alignment vertical="center"/>
    </xf>
    <xf numFmtId="0" fontId="11" fillId="2" borderId="43" xfId="0" applyFont="1" applyFill="1" applyBorder="1" applyAlignment="1">
      <alignment vertical="center"/>
    </xf>
    <xf numFmtId="43" fontId="11" fillId="2" borderId="43" xfId="0" applyNumberFormat="1" applyFont="1" applyFill="1" applyBorder="1" applyAlignment="1">
      <alignment vertical="center"/>
    </xf>
    <xf numFmtId="41" fontId="11" fillId="2" borderId="43" xfId="0" applyNumberFormat="1" applyFont="1" applyFill="1" applyBorder="1" applyAlignment="1">
      <alignment vertical="center"/>
    </xf>
    <xf numFmtId="3" fontId="11" fillId="2" borderId="43" xfId="0" applyNumberFormat="1" applyFont="1" applyFill="1" applyBorder="1" applyAlignment="1">
      <alignment vertical="center"/>
    </xf>
    <xf numFmtId="4" fontId="11" fillId="2" borderId="43" xfId="0" applyNumberFormat="1" applyFont="1" applyFill="1" applyBorder="1" applyAlignment="1">
      <alignment vertical="center"/>
    </xf>
    <xf numFmtId="4" fontId="11" fillId="2" borderId="44" xfId="0" applyNumberFormat="1" applyFont="1" applyFill="1" applyBorder="1" applyAlignment="1">
      <alignment vertical="center"/>
    </xf>
    <xf numFmtId="1" fontId="11" fillId="2" borderId="42" xfId="0" applyNumberFormat="1" applyFont="1" applyFill="1" applyBorder="1" applyAlignment="1">
      <alignment vertical="center"/>
    </xf>
    <xf numFmtId="168" fontId="11" fillId="2" borderId="43" xfId="0" applyNumberFormat="1" applyFont="1" applyFill="1" applyBorder="1" applyAlignment="1">
      <alignment vertical="center"/>
    </xf>
    <xf numFmtId="4" fontId="11" fillId="2" borderId="42" xfId="0" applyNumberFormat="1" applyFont="1" applyFill="1" applyBorder="1" applyAlignment="1">
      <alignment vertical="center"/>
    </xf>
    <xf numFmtId="4" fontId="11" fillId="2" borderId="45" xfId="0" applyNumberFormat="1" applyFont="1" applyFill="1" applyBorder="1" applyAlignment="1">
      <alignment vertical="center"/>
    </xf>
    <xf numFmtId="4" fontId="11" fillId="2" borderId="46" xfId="0" applyNumberFormat="1" applyFont="1" applyFill="1" applyBorder="1" applyAlignment="1">
      <alignment vertical="center"/>
    </xf>
    <xf numFmtId="4" fontId="11" fillId="9" borderId="43" xfId="0" applyNumberFormat="1" applyFont="1" applyFill="1" applyBorder="1" applyAlignment="1">
      <alignment vertical="center"/>
    </xf>
    <xf numFmtId="179" fontId="0" fillId="0" borderId="28" xfId="22" applyNumberFormat="1" applyFont="1" applyBorder="1"/>
    <xf numFmtId="179" fontId="0" fillId="0" borderId="17" xfId="22" applyNumberFormat="1" applyFont="1" applyBorder="1"/>
    <xf numFmtId="179" fontId="5" fillId="0" borderId="18" xfId="22" applyNumberFormat="1" applyFont="1" applyBorder="1"/>
    <xf numFmtId="179" fontId="5" fillId="0" borderId="1" xfId="22" applyNumberFormat="1" applyFont="1" applyBorder="1"/>
    <xf numFmtId="0" fontId="12" fillId="0" borderId="0" xfId="0" applyFont="1" applyAlignment="1">
      <alignment horizontal="right"/>
    </xf>
    <xf numFmtId="41" fontId="15" fillId="5" borderId="9" xfId="0" applyNumberFormat="1" applyFont="1" applyFill="1" applyBorder="1"/>
    <xf numFmtId="0" fontId="12" fillId="0" borderId="34" xfId="0" applyFont="1" applyBorder="1" applyAlignment="1">
      <alignment horizontal="center"/>
    </xf>
    <xf numFmtId="0" fontId="16" fillId="0" borderId="32" xfId="0" applyFont="1" applyBorder="1"/>
    <xf numFmtId="41" fontId="15" fillId="5" borderId="31" xfId="0" applyNumberFormat="1" applyFont="1" applyFill="1" applyBorder="1"/>
    <xf numFmtId="3" fontId="15" fillId="5" borderId="47" xfId="0" applyNumberFormat="1" applyFont="1" applyFill="1" applyBorder="1"/>
    <xf numFmtId="3" fontId="15" fillId="5" borderId="48" xfId="0" applyNumberFormat="1" applyFont="1" applyFill="1" applyBorder="1"/>
    <xf numFmtId="0" fontId="12" fillId="0" borderId="34" xfId="0" applyFont="1" applyBorder="1" applyAlignment="1">
      <alignment horizontal="right"/>
    </xf>
    <xf numFmtId="41" fontId="15" fillId="5" borderId="30" xfId="0" applyNumberFormat="1" applyFont="1" applyFill="1" applyBorder="1"/>
    <xf numFmtId="3" fontId="15" fillId="5" borderId="37" xfId="0" applyNumberFormat="1" applyFont="1" applyFill="1" applyBorder="1"/>
    <xf numFmtId="41" fontId="15" fillId="5" borderId="8" xfId="0" applyNumberFormat="1" applyFont="1" applyFill="1" applyBorder="1"/>
    <xf numFmtId="3" fontId="15" fillId="0" borderId="9" xfId="0" applyNumberFormat="1" applyFont="1" applyBorder="1"/>
    <xf numFmtId="3" fontId="15" fillId="0" borderId="8" xfId="0" applyNumberFormat="1" applyFont="1" applyBorder="1"/>
    <xf numFmtId="0" fontId="15" fillId="5" borderId="36" xfId="0" applyFont="1" applyFill="1" applyBorder="1"/>
    <xf numFmtId="41" fontId="15" fillId="5" borderId="33" xfId="0" applyNumberFormat="1" applyFont="1" applyFill="1" applyBorder="1"/>
    <xf numFmtId="0" fontId="15" fillId="0" borderId="36" xfId="0" applyFont="1" applyBorder="1"/>
    <xf numFmtId="3" fontId="15" fillId="0" borderId="33" xfId="0" applyNumberFormat="1" applyFont="1" applyBorder="1"/>
    <xf numFmtId="41" fontId="15" fillId="5" borderId="36" xfId="0" applyNumberFormat="1" applyFont="1" applyFill="1" applyBorder="1"/>
    <xf numFmtId="3" fontId="15" fillId="0" borderId="36" xfId="0" applyNumberFormat="1" applyFont="1" applyBorder="1"/>
    <xf numFmtId="3" fontId="15" fillId="0" borderId="31" xfId="0" applyNumberFormat="1" applyFont="1" applyBorder="1"/>
    <xf numFmtId="3" fontId="15" fillId="5" borderId="50" xfId="0" applyNumberFormat="1" applyFont="1" applyFill="1" applyBorder="1"/>
    <xf numFmtId="3" fontId="15" fillId="5" borderId="51" xfId="0" applyNumberFormat="1" applyFont="1" applyFill="1" applyBorder="1"/>
    <xf numFmtId="3" fontId="15" fillId="0" borderId="30" xfId="0" applyNumberFormat="1" applyFont="1" applyBorder="1"/>
    <xf numFmtId="3" fontId="15" fillId="5" borderId="49" xfId="0" applyNumberFormat="1" applyFont="1" applyFill="1" applyBorder="1"/>
    <xf numFmtId="0" fontId="17" fillId="3" borderId="19" xfId="0" applyFont="1" applyFill="1" applyBorder="1" applyAlignment="1">
      <alignment horizontal="center"/>
    </xf>
    <xf numFmtId="0" fontId="17" fillId="3" borderId="21" xfId="0" applyFont="1" applyFill="1" applyBorder="1" applyAlignment="1">
      <alignment horizontal="center"/>
    </xf>
    <xf numFmtId="0" fontId="17" fillId="3" borderId="34" xfId="0" applyFont="1" applyFill="1" applyBorder="1" applyAlignment="1">
      <alignment horizontal="center"/>
    </xf>
    <xf numFmtId="0" fontId="17" fillId="3" borderId="12" xfId="0" applyFont="1" applyFill="1" applyBorder="1" applyAlignment="1">
      <alignment horizontal="right"/>
    </xf>
    <xf numFmtId="0" fontId="17" fillId="3" borderId="52" xfId="0" applyFont="1" applyFill="1" applyBorder="1" applyAlignment="1">
      <alignment horizontal="center"/>
    </xf>
    <xf numFmtId="0" fontId="17" fillId="3" borderId="35" xfId="0" applyFont="1" applyFill="1" applyBorder="1" applyAlignment="1">
      <alignment horizontal="center"/>
    </xf>
    <xf numFmtId="0" fontId="12" fillId="0" borderId="32" xfId="0" applyFont="1" applyBorder="1" applyAlignment="1">
      <alignment horizontal="center"/>
    </xf>
    <xf numFmtId="1" fontId="9" fillId="0" borderId="0" xfId="0" applyNumberFormat="1" applyFont="1" applyAlignment="1">
      <alignment horizontal="center"/>
    </xf>
    <xf numFmtId="0" fontId="9" fillId="0" borderId="39" xfId="0" applyFont="1" applyBorder="1"/>
    <xf numFmtId="0" fontId="9" fillId="0" borderId="2" xfId="0" applyFont="1" applyBorder="1"/>
    <xf numFmtId="179" fontId="0" fillId="0" borderId="2" xfId="22" applyNumberFormat="1" applyFont="1" applyBorder="1"/>
    <xf numFmtId="179" fontId="0" fillId="0" borderId="2" xfId="22" applyNumberFormat="1" applyFont="1" applyFill="1" applyBorder="1"/>
    <xf numFmtId="179" fontId="41" fillId="0" borderId="2" xfId="22" applyNumberFormat="1" applyFont="1" applyBorder="1"/>
    <xf numFmtId="179" fontId="5" fillId="0" borderId="2" xfId="22" applyNumberFormat="1" applyFont="1" applyBorder="1"/>
    <xf numFmtId="179" fontId="0" fillId="0" borderId="38" xfId="22" applyNumberFormat="1" applyFont="1" applyBorder="1"/>
    <xf numFmtId="167" fontId="43" fillId="23" borderId="3" xfId="2" applyNumberFormat="1" applyFont="1" applyFill="1" applyBorder="1" applyAlignment="1">
      <alignment horizontal="left" textRotation="90" wrapText="1"/>
    </xf>
    <xf numFmtId="0" fontId="9" fillId="0" borderId="10" xfId="0" applyFont="1" applyBorder="1"/>
    <xf numFmtId="0" fontId="9" fillId="0" borderId="7" xfId="0" applyFont="1" applyBorder="1"/>
    <xf numFmtId="0" fontId="9" fillId="0" borderId="5" xfId="0" applyFont="1" applyBorder="1"/>
    <xf numFmtId="165" fontId="9" fillId="0" borderId="5" xfId="36" applyFont="1" applyBorder="1"/>
    <xf numFmtId="165" fontId="9" fillId="0" borderId="4" xfId="36" applyFont="1" applyBorder="1"/>
    <xf numFmtId="165" fontId="9" fillId="0" borderId="5" xfId="36" applyFont="1" applyFill="1" applyBorder="1"/>
    <xf numFmtId="165" fontId="9" fillId="0" borderId="4" xfId="36" applyFont="1" applyFill="1" applyBorder="1"/>
    <xf numFmtId="165" fontId="9" fillId="0" borderId="11" xfId="36" applyFont="1" applyBorder="1"/>
    <xf numFmtId="0" fontId="9" fillId="0" borderId="12" xfId="0" applyFont="1" applyBorder="1"/>
    <xf numFmtId="171" fontId="9" fillId="0" borderId="18" xfId="0" applyNumberFormat="1" applyFont="1" applyBorder="1" applyAlignment="1">
      <alignment vertical="center"/>
    </xf>
    <xf numFmtId="171" fontId="9" fillId="0" borderId="3" xfId="0" applyNumberFormat="1" applyFont="1" applyBorder="1" applyAlignment="1">
      <alignment vertical="center"/>
    </xf>
    <xf numFmtId="171" fontId="9" fillId="0" borderId="18" xfId="1" applyNumberFormat="1" applyFont="1" applyBorder="1" applyAlignment="1">
      <alignment vertical="center"/>
    </xf>
    <xf numFmtId="179" fontId="9" fillId="0" borderId="4" xfId="0" applyNumberFormat="1" applyFont="1" applyBorder="1"/>
    <xf numFmtId="166" fontId="9" fillId="0" borderId="0" xfId="0" applyNumberFormat="1" applyFont="1" applyAlignment="1">
      <alignment vertical="center"/>
    </xf>
    <xf numFmtId="2" fontId="9" fillId="23" borderId="1" xfId="0" applyNumberFormat="1" applyFont="1" applyFill="1" applyBorder="1" applyAlignment="1">
      <alignment vertical="center"/>
    </xf>
    <xf numFmtId="168" fontId="9" fillId="23" borderId="1" xfId="0" applyNumberFormat="1" applyFont="1" applyFill="1" applyBorder="1" applyAlignment="1">
      <alignment vertical="center"/>
    </xf>
    <xf numFmtId="4" fontId="9" fillId="23" borderId="1" xfId="0" applyNumberFormat="1" applyFont="1" applyFill="1" applyBorder="1" applyAlignment="1">
      <alignment vertical="center"/>
    </xf>
    <xf numFmtId="0" fontId="9" fillId="23" borderId="1" xfId="0" applyFont="1" applyFill="1" applyBorder="1" applyAlignment="1">
      <alignment vertical="center"/>
    </xf>
    <xf numFmtId="0" fontId="11" fillId="23" borderId="1" xfId="0" applyFont="1" applyFill="1" applyBorder="1"/>
    <xf numFmtId="0" fontId="11" fillId="23" borderId="1" xfId="0" applyFont="1" applyFill="1" applyBorder="1" applyAlignment="1">
      <alignment vertical="center"/>
    </xf>
    <xf numFmtId="0" fontId="17" fillId="3" borderId="1" xfId="0" applyFont="1" applyFill="1" applyBorder="1" applyAlignment="1">
      <alignment horizontal="right"/>
    </xf>
    <xf numFmtId="0" fontId="17" fillId="3" borderId="1" xfId="0" applyFont="1" applyFill="1" applyBorder="1" applyAlignment="1">
      <alignment horizontal="center"/>
    </xf>
    <xf numFmtId="0" fontId="17" fillId="3" borderId="13" xfId="0" applyFont="1" applyFill="1" applyBorder="1" applyAlignment="1">
      <alignment horizontal="center"/>
    </xf>
    <xf numFmtId="0" fontId="17" fillId="3" borderId="3" xfId="0" applyFont="1" applyFill="1" applyBorder="1" applyAlignment="1">
      <alignment horizontal="right"/>
    </xf>
    <xf numFmtId="0" fontId="17" fillId="3" borderId="17" xfId="0" applyFont="1" applyFill="1" applyBorder="1" applyAlignment="1">
      <alignment horizontal="center"/>
    </xf>
    <xf numFmtId="0" fontId="17" fillId="3" borderId="53" xfId="0" applyFont="1" applyFill="1" applyBorder="1" applyAlignment="1">
      <alignment horizontal="center"/>
    </xf>
    <xf numFmtId="0" fontId="12" fillId="0" borderId="13" xfId="0" applyFont="1" applyBorder="1" applyAlignment="1">
      <alignment horizontal="right"/>
    </xf>
    <xf numFmtId="0" fontId="12" fillId="0" borderId="5" xfId="0" applyFont="1" applyBorder="1" applyAlignment="1">
      <alignment horizontal="right"/>
    </xf>
    <xf numFmtId="0" fontId="12" fillId="0" borderId="7" xfId="0" applyFont="1" applyBorder="1" applyAlignment="1">
      <alignment horizontal="right"/>
    </xf>
    <xf numFmtId="0" fontId="12" fillId="0" borderId="10" xfId="0" applyFont="1" applyBorder="1" applyAlignment="1">
      <alignment horizontal="right"/>
    </xf>
    <xf numFmtId="0" fontId="12" fillId="0" borderId="8" xfId="0" applyFont="1" applyBorder="1" applyAlignment="1">
      <alignment horizontal="right"/>
    </xf>
    <xf numFmtId="0" fontId="12" fillId="0" borderId="54" xfId="0" applyFont="1" applyBorder="1" applyAlignment="1">
      <alignment horizontal="center"/>
    </xf>
    <xf numFmtId="0" fontId="15" fillId="0" borderId="54" xfId="0" applyFont="1" applyBorder="1" applyAlignment="1">
      <alignment horizontal="center"/>
    </xf>
    <xf numFmtId="44" fontId="15" fillId="4" borderId="1" xfId="0" applyNumberFormat="1" applyFont="1" applyFill="1" applyBorder="1"/>
    <xf numFmtId="3" fontId="16" fillId="4" borderId="2" xfId="0" applyNumberFormat="1" applyFont="1" applyFill="1" applyBorder="1"/>
    <xf numFmtId="3" fontId="16" fillId="4" borderId="3" xfId="0" applyNumberFormat="1" applyFont="1" applyFill="1" applyBorder="1"/>
    <xf numFmtId="3" fontId="16" fillId="4" borderId="1" xfId="0" applyNumberFormat="1" applyFont="1" applyFill="1" applyBorder="1"/>
    <xf numFmtId="43" fontId="15" fillId="0" borderId="54" xfId="0" applyNumberFormat="1" applyFont="1" applyBorder="1"/>
    <xf numFmtId="3" fontId="16" fillId="0" borderId="5" xfId="0" applyNumberFormat="1" applyFont="1" applyBorder="1"/>
    <xf numFmtId="3" fontId="16" fillId="0" borderId="4" xfId="0" applyNumberFormat="1" applyFont="1" applyBorder="1"/>
    <xf numFmtId="3" fontId="16" fillId="0" borderId="54" xfId="0" applyNumberFormat="1" applyFont="1" applyBorder="1"/>
    <xf numFmtId="43" fontId="15" fillId="4" borderId="1" xfId="0" applyNumberFormat="1" applyFont="1" applyFill="1" applyBorder="1"/>
    <xf numFmtId="43" fontId="16" fillId="0" borderId="54" xfId="0" applyNumberFormat="1" applyFont="1" applyBorder="1"/>
    <xf numFmtId="43" fontId="12" fillId="0" borderId="54" xfId="0" applyNumberFormat="1" applyFont="1" applyBorder="1" applyAlignment="1">
      <alignment horizontal="right"/>
    </xf>
    <xf numFmtId="0" fontId="15" fillId="4" borderId="1" xfId="0" applyFont="1" applyFill="1" applyBorder="1"/>
    <xf numFmtId="0" fontId="16" fillId="0" borderId="55" xfId="0" applyFont="1" applyBorder="1"/>
    <xf numFmtId="3" fontId="16" fillId="0" borderId="11" xfId="0" applyNumberFormat="1" applyFont="1" applyBorder="1"/>
    <xf numFmtId="3" fontId="16" fillId="0" borderId="6" xfId="0" applyNumberFormat="1" applyFont="1" applyBorder="1"/>
    <xf numFmtId="3" fontId="16" fillId="0" borderId="12" xfId="0" applyNumberFormat="1" applyFont="1" applyBorder="1"/>
    <xf numFmtId="0" fontId="15" fillId="5" borderId="1" xfId="0" applyFont="1" applyFill="1" applyBorder="1"/>
    <xf numFmtId="41" fontId="15" fillId="5" borderId="1" xfId="0" applyNumberFormat="1" applyFont="1" applyFill="1" applyBorder="1"/>
    <xf numFmtId="3" fontId="15" fillId="0" borderId="1" xfId="0" applyNumberFormat="1" applyFont="1" applyBorder="1"/>
    <xf numFmtId="3" fontId="15" fillId="5" borderId="1" xfId="0" applyNumberFormat="1" applyFont="1" applyFill="1" applyBorder="1"/>
    <xf numFmtId="3" fontId="16" fillId="0" borderId="8" xfId="0" applyNumberFormat="1" applyFont="1" applyBorder="1"/>
    <xf numFmtId="4" fontId="9" fillId="0" borderId="30" xfId="0" applyNumberFormat="1" applyFont="1" applyBorder="1" applyAlignment="1">
      <alignment vertical="center"/>
    </xf>
    <xf numFmtId="0" fontId="17" fillId="3" borderId="2" xfId="0" applyFont="1" applyFill="1" applyBorder="1" applyAlignment="1">
      <alignment horizontal="center"/>
    </xf>
    <xf numFmtId="43" fontId="16" fillId="0" borderId="0" xfId="0" applyNumberFormat="1" applyFont="1"/>
    <xf numFmtId="43" fontId="17" fillId="3" borderId="13" xfId="0" applyNumberFormat="1" applyFont="1" applyFill="1" applyBorder="1" applyAlignment="1">
      <alignment horizontal="center"/>
    </xf>
    <xf numFmtId="43" fontId="17" fillId="3" borderId="53" xfId="0" applyNumberFormat="1" applyFont="1" applyFill="1" applyBorder="1" applyAlignment="1">
      <alignment horizontal="center"/>
    </xf>
    <xf numFmtId="41" fontId="16" fillId="5" borderId="1" xfId="0" applyNumberFormat="1" applyFont="1" applyFill="1" applyBorder="1"/>
    <xf numFmtId="10" fontId="16" fillId="4" borderId="1" xfId="0" applyNumberFormat="1" applyFont="1" applyFill="1" applyBorder="1"/>
    <xf numFmtId="1" fontId="9" fillId="0" borderId="1" xfId="2" applyNumberFormat="1" applyFont="1" applyBorder="1" applyAlignment="1">
      <alignment horizontal="left" vertical="center"/>
    </xf>
    <xf numFmtId="10" fontId="9" fillId="0" borderId="0" xfId="0" applyNumberFormat="1" applyFont="1"/>
    <xf numFmtId="167" fontId="19" fillId="0" borderId="1" xfId="2" applyNumberFormat="1" applyFont="1" applyBorder="1" applyAlignment="1">
      <alignment vertical="center"/>
    </xf>
    <xf numFmtId="1" fontId="19" fillId="0" borderId="1" xfId="2" applyNumberFormat="1" applyFont="1" applyBorder="1" applyAlignment="1">
      <alignment horizontal="left" vertical="center"/>
    </xf>
    <xf numFmtId="173" fontId="19" fillId="0" borderId="1" xfId="0" applyNumberFormat="1" applyFont="1" applyBorder="1" applyAlignment="1">
      <alignment vertical="center" wrapText="1"/>
    </xf>
    <xf numFmtId="0" fontId="19" fillId="0" borderId="1" xfId="0" applyFont="1" applyBorder="1" applyAlignment="1">
      <alignment vertical="center"/>
    </xf>
    <xf numFmtId="0" fontId="19" fillId="2" borderId="13" xfId="0" applyFont="1" applyFill="1" applyBorder="1" applyAlignment="1">
      <alignment vertical="center"/>
    </xf>
    <xf numFmtId="0" fontId="15" fillId="0" borderId="0" xfId="0" applyFont="1" applyAlignment="1">
      <alignment horizontal="center"/>
    </xf>
    <xf numFmtId="0" fontId="16" fillId="0" borderId="0" xfId="0" applyFont="1" applyAlignment="1">
      <alignment horizontal="center"/>
    </xf>
    <xf numFmtId="0" fontId="17" fillId="3" borderId="2" xfId="0" applyFont="1" applyFill="1" applyBorder="1" applyAlignment="1">
      <alignment horizontal="center"/>
    </xf>
    <xf numFmtId="0" fontId="17" fillId="3" borderId="9" xfId="0" applyFont="1" applyFill="1" applyBorder="1" applyAlignment="1">
      <alignment horizontal="center"/>
    </xf>
    <xf numFmtId="0" fontId="17" fillId="3" borderId="3" xfId="0" applyFont="1" applyFill="1" applyBorder="1" applyAlignment="1">
      <alignment horizontal="center"/>
    </xf>
    <xf numFmtId="0" fontId="14" fillId="3" borderId="1" xfId="0" applyFont="1" applyFill="1" applyBorder="1" applyAlignment="1">
      <alignment horizontal="center" vertical="center" wrapText="1"/>
    </xf>
    <xf numFmtId="1" fontId="14" fillId="3" borderId="1" xfId="0" applyNumberFormat="1" applyFont="1" applyFill="1" applyBorder="1" applyAlignment="1">
      <alignment horizontal="left" vertical="center" wrapText="1"/>
    </xf>
    <xf numFmtId="0" fontId="11" fillId="0" borderId="11" xfId="0" applyFont="1" applyBorder="1" applyAlignment="1">
      <alignment horizontal="center"/>
    </xf>
    <xf numFmtId="0" fontId="11" fillId="0" borderId="6" xfId="0" applyFont="1" applyBorder="1" applyAlignment="1">
      <alignment horizontal="center"/>
    </xf>
    <xf numFmtId="0" fontId="14" fillId="3" borderId="1" xfId="0" applyFont="1" applyFill="1" applyBorder="1" applyAlignment="1">
      <alignment horizontal="center"/>
    </xf>
    <xf numFmtId="0" fontId="14" fillId="3" borderId="2" xfId="0" applyFont="1" applyFill="1" applyBorder="1" applyAlignment="1">
      <alignment horizontal="center"/>
    </xf>
    <xf numFmtId="0" fontId="14" fillId="3" borderId="9" xfId="0" applyFont="1" applyFill="1" applyBorder="1" applyAlignment="1">
      <alignment horizontal="center"/>
    </xf>
    <xf numFmtId="0" fontId="14" fillId="3" borderId="3" xfId="0" applyFont="1" applyFill="1" applyBorder="1" applyAlignment="1">
      <alignment horizontal="center"/>
    </xf>
    <xf numFmtId="0" fontId="12" fillId="0" borderId="0" xfId="0" applyFont="1" applyAlignment="1">
      <alignment horizontal="center" vertical="center" wrapText="1"/>
    </xf>
    <xf numFmtId="3" fontId="15" fillId="11" borderId="0" xfId="0" applyNumberFormat="1" applyFont="1" applyFill="1" applyAlignment="1">
      <alignment horizontal="center"/>
    </xf>
    <xf numFmtId="0" fontId="15" fillId="21" borderId="23" xfId="0" applyFont="1" applyFill="1" applyBorder="1" applyAlignment="1">
      <alignment horizontal="center"/>
    </xf>
    <xf numFmtId="0" fontId="15" fillId="21" borderId="29" xfId="0" applyFont="1" applyFill="1" applyBorder="1" applyAlignment="1">
      <alignment horizontal="center"/>
    </xf>
    <xf numFmtId="0" fontId="15" fillId="21" borderId="22" xfId="0" applyFont="1" applyFill="1" applyBorder="1" applyAlignment="1">
      <alignment horizontal="center"/>
    </xf>
    <xf numFmtId="0" fontId="14" fillId="3" borderId="14" xfId="0" applyFont="1" applyFill="1" applyBorder="1" applyAlignment="1">
      <alignment horizontal="center"/>
    </xf>
    <xf numFmtId="0" fontId="14" fillId="3" borderId="15" xfId="0" applyFont="1" applyFill="1" applyBorder="1" applyAlignment="1">
      <alignment horizontal="center"/>
    </xf>
    <xf numFmtId="0" fontId="14" fillId="3" borderId="16" xfId="0" applyFont="1" applyFill="1" applyBorder="1" applyAlignment="1">
      <alignment horizontal="center"/>
    </xf>
    <xf numFmtId="0" fontId="15" fillId="10" borderId="19" xfId="0" applyFont="1" applyFill="1" applyBorder="1" applyAlignment="1">
      <alignment horizontal="center"/>
    </xf>
    <xf numFmtId="0" fontId="15" fillId="10" borderId="20" xfId="0" applyFont="1" applyFill="1" applyBorder="1" applyAlignment="1">
      <alignment horizontal="center"/>
    </xf>
    <xf numFmtId="0" fontId="15" fillId="10" borderId="21" xfId="0" applyFont="1" applyFill="1" applyBorder="1" applyAlignment="1">
      <alignment horizontal="center"/>
    </xf>
    <xf numFmtId="0" fontId="15" fillId="7" borderId="0" xfId="0" applyFont="1" applyFill="1" applyAlignment="1">
      <alignment horizontal="center"/>
    </xf>
    <xf numFmtId="0" fontId="15" fillId="8" borderId="0" xfId="0" applyFont="1" applyFill="1" applyAlignment="1">
      <alignment horizontal="center"/>
    </xf>
    <xf numFmtId="0" fontId="14" fillId="3" borderId="25" xfId="0" applyFont="1" applyFill="1" applyBorder="1" applyAlignment="1">
      <alignment horizontal="center"/>
    </xf>
    <xf numFmtId="0" fontId="14" fillId="3" borderId="26" xfId="0" applyFont="1" applyFill="1" applyBorder="1" applyAlignment="1">
      <alignment horizontal="center"/>
    </xf>
    <xf numFmtId="0" fontId="14" fillId="3" borderId="39" xfId="0" applyFont="1" applyFill="1" applyBorder="1" applyAlignment="1">
      <alignment horizontal="center"/>
    </xf>
    <xf numFmtId="0" fontId="24" fillId="0" borderId="0" xfId="0" applyFont="1" applyAlignment="1">
      <alignment horizontal="center"/>
    </xf>
    <xf numFmtId="0" fontId="17" fillId="3" borderId="14" xfId="0" applyFont="1" applyFill="1" applyBorder="1" applyAlignment="1">
      <alignment horizontal="center"/>
    </xf>
    <xf numFmtId="0" fontId="17" fillId="3" borderId="15" xfId="0" applyFont="1" applyFill="1" applyBorder="1" applyAlignment="1">
      <alignment horizontal="center"/>
    </xf>
    <xf numFmtId="0" fontId="17" fillId="3" borderId="19" xfId="0" applyFont="1" applyFill="1" applyBorder="1" applyAlignment="1">
      <alignment horizontal="center"/>
    </xf>
    <xf numFmtId="0" fontId="17" fillId="3" borderId="20" xfId="0" applyFont="1" applyFill="1" applyBorder="1" applyAlignment="1">
      <alignment horizontal="center"/>
    </xf>
    <xf numFmtId="0" fontId="17" fillId="3" borderId="21" xfId="0" applyFont="1" applyFill="1" applyBorder="1" applyAlignment="1">
      <alignment horizontal="center"/>
    </xf>
  </cellXfs>
  <cellStyles count="37">
    <cellStyle name="Comma" xfId="21" builtinId="3"/>
    <cellStyle name="Comma 2" xfId="5" xr:uid="{00000000-0005-0000-0000-000001000000}"/>
    <cellStyle name="Comma 2 2" xfId="23" xr:uid="{869A21F8-51F6-417F-911E-41DDF9B97C74}"/>
    <cellStyle name="Comma 3" xfId="12" xr:uid="{E99ADC2E-6FA1-4B13-8417-DAE81CC08645}"/>
    <cellStyle name="Comma 3 2" xfId="20" xr:uid="{043D0E40-6BF3-4938-AB1D-2747C195DA41}"/>
    <cellStyle name="Comma 3 2 2" xfId="33" xr:uid="{5E57B4B1-43EE-40E9-92CD-7CFFD5EDC0B3}"/>
    <cellStyle name="Comma 3 3" xfId="28" xr:uid="{E0508922-F24A-4BB8-B282-A3E5FB952D95}"/>
    <cellStyle name="Currency" xfId="22" builtinId="4"/>
    <cellStyle name="Currency [0]" xfId="36" builtinId="7"/>
    <cellStyle name="Currency 2" xfId="7" xr:uid="{00000000-0005-0000-0000-000003000000}"/>
    <cellStyle name="Currency 2 2" xfId="18" xr:uid="{0F7B2CC6-3B2A-410C-8F50-0B7CECA2AE05}"/>
    <cellStyle name="Currency 2 2 2" xfId="31" xr:uid="{3381C242-3778-4966-9D3F-03DCF98A336B}"/>
    <cellStyle name="Currency 2 3" xfId="25" xr:uid="{2353DC33-F6A0-4CD4-878D-559B9F8BEF46}"/>
    <cellStyle name="Currency 3" xfId="9" xr:uid="{2B1F91B3-1D40-4C31-BE3E-C69FD655EC44}"/>
    <cellStyle name="Currency 3 2" xfId="27" xr:uid="{AAF7B661-E6C5-40A4-8453-4796730740DD}"/>
    <cellStyle name="Millares 2" xfId="34" xr:uid="{1A9E58E3-6D78-4536-A64B-FB7719D9F3DF}"/>
    <cellStyle name="Moneda 2" xfId="35" xr:uid="{055E0CF9-7C1B-4FBC-B274-EAFF7F75E09D}"/>
    <cellStyle name="Moneda 3" xfId="15" xr:uid="{0EDACBD5-8538-4CA1-A5C5-47211E396CC1}"/>
    <cellStyle name="Moneda 3 2" xfId="29" xr:uid="{F741E566-CAB4-40C1-A7A7-E53E7012F5F1}"/>
    <cellStyle name="Normal" xfId="0" builtinId="0"/>
    <cellStyle name="Normal 2" xfId="2" xr:uid="{00000000-0005-0000-0000-000005000000}"/>
    <cellStyle name="Normal 2 2" xfId="6" xr:uid="{00000000-0005-0000-0000-000006000000}"/>
    <cellStyle name="Normal 2 2 2" xfId="17" xr:uid="{EF3E748F-867A-497B-AD77-843D45E73587}"/>
    <cellStyle name="Normal 2 2 2 2" xfId="30" xr:uid="{DA0D136F-A753-462F-8FF9-7DDC19DB019B}"/>
    <cellStyle name="Normal 2 2 3" xfId="24" xr:uid="{08DC6428-C27F-4E4C-A510-BAAE1788FF9B}"/>
    <cellStyle name="Normal 3" xfId="3" xr:uid="{00000000-0005-0000-0000-000007000000}"/>
    <cellStyle name="Normal 3 2" xfId="13" xr:uid="{A7632AEC-1A21-4FA3-9D04-FB464FFDE781}"/>
    <cellStyle name="Normal 4" xfId="4" xr:uid="{00000000-0005-0000-0000-000008000000}"/>
    <cellStyle name="Normal 4 2" xfId="16" xr:uid="{3C77F5F1-B118-48C2-BB37-C6874558E7C5}"/>
    <cellStyle name="Normal 5" xfId="8" xr:uid="{696106F2-B9F1-4F15-81A3-E3443F17835A}"/>
    <cellStyle name="Normal 5 2" xfId="19" xr:uid="{C56665C7-BAA1-418A-9B73-F589F2677328}"/>
    <cellStyle name="Normal 5 2 2" xfId="32" xr:uid="{3C37074B-F1B1-49F3-A2FC-959C8AF8F777}"/>
    <cellStyle name="Normal 5 3" xfId="26" xr:uid="{F949BF49-9466-446C-8C9E-2E8FFE96ED28}"/>
    <cellStyle name="Percent" xfId="1" builtinId="5"/>
    <cellStyle name="Percent 2" xfId="10" xr:uid="{5DA92C78-84E0-4A77-96BF-0469385156F7}"/>
    <cellStyle name="Percent 34" xfId="11" xr:uid="{6B505889-CADA-4AFE-9B4E-B8BE429E708C}"/>
    <cellStyle name="Porcentaje 2" xfId="14" xr:uid="{BF36A7A8-D247-4B4F-98E3-6640926739E5}"/>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color rgb="FFFF0000"/>
      </font>
    </dxf>
    <dxf>
      <font>
        <strike val="0"/>
        <color rgb="FFFF0000"/>
      </font>
    </dxf>
    <dxf>
      <font>
        <color rgb="FF9C0006"/>
      </font>
      <fill>
        <patternFill>
          <bgColor rgb="FFFFC7CE"/>
        </patternFill>
      </fill>
    </dxf>
  </dxfs>
  <tableStyles count="0" defaultTableStyle="TableStyleMedium2" defaultPivotStyle="PivotStyleLight16"/>
  <colors>
    <mruColors>
      <color rgb="FFE7F0F9"/>
      <color rgb="FFFFFFCC"/>
      <color rgb="FFFFFF61"/>
      <color rgb="FFD7E5F5"/>
      <color rgb="FFFFFFAF"/>
      <color rgb="FFFEF1E6"/>
      <color rgb="FFFEF4EC"/>
      <color rgb="FFFDDF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documenttasks/documenttask1.xml><?xml version="1.0" encoding="utf-8"?>
<Tasks xmlns="http://schemas.microsoft.com/office/tasks/2019/documenttasks">
  <Task id="{A8BCB6B2-97ED-46BC-B6F0-F70D1BDD596B}">
    <Anchor>
      <Comment id="{90BC5EAD-CE2B-4B74-B6A4-B079F4F94879}"/>
    </Anchor>
    <History>
      <Event time="2023-08-08T20:56:13.88" id="{BCF79425-9A48-45E6-863B-C3B4D16EDF63}">
        <Attribution userId="S::mochoa@partners.net::18bd6752-8a10-434a-9930-1634f4e867c6" userName="Maria Ochoa" userProvider="AD"/>
        <Anchor>
          <Comment id="{90BC5EAD-CE2B-4B74-B6A4-B079F4F94879}"/>
        </Anchor>
        <Create/>
      </Event>
      <Event time="2023-08-08T20:56:13.88" id="{B0390EE3-3D70-4CE9-85C7-DC933CEB8263}">
        <Attribution userId="S::mochoa@partners.net::18bd6752-8a10-434a-9930-1634f4e867c6" userName="Maria Ochoa" userProvider="AD"/>
        <Anchor>
          <Comment id="{90BC5EAD-CE2B-4B74-B6A4-B079F4F94879}"/>
        </Anchor>
        <Assign userId="S::vardila@partners.net::cd96f077-515e-4104-96f8-44ee98248185" userName="Vanessa Ardila López" userProvider="AD"/>
      </Event>
      <Event time="2023-08-08T20:56:13.88" id="{F938FC40-577D-45ED-9388-EED9507D6E63}">
        <Attribution userId="S::mochoa@partners.net::18bd6752-8a10-434a-9930-1634f4e867c6" userName="Maria Ochoa" userProvider="AD"/>
        <Anchor>
          <Comment id="{90BC5EAD-CE2B-4B74-B6A4-B079F4F94879}"/>
        </Anchor>
        <SetTitle title="@Vanessa Ardila López , cambiar título porque ya no es RFA."/>
      </Event>
    </History>
  </Task>
</Tasks>
</file>

<file path=xl/persons/person.xml><?xml version="1.0" encoding="utf-8"?>
<personList xmlns="http://schemas.microsoft.com/office/spreadsheetml/2018/threadedcomments" xmlns:x="http://schemas.openxmlformats.org/spreadsheetml/2006/main">
  <person displayName="Vanessa Ardila López" id="{DFA73462-C06B-444D-9707-04623939C6AF}" userId="vardila@partners.net" providerId="PeoplePicker"/>
  <person displayName="Maria Ochoa" id="{A66BEBD5-528B-4B24-914D-E89739BC6F76}" userId="S::mochoa@partners.net::18bd6752-8a10-434a-9930-1634f4e867c6" providerId="AD"/>
  <person displayName="Johnatan Diaz" id="{FFE553B5-C039-49B0-8BB4-F2CFB9ED0A18}" userId="S::jdiaz@proantioquia.org.co::3ce6f4ee-60aa-4f8e-a0e6-89215f2107c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9" dT="2023-03-24T16:06:45.92" personId="{FFE553B5-C039-49B0-8BB4-F2CFB9ED0A18}" id="{BC5D4B54-FD48-4C56-85CF-DFF10920E2AC}">
    <text>PRIMAS EN FRINGE MEJOR!!!</text>
  </threadedComment>
  <threadedComment ref="G24" dT="2023-05-31T14:04:10.53" personId="{FFE553B5-C039-49B0-8BB4-F2CFB9ED0A18}" id="{64A4775E-5110-4F1A-97E1-6589F894CC2A}">
    <text>Incluye corrección de $429.000 a una tasa de 4369,073</text>
  </threadedComment>
  <threadedComment ref="G34" dT="2023-04-11T21:45:32.38" personId="{FFE553B5-C039-49B0-8BB4-F2CFB9ED0A18}" id="{442BD6B7-CB34-410F-9D20-A44D6808E2E9}">
    <text>Corrección de $2'551.900 a una tasa de $4781,104993</text>
  </threadedComment>
  <threadedComment ref="I35" dT="2022-12-09T14:39:21.79" personId="{FFE553B5-C039-49B0-8BB4-F2CFB9ED0A18}" id="{FD786312-79AB-4AE6-965E-9F275759639C}">
    <text>medellin</text>
  </threadedComment>
  <threadedComment ref="A39" dT="2022-07-29T15:04:15.99" personId="{FFE553B5-C039-49B0-8BB4-F2CFB9ED0A18}" id="{CEA7280E-677F-4DE6-804B-4CA5C741B9BE}">
    <text>cual es el flujo de envíos y a que lugares?</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3-08-08T20:56:11.79" personId="{A66BEBD5-528B-4B24-914D-E89739BC6F76}" id="{90BC5EAD-CE2B-4B74-B6A4-B079F4F94879}">
    <text>@Vanessa Ardila López , cambiar título porque ya no es RFA.</text>
    <mentions>
      <mention mentionpersonId="{DFA73462-C06B-444D-9707-04623939C6AF}" mentionId="{2C628393-E5C1-442C-B93B-B760D155A4B8}" startIndex="0" length="21"/>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7430E-8915-4E1F-994A-E7B06C38BCA8}">
  <sheetPr>
    <pageSetUpPr fitToPage="1"/>
  </sheetPr>
  <dimension ref="A1:DX41"/>
  <sheetViews>
    <sheetView zoomScale="70" zoomScaleNormal="70" workbookViewId="0">
      <pane xSplit="1" ySplit="5" topLeftCell="B6" activePane="bottomRight" state="frozen"/>
      <selection pane="topRight" activeCell="A8" sqref="A8:N8"/>
      <selection pane="bottomLeft" activeCell="A8" sqref="A8:N8"/>
      <selection pane="bottomRight" activeCell="U16" sqref="U16"/>
    </sheetView>
  </sheetViews>
  <sheetFormatPr defaultColWidth="9.1640625" defaultRowHeight="15.3" x14ac:dyDescent="0.55000000000000004"/>
  <cols>
    <col min="1" max="1" width="19.5546875" style="3" bestFit="1" customWidth="1"/>
    <col min="2" max="2" width="10.1640625" style="3" bestFit="1" customWidth="1"/>
    <col min="3" max="3" width="10.44140625" style="3" bestFit="1" customWidth="1"/>
    <col min="4" max="5" width="10.1640625" style="3" bestFit="1" customWidth="1"/>
    <col min="6" max="6" width="10.44140625" style="3" bestFit="1" customWidth="1"/>
    <col min="7" max="8" width="10.1640625" style="3" bestFit="1" customWidth="1"/>
    <col min="9" max="9" width="10.44140625" style="3" bestFit="1" customWidth="1"/>
    <col min="10" max="11" width="10.1640625" style="3" bestFit="1" customWidth="1"/>
    <col min="12" max="12" width="10.44140625" style="3" bestFit="1" customWidth="1"/>
    <col min="13" max="14" width="10.1640625" style="3" bestFit="1" customWidth="1"/>
    <col min="15" max="15" width="10.44140625" style="3" bestFit="1" customWidth="1"/>
    <col min="16" max="16" width="10.1640625" style="3" bestFit="1" customWidth="1"/>
    <col min="17" max="17" width="11.83203125" style="3" bestFit="1" customWidth="1"/>
    <col min="18" max="18" width="10.44140625" style="3" bestFit="1" customWidth="1"/>
    <col min="19" max="19" width="11.83203125" style="3" bestFit="1" customWidth="1"/>
    <col min="20" max="16384" width="9.1640625" style="3"/>
  </cols>
  <sheetData>
    <row r="1" spans="1:19" x14ac:dyDescent="0.55000000000000004">
      <c r="A1" s="7"/>
      <c r="B1" s="595" t="s">
        <v>0</v>
      </c>
      <c r="C1" s="595"/>
      <c r="D1" s="595"/>
      <c r="E1" s="595"/>
      <c r="F1" s="595"/>
      <c r="G1" s="595"/>
      <c r="H1" s="595"/>
      <c r="I1" s="595"/>
      <c r="J1" s="595"/>
      <c r="K1" s="595"/>
      <c r="L1" s="595"/>
      <c r="M1" s="595"/>
      <c r="N1" s="595"/>
      <c r="O1" s="595"/>
      <c r="P1" s="595"/>
      <c r="Q1" s="595"/>
      <c r="R1" s="595"/>
      <c r="S1" s="595"/>
    </row>
    <row r="2" spans="1:19" x14ac:dyDescent="0.55000000000000004">
      <c r="B2" s="596" t="s">
        <v>1</v>
      </c>
      <c r="C2" s="596"/>
      <c r="D2" s="596"/>
      <c r="E2" s="596"/>
      <c r="F2" s="596"/>
      <c r="G2" s="596"/>
      <c r="H2" s="596"/>
      <c r="I2" s="596"/>
      <c r="J2" s="596"/>
      <c r="K2" s="596"/>
      <c r="L2" s="596"/>
      <c r="M2" s="596"/>
      <c r="N2" s="596"/>
      <c r="O2" s="596"/>
      <c r="P2" s="596"/>
      <c r="Q2" s="596"/>
      <c r="R2" s="596"/>
      <c r="S2" s="596"/>
    </row>
    <row r="4" spans="1:19" x14ac:dyDescent="0.55000000000000004">
      <c r="A4" s="547" t="s">
        <v>2</v>
      </c>
      <c r="B4" s="597" t="s">
        <v>3</v>
      </c>
      <c r="C4" s="598"/>
      <c r="D4" s="599"/>
      <c r="E4" s="597" t="s">
        <v>4</v>
      </c>
      <c r="F4" s="598"/>
      <c r="G4" s="599"/>
      <c r="H4" s="597" t="s">
        <v>5</v>
      </c>
      <c r="I4" s="598"/>
      <c r="J4" s="599"/>
      <c r="K4" s="597" t="s">
        <v>6</v>
      </c>
      <c r="L4" s="598"/>
      <c r="M4" s="599"/>
      <c r="N4" s="597" t="s">
        <v>7</v>
      </c>
      <c r="O4" s="598"/>
      <c r="P4" s="599"/>
      <c r="Q4" s="548" t="s">
        <v>8</v>
      </c>
      <c r="R4" s="549" t="s">
        <v>9</v>
      </c>
      <c r="S4" s="549" t="s">
        <v>10</v>
      </c>
    </row>
    <row r="5" spans="1:19" ht="15.6" thickBot="1" x14ac:dyDescent="0.6">
      <c r="A5" s="547"/>
      <c r="B5" s="4" t="s">
        <v>11</v>
      </c>
      <c r="C5" s="5" t="s">
        <v>12</v>
      </c>
      <c r="D5" s="550" t="s">
        <v>9</v>
      </c>
      <c r="E5" s="547" t="s">
        <v>11</v>
      </c>
      <c r="F5" s="547" t="s">
        <v>12</v>
      </c>
      <c r="G5" s="547" t="s">
        <v>9</v>
      </c>
      <c r="H5" s="550" t="s">
        <v>11</v>
      </c>
      <c r="I5" s="547" t="s">
        <v>12</v>
      </c>
      <c r="J5" s="547" t="s">
        <v>9</v>
      </c>
      <c r="K5" s="547" t="s">
        <v>11</v>
      </c>
      <c r="L5" s="547" t="s">
        <v>12</v>
      </c>
      <c r="M5" s="547" t="s">
        <v>9</v>
      </c>
      <c r="N5" s="547" t="s">
        <v>11</v>
      </c>
      <c r="O5" s="547" t="s">
        <v>12</v>
      </c>
      <c r="P5" s="547" t="s">
        <v>9</v>
      </c>
      <c r="Q5" s="551" t="s">
        <v>11</v>
      </c>
      <c r="R5" s="547" t="s">
        <v>12</v>
      </c>
      <c r="S5" s="552" t="s">
        <v>8</v>
      </c>
    </row>
    <row r="6" spans="1:19" x14ac:dyDescent="0.55000000000000004">
      <c r="A6" s="553"/>
      <c r="B6" s="554"/>
      <c r="C6" s="487"/>
      <c r="D6" s="555"/>
      <c r="E6" s="556"/>
      <c r="F6" s="557"/>
      <c r="G6" s="555"/>
      <c r="H6" s="557"/>
      <c r="I6" s="557"/>
      <c r="J6" s="555"/>
      <c r="K6" s="556"/>
      <c r="L6" s="557"/>
      <c r="M6" s="555"/>
      <c r="N6" s="556"/>
      <c r="O6" s="557"/>
      <c r="P6" s="555"/>
      <c r="Q6" s="558"/>
      <c r="R6" s="559"/>
      <c r="S6" s="558"/>
    </row>
    <row r="7" spans="1:19" x14ac:dyDescent="0.55000000000000004">
      <c r="A7" s="560" t="s">
        <v>13</v>
      </c>
      <c r="B7" s="561">
        <v>146525</v>
      </c>
      <c r="C7" s="561">
        <v>29706.899999999998</v>
      </c>
      <c r="D7" s="562">
        <f>SUM(B7:C7)</f>
        <v>176231.9</v>
      </c>
      <c r="E7" s="561">
        <v>180648</v>
      </c>
      <c r="F7" s="561">
        <v>33006.272000000004</v>
      </c>
      <c r="G7" s="562">
        <f>SUM(E7:F7)</f>
        <v>213654.272</v>
      </c>
      <c r="H7" s="561">
        <v>187873.92000000001</v>
      </c>
      <c r="I7" s="561">
        <v>34326.522880000004</v>
      </c>
      <c r="J7" s="562">
        <f>SUM(H7:I7)</f>
        <v>222200.44288000002</v>
      </c>
      <c r="K7" s="561">
        <v>195388.87680000003</v>
      </c>
      <c r="L7" s="561">
        <v>35699.583795200007</v>
      </c>
      <c r="M7" s="562">
        <f>SUM(K7:L7)</f>
        <v>231088.46059520004</v>
      </c>
      <c r="N7" s="561">
        <v>175186.31936000002</v>
      </c>
      <c r="O7" s="561">
        <v>35922.729816064006</v>
      </c>
      <c r="P7" s="562">
        <f>SUM(N7:O7)</f>
        <v>211109.04917606403</v>
      </c>
      <c r="Q7" s="563">
        <v>885622.11615999998</v>
      </c>
      <c r="R7" s="563">
        <v>168662.00849126402</v>
      </c>
      <c r="S7" s="563">
        <v>1054284.1246512639</v>
      </c>
    </row>
    <row r="8" spans="1:19" x14ac:dyDescent="0.55000000000000004">
      <c r="A8" s="564"/>
      <c r="B8" s="565"/>
      <c r="C8" s="8"/>
      <c r="D8" s="566"/>
      <c r="E8" s="565"/>
      <c r="F8" s="8"/>
      <c r="G8" s="566"/>
      <c r="H8" s="565"/>
      <c r="I8" s="8"/>
      <c r="J8" s="566"/>
      <c r="K8" s="565"/>
      <c r="L8" s="8"/>
      <c r="M8" s="566"/>
      <c r="N8" s="565"/>
      <c r="O8" s="8"/>
      <c r="P8" s="566"/>
      <c r="Q8" s="567"/>
      <c r="R8" s="567"/>
      <c r="S8" s="567"/>
    </row>
    <row r="9" spans="1:19" x14ac:dyDescent="0.55000000000000004">
      <c r="A9" s="568" t="s">
        <v>14</v>
      </c>
      <c r="B9" s="561">
        <v>68799.225999999995</v>
      </c>
      <c r="C9" s="561">
        <v>13520.294615999999</v>
      </c>
      <c r="D9" s="561">
        <v>82319.520615999994</v>
      </c>
      <c r="E9" s="561">
        <v>84668.238719999994</v>
      </c>
      <c r="F9" s="561">
        <v>15057.82715008</v>
      </c>
      <c r="G9" s="561">
        <v>99726.065870079998</v>
      </c>
      <c r="H9" s="561">
        <v>88054.968268800003</v>
      </c>
      <c r="I9" s="561">
        <v>15660.1402360832</v>
      </c>
      <c r="J9" s="561">
        <v>103715.1085048832</v>
      </c>
      <c r="K9" s="561">
        <v>91577.166999551991</v>
      </c>
      <c r="L9" s="561">
        <v>16286.545845526531</v>
      </c>
      <c r="M9" s="561">
        <v>107863.71284507852</v>
      </c>
      <c r="N9" s="561">
        <v>83109.782036070406</v>
      </c>
      <c r="O9" s="561">
        <v>16289.034099407918</v>
      </c>
      <c r="P9" s="561">
        <v>99398.816135478322</v>
      </c>
      <c r="Q9" s="563">
        <v>416209.3820244224</v>
      </c>
      <c r="R9" s="563">
        <v>76813.841947097651</v>
      </c>
      <c r="S9" s="563">
        <v>493023.22397152008</v>
      </c>
    </row>
    <row r="10" spans="1:19" x14ac:dyDescent="0.55000000000000004">
      <c r="A10" s="564"/>
      <c r="B10" s="565"/>
      <c r="C10" s="8"/>
      <c r="D10" s="566"/>
      <c r="E10" s="565"/>
      <c r="F10" s="8"/>
      <c r="G10" s="566"/>
      <c r="H10" s="565"/>
      <c r="I10" s="8"/>
      <c r="J10" s="566"/>
      <c r="K10" s="565"/>
      <c r="L10" s="8"/>
      <c r="M10" s="566"/>
      <c r="N10" s="565"/>
      <c r="O10" s="8"/>
      <c r="P10" s="566"/>
      <c r="Q10" s="567"/>
      <c r="R10" s="567"/>
      <c r="S10" s="567"/>
    </row>
    <row r="11" spans="1:19" x14ac:dyDescent="0.55000000000000004">
      <c r="A11" s="568" t="s">
        <v>15</v>
      </c>
      <c r="B11" s="561">
        <v>18570</v>
      </c>
      <c r="C11" s="561">
        <v>0</v>
      </c>
      <c r="D11" s="561">
        <v>18570</v>
      </c>
      <c r="E11" s="561">
        <v>19700.700000000004</v>
      </c>
      <c r="F11" s="561">
        <v>0</v>
      </c>
      <c r="G11" s="561">
        <v>19700.700000000004</v>
      </c>
      <c r="H11" s="561">
        <v>21801.801000000003</v>
      </c>
      <c r="I11" s="561">
        <v>0</v>
      </c>
      <c r="J11" s="561">
        <v>21801.801000000003</v>
      </c>
      <c r="K11" s="561">
        <v>21847.130550000002</v>
      </c>
      <c r="L11" s="561">
        <v>0</v>
      </c>
      <c r="M11" s="561">
        <v>21847.130550000002</v>
      </c>
      <c r="N11" s="561">
        <v>21546.522552900005</v>
      </c>
      <c r="O11" s="561">
        <v>0</v>
      </c>
      <c r="P11" s="561">
        <v>21546.522552900005</v>
      </c>
      <c r="Q11" s="563">
        <v>103466.15410290001</v>
      </c>
      <c r="R11" s="563">
        <v>0</v>
      </c>
      <c r="S11" s="563">
        <v>103466.15410290001</v>
      </c>
    </row>
    <row r="12" spans="1:19" x14ac:dyDescent="0.55000000000000004">
      <c r="A12" s="569"/>
      <c r="B12" s="565"/>
      <c r="C12" s="8"/>
      <c r="D12" s="566"/>
      <c r="E12" s="565"/>
      <c r="F12" s="8"/>
      <c r="G12" s="566"/>
      <c r="H12" s="565"/>
      <c r="I12" s="8"/>
      <c r="J12" s="566"/>
      <c r="K12" s="565"/>
      <c r="L12" s="8"/>
      <c r="M12" s="566"/>
      <c r="N12" s="565"/>
      <c r="O12" s="8"/>
      <c r="P12" s="566"/>
      <c r="Q12" s="567"/>
      <c r="R12" s="567"/>
      <c r="S12" s="567"/>
    </row>
    <row r="13" spans="1:19" x14ac:dyDescent="0.55000000000000004">
      <c r="A13" s="568" t="s">
        <v>16</v>
      </c>
      <c r="B13" s="561">
        <v>50000</v>
      </c>
      <c r="C13" s="561">
        <v>0</v>
      </c>
      <c r="D13" s="561">
        <v>50000</v>
      </c>
      <c r="E13" s="561">
        <v>0</v>
      </c>
      <c r="F13" s="561">
        <v>0</v>
      </c>
      <c r="G13" s="561">
        <v>0</v>
      </c>
      <c r="H13" s="561">
        <v>0</v>
      </c>
      <c r="I13" s="561">
        <v>0</v>
      </c>
      <c r="J13" s="561">
        <v>0</v>
      </c>
      <c r="K13" s="561">
        <v>0</v>
      </c>
      <c r="L13" s="561">
        <v>0</v>
      </c>
      <c r="M13" s="561">
        <v>0</v>
      </c>
      <c r="N13" s="561">
        <v>0</v>
      </c>
      <c r="O13" s="561">
        <v>0</v>
      </c>
      <c r="P13" s="561">
        <v>0</v>
      </c>
      <c r="Q13" s="561">
        <v>50000</v>
      </c>
      <c r="R13" s="561">
        <v>0</v>
      </c>
      <c r="S13" s="563">
        <v>50000</v>
      </c>
    </row>
    <row r="14" spans="1:19" x14ac:dyDescent="0.55000000000000004">
      <c r="A14" s="570"/>
      <c r="B14" s="565"/>
      <c r="C14" s="8"/>
      <c r="D14" s="566"/>
      <c r="E14" s="565"/>
      <c r="F14" s="8"/>
      <c r="G14" s="566"/>
      <c r="H14" s="565"/>
      <c r="I14" s="8"/>
      <c r="J14" s="566"/>
      <c r="K14" s="565"/>
      <c r="L14" s="8"/>
      <c r="M14" s="566"/>
      <c r="N14" s="565"/>
      <c r="O14" s="8"/>
      <c r="P14" s="566"/>
      <c r="Q14" s="567"/>
      <c r="R14" s="567"/>
      <c r="S14" s="567"/>
    </row>
    <row r="15" spans="1:19" x14ac:dyDescent="0.55000000000000004">
      <c r="A15" s="568" t="s">
        <v>17</v>
      </c>
      <c r="B15" s="561">
        <v>15344.91</v>
      </c>
      <c r="C15" s="561">
        <v>3336</v>
      </c>
      <c r="D15" s="561">
        <v>18680.91</v>
      </c>
      <c r="E15" s="561">
        <v>9270</v>
      </c>
      <c r="F15" s="561">
        <v>4466.9040000000005</v>
      </c>
      <c r="G15" s="561">
        <v>13736.904</v>
      </c>
      <c r="H15" s="561">
        <v>9548.1</v>
      </c>
      <c r="I15" s="561">
        <v>4600.9111200000007</v>
      </c>
      <c r="J15" s="561">
        <v>14149.011120000001</v>
      </c>
      <c r="K15" s="561">
        <v>4917.2715000000007</v>
      </c>
      <c r="L15" s="561">
        <v>4738.9384536000007</v>
      </c>
      <c r="M15" s="561">
        <v>9656.2099536000023</v>
      </c>
      <c r="N15" s="561">
        <v>3798.592233750001</v>
      </c>
      <c r="O15" s="561">
        <v>4881.1066072080012</v>
      </c>
      <c r="P15" s="561">
        <v>8679.6988409580026</v>
      </c>
      <c r="Q15" s="563">
        <v>42878.873733749999</v>
      </c>
      <c r="R15" s="563">
        <v>22023.860180808006</v>
      </c>
      <c r="S15" s="563">
        <v>64902.733914558004</v>
      </c>
    </row>
    <row r="16" spans="1:19" x14ac:dyDescent="0.55000000000000004">
      <c r="A16" s="570"/>
      <c r="B16" s="565"/>
      <c r="C16" s="8"/>
      <c r="D16" s="566"/>
      <c r="E16" s="565"/>
      <c r="F16" s="8"/>
      <c r="G16" s="566"/>
      <c r="H16" s="565"/>
      <c r="I16" s="8"/>
      <c r="J16" s="566"/>
      <c r="K16" s="565"/>
      <c r="L16" s="8"/>
      <c r="M16" s="566"/>
      <c r="N16" s="565"/>
      <c r="O16" s="8"/>
      <c r="P16" s="566"/>
      <c r="Q16" s="567"/>
      <c r="R16" s="567"/>
      <c r="S16" s="567"/>
    </row>
    <row r="17" spans="1:128" x14ac:dyDescent="0.55000000000000004">
      <c r="A17" s="568" t="s">
        <v>18</v>
      </c>
      <c r="B17" s="561">
        <v>42850</v>
      </c>
      <c r="C17" s="561">
        <v>0</v>
      </c>
      <c r="D17" s="561">
        <v>42850</v>
      </c>
      <c r="E17" s="561">
        <v>47050</v>
      </c>
      <c r="F17" s="561">
        <v>0</v>
      </c>
      <c r="G17" s="561">
        <v>47050</v>
      </c>
      <c r="H17" s="561">
        <v>22050</v>
      </c>
      <c r="I17" s="561">
        <v>0</v>
      </c>
      <c r="J17" s="561">
        <v>22050</v>
      </c>
      <c r="K17" s="561">
        <v>22050</v>
      </c>
      <c r="L17" s="561">
        <v>0</v>
      </c>
      <c r="M17" s="561">
        <v>22050</v>
      </c>
      <c r="N17" s="561">
        <v>19950</v>
      </c>
      <c r="O17" s="561">
        <v>0</v>
      </c>
      <c r="P17" s="561">
        <v>19950</v>
      </c>
      <c r="Q17" s="563">
        <v>153950</v>
      </c>
      <c r="R17" s="563">
        <v>0</v>
      </c>
      <c r="S17" s="563">
        <v>153950</v>
      </c>
    </row>
    <row r="18" spans="1:128" x14ac:dyDescent="0.55000000000000004">
      <c r="A18" s="564"/>
      <c r="B18" s="565"/>
      <c r="C18" s="8"/>
      <c r="D18" s="566"/>
      <c r="E18" s="565"/>
      <c r="F18" s="8"/>
      <c r="G18" s="566"/>
      <c r="H18" s="565"/>
      <c r="I18" s="8"/>
      <c r="J18" s="566"/>
      <c r="K18" s="565"/>
      <c r="L18" s="8"/>
      <c r="M18" s="566"/>
      <c r="N18" s="565"/>
      <c r="O18" s="8"/>
      <c r="P18" s="566"/>
      <c r="Q18" s="567"/>
      <c r="R18" s="567"/>
      <c r="S18" s="567"/>
    </row>
    <row r="19" spans="1:128" x14ac:dyDescent="0.55000000000000004">
      <c r="A19" s="571" t="s">
        <v>19</v>
      </c>
      <c r="B19" s="561">
        <v>105566</v>
      </c>
      <c r="C19" s="561">
        <v>33306</v>
      </c>
      <c r="D19" s="561">
        <v>138872</v>
      </c>
      <c r="E19" s="561">
        <v>176388.47999999998</v>
      </c>
      <c r="F19" s="561">
        <v>0</v>
      </c>
      <c r="G19" s="561">
        <v>176388.47999999998</v>
      </c>
      <c r="H19" s="561">
        <v>85222.353999999992</v>
      </c>
      <c r="I19" s="561">
        <v>0</v>
      </c>
      <c r="J19" s="561">
        <v>85222.353999999992</v>
      </c>
      <c r="K19" s="561">
        <v>94155.778820000021</v>
      </c>
      <c r="L19" s="561">
        <v>0</v>
      </c>
      <c r="M19" s="561">
        <v>94155.778820000021</v>
      </c>
      <c r="N19" s="561">
        <v>20519.591506249999</v>
      </c>
      <c r="O19" s="561">
        <v>0</v>
      </c>
      <c r="P19" s="561">
        <v>20519.591506249999</v>
      </c>
      <c r="Q19" s="563">
        <v>481852.20432625001</v>
      </c>
      <c r="R19" s="563">
        <v>33306</v>
      </c>
      <c r="S19" s="563">
        <v>515158.20432625001</v>
      </c>
    </row>
    <row r="20" spans="1:128" x14ac:dyDescent="0.55000000000000004">
      <c r="A20" s="572"/>
      <c r="B20" s="573"/>
      <c r="C20" s="574"/>
      <c r="D20" s="575"/>
      <c r="E20" s="573"/>
      <c r="F20" s="574"/>
      <c r="G20" s="575"/>
      <c r="H20" s="573"/>
      <c r="I20" s="574"/>
      <c r="J20" s="575"/>
      <c r="K20" s="573"/>
      <c r="L20" s="574"/>
      <c r="M20" s="575"/>
      <c r="N20" s="565"/>
      <c r="O20" s="8"/>
      <c r="P20" s="566"/>
      <c r="Q20" s="567"/>
      <c r="R20" s="567"/>
      <c r="S20" s="567"/>
    </row>
    <row r="21" spans="1:128" s="9" customFormat="1" ht="15" x14ac:dyDescent="0.5">
      <c r="A21" s="576" t="s">
        <v>20</v>
      </c>
      <c r="B21" s="577">
        <f>SUM(B7:B20)</f>
        <v>447655.136</v>
      </c>
      <c r="C21" s="577">
        <f t="shared" ref="C21" si="0">SUM(C7:C20)</f>
        <v>79869.194615999993</v>
      </c>
      <c r="D21" s="577">
        <f>SUM(D7:D20)</f>
        <v>527524.33061599988</v>
      </c>
      <c r="E21" s="577">
        <f>SUM(E7:E20)</f>
        <v>517725.41872000002</v>
      </c>
      <c r="F21" s="577">
        <f t="shared" ref="F21:G21" si="1">SUM(F7:F20)</f>
        <v>52531.003150080003</v>
      </c>
      <c r="G21" s="577">
        <f t="shared" si="1"/>
        <v>570256.42187008006</v>
      </c>
      <c r="H21" s="577">
        <f>SUM(H7:H20)</f>
        <v>414551.14326879993</v>
      </c>
      <c r="I21" s="577">
        <f>SUM(I7:I20)</f>
        <v>54587.574236083208</v>
      </c>
      <c r="J21" s="577">
        <f t="shared" ref="J21" si="2">SUM(J7:J20)</f>
        <v>469138.71750488319</v>
      </c>
      <c r="K21" s="577">
        <f>SUM(K7:K20)</f>
        <v>429936.224669552</v>
      </c>
      <c r="L21" s="577">
        <f t="shared" ref="L21" si="3">SUM(L7:L20)</f>
        <v>56725.06809432654</v>
      </c>
      <c r="M21" s="577">
        <f>SUM(M7:M20)</f>
        <v>486661.29276387859</v>
      </c>
      <c r="N21" s="577">
        <f>SUM(N7:N20)</f>
        <v>324110.80768897047</v>
      </c>
      <c r="O21" s="577">
        <f t="shared" ref="O21:P21" si="4">SUM(O7:O20)</f>
        <v>57092.870522679921</v>
      </c>
      <c r="P21" s="577">
        <f t="shared" si="4"/>
        <v>381203.67821165035</v>
      </c>
      <c r="Q21" s="577">
        <f>SUM(Q7:Q20)</f>
        <v>2133978.7303473228</v>
      </c>
      <c r="R21" s="577">
        <f t="shared" ref="R21:S21" si="5">SUM(R7:R20)</f>
        <v>300805.71061916969</v>
      </c>
      <c r="S21" s="577">
        <f t="shared" si="5"/>
        <v>2434784.4409664921</v>
      </c>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row>
    <row r="22" spans="1:128" s="9" customFormat="1" ht="15" x14ac:dyDescent="0.5">
      <c r="A22" s="9" t="s">
        <v>21</v>
      </c>
      <c r="B22" s="578">
        <v>0</v>
      </c>
      <c r="C22" s="578">
        <v>0</v>
      </c>
      <c r="D22" s="578">
        <v>0</v>
      </c>
      <c r="E22" s="578">
        <v>0</v>
      </c>
      <c r="F22" s="578">
        <v>0</v>
      </c>
      <c r="G22" s="578">
        <v>0</v>
      </c>
      <c r="H22" s="578">
        <v>0</v>
      </c>
      <c r="I22" s="578">
        <v>0</v>
      </c>
      <c r="J22" s="578">
        <v>0</v>
      </c>
      <c r="K22" s="578">
        <v>0</v>
      </c>
      <c r="L22" s="578">
        <v>0</v>
      </c>
      <c r="M22" s="578">
        <v>0</v>
      </c>
      <c r="N22" s="578">
        <v>0</v>
      </c>
      <c r="O22" s="578">
        <v>0</v>
      </c>
      <c r="P22" s="578">
        <v>0</v>
      </c>
      <c r="Q22" s="578">
        <v>0</v>
      </c>
      <c r="R22" s="578">
        <v>0</v>
      </c>
      <c r="S22" s="578">
        <v>0</v>
      </c>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row>
    <row r="23" spans="1:128" s="10" customFormat="1" x14ac:dyDescent="0.55000000000000004">
      <c r="A23" s="576" t="s">
        <v>8</v>
      </c>
      <c r="B23" s="579">
        <f>B22+B21</f>
        <v>447655.136</v>
      </c>
      <c r="C23" s="579">
        <f t="shared" ref="C23:S23" si="6">C22+C21</f>
        <v>79869.194615999993</v>
      </c>
      <c r="D23" s="579">
        <f t="shared" si="6"/>
        <v>527524.33061599988</v>
      </c>
      <c r="E23" s="579">
        <f t="shared" si="6"/>
        <v>517725.41872000002</v>
      </c>
      <c r="F23" s="579">
        <f t="shared" si="6"/>
        <v>52531.003150080003</v>
      </c>
      <c r="G23" s="579">
        <f t="shared" si="6"/>
        <v>570256.42187008006</v>
      </c>
      <c r="H23" s="579">
        <f t="shared" si="6"/>
        <v>414551.14326879993</v>
      </c>
      <c r="I23" s="579">
        <f t="shared" si="6"/>
        <v>54587.574236083208</v>
      </c>
      <c r="J23" s="579">
        <f t="shared" si="6"/>
        <v>469138.71750488319</v>
      </c>
      <c r="K23" s="579">
        <f t="shared" si="6"/>
        <v>429936.224669552</v>
      </c>
      <c r="L23" s="579">
        <f t="shared" si="6"/>
        <v>56725.06809432654</v>
      </c>
      <c r="M23" s="579">
        <f t="shared" si="6"/>
        <v>486661.29276387859</v>
      </c>
      <c r="N23" s="579">
        <f t="shared" si="6"/>
        <v>324110.80768897047</v>
      </c>
      <c r="O23" s="579">
        <f t="shared" si="6"/>
        <v>57092.870522679921</v>
      </c>
      <c r="P23" s="579">
        <f t="shared" si="6"/>
        <v>381203.67821165035</v>
      </c>
      <c r="Q23" s="579">
        <f t="shared" si="6"/>
        <v>2133978.7303473228</v>
      </c>
      <c r="R23" s="579">
        <f t="shared" si="6"/>
        <v>300805.71061916969</v>
      </c>
      <c r="S23" s="579">
        <f t="shared" si="6"/>
        <v>2434784.4409664921</v>
      </c>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row>
    <row r="24" spans="1:128" s="11" customFormat="1" x14ac:dyDescent="0.55000000000000004">
      <c r="B24" s="580"/>
      <c r="C24" s="580"/>
      <c r="D24" s="580"/>
      <c r="E24" s="580"/>
      <c r="F24" s="580"/>
      <c r="G24" s="580"/>
      <c r="H24" s="580"/>
      <c r="I24" s="580"/>
      <c r="J24" s="580"/>
      <c r="K24" s="580"/>
      <c r="L24" s="580"/>
      <c r="M24" s="580"/>
      <c r="N24" s="580"/>
      <c r="O24" s="580"/>
      <c r="P24" s="580"/>
      <c r="Q24" s="580"/>
      <c r="R24" s="580"/>
      <c r="S24" s="580"/>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row>
    <row r="25" spans="1:128" x14ac:dyDescent="0.55000000000000004">
      <c r="B25" s="8"/>
      <c r="C25" s="8"/>
      <c r="D25" s="8"/>
      <c r="E25" s="8"/>
      <c r="F25" s="8"/>
      <c r="G25" s="8"/>
      <c r="H25" s="8"/>
      <c r="I25" s="8"/>
      <c r="J25" s="8"/>
      <c r="K25" s="8"/>
      <c r="L25" s="8"/>
      <c r="M25" s="8"/>
      <c r="N25" s="8"/>
      <c r="O25" s="8"/>
      <c r="P25" s="8"/>
      <c r="Q25" s="8"/>
      <c r="R25" s="12"/>
    </row>
    <row r="26" spans="1:128" x14ac:dyDescent="0.55000000000000004">
      <c r="B26" s="8"/>
      <c r="C26" s="8"/>
      <c r="D26" s="8"/>
      <c r="E26" s="8"/>
      <c r="F26" s="8"/>
      <c r="G26" s="8"/>
      <c r="H26" s="8"/>
      <c r="I26" s="8"/>
      <c r="J26" s="8"/>
      <c r="K26" s="8"/>
      <c r="L26" s="8"/>
      <c r="M26" s="8"/>
      <c r="N26" s="8"/>
      <c r="O26" s="8"/>
      <c r="P26" s="8"/>
      <c r="Q26" s="13"/>
      <c r="R26" s="8"/>
    </row>
    <row r="27" spans="1:128" x14ac:dyDescent="0.55000000000000004">
      <c r="B27" s="8"/>
      <c r="C27" s="8"/>
      <c r="D27" s="8"/>
      <c r="E27" s="8"/>
      <c r="F27" s="8"/>
      <c r="G27" s="8"/>
      <c r="H27" s="8"/>
      <c r="I27" s="8"/>
      <c r="J27" s="8"/>
      <c r="K27" s="8"/>
      <c r="L27" s="8"/>
      <c r="M27" s="8"/>
      <c r="N27" s="8"/>
      <c r="O27" s="6"/>
      <c r="P27" s="8"/>
      <c r="Q27" s="8"/>
      <c r="R27" s="8"/>
      <c r="S27" s="8"/>
    </row>
    <row r="28" spans="1:128" x14ac:dyDescent="0.55000000000000004">
      <c r="B28" s="8"/>
      <c r="C28" s="8"/>
      <c r="D28" s="8"/>
      <c r="E28" s="8"/>
      <c r="F28" s="8"/>
      <c r="G28" s="8"/>
      <c r="H28" s="8"/>
      <c r="I28" s="8"/>
      <c r="J28" s="8"/>
      <c r="K28" s="8"/>
      <c r="L28" s="8"/>
      <c r="M28" s="8"/>
      <c r="N28" s="6"/>
      <c r="O28" s="8"/>
      <c r="P28" s="8"/>
      <c r="Q28" s="8"/>
      <c r="R28" s="8"/>
      <c r="S28" s="8"/>
    </row>
    <row r="29" spans="1:128" x14ac:dyDescent="0.55000000000000004">
      <c r="B29" s="8"/>
      <c r="C29" s="8"/>
      <c r="D29" s="8"/>
      <c r="E29" s="8"/>
      <c r="F29" s="8"/>
      <c r="G29" s="8"/>
      <c r="H29" s="8"/>
      <c r="I29" s="8"/>
      <c r="J29" s="8"/>
      <c r="K29" s="8"/>
      <c r="L29" s="8"/>
      <c r="M29" s="8"/>
      <c r="N29" s="8"/>
      <c r="O29" s="8"/>
      <c r="P29" s="8"/>
      <c r="Q29" s="8"/>
      <c r="R29" s="8"/>
      <c r="S29" s="8"/>
    </row>
    <row r="30" spans="1:128" x14ac:dyDescent="0.55000000000000004">
      <c r="B30" s="8"/>
      <c r="C30" s="8"/>
      <c r="D30" s="8"/>
      <c r="E30" s="8"/>
      <c r="F30" s="8"/>
      <c r="G30" s="8"/>
      <c r="H30" s="8"/>
      <c r="I30" s="8"/>
      <c r="J30" s="8"/>
      <c r="K30" s="8"/>
      <c r="L30" s="8"/>
      <c r="M30" s="8"/>
      <c r="N30" s="8"/>
      <c r="O30" s="8"/>
      <c r="P30" s="8"/>
      <c r="Q30" s="8"/>
      <c r="R30" s="8"/>
      <c r="S30" s="8"/>
    </row>
    <row r="31" spans="1:128" x14ac:dyDescent="0.55000000000000004">
      <c r="B31" s="8"/>
      <c r="C31" s="8"/>
      <c r="D31" s="8"/>
      <c r="E31" s="8"/>
      <c r="F31" s="8"/>
      <c r="G31" s="8"/>
      <c r="H31" s="8"/>
      <c r="I31" s="8"/>
      <c r="J31" s="8"/>
      <c r="K31" s="8"/>
      <c r="L31" s="8"/>
      <c r="M31" s="8"/>
      <c r="N31" s="8"/>
      <c r="O31" s="8"/>
      <c r="P31" s="8"/>
      <c r="Q31" s="8"/>
      <c r="R31" s="8"/>
      <c r="S31" s="8"/>
    </row>
    <row r="32" spans="1:128" x14ac:dyDescent="0.55000000000000004">
      <c r="B32" s="8"/>
      <c r="C32" s="8"/>
      <c r="D32" s="8"/>
      <c r="E32" s="8"/>
      <c r="F32" s="8"/>
      <c r="G32" s="8"/>
      <c r="H32" s="8"/>
      <c r="I32" s="8"/>
      <c r="J32" s="8"/>
      <c r="K32" s="8"/>
      <c r="L32" s="8"/>
      <c r="M32" s="8"/>
      <c r="N32" s="8"/>
      <c r="O32" s="8"/>
      <c r="P32" s="8"/>
      <c r="Q32" s="8"/>
      <c r="R32" s="8"/>
      <c r="S32" s="8"/>
    </row>
    <row r="33" spans="2:19" x14ac:dyDescent="0.55000000000000004">
      <c r="B33" s="8"/>
      <c r="C33" s="8"/>
      <c r="D33" s="8"/>
      <c r="E33" s="8"/>
      <c r="F33" s="8"/>
      <c r="G33" s="8"/>
      <c r="H33" s="8"/>
      <c r="I33" s="8"/>
      <c r="J33" s="8"/>
      <c r="K33" s="8"/>
      <c r="L33" s="8"/>
      <c r="M33" s="8"/>
      <c r="N33" s="8"/>
      <c r="O33" s="8"/>
      <c r="P33" s="8"/>
      <c r="Q33" s="8"/>
      <c r="R33" s="8"/>
      <c r="S33" s="8"/>
    </row>
    <row r="34" spans="2:19" x14ac:dyDescent="0.55000000000000004">
      <c r="B34" s="8"/>
      <c r="C34" s="8"/>
      <c r="D34" s="8"/>
      <c r="E34" s="8"/>
      <c r="F34" s="8"/>
      <c r="G34" s="8"/>
      <c r="H34" s="8"/>
      <c r="I34" s="8"/>
      <c r="J34" s="8"/>
      <c r="K34" s="8"/>
      <c r="L34" s="8"/>
      <c r="M34" s="8"/>
      <c r="N34" s="8"/>
      <c r="O34" s="8"/>
      <c r="P34" s="8"/>
      <c r="Q34" s="8"/>
      <c r="R34" s="8"/>
      <c r="S34" s="8"/>
    </row>
    <row r="35" spans="2:19" x14ac:dyDescent="0.55000000000000004">
      <c r="B35" s="8"/>
      <c r="C35" s="8"/>
      <c r="D35" s="8"/>
      <c r="E35" s="8"/>
      <c r="F35" s="8"/>
      <c r="G35" s="8"/>
      <c r="H35" s="8"/>
      <c r="I35" s="8"/>
      <c r="J35" s="8"/>
      <c r="K35" s="8"/>
      <c r="L35" s="8"/>
      <c r="M35" s="8"/>
      <c r="N35" s="8"/>
      <c r="O35" s="8"/>
      <c r="P35" s="8"/>
      <c r="Q35" s="8"/>
      <c r="R35" s="8"/>
      <c r="S35" s="8"/>
    </row>
    <row r="36" spans="2:19" x14ac:dyDescent="0.55000000000000004">
      <c r="B36" s="8"/>
      <c r="C36" s="8"/>
      <c r="D36" s="8"/>
      <c r="E36" s="8"/>
      <c r="F36" s="8"/>
      <c r="G36" s="8"/>
      <c r="H36" s="8"/>
      <c r="I36" s="8"/>
      <c r="J36" s="8"/>
      <c r="K36" s="8"/>
      <c r="L36" s="8"/>
      <c r="M36" s="8"/>
      <c r="N36" s="8"/>
      <c r="O36" s="8"/>
      <c r="P36" s="8"/>
      <c r="Q36" s="8"/>
      <c r="R36" s="8"/>
      <c r="S36" s="8"/>
    </row>
    <row r="37" spans="2:19" x14ac:dyDescent="0.55000000000000004">
      <c r="B37" s="8"/>
      <c r="C37" s="8"/>
      <c r="D37" s="8"/>
      <c r="E37" s="8"/>
      <c r="F37" s="8"/>
      <c r="G37" s="8"/>
      <c r="H37" s="8"/>
      <c r="I37" s="8"/>
      <c r="J37" s="8"/>
      <c r="K37" s="8"/>
      <c r="L37" s="8"/>
      <c r="M37" s="8"/>
      <c r="N37" s="8"/>
      <c r="O37" s="8"/>
      <c r="P37" s="8"/>
      <c r="Q37" s="8"/>
      <c r="R37" s="8"/>
      <c r="S37" s="8"/>
    </row>
    <row r="38" spans="2:19" x14ac:dyDescent="0.55000000000000004">
      <c r="B38" s="8"/>
      <c r="C38" s="8"/>
      <c r="D38" s="8"/>
      <c r="E38" s="8"/>
      <c r="F38" s="8"/>
      <c r="G38" s="8"/>
      <c r="H38" s="8"/>
      <c r="I38" s="8"/>
      <c r="J38" s="8"/>
      <c r="K38" s="8"/>
      <c r="L38" s="8"/>
      <c r="M38" s="8"/>
      <c r="N38" s="8"/>
      <c r="O38" s="8"/>
      <c r="P38" s="8"/>
      <c r="Q38" s="8"/>
      <c r="R38" s="8"/>
      <c r="S38" s="8"/>
    </row>
    <row r="39" spans="2:19" x14ac:dyDescent="0.55000000000000004">
      <c r="B39" s="8"/>
      <c r="C39" s="8"/>
      <c r="D39" s="8"/>
      <c r="E39" s="8"/>
      <c r="F39" s="8"/>
      <c r="G39" s="8"/>
      <c r="H39" s="8"/>
      <c r="I39" s="8"/>
      <c r="J39" s="8"/>
      <c r="K39" s="8"/>
      <c r="L39" s="8"/>
      <c r="M39" s="8"/>
      <c r="N39" s="8"/>
      <c r="O39" s="8"/>
      <c r="P39" s="8"/>
      <c r="Q39" s="8"/>
      <c r="R39" s="8"/>
      <c r="S39" s="8"/>
    </row>
    <row r="40" spans="2:19" x14ac:dyDescent="0.55000000000000004">
      <c r="B40" s="8"/>
      <c r="C40" s="8"/>
      <c r="D40" s="8"/>
      <c r="E40" s="8"/>
      <c r="F40" s="8"/>
      <c r="G40" s="8"/>
      <c r="H40" s="8"/>
      <c r="I40" s="8"/>
      <c r="J40" s="8"/>
      <c r="K40" s="8"/>
      <c r="L40" s="8"/>
      <c r="M40" s="8"/>
      <c r="N40" s="8"/>
      <c r="O40" s="8"/>
      <c r="P40" s="8"/>
      <c r="Q40" s="8"/>
      <c r="R40" s="8"/>
      <c r="S40" s="8"/>
    </row>
    <row r="41" spans="2:19" x14ac:dyDescent="0.55000000000000004">
      <c r="B41" s="8"/>
      <c r="C41" s="8"/>
      <c r="D41" s="8"/>
      <c r="E41" s="8"/>
      <c r="F41" s="8"/>
      <c r="G41" s="8"/>
      <c r="H41" s="8"/>
      <c r="I41" s="8"/>
      <c r="J41" s="8"/>
      <c r="K41" s="8"/>
      <c r="L41" s="8"/>
      <c r="M41" s="8"/>
      <c r="N41" s="8"/>
      <c r="O41" s="8"/>
      <c r="P41" s="8"/>
      <c r="Q41" s="8"/>
      <c r="R41" s="8"/>
      <c r="S41" s="8"/>
    </row>
  </sheetData>
  <mergeCells count="7">
    <mergeCell ref="B1:S1"/>
    <mergeCell ref="B2:S2"/>
    <mergeCell ref="B4:D4"/>
    <mergeCell ref="E4:G4"/>
    <mergeCell ref="H4:J4"/>
    <mergeCell ref="K4:M4"/>
    <mergeCell ref="N4:P4"/>
  </mergeCells>
  <pageMargins left="0.25" right="0.25" top="0.75" bottom="0.75" header="0.3" footer="0.3"/>
  <pageSetup paperSize="5" scale="86" fitToHeight="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C3F3-C2D5-4D69-9A46-209DB97C3441}">
  <sheetPr>
    <pageSetUpPr fitToPage="1"/>
  </sheetPr>
  <dimension ref="A1:ET164"/>
  <sheetViews>
    <sheetView tabSelected="1" topLeftCell="A126" zoomScale="70" zoomScaleNormal="70" workbookViewId="0">
      <selection activeCell="D112" sqref="D112:D116"/>
    </sheetView>
  </sheetViews>
  <sheetFormatPr defaultColWidth="9.1640625" defaultRowHeight="19.5" customHeight="1" outlineLevelCol="1" x14ac:dyDescent="0.45"/>
  <cols>
    <col min="1" max="1" width="12.6640625" style="113" bestFit="1" customWidth="1"/>
    <col min="2" max="2" width="6.33203125" style="113" customWidth="1"/>
    <col min="3" max="3" width="9.0546875" style="113" customWidth="1"/>
    <col min="4" max="4" width="19.83203125" style="113" customWidth="1"/>
    <col min="5" max="5" width="5.83203125" style="113" hidden="1" customWidth="1"/>
    <col min="6" max="6" width="59.44140625" style="113" bestFit="1" customWidth="1"/>
    <col min="7" max="7" width="21.27734375" style="113" hidden="1" customWidth="1"/>
    <col min="8" max="8" width="18.27734375" style="113" hidden="1" customWidth="1"/>
    <col min="9" max="9" width="11.27734375" style="113" hidden="1" customWidth="1"/>
    <col min="10" max="10" width="7.44140625" style="113" hidden="1" customWidth="1" outlineLevel="1"/>
    <col min="11" max="11" width="7.27734375" style="113" hidden="1" customWidth="1" outlineLevel="1"/>
    <col min="12" max="12" width="8.27734375" style="113" hidden="1" customWidth="1" outlineLevel="1"/>
    <col min="13" max="13" width="10" style="113" hidden="1" customWidth="1" outlineLevel="1"/>
    <col min="14" max="16" width="8.1640625" style="113" hidden="1" customWidth="1" outlineLevel="1"/>
    <col min="17" max="17" width="7.44140625" style="113" hidden="1" customWidth="1" collapsed="1"/>
    <col min="18" max="18" width="7.27734375" style="113" hidden="1" customWidth="1"/>
    <col min="19" max="19" width="8.27734375" style="113" hidden="1" customWidth="1"/>
    <col min="20" max="22" width="8.1640625" style="113" hidden="1" customWidth="1"/>
    <col min="23" max="23" width="7.44140625" style="113" hidden="1" customWidth="1"/>
    <col min="24" max="24" width="7.27734375" style="113" hidden="1" customWidth="1"/>
    <col min="25" max="25" width="8.27734375" style="113" hidden="1" customWidth="1"/>
    <col min="26" max="26" width="6.83203125" style="113" hidden="1" customWidth="1"/>
    <col min="27" max="27" width="8.1640625" style="113" hidden="1" customWidth="1"/>
    <col min="28" max="28" width="6.83203125" style="113" hidden="1" customWidth="1"/>
    <col min="29" max="29" width="7.44140625" style="113" hidden="1" customWidth="1"/>
    <col min="30" max="30" width="7.27734375" style="113" hidden="1" customWidth="1"/>
    <col min="31" max="31" width="8.27734375" style="113" hidden="1" customWidth="1"/>
    <col min="32" max="32" width="6.83203125" style="113" hidden="1" customWidth="1"/>
    <col min="33" max="33" width="8.1640625" style="113" hidden="1" customWidth="1"/>
    <col min="34" max="34" width="6.83203125" style="113" hidden="1" customWidth="1"/>
    <col min="35" max="35" width="7.44140625" style="113" hidden="1" customWidth="1"/>
    <col min="36" max="36" width="7.27734375" style="113" hidden="1" customWidth="1"/>
    <col min="37" max="37" width="8.27734375" style="113" hidden="1" customWidth="1"/>
    <col min="38" max="38" width="6.83203125" style="113" hidden="1" customWidth="1"/>
    <col min="39" max="39" width="8.1640625" style="113" hidden="1" customWidth="1"/>
    <col min="40" max="40" width="6.83203125" style="113" hidden="1" customWidth="1"/>
    <col min="41" max="41" width="13.1640625" style="113" hidden="1" customWidth="1"/>
    <col min="42" max="42" width="8.1640625" style="113" hidden="1" customWidth="1"/>
    <col min="43" max="43" width="12" style="113" hidden="1" customWidth="1"/>
    <col min="44" max="44" width="31.27734375" style="113" hidden="1" customWidth="1"/>
    <col min="45" max="45" width="26.44140625" style="113" hidden="1" customWidth="1"/>
    <col min="46" max="47" width="19.1640625" style="113" hidden="1" customWidth="1"/>
    <col min="48" max="50" width="14.27734375" style="113" hidden="1" customWidth="1"/>
    <col min="51" max="51" width="12.5546875" style="113" hidden="1" customWidth="1"/>
    <col min="52" max="52" width="19.71875" style="113" hidden="1" customWidth="1"/>
    <col min="53" max="53" width="10.27734375" style="113" hidden="1" customWidth="1"/>
    <col min="54" max="54" width="11.27734375" style="113" hidden="1" customWidth="1"/>
    <col min="55" max="55" width="11" style="113" hidden="1" customWidth="1"/>
    <col min="56" max="56" width="14.71875" style="113" hidden="1" customWidth="1"/>
    <col min="57" max="57" width="13.1640625" style="113" hidden="1" customWidth="1"/>
    <col min="58" max="58" width="14.5546875" style="113" hidden="1" customWidth="1"/>
    <col min="59" max="59" width="12.44140625" style="113" hidden="1" customWidth="1"/>
    <col min="60" max="60" width="57.27734375" style="114" hidden="1" customWidth="1"/>
    <col min="61" max="61" width="11.27734375" style="113" hidden="1" customWidth="1"/>
    <col min="62" max="62" width="11" style="113" hidden="1" customWidth="1"/>
    <col min="63" max="63" width="14.71875" style="113" hidden="1" customWidth="1"/>
    <col min="64" max="64" width="13.1640625" style="113" hidden="1" customWidth="1"/>
    <col min="65" max="65" width="14.5546875" style="113" hidden="1" customWidth="1"/>
    <col min="66" max="66" width="12.44140625" style="113" hidden="1" customWidth="1"/>
    <col min="67" max="67" width="11.27734375" style="113" hidden="1" customWidth="1"/>
    <col min="68" max="68" width="11" style="113" hidden="1" customWidth="1"/>
    <col min="69" max="69" width="14.71875" style="113" hidden="1" customWidth="1"/>
    <col min="70" max="70" width="13.1640625" style="113" hidden="1" customWidth="1"/>
    <col min="71" max="71" width="14.5546875" style="113" hidden="1" customWidth="1"/>
    <col min="72" max="72" width="12.44140625" style="113" hidden="1" customWidth="1"/>
    <col min="73" max="73" width="11.27734375" style="113" hidden="1" customWidth="1"/>
    <col min="74" max="74" width="11" style="113" hidden="1" customWidth="1"/>
    <col min="75" max="75" width="14.71875" style="113" hidden="1" customWidth="1"/>
    <col min="76" max="76" width="13.1640625" style="113" hidden="1" customWidth="1"/>
    <col min="77" max="77" width="14.5546875" style="113" hidden="1" customWidth="1"/>
    <col min="78" max="78" width="12.44140625" style="113" hidden="1" customWidth="1"/>
    <col min="79" max="79" width="17.71875" style="113" hidden="1" customWidth="1"/>
    <col min="80" max="80" width="19.1640625" style="113" hidden="1" customWidth="1"/>
    <col min="81" max="81" width="17.27734375" style="113" hidden="1" customWidth="1"/>
    <col min="82" max="82" width="9.1640625" style="113" hidden="1" customWidth="1"/>
    <col min="83" max="83" width="13.1640625" style="113" bestFit="1" customWidth="1"/>
    <col min="84" max="84" width="14.5546875" style="113" hidden="1" customWidth="1"/>
    <col min="85" max="85" width="12" style="113" hidden="1" customWidth="1"/>
    <col min="86" max="88" width="23.71875" style="113" hidden="1" customWidth="1"/>
    <col min="89" max="89" width="9.5546875" style="113" hidden="1" customWidth="1"/>
    <col min="90" max="90" width="9" style="113" hidden="1" customWidth="1"/>
    <col min="91" max="91" width="10.5546875" style="113" hidden="1" customWidth="1"/>
    <col min="92" max="92" width="11.83203125" style="113" hidden="1" customWidth="1"/>
    <col min="93" max="93" width="10.5546875" style="113" hidden="1" customWidth="1"/>
    <col min="94" max="94" width="9.1640625" style="113" hidden="1" customWidth="1"/>
    <col min="95" max="95" width="14.27734375" style="113" hidden="1" customWidth="1"/>
    <col min="96" max="97" width="11.83203125" style="113" hidden="1" customWidth="1"/>
    <col min="98" max="99" width="14.27734375" style="113" hidden="1" customWidth="1"/>
    <col min="100" max="100" width="17" style="113" hidden="1" customWidth="1"/>
    <col min="101" max="101" width="11.83203125" style="113" hidden="1" customWidth="1"/>
    <col min="102" max="102" width="9.1640625" style="113" hidden="1" customWidth="1"/>
    <col min="103" max="104" width="11.83203125" style="113" hidden="1" customWidth="1"/>
    <col min="105" max="105" width="9.1640625" style="113" hidden="1" customWidth="1"/>
    <col min="106" max="106" width="14.27734375" style="113" hidden="1" customWidth="1"/>
    <col min="107" max="107" width="9.1640625" style="113" hidden="1" customWidth="1"/>
    <col min="108" max="109" width="14.27734375" style="113" hidden="1" customWidth="1"/>
    <col min="110" max="110" width="11.83203125" style="113" hidden="1" customWidth="1"/>
    <col min="111" max="111" width="14.27734375" style="113" hidden="1" customWidth="1"/>
    <col min="112" max="113" width="11.83203125" style="113" hidden="1" customWidth="1"/>
    <col min="114" max="114" width="9.1640625" style="113" hidden="1" customWidth="1"/>
    <col min="115" max="117" width="11.83203125" style="113" hidden="1" customWidth="1"/>
    <col min="118" max="118" width="9.1640625" style="113" hidden="1" customWidth="1"/>
    <col min="119" max="119" width="11.83203125" style="113" hidden="1" customWidth="1"/>
    <col min="120" max="121" width="15.71875" style="113" hidden="1" customWidth="1"/>
    <col min="122" max="122" width="13.1640625" style="113" hidden="1" customWidth="1"/>
    <col min="123" max="123" width="15.71875" style="113" hidden="1" customWidth="1"/>
    <col min="124" max="124" width="9.1640625" style="113" hidden="1" customWidth="1"/>
    <col min="125" max="125" width="20.83203125" style="113" hidden="1" customWidth="1"/>
    <col min="126" max="127" width="14.27734375" style="113" hidden="1" customWidth="1"/>
    <col min="128" max="128" width="17" style="113" hidden="1" customWidth="1"/>
    <col min="129" max="130" width="13.1640625" style="113" hidden="1" customWidth="1"/>
    <col min="131" max="131" width="17" style="113" hidden="1" customWidth="1"/>
    <col min="132" max="132" width="9.1640625" style="113" hidden="1" customWidth="1"/>
    <col min="133" max="133" width="7.71875" style="113" hidden="1" customWidth="1"/>
    <col min="134" max="134" width="11.83203125" style="113" hidden="1" customWidth="1"/>
    <col min="135" max="136" width="9.1640625" style="113" hidden="1" customWidth="1"/>
    <col min="137" max="137" width="14.27734375" style="113" hidden="1" customWidth="1"/>
    <col min="138" max="139" width="11.83203125" style="113" hidden="1" customWidth="1"/>
    <col min="140" max="140" width="9.1640625" style="113" hidden="1" customWidth="1"/>
    <col min="141" max="141" width="11.83203125" style="113" hidden="1" customWidth="1"/>
    <col min="142" max="142" width="9.1640625" style="113" hidden="1" customWidth="1"/>
    <col min="143" max="143" width="13.1640625" style="113" hidden="1" customWidth="1"/>
    <col min="144" max="144" width="11.83203125" style="113" hidden="1" customWidth="1"/>
    <col min="145" max="145" width="15.71875" style="113" hidden="1" customWidth="1"/>
    <col min="146" max="146" width="17" style="113" hidden="1" customWidth="1"/>
    <col min="147" max="148" width="9.1640625" style="113" hidden="1" customWidth="1"/>
    <col min="149" max="149" width="14.27734375" style="113" hidden="1" customWidth="1"/>
    <col min="150" max="152" width="0" style="113" hidden="1" customWidth="1"/>
    <col min="153" max="16384" width="9.1640625" style="113"/>
  </cols>
  <sheetData>
    <row r="1" spans="1:149" ht="15" x14ac:dyDescent="0.45">
      <c r="J1" s="608" t="s">
        <v>22</v>
      </c>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row>
    <row r="2" spans="1:149" ht="15" x14ac:dyDescent="0.45">
      <c r="J2" s="608" t="s">
        <v>23</v>
      </c>
      <c r="K2" s="608"/>
      <c r="L2" s="608"/>
      <c r="M2" s="608"/>
      <c r="N2" s="608"/>
      <c r="O2" s="608"/>
      <c r="P2" s="608"/>
      <c r="Q2" s="608"/>
      <c r="R2" s="608"/>
      <c r="S2" s="608"/>
      <c r="T2" s="608"/>
      <c r="U2" s="608"/>
      <c r="V2" s="608"/>
      <c r="W2" s="608"/>
      <c r="X2" s="608"/>
      <c r="Y2" s="608"/>
      <c r="Z2" s="608"/>
      <c r="AA2" s="608"/>
      <c r="AB2" s="608"/>
      <c r="AC2" s="608"/>
      <c r="AD2" s="608"/>
      <c r="AE2" s="608"/>
      <c r="AF2" s="608"/>
      <c r="AG2" s="608"/>
      <c r="AH2" s="608"/>
      <c r="AI2" s="608"/>
      <c r="AJ2" s="608"/>
      <c r="AK2" s="608"/>
      <c r="AL2" s="608"/>
      <c r="AM2" s="608"/>
      <c r="AN2" s="608"/>
      <c r="AO2" s="608"/>
      <c r="AP2" s="608"/>
      <c r="AQ2" s="608"/>
    </row>
    <row r="3" spans="1:149" ht="15" x14ac:dyDescent="0.45">
      <c r="J3" s="608" t="s">
        <v>24</v>
      </c>
      <c r="K3" s="608"/>
      <c r="L3" s="608"/>
      <c r="M3" s="608"/>
      <c r="N3" s="608"/>
      <c r="O3" s="608"/>
      <c r="P3" s="608"/>
      <c r="Q3" s="608"/>
      <c r="R3" s="608"/>
      <c r="S3" s="608"/>
      <c r="T3" s="608"/>
      <c r="U3" s="608"/>
      <c r="V3" s="608"/>
      <c r="W3" s="608"/>
      <c r="X3" s="608"/>
      <c r="Y3" s="608"/>
      <c r="Z3" s="608"/>
      <c r="AA3" s="608"/>
      <c r="AB3" s="608"/>
      <c r="AC3" s="608"/>
      <c r="AD3" s="608"/>
      <c r="AE3" s="608"/>
      <c r="AF3" s="608"/>
      <c r="AG3" s="608"/>
      <c r="AH3" s="608"/>
      <c r="AI3" s="608"/>
      <c r="AJ3" s="608"/>
      <c r="AK3" s="608"/>
      <c r="AL3" s="608"/>
      <c r="AM3" s="608"/>
      <c r="AN3" s="608"/>
      <c r="AO3" s="608"/>
      <c r="AP3" s="608"/>
      <c r="AQ3" s="608"/>
    </row>
    <row r="4" spans="1:149" ht="15" x14ac:dyDescent="0.45">
      <c r="J4" s="608" t="s">
        <v>25</v>
      </c>
      <c r="K4" s="608"/>
      <c r="L4" s="608"/>
      <c r="M4" s="608"/>
      <c r="N4" s="608"/>
      <c r="O4" s="608"/>
      <c r="P4" s="608"/>
      <c r="Q4" s="608"/>
      <c r="R4" s="608"/>
      <c r="S4" s="608"/>
      <c r="T4" s="608"/>
      <c r="U4" s="608"/>
      <c r="V4" s="608"/>
      <c r="W4" s="608"/>
      <c r="X4" s="608"/>
      <c r="Y4" s="608"/>
      <c r="Z4" s="608"/>
      <c r="AA4" s="608"/>
      <c r="AB4" s="608"/>
      <c r="AC4" s="608"/>
      <c r="AD4" s="608"/>
      <c r="AE4" s="608"/>
      <c r="AF4" s="608"/>
      <c r="AG4" s="608"/>
      <c r="AH4" s="608"/>
      <c r="AI4" s="608"/>
      <c r="AJ4" s="608"/>
      <c r="AK4" s="608"/>
      <c r="AL4" s="608"/>
      <c r="AM4" s="608"/>
      <c r="AN4" s="608"/>
      <c r="AO4" s="608"/>
      <c r="AP4" s="608"/>
      <c r="AQ4" s="608"/>
    </row>
    <row r="5" spans="1:149" ht="12.6" x14ac:dyDescent="0.45">
      <c r="F5" s="115" t="s">
        <v>26</v>
      </c>
      <c r="G5" s="115"/>
      <c r="H5" s="115"/>
      <c r="I5" s="115"/>
      <c r="J5" s="116"/>
      <c r="K5" s="116"/>
      <c r="L5" s="116"/>
      <c r="M5" s="116"/>
      <c r="N5" s="116"/>
      <c r="O5" s="116"/>
      <c r="P5" s="116"/>
      <c r="Q5" s="116"/>
      <c r="R5" s="116"/>
      <c r="S5" s="116"/>
      <c r="T5" s="116"/>
      <c r="U5" s="116"/>
      <c r="V5" s="116"/>
      <c r="W5" s="116"/>
      <c r="X5" s="116"/>
      <c r="Y5" s="116"/>
      <c r="Z5" s="116"/>
      <c r="AA5" s="116"/>
      <c r="AB5" s="116"/>
      <c r="AC5" s="116"/>
      <c r="AD5" s="116"/>
      <c r="CZ5" s="366"/>
      <c r="DA5" s="366"/>
      <c r="DB5" s="366"/>
      <c r="DC5" s="366"/>
      <c r="DD5" s="366"/>
      <c r="DE5" s="366"/>
      <c r="DF5" s="366"/>
      <c r="DG5" s="366"/>
      <c r="DH5" s="366"/>
      <c r="DI5" s="366"/>
      <c r="DJ5" s="366"/>
      <c r="DK5" s="366"/>
      <c r="DL5" s="366"/>
      <c r="DM5" s="366"/>
      <c r="DN5" s="366"/>
      <c r="DO5" s="366"/>
    </row>
    <row r="6" spans="1:149" ht="12.6" x14ac:dyDescent="0.45">
      <c r="F6" s="1" t="s">
        <v>27</v>
      </c>
      <c r="G6" s="1"/>
      <c r="H6" s="1"/>
      <c r="I6" s="1"/>
      <c r="J6" s="2">
        <v>1.03</v>
      </c>
      <c r="K6" s="117"/>
      <c r="L6" s="117"/>
      <c r="M6" s="117"/>
      <c r="N6" s="118"/>
      <c r="O6" s="111"/>
      <c r="P6" s="119"/>
      <c r="Q6" s="111"/>
      <c r="R6" s="111"/>
      <c r="S6" s="119"/>
      <c r="T6" s="111"/>
      <c r="U6" s="111"/>
      <c r="V6" s="119"/>
      <c r="W6" s="111"/>
      <c r="X6" s="111"/>
      <c r="Y6" s="119"/>
      <c r="Z6" s="111"/>
      <c r="AA6" s="111"/>
      <c r="AB6" s="111"/>
      <c r="AC6" s="111"/>
      <c r="AD6" s="111"/>
      <c r="CZ6" s="371"/>
      <c r="DA6" s="371"/>
      <c r="DB6" s="371"/>
      <c r="DC6" s="371"/>
      <c r="DD6" s="371"/>
      <c r="DE6" s="371"/>
      <c r="DF6" s="371"/>
      <c r="DG6" s="371"/>
      <c r="DH6" s="371"/>
      <c r="DI6" s="371"/>
      <c r="DJ6" s="371"/>
      <c r="DK6" s="371"/>
      <c r="DL6" s="371"/>
      <c r="DM6" s="371"/>
      <c r="DN6" s="371"/>
      <c r="DO6" s="371"/>
    </row>
    <row r="7" spans="1:149" ht="12.9" thickBot="1" x14ac:dyDescent="0.5">
      <c r="F7" s="1" t="s">
        <v>28</v>
      </c>
      <c r="G7" s="1"/>
      <c r="H7" s="1"/>
      <c r="I7" s="1"/>
      <c r="J7" s="2">
        <v>1.04</v>
      </c>
      <c r="K7" s="117"/>
      <c r="L7" s="117"/>
      <c r="M7" s="117"/>
      <c r="N7" s="118"/>
      <c r="O7" s="111"/>
      <c r="P7" s="120"/>
      <c r="Q7" s="111"/>
      <c r="R7" s="111"/>
      <c r="S7" s="119"/>
      <c r="T7" s="111"/>
      <c r="U7" s="111"/>
      <c r="V7" s="119"/>
      <c r="W7" s="111"/>
      <c r="X7" s="111"/>
      <c r="Y7" s="119"/>
      <c r="Z7" s="111"/>
      <c r="AA7" s="111"/>
      <c r="AB7" s="111"/>
      <c r="AC7" s="111"/>
      <c r="AD7" s="111"/>
    </row>
    <row r="8" spans="1:149" ht="19.5" customHeight="1" thickBot="1" x14ac:dyDescent="0.55000000000000004">
      <c r="A8" s="121"/>
      <c r="B8" s="121"/>
      <c r="C8" s="121"/>
      <c r="D8" s="121"/>
      <c r="F8" s="121" t="s">
        <v>29</v>
      </c>
      <c r="G8" s="121"/>
      <c r="H8" s="121"/>
      <c r="I8" s="121"/>
      <c r="J8" s="609" t="s">
        <v>30</v>
      </c>
      <c r="K8" s="609"/>
      <c r="L8" s="609"/>
      <c r="M8" s="609"/>
      <c r="N8" s="609"/>
      <c r="O8" s="609"/>
      <c r="P8" s="609"/>
      <c r="Q8" s="609"/>
      <c r="R8" s="609"/>
      <c r="S8" s="609"/>
      <c r="T8" s="609"/>
      <c r="U8" s="609"/>
      <c r="V8" s="609"/>
      <c r="W8" s="609"/>
      <c r="X8" s="609"/>
      <c r="Y8" s="609"/>
      <c r="Z8" s="609"/>
      <c r="AA8" s="609"/>
      <c r="AB8" s="609"/>
      <c r="AC8" s="609"/>
      <c r="AD8" s="609"/>
      <c r="AE8" s="609"/>
      <c r="AF8" s="609"/>
      <c r="AG8" s="609"/>
      <c r="AH8" s="609"/>
      <c r="AI8" s="609"/>
      <c r="AJ8" s="609"/>
      <c r="AK8" s="609"/>
      <c r="AL8" s="609"/>
      <c r="AM8" s="609"/>
      <c r="AN8" s="609"/>
      <c r="AO8" s="609"/>
      <c r="AP8" s="609"/>
      <c r="AQ8" s="609"/>
      <c r="AR8" s="619" t="s">
        <v>31</v>
      </c>
      <c r="AS8" s="619"/>
      <c r="AT8" s="619"/>
      <c r="AU8" s="619"/>
      <c r="AV8" s="619"/>
      <c r="AW8" s="619"/>
      <c r="AX8" s="619"/>
      <c r="AY8" s="619"/>
      <c r="AZ8" s="619"/>
      <c r="BA8" s="122"/>
      <c r="BB8" s="620" t="s">
        <v>32</v>
      </c>
      <c r="BC8" s="620"/>
      <c r="BD8" s="620"/>
      <c r="BE8" s="620"/>
      <c r="BF8" s="620"/>
      <c r="BG8" s="620"/>
      <c r="BH8" s="620"/>
      <c r="BI8" s="620"/>
      <c r="BJ8" s="620"/>
      <c r="BK8" s="620"/>
      <c r="BL8" s="620"/>
      <c r="BM8" s="620"/>
      <c r="BN8" s="620"/>
      <c r="BO8" s="620"/>
      <c r="BP8" s="620"/>
      <c r="BQ8" s="620"/>
      <c r="BR8" s="620"/>
      <c r="BS8" s="620"/>
      <c r="BT8" s="620"/>
      <c r="BU8" s="620"/>
      <c r="BV8" s="620"/>
      <c r="BW8" s="620"/>
      <c r="BX8" s="620"/>
      <c r="BY8" s="620"/>
      <c r="BZ8" s="620"/>
      <c r="CA8" s="620"/>
      <c r="CB8" s="620"/>
      <c r="CC8" s="620"/>
      <c r="CD8" s="123"/>
      <c r="CE8" s="616" t="s">
        <v>33</v>
      </c>
      <c r="CF8" s="617"/>
      <c r="CG8" s="618"/>
      <c r="CH8" s="610" t="s">
        <v>34</v>
      </c>
      <c r="CI8" s="611"/>
      <c r="CJ8" s="612"/>
      <c r="CK8" s="518" t="s">
        <v>35</v>
      </c>
      <c r="CL8" s="518" t="s">
        <v>36</v>
      </c>
      <c r="CM8">
        <v>4</v>
      </c>
      <c r="CN8">
        <v>5</v>
      </c>
      <c r="CO8">
        <v>7</v>
      </c>
      <c r="CP8">
        <v>10</v>
      </c>
      <c r="CQ8">
        <v>14</v>
      </c>
      <c r="CR8">
        <v>15</v>
      </c>
      <c r="CS8">
        <v>16</v>
      </c>
      <c r="CT8" t="s">
        <v>37</v>
      </c>
      <c r="CU8" t="s">
        <v>38</v>
      </c>
      <c r="CV8">
        <v>37</v>
      </c>
      <c r="CW8">
        <v>38</v>
      </c>
      <c r="CX8">
        <v>39</v>
      </c>
      <c r="CY8">
        <v>40</v>
      </c>
      <c r="CZ8">
        <v>45</v>
      </c>
      <c r="DA8">
        <v>46</v>
      </c>
      <c r="DB8">
        <v>47</v>
      </c>
      <c r="DC8">
        <v>49</v>
      </c>
      <c r="DD8">
        <v>51</v>
      </c>
      <c r="DE8">
        <v>52</v>
      </c>
      <c r="DF8">
        <v>53</v>
      </c>
      <c r="DG8">
        <v>54</v>
      </c>
      <c r="DH8">
        <v>56</v>
      </c>
      <c r="DI8">
        <v>57</v>
      </c>
      <c r="DJ8">
        <v>58</v>
      </c>
      <c r="DK8">
        <v>59</v>
      </c>
      <c r="DL8">
        <v>61</v>
      </c>
      <c r="DM8">
        <v>62</v>
      </c>
      <c r="DN8">
        <v>63</v>
      </c>
      <c r="DO8">
        <v>64</v>
      </c>
      <c r="DP8">
        <v>66</v>
      </c>
      <c r="DQ8">
        <v>67</v>
      </c>
      <c r="DR8">
        <v>68</v>
      </c>
      <c r="DS8">
        <v>69</v>
      </c>
      <c r="DT8">
        <v>73</v>
      </c>
      <c r="DU8">
        <v>85</v>
      </c>
      <c r="DV8">
        <v>90</v>
      </c>
      <c r="DW8">
        <v>91</v>
      </c>
      <c r="DX8">
        <v>92</v>
      </c>
      <c r="DY8">
        <v>97</v>
      </c>
      <c r="DZ8">
        <v>102</v>
      </c>
      <c r="EA8">
        <v>103</v>
      </c>
      <c r="EB8">
        <v>104</v>
      </c>
      <c r="EC8">
        <v>110</v>
      </c>
      <c r="ED8">
        <v>111</v>
      </c>
      <c r="EE8">
        <v>112</v>
      </c>
      <c r="EF8">
        <v>113</v>
      </c>
      <c r="EG8">
        <v>115</v>
      </c>
      <c r="EH8">
        <v>116</v>
      </c>
      <c r="EI8">
        <v>117</v>
      </c>
      <c r="EJ8">
        <v>120</v>
      </c>
      <c r="EK8">
        <v>122</v>
      </c>
      <c r="EL8">
        <v>123</v>
      </c>
      <c r="EM8">
        <v>124</v>
      </c>
      <c r="EN8">
        <v>129</v>
      </c>
      <c r="EO8">
        <v>131</v>
      </c>
      <c r="EP8">
        <v>132</v>
      </c>
      <c r="EQ8">
        <v>134</v>
      </c>
      <c r="ER8">
        <v>135</v>
      </c>
      <c r="ES8">
        <v>137</v>
      </c>
    </row>
    <row r="9" spans="1:149" ht="12.6" x14ac:dyDescent="0.45">
      <c r="A9" s="600" t="s">
        <v>441</v>
      </c>
      <c r="B9" s="601" t="s">
        <v>442</v>
      </c>
      <c r="C9" s="600" t="s">
        <v>443</v>
      </c>
      <c r="D9" s="600" t="s">
        <v>444</v>
      </c>
      <c r="E9" s="130"/>
      <c r="F9" s="131" t="s">
        <v>2</v>
      </c>
      <c r="G9" s="131"/>
      <c r="H9" s="131"/>
      <c r="I9" s="131"/>
      <c r="J9" s="605" t="s">
        <v>3</v>
      </c>
      <c r="K9" s="606"/>
      <c r="L9" s="606"/>
      <c r="M9" s="606"/>
      <c r="N9" s="606"/>
      <c r="O9" s="606"/>
      <c r="P9" s="607"/>
      <c r="Q9" s="605" t="s">
        <v>4</v>
      </c>
      <c r="R9" s="606"/>
      <c r="S9" s="606"/>
      <c r="T9" s="606"/>
      <c r="U9" s="606"/>
      <c r="V9" s="607"/>
      <c r="W9" s="604" t="s">
        <v>5</v>
      </c>
      <c r="X9" s="604"/>
      <c r="Y9" s="604"/>
      <c r="Z9" s="604"/>
      <c r="AA9" s="604"/>
      <c r="AB9" s="604"/>
      <c r="AC9" s="605" t="s">
        <v>6</v>
      </c>
      <c r="AD9" s="606"/>
      <c r="AE9" s="606"/>
      <c r="AF9" s="606"/>
      <c r="AG9" s="606"/>
      <c r="AH9" s="607"/>
      <c r="AI9" s="605" t="s">
        <v>7</v>
      </c>
      <c r="AJ9" s="606"/>
      <c r="AK9" s="606"/>
      <c r="AL9" s="606"/>
      <c r="AM9" s="606"/>
      <c r="AN9" s="607"/>
      <c r="AO9" s="132" t="s">
        <v>8</v>
      </c>
      <c r="AP9" s="132" t="s">
        <v>9</v>
      </c>
      <c r="AQ9" s="132" t="s">
        <v>10</v>
      </c>
      <c r="AR9" s="604" t="s">
        <v>3</v>
      </c>
      <c r="AS9" s="604"/>
      <c r="AT9" s="604" t="s">
        <v>4</v>
      </c>
      <c r="AU9" s="604"/>
      <c r="AV9" s="604" t="s">
        <v>8</v>
      </c>
      <c r="AW9" s="604"/>
      <c r="AX9" s="604"/>
      <c r="AY9" s="604"/>
      <c r="AZ9" s="604"/>
      <c r="BA9" s="269"/>
      <c r="BB9" s="621" t="s">
        <v>5</v>
      </c>
      <c r="BC9" s="622"/>
      <c r="BD9" s="622"/>
      <c r="BE9" s="622"/>
      <c r="BF9" s="622"/>
      <c r="BG9" s="622"/>
      <c r="BH9" s="623"/>
      <c r="BI9" s="613" t="s">
        <v>6</v>
      </c>
      <c r="BJ9" s="614"/>
      <c r="BK9" s="614"/>
      <c r="BL9" s="614"/>
      <c r="BM9" s="614"/>
      <c r="BN9" s="615"/>
      <c r="BO9" s="614" t="s">
        <v>7</v>
      </c>
      <c r="BP9" s="614"/>
      <c r="BQ9" s="614"/>
      <c r="BR9" s="614"/>
      <c r="BS9" s="614"/>
      <c r="BT9" s="615"/>
      <c r="BU9" s="613" t="s">
        <v>39</v>
      </c>
      <c r="BV9" s="614"/>
      <c r="BW9" s="614"/>
      <c r="BX9" s="614"/>
      <c r="BY9" s="614"/>
      <c r="BZ9" s="615"/>
      <c r="CA9" s="104" t="s">
        <v>40</v>
      </c>
      <c r="CB9" s="105" t="s">
        <v>40</v>
      </c>
      <c r="CC9" s="106" t="s">
        <v>40</v>
      </c>
      <c r="CD9" s="236"/>
      <c r="CE9" s="132" t="s">
        <v>8</v>
      </c>
      <c r="CF9" s="132" t="s">
        <v>8</v>
      </c>
      <c r="CG9" s="304" t="s">
        <v>10</v>
      </c>
      <c r="CH9" s="304"/>
      <c r="CI9" s="304"/>
      <c r="CJ9" s="304"/>
      <c r="CK9" s="212"/>
      <c r="CL9" s="212"/>
      <c r="CM9" s="602" t="s">
        <v>41</v>
      </c>
      <c r="CN9" s="603"/>
      <c r="CO9" s="603"/>
      <c r="CP9" s="603"/>
      <c r="CQ9" s="603"/>
      <c r="CR9" s="603"/>
      <c r="CS9" s="603"/>
      <c r="CT9" s="603"/>
      <c r="CU9" s="603"/>
      <c r="CV9" s="603"/>
      <c r="CW9" s="603"/>
      <c r="CX9" s="603"/>
      <c r="CY9" s="603"/>
      <c r="CZ9" s="603"/>
      <c r="DA9" s="603"/>
      <c r="DB9" s="603"/>
      <c r="DC9" s="603"/>
      <c r="DD9" s="603"/>
      <c r="DE9" s="603"/>
      <c r="DF9" s="603"/>
      <c r="DG9" s="603"/>
      <c r="DH9" s="603"/>
      <c r="DI9" s="603"/>
      <c r="DJ9" s="603"/>
      <c r="DK9" s="603"/>
      <c r="DL9" s="603"/>
      <c r="DM9" s="603"/>
      <c r="DN9" s="603"/>
      <c r="DO9" s="603"/>
      <c r="DP9" s="603"/>
      <c r="DQ9" s="603"/>
      <c r="DR9" s="603"/>
      <c r="DS9" s="603"/>
      <c r="DT9" s="603"/>
      <c r="DU9" s="603"/>
      <c r="DV9" s="603"/>
      <c r="DW9" s="603"/>
      <c r="DX9" s="603"/>
      <c r="DY9" s="603"/>
      <c r="DZ9" s="603"/>
      <c r="EA9" s="603"/>
      <c r="EB9" s="603"/>
      <c r="EC9" s="603"/>
      <c r="ED9" s="603"/>
      <c r="EE9" s="603"/>
      <c r="EF9" s="603"/>
      <c r="EG9" s="603"/>
      <c r="EH9" s="603"/>
      <c r="EI9" s="603"/>
      <c r="EJ9" s="603"/>
      <c r="EK9" s="603"/>
      <c r="EL9" s="603"/>
      <c r="EM9" s="603"/>
      <c r="EN9" s="603"/>
      <c r="EO9" s="603"/>
      <c r="EP9" s="603"/>
      <c r="EQ9" s="603"/>
      <c r="ER9" s="603"/>
      <c r="ES9" s="603"/>
    </row>
    <row r="10" spans="1:149" ht="88.5" customHeight="1" thickBot="1" x14ac:dyDescent="0.5">
      <c r="A10" s="600"/>
      <c r="B10" s="601"/>
      <c r="C10" s="600"/>
      <c r="D10" s="600"/>
      <c r="E10" s="130" t="s">
        <v>42</v>
      </c>
      <c r="F10" s="131" t="s">
        <v>2</v>
      </c>
      <c r="G10" s="131" t="s">
        <v>43</v>
      </c>
      <c r="H10" s="131" t="s">
        <v>44</v>
      </c>
      <c r="I10" s="131" t="s">
        <v>45</v>
      </c>
      <c r="J10" s="131" t="s">
        <v>46</v>
      </c>
      <c r="K10" s="131" t="s">
        <v>47</v>
      </c>
      <c r="L10" s="131" t="s">
        <v>48</v>
      </c>
      <c r="M10" s="131" t="s">
        <v>49</v>
      </c>
      <c r="N10" s="131" t="s">
        <v>11</v>
      </c>
      <c r="O10" s="131" t="s">
        <v>12</v>
      </c>
      <c r="P10" s="131" t="s">
        <v>9</v>
      </c>
      <c r="Q10" s="131" t="s">
        <v>46</v>
      </c>
      <c r="R10" s="131" t="s">
        <v>47</v>
      </c>
      <c r="S10" s="131" t="s">
        <v>48</v>
      </c>
      <c r="T10" s="131" t="s">
        <v>11</v>
      </c>
      <c r="U10" s="131" t="s">
        <v>12</v>
      </c>
      <c r="V10" s="131" t="s">
        <v>9</v>
      </c>
      <c r="W10" s="131" t="s">
        <v>46</v>
      </c>
      <c r="X10" s="131" t="s">
        <v>47</v>
      </c>
      <c r="Y10" s="131" t="s">
        <v>48</v>
      </c>
      <c r="Z10" s="131" t="s">
        <v>11</v>
      </c>
      <c r="AA10" s="131" t="s">
        <v>12</v>
      </c>
      <c r="AB10" s="131" t="s">
        <v>9</v>
      </c>
      <c r="AC10" s="131" t="s">
        <v>46</v>
      </c>
      <c r="AD10" s="131" t="s">
        <v>47</v>
      </c>
      <c r="AE10" s="131" t="s">
        <v>48</v>
      </c>
      <c r="AF10" s="131" t="s">
        <v>11</v>
      </c>
      <c r="AG10" s="131" t="s">
        <v>12</v>
      </c>
      <c r="AH10" s="131" t="s">
        <v>9</v>
      </c>
      <c r="AI10" s="131" t="s">
        <v>46</v>
      </c>
      <c r="AJ10" s="131" t="s">
        <v>47</v>
      </c>
      <c r="AK10" s="131" t="s">
        <v>48</v>
      </c>
      <c r="AL10" s="131" t="s">
        <v>11</v>
      </c>
      <c r="AM10" s="131" t="s">
        <v>12</v>
      </c>
      <c r="AN10" s="131" t="s">
        <v>9</v>
      </c>
      <c r="AO10" s="132" t="s">
        <v>11</v>
      </c>
      <c r="AP10" s="131" t="s">
        <v>12</v>
      </c>
      <c r="AQ10" s="132" t="s">
        <v>8</v>
      </c>
      <c r="AR10" s="133" t="s">
        <v>50</v>
      </c>
      <c r="AS10" s="133" t="s">
        <v>51</v>
      </c>
      <c r="AT10" s="133" t="s">
        <v>52</v>
      </c>
      <c r="AU10" s="133" t="s">
        <v>53</v>
      </c>
      <c r="AV10" s="133" t="s">
        <v>54</v>
      </c>
      <c r="AW10" s="133" t="s">
        <v>55</v>
      </c>
      <c r="AX10" s="133" t="s">
        <v>56</v>
      </c>
      <c r="AY10" s="134" t="s">
        <v>57</v>
      </c>
      <c r="AZ10" s="133" t="s">
        <v>58</v>
      </c>
      <c r="BA10" s="270" t="s">
        <v>59</v>
      </c>
      <c r="BB10" s="219" t="s">
        <v>46</v>
      </c>
      <c r="BC10" s="132" t="s">
        <v>47</v>
      </c>
      <c r="BD10" s="132" t="s">
        <v>48</v>
      </c>
      <c r="BE10" s="132" t="s">
        <v>11</v>
      </c>
      <c r="BF10" s="132" t="s">
        <v>12</v>
      </c>
      <c r="BG10" s="132" t="s">
        <v>9</v>
      </c>
      <c r="BH10" s="404" t="s">
        <v>60</v>
      </c>
      <c r="BI10" s="219" t="s">
        <v>46</v>
      </c>
      <c r="BJ10" s="132" t="s">
        <v>47</v>
      </c>
      <c r="BK10" s="132" t="s">
        <v>48</v>
      </c>
      <c r="BL10" s="132" t="s">
        <v>11</v>
      </c>
      <c r="BM10" s="132" t="s">
        <v>12</v>
      </c>
      <c r="BN10" s="220" t="s">
        <v>9</v>
      </c>
      <c r="BO10" s="367" t="s">
        <v>46</v>
      </c>
      <c r="BP10" s="132" t="s">
        <v>47</v>
      </c>
      <c r="BQ10" s="132" t="s">
        <v>48</v>
      </c>
      <c r="BR10" s="132" t="s">
        <v>11</v>
      </c>
      <c r="BS10" s="132" t="s">
        <v>12</v>
      </c>
      <c r="BT10" s="220" t="s">
        <v>9</v>
      </c>
      <c r="BU10" s="219" t="s">
        <v>46</v>
      </c>
      <c r="BV10" s="132" t="s">
        <v>47</v>
      </c>
      <c r="BW10" s="132" t="s">
        <v>48</v>
      </c>
      <c r="BX10" s="132" t="s">
        <v>11</v>
      </c>
      <c r="BY10" s="132" t="s">
        <v>12</v>
      </c>
      <c r="BZ10" s="220" t="s">
        <v>9</v>
      </c>
      <c r="CA10" s="219" t="s">
        <v>61</v>
      </c>
      <c r="CB10" s="132" t="s">
        <v>62</v>
      </c>
      <c r="CC10" s="220" t="s">
        <v>63</v>
      </c>
      <c r="CD10" s="236"/>
      <c r="CE10" s="132" t="s">
        <v>11</v>
      </c>
      <c r="CF10" s="132" t="s">
        <v>12</v>
      </c>
      <c r="CG10" s="304" t="s">
        <v>8</v>
      </c>
      <c r="CH10" s="311" t="s">
        <v>64</v>
      </c>
      <c r="CI10" s="311" t="s">
        <v>65</v>
      </c>
      <c r="CJ10" s="311" t="s">
        <v>66</v>
      </c>
      <c r="CK10" s="527"/>
      <c r="CL10" s="528"/>
      <c r="CM10" s="526" t="s">
        <v>67</v>
      </c>
      <c r="CN10" s="397" t="s">
        <v>68</v>
      </c>
      <c r="CO10" s="397" t="s">
        <v>69</v>
      </c>
      <c r="CP10" s="398" t="s">
        <v>70</v>
      </c>
      <c r="CQ10" s="398" t="s">
        <v>71</v>
      </c>
      <c r="CR10" s="399" t="s">
        <v>72</v>
      </c>
      <c r="CS10" s="400" t="s">
        <v>73</v>
      </c>
      <c r="CT10" s="401" t="s">
        <v>74</v>
      </c>
      <c r="CU10" s="401" t="s">
        <v>74</v>
      </c>
      <c r="CV10" s="402" t="s">
        <v>75</v>
      </c>
      <c r="CW10" s="402" t="s">
        <v>76</v>
      </c>
      <c r="CX10" s="402" t="s">
        <v>77</v>
      </c>
      <c r="CY10" s="402" t="s">
        <v>78</v>
      </c>
      <c r="CZ10" s="402" t="s">
        <v>79</v>
      </c>
      <c r="DA10" s="402" t="s">
        <v>80</v>
      </c>
      <c r="DB10" s="402" t="s">
        <v>81</v>
      </c>
      <c r="DC10" s="402" t="s">
        <v>82</v>
      </c>
      <c r="DD10" s="402" t="s">
        <v>83</v>
      </c>
      <c r="DE10" s="402" t="s">
        <v>84</v>
      </c>
      <c r="DF10" s="402" t="s">
        <v>85</v>
      </c>
      <c r="DG10" s="402" t="s">
        <v>86</v>
      </c>
      <c r="DH10" s="402" t="s">
        <v>87</v>
      </c>
      <c r="DI10" s="402" t="s">
        <v>88</v>
      </c>
      <c r="DJ10" s="402" t="s">
        <v>89</v>
      </c>
      <c r="DK10" s="402" t="s">
        <v>90</v>
      </c>
      <c r="DL10" s="402" t="s">
        <v>91</v>
      </c>
      <c r="DM10" s="402" t="s">
        <v>92</v>
      </c>
      <c r="DN10" s="402" t="s">
        <v>93</v>
      </c>
      <c r="DO10" s="402" t="s">
        <v>94</v>
      </c>
      <c r="DP10" s="402" t="s">
        <v>95</v>
      </c>
      <c r="DQ10" s="402" t="s">
        <v>96</v>
      </c>
      <c r="DR10" s="402" t="s">
        <v>97</v>
      </c>
      <c r="DS10" s="402" t="s">
        <v>98</v>
      </c>
      <c r="DT10" s="402" t="s">
        <v>99</v>
      </c>
      <c r="DU10" s="402" t="s">
        <v>100</v>
      </c>
      <c r="DV10" s="399" t="s">
        <v>101</v>
      </c>
      <c r="DW10" s="399" t="s">
        <v>102</v>
      </c>
      <c r="DX10" s="399" t="s">
        <v>103</v>
      </c>
      <c r="DY10" s="399" t="s">
        <v>104</v>
      </c>
      <c r="DZ10" s="399" t="s">
        <v>105</v>
      </c>
      <c r="EA10" s="399" t="s">
        <v>106</v>
      </c>
      <c r="EB10" s="399" t="s">
        <v>107</v>
      </c>
      <c r="EC10" s="399" t="s">
        <v>108</v>
      </c>
      <c r="ED10" s="399" t="s">
        <v>109</v>
      </c>
      <c r="EE10" s="401" t="s">
        <v>110</v>
      </c>
      <c r="EF10" s="399" t="s">
        <v>111</v>
      </c>
      <c r="EG10" s="399" t="s">
        <v>112</v>
      </c>
      <c r="EH10" s="399" t="s">
        <v>113</v>
      </c>
      <c r="EI10" s="399" t="s">
        <v>114</v>
      </c>
      <c r="EJ10" s="399" t="s">
        <v>115</v>
      </c>
      <c r="EK10" s="399" t="s">
        <v>116</v>
      </c>
      <c r="EL10" s="399" t="s">
        <v>117</v>
      </c>
      <c r="EM10" s="399" t="s">
        <v>118</v>
      </c>
      <c r="EN10" s="402" t="s">
        <v>119</v>
      </c>
      <c r="EO10" s="399" t="s">
        <v>120</v>
      </c>
      <c r="EP10" s="399" t="s">
        <v>121</v>
      </c>
      <c r="EQ10" s="399" t="s">
        <v>122</v>
      </c>
      <c r="ER10" s="399" t="s">
        <v>123</v>
      </c>
      <c r="ES10" s="399" t="s">
        <v>124</v>
      </c>
    </row>
    <row r="11" spans="1:149" ht="19.5" customHeight="1" x14ac:dyDescent="0.45">
      <c r="A11" s="136"/>
      <c r="B11" s="136"/>
      <c r="C11" s="136"/>
      <c r="D11" s="136"/>
      <c r="E11" s="135">
        <v>1</v>
      </c>
      <c r="F11" s="136" t="s">
        <v>125</v>
      </c>
      <c r="G11" s="137"/>
      <c r="H11" s="137"/>
      <c r="I11" s="137"/>
      <c r="J11" s="137"/>
      <c r="K11" s="137"/>
      <c r="L11" s="137"/>
      <c r="M11" s="137"/>
      <c r="N11" s="274"/>
      <c r="O11" s="274"/>
      <c r="P11" s="274"/>
      <c r="Q11" s="137"/>
      <c r="R11" s="137"/>
      <c r="S11" s="137"/>
      <c r="T11" s="274"/>
      <c r="U11" s="274"/>
      <c r="V11" s="274"/>
      <c r="W11" s="137"/>
      <c r="X11" s="137"/>
      <c r="Y11" s="137"/>
      <c r="Z11" s="274"/>
      <c r="AA11" s="274"/>
      <c r="AB11" s="274"/>
      <c r="AC11" s="137"/>
      <c r="AD11" s="137"/>
      <c r="AE11" s="137"/>
      <c r="AF11" s="274"/>
      <c r="AG11" s="274"/>
      <c r="AH11" s="274"/>
      <c r="AI11" s="137"/>
      <c r="AJ11" s="137"/>
      <c r="AK11" s="137"/>
      <c r="AL11" s="274"/>
      <c r="AM11" s="274"/>
      <c r="AN11" s="274"/>
      <c r="AO11" s="274"/>
      <c r="AP11" s="274"/>
      <c r="AQ11" s="274"/>
      <c r="AR11" s="274"/>
      <c r="AS11" s="274"/>
      <c r="AT11" s="274"/>
      <c r="AU11" s="274"/>
      <c r="AV11" s="274"/>
      <c r="AW11" s="274"/>
      <c r="AX11" s="274"/>
      <c r="AY11" s="274"/>
      <c r="AZ11" s="274"/>
      <c r="BA11" s="275"/>
      <c r="BB11" s="276"/>
      <c r="BC11" s="137"/>
      <c r="BD11" s="137"/>
      <c r="BE11" s="274"/>
      <c r="BF11" s="274"/>
      <c r="BG11" s="274"/>
      <c r="BH11" s="405"/>
      <c r="BI11" s="276"/>
      <c r="BJ11" s="137"/>
      <c r="BK11" s="137"/>
      <c r="BL11" s="274"/>
      <c r="BM11" s="274"/>
      <c r="BN11" s="277"/>
      <c r="BO11" s="426"/>
      <c r="BP11" s="137"/>
      <c r="BQ11" s="137"/>
      <c r="BR11" s="274"/>
      <c r="BS11" s="274"/>
      <c r="BT11" s="277"/>
      <c r="BU11" s="278"/>
      <c r="BV11" s="274"/>
      <c r="BW11" s="274"/>
      <c r="BX11" s="274"/>
      <c r="BY11" s="274"/>
      <c r="BZ11" s="277"/>
      <c r="CA11" s="278"/>
      <c r="CB11" s="274"/>
      <c r="CC11" s="277"/>
      <c r="CD11" s="454"/>
      <c r="CE11" s="274"/>
      <c r="CF11" s="274"/>
      <c r="CG11" s="275"/>
      <c r="CH11" s="312"/>
      <c r="CI11" s="313"/>
      <c r="CJ11" s="519"/>
      <c r="CK11" s="529"/>
      <c r="CL11" s="539">
        <f>SUM(CM12:ES152)</f>
        <v>0</v>
      </c>
      <c r="CM11" s="370"/>
      <c r="CN11" s="370"/>
      <c r="CO11" s="370"/>
      <c r="CP11" s="370"/>
      <c r="CQ11" s="370"/>
      <c r="CR11" s="370"/>
      <c r="CS11" s="370"/>
      <c r="CT11" s="370"/>
      <c r="CU11" s="370"/>
      <c r="CV11" s="370"/>
      <c r="CW11" s="370"/>
      <c r="CX11" s="370"/>
      <c r="CY11" s="370"/>
      <c r="CZ11" s="370"/>
      <c r="DA11" s="370"/>
      <c r="DB11" s="370"/>
      <c r="DC11" s="370"/>
      <c r="DD11" s="370"/>
      <c r="DE11" s="370"/>
      <c r="DF11" s="370"/>
      <c r="DG11" s="370"/>
      <c r="DH11" s="370"/>
      <c r="DI11" s="370"/>
      <c r="DJ11" s="370"/>
      <c r="DK11" s="370"/>
      <c r="DL11" s="370"/>
      <c r="DM11" s="370"/>
      <c r="DN11" s="370"/>
      <c r="DO11" s="370"/>
      <c r="DP11" s="370"/>
      <c r="DQ11" s="370"/>
      <c r="DR11" s="370"/>
      <c r="DS11" s="370"/>
      <c r="DT11" s="370"/>
      <c r="DU11" s="370"/>
      <c r="DV11" s="370"/>
      <c r="DW11" s="370"/>
      <c r="DX11" s="370"/>
      <c r="DY11" s="370"/>
      <c r="DZ11" s="370"/>
      <c r="EA11" s="370"/>
      <c r="EB11" s="370"/>
      <c r="EC11" s="370"/>
      <c r="ED11" s="370"/>
      <c r="EE11" s="370"/>
      <c r="EF11" s="370"/>
      <c r="EG11" s="370"/>
      <c r="EH11" s="370"/>
      <c r="EI11" s="370"/>
      <c r="EJ11" s="370"/>
      <c r="EK11" s="370"/>
      <c r="EL11" s="370"/>
      <c r="EM11" s="370"/>
      <c r="EN11" s="370"/>
      <c r="EO11" s="370"/>
      <c r="EP11" s="370"/>
      <c r="EQ11" s="370"/>
      <c r="ER11" s="370"/>
      <c r="ES11" s="370"/>
    </row>
    <row r="12" spans="1:149" ht="19.5" customHeight="1" x14ac:dyDescent="0.45">
      <c r="A12" s="135"/>
      <c r="B12" s="135"/>
      <c r="C12" s="135"/>
      <c r="D12" s="135"/>
      <c r="E12" s="135">
        <v>2</v>
      </c>
      <c r="F12" s="135" t="s">
        <v>126</v>
      </c>
      <c r="G12" s="135"/>
      <c r="H12" s="135"/>
      <c r="I12" s="135"/>
      <c r="J12" s="138" t="s">
        <v>127</v>
      </c>
      <c r="K12" s="139"/>
      <c r="L12" s="139"/>
      <c r="M12" s="139"/>
      <c r="N12" s="130"/>
      <c r="O12" s="130"/>
      <c r="P12" s="130"/>
      <c r="Q12" s="139"/>
      <c r="R12" s="139"/>
      <c r="S12" s="139"/>
      <c r="T12" s="130"/>
      <c r="U12" s="130"/>
      <c r="V12" s="130"/>
      <c r="W12" s="140"/>
      <c r="X12" s="139"/>
      <c r="Y12" s="139"/>
      <c r="Z12" s="130"/>
      <c r="AA12" s="130"/>
      <c r="AB12" s="130"/>
      <c r="AC12" s="139"/>
      <c r="AD12" s="139"/>
      <c r="AE12" s="139"/>
      <c r="AF12" s="130"/>
      <c r="AG12" s="130"/>
      <c r="AH12" s="130"/>
      <c r="AI12" s="139"/>
      <c r="AJ12" s="139"/>
      <c r="AK12" s="139"/>
      <c r="AL12" s="130"/>
      <c r="AM12" s="130"/>
      <c r="AN12" s="130"/>
      <c r="AO12" s="130"/>
      <c r="AP12" s="130"/>
      <c r="AQ12" s="130"/>
      <c r="AR12" s="141"/>
      <c r="AS12" s="141"/>
      <c r="AT12" s="141"/>
      <c r="AU12" s="141"/>
      <c r="AV12" s="141"/>
      <c r="AW12" s="141"/>
      <c r="AX12" s="141"/>
      <c r="AY12" s="141"/>
      <c r="AZ12" s="141"/>
      <c r="BA12" s="232"/>
      <c r="BB12" s="260"/>
      <c r="BC12" s="138"/>
      <c r="BD12" s="142"/>
      <c r="BE12" s="141"/>
      <c r="BF12" s="141"/>
      <c r="BG12" s="141"/>
      <c r="BH12" s="406"/>
      <c r="BI12" s="260"/>
      <c r="BJ12" s="138"/>
      <c r="BK12" s="138"/>
      <c r="BL12" s="141"/>
      <c r="BM12" s="141"/>
      <c r="BN12" s="222"/>
      <c r="BO12" s="427"/>
      <c r="BP12" s="138"/>
      <c r="BQ12" s="138"/>
      <c r="BR12" s="141"/>
      <c r="BS12" s="141"/>
      <c r="BT12" s="222"/>
      <c r="BU12" s="221"/>
      <c r="BV12" s="141"/>
      <c r="BW12" s="141"/>
      <c r="BX12" s="141"/>
      <c r="BY12" s="141"/>
      <c r="BZ12" s="222"/>
      <c r="CA12" s="221"/>
      <c r="CB12" s="141"/>
      <c r="CC12" s="222"/>
      <c r="CD12" s="237"/>
      <c r="CE12" s="141"/>
      <c r="CF12" s="141"/>
      <c r="CG12" s="232"/>
      <c r="CH12" s="221"/>
      <c r="CI12" s="141"/>
      <c r="CJ12" s="520"/>
      <c r="CK12" s="530">
        <f t="shared" ref="CK12:CK43" si="0">SUM(CM12:ES12)</f>
        <v>0</v>
      </c>
      <c r="CL12" s="531">
        <f t="shared" ref="CL12:CL43" si="1">CJ12+CK12</f>
        <v>0</v>
      </c>
      <c r="CM12" s="370"/>
      <c r="CN12" s="370"/>
      <c r="CO12" s="370"/>
      <c r="CP12" s="370"/>
      <c r="CQ12" s="370"/>
      <c r="CR12" s="370"/>
      <c r="CS12" s="370"/>
      <c r="CT12" s="370"/>
      <c r="CU12" s="370"/>
      <c r="CV12" s="370"/>
      <c r="CW12" s="370"/>
      <c r="CX12" s="370"/>
      <c r="CY12" s="370"/>
      <c r="CZ12" s="370"/>
      <c r="DA12" s="370"/>
      <c r="DB12" s="370"/>
      <c r="DC12" s="370"/>
      <c r="DD12" s="370"/>
      <c r="DE12" s="370"/>
      <c r="DF12" s="370"/>
      <c r="DG12" s="370"/>
      <c r="DH12" s="370"/>
      <c r="DI12" s="370"/>
      <c r="DJ12" s="370"/>
      <c r="DK12" s="370"/>
      <c r="DL12" s="370"/>
      <c r="DM12" s="370"/>
      <c r="DN12" s="370"/>
      <c r="DO12" s="370"/>
      <c r="DP12" s="370"/>
      <c r="DQ12" s="370"/>
      <c r="DR12" s="370"/>
      <c r="DS12" s="370"/>
      <c r="DT12" s="370"/>
      <c r="DU12" s="370"/>
      <c r="DV12" s="370"/>
      <c r="DW12" s="370"/>
      <c r="DX12" s="370"/>
      <c r="DY12" s="370"/>
      <c r="DZ12" s="370"/>
      <c r="EA12" s="370"/>
      <c r="EB12" s="370"/>
      <c r="EC12" s="370"/>
      <c r="ED12" s="370"/>
      <c r="EE12" s="370"/>
      <c r="EF12" s="370"/>
      <c r="EG12" s="370"/>
      <c r="EH12" s="370"/>
      <c r="EI12" s="370"/>
      <c r="EJ12" s="370"/>
      <c r="EK12" s="370"/>
      <c r="EL12" s="370"/>
      <c r="EM12" s="370"/>
      <c r="EN12" s="370"/>
      <c r="EO12" s="370"/>
      <c r="EP12" s="370"/>
      <c r="EQ12" s="370"/>
      <c r="ER12" s="370"/>
      <c r="ES12" s="370"/>
    </row>
    <row r="13" spans="1:149" ht="19.5" customHeight="1" x14ac:dyDescent="0.45">
      <c r="A13" s="135"/>
      <c r="B13" s="135"/>
      <c r="C13" s="135"/>
      <c r="D13" s="135"/>
      <c r="E13" s="135">
        <v>3</v>
      </c>
      <c r="F13" s="135" t="s">
        <v>128</v>
      </c>
      <c r="G13" s="135"/>
      <c r="H13" s="135"/>
      <c r="I13" s="135"/>
      <c r="J13" s="138"/>
      <c r="K13" s="139"/>
      <c r="L13" s="139"/>
      <c r="M13" s="139"/>
      <c r="N13" s="130"/>
      <c r="O13" s="130"/>
      <c r="P13" s="130"/>
      <c r="Q13" s="139"/>
      <c r="R13" s="139"/>
      <c r="S13" s="139"/>
      <c r="T13" s="130"/>
      <c r="U13" s="130"/>
      <c r="V13" s="130"/>
      <c r="W13" s="140"/>
      <c r="X13" s="139"/>
      <c r="Y13" s="139"/>
      <c r="Z13" s="130"/>
      <c r="AA13" s="130"/>
      <c r="AB13" s="130"/>
      <c r="AC13" s="139"/>
      <c r="AD13" s="139"/>
      <c r="AE13" s="139"/>
      <c r="AF13" s="130"/>
      <c r="AG13" s="130"/>
      <c r="AH13" s="130"/>
      <c r="AI13" s="139"/>
      <c r="AJ13" s="139"/>
      <c r="AK13" s="139"/>
      <c r="AL13" s="130"/>
      <c r="AM13" s="130"/>
      <c r="AN13" s="130"/>
      <c r="AO13" s="130"/>
      <c r="AP13" s="130"/>
      <c r="AQ13" s="130"/>
      <c r="AR13" s="141"/>
      <c r="AS13" s="141"/>
      <c r="AT13" s="141"/>
      <c r="AU13" s="141"/>
      <c r="AV13" s="141"/>
      <c r="AW13" s="141"/>
      <c r="AX13" s="141"/>
      <c r="AY13" s="141"/>
      <c r="AZ13" s="141"/>
      <c r="BA13" s="232"/>
      <c r="BB13" s="260"/>
      <c r="BC13" s="138"/>
      <c r="BD13" s="142"/>
      <c r="BE13" s="141"/>
      <c r="BF13" s="141"/>
      <c r="BG13" s="141"/>
      <c r="BH13" s="406"/>
      <c r="BI13" s="260"/>
      <c r="BJ13" s="138"/>
      <c r="BK13" s="138"/>
      <c r="BL13" s="141"/>
      <c r="BM13" s="141"/>
      <c r="BN13" s="222"/>
      <c r="BO13" s="427"/>
      <c r="BP13" s="138"/>
      <c r="BQ13" s="138"/>
      <c r="BR13" s="141"/>
      <c r="BS13" s="141"/>
      <c r="BT13" s="222"/>
      <c r="BU13" s="221"/>
      <c r="BV13" s="141"/>
      <c r="BW13" s="141"/>
      <c r="BX13" s="141"/>
      <c r="BY13" s="141"/>
      <c r="BZ13" s="222"/>
      <c r="CA13" s="221"/>
      <c r="CB13" s="141"/>
      <c r="CC13" s="238"/>
      <c r="CD13" s="237"/>
      <c r="CE13" s="141"/>
      <c r="CF13" s="141"/>
      <c r="CG13" s="232"/>
      <c r="CH13" s="221"/>
      <c r="CI13" s="141"/>
      <c r="CJ13" s="520"/>
      <c r="CK13" s="530">
        <f t="shared" si="0"/>
        <v>0</v>
      </c>
      <c r="CL13" s="531">
        <f t="shared" si="1"/>
        <v>0</v>
      </c>
      <c r="CM13" s="370"/>
      <c r="CN13" s="370"/>
      <c r="CO13" s="370"/>
      <c r="CP13" s="370"/>
      <c r="CQ13" s="370"/>
      <c r="CR13" s="370"/>
      <c r="CS13" s="370"/>
      <c r="CT13" s="370"/>
      <c r="CU13" s="370"/>
      <c r="CV13" s="370"/>
      <c r="CW13" s="370"/>
      <c r="CX13" s="370"/>
      <c r="CY13" s="370"/>
      <c r="CZ13" s="370"/>
      <c r="DA13" s="370"/>
      <c r="DB13" s="370"/>
      <c r="DC13" s="370"/>
      <c r="DD13" s="370"/>
      <c r="DE13" s="370"/>
      <c r="DF13" s="370"/>
      <c r="DG13" s="370"/>
      <c r="DH13" s="370"/>
      <c r="DI13" s="370"/>
      <c r="DJ13" s="370"/>
      <c r="DK13" s="370"/>
      <c r="DL13" s="370"/>
      <c r="DM13" s="370"/>
      <c r="DN13" s="370"/>
      <c r="DO13" s="370"/>
      <c r="DP13" s="370"/>
      <c r="DQ13" s="370"/>
      <c r="DR13" s="370"/>
      <c r="DS13" s="370"/>
      <c r="DT13" s="370"/>
      <c r="DU13" s="370"/>
      <c r="DV13" s="370"/>
      <c r="DW13" s="370"/>
      <c r="DX13" s="370"/>
      <c r="DY13" s="370"/>
      <c r="DZ13" s="370"/>
      <c r="EA13" s="370"/>
      <c r="EB13" s="370"/>
      <c r="EC13" s="370"/>
      <c r="ED13" s="370"/>
      <c r="EE13" s="370"/>
      <c r="EF13" s="370"/>
      <c r="EG13" s="370"/>
      <c r="EH13" s="370"/>
      <c r="EI13" s="370"/>
      <c r="EJ13" s="370"/>
      <c r="EK13" s="370"/>
      <c r="EL13" s="370"/>
      <c r="EM13" s="370"/>
      <c r="EN13" s="370"/>
      <c r="EO13" s="370"/>
      <c r="EP13" s="370"/>
      <c r="EQ13" s="370"/>
      <c r="ER13" s="370"/>
      <c r="ES13" s="370"/>
    </row>
    <row r="14" spans="1:149" s="126" customFormat="1" ht="19.5" customHeight="1" x14ac:dyDescent="0.45">
      <c r="A14" s="144" t="s">
        <v>445</v>
      </c>
      <c r="B14" s="588">
        <v>89050</v>
      </c>
      <c r="C14" s="144" t="s">
        <v>446</v>
      </c>
      <c r="D14" s="139" t="s">
        <v>447</v>
      </c>
      <c r="E14" s="143">
        <v>4</v>
      </c>
      <c r="F14" s="144" t="s">
        <v>67</v>
      </c>
      <c r="G14" s="130" t="s">
        <v>125</v>
      </c>
      <c r="H14" s="130" t="s">
        <v>128</v>
      </c>
      <c r="I14" s="144" t="s">
        <v>11</v>
      </c>
      <c r="J14" s="145">
        <v>1</v>
      </c>
      <c r="K14" s="20">
        <f>52500/12</f>
        <v>4375</v>
      </c>
      <c r="L14" s="146">
        <v>11</v>
      </c>
      <c r="M14" s="143" t="s">
        <v>129</v>
      </c>
      <c r="N14" s="20">
        <f>L14*K14*J14</f>
        <v>48125</v>
      </c>
      <c r="O14" s="20">
        <v>0</v>
      </c>
      <c r="P14" s="20">
        <f>SUM(N14:O14)</f>
        <v>48125</v>
      </c>
      <c r="Q14" s="145">
        <f>J14</f>
        <v>1</v>
      </c>
      <c r="R14" s="20">
        <f>K14*$J$7</f>
        <v>4550</v>
      </c>
      <c r="S14" s="143">
        <v>12</v>
      </c>
      <c r="T14" s="20">
        <f>Q14*R14*S14</f>
        <v>54600</v>
      </c>
      <c r="U14" s="20">
        <v>0</v>
      </c>
      <c r="V14" s="20">
        <f>SUM(T14:U14)</f>
        <v>54600</v>
      </c>
      <c r="W14" s="145">
        <f>J14</f>
        <v>1</v>
      </c>
      <c r="X14" s="20">
        <f>+K14*$J$7*$J$7</f>
        <v>4732</v>
      </c>
      <c r="Y14" s="143">
        <v>12</v>
      </c>
      <c r="Z14" s="20">
        <f>W14*X14*Y14</f>
        <v>56784</v>
      </c>
      <c r="AA14" s="20">
        <v>0</v>
      </c>
      <c r="AB14" s="20">
        <f>SUM(Z14:AA14)</f>
        <v>56784</v>
      </c>
      <c r="AC14" s="145">
        <f>W14</f>
        <v>1</v>
      </c>
      <c r="AD14" s="20">
        <f>+K14*$J$7*$J$7*$J$7</f>
        <v>4921.28</v>
      </c>
      <c r="AE14" s="143">
        <v>12</v>
      </c>
      <c r="AF14" s="20">
        <f>AC14*AD14*AE14</f>
        <v>59055.360000000001</v>
      </c>
      <c r="AG14" s="20">
        <v>0</v>
      </c>
      <c r="AH14" s="20">
        <f>SUM(AF14:AG14)</f>
        <v>59055.360000000001</v>
      </c>
      <c r="AI14" s="145">
        <f>AC14</f>
        <v>1</v>
      </c>
      <c r="AJ14" s="20">
        <f>+K14*$J$7*$J$7*$J$7*$J$7</f>
        <v>5118.1311999999998</v>
      </c>
      <c r="AK14" s="143">
        <v>12</v>
      </c>
      <c r="AL14" s="20">
        <f>AI14*AJ14*AK14</f>
        <v>61417.574399999998</v>
      </c>
      <c r="AM14" s="20">
        <v>0</v>
      </c>
      <c r="AN14" s="20">
        <f>SUM(AL14:AM14)</f>
        <v>61417.574399999998</v>
      </c>
      <c r="AO14" s="20">
        <f>N14+T14+Z14+AF14+AL14</f>
        <v>279981.93439999997</v>
      </c>
      <c r="AP14" s="20">
        <f>O14+U14+AA14+AG14+AM14</f>
        <v>0</v>
      </c>
      <c r="AQ14" s="20">
        <f>SUM(AO14:AP14)</f>
        <v>279981.93439999997</v>
      </c>
      <c r="AR14" s="20">
        <v>0</v>
      </c>
      <c r="AS14" s="20">
        <v>0</v>
      </c>
      <c r="AT14" s="20">
        <f>3252.77+3817.03+3948.19+3962.6+3739.26+3813.47+3433.22+3475.34+3384.44+3177.56+3047.83+3137.35</f>
        <v>42189.06</v>
      </c>
      <c r="AU14" s="20">
        <v>0</v>
      </c>
      <c r="AV14" s="20">
        <f>AR14+AT14</f>
        <v>42189.06</v>
      </c>
      <c r="AW14" s="20">
        <f>AS14+AU14</f>
        <v>0</v>
      </c>
      <c r="AX14" s="20">
        <f>AV14+AW14</f>
        <v>42189.06</v>
      </c>
      <c r="AY14" s="20">
        <f>AQ14-AX14</f>
        <v>237792.87439999997</v>
      </c>
      <c r="AZ14" s="20">
        <f>AQ14-AR14-AS14-AT14-AU14</f>
        <v>237792.87439999997</v>
      </c>
      <c r="BA14" s="15">
        <f>AY14-AZ14</f>
        <v>0</v>
      </c>
      <c r="BB14" s="261">
        <v>1</v>
      </c>
      <c r="BC14" s="147">
        <v>2923.08</v>
      </c>
      <c r="BD14" s="146">
        <v>7.9482999999999997</v>
      </c>
      <c r="BE14" s="147">
        <f>BB14*BC14*BD14</f>
        <v>23233.516764</v>
      </c>
      <c r="BF14" s="147">
        <f>AA14</f>
        <v>0</v>
      </c>
      <c r="BG14" s="147">
        <f>SUM(BE14:BF14)</f>
        <v>23233.516764</v>
      </c>
      <c r="BH14" s="407" t="s">
        <v>130</v>
      </c>
      <c r="BI14" s="261">
        <v>1</v>
      </c>
      <c r="BJ14" s="147">
        <f>BC14*1.04</f>
        <v>3040.0032000000001</v>
      </c>
      <c r="BK14" s="146">
        <v>12</v>
      </c>
      <c r="BL14" s="147">
        <f>BI14*BJ14*BK14</f>
        <v>36480.038400000005</v>
      </c>
      <c r="BM14" s="147">
        <v>0</v>
      </c>
      <c r="BN14" s="229">
        <f>SUM(BL14:BM14)</f>
        <v>36480.038400000005</v>
      </c>
      <c r="BO14" s="428">
        <v>1</v>
      </c>
      <c r="BP14" s="147">
        <f>BJ14*1.04</f>
        <v>3161.6033280000001</v>
      </c>
      <c r="BQ14" s="146">
        <v>12</v>
      </c>
      <c r="BR14" s="147">
        <f>BO14*BP14*BQ14</f>
        <v>37939.239935999998</v>
      </c>
      <c r="BS14" s="147">
        <v>0</v>
      </c>
      <c r="BT14" s="229">
        <f>SUM(BR14:BS14)</f>
        <v>37939.239935999998</v>
      </c>
      <c r="BU14" s="247">
        <v>1</v>
      </c>
      <c r="BV14" s="147">
        <f>BP14*1.04</f>
        <v>3288.0674611200002</v>
      </c>
      <c r="BW14" s="147">
        <v>6</v>
      </c>
      <c r="BX14" s="147">
        <f>BW14*BV14</f>
        <v>19728.404766719999</v>
      </c>
      <c r="BY14" s="147">
        <v>0</v>
      </c>
      <c r="BZ14" s="229">
        <f>BY14+BX14</f>
        <v>19728.404766719999</v>
      </c>
      <c r="CA14" s="228">
        <f>BR14+BL14+BE14+BX14</f>
        <v>117381.19986672001</v>
      </c>
      <c r="CB14" s="147">
        <f>BY14+BS14+BM14+BF14</f>
        <v>0</v>
      </c>
      <c r="CC14" s="229">
        <f>CA14+CB14</f>
        <v>117381.19986672001</v>
      </c>
      <c r="CD14" s="23"/>
      <c r="CE14" s="20">
        <f>AV14+CA14</f>
        <v>159570.25986672001</v>
      </c>
      <c r="CF14" s="20">
        <f>AW14+CB14</f>
        <v>0</v>
      </c>
      <c r="CG14" s="15">
        <f>CE14+CF14</f>
        <v>159570.25986672001</v>
      </c>
      <c r="CH14" s="314">
        <f t="shared" ref="CH14:CJ15" si="2">AO14-CE14</f>
        <v>120411.67453327996</v>
      </c>
      <c r="CI14" s="310">
        <f t="shared" si="2"/>
        <v>0</v>
      </c>
      <c r="CJ14" s="521">
        <f t="shared" si="2"/>
        <v>120411.67453327996</v>
      </c>
      <c r="CK14" s="530">
        <f t="shared" si="0"/>
        <v>-120412</v>
      </c>
      <c r="CL14" s="531">
        <f t="shared" si="1"/>
        <v>-0.32546672003809363</v>
      </c>
      <c r="CM14" s="372">
        <v>-120412</v>
      </c>
      <c r="CN14" s="368"/>
      <c r="CO14" s="368"/>
      <c r="CP14" s="368"/>
      <c r="CQ14" s="368"/>
      <c r="CR14" s="368"/>
      <c r="CS14" s="368"/>
      <c r="CT14" s="368"/>
      <c r="CU14" s="368"/>
      <c r="CV14" s="368"/>
      <c r="CW14" s="368"/>
      <c r="CX14" s="368"/>
      <c r="CY14" s="368"/>
      <c r="CZ14" s="372"/>
      <c r="DA14" s="372"/>
      <c r="DB14" s="372"/>
      <c r="DC14" s="372"/>
      <c r="DD14" s="372"/>
      <c r="DE14" s="372"/>
      <c r="DF14" s="372"/>
      <c r="DG14" s="372"/>
      <c r="DH14" s="372"/>
      <c r="DI14" s="372"/>
      <c r="DJ14" s="372"/>
      <c r="DK14" s="372"/>
      <c r="DL14" s="372"/>
      <c r="DM14" s="372"/>
      <c r="DN14" s="372"/>
      <c r="DO14" s="372"/>
      <c r="DP14" s="372"/>
      <c r="DQ14" s="372"/>
      <c r="DR14" s="372"/>
      <c r="DS14" s="372"/>
      <c r="DT14" s="372"/>
      <c r="DU14" s="372"/>
      <c r="DV14" s="372"/>
      <c r="DW14" s="372"/>
      <c r="DX14" s="372"/>
      <c r="DY14" s="372"/>
      <c r="DZ14" s="372"/>
      <c r="EA14" s="372"/>
      <c r="EB14" s="372"/>
      <c r="EC14" s="372"/>
      <c r="ED14" s="372"/>
      <c r="EE14" s="372"/>
      <c r="EF14" s="372"/>
      <c r="EG14" s="372"/>
      <c r="EH14" s="372"/>
      <c r="EI14" s="372"/>
      <c r="EJ14" s="372"/>
      <c r="EK14" s="372"/>
      <c r="EL14" s="372"/>
      <c r="EM14" s="372"/>
      <c r="EN14" s="372"/>
      <c r="EO14" s="372"/>
      <c r="EP14" s="372"/>
      <c r="EQ14" s="372"/>
      <c r="ER14" s="372"/>
      <c r="ES14" s="372"/>
    </row>
    <row r="15" spans="1:149" s="126" customFormat="1" ht="19.5" customHeight="1" x14ac:dyDescent="0.45">
      <c r="A15" s="144" t="s">
        <v>445</v>
      </c>
      <c r="B15" s="588">
        <v>89050</v>
      </c>
      <c r="C15" s="144" t="s">
        <v>446</v>
      </c>
      <c r="D15" s="139" t="s">
        <v>447</v>
      </c>
      <c r="E15" s="143">
        <v>5</v>
      </c>
      <c r="F15" s="144" t="s">
        <v>68</v>
      </c>
      <c r="G15" s="130" t="s">
        <v>125</v>
      </c>
      <c r="H15" s="130" t="s">
        <v>128</v>
      </c>
      <c r="I15" s="144" t="s">
        <v>11</v>
      </c>
      <c r="J15" s="145">
        <v>1</v>
      </c>
      <c r="K15" s="20">
        <f>22500/12</f>
        <v>1875</v>
      </c>
      <c r="L15" s="146">
        <v>9</v>
      </c>
      <c r="M15" s="143" t="s">
        <v>129</v>
      </c>
      <c r="N15" s="20">
        <f>L15*K15*J15</f>
        <v>16875</v>
      </c>
      <c r="O15" s="20">
        <v>0</v>
      </c>
      <c r="P15" s="20">
        <f>SUM(N15:O15)</f>
        <v>16875</v>
      </c>
      <c r="Q15" s="145">
        <f>J15</f>
        <v>1</v>
      </c>
      <c r="R15" s="20">
        <f>K15*$J$7</f>
        <v>1950</v>
      </c>
      <c r="S15" s="143">
        <v>12</v>
      </c>
      <c r="T15" s="20">
        <f>Q15*R15*S15</f>
        <v>23400</v>
      </c>
      <c r="U15" s="20">
        <v>0</v>
      </c>
      <c r="V15" s="20">
        <f>SUM(T15:U15)</f>
        <v>23400</v>
      </c>
      <c r="W15" s="145">
        <f>J15</f>
        <v>1</v>
      </c>
      <c r="X15" s="20">
        <f>+K15*$J$7*$J$7</f>
        <v>2028</v>
      </c>
      <c r="Y15" s="143">
        <v>12</v>
      </c>
      <c r="Z15" s="20">
        <f>W15*X15*Y15</f>
        <v>24336</v>
      </c>
      <c r="AA15" s="20">
        <v>0</v>
      </c>
      <c r="AB15" s="20">
        <f>SUM(Z15:AA15)</f>
        <v>24336</v>
      </c>
      <c r="AC15" s="145">
        <f>W15</f>
        <v>1</v>
      </c>
      <c r="AD15" s="20">
        <f>+K15*$J$7*$J$7*$J$7</f>
        <v>2109.12</v>
      </c>
      <c r="AE15" s="143">
        <v>12</v>
      </c>
      <c r="AF15" s="20">
        <f>AC15*AD15*AE15</f>
        <v>25309.439999999999</v>
      </c>
      <c r="AG15" s="20">
        <v>0</v>
      </c>
      <c r="AH15" s="20">
        <f>SUM(AF15:AG15)</f>
        <v>25309.439999999999</v>
      </c>
      <c r="AI15" s="145">
        <f>AC15</f>
        <v>1</v>
      </c>
      <c r="AJ15" s="20">
        <f>+K15*$J$7*$J$7*$J$7*$J$7</f>
        <v>2193.4848000000002</v>
      </c>
      <c r="AK15" s="143">
        <v>10</v>
      </c>
      <c r="AL15" s="20">
        <f>AI15*AJ15*AK15</f>
        <v>21934.848000000002</v>
      </c>
      <c r="AM15" s="20">
        <v>0</v>
      </c>
      <c r="AN15" s="20">
        <f>SUM(AL15:AM15)</f>
        <v>21934.848000000002</v>
      </c>
      <c r="AO15" s="20">
        <f>N15+T15+Z15+AF15+AL15</f>
        <v>111855.288</v>
      </c>
      <c r="AP15" s="20">
        <f>O15+U15+AA15+AG15+AM15</f>
        <v>0</v>
      </c>
      <c r="AQ15" s="20">
        <f>SUM(AO15:AP15)</f>
        <v>111855.288</v>
      </c>
      <c r="AR15" s="20">
        <v>0</v>
      </c>
      <c r="AS15" s="20">
        <v>0</v>
      </c>
      <c r="AT15" s="20">
        <f>1144.41+1737.67+1692.22+1588.78+1523.92+1568.68</f>
        <v>9255.68</v>
      </c>
      <c r="AU15" s="20">
        <v>0</v>
      </c>
      <c r="AV15" s="20">
        <f>AR15+AT15</f>
        <v>9255.68</v>
      </c>
      <c r="AW15" s="20">
        <f>AS15+AU15</f>
        <v>0</v>
      </c>
      <c r="AX15" s="20">
        <f>AV15+AW15</f>
        <v>9255.68</v>
      </c>
      <c r="AY15" s="20">
        <f>AQ15-AX15</f>
        <v>102599.60800000001</v>
      </c>
      <c r="AZ15" s="20">
        <f>AQ15-AR15-AS15-AT15-AU15</f>
        <v>102599.60800000001</v>
      </c>
      <c r="BA15" s="15">
        <f>AY15-AZ15</f>
        <v>0</v>
      </c>
      <c r="BB15" s="261">
        <v>1</v>
      </c>
      <c r="BC15" s="147">
        <v>1861.4</v>
      </c>
      <c r="BD15" s="146">
        <v>12</v>
      </c>
      <c r="BE15" s="147">
        <f>BC15*BD15</f>
        <v>22336.800000000003</v>
      </c>
      <c r="BF15" s="147">
        <f>AA15</f>
        <v>0</v>
      </c>
      <c r="BG15" s="147">
        <f>SUM(BE15:BF15)</f>
        <v>22336.800000000003</v>
      </c>
      <c r="BH15" s="407" t="s">
        <v>131</v>
      </c>
      <c r="BI15" s="261">
        <v>1</v>
      </c>
      <c r="BJ15" s="147">
        <f>BC15*1.04</f>
        <v>1935.8560000000002</v>
      </c>
      <c r="BK15" s="146">
        <v>12</v>
      </c>
      <c r="BL15" s="147">
        <f>BK15*BJ15*BI15</f>
        <v>23230.272000000004</v>
      </c>
      <c r="BM15" s="147">
        <v>0</v>
      </c>
      <c r="BN15" s="229">
        <f>SUM(BL15:BM15)</f>
        <v>23230.272000000004</v>
      </c>
      <c r="BO15" s="428">
        <v>1</v>
      </c>
      <c r="BP15" s="147">
        <f>BJ15*1.04</f>
        <v>2013.2902400000003</v>
      </c>
      <c r="BQ15" s="146">
        <v>10</v>
      </c>
      <c r="BR15" s="147">
        <f>BQ15*BP15*BO15</f>
        <v>20132.902400000003</v>
      </c>
      <c r="BS15" s="147">
        <v>0</v>
      </c>
      <c r="BT15" s="229">
        <f>SUM(BR15:BS15)</f>
        <v>20132.902400000003</v>
      </c>
      <c r="BU15" s="261">
        <v>0</v>
      </c>
      <c r="BV15" s="147">
        <v>0</v>
      </c>
      <c r="BW15" s="147">
        <v>0</v>
      </c>
      <c r="BX15" s="147">
        <f>BW15*BV15</f>
        <v>0</v>
      </c>
      <c r="BY15" s="147">
        <v>0</v>
      </c>
      <c r="BZ15" s="229">
        <f>BY15+BX15</f>
        <v>0</v>
      </c>
      <c r="CA15" s="228">
        <f>BR15+BL15+BE15+BX15</f>
        <v>65699.974400000006</v>
      </c>
      <c r="CB15" s="147">
        <f>BY15+BS15+BM15+BF15</f>
        <v>0</v>
      </c>
      <c r="CC15" s="229">
        <f>CA15+CB15</f>
        <v>65699.974400000006</v>
      </c>
      <c r="CD15" s="23"/>
      <c r="CE15" s="20">
        <f>AV15+CA15</f>
        <v>74955.654399999999</v>
      </c>
      <c r="CF15" s="20">
        <f>AW15+CB15</f>
        <v>0</v>
      </c>
      <c r="CG15" s="15">
        <f>CE15+CF15</f>
        <v>74955.654399999999</v>
      </c>
      <c r="CH15" s="376">
        <f t="shared" si="2"/>
        <v>36899.633600000001</v>
      </c>
      <c r="CI15" s="377">
        <f t="shared" si="2"/>
        <v>0</v>
      </c>
      <c r="CJ15" s="522">
        <f t="shared" si="2"/>
        <v>36899.633600000001</v>
      </c>
      <c r="CK15" s="532">
        <f t="shared" si="0"/>
        <v>-36900</v>
      </c>
      <c r="CL15" s="533">
        <f t="shared" si="1"/>
        <v>-0.36639999999897555</v>
      </c>
      <c r="CM15" s="372"/>
      <c r="CN15" s="372">
        <v>-36900</v>
      </c>
      <c r="CO15" s="372"/>
      <c r="CP15" s="372"/>
      <c r="CQ15" s="372"/>
      <c r="CR15" s="372"/>
      <c r="CS15" s="372"/>
      <c r="CT15" s="372"/>
      <c r="CU15" s="372"/>
      <c r="CV15" s="372"/>
      <c r="CW15" s="372"/>
      <c r="CX15" s="372"/>
      <c r="CY15" s="372"/>
      <c r="CZ15" s="372"/>
      <c r="DA15" s="372"/>
      <c r="DB15" s="372"/>
      <c r="DC15" s="372"/>
      <c r="DD15" s="372"/>
      <c r="DE15" s="372"/>
      <c r="DF15" s="372"/>
      <c r="DG15" s="372"/>
      <c r="DH15" s="372"/>
      <c r="DI15" s="372"/>
      <c r="DJ15" s="372"/>
      <c r="DK15" s="372"/>
      <c r="DL15" s="372"/>
      <c r="DM15" s="372"/>
      <c r="DN15" s="372"/>
      <c r="DO15" s="372"/>
      <c r="DP15" s="372"/>
      <c r="DQ15" s="372"/>
      <c r="DR15" s="372"/>
      <c r="DS15" s="372"/>
      <c r="DT15" s="372"/>
      <c r="DU15" s="372"/>
      <c r="DV15" s="372"/>
      <c r="DW15" s="372"/>
      <c r="DX15" s="372"/>
      <c r="DY15" s="372"/>
      <c r="DZ15" s="372"/>
      <c r="EA15" s="372"/>
      <c r="EB15" s="372"/>
      <c r="EC15" s="372"/>
      <c r="ED15" s="372"/>
      <c r="EE15" s="372"/>
      <c r="EF15" s="372"/>
      <c r="EG15" s="372"/>
      <c r="EH15" s="372"/>
      <c r="EI15" s="372"/>
      <c r="EJ15" s="372"/>
      <c r="EK15" s="372"/>
      <c r="EL15" s="372"/>
      <c r="EM15" s="372"/>
      <c r="EN15" s="372"/>
      <c r="EO15" s="372"/>
      <c r="EP15" s="372"/>
      <c r="EQ15" s="372"/>
      <c r="ER15" s="372"/>
      <c r="ES15" s="372"/>
    </row>
    <row r="16" spans="1:149" s="126" customFormat="1" ht="19.5" hidden="1" customHeight="1" x14ac:dyDescent="0.45">
      <c r="A16" s="148"/>
      <c r="B16" s="148"/>
      <c r="C16" s="148"/>
      <c r="D16" s="139"/>
      <c r="E16" s="148">
        <v>6</v>
      </c>
      <c r="F16" s="148" t="s">
        <v>132</v>
      </c>
      <c r="G16" s="135"/>
      <c r="H16" s="148"/>
      <c r="I16" s="148"/>
      <c r="J16" s="145"/>
      <c r="K16" s="20"/>
      <c r="L16" s="146"/>
      <c r="M16" s="143"/>
      <c r="N16" s="20"/>
      <c r="O16" s="20"/>
      <c r="P16" s="20"/>
      <c r="Q16" s="145"/>
      <c r="R16" s="20"/>
      <c r="S16" s="143"/>
      <c r="T16" s="20"/>
      <c r="U16" s="20"/>
      <c r="V16" s="20"/>
      <c r="W16" s="145"/>
      <c r="X16" s="20"/>
      <c r="Y16" s="143"/>
      <c r="Z16" s="20"/>
      <c r="AA16" s="20"/>
      <c r="AB16" s="20"/>
      <c r="AC16" s="145"/>
      <c r="AD16" s="20"/>
      <c r="AE16" s="143"/>
      <c r="AF16" s="20"/>
      <c r="AG16" s="20"/>
      <c r="AH16" s="20"/>
      <c r="AI16" s="145"/>
      <c r="AJ16" s="20"/>
      <c r="AK16" s="143"/>
      <c r="AL16" s="20"/>
      <c r="AM16" s="20"/>
      <c r="AN16" s="20"/>
      <c r="AO16" s="20"/>
      <c r="AP16" s="20"/>
      <c r="AQ16" s="20"/>
      <c r="AR16" s="20"/>
      <c r="AS16" s="20"/>
      <c r="AT16" s="20"/>
      <c r="AU16" s="20"/>
      <c r="AV16" s="20"/>
      <c r="AW16" s="20"/>
      <c r="AX16" s="20"/>
      <c r="AY16" s="20"/>
      <c r="AZ16" s="20"/>
      <c r="BA16" s="15"/>
      <c r="BB16" s="261"/>
      <c r="BC16" s="147"/>
      <c r="BD16" s="143"/>
      <c r="BE16" s="20"/>
      <c r="BF16" s="20"/>
      <c r="BG16" s="20"/>
      <c r="BH16" s="406"/>
      <c r="BI16" s="261"/>
      <c r="BJ16" s="20"/>
      <c r="BK16" s="143"/>
      <c r="BL16" s="20"/>
      <c r="BM16" s="147"/>
      <c r="BN16" s="229"/>
      <c r="BO16" s="428"/>
      <c r="BP16" s="147"/>
      <c r="BQ16" s="143"/>
      <c r="BR16" s="147"/>
      <c r="BS16" s="147"/>
      <c r="BT16" s="229"/>
      <c r="BU16" s="228"/>
      <c r="BV16" s="147"/>
      <c r="BW16" s="147"/>
      <c r="BX16" s="147"/>
      <c r="BY16" s="147"/>
      <c r="BZ16" s="229"/>
      <c r="CA16" s="228"/>
      <c r="CB16" s="147"/>
      <c r="CC16" s="229"/>
      <c r="CD16" s="23"/>
      <c r="CE16" s="20"/>
      <c r="CF16" s="20"/>
      <c r="CG16" s="15">
        <f>CE16+CF16</f>
        <v>0</v>
      </c>
      <c r="CH16" s="217"/>
      <c r="CI16" s="20"/>
      <c r="CJ16" s="521">
        <f>AQ16-CG16</f>
        <v>0</v>
      </c>
      <c r="CK16" s="530">
        <f t="shared" si="0"/>
        <v>0</v>
      </c>
      <c r="CL16" s="531">
        <f t="shared" si="1"/>
        <v>0</v>
      </c>
      <c r="CM16" s="368"/>
      <c r="CN16" s="368"/>
      <c r="CO16" s="368"/>
      <c r="CP16" s="368"/>
      <c r="CQ16" s="368"/>
      <c r="CR16" s="368"/>
      <c r="CS16" s="368"/>
      <c r="CT16" s="368"/>
      <c r="CU16" s="368"/>
      <c r="CV16" s="368"/>
      <c r="CW16" s="368"/>
      <c r="CX16" s="368"/>
      <c r="CY16" s="368"/>
      <c r="CZ16" s="368"/>
      <c r="DA16" s="368"/>
      <c r="DB16" s="368"/>
      <c r="DC16" s="368"/>
      <c r="DD16" s="368"/>
      <c r="DE16" s="368"/>
      <c r="DF16" s="368"/>
      <c r="DG16" s="368"/>
      <c r="DH16" s="368"/>
      <c r="DI16" s="368"/>
      <c r="DJ16" s="368"/>
      <c r="DK16" s="368"/>
      <c r="DL16" s="368"/>
      <c r="DM16" s="368"/>
      <c r="DN16" s="368"/>
      <c r="DO16" s="368"/>
      <c r="DP16" s="368"/>
      <c r="DQ16" s="368"/>
      <c r="DR16" s="368"/>
      <c r="DS16" s="368"/>
      <c r="DT16" s="368"/>
      <c r="DU16" s="368"/>
      <c r="DV16" s="368"/>
      <c r="DW16" s="368"/>
      <c r="DX16" s="368"/>
      <c r="DY16" s="368"/>
      <c r="DZ16" s="368"/>
      <c r="EA16" s="368"/>
      <c r="EB16" s="368"/>
      <c r="EC16" s="368"/>
      <c r="ED16" s="368"/>
      <c r="EE16" s="368"/>
      <c r="EF16" s="368"/>
      <c r="EG16" s="368"/>
      <c r="EH16" s="368"/>
      <c r="EI16" s="368"/>
      <c r="EJ16" s="368"/>
      <c r="EK16" s="368"/>
      <c r="EL16" s="368"/>
      <c r="EM16" s="368"/>
      <c r="EN16" s="368"/>
      <c r="EO16" s="368"/>
      <c r="EP16" s="368"/>
      <c r="EQ16" s="368"/>
      <c r="ER16" s="368"/>
      <c r="ES16" s="368"/>
    </row>
    <row r="17" spans="1:149" s="126" customFormat="1" ht="19.5" hidden="1" customHeight="1" x14ac:dyDescent="0.45">
      <c r="A17" s="144"/>
      <c r="B17" s="588"/>
      <c r="C17" s="144"/>
      <c r="D17" s="139"/>
      <c r="E17" s="135">
        <v>7</v>
      </c>
      <c r="F17" s="144" t="s">
        <v>69</v>
      </c>
      <c r="G17" s="130" t="s">
        <v>125</v>
      </c>
      <c r="H17" s="143" t="s">
        <v>132</v>
      </c>
      <c r="I17" s="144" t="s">
        <v>133</v>
      </c>
      <c r="J17" s="145">
        <v>0.3</v>
      </c>
      <c r="K17" s="149">
        <v>3433</v>
      </c>
      <c r="L17" s="146">
        <v>11</v>
      </c>
      <c r="M17" s="143" t="s">
        <v>129</v>
      </c>
      <c r="N17" s="20">
        <v>0</v>
      </c>
      <c r="O17" s="20">
        <f>+J17*K17*L17</f>
        <v>11328.899999999998</v>
      </c>
      <c r="P17" s="20">
        <f>SUM(N17:O17)</f>
        <v>11328.899999999998</v>
      </c>
      <c r="Q17" s="145">
        <f>J17</f>
        <v>0.3</v>
      </c>
      <c r="R17" s="20">
        <f>K17*$J$7</f>
        <v>3570.32</v>
      </c>
      <c r="S17" s="143">
        <v>12</v>
      </c>
      <c r="T17" s="20">
        <v>0</v>
      </c>
      <c r="U17" s="20">
        <f>+Q17*R17*S17</f>
        <v>12853.152</v>
      </c>
      <c r="V17" s="20">
        <f>SUM(T17:U17)</f>
        <v>12853.152</v>
      </c>
      <c r="W17" s="145">
        <f>J17</f>
        <v>0.3</v>
      </c>
      <c r="X17" s="20">
        <f>+K17*$J$7*$J$7</f>
        <v>3713.1328000000003</v>
      </c>
      <c r="Y17" s="143">
        <v>12</v>
      </c>
      <c r="Z17" s="20">
        <v>0</v>
      </c>
      <c r="AA17" s="20">
        <f>+W17*X17*Y17</f>
        <v>13367.27808</v>
      </c>
      <c r="AB17" s="20">
        <f>SUM(Z17:AA17)</f>
        <v>13367.27808</v>
      </c>
      <c r="AC17" s="145">
        <f>W17</f>
        <v>0.3</v>
      </c>
      <c r="AD17" s="20">
        <f t="shared" ref="AD17:AD27" si="3">+K17*$J$7*$J$7*$J$7</f>
        <v>3861.6581120000005</v>
      </c>
      <c r="AE17" s="143">
        <v>12</v>
      </c>
      <c r="AF17" s="20">
        <v>0</v>
      </c>
      <c r="AG17" s="20">
        <f>+AC17*AD17*AE17</f>
        <v>13901.9692032</v>
      </c>
      <c r="AH17" s="20">
        <f>SUM(AF17:AG17)</f>
        <v>13901.9692032</v>
      </c>
      <c r="AI17" s="145">
        <f>AC17</f>
        <v>0.3</v>
      </c>
      <c r="AJ17" s="20">
        <f>+K17*$J$7*$J$7*$J$7*$J$7</f>
        <v>4016.1244364800009</v>
      </c>
      <c r="AK17" s="143">
        <v>11</v>
      </c>
      <c r="AL17" s="20">
        <v>0</v>
      </c>
      <c r="AM17" s="20">
        <f>+AI17*AJ17*AK17</f>
        <v>13253.210640384004</v>
      </c>
      <c r="AN17" s="20">
        <f>SUM(AL17:AM17)</f>
        <v>13253.210640384004</v>
      </c>
      <c r="AO17" s="20">
        <f>N17+T17+Z17+AF17+AL17</f>
        <v>0</v>
      </c>
      <c r="AP17" s="20">
        <f>O17+U17+AA17+AG17+AM17</f>
        <v>64704.509923584003</v>
      </c>
      <c r="AQ17" s="20">
        <f>SUM(AO17:AP17)</f>
        <v>64704.509923584003</v>
      </c>
      <c r="AR17" s="20">
        <v>0</v>
      </c>
      <c r="AS17" s="20">
        <v>0</v>
      </c>
      <c r="AT17" s="20">
        <v>0</v>
      </c>
      <c r="AU17" s="20">
        <f>464.15+480.1+481.85+454.69+463.72</f>
        <v>2344.5100000000002</v>
      </c>
      <c r="AV17" s="20">
        <f>AR17+AT17</f>
        <v>0</v>
      </c>
      <c r="AW17" s="20">
        <f>AS17+AU17</f>
        <v>2344.5100000000002</v>
      </c>
      <c r="AX17" s="20">
        <f>AV17+AW17</f>
        <v>2344.5100000000002</v>
      </c>
      <c r="AY17" s="20">
        <f>AQ17-AX17</f>
        <v>62359.999923584</v>
      </c>
      <c r="AZ17" s="20">
        <f>AQ17-AR17-AS17-AT17-AU17</f>
        <v>62359.999923584</v>
      </c>
      <c r="BA17" s="15">
        <f>AY17-AZ17</f>
        <v>0</v>
      </c>
      <c r="BB17" s="261">
        <v>0.2</v>
      </c>
      <c r="BC17" s="147">
        <v>13367</v>
      </c>
      <c r="BD17" s="146"/>
      <c r="BE17" s="147">
        <f>BB17*BC17*BD17</f>
        <v>0</v>
      </c>
      <c r="BF17" s="147">
        <f>BC17</f>
        <v>13367</v>
      </c>
      <c r="BG17" s="147">
        <f>SUM(BE17:BF17)</f>
        <v>13367</v>
      </c>
      <c r="BH17" s="407" t="s">
        <v>134</v>
      </c>
      <c r="BI17" s="261">
        <v>0</v>
      </c>
      <c r="BJ17" s="20">
        <v>0</v>
      </c>
      <c r="BK17" s="146">
        <v>0</v>
      </c>
      <c r="BL17" s="20">
        <f>BK17*BJ17*BI17</f>
        <v>0</v>
      </c>
      <c r="BM17" s="147">
        <f>13901.9692032</f>
        <v>13901.9692032</v>
      </c>
      <c r="BN17" s="229">
        <f>SUM(BL17:BM17)</f>
        <v>13901.9692032</v>
      </c>
      <c r="BO17" s="428">
        <v>0</v>
      </c>
      <c r="BP17" s="147">
        <v>0</v>
      </c>
      <c r="BQ17" s="146">
        <v>0</v>
      </c>
      <c r="BR17" s="147">
        <f>BQ17*BP17*BO17</f>
        <v>0</v>
      </c>
      <c r="BS17" s="147">
        <f>13253.210640384</f>
        <v>13253.210640384001</v>
      </c>
      <c r="BT17" s="229">
        <f>SUM(BR17:BS17)</f>
        <v>13253.210640384001</v>
      </c>
      <c r="BU17" s="247">
        <v>0</v>
      </c>
      <c r="BV17" s="147">
        <v>0</v>
      </c>
      <c r="BW17" s="147">
        <v>0</v>
      </c>
      <c r="BX17" s="147">
        <v>0</v>
      </c>
      <c r="BY17" s="147">
        <f>(BS17/12)*2</f>
        <v>2208.868440064</v>
      </c>
      <c r="BZ17" s="229">
        <f>BY17+BX17</f>
        <v>2208.868440064</v>
      </c>
      <c r="CA17" s="228">
        <f>BR17+BL17+BE17+BX17</f>
        <v>0</v>
      </c>
      <c r="CB17" s="147">
        <f>BY17+BS17+BM17+BF17</f>
        <v>42731.048283648001</v>
      </c>
      <c r="CC17" s="229">
        <f>CA17+CB17</f>
        <v>42731.048283648001</v>
      </c>
      <c r="CD17" s="23"/>
      <c r="CE17" s="20">
        <f>AV17+CA17</f>
        <v>0</v>
      </c>
      <c r="CF17" s="20">
        <f>AW17+CB17</f>
        <v>45075.558283648003</v>
      </c>
      <c r="CG17" s="15">
        <f>CE17+CF17</f>
        <v>45075.558283648003</v>
      </c>
      <c r="CH17" s="314">
        <f>AO17-CE17</f>
        <v>0</v>
      </c>
      <c r="CI17" s="310">
        <f>AP17-CF17</f>
        <v>19628.951639936</v>
      </c>
      <c r="CJ17" s="521">
        <f>AQ17-CG17</f>
        <v>19628.951639936</v>
      </c>
      <c r="CK17" s="530">
        <f t="shared" si="0"/>
        <v>-19629</v>
      </c>
      <c r="CL17" s="533">
        <f t="shared" si="1"/>
        <v>-4.8360064000007696E-2</v>
      </c>
      <c r="CM17" s="372"/>
      <c r="CN17" s="372"/>
      <c r="CO17" s="372">
        <v>-19629</v>
      </c>
      <c r="CP17" s="372"/>
      <c r="CQ17" s="372"/>
      <c r="CR17" s="372"/>
      <c r="CS17" s="372"/>
      <c r="CT17" s="372"/>
      <c r="CU17" s="372"/>
      <c r="CV17" s="372"/>
      <c r="CW17" s="372"/>
      <c r="CX17" s="372"/>
      <c r="CY17" s="372"/>
      <c r="CZ17" s="372"/>
      <c r="DA17" s="372"/>
      <c r="DB17" s="372"/>
      <c r="DC17" s="372"/>
      <c r="DD17" s="372"/>
      <c r="DE17" s="372"/>
      <c r="DF17" s="372"/>
      <c r="DG17" s="372"/>
      <c r="DH17" s="368"/>
      <c r="DI17" s="368"/>
      <c r="DJ17" s="368"/>
      <c r="DK17" s="368"/>
      <c r="DL17" s="368"/>
      <c r="DM17" s="368"/>
      <c r="DN17" s="368"/>
      <c r="DO17" s="368"/>
      <c r="DP17" s="368"/>
      <c r="DQ17" s="368"/>
      <c r="DR17" s="368"/>
      <c r="DS17" s="368"/>
      <c r="DT17" s="368"/>
      <c r="DU17" s="368"/>
      <c r="DV17" s="368"/>
      <c r="DW17" s="368"/>
      <c r="DX17" s="368"/>
      <c r="DY17" s="368"/>
      <c r="DZ17" s="368"/>
      <c r="EA17" s="368"/>
      <c r="EB17" s="368"/>
      <c r="EC17" s="368"/>
      <c r="ED17" s="368"/>
      <c r="EE17" s="368"/>
      <c r="EF17" s="368"/>
      <c r="EG17" s="368"/>
      <c r="EH17" s="368"/>
      <c r="EI17" s="368"/>
      <c r="EJ17" s="368"/>
      <c r="EK17" s="368"/>
      <c r="EL17" s="368"/>
      <c r="EM17" s="368"/>
      <c r="EN17" s="368"/>
      <c r="EO17" s="368"/>
      <c r="EP17" s="368"/>
      <c r="EQ17" s="368"/>
      <c r="ER17" s="368"/>
      <c r="ES17" s="368"/>
    </row>
    <row r="18" spans="1:149" s="127" customFormat="1" ht="19.5" hidden="1" customHeight="1" x14ac:dyDescent="0.45">
      <c r="A18" s="150"/>
      <c r="B18" s="150"/>
      <c r="C18" s="150"/>
      <c r="D18" s="139"/>
      <c r="E18" s="135">
        <v>8</v>
      </c>
      <c r="F18" s="150" t="s">
        <v>135</v>
      </c>
      <c r="G18" s="135"/>
      <c r="H18" s="150"/>
      <c r="I18" s="150"/>
      <c r="J18" s="150"/>
      <c r="K18" s="151"/>
      <c r="L18" s="150"/>
      <c r="M18" s="150"/>
      <c r="N18" s="152">
        <f>SUM(N14:N17)</f>
        <v>65000</v>
      </c>
      <c r="O18" s="152">
        <f>SUM(O14:O17)</f>
        <v>11328.899999999998</v>
      </c>
      <c r="P18" s="152">
        <f>SUM(P14:P17)</f>
        <v>76328.899999999994</v>
      </c>
      <c r="Q18" s="150"/>
      <c r="R18" s="150"/>
      <c r="S18" s="150"/>
      <c r="T18" s="152">
        <f>SUM(T14:T17)</f>
        <v>78000</v>
      </c>
      <c r="U18" s="152">
        <f>SUM(U14:U17)</f>
        <v>12853.152</v>
      </c>
      <c r="V18" s="152">
        <f>SUM(V14:V17)</f>
        <v>90853.152000000002</v>
      </c>
      <c r="W18" s="150"/>
      <c r="X18" s="152"/>
      <c r="Y18" s="150"/>
      <c r="Z18" s="152">
        <f>SUM(Z14:Z17)</f>
        <v>81120</v>
      </c>
      <c r="AA18" s="152">
        <f>SUM(AA14:AA17)</f>
        <v>13367.27808</v>
      </c>
      <c r="AB18" s="152">
        <f>SUM(AB14:AB17)</f>
        <v>94487.278080000004</v>
      </c>
      <c r="AC18" s="150"/>
      <c r="AD18" s="152">
        <f t="shared" si="3"/>
        <v>0</v>
      </c>
      <c r="AE18" s="150"/>
      <c r="AF18" s="152">
        <f>SUM(AF14:AF17)</f>
        <v>84364.800000000003</v>
      </c>
      <c r="AG18" s="152">
        <f>SUM(AG14:AG17)</f>
        <v>13901.9692032</v>
      </c>
      <c r="AH18" s="152">
        <f>SUM(AH14:AH17)</f>
        <v>98266.769203200005</v>
      </c>
      <c r="AI18" s="150"/>
      <c r="AJ18" s="152"/>
      <c r="AK18" s="150"/>
      <c r="AL18" s="152">
        <f t="shared" ref="AL18:AS18" si="4">SUM(AL14:AL17)</f>
        <v>83352.422399999996</v>
      </c>
      <c r="AM18" s="152">
        <f t="shared" si="4"/>
        <v>13253.210640384004</v>
      </c>
      <c r="AN18" s="152">
        <f t="shared" si="4"/>
        <v>96605.633040383997</v>
      </c>
      <c r="AO18" s="152">
        <f t="shared" si="4"/>
        <v>391837.22239999997</v>
      </c>
      <c r="AP18" s="152">
        <f t="shared" si="4"/>
        <v>64704.509923584003</v>
      </c>
      <c r="AQ18" s="152">
        <f t="shared" si="4"/>
        <v>456541.73232358397</v>
      </c>
      <c r="AR18" s="152">
        <f t="shared" si="4"/>
        <v>0</v>
      </c>
      <c r="AS18" s="152">
        <f t="shared" si="4"/>
        <v>0</v>
      </c>
      <c r="AT18" s="152">
        <f>SUM(AT14:AT17)</f>
        <v>51444.74</v>
      </c>
      <c r="AU18" s="152">
        <f>AU17+AU15+AU14</f>
        <v>2344.5100000000002</v>
      </c>
      <c r="AV18" s="152"/>
      <c r="AW18" s="152"/>
      <c r="AX18" s="152"/>
      <c r="AY18" s="152"/>
      <c r="AZ18" s="153">
        <f>AQ18-AR18-AS18-AT18-AU18</f>
        <v>402752.48232358397</v>
      </c>
      <c r="BA18" s="234"/>
      <c r="BB18" s="262"/>
      <c r="BC18" s="153">
        <f>BC14+BC15+BC17</f>
        <v>18151.48</v>
      </c>
      <c r="BD18" s="154"/>
      <c r="BE18" s="153">
        <f>BE14+BE15</f>
        <v>45570.316764000003</v>
      </c>
      <c r="BF18" s="153">
        <f>BF17</f>
        <v>13367</v>
      </c>
      <c r="BG18" s="153">
        <f>SUM(BE18:BF18)</f>
        <v>58937.316764000003</v>
      </c>
      <c r="BH18" s="408"/>
      <c r="BI18" s="262"/>
      <c r="BJ18" s="153">
        <f>BJ14+BJ15</f>
        <v>4975.8592000000008</v>
      </c>
      <c r="BK18" s="154"/>
      <c r="BL18" s="153">
        <f>BL14+BL15</f>
        <v>59710.310400000009</v>
      </c>
      <c r="BM18" s="153">
        <f>BM17</f>
        <v>13901.9692032</v>
      </c>
      <c r="BN18" s="239">
        <f>SUM(BL18:BM18)</f>
        <v>73612.279603200004</v>
      </c>
      <c r="BO18" s="429"/>
      <c r="BP18" s="153">
        <f>BP14+BP15</f>
        <v>5174.8935680000004</v>
      </c>
      <c r="BQ18" s="154"/>
      <c r="BR18" s="153">
        <f>BR14+BR15</f>
        <v>58072.142336000004</v>
      </c>
      <c r="BS18" s="153">
        <f>BS17</f>
        <v>13253.210640384001</v>
      </c>
      <c r="BT18" s="239">
        <f>SUM(BR18:BS18)</f>
        <v>71325.352976384005</v>
      </c>
      <c r="BU18" s="218"/>
      <c r="BV18" s="153">
        <f>SUM(BV14:BV15)</f>
        <v>3288.0674611200002</v>
      </c>
      <c r="BW18" s="153"/>
      <c r="BX18" s="153">
        <f>SUM(BX14:BX15)</f>
        <v>19728.404766719999</v>
      </c>
      <c r="BY18" s="153">
        <f>BY17</f>
        <v>2208.868440064</v>
      </c>
      <c r="BZ18" s="239">
        <f>BY18+BX18</f>
        <v>21937.273206784001</v>
      </c>
      <c r="CA18" s="218">
        <f>SUM(CA14:CA17)</f>
        <v>183081.17426672002</v>
      </c>
      <c r="CB18" s="218">
        <f>SUM(CB14:CB17)</f>
        <v>42731.048283648001</v>
      </c>
      <c r="CC18" s="239">
        <f>SUM(CC14:CC17)</f>
        <v>225812.22255036802</v>
      </c>
      <c r="CD18" s="17"/>
      <c r="CE18" s="152">
        <f>SUM(CE14:CE17)</f>
        <v>234525.91426672001</v>
      </c>
      <c r="CF18" s="152">
        <f>SUM(CF14:CF17)</f>
        <v>45075.558283648003</v>
      </c>
      <c r="CG18" s="18">
        <f>SUM(CG14:CG17)</f>
        <v>279601.47255036799</v>
      </c>
      <c r="CH18" s="332"/>
      <c r="CI18" s="20"/>
      <c r="CJ18" s="523"/>
      <c r="CK18" s="530">
        <f t="shared" si="0"/>
        <v>0</v>
      </c>
      <c r="CL18" s="533">
        <f t="shared" si="1"/>
        <v>0</v>
      </c>
      <c r="CM18" s="373"/>
      <c r="CN18" s="373"/>
      <c r="CO18" s="373"/>
      <c r="CP18" s="373"/>
      <c r="CQ18" s="373"/>
      <c r="CR18" s="373"/>
      <c r="CS18" s="373"/>
      <c r="CT18" s="373"/>
      <c r="CU18" s="373"/>
      <c r="CV18" s="373"/>
      <c r="CW18" s="373"/>
      <c r="CX18" s="373"/>
      <c r="CY18" s="373"/>
      <c r="CZ18" s="373"/>
      <c r="DA18" s="373"/>
      <c r="DB18" s="373"/>
      <c r="DC18" s="373"/>
      <c r="DD18" s="373"/>
      <c r="DE18" s="373"/>
      <c r="DF18" s="373"/>
      <c r="DG18" s="373"/>
      <c r="DH18" s="369"/>
      <c r="DI18" s="369"/>
      <c r="DJ18" s="369"/>
      <c r="DK18" s="369"/>
      <c r="DL18" s="369"/>
      <c r="DM18" s="369"/>
      <c r="DN18" s="369"/>
      <c r="DO18" s="369"/>
      <c r="DP18" s="369"/>
      <c r="DQ18" s="369"/>
      <c r="DR18" s="369"/>
      <c r="DS18" s="369"/>
      <c r="DT18" s="369"/>
      <c r="DU18" s="369"/>
      <c r="DV18" s="369"/>
      <c r="DW18" s="369"/>
      <c r="DX18" s="369"/>
      <c r="DY18" s="369"/>
      <c r="DZ18" s="369"/>
      <c r="EA18" s="369"/>
      <c r="EB18" s="369"/>
      <c r="EC18" s="369"/>
      <c r="ED18" s="369"/>
      <c r="EE18" s="369"/>
      <c r="EF18" s="369"/>
      <c r="EG18" s="369"/>
      <c r="EH18" s="369"/>
      <c r="EI18" s="369"/>
      <c r="EJ18" s="369"/>
      <c r="EK18" s="369"/>
      <c r="EL18" s="369"/>
      <c r="EM18" s="369"/>
      <c r="EN18" s="369"/>
      <c r="EO18" s="369"/>
      <c r="EP18" s="369"/>
      <c r="EQ18" s="369"/>
      <c r="ER18" s="369"/>
      <c r="ES18" s="369"/>
    </row>
    <row r="19" spans="1:149" s="126" customFormat="1" ht="19.5" customHeight="1" x14ac:dyDescent="0.45">
      <c r="A19" s="150"/>
      <c r="B19" s="150"/>
      <c r="C19" s="150"/>
      <c r="D19" s="139"/>
      <c r="E19" s="135">
        <v>9</v>
      </c>
      <c r="F19" s="150" t="s">
        <v>136</v>
      </c>
      <c r="G19" s="135"/>
      <c r="H19" s="150"/>
      <c r="I19" s="150"/>
      <c r="J19" s="150" t="s">
        <v>127</v>
      </c>
      <c r="K19" s="149"/>
      <c r="L19" s="150"/>
      <c r="M19" s="150"/>
      <c r="N19" s="20"/>
      <c r="O19" s="20"/>
      <c r="P19" s="20"/>
      <c r="Q19" s="150"/>
      <c r="R19" s="150"/>
      <c r="S19" s="150"/>
      <c r="T19" s="20"/>
      <c r="U19" s="20"/>
      <c r="V19" s="20"/>
      <c r="W19" s="150"/>
      <c r="X19" s="20"/>
      <c r="Y19" s="150"/>
      <c r="Z19" s="20"/>
      <c r="AA19" s="20"/>
      <c r="AB19" s="20"/>
      <c r="AC19" s="150"/>
      <c r="AD19" s="20">
        <f t="shared" si="3"/>
        <v>0</v>
      </c>
      <c r="AE19" s="150"/>
      <c r="AF19" s="20"/>
      <c r="AG19" s="20"/>
      <c r="AH19" s="20"/>
      <c r="AI19" s="150"/>
      <c r="AJ19" s="20"/>
      <c r="AK19" s="150"/>
      <c r="AL19" s="20"/>
      <c r="AM19" s="20"/>
      <c r="AN19" s="20"/>
      <c r="AO19" s="20"/>
      <c r="AP19" s="20"/>
      <c r="AQ19" s="20"/>
      <c r="AR19" s="20"/>
      <c r="AS19" s="20"/>
      <c r="AT19" s="20"/>
      <c r="AU19" s="20"/>
      <c r="AV19" s="20"/>
      <c r="AW19" s="20"/>
      <c r="AX19" s="20"/>
      <c r="AY19" s="20"/>
      <c r="AZ19" s="20"/>
      <c r="BA19" s="15"/>
      <c r="BB19" s="263"/>
      <c r="BC19" s="20"/>
      <c r="BD19" s="146"/>
      <c r="BE19" s="20"/>
      <c r="BF19" s="20"/>
      <c r="BG19" s="20"/>
      <c r="BH19" s="406"/>
      <c r="BI19" s="263"/>
      <c r="BJ19" s="20"/>
      <c r="BK19" s="146"/>
      <c r="BL19" s="20"/>
      <c r="BM19" s="147"/>
      <c r="BN19" s="229"/>
      <c r="BO19" s="430"/>
      <c r="BP19" s="20"/>
      <c r="BQ19" s="146"/>
      <c r="BR19" s="20"/>
      <c r="BS19" s="20"/>
      <c r="BT19" s="223"/>
      <c r="BU19" s="217"/>
      <c r="BV19" s="20"/>
      <c r="BW19" s="20"/>
      <c r="BX19" s="20"/>
      <c r="BY19" s="20"/>
      <c r="BZ19" s="229"/>
      <c r="CA19" s="228"/>
      <c r="CB19" s="147"/>
      <c r="CC19" s="229"/>
      <c r="CD19" s="23"/>
      <c r="CE19" s="20"/>
      <c r="CF19" s="20"/>
      <c r="CG19" s="15"/>
      <c r="CH19" s="217"/>
      <c r="CI19" s="20"/>
      <c r="CJ19" s="15"/>
      <c r="CK19" s="530">
        <f t="shared" si="0"/>
        <v>0</v>
      </c>
      <c r="CL19" s="533">
        <f t="shared" si="1"/>
        <v>0</v>
      </c>
      <c r="CM19" s="372"/>
      <c r="CN19" s="372"/>
      <c r="CO19" s="372"/>
      <c r="CP19" s="372"/>
      <c r="CQ19" s="372"/>
      <c r="CR19" s="372"/>
      <c r="CS19" s="372"/>
      <c r="CT19" s="372"/>
      <c r="CU19" s="372"/>
      <c r="CV19" s="372"/>
      <c r="CW19" s="372"/>
      <c r="CX19" s="372"/>
      <c r="CY19" s="372"/>
      <c r="CZ19" s="372"/>
      <c r="DA19" s="372"/>
      <c r="DB19" s="372"/>
      <c r="DC19" s="372"/>
      <c r="DD19" s="372"/>
      <c r="DE19" s="372"/>
      <c r="DF19" s="372"/>
      <c r="DG19" s="372"/>
      <c r="DH19" s="368"/>
      <c r="DI19" s="368"/>
      <c r="DJ19" s="368"/>
      <c r="DK19" s="368"/>
      <c r="DL19" s="368"/>
      <c r="DM19" s="368"/>
      <c r="DN19" s="368"/>
      <c r="DO19" s="368"/>
      <c r="DP19" s="368"/>
      <c r="DQ19" s="368"/>
      <c r="DR19" s="368"/>
      <c r="DS19" s="368"/>
      <c r="DT19" s="368"/>
      <c r="DU19" s="368"/>
      <c r="DV19" s="368"/>
      <c r="DW19" s="368"/>
      <c r="DX19" s="368"/>
      <c r="DY19" s="368"/>
      <c r="DZ19" s="368"/>
      <c r="EA19" s="368"/>
      <c r="EB19" s="368"/>
      <c r="EC19" s="368"/>
      <c r="ED19" s="368"/>
      <c r="EE19" s="368"/>
      <c r="EF19" s="368"/>
      <c r="EG19" s="368"/>
      <c r="EH19" s="368"/>
      <c r="EI19" s="368"/>
      <c r="EJ19" s="368"/>
      <c r="EK19" s="368"/>
      <c r="EL19" s="368"/>
      <c r="EM19" s="368"/>
      <c r="EN19" s="368"/>
      <c r="EO19" s="368"/>
      <c r="EP19" s="368"/>
      <c r="EQ19" s="368"/>
      <c r="ER19" s="368"/>
      <c r="ES19" s="368"/>
    </row>
    <row r="20" spans="1:149" s="126" customFormat="1" ht="19.5" customHeight="1" x14ac:dyDescent="0.45">
      <c r="A20" s="144" t="s">
        <v>445</v>
      </c>
      <c r="B20" s="588">
        <v>89050</v>
      </c>
      <c r="C20" s="144" t="s">
        <v>446</v>
      </c>
      <c r="D20" s="139" t="s">
        <v>447</v>
      </c>
      <c r="E20" s="143">
        <v>10</v>
      </c>
      <c r="F20" s="155" t="s">
        <v>70</v>
      </c>
      <c r="G20" s="378" t="s">
        <v>125</v>
      </c>
      <c r="H20" s="155" t="s">
        <v>136</v>
      </c>
      <c r="I20" s="155" t="s">
        <v>11</v>
      </c>
      <c r="J20" s="145">
        <v>1</v>
      </c>
      <c r="K20" s="149">
        <f>31200/12</f>
        <v>2600</v>
      </c>
      <c r="L20" s="143">
        <v>9</v>
      </c>
      <c r="M20" s="143" t="s">
        <v>129</v>
      </c>
      <c r="N20" s="20">
        <f>L20*K20*J20</f>
        <v>23400</v>
      </c>
      <c r="O20" s="20">
        <v>0</v>
      </c>
      <c r="P20" s="20">
        <f t="shared" ref="P20:P27" si="5">SUM(N20:O20)</f>
        <v>23400</v>
      </c>
      <c r="Q20" s="145">
        <f>J20</f>
        <v>1</v>
      </c>
      <c r="R20" s="20">
        <f t="shared" ref="R20:R27" si="6">K20*$J$7</f>
        <v>2704</v>
      </c>
      <c r="S20" s="143">
        <v>12</v>
      </c>
      <c r="T20" s="20">
        <f>Q20*R20*S20</f>
        <v>32448</v>
      </c>
      <c r="U20" s="20">
        <v>0</v>
      </c>
      <c r="V20" s="20">
        <f t="shared" ref="V20:V27" si="7">SUM(T20:U20)</f>
        <v>32448</v>
      </c>
      <c r="W20" s="145">
        <f>Q20</f>
        <v>1</v>
      </c>
      <c r="X20" s="20">
        <f t="shared" ref="X20:X27" si="8">+K20*$J$7*$J$7</f>
        <v>2812.1600000000003</v>
      </c>
      <c r="Y20" s="143">
        <v>12</v>
      </c>
      <c r="Z20" s="20">
        <f>W20*X20*Y20</f>
        <v>33745.920000000006</v>
      </c>
      <c r="AA20" s="20">
        <v>0</v>
      </c>
      <c r="AB20" s="20">
        <f t="shared" ref="AB20:AB27" si="9">SUM(Z20:AA20)</f>
        <v>33745.920000000006</v>
      </c>
      <c r="AC20" s="145">
        <f>W20</f>
        <v>1</v>
      </c>
      <c r="AD20" s="20">
        <f t="shared" si="3"/>
        <v>2924.6464000000005</v>
      </c>
      <c r="AE20" s="143">
        <v>12</v>
      </c>
      <c r="AF20" s="20">
        <f>AC20*AD20*AE20</f>
        <v>35095.756800000003</v>
      </c>
      <c r="AG20" s="20">
        <v>0</v>
      </c>
      <c r="AH20" s="20">
        <f t="shared" ref="AH20:AH27" si="10">SUM(AF20:AG20)</f>
        <v>35095.756800000003</v>
      </c>
      <c r="AI20" s="145">
        <f>AC20</f>
        <v>1</v>
      </c>
      <c r="AJ20" s="20">
        <f t="shared" ref="AJ20:AJ27" si="11">+K20*$J$7*$J$7*$J$7*$J$7</f>
        <v>3041.6322560000008</v>
      </c>
      <c r="AK20" s="143">
        <v>10</v>
      </c>
      <c r="AL20" s="20">
        <f>AI20*AJ20*AK20</f>
        <v>30416.322560000008</v>
      </c>
      <c r="AM20" s="20">
        <v>0</v>
      </c>
      <c r="AN20" s="20">
        <f t="shared" ref="AN20:AN27" si="12">SUM(AL20:AM20)</f>
        <v>30416.322560000008</v>
      </c>
      <c r="AO20" s="20">
        <f t="shared" ref="AO20:AP27" si="13">N20+T20+Z20+AF20+AL20</f>
        <v>155105.99936000002</v>
      </c>
      <c r="AP20" s="20">
        <f t="shared" si="13"/>
        <v>0</v>
      </c>
      <c r="AQ20" s="20">
        <f t="shared" ref="AQ20:AQ27" si="14">SUM(AO20:AP20)</f>
        <v>155105.99936000002</v>
      </c>
      <c r="AR20" s="20">
        <v>8888</v>
      </c>
      <c r="AS20" s="20">
        <v>0</v>
      </c>
      <c r="AT20" s="20">
        <f>(1074.78+1289.74)+970.84+916.12+622.87+(841.14+1121.52)+(567.64+851.46)+(1105.58+829.19)+(1038+778.5)+(995.63+746.72)+(1024.87+281.84)+24822</f>
        <v>39878.44</v>
      </c>
      <c r="AU20" s="20">
        <v>0</v>
      </c>
      <c r="AV20" s="20">
        <f t="shared" ref="AV20:AV33" si="15">AR20+AT20</f>
        <v>48766.44</v>
      </c>
      <c r="AW20" s="20">
        <f t="shared" ref="AW20:AW33" si="16">AS20+AU20</f>
        <v>0</v>
      </c>
      <c r="AX20" s="20">
        <f t="shared" ref="AX20:AX33" si="17">AV20+AW20</f>
        <v>48766.44</v>
      </c>
      <c r="AY20" s="20">
        <f t="shared" ref="AY20:AY33" si="18">AQ20-AX20</f>
        <v>106339.55936000001</v>
      </c>
      <c r="AZ20" s="20">
        <f t="shared" ref="AZ20:AZ35" si="19">AQ20-AR20-AS20-AT20-AU20</f>
        <v>106339.55936000001</v>
      </c>
      <c r="BA20" s="15">
        <f t="shared" ref="BA20:BA33" si="20">AY20-AZ20</f>
        <v>0</v>
      </c>
      <c r="BB20" s="263">
        <v>1</v>
      </c>
      <c r="BC20" s="147">
        <v>2433.44</v>
      </c>
      <c r="BD20" s="146">
        <v>11.762499999999999</v>
      </c>
      <c r="BE20" s="20">
        <f>BC20*BD20*BB20</f>
        <v>28623.338</v>
      </c>
      <c r="BF20" s="147">
        <f>AA20</f>
        <v>0</v>
      </c>
      <c r="BG20" s="147">
        <f t="shared" ref="BG20:BG35" si="21">SUM(BE20:BF20)</f>
        <v>28623.338</v>
      </c>
      <c r="BH20" s="407" t="s">
        <v>137</v>
      </c>
      <c r="BI20" s="263">
        <v>1</v>
      </c>
      <c r="BJ20" s="147">
        <f>2347.92*1.04</f>
        <v>2441.8368</v>
      </c>
      <c r="BK20" s="146">
        <v>12</v>
      </c>
      <c r="BL20" s="147">
        <f t="shared" ref="BL20:BL33" si="22">BI20*BJ20*BK20</f>
        <v>29302.0416</v>
      </c>
      <c r="BM20" s="147">
        <v>0</v>
      </c>
      <c r="BN20" s="229">
        <f t="shared" ref="BN20:BN35" si="23">SUM(BL20:BM20)</f>
        <v>29302.0416</v>
      </c>
      <c r="BO20" s="430">
        <v>1</v>
      </c>
      <c r="BP20" s="147">
        <f t="shared" ref="BP20:BP33" si="24">BJ20*1.04</f>
        <v>2539.510272</v>
      </c>
      <c r="BQ20" s="146">
        <v>10</v>
      </c>
      <c r="BR20" s="147">
        <f t="shared" ref="BR20:BR33" si="25">BQ20*BP20*BO20</f>
        <v>25395.102719999999</v>
      </c>
      <c r="BS20" s="147">
        <v>0</v>
      </c>
      <c r="BT20" s="229">
        <f t="shared" ref="BT20:BT35" si="26">SUM(BR20:BS20)</f>
        <v>25395.102719999999</v>
      </c>
      <c r="BU20" s="228">
        <v>1</v>
      </c>
      <c r="BV20" s="147">
        <f>BP20*1.04</f>
        <v>2641.0906828800003</v>
      </c>
      <c r="BW20" s="147">
        <v>6</v>
      </c>
      <c r="BX20" s="147">
        <f t="shared" ref="BX20:BX29" si="27">BW20*BV20</f>
        <v>15846.544097280002</v>
      </c>
      <c r="BY20" s="147">
        <v>0</v>
      </c>
      <c r="BZ20" s="229">
        <f t="shared" ref="BZ20:BZ33" si="28">BY20+BX20</f>
        <v>15846.544097280002</v>
      </c>
      <c r="CA20" s="228">
        <f t="shared" ref="CA20:CA33" si="29">BR20+BL20+BE20+BX20</f>
        <v>99167.026417279994</v>
      </c>
      <c r="CB20" s="147">
        <f t="shared" ref="CB20:CB33" si="30">+BY20+BS20+BM20+BF20</f>
        <v>0</v>
      </c>
      <c r="CC20" s="229">
        <f>CA20+CB20</f>
        <v>99167.026417279994</v>
      </c>
      <c r="CD20" s="23"/>
      <c r="CE20" s="20">
        <f t="shared" ref="CE20:CE33" si="31">AV20+CA20</f>
        <v>147933.46641728</v>
      </c>
      <c r="CF20" s="20">
        <f t="shared" ref="CF20:CF33" si="32">AW20+CB20</f>
        <v>0</v>
      </c>
      <c r="CG20" s="15">
        <f t="shared" ref="CG20:CG33" si="33">CE20+CF20</f>
        <v>147933.46641728</v>
      </c>
      <c r="CH20" s="376">
        <f t="shared" ref="CH20:CH33" si="34">AO20-CE20</f>
        <v>7172.5329427200195</v>
      </c>
      <c r="CI20" s="377">
        <f t="shared" ref="CI20:CI33" si="35">AP20-CF20</f>
        <v>0</v>
      </c>
      <c r="CJ20" s="522">
        <f t="shared" ref="CJ20:CJ33" si="36">AQ20-CG20</f>
        <v>7172.5329427200195</v>
      </c>
      <c r="CK20" s="532">
        <f t="shared" si="0"/>
        <v>-7173</v>
      </c>
      <c r="CL20" s="533">
        <f t="shared" si="1"/>
        <v>-0.46705727998050861</v>
      </c>
      <c r="CM20" s="372"/>
      <c r="CN20" s="372"/>
      <c r="CO20" s="372"/>
      <c r="CP20" s="372">
        <v>-7173</v>
      </c>
      <c r="CQ20" s="372"/>
      <c r="CR20" s="372"/>
      <c r="CS20" s="372"/>
      <c r="CT20" s="372"/>
      <c r="CU20" s="372"/>
      <c r="CV20" s="372"/>
      <c r="CW20" s="372"/>
      <c r="CX20" s="372"/>
      <c r="CY20" s="372"/>
      <c r="CZ20" s="372"/>
      <c r="DA20" s="372"/>
      <c r="DB20" s="372"/>
      <c r="DC20" s="372"/>
      <c r="DD20" s="372"/>
      <c r="DE20" s="372"/>
      <c r="DF20" s="372"/>
      <c r="DG20" s="372"/>
      <c r="DH20" s="372"/>
      <c r="DI20" s="372"/>
      <c r="DJ20" s="372"/>
      <c r="DK20" s="372"/>
      <c r="DL20" s="372"/>
      <c r="DM20" s="372"/>
      <c r="DN20" s="372"/>
      <c r="DO20" s="372"/>
      <c r="DP20" s="372"/>
      <c r="DQ20" s="372"/>
      <c r="DR20" s="372"/>
      <c r="DS20" s="372"/>
      <c r="DT20" s="372"/>
      <c r="DU20" s="372"/>
      <c r="DV20" s="372"/>
      <c r="DW20" s="372"/>
      <c r="DX20" s="372"/>
      <c r="DY20" s="372"/>
      <c r="DZ20" s="372"/>
      <c r="EA20" s="372"/>
      <c r="EB20" s="372"/>
      <c r="EC20" s="372"/>
      <c r="ED20" s="372"/>
      <c r="EE20" s="372"/>
      <c r="EF20" s="372"/>
      <c r="EG20" s="372"/>
      <c r="EH20" s="372"/>
      <c r="EI20" s="372"/>
      <c r="EJ20" s="372"/>
      <c r="EK20" s="372"/>
      <c r="EL20" s="372"/>
      <c r="EM20" s="372"/>
      <c r="EN20" s="372"/>
      <c r="EO20" s="372"/>
      <c r="EP20" s="372"/>
      <c r="EQ20" s="372"/>
      <c r="ER20" s="372"/>
      <c r="ES20" s="372"/>
    </row>
    <row r="21" spans="1:149" s="126" customFormat="1" ht="19.5" customHeight="1" x14ac:dyDescent="0.45">
      <c r="A21" s="144" t="s">
        <v>445</v>
      </c>
      <c r="B21" s="588">
        <v>89050</v>
      </c>
      <c r="C21" s="144" t="s">
        <v>446</v>
      </c>
      <c r="D21" s="139" t="s">
        <v>447</v>
      </c>
      <c r="E21" s="143">
        <v>11</v>
      </c>
      <c r="F21" s="155" t="s">
        <v>138</v>
      </c>
      <c r="G21" s="378" t="s">
        <v>125</v>
      </c>
      <c r="H21" s="155" t="s">
        <v>136</v>
      </c>
      <c r="I21" s="155" t="s">
        <v>11</v>
      </c>
      <c r="J21" s="145">
        <v>1</v>
      </c>
      <c r="K21" s="149">
        <f>(15000/12)*3</f>
        <v>3750</v>
      </c>
      <c r="L21" s="143">
        <v>9</v>
      </c>
      <c r="M21" s="143" t="s">
        <v>129</v>
      </c>
      <c r="N21" s="20">
        <f>L21*K21*J21</f>
        <v>33750</v>
      </c>
      <c r="O21" s="20">
        <v>0</v>
      </c>
      <c r="P21" s="20">
        <f t="shared" si="5"/>
        <v>33750</v>
      </c>
      <c r="Q21" s="145">
        <v>1</v>
      </c>
      <c r="R21" s="20">
        <f t="shared" si="6"/>
        <v>3900</v>
      </c>
      <c r="S21" s="143">
        <v>12</v>
      </c>
      <c r="T21" s="20">
        <f>R21*S21*Q21</f>
        <v>46800</v>
      </c>
      <c r="U21" s="20">
        <v>0</v>
      </c>
      <c r="V21" s="20">
        <f t="shared" si="7"/>
        <v>46800</v>
      </c>
      <c r="W21" s="145">
        <v>1</v>
      </c>
      <c r="X21" s="20">
        <f t="shared" si="8"/>
        <v>4056</v>
      </c>
      <c r="Y21" s="143">
        <v>12</v>
      </c>
      <c r="Z21" s="20">
        <f>Y21*X21*W21</f>
        <v>48672</v>
      </c>
      <c r="AA21" s="20">
        <v>0</v>
      </c>
      <c r="AB21" s="20">
        <f t="shared" si="9"/>
        <v>48672</v>
      </c>
      <c r="AC21" s="145">
        <v>1</v>
      </c>
      <c r="AD21" s="20">
        <f t="shared" si="3"/>
        <v>4218.24</v>
      </c>
      <c r="AE21" s="143">
        <v>12</v>
      </c>
      <c r="AF21" s="20">
        <f>AE21*AD21*AC21</f>
        <v>50618.879999999997</v>
      </c>
      <c r="AG21" s="20">
        <v>0</v>
      </c>
      <c r="AH21" s="20">
        <f t="shared" si="10"/>
        <v>50618.879999999997</v>
      </c>
      <c r="AI21" s="145">
        <v>1</v>
      </c>
      <c r="AJ21" s="20">
        <f t="shared" si="11"/>
        <v>4386.9696000000004</v>
      </c>
      <c r="AK21" s="143">
        <v>9</v>
      </c>
      <c r="AL21" s="20">
        <f>AK21*AJ21*AI21</f>
        <v>39482.7264</v>
      </c>
      <c r="AM21" s="20">
        <v>0</v>
      </c>
      <c r="AN21" s="20">
        <f t="shared" si="12"/>
        <v>39482.7264</v>
      </c>
      <c r="AO21" s="20">
        <f t="shared" si="13"/>
        <v>219323.60639999999</v>
      </c>
      <c r="AP21" s="20">
        <f t="shared" si="13"/>
        <v>0</v>
      </c>
      <c r="AQ21" s="20">
        <f t="shared" si="14"/>
        <v>219323.60639999999</v>
      </c>
      <c r="AR21" s="20">
        <f>(276.67+592.87+592.87)+(1203.86*3)+(2016.17+976.69+976.69+212.51)+(943.07+943.07+1025.97)+(928.26+928.26+1009.85)</f>
        <v>15034.529999999999</v>
      </c>
      <c r="AS21" s="20">
        <v>0</v>
      </c>
      <c r="AT21" s="20">
        <f>(919.98+919.98+1000.85)+(1246.9+1246.9+542.65+67.43+433.66)+(336.78+336.78+1316.06)+((1126.7*2)+1320.87)+(1063.2*2)+(1084.3*3)+((976.18*3)+650.79)+((988.16*4)+922.28)+(962.31*5)+(903.49*5)+(866.6*4)+(892.05*4)+6247+3242</f>
        <v>51628.39</v>
      </c>
      <c r="AU21" s="20">
        <v>0</v>
      </c>
      <c r="AV21" s="20">
        <f t="shared" si="15"/>
        <v>66662.92</v>
      </c>
      <c r="AW21" s="20">
        <f t="shared" si="16"/>
        <v>0</v>
      </c>
      <c r="AX21" s="20">
        <f t="shared" si="17"/>
        <v>66662.92</v>
      </c>
      <c r="AY21" s="20">
        <f t="shared" si="18"/>
        <v>152660.68640000001</v>
      </c>
      <c r="AZ21" s="20">
        <f t="shared" si="19"/>
        <v>152660.68640000001</v>
      </c>
      <c r="BA21" s="15">
        <f t="shared" si="20"/>
        <v>0</v>
      </c>
      <c r="BB21" s="261">
        <v>1</v>
      </c>
      <c r="BC21" s="147">
        <v>4233.87</v>
      </c>
      <c r="BD21" s="146">
        <v>12</v>
      </c>
      <c r="BE21" s="20">
        <f>BC21*BD21</f>
        <v>50806.44</v>
      </c>
      <c r="BF21" s="147">
        <f>AA21</f>
        <v>0</v>
      </c>
      <c r="BG21" s="147">
        <f t="shared" si="21"/>
        <v>50806.44</v>
      </c>
      <c r="BH21" s="407" t="s">
        <v>139</v>
      </c>
      <c r="BI21" s="261">
        <v>1</v>
      </c>
      <c r="BJ21" s="147">
        <f>4087.29*1.04</f>
        <v>4250.7816000000003</v>
      </c>
      <c r="BK21" s="146">
        <v>12</v>
      </c>
      <c r="BL21" s="147">
        <f t="shared" si="22"/>
        <v>51009.379200000003</v>
      </c>
      <c r="BM21" s="147">
        <v>0</v>
      </c>
      <c r="BN21" s="229">
        <f t="shared" si="23"/>
        <v>51009.379200000003</v>
      </c>
      <c r="BO21" s="428">
        <v>1</v>
      </c>
      <c r="BP21" s="147">
        <f t="shared" si="24"/>
        <v>4420.8128640000004</v>
      </c>
      <c r="BQ21" s="146">
        <v>10</v>
      </c>
      <c r="BR21" s="147">
        <f t="shared" si="25"/>
        <v>44208.128640000003</v>
      </c>
      <c r="BS21" s="147">
        <v>0</v>
      </c>
      <c r="BT21" s="229">
        <f t="shared" si="26"/>
        <v>44208.128640000003</v>
      </c>
      <c r="BU21" s="228">
        <v>2</v>
      </c>
      <c r="BV21" s="147">
        <f>(BP21/2)*1.04</f>
        <v>2298.8226892800003</v>
      </c>
      <c r="BW21" s="147">
        <v>6</v>
      </c>
      <c r="BX21" s="147">
        <f t="shared" si="27"/>
        <v>13792.936135680002</v>
      </c>
      <c r="BY21" s="147">
        <v>0</v>
      </c>
      <c r="BZ21" s="229">
        <f t="shared" si="28"/>
        <v>13792.936135680002</v>
      </c>
      <c r="CA21" s="228">
        <f t="shared" si="29"/>
        <v>159816.88397568002</v>
      </c>
      <c r="CB21" s="147">
        <f t="shared" si="30"/>
        <v>0</v>
      </c>
      <c r="CC21" s="229">
        <f t="shared" ref="CC21:CC33" si="37">CA21+CB21</f>
        <v>159816.88397568002</v>
      </c>
      <c r="CD21" s="23"/>
      <c r="CE21" s="20">
        <f t="shared" si="31"/>
        <v>226479.80397568003</v>
      </c>
      <c r="CF21" s="20">
        <f t="shared" si="32"/>
        <v>0</v>
      </c>
      <c r="CG21" s="15">
        <f t="shared" si="33"/>
        <v>226479.80397568003</v>
      </c>
      <c r="CH21" s="376">
        <f t="shared" si="34"/>
        <v>-7156.1975756800384</v>
      </c>
      <c r="CI21" s="377">
        <f t="shared" si="35"/>
        <v>0</v>
      </c>
      <c r="CJ21" s="522">
        <f t="shared" si="36"/>
        <v>-7156.1975756800384</v>
      </c>
      <c r="CK21" s="532">
        <f t="shared" si="0"/>
        <v>7156</v>
      </c>
      <c r="CL21" s="533">
        <f t="shared" si="1"/>
        <v>-0.19757568003842607</v>
      </c>
      <c r="CM21" s="372"/>
      <c r="CN21" s="372"/>
      <c r="CO21" s="372"/>
      <c r="CP21" s="372">
        <v>7156</v>
      </c>
      <c r="CQ21" s="372"/>
      <c r="CR21" s="372"/>
      <c r="CS21" s="372"/>
      <c r="CT21" s="372"/>
      <c r="CU21" s="372"/>
      <c r="CV21" s="372"/>
      <c r="CW21" s="372"/>
      <c r="CX21" s="372"/>
      <c r="CY21" s="372"/>
      <c r="CZ21" s="372"/>
      <c r="DA21" s="372"/>
      <c r="DB21" s="372"/>
      <c r="DC21" s="372"/>
      <c r="DD21" s="372"/>
      <c r="DE21" s="372"/>
      <c r="DF21" s="372"/>
      <c r="DG21" s="372"/>
      <c r="DH21" s="372"/>
      <c r="DI21" s="372"/>
      <c r="DJ21" s="372"/>
      <c r="DK21" s="372"/>
      <c r="DL21" s="372"/>
      <c r="DM21" s="372"/>
      <c r="DN21" s="372"/>
      <c r="DO21" s="372"/>
      <c r="DP21" s="372"/>
      <c r="DQ21" s="372"/>
      <c r="DR21" s="372"/>
      <c r="DS21" s="372"/>
      <c r="DT21" s="372"/>
      <c r="DU21" s="372"/>
      <c r="DV21" s="372"/>
      <c r="DW21" s="372"/>
      <c r="DX21" s="372"/>
      <c r="DY21" s="372"/>
      <c r="DZ21" s="372"/>
      <c r="EA21" s="372"/>
      <c r="EB21" s="372"/>
      <c r="EC21" s="372"/>
      <c r="ED21" s="372"/>
      <c r="EE21" s="372"/>
      <c r="EF21" s="372"/>
      <c r="EG21" s="372"/>
      <c r="EH21" s="372"/>
      <c r="EI21" s="372"/>
      <c r="EJ21" s="372"/>
      <c r="EK21" s="372"/>
      <c r="EL21" s="372"/>
      <c r="EM21" s="372"/>
      <c r="EN21" s="372"/>
      <c r="EO21" s="372"/>
      <c r="EP21" s="372"/>
      <c r="EQ21" s="372"/>
      <c r="ER21" s="372"/>
      <c r="ES21" s="372"/>
    </row>
    <row r="22" spans="1:149" s="126" customFormat="1" ht="27" hidden="1" customHeight="1" x14ac:dyDescent="0.45">
      <c r="A22" s="144" t="s">
        <v>445</v>
      </c>
      <c r="B22" s="588">
        <v>89050</v>
      </c>
      <c r="C22" s="144" t="s">
        <v>446</v>
      </c>
      <c r="D22" s="139"/>
      <c r="E22" s="148">
        <v>12</v>
      </c>
      <c r="F22" s="333" t="s">
        <v>140</v>
      </c>
      <c r="G22" s="130" t="s">
        <v>125</v>
      </c>
      <c r="H22" s="156" t="s">
        <v>136</v>
      </c>
      <c r="I22" s="156" t="s">
        <v>133</v>
      </c>
      <c r="J22" s="145">
        <v>1</v>
      </c>
      <c r="K22" s="149">
        <v>2000</v>
      </c>
      <c r="L22" s="143">
        <v>4</v>
      </c>
      <c r="M22" s="143" t="s">
        <v>129</v>
      </c>
      <c r="N22" s="20">
        <v>0</v>
      </c>
      <c r="O22" s="20">
        <f>+J22*K22*L22</f>
        <v>8000</v>
      </c>
      <c r="P22" s="20">
        <f t="shared" si="5"/>
        <v>8000</v>
      </c>
      <c r="Q22" s="145">
        <v>1</v>
      </c>
      <c r="R22" s="20">
        <f t="shared" si="6"/>
        <v>2080</v>
      </c>
      <c r="S22" s="143">
        <v>4</v>
      </c>
      <c r="T22" s="20">
        <v>0</v>
      </c>
      <c r="U22" s="20">
        <f>+Q22*R22*S22</f>
        <v>8320</v>
      </c>
      <c r="V22" s="20">
        <f t="shared" si="7"/>
        <v>8320</v>
      </c>
      <c r="W22" s="145">
        <v>1</v>
      </c>
      <c r="X22" s="20">
        <f t="shared" si="8"/>
        <v>2163.2000000000003</v>
      </c>
      <c r="Y22" s="143">
        <v>4</v>
      </c>
      <c r="Z22" s="20">
        <v>0</v>
      </c>
      <c r="AA22" s="20">
        <f>+W22*X22*Y22</f>
        <v>8652.8000000000011</v>
      </c>
      <c r="AB22" s="20">
        <f t="shared" si="9"/>
        <v>8652.8000000000011</v>
      </c>
      <c r="AC22" s="145">
        <v>1</v>
      </c>
      <c r="AD22" s="20">
        <f t="shared" si="3"/>
        <v>2249.7280000000005</v>
      </c>
      <c r="AE22" s="143">
        <v>4</v>
      </c>
      <c r="AF22" s="20">
        <v>0</v>
      </c>
      <c r="AG22" s="20">
        <f>+AC22*AD22*AE22</f>
        <v>8998.9120000000021</v>
      </c>
      <c r="AH22" s="20">
        <f t="shared" si="10"/>
        <v>8998.9120000000021</v>
      </c>
      <c r="AI22" s="145">
        <v>1</v>
      </c>
      <c r="AJ22" s="20">
        <f t="shared" si="11"/>
        <v>2339.7171200000007</v>
      </c>
      <c r="AK22" s="143">
        <v>4</v>
      </c>
      <c r="AL22" s="20">
        <v>0</v>
      </c>
      <c r="AM22" s="20">
        <f>+AI22*AJ22*AK22</f>
        <v>9358.8684800000028</v>
      </c>
      <c r="AN22" s="20">
        <f t="shared" si="12"/>
        <v>9358.8684800000028</v>
      </c>
      <c r="AO22" s="20">
        <f t="shared" si="13"/>
        <v>0</v>
      </c>
      <c r="AP22" s="20">
        <f t="shared" si="13"/>
        <v>43330.580480000011</v>
      </c>
      <c r="AQ22" s="20">
        <f t="shared" si="14"/>
        <v>43330.580480000011</v>
      </c>
      <c r="AR22" s="20">
        <v>0</v>
      </c>
      <c r="AS22" s="20">
        <f>2000+2000+2000+637.52</f>
        <v>6637.52</v>
      </c>
      <c r="AT22" s="20">
        <v>0</v>
      </c>
      <c r="AU22" s="20">
        <f>640.29+651.19+673.56+676.02+637.92+650.58+585.71+592.89+577.39+577.39+519.96+535.23</f>
        <v>7318.130000000001</v>
      </c>
      <c r="AV22" s="20">
        <f t="shared" si="15"/>
        <v>0</v>
      </c>
      <c r="AW22" s="20">
        <f t="shared" si="16"/>
        <v>13955.650000000001</v>
      </c>
      <c r="AX22" s="20">
        <f t="shared" si="17"/>
        <v>13955.650000000001</v>
      </c>
      <c r="AY22" s="20">
        <f t="shared" si="18"/>
        <v>29374.93048000001</v>
      </c>
      <c r="AZ22" s="20">
        <f t="shared" si="19"/>
        <v>29374.930480000014</v>
      </c>
      <c r="BA22" s="15">
        <f t="shared" si="20"/>
        <v>0</v>
      </c>
      <c r="BB22" s="261">
        <v>0.3</v>
      </c>
      <c r="BC22" s="147">
        <v>0</v>
      </c>
      <c r="BD22" s="379">
        <v>0</v>
      </c>
      <c r="BE22" s="157">
        <f t="shared" ref="BE22:BE27" si="38">BB22*BC22*BD22</f>
        <v>0</v>
      </c>
      <c r="BF22" s="147">
        <f>AA22*0.92</f>
        <v>7960.5760000000009</v>
      </c>
      <c r="BG22" s="157">
        <f t="shared" si="21"/>
        <v>7960.5760000000009</v>
      </c>
      <c r="BH22" s="409" t="s">
        <v>141</v>
      </c>
      <c r="BI22" s="261">
        <v>0.3</v>
      </c>
      <c r="BJ22" s="147">
        <v>0</v>
      </c>
      <c r="BK22" s="379">
        <v>12</v>
      </c>
      <c r="BL22" s="157">
        <f t="shared" si="22"/>
        <v>0</v>
      </c>
      <c r="BM22" s="147">
        <f>8998.912</f>
        <v>8998.9120000000003</v>
      </c>
      <c r="BN22" s="229">
        <f t="shared" si="23"/>
        <v>8998.9120000000003</v>
      </c>
      <c r="BO22" s="428">
        <v>0.3</v>
      </c>
      <c r="BP22" s="147">
        <f t="shared" si="24"/>
        <v>0</v>
      </c>
      <c r="BQ22" s="379">
        <v>8</v>
      </c>
      <c r="BR22" s="147">
        <f t="shared" si="25"/>
        <v>0</v>
      </c>
      <c r="BS22" s="147">
        <f>BM22*1.04</f>
        <v>9358.868480000001</v>
      </c>
      <c r="BT22" s="229">
        <f t="shared" si="26"/>
        <v>9358.868480000001</v>
      </c>
      <c r="BU22" s="228">
        <v>0</v>
      </c>
      <c r="BV22" s="147">
        <v>0</v>
      </c>
      <c r="BW22" s="147">
        <v>0</v>
      </c>
      <c r="BX22" s="147">
        <f t="shared" si="27"/>
        <v>0</v>
      </c>
      <c r="BY22" s="147">
        <f>((BS22/12)*6)-1100+36</f>
        <v>3615.4342400000005</v>
      </c>
      <c r="BZ22" s="229">
        <f t="shared" si="28"/>
        <v>3615.4342400000005</v>
      </c>
      <c r="CA22" s="228">
        <f t="shared" si="29"/>
        <v>0</v>
      </c>
      <c r="CB22" s="147">
        <f t="shared" si="30"/>
        <v>29933.790720000005</v>
      </c>
      <c r="CC22" s="229">
        <f t="shared" si="37"/>
        <v>29933.790720000005</v>
      </c>
      <c r="CD22" s="23"/>
      <c r="CE22" s="20">
        <f t="shared" si="31"/>
        <v>0</v>
      </c>
      <c r="CF22" s="20">
        <f t="shared" si="32"/>
        <v>43889.440720000006</v>
      </c>
      <c r="CG22" s="15">
        <f t="shared" si="33"/>
        <v>43889.440720000006</v>
      </c>
      <c r="CH22" s="376">
        <f t="shared" si="34"/>
        <v>0</v>
      </c>
      <c r="CI22" s="377">
        <f t="shared" si="35"/>
        <v>-558.86023999999452</v>
      </c>
      <c r="CJ22" s="522">
        <f t="shared" si="36"/>
        <v>-558.86023999999452</v>
      </c>
      <c r="CK22" s="532">
        <f t="shared" si="0"/>
        <v>559</v>
      </c>
      <c r="CL22" s="533">
        <f t="shared" si="1"/>
        <v>0.13976000000548083</v>
      </c>
      <c r="CM22" s="372"/>
      <c r="CN22" s="372"/>
      <c r="CO22" s="372"/>
      <c r="CP22" s="372"/>
      <c r="CQ22" s="372">
        <v>559</v>
      </c>
      <c r="CR22" s="372"/>
      <c r="CS22" s="372"/>
      <c r="CT22" s="372"/>
      <c r="CU22" s="372"/>
      <c r="CV22" s="372"/>
      <c r="CW22" s="372"/>
      <c r="CX22" s="372"/>
      <c r="CY22" s="372"/>
      <c r="CZ22" s="372"/>
      <c r="DA22" s="372"/>
      <c r="DB22" s="372"/>
      <c r="DC22" s="372"/>
      <c r="DD22" s="372"/>
      <c r="DE22" s="372"/>
      <c r="DF22" s="372"/>
      <c r="DG22" s="372"/>
      <c r="DH22" s="372"/>
      <c r="DI22" s="372"/>
      <c r="DJ22" s="372"/>
      <c r="DK22" s="372"/>
      <c r="DL22" s="372"/>
      <c r="DM22" s="372"/>
      <c r="DN22" s="372"/>
      <c r="DO22" s="372"/>
      <c r="DP22" s="372"/>
      <c r="DQ22" s="372"/>
      <c r="DR22" s="372"/>
      <c r="DS22" s="372"/>
      <c r="DT22" s="372"/>
      <c r="DU22" s="372"/>
      <c r="DV22" s="372"/>
      <c r="DW22" s="372"/>
      <c r="DX22" s="372"/>
      <c r="DY22" s="372"/>
      <c r="DZ22" s="372"/>
      <c r="EA22" s="372"/>
      <c r="EB22" s="372"/>
      <c r="EC22" s="372"/>
      <c r="ED22" s="372"/>
      <c r="EE22" s="372"/>
      <c r="EF22" s="372"/>
      <c r="EG22" s="372"/>
      <c r="EH22" s="372"/>
      <c r="EI22" s="372"/>
      <c r="EJ22" s="372"/>
      <c r="EK22" s="372"/>
      <c r="EL22" s="372"/>
      <c r="EM22" s="372"/>
      <c r="EN22" s="372"/>
      <c r="EO22" s="372"/>
      <c r="EP22" s="372"/>
      <c r="EQ22" s="372"/>
      <c r="ER22" s="372"/>
      <c r="ES22" s="372"/>
    </row>
    <row r="23" spans="1:149" s="126" customFormat="1" ht="19.5" hidden="1" customHeight="1" x14ac:dyDescent="0.45">
      <c r="A23" s="144" t="s">
        <v>445</v>
      </c>
      <c r="B23" s="588">
        <v>89050</v>
      </c>
      <c r="C23" s="144" t="s">
        <v>446</v>
      </c>
      <c r="D23" s="139"/>
      <c r="E23" s="135">
        <v>13</v>
      </c>
      <c r="F23" s="156" t="s">
        <v>142</v>
      </c>
      <c r="G23" s="130" t="s">
        <v>125</v>
      </c>
      <c r="H23" s="156" t="s">
        <v>136</v>
      </c>
      <c r="I23" s="156" t="s">
        <v>133</v>
      </c>
      <c r="J23" s="145">
        <v>1</v>
      </c>
      <c r="K23" s="149">
        <v>1030</v>
      </c>
      <c r="L23" s="143">
        <v>3</v>
      </c>
      <c r="M23" s="143" t="s">
        <v>129</v>
      </c>
      <c r="N23" s="20">
        <v>0</v>
      </c>
      <c r="O23" s="20">
        <f>+J23*K23*L23</f>
        <v>3090</v>
      </c>
      <c r="P23" s="20">
        <f t="shared" si="5"/>
        <v>3090</v>
      </c>
      <c r="Q23" s="145">
        <v>1</v>
      </c>
      <c r="R23" s="20">
        <f t="shared" si="6"/>
        <v>1071.2</v>
      </c>
      <c r="S23" s="143">
        <v>3</v>
      </c>
      <c r="T23" s="20">
        <v>0</v>
      </c>
      <c r="U23" s="20">
        <f>+Q23*R23*S23</f>
        <v>3213.6000000000004</v>
      </c>
      <c r="V23" s="20">
        <f t="shared" si="7"/>
        <v>3213.6000000000004</v>
      </c>
      <c r="W23" s="145">
        <v>1</v>
      </c>
      <c r="X23" s="20">
        <f t="shared" si="8"/>
        <v>1114.048</v>
      </c>
      <c r="Y23" s="143">
        <v>3</v>
      </c>
      <c r="Z23" s="20">
        <v>0</v>
      </c>
      <c r="AA23" s="20">
        <f>+W23*X23*Y23</f>
        <v>3342.1440000000002</v>
      </c>
      <c r="AB23" s="20">
        <f t="shared" si="9"/>
        <v>3342.1440000000002</v>
      </c>
      <c r="AC23" s="145">
        <v>1</v>
      </c>
      <c r="AD23" s="20">
        <f t="shared" si="3"/>
        <v>1158.6099200000001</v>
      </c>
      <c r="AE23" s="143">
        <v>3</v>
      </c>
      <c r="AF23" s="20">
        <v>0</v>
      </c>
      <c r="AG23" s="20">
        <f>+AC23*AD23*AE23</f>
        <v>3475.8297600000005</v>
      </c>
      <c r="AH23" s="20">
        <f t="shared" si="10"/>
        <v>3475.8297600000005</v>
      </c>
      <c r="AI23" s="145">
        <v>1</v>
      </c>
      <c r="AJ23" s="20">
        <f t="shared" si="11"/>
        <v>1204.9543168000002</v>
      </c>
      <c r="AK23" s="143">
        <v>3</v>
      </c>
      <c r="AL23" s="20">
        <v>0</v>
      </c>
      <c r="AM23" s="20">
        <f>+AI23*AJ23*AK23</f>
        <v>3614.862950400001</v>
      </c>
      <c r="AN23" s="20">
        <f t="shared" si="12"/>
        <v>3614.862950400001</v>
      </c>
      <c r="AO23" s="20">
        <f t="shared" si="13"/>
        <v>0</v>
      </c>
      <c r="AP23" s="20">
        <f t="shared" si="13"/>
        <v>16736.436710400001</v>
      </c>
      <c r="AQ23" s="20">
        <f t="shared" si="14"/>
        <v>16736.436710400001</v>
      </c>
      <c r="AR23" s="20">
        <v>0</v>
      </c>
      <c r="AS23" s="20">
        <f>772.5+772.5+772.5+318.76</f>
        <v>2636.26</v>
      </c>
      <c r="AT23" s="20">
        <v>0</v>
      </c>
      <c r="AU23" s="20">
        <f>319.02+324.45+335.6+336.82+317.84+324.15+291.82+295.4+287.68+287.68+259.07+266.67</f>
        <v>3646.2000000000003</v>
      </c>
      <c r="AV23" s="20">
        <f t="shared" si="15"/>
        <v>0</v>
      </c>
      <c r="AW23" s="20">
        <f t="shared" si="16"/>
        <v>6282.4600000000009</v>
      </c>
      <c r="AX23" s="20">
        <f t="shared" si="17"/>
        <v>6282.4600000000009</v>
      </c>
      <c r="AY23" s="20">
        <f t="shared" si="18"/>
        <v>10453.9767104</v>
      </c>
      <c r="AZ23" s="20">
        <f t="shared" si="19"/>
        <v>10453.9767104</v>
      </c>
      <c r="BA23" s="15">
        <f t="shared" si="20"/>
        <v>0</v>
      </c>
      <c r="BB23" s="263">
        <v>0.3</v>
      </c>
      <c r="BC23" s="147">
        <v>0</v>
      </c>
      <c r="BD23" s="379">
        <v>0</v>
      </c>
      <c r="BE23" s="157">
        <f t="shared" si="38"/>
        <v>0</v>
      </c>
      <c r="BF23" s="147">
        <f>AA23*0.92</f>
        <v>3074.7724800000005</v>
      </c>
      <c r="BG23" s="157">
        <f t="shared" si="21"/>
        <v>3074.7724800000005</v>
      </c>
      <c r="BH23" s="409" t="s">
        <v>143</v>
      </c>
      <c r="BI23" s="263">
        <v>0.3</v>
      </c>
      <c r="BJ23" s="147">
        <v>0</v>
      </c>
      <c r="BK23" s="379">
        <v>12</v>
      </c>
      <c r="BL23" s="157">
        <f t="shared" si="22"/>
        <v>0</v>
      </c>
      <c r="BM23" s="147">
        <f>3475.82976</f>
        <v>3475.8297600000001</v>
      </c>
      <c r="BN23" s="229">
        <f t="shared" si="23"/>
        <v>3475.8297600000001</v>
      </c>
      <c r="BO23" s="430">
        <v>0.3</v>
      </c>
      <c r="BP23" s="147">
        <f t="shared" si="24"/>
        <v>0</v>
      </c>
      <c r="BQ23" s="379">
        <v>8</v>
      </c>
      <c r="BR23" s="147">
        <f t="shared" si="25"/>
        <v>0</v>
      </c>
      <c r="BS23" s="147">
        <f>3766.8629504</f>
        <v>3766.8629504</v>
      </c>
      <c r="BT23" s="229">
        <f t="shared" si="26"/>
        <v>3766.8629504</v>
      </c>
      <c r="BU23" s="228">
        <v>0</v>
      </c>
      <c r="BV23" s="147">
        <v>0</v>
      </c>
      <c r="BW23" s="147">
        <v>0</v>
      </c>
      <c r="BX23" s="147">
        <f t="shared" si="27"/>
        <v>0</v>
      </c>
      <c r="BY23" s="147">
        <f>(BS23/12)*6</f>
        <v>1883.4314752</v>
      </c>
      <c r="BZ23" s="229">
        <f t="shared" si="28"/>
        <v>1883.4314752</v>
      </c>
      <c r="CA23" s="228">
        <f t="shared" si="29"/>
        <v>0</v>
      </c>
      <c r="CB23" s="147">
        <f t="shared" si="30"/>
        <v>12200.896665600001</v>
      </c>
      <c r="CC23" s="229">
        <f t="shared" si="37"/>
        <v>12200.896665600001</v>
      </c>
      <c r="CD23" s="23"/>
      <c r="CE23" s="20">
        <f t="shared" si="31"/>
        <v>0</v>
      </c>
      <c r="CF23" s="20">
        <f t="shared" si="32"/>
        <v>18483.356665600004</v>
      </c>
      <c r="CG23" s="15">
        <f t="shared" si="33"/>
        <v>18483.356665600004</v>
      </c>
      <c r="CH23" s="376">
        <f t="shared" si="34"/>
        <v>0</v>
      </c>
      <c r="CI23" s="377">
        <f t="shared" si="35"/>
        <v>-1746.9199552000027</v>
      </c>
      <c r="CJ23" s="522">
        <f t="shared" si="36"/>
        <v>-1746.9199552000027</v>
      </c>
      <c r="CK23" s="532">
        <f t="shared" si="0"/>
        <v>1747</v>
      </c>
      <c r="CL23" s="533">
        <f t="shared" si="1"/>
        <v>8.0044799997267546E-2</v>
      </c>
      <c r="CM23" s="372"/>
      <c r="CN23" s="372"/>
      <c r="CO23" s="372"/>
      <c r="CP23" s="372"/>
      <c r="CQ23" s="372">
        <v>1747</v>
      </c>
      <c r="CR23" s="372"/>
      <c r="CS23" s="372"/>
      <c r="CT23" s="372"/>
      <c r="CU23" s="372"/>
      <c r="CV23" s="372"/>
      <c r="CW23" s="372"/>
      <c r="CX23" s="372"/>
      <c r="CY23" s="372"/>
      <c r="CZ23" s="372"/>
      <c r="DA23" s="372"/>
      <c r="DB23" s="372"/>
      <c r="DC23" s="372"/>
      <c r="DD23" s="372"/>
      <c r="DE23" s="372"/>
      <c r="DF23" s="372"/>
      <c r="DG23" s="372"/>
      <c r="DH23" s="372"/>
      <c r="DI23" s="372"/>
      <c r="DJ23" s="372"/>
      <c r="DK23" s="372"/>
      <c r="DL23" s="372"/>
      <c r="DM23" s="372"/>
      <c r="DN23" s="372"/>
      <c r="DO23" s="372"/>
      <c r="DP23" s="372"/>
      <c r="DQ23" s="372"/>
      <c r="DR23" s="372"/>
      <c r="DS23" s="372"/>
      <c r="DT23" s="372"/>
      <c r="DU23" s="372"/>
      <c r="DV23" s="372"/>
      <c r="DW23" s="372"/>
      <c r="DX23" s="372"/>
      <c r="DY23" s="372"/>
      <c r="DZ23" s="372"/>
      <c r="EA23" s="372"/>
      <c r="EB23" s="372"/>
      <c r="EC23" s="372"/>
      <c r="ED23" s="372"/>
      <c r="EE23" s="372"/>
      <c r="EF23" s="372"/>
      <c r="EG23" s="372"/>
      <c r="EH23" s="372"/>
      <c r="EI23" s="372"/>
      <c r="EJ23" s="372"/>
      <c r="EK23" s="372"/>
      <c r="EL23" s="372"/>
      <c r="EM23" s="372"/>
      <c r="EN23" s="372"/>
      <c r="EO23" s="372"/>
      <c r="EP23" s="372"/>
      <c r="EQ23" s="372"/>
      <c r="ER23" s="372"/>
      <c r="ES23" s="372"/>
    </row>
    <row r="24" spans="1:149" s="126" customFormat="1" ht="26.25" hidden="1" customHeight="1" x14ac:dyDescent="0.45">
      <c r="A24" s="144" t="s">
        <v>445</v>
      </c>
      <c r="B24" s="588">
        <v>89050</v>
      </c>
      <c r="C24" s="144" t="s">
        <v>446</v>
      </c>
      <c r="D24" s="139"/>
      <c r="E24" s="135">
        <v>14</v>
      </c>
      <c r="F24" s="333" t="s">
        <v>71</v>
      </c>
      <c r="G24" s="130" t="s">
        <v>125</v>
      </c>
      <c r="H24" s="156" t="s">
        <v>136</v>
      </c>
      <c r="I24" s="156" t="s">
        <v>133</v>
      </c>
      <c r="J24" s="145">
        <v>1</v>
      </c>
      <c r="K24" s="149">
        <v>1144</v>
      </c>
      <c r="L24" s="143">
        <v>2</v>
      </c>
      <c r="M24" s="143" t="s">
        <v>129</v>
      </c>
      <c r="N24" s="20">
        <v>0</v>
      </c>
      <c r="O24" s="20">
        <f>+J24*K24*L24</f>
        <v>2288</v>
      </c>
      <c r="P24" s="20">
        <f t="shared" si="5"/>
        <v>2288</v>
      </c>
      <c r="Q24" s="145">
        <v>1</v>
      </c>
      <c r="R24" s="20">
        <f t="shared" si="6"/>
        <v>1189.76</v>
      </c>
      <c r="S24" s="143">
        <v>2</v>
      </c>
      <c r="T24" s="20">
        <v>0</v>
      </c>
      <c r="U24" s="20">
        <f>+Q24*R24*S24</f>
        <v>2379.52</v>
      </c>
      <c r="V24" s="20">
        <f t="shared" si="7"/>
        <v>2379.52</v>
      </c>
      <c r="W24" s="145">
        <v>1</v>
      </c>
      <c r="X24" s="20">
        <f t="shared" si="8"/>
        <v>1237.3504</v>
      </c>
      <c r="Y24" s="143">
        <v>2</v>
      </c>
      <c r="Z24" s="20">
        <v>0</v>
      </c>
      <c r="AA24" s="20">
        <f>+W24*X24*Y24</f>
        <v>2474.7008000000001</v>
      </c>
      <c r="AB24" s="20">
        <f t="shared" si="9"/>
        <v>2474.7008000000001</v>
      </c>
      <c r="AC24" s="145">
        <v>1</v>
      </c>
      <c r="AD24" s="20">
        <f t="shared" si="3"/>
        <v>1286.8444160000001</v>
      </c>
      <c r="AE24" s="143">
        <v>2</v>
      </c>
      <c r="AF24" s="20">
        <v>0</v>
      </c>
      <c r="AG24" s="20">
        <f>+AC24*AD24*AE24</f>
        <v>2573.6888320000003</v>
      </c>
      <c r="AH24" s="20">
        <f t="shared" si="10"/>
        <v>2573.6888320000003</v>
      </c>
      <c r="AI24" s="145">
        <v>1</v>
      </c>
      <c r="AJ24" s="20">
        <f t="shared" si="11"/>
        <v>1338.3181926400002</v>
      </c>
      <c r="AK24" s="143">
        <v>2</v>
      </c>
      <c r="AL24" s="20">
        <v>0</v>
      </c>
      <c r="AM24" s="20">
        <f>+AI24*AJ24*AK24</f>
        <v>2676.6363852800005</v>
      </c>
      <c r="AN24" s="20">
        <f t="shared" si="12"/>
        <v>2676.6363852800005</v>
      </c>
      <c r="AO24" s="20">
        <f t="shared" si="13"/>
        <v>0</v>
      </c>
      <c r="AP24" s="20">
        <f t="shared" si="13"/>
        <v>12392.546017280001</v>
      </c>
      <c r="AQ24" s="20">
        <f t="shared" si="14"/>
        <v>12392.546017280001</v>
      </c>
      <c r="AR24" s="20">
        <v>0</v>
      </c>
      <c r="AS24" s="20">
        <f>572+572+572</f>
        <v>1716</v>
      </c>
      <c r="AT24" s="20">
        <v>0</v>
      </c>
      <c r="AU24" s="20">
        <v>0</v>
      </c>
      <c r="AV24" s="20">
        <f t="shared" si="15"/>
        <v>0</v>
      </c>
      <c r="AW24" s="20">
        <f t="shared" si="16"/>
        <v>1716</v>
      </c>
      <c r="AX24" s="20">
        <f t="shared" si="17"/>
        <v>1716</v>
      </c>
      <c r="AY24" s="20">
        <f t="shared" si="18"/>
        <v>10676.546017280001</v>
      </c>
      <c r="AZ24" s="20">
        <f t="shared" si="19"/>
        <v>10676.546017280001</v>
      </c>
      <c r="BA24" s="15">
        <f t="shared" si="20"/>
        <v>0</v>
      </c>
      <c r="BB24" s="261">
        <v>0.3</v>
      </c>
      <c r="BC24" s="147">
        <v>0</v>
      </c>
      <c r="BD24" s="379">
        <v>0</v>
      </c>
      <c r="BE24" s="157">
        <f t="shared" si="38"/>
        <v>0</v>
      </c>
      <c r="BF24" s="147">
        <f>AA24*0.92</f>
        <v>2276.7247360000001</v>
      </c>
      <c r="BG24" s="147">
        <f t="shared" si="21"/>
        <v>2276.7247360000001</v>
      </c>
      <c r="BH24" s="409" t="s">
        <v>144</v>
      </c>
      <c r="BI24" s="261">
        <v>0.3</v>
      </c>
      <c r="BJ24" s="147">
        <v>0</v>
      </c>
      <c r="BK24" s="379">
        <v>12</v>
      </c>
      <c r="BL24" s="157">
        <f t="shared" si="22"/>
        <v>0</v>
      </c>
      <c r="BM24" s="147">
        <f>2573.688832</f>
        <v>2573.6888319999998</v>
      </c>
      <c r="BN24" s="229">
        <f t="shared" si="23"/>
        <v>2573.6888319999998</v>
      </c>
      <c r="BO24" s="428">
        <v>0.3</v>
      </c>
      <c r="BP24" s="147">
        <f t="shared" si="24"/>
        <v>0</v>
      </c>
      <c r="BQ24" s="379">
        <v>0</v>
      </c>
      <c r="BR24" s="147">
        <f t="shared" si="25"/>
        <v>0</v>
      </c>
      <c r="BS24" s="147">
        <v>0</v>
      </c>
      <c r="BT24" s="229">
        <f t="shared" si="26"/>
        <v>0</v>
      </c>
      <c r="BU24" s="228">
        <v>0</v>
      </c>
      <c r="BV24" s="147">
        <v>0</v>
      </c>
      <c r="BW24" s="147">
        <v>0</v>
      </c>
      <c r="BX24" s="147">
        <f t="shared" si="27"/>
        <v>0</v>
      </c>
      <c r="BY24" s="147">
        <v>0</v>
      </c>
      <c r="BZ24" s="229">
        <f t="shared" si="28"/>
        <v>0</v>
      </c>
      <c r="CA24" s="228">
        <f t="shared" si="29"/>
        <v>0</v>
      </c>
      <c r="CB24" s="147">
        <f t="shared" si="30"/>
        <v>4850.4135679999999</v>
      </c>
      <c r="CC24" s="229">
        <f t="shared" si="37"/>
        <v>4850.4135679999999</v>
      </c>
      <c r="CD24" s="23"/>
      <c r="CE24" s="20">
        <f t="shared" si="31"/>
        <v>0</v>
      </c>
      <c r="CF24" s="20">
        <f t="shared" si="32"/>
        <v>6566.4135679999999</v>
      </c>
      <c r="CG24" s="15">
        <f t="shared" si="33"/>
        <v>6566.4135679999999</v>
      </c>
      <c r="CH24" s="376">
        <f t="shared" si="34"/>
        <v>0</v>
      </c>
      <c r="CI24" s="377">
        <f t="shared" si="35"/>
        <v>5826.1324492800013</v>
      </c>
      <c r="CJ24" s="522">
        <f t="shared" si="36"/>
        <v>5826.1324492800013</v>
      </c>
      <c r="CK24" s="532">
        <f t="shared" si="0"/>
        <v>-5826</v>
      </c>
      <c r="CL24" s="533">
        <f t="shared" si="1"/>
        <v>0.1324492800013104</v>
      </c>
      <c r="CM24" s="372"/>
      <c r="CN24" s="372"/>
      <c r="CO24" s="372"/>
      <c r="CP24" s="372"/>
      <c r="CQ24" s="372">
        <v>-5826</v>
      </c>
      <c r="CR24" s="372"/>
      <c r="CS24" s="372"/>
      <c r="CT24" s="372"/>
      <c r="CU24" s="372"/>
      <c r="CV24" s="372"/>
      <c r="CW24" s="372"/>
      <c r="CX24" s="372"/>
      <c r="CY24" s="372"/>
      <c r="CZ24" s="372"/>
      <c r="DA24" s="372"/>
      <c r="DB24" s="372"/>
      <c r="DC24" s="372"/>
      <c r="DD24" s="372"/>
      <c r="DE24" s="372"/>
      <c r="DF24" s="372"/>
      <c r="DG24" s="372"/>
      <c r="DH24" s="372"/>
      <c r="DI24" s="372"/>
      <c r="DJ24" s="372"/>
      <c r="DK24" s="372"/>
      <c r="DL24" s="372"/>
      <c r="DM24" s="372"/>
      <c r="DN24" s="372"/>
      <c r="DO24" s="372"/>
      <c r="DP24" s="372"/>
      <c r="DQ24" s="372"/>
      <c r="DR24" s="372"/>
      <c r="DS24" s="372"/>
      <c r="DT24" s="372"/>
      <c r="DU24" s="372"/>
      <c r="DV24" s="372"/>
      <c r="DW24" s="372"/>
      <c r="DX24" s="372"/>
      <c r="DY24" s="372"/>
      <c r="DZ24" s="372"/>
      <c r="EA24" s="372"/>
      <c r="EB24" s="372"/>
      <c r="EC24" s="372"/>
      <c r="ED24" s="372"/>
      <c r="EE24" s="372"/>
      <c r="EF24" s="372"/>
      <c r="EG24" s="372"/>
      <c r="EH24" s="372"/>
      <c r="EI24" s="372"/>
      <c r="EJ24" s="372"/>
      <c r="EK24" s="372"/>
      <c r="EL24" s="372"/>
      <c r="EM24" s="372"/>
      <c r="EN24" s="372"/>
      <c r="EO24" s="372"/>
      <c r="EP24" s="372"/>
      <c r="EQ24" s="372"/>
      <c r="ER24" s="372"/>
      <c r="ES24" s="372"/>
    </row>
    <row r="25" spans="1:149" s="126" customFormat="1" ht="19.5" hidden="1" customHeight="1" x14ac:dyDescent="0.45">
      <c r="A25" s="144" t="s">
        <v>445</v>
      </c>
      <c r="B25" s="588">
        <v>89050</v>
      </c>
      <c r="C25" s="144" t="s">
        <v>446</v>
      </c>
      <c r="D25" s="139"/>
      <c r="E25" s="135">
        <v>15</v>
      </c>
      <c r="F25" s="156" t="s">
        <v>72</v>
      </c>
      <c r="G25" s="130" t="s">
        <v>125</v>
      </c>
      <c r="H25" s="156" t="s">
        <v>136</v>
      </c>
      <c r="I25" s="156" t="s">
        <v>11</v>
      </c>
      <c r="J25" s="145">
        <v>1</v>
      </c>
      <c r="K25" s="149">
        <f>15000/12</f>
        <v>1250</v>
      </c>
      <c r="L25" s="143">
        <v>6</v>
      </c>
      <c r="M25" s="143" t="s">
        <v>129</v>
      </c>
      <c r="N25" s="20">
        <f>L25*K25*J25</f>
        <v>7500</v>
      </c>
      <c r="O25" s="20">
        <v>0</v>
      </c>
      <c r="P25" s="20">
        <f t="shared" si="5"/>
        <v>7500</v>
      </c>
      <c r="Q25" s="145">
        <v>1</v>
      </c>
      <c r="R25" s="20">
        <f t="shared" si="6"/>
        <v>1300</v>
      </c>
      <c r="S25" s="143">
        <v>0</v>
      </c>
      <c r="T25" s="20">
        <f>R25*S25*Q25</f>
        <v>0</v>
      </c>
      <c r="U25" s="20">
        <v>0</v>
      </c>
      <c r="V25" s="20">
        <f t="shared" si="7"/>
        <v>0</v>
      </c>
      <c r="W25" s="145">
        <v>1</v>
      </c>
      <c r="X25" s="20">
        <f t="shared" si="8"/>
        <v>1352</v>
      </c>
      <c r="Y25" s="143">
        <v>0</v>
      </c>
      <c r="Z25" s="20">
        <f>Y25*X25*W25</f>
        <v>0</v>
      </c>
      <c r="AA25" s="20">
        <v>0</v>
      </c>
      <c r="AB25" s="20">
        <f t="shared" si="9"/>
        <v>0</v>
      </c>
      <c r="AC25" s="145">
        <v>1</v>
      </c>
      <c r="AD25" s="20">
        <f t="shared" si="3"/>
        <v>1406.0800000000002</v>
      </c>
      <c r="AE25" s="143">
        <v>0</v>
      </c>
      <c r="AF25" s="20">
        <f>AE25*AD25*AC25</f>
        <v>0</v>
      </c>
      <c r="AG25" s="20">
        <v>0</v>
      </c>
      <c r="AH25" s="20">
        <f t="shared" si="10"/>
        <v>0</v>
      </c>
      <c r="AI25" s="145">
        <v>1</v>
      </c>
      <c r="AJ25" s="20">
        <f t="shared" si="11"/>
        <v>1462.3232000000003</v>
      </c>
      <c r="AK25" s="143">
        <v>0</v>
      </c>
      <c r="AL25" s="20">
        <f>AK25*AJ25*AI25</f>
        <v>0</v>
      </c>
      <c r="AM25" s="20">
        <v>0</v>
      </c>
      <c r="AN25" s="20">
        <f t="shared" si="12"/>
        <v>0</v>
      </c>
      <c r="AO25" s="20">
        <f t="shared" si="13"/>
        <v>7500</v>
      </c>
      <c r="AP25" s="20">
        <f t="shared" si="13"/>
        <v>0</v>
      </c>
      <c r="AQ25" s="20">
        <f t="shared" si="14"/>
        <v>7500</v>
      </c>
      <c r="AR25" s="20">
        <v>0</v>
      </c>
      <c r="AS25" s="20">
        <v>0</v>
      </c>
      <c r="AT25" s="20">
        <v>0</v>
      </c>
      <c r="AU25" s="20">
        <v>0</v>
      </c>
      <c r="AV25" s="20">
        <f t="shared" si="15"/>
        <v>0</v>
      </c>
      <c r="AW25" s="20">
        <f t="shared" si="16"/>
        <v>0</v>
      </c>
      <c r="AX25" s="20">
        <f t="shared" si="17"/>
        <v>0</v>
      </c>
      <c r="AY25" s="20">
        <f t="shared" si="18"/>
        <v>7500</v>
      </c>
      <c r="AZ25" s="20">
        <f t="shared" si="19"/>
        <v>7500</v>
      </c>
      <c r="BA25" s="15">
        <f t="shared" si="20"/>
        <v>0</v>
      </c>
      <c r="BB25" s="263">
        <v>0</v>
      </c>
      <c r="BC25" s="147">
        <f>AI25*$P$7*$P$7</f>
        <v>0</v>
      </c>
      <c r="BD25" s="159">
        <v>0</v>
      </c>
      <c r="BE25" s="157">
        <f t="shared" si="38"/>
        <v>0</v>
      </c>
      <c r="BF25" s="147">
        <f>AA25</f>
        <v>0</v>
      </c>
      <c r="BG25" s="147">
        <f t="shared" si="21"/>
        <v>0</v>
      </c>
      <c r="BH25" s="409" t="s">
        <v>145</v>
      </c>
      <c r="BI25" s="263">
        <v>0</v>
      </c>
      <c r="BJ25" s="147">
        <f>AO25*$P$7*$P$7</f>
        <v>0</v>
      </c>
      <c r="BK25" s="159">
        <v>0</v>
      </c>
      <c r="BL25" s="157">
        <f t="shared" si="22"/>
        <v>0</v>
      </c>
      <c r="BM25" s="147">
        <v>0</v>
      </c>
      <c r="BN25" s="229">
        <f t="shared" si="23"/>
        <v>0</v>
      </c>
      <c r="BO25" s="430">
        <v>0</v>
      </c>
      <c r="BP25" s="147">
        <f t="shared" si="24"/>
        <v>0</v>
      </c>
      <c r="BQ25" s="159">
        <v>0</v>
      </c>
      <c r="BR25" s="147">
        <f t="shared" si="25"/>
        <v>0</v>
      </c>
      <c r="BS25" s="147">
        <v>0</v>
      </c>
      <c r="BT25" s="229">
        <f t="shared" si="26"/>
        <v>0</v>
      </c>
      <c r="BU25" s="228">
        <v>0</v>
      </c>
      <c r="BV25" s="147">
        <v>0</v>
      </c>
      <c r="BW25" s="147">
        <v>0</v>
      </c>
      <c r="BX25" s="147">
        <f t="shared" si="27"/>
        <v>0</v>
      </c>
      <c r="BY25" s="147">
        <v>0</v>
      </c>
      <c r="BZ25" s="229">
        <f t="shared" si="28"/>
        <v>0</v>
      </c>
      <c r="CA25" s="228">
        <f t="shared" si="29"/>
        <v>0</v>
      </c>
      <c r="CB25" s="147">
        <f t="shared" si="30"/>
        <v>0</v>
      </c>
      <c r="CC25" s="229">
        <f t="shared" si="37"/>
        <v>0</v>
      </c>
      <c r="CD25" s="23"/>
      <c r="CE25" s="20">
        <f t="shared" si="31"/>
        <v>0</v>
      </c>
      <c r="CF25" s="20">
        <f t="shared" si="32"/>
        <v>0</v>
      </c>
      <c r="CG25" s="15">
        <f t="shared" si="33"/>
        <v>0</v>
      </c>
      <c r="CH25" s="376">
        <f t="shared" si="34"/>
        <v>7500</v>
      </c>
      <c r="CI25" s="377">
        <f t="shared" si="35"/>
        <v>0</v>
      </c>
      <c r="CJ25" s="522">
        <f t="shared" si="36"/>
        <v>7500</v>
      </c>
      <c r="CK25" s="532">
        <f t="shared" si="0"/>
        <v>-7500</v>
      </c>
      <c r="CL25" s="533">
        <f t="shared" si="1"/>
        <v>0</v>
      </c>
      <c r="CM25" s="372"/>
      <c r="CN25" s="372"/>
      <c r="CO25" s="372"/>
      <c r="CP25" s="372"/>
      <c r="CQ25" s="372"/>
      <c r="CR25" s="372">
        <v>-7500</v>
      </c>
      <c r="CS25" s="372"/>
      <c r="CT25" s="372"/>
      <c r="CU25" s="372"/>
      <c r="CV25" s="372"/>
      <c r="CW25" s="372"/>
      <c r="CX25" s="372"/>
      <c r="CY25" s="372"/>
      <c r="CZ25" s="372"/>
      <c r="DA25" s="372"/>
      <c r="DB25" s="372"/>
      <c r="DC25" s="372"/>
      <c r="DD25" s="372"/>
      <c r="DE25" s="372"/>
      <c r="DF25" s="372"/>
      <c r="DG25" s="372"/>
      <c r="DH25" s="372"/>
      <c r="DI25" s="372"/>
      <c r="DJ25" s="372"/>
      <c r="DK25" s="372"/>
      <c r="DL25" s="372"/>
      <c r="DM25" s="372"/>
      <c r="DN25" s="372"/>
      <c r="DO25" s="372"/>
      <c r="DP25" s="372"/>
      <c r="DQ25" s="372"/>
      <c r="DR25" s="372"/>
      <c r="DS25" s="372"/>
      <c r="DT25" s="372"/>
      <c r="DU25" s="372"/>
      <c r="DV25" s="372"/>
      <c r="DW25" s="372"/>
      <c r="DX25" s="372"/>
      <c r="DY25" s="372"/>
      <c r="DZ25" s="372"/>
      <c r="EA25" s="372"/>
      <c r="EB25" s="372"/>
      <c r="EC25" s="372"/>
      <c r="ED25" s="372"/>
      <c r="EE25" s="372"/>
      <c r="EF25" s="372"/>
      <c r="EG25" s="372"/>
      <c r="EH25" s="372"/>
      <c r="EI25" s="372"/>
      <c r="EJ25" s="372"/>
      <c r="EK25" s="372"/>
      <c r="EL25" s="372"/>
      <c r="EM25" s="372"/>
      <c r="EN25" s="372"/>
      <c r="EO25" s="372"/>
      <c r="EP25" s="372"/>
      <c r="EQ25" s="372"/>
      <c r="ER25" s="372"/>
      <c r="ES25" s="372"/>
    </row>
    <row r="26" spans="1:149" s="126" customFormat="1" ht="25.15" customHeight="1" x14ac:dyDescent="0.45">
      <c r="A26" s="144" t="s">
        <v>445</v>
      </c>
      <c r="B26" s="588">
        <v>89050</v>
      </c>
      <c r="C26" s="144" t="s">
        <v>446</v>
      </c>
      <c r="D26" s="139" t="s">
        <v>447</v>
      </c>
      <c r="E26" s="143">
        <v>16</v>
      </c>
      <c r="F26" s="380" t="s">
        <v>73</v>
      </c>
      <c r="G26" s="378" t="s">
        <v>125</v>
      </c>
      <c r="H26" s="155" t="s">
        <v>136</v>
      </c>
      <c r="I26" s="381" t="s">
        <v>11</v>
      </c>
      <c r="J26" s="145">
        <v>1</v>
      </c>
      <c r="K26" s="20">
        <f>22500/12</f>
        <v>1875</v>
      </c>
      <c r="L26" s="143">
        <v>9</v>
      </c>
      <c r="M26" s="143" t="s">
        <v>129</v>
      </c>
      <c r="N26" s="20">
        <f>L26*K26*J26</f>
        <v>16875</v>
      </c>
      <c r="O26" s="20">
        <v>0</v>
      </c>
      <c r="P26" s="20">
        <f t="shared" si="5"/>
        <v>16875</v>
      </c>
      <c r="Q26" s="145">
        <f>J26</f>
        <v>1</v>
      </c>
      <c r="R26" s="20">
        <f t="shared" si="6"/>
        <v>1950</v>
      </c>
      <c r="S26" s="143">
        <v>12</v>
      </c>
      <c r="T26" s="20">
        <f>Q26*R26*S26</f>
        <v>23400</v>
      </c>
      <c r="U26" s="20">
        <v>0</v>
      </c>
      <c r="V26" s="20">
        <f t="shared" si="7"/>
        <v>23400</v>
      </c>
      <c r="W26" s="145">
        <f>Q26</f>
        <v>1</v>
      </c>
      <c r="X26" s="20">
        <f t="shared" si="8"/>
        <v>2028</v>
      </c>
      <c r="Y26" s="143">
        <v>12</v>
      </c>
      <c r="Z26" s="20">
        <f>W26*X26*Y26</f>
        <v>24336</v>
      </c>
      <c r="AA26" s="20">
        <v>0</v>
      </c>
      <c r="AB26" s="20">
        <f t="shared" si="9"/>
        <v>24336</v>
      </c>
      <c r="AC26" s="145">
        <f>W26</f>
        <v>1</v>
      </c>
      <c r="AD26" s="20">
        <f t="shared" si="3"/>
        <v>2109.12</v>
      </c>
      <c r="AE26" s="143">
        <v>12</v>
      </c>
      <c r="AF26" s="20">
        <f>AC26*AD26*AE26</f>
        <v>25309.439999999999</v>
      </c>
      <c r="AG26" s="20">
        <v>0</v>
      </c>
      <c r="AH26" s="20">
        <f t="shared" si="10"/>
        <v>25309.439999999999</v>
      </c>
      <c r="AI26" s="145">
        <f>AC26</f>
        <v>1</v>
      </c>
      <c r="AJ26" s="20">
        <f t="shared" si="11"/>
        <v>2193.4848000000002</v>
      </c>
      <c r="AK26" s="143">
        <v>10</v>
      </c>
      <c r="AL26" s="20">
        <f>AI26*AJ26*AK26</f>
        <v>21934.848000000002</v>
      </c>
      <c r="AM26" s="20">
        <v>0</v>
      </c>
      <c r="AN26" s="20">
        <f t="shared" si="12"/>
        <v>21934.848000000002</v>
      </c>
      <c r="AO26" s="20">
        <f t="shared" si="13"/>
        <v>111855.288</v>
      </c>
      <c r="AP26" s="20">
        <f t="shared" si="13"/>
        <v>0</v>
      </c>
      <c r="AQ26" s="20">
        <f t="shared" si="14"/>
        <v>111855.288</v>
      </c>
      <c r="AR26" s="20">
        <f>222.73+969.16+982.85+949.02+934.11+3510</f>
        <v>7567.87</v>
      </c>
      <c r="AS26" s="20">
        <v>0</v>
      </c>
      <c r="AT26" s="20">
        <f>925.79+(1003.88+62.34)+1122.6+1126.7+1063.2+1084.3+976.18+988.16+962.31+903.49+866.6+892.05+8843+2243+10776</f>
        <v>33839.599999999999</v>
      </c>
      <c r="AU26" s="20">
        <v>0</v>
      </c>
      <c r="AV26" s="20">
        <f t="shared" si="15"/>
        <v>41407.47</v>
      </c>
      <c r="AW26" s="20">
        <f t="shared" si="16"/>
        <v>0</v>
      </c>
      <c r="AX26" s="20">
        <f t="shared" si="17"/>
        <v>41407.47</v>
      </c>
      <c r="AY26" s="20">
        <f t="shared" si="18"/>
        <v>70447.817999999999</v>
      </c>
      <c r="AZ26" s="20">
        <f t="shared" si="19"/>
        <v>70447.817999999999</v>
      </c>
      <c r="BA26" s="15">
        <f t="shared" si="20"/>
        <v>0</v>
      </c>
      <c r="BB26" s="263">
        <v>1</v>
      </c>
      <c r="BC26" s="147">
        <v>1058.47</v>
      </c>
      <c r="BD26" s="143">
        <v>12</v>
      </c>
      <c r="BE26" s="157">
        <f t="shared" si="38"/>
        <v>12701.64</v>
      </c>
      <c r="BF26" s="147">
        <f>AA26</f>
        <v>0</v>
      </c>
      <c r="BG26" s="147">
        <f t="shared" si="21"/>
        <v>12701.64</v>
      </c>
      <c r="BH26" s="407" t="s">
        <v>146</v>
      </c>
      <c r="BI26" s="263">
        <v>1</v>
      </c>
      <c r="BJ26" s="147">
        <v>1062.69</v>
      </c>
      <c r="BK26" s="143">
        <v>12</v>
      </c>
      <c r="BL26" s="147">
        <f t="shared" si="22"/>
        <v>12752.28</v>
      </c>
      <c r="BM26" s="147">
        <v>0</v>
      </c>
      <c r="BN26" s="229">
        <f t="shared" si="23"/>
        <v>12752.28</v>
      </c>
      <c r="BO26" s="430">
        <v>1</v>
      </c>
      <c r="BP26" s="147">
        <f t="shared" si="24"/>
        <v>1105.1976000000002</v>
      </c>
      <c r="BQ26" s="143">
        <v>12</v>
      </c>
      <c r="BR26" s="147">
        <f t="shared" si="25"/>
        <v>13262.371200000001</v>
      </c>
      <c r="BS26" s="147">
        <v>0</v>
      </c>
      <c r="BT26" s="229">
        <f t="shared" si="26"/>
        <v>13262.371200000001</v>
      </c>
      <c r="BU26" s="261">
        <v>1</v>
      </c>
      <c r="BV26" s="147">
        <f>BP26*1.04</f>
        <v>1149.4055040000003</v>
      </c>
      <c r="BW26" s="147">
        <v>6</v>
      </c>
      <c r="BX26" s="147">
        <f t="shared" si="27"/>
        <v>6896.4330240000018</v>
      </c>
      <c r="BY26" s="147">
        <v>0</v>
      </c>
      <c r="BZ26" s="229">
        <f t="shared" si="28"/>
        <v>6896.4330240000018</v>
      </c>
      <c r="CA26" s="228">
        <f t="shared" si="29"/>
        <v>45612.724224000005</v>
      </c>
      <c r="CB26" s="147">
        <f t="shared" si="30"/>
        <v>0</v>
      </c>
      <c r="CC26" s="229">
        <f t="shared" si="37"/>
        <v>45612.724224000005</v>
      </c>
      <c r="CD26" s="23"/>
      <c r="CE26" s="20">
        <f t="shared" si="31"/>
        <v>87020.194224000006</v>
      </c>
      <c r="CF26" s="20">
        <f t="shared" si="32"/>
        <v>0</v>
      </c>
      <c r="CG26" s="15">
        <f t="shared" si="33"/>
        <v>87020.194224000006</v>
      </c>
      <c r="CH26" s="376">
        <f t="shared" si="34"/>
        <v>24835.093775999994</v>
      </c>
      <c r="CI26" s="377">
        <f t="shared" si="35"/>
        <v>0</v>
      </c>
      <c r="CJ26" s="522">
        <f t="shared" si="36"/>
        <v>24835.093775999994</v>
      </c>
      <c r="CK26" s="532">
        <f t="shared" si="0"/>
        <v>-24835</v>
      </c>
      <c r="CL26" s="533">
        <f t="shared" si="1"/>
        <v>9.3775999994250014E-2</v>
      </c>
      <c r="CM26" s="372"/>
      <c r="CN26" s="372"/>
      <c r="CO26" s="372"/>
      <c r="CP26" s="372"/>
      <c r="CQ26" s="372"/>
      <c r="CR26" s="372"/>
      <c r="CS26" s="372">
        <v>-24835</v>
      </c>
      <c r="CT26" s="372"/>
      <c r="CU26" s="372"/>
      <c r="CV26" s="372"/>
      <c r="CW26" s="372"/>
      <c r="CX26" s="372"/>
      <c r="CY26" s="372"/>
      <c r="CZ26" s="372"/>
      <c r="DA26" s="372"/>
      <c r="DB26" s="372"/>
      <c r="DC26" s="372"/>
      <c r="DD26" s="372"/>
      <c r="DE26" s="372"/>
      <c r="DF26" s="372"/>
      <c r="DG26" s="372"/>
      <c r="DH26" s="372"/>
      <c r="DI26" s="372"/>
      <c r="DJ26" s="372"/>
      <c r="DK26" s="372"/>
      <c r="DL26" s="372"/>
      <c r="DM26" s="372"/>
      <c r="DN26" s="372"/>
      <c r="DO26" s="372"/>
      <c r="DP26" s="372"/>
      <c r="DQ26" s="372"/>
      <c r="DR26" s="372"/>
      <c r="DS26" s="372"/>
      <c r="DT26" s="372"/>
      <c r="DU26" s="372"/>
      <c r="DV26" s="372"/>
      <c r="DW26" s="372"/>
      <c r="DX26" s="372"/>
      <c r="DY26" s="372"/>
      <c r="DZ26" s="372"/>
      <c r="EA26" s="372"/>
      <c r="EB26" s="372"/>
      <c r="EC26" s="372"/>
      <c r="ED26" s="372"/>
      <c r="EE26" s="372"/>
      <c r="EF26" s="372"/>
      <c r="EG26" s="372"/>
      <c r="EH26" s="372"/>
      <c r="EI26" s="372"/>
      <c r="EJ26" s="372"/>
      <c r="EK26" s="372"/>
      <c r="EL26" s="372"/>
      <c r="EM26" s="372"/>
      <c r="EN26" s="372"/>
      <c r="EO26" s="372"/>
      <c r="EP26" s="372"/>
      <c r="EQ26" s="372"/>
      <c r="ER26" s="372"/>
      <c r="ES26" s="372"/>
    </row>
    <row r="27" spans="1:149" s="126" customFormat="1" ht="25.15" hidden="1" customHeight="1" x14ac:dyDescent="0.45">
      <c r="A27" s="144" t="s">
        <v>445</v>
      </c>
      <c r="B27" s="588">
        <v>89050</v>
      </c>
      <c r="C27" s="144" t="s">
        <v>446</v>
      </c>
      <c r="D27" s="139" t="s">
        <v>447</v>
      </c>
      <c r="E27" s="135">
        <v>17</v>
      </c>
      <c r="F27" s="333" t="s">
        <v>147</v>
      </c>
      <c r="G27" s="130" t="s">
        <v>125</v>
      </c>
      <c r="H27" s="156" t="s">
        <v>136</v>
      </c>
      <c r="I27" s="156" t="s">
        <v>133</v>
      </c>
      <c r="J27" s="145">
        <v>1</v>
      </c>
      <c r="K27" s="149">
        <v>1000</v>
      </c>
      <c r="L27" s="143">
        <v>5</v>
      </c>
      <c r="M27" s="143" t="s">
        <v>129</v>
      </c>
      <c r="N27" s="20">
        <v>0</v>
      </c>
      <c r="O27" s="20">
        <f>+K27*L27</f>
        <v>5000</v>
      </c>
      <c r="P27" s="20">
        <f t="shared" si="5"/>
        <v>5000</v>
      </c>
      <c r="Q27" s="145">
        <v>1</v>
      </c>
      <c r="R27" s="20">
        <f t="shared" si="6"/>
        <v>1040</v>
      </c>
      <c r="S27" s="143">
        <v>6</v>
      </c>
      <c r="T27" s="20">
        <v>0</v>
      </c>
      <c r="U27" s="20">
        <f>+R27*S27</f>
        <v>6240</v>
      </c>
      <c r="V27" s="20">
        <f t="shared" si="7"/>
        <v>6240</v>
      </c>
      <c r="W27" s="145">
        <v>1</v>
      </c>
      <c r="X27" s="20">
        <f t="shared" si="8"/>
        <v>1081.6000000000001</v>
      </c>
      <c r="Y27" s="143">
        <v>6</v>
      </c>
      <c r="Z27" s="20">
        <v>0</v>
      </c>
      <c r="AA27" s="20">
        <f>+X27*Y27</f>
        <v>6489.6</v>
      </c>
      <c r="AB27" s="20">
        <f t="shared" si="9"/>
        <v>6489.6</v>
      </c>
      <c r="AC27" s="145">
        <v>1</v>
      </c>
      <c r="AD27" s="20">
        <f t="shared" si="3"/>
        <v>1124.8640000000003</v>
      </c>
      <c r="AE27" s="143">
        <v>6</v>
      </c>
      <c r="AF27" s="20">
        <v>0</v>
      </c>
      <c r="AG27" s="20">
        <f>+AD27*AE27</f>
        <v>6749.1840000000011</v>
      </c>
      <c r="AH27" s="20">
        <f t="shared" si="10"/>
        <v>6749.1840000000011</v>
      </c>
      <c r="AI27" s="145">
        <v>1</v>
      </c>
      <c r="AJ27" s="20">
        <f t="shared" si="11"/>
        <v>1169.8585600000004</v>
      </c>
      <c r="AK27" s="143">
        <v>6</v>
      </c>
      <c r="AL27" s="20">
        <v>0</v>
      </c>
      <c r="AM27" s="20">
        <f>+AJ27*AK27</f>
        <v>7019.1513600000017</v>
      </c>
      <c r="AN27" s="20">
        <f t="shared" si="12"/>
        <v>7019.1513600000017</v>
      </c>
      <c r="AO27" s="20">
        <f t="shared" si="13"/>
        <v>0</v>
      </c>
      <c r="AP27" s="20">
        <f t="shared" si="13"/>
        <v>31497.935360000003</v>
      </c>
      <c r="AQ27" s="20">
        <f t="shared" si="14"/>
        <v>31497.935360000003</v>
      </c>
      <c r="AR27" s="20">
        <v>0</v>
      </c>
      <c r="AS27" s="20">
        <f>1250+1250+1250+314.38</f>
        <v>4064.38</v>
      </c>
      <c r="AT27" s="143">
        <v>0</v>
      </c>
      <c r="AU27" s="20">
        <f>296.13+301.16+311.51+312.65+295.03+300.88+270.88+274.2+267.03+267.03+240.47+247.54</f>
        <v>3384.5099999999989</v>
      </c>
      <c r="AV27" s="20">
        <f t="shared" si="15"/>
        <v>0</v>
      </c>
      <c r="AW27" s="20">
        <f t="shared" si="16"/>
        <v>7448.8899999999994</v>
      </c>
      <c r="AX27" s="20">
        <f t="shared" si="17"/>
        <v>7448.8899999999994</v>
      </c>
      <c r="AY27" s="20">
        <f t="shared" si="18"/>
        <v>24049.045360000004</v>
      </c>
      <c r="AZ27" s="20">
        <f t="shared" si="19"/>
        <v>24049.045360000004</v>
      </c>
      <c r="BA27" s="15">
        <f t="shared" si="20"/>
        <v>0</v>
      </c>
      <c r="BB27" s="263">
        <v>0.3</v>
      </c>
      <c r="BC27" s="147">
        <f>AI27*$P$7*$P$7</f>
        <v>0</v>
      </c>
      <c r="BD27" s="159">
        <v>0</v>
      </c>
      <c r="BE27" s="157">
        <f t="shared" si="38"/>
        <v>0</v>
      </c>
      <c r="BF27" s="147">
        <v>5970.43</v>
      </c>
      <c r="BG27" s="157">
        <f t="shared" si="21"/>
        <v>5970.43</v>
      </c>
      <c r="BH27" s="409" t="s">
        <v>148</v>
      </c>
      <c r="BI27" s="263">
        <v>0.3</v>
      </c>
      <c r="BJ27" s="147">
        <f>AO27*$P$7*$P$7</f>
        <v>0</v>
      </c>
      <c r="BK27" s="159">
        <v>12</v>
      </c>
      <c r="BL27" s="157">
        <f t="shared" si="22"/>
        <v>0</v>
      </c>
      <c r="BM27" s="147">
        <f>6749.184</f>
        <v>6749.1840000000002</v>
      </c>
      <c r="BN27" s="229">
        <f t="shared" si="23"/>
        <v>6749.1840000000002</v>
      </c>
      <c r="BO27" s="430">
        <v>0.3</v>
      </c>
      <c r="BP27" s="147">
        <f t="shared" si="24"/>
        <v>0</v>
      </c>
      <c r="BQ27" s="159">
        <v>12</v>
      </c>
      <c r="BR27" s="147">
        <f t="shared" si="25"/>
        <v>0</v>
      </c>
      <c r="BS27" s="147">
        <f>BM27*1.04</f>
        <v>7019.1513600000008</v>
      </c>
      <c r="BT27" s="229">
        <f t="shared" si="26"/>
        <v>7019.1513600000008</v>
      </c>
      <c r="BU27" s="228">
        <v>0</v>
      </c>
      <c r="BV27" s="147">
        <v>5443.1</v>
      </c>
      <c r="BW27" s="147">
        <v>0</v>
      </c>
      <c r="BX27" s="147">
        <f t="shared" si="27"/>
        <v>0</v>
      </c>
      <c r="BY27" s="147">
        <f>BV27</f>
        <v>5443.1</v>
      </c>
      <c r="BZ27" s="229">
        <f t="shared" si="28"/>
        <v>5443.1</v>
      </c>
      <c r="CA27" s="228">
        <f t="shared" si="29"/>
        <v>0</v>
      </c>
      <c r="CB27" s="147">
        <f t="shared" si="30"/>
        <v>25181.865360000003</v>
      </c>
      <c r="CC27" s="229">
        <f t="shared" si="37"/>
        <v>25181.865360000003</v>
      </c>
      <c r="CD27" s="23"/>
      <c r="CE27" s="20">
        <f t="shared" si="31"/>
        <v>0</v>
      </c>
      <c r="CF27" s="20">
        <f t="shared" si="32"/>
        <v>32630.755360000003</v>
      </c>
      <c r="CG27" s="15">
        <f t="shared" si="33"/>
        <v>32630.755360000003</v>
      </c>
      <c r="CH27" s="376">
        <f t="shared" si="34"/>
        <v>0</v>
      </c>
      <c r="CI27" s="377">
        <f t="shared" si="35"/>
        <v>-1132.8199999999997</v>
      </c>
      <c r="CJ27" s="522">
        <f t="shared" si="36"/>
        <v>-1132.8199999999997</v>
      </c>
      <c r="CK27" s="532">
        <f t="shared" si="0"/>
        <v>1133</v>
      </c>
      <c r="CL27" s="533">
        <f t="shared" si="1"/>
        <v>0.18000000000029104</v>
      </c>
      <c r="CM27" s="372"/>
      <c r="CN27" s="372"/>
      <c r="CO27" s="372"/>
      <c r="CP27" s="372"/>
      <c r="CQ27" s="372">
        <v>1133</v>
      </c>
      <c r="CR27" s="372"/>
      <c r="CS27" s="372"/>
      <c r="CT27" s="372"/>
      <c r="CU27" s="372"/>
      <c r="CV27" s="372"/>
      <c r="CW27" s="372"/>
      <c r="CX27" s="372"/>
      <c r="CY27" s="372"/>
      <c r="CZ27" s="372"/>
      <c r="DA27" s="372"/>
      <c r="DB27" s="372"/>
      <c r="DC27" s="372"/>
      <c r="DD27" s="372"/>
      <c r="DE27" s="372"/>
      <c r="DF27" s="372"/>
      <c r="DG27" s="372"/>
      <c r="DH27" s="372"/>
      <c r="DI27" s="372"/>
      <c r="DJ27" s="372"/>
      <c r="DK27" s="372"/>
      <c r="DL27" s="372"/>
      <c r="DM27" s="372"/>
      <c r="DN27" s="372"/>
      <c r="DO27" s="372"/>
      <c r="DP27" s="372"/>
      <c r="DQ27" s="372"/>
      <c r="DR27" s="372"/>
      <c r="DS27" s="372"/>
      <c r="DT27" s="372"/>
      <c r="DU27" s="372"/>
      <c r="DV27" s="372"/>
      <c r="DW27" s="372"/>
      <c r="DX27" s="372"/>
      <c r="DY27" s="372"/>
      <c r="DZ27" s="372"/>
      <c r="EA27" s="372"/>
      <c r="EB27" s="372"/>
      <c r="EC27" s="372"/>
      <c r="ED27" s="372"/>
      <c r="EE27" s="372"/>
      <c r="EF27" s="372"/>
      <c r="EG27" s="372"/>
      <c r="EH27" s="372"/>
      <c r="EI27" s="372"/>
      <c r="EJ27" s="372"/>
      <c r="EK27" s="372"/>
      <c r="EL27" s="372"/>
      <c r="EM27" s="372"/>
      <c r="EN27" s="372"/>
      <c r="EO27" s="372"/>
      <c r="EP27" s="372"/>
      <c r="EQ27" s="372"/>
      <c r="ER27" s="372"/>
      <c r="ES27" s="372"/>
    </row>
    <row r="28" spans="1:149" s="126" customFormat="1" ht="19.5" customHeight="1" x14ac:dyDescent="0.45">
      <c r="A28" s="144" t="s">
        <v>445</v>
      </c>
      <c r="B28" s="588">
        <v>89050</v>
      </c>
      <c r="C28" s="144" t="s">
        <v>446</v>
      </c>
      <c r="D28" s="139" t="s">
        <v>447</v>
      </c>
      <c r="E28" s="135">
        <v>18</v>
      </c>
      <c r="F28" s="155" t="s">
        <v>149</v>
      </c>
      <c r="G28" s="378" t="s">
        <v>125</v>
      </c>
      <c r="H28" s="155" t="s">
        <v>136</v>
      </c>
      <c r="I28" s="155" t="s">
        <v>11</v>
      </c>
      <c r="J28" s="145"/>
      <c r="K28" s="149"/>
      <c r="L28" s="143"/>
      <c r="M28" s="143" t="s">
        <v>129</v>
      </c>
      <c r="N28" s="20"/>
      <c r="O28" s="20"/>
      <c r="P28" s="20"/>
      <c r="Q28" s="145"/>
      <c r="R28" s="20"/>
      <c r="S28" s="143"/>
      <c r="T28" s="20"/>
      <c r="U28" s="20"/>
      <c r="V28" s="20"/>
      <c r="W28" s="145"/>
      <c r="X28" s="20"/>
      <c r="Y28" s="143"/>
      <c r="Z28" s="20"/>
      <c r="AA28" s="20"/>
      <c r="AB28" s="20"/>
      <c r="AC28" s="145"/>
      <c r="AD28" s="20"/>
      <c r="AE28" s="143"/>
      <c r="AF28" s="20"/>
      <c r="AG28" s="20"/>
      <c r="AH28" s="20"/>
      <c r="AI28" s="145"/>
      <c r="AJ28" s="20"/>
      <c r="AK28" s="143"/>
      <c r="AL28" s="20"/>
      <c r="AM28" s="20"/>
      <c r="AN28" s="20"/>
      <c r="AO28" s="20"/>
      <c r="AP28" s="20"/>
      <c r="AQ28" s="20">
        <v>0</v>
      </c>
      <c r="AR28" s="20">
        <v>0</v>
      </c>
      <c r="AS28" s="20">
        <v>0</v>
      </c>
      <c r="AT28" s="20">
        <v>0</v>
      </c>
      <c r="AU28" s="20">
        <v>0</v>
      </c>
      <c r="AV28" s="20">
        <f t="shared" si="15"/>
        <v>0</v>
      </c>
      <c r="AW28" s="20">
        <f t="shared" si="16"/>
        <v>0</v>
      </c>
      <c r="AX28" s="20">
        <f t="shared" si="17"/>
        <v>0</v>
      </c>
      <c r="AY28" s="20">
        <f t="shared" si="18"/>
        <v>0</v>
      </c>
      <c r="AZ28" s="20">
        <f t="shared" si="19"/>
        <v>0</v>
      </c>
      <c r="BA28" s="15">
        <f t="shared" si="20"/>
        <v>0</v>
      </c>
      <c r="BB28" s="263">
        <v>1</v>
      </c>
      <c r="BC28" s="147">
        <v>2209.36</v>
      </c>
      <c r="BD28" s="143">
        <v>12</v>
      </c>
      <c r="BE28" s="147">
        <f>BC28*BD28</f>
        <v>26512.32</v>
      </c>
      <c r="BF28" s="147">
        <f t="shared" ref="BF28:BF33" si="39">AA28</f>
        <v>0</v>
      </c>
      <c r="BG28" s="147">
        <f t="shared" si="21"/>
        <v>26512.32</v>
      </c>
      <c r="BH28" s="407" t="s">
        <v>150</v>
      </c>
      <c r="BI28" s="263">
        <v>1</v>
      </c>
      <c r="BJ28" s="20">
        <f>2132.77*1.04</f>
        <v>2218.0808000000002</v>
      </c>
      <c r="BK28" s="143">
        <v>12</v>
      </c>
      <c r="BL28" s="147">
        <f t="shared" si="22"/>
        <v>26616.969600000004</v>
      </c>
      <c r="BM28" s="147">
        <v>0</v>
      </c>
      <c r="BN28" s="229">
        <f t="shared" si="23"/>
        <v>26616.969600000004</v>
      </c>
      <c r="BO28" s="430">
        <v>1</v>
      </c>
      <c r="BP28" s="147">
        <f t="shared" si="24"/>
        <v>2306.8040320000005</v>
      </c>
      <c r="BQ28" s="143">
        <v>12</v>
      </c>
      <c r="BR28" s="147">
        <f t="shared" si="25"/>
        <v>27681.648384000007</v>
      </c>
      <c r="BS28" s="147">
        <v>0</v>
      </c>
      <c r="BT28" s="229">
        <f t="shared" si="26"/>
        <v>27681.648384000007</v>
      </c>
      <c r="BU28" s="261">
        <v>1</v>
      </c>
      <c r="BV28" s="147">
        <f>BP28*1.04</f>
        <v>2399.0761932800006</v>
      </c>
      <c r="BW28" s="147">
        <v>6</v>
      </c>
      <c r="BX28" s="147">
        <f t="shared" si="27"/>
        <v>14394.457159680003</v>
      </c>
      <c r="BY28" s="147">
        <v>0</v>
      </c>
      <c r="BZ28" s="229">
        <f t="shared" si="28"/>
        <v>14394.457159680003</v>
      </c>
      <c r="CA28" s="228">
        <f t="shared" si="29"/>
        <v>95205.395143680027</v>
      </c>
      <c r="CB28" s="147">
        <f t="shared" si="30"/>
        <v>0</v>
      </c>
      <c r="CC28" s="229">
        <f t="shared" si="37"/>
        <v>95205.395143680027</v>
      </c>
      <c r="CD28" s="23"/>
      <c r="CE28" s="20">
        <f t="shared" si="31"/>
        <v>95205.395143680027</v>
      </c>
      <c r="CF28" s="20">
        <f t="shared" si="32"/>
        <v>0</v>
      </c>
      <c r="CG28" s="15">
        <f t="shared" si="33"/>
        <v>95205.395143680027</v>
      </c>
      <c r="CH28" s="376">
        <f t="shared" si="34"/>
        <v>-95205.395143680027</v>
      </c>
      <c r="CI28" s="377">
        <f t="shared" si="35"/>
        <v>0</v>
      </c>
      <c r="CJ28" s="522">
        <f t="shared" si="36"/>
        <v>-95205.395143680027</v>
      </c>
      <c r="CK28" s="532">
        <f t="shared" si="0"/>
        <v>95205</v>
      </c>
      <c r="CL28" s="533">
        <f t="shared" si="1"/>
        <v>-0.39514368002710398</v>
      </c>
      <c r="CM28" s="372">
        <v>95205</v>
      </c>
      <c r="CN28" s="372"/>
      <c r="CO28" s="372"/>
      <c r="CP28" s="372"/>
      <c r="CQ28" s="372"/>
      <c r="CR28" s="372"/>
      <c r="CS28" s="372"/>
      <c r="CT28" s="372"/>
      <c r="CU28" s="372"/>
      <c r="CV28" s="372"/>
      <c r="CW28" s="372"/>
      <c r="CX28" s="372"/>
      <c r="CY28" s="372"/>
      <c r="CZ28" s="372"/>
      <c r="DA28" s="372"/>
      <c r="DB28" s="372"/>
      <c r="DC28" s="372"/>
      <c r="DD28" s="372"/>
      <c r="DE28" s="372"/>
      <c r="DF28" s="372"/>
      <c r="DG28" s="372"/>
      <c r="DH28" s="372"/>
      <c r="DI28" s="372"/>
      <c r="DJ28" s="372"/>
      <c r="DK28" s="372"/>
      <c r="DL28" s="372"/>
      <c r="DM28" s="372"/>
      <c r="DN28" s="372"/>
      <c r="DO28" s="372"/>
      <c r="DP28" s="372"/>
      <c r="DQ28" s="372"/>
      <c r="DR28" s="372"/>
      <c r="DS28" s="372"/>
      <c r="DT28" s="372"/>
      <c r="DU28" s="372"/>
      <c r="DV28" s="372"/>
      <c r="DW28" s="372"/>
      <c r="DX28" s="372"/>
      <c r="DY28" s="372"/>
      <c r="DZ28" s="372"/>
      <c r="EA28" s="372"/>
      <c r="EB28" s="372"/>
      <c r="EC28" s="372"/>
      <c r="ED28" s="372"/>
      <c r="EE28" s="372"/>
      <c r="EF28" s="372"/>
      <c r="EG28" s="372"/>
      <c r="EH28" s="372"/>
      <c r="EI28" s="372"/>
      <c r="EJ28" s="372"/>
      <c r="EK28" s="372"/>
      <c r="EL28" s="372"/>
      <c r="EM28" s="372"/>
      <c r="EN28" s="372"/>
      <c r="EO28" s="372"/>
      <c r="EP28" s="372"/>
      <c r="EQ28" s="372"/>
      <c r="ER28" s="372"/>
      <c r="ES28" s="372"/>
    </row>
    <row r="29" spans="1:149" s="126" customFormat="1" ht="19.5" customHeight="1" x14ac:dyDescent="0.45">
      <c r="A29" s="144" t="s">
        <v>445</v>
      </c>
      <c r="B29" s="588">
        <v>89050</v>
      </c>
      <c r="C29" s="144" t="s">
        <v>446</v>
      </c>
      <c r="D29" s="139" t="s">
        <v>447</v>
      </c>
      <c r="E29" s="135">
        <v>19</v>
      </c>
      <c r="F29" s="155" t="s">
        <v>151</v>
      </c>
      <c r="G29" s="378" t="s">
        <v>125</v>
      </c>
      <c r="H29" s="155" t="s">
        <v>136</v>
      </c>
      <c r="I29" s="155" t="s">
        <v>11</v>
      </c>
      <c r="J29" s="145"/>
      <c r="K29" s="149"/>
      <c r="L29" s="143"/>
      <c r="M29" s="143" t="s">
        <v>129</v>
      </c>
      <c r="N29" s="20"/>
      <c r="O29" s="20"/>
      <c r="P29" s="20"/>
      <c r="Q29" s="145"/>
      <c r="R29" s="20"/>
      <c r="S29" s="143"/>
      <c r="T29" s="20"/>
      <c r="U29" s="20"/>
      <c r="V29" s="20"/>
      <c r="W29" s="145"/>
      <c r="X29" s="20"/>
      <c r="Y29" s="143"/>
      <c r="Z29" s="20"/>
      <c r="AA29" s="20"/>
      <c r="AB29" s="20"/>
      <c r="AC29" s="145"/>
      <c r="AD29" s="20"/>
      <c r="AE29" s="143"/>
      <c r="AF29" s="20"/>
      <c r="AG29" s="20"/>
      <c r="AH29" s="20"/>
      <c r="AI29" s="145"/>
      <c r="AJ29" s="20"/>
      <c r="AK29" s="143"/>
      <c r="AL29" s="20"/>
      <c r="AM29" s="20"/>
      <c r="AN29" s="20"/>
      <c r="AO29" s="20"/>
      <c r="AP29" s="20"/>
      <c r="AQ29" s="20">
        <v>0</v>
      </c>
      <c r="AR29" s="20">
        <v>0</v>
      </c>
      <c r="AS29" s="20">
        <v>0</v>
      </c>
      <c r="AT29" s="20">
        <v>0</v>
      </c>
      <c r="AU29" s="20">
        <v>0</v>
      </c>
      <c r="AV29" s="20">
        <f t="shared" si="15"/>
        <v>0</v>
      </c>
      <c r="AW29" s="20">
        <f t="shared" si="16"/>
        <v>0</v>
      </c>
      <c r="AX29" s="20">
        <f t="shared" si="17"/>
        <v>0</v>
      </c>
      <c r="AY29" s="20">
        <f t="shared" si="18"/>
        <v>0</v>
      </c>
      <c r="AZ29" s="20">
        <f t="shared" si="19"/>
        <v>0</v>
      </c>
      <c r="BA29" s="15">
        <f t="shared" si="20"/>
        <v>0</v>
      </c>
      <c r="BB29" s="263">
        <v>1</v>
      </c>
      <c r="BC29" s="147">
        <v>880.49</v>
      </c>
      <c r="BD29" s="143">
        <v>12</v>
      </c>
      <c r="BE29" s="147">
        <f>BC29*BD29</f>
        <v>10565.880000000001</v>
      </c>
      <c r="BF29" s="147">
        <f t="shared" si="39"/>
        <v>0</v>
      </c>
      <c r="BG29" s="147">
        <f t="shared" si="21"/>
        <v>10565.880000000001</v>
      </c>
      <c r="BH29" s="407" t="s">
        <v>152</v>
      </c>
      <c r="BI29" s="263">
        <v>1</v>
      </c>
      <c r="BJ29" s="147">
        <f>817.46*1.04</f>
        <v>850.15840000000003</v>
      </c>
      <c r="BK29" s="143">
        <v>12</v>
      </c>
      <c r="BL29" s="147">
        <f t="shared" si="22"/>
        <v>10201.900799999999</v>
      </c>
      <c r="BM29" s="147">
        <v>0</v>
      </c>
      <c r="BN29" s="229">
        <f t="shared" si="23"/>
        <v>10201.900799999999</v>
      </c>
      <c r="BO29" s="430">
        <v>1</v>
      </c>
      <c r="BP29" s="147">
        <f t="shared" si="24"/>
        <v>884.16473600000006</v>
      </c>
      <c r="BQ29" s="143">
        <v>12</v>
      </c>
      <c r="BR29" s="147">
        <f t="shared" si="25"/>
        <v>10609.976832</v>
      </c>
      <c r="BS29" s="147">
        <v>0</v>
      </c>
      <c r="BT29" s="229">
        <f t="shared" si="26"/>
        <v>10609.976832</v>
      </c>
      <c r="BU29" s="261">
        <v>1</v>
      </c>
      <c r="BV29" s="147">
        <f>BP29*1.04</f>
        <v>919.53132544000005</v>
      </c>
      <c r="BW29" s="147">
        <v>6</v>
      </c>
      <c r="BX29" s="147">
        <f t="shared" si="27"/>
        <v>5517.1879526400007</v>
      </c>
      <c r="BY29" s="147">
        <v>0</v>
      </c>
      <c r="BZ29" s="229">
        <f t="shared" si="28"/>
        <v>5517.1879526400007</v>
      </c>
      <c r="CA29" s="228">
        <f t="shared" si="29"/>
        <v>36894.945584640001</v>
      </c>
      <c r="CB29" s="147">
        <f t="shared" si="30"/>
        <v>0</v>
      </c>
      <c r="CC29" s="229">
        <f t="shared" si="37"/>
        <v>36894.945584640001</v>
      </c>
      <c r="CD29" s="23"/>
      <c r="CE29" s="20">
        <f t="shared" si="31"/>
        <v>36894.945584640001</v>
      </c>
      <c r="CF29" s="20">
        <f t="shared" si="32"/>
        <v>0</v>
      </c>
      <c r="CG29" s="15">
        <f t="shared" si="33"/>
        <v>36894.945584640001</v>
      </c>
      <c r="CH29" s="376">
        <f t="shared" si="34"/>
        <v>-36894.945584640001</v>
      </c>
      <c r="CI29" s="377">
        <f t="shared" si="35"/>
        <v>0</v>
      </c>
      <c r="CJ29" s="522">
        <f t="shared" si="36"/>
        <v>-36894.945584640001</v>
      </c>
      <c r="CK29" s="532">
        <f t="shared" si="0"/>
        <v>36895</v>
      </c>
      <c r="CL29" s="533">
        <f t="shared" si="1"/>
        <v>5.4415359998529311E-2</v>
      </c>
      <c r="CM29" s="372"/>
      <c r="CN29" s="372">
        <v>36895</v>
      </c>
      <c r="CO29" s="372"/>
      <c r="CP29" s="372"/>
      <c r="CQ29" s="372"/>
      <c r="CR29" s="372"/>
      <c r="CS29" s="372"/>
      <c r="CT29" s="372"/>
      <c r="CU29" s="372"/>
      <c r="CV29" s="372"/>
      <c r="CW29" s="372"/>
      <c r="CX29" s="372"/>
      <c r="CY29" s="372"/>
      <c r="CZ29" s="372"/>
      <c r="DA29" s="372"/>
      <c r="DB29" s="372"/>
      <c r="DC29" s="372"/>
      <c r="DD29" s="372"/>
      <c r="DE29" s="372"/>
      <c r="DF29" s="372"/>
      <c r="DG29" s="372"/>
      <c r="DH29" s="372"/>
      <c r="DI29" s="372"/>
      <c r="DJ29" s="372"/>
      <c r="DK29" s="372"/>
      <c r="DL29" s="372"/>
      <c r="DM29" s="372"/>
      <c r="DN29" s="372"/>
      <c r="DO29" s="372"/>
      <c r="DP29" s="372"/>
      <c r="DQ29" s="372"/>
      <c r="DR29" s="372"/>
      <c r="DS29" s="372"/>
      <c r="DT29" s="372"/>
      <c r="DU29" s="372"/>
      <c r="DV29" s="372"/>
      <c r="DW29" s="372"/>
      <c r="DX29" s="372"/>
      <c r="DY29" s="372"/>
      <c r="DZ29" s="372"/>
      <c r="EA29" s="372"/>
      <c r="EB29" s="372"/>
      <c r="EC29" s="372"/>
      <c r="ED29" s="372"/>
      <c r="EE29" s="372"/>
      <c r="EF29" s="372"/>
      <c r="EG29" s="372"/>
      <c r="EH29" s="372"/>
      <c r="EI29" s="372"/>
      <c r="EJ29" s="372"/>
      <c r="EK29" s="372"/>
      <c r="EL29" s="372"/>
      <c r="EM29" s="372"/>
      <c r="EN29" s="372"/>
      <c r="EO29" s="372"/>
      <c r="EP29" s="372"/>
      <c r="EQ29" s="372"/>
      <c r="ER29" s="372"/>
      <c r="ES29" s="372"/>
    </row>
    <row r="30" spans="1:149" s="126" customFormat="1" ht="19.5" customHeight="1" x14ac:dyDescent="0.45">
      <c r="A30" s="144" t="s">
        <v>445</v>
      </c>
      <c r="B30" s="588">
        <v>89050</v>
      </c>
      <c r="C30" s="144" t="s">
        <v>446</v>
      </c>
      <c r="D30" s="139" t="s">
        <v>447</v>
      </c>
      <c r="E30" s="143">
        <v>20</v>
      </c>
      <c r="F30" s="155" t="s">
        <v>153</v>
      </c>
      <c r="G30" s="378" t="s">
        <v>125</v>
      </c>
      <c r="H30" s="155" t="s">
        <v>136</v>
      </c>
      <c r="I30" s="155" t="s">
        <v>11</v>
      </c>
      <c r="J30" s="145"/>
      <c r="K30" s="149"/>
      <c r="L30" s="143"/>
      <c r="M30" s="143" t="s">
        <v>129</v>
      </c>
      <c r="N30" s="20"/>
      <c r="O30" s="20"/>
      <c r="P30" s="20"/>
      <c r="Q30" s="145"/>
      <c r="R30" s="20"/>
      <c r="S30" s="143"/>
      <c r="T30" s="20"/>
      <c r="U30" s="20"/>
      <c r="V30" s="20"/>
      <c r="W30" s="145"/>
      <c r="X30" s="20"/>
      <c r="Y30" s="143"/>
      <c r="Z30" s="20"/>
      <c r="AA30" s="20"/>
      <c r="AB30" s="20"/>
      <c r="AC30" s="145"/>
      <c r="AD30" s="20"/>
      <c r="AE30" s="143"/>
      <c r="AF30" s="20"/>
      <c r="AG30" s="20"/>
      <c r="AH30" s="20"/>
      <c r="AI30" s="145"/>
      <c r="AJ30" s="20"/>
      <c r="AK30" s="143"/>
      <c r="AL30" s="20"/>
      <c r="AM30" s="20"/>
      <c r="AN30" s="20"/>
      <c r="AO30" s="20"/>
      <c r="AP30" s="20"/>
      <c r="AQ30" s="20">
        <v>0</v>
      </c>
      <c r="AR30" s="20">
        <v>0</v>
      </c>
      <c r="AS30" s="20">
        <v>0</v>
      </c>
      <c r="AT30" s="20">
        <v>0</v>
      </c>
      <c r="AU30" s="20">
        <v>0</v>
      </c>
      <c r="AV30" s="20">
        <f t="shared" si="15"/>
        <v>0</v>
      </c>
      <c r="AW30" s="20">
        <f t="shared" si="16"/>
        <v>0</v>
      </c>
      <c r="AX30" s="20">
        <f t="shared" si="17"/>
        <v>0</v>
      </c>
      <c r="AY30" s="20">
        <f t="shared" si="18"/>
        <v>0</v>
      </c>
      <c r="AZ30" s="20">
        <f t="shared" si="19"/>
        <v>0</v>
      </c>
      <c r="BA30" s="15">
        <f t="shared" si="20"/>
        <v>0</v>
      </c>
      <c r="BB30" s="263">
        <v>1</v>
      </c>
      <c r="BC30" s="147">
        <v>979.78</v>
      </c>
      <c r="BD30" s="143">
        <v>11.7164</v>
      </c>
      <c r="BE30" s="147">
        <f>BC30*BD30</f>
        <v>11479.494392000001</v>
      </c>
      <c r="BF30" s="147">
        <f t="shared" si="39"/>
        <v>0</v>
      </c>
      <c r="BG30" s="147">
        <f t="shared" si="21"/>
        <v>11479.494392000001</v>
      </c>
      <c r="BH30" s="407" t="s">
        <v>154</v>
      </c>
      <c r="BI30" s="263">
        <v>1</v>
      </c>
      <c r="BJ30" s="147">
        <v>982.97</v>
      </c>
      <c r="BK30" s="143">
        <v>12</v>
      </c>
      <c r="BL30" s="147">
        <f t="shared" si="22"/>
        <v>11795.64</v>
      </c>
      <c r="BM30" s="147">
        <v>0</v>
      </c>
      <c r="BN30" s="229">
        <f t="shared" si="23"/>
        <v>11795.64</v>
      </c>
      <c r="BO30" s="430">
        <v>1</v>
      </c>
      <c r="BP30" s="147">
        <f t="shared" si="24"/>
        <v>1022.2888</v>
      </c>
      <c r="BQ30" s="143">
        <v>12</v>
      </c>
      <c r="BR30" s="147">
        <f t="shared" si="25"/>
        <v>12267.4656</v>
      </c>
      <c r="BS30" s="147">
        <v>0</v>
      </c>
      <c r="BT30" s="229">
        <f t="shared" si="26"/>
        <v>12267.4656</v>
      </c>
      <c r="BU30" s="228">
        <v>0</v>
      </c>
      <c r="BV30" s="147">
        <v>0</v>
      </c>
      <c r="BW30" s="147">
        <v>0</v>
      </c>
      <c r="BX30" s="147">
        <v>0</v>
      </c>
      <c r="BY30" s="147">
        <v>0</v>
      </c>
      <c r="BZ30" s="229">
        <f t="shared" si="28"/>
        <v>0</v>
      </c>
      <c r="CA30" s="228">
        <f t="shared" si="29"/>
        <v>35542.599992000003</v>
      </c>
      <c r="CB30" s="147">
        <f t="shared" si="30"/>
        <v>0</v>
      </c>
      <c r="CC30" s="229">
        <f t="shared" si="37"/>
        <v>35542.599992000003</v>
      </c>
      <c r="CD30" s="23"/>
      <c r="CE30" s="20">
        <f t="shared" si="31"/>
        <v>35542.599992000003</v>
      </c>
      <c r="CF30" s="20">
        <f t="shared" si="32"/>
        <v>0</v>
      </c>
      <c r="CG30" s="15">
        <f t="shared" si="33"/>
        <v>35542.599992000003</v>
      </c>
      <c r="CH30" s="376">
        <f t="shared" si="34"/>
        <v>-35542.599992000003</v>
      </c>
      <c r="CI30" s="377">
        <f t="shared" si="35"/>
        <v>0</v>
      </c>
      <c r="CJ30" s="522">
        <f t="shared" si="36"/>
        <v>-35542.599992000003</v>
      </c>
      <c r="CK30" s="532">
        <f t="shared" si="0"/>
        <v>35543</v>
      </c>
      <c r="CL30" s="533">
        <f t="shared" si="1"/>
        <v>0.40000799999688752</v>
      </c>
      <c r="CM30" s="372">
        <v>25207</v>
      </c>
      <c r="CN30" s="372"/>
      <c r="CO30" s="372"/>
      <c r="CP30" s="372"/>
      <c r="CQ30" s="372"/>
      <c r="CR30" s="372"/>
      <c r="CS30" s="372">
        <v>10336</v>
      </c>
      <c r="CT30" s="372"/>
      <c r="CU30" s="372"/>
      <c r="CV30" s="372"/>
      <c r="CW30" s="372"/>
      <c r="CX30" s="372"/>
      <c r="CY30" s="372"/>
      <c r="CZ30" s="372"/>
      <c r="DA30" s="372"/>
      <c r="DB30" s="372"/>
      <c r="DC30" s="372"/>
      <c r="DD30" s="372"/>
      <c r="DE30" s="372"/>
      <c r="DF30" s="372"/>
      <c r="DG30" s="372"/>
      <c r="DH30" s="372"/>
      <c r="DI30" s="372"/>
      <c r="DJ30" s="372"/>
      <c r="DK30" s="372"/>
      <c r="DL30" s="372"/>
      <c r="DM30" s="372"/>
      <c r="DN30" s="372"/>
      <c r="DO30" s="372"/>
      <c r="DP30" s="372"/>
      <c r="DQ30" s="372"/>
      <c r="DR30" s="372"/>
      <c r="DS30" s="372"/>
      <c r="DT30" s="372"/>
      <c r="DU30" s="372"/>
      <c r="DV30" s="372"/>
      <c r="DW30" s="372"/>
      <c r="DX30" s="372"/>
      <c r="DY30" s="372"/>
      <c r="DZ30" s="372"/>
      <c r="EA30" s="372"/>
      <c r="EB30" s="372"/>
      <c r="EC30" s="372"/>
      <c r="ED30" s="372"/>
      <c r="EE30" s="372"/>
      <c r="EF30" s="372"/>
      <c r="EG30" s="372"/>
      <c r="EH30" s="372"/>
      <c r="EI30" s="372"/>
      <c r="EJ30" s="372"/>
      <c r="EK30" s="372"/>
      <c r="EL30" s="372"/>
      <c r="EM30" s="372"/>
      <c r="EN30" s="372"/>
      <c r="EO30" s="372"/>
      <c r="EP30" s="372"/>
      <c r="EQ30" s="372"/>
      <c r="ER30" s="372"/>
      <c r="ES30" s="372"/>
    </row>
    <row r="31" spans="1:149" s="126" customFormat="1" ht="19.5" customHeight="1" x14ac:dyDescent="0.45">
      <c r="A31" s="144" t="s">
        <v>445</v>
      </c>
      <c r="B31" s="588">
        <v>89050</v>
      </c>
      <c r="C31" s="144" t="s">
        <v>446</v>
      </c>
      <c r="D31" s="139" t="s">
        <v>447</v>
      </c>
      <c r="E31" s="143">
        <v>21</v>
      </c>
      <c r="F31" s="155" t="s">
        <v>155</v>
      </c>
      <c r="G31" s="378" t="s">
        <v>125</v>
      </c>
      <c r="H31" s="155" t="s">
        <v>136</v>
      </c>
      <c r="I31" s="155" t="s">
        <v>11</v>
      </c>
      <c r="J31" s="145"/>
      <c r="K31" s="149"/>
      <c r="L31" s="143"/>
      <c r="M31" s="143" t="s">
        <v>129</v>
      </c>
      <c r="N31" s="20"/>
      <c r="O31" s="20"/>
      <c r="P31" s="20"/>
      <c r="Q31" s="145"/>
      <c r="R31" s="20"/>
      <c r="S31" s="143"/>
      <c r="T31" s="20"/>
      <c r="U31" s="20"/>
      <c r="V31" s="20"/>
      <c r="W31" s="145"/>
      <c r="X31" s="20"/>
      <c r="Y31" s="143"/>
      <c r="Z31" s="20"/>
      <c r="AA31" s="20"/>
      <c r="AB31" s="20"/>
      <c r="AC31" s="145"/>
      <c r="AD31" s="20"/>
      <c r="AE31" s="143"/>
      <c r="AF31" s="20"/>
      <c r="AG31" s="20"/>
      <c r="AH31" s="20"/>
      <c r="AI31" s="145"/>
      <c r="AJ31" s="20"/>
      <c r="AK31" s="143"/>
      <c r="AL31" s="20"/>
      <c r="AM31" s="20"/>
      <c r="AN31" s="20"/>
      <c r="AO31" s="20"/>
      <c r="AP31" s="20"/>
      <c r="AQ31" s="20">
        <v>0</v>
      </c>
      <c r="AR31" s="20">
        <v>0</v>
      </c>
      <c r="AS31" s="20">
        <v>0</v>
      </c>
      <c r="AT31" s="20">
        <v>0</v>
      </c>
      <c r="AU31" s="20">
        <v>0</v>
      </c>
      <c r="AV31" s="20">
        <f t="shared" si="15"/>
        <v>0</v>
      </c>
      <c r="AW31" s="20">
        <f t="shared" si="16"/>
        <v>0</v>
      </c>
      <c r="AX31" s="20">
        <f t="shared" si="17"/>
        <v>0</v>
      </c>
      <c r="AY31" s="20">
        <f t="shared" si="18"/>
        <v>0</v>
      </c>
      <c r="AZ31" s="20">
        <f t="shared" si="19"/>
        <v>0</v>
      </c>
      <c r="BA31" s="15">
        <f t="shared" si="20"/>
        <v>0</v>
      </c>
      <c r="BB31" s="263">
        <v>1</v>
      </c>
      <c r="BC31" s="147">
        <v>826.91</v>
      </c>
      <c r="BD31" s="143">
        <v>1</v>
      </c>
      <c r="BE31" s="147">
        <f>BB31*BC31*BD31</f>
        <v>826.91</v>
      </c>
      <c r="BF31" s="147">
        <f t="shared" si="39"/>
        <v>0</v>
      </c>
      <c r="BG31" s="147">
        <f t="shared" si="21"/>
        <v>826.91</v>
      </c>
      <c r="BH31" s="407" t="s">
        <v>156</v>
      </c>
      <c r="BI31" s="263">
        <v>1</v>
      </c>
      <c r="BJ31" s="147">
        <v>850.16</v>
      </c>
      <c r="BK31" s="143">
        <v>12</v>
      </c>
      <c r="BL31" s="147">
        <f t="shared" si="22"/>
        <v>10201.92</v>
      </c>
      <c r="BM31" s="147">
        <v>0</v>
      </c>
      <c r="BN31" s="229">
        <f t="shared" si="23"/>
        <v>10201.92</v>
      </c>
      <c r="BO31" s="430">
        <v>1</v>
      </c>
      <c r="BP31" s="147">
        <f t="shared" si="24"/>
        <v>884.16639999999995</v>
      </c>
      <c r="BQ31" s="143">
        <v>0</v>
      </c>
      <c r="BR31" s="147">
        <f t="shared" si="25"/>
        <v>0</v>
      </c>
      <c r="BS31" s="147">
        <v>0</v>
      </c>
      <c r="BT31" s="229">
        <f t="shared" si="26"/>
        <v>0</v>
      </c>
      <c r="BU31" s="228">
        <v>0</v>
      </c>
      <c r="BV31" s="147">
        <v>0</v>
      </c>
      <c r="BW31" s="147">
        <v>0</v>
      </c>
      <c r="BX31" s="147">
        <v>0</v>
      </c>
      <c r="BY31" s="147">
        <v>0</v>
      </c>
      <c r="BZ31" s="229">
        <f t="shared" si="28"/>
        <v>0</v>
      </c>
      <c r="CA31" s="228">
        <f t="shared" si="29"/>
        <v>11028.83</v>
      </c>
      <c r="CB31" s="147">
        <f t="shared" si="30"/>
        <v>0</v>
      </c>
      <c r="CC31" s="229">
        <f t="shared" si="37"/>
        <v>11028.83</v>
      </c>
      <c r="CD31" s="23"/>
      <c r="CE31" s="20">
        <f t="shared" si="31"/>
        <v>11028.83</v>
      </c>
      <c r="CF31" s="20">
        <f t="shared" si="32"/>
        <v>0</v>
      </c>
      <c r="CG31" s="15">
        <f t="shared" si="33"/>
        <v>11028.83</v>
      </c>
      <c r="CH31" s="376">
        <f t="shared" si="34"/>
        <v>-11028.83</v>
      </c>
      <c r="CI31" s="377">
        <f t="shared" si="35"/>
        <v>0</v>
      </c>
      <c r="CJ31" s="522">
        <f t="shared" si="36"/>
        <v>-11028.83</v>
      </c>
      <c r="CK31" s="532">
        <f t="shared" si="0"/>
        <v>11029</v>
      </c>
      <c r="CL31" s="533">
        <f t="shared" si="1"/>
        <v>0.17000000000007276</v>
      </c>
      <c r="CM31" s="372"/>
      <c r="CN31" s="372"/>
      <c r="CO31" s="372"/>
      <c r="CP31" s="372"/>
      <c r="CQ31" s="372"/>
      <c r="CR31" s="372">
        <v>7500</v>
      </c>
      <c r="CS31" s="372">
        <v>3529</v>
      </c>
      <c r="CT31" s="372"/>
      <c r="CU31" s="372"/>
      <c r="CV31" s="372"/>
      <c r="CW31" s="372"/>
      <c r="CX31" s="372"/>
      <c r="CY31" s="372"/>
      <c r="CZ31" s="372"/>
      <c r="DA31" s="372"/>
      <c r="DB31" s="372"/>
      <c r="DC31" s="372"/>
      <c r="DD31" s="372"/>
      <c r="DE31" s="372"/>
      <c r="DF31" s="372"/>
      <c r="DG31" s="372"/>
      <c r="DH31" s="372"/>
      <c r="DI31" s="372"/>
      <c r="DJ31" s="372"/>
      <c r="DK31" s="372"/>
      <c r="DL31" s="372"/>
      <c r="DM31" s="372"/>
      <c r="DN31" s="372"/>
      <c r="DO31" s="372"/>
      <c r="DP31" s="372"/>
      <c r="DQ31" s="372"/>
      <c r="DR31" s="372"/>
      <c r="DS31" s="372"/>
      <c r="DT31" s="372"/>
      <c r="DU31" s="372"/>
      <c r="DV31" s="372"/>
      <c r="DW31" s="372"/>
      <c r="DX31" s="372"/>
      <c r="DY31" s="372"/>
      <c r="DZ31" s="372"/>
      <c r="EA31" s="372"/>
      <c r="EB31" s="372"/>
      <c r="EC31" s="372"/>
      <c r="ED31" s="372"/>
      <c r="EE31" s="372"/>
      <c r="EF31" s="372"/>
      <c r="EG31" s="372"/>
      <c r="EH31" s="372"/>
      <c r="EI31" s="372"/>
      <c r="EJ31" s="372"/>
      <c r="EK31" s="372"/>
      <c r="EL31" s="372"/>
      <c r="EM31" s="372"/>
      <c r="EN31" s="372"/>
      <c r="EO31" s="372"/>
      <c r="EP31" s="372"/>
      <c r="EQ31" s="372"/>
      <c r="ER31" s="372"/>
      <c r="ES31" s="372"/>
    </row>
    <row r="32" spans="1:149" s="126" customFormat="1" ht="19.5" customHeight="1" x14ac:dyDescent="0.45">
      <c r="A32" s="144" t="s">
        <v>445</v>
      </c>
      <c r="B32" s="588">
        <v>89050</v>
      </c>
      <c r="C32" s="144" t="s">
        <v>446</v>
      </c>
      <c r="D32" s="139" t="s">
        <v>447</v>
      </c>
      <c r="E32" s="135">
        <v>22</v>
      </c>
      <c r="F32" s="155" t="s">
        <v>157</v>
      </c>
      <c r="G32" s="378" t="s">
        <v>125</v>
      </c>
      <c r="H32" s="155" t="s">
        <v>136</v>
      </c>
      <c r="I32" s="155" t="s">
        <v>11</v>
      </c>
      <c r="J32" s="145"/>
      <c r="K32" s="149"/>
      <c r="L32" s="143"/>
      <c r="M32" s="143" t="s">
        <v>129</v>
      </c>
      <c r="N32" s="20"/>
      <c r="O32" s="20"/>
      <c r="P32" s="20"/>
      <c r="Q32" s="145"/>
      <c r="R32" s="20"/>
      <c r="S32" s="143"/>
      <c r="T32" s="20"/>
      <c r="U32" s="20"/>
      <c r="V32" s="20"/>
      <c r="W32" s="145"/>
      <c r="X32" s="20"/>
      <c r="Y32" s="143"/>
      <c r="Z32" s="20"/>
      <c r="AA32" s="20"/>
      <c r="AB32" s="20"/>
      <c r="AC32" s="145"/>
      <c r="AD32" s="20"/>
      <c r="AE32" s="143"/>
      <c r="AF32" s="20"/>
      <c r="AG32" s="20"/>
      <c r="AH32" s="20"/>
      <c r="AI32" s="145"/>
      <c r="AJ32" s="20"/>
      <c r="AK32" s="143"/>
      <c r="AL32" s="20"/>
      <c r="AM32" s="20"/>
      <c r="AN32" s="20"/>
      <c r="AO32" s="20"/>
      <c r="AP32" s="20"/>
      <c r="AQ32" s="20">
        <v>0</v>
      </c>
      <c r="AR32" s="20">
        <v>0</v>
      </c>
      <c r="AS32" s="20">
        <v>0</v>
      </c>
      <c r="AT32" s="20">
        <v>0</v>
      </c>
      <c r="AU32" s="20">
        <v>0</v>
      </c>
      <c r="AV32" s="20">
        <f t="shared" si="15"/>
        <v>0</v>
      </c>
      <c r="AW32" s="20">
        <f t="shared" si="16"/>
        <v>0</v>
      </c>
      <c r="AX32" s="20">
        <f t="shared" si="17"/>
        <v>0</v>
      </c>
      <c r="AY32" s="20">
        <f t="shared" si="18"/>
        <v>0</v>
      </c>
      <c r="AZ32" s="20">
        <f t="shared" si="19"/>
        <v>0</v>
      </c>
      <c r="BA32" s="15">
        <f t="shared" si="20"/>
        <v>0</v>
      </c>
      <c r="BB32" s="263">
        <v>1</v>
      </c>
      <c r="BC32" s="147">
        <v>555.01</v>
      </c>
      <c r="BD32" s="143">
        <v>12</v>
      </c>
      <c r="BE32" s="147">
        <f>BB32*BC32*BD32</f>
        <v>6660.12</v>
      </c>
      <c r="BF32" s="147">
        <f t="shared" si="39"/>
        <v>0</v>
      </c>
      <c r="BG32" s="147">
        <f t="shared" si="21"/>
        <v>6660.12</v>
      </c>
      <c r="BH32" s="407" t="s">
        <v>158</v>
      </c>
      <c r="BI32" s="263">
        <v>1</v>
      </c>
      <c r="BJ32" s="147">
        <v>548.16</v>
      </c>
      <c r="BK32" s="143">
        <v>12</v>
      </c>
      <c r="BL32" s="147">
        <f t="shared" si="22"/>
        <v>6577.92</v>
      </c>
      <c r="BM32" s="147">
        <v>0</v>
      </c>
      <c r="BN32" s="229">
        <f t="shared" si="23"/>
        <v>6577.92</v>
      </c>
      <c r="BO32" s="430">
        <v>1</v>
      </c>
      <c r="BP32" s="147">
        <f t="shared" si="24"/>
        <v>570.08640000000003</v>
      </c>
      <c r="BQ32" s="143">
        <v>10</v>
      </c>
      <c r="BR32" s="147">
        <f t="shared" si="25"/>
        <v>5700.8640000000005</v>
      </c>
      <c r="BS32" s="147">
        <v>0</v>
      </c>
      <c r="BT32" s="229">
        <f t="shared" si="26"/>
        <v>5700.8640000000005</v>
      </c>
      <c r="BU32" s="228">
        <v>0</v>
      </c>
      <c r="BV32" s="147">
        <v>0</v>
      </c>
      <c r="BW32" s="147">
        <v>0</v>
      </c>
      <c r="BX32" s="147">
        <v>0</v>
      </c>
      <c r="BY32" s="147">
        <v>0</v>
      </c>
      <c r="BZ32" s="229">
        <f t="shared" si="28"/>
        <v>0</v>
      </c>
      <c r="CA32" s="228">
        <f t="shared" si="29"/>
        <v>18938.903999999999</v>
      </c>
      <c r="CB32" s="147">
        <f t="shared" si="30"/>
        <v>0</v>
      </c>
      <c r="CC32" s="229">
        <f t="shared" si="37"/>
        <v>18938.903999999999</v>
      </c>
      <c r="CD32" s="23"/>
      <c r="CE32" s="20">
        <f t="shared" si="31"/>
        <v>18938.903999999999</v>
      </c>
      <c r="CF32" s="20">
        <f t="shared" si="32"/>
        <v>0</v>
      </c>
      <c r="CG32" s="15">
        <f t="shared" si="33"/>
        <v>18938.903999999999</v>
      </c>
      <c r="CH32" s="376">
        <f t="shared" si="34"/>
        <v>-18938.903999999999</v>
      </c>
      <c r="CI32" s="377">
        <f t="shared" si="35"/>
        <v>0</v>
      </c>
      <c r="CJ32" s="522">
        <f t="shared" si="36"/>
        <v>-18938.903999999999</v>
      </c>
      <c r="CK32" s="532">
        <f t="shared" si="0"/>
        <v>18939</v>
      </c>
      <c r="CL32" s="533">
        <f t="shared" si="1"/>
        <v>9.600000000136788E-2</v>
      </c>
      <c r="CM32" s="372"/>
      <c r="CN32" s="372">
        <v>5</v>
      </c>
      <c r="CO32" s="372"/>
      <c r="CP32" s="372">
        <v>17</v>
      </c>
      <c r="CQ32" s="372"/>
      <c r="CR32" s="372"/>
      <c r="CS32" s="372">
        <v>10970</v>
      </c>
      <c r="CT32" s="372"/>
      <c r="CU32" s="372"/>
      <c r="CV32" s="372"/>
      <c r="CW32" s="372"/>
      <c r="CX32" s="372"/>
      <c r="CY32" s="372"/>
      <c r="CZ32" s="372"/>
      <c r="DA32" s="372"/>
      <c r="DB32" s="372"/>
      <c r="DC32" s="372"/>
      <c r="DD32" s="372"/>
      <c r="DE32" s="372"/>
      <c r="DF32" s="372"/>
      <c r="DG32" s="372"/>
      <c r="DH32" s="372"/>
      <c r="DI32" s="372"/>
      <c r="DJ32" s="372"/>
      <c r="DK32" s="372"/>
      <c r="DL32" s="372"/>
      <c r="DM32" s="372"/>
      <c r="DN32" s="372"/>
      <c r="DO32" s="372"/>
      <c r="DP32" s="372"/>
      <c r="DQ32" s="372"/>
      <c r="DR32" s="372"/>
      <c r="DS32" s="372"/>
      <c r="DT32" s="372"/>
      <c r="DU32" s="372">
        <v>7947</v>
      </c>
      <c r="DV32" s="372"/>
      <c r="DW32" s="372"/>
      <c r="DX32" s="372"/>
      <c r="DY32" s="372"/>
      <c r="DZ32" s="372"/>
      <c r="EA32" s="372"/>
      <c r="EB32" s="372"/>
      <c r="EC32" s="372"/>
      <c r="ED32" s="372"/>
      <c r="EE32" s="372"/>
      <c r="EF32" s="372"/>
      <c r="EG32" s="372"/>
      <c r="EH32" s="372"/>
      <c r="EI32" s="372"/>
      <c r="EJ32" s="372"/>
      <c r="EK32" s="372"/>
      <c r="EL32" s="372"/>
      <c r="EM32" s="372"/>
      <c r="EN32" s="372"/>
      <c r="EO32" s="372"/>
      <c r="EP32" s="372"/>
      <c r="EQ32" s="372"/>
      <c r="ER32" s="372"/>
      <c r="ES32" s="372"/>
    </row>
    <row r="33" spans="1:149" s="126" customFormat="1" ht="19.5" customHeight="1" x14ac:dyDescent="0.45">
      <c r="A33" s="144" t="s">
        <v>445</v>
      </c>
      <c r="B33" s="588">
        <v>89050</v>
      </c>
      <c r="C33" s="144" t="s">
        <v>446</v>
      </c>
      <c r="D33" s="139" t="s">
        <v>447</v>
      </c>
      <c r="E33" s="135">
        <v>23</v>
      </c>
      <c r="F33" s="155" t="s">
        <v>159</v>
      </c>
      <c r="G33" s="378" t="s">
        <v>125</v>
      </c>
      <c r="H33" s="155" t="s">
        <v>136</v>
      </c>
      <c r="I33" s="155" t="s">
        <v>11</v>
      </c>
      <c r="J33" s="145"/>
      <c r="K33" s="149"/>
      <c r="L33" s="143"/>
      <c r="M33" s="143" t="s">
        <v>129</v>
      </c>
      <c r="N33" s="20"/>
      <c r="O33" s="20"/>
      <c r="P33" s="20"/>
      <c r="Q33" s="145"/>
      <c r="R33" s="20"/>
      <c r="S33" s="143"/>
      <c r="T33" s="20"/>
      <c r="U33" s="20"/>
      <c r="V33" s="20"/>
      <c r="W33" s="145"/>
      <c r="X33" s="20"/>
      <c r="Y33" s="143"/>
      <c r="Z33" s="20"/>
      <c r="AA33" s="20"/>
      <c r="AB33" s="20"/>
      <c r="AC33" s="145"/>
      <c r="AD33" s="20"/>
      <c r="AE33" s="143"/>
      <c r="AF33" s="20"/>
      <c r="AG33" s="20"/>
      <c r="AH33" s="20"/>
      <c r="AI33" s="145"/>
      <c r="AJ33" s="20"/>
      <c r="AK33" s="143"/>
      <c r="AL33" s="20"/>
      <c r="AM33" s="20"/>
      <c r="AN33" s="20"/>
      <c r="AO33" s="20"/>
      <c r="AP33" s="20"/>
      <c r="AQ33" s="20">
        <v>0</v>
      </c>
      <c r="AR33" s="20">
        <v>0</v>
      </c>
      <c r="AS33" s="20">
        <v>0</v>
      </c>
      <c r="AT33" s="20">
        <v>0</v>
      </c>
      <c r="AU33" s="20">
        <v>0</v>
      </c>
      <c r="AV33" s="20">
        <f t="shared" si="15"/>
        <v>0</v>
      </c>
      <c r="AW33" s="20">
        <f t="shared" si="16"/>
        <v>0</v>
      </c>
      <c r="AX33" s="20">
        <f t="shared" si="17"/>
        <v>0</v>
      </c>
      <c r="AY33" s="20">
        <f t="shared" si="18"/>
        <v>0</v>
      </c>
      <c r="AZ33" s="20">
        <f t="shared" si="19"/>
        <v>0</v>
      </c>
      <c r="BA33" s="15">
        <f t="shared" si="20"/>
        <v>0</v>
      </c>
      <c r="BB33" s="263">
        <v>1</v>
      </c>
      <c r="BC33" s="147">
        <v>556.79999999999995</v>
      </c>
      <c r="BD33" s="143">
        <v>10.733000000000001</v>
      </c>
      <c r="BE33" s="147">
        <f>BB33*BC33*BD33</f>
        <v>5976.1343999999999</v>
      </c>
      <c r="BF33" s="147">
        <f t="shared" si="39"/>
        <v>0</v>
      </c>
      <c r="BG33" s="147">
        <f t="shared" si="21"/>
        <v>5976.1343999999999</v>
      </c>
      <c r="BH33" s="407" t="s">
        <v>160</v>
      </c>
      <c r="BI33" s="263">
        <v>1</v>
      </c>
      <c r="BJ33" s="147">
        <v>476.66</v>
      </c>
      <c r="BK33" s="143">
        <v>12</v>
      </c>
      <c r="BL33" s="147">
        <f t="shared" si="22"/>
        <v>5719.92</v>
      </c>
      <c r="BM33" s="147">
        <v>0</v>
      </c>
      <c r="BN33" s="229">
        <f t="shared" si="23"/>
        <v>5719.92</v>
      </c>
      <c r="BO33" s="430">
        <v>1</v>
      </c>
      <c r="BP33" s="147">
        <f t="shared" si="24"/>
        <v>495.72640000000007</v>
      </c>
      <c r="BQ33" s="143">
        <v>10</v>
      </c>
      <c r="BR33" s="147">
        <f t="shared" si="25"/>
        <v>4957.264000000001</v>
      </c>
      <c r="BS33" s="147">
        <v>0</v>
      </c>
      <c r="BT33" s="229">
        <f t="shared" si="26"/>
        <v>4957.264000000001</v>
      </c>
      <c r="BU33" s="228">
        <v>0</v>
      </c>
      <c r="BV33" s="147">
        <v>0</v>
      </c>
      <c r="BW33" s="147">
        <v>0</v>
      </c>
      <c r="BX33" s="147">
        <v>0</v>
      </c>
      <c r="BY33" s="147">
        <v>0</v>
      </c>
      <c r="BZ33" s="229">
        <f t="shared" si="28"/>
        <v>0</v>
      </c>
      <c r="CA33" s="228">
        <f t="shared" si="29"/>
        <v>16653.3184</v>
      </c>
      <c r="CB33" s="147">
        <f t="shared" si="30"/>
        <v>0</v>
      </c>
      <c r="CC33" s="229">
        <f t="shared" si="37"/>
        <v>16653.3184</v>
      </c>
      <c r="CD33" s="23"/>
      <c r="CE33" s="20">
        <f t="shared" si="31"/>
        <v>16653.3184</v>
      </c>
      <c r="CF33" s="20">
        <f t="shared" si="32"/>
        <v>0</v>
      </c>
      <c r="CG33" s="15">
        <f t="shared" si="33"/>
        <v>16653.3184</v>
      </c>
      <c r="CH33" s="376">
        <f t="shared" si="34"/>
        <v>-16653.3184</v>
      </c>
      <c r="CI33" s="377">
        <f t="shared" si="35"/>
        <v>0</v>
      </c>
      <c r="CJ33" s="522">
        <f t="shared" si="36"/>
        <v>-16653.3184</v>
      </c>
      <c r="CK33" s="532">
        <f t="shared" si="0"/>
        <v>16653</v>
      </c>
      <c r="CL33" s="533">
        <f t="shared" si="1"/>
        <v>-0.31840000000011059</v>
      </c>
      <c r="CM33" s="372"/>
      <c r="CN33" s="372"/>
      <c r="CO33" s="372"/>
      <c r="CP33" s="372"/>
      <c r="CQ33" s="372"/>
      <c r="CR33" s="372"/>
      <c r="CS33" s="372"/>
      <c r="CT33" s="372"/>
      <c r="CU33" s="372"/>
      <c r="CV33" s="372"/>
      <c r="CW33" s="372"/>
      <c r="CX33" s="372"/>
      <c r="CY33" s="372"/>
      <c r="CZ33" s="372"/>
      <c r="DA33" s="372"/>
      <c r="DB33" s="372"/>
      <c r="DC33" s="372"/>
      <c r="DD33" s="372"/>
      <c r="DE33" s="372"/>
      <c r="DF33" s="372"/>
      <c r="DG33" s="372"/>
      <c r="DH33" s="372"/>
      <c r="DI33" s="372"/>
      <c r="DJ33" s="372"/>
      <c r="DK33" s="372"/>
      <c r="DL33" s="372"/>
      <c r="DM33" s="372"/>
      <c r="DN33" s="372"/>
      <c r="DO33" s="372"/>
      <c r="DP33" s="372"/>
      <c r="DQ33" s="372"/>
      <c r="DR33" s="372"/>
      <c r="DS33" s="372"/>
      <c r="DT33" s="372"/>
      <c r="DU33" s="372">
        <v>13922</v>
      </c>
      <c r="DV33" s="372">
        <v>2731</v>
      </c>
      <c r="DW33" s="372"/>
      <c r="DX33" s="372"/>
      <c r="DY33" s="372"/>
      <c r="DZ33" s="372"/>
      <c r="EA33" s="372"/>
      <c r="EB33" s="372"/>
      <c r="EC33" s="372"/>
      <c r="ED33" s="372"/>
      <c r="EE33" s="372"/>
      <c r="EF33" s="372"/>
      <c r="EG33" s="372"/>
      <c r="EH33" s="372"/>
      <c r="EI33" s="372"/>
      <c r="EJ33" s="372"/>
      <c r="EK33" s="372"/>
      <c r="EL33" s="372"/>
      <c r="EM33" s="372"/>
      <c r="EN33" s="372"/>
      <c r="EO33" s="372"/>
      <c r="EP33" s="372"/>
      <c r="EQ33" s="372"/>
      <c r="ER33" s="372"/>
      <c r="ES33" s="372"/>
    </row>
    <row r="34" spans="1:149" s="127" customFormat="1" ht="19.5" customHeight="1" x14ac:dyDescent="0.45">
      <c r="A34" s="150"/>
      <c r="B34" s="150"/>
      <c r="C34" s="150"/>
      <c r="D34" s="150"/>
      <c r="E34" s="135">
        <v>24</v>
      </c>
      <c r="F34" s="150" t="s">
        <v>161</v>
      </c>
      <c r="G34" s="135"/>
      <c r="H34" s="150"/>
      <c r="I34" s="150"/>
      <c r="J34" s="150"/>
      <c r="K34" s="150"/>
      <c r="L34" s="148"/>
      <c r="M34" s="150"/>
      <c r="N34" s="152">
        <f>SUM(N20:N27)</f>
        <v>81525</v>
      </c>
      <c r="O34" s="152">
        <f>SUM(O20:O27)</f>
        <v>18378</v>
      </c>
      <c r="P34" s="152">
        <f>SUM(P20:P27)</f>
        <v>99903</v>
      </c>
      <c r="Q34" s="150"/>
      <c r="R34" s="150"/>
      <c r="S34" s="150"/>
      <c r="T34" s="152">
        <f>SUM(T20:T27)</f>
        <v>102648</v>
      </c>
      <c r="U34" s="152">
        <f>SUM(U20:U27)</f>
        <v>20153.120000000003</v>
      </c>
      <c r="V34" s="152">
        <f>SUM(V20:V27)</f>
        <v>122801.12000000001</v>
      </c>
      <c r="W34" s="150"/>
      <c r="X34" s="150"/>
      <c r="Y34" s="150"/>
      <c r="Z34" s="152">
        <f>SUM(Z20:Z27)</f>
        <v>106753.92000000001</v>
      </c>
      <c r="AA34" s="152">
        <f>SUM(AA20:AA27)</f>
        <v>20959.2448</v>
      </c>
      <c r="AB34" s="152">
        <f>SUM(AB20:AB27)</f>
        <v>127713.16480000003</v>
      </c>
      <c r="AC34" s="150"/>
      <c r="AD34" s="150"/>
      <c r="AE34" s="150"/>
      <c r="AF34" s="152">
        <f>SUM(AF20:AF27)</f>
        <v>111024.07680000001</v>
      </c>
      <c r="AG34" s="152">
        <f>SUM(AG20:AG27)</f>
        <v>21797.614592000005</v>
      </c>
      <c r="AH34" s="152">
        <f>SUM(AH20:AH27)</f>
        <v>132821.69139200001</v>
      </c>
      <c r="AI34" s="150"/>
      <c r="AJ34" s="150"/>
      <c r="AK34" s="150"/>
      <c r="AL34" s="152">
        <f t="shared" ref="AL34:AQ34" si="40">SUM(AL20:AL27)</f>
        <v>91833.896960000013</v>
      </c>
      <c r="AM34" s="152">
        <f t="shared" si="40"/>
        <v>22669.519175680005</v>
      </c>
      <c r="AN34" s="152">
        <f t="shared" si="40"/>
        <v>114503.41613568002</v>
      </c>
      <c r="AO34" s="152">
        <f t="shared" si="40"/>
        <v>493784.89376000001</v>
      </c>
      <c r="AP34" s="152">
        <f t="shared" si="40"/>
        <v>103957.49856768001</v>
      </c>
      <c r="AQ34" s="152">
        <f t="shared" si="40"/>
        <v>597742.39232768002</v>
      </c>
      <c r="AR34" s="153">
        <f t="shared" ref="AR34:AY34" si="41">SUM(AR20:AR33)</f>
        <v>31490.399999999998</v>
      </c>
      <c r="AS34" s="152">
        <f t="shared" si="41"/>
        <v>15054.16</v>
      </c>
      <c r="AT34" s="153">
        <f t="shared" si="41"/>
        <v>125346.43</v>
      </c>
      <c r="AU34" s="153">
        <f t="shared" si="41"/>
        <v>14348.84</v>
      </c>
      <c r="AV34" s="153">
        <f t="shared" si="41"/>
        <v>156836.83000000002</v>
      </c>
      <c r="AW34" s="153">
        <f t="shared" si="41"/>
        <v>29403</v>
      </c>
      <c r="AX34" s="153">
        <f t="shared" si="41"/>
        <v>186239.83000000002</v>
      </c>
      <c r="AY34" s="153">
        <f t="shared" si="41"/>
        <v>411502.56232768006</v>
      </c>
      <c r="AZ34" s="153">
        <f t="shared" si="19"/>
        <v>411502.56232767995</v>
      </c>
      <c r="BA34" s="234"/>
      <c r="BB34" s="266"/>
      <c r="BC34" s="152"/>
      <c r="BD34" s="148"/>
      <c r="BE34" s="153">
        <f>SUM(BE20:BE33)</f>
        <v>154152.27679200002</v>
      </c>
      <c r="BF34" s="153">
        <f>SUM(BF20:BF33)</f>
        <v>19282.503216000001</v>
      </c>
      <c r="BG34" s="153">
        <f t="shared" si="21"/>
        <v>173434.78000800003</v>
      </c>
      <c r="BH34" s="408"/>
      <c r="BI34" s="266"/>
      <c r="BJ34" s="152">
        <f>SUM(BJ20:BJ33)</f>
        <v>13681.497599999999</v>
      </c>
      <c r="BK34" s="148"/>
      <c r="BL34" s="153">
        <f>SUM(BL20:BL33)</f>
        <v>164177.97120000006</v>
      </c>
      <c r="BM34" s="153">
        <f>SUM(BM20:BM33)</f>
        <v>21797.614592000002</v>
      </c>
      <c r="BN34" s="239">
        <f t="shared" si="23"/>
        <v>185975.58579200006</v>
      </c>
      <c r="BO34" s="434"/>
      <c r="BP34" s="153">
        <f>SUM(BP20:BP33)</f>
        <v>14228.757504000003</v>
      </c>
      <c r="BQ34" s="148"/>
      <c r="BR34" s="153">
        <f>SUM(BR20:BR33)</f>
        <v>144082.82137600001</v>
      </c>
      <c r="BS34" s="153">
        <f>SUM(BS20:BS33)</f>
        <v>20144.882790400003</v>
      </c>
      <c r="BT34" s="239">
        <f t="shared" si="26"/>
        <v>164227.70416640001</v>
      </c>
      <c r="BU34" s="218"/>
      <c r="BV34" s="153">
        <f>SUM(BV20:BV33)</f>
        <v>14851.026394880004</v>
      </c>
      <c r="BW34" s="153"/>
      <c r="BX34" s="153">
        <f t="shared" ref="BX34:CC34" si="42">SUM(BX20:BX33)</f>
        <v>56447.558369280006</v>
      </c>
      <c r="BY34" s="153">
        <f t="shared" si="42"/>
        <v>10941.9657152</v>
      </c>
      <c r="BZ34" s="239">
        <f t="shared" si="42"/>
        <v>67389.524084480014</v>
      </c>
      <c r="CA34" s="218">
        <f t="shared" si="42"/>
        <v>518860.62773728004</v>
      </c>
      <c r="CB34" s="153">
        <f t="shared" si="42"/>
        <v>72166.966313600016</v>
      </c>
      <c r="CC34" s="239">
        <f t="shared" si="42"/>
        <v>591027.59405088006</v>
      </c>
      <c r="CD34" s="17"/>
      <c r="CE34" s="152">
        <f>SUM(CE20:CE33)</f>
        <v>675697.45773728006</v>
      </c>
      <c r="CF34" s="152">
        <f>SUM(CF20:CF33)</f>
        <v>101569.96631360002</v>
      </c>
      <c r="CG34" s="18">
        <f>SUM(CG20:CG33)</f>
        <v>777267.42405088013</v>
      </c>
      <c r="CH34" s="485"/>
      <c r="CI34" s="486"/>
      <c r="CJ34" s="524"/>
      <c r="CK34" s="530">
        <f t="shared" si="0"/>
        <v>0</v>
      </c>
      <c r="CL34" s="533">
        <f t="shared" si="1"/>
        <v>0</v>
      </c>
      <c r="CM34" s="373"/>
      <c r="CN34" s="373"/>
      <c r="CO34" s="373"/>
      <c r="CP34" s="373"/>
      <c r="CQ34" s="373"/>
      <c r="CR34" s="373"/>
      <c r="CS34" s="373"/>
      <c r="CT34" s="373"/>
      <c r="CU34" s="373"/>
      <c r="CV34" s="373"/>
      <c r="CW34" s="373"/>
      <c r="CX34" s="373"/>
      <c r="CY34" s="373"/>
      <c r="CZ34" s="373"/>
      <c r="DA34" s="373"/>
      <c r="DB34" s="373"/>
      <c r="DC34" s="373"/>
      <c r="DD34" s="373"/>
      <c r="DE34" s="373"/>
      <c r="DF34" s="373"/>
      <c r="DG34" s="373"/>
      <c r="DH34" s="369"/>
      <c r="DI34" s="369"/>
      <c r="DJ34" s="369"/>
      <c r="DK34" s="369"/>
      <c r="DL34" s="369"/>
      <c r="DM34" s="369"/>
      <c r="DN34" s="369"/>
      <c r="DO34" s="369"/>
      <c r="DP34" s="369"/>
      <c r="DQ34" s="369"/>
      <c r="DR34" s="369"/>
      <c r="DS34" s="369"/>
      <c r="DT34" s="369"/>
      <c r="DU34" s="369"/>
      <c r="DV34" s="369"/>
      <c r="DW34" s="369"/>
      <c r="DX34" s="369"/>
      <c r="DY34" s="369"/>
      <c r="DZ34" s="369"/>
      <c r="EA34" s="369"/>
      <c r="EB34" s="369"/>
      <c r="EC34" s="369"/>
      <c r="ED34" s="369"/>
      <c r="EE34" s="369"/>
      <c r="EF34" s="369"/>
      <c r="EG34" s="369"/>
      <c r="EH34" s="369"/>
      <c r="EI34" s="369"/>
      <c r="EJ34" s="369"/>
      <c r="EK34" s="369"/>
      <c r="EL34" s="369"/>
      <c r="EM34" s="369"/>
      <c r="EN34" s="369"/>
      <c r="EO34" s="369"/>
      <c r="EP34" s="369"/>
      <c r="EQ34" s="369"/>
      <c r="ER34" s="369"/>
      <c r="ES34" s="369"/>
    </row>
    <row r="35" spans="1:149" s="127" customFormat="1" ht="19.5" customHeight="1" x14ac:dyDescent="0.45">
      <c r="A35" s="164"/>
      <c r="B35" s="164"/>
      <c r="C35" s="164"/>
      <c r="D35" s="164"/>
      <c r="E35" s="143">
        <v>25</v>
      </c>
      <c r="F35" s="164" t="s">
        <v>162</v>
      </c>
      <c r="G35" s="164"/>
      <c r="H35" s="164"/>
      <c r="I35" s="164"/>
      <c r="J35" s="164"/>
      <c r="K35" s="164"/>
      <c r="L35" s="164"/>
      <c r="M35" s="164"/>
      <c r="N35" s="16">
        <f>N34+N18</f>
        <v>146525</v>
      </c>
      <c r="O35" s="16">
        <f>O34+O18</f>
        <v>29706.899999999998</v>
      </c>
      <c r="P35" s="16">
        <f>P34+P18</f>
        <v>176231.9</v>
      </c>
      <c r="Q35" s="164"/>
      <c r="R35" s="164"/>
      <c r="S35" s="164"/>
      <c r="T35" s="16">
        <f>T34+T18</f>
        <v>180648</v>
      </c>
      <c r="U35" s="16">
        <f>U34+U18</f>
        <v>33006.272000000004</v>
      </c>
      <c r="V35" s="16">
        <f>V34+V18</f>
        <v>213654.272</v>
      </c>
      <c r="W35" s="164"/>
      <c r="X35" s="164"/>
      <c r="Y35" s="164"/>
      <c r="Z35" s="16">
        <f>Z34+Z18</f>
        <v>187873.92000000001</v>
      </c>
      <c r="AA35" s="16">
        <f>AA34+AA18</f>
        <v>34326.522880000004</v>
      </c>
      <c r="AB35" s="16">
        <f>AB34+AB18</f>
        <v>222200.44288000005</v>
      </c>
      <c r="AC35" s="164"/>
      <c r="AD35" s="164"/>
      <c r="AE35" s="164"/>
      <c r="AF35" s="16">
        <f>AF34+AF18</f>
        <v>195388.87680000003</v>
      </c>
      <c r="AG35" s="16">
        <f>AG34+AG18</f>
        <v>35699.583795200007</v>
      </c>
      <c r="AH35" s="16">
        <f>AH34+AH18</f>
        <v>231088.46059520001</v>
      </c>
      <c r="AI35" s="16"/>
      <c r="AJ35" s="164"/>
      <c r="AK35" s="164"/>
      <c r="AL35" s="16">
        <f t="shared" ref="AL35:AY35" si="43">AL34+AL18</f>
        <v>175186.31936000002</v>
      </c>
      <c r="AM35" s="16">
        <f t="shared" si="43"/>
        <v>35922.729816064006</v>
      </c>
      <c r="AN35" s="16">
        <f t="shared" si="43"/>
        <v>211109.04917606403</v>
      </c>
      <c r="AO35" s="16">
        <f t="shared" si="43"/>
        <v>885622.11615999998</v>
      </c>
      <c r="AP35" s="16">
        <f t="shared" si="43"/>
        <v>168662.00849126402</v>
      </c>
      <c r="AQ35" s="16">
        <f t="shared" si="43"/>
        <v>1054284.1246512639</v>
      </c>
      <c r="AR35" s="165">
        <f t="shared" si="43"/>
        <v>31490.399999999998</v>
      </c>
      <c r="AS35" s="165">
        <f t="shared" si="43"/>
        <v>15054.16</v>
      </c>
      <c r="AT35" s="165">
        <f t="shared" si="43"/>
        <v>176791.16999999998</v>
      </c>
      <c r="AU35" s="165">
        <f t="shared" si="43"/>
        <v>16693.349999999999</v>
      </c>
      <c r="AV35" s="165">
        <f t="shared" si="43"/>
        <v>156836.83000000002</v>
      </c>
      <c r="AW35" s="165">
        <f t="shared" si="43"/>
        <v>29403</v>
      </c>
      <c r="AX35" s="165">
        <f t="shared" si="43"/>
        <v>186239.83000000002</v>
      </c>
      <c r="AY35" s="165">
        <f t="shared" si="43"/>
        <v>411502.56232768006</v>
      </c>
      <c r="AZ35" s="165">
        <f t="shared" si="19"/>
        <v>814255.04465126398</v>
      </c>
      <c r="BA35" s="14"/>
      <c r="BB35" s="264"/>
      <c r="BC35" s="16"/>
      <c r="BD35" s="166"/>
      <c r="BE35" s="165">
        <f>BE34+BE18</f>
        <v>199722.59355600004</v>
      </c>
      <c r="BF35" s="165">
        <f>BF34+BF18</f>
        <v>32649.503216000001</v>
      </c>
      <c r="BG35" s="165">
        <f t="shared" si="21"/>
        <v>232372.09677200005</v>
      </c>
      <c r="BH35" s="411"/>
      <c r="BI35" s="264"/>
      <c r="BJ35" s="16">
        <f>BJ34+BJ18</f>
        <v>18657.356800000001</v>
      </c>
      <c r="BK35" s="166"/>
      <c r="BL35" s="165">
        <f>BL34+BL18</f>
        <v>223888.28160000007</v>
      </c>
      <c r="BM35" s="165">
        <f>BM34+BM18</f>
        <v>35699.5837952</v>
      </c>
      <c r="BN35" s="25">
        <f t="shared" si="23"/>
        <v>259587.86539520009</v>
      </c>
      <c r="BO35" s="431"/>
      <c r="BP35" s="165">
        <f>BP34+BP18</f>
        <v>19403.651072000004</v>
      </c>
      <c r="BQ35" s="166"/>
      <c r="BR35" s="165">
        <f>BR34+BR18</f>
        <v>202154.963712</v>
      </c>
      <c r="BS35" s="165">
        <f>BS34+BS18</f>
        <v>33398.093430784007</v>
      </c>
      <c r="BT35" s="25">
        <f t="shared" si="26"/>
        <v>235553.057142784</v>
      </c>
      <c r="BU35" s="226"/>
      <c r="BV35" s="165">
        <f>BV34+BV18</f>
        <v>18139.093856000003</v>
      </c>
      <c r="BW35" s="165"/>
      <c r="BX35" s="165">
        <f>BX34+BX18</f>
        <v>76175.963136000006</v>
      </c>
      <c r="BY35" s="165">
        <f>BY34+BY18</f>
        <v>13150.834155263999</v>
      </c>
      <c r="BZ35" s="25">
        <f>BZ34+BZ18</f>
        <v>89326.797291264011</v>
      </c>
      <c r="CA35" s="226">
        <f>CA18+CA34</f>
        <v>701941.80200400006</v>
      </c>
      <c r="CB35" s="165">
        <f>CB18+CB34</f>
        <v>114898.01459724802</v>
      </c>
      <c r="CC35" s="25">
        <f>CC34+CC18</f>
        <v>816839.81660124811</v>
      </c>
      <c r="CD35" s="17"/>
      <c r="CE35" s="16">
        <f>CE34+CE18</f>
        <v>910223.372004</v>
      </c>
      <c r="CF35" s="16">
        <f>CF34+CF18</f>
        <v>146645.524597248</v>
      </c>
      <c r="CG35" s="300">
        <f>CG34+CG18</f>
        <v>1056868.8966012481</v>
      </c>
      <c r="CH35" s="314"/>
      <c r="CI35" s="310"/>
      <c r="CJ35" s="521"/>
      <c r="CK35" s="530">
        <f t="shared" si="0"/>
        <v>0</v>
      </c>
      <c r="CL35" s="533">
        <f t="shared" si="1"/>
        <v>0</v>
      </c>
      <c r="CM35" s="373"/>
      <c r="CN35" s="373"/>
      <c r="CO35" s="373"/>
      <c r="CP35" s="373"/>
      <c r="CQ35" s="373"/>
      <c r="CR35" s="373"/>
      <c r="CS35" s="373"/>
      <c r="CT35" s="373"/>
      <c r="CU35" s="373"/>
      <c r="CV35" s="373"/>
      <c r="CW35" s="373"/>
      <c r="CX35" s="373"/>
      <c r="CY35" s="373"/>
      <c r="CZ35" s="373"/>
      <c r="DA35" s="373"/>
      <c r="DB35" s="373"/>
      <c r="DC35" s="373"/>
      <c r="DD35" s="373"/>
      <c r="DE35" s="373"/>
      <c r="DF35" s="373"/>
      <c r="DG35" s="373"/>
      <c r="DH35" s="369"/>
      <c r="DI35" s="369"/>
      <c r="DJ35" s="369"/>
      <c r="DK35" s="369"/>
      <c r="DL35" s="369"/>
      <c r="DM35" s="369"/>
      <c r="DN35" s="369"/>
      <c r="DO35" s="369"/>
      <c r="DP35" s="369"/>
      <c r="DQ35" s="369"/>
      <c r="DR35" s="369"/>
      <c r="DS35" s="369"/>
      <c r="DT35" s="369"/>
      <c r="DU35" s="369"/>
      <c r="DV35" s="369"/>
      <c r="DW35" s="369"/>
      <c r="DX35" s="369"/>
      <c r="DY35" s="369"/>
      <c r="DZ35" s="369"/>
      <c r="EA35" s="369"/>
      <c r="EB35" s="369"/>
      <c r="EC35" s="369"/>
      <c r="ED35" s="369"/>
      <c r="EE35" s="369"/>
      <c r="EF35" s="369"/>
      <c r="EG35" s="369"/>
      <c r="EH35" s="369"/>
      <c r="EI35" s="369"/>
      <c r="EJ35" s="369"/>
      <c r="EK35" s="369"/>
      <c r="EL35" s="369"/>
      <c r="EM35" s="369"/>
      <c r="EN35" s="369"/>
      <c r="EO35" s="369"/>
      <c r="EP35" s="369"/>
      <c r="EQ35" s="369"/>
      <c r="ER35" s="369"/>
      <c r="ES35" s="369"/>
    </row>
    <row r="36" spans="1:149" s="126" customFormat="1" ht="19.5" customHeight="1" x14ac:dyDescent="0.45">
      <c r="A36" s="136"/>
      <c r="B36" s="136"/>
      <c r="C36" s="136"/>
      <c r="D36" s="136"/>
      <c r="E36" s="143">
        <v>26</v>
      </c>
      <c r="F36" s="136" t="s">
        <v>163</v>
      </c>
      <c r="G36" s="167"/>
      <c r="H36" s="136"/>
      <c r="I36" s="136"/>
      <c r="J36" s="136"/>
      <c r="K36" s="136"/>
      <c r="L36" s="136"/>
      <c r="M36" s="136"/>
      <c r="N36" s="279"/>
      <c r="O36" s="279"/>
      <c r="P36" s="279"/>
      <c r="Q36" s="136"/>
      <c r="R36" s="136"/>
      <c r="S36" s="136"/>
      <c r="T36" s="279"/>
      <c r="U36" s="279"/>
      <c r="V36" s="279"/>
      <c r="W36" s="136"/>
      <c r="X36" s="136"/>
      <c r="Y36" s="136"/>
      <c r="Z36" s="279"/>
      <c r="AA36" s="279"/>
      <c r="AB36" s="279"/>
      <c r="AC36" s="136"/>
      <c r="AD36" s="136"/>
      <c r="AE36" s="136"/>
      <c r="AF36" s="279"/>
      <c r="AG36" s="279"/>
      <c r="AH36" s="279"/>
      <c r="AI36" s="136"/>
      <c r="AJ36" s="136"/>
      <c r="AK36" s="136"/>
      <c r="AL36" s="279"/>
      <c r="AM36" s="279"/>
      <c r="AN36" s="279"/>
      <c r="AO36" s="279"/>
      <c r="AP36" s="279"/>
      <c r="AQ36" s="279"/>
      <c r="AR36" s="279"/>
      <c r="AS36" s="279"/>
      <c r="AT36" s="279"/>
      <c r="AU36" s="279"/>
      <c r="AV36" s="279"/>
      <c r="AW36" s="279"/>
      <c r="AX36" s="279"/>
      <c r="AY36" s="279"/>
      <c r="AZ36" s="279"/>
      <c r="BA36" s="280"/>
      <c r="BB36" s="281"/>
      <c r="BC36" s="279"/>
      <c r="BD36" s="282"/>
      <c r="BE36" s="279"/>
      <c r="BF36" s="279"/>
      <c r="BG36" s="279"/>
      <c r="BH36" s="412"/>
      <c r="BI36" s="281"/>
      <c r="BJ36" s="279"/>
      <c r="BK36" s="282"/>
      <c r="BL36" s="279"/>
      <c r="BM36" s="283"/>
      <c r="BN36" s="284"/>
      <c r="BO36" s="432"/>
      <c r="BP36" s="279"/>
      <c r="BQ36" s="282"/>
      <c r="BR36" s="279"/>
      <c r="BS36" s="279"/>
      <c r="BT36" s="285"/>
      <c r="BU36" s="286"/>
      <c r="BV36" s="279"/>
      <c r="BW36" s="279"/>
      <c r="BX36" s="279"/>
      <c r="BY36" s="279"/>
      <c r="BZ36" s="285"/>
      <c r="CA36" s="287"/>
      <c r="CB36" s="283"/>
      <c r="CC36" s="284"/>
      <c r="CD36" s="23"/>
      <c r="CE36" s="289"/>
      <c r="CF36" s="289"/>
      <c r="CG36" s="305"/>
      <c r="CH36" s="217"/>
      <c r="CI36" s="20"/>
      <c r="CJ36" s="15"/>
      <c r="CK36" s="530">
        <f t="shared" si="0"/>
        <v>0</v>
      </c>
      <c r="CL36" s="533">
        <f t="shared" si="1"/>
        <v>0</v>
      </c>
      <c r="CM36" s="372"/>
      <c r="CN36" s="372"/>
      <c r="CO36" s="372"/>
      <c r="CP36" s="372"/>
      <c r="CQ36" s="372"/>
      <c r="CR36" s="372"/>
      <c r="CS36" s="372"/>
      <c r="CT36" s="372"/>
      <c r="CU36" s="372"/>
      <c r="CV36" s="372"/>
      <c r="CW36" s="372"/>
      <c r="CX36" s="372"/>
      <c r="CY36" s="372"/>
      <c r="CZ36" s="372"/>
      <c r="DA36" s="372"/>
      <c r="DB36" s="372"/>
      <c r="DC36" s="372"/>
      <c r="DD36" s="372"/>
      <c r="DE36" s="372"/>
      <c r="DF36" s="372"/>
      <c r="DG36" s="372"/>
      <c r="DH36" s="368"/>
      <c r="DI36" s="368"/>
      <c r="DJ36" s="368"/>
      <c r="DK36" s="368"/>
      <c r="DL36" s="368"/>
      <c r="DM36" s="368"/>
      <c r="DN36" s="368"/>
      <c r="DO36" s="368"/>
      <c r="DP36" s="368"/>
      <c r="DQ36" s="368"/>
      <c r="DR36" s="368"/>
      <c r="DS36" s="368"/>
      <c r="DT36" s="368"/>
      <c r="DU36" s="368"/>
      <c r="DV36" s="368"/>
      <c r="DW36" s="368"/>
      <c r="DX36" s="368"/>
      <c r="DY36" s="368"/>
      <c r="DZ36" s="368"/>
      <c r="EA36" s="368"/>
      <c r="EB36" s="368"/>
      <c r="EC36" s="368"/>
      <c r="ED36" s="368"/>
      <c r="EE36" s="368"/>
      <c r="EF36" s="368"/>
      <c r="EG36" s="368"/>
      <c r="EH36" s="368"/>
      <c r="EI36" s="368"/>
      <c r="EJ36" s="368"/>
      <c r="EK36" s="368"/>
      <c r="EL36" s="368"/>
      <c r="EM36" s="368"/>
      <c r="EN36" s="368"/>
      <c r="EO36" s="368"/>
      <c r="EP36" s="368"/>
      <c r="EQ36" s="368"/>
      <c r="ER36" s="368"/>
      <c r="ES36" s="368"/>
    </row>
    <row r="37" spans="1:149" s="126" customFormat="1" ht="19.5" customHeight="1" x14ac:dyDescent="0.45">
      <c r="A37" s="144" t="s">
        <v>445</v>
      </c>
      <c r="B37" s="588">
        <v>89050</v>
      </c>
      <c r="C37" s="144" t="s">
        <v>446</v>
      </c>
      <c r="D37" s="589" t="s">
        <v>448</v>
      </c>
      <c r="E37" s="148">
        <v>27</v>
      </c>
      <c r="F37" s="171" t="s">
        <v>74</v>
      </c>
      <c r="G37" s="130" t="s">
        <v>125</v>
      </c>
      <c r="H37" s="156" t="s">
        <v>14</v>
      </c>
      <c r="I37" s="171" t="s">
        <v>164</v>
      </c>
      <c r="J37" s="382">
        <v>0.53864000000000001</v>
      </c>
      <c r="K37" s="20"/>
      <c r="L37" s="143"/>
      <c r="M37" s="143"/>
      <c r="N37" s="20">
        <f>$J$37*(N14+N17+N20)</f>
        <v>38526.226000000002</v>
      </c>
      <c r="O37" s="20">
        <f>$J$37*(O14+O17+O20)</f>
        <v>6102.1986959999986</v>
      </c>
      <c r="P37" s="20">
        <f>SUM(N37:O37)</f>
        <v>44628.424696000002</v>
      </c>
      <c r="Q37" s="382">
        <f>J37</f>
        <v>0.53864000000000001</v>
      </c>
      <c r="R37" s="20"/>
      <c r="S37" s="143"/>
      <c r="T37" s="20">
        <f>$J$37*(T14+T17+T20)</f>
        <v>46887.534720000003</v>
      </c>
      <c r="U37" s="20">
        <f>$J$37*(U14+U17+U20)</f>
        <v>6923.2217932800004</v>
      </c>
      <c r="V37" s="20">
        <f>+T37+U37</f>
        <v>53810.756513280001</v>
      </c>
      <c r="W37" s="382">
        <f>J37</f>
        <v>0.53864000000000001</v>
      </c>
      <c r="X37" s="20"/>
      <c r="Y37" s="143"/>
      <c r="Z37" s="20">
        <f>$J$37*(Z14+Z17+Z20)</f>
        <v>48763.036108800006</v>
      </c>
      <c r="AA37" s="20">
        <f>$J$37*(AA14+AA17+AA20)</f>
        <v>7200.1506650112005</v>
      </c>
      <c r="AB37" s="20">
        <f>SUM(Z37:AA37)</f>
        <v>55963.186773811205</v>
      </c>
      <c r="AC37" s="382">
        <f>J37</f>
        <v>0.53864000000000001</v>
      </c>
      <c r="AD37" s="20"/>
      <c r="AE37" s="143"/>
      <c r="AF37" s="20">
        <f>$J$37*(AF14+AF17+AF20)</f>
        <v>50713.557553152001</v>
      </c>
      <c r="AG37" s="20">
        <f>$J$37*(AG14+AG17+AG20)</f>
        <v>7488.1566916116481</v>
      </c>
      <c r="AH37" s="20">
        <f>SUM(AF37:AG37)</f>
        <v>58201.714244763651</v>
      </c>
      <c r="AI37" s="382">
        <f>J37</f>
        <v>0.53864000000000001</v>
      </c>
      <c r="AJ37" s="20"/>
      <c r="AK37" s="143"/>
      <c r="AL37" s="20">
        <f>$J$37*(AL14+AL17+AL20)</f>
        <v>49465.410258534408</v>
      </c>
      <c r="AM37" s="20">
        <f>$J$37*(AM14+AM17+AM20)</f>
        <v>7138.7093793364402</v>
      </c>
      <c r="AN37" s="20">
        <f>SUM(AL37:AM37)</f>
        <v>56604.119637870848</v>
      </c>
      <c r="AO37" s="20">
        <f>+AL37+AF37+Z37+T37+N37</f>
        <v>234355.76464048642</v>
      </c>
      <c r="AP37" s="20">
        <f>+AM37+AG37+AA37+U37+O37</f>
        <v>34852.437225239286</v>
      </c>
      <c r="AQ37" s="20">
        <f>+SUM(AO37:AP37)</f>
        <v>269208.20186572568</v>
      </c>
      <c r="AR37" s="147">
        <v>0</v>
      </c>
      <c r="AS37" s="20">
        <v>0</v>
      </c>
      <c r="AT37" s="147">
        <f>(1146.22-152.83)+1165.72+1205.78+1210.18+1141.97+(1164.63+1864.79)+1048.51+1061.37+1033.6+970.42+930.8+(958.14+1602.38)+162.13</f>
        <v>16513.810000000001</v>
      </c>
      <c r="AU37" s="20">
        <v>0</v>
      </c>
      <c r="AV37" s="20">
        <f>AR37+AT37</f>
        <v>16513.810000000001</v>
      </c>
      <c r="AW37" s="20">
        <f>AS37+AU37</f>
        <v>0</v>
      </c>
      <c r="AX37" s="20">
        <f>AV37+AW37</f>
        <v>16513.810000000001</v>
      </c>
      <c r="AY37" s="20">
        <f>AQ37-AX37</f>
        <v>252694.39186572569</v>
      </c>
      <c r="AZ37" s="147">
        <f>AQ37-AR37-AS37-AT37-AU37</f>
        <v>252694.39186572569</v>
      </c>
      <c r="BA37" s="15">
        <f>AY37-AZ37</f>
        <v>0</v>
      </c>
      <c r="BB37" s="265">
        <v>0</v>
      </c>
      <c r="BC37" s="147">
        <v>0</v>
      </c>
      <c r="BD37" s="157">
        <v>0</v>
      </c>
      <c r="BE37" s="147">
        <v>0</v>
      </c>
      <c r="BF37" s="147">
        <v>0</v>
      </c>
      <c r="BG37" s="147">
        <f>SUM(BB37:BF37)</f>
        <v>0</v>
      </c>
      <c r="BH37" s="407" t="s">
        <v>165</v>
      </c>
      <c r="BI37" s="265">
        <v>0</v>
      </c>
      <c r="BJ37" s="147">
        <v>0</v>
      </c>
      <c r="BK37" s="143">
        <v>0</v>
      </c>
      <c r="BL37" s="147">
        <v>0</v>
      </c>
      <c r="BM37" s="147">
        <v>0</v>
      </c>
      <c r="BN37" s="229">
        <f>SUM(BI37:BM37)</f>
        <v>0</v>
      </c>
      <c r="BO37" s="433">
        <v>0</v>
      </c>
      <c r="BP37" s="147">
        <v>0</v>
      </c>
      <c r="BQ37" s="143">
        <v>0</v>
      </c>
      <c r="BR37" s="147">
        <v>0</v>
      </c>
      <c r="BS37" s="147">
        <v>0</v>
      </c>
      <c r="BT37" s="229">
        <f>SUM(BO37:BS37)</f>
        <v>0</v>
      </c>
      <c r="BU37" s="228"/>
      <c r="BV37" s="147"/>
      <c r="BW37" s="147"/>
      <c r="BX37" s="147"/>
      <c r="BY37" s="147"/>
      <c r="BZ37" s="229"/>
      <c r="CA37" s="228">
        <f>BR37+BL37+BE37</f>
        <v>0</v>
      </c>
      <c r="CB37" s="147">
        <f>BS37+BM37+BF37</f>
        <v>0</v>
      </c>
      <c r="CC37" s="229">
        <f>CA37+CB37</f>
        <v>0</v>
      </c>
      <c r="CD37" s="23"/>
      <c r="CE37" s="20">
        <f>AV37+CA37</f>
        <v>16513.810000000001</v>
      </c>
      <c r="CF37" s="20">
        <f>AW37+CB37</f>
        <v>0</v>
      </c>
      <c r="CG37" s="15">
        <f>CE37+CF37</f>
        <v>16513.810000000001</v>
      </c>
      <c r="CH37" s="376">
        <f t="shared" ref="CH37:CJ38" si="44">AO37-CE37</f>
        <v>217841.95464048642</v>
      </c>
      <c r="CI37" s="377">
        <f t="shared" si="44"/>
        <v>34852.437225239286</v>
      </c>
      <c r="CJ37" s="522">
        <f t="shared" si="44"/>
        <v>252694.39186572569</v>
      </c>
      <c r="CK37" s="532">
        <f t="shared" si="0"/>
        <v>-252694</v>
      </c>
      <c r="CL37" s="533">
        <f t="shared" si="1"/>
        <v>0.39186572568723932</v>
      </c>
      <c r="CM37" s="372"/>
      <c r="CN37" s="372"/>
      <c r="CO37" s="372"/>
      <c r="CP37" s="372"/>
      <c r="CQ37" s="372"/>
      <c r="CR37" s="372"/>
      <c r="CS37" s="372"/>
      <c r="CT37" s="372">
        <v>-217842</v>
      </c>
      <c r="CU37" s="372">
        <v>-34852</v>
      </c>
      <c r="CV37" s="372"/>
      <c r="CW37" s="372"/>
      <c r="CX37" s="372"/>
      <c r="CY37" s="372"/>
      <c r="CZ37" s="372"/>
      <c r="DA37" s="372"/>
      <c r="DB37" s="372"/>
      <c r="DC37" s="372"/>
      <c r="DD37" s="372"/>
      <c r="DE37" s="372"/>
      <c r="DF37" s="372"/>
      <c r="DG37" s="372"/>
      <c r="DH37" s="372"/>
      <c r="DI37" s="372"/>
      <c r="DJ37" s="372"/>
      <c r="DK37" s="372"/>
      <c r="DL37" s="372"/>
      <c r="DM37" s="372"/>
      <c r="DN37" s="372"/>
      <c r="DO37" s="372"/>
      <c r="DP37" s="372"/>
      <c r="DQ37" s="372"/>
      <c r="DR37" s="372"/>
      <c r="DS37" s="372"/>
      <c r="DT37" s="372"/>
      <c r="DU37" s="372"/>
      <c r="DV37" s="372"/>
      <c r="DW37" s="372"/>
      <c r="DX37" s="372"/>
      <c r="DY37" s="372"/>
      <c r="DZ37" s="372"/>
      <c r="EA37" s="372"/>
      <c r="EB37" s="372"/>
      <c r="EC37" s="372"/>
      <c r="ED37" s="372"/>
      <c r="EE37" s="372"/>
      <c r="EF37" s="372"/>
      <c r="EG37" s="372"/>
      <c r="EH37" s="372"/>
      <c r="EI37" s="372"/>
      <c r="EJ37" s="372"/>
      <c r="EK37" s="372"/>
      <c r="EL37" s="372"/>
      <c r="EM37" s="372"/>
      <c r="EN37" s="372"/>
      <c r="EO37" s="372"/>
      <c r="EP37" s="372"/>
      <c r="EQ37" s="372"/>
      <c r="ER37" s="372"/>
      <c r="ES37" s="372"/>
    </row>
    <row r="38" spans="1:149" s="126" customFormat="1" ht="19.5" customHeight="1" x14ac:dyDescent="0.45">
      <c r="A38" s="144" t="s">
        <v>445</v>
      </c>
      <c r="B38" s="588">
        <v>89050</v>
      </c>
      <c r="C38" s="144" t="s">
        <v>446</v>
      </c>
      <c r="D38" s="589" t="s">
        <v>448</v>
      </c>
      <c r="E38" s="135">
        <v>28</v>
      </c>
      <c r="F38" s="171" t="s">
        <v>166</v>
      </c>
      <c r="G38" s="130" t="s">
        <v>125</v>
      </c>
      <c r="H38" s="156" t="s">
        <v>14</v>
      </c>
      <c r="I38" s="171" t="s">
        <v>164</v>
      </c>
      <c r="J38" s="170">
        <v>0.40364</v>
      </c>
      <c r="K38" s="20"/>
      <c r="L38" s="143"/>
      <c r="M38" s="143"/>
      <c r="N38" s="20">
        <f>$J$38*(N15+N21+N22+N23+N24+N25+N26+N27)</f>
        <v>30273</v>
      </c>
      <c r="O38" s="20">
        <f>$J$38*(O15+O21+O22+O23+O24+O25+O26+O27)</f>
        <v>7418.0959199999998</v>
      </c>
      <c r="P38" s="20">
        <f>SUM(N38:O38)</f>
        <v>37691.09592</v>
      </c>
      <c r="Q38" s="170">
        <f>J38</f>
        <v>0.40364</v>
      </c>
      <c r="R38" s="20"/>
      <c r="S38" s="143"/>
      <c r="T38" s="20">
        <f>$J$38*(T15+T21+T22+T23+T24+T25+T26+T27)</f>
        <v>37780.703999999998</v>
      </c>
      <c r="U38" s="20">
        <f>$J$38*(U15+U21+U22+U23+U24+U25+U26+U27)</f>
        <v>8134.6053568000007</v>
      </c>
      <c r="V38" s="20">
        <f>+T38+U38</f>
        <v>45915.309356799997</v>
      </c>
      <c r="W38" s="170">
        <f>J38</f>
        <v>0.40364</v>
      </c>
      <c r="X38" s="20"/>
      <c r="Y38" s="143"/>
      <c r="Z38" s="20">
        <f>$J$38*(Z15+Z21+Z22+Z23+Z24+Z25+Z26+Z27)</f>
        <v>39291.932159999997</v>
      </c>
      <c r="AA38" s="20">
        <f>$J$38*(AA15+AA21+AA22+AA23+AA24+AA25+AA26+AA27)</f>
        <v>8459.9895710719993</v>
      </c>
      <c r="AB38" s="20">
        <f>SUM(Z38:AA38)</f>
        <v>47751.921731071998</v>
      </c>
      <c r="AC38" s="170">
        <f>J38</f>
        <v>0.40364</v>
      </c>
      <c r="AD38" s="20"/>
      <c r="AE38" s="143"/>
      <c r="AF38" s="20">
        <f>$J$38*(AF15+AF21+AF22+AF23+AF24+AF25+AF26+AF27)</f>
        <v>40863.609446399998</v>
      </c>
      <c r="AG38" s="20">
        <f>$J$38*(AG15+AG21+AG22+AG23+AG24+AG25+AG26+AG27)</f>
        <v>8798.3891539148826</v>
      </c>
      <c r="AH38" s="20">
        <f>SUM(AF38:AG38)</f>
        <v>49661.998600314881</v>
      </c>
      <c r="AI38" s="170">
        <f>J38</f>
        <v>0.40364</v>
      </c>
      <c r="AJ38" s="20"/>
      <c r="AK38" s="143"/>
      <c r="AL38" s="20">
        <f>$J$38*(AL15+AL21+AL22+AL23+AL24+AL25+AL26+AL27)</f>
        <v>33644.371777535998</v>
      </c>
      <c r="AM38" s="20">
        <f>$J$38*(AM15+AM21+AM22+AM23+AM24+AM25+AM26+AM27)</f>
        <v>9150.3247200714777</v>
      </c>
      <c r="AN38" s="20">
        <f>SUM(AL38:AM38)</f>
        <v>42794.696497607474</v>
      </c>
      <c r="AO38" s="20">
        <f>+AL38+AF38+Z38+T38+N38</f>
        <v>181853.61738393598</v>
      </c>
      <c r="AP38" s="20">
        <f>+AM38+AG38+AA38+U38+O38</f>
        <v>41961.404721858358</v>
      </c>
      <c r="AQ38" s="20">
        <f>+SUM(AO38:AP38)</f>
        <v>223815.02210579434</v>
      </c>
      <c r="AR38" s="147">
        <f>1004.62+2384.5+1984.94+2167.27+4452.1</f>
        <v>11993.43</v>
      </c>
      <c r="AS38" s="20">
        <f>610.8+235.92+174.69+381.75+610.8+235.92+174.69+381.75+610.8+235.92+174.69+381.75+194.7+97.35+96.01</f>
        <v>4597.54</v>
      </c>
      <c r="AT38" s="20">
        <f>5666.77+3395+3401.2+3467.08+3271.67+8962.85+5296.53+4925.25+5608.71+8084.1+5733.3+11946.72-AT37</f>
        <v>53245.369999999995</v>
      </c>
      <c r="AU38" s="20">
        <f>195.42+97.37+90.38+141.66+198.74+99.02+91.92+146.53+205.57+102.42+95.07+147.06+206.32+102.8+95.42+138.77+194.69+97+90.04+141.53+198.56+98.93+91.83+178.76+89.06+82.67+180.95+90.16+83.69+176.22+87.8+81.5+176.22+87.8+81.5+158.69+79.07+73.39+163.35+81.39+75.55</f>
        <v>5094.82</v>
      </c>
      <c r="AV38" s="20">
        <f>AR38+AT38</f>
        <v>65238.799999999996</v>
      </c>
      <c r="AW38" s="20">
        <f>AS38+AU38</f>
        <v>9692.36</v>
      </c>
      <c r="AX38" s="20">
        <f>AV38+AW38</f>
        <v>74931.16</v>
      </c>
      <c r="AY38" s="20">
        <f>AQ38-AX38</f>
        <v>148883.86210579434</v>
      </c>
      <c r="AZ38" s="147">
        <f>AQ38-AR38-AS38-AT38-AU38</f>
        <v>148883.86210579434</v>
      </c>
      <c r="BA38" s="15">
        <f>AY38-AZ38</f>
        <v>0</v>
      </c>
      <c r="BB38" s="536">
        <f>52.374%</f>
        <v>0.52373999999999998</v>
      </c>
      <c r="BC38" s="147"/>
      <c r="BD38" s="157"/>
      <c r="BE38" s="147">
        <v>96121.16</v>
      </c>
      <c r="BF38" s="147">
        <f>BF35*BB38</f>
        <v>17099.850814347839</v>
      </c>
      <c r="BG38" s="147">
        <f>SUM(BE38:BF38)</f>
        <v>113221.01081434784</v>
      </c>
      <c r="BH38" s="407" t="s">
        <v>167</v>
      </c>
      <c r="BI38" s="536">
        <v>0.52373999999999998</v>
      </c>
      <c r="BJ38" s="147"/>
      <c r="BK38" s="147"/>
      <c r="BL38" s="147">
        <f>BL35*BI38</f>
        <v>117259.24860518404</v>
      </c>
      <c r="BM38" s="147">
        <f>BM35*BI38</f>
        <v>18697.300016898047</v>
      </c>
      <c r="BN38" s="229">
        <f>SUM(BL38:BM38)</f>
        <v>135956.54862208207</v>
      </c>
      <c r="BO38" s="537">
        <v>0.52373999999999998</v>
      </c>
      <c r="BP38" s="147"/>
      <c r="BQ38" s="143"/>
      <c r="BR38" s="147">
        <f>BR35*BO38</f>
        <v>105876.64069452288</v>
      </c>
      <c r="BS38" s="147">
        <f>BS35*BO38</f>
        <v>17491.917453438815</v>
      </c>
      <c r="BT38" s="229">
        <f>BS38+BR38</f>
        <v>123368.5581479617</v>
      </c>
      <c r="BU38" s="538">
        <v>0.52373999999999998</v>
      </c>
      <c r="BV38" s="147"/>
      <c r="BW38" s="147"/>
      <c r="BX38" s="147">
        <f>BX35*BU38</f>
        <v>39896.398932848642</v>
      </c>
      <c r="BY38" s="147">
        <f>BY35*BU38</f>
        <v>6887.6178804779665</v>
      </c>
      <c r="BZ38" s="229">
        <f>BY38+BX38</f>
        <v>46784.016813326612</v>
      </c>
      <c r="CA38" s="228">
        <f>BR38+BL38+BE38+BX38</f>
        <v>359153.44823255559</v>
      </c>
      <c r="CB38" s="147">
        <f>BF38+BM38+BS38+BY38</f>
        <v>60176.686165162668</v>
      </c>
      <c r="CC38" s="229">
        <f>CA38+CB38</f>
        <v>419330.13439771824</v>
      </c>
      <c r="CD38" s="23"/>
      <c r="CE38" s="20">
        <f>AV38+CA38</f>
        <v>424392.24823255558</v>
      </c>
      <c r="CF38" s="20">
        <f>AW38+CB38</f>
        <v>69869.046165162668</v>
      </c>
      <c r="CG38" s="15">
        <f>CE38+CF38</f>
        <v>494261.29439771827</v>
      </c>
      <c r="CH38" s="314">
        <f t="shared" si="44"/>
        <v>-242538.63084861959</v>
      </c>
      <c r="CI38" s="310">
        <f t="shared" si="44"/>
        <v>-27907.64144330431</v>
      </c>
      <c r="CJ38" s="521">
        <f t="shared" si="44"/>
        <v>-270446.27229192393</v>
      </c>
      <c r="CK38" s="530">
        <f t="shared" si="0"/>
        <v>270446</v>
      </c>
      <c r="CL38" s="531">
        <f t="shared" si="1"/>
        <v>-0.27229192393133417</v>
      </c>
      <c r="CM38" s="368"/>
      <c r="CN38" s="368"/>
      <c r="CO38" s="368"/>
      <c r="CP38" s="368"/>
      <c r="CQ38" s="368"/>
      <c r="CR38" s="368"/>
      <c r="CS38" s="368"/>
      <c r="CT38" s="368">
        <v>217842</v>
      </c>
      <c r="CU38" s="368">
        <v>27908</v>
      </c>
      <c r="CV38" s="368"/>
      <c r="CW38" s="368"/>
      <c r="CX38" s="368"/>
      <c r="CY38" s="368"/>
      <c r="CZ38" s="368"/>
      <c r="DA38" s="368"/>
      <c r="DB38" s="368"/>
      <c r="DC38" s="368"/>
      <c r="DD38" s="368"/>
      <c r="DE38" s="368"/>
      <c r="DF38" s="368"/>
      <c r="DG38" s="368"/>
      <c r="DH38" s="368"/>
      <c r="DI38" s="368"/>
      <c r="DJ38" s="368"/>
      <c r="DK38" s="368"/>
      <c r="DL38" s="368"/>
      <c r="DM38" s="368"/>
      <c r="DN38" s="368"/>
      <c r="DO38" s="368"/>
      <c r="DP38" s="368"/>
      <c r="DQ38" s="368"/>
      <c r="DR38" s="368"/>
      <c r="DS38" s="368"/>
      <c r="DT38" s="368"/>
      <c r="DU38" s="368"/>
      <c r="DV38" s="368"/>
      <c r="DW38" s="368"/>
      <c r="DX38" s="368"/>
      <c r="DY38" s="368"/>
      <c r="DZ38" s="368"/>
      <c r="EA38" s="368"/>
      <c r="EB38" s="368"/>
      <c r="EC38" s="368"/>
      <c r="ED38" s="368"/>
      <c r="EE38" s="368"/>
      <c r="EF38" s="368"/>
      <c r="EG38" s="368">
        <v>24696</v>
      </c>
      <c r="EH38" s="368"/>
      <c r="EI38" s="368"/>
      <c r="EJ38" s="368"/>
      <c r="EK38" s="368"/>
      <c r="EL38" s="368"/>
      <c r="EM38" s="368"/>
      <c r="EN38" s="368"/>
      <c r="EO38" s="368"/>
      <c r="EP38" s="368"/>
      <c r="EQ38" s="368"/>
      <c r="ER38" s="368"/>
      <c r="ES38" s="368"/>
    </row>
    <row r="39" spans="1:149" s="127" customFormat="1" ht="19.5" customHeight="1" x14ac:dyDescent="0.45">
      <c r="A39" s="172"/>
      <c r="B39" s="172"/>
      <c r="C39" s="172"/>
      <c r="D39" s="172"/>
      <c r="E39" s="135">
        <v>29</v>
      </c>
      <c r="F39" s="172" t="s">
        <v>168</v>
      </c>
      <c r="G39" s="173"/>
      <c r="H39" s="172"/>
      <c r="I39" s="172"/>
      <c r="J39" s="164"/>
      <c r="K39" s="164"/>
      <c r="L39" s="164"/>
      <c r="M39" s="164"/>
      <c r="N39" s="16">
        <f>SUM(N37:N38)</f>
        <v>68799.225999999995</v>
      </c>
      <c r="O39" s="16">
        <f>SUM(O37:O38)</f>
        <v>13520.294615999999</v>
      </c>
      <c r="P39" s="16">
        <f>SUM(P37:P38)</f>
        <v>82319.520615999994</v>
      </c>
      <c r="Q39" s="164"/>
      <c r="R39" s="164"/>
      <c r="S39" s="164"/>
      <c r="T39" s="16">
        <f>SUM(T37:T38)</f>
        <v>84668.238719999994</v>
      </c>
      <c r="U39" s="16">
        <f>SUM(U37:U38)</f>
        <v>15057.82715008</v>
      </c>
      <c r="V39" s="16">
        <f>SUM(V37:V38)</f>
        <v>99726.065870079998</v>
      </c>
      <c r="W39" s="164"/>
      <c r="X39" s="164"/>
      <c r="Y39" s="164"/>
      <c r="Z39" s="16">
        <f>SUM(Z37:Z38)</f>
        <v>88054.968268800003</v>
      </c>
      <c r="AA39" s="16">
        <f>SUM(AA37:AA38)</f>
        <v>15660.1402360832</v>
      </c>
      <c r="AB39" s="16">
        <f>SUM(AB37:AB38)</f>
        <v>103715.1085048832</v>
      </c>
      <c r="AC39" s="164"/>
      <c r="AD39" s="164"/>
      <c r="AE39" s="164"/>
      <c r="AF39" s="16">
        <f>SUM(AF37:AF38)</f>
        <v>91577.166999551991</v>
      </c>
      <c r="AG39" s="16">
        <f>SUM(AG37:AG38)</f>
        <v>16286.545845526531</v>
      </c>
      <c r="AH39" s="16">
        <f>SUM(AH37:AH38)</f>
        <v>107863.71284507852</v>
      </c>
      <c r="AI39" s="164"/>
      <c r="AJ39" s="164"/>
      <c r="AK39" s="164"/>
      <c r="AL39" s="16">
        <f>SUM(AL37:AL38)</f>
        <v>83109.782036070406</v>
      </c>
      <c r="AM39" s="16">
        <f>SUM(AM37:AM38)</f>
        <v>16289.034099407918</v>
      </c>
      <c r="AN39" s="16">
        <f>SUM(AN37:AN38)</f>
        <v>99398.816135478322</v>
      </c>
      <c r="AO39" s="16">
        <f>SUM(AO37:AO38)</f>
        <v>416209.3820244224</v>
      </c>
      <c r="AP39" s="16">
        <f>SUM(AP37:AP38)</f>
        <v>76813.841947097651</v>
      </c>
      <c r="AQ39" s="16">
        <f>SUM(AO39:AP39)</f>
        <v>493023.22397152008</v>
      </c>
      <c r="AR39" s="165">
        <f>AR38+AR37</f>
        <v>11993.43</v>
      </c>
      <c r="AS39" s="16">
        <f>AS38+AS37</f>
        <v>4597.54</v>
      </c>
      <c r="AT39" s="16">
        <f t="shared" ref="AT39:AY39" si="45">SUM(AT37:AT38)</f>
        <v>69759.179999999993</v>
      </c>
      <c r="AU39" s="16">
        <f t="shared" si="45"/>
        <v>5094.82</v>
      </c>
      <c r="AV39" s="16">
        <f t="shared" si="45"/>
        <v>81752.61</v>
      </c>
      <c r="AW39" s="16">
        <f t="shared" si="45"/>
        <v>9692.36</v>
      </c>
      <c r="AX39" s="16">
        <f t="shared" si="45"/>
        <v>91444.97</v>
      </c>
      <c r="AY39" s="16">
        <f t="shared" si="45"/>
        <v>401578.25397152</v>
      </c>
      <c r="AZ39" s="165">
        <f>AQ39-AR39-AS39-AT39-AU39</f>
        <v>401578.25397152011</v>
      </c>
      <c r="BA39" s="14"/>
      <c r="BB39" s="264"/>
      <c r="BC39" s="16">
        <f>BC38+BC37</f>
        <v>0</v>
      </c>
      <c r="BD39" s="166">
        <v>0</v>
      </c>
      <c r="BE39" s="165">
        <f>SUM(BE37:BE38)</f>
        <v>96121.16</v>
      </c>
      <c r="BF39" s="165">
        <f>SUM(BF37:BF38)</f>
        <v>17099.850814347839</v>
      </c>
      <c r="BG39" s="165">
        <f>SUM(BE39:BF39)</f>
        <v>113221.01081434784</v>
      </c>
      <c r="BH39" s="411"/>
      <c r="BI39" s="264"/>
      <c r="BJ39" s="16">
        <f>BJ38+BJ37</f>
        <v>0</v>
      </c>
      <c r="BK39" s="166"/>
      <c r="BL39" s="165">
        <f>SUM(BL37:BL38)</f>
        <v>117259.24860518404</v>
      </c>
      <c r="BM39" s="165">
        <f>SUM(BM37:BM38)</f>
        <v>18697.300016898047</v>
      </c>
      <c r="BN39" s="25">
        <f>SUM(BL39:BM39)</f>
        <v>135956.54862208207</v>
      </c>
      <c r="BO39" s="431"/>
      <c r="BP39" s="165">
        <f>BP38+BP37</f>
        <v>0</v>
      </c>
      <c r="BQ39" s="166"/>
      <c r="BR39" s="165">
        <f>SUM(BR37:BR38)</f>
        <v>105876.64069452288</v>
      </c>
      <c r="BS39" s="16">
        <f>BS38+BS37</f>
        <v>17491.917453438815</v>
      </c>
      <c r="BT39" s="22">
        <f>SUM(BR39:BS39)</f>
        <v>123368.5581479617</v>
      </c>
      <c r="BU39" s="225"/>
      <c r="BV39" s="16">
        <f>BV38</f>
        <v>0</v>
      </c>
      <c r="BW39" s="16"/>
      <c r="BX39" s="16">
        <f>BX38</f>
        <v>39896.398932848642</v>
      </c>
      <c r="BY39" s="16">
        <f>BY38</f>
        <v>6887.6178804779665</v>
      </c>
      <c r="BZ39" s="22">
        <f>BZ38</f>
        <v>46784.016813326612</v>
      </c>
      <c r="CA39" s="226">
        <f>BR39+BL39+BE39+BX39</f>
        <v>359153.44823255559</v>
      </c>
      <c r="CB39" s="165">
        <f>BY39+BS39+BM39+BF39</f>
        <v>60176.686165162668</v>
      </c>
      <c r="CC39" s="25">
        <f>BZ39+BT39+BN39+BG39</f>
        <v>419330.13439771818</v>
      </c>
      <c r="CD39" s="17"/>
      <c r="CE39" s="165">
        <f>CA39+AT39+AR39</f>
        <v>440906.05823255557</v>
      </c>
      <c r="CF39" s="16">
        <f>CF38+CF37</f>
        <v>69869.046165162668</v>
      </c>
      <c r="CG39" s="300">
        <f>CE39+CF39</f>
        <v>510775.10439771821</v>
      </c>
      <c r="CH39" s="217"/>
      <c r="CI39" s="20"/>
      <c r="CJ39" s="18"/>
      <c r="CK39" s="530">
        <f t="shared" si="0"/>
        <v>0</v>
      </c>
      <c r="CL39" s="531">
        <f t="shared" si="1"/>
        <v>0</v>
      </c>
      <c r="CM39" s="369"/>
      <c r="CN39" s="369"/>
      <c r="CO39" s="369"/>
      <c r="CP39" s="369"/>
      <c r="CQ39" s="369"/>
      <c r="CR39" s="369"/>
      <c r="CS39" s="369"/>
      <c r="CT39" s="369"/>
      <c r="CU39" s="369"/>
      <c r="CV39" s="369"/>
      <c r="CW39" s="369"/>
      <c r="CX39" s="369"/>
      <c r="CY39" s="369"/>
      <c r="CZ39" s="369"/>
      <c r="DA39" s="369"/>
      <c r="DB39" s="369"/>
      <c r="DC39" s="369"/>
      <c r="DD39" s="369"/>
      <c r="DE39" s="369"/>
      <c r="DF39" s="369"/>
      <c r="DG39" s="369"/>
      <c r="DH39" s="369"/>
      <c r="DI39" s="369"/>
      <c r="DJ39" s="369"/>
      <c r="DK39" s="369"/>
      <c r="DL39" s="369"/>
      <c r="DM39" s="369"/>
      <c r="DN39" s="369"/>
      <c r="DO39" s="369"/>
      <c r="DP39" s="369"/>
      <c r="DQ39" s="369"/>
      <c r="DR39" s="369"/>
      <c r="DS39" s="369"/>
      <c r="DT39" s="369"/>
      <c r="DU39" s="369"/>
      <c r="DV39" s="369"/>
      <c r="DW39" s="369"/>
      <c r="DX39" s="369"/>
      <c r="DY39" s="369"/>
      <c r="DZ39" s="369"/>
      <c r="EA39" s="369"/>
      <c r="EB39" s="369"/>
      <c r="EC39" s="369"/>
      <c r="ED39" s="369"/>
      <c r="EE39" s="369"/>
      <c r="EF39" s="369"/>
      <c r="EG39" s="369"/>
      <c r="EH39" s="369"/>
      <c r="EI39" s="369"/>
      <c r="EJ39" s="369"/>
      <c r="EK39" s="369"/>
      <c r="EL39" s="369"/>
      <c r="EM39" s="369"/>
      <c r="EN39" s="369"/>
      <c r="EO39" s="369"/>
      <c r="EP39" s="369"/>
      <c r="EQ39" s="369"/>
      <c r="ER39" s="369"/>
      <c r="ES39" s="369"/>
    </row>
    <row r="40" spans="1:149" s="126" customFormat="1" ht="19.5" customHeight="1" x14ac:dyDescent="0.45">
      <c r="A40" s="136"/>
      <c r="B40" s="136"/>
      <c r="C40" s="136"/>
      <c r="D40" s="136"/>
      <c r="E40" s="135">
        <v>30</v>
      </c>
      <c r="F40" s="136" t="s">
        <v>169</v>
      </c>
      <c r="G40" s="136"/>
      <c r="H40" s="136"/>
      <c r="I40" s="136"/>
      <c r="J40" s="136"/>
      <c r="K40" s="136"/>
      <c r="L40" s="136"/>
      <c r="M40" s="136"/>
      <c r="N40" s="279"/>
      <c r="O40" s="279"/>
      <c r="P40" s="279"/>
      <c r="Q40" s="136"/>
      <c r="R40" s="136"/>
      <c r="S40" s="136"/>
      <c r="T40" s="279"/>
      <c r="U40" s="279"/>
      <c r="V40" s="279"/>
      <c r="W40" s="136"/>
      <c r="X40" s="136"/>
      <c r="Y40" s="136"/>
      <c r="Z40" s="279"/>
      <c r="AA40" s="279"/>
      <c r="AB40" s="279"/>
      <c r="AC40" s="136"/>
      <c r="AD40" s="136"/>
      <c r="AE40" s="136"/>
      <c r="AF40" s="279"/>
      <c r="AG40" s="279"/>
      <c r="AH40" s="279"/>
      <c r="AI40" s="136"/>
      <c r="AJ40" s="136"/>
      <c r="AK40" s="136"/>
      <c r="AL40" s="279"/>
      <c r="AM40" s="279"/>
      <c r="AN40" s="279"/>
      <c r="AO40" s="279"/>
      <c r="AP40" s="279"/>
      <c r="AQ40" s="279"/>
      <c r="AR40" s="279"/>
      <c r="AS40" s="279"/>
      <c r="AT40" s="279"/>
      <c r="AU40" s="279"/>
      <c r="AV40" s="279"/>
      <c r="AW40" s="279"/>
      <c r="AX40" s="279"/>
      <c r="AY40" s="279"/>
      <c r="AZ40" s="279"/>
      <c r="BA40" s="280"/>
      <c r="BB40" s="281"/>
      <c r="BC40" s="279"/>
      <c r="BD40" s="282"/>
      <c r="BE40" s="279"/>
      <c r="BF40" s="279"/>
      <c r="BG40" s="279"/>
      <c r="BH40" s="412"/>
      <c r="BI40" s="281"/>
      <c r="BJ40" s="279"/>
      <c r="BK40" s="282"/>
      <c r="BL40" s="283"/>
      <c r="BM40" s="283"/>
      <c r="BN40" s="284"/>
      <c r="BO40" s="432"/>
      <c r="BP40" s="279"/>
      <c r="BQ40" s="282"/>
      <c r="BR40" s="279"/>
      <c r="BS40" s="279"/>
      <c r="BT40" s="285"/>
      <c r="BU40" s="286"/>
      <c r="BV40" s="279"/>
      <c r="BW40" s="279"/>
      <c r="BX40" s="279"/>
      <c r="BY40" s="279"/>
      <c r="BZ40" s="285"/>
      <c r="CA40" s="287"/>
      <c r="CB40" s="283"/>
      <c r="CC40" s="284"/>
      <c r="CD40" s="23"/>
      <c r="CE40" s="279"/>
      <c r="CF40" s="279"/>
      <c r="CG40" s="280"/>
      <c r="CH40" s="217"/>
      <c r="CI40" s="20"/>
      <c r="CJ40" s="15"/>
      <c r="CK40" s="530">
        <f t="shared" si="0"/>
        <v>0</v>
      </c>
      <c r="CL40" s="531">
        <f t="shared" si="1"/>
        <v>0</v>
      </c>
      <c r="CM40" s="368"/>
      <c r="CN40" s="368"/>
      <c r="CO40" s="368"/>
      <c r="CP40" s="368"/>
      <c r="CQ40" s="368"/>
      <c r="CR40" s="368"/>
      <c r="CS40" s="368"/>
      <c r="CT40" s="368"/>
      <c r="CU40" s="368"/>
      <c r="CV40" s="368"/>
      <c r="CW40" s="368"/>
      <c r="CX40" s="368"/>
      <c r="CY40" s="368"/>
      <c r="CZ40" s="368"/>
      <c r="DA40" s="368"/>
      <c r="DB40" s="368"/>
      <c r="DC40" s="368"/>
      <c r="DD40" s="368"/>
      <c r="DE40" s="368"/>
      <c r="DF40" s="368"/>
      <c r="DG40" s="368"/>
      <c r="DH40" s="368"/>
      <c r="DI40" s="368"/>
      <c r="DJ40" s="368"/>
      <c r="DK40" s="368"/>
      <c r="DL40" s="368"/>
      <c r="DM40" s="368"/>
      <c r="DN40" s="368"/>
      <c r="DO40" s="368"/>
      <c r="DP40" s="368"/>
      <c r="DQ40" s="368"/>
      <c r="DR40" s="368"/>
      <c r="DS40" s="368"/>
      <c r="DT40" s="368"/>
      <c r="DU40" s="368"/>
      <c r="DV40" s="368"/>
      <c r="DW40" s="368"/>
      <c r="DX40" s="368"/>
      <c r="DY40" s="368"/>
      <c r="DZ40" s="368"/>
      <c r="EA40" s="368"/>
      <c r="EB40" s="368"/>
      <c r="EC40" s="368"/>
      <c r="ED40" s="368"/>
      <c r="EE40" s="368"/>
      <c r="EF40" s="368"/>
      <c r="EG40" s="368"/>
      <c r="EH40" s="368"/>
      <c r="EI40" s="368"/>
      <c r="EJ40" s="368"/>
      <c r="EK40" s="368"/>
      <c r="EL40" s="368"/>
      <c r="EM40" s="368"/>
      <c r="EN40" s="368"/>
      <c r="EO40" s="368"/>
      <c r="EP40" s="368"/>
      <c r="EQ40" s="368"/>
      <c r="ER40" s="368"/>
      <c r="ES40" s="368"/>
    </row>
    <row r="41" spans="1:149" s="126" customFormat="1" ht="19.5" customHeight="1" x14ac:dyDescent="0.45">
      <c r="A41" s="148"/>
      <c r="B41" s="148"/>
      <c r="C41" s="148"/>
      <c r="D41" s="148"/>
      <c r="E41" s="143">
        <v>31</v>
      </c>
      <c r="F41" s="148" t="s">
        <v>170</v>
      </c>
      <c r="G41" s="148"/>
      <c r="H41" s="148"/>
      <c r="I41" s="148"/>
      <c r="J41" s="156"/>
      <c r="K41" s="156"/>
      <c r="L41" s="156"/>
      <c r="M41" s="156"/>
      <c r="N41" s="20"/>
      <c r="O41" s="20"/>
      <c r="P41" s="20"/>
      <c r="Q41" s="156"/>
      <c r="R41" s="156"/>
      <c r="S41" s="156"/>
      <c r="T41" s="20"/>
      <c r="U41" s="20"/>
      <c r="V41" s="20"/>
      <c r="W41" s="156"/>
      <c r="X41" s="156"/>
      <c r="Y41" s="156"/>
      <c r="Z41" s="20"/>
      <c r="AA41" s="20"/>
      <c r="AB41" s="20"/>
      <c r="AC41" s="156"/>
      <c r="AD41" s="156"/>
      <c r="AE41" s="156"/>
      <c r="AF41" s="20"/>
      <c r="AG41" s="20"/>
      <c r="AH41" s="20"/>
      <c r="AI41" s="156"/>
      <c r="AJ41" s="156"/>
      <c r="AK41" s="156"/>
      <c r="AL41" s="20"/>
      <c r="AM41" s="20"/>
      <c r="AN41" s="20"/>
      <c r="AO41" s="20"/>
      <c r="AP41" s="20"/>
      <c r="AQ41" s="20"/>
      <c r="AR41" s="20"/>
      <c r="AS41" s="20"/>
      <c r="AT41" s="20"/>
      <c r="AU41" s="20"/>
      <c r="AV41" s="20"/>
      <c r="AW41" s="20"/>
      <c r="AX41" s="20"/>
      <c r="AY41" s="20"/>
      <c r="AZ41" s="20"/>
      <c r="BA41" s="15"/>
      <c r="BB41" s="263"/>
      <c r="BC41" s="20"/>
      <c r="BD41" s="143"/>
      <c r="BE41" s="20"/>
      <c r="BF41" s="20"/>
      <c r="BG41" s="20"/>
      <c r="BH41" s="406"/>
      <c r="BI41" s="263"/>
      <c r="BJ41" s="20"/>
      <c r="BK41" s="143"/>
      <c r="BL41" s="147"/>
      <c r="BM41" s="147"/>
      <c r="BN41" s="229"/>
      <c r="BO41" s="430"/>
      <c r="BP41" s="20"/>
      <c r="BQ41" s="143"/>
      <c r="BR41" s="20"/>
      <c r="BS41" s="20"/>
      <c r="BT41" s="223"/>
      <c r="BU41" s="217"/>
      <c r="BV41" s="20"/>
      <c r="BW41" s="20"/>
      <c r="BX41" s="20"/>
      <c r="BY41" s="20"/>
      <c r="BZ41" s="223"/>
      <c r="CA41" s="228"/>
      <c r="CB41" s="147"/>
      <c r="CC41" s="229"/>
      <c r="CD41" s="23"/>
      <c r="CE41" s="20"/>
      <c r="CF41" s="20"/>
      <c r="CG41" s="15"/>
      <c r="CH41" s="217"/>
      <c r="CI41" s="20"/>
      <c r="CJ41" s="15"/>
      <c r="CK41" s="530">
        <f t="shared" si="0"/>
        <v>0</v>
      </c>
      <c r="CL41" s="531">
        <f t="shared" si="1"/>
        <v>0</v>
      </c>
      <c r="CM41" s="368"/>
      <c r="CN41" s="368"/>
      <c r="CO41" s="368"/>
      <c r="CP41" s="368"/>
      <c r="CQ41" s="368"/>
      <c r="CR41" s="368"/>
      <c r="CS41" s="368"/>
      <c r="CT41" s="368"/>
      <c r="CU41" s="368"/>
      <c r="CV41" s="368"/>
      <c r="CW41" s="368"/>
      <c r="CX41" s="368"/>
      <c r="CY41" s="368"/>
      <c r="CZ41" s="368"/>
      <c r="DA41" s="368"/>
      <c r="DB41" s="368"/>
      <c r="DC41" s="368"/>
      <c r="DD41" s="368"/>
      <c r="DE41" s="368"/>
      <c r="DF41" s="368"/>
      <c r="DG41" s="368"/>
      <c r="DH41" s="368"/>
      <c r="DI41" s="368"/>
      <c r="DJ41" s="368"/>
      <c r="DK41" s="368"/>
      <c r="DL41" s="368"/>
      <c r="DM41" s="368"/>
      <c r="DN41" s="368"/>
      <c r="DO41" s="368"/>
      <c r="DP41" s="368"/>
      <c r="DQ41" s="368"/>
      <c r="DR41" s="368"/>
      <c r="DS41" s="368"/>
      <c r="DT41" s="368"/>
      <c r="DU41" s="368"/>
      <c r="DV41" s="368"/>
      <c r="DW41" s="368"/>
      <c r="DX41" s="368"/>
      <c r="DY41" s="368"/>
      <c r="DZ41" s="368"/>
      <c r="EA41" s="368"/>
      <c r="EB41" s="368"/>
      <c r="EC41" s="368"/>
      <c r="ED41" s="368"/>
      <c r="EE41" s="368"/>
      <c r="EF41" s="368"/>
      <c r="EG41" s="368"/>
      <c r="EH41" s="368"/>
      <c r="EI41" s="368"/>
      <c r="EJ41" s="368"/>
      <c r="EK41" s="368"/>
      <c r="EL41" s="368"/>
      <c r="EM41" s="368"/>
      <c r="EN41" s="368"/>
      <c r="EO41" s="368"/>
      <c r="EP41" s="368"/>
      <c r="EQ41" s="368"/>
      <c r="ER41" s="368"/>
      <c r="ES41" s="368"/>
    </row>
    <row r="42" spans="1:149" s="126" customFormat="1" ht="34.5" customHeight="1" x14ac:dyDescent="0.45">
      <c r="A42" s="144" t="s">
        <v>445</v>
      </c>
      <c r="B42" s="588">
        <v>89050</v>
      </c>
      <c r="C42" s="144" t="s">
        <v>446</v>
      </c>
      <c r="D42" s="139" t="s">
        <v>449</v>
      </c>
      <c r="E42" s="143">
        <v>32</v>
      </c>
      <c r="F42" s="174" t="s">
        <v>171</v>
      </c>
      <c r="G42" s="175" t="s">
        <v>169</v>
      </c>
      <c r="H42" s="176" t="s">
        <v>170</v>
      </c>
      <c r="I42" s="174" t="s">
        <v>11</v>
      </c>
      <c r="J42" s="156"/>
      <c r="K42" s="156"/>
      <c r="L42" s="156"/>
      <c r="M42" s="156" t="s">
        <v>172</v>
      </c>
      <c r="N42" s="20"/>
      <c r="O42" s="20"/>
      <c r="P42" s="20"/>
      <c r="Q42" s="156"/>
      <c r="R42" s="156"/>
      <c r="S42" s="156"/>
      <c r="T42" s="20"/>
      <c r="U42" s="20"/>
      <c r="V42" s="20"/>
      <c r="W42" s="156"/>
      <c r="X42" s="156"/>
      <c r="Y42" s="156"/>
      <c r="Z42" s="20"/>
      <c r="AA42" s="20"/>
      <c r="AB42" s="20"/>
      <c r="AC42" s="156"/>
      <c r="AD42" s="156"/>
      <c r="AE42" s="156"/>
      <c r="AF42" s="20"/>
      <c r="AG42" s="20"/>
      <c r="AH42" s="20"/>
      <c r="AI42" s="156"/>
      <c r="AJ42" s="156"/>
      <c r="AK42" s="156"/>
      <c r="AL42" s="20"/>
      <c r="AM42" s="20"/>
      <c r="AN42" s="20"/>
      <c r="AO42" s="20"/>
      <c r="AP42" s="20"/>
      <c r="AQ42" s="20"/>
      <c r="AR42" s="20">
        <v>0</v>
      </c>
      <c r="AS42" s="20">
        <v>0</v>
      </c>
      <c r="AT42" s="20">
        <v>0</v>
      </c>
      <c r="AU42" s="20">
        <v>0</v>
      </c>
      <c r="AV42" s="20">
        <v>0</v>
      </c>
      <c r="AW42" s="20">
        <f>AS42+AU42</f>
        <v>0</v>
      </c>
      <c r="AX42" s="20">
        <f>AV42+AW42</f>
        <v>0</v>
      </c>
      <c r="AY42" s="20">
        <f>AQ42-AX42</f>
        <v>0</v>
      </c>
      <c r="AZ42" s="20">
        <v>0</v>
      </c>
      <c r="BA42" s="15">
        <f>AY42-AZ42</f>
        <v>0</v>
      </c>
      <c r="BB42" s="248">
        <v>169</v>
      </c>
      <c r="BC42" s="147">
        <v>212.7</v>
      </c>
      <c r="BD42" s="143"/>
      <c r="BE42" s="147">
        <f>BC42*BB42</f>
        <v>35946.299999999996</v>
      </c>
      <c r="BF42" s="147">
        <f>AA42</f>
        <v>0</v>
      </c>
      <c r="BG42" s="147">
        <f>SUM(BE42:BF42)</f>
        <v>35946.299999999996</v>
      </c>
      <c r="BH42" s="413" t="s">
        <v>173</v>
      </c>
      <c r="BI42" s="263"/>
      <c r="BJ42" s="20">
        <f>6510</f>
        <v>6510</v>
      </c>
      <c r="BK42" s="143"/>
      <c r="BL42" s="147">
        <f>BJ42</f>
        <v>6510</v>
      </c>
      <c r="BM42" s="147">
        <v>0</v>
      </c>
      <c r="BN42" s="229">
        <f>SUM(BL42:BM42)</f>
        <v>6510</v>
      </c>
      <c r="BO42" s="430"/>
      <c r="BP42" s="147">
        <v>17770</v>
      </c>
      <c r="BQ42" s="143"/>
      <c r="BR42" s="147">
        <f>BP42</f>
        <v>17770</v>
      </c>
      <c r="BS42" s="147">
        <v>0</v>
      </c>
      <c r="BT42" s="223">
        <f>BS42+BR42</f>
        <v>17770</v>
      </c>
      <c r="BU42" s="217"/>
      <c r="BV42" s="20">
        <v>15940</v>
      </c>
      <c r="BW42" s="20"/>
      <c r="BX42" s="20">
        <f>BV42</f>
        <v>15940</v>
      </c>
      <c r="BY42" s="147">
        <v>0</v>
      </c>
      <c r="BZ42" s="223">
        <f>BY42+BX42</f>
        <v>15940</v>
      </c>
      <c r="CA42" s="581">
        <f t="shared" ref="CA42:CB44" si="46">BR42+BL42+BE42+BX42</f>
        <v>76166.299999999988</v>
      </c>
      <c r="CB42" s="147">
        <f t="shared" si="46"/>
        <v>0</v>
      </c>
      <c r="CC42" s="229">
        <f>CA42+CB42</f>
        <v>76166.299999999988</v>
      </c>
      <c r="CD42" s="23"/>
      <c r="CE42" s="20">
        <f t="shared" ref="CE42:CF44" si="47">AV42+CA42</f>
        <v>76166.299999999988</v>
      </c>
      <c r="CF42" s="20">
        <f t="shared" si="47"/>
        <v>0</v>
      </c>
      <c r="CG42" s="15">
        <f>CE42+CF42</f>
        <v>76166.299999999988</v>
      </c>
      <c r="CH42" s="314">
        <f t="shared" ref="CH42:CJ44" si="48">AO42-CE42</f>
        <v>-76166.299999999988</v>
      </c>
      <c r="CI42" s="310">
        <f t="shared" si="48"/>
        <v>0</v>
      </c>
      <c r="CJ42" s="521">
        <f t="shared" si="48"/>
        <v>-76166.299999999988</v>
      </c>
      <c r="CK42" s="530">
        <f t="shared" si="0"/>
        <v>76166</v>
      </c>
      <c r="CL42" s="531">
        <f t="shared" si="1"/>
        <v>-0.29999999998835847</v>
      </c>
      <c r="CM42" s="372"/>
      <c r="CN42" s="368"/>
      <c r="CO42" s="368"/>
      <c r="CP42" s="368"/>
      <c r="CQ42" s="368"/>
      <c r="CR42" s="368"/>
      <c r="CS42" s="368"/>
      <c r="CT42" s="368"/>
      <c r="CU42" s="368"/>
      <c r="CV42" s="368"/>
      <c r="CW42" s="368"/>
      <c r="CX42" s="368"/>
      <c r="CY42" s="368"/>
      <c r="CZ42" s="372"/>
      <c r="DA42" s="372"/>
      <c r="DB42" s="372"/>
      <c r="DC42" s="372">
        <v>9521</v>
      </c>
      <c r="DD42" s="372"/>
      <c r="DE42" s="372"/>
      <c r="DF42" s="372"/>
      <c r="DG42" s="372"/>
      <c r="DH42" s="372"/>
      <c r="DI42" s="372"/>
      <c r="DJ42" s="372"/>
      <c r="DK42" s="372"/>
      <c r="DL42" s="372"/>
      <c r="DM42" s="372"/>
      <c r="DN42" s="372"/>
      <c r="DO42" s="372"/>
      <c r="DP42" s="372"/>
      <c r="DQ42" s="372"/>
      <c r="DR42" s="372"/>
      <c r="DS42" s="372"/>
      <c r="DT42" s="372">
        <v>50000</v>
      </c>
      <c r="DU42" s="372"/>
      <c r="DV42" s="372"/>
      <c r="DW42" s="372"/>
      <c r="DX42" s="372"/>
      <c r="DY42" s="372"/>
      <c r="DZ42" s="372"/>
      <c r="EA42" s="372"/>
      <c r="EB42" s="372"/>
      <c r="EC42" s="372"/>
      <c r="ED42" s="372"/>
      <c r="EE42" s="372"/>
      <c r="EF42" s="372">
        <v>16645</v>
      </c>
      <c r="EG42" s="372"/>
      <c r="EH42" s="372"/>
      <c r="EI42" s="372"/>
      <c r="EJ42" s="372"/>
      <c r="EK42" s="372"/>
      <c r="EL42" s="372"/>
      <c r="EM42" s="372"/>
      <c r="EN42" s="372"/>
      <c r="EO42" s="372"/>
      <c r="EP42" s="372"/>
      <c r="EQ42" s="372"/>
      <c r="ER42" s="372"/>
      <c r="ES42" s="372"/>
    </row>
    <row r="43" spans="1:149" s="126" customFormat="1" ht="19.5" customHeight="1" x14ac:dyDescent="0.45">
      <c r="A43" s="144" t="s">
        <v>445</v>
      </c>
      <c r="B43" s="588">
        <v>89050</v>
      </c>
      <c r="C43" s="144" t="s">
        <v>446</v>
      </c>
      <c r="D43" s="139" t="s">
        <v>449</v>
      </c>
      <c r="E43" s="148">
        <v>33</v>
      </c>
      <c r="F43" s="174" t="s">
        <v>174</v>
      </c>
      <c r="G43" s="175" t="s">
        <v>169</v>
      </c>
      <c r="H43" s="176" t="s">
        <v>170</v>
      </c>
      <c r="I43" s="174" t="s">
        <v>11</v>
      </c>
      <c r="J43" s="156"/>
      <c r="K43" s="156"/>
      <c r="L43" s="156"/>
      <c r="M43" s="156" t="s">
        <v>175</v>
      </c>
      <c r="N43" s="20"/>
      <c r="O43" s="20"/>
      <c r="P43" s="20"/>
      <c r="Q43" s="156"/>
      <c r="R43" s="156"/>
      <c r="S43" s="156"/>
      <c r="T43" s="20"/>
      <c r="U43" s="20"/>
      <c r="V43" s="20"/>
      <c r="W43" s="156"/>
      <c r="X43" s="156"/>
      <c r="Y43" s="156"/>
      <c r="Z43" s="20"/>
      <c r="AA43" s="20"/>
      <c r="AB43" s="20"/>
      <c r="AC43" s="156"/>
      <c r="AD43" s="156"/>
      <c r="AE43" s="156"/>
      <c r="AF43" s="20"/>
      <c r="AG43" s="20"/>
      <c r="AH43" s="20"/>
      <c r="AI43" s="156"/>
      <c r="AJ43" s="156"/>
      <c r="AK43" s="156"/>
      <c r="AL43" s="20"/>
      <c r="AM43" s="20"/>
      <c r="AN43" s="20"/>
      <c r="AO43" s="20"/>
      <c r="AP43" s="20"/>
      <c r="AQ43" s="20"/>
      <c r="AR43" s="20">
        <v>0</v>
      </c>
      <c r="AS43" s="20">
        <v>0</v>
      </c>
      <c r="AT43" s="20">
        <v>0</v>
      </c>
      <c r="AU43" s="20">
        <v>0</v>
      </c>
      <c r="AV43" s="20">
        <v>0</v>
      </c>
      <c r="AW43" s="20">
        <f>AS43+AU43</f>
        <v>0</v>
      </c>
      <c r="AX43" s="20">
        <f>AV43+AW43</f>
        <v>0</v>
      </c>
      <c r="AY43" s="20">
        <f>AQ43-AX43</f>
        <v>0</v>
      </c>
      <c r="AZ43" s="20">
        <v>0</v>
      </c>
      <c r="BA43" s="15">
        <f>AY43-AZ43</f>
        <v>0</v>
      </c>
      <c r="BB43" s="248">
        <v>170</v>
      </c>
      <c r="BC43" s="147">
        <v>98.97</v>
      </c>
      <c r="BD43" s="143"/>
      <c r="BE43" s="147">
        <f>BC43*BB43</f>
        <v>16824.900000000001</v>
      </c>
      <c r="BF43" s="147">
        <v>0</v>
      </c>
      <c r="BG43" s="147">
        <f>SUM(BE43:BF43)</f>
        <v>16824.900000000001</v>
      </c>
      <c r="BH43" s="414" t="s">
        <v>176</v>
      </c>
      <c r="BI43" s="263"/>
      <c r="BJ43" s="20">
        <f>5510-341</f>
        <v>5169</v>
      </c>
      <c r="BK43" s="20"/>
      <c r="BL43" s="147">
        <f>BJ43</f>
        <v>5169</v>
      </c>
      <c r="BM43" s="147">
        <v>0</v>
      </c>
      <c r="BN43" s="229">
        <f>SUM(BL43:BM43)</f>
        <v>5169</v>
      </c>
      <c r="BO43" s="430"/>
      <c r="BP43" s="147">
        <v>20590.38</v>
      </c>
      <c r="BQ43" s="143"/>
      <c r="BR43" s="20">
        <f>BP43</f>
        <v>20590.38</v>
      </c>
      <c r="BS43" s="147">
        <v>0</v>
      </c>
      <c r="BT43" s="223">
        <f>BS43+BR43</f>
        <v>20590.38</v>
      </c>
      <c r="BU43" s="217"/>
      <c r="BV43" s="20">
        <v>15540</v>
      </c>
      <c r="BW43" s="20"/>
      <c r="BX43" s="20">
        <f>BV43</f>
        <v>15540</v>
      </c>
      <c r="BY43" s="147">
        <v>0</v>
      </c>
      <c r="BZ43" s="223">
        <f>BY43+BX43</f>
        <v>15540</v>
      </c>
      <c r="CA43" s="581">
        <f t="shared" si="46"/>
        <v>58124.28</v>
      </c>
      <c r="CB43" s="147">
        <f t="shared" si="46"/>
        <v>0</v>
      </c>
      <c r="CC43" s="229">
        <f t="shared" ref="CC43:CC44" si="49">CA43+CB43</f>
        <v>58124.28</v>
      </c>
      <c r="CD43" s="23"/>
      <c r="CE43" s="20">
        <f t="shared" si="47"/>
        <v>58124.28</v>
      </c>
      <c r="CF43" s="20">
        <f t="shared" si="47"/>
        <v>0</v>
      </c>
      <c r="CG43" s="15">
        <f>CE43+CF43</f>
        <v>58124.28</v>
      </c>
      <c r="CH43" s="314">
        <f t="shared" si="48"/>
        <v>-58124.28</v>
      </c>
      <c r="CI43" s="310">
        <f t="shared" si="48"/>
        <v>0</v>
      </c>
      <c r="CJ43" s="521">
        <f t="shared" si="48"/>
        <v>-58124.28</v>
      </c>
      <c r="CK43" s="530">
        <f t="shared" si="0"/>
        <v>58124</v>
      </c>
      <c r="CL43" s="531">
        <f t="shared" si="1"/>
        <v>-0.27999999999883585</v>
      </c>
      <c r="CM43" s="372"/>
      <c r="CN43" s="368"/>
      <c r="CO43" s="368"/>
      <c r="CP43" s="368"/>
      <c r="CQ43" s="368"/>
      <c r="CR43" s="368"/>
      <c r="CS43" s="368"/>
      <c r="CT43" s="368"/>
      <c r="CU43" s="368"/>
      <c r="CV43" s="368"/>
      <c r="CW43" s="368"/>
      <c r="CX43" s="368"/>
      <c r="CY43" s="368"/>
      <c r="CZ43" s="372"/>
      <c r="DA43" s="372"/>
      <c r="DB43" s="372"/>
      <c r="DC43" s="372"/>
      <c r="DD43" s="372"/>
      <c r="DE43" s="372"/>
      <c r="DF43" s="372"/>
      <c r="DG43" s="372"/>
      <c r="DH43" s="372"/>
      <c r="DI43" s="372"/>
      <c r="DJ43" s="372"/>
      <c r="DK43" s="372"/>
      <c r="DL43" s="372"/>
      <c r="DM43" s="372"/>
      <c r="DN43" s="372"/>
      <c r="DO43" s="372"/>
      <c r="DP43" s="372"/>
      <c r="DQ43" s="372"/>
      <c r="DR43" s="372"/>
      <c r="DS43" s="372"/>
      <c r="DT43" s="372"/>
      <c r="DU43" s="372"/>
      <c r="DV43" s="372">
        <v>23452</v>
      </c>
      <c r="DW43" s="372"/>
      <c r="DX43" s="372"/>
      <c r="DY43" s="372">
        <v>34672</v>
      </c>
      <c r="DZ43" s="372"/>
      <c r="EA43" s="372"/>
      <c r="EB43" s="372"/>
      <c r="EC43" s="372"/>
      <c r="ED43" s="372"/>
      <c r="EE43" s="372"/>
      <c r="EF43" s="372"/>
      <c r="EG43" s="372"/>
      <c r="EH43" s="372"/>
      <c r="EI43" s="372"/>
      <c r="EJ43" s="372"/>
      <c r="EK43" s="372"/>
      <c r="EL43" s="372"/>
      <c r="EM43" s="372"/>
      <c r="EN43" s="372"/>
      <c r="EO43" s="372"/>
      <c r="EP43" s="372"/>
      <c r="EQ43" s="372"/>
      <c r="ER43" s="372"/>
      <c r="ES43" s="372"/>
    </row>
    <row r="44" spans="1:149" s="126" customFormat="1" ht="19.5" customHeight="1" x14ac:dyDescent="0.45">
      <c r="A44" s="144" t="s">
        <v>445</v>
      </c>
      <c r="B44" s="588">
        <v>89050</v>
      </c>
      <c r="C44" s="144" t="s">
        <v>446</v>
      </c>
      <c r="D44" s="139" t="s">
        <v>449</v>
      </c>
      <c r="E44" s="135">
        <v>34</v>
      </c>
      <c r="F44" s="174" t="s">
        <v>177</v>
      </c>
      <c r="G44" s="175" t="s">
        <v>169</v>
      </c>
      <c r="H44" s="176" t="s">
        <v>170</v>
      </c>
      <c r="I44" s="174" t="s">
        <v>11</v>
      </c>
      <c r="J44" s="156"/>
      <c r="K44" s="156"/>
      <c r="L44" s="156"/>
      <c r="M44" s="156" t="s">
        <v>175</v>
      </c>
      <c r="N44" s="20"/>
      <c r="O44" s="20"/>
      <c r="P44" s="20"/>
      <c r="Q44" s="156"/>
      <c r="R44" s="156"/>
      <c r="S44" s="156"/>
      <c r="T44" s="20"/>
      <c r="U44" s="20"/>
      <c r="V44" s="20"/>
      <c r="W44" s="156"/>
      <c r="X44" s="156"/>
      <c r="Y44" s="156"/>
      <c r="Z44" s="20"/>
      <c r="AA44" s="20"/>
      <c r="AB44" s="20"/>
      <c r="AC44" s="156"/>
      <c r="AD44" s="156"/>
      <c r="AE44" s="156"/>
      <c r="AF44" s="20"/>
      <c r="AG44" s="20"/>
      <c r="AH44" s="20"/>
      <c r="AI44" s="156"/>
      <c r="AJ44" s="156"/>
      <c r="AK44" s="156"/>
      <c r="AL44" s="20"/>
      <c r="AM44" s="20"/>
      <c r="AN44" s="20"/>
      <c r="AO44" s="20"/>
      <c r="AP44" s="20"/>
      <c r="AQ44" s="20"/>
      <c r="AR44" s="20">
        <v>0</v>
      </c>
      <c r="AS44" s="20">
        <v>0</v>
      </c>
      <c r="AT44" s="20">
        <v>0</v>
      </c>
      <c r="AU44" s="20">
        <v>0</v>
      </c>
      <c r="AV44" s="20">
        <v>0</v>
      </c>
      <c r="AW44" s="20">
        <f>AS44+AU44</f>
        <v>0</v>
      </c>
      <c r="AX44" s="20">
        <f>AV44+AW44</f>
        <v>0</v>
      </c>
      <c r="AY44" s="20">
        <f>AQ44-AX44</f>
        <v>0</v>
      </c>
      <c r="AZ44" s="20">
        <v>0</v>
      </c>
      <c r="BA44" s="15">
        <f>AY44-AZ44</f>
        <v>0</v>
      </c>
      <c r="BB44" s="248">
        <v>170</v>
      </c>
      <c r="BC44" s="147">
        <v>111.5882</v>
      </c>
      <c r="BD44" s="143"/>
      <c r="BE44" s="147">
        <f>BC44*BB44</f>
        <v>18969.993999999999</v>
      </c>
      <c r="BF44" s="147">
        <v>0</v>
      </c>
      <c r="BG44" s="147">
        <f>SUM(BE44:BF44)</f>
        <v>18969.993999999999</v>
      </c>
      <c r="BH44" s="414" t="s">
        <v>178</v>
      </c>
      <c r="BI44" s="263"/>
      <c r="BJ44" s="20">
        <v>5030.12</v>
      </c>
      <c r="BK44" s="143"/>
      <c r="BL44" s="147">
        <f>BJ44</f>
        <v>5030.12</v>
      </c>
      <c r="BM44" s="147">
        <v>0</v>
      </c>
      <c r="BN44" s="229">
        <f>SUM(BL44:BM44)</f>
        <v>5030.12</v>
      </c>
      <c r="BO44" s="430"/>
      <c r="BP44" s="147">
        <v>10600</v>
      </c>
      <c r="BQ44" s="143"/>
      <c r="BR44" s="20">
        <f>BP44</f>
        <v>10600</v>
      </c>
      <c r="BS44" s="147">
        <v>0</v>
      </c>
      <c r="BT44" s="223">
        <f>BS44+BR44</f>
        <v>10600</v>
      </c>
      <c r="BU44" s="217"/>
      <c r="BV44" s="20">
        <v>15530.76</v>
      </c>
      <c r="BW44" s="20"/>
      <c r="BX44" s="20">
        <f>BV44</f>
        <v>15530.76</v>
      </c>
      <c r="BY44" s="147">
        <v>0</v>
      </c>
      <c r="BZ44" s="223">
        <f>BY44+BX44</f>
        <v>15530.76</v>
      </c>
      <c r="CA44" s="581">
        <f t="shared" si="46"/>
        <v>50130.874000000003</v>
      </c>
      <c r="CB44" s="147">
        <f t="shared" si="46"/>
        <v>0</v>
      </c>
      <c r="CC44" s="229">
        <f t="shared" si="49"/>
        <v>50130.874000000003</v>
      </c>
      <c r="CD44" s="23"/>
      <c r="CE44" s="20">
        <f t="shared" si="47"/>
        <v>50130.874000000003</v>
      </c>
      <c r="CF44" s="20">
        <f t="shared" si="47"/>
        <v>0</v>
      </c>
      <c r="CG44" s="15">
        <f>CE44+CF44</f>
        <v>50130.874000000003</v>
      </c>
      <c r="CH44" s="314">
        <f t="shared" si="48"/>
        <v>-50130.874000000003</v>
      </c>
      <c r="CI44" s="310">
        <f t="shared" si="48"/>
        <v>0</v>
      </c>
      <c r="CJ44" s="521">
        <f t="shared" si="48"/>
        <v>-50130.874000000003</v>
      </c>
      <c r="CK44" s="530">
        <f t="shared" ref="CK44:CK75" si="50">SUM(CM44:ES44)</f>
        <v>50131</v>
      </c>
      <c r="CL44" s="531">
        <f t="shared" ref="CL44:CL75" si="51">CJ44+CK44</f>
        <v>0.12599999999656575</v>
      </c>
      <c r="CM44" s="372"/>
      <c r="CN44" s="368"/>
      <c r="CO44" s="368"/>
      <c r="CP44" s="368"/>
      <c r="CQ44" s="368"/>
      <c r="CR44" s="368"/>
      <c r="CS44" s="368"/>
      <c r="CT44" s="368"/>
      <c r="CU44" s="368"/>
      <c r="CV44" s="368"/>
      <c r="CW44" s="368"/>
      <c r="CX44" s="368"/>
      <c r="CY44" s="368"/>
      <c r="CZ44" s="372"/>
      <c r="DA44" s="372"/>
      <c r="DB44" s="372"/>
      <c r="DC44" s="372"/>
      <c r="DD44" s="372"/>
      <c r="DE44" s="372"/>
      <c r="DF44" s="372"/>
      <c r="DG44" s="372"/>
      <c r="DH44" s="372"/>
      <c r="DI44" s="372"/>
      <c r="DJ44" s="372"/>
      <c r="DK44" s="372"/>
      <c r="DL44" s="372"/>
      <c r="DM44" s="372"/>
      <c r="DN44" s="372"/>
      <c r="DO44" s="372"/>
      <c r="DP44" s="372"/>
      <c r="DQ44" s="372"/>
      <c r="DR44" s="372"/>
      <c r="DS44" s="372"/>
      <c r="DT44" s="372"/>
      <c r="DU44" s="372"/>
      <c r="DV44" s="372">
        <v>131</v>
      </c>
      <c r="DW44" s="372"/>
      <c r="DX44" s="372">
        <v>50000</v>
      </c>
      <c r="DY44" s="372"/>
      <c r="DZ44" s="372"/>
      <c r="EA44" s="372"/>
      <c r="EB44" s="372"/>
      <c r="EC44" s="372"/>
      <c r="ED44" s="372"/>
      <c r="EE44" s="372"/>
      <c r="EF44" s="372"/>
      <c r="EG44" s="372"/>
      <c r="EH44" s="372"/>
      <c r="EI44" s="372"/>
      <c r="EJ44" s="372"/>
      <c r="EK44" s="372"/>
      <c r="EL44" s="372"/>
      <c r="EM44" s="372"/>
      <c r="EN44" s="372"/>
      <c r="EO44" s="372"/>
      <c r="EP44" s="372"/>
      <c r="EQ44" s="372"/>
      <c r="ER44" s="372"/>
      <c r="ES44" s="372"/>
    </row>
    <row r="45" spans="1:149" s="127" customFormat="1" ht="19.5" customHeight="1" x14ac:dyDescent="0.45">
      <c r="A45" s="161"/>
      <c r="B45" s="161"/>
      <c r="C45" s="161"/>
      <c r="D45" s="161"/>
      <c r="E45" s="135">
        <v>35</v>
      </c>
      <c r="F45" s="161" t="s">
        <v>179</v>
      </c>
      <c r="G45" s="175"/>
      <c r="H45" s="161"/>
      <c r="I45" s="161"/>
      <c r="J45" s="150"/>
      <c r="K45" s="150"/>
      <c r="L45" s="150"/>
      <c r="M45" s="150"/>
      <c r="N45" s="152"/>
      <c r="O45" s="152"/>
      <c r="P45" s="152"/>
      <c r="Q45" s="150"/>
      <c r="R45" s="150"/>
      <c r="S45" s="150"/>
      <c r="T45" s="152"/>
      <c r="U45" s="152"/>
      <c r="V45" s="152"/>
      <c r="W45" s="150"/>
      <c r="X45" s="150"/>
      <c r="Y45" s="150"/>
      <c r="Z45" s="152"/>
      <c r="AA45" s="152"/>
      <c r="AB45" s="152"/>
      <c r="AC45" s="150"/>
      <c r="AD45" s="150"/>
      <c r="AE45" s="150"/>
      <c r="AF45" s="152"/>
      <c r="AG45" s="152"/>
      <c r="AH45" s="152"/>
      <c r="AI45" s="150"/>
      <c r="AJ45" s="150"/>
      <c r="AK45" s="150"/>
      <c r="AL45" s="152"/>
      <c r="AM45" s="152"/>
      <c r="AN45" s="152"/>
      <c r="AO45" s="152"/>
      <c r="AP45" s="152"/>
      <c r="AQ45" s="152"/>
      <c r="AR45" s="152">
        <f t="shared" ref="AR45:AZ45" si="52">SUM(AR42:AR44)</f>
        <v>0</v>
      </c>
      <c r="AS45" s="152">
        <f t="shared" si="52"/>
        <v>0</v>
      </c>
      <c r="AT45" s="152">
        <f t="shared" si="52"/>
        <v>0</v>
      </c>
      <c r="AU45" s="152">
        <f t="shared" si="52"/>
        <v>0</v>
      </c>
      <c r="AV45" s="152">
        <f t="shared" si="52"/>
        <v>0</v>
      </c>
      <c r="AW45" s="152">
        <f t="shared" si="52"/>
        <v>0</v>
      </c>
      <c r="AX45" s="152">
        <f t="shared" si="52"/>
        <v>0</v>
      </c>
      <c r="AY45" s="152">
        <f t="shared" si="52"/>
        <v>0</v>
      </c>
      <c r="AZ45" s="152">
        <f t="shared" si="52"/>
        <v>0</v>
      </c>
      <c r="BA45" s="18"/>
      <c r="BB45" s="266"/>
      <c r="BC45" s="163">
        <f>BC42+BC43+BC44</f>
        <v>423.25819999999999</v>
      </c>
      <c r="BD45" s="148"/>
      <c r="BE45" s="163">
        <f>+BE44+BE43+BE42</f>
        <v>71741.193999999989</v>
      </c>
      <c r="BF45" s="153">
        <f>AA45</f>
        <v>0</v>
      </c>
      <c r="BG45" s="162">
        <f>+BF45+BE45</f>
        <v>71741.193999999989</v>
      </c>
      <c r="BH45" s="415"/>
      <c r="BI45" s="266"/>
      <c r="BJ45" s="162">
        <f>BJ42</f>
        <v>6510</v>
      </c>
      <c r="BK45" s="148"/>
      <c r="BL45" s="163">
        <f>BL42+BL43+BL44</f>
        <v>16709.12</v>
      </c>
      <c r="BM45" s="153">
        <f>AG45</f>
        <v>0</v>
      </c>
      <c r="BN45" s="241">
        <f>BM45+BL45</f>
        <v>16709.12</v>
      </c>
      <c r="BO45" s="434"/>
      <c r="BP45" s="163">
        <f>BP42+BP43+BP44</f>
        <v>48960.380000000005</v>
      </c>
      <c r="BQ45" s="148"/>
      <c r="BR45" s="163">
        <f>BR42+BR43+BR44</f>
        <v>48960.380000000005</v>
      </c>
      <c r="BS45" s="153">
        <f>AM45</f>
        <v>0</v>
      </c>
      <c r="BT45" s="224">
        <f>BS45+BR45</f>
        <v>48960.380000000005</v>
      </c>
      <c r="BU45" s="216"/>
      <c r="BV45" s="163">
        <f>BV42+BV43+BV44</f>
        <v>47010.76</v>
      </c>
      <c r="BW45" s="162"/>
      <c r="BX45" s="163">
        <f>BX42+BX43+BX44</f>
        <v>47010.76</v>
      </c>
      <c r="BY45" s="153">
        <f>AS45</f>
        <v>0</v>
      </c>
      <c r="BZ45" s="241">
        <f>BY45+BX45</f>
        <v>47010.76</v>
      </c>
      <c r="CA45" s="240">
        <f>CA42+CA43+CA44</f>
        <v>184421.454</v>
      </c>
      <c r="CB45" s="153">
        <f>AP45</f>
        <v>0</v>
      </c>
      <c r="CC45" s="241">
        <f>BZ45+BT45+BN45+BG45</f>
        <v>184421.454</v>
      </c>
      <c r="CD45" s="17"/>
      <c r="CE45" s="152">
        <f>CA45+AR45+AT45</f>
        <v>184421.454</v>
      </c>
      <c r="CF45" s="152">
        <f>CB45+AS45+AU45</f>
        <v>0</v>
      </c>
      <c r="CG45" s="18">
        <f>CE45+CF45</f>
        <v>184421.454</v>
      </c>
      <c r="CH45" s="217"/>
      <c r="CI45" s="20"/>
      <c r="CJ45" s="15"/>
      <c r="CK45" s="530">
        <f t="shared" si="50"/>
        <v>0</v>
      </c>
      <c r="CL45" s="531">
        <f t="shared" si="51"/>
        <v>0</v>
      </c>
      <c r="CM45" s="369"/>
      <c r="CN45" s="369"/>
      <c r="CO45" s="369"/>
      <c r="CP45" s="369"/>
      <c r="CQ45" s="369"/>
      <c r="CR45" s="369"/>
      <c r="CS45" s="369"/>
      <c r="CT45" s="369"/>
      <c r="CU45" s="369"/>
      <c r="CV45" s="369"/>
      <c r="CW45" s="369"/>
      <c r="CX45" s="369"/>
      <c r="CY45" s="369"/>
      <c r="CZ45" s="369"/>
      <c r="DA45" s="369"/>
      <c r="DB45" s="369"/>
      <c r="DC45" s="369"/>
      <c r="DD45" s="369"/>
      <c r="DE45" s="369"/>
      <c r="DF45" s="369"/>
      <c r="DG45" s="369"/>
      <c r="DH45" s="369"/>
      <c r="DI45" s="369"/>
      <c r="DJ45" s="369"/>
      <c r="DK45" s="369"/>
      <c r="DL45" s="369"/>
      <c r="DM45" s="369"/>
      <c r="DN45" s="369"/>
      <c r="DO45" s="369"/>
      <c r="DP45" s="369"/>
      <c r="DQ45" s="369"/>
      <c r="DR45" s="369"/>
      <c r="DS45" s="369"/>
      <c r="DT45" s="369"/>
      <c r="DU45" s="369"/>
      <c r="DV45" s="369"/>
      <c r="DW45" s="369"/>
      <c r="DX45" s="369"/>
      <c r="DY45" s="369"/>
      <c r="DZ45" s="369"/>
      <c r="EA45" s="369"/>
      <c r="EB45" s="369"/>
      <c r="EC45" s="369"/>
      <c r="ED45" s="369"/>
      <c r="EE45" s="369"/>
      <c r="EF45" s="369"/>
      <c r="EG45" s="369"/>
      <c r="EH45" s="369"/>
      <c r="EI45" s="369"/>
      <c r="EJ45" s="369"/>
      <c r="EK45" s="369"/>
      <c r="EL45" s="369"/>
      <c r="EM45" s="369"/>
      <c r="EN45" s="369"/>
      <c r="EO45" s="369"/>
      <c r="EP45" s="369"/>
      <c r="EQ45" s="369"/>
      <c r="ER45" s="369"/>
      <c r="ES45" s="369"/>
    </row>
    <row r="46" spans="1:149" s="126" customFormat="1" ht="19.5" customHeight="1" x14ac:dyDescent="0.45">
      <c r="A46" s="148"/>
      <c r="B46" s="148"/>
      <c r="C46" s="148"/>
      <c r="D46" s="148"/>
      <c r="E46" s="135">
        <v>36</v>
      </c>
      <c r="F46" s="148" t="s">
        <v>180</v>
      </c>
      <c r="G46" s="175"/>
      <c r="H46" s="148"/>
      <c r="I46" s="148"/>
      <c r="J46" s="156"/>
      <c r="K46" s="156"/>
      <c r="L46" s="156"/>
      <c r="M46" s="156"/>
      <c r="N46" s="20"/>
      <c r="O46" s="20"/>
      <c r="P46" s="20"/>
      <c r="Q46" s="156"/>
      <c r="R46" s="156"/>
      <c r="S46" s="156"/>
      <c r="T46" s="20"/>
      <c r="U46" s="20"/>
      <c r="V46" s="20"/>
      <c r="W46" s="156"/>
      <c r="X46" s="156"/>
      <c r="Y46" s="156"/>
      <c r="Z46" s="20"/>
      <c r="AA46" s="20"/>
      <c r="AB46" s="20"/>
      <c r="AC46" s="156"/>
      <c r="AD46" s="156"/>
      <c r="AE46" s="156"/>
      <c r="AF46" s="20"/>
      <c r="AG46" s="20"/>
      <c r="AH46" s="20"/>
      <c r="AI46" s="156"/>
      <c r="AJ46" s="156"/>
      <c r="AK46" s="156"/>
      <c r="AL46" s="20"/>
      <c r="AM46" s="20"/>
      <c r="AN46" s="20"/>
      <c r="AO46" s="20"/>
      <c r="AP46" s="20"/>
      <c r="AQ46" s="20"/>
      <c r="AR46" s="20"/>
      <c r="AS46" s="20"/>
      <c r="AT46" s="20"/>
      <c r="AU46" s="20"/>
      <c r="AV46" s="20"/>
      <c r="AW46" s="20"/>
      <c r="AX46" s="20"/>
      <c r="AY46" s="20"/>
      <c r="AZ46" s="20"/>
      <c r="BA46" s="15"/>
      <c r="BB46" s="263"/>
      <c r="BC46" s="20"/>
      <c r="BD46" s="147"/>
      <c r="BE46" s="147"/>
      <c r="BF46" s="147"/>
      <c r="BG46" s="20"/>
      <c r="BH46" s="406"/>
      <c r="BI46" s="263"/>
      <c r="BJ46" s="20"/>
      <c r="BK46" s="143"/>
      <c r="BL46" s="147"/>
      <c r="BM46" s="147"/>
      <c r="BN46" s="229"/>
      <c r="BO46" s="430"/>
      <c r="BP46" s="20"/>
      <c r="BQ46" s="143"/>
      <c r="BR46" s="20"/>
      <c r="BS46" s="20"/>
      <c r="BT46" s="223"/>
      <c r="BU46" s="217"/>
      <c r="BV46" s="20"/>
      <c r="BW46" s="20"/>
      <c r="BX46" s="20"/>
      <c r="BY46" s="20"/>
      <c r="BZ46" s="223"/>
      <c r="CA46" s="228"/>
      <c r="CB46" s="147"/>
      <c r="CC46" s="229"/>
      <c r="CD46" s="23"/>
      <c r="CE46" s="20"/>
      <c r="CF46" s="20"/>
      <c r="CG46" s="15"/>
      <c r="CH46" s="217"/>
      <c r="CI46" s="20"/>
      <c r="CJ46" s="15"/>
      <c r="CK46" s="530">
        <f t="shared" si="50"/>
        <v>0</v>
      </c>
      <c r="CL46" s="531">
        <f t="shared" si="51"/>
        <v>0</v>
      </c>
      <c r="CM46" s="368"/>
      <c r="CN46" s="368"/>
      <c r="CO46" s="368"/>
      <c r="CP46" s="368"/>
      <c r="CQ46" s="368"/>
      <c r="CR46" s="368"/>
      <c r="CS46" s="368"/>
      <c r="CT46" s="368"/>
      <c r="CU46" s="368"/>
      <c r="CV46" s="368"/>
      <c r="CW46" s="368"/>
      <c r="CX46" s="368"/>
      <c r="CY46" s="368"/>
      <c r="CZ46" s="368"/>
      <c r="DA46" s="368"/>
      <c r="DB46" s="368"/>
      <c r="DC46" s="368"/>
      <c r="DD46" s="368"/>
      <c r="DE46" s="368"/>
      <c r="DF46" s="368"/>
      <c r="DG46" s="368"/>
      <c r="DH46" s="368"/>
      <c r="DI46" s="368"/>
      <c r="DJ46" s="368"/>
      <c r="DK46" s="368"/>
      <c r="DL46" s="368"/>
      <c r="DM46" s="368"/>
      <c r="DN46" s="368"/>
      <c r="DO46" s="368"/>
      <c r="DP46" s="368"/>
      <c r="DQ46" s="368"/>
      <c r="DR46" s="368"/>
      <c r="DS46" s="368"/>
      <c r="DT46" s="368"/>
      <c r="DU46" s="368"/>
      <c r="DV46" s="368"/>
      <c r="DW46" s="368"/>
      <c r="DX46" s="368"/>
      <c r="DY46" s="368"/>
      <c r="DZ46" s="368"/>
      <c r="EA46" s="368"/>
      <c r="EB46" s="368"/>
      <c r="EC46" s="368"/>
      <c r="ED46" s="368"/>
      <c r="EE46" s="368"/>
      <c r="EF46" s="368"/>
      <c r="EG46" s="368"/>
      <c r="EH46" s="368"/>
      <c r="EI46" s="368"/>
      <c r="EJ46" s="368"/>
      <c r="EK46" s="368"/>
      <c r="EL46" s="368"/>
      <c r="EM46" s="368"/>
      <c r="EN46" s="368"/>
      <c r="EO46" s="368"/>
      <c r="EP46" s="368"/>
      <c r="EQ46" s="368"/>
      <c r="ER46" s="368"/>
      <c r="ES46" s="368"/>
    </row>
    <row r="47" spans="1:149" s="126" customFormat="1" ht="19.5" customHeight="1" x14ac:dyDescent="0.45">
      <c r="A47" s="144" t="s">
        <v>445</v>
      </c>
      <c r="B47" s="588">
        <v>89050</v>
      </c>
      <c r="C47" s="144" t="s">
        <v>446</v>
      </c>
      <c r="D47" s="139" t="s">
        <v>449</v>
      </c>
      <c r="E47" s="143">
        <v>37</v>
      </c>
      <c r="F47" s="143" t="s">
        <v>75</v>
      </c>
      <c r="G47" s="383" t="s">
        <v>169</v>
      </c>
      <c r="H47" s="143" t="s">
        <v>180</v>
      </c>
      <c r="I47" s="143" t="s">
        <v>11</v>
      </c>
      <c r="J47" s="159">
        <v>2</v>
      </c>
      <c r="K47" s="20">
        <v>250</v>
      </c>
      <c r="L47" s="178">
        <v>1</v>
      </c>
      <c r="M47" s="156" t="s">
        <v>172</v>
      </c>
      <c r="N47" s="20">
        <f>L47*K47*J47</f>
        <v>500</v>
      </c>
      <c r="O47" s="20">
        <v>0</v>
      </c>
      <c r="P47" s="20">
        <f>SUM(N47:O47)</f>
        <v>500</v>
      </c>
      <c r="Q47" s="159">
        <v>2</v>
      </c>
      <c r="R47" s="20">
        <f>K47*$J$6</f>
        <v>257.5</v>
      </c>
      <c r="S47" s="178">
        <v>1</v>
      </c>
      <c r="T47" s="20">
        <f>Q47*R47*S47</f>
        <v>515</v>
      </c>
      <c r="U47" s="20">
        <v>0</v>
      </c>
      <c r="V47" s="20">
        <f>SUM(T47:U47)</f>
        <v>515</v>
      </c>
      <c r="W47" s="159">
        <v>2</v>
      </c>
      <c r="X47" s="20">
        <f>K47*$J$6*$J$6</f>
        <v>265.22500000000002</v>
      </c>
      <c r="Y47" s="178">
        <v>1</v>
      </c>
      <c r="Z47" s="20">
        <f>W47*X47*Y47</f>
        <v>530.45000000000005</v>
      </c>
      <c r="AA47" s="20">
        <v>0</v>
      </c>
      <c r="AB47" s="20">
        <f>SUM(Z47:AA47)</f>
        <v>530.45000000000005</v>
      </c>
      <c r="AC47" s="159">
        <v>2</v>
      </c>
      <c r="AD47" s="20">
        <f>K47*$J$6*$J$6*$J$6</f>
        <v>273.18175000000002</v>
      </c>
      <c r="AE47" s="178">
        <v>1</v>
      </c>
      <c r="AF47" s="20">
        <f>AC47*AD47*AE47</f>
        <v>546.36350000000004</v>
      </c>
      <c r="AG47" s="20">
        <v>0</v>
      </c>
      <c r="AH47" s="20">
        <f>SUM(AF47:AG47)</f>
        <v>546.36350000000004</v>
      </c>
      <c r="AI47" s="159">
        <v>2</v>
      </c>
      <c r="AJ47" s="20">
        <f>K47*$J$6*$J$6*$J$6*$J$6</f>
        <v>281.37720250000001</v>
      </c>
      <c r="AK47" s="178">
        <v>1</v>
      </c>
      <c r="AL47" s="20">
        <f>AI47*AJ47*AK47</f>
        <v>562.75440500000002</v>
      </c>
      <c r="AM47" s="20">
        <v>0</v>
      </c>
      <c r="AN47" s="20">
        <f>SUM(AL47:AM47)</f>
        <v>562.75440500000002</v>
      </c>
      <c r="AO47" s="20">
        <f t="shared" ref="AO47:AP50" si="53">N47+T47+Z47+AF47+AL47</f>
        <v>2654.5679050000003</v>
      </c>
      <c r="AP47" s="20">
        <f t="shared" si="53"/>
        <v>0</v>
      </c>
      <c r="AQ47" s="20">
        <f>SUM(AO47:AP47)</f>
        <v>2654.5679050000003</v>
      </c>
      <c r="AR47" s="147">
        <v>913.59</v>
      </c>
      <c r="AS47" s="20">
        <v>0</v>
      </c>
      <c r="AT47" s="147">
        <v>0</v>
      </c>
      <c r="AU47" s="20">
        <v>0</v>
      </c>
      <c r="AV47" s="20">
        <f t="shared" ref="AV47:AW50" si="54">AR47+AT47</f>
        <v>913.59</v>
      </c>
      <c r="AW47" s="20">
        <f t="shared" si="54"/>
        <v>0</v>
      </c>
      <c r="AX47" s="20">
        <f>AV47+AW47</f>
        <v>913.59</v>
      </c>
      <c r="AY47" s="20">
        <f>AQ47-AX47</f>
        <v>1740.9779050000002</v>
      </c>
      <c r="AZ47" s="147">
        <f>AQ47-AR47-AS47-AT47-AU47</f>
        <v>1740.9779050000002</v>
      </c>
      <c r="BA47" s="15">
        <f>AY47-AZ47</f>
        <v>0</v>
      </c>
      <c r="BB47" s="248"/>
      <c r="BC47" s="147">
        <v>0</v>
      </c>
      <c r="BD47" s="147"/>
      <c r="BE47" s="147">
        <v>0</v>
      </c>
      <c r="BF47" s="147">
        <f>AA47</f>
        <v>0</v>
      </c>
      <c r="BG47" s="147">
        <f>SUM(BE47:BF47)</f>
        <v>0</v>
      </c>
      <c r="BH47" s="416" t="s">
        <v>181</v>
      </c>
      <c r="BI47" s="248"/>
      <c r="BJ47" s="147">
        <v>0</v>
      </c>
      <c r="BK47" s="147"/>
      <c r="BL47" s="147">
        <v>0</v>
      </c>
      <c r="BM47" s="147">
        <f>AG47</f>
        <v>0</v>
      </c>
      <c r="BN47" s="229">
        <f>SUM(BL47:BM47)</f>
        <v>0</v>
      </c>
      <c r="BO47" s="435"/>
      <c r="BP47" s="147">
        <v>0</v>
      </c>
      <c r="BQ47" s="147"/>
      <c r="BR47" s="147">
        <v>0</v>
      </c>
      <c r="BS47" s="147">
        <f>AM47</f>
        <v>0</v>
      </c>
      <c r="BT47" s="229">
        <v>0</v>
      </c>
      <c r="BU47" s="248"/>
      <c r="BV47" s="147">
        <v>0</v>
      </c>
      <c r="BW47" s="147"/>
      <c r="BX47" s="147">
        <v>0</v>
      </c>
      <c r="BY47" s="147">
        <f>AS47</f>
        <v>0</v>
      </c>
      <c r="BZ47" s="229">
        <v>0</v>
      </c>
      <c r="CA47" s="228">
        <f>BR47+BL47+BE47+BX47</f>
        <v>0</v>
      </c>
      <c r="CB47" s="147">
        <f t="shared" ref="CB47:CC51" si="55">BS47+BM47+BF47</f>
        <v>0</v>
      </c>
      <c r="CC47" s="229">
        <f>CA47+CB47</f>
        <v>0</v>
      </c>
      <c r="CD47" s="24"/>
      <c r="CE47" s="20">
        <f t="shared" ref="CE47:CF50" si="56">AV47+CA47</f>
        <v>913.59</v>
      </c>
      <c r="CF47" s="20">
        <f t="shared" si="56"/>
        <v>0</v>
      </c>
      <c r="CG47" s="15">
        <f>CE47+CF47</f>
        <v>913.59</v>
      </c>
      <c r="CH47" s="376">
        <f t="shared" ref="CH47:CJ50" si="57">AO47-CE47</f>
        <v>1740.9779050000002</v>
      </c>
      <c r="CI47" s="377">
        <f t="shared" si="57"/>
        <v>0</v>
      </c>
      <c r="CJ47" s="522">
        <f t="shared" si="57"/>
        <v>1740.9779050000002</v>
      </c>
      <c r="CK47" s="532">
        <f t="shared" si="50"/>
        <v>-1741</v>
      </c>
      <c r="CL47" s="533">
        <f t="shared" si="51"/>
        <v>-2.2094999999808351E-2</v>
      </c>
      <c r="CM47" s="372"/>
      <c r="CN47" s="372"/>
      <c r="CO47" s="372"/>
      <c r="CP47" s="372"/>
      <c r="CQ47" s="372"/>
      <c r="CR47" s="372"/>
      <c r="CS47" s="372"/>
      <c r="CT47" s="372"/>
      <c r="CU47" s="372"/>
      <c r="CV47" s="372">
        <v>-1741</v>
      </c>
      <c r="CW47" s="372"/>
      <c r="CX47" s="372"/>
      <c r="CY47" s="372"/>
      <c r="CZ47" s="372"/>
      <c r="DA47" s="372"/>
      <c r="DB47" s="372"/>
      <c r="DC47" s="372"/>
      <c r="DD47" s="372"/>
      <c r="DE47" s="372"/>
      <c r="DF47" s="372"/>
      <c r="DG47" s="372"/>
      <c r="DH47" s="372"/>
      <c r="DI47" s="372"/>
      <c r="DJ47" s="372"/>
      <c r="DK47" s="372"/>
      <c r="DL47" s="372"/>
      <c r="DM47" s="372"/>
      <c r="DN47" s="372"/>
      <c r="DO47" s="372"/>
      <c r="DP47" s="372"/>
      <c r="DQ47" s="372"/>
      <c r="DR47" s="372"/>
      <c r="DS47" s="372"/>
      <c r="DT47" s="372"/>
      <c r="DU47" s="372"/>
      <c r="DV47" s="372"/>
      <c r="DW47" s="372"/>
      <c r="DX47" s="372"/>
      <c r="DY47" s="372"/>
      <c r="DZ47" s="372"/>
      <c r="EA47" s="372"/>
      <c r="EB47" s="372"/>
      <c r="EC47" s="372"/>
      <c r="ED47" s="372"/>
      <c r="EE47" s="372"/>
      <c r="EF47" s="372"/>
      <c r="EG47" s="372"/>
      <c r="EH47" s="372"/>
      <c r="EI47" s="372"/>
      <c r="EJ47" s="372"/>
      <c r="EK47" s="372"/>
      <c r="EL47" s="372"/>
      <c r="EM47" s="372"/>
      <c r="EN47" s="372"/>
      <c r="EO47" s="372"/>
      <c r="EP47" s="372"/>
      <c r="EQ47" s="372"/>
      <c r="ER47" s="372"/>
      <c r="ES47" s="372"/>
    </row>
    <row r="48" spans="1:149" s="126" customFormat="1" ht="19.5" hidden="1" customHeight="1" x14ac:dyDescent="0.45">
      <c r="A48" s="143"/>
      <c r="B48" s="143"/>
      <c r="C48" s="143"/>
      <c r="D48" s="143"/>
      <c r="E48" s="135">
        <v>38</v>
      </c>
      <c r="F48" s="143" t="s">
        <v>76</v>
      </c>
      <c r="G48" s="383" t="s">
        <v>169</v>
      </c>
      <c r="H48" s="143" t="s">
        <v>180</v>
      </c>
      <c r="I48" s="143" t="s">
        <v>11</v>
      </c>
      <c r="J48" s="159">
        <v>2</v>
      </c>
      <c r="K48" s="20">
        <v>40</v>
      </c>
      <c r="L48" s="178">
        <v>5</v>
      </c>
      <c r="M48" s="156" t="s">
        <v>175</v>
      </c>
      <c r="N48" s="20">
        <f>L48*K48*J48</f>
        <v>400</v>
      </c>
      <c r="O48" s="20">
        <v>0</v>
      </c>
      <c r="P48" s="20">
        <f>SUM(N48:O48)</f>
        <v>400</v>
      </c>
      <c r="Q48" s="159">
        <v>2</v>
      </c>
      <c r="R48" s="20">
        <f>K48*$J$6</f>
        <v>41.2</v>
      </c>
      <c r="S48" s="178">
        <v>5</v>
      </c>
      <c r="T48" s="20">
        <f>Q48*R48*S48</f>
        <v>412</v>
      </c>
      <c r="U48" s="20">
        <v>0</v>
      </c>
      <c r="V48" s="20">
        <f>SUM(T48:U48)</f>
        <v>412</v>
      </c>
      <c r="W48" s="159">
        <v>2</v>
      </c>
      <c r="X48" s="20">
        <f>K48*$J$6*$J$6</f>
        <v>42.436000000000007</v>
      </c>
      <c r="Y48" s="178">
        <v>5</v>
      </c>
      <c r="Z48" s="20">
        <f>W48*X48*Y48</f>
        <v>424.36000000000007</v>
      </c>
      <c r="AA48" s="20">
        <v>0</v>
      </c>
      <c r="AB48" s="20">
        <f>SUM(Z48:AA48)</f>
        <v>424.36000000000007</v>
      </c>
      <c r="AC48" s="159">
        <v>2</v>
      </c>
      <c r="AD48" s="20">
        <f>K48*$J$6*$J$6*$J$6</f>
        <v>43.709080000000007</v>
      </c>
      <c r="AE48" s="178">
        <v>5</v>
      </c>
      <c r="AF48" s="20">
        <f>AC48*AD48*AE48</f>
        <v>437.09080000000006</v>
      </c>
      <c r="AG48" s="20">
        <v>0</v>
      </c>
      <c r="AH48" s="20">
        <f>SUM(AF48:AG48)</f>
        <v>437.09080000000006</v>
      </c>
      <c r="AI48" s="159">
        <v>2</v>
      </c>
      <c r="AJ48" s="20">
        <f>K48*$J$6*$J$6*$J$6*$J$6</f>
        <v>45.020352400000007</v>
      </c>
      <c r="AK48" s="178">
        <v>5</v>
      </c>
      <c r="AL48" s="20">
        <f>AI48*AJ48*AK48</f>
        <v>450.20352400000007</v>
      </c>
      <c r="AM48" s="20">
        <v>0</v>
      </c>
      <c r="AN48" s="20">
        <f>SUM(AL48:AM48)</f>
        <v>450.20352400000007</v>
      </c>
      <c r="AO48" s="20">
        <f t="shared" si="53"/>
        <v>2123.6543240000001</v>
      </c>
      <c r="AP48" s="20">
        <f t="shared" si="53"/>
        <v>0</v>
      </c>
      <c r="AQ48" s="20">
        <f>SUM(AO48:AP48)</f>
        <v>2123.6543240000001</v>
      </c>
      <c r="AR48" s="147">
        <v>0</v>
      </c>
      <c r="AS48" s="20">
        <v>0</v>
      </c>
      <c r="AT48" s="147">
        <v>0</v>
      </c>
      <c r="AU48" s="20">
        <v>0</v>
      </c>
      <c r="AV48" s="20">
        <f t="shared" si="54"/>
        <v>0</v>
      </c>
      <c r="AW48" s="20">
        <f t="shared" si="54"/>
        <v>0</v>
      </c>
      <c r="AX48" s="20">
        <f>AV48+AW48</f>
        <v>0</v>
      </c>
      <c r="AY48" s="20">
        <f>AQ48-AX48</f>
        <v>2123.6543240000001</v>
      </c>
      <c r="AZ48" s="147">
        <f>AQ48-AR48-AS48-AT48-AU48</f>
        <v>2123.6543240000001</v>
      </c>
      <c r="BA48" s="15">
        <f>AY48-AZ48</f>
        <v>0</v>
      </c>
      <c r="BB48" s="248"/>
      <c r="BC48" s="147">
        <v>0</v>
      </c>
      <c r="BD48" s="147"/>
      <c r="BE48" s="147">
        <v>0</v>
      </c>
      <c r="BF48" s="147">
        <f>AA48</f>
        <v>0</v>
      </c>
      <c r="BG48" s="147">
        <f>SUM(BE48:BF48)</f>
        <v>0</v>
      </c>
      <c r="BH48" s="416" t="s">
        <v>182</v>
      </c>
      <c r="BI48" s="248"/>
      <c r="BJ48" s="147">
        <v>0</v>
      </c>
      <c r="BK48" s="147"/>
      <c r="BL48" s="147">
        <v>0</v>
      </c>
      <c r="BM48" s="147">
        <f>AG48</f>
        <v>0</v>
      </c>
      <c r="BN48" s="229">
        <f>SUM(BL48:BM48)</f>
        <v>0</v>
      </c>
      <c r="BO48" s="435"/>
      <c r="BP48" s="147">
        <v>0</v>
      </c>
      <c r="BQ48" s="147"/>
      <c r="BR48" s="147">
        <v>0</v>
      </c>
      <c r="BS48" s="147">
        <f>AM48</f>
        <v>0</v>
      </c>
      <c r="BT48" s="229">
        <v>0</v>
      </c>
      <c r="BU48" s="248"/>
      <c r="BV48" s="147">
        <v>0</v>
      </c>
      <c r="BW48" s="147"/>
      <c r="BX48" s="147">
        <v>0</v>
      </c>
      <c r="BY48" s="147">
        <f>AS48</f>
        <v>0</v>
      </c>
      <c r="BZ48" s="229">
        <v>0</v>
      </c>
      <c r="CA48" s="228">
        <f>BR48+BL48+BE48+BX48</f>
        <v>0</v>
      </c>
      <c r="CB48" s="147">
        <f t="shared" si="55"/>
        <v>0</v>
      </c>
      <c r="CC48" s="229">
        <f t="shared" ref="CC48:CC50" si="58">CA48+CB48</f>
        <v>0</v>
      </c>
      <c r="CD48" s="23"/>
      <c r="CE48" s="20">
        <f t="shared" si="56"/>
        <v>0</v>
      </c>
      <c r="CF48" s="20">
        <f t="shared" si="56"/>
        <v>0</v>
      </c>
      <c r="CG48" s="15">
        <f>CE48+CF48</f>
        <v>0</v>
      </c>
      <c r="CH48" s="376">
        <f t="shared" si="57"/>
        <v>2123.6543240000001</v>
      </c>
      <c r="CI48" s="377">
        <f t="shared" si="57"/>
        <v>0</v>
      </c>
      <c r="CJ48" s="522">
        <f t="shared" si="57"/>
        <v>2123.6543240000001</v>
      </c>
      <c r="CK48" s="532">
        <f t="shared" si="50"/>
        <v>-2124</v>
      </c>
      <c r="CL48" s="533">
        <f t="shared" si="51"/>
        <v>-0.34567599999991216</v>
      </c>
      <c r="CM48" s="372"/>
      <c r="CN48" s="372"/>
      <c r="CO48" s="372"/>
      <c r="CP48" s="372"/>
      <c r="CQ48" s="372"/>
      <c r="CR48" s="372"/>
      <c r="CS48" s="372"/>
      <c r="CT48" s="372"/>
      <c r="CU48" s="372"/>
      <c r="CV48" s="372"/>
      <c r="CW48" s="372">
        <v>-2124</v>
      </c>
      <c r="CX48" s="372"/>
      <c r="CY48" s="372"/>
      <c r="CZ48" s="372"/>
      <c r="DA48" s="372"/>
      <c r="DB48" s="372"/>
      <c r="DC48" s="372"/>
      <c r="DD48" s="372"/>
      <c r="DE48" s="372"/>
      <c r="DF48" s="372"/>
      <c r="DG48" s="372"/>
      <c r="DH48" s="372"/>
      <c r="DI48" s="372"/>
      <c r="DJ48" s="372"/>
      <c r="DK48" s="372"/>
      <c r="DL48" s="372"/>
      <c r="DM48" s="372"/>
      <c r="DN48" s="372"/>
      <c r="DO48" s="372"/>
      <c r="DP48" s="372"/>
      <c r="DQ48" s="372"/>
      <c r="DR48" s="372"/>
      <c r="DS48" s="372"/>
      <c r="DT48" s="372"/>
      <c r="DU48" s="372"/>
      <c r="DV48" s="372"/>
      <c r="DW48" s="372"/>
      <c r="DX48" s="372"/>
      <c r="DY48" s="372"/>
      <c r="DZ48" s="372"/>
      <c r="EA48" s="372"/>
      <c r="EB48" s="372"/>
      <c r="EC48" s="372"/>
      <c r="ED48" s="372"/>
      <c r="EE48" s="372"/>
      <c r="EF48" s="372"/>
      <c r="EG48" s="372"/>
      <c r="EH48" s="372"/>
      <c r="EI48" s="372"/>
      <c r="EJ48" s="372"/>
      <c r="EK48" s="372"/>
      <c r="EL48" s="372"/>
      <c r="EM48" s="372"/>
      <c r="EN48" s="372"/>
      <c r="EO48" s="372"/>
      <c r="EP48" s="372"/>
      <c r="EQ48" s="372"/>
      <c r="ER48" s="372"/>
      <c r="ES48" s="372"/>
    </row>
    <row r="49" spans="1:149" s="126" customFormat="1" ht="19.5" hidden="1" customHeight="1" x14ac:dyDescent="0.45">
      <c r="A49" s="143"/>
      <c r="B49" s="143"/>
      <c r="C49" s="143"/>
      <c r="D49" s="143"/>
      <c r="E49" s="135">
        <v>39</v>
      </c>
      <c r="F49" s="143" t="s">
        <v>77</v>
      </c>
      <c r="G49" s="383" t="s">
        <v>169</v>
      </c>
      <c r="H49" s="143" t="s">
        <v>180</v>
      </c>
      <c r="I49" s="143" t="s">
        <v>11</v>
      </c>
      <c r="J49" s="159">
        <v>2</v>
      </c>
      <c r="K49" s="20">
        <v>80</v>
      </c>
      <c r="L49" s="178">
        <v>4</v>
      </c>
      <c r="M49" s="156" t="s">
        <v>175</v>
      </c>
      <c r="N49" s="20">
        <f>L49*K49*J49</f>
        <v>640</v>
      </c>
      <c r="O49" s="20">
        <v>0</v>
      </c>
      <c r="P49" s="20">
        <f>SUM(N49:O49)</f>
        <v>640</v>
      </c>
      <c r="Q49" s="159">
        <v>2</v>
      </c>
      <c r="R49" s="20">
        <f>K49*$J$6</f>
        <v>82.4</v>
      </c>
      <c r="S49" s="178">
        <v>4</v>
      </c>
      <c r="T49" s="20">
        <f>Q49*R49*S49</f>
        <v>659.2</v>
      </c>
      <c r="U49" s="20">
        <v>0</v>
      </c>
      <c r="V49" s="20">
        <f>SUM(T49:U49)</f>
        <v>659.2</v>
      </c>
      <c r="W49" s="159">
        <v>2</v>
      </c>
      <c r="X49" s="20">
        <f>K49*$J$6*$J$6</f>
        <v>84.872000000000014</v>
      </c>
      <c r="Y49" s="178">
        <v>4</v>
      </c>
      <c r="Z49" s="20">
        <f>W49*X49*Y49</f>
        <v>678.97600000000011</v>
      </c>
      <c r="AA49" s="20">
        <v>0</v>
      </c>
      <c r="AB49" s="20">
        <f>SUM(Z49:AA49)</f>
        <v>678.97600000000011</v>
      </c>
      <c r="AC49" s="159">
        <v>2</v>
      </c>
      <c r="AD49" s="20">
        <f>K49*$J$6*$J$6*$J$6</f>
        <v>87.418160000000015</v>
      </c>
      <c r="AE49" s="178">
        <v>4</v>
      </c>
      <c r="AF49" s="20">
        <f>AC49*AD49*AE49</f>
        <v>699.34528000000012</v>
      </c>
      <c r="AG49" s="20">
        <v>0</v>
      </c>
      <c r="AH49" s="20">
        <f>SUM(AF49:AG49)</f>
        <v>699.34528000000012</v>
      </c>
      <c r="AI49" s="159">
        <v>2</v>
      </c>
      <c r="AJ49" s="20">
        <f>K49*$J$6*$J$6*$J$6*$J$6</f>
        <v>90.040704800000015</v>
      </c>
      <c r="AK49" s="178">
        <v>4</v>
      </c>
      <c r="AL49" s="20">
        <f>AI49*AJ49*AK49</f>
        <v>720.32563840000012</v>
      </c>
      <c r="AM49" s="20">
        <v>0</v>
      </c>
      <c r="AN49" s="20">
        <f>SUM(AL49:AM49)</f>
        <v>720.32563840000012</v>
      </c>
      <c r="AO49" s="20">
        <f t="shared" si="53"/>
        <v>3397.8469184000005</v>
      </c>
      <c r="AP49" s="20">
        <f t="shared" si="53"/>
        <v>0</v>
      </c>
      <c r="AQ49" s="20">
        <f>SUM(AO49:AP49)</f>
        <v>3397.8469184000005</v>
      </c>
      <c r="AR49" s="147">
        <v>0</v>
      </c>
      <c r="AS49" s="20">
        <v>0</v>
      </c>
      <c r="AT49" s="147">
        <v>0</v>
      </c>
      <c r="AU49" s="20">
        <v>0</v>
      </c>
      <c r="AV49" s="20">
        <f t="shared" si="54"/>
        <v>0</v>
      </c>
      <c r="AW49" s="20">
        <f t="shared" si="54"/>
        <v>0</v>
      </c>
      <c r="AX49" s="20">
        <f>AV49+AW49</f>
        <v>0</v>
      </c>
      <c r="AY49" s="20">
        <f>AQ49-AX49</f>
        <v>3397.8469184000005</v>
      </c>
      <c r="AZ49" s="147">
        <f>AQ49-AR49-AS49-AT49-AU49</f>
        <v>3397.8469184000005</v>
      </c>
      <c r="BA49" s="15">
        <f>AY49-AZ49</f>
        <v>0</v>
      </c>
      <c r="BB49" s="248"/>
      <c r="BC49" s="147">
        <v>0</v>
      </c>
      <c r="BD49" s="147"/>
      <c r="BE49" s="147">
        <v>0</v>
      </c>
      <c r="BF49" s="147">
        <f>AA49</f>
        <v>0</v>
      </c>
      <c r="BG49" s="147">
        <f>SUM(BE49:BF49)</f>
        <v>0</v>
      </c>
      <c r="BH49" s="416" t="s">
        <v>183</v>
      </c>
      <c r="BI49" s="248"/>
      <c r="BJ49" s="147">
        <v>0</v>
      </c>
      <c r="BK49" s="147"/>
      <c r="BL49" s="147">
        <v>0</v>
      </c>
      <c r="BM49" s="147">
        <f>AG49</f>
        <v>0</v>
      </c>
      <c r="BN49" s="229">
        <f>SUM(BL49:BM49)</f>
        <v>0</v>
      </c>
      <c r="BO49" s="435"/>
      <c r="BP49" s="147">
        <v>0</v>
      </c>
      <c r="BQ49" s="147"/>
      <c r="BR49" s="147">
        <v>0</v>
      </c>
      <c r="BS49" s="147">
        <f>AM49</f>
        <v>0</v>
      </c>
      <c r="BT49" s="229">
        <v>0</v>
      </c>
      <c r="BU49" s="248"/>
      <c r="BV49" s="147">
        <v>0</v>
      </c>
      <c r="BW49" s="147"/>
      <c r="BX49" s="147">
        <v>0</v>
      </c>
      <c r="BY49" s="147">
        <f>AS49</f>
        <v>0</v>
      </c>
      <c r="BZ49" s="229">
        <v>0</v>
      </c>
      <c r="CA49" s="228">
        <f>BR49+BL49+BE49+BX49</f>
        <v>0</v>
      </c>
      <c r="CB49" s="147">
        <f t="shared" si="55"/>
        <v>0</v>
      </c>
      <c r="CC49" s="229">
        <f t="shared" si="58"/>
        <v>0</v>
      </c>
      <c r="CD49" s="23"/>
      <c r="CE49" s="20">
        <f t="shared" si="56"/>
        <v>0</v>
      </c>
      <c r="CF49" s="20">
        <f t="shared" si="56"/>
        <v>0</v>
      </c>
      <c r="CG49" s="15">
        <f>CE49+CF49</f>
        <v>0</v>
      </c>
      <c r="CH49" s="376">
        <f t="shared" si="57"/>
        <v>3397.8469184000005</v>
      </c>
      <c r="CI49" s="377">
        <f t="shared" si="57"/>
        <v>0</v>
      </c>
      <c r="CJ49" s="522">
        <f t="shared" si="57"/>
        <v>3397.8469184000005</v>
      </c>
      <c r="CK49" s="532">
        <f t="shared" si="50"/>
        <v>-3398</v>
      </c>
      <c r="CL49" s="533">
        <f t="shared" si="51"/>
        <v>-0.15308159999949567</v>
      </c>
      <c r="CM49" s="372"/>
      <c r="CN49" s="372"/>
      <c r="CO49" s="372"/>
      <c r="CP49" s="372"/>
      <c r="CQ49" s="372"/>
      <c r="CR49" s="372"/>
      <c r="CS49" s="372"/>
      <c r="CT49" s="372"/>
      <c r="CU49" s="372"/>
      <c r="CV49" s="372"/>
      <c r="CW49" s="372"/>
      <c r="CX49" s="372">
        <v>-3398</v>
      </c>
      <c r="CY49" s="372"/>
      <c r="CZ49" s="372"/>
      <c r="DA49" s="372"/>
      <c r="DB49" s="372"/>
      <c r="DC49" s="372"/>
      <c r="DD49" s="372"/>
      <c r="DE49" s="372"/>
      <c r="DF49" s="372"/>
      <c r="DG49" s="372"/>
      <c r="DH49" s="372"/>
      <c r="DI49" s="372"/>
      <c r="DJ49" s="372"/>
      <c r="DK49" s="372"/>
      <c r="DL49" s="372"/>
      <c r="DM49" s="372"/>
      <c r="DN49" s="372"/>
      <c r="DO49" s="372"/>
      <c r="DP49" s="372"/>
      <c r="DQ49" s="372"/>
      <c r="DR49" s="372"/>
      <c r="DS49" s="372"/>
      <c r="DT49" s="372"/>
      <c r="DU49" s="372"/>
      <c r="DV49" s="372"/>
      <c r="DW49" s="372"/>
      <c r="DX49" s="372"/>
      <c r="DY49" s="372"/>
      <c r="DZ49" s="372"/>
      <c r="EA49" s="372"/>
      <c r="EB49" s="372"/>
      <c r="EC49" s="372"/>
      <c r="ED49" s="372"/>
      <c r="EE49" s="372"/>
      <c r="EF49" s="372"/>
      <c r="EG49" s="372"/>
      <c r="EH49" s="372"/>
      <c r="EI49" s="372"/>
      <c r="EJ49" s="372"/>
      <c r="EK49" s="372"/>
      <c r="EL49" s="372"/>
      <c r="EM49" s="372"/>
      <c r="EN49" s="372"/>
      <c r="EO49" s="372"/>
      <c r="EP49" s="372"/>
      <c r="EQ49" s="372"/>
      <c r="ER49" s="372"/>
      <c r="ES49" s="372"/>
    </row>
    <row r="50" spans="1:149" s="126" customFormat="1" ht="19.5" hidden="1" customHeight="1" x14ac:dyDescent="0.45">
      <c r="A50" s="143"/>
      <c r="B50" s="143"/>
      <c r="C50" s="143"/>
      <c r="D50" s="143"/>
      <c r="E50" s="135">
        <v>40</v>
      </c>
      <c r="F50" s="143" t="s">
        <v>78</v>
      </c>
      <c r="G50" s="383" t="s">
        <v>169</v>
      </c>
      <c r="H50" s="143" t="s">
        <v>180</v>
      </c>
      <c r="I50" s="143" t="s">
        <v>11</v>
      </c>
      <c r="J50" s="159">
        <v>2</v>
      </c>
      <c r="K50" s="20">
        <v>25</v>
      </c>
      <c r="L50" s="178">
        <v>1</v>
      </c>
      <c r="M50" s="156" t="s">
        <v>172</v>
      </c>
      <c r="N50" s="20">
        <f>L50*K50*J50</f>
        <v>50</v>
      </c>
      <c r="O50" s="20">
        <v>0</v>
      </c>
      <c r="P50" s="20">
        <f>SUM(N50:O50)</f>
        <v>50</v>
      </c>
      <c r="Q50" s="159">
        <v>2</v>
      </c>
      <c r="R50" s="20">
        <f>K50*$J$6</f>
        <v>25.75</v>
      </c>
      <c r="S50" s="178">
        <v>1</v>
      </c>
      <c r="T50" s="20">
        <f>Q50*R50*S50</f>
        <v>51.5</v>
      </c>
      <c r="U50" s="20">
        <v>0</v>
      </c>
      <c r="V50" s="20">
        <f>SUM(T50:U50)</f>
        <v>51.5</v>
      </c>
      <c r="W50" s="159">
        <v>2</v>
      </c>
      <c r="X50" s="20">
        <f>K50*$J$6*$J$6</f>
        <v>26.522500000000001</v>
      </c>
      <c r="Y50" s="178">
        <v>1</v>
      </c>
      <c r="Z50" s="20">
        <f>W50*X50*Y50</f>
        <v>53.045000000000002</v>
      </c>
      <c r="AA50" s="20">
        <v>0</v>
      </c>
      <c r="AB50" s="20">
        <f>SUM(Z50:AA50)</f>
        <v>53.045000000000002</v>
      </c>
      <c r="AC50" s="159">
        <v>2</v>
      </c>
      <c r="AD50" s="20">
        <f>K50*$J$6*$J$6*$J$6</f>
        <v>27.318175</v>
      </c>
      <c r="AE50" s="178">
        <v>1</v>
      </c>
      <c r="AF50" s="20">
        <f>AC50*AD50*AE50</f>
        <v>54.63635</v>
      </c>
      <c r="AG50" s="20">
        <v>0</v>
      </c>
      <c r="AH50" s="20">
        <f>SUM(AF50:AG50)</f>
        <v>54.63635</v>
      </c>
      <c r="AI50" s="159">
        <v>2</v>
      </c>
      <c r="AJ50" s="20">
        <f>K50*$J$6*$J$6*$J$6*$J$6</f>
        <v>28.137720250000001</v>
      </c>
      <c r="AK50" s="178">
        <v>1</v>
      </c>
      <c r="AL50" s="20">
        <f>AI50*AJ50*AK50</f>
        <v>56.275440500000002</v>
      </c>
      <c r="AM50" s="20">
        <v>0</v>
      </c>
      <c r="AN50" s="20">
        <f>SUM(AL50:AM50)</f>
        <v>56.275440500000002</v>
      </c>
      <c r="AO50" s="20">
        <f t="shared" si="53"/>
        <v>265.45679050000001</v>
      </c>
      <c r="AP50" s="20">
        <f t="shared" si="53"/>
        <v>0</v>
      </c>
      <c r="AQ50" s="20">
        <f>SUM(AO50:AP50)</f>
        <v>265.45679050000001</v>
      </c>
      <c r="AR50" s="147">
        <v>0</v>
      </c>
      <c r="AS50" s="20">
        <v>0</v>
      </c>
      <c r="AT50" s="147">
        <v>0</v>
      </c>
      <c r="AU50" s="20">
        <v>0</v>
      </c>
      <c r="AV50" s="20">
        <f t="shared" si="54"/>
        <v>0</v>
      </c>
      <c r="AW50" s="20">
        <f t="shared" si="54"/>
        <v>0</v>
      </c>
      <c r="AX50" s="20">
        <f>AV50+AW50</f>
        <v>0</v>
      </c>
      <c r="AY50" s="20">
        <f>AQ50-AX50</f>
        <v>265.45679050000001</v>
      </c>
      <c r="AZ50" s="147">
        <f>AQ50-AR50-AS50-AT50-AU50</f>
        <v>265.45679050000001</v>
      </c>
      <c r="BA50" s="15">
        <f>AY50-AZ50</f>
        <v>0</v>
      </c>
      <c r="BB50" s="248"/>
      <c r="BC50" s="147">
        <v>0</v>
      </c>
      <c r="BD50" s="147"/>
      <c r="BE50" s="147">
        <f>BB50*BC50*BD50</f>
        <v>0</v>
      </c>
      <c r="BF50" s="147">
        <f>AA50</f>
        <v>0</v>
      </c>
      <c r="BG50" s="147">
        <f>SUM(BE50:BF50)</f>
        <v>0</v>
      </c>
      <c r="BH50" s="416" t="s">
        <v>184</v>
      </c>
      <c r="BI50" s="248"/>
      <c r="BJ50" s="147">
        <v>0</v>
      </c>
      <c r="BK50" s="147"/>
      <c r="BL50" s="147">
        <f>BI50*BJ50*BK50</f>
        <v>0</v>
      </c>
      <c r="BM50" s="147">
        <f>AG50</f>
        <v>0</v>
      </c>
      <c r="BN50" s="229">
        <f>SUM(BL50:BM50)</f>
        <v>0</v>
      </c>
      <c r="BO50" s="435"/>
      <c r="BP50" s="147">
        <v>0</v>
      </c>
      <c r="BQ50" s="147"/>
      <c r="BR50" s="147">
        <f>BO50*BP50*BQ50</f>
        <v>0</v>
      </c>
      <c r="BS50" s="147">
        <f>AM50</f>
        <v>0</v>
      </c>
      <c r="BT50" s="229">
        <f>SUM(BR50:BS50)</f>
        <v>0</v>
      </c>
      <c r="BU50" s="248"/>
      <c r="BV50" s="147">
        <v>0</v>
      </c>
      <c r="BW50" s="147"/>
      <c r="BX50" s="147">
        <f>BU50*BV50*BW50</f>
        <v>0</v>
      </c>
      <c r="BY50" s="147">
        <f>AS50</f>
        <v>0</v>
      </c>
      <c r="BZ50" s="229">
        <f>SUM(BX50:BY50)</f>
        <v>0</v>
      </c>
      <c r="CA50" s="228">
        <f>BR50+BL50+BE50+BX50</f>
        <v>0</v>
      </c>
      <c r="CB50" s="147">
        <f t="shared" si="55"/>
        <v>0</v>
      </c>
      <c r="CC50" s="229">
        <f t="shared" si="58"/>
        <v>0</v>
      </c>
      <c r="CD50" s="23"/>
      <c r="CE50" s="20">
        <f t="shared" si="56"/>
        <v>0</v>
      </c>
      <c r="CF50" s="20">
        <f t="shared" si="56"/>
        <v>0</v>
      </c>
      <c r="CG50" s="15">
        <f>CE50+CF50</f>
        <v>0</v>
      </c>
      <c r="CH50" s="376">
        <f t="shared" si="57"/>
        <v>265.45679050000001</v>
      </c>
      <c r="CI50" s="377">
        <f t="shared" si="57"/>
        <v>0</v>
      </c>
      <c r="CJ50" s="522">
        <f t="shared" si="57"/>
        <v>265.45679050000001</v>
      </c>
      <c r="CK50" s="532">
        <f t="shared" si="50"/>
        <v>-265</v>
      </c>
      <c r="CL50" s="533">
        <f t="shared" si="51"/>
        <v>0.45679050000001098</v>
      </c>
      <c r="CM50" s="372"/>
      <c r="CN50" s="372"/>
      <c r="CO50" s="372"/>
      <c r="CP50" s="372"/>
      <c r="CQ50" s="372"/>
      <c r="CR50" s="372"/>
      <c r="CS50" s="372"/>
      <c r="CT50" s="372"/>
      <c r="CU50" s="372"/>
      <c r="CV50" s="372"/>
      <c r="CW50" s="372"/>
      <c r="CX50" s="372"/>
      <c r="CY50" s="372">
        <v>-265</v>
      </c>
      <c r="CZ50" s="372"/>
      <c r="DA50" s="372"/>
      <c r="DB50" s="372"/>
      <c r="DC50" s="372"/>
      <c r="DD50" s="372"/>
      <c r="DE50" s="372"/>
      <c r="DF50" s="372"/>
      <c r="DG50" s="372"/>
      <c r="DH50" s="372"/>
      <c r="DI50" s="372"/>
      <c r="DJ50" s="372"/>
      <c r="DK50" s="372"/>
      <c r="DL50" s="372"/>
      <c r="DM50" s="372"/>
      <c r="DN50" s="372"/>
      <c r="DO50" s="372"/>
      <c r="DP50" s="372"/>
      <c r="DQ50" s="372"/>
      <c r="DR50" s="372"/>
      <c r="DS50" s="372"/>
      <c r="DT50" s="372"/>
      <c r="DU50" s="372"/>
      <c r="DV50" s="372"/>
      <c r="DW50" s="372"/>
      <c r="DX50" s="372"/>
      <c r="DY50" s="372"/>
      <c r="DZ50" s="372"/>
      <c r="EA50" s="372"/>
      <c r="EB50" s="372"/>
      <c r="EC50" s="372"/>
      <c r="ED50" s="372"/>
      <c r="EE50" s="372"/>
      <c r="EF50" s="372"/>
      <c r="EG50" s="372"/>
      <c r="EH50" s="372"/>
      <c r="EI50" s="372"/>
      <c r="EJ50" s="372"/>
      <c r="EK50" s="372"/>
      <c r="EL50" s="372"/>
      <c r="EM50" s="372"/>
      <c r="EN50" s="372"/>
      <c r="EO50" s="372"/>
      <c r="EP50" s="372"/>
      <c r="EQ50" s="372"/>
      <c r="ER50" s="372"/>
      <c r="ES50" s="372"/>
    </row>
    <row r="51" spans="1:149" s="128" customFormat="1" ht="19.5" customHeight="1" x14ac:dyDescent="0.45">
      <c r="A51" s="161"/>
      <c r="B51" s="161"/>
      <c r="C51" s="161"/>
      <c r="D51" s="161"/>
      <c r="E51" s="143">
        <v>41</v>
      </c>
      <c r="F51" s="161" t="s">
        <v>185</v>
      </c>
      <c r="G51" s="175"/>
      <c r="H51" s="161"/>
      <c r="I51" s="161"/>
      <c r="J51" s="179"/>
      <c r="K51" s="160"/>
      <c r="L51" s="179"/>
      <c r="M51" s="160"/>
      <c r="N51" s="162">
        <f>SUM(N47:N50)</f>
        <v>1590</v>
      </c>
      <c r="O51" s="162">
        <f>SUM(O47:O50)</f>
        <v>0</v>
      </c>
      <c r="P51" s="162">
        <f>SUM(P47:P50)</f>
        <v>1590</v>
      </c>
      <c r="Q51" s="179"/>
      <c r="R51" s="152"/>
      <c r="S51" s="180"/>
      <c r="T51" s="162">
        <f>SUM(T47:T50)</f>
        <v>1637.7</v>
      </c>
      <c r="U51" s="162">
        <f>SUM(U47:U50)</f>
        <v>0</v>
      </c>
      <c r="V51" s="162">
        <f>SUM(V47:V50)</f>
        <v>1637.7</v>
      </c>
      <c r="W51" s="181"/>
      <c r="X51" s="152"/>
      <c r="Y51" s="160"/>
      <c r="Z51" s="162">
        <f>SUM(Z47:Z50)</f>
        <v>1686.8310000000004</v>
      </c>
      <c r="AA51" s="162">
        <f>SUM(AA47:AA50)</f>
        <v>0</v>
      </c>
      <c r="AB51" s="162">
        <f>SUM(AB47:AB50)</f>
        <v>1686.8310000000004</v>
      </c>
      <c r="AC51" s="179"/>
      <c r="AD51" s="152"/>
      <c r="AE51" s="160"/>
      <c r="AF51" s="162">
        <f>SUM(AF47:AF50)</f>
        <v>1737.4359300000003</v>
      </c>
      <c r="AG51" s="162">
        <f>SUM(AG47:AG50)</f>
        <v>0</v>
      </c>
      <c r="AH51" s="162">
        <f>SUM(AH47:AH50)</f>
        <v>1737.4359300000003</v>
      </c>
      <c r="AI51" s="181"/>
      <c r="AJ51" s="152"/>
      <c r="AK51" s="160"/>
      <c r="AL51" s="162">
        <f t="shared" ref="AL51:AR51" si="59">SUM(AL47:AL50)</f>
        <v>1789.5590079000003</v>
      </c>
      <c r="AM51" s="162">
        <f t="shared" si="59"/>
        <v>0</v>
      </c>
      <c r="AN51" s="162">
        <f t="shared" si="59"/>
        <v>1789.5590079000003</v>
      </c>
      <c r="AO51" s="162">
        <f t="shared" si="59"/>
        <v>8441.5259379000017</v>
      </c>
      <c r="AP51" s="162">
        <f t="shared" si="59"/>
        <v>0</v>
      </c>
      <c r="AQ51" s="162">
        <f t="shared" si="59"/>
        <v>8441.5259379000017</v>
      </c>
      <c r="AR51" s="163">
        <f t="shared" si="59"/>
        <v>913.59</v>
      </c>
      <c r="AS51" s="162">
        <v>0</v>
      </c>
      <c r="AT51" s="163">
        <v>0</v>
      </c>
      <c r="AU51" s="162">
        <v>0</v>
      </c>
      <c r="AV51" s="162">
        <v>0</v>
      </c>
      <c r="AW51" s="162">
        <v>0</v>
      </c>
      <c r="AX51" s="162">
        <v>0</v>
      </c>
      <c r="AY51" s="162">
        <v>0</v>
      </c>
      <c r="AZ51" s="163">
        <f>AQ51-AR51-AS51-AT51-AU51</f>
        <v>7527.9359379000016</v>
      </c>
      <c r="BA51" s="235"/>
      <c r="BB51" s="249"/>
      <c r="BC51" s="153">
        <v>0</v>
      </c>
      <c r="BD51" s="153"/>
      <c r="BE51" s="153">
        <f>BB51*BC51*BD51</f>
        <v>0</v>
      </c>
      <c r="BF51" s="153">
        <f>AA51</f>
        <v>0</v>
      </c>
      <c r="BG51" s="153">
        <f>SUM(BE51:BF51)</f>
        <v>0</v>
      </c>
      <c r="BH51" s="408"/>
      <c r="BI51" s="249"/>
      <c r="BJ51" s="153">
        <v>0</v>
      </c>
      <c r="BK51" s="153"/>
      <c r="BL51" s="153">
        <f>BI51*BJ51*BK51</f>
        <v>0</v>
      </c>
      <c r="BM51" s="153">
        <f>AG51</f>
        <v>0</v>
      </c>
      <c r="BN51" s="239">
        <f>SUM(BL51:BM51)</f>
        <v>0</v>
      </c>
      <c r="BO51" s="436"/>
      <c r="BP51" s="153">
        <v>0</v>
      </c>
      <c r="BQ51" s="153"/>
      <c r="BR51" s="153">
        <f>BO51*BP51*BQ51</f>
        <v>0</v>
      </c>
      <c r="BS51" s="153">
        <f>AM51</f>
        <v>0</v>
      </c>
      <c r="BT51" s="239">
        <f>SUM(BR51:BS51)</f>
        <v>0</v>
      </c>
      <c r="BU51" s="249"/>
      <c r="BV51" s="153">
        <v>0</v>
      </c>
      <c r="BW51" s="153"/>
      <c r="BX51" s="153">
        <f>BU51*BV51*BW51</f>
        <v>0</v>
      </c>
      <c r="BY51" s="153">
        <f>AS51</f>
        <v>0</v>
      </c>
      <c r="BZ51" s="239">
        <f>SUM(BX51:BY51)</f>
        <v>0</v>
      </c>
      <c r="CA51" s="218">
        <f>BR51+BL51+BE51+BX51</f>
        <v>0</v>
      </c>
      <c r="CB51" s="153">
        <f t="shared" si="55"/>
        <v>0</v>
      </c>
      <c r="CC51" s="239">
        <f t="shared" si="55"/>
        <v>0</v>
      </c>
      <c r="CD51" s="17"/>
      <c r="CE51" s="152">
        <f>CA51+AR51+AT51</f>
        <v>913.59</v>
      </c>
      <c r="CF51" s="152">
        <f>CB51+AS51+AU51</f>
        <v>0</v>
      </c>
      <c r="CG51" s="18">
        <f>CE51+CF51</f>
        <v>913.59</v>
      </c>
      <c r="CH51" s="217"/>
      <c r="CI51" s="20"/>
      <c r="CJ51" s="15"/>
      <c r="CK51" s="530">
        <f t="shared" si="50"/>
        <v>0</v>
      </c>
      <c r="CL51" s="531">
        <f t="shared" si="51"/>
        <v>0</v>
      </c>
      <c r="CM51" s="375"/>
      <c r="CN51" s="375"/>
      <c r="CO51" s="375"/>
      <c r="CP51" s="375"/>
      <c r="CQ51" s="375"/>
      <c r="CR51" s="375"/>
      <c r="CS51" s="375"/>
      <c r="CT51" s="375"/>
      <c r="CU51" s="375"/>
      <c r="CV51" s="375"/>
      <c r="CW51" s="375"/>
      <c r="CX51" s="375"/>
      <c r="CY51" s="375"/>
      <c r="CZ51" s="375"/>
      <c r="DA51" s="375"/>
      <c r="DB51" s="375"/>
      <c r="DC51" s="375"/>
      <c r="DD51" s="375"/>
      <c r="DE51" s="375"/>
      <c r="DF51" s="375"/>
      <c r="DG51" s="375"/>
      <c r="DH51" s="375"/>
      <c r="DI51" s="375"/>
      <c r="DJ51" s="375"/>
      <c r="DK51" s="375"/>
      <c r="DL51" s="375"/>
      <c r="DM51" s="375"/>
      <c r="DN51" s="375"/>
      <c r="DO51" s="375"/>
      <c r="DP51" s="375"/>
      <c r="DQ51" s="375"/>
      <c r="DR51" s="375"/>
      <c r="DS51" s="375"/>
      <c r="DT51" s="375"/>
      <c r="DU51" s="375"/>
      <c r="DV51" s="375"/>
      <c r="DW51" s="375"/>
      <c r="DX51" s="375"/>
      <c r="DY51" s="375"/>
      <c r="DZ51" s="375"/>
      <c r="EA51" s="375"/>
      <c r="EB51" s="375"/>
      <c r="EC51" s="375"/>
      <c r="ED51" s="375"/>
      <c r="EE51" s="375"/>
      <c r="EF51" s="375"/>
      <c r="EG51" s="375"/>
      <c r="EH51" s="375"/>
      <c r="EI51" s="375"/>
      <c r="EJ51" s="375"/>
      <c r="EK51" s="375"/>
      <c r="EL51" s="375"/>
      <c r="EM51" s="375"/>
      <c r="EN51" s="375"/>
      <c r="EO51" s="375"/>
      <c r="EP51" s="375"/>
      <c r="EQ51" s="375"/>
      <c r="ER51" s="375"/>
      <c r="ES51" s="375"/>
    </row>
    <row r="52" spans="1:149" s="126" customFormat="1" ht="19.5" customHeight="1" x14ac:dyDescent="0.45">
      <c r="A52" s="148"/>
      <c r="B52" s="148"/>
      <c r="C52" s="148"/>
      <c r="D52" s="148"/>
      <c r="E52" s="143">
        <v>42</v>
      </c>
      <c r="F52" s="148" t="s">
        <v>186</v>
      </c>
      <c r="G52" s="175"/>
      <c r="H52" s="148"/>
      <c r="I52" s="148"/>
      <c r="J52" s="156"/>
      <c r="K52" s="156"/>
      <c r="L52" s="156"/>
      <c r="M52" s="156"/>
      <c r="N52" s="20"/>
      <c r="O52" s="20"/>
      <c r="P52" s="20"/>
      <c r="Q52" s="156"/>
      <c r="R52" s="20"/>
      <c r="S52" s="156"/>
      <c r="T52" s="20"/>
      <c r="U52" s="20"/>
      <c r="V52" s="20"/>
      <c r="W52" s="156"/>
      <c r="X52" s="20"/>
      <c r="Y52" s="156"/>
      <c r="Z52" s="20"/>
      <c r="AA52" s="20"/>
      <c r="AB52" s="20"/>
      <c r="AC52" s="156"/>
      <c r="AD52" s="20"/>
      <c r="AE52" s="156"/>
      <c r="AF52" s="20"/>
      <c r="AG52" s="20"/>
      <c r="AH52" s="20"/>
      <c r="AI52" s="156"/>
      <c r="AJ52" s="20"/>
      <c r="AK52" s="156"/>
      <c r="AL52" s="20"/>
      <c r="AM52" s="20"/>
      <c r="AN52" s="20"/>
      <c r="AO52" s="20"/>
      <c r="AP52" s="20"/>
      <c r="AQ52" s="20"/>
      <c r="AR52" s="20"/>
      <c r="AS52" s="20"/>
      <c r="AT52" s="20"/>
      <c r="AU52" s="20"/>
      <c r="AV52" s="20"/>
      <c r="AW52" s="20"/>
      <c r="AX52" s="20"/>
      <c r="AY52" s="20"/>
      <c r="AZ52" s="20"/>
      <c r="BA52" s="15"/>
      <c r="BB52" s="250"/>
      <c r="BC52" s="150"/>
      <c r="BD52" s="150"/>
      <c r="BE52" s="147"/>
      <c r="BF52" s="147"/>
      <c r="BG52" s="147"/>
      <c r="BH52" s="407"/>
      <c r="BI52" s="250"/>
      <c r="BJ52" s="150"/>
      <c r="BK52" s="150"/>
      <c r="BL52" s="147"/>
      <c r="BM52" s="147"/>
      <c r="BN52" s="229"/>
      <c r="BO52" s="437"/>
      <c r="BP52" s="150"/>
      <c r="BQ52" s="150"/>
      <c r="BR52" s="20"/>
      <c r="BS52" s="20"/>
      <c r="BT52" s="223"/>
      <c r="BU52" s="217"/>
      <c r="BV52" s="20"/>
      <c r="BW52" s="20"/>
      <c r="BX52" s="20"/>
      <c r="BY52" s="20"/>
      <c r="BZ52" s="223"/>
      <c r="CA52" s="228"/>
      <c r="CB52" s="20"/>
      <c r="CC52" s="229"/>
      <c r="CD52" s="23"/>
      <c r="CE52" s="20"/>
      <c r="CF52" s="20"/>
      <c r="CG52" s="15"/>
      <c r="CH52" s="217"/>
      <c r="CI52" s="20"/>
      <c r="CJ52" s="15"/>
      <c r="CK52" s="530">
        <f t="shared" si="50"/>
        <v>0</v>
      </c>
      <c r="CL52" s="531">
        <f t="shared" si="51"/>
        <v>0</v>
      </c>
      <c r="CM52" s="368"/>
      <c r="CN52" s="368"/>
      <c r="CO52" s="368"/>
      <c r="CP52" s="368"/>
      <c r="CQ52" s="368"/>
      <c r="CR52" s="368"/>
      <c r="CS52" s="368"/>
      <c r="CT52" s="368"/>
      <c r="CU52" s="368"/>
      <c r="CV52" s="368"/>
      <c r="CW52" s="368"/>
      <c r="CX52" s="368"/>
      <c r="CY52" s="368"/>
      <c r="CZ52" s="368"/>
      <c r="DA52" s="368"/>
      <c r="DB52" s="368"/>
      <c r="DC52" s="368"/>
      <c r="DD52" s="368"/>
      <c r="DE52" s="368"/>
      <c r="DF52" s="368"/>
      <c r="DG52" s="368"/>
      <c r="DH52" s="368"/>
      <c r="DI52" s="368"/>
      <c r="DJ52" s="368"/>
      <c r="DK52" s="368"/>
      <c r="DL52" s="368"/>
      <c r="DM52" s="368"/>
      <c r="DN52" s="368"/>
      <c r="DO52" s="368"/>
      <c r="DP52" s="368"/>
      <c r="DQ52" s="368"/>
      <c r="DR52" s="368"/>
      <c r="DS52" s="368"/>
      <c r="DT52" s="368"/>
      <c r="DU52" s="368"/>
      <c r="DV52" s="368"/>
      <c r="DW52" s="368"/>
      <c r="DX52" s="368"/>
      <c r="DY52" s="368"/>
      <c r="DZ52" s="368"/>
      <c r="EA52" s="368"/>
      <c r="EB52" s="368"/>
      <c r="EC52" s="368"/>
      <c r="ED52" s="368"/>
      <c r="EE52" s="368"/>
      <c r="EF52" s="368"/>
      <c r="EG52" s="368"/>
      <c r="EH52" s="368"/>
      <c r="EI52" s="368"/>
      <c r="EJ52" s="368"/>
      <c r="EK52" s="368"/>
      <c r="EL52" s="368"/>
      <c r="EM52" s="368"/>
      <c r="EN52" s="368"/>
      <c r="EO52" s="368"/>
      <c r="EP52" s="368"/>
      <c r="EQ52" s="368"/>
      <c r="ER52" s="368"/>
      <c r="ES52" s="368"/>
    </row>
    <row r="53" spans="1:149" s="126" customFormat="1" ht="19.5" customHeight="1" x14ac:dyDescent="0.45">
      <c r="A53" s="148"/>
      <c r="B53" s="148"/>
      <c r="C53" s="148"/>
      <c r="D53" s="148"/>
      <c r="E53" s="135">
        <v>43</v>
      </c>
      <c r="F53" s="148" t="s">
        <v>187</v>
      </c>
      <c r="G53" s="175"/>
      <c r="H53" s="148"/>
      <c r="I53" s="148"/>
      <c r="J53" s="156"/>
      <c r="K53" s="156"/>
      <c r="L53" s="156"/>
      <c r="M53" s="156"/>
      <c r="N53" s="20"/>
      <c r="O53" s="20"/>
      <c r="P53" s="20"/>
      <c r="Q53" s="156"/>
      <c r="R53" s="156"/>
      <c r="S53" s="156"/>
      <c r="T53" s="20"/>
      <c r="U53" s="20"/>
      <c r="V53" s="20"/>
      <c r="W53" s="156"/>
      <c r="X53" s="20"/>
      <c r="Y53" s="156"/>
      <c r="Z53" s="20"/>
      <c r="AA53" s="20"/>
      <c r="AB53" s="20"/>
      <c r="AC53" s="156"/>
      <c r="AD53" s="20"/>
      <c r="AE53" s="156"/>
      <c r="AF53" s="20"/>
      <c r="AG53" s="20"/>
      <c r="AH53" s="20"/>
      <c r="AI53" s="156"/>
      <c r="AJ53" s="20"/>
      <c r="AK53" s="156"/>
      <c r="AL53" s="20"/>
      <c r="AM53" s="20"/>
      <c r="AN53" s="20"/>
      <c r="AO53" s="20"/>
      <c r="AP53" s="20"/>
      <c r="AQ53" s="20"/>
      <c r="AR53" s="20"/>
      <c r="AS53" s="20"/>
      <c r="AT53" s="20"/>
      <c r="AU53" s="20"/>
      <c r="AV53" s="20"/>
      <c r="AW53" s="20"/>
      <c r="AX53" s="20"/>
      <c r="AY53" s="20"/>
      <c r="AZ53" s="20"/>
      <c r="BA53" s="15"/>
      <c r="BB53" s="250"/>
      <c r="BC53" s="150"/>
      <c r="BD53" s="150"/>
      <c r="BE53" s="153"/>
      <c r="BF53" s="147"/>
      <c r="BG53" s="153"/>
      <c r="BH53" s="408"/>
      <c r="BI53" s="250"/>
      <c r="BJ53" s="150"/>
      <c r="BK53" s="150"/>
      <c r="BL53" s="153"/>
      <c r="BM53" s="147"/>
      <c r="BN53" s="239"/>
      <c r="BO53" s="437"/>
      <c r="BP53" s="150"/>
      <c r="BQ53" s="150"/>
      <c r="BR53" s="153"/>
      <c r="BS53" s="147"/>
      <c r="BT53" s="239"/>
      <c r="BU53" s="218"/>
      <c r="BV53" s="153"/>
      <c r="BW53" s="153"/>
      <c r="BX53" s="153"/>
      <c r="BY53" s="153"/>
      <c r="BZ53" s="239"/>
      <c r="CA53" s="218"/>
      <c r="CB53" s="153"/>
      <c r="CC53" s="239"/>
      <c r="CD53" s="17"/>
      <c r="CE53" s="152"/>
      <c r="CF53" s="152"/>
      <c r="CG53" s="18"/>
      <c r="CH53" s="217"/>
      <c r="CI53" s="20"/>
      <c r="CJ53" s="15"/>
      <c r="CK53" s="530">
        <f t="shared" si="50"/>
        <v>0</v>
      </c>
      <c r="CL53" s="531">
        <f t="shared" si="51"/>
        <v>0</v>
      </c>
      <c r="CM53" s="368"/>
      <c r="CN53" s="368"/>
      <c r="CO53" s="368"/>
      <c r="CP53" s="368"/>
      <c r="CQ53" s="368"/>
      <c r="CR53" s="368"/>
      <c r="CS53" s="368"/>
      <c r="CT53" s="368"/>
      <c r="CU53" s="368"/>
      <c r="CV53" s="368"/>
      <c r="CW53" s="368"/>
      <c r="CX53" s="368"/>
      <c r="CY53" s="368"/>
      <c r="CZ53" s="368"/>
      <c r="DA53" s="368"/>
      <c r="DB53" s="368"/>
      <c r="DC53" s="368"/>
      <c r="DD53" s="368"/>
      <c r="DE53" s="368"/>
      <c r="DF53" s="368"/>
      <c r="DG53" s="368"/>
      <c r="DH53" s="368"/>
      <c r="DI53" s="368"/>
      <c r="DJ53" s="368"/>
      <c r="DK53" s="368"/>
      <c r="DL53" s="368"/>
      <c r="DM53" s="368"/>
      <c r="DN53" s="368"/>
      <c r="DO53" s="368"/>
      <c r="DP53" s="368"/>
      <c r="DQ53" s="368"/>
      <c r="DR53" s="368"/>
      <c r="DS53" s="368"/>
      <c r="DT53" s="368"/>
      <c r="DU53" s="368"/>
      <c r="DV53" s="368"/>
      <c r="DW53" s="368"/>
      <c r="DX53" s="368"/>
      <c r="DY53" s="368"/>
      <c r="DZ53" s="368"/>
      <c r="EA53" s="368"/>
      <c r="EB53" s="368"/>
      <c r="EC53" s="368"/>
      <c r="ED53" s="368"/>
      <c r="EE53" s="368"/>
      <c r="EF53" s="368"/>
      <c r="EG53" s="368"/>
      <c r="EH53" s="368"/>
      <c r="EI53" s="368"/>
      <c r="EJ53" s="368"/>
      <c r="EK53" s="368"/>
      <c r="EL53" s="368"/>
      <c r="EM53" s="368"/>
      <c r="EN53" s="368"/>
      <c r="EO53" s="368"/>
      <c r="EP53" s="368"/>
      <c r="EQ53" s="368"/>
      <c r="ER53" s="368"/>
      <c r="ES53" s="368"/>
    </row>
    <row r="54" spans="1:149" s="126" customFormat="1" ht="28.5" customHeight="1" x14ac:dyDescent="0.45">
      <c r="A54" s="144" t="s">
        <v>445</v>
      </c>
      <c r="B54" s="588">
        <v>89050</v>
      </c>
      <c r="C54" s="144" t="s">
        <v>446</v>
      </c>
      <c r="D54" s="139" t="s">
        <v>450</v>
      </c>
      <c r="E54" s="135">
        <v>44</v>
      </c>
      <c r="F54" s="187" t="s">
        <v>188</v>
      </c>
      <c r="G54" s="383" t="s">
        <v>169</v>
      </c>
      <c r="H54" s="143" t="s">
        <v>186</v>
      </c>
      <c r="I54" s="187" t="s">
        <v>11</v>
      </c>
      <c r="J54" s="159">
        <v>12</v>
      </c>
      <c r="K54" s="20">
        <v>250</v>
      </c>
      <c r="L54" s="178">
        <v>1</v>
      </c>
      <c r="M54" s="156" t="s">
        <v>172</v>
      </c>
      <c r="N54" s="20">
        <f>L54*K54*J54</f>
        <v>3000</v>
      </c>
      <c r="O54" s="20">
        <v>0</v>
      </c>
      <c r="P54" s="20">
        <f>SUM(N54:O54)</f>
        <v>3000</v>
      </c>
      <c r="Q54" s="159">
        <v>12</v>
      </c>
      <c r="R54" s="20">
        <f>K54*$J$6</f>
        <v>257.5</v>
      </c>
      <c r="S54" s="178">
        <v>1</v>
      </c>
      <c r="T54" s="20">
        <f>Q54*R54*S54</f>
        <v>3090</v>
      </c>
      <c r="U54" s="20">
        <v>0</v>
      </c>
      <c r="V54" s="20">
        <f>SUM(T54:U54)</f>
        <v>3090</v>
      </c>
      <c r="W54" s="159">
        <v>12</v>
      </c>
      <c r="X54" s="20">
        <f>K54*$J$6*$J$6</f>
        <v>265.22500000000002</v>
      </c>
      <c r="Y54" s="178">
        <v>1</v>
      </c>
      <c r="Z54" s="20">
        <f>W54*X54*Y54</f>
        <v>3182.7000000000003</v>
      </c>
      <c r="AA54" s="20">
        <v>0</v>
      </c>
      <c r="AB54" s="20">
        <f>SUM(Z54:AA54)</f>
        <v>3182.7000000000003</v>
      </c>
      <c r="AC54" s="159">
        <v>12</v>
      </c>
      <c r="AD54" s="20">
        <f>K54*$J$6*$J$6*$J$6</f>
        <v>273.18175000000002</v>
      </c>
      <c r="AE54" s="178">
        <v>1</v>
      </c>
      <c r="AF54" s="20">
        <f>AC54*AD54*AE54</f>
        <v>3278.1810000000005</v>
      </c>
      <c r="AG54" s="20">
        <v>0</v>
      </c>
      <c r="AH54" s="20">
        <f>SUM(AF54:AG54)</f>
        <v>3278.1810000000005</v>
      </c>
      <c r="AI54" s="159">
        <v>12</v>
      </c>
      <c r="AJ54" s="20">
        <f>K54*$J$6*$J$6*$J$6*$J$6</f>
        <v>281.37720250000001</v>
      </c>
      <c r="AK54" s="178">
        <v>1</v>
      </c>
      <c r="AL54" s="20">
        <f>AI54*AJ54*AK54</f>
        <v>3376.5264299999999</v>
      </c>
      <c r="AM54" s="20">
        <v>0</v>
      </c>
      <c r="AN54" s="20">
        <f>SUM(AL54:AM54)</f>
        <v>3376.5264299999999</v>
      </c>
      <c r="AO54" s="20">
        <f t="shared" ref="AO54:AP57" si="60">N54+T54+Z54+AF54+AL54</f>
        <v>15927.407430000001</v>
      </c>
      <c r="AP54" s="20">
        <f t="shared" si="60"/>
        <v>0</v>
      </c>
      <c r="AQ54" s="20">
        <f>SUM(AO54:AP54)</f>
        <v>15927.407430000001</v>
      </c>
      <c r="AR54" s="147">
        <f>1816.37+1589.97+1953.64+731.23</f>
        <v>6091.2100000000009</v>
      </c>
      <c r="AS54" s="20">
        <v>0</v>
      </c>
      <c r="AT54" s="147">
        <f>793.72+2634.66+10735.95+15047.83+5040.15+10019.69+6705+10952.62+14283.22+6989.35+2473.44+4128.24</f>
        <v>89803.870000000024</v>
      </c>
      <c r="AU54" s="20">
        <v>0</v>
      </c>
      <c r="AV54" s="20">
        <f t="shared" ref="AV54:AW57" si="61">AR54+AT54</f>
        <v>95895.080000000031</v>
      </c>
      <c r="AW54" s="20">
        <f t="shared" si="61"/>
        <v>0</v>
      </c>
      <c r="AX54" s="20">
        <f>AV54+AW54</f>
        <v>95895.080000000031</v>
      </c>
      <c r="AY54" s="20">
        <f>AQ54-AX54</f>
        <v>-79967.672570000024</v>
      </c>
      <c r="AZ54" s="147">
        <f>AQ54-AR54-AS54-AT54-AU54</f>
        <v>-79967.672570000024</v>
      </c>
      <c r="BA54" s="15">
        <f>AY54-AZ54</f>
        <v>0</v>
      </c>
      <c r="BB54" s="248"/>
      <c r="BC54" s="147">
        <v>0</v>
      </c>
      <c r="BD54" s="147"/>
      <c r="BE54" s="147">
        <v>0</v>
      </c>
      <c r="BF54" s="147">
        <f>AA54</f>
        <v>0</v>
      </c>
      <c r="BG54" s="147">
        <f>SUM(BE54:BF54)</f>
        <v>0</v>
      </c>
      <c r="BH54" s="416" t="s">
        <v>189</v>
      </c>
      <c r="BI54" s="248"/>
      <c r="BJ54" s="147">
        <v>0</v>
      </c>
      <c r="BK54" s="147"/>
      <c r="BL54" s="147">
        <v>0</v>
      </c>
      <c r="BM54" s="147">
        <f>AG54</f>
        <v>0</v>
      </c>
      <c r="BN54" s="229">
        <f>SUM(BL54:BM54)</f>
        <v>0</v>
      </c>
      <c r="BO54" s="435"/>
      <c r="BP54" s="147">
        <v>0</v>
      </c>
      <c r="BQ54" s="147"/>
      <c r="BR54" s="147">
        <v>0</v>
      </c>
      <c r="BS54" s="147">
        <f>AM54</f>
        <v>0</v>
      </c>
      <c r="BT54" s="229">
        <v>0</v>
      </c>
      <c r="BU54" s="248"/>
      <c r="BV54" s="147">
        <v>0</v>
      </c>
      <c r="BW54" s="147"/>
      <c r="BX54" s="147">
        <v>0</v>
      </c>
      <c r="BY54" s="147">
        <f>AS54</f>
        <v>0</v>
      </c>
      <c r="BZ54" s="229">
        <v>0</v>
      </c>
      <c r="CA54" s="228">
        <f>BR54+BL54+BE54+BX54</f>
        <v>0</v>
      </c>
      <c r="CB54" s="147">
        <f t="shared" ref="CB54:CB57" si="62">BS54+BM54+BF54</f>
        <v>0</v>
      </c>
      <c r="CC54" s="229">
        <f>CA54+CB54</f>
        <v>0</v>
      </c>
      <c r="CD54" s="23"/>
      <c r="CE54" s="20">
        <f t="shared" ref="CE54:CF57" si="63">AV54+CA54</f>
        <v>95895.080000000031</v>
      </c>
      <c r="CF54" s="20">
        <f t="shared" si="63"/>
        <v>0</v>
      </c>
      <c r="CG54" s="15">
        <f>CE54+CF54</f>
        <v>95895.080000000031</v>
      </c>
      <c r="CH54" s="376">
        <f t="shared" ref="CH54:CJ57" si="64">AO54-CE54</f>
        <v>-79967.672570000024</v>
      </c>
      <c r="CI54" s="377">
        <f t="shared" si="64"/>
        <v>0</v>
      </c>
      <c r="CJ54" s="522">
        <f t="shared" si="64"/>
        <v>-79967.672570000024</v>
      </c>
      <c r="CK54" s="532">
        <f t="shared" si="50"/>
        <v>79968</v>
      </c>
      <c r="CL54" s="533">
        <f t="shared" si="51"/>
        <v>0.32742999997572042</v>
      </c>
      <c r="CM54" s="372"/>
      <c r="CN54" s="372"/>
      <c r="CO54" s="372"/>
      <c r="CP54" s="372"/>
      <c r="CQ54" s="372"/>
      <c r="CR54" s="372"/>
      <c r="CS54" s="372"/>
      <c r="CT54" s="372"/>
      <c r="CU54" s="372"/>
      <c r="CV54" s="372">
        <v>1741</v>
      </c>
      <c r="CW54" s="372">
        <v>2124</v>
      </c>
      <c r="CX54" s="372">
        <v>3398</v>
      </c>
      <c r="CY54" s="372">
        <v>265</v>
      </c>
      <c r="CZ54" s="372">
        <v>12742</v>
      </c>
      <c r="DA54" s="372">
        <v>20387</v>
      </c>
      <c r="DB54" s="372">
        <v>1593</v>
      </c>
      <c r="DC54" s="372">
        <v>7125</v>
      </c>
      <c r="DD54" s="372">
        <v>1567</v>
      </c>
      <c r="DE54" s="372">
        <v>1567</v>
      </c>
      <c r="DF54" s="372">
        <v>3134</v>
      </c>
      <c r="DG54" s="372">
        <v>490</v>
      </c>
      <c r="DH54" s="372">
        <v>208</v>
      </c>
      <c r="DI54" s="372">
        <v>333</v>
      </c>
      <c r="DJ54" s="372">
        <v>666</v>
      </c>
      <c r="DK54" s="372">
        <v>104</v>
      </c>
      <c r="DL54" s="372">
        <v>4604</v>
      </c>
      <c r="DM54" s="372">
        <v>3683</v>
      </c>
      <c r="DN54" s="372">
        <v>7366</v>
      </c>
      <c r="DO54" s="372">
        <v>2302</v>
      </c>
      <c r="DP54" s="372">
        <v>271</v>
      </c>
      <c r="DQ54" s="372">
        <v>433</v>
      </c>
      <c r="DR54" s="372">
        <v>867</v>
      </c>
      <c r="DS54" s="372">
        <v>135</v>
      </c>
      <c r="DT54" s="372"/>
      <c r="DU54" s="372"/>
      <c r="DV54" s="372">
        <v>2863</v>
      </c>
      <c r="DW54" s="372"/>
      <c r="DX54" s="372"/>
      <c r="DY54" s="372"/>
      <c r="DZ54" s="372"/>
      <c r="EA54" s="372"/>
      <c r="EB54" s="372"/>
      <c r="EC54" s="372"/>
      <c r="ED54" s="372"/>
      <c r="EE54" s="372"/>
      <c r="EF54" s="372"/>
      <c r="EG54" s="372"/>
      <c r="EH54" s="372"/>
      <c r="EI54" s="372"/>
      <c r="EJ54" s="372"/>
      <c r="EK54" s="372"/>
      <c r="EL54" s="372"/>
      <c r="EM54" s="372"/>
      <c r="EN54" s="372"/>
      <c r="EO54" s="372"/>
      <c r="EP54" s="372"/>
      <c r="EQ54" s="372"/>
      <c r="ER54" s="372"/>
      <c r="ES54" s="372"/>
    </row>
    <row r="55" spans="1:149" s="126" customFormat="1" ht="19.5" hidden="1" customHeight="1" x14ac:dyDescent="0.45">
      <c r="A55" s="143"/>
      <c r="B55" s="143"/>
      <c r="C55" s="143"/>
      <c r="D55" s="143"/>
      <c r="E55" s="135">
        <v>45</v>
      </c>
      <c r="F55" s="143" t="s">
        <v>79</v>
      </c>
      <c r="G55" s="383" t="s">
        <v>169</v>
      </c>
      <c r="H55" s="143" t="s">
        <v>186</v>
      </c>
      <c r="I55" s="143" t="s">
        <v>11</v>
      </c>
      <c r="J55" s="159">
        <v>12</v>
      </c>
      <c r="K55" s="20">
        <v>40</v>
      </c>
      <c r="L55" s="178">
        <v>5</v>
      </c>
      <c r="M55" s="156" t="s">
        <v>175</v>
      </c>
      <c r="N55" s="20">
        <f>L55*K55*J55</f>
        <v>2400</v>
      </c>
      <c r="O55" s="20">
        <v>0</v>
      </c>
      <c r="P55" s="20">
        <f>SUM(N55:O55)</f>
        <v>2400</v>
      </c>
      <c r="Q55" s="159">
        <v>12</v>
      </c>
      <c r="R55" s="20">
        <f>K55*$J$6</f>
        <v>41.2</v>
      </c>
      <c r="S55" s="178">
        <v>5</v>
      </c>
      <c r="T55" s="20">
        <f>Q55*R55*S55</f>
        <v>2472</v>
      </c>
      <c r="U55" s="20">
        <v>0</v>
      </c>
      <c r="V55" s="20">
        <f>SUM(T55:U55)</f>
        <v>2472</v>
      </c>
      <c r="W55" s="159">
        <v>12</v>
      </c>
      <c r="X55" s="20">
        <f>K55*$J$6*$J$6</f>
        <v>42.436000000000007</v>
      </c>
      <c r="Y55" s="178">
        <v>5</v>
      </c>
      <c r="Z55" s="20">
        <f>W55*X55*Y55</f>
        <v>2546.1600000000003</v>
      </c>
      <c r="AA55" s="20">
        <v>0</v>
      </c>
      <c r="AB55" s="20">
        <f>SUM(Z55:AA55)</f>
        <v>2546.1600000000003</v>
      </c>
      <c r="AC55" s="159">
        <v>12</v>
      </c>
      <c r="AD55" s="20">
        <f>K55*$J$6*$J$6*$J$6</f>
        <v>43.709080000000007</v>
      </c>
      <c r="AE55" s="178">
        <v>5</v>
      </c>
      <c r="AF55" s="20">
        <f>AC55*AD55*AE55</f>
        <v>2622.5448000000006</v>
      </c>
      <c r="AG55" s="20">
        <v>0</v>
      </c>
      <c r="AH55" s="20">
        <f>SUM(AF55:AG55)</f>
        <v>2622.5448000000006</v>
      </c>
      <c r="AI55" s="159">
        <v>12</v>
      </c>
      <c r="AJ55" s="20">
        <f>K55*$J$6*$J$6*$J$6*$J$6</f>
        <v>45.020352400000007</v>
      </c>
      <c r="AK55" s="178">
        <v>5</v>
      </c>
      <c r="AL55" s="20">
        <f>AI55*AJ55*AK55</f>
        <v>2701.2211440000005</v>
      </c>
      <c r="AM55" s="20">
        <v>0</v>
      </c>
      <c r="AN55" s="20">
        <f>SUM(AL55:AM55)</f>
        <v>2701.2211440000005</v>
      </c>
      <c r="AO55" s="20">
        <f t="shared" si="60"/>
        <v>12741.925944000001</v>
      </c>
      <c r="AP55" s="20">
        <f t="shared" si="60"/>
        <v>0</v>
      </c>
      <c r="AQ55" s="20">
        <f>SUM(AO55:AP55)</f>
        <v>12741.925944000001</v>
      </c>
      <c r="AR55" s="147">
        <v>0</v>
      </c>
      <c r="AS55" s="20">
        <v>0</v>
      </c>
      <c r="AT55" s="147">
        <v>0</v>
      </c>
      <c r="AU55" s="20">
        <v>0</v>
      </c>
      <c r="AV55" s="20">
        <f t="shared" si="61"/>
        <v>0</v>
      </c>
      <c r="AW55" s="20">
        <f t="shared" si="61"/>
        <v>0</v>
      </c>
      <c r="AX55" s="20">
        <f>AV55+AW55</f>
        <v>0</v>
      </c>
      <c r="AY55" s="20">
        <f>AQ55-AX55</f>
        <v>12741.925944000001</v>
      </c>
      <c r="AZ55" s="147">
        <f>AQ55-AR55-AS55-AT55-AU55</f>
        <v>12741.925944000001</v>
      </c>
      <c r="BA55" s="15">
        <f>AY55-AZ55</f>
        <v>0</v>
      </c>
      <c r="BB55" s="248"/>
      <c r="BC55" s="147">
        <v>0</v>
      </c>
      <c r="BD55" s="147"/>
      <c r="BE55" s="147">
        <v>0</v>
      </c>
      <c r="BF55" s="147">
        <f>AA55</f>
        <v>0</v>
      </c>
      <c r="BG55" s="147">
        <f>SUM(BE55:BF55)</f>
        <v>0</v>
      </c>
      <c r="BH55" s="416" t="s">
        <v>190</v>
      </c>
      <c r="BI55" s="248"/>
      <c r="BJ55" s="147">
        <v>0</v>
      </c>
      <c r="BK55" s="147"/>
      <c r="BL55" s="147">
        <v>0</v>
      </c>
      <c r="BM55" s="147">
        <f>AG55</f>
        <v>0</v>
      </c>
      <c r="BN55" s="229">
        <f>SUM(BL55:BM55)</f>
        <v>0</v>
      </c>
      <c r="BO55" s="435"/>
      <c r="BP55" s="147">
        <v>0</v>
      </c>
      <c r="BQ55" s="147"/>
      <c r="BR55" s="147">
        <v>0</v>
      </c>
      <c r="BS55" s="147">
        <f>AM55</f>
        <v>0</v>
      </c>
      <c r="BT55" s="229">
        <v>0</v>
      </c>
      <c r="BU55" s="248"/>
      <c r="BV55" s="147">
        <v>0</v>
      </c>
      <c r="BW55" s="147"/>
      <c r="BX55" s="147">
        <v>0</v>
      </c>
      <c r="BY55" s="147">
        <f>AS55</f>
        <v>0</v>
      </c>
      <c r="BZ55" s="229">
        <v>0</v>
      </c>
      <c r="CA55" s="228">
        <f>BR55+BL55+BE55+BX55</f>
        <v>0</v>
      </c>
      <c r="CB55" s="147">
        <f t="shared" si="62"/>
        <v>0</v>
      </c>
      <c r="CC55" s="229">
        <f t="shared" ref="CC55:CC57" si="65">CA55+CB55</f>
        <v>0</v>
      </c>
      <c r="CD55" s="23"/>
      <c r="CE55" s="20">
        <f t="shared" si="63"/>
        <v>0</v>
      </c>
      <c r="CF55" s="20">
        <f t="shared" si="63"/>
        <v>0</v>
      </c>
      <c r="CG55" s="15">
        <f>CE55+CF55</f>
        <v>0</v>
      </c>
      <c r="CH55" s="376">
        <f t="shared" si="64"/>
        <v>12741.925944000001</v>
      </c>
      <c r="CI55" s="377">
        <f t="shared" si="64"/>
        <v>0</v>
      </c>
      <c r="CJ55" s="522">
        <f t="shared" si="64"/>
        <v>12741.925944000001</v>
      </c>
      <c r="CK55" s="532">
        <f t="shared" si="50"/>
        <v>-12742</v>
      </c>
      <c r="CL55" s="533">
        <f t="shared" si="51"/>
        <v>-7.4055999999472988E-2</v>
      </c>
      <c r="CM55" s="372"/>
      <c r="CN55" s="372"/>
      <c r="CO55" s="372"/>
      <c r="CP55" s="372"/>
      <c r="CQ55" s="372"/>
      <c r="CR55" s="372"/>
      <c r="CS55" s="372"/>
      <c r="CT55" s="372"/>
      <c r="CU55" s="372"/>
      <c r="CV55" s="372"/>
      <c r="CW55" s="372"/>
      <c r="CX55" s="372"/>
      <c r="CY55" s="372"/>
      <c r="CZ55" s="372">
        <v>-12742</v>
      </c>
      <c r="DA55" s="372"/>
      <c r="DB55" s="372"/>
      <c r="DC55" s="372"/>
      <c r="DD55" s="372"/>
      <c r="DE55" s="372"/>
      <c r="DF55" s="372"/>
      <c r="DG55" s="372"/>
      <c r="DH55" s="372"/>
      <c r="DI55" s="372"/>
      <c r="DJ55" s="372"/>
      <c r="DK55" s="372"/>
      <c r="DL55" s="372"/>
      <c r="DM55" s="372"/>
      <c r="DN55" s="372"/>
      <c r="DO55" s="372"/>
      <c r="DP55" s="372"/>
      <c r="DQ55" s="372"/>
      <c r="DR55" s="372"/>
      <c r="DS55" s="372"/>
      <c r="DT55" s="372"/>
      <c r="DU55" s="372"/>
      <c r="DV55" s="372"/>
      <c r="DW55" s="372"/>
      <c r="DX55" s="372"/>
      <c r="DY55" s="372"/>
      <c r="DZ55" s="372"/>
      <c r="EA55" s="372"/>
      <c r="EB55" s="372"/>
      <c r="EC55" s="372"/>
      <c r="ED55" s="372"/>
      <c r="EE55" s="372"/>
      <c r="EF55" s="372"/>
      <c r="EG55" s="372"/>
      <c r="EH55" s="372"/>
      <c r="EI55" s="372"/>
      <c r="EJ55" s="372"/>
      <c r="EK55" s="372"/>
      <c r="EL55" s="372"/>
      <c r="EM55" s="372"/>
      <c r="EN55" s="372"/>
      <c r="EO55" s="372"/>
      <c r="EP55" s="372"/>
      <c r="EQ55" s="372"/>
      <c r="ER55" s="372"/>
      <c r="ES55" s="372"/>
    </row>
    <row r="56" spans="1:149" s="126" customFormat="1" ht="19.5" hidden="1" customHeight="1" x14ac:dyDescent="0.45">
      <c r="A56" s="143"/>
      <c r="B56" s="143"/>
      <c r="C56" s="143"/>
      <c r="D56" s="143"/>
      <c r="E56" s="143">
        <v>46</v>
      </c>
      <c r="F56" s="143" t="s">
        <v>80</v>
      </c>
      <c r="G56" s="383" t="s">
        <v>169</v>
      </c>
      <c r="H56" s="143" t="s">
        <v>186</v>
      </c>
      <c r="I56" s="143" t="s">
        <v>11</v>
      </c>
      <c r="J56" s="159">
        <v>12</v>
      </c>
      <c r="K56" s="20">
        <v>80</v>
      </c>
      <c r="L56" s="178">
        <v>4</v>
      </c>
      <c r="M56" s="156" t="s">
        <v>175</v>
      </c>
      <c r="N56" s="20">
        <f>L56*K56*J56</f>
        <v>3840</v>
      </c>
      <c r="O56" s="20">
        <v>0</v>
      </c>
      <c r="P56" s="20">
        <f>SUM(N56:O56)</f>
        <v>3840</v>
      </c>
      <c r="Q56" s="159">
        <v>12</v>
      </c>
      <c r="R56" s="20">
        <f>K56*$J$6</f>
        <v>82.4</v>
      </c>
      <c r="S56" s="178">
        <v>4</v>
      </c>
      <c r="T56" s="20">
        <f>Q56*R56*S56</f>
        <v>3955.2000000000003</v>
      </c>
      <c r="U56" s="20">
        <v>0</v>
      </c>
      <c r="V56" s="20">
        <f>SUM(T56:U56)</f>
        <v>3955.2000000000003</v>
      </c>
      <c r="W56" s="159">
        <v>12</v>
      </c>
      <c r="X56" s="20">
        <f>K56*$J$6*$J$6</f>
        <v>84.872000000000014</v>
      </c>
      <c r="Y56" s="178">
        <v>4</v>
      </c>
      <c r="Z56" s="20">
        <f>W56*X56*Y56</f>
        <v>4073.8560000000007</v>
      </c>
      <c r="AA56" s="20">
        <v>0</v>
      </c>
      <c r="AB56" s="20">
        <f>SUM(Z56:AA56)</f>
        <v>4073.8560000000007</v>
      </c>
      <c r="AC56" s="159">
        <v>12</v>
      </c>
      <c r="AD56" s="20">
        <f>K56*$J$6*$J$6*$J$6</f>
        <v>87.418160000000015</v>
      </c>
      <c r="AE56" s="178">
        <v>4</v>
      </c>
      <c r="AF56" s="20">
        <f>AC56*AD56*AE56</f>
        <v>4196.0716800000009</v>
      </c>
      <c r="AG56" s="20">
        <v>0</v>
      </c>
      <c r="AH56" s="20">
        <f>SUM(AF56:AG56)</f>
        <v>4196.0716800000009</v>
      </c>
      <c r="AI56" s="159">
        <v>12</v>
      </c>
      <c r="AJ56" s="20">
        <f>K56*$J$6*$J$6*$J$6*$J$6</f>
        <v>90.040704800000015</v>
      </c>
      <c r="AK56" s="178">
        <v>4</v>
      </c>
      <c r="AL56" s="20">
        <f>AI56*AJ56*AK56</f>
        <v>4321.9538304000007</v>
      </c>
      <c r="AM56" s="20">
        <v>0</v>
      </c>
      <c r="AN56" s="20">
        <f>SUM(AL56:AM56)</f>
        <v>4321.9538304000007</v>
      </c>
      <c r="AO56" s="20">
        <f t="shared" si="60"/>
        <v>20387.081510400003</v>
      </c>
      <c r="AP56" s="20">
        <f t="shared" si="60"/>
        <v>0</v>
      </c>
      <c r="AQ56" s="20">
        <f>SUM(AO56:AP56)</f>
        <v>20387.081510400003</v>
      </c>
      <c r="AR56" s="147">
        <v>0</v>
      </c>
      <c r="AS56" s="20">
        <v>0</v>
      </c>
      <c r="AT56" s="147">
        <v>0</v>
      </c>
      <c r="AU56" s="20">
        <v>0</v>
      </c>
      <c r="AV56" s="20">
        <f t="shared" si="61"/>
        <v>0</v>
      </c>
      <c r="AW56" s="20">
        <f t="shared" si="61"/>
        <v>0</v>
      </c>
      <c r="AX56" s="20">
        <f>AV56+AW56</f>
        <v>0</v>
      </c>
      <c r="AY56" s="20">
        <f>AQ56-AX56</f>
        <v>20387.081510400003</v>
      </c>
      <c r="AZ56" s="147">
        <f>AQ56-AR56-AS56-AT56-AU56</f>
        <v>20387.081510400003</v>
      </c>
      <c r="BA56" s="15">
        <f>AY56-AZ56</f>
        <v>0</v>
      </c>
      <c r="BB56" s="248"/>
      <c r="BC56" s="147">
        <v>0</v>
      </c>
      <c r="BD56" s="147"/>
      <c r="BE56" s="147">
        <v>0</v>
      </c>
      <c r="BF56" s="147">
        <f>AA56</f>
        <v>0</v>
      </c>
      <c r="BG56" s="147">
        <f>SUM(BE56:BF56)</f>
        <v>0</v>
      </c>
      <c r="BH56" s="416" t="s">
        <v>191</v>
      </c>
      <c r="BI56" s="248"/>
      <c r="BJ56" s="147">
        <v>0</v>
      </c>
      <c r="BK56" s="147"/>
      <c r="BL56" s="147">
        <v>0</v>
      </c>
      <c r="BM56" s="147">
        <f>AG56</f>
        <v>0</v>
      </c>
      <c r="BN56" s="229">
        <f>SUM(BL56:BM56)</f>
        <v>0</v>
      </c>
      <c r="BO56" s="435"/>
      <c r="BP56" s="147">
        <v>0</v>
      </c>
      <c r="BQ56" s="147"/>
      <c r="BR56" s="147">
        <v>0</v>
      </c>
      <c r="BS56" s="147">
        <f>AM56</f>
        <v>0</v>
      </c>
      <c r="BT56" s="229">
        <f>BS56+BR56</f>
        <v>0</v>
      </c>
      <c r="BU56" s="248"/>
      <c r="BV56" s="147">
        <v>0</v>
      </c>
      <c r="BW56" s="147"/>
      <c r="BX56" s="147">
        <v>0</v>
      </c>
      <c r="BY56" s="147">
        <f>AS56</f>
        <v>0</v>
      </c>
      <c r="BZ56" s="229">
        <f>BY56+BX56</f>
        <v>0</v>
      </c>
      <c r="CA56" s="228">
        <f>BR56+BL56+BE56+BX56</f>
        <v>0</v>
      </c>
      <c r="CB56" s="147">
        <f t="shared" si="62"/>
        <v>0</v>
      </c>
      <c r="CC56" s="229">
        <f t="shared" si="65"/>
        <v>0</v>
      </c>
      <c r="CD56" s="23"/>
      <c r="CE56" s="20">
        <f t="shared" si="63"/>
        <v>0</v>
      </c>
      <c r="CF56" s="20">
        <f t="shared" si="63"/>
        <v>0</v>
      </c>
      <c r="CG56" s="15">
        <f>CE56+CF56</f>
        <v>0</v>
      </c>
      <c r="CH56" s="376">
        <f t="shared" si="64"/>
        <v>20387.081510400003</v>
      </c>
      <c r="CI56" s="377">
        <f t="shared" si="64"/>
        <v>0</v>
      </c>
      <c r="CJ56" s="522">
        <f t="shared" si="64"/>
        <v>20387.081510400003</v>
      </c>
      <c r="CK56" s="532">
        <f t="shared" si="50"/>
        <v>-20387</v>
      </c>
      <c r="CL56" s="533">
        <f t="shared" si="51"/>
        <v>8.1510400003026007E-2</v>
      </c>
      <c r="CM56" s="372"/>
      <c r="CN56" s="372"/>
      <c r="CO56" s="372"/>
      <c r="CP56" s="372"/>
      <c r="CQ56" s="372"/>
      <c r="CR56" s="372"/>
      <c r="CS56" s="372"/>
      <c r="CT56" s="372"/>
      <c r="CU56" s="372"/>
      <c r="CV56" s="372"/>
      <c r="CW56" s="372"/>
      <c r="CX56" s="372"/>
      <c r="CY56" s="372"/>
      <c r="CZ56" s="372"/>
      <c r="DA56" s="372">
        <v>-20387</v>
      </c>
      <c r="DB56" s="372"/>
      <c r="DC56" s="372"/>
      <c r="DD56" s="372"/>
      <c r="DE56" s="372"/>
      <c r="DF56" s="372"/>
      <c r="DG56" s="372"/>
      <c r="DH56" s="372"/>
      <c r="DI56" s="372"/>
      <c r="DJ56" s="372"/>
      <c r="DK56" s="372"/>
      <c r="DL56" s="372"/>
      <c r="DM56" s="372"/>
      <c r="DN56" s="372"/>
      <c r="DO56" s="372"/>
      <c r="DP56" s="372"/>
      <c r="DQ56" s="372"/>
      <c r="DR56" s="372"/>
      <c r="DS56" s="372"/>
      <c r="DT56" s="372"/>
      <c r="DU56" s="372"/>
      <c r="DV56" s="372"/>
      <c r="DW56" s="372"/>
      <c r="DX56" s="372"/>
      <c r="DY56" s="372"/>
      <c r="DZ56" s="372"/>
      <c r="EA56" s="372"/>
      <c r="EB56" s="372"/>
      <c r="EC56" s="372"/>
      <c r="ED56" s="372"/>
      <c r="EE56" s="372"/>
      <c r="EF56" s="372"/>
      <c r="EG56" s="372"/>
      <c r="EH56" s="372"/>
      <c r="EI56" s="372"/>
      <c r="EJ56" s="372"/>
      <c r="EK56" s="372"/>
      <c r="EL56" s="372"/>
      <c r="EM56" s="372"/>
      <c r="EN56" s="372"/>
      <c r="EO56" s="372"/>
      <c r="EP56" s="372"/>
      <c r="EQ56" s="372"/>
      <c r="ER56" s="372"/>
      <c r="ES56" s="372"/>
    </row>
    <row r="57" spans="1:149" s="126" customFormat="1" ht="19.5" hidden="1" customHeight="1" x14ac:dyDescent="0.45">
      <c r="A57" s="143"/>
      <c r="B57" s="143"/>
      <c r="C57" s="143"/>
      <c r="D57" s="143"/>
      <c r="E57" s="143">
        <v>47</v>
      </c>
      <c r="F57" s="143" t="s">
        <v>81</v>
      </c>
      <c r="G57" s="383" t="s">
        <v>169</v>
      </c>
      <c r="H57" s="143" t="s">
        <v>186</v>
      </c>
      <c r="I57" s="143" t="s">
        <v>11</v>
      </c>
      <c r="J57" s="159">
        <v>12</v>
      </c>
      <c r="K57" s="20">
        <v>25</v>
      </c>
      <c r="L57" s="178">
        <v>1</v>
      </c>
      <c r="M57" s="156" t="s">
        <v>172</v>
      </c>
      <c r="N57" s="20">
        <f>L57*K57*J57</f>
        <v>300</v>
      </c>
      <c r="O57" s="20">
        <v>0</v>
      </c>
      <c r="P57" s="20">
        <f>SUM(N57:O57)</f>
        <v>300</v>
      </c>
      <c r="Q57" s="159">
        <v>12</v>
      </c>
      <c r="R57" s="20">
        <f>K57*$J$6</f>
        <v>25.75</v>
      </c>
      <c r="S57" s="178">
        <v>1</v>
      </c>
      <c r="T57" s="20">
        <f>Q57*R57*S57</f>
        <v>309</v>
      </c>
      <c r="U57" s="20">
        <v>0</v>
      </c>
      <c r="V57" s="20">
        <f>SUM(T57:U57)</f>
        <v>309</v>
      </c>
      <c r="W57" s="159">
        <v>12</v>
      </c>
      <c r="X57" s="20">
        <f>K57*$J$6*$J$6</f>
        <v>26.522500000000001</v>
      </c>
      <c r="Y57" s="178">
        <v>1</v>
      </c>
      <c r="Z57" s="20">
        <f>W57*X57*Y57</f>
        <v>318.27</v>
      </c>
      <c r="AA57" s="20">
        <v>0</v>
      </c>
      <c r="AB57" s="20">
        <f>SUM(Z57:AA57)</f>
        <v>318.27</v>
      </c>
      <c r="AC57" s="159">
        <v>12</v>
      </c>
      <c r="AD57" s="20">
        <f>K57*$J$6*$J$6*$J$6</f>
        <v>27.318175</v>
      </c>
      <c r="AE57" s="178">
        <v>1</v>
      </c>
      <c r="AF57" s="20">
        <f>AC57*AD57*AE57</f>
        <v>327.81810000000002</v>
      </c>
      <c r="AG57" s="20">
        <v>0</v>
      </c>
      <c r="AH57" s="20">
        <f>SUM(AF57:AG57)</f>
        <v>327.81810000000002</v>
      </c>
      <c r="AI57" s="159">
        <v>12</v>
      </c>
      <c r="AJ57" s="20">
        <f>K57*$J$6*$J$6*$J$6*$J$6</f>
        <v>28.137720250000001</v>
      </c>
      <c r="AK57" s="178">
        <v>1</v>
      </c>
      <c r="AL57" s="20">
        <f>AI57*AJ57*AK57</f>
        <v>337.65264300000001</v>
      </c>
      <c r="AM57" s="20">
        <v>0</v>
      </c>
      <c r="AN57" s="20">
        <f>SUM(AL57:AM57)</f>
        <v>337.65264300000001</v>
      </c>
      <c r="AO57" s="20">
        <f t="shared" si="60"/>
        <v>1592.7407429999998</v>
      </c>
      <c r="AP57" s="20">
        <f t="shared" si="60"/>
        <v>0</v>
      </c>
      <c r="AQ57" s="20">
        <f>SUM(AO57:AP57)</f>
        <v>1592.7407429999998</v>
      </c>
      <c r="AR57" s="147">
        <v>0</v>
      </c>
      <c r="AS57" s="20">
        <v>0</v>
      </c>
      <c r="AT57" s="147">
        <v>0</v>
      </c>
      <c r="AU57" s="20">
        <v>0</v>
      </c>
      <c r="AV57" s="20">
        <f t="shared" si="61"/>
        <v>0</v>
      </c>
      <c r="AW57" s="20">
        <f t="shared" si="61"/>
        <v>0</v>
      </c>
      <c r="AX57" s="20">
        <f>AV57+AW57</f>
        <v>0</v>
      </c>
      <c r="AY57" s="20">
        <f>AQ57-AX57</f>
        <v>1592.7407429999998</v>
      </c>
      <c r="AZ57" s="147">
        <f>AQ57-AR57-AS57-AT57-AU57</f>
        <v>1592.7407429999998</v>
      </c>
      <c r="BA57" s="15">
        <f>AY57-AZ57</f>
        <v>0</v>
      </c>
      <c r="BB57" s="248"/>
      <c r="BC57" s="147">
        <v>0</v>
      </c>
      <c r="BD57" s="147"/>
      <c r="BE57" s="147">
        <v>0</v>
      </c>
      <c r="BF57" s="147">
        <f>AA57</f>
        <v>0</v>
      </c>
      <c r="BG57" s="147">
        <f>SUM(BE57:BF57)</f>
        <v>0</v>
      </c>
      <c r="BH57" s="416" t="s">
        <v>192</v>
      </c>
      <c r="BI57" s="248"/>
      <c r="BJ57" s="147">
        <v>0</v>
      </c>
      <c r="BK57" s="147"/>
      <c r="BL57" s="147">
        <v>0</v>
      </c>
      <c r="BM57" s="147">
        <f>AG57</f>
        <v>0</v>
      </c>
      <c r="BN57" s="229">
        <f>SUM(BL57:BM57)</f>
        <v>0</v>
      </c>
      <c r="BO57" s="435"/>
      <c r="BP57" s="147">
        <v>0</v>
      </c>
      <c r="BQ57" s="147"/>
      <c r="BR57" s="147">
        <v>0</v>
      </c>
      <c r="BS57" s="147">
        <f>AM57</f>
        <v>0</v>
      </c>
      <c r="BT57" s="229">
        <f>BS57+BR57</f>
        <v>0</v>
      </c>
      <c r="BU57" s="248"/>
      <c r="BV57" s="147">
        <v>0</v>
      </c>
      <c r="BW57" s="147"/>
      <c r="BX57" s="147">
        <v>0</v>
      </c>
      <c r="BY57" s="147">
        <f>AS57</f>
        <v>0</v>
      </c>
      <c r="BZ57" s="229">
        <f>BY57+BX57</f>
        <v>0</v>
      </c>
      <c r="CA57" s="228">
        <f>BR57+BL57+BE57+BX57</f>
        <v>0</v>
      </c>
      <c r="CB57" s="147">
        <f t="shared" si="62"/>
        <v>0</v>
      </c>
      <c r="CC57" s="229">
        <f t="shared" si="65"/>
        <v>0</v>
      </c>
      <c r="CD57" s="23"/>
      <c r="CE57" s="20">
        <f t="shared" si="63"/>
        <v>0</v>
      </c>
      <c r="CF57" s="20">
        <f t="shared" si="63"/>
        <v>0</v>
      </c>
      <c r="CG57" s="15">
        <f>CE57+CF57</f>
        <v>0</v>
      </c>
      <c r="CH57" s="376">
        <f t="shared" si="64"/>
        <v>1592.7407429999998</v>
      </c>
      <c r="CI57" s="377">
        <f t="shared" si="64"/>
        <v>0</v>
      </c>
      <c r="CJ57" s="522">
        <f t="shared" si="64"/>
        <v>1592.7407429999998</v>
      </c>
      <c r="CK57" s="532">
        <f t="shared" si="50"/>
        <v>-1593</v>
      </c>
      <c r="CL57" s="533">
        <f t="shared" si="51"/>
        <v>-0.2592570000001615</v>
      </c>
      <c r="CM57" s="372"/>
      <c r="CN57" s="372"/>
      <c r="CO57" s="372"/>
      <c r="CP57" s="372"/>
      <c r="CQ57" s="372"/>
      <c r="CR57" s="372"/>
      <c r="CS57" s="372"/>
      <c r="CT57" s="372"/>
      <c r="CU57" s="372"/>
      <c r="CV57" s="372"/>
      <c r="CW57" s="372"/>
      <c r="CX57" s="372"/>
      <c r="CY57" s="372"/>
      <c r="CZ57" s="372"/>
      <c r="DA57" s="372"/>
      <c r="DB57" s="372">
        <v>-1593</v>
      </c>
      <c r="DC57" s="372"/>
      <c r="DD57" s="372"/>
      <c r="DE57" s="372"/>
      <c r="DF57" s="372"/>
      <c r="DG57" s="372"/>
      <c r="DH57" s="372"/>
      <c r="DI57" s="372"/>
      <c r="DJ57" s="372"/>
      <c r="DK57" s="372"/>
      <c r="DL57" s="372"/>
      <c r="DM57" s="372"/>
      <c r="DN57" s="372"/>
      <c r="DO57" s="372"/>
      <c r="DP57" s="372"/>
      <c r="DQ57" s="372"/>
      <c r="DR57" s="372"/>
      <c r="DS57" s="372"/>
      <c r="DT57" s="372"/>
      <c r="DU57" s="372"/>
      <c r="DV57" s="372"/>
      <c r="DW57" s="372"/>
      <c r="DX57" s="372"/>
      <c r="DY57" s="372"/>
      <c r="DZ57" s="372"/>
      <c r="EA57" s="372"/>
      <c r="EB57" s="372"/>
      <c r="EC57" s="372"/>
      <c r="ED57" s="372"/>
      <c r="EE57" s="372"/>
      <c r="EF57" s="372"/>
      <c r="EG57" s="372"/>
      <c r="EH57" s="372"/>
      <c r="EI57" s="372"/>
      <c r="EJ57" s="372"/>
      <c r="EK57" s="372"/>
      <c r="EL57" s="372"/>
      <c r="EM57" s="372"/>
      <c r="EN57" s="372"/>
      <c r="EO57" s="372"/>
      <c r="EP57" s="372"/>
      <c r="EQ57" s="372"/>
      <c r="ER57" s="372"/>
      <c r="ES57" s="372"/>
    </row>
    <row r="58" spans="1:149" s="126" customFormat="1" ht="19.5" hidden="1" customHeight="1" x14ac:dyDescent="0.45">
      <c r="A58" s="150"/>
      <c r="B58" s="150"/>
      <c r="C58" s="150"/>
      <c r="D58" s="150"/>
      <c r="E58" s="148">
        <v>48</v>
      </c>
      <c r="F58" s="150" t="s">
        <v>193</v>
      </c>
      <c r="G58" s="175"/>
      <c r="H58" s="150"/>
      <c r="I58" s="150"/>
      <c r="J58" s="143"/>
      <c r="K58" s="178"/>
      <c r="L58" s="143"/>
      <c r="M58" s="143"/>
      <c r="N58" s="20"/>
      <c r="O58" s="20"/>
      <c r="P58" s="20"/>
      <c r="Q58" s="143"/>
      <c r="R58" s="143"/>
      <c r="S58" s="143"/>
      <c r="T58" s="20"/>
      <c r="U58" s="20"/>
      <c r="V58" s="20"/>
      <c r="W58" s="143"/>
      <c r="X58" s="143"/>
      <c r="Y58" s="143"/>
      <c r="Z58" s="20"/>
      <c r="AA58" s="20"/>
      <c r="AB58" s="20"/>
      <c r="AC58" s="143"/>
      <c r="AD58" s="143"/>
      <c r="AE58" s="143"/>
      <c r="AF58" s="20"/>
      <c r="AG58" s="20"/>
      <c r="AH58" s="20"/>
      <c r="AI58" s="143"/>
      <c r="AJ58" s="143"/>
      <c r="AK58" s="143"/>
      <c r="AL58" s="20"/>
      <c r="AM58" s="20"/>
      <c r="AN58" s="20"/>
      <c r="AO58" s="20"/>
      <c r="AP58" s="20"/>
      <c r="AQ58" s="20"/>
      <c r="AR58" s="20"/>
      <c r="AS58" s="20"/>
      <c r="AT58" s="20"/>
      <c r="AU58" s="20"/>
      <c r="AV58" s="20"/>
      <c r="AW58" s="20"/>
      <c r="AX58" s="20"/>
      <c r="AY58" s="20"/>
      <c r="AZ58" s="20"/>
      <c r="BA58" s="15"/>
      <c r="BB58" s="250"/>
      <c r="BC58" s="150"/>
      <c r="BD58" s="150"/>
      <c r="BE58" s="147"/>
      <c r="BF58" s="147"/>
      <c r="BG58" s="147"/>
      <c r="BH58" s="407"/>
      <c r="BI58" s="250"/>
      <c r="BJ58" s="150"/>
      <c r="BK58" s="150"/>
      <c r="BL58" s="147"/>
      <c r="BM58" s="147"/>
      <c r="BN58" s="229"/>
      <c r="BO58" s="437"/>
      <c r="BP58" s="150"/>
      <c r="BQ58" s="150"/>
      <c r="BR58" s="147"/>
      <c r="BS58" s="147"/>
      <c r="BT58" s="229"/>
      <c r="BU58" s="250"/>
      <c r="BV58" s="150"/>
      <c r="BW58" s="150"/>
      <c r="BX58" s="147"/>
      <c r="BY58" s="147"/>
      <c r="BZ58" s="229"/>
      <c r="CA58" s="228"/>
      <c r="CB58" s="147"/>
      <c r="CC58" s="229"/>
      <c r="CD58" s="23"/>
      <c r="CE58" s="20"/>
      <c r="CF58" s="20"/>
      <c r="CG58" s="15"/>
      <c r="CH58" s="217"/>
      <c r="CI58" s="20"/>
      <c r="CJ58" s="15"/>
      <c r="CK58" s="532">
        <f t="shared" si="50"/>
        <v>0</v>
      </c>
      <c r="CL58" s="533">
        <f t="shared" si="51"/>
        <v>0</v>
      </c>
      <c r="CM58" s="372"/>
      <c r="CN58" s="372"/>
      <c r="CO58" s="372"/>
      <c r="CP58" s="372"/>
      <c r="CQ58" s="372"/>
      <c r="CR58" s="372"/>
      <c r="CS58" s="372"/>
      <c r="CT58" s="372"/>
      <c r="CU58" s="372"/>
      <c r="CV58" s="372"/>
      <c r="CW58" s="372"/>
      <c r="CX58" s="372"/>
      <c r="CY58" s="372"/>
      <c r="CZ58" s="372"/>
      <c r="DA58" s="372"/>
      <c r="DB58" s="372"/>
      <c r="DC58" s="372"/>
      <c r="DD58" s="372"/>
      <c r="DE58" s="372"/>
      <c r="DF58" s="372"/>
      <c r="DG58" s="372"/>
      <c r="DH58" s="372"/>
      <c r="DI58" s="372"/>
      <c r="DJ58" s="372"/>
      <c r="DK58" s="372"/>
      <c r="DL58" s="372"/>
      <c r="DM58" s="372"/>
      <c r="DN58" s="372"/>
      <c r="DO58" s="372"/>
      <c r="DP58" s="372"/>
      <c r="DQ58" s="372"/>
      <c r="DR58" s="372"/>
      <c r="DS58" s="372"/>
      <c r="DT58" s="372"/>
      <c r="DU58" s="372"/>
      <c r="DV58" s="372"/>
      <c r="DW58" s="372"/>
      <c r="DX58" s="372"/>
      <c r="DY58" s="372"/>
      <c r="DZ58" s="372"/>
      <c r="EA58" s="372"/>
      <c r="EB58" s="372"/>
      <c r="EC58" s="372"/>
      <c r="ED58" s="372"/>
      <c r="EE58" s="372"/>
      <c r="EF58" s="372"/>
      <c r="EG58" s="372"/>
      <c r="EH58" s="372"/>
      <c r="EI58" s="372"/>
      <c r="EJ58" s="372"/>
      <c r="EK58" s="372"/>
      <c r="EL58" s="372"/>
      <c r="EM58" s="372"/>
      <c r="EN58" s="372"/>
      <c r="EO58" s="372"/>
      <c r="EP58" s="372"/>
      <c r="EQ58" s="372"/>
      <c r="ER58" s="372"/>
      <c r="ES58" s="372"/>
    </row>
    <row r="59" spans="1:149" s="126" customFormat="1" ht="19.5" hidden="1" customHeight="1" x14ac:dyDescent="0.45">
      <c r="A59" s="143"/>
      <c r="B59" s="143"/>
      <c r="C59" s="143"/>
      <c r="D59" s="143"/>
      <c r="E59" s="135">
        <v>49</v>
      </c>
      <c r="F59" s="143" t="s">
        <v>82</v>
      </c>
      <c r="G59" s="383" t="s">
        <v>169</v>
      </c>
      <c r="H59" s="143" t="s">
        <v>186</v>
      </c>
      <c r="I59" s="143" t="s">
        <v>11</v>
      </c>
      <c r="J59" s="159">
        <v>6</v>
      </c>
      <c r="K59" s="20">
        <f>300</f>
        <v>300</v>
      </c>
      <c r="L59" s="178">
        <v>1</v>
      </c>
      <c r="M59" s="156" t="s">
        <v>194</v>
      </c>
      <c r="N59" s="20">
        <f>L59*K59*J59</f>
        <v>1800</v>
      </c>
      <c r="O59" s="20">
        <v>0</v>
      </c>
      <c r="P59" s="20">
        <f>SUM(N59:O59)</f>
        <v>1800</v>
      </c>
      <c r="Q59" s="159">
        <v>12</v>
      </c>
      <c r="R59" s="20">
        <f>K59*$J$7</f>
        <v>312</v>
      </c>
      <c r="S59" s="178">
        <v>1</v>
      </c>
      <c r="T59" s="20">
        <f>Q59*R59*S59</f>
        <v>3744</v>
      </c>
      <c r="U59" s="20">
        <v>0</v>
      </c>
      <c r="V59" s="20">
        <f>SUM(T59:U59)</f>
        <v>3744</v>
      </c>
      <c r="W59" s="159">
        <v>12</v>
      </c>
      <c r="X59" s="20">
        <f>K59*$J$7*$J$7</f>
        <v>324.48</v>
      </c>
      <c r="Y59" s="178">
        <v>1</v>
      </c>
      <c r="Z59" s="20">
        <f>W59*X59*Y59</f>
        <v>3893.76</v>
      </c>
      <c r="AA59" s="20">
        <v>0</v>
      </c>
      <c r="AB59" s="20">
        <f>SUM(Z59:AA59)</f>
        <v>3893.76</v>
      </c>
      <c r="AC59" s="159">
        <v>12</v>
      </c>
      <c r="AD59" s="20">
        <f>K59*$J$7*$J$7*$J$7</f>
        <v>337.45920000000001</v>
      </c>
      <c r="AE59" s="178">
        <v>1</v>
      </c>
      <c r="AF59" s="20">
        <f>AC59*AD59*AE59</f>
        <v>4049.5104000000001</v>
      </c>
      <c r="AG59" s="20">
        <v>0</v>
      </c>
      <c r="AH59" s="20">
        <f>SUM(AF59:AG59)</f>
        <v>4049.5104000000001</v>
      </c>
      <c r="AI59" s="159">
        <v>9</v>
      </c>
      <c r="AJ59" s="20">
        <f>K59*$J$7*$J$7*$J$7*$J$7</f>
        <v>350.95756800000004</v>
      </c>
      <c r="AK59" s="178">
        <v>1</v>
      </c>
      <c r="AL59" s="20">
        <f>AI59*AJ59*AK59</f>
        <v>3158.6181120000001</v>
      </c>
      <c r="AM59" s="20">
        <v>0</v>
      </c>
      <c r="AN59" s="20">
        <f>SUM(AL59:AM59)</f>
        <v>3158.6181120000001</v>
      </c>
      <c r="AO59" s="20">
        <f>N59+T59+Z59+AF59+AL59</f>
        <v>16645.888512000001</v>
      </c>
      <c r="AP59" s="20">
        <f>O59+U59+AA59+AG59+AM59</f>
        <v>0</v>
      </c>
      <c r="AQ59" s="20">
        <f>SUM(AO59:AP59)</f>
        <v>16645.888512000001</v>
      </c>
      <c r="AR59" s="147">
        <v>0</v>
      </c>
      <c r="AS59" s="20">
        <v>0</v>
      </c>
      <c r="AT59" s="147">
        <v>0</v>
      </c>
      <c r="AU59" s="20">
        <v>0</v>
      </c>
      <c r="AV59" s="20">
        <f>AR59+AT59</f>
        <v>0</v>
      </c>
      <c r="AW59" s="20">
        <f>AS59+AU59</f>
        <v>0</v>
      </c>
      <c r="AX59" s="20">
        <f>AV59+AW59</f>
        <v>0</v>
      </c>
      <c r="AY59" s="20">
        <f>AQ59-AX59</f>
        <v>16645.888512000001</v>
      </c>
      <c r="AZ59" s="147">
        <f>AQ59-AR59-AS59-AT59-AU59</f>
        <v>16645.888512000001</v>
      </c>
      <c r="BA59" s="15">
        <f>AY59-AZ59</f>
        <v>0</v>
      </c>
      <c r="BB59" s="248"/>
      <c r="BC59" s="147">
        <v>0</v>
      </c>
      <c r="BD59" s="147"/>
      <c r="BE59" s="147">
        <v>0</v>
      </c>
      <c r="BF59" s="147">
        <f>AA59</f>
        <v>0</v>
      </c>
      <c r="BG59" s="147">
        <f>SUM(BE59:BF59)</f>
        <v>0</v>
      </c>
      <c r="BH59" s="416" t="s">
        <v>195</v>
      </c>
      <c r="BI59" s="248"/>
      <c r="BJ59" s="147">
        <v>0</v>
      </c>
      <c r="BK59" s="147"/>
      <c r="BL59" s="147">
        <v>0</v>
      </c>
      <c r="BM59" s="147">
        <f>AG59</f>
        <v>0</v>
      </c>
      <c r="BN59" s="229">
        <f>SUM(BL59:BM59)</f>
        <v>0</v>
      </c>
      <c r="BO59" s="435"/>
      <c r="BP59" s="147">
        <v>0</v>
      </c>
      <c r="BQ59" s="147"/>
      <c r="BR59" s="147">
        <v>0</v>
      </c>
      <c r="BS59" s="147">
        <f>AM59</f>
        <v>0</v>
      </c>
      <c r="BT59" s="229">
        <v>0</v>
      </c>
      <c r="BU59" s="248"/>
      <c r="BV59" s="147">
        <v>0</v>
      </c>
      <c r="BW59" s="147"/>
      <c r="BX59" s="147">
        <v>0</v>
      </c>
      <c r="BY59" s="147">
        <f>AS59</f>
        <v>0</v>
      </c>
      <c r="BZ59" s="229">
        <v>0</v>
      </c>
      <c r="CA59" s="228">
        <f>BR59+BL59+BE59+BX59</f>
        <v>0</v>
      </c>
      <c r="CB59" s="147">
        <f>BS59+BM59+BF59</f>
        <v>0</v>
      </c>
      <c r="CC59" s="229">
        <f>CA59+CB59</f>
        <v>0</v>
      </c>
      <c r="CD59" s="23"/>
      <c r="CE59" s="20">
        <f>AV59+CA59</f>
        <v>0</v>
      </c>
      <c r="CF59" s="20">
        <f>AW59+CB59</f>
        <v>0</v>
      </c>
      <c r="CG59" s="15">
        <f>CE59+CF59</f>
        <v>0</v>
      </c>
      <c r="CH59" s="376">
        <f>AO59-CE59</f>
        <v>16645.888512000001</v>
      </c>
      <c r="CI59" s="377">
        <f>AP59-CF59</f>
        <v>0</v>
      </c>
      <c r="CJ59" s="522">
        <f>AQ59-CG59</f>
        <v>16645.888512000001</v>
      </c>
      <c r="CK59" s="532">
        <f t="shared" si="50"/>
        <v>-16646</v>
      </c>
      <c r="CL59" s="533">
        <f t="shared" si="51"/>
        <v>-0.11148799999864423</v>
      </c>
      <c r="CM59" s="372"/>
      <c r="CN59" s="372"/>
      <c r="CO59" s="372"/>
      <c r="CP59" s="372"/>
      <c r="CQ59" s="372"/>
      <c r="CR59" s="372"/>
      <c r="CS59" s="372"/>
      <c r="CT59" s="372"/>
      <c r="CU59" s="372"/>
      <c r="CV59" s="372"/>
      <c r="CW59" s="372"/>
      <c r="CX59" s="372"/>
      <c r="CY59" s="372"/>
      <c r="CZ59" s="372"/>
      <c r="DA59" s="372"/>
      <c r="DB59" s="372"/>
      <c r="DC59" s="372">
        <v>-16646</v>
      </c>
      <c r="DD59" s="372"/>
      <c r="DE59" s="372"/>
      <c r="DF59" s="372"/>
      <c r="DG59" s="372"/>
      <c r="DH59" s="372"/>
      <c r="DI59" s="372"/>
      <c r="DJ59" s="372"/>
      <c r="DK59" s="372"/>
      <c r="DL59" s="372"/>
      <c r="DM59" s="372"/>
      <c r="DN59" s="372"/>
      <c r="DO59" s="372"/>
      <c r="DP59" s="372"/>
      <c r="DQ59" s="372"/>
      <c r="DR59" s="372"/>
      <c r="DS59" s="372"/>
      <c r="DT59" s="372"/>
      <c r="DU59" s="372"/>
      <c r="DV59" s="372"/>
      <c r="DW59" s="372"/>
      <c r="DX59" s="372"/>
      <c r="DY59" s="372"/>
      <c r="DZ59" s="372"/>
      <c r="EA59" s="372"/>
      <c r="EB59" s="372"/>
      <c r="EC59" s="372"/>
      <c r="ED59" s="372"/>
      <c r="EE59" s="372"/>
      <c r="EF59" s="372"/>
      <c r="EG59" s="372"/>
      <c r="EH59" s="372"/>
      <c r="EI59" s="372"/>
      <c r="EJ59" s="372"/>
      <c r="EK59" s="372"/>
      <c r="EL59" s="372"/>
      <c r="EM59" s="372"/>
      <c r="EN59" s="372"/>
      <c r="EO59" s="372"/>
      <c r="EP59" s="372"/>
      <c r="EQ59" s="372"/>
      <c r="ER59" s="372"/>
      <c r="ES59" s="372"/>
    </row>
    <row r="60" spans="1:149" s="126" customFormat="1" ht="19.5" hidden="1" customHeight="1" x14ac:dyDescent="0.45">
      <c r="A60" s="183"/>
      <c r="B60" s="183"/>
      <c r="C60" s="183"/>
      <c r="D60" s="183"/>
      <c r="E60" s="135">
        <v>50</v>
      </c>
      <c r="F60" s="183" t="s">
        <v>196</v>
      </c>
      <c r="G60" s="175"/>
      <c r="H60" s="183"/>
      <c r="I60" s="183"/>
      <c r="J60" s="143"/>
      <c r="K60" s="178"/>
      <c r="L60" s="143"/>
      <c r="M60" s="143"/>
      <c r="N60" s="20"/>
      <c r="O60" s="20"/>
      <c r="P60" s="20"/>
      <c r="Q60" s="143"/>
      <c r="R60" s="143"/>
      <c r="S60" s="143"/>
      <c r="T60" s="20"/>
      <c r="U60" s="20"/>
      <c r="V60" s="20"/>
      <c r="W60" s="143"/>
      <c r="X60" s="143"/>
      <c r="Y60" s="143"/>
      <c r="Z60" s="20"/>
      <c r="AA60" s="20"/>
      <c r="AB60" s="20"/>
      <c r="AC60" s="143"/>
      <c r="AD60" s="143"/>
      <c r="AE60" s="143"/>
      <c r="AF60" s="20"/>
      <c r="AG60" s="20"/>
      <c r="AH60" s="20"/>
      <c r="AI60" s="143"/>
      <c r="AJ60" s="143"/>
      <c r="AK60" s="143"/>
      <c r="AL60" s="20"/>
      <c r="AM60" s="20"/>
      <c r="AN60" s="20"/>
      <c r="AO60" s="20"/>
      <c r="AP60" s="20"/>
      <c r="AQ60" s="20"/>
      <c r="AR60" s="20"/>
      <c r="AS60" s="20"/>
      <c r="AT60" s="20"/>
      <c r="AU60" s="20"/>
      <c r="AV60" s="20"/>
      <c r="AW60" s="20"/>
      <c r="AX60" s="20"/>
      <c r="AY60" s="20"/>
      <c r="AZ60" s="20"/>
      <c r="BA60" s="15"/>
      <c r="BB60" s="251"/>
      <c r="BC60" s="156"/>
      <c r="BD60" s="156"/>
      <c r="BE60" s="147"/>
      <c r="BF60" s="147"/>
      <c r="BG60" s="147"/>
      <c r="BH60" s="407"/>
      <c r="BI60" s="251"/>
      <c r="BJ60" s="156"/>
      <c r="BK60" s="156"/>
      <c r="BL60" s="147"/>
      <c r="BM60" s="147"/>
      <c r="BN60" s="229"/>
      <c r="BO60" s="438"/>
      <c r="BP60" s="156"/>
      <c r="BQ60" s="156"/>
      <c r="BR60" s="20"/>
      <c r="BS60" s="20"/>
      <c r="BT60" s="223"/>
      <c r="BU60" s="251"/>
      <c r="BV60" s="156"/>
      <c r="BW60" s="156"/>
      <c r="BX60" s="20"/>
      <c r="BY60" s="20"/>
      <c r="BZ60" s="223"/>
      <c r="CA60" s="228"/>
      <c r="CB60" s="147"/>
      <c r="CC60" s="229"/>
      <c r="CD60" s="23"/>
      <c r="CE60" s="20"/>
      <c r="CF60" s="20"/>
      <c r="CG60" s="15"/>
      <c r="CH60" s="217"/>
      <c r="CI60" s="20"/>
      <c r="CJ60" s="15"/>
      <c r="CK60" s="532">
        <f t="shared" si="50"/>
        <v>0</v>
      </c>
      <c r="CL60" s="533">
        <f t="shared" si="51"/>
        <v>0</v>
      </c>
      <c r="CM60" s="372"/>
      <c r="CN60" s="372"/>
      <c r="CO60" s="372"/>
      <c r="CP60" s="372"/>
      <c r="CQ60" s="372"/>
      <c r="CR60" s="372"/>
      <c r="CS60" s="372"/>
      <c r="CT60" s="372"/>
      <c r="CU60" s="372"/>
      <c r="CV60" s="372"/>
      <c r="CW60" s="372"/>
      <c r="CX60" s="372"/>
      <c r="CY60" s="372"/>
      <c r="CZ60" s="372"/>
      <c r="DA60" s="372"/>
      <c r="DB60" s="372"/>
      <c r="DC60" s="372"/>
      <c r="DD60" s="372"/>
      <c r="DE60" s="372"/>
      <c r="DF60" s="372"/>
      <c r="DG60" s="372"/>
      <c r="DH60" s="372"/>
      <c r="DI60" s="372"/>
      <c r="DJ60" s="372"/>
      <c r="DK60" s="372"/>
      <c r="DL60" s="372"/>
      <c r="DM60" s="372"/>
      <c r="DN60" s="372"/>
      <c r="DO60" s="372"/>
      <c r="DP60" s="372"/>
      <c r="DQ60" s="372"/>
      <c r="DR60" s="372"/>
      <c r="DS60" s="372"/>
      <c r="DT60" s="372"/>
      <c r="DU60" s="372"/>
      <c r="DV60" s="372"/>
      <c r="DW60" s="372"/>
      <c r="DX60" s="372"/>
      <c r="DY60" s="372"/>
      <c r="DZ60" s="372"/>
      <c r="EA60" s="372"/>
      <c r="EB60" s="372"/>
      <c r="EC60" s="372"/>
      <c r="ED60" s="372"/>
      <c r="EE60" s="372"/>
      <c r="EF60" s="372"/>
      <c r="EG60" s="372"/>
      <c r="EH60" s="372"/>
      <c r="EI60" s="372"/>
      <c r="EJ60" s="372"/>
      <c r="EK60" s="372"/>
      <c r="EL60" s="372"/>
      <c r="EM60" s="372"/>
      <c r="EN60" s="372"/>
      <c r="EO60" s="372"/>
      <c r="EP60" s="372"/>
      <c r="EQ60" s="372"/>
      <c r="ER60" s="372"/>
      <c r="ES60" s="372"/>
    </row>
    <row r="61" spans="1:149" s="126" customFormat="1" ht="19.5" hidden="1" customHeight="1" x14ac:dyDescent="0.45">
      <c r="A61" s="143"/>
      <c r="B61" s="143"/>
      <c r="C61" s="143"/>
      <c r="D61" s="143"/>
      <c r="E61" s="135">
        <v>51</v>
      </c>
      <c r="F61" s="143" t="s">
        <v>83</v>
      </c>
      <c r="G61" s="383" t="s">
        <v>169</v>
      </c>
      <c r="H61" s="143" t="s">
        <v>186</v>
      </c>
      <c r="I61" s="143" t="s">
        <v>11</v>
      </c>
      <c r="J61" s="159">
        <f>2*2</f>
        <v>4</v>
      </c>
      <c r="K61" s="20">
        <v>80</v>
      </c>
      <c r="L61" s="178">
        <v>1</v>
      </c>
      <c r="M61" s="156" t="s">
        <v>172</v>
      </c>
      <c r="N61" s="20">
        <f>L61*K61*J61</f>
        <v>320</v>
      </c>
      <c r="O61" s="20">
        <v>0</v>
      </c>
      <c r="P61" s="20">
        <f>SUM(N61:O61)</f>
        <v>320</v>
      </c>
      <c r="Q61" s="159">
        <v>2</v>
      </c>
      <c r="R61" s="20">
        <f>K61*$J$7</f>
        <v>83.2</v>
      </c>
      <c r="S61" s="178">
        <v>1</v>
      </c>
      <c r="T61" s="20">
        <f>Q61*R61*S61</f>
        <v>166.4</v>
      </c>
      <c r="U61" s="20">
        <v>0</v>
      </c>
      <c r="V61" s="20">
        <f>SUM(T61:U61)</f>
        <v>166.4</v>
      </c>
      <c r="W61" s="159">
        <f>2*2</f>
        <v>4</v>
      </c>
      <c r="X61" s="20">
        <f>K61*$J$7*$J$7</f>
        <v>86.528000000000006</v>
      </c>
      <c r="Y61" s="178">
        <v>1</v>
      </c>
      <c r="Z61" s="20">
        <f>W61*X61*Y61</f>
        <v>346.11200000000002</v>
      </c>
      <c r="AA61" s="20">
        <v>0</v>
      </c>
      <c r="AB61" s="20">
        <f>SUM(Z61:AA61)</f>
        <v>346.11200000000002</v>
      </c>
      <c r="AC61" s="159">
        <f>2*2</f>
        <v>4</v>
      </c>
      <c r="AD61" s="20">
        <f>K61*$J$7*$J$7*$J$7</f>
        <v>89.989120000000014</v>
      </c>
      <c r="AE61" s="178">
        <v>1</v>
      </c>
      <c r="AF61" s="20">
        <f>AC61*AD61*AE61</f>
        <v>359.95648000000006</v>
      </c>
      <c r="AG61" s="20">
        <v>0</v>
      </c>
      <c r="AH61" s="20">
        <f>SUM(AF61:AG61)</f>
        <v>359.95648000000006</v>
      </c>
      <c r="AI61" s="159">
        <f>2*2</f>
        <v>4</v>
      </c>
      <c r="AJ61" s="20">
        <f>K61*$J$7*$J$7*$J$7*$J$7</f>
        <v>93.588684800000024</v>
      </c>
      <c r="AK61" s="178">
        <v>1</v>
      </c>
      <c r="AL61" s="20">
        <f>AI61*AJ61*AK61</f>
        <v>374.3547392000001</v>
      </c>
      <c r="AM61" s="20">
        <v>0</v>
      </c>
      <c r="AN61" s="20">
        <f>SUM(AL61:AM61)</f>
        <v>374.3547392000001</v>
      </c>
      <c r="AO61" s="20">
        <f t="shared" ref="AO61:AP64" si="66">N61+T61+Z61+AF61+AL61</f>
        <v>1566.8232192</v>
      </c>
      <c r="AP61" s="20">
        <f t="shared" si="66"/>
        <v>0</v>
      </c>
      <c r="AQ61" s="20">
        <f>SUM(AO61:AP61)</f>
        <v>1566.8232192</v>
      </c>
      <c r="AR61" s="147">
        <v>0</v>
      </c>
      <c r="AS61" s="20">
        <v>0</v>
      </c>
      <c r="AT61" s="147">
        <v>0</v>
      </c>
      <c r="AU61" s="20">
        <v>0</v>
      </c>
      <c r="AV61" s="20">
        <f t="shared" ref="AV61:AW64" si="67">AR61+AT61</f>
        <v>0</v>
      </c>
      <c r="AW61" s="20">
        <f t="shared" si="67"/>
        <v>0</v>
      </c>
      <c r="AX61" s="20">
        <f>AV61+AW61</f>
        <v>0</v>
      </c>
      <c r="AY61" s="20">
        <f>AQ61-AX61</f>
        <v>1566.8232192</v>
      </c>
      <c r="AZ61" s="147">
        <f>AQ61-AR61-AS61-AT61-AU61</f>
        <v>1566.8232192</v>
      </c>
      <c r="BA61" s="15">
        <f>AY61-AZ61</f>
        <v>0</v>
      </c>
      <c r="BB61" s="248"/>
      <c r="BC61" s="147">
        <v>0</v>
      </c>
      <c r="BD61" s="147"/>
      <c r="BE61" s="147">
        <v>0</v>
      </c>
      <c r="BF61" s="147">
        <f>AA61</f>
        <v>0</v>
      </c>
      <c r="BG61" s="147">
        <f>SUM(BE61:BF61)</f>
        <v>0</v>
      </c>
      <c r="BH61" s="416" t="s">
        <v>197</v>
      </c>
      <c r="BI61" s="248"/>
      <c r="BJ61" s="147">
        <v>0</v>
      </c>
      <c r="BK61" s="147"/>
      <c r="BL61" s="147">
        <v>0</v>
      </c>
      <c r="BM61" s="147">
        <f>AG61</f>
        <v>0</v>
      </c>
      <c r="BN61" s="229">
        <f>SUM(BL61:BM61)</f>
        <v>0</v>
      </c>
      <c r="BO61" s="435"/>
      <c r="BP61" s="147">
        <v>0</v>
      </c>
      <c r="BQ61" s="147"/>
      <c r="BR61" s="147">
        <v>0</v>
      </c>
      <c r="BS61" s="147">
        <f>AM61</f>
        <v>0</v>
      </c>
      <c r="BT61" s="229">
        <v>0</v>
      </c>
      <c r="BU61" s="248"/>
      <c r="BV61" s="147">
        <v>0</v>
      </c>
      <c r="BW61" s="147"/>
      <c r="BX61" s="147">
        <v>0</v>
      </c>
      <c r="BY61" s="147">
        <f>AS61</f>
        <v>0</v>
      </c>
      <c r="BZ61" s="229">
        <v>0</v>
      </c>
      <c r="CA61" s="228">
        <f>BR61+BL61+BE61+BX61</f>
        <v>0</v>
      </c>
      <c r="CB61" s="147">
        <f t="shared" ref="CB61:CB64" si="68">BS61+BM61+BF61</f>
        <v>0</v>
      </c>
      <c r="CC61" s="229">
        <f>CA61+CB61</f>
        <v>0</v>
      </c>
      <c r="CD61" s="23"/>
      <c r="CE61" s="20">
        <f t="shared" ref="CE61:CF64" si="69">AV61+CA61</f>
        <v>0</v>
      </c>
      <c r="CF61" s="20">
        <f t="shared" si="69"/>
        <v>0</v>
      </c>
      <c r="CG61" s="15">
        <f>CE61+CF61</f>
        <v>0</v>
      </c>
      <c r="CH61" s="376">
        <f t="shared" ref="CH61:CJ64" si="70">AO61-CE61</f>
        <v>1566.8232192</v>
      </c>
      <c r="CI61" s="377">
        <f t="shared" si="70"/>
        <v>0</v>
      </c>
      <c r="CJ61" s="522">
        <f t="shared" si="70"/>
        <v>1566.8232192</v>
      </c>
      <c r="CK61" s="532">
        <f t="shared" si="50"/>
        <v>-1567</v>
      </c>
      <c r="CL61" s="533">
        <f t="shared" si="51"/>
        <v>-0.17678079999996044</v>
      </c>
      <c r="CM61" s="372"/>
      <c r="CN61" s="372"/>
      <c r="CO61" s="372"/>
      <c r="CP61" s="372"/>
      <c r="CQ61" s="372"/>
      <c r="CR61" s="372"/>
      <c r="CS61" s="372"/>
      <c r="CT61" s="372"/>
      <c r="CU61" s="372"/>
      <c r="CV61" s="372"/>
      <c r="CW61" s="372"/>
      <c r="CX61" s="372"/>
      <c r="CY61" s="372"/>
      <c r="CZ61" s="372"/>
      <c r="DA61" s="372"/>
      <c r="DB61" s="372"/>
      <c r="DC61" s="372"/>
      <c r="DD61" s="372">
        <v>-1567</v>
      </c>
      <c r="DE61" s="372"/>
      <c r="DF61" s="372"/>
      <c r="DG61" s="372"/>
      <c r="DH61" s="372"/>
      <c r="DI61" s="372"/>
      <c r="DJ61" s="372"/>
      <c r="DK61" s="372"/>
      <c r="DL61" s="372"/>
      <c r="DM61" s="372"/>
      <c r="DN61" s="372"/>
      <c r="DO61" s="372"/>
      <c r="DP61" s="372"/>
      <c r="DQ61" s="372"/>
      <c r="DR61" s="372"/>
      <c r="DS61" s="372"/>
      <c r="DT61" s="372"/>
      <c r="DU61" s="372"/>
      <c r="DV61" s="372"/>
      <c r="DW61" s="372"/>
      <c r="DX61" s="372"/>
      <c r="DY61" s="372"/>
      <c r="DZ61" s="372"/>
      <c r="EA61" s="372"/>
      <c r="EB61" s="372"/>
      <c r="EC61" s="372"/>
      <c r="ED61" s="372"/>
      <c r="EE61" s="372"/>
      <c r="EF61" s="372"/>
      <c r="EG61" s="372"/>
      <c r="EH61" s="372"/>
      <c r="EI61" s="372"/>
      <c r="EJ61" s="372"/>
      <c r="EK61" s="372"/>
      <c r="EL61" s="372"/>
      <c r="EM61" s="372"/>
      <c r="EN61" s="372"/>
      <c r="EO61" s="372"/>
      <c r="EP61" s="372"/>
      <c r="EQ61" s="372"/>
      <c r="ER61" s="372"/>
      <c r="ES61" s="372"/>
    </row>
    <row r="62" spans="1:149" s="126" customFormat="1" ht="19.5" hidden="1" customHeight="1" x14ac:dyDescent="0.45">
      <c r="A62" s="143"/>
      <c r="B62" s="143"/>
      <c r="C62" s="143"/>
      <c r="D62" s="143"/>
      <c r="E62" s="143">
        <v>52</v>
      </c>
      <c r="F62" s="143" t="s">
        <v>84</v>
      </c>
      <c r="G62" s="383" t="s">
        <v>169</v>
      </c>
      <c r="H62" s="143" t="s">
        <v>186</v>
      </c>
      <c r="I62" s="143" t="s">
        <v>11</v>
      </c>
      <c r="J62" s="159">
        <f>2*2</f>
        <v>4</v>
      </c>
      <c r="K62" s="20">
        <v>40</v>
      </c>
      <c r="L62" s="178">
        <v>2</v>
      </c>
      <c r="M62" s="156" t="s">
        <v>175</v>
      </c>
      <c r="N62" s="20">
        <f>L62*K62*J62</f>
        <v>320</v>
      </c>
      <c r="O62" s="20">
        <v>0</v>
      </c>
      <c r="P62" s="20">
        <f>SUM(N62:O62)</f>
        <v>320</v>
      </c>
      <c r="Q62" s="159">
        <v>2</v>
      </c>
      <c r="R62" s="20">
        <f>K62*$J$7</f>
        <v>41.6</v>
      </c>
      <c r="S62" s="178">
        <v>2</v>
      </c>
      <c r="T62" s="20">
        <f>Q62*R62*S62</f>
        <v>166.4</v>
      </c>
      <c r="U62" s="20">
        <v>0</v>
      </c>
      <c r="V62" s="20">
        <f>SUM(T62:U62)</f>
        <v>166.4</v>
      </c>
      <c r="W62" s="159">
        <f>2*2</f>
        <v>4</v>
      </c>
      <c r="X62" s="20">
        <f>K62*$J$7*$J$7</f>
        <v>43.264000000000003</v>
      </c>
      <c r="Y62" s="178">
        <v>2</v>
      </c>
      <c r="Z62" s="20">
        <f>W62*X62*Y62</f>
        <v>346.11200000000002</v>
      </c>
      <c r="AA62" s="20">
        <v>0</v>
      </c>
      <c r="AB62" s="20">
        <f>SUM(Z62:AA62)</f>
        <v>346.11200000000002</v>
      </c>
      <c r="AC62" s="159">
        <f>2*2</f>
        <v>4</v>
      </c>
      <c r="AD62" s="20">
        <f>K62*$J$7*$J$7*$J$7</f>
        <v>44.994560000000007</v>
      </c>
      <c r="AE62" s="178">
        <v>2</v>
      </c>
      <c r="AF62" s="20">
        <f>AC62*AD62*AE62</f>
        <v>359.95648000000006</v>
      </c>
      <c r="AG62" s="20">
        <v>0</v>
      </c>
      <c r="AH62" s="20">
        <f>SUM(AF62:AG62)</f>
        <v>359.95648000000006</v>
      </c>
      <c r="AI62" s="159">
        <f>2*2</f>
        <v>4</v>
      </c>
      <c r="AJ62" s="20">
        <f>K62*$J$7*$J$7*$J$7*$J$7</f>
        <v>46.794342400000012</v>
      </c>
      <c r="AK62" s="178">
        <v>2</v>
      </c>
      <c r="AL62" s="20">
        <f>AI62*AJ62*AK62</f>
        <v>374.3547392000001</v>
      </c>
      <c r="AM62" s="20">
        <v>0</v>
      </c>
      <c r="AN62" s="20">
        <f>SUM(AL62:AM62)</f>
        <v>374.3547392000001</v>
      </c>
      <c r="AO62" s="20">
        <f t="shared" si="66"/>
        <v>1566.8232192</v>
      </c>
      <c r="AP62" s="20">
        <f t="shared" si="66"/>
        <v>0</v>
      </c>
      <c r="AQ62" s="20">
        <f>SUM(AO62:AP62)</f>
        <v>1566.8232192</v>
      </c>
      <c r="AR62" s="147">
        <v>0</v>
      </c>
      <c r="AS62" s="20">
        <v>0</v>
      </c>
      <c r="AT62" s="147">
        <v>0</v>
      </c>
      <c r="AU62" s="20">
        <v>0</v>
      </c>
      <c r="AV62" s="20">
        <f t="shared" si="67"/>
        <v>0</v>
      </c>
      <c r="AW62" s="20">
        <f t="shared" si="67"/>
        <v>0</v>
      </c>
      <c r="AX62" s="20">
        <f>AV62+AW62</f>
        <v>0</v>
      </c>
      <c r="AY62" s="20">
        <f>AQ62-AX62</f>
        <v>1566.8232192</v>
      </c>
      <c r="AZ62" s="147">
        <f>AQ62-AR62-AS62-AT62-AU62</f>
        <v>1566.8232192</v>
      </c>
      <c r="BA62" s="15">
        <f>AY62-AZ62</f>
        <v>0</v>
      </c>
      <c r="BB62" s="248"/>
      <c r="BC62" s="147">
        <v>0</v>
      </c>
      <c r="BD62" s="147"/>
      <c r="BE62" s="147">
        <v>0</v>
      </c>
      <c r="BF62" s="147">
        <f>AA62</f>
        <v>0</v>
      </c>
      <c r="BG62" s="147">
        <f>SUM(BE62:BF62)</f>
        <v>0</v>
      </c>
      <c r="BH62" s="416" t="s">
        <v>198</v>
      </c>
      <c r="BI62" s="248"/>
      <c r="BJ62" s="147">
        <v>0</v>
      </c>
      <c r="BK62" s="147"/>
      <c r="BL62" s="147">
        <v>0</v>
      </c>
      <c r="BM62" s="147">
        <f>AG62</f>
        <v>0</v>
      </c>
      <c r="BN62" s="229">
        <f>SUM(BL62:BM62)</f>
        <v>0</v>
      </c>
      <c r="BO62" s="435"/>
      <c r="BP62" s="147">
        <v>0</v>
      </c>
      <c r="BQ62" s="147"/>
      <c r="BR62" s="147">
        <v>0</v>
      </c>
      <c r="BS62" s="147">
        <f>AM62</f>
        <v>0</v>
      </c>
      <c r="BT62" s="229">
        <v>0</v>
      </c>
      <c r="BU62" s="248"/>
      <c r="BV62" s="147">
        <v>0</v>
      </c>
      <c r="BW62" s="147"/>
      <c r="BX62" s="147">
        <v>0</v>
      </c>
      <c r="BY62" s="147">
        <f>AS62</f>
        <v>0</v>
      </c>
      <c r="BZ62" s="229">
        <v>0</v>
      </c>
      <c r="CA62" s="228">
        <f>BR62+BL62+BE62+BX62</f>
        <v>0</v>
      </c>
      <c r="CB62" s="147">
        <f t="shared" si="68"/>
        <v>0</v>
      </c>
      <c r="CC62" s="229">
        <f t="shared" ref="CC62:CC64" si="71">CA62+CB62</f>
        <v>0</v>
      </c>
      <c r="CD62" s="23"/>
      <c r="CE62" s="20">
        <f t="shared" si="69"/>
        <v>0</v>
      </c>
      <c r="CF62" s="20">
        <f t="shared" si="69"/>
        <v>0</v>
      </c>
      <c r="CG62" s="15">
        <f>CE62+CF62</f>
        <v>0</v>
      </c>
      <c r="CH62" s="376">
        <f t="shared" si="70"/>
        <v>1566.8232192</v>
      </c>
      <c r="CI62" s="377">
        <f t="shared" si="70"/>
        <v>0</v>
      </c>
      <c r="CJ62" s="522">
        <f t="shared" si="70"/>
        <v>1566.8232192</v>
      </c>
      <c r="CK62" s="532">
        <f t="shared" si="50"/>
        <v>-1567</v>
      </c>
      <c r="CL62" s="533">
        <f t="shared" si="51"/>
        <v>-0.17678079999996044</v>
      </c>
      <c r="CM62" s="372"/>
      <c r="CN62" s="372"/>
      <c r="CO62" s="372"/>
      <c r="CP62" s="372"/>
      <c r="CQ62" s="372"/>
      <c r="CR62" s="372"/>
      <c r="CS62" s="372"/>
      <c r="CT62" s="372"/>
      <c r="CU62" s="372"/>
      <c r="CV62" s="372"/>
      <c r="CW62" s="372"/>
      <c r="CX62" s="372"/>
      <c r="CY62" s="372"/>
      <c r="CZ62" s="372"/>
      <c r="DA62" s="372"/>
      <c r="DB62" s="372"/>
      <c r="DC62" s="372"/>
      <c r="DD62" s="372"/>
      <c r="DE62" s="372">
        <v>-1567</v>
      </c>
      <c r="DF62" s="372"/>
      <c r="DG62" s="372"/>
      <c r="DH62" s="372"/>
      <c r="DI62" s="372"/>
      <c r="DJ62" s="372"/>
      <c r="DK62" s="372"/>
      <c r="DL62" s="372"/>
      <c r="DM62" s="372"/>
      <c r="DN62" s="372"/>
      <c r="DO62" s="372"/>
      <c r="DP62" s="372"/>
      <c r="DQ62" s="372"/>
      <c r="DR62" s="372"/>
      <c r="DS62" s="372"/>
      <c r="DT62" s="372"/>
      <c r="DU62" s="372"/>
      <c r="DV62" s="372"/>
      <c r="DW62" s="372"/>
      <c r="DX62" s="372"/>
      <c r="DY62" s="372"/>
      <c r="DZ62" s="372"/>
      <c r="EA62" s="372"/>
      <c r="EB62" s="372"/>
      <c r="EC62" s="372"/>
      <c r="ED62" s="372"/>
      <c r="EE62" s="372"/>
      <c r="EF62" s="372"/>
      <c r="EG62" s="372"/>
      <c r="EH62" s="372"/>
      <c r="EI62" s="372"/>
      <c r="EJ62" s="372"/>
      <c r="EK62" s="372"/>
      <c r="EL62" s="372"/>
      <c r="EM62" s="372"/>
      <c r="EN62" s="372"/>
      <c r="EO62" s="372"/>
      <c r="EP62" s="372"/>
      <c r="EQ62" s="372"/>
      <c r="ER62" s="372"/>
      <c r="ES62" s="372"/>
    </row>
    <row r="63" spans="1:149" s="126" customFormat="1" ht="19.5" hidden="1" customHeight="1" x14ac:dyDescent="0.45">
      <c r="A63" s="143"/>
      <c r="B63" s="143"/>
      <c r="C63" s="143"/>
      <c r="D63" s="143"/>
      <c r="E63" s="143">
        <v>53</v>
      </c>
      <c r="F63" s="143" t="s">
        <v>85</v>
      </c>
      <c r="G63" s="383" t="s">
        <v>169</v>
      </c>
      <c r="H63" s="143" t="s">
        <v>186</v>
      </c>
      <c r="I63" s="143" t="s">
        <v>11</v>
      </c>
      <c r="J63" s="159">
        <f>2*2</f>
        <v>4</v>
      </c>
      <c r="K63" s="20">
        <v>80</v>
      </c>
      <c r="L63" s="178">
        <v>2</v>
      </c>
      <c r="M63" s="156" t="s">
        <v>175</v>
      </c>
      <c r="N63" s="20">
        <f>L63*K63*J63</f>
        <v>640</v>
      </c>
      <c r="O63" s="20">
        <v>0</v>
      </c>
      <c r="P63" s="20">
        <f>SUM(N63:O63)</f>
        <v>640</v>
      </c>
      <c r="Q63" s="159">
        <v>2</v>
      </c>
      <c r="R63" s="20">
        <f>K63*$J$7</f>
        <v>83.2</v>
      </c>
      <c r="S63" s="178">
        <v>2</v>
      </c>
      <c r="T63" s="20">
        <f>Q63*R63*S63</f>
        <v>332.8</v>
      </c>
      <c r="U63" s="20">
        <v>0</v>
      </c>
      <c r="V63" s="20">
        <f>SUM(T63:U63)</f>
        <v>332.8</v>
      </c>
      <c r="W63" s="159">
        <f>2*2</f>
        <v>4</v>
      </c>
      <c r="X63" s="20">
        <f>K63*$J$7*$J$7</f>
        <v>86.528000000000006</v>
      </c>
      <c r="Y63" s="178">
        <v>2</v>
      </c>
      <c r="Z63" s="20">
        <f>W63*X63*Y63</f>
        <v>692.22400000000005</v>
      </c>
      <c r="AA63" s="20">
        <v>0</v>
      </c>
      <c r="AB63" s="20">
        <f>SUM(Z63:AA63)</f>
        <v>692.22400000000005</v>
      </c>
      <c r="AC63" s="159">
        <f>2*2</f>
        <v>4</v>
      </c>
      <c r="AD63" s="20">
        <f>K63*$J$7*$J$7*$J$7</f>
        <v>89.989120000000014</v>
      </c>
      <c r="AE63" s="178">
        <v>2</v>
      </c>
      <c r="AF63" s="20">
        <f>AC63*AD63*AE63</f>
        <v>719.91296000000011</v>
      </c>
      <c r="AG63" s="20">
        <v>0</v>
      </c>
      <c r="AH63" s="20">
        <f>SUM(AF63:AG63)</f>
        <v>719.91296000000011</v>
      </c>
      <c r="AI63" s="159">
        <f>2*2</f>
        <v>4</v>
      </c>
      <c r="AJ63" s="20">
        <f>K63*$J$7*$J$7*$J$7*$J$7</f>
        <v>93.588684800000024</v>
      </c>
      <c r="AK63" s="178">
        <v>2</v>
      </c>
      <c r="AL63" s="20">
        <f>AI63*AJ63*AK63</f>
        <v>748.70947840000019</v>
      </c>
      <c r="AM63" s="20">
        <v>0</v>
      </c>
      <c r="AN63" s="20">
        <f>SUM(AL63:AM63)</f>
        <v>748.70947840000019</v>
      </c>
      <c r="AO63" s="20">
        <f t="shared" si="66"/>
        <v>3133.6464384000001</v>
      </c>
      <c r="AP63" s="20">
        <f t="shared" si="66"/>
        <v>0</v>
      </c>
      <c r="AQ63" s="20">
        <f>SUM(AO63:AP63)</f>
        <v>3133.6464384000001</v>
      </c>
      <c r="AR63" s="147">
        <v>0</v>
      </c>
      <c r="AS63" s="20">
        <v>0</v>
      </c>
      <c r="AT63" s="147">
        <v>0</v>
      </c>
      <c r="AU63" s="20">
        <v>0</v>
      </c>
      <c r="AV63" s="20">
        <f t="shared" si="67"/>
        <v>0</v>
      </c>
      <c r="AW63" s="20">
        <f t="shared" si="67"/>
        <v>0</v>
      </c>
      <c r="AX63" s="20">
        <f>AV63+AW63</f>
        <v>0</v>
      </c>
      <c r="AY63" s="20">
        <f>AQ63-AX63</f>
        <v>3133.6464384000001</v>
      </c>
      <c r="AZ63" s="147">
        <f>AQ63-AR63-AS63-AT63-AU63</f>
        <v>3133.6464384000001</v>
      </c>
      <c r="BA63" s="15">
        <f>AY63-AZ63</f>
        <v>0</v>
      </c>
      <c r="BB63" s="248"/>
      <c r="BC63" s="147">
        <v>0</v>
      </c>
      <c r="BD63" s="147"/>
      <c r="BE63" s="147">
        <v>0</v>
      </c>
      <c r="BF63" s="147">
        <f>AA63</f>
        <v>0</v>
      </c>
      <c r="BG63" s="147">
        <f>SUM(BE63:BF63)</f>
        <v>0</v>
      </c>
      <c r="BH63" s="416" t="s">
        <v>199</v>
      </c>
      <c r="BI63" s="248"/>
      <c r="BJ63" s="147">
        <v>0</v>
      </c>
      <c r="BK63" s="147"/>
      <c r="BL63" s="147">
        <v>0</v>
      </c>
      <c r="BM63" s="147">
        <f>AG63</f>
        <v>0</v>
      </c>
      <c r="BN63" s="229">
        <f>SUM(BL63:BM63)</f>
        <v>0</v>
      </c>
      <c r="BO63" s="435"/>
      <c r="BP63" s="147">
        <v>0</v>
      </c>
      <c r="BQ63" s="147"/>
      <c r="BR63" s="147">
        <v>0</v>
      </c>
      <c r="BS63" s="147">
        <f>AM63</f>
        <v>0</v>
      </c>
      <c r="BT63" s="229">
        <v>0</v>
      </c>
      <c r="BU63" s="248"/>
      <c r="BV63" s="147">
        <v>0</v>
      </c>
      <c r="BW63" s="147"/>
      <c r="BX63" s="147">
        <v>0</v>
      </c>
      <c r="BY63" s="147">
        <f>AS63</f>
        <v>0</v>
      </c>
      <c r="BZ63" s="229">
        <v>0</v>
      </c>
      <c r="CA63" s="228">
        <f>BR63+BL63+BE63+BX63</f>
        <v>0</v>
      </c>
      <c r="CB63" s="147">
        <f t="shared" si="68"/>
        <v>0</v>
      </c>
      <c r="CC63" s="229">
        <f t="shared" si="71"/>
        <v>0</v>
      </c>
      <c r="CD63" s="23"/>
      <c r="CE63" s="20">
        <f t="shared" si="69"/>
        <v>0</v>
      </c>
      <c r="CF63" s="20">
        <f t="shared" si="69"/>
        <v>0</v>
      </c>
      <c r="CG63" s="15">
        <f>CE63+CF63</f>
        <v>0</v>
      </c>
      <c r="CH63" s="376">
        <f t="shared" si="70"/>
        <v>3133.6464384000001</v>
      </c>
      <c r="CI63" s="377">
        <f t="shared" si="70"/>
        <v>0</v>
      </c>
      <c r="CJ63" s="522">
        <f t="shared" si="70"/>
        <v>3133.6464384000001</v>
      </c>
      <c r="CK63" s="532">
        <f t="shared" si="50"/>
        <v>-3134</v>
      </c>
      <c r="CL63" s="533">
        <f t="shared" si="51"/>
        <v>-0.35356159999992087</v>
      </c>
      <c r="CM63" s="372"/>
      <c r="CN63" s="372"/>
      <c r="CO63" s="372"/>
      <c r="CP63" s="372"/>
      <c r="CQ63" s="372"/>
      <c r="CR63" s="372"/>
      <c r="CS63" s="372"/>
      <c r="CT63" s="372"/>
      <c r="CU63" s="372"/>
      <c r="CV63" s="372"/>
      <c r="CW63" s="372"/>
      <c r="CX63" s="372"/>
      <c r="CY63" s="372"/>
      <c r="CZ63" s="372"/>
      <c r="DA63" s="372"/>
      <c r="DB63" s="372"/>
      <c r="DC63" s="372"/>
      <c r="DD63" s="372"/>
      <c r="DE63" s="372"/>
      <c r="DF63" s="372">
        <v>-3134</v>
      </c>
      <c r="DG63" s="372"/>
      <c r="DH63" s="372"/>
      <c r="DI63" s="372"/>
      <c r="DJ63" s="372"/>
      <c r="DK63" s="372"/>
      <c r="DL63" s="372"/>
      <c r="DM63" s="372"/>
      <c r="DN63" s="372"/>
      <c r="DO63" s="372"/>
      <c r="DP63" s="372"/>
      <c r="DQ63" s="372"/>
      <c r="DR63" s="372"/>
      <c r="DS63" s="372"/>
      <c r="DT63" s="372"/>
      <c r="DU63" s="372"/>
      <c r="DV63" s="372"/>
      <c r="DW63" s="372"/>
      <c r="DX63" s="372"/>
      <c r="DY63" s="372"/>
      <c r="DZ63" s="372"/>
      <c r="EA63" s="372"/>
      <c r="EB63" s="372"/>
      <c r="EC63" s="372"/>
      <c r="ED63" s="372"/>
      <c r="EE63" s="372"/>
      <c r="EF63" s="372"/>
      <c r="EG63" s="372"/>
      <c r="EH63" s="372"/>
      <c r="EI63" s="372"/>
      <c r="EJ63" s="372"/>
      <c r="EK63" s="372"/>
      <c r="EL63" s="372"/>
      <c r="EM63" s="372"/>
      <c r="EN63" s="372"/>
      <c r="EO63" s="372"/>
      <c r="EP63" s="372"/>
      <c r="EQ63" s="372"/>
      <c r="ER63" s="372"/>
      <c r="ES63" s="372"/>
    </row>
    <row r="64" spans="1:149" s="126" customFormat="1" ht="19.5" hidden="1" customHeight="1" x14ac:dyDescent="0.45">
      <c r="A64" s="143"/>
      <c r="B64" s="143"/>
      <c r="C64" s="143"/>
      <c r="D64" s="143"/>
      <c r="E64" s="148">
        <v>54</v>
      </c>
      <c r="F64" s="143" t="s">
        <v>86</v>
      </c>
      <c r="G64" s="383" t="s">
        <v>169</v>
      </c>
      <c r="H64" s="143" t="s">
        <v>186</v>
      </c>
      <c r="I64" s="143" t="s">
        <v>11</v>
      </c>
      <c r="J64" s="159">
        <f>2*2</f>
        <v>4</v>
      </c>
      <c r="K64" s="20">
        <v>25</v>
      </c>
      <c r="L64" s="178">
        <v>1</v>
      </c>
      <c r="M64" s="156" t="s">
        <v>172</v>
      </c>
      <c r="N64" s="20">
        <f>L64*K64*J64</f>
        <v>100</v>
      </c>
      <c r="O64" s="20">
        <v>0</v>
      </c>
      <c r="P64" s="20">
        <f>SUM(N64:O64)</f>
        <v>100</v>
      </c>
      <c r="Q64" s="159">
        <v>2</v>
      </c>
      <c r="R64" s="20">
        <f>K64*$J$7</f>
        <v>26</v>
      </c>
      <c r="S64" s="178">
        <v>1</v>
      </c>
      <c r="T64" s="20">
        <f>Q64*R64*S64</f>
        <v>52</v>
      </c>
      <c r="U64" s="20">
        <v>0</v>
      </c>
      <c r="V64" s="20">
        <f>SUM(T64:U64)</f>
        <v>52</v>
      </c>
      <c r="W64" s="159">
        <f>2*2</f>
        <v>4</v>
      </c>
      <c r="X64" s="20">
        <f>K64*$J$7*$J$7</f>
        <v>27.04</v>
      </c>
      <c r="Y64" s="178">
        <v>1</v>
      </c>
      <c r="Z64" s="20">
        <f>W64*X64*Y64</f>
        <v>108.16</v>
      </c>
      <c r="AA64" s="20">
        <v>0</v>
      </c>
      <c r="AB64" s="20">
        <f>SUM(Z64:AA64)</f>
        <v>108.16</v>
      </c>
      <c r="AC64" s="159">
        <f>2*2</f>
        <v>4</v>
      </c>
      <c r="AD64" s="20">
        <f>K64*$J$7*$J$7*$J$7</f>
        <v>28.121600000000001</v>
      </c>
      <c r="AE64" s="178">
        <v>1</v>
      </c>
      <c r="AF64" s="20">
        <f>AC64*AD64*AE64</f>
        <v>112.4864</v>
      </c>
      <c r="AG64" s="20">
        <v>0</v>
      </c>
      <c r="AH64" s="20">
        <f>SUM(AF64:AG64)</f>
        <v>112.4864</v>
      </c>
      <c r="AI64" s="159">
        <f>2*2</f>
        <v>4</v>
      </c>
      <c r="AJ64" s="20">
        <f>K64*$J$7*$J$7*$J$7*$J$7</f>
        <v>29.246464000000003</v>
      </c>
      <c r="AK64" s="178">
        <v>1</v>
      </c>
      <c r="AL64" s="20">
        <f>AI64*AJ64*AK64</f>
        <v>116.98585600000001</v>
      </c>
      <c r="AM64" s="20">
        <v>0</v>
      </c>
      <c r="AN64" s="20">
        <f>SUM(AL64:AM64)</f>
        <v>116.98585600000001</v>
      </c>
      <c r="AO64" s="20">
        <f t="shared" si="66"/>
        <v>489.63225599999998</v>
      </c>
      <c r="AP64" s="20">
        <f t="shared" si="66"/>
        <v>0</v>
      </c>
      <c r="AQ64" s="20">
        <f>SUM(AO64:AP64)</f>
        <v>489.63225599999998</v>
      </c>
      <c r="AR64" s="147">
        <v>0</v>
      </c>
      <c r="AS64" s="20">
        <v>0</v>
      </c>
      <c r="AT64" s="147">
        <v>0</v>
      </c>
      <c r="AU64" s="20">
        <v>0</v>
      </c>
      <c r="AV64" s="20">
        <f t="shared" si="67"/>
        <v>0</v>
      </c>
      <c r="AW64" s="20">
        <f t="shared" si="67"/>
        <v>0</v>
      </c>
      <c r="AX64" s="20">
        <f>AV64+AW64</f>
        <v>0</v>
      </c>
      <c r="AY64" s="20">
        <f>AQ64-AX64</f>
        <v>489.63225599999998</v>
      </c>
      <c r="AZ64" s="147">
        <f>AQ64-AR64-AS64-AT64-AU64</f>
        <v>489.63225599999998</v>
      </c>
      <c r="BA64" s="15">
        <f>AY64-AZ64</f>
        <v>0</v>
      </c>
      <c r="BB64" s="248"/>
      <c r="BC64" s="147">
        <v>0</v>
      </c>
      <c r="BD64" s="147"/>
      <c r="BE64" s="147">
        <v>0</v>
      </c>
      <c r="BF64" s="147">
        <f>AA64</f>
        <v>0</v>
      </c>
      <c r="BG64" s="147">
        <f>SUM(BE64:BF64)</f>
        <v>0</v>
      </c>
      <c r="BH64" s="416" t="s">
        <v>200</v>
      </c>
      <c r="BI64" s="248"/>
      <c r="BJ64" s="147">
        <v>0</v>
      </c>
      <c r="BK64" s="147"/>
      <c r="BL64" s="147">
        <v>0</v>
      </c>
      <c r="BM64" s="147">
        <f>AG64</f>
        <v>0</v>
      </c>
      <c r="BN64" s="229">
        <f>SUM(BL64:BM64)</f>
        <v>0</v>
      </c>
      <c r="BO64" s="435"/>
      <c r="BP64" s="147">
        <v>0</v>
      </c>
      <c r="BQ64" s="147"/>
      <c r="BR64" s="147">
        <v>0</v>
      </c>
      <c r="BS64" s="147">
        <f>AM64</f>
        <v>0</v>
      </c>
      <c r="BT64" s="229">
        <v>0</v>
      </c>
      <c r="BU64" s="248"/>
      <c r="BV64" s="147">
        <v>0</v>
      </c>
      <c r="BW64" s="147"/>
      <c r="BX64" s="147">
        <v>0</v>
      </c>
      <c r="BY64" s="147">
        <f>AS64</f>
        <v>0</v>
      </c>
      <c r="BZ64" s="229">
        <v>0</v>
      </c>
      <c r="CA64" s="228">
        <f>BR64+BL64+BE64+BX64</f>
        <v>0</v>
      </c>
      <c r="CB64" s="147">
        <f t="shared" si="68"/>
        <v>0</v>
      </c>
      <c r="CC64" s="229">
        <f t="shared" si="71"/>
        <v>0</v>
      </c>
      <c r="CD64" s="23"/>
      <c r="CE64" s="20">
        <f t="shared" si="69"/>
        <v>0</v>
      </c>
      <c r="CF64" s="20">
        <f t="shared" si="69"/>
        <v>0</v>
      </c>
      <c r="CG64" s="15">
        <f>CE64+CF64</f>
        <v>0</v>
      </c>
      <c r="CH64" s="376">
        <f t="shared" si="70"/>
        <v>489.63225599999998</v>
      </c>
      <c r="CI64" s="377">
        <f t="shared" si="70"/>
        <v>0</v>
      </c>
      <c r="CJ64" s="522">
        <f t="shared" si="70"/>
        <v>489.63225599999998</v>
      </c>
      <c r="CK64" s="532">
        <f t="shared" si="50"/>
        <v>-490</v>
      </c>
      <c r="CL64" s="533">
        <f t="shared" si="51"/>
        <v>-0.36774400000001606</v>
      </c>
      <c r="CM64" s="372"/>
      <c r="CN64" s="372"/>
      <c r="CO64" s="372"/>
      <c r="CP64" s="372"/>
      <c r="CQ64" s="372"/>
      <c r="CR64" s="372"/>
      <c r="CS64" s="372"/>
      <c r="CT64" s="372"/>
      <c r="CU64" s="372"/>
      <c r="CV64" s="372"/>
      <c r="CW64" s="372"/>
      <c r="CX64" s="372"/>
      <c r="CY64" s="372"/>
      <c r="CZ64" s="372"/>
      <c r="DA64" s="372"/>
      <c r="DB64" s="372"/>
      <c r="DC64" s="372"/>
      <c r="DD64" s="372"/>
      <c r="DE64" s="372"/>
      <c r="DF64" s="372"/>
      <c r="DG64" s="372">
        <v>-490</v>
      </c>
      <c r="DH64" s="372"/>
      <c r="DI64" s="372"/>
      <c r="DJ64" s="372"/>
      <c r="DK64" s="372"/>
      <c r="DL64" s="372"/>
      <c r="DM64" s="372"/>
      <c r="DN64" s="372"/>
      <c r="DO64" s="372"/>
      <c r="DP64" s="372"/>
      <c r="DQ64" s="372"/>
      <c r="DR64" s="372"/>
      <c r="DS64" s="372"/>
      <c r="DT64" s="372"/>
      <c r="DU64" s="372"/>
      <c r="DV64" s="372"/>
      <c r="DW64" s="372"/>
      <c r="DX64" s="372"/>
      <c r="DY64" s="372"/>
      <c r="DZ64" s="372"/>
      <c r="EA64" s="372"/>
      <c r="EB64" s="372"/>
      <c r="EC64" s="372"/>
      <c r="ED64" s="372"/>
      <c r="EE64" s="372"/>
      <c r="EF64" s="372"/>
      <c r="EG64" s="372"/>
      <c r="EH64" s="372"/>
      <c r="EI64" s="372"/>
      <c r="EJ64" s="372"/>
      <c r="EK64" s="372"/>
      <c r="EL64" s="372"/>
      <c r="EM64" s="372"/>
      <c r="EN64" s="372"/>
      <c r="EO64" s="372"/>
      <c r="EP64" s="372"/>
      <c r="EQ64" s="372"/>
      <c r="ER64" s="372"/>
      <c r="ES64" s="372"/>
    </row>
    <row r="65" spans="1:149" s="126" customFormat="1" ht="19.5" hidden="1" customHeight="1" x14ac:dyDescent="0.45">
      <c r="A65" s="183"/>
      <c r="B65" s="183"/>
      <c r="C65" s="183"/>
      <c r="D65" s="183"/>
      <c r="E65" s="135">
        <v>55</v>
      </c>
      <c r="F65" s="183" t="s">
        <v>201</v>
      </c>
      <c r="G65" s="175"/>
      <c r="H65" s="183"/>
      <c r="I65" s="183"/>
      <c r="J65" s="143"/>
      <c r="K65" s="178"/>
      <c r="L65" s="143"/>
      <c r="M65" s="143"/>
      <c r="N65" s="20"/>
      <c r="O65" s="20"/>
      <c r="P65" s="20"/>
      <c r="Q65" s="143"/>
      <c r="R65" s="143"/>
      <c r="S65" s="143"/>
      <c r="T65" s="20"/>
      <c r="U65" s="20"/>
      <c r="V65" s="20"/>
      <c r="W65" s="143"/>
      <c r="X65" s="143"/>
      <c r="Y65" s="143"/>
      <c r="Z65" s="20"/>
      <c r="AA65" s="20"/>
      <c r="AB65" s="20"/>
      <c r="AC65" s="143"/>
      <c r="AD65" s="143"/>
      <c r="AE65" s="143"/>
      <c r="AF65" s="20"/>
      <c r="AG65" s="20"/>
      <c r="AH65" s="20"/>
      <c r="AI65" s="143"/>
      <c r="AJ65" s="143"/>
      <c r="AK65" s="143"/>
      <c r="AL65" s="20"/>
      <c r="AM65" s="20"/>
      <c r="AN65" s="20"/>
      <c r="AO65" s="20"/>
      <c r="AP65" s="20"/>
      <c r="AQ65" s="20"/>
      <c r="AR65" s="384"/>
      <c r="AS65" s="384"/>
      <c r="AT65" s="384"/>
      <c r="AU65" s="384"/>
      <c r="AV65" s="384"/>
      <c r="AW65" s="384"/>
      <c r="AX65" s="384"/>
      <c r="AY65" s="384"/>
      <c r="AZ65" s="20"/>
      <c r="BA65" s="15"/>
      <c r="BB65" s="385"/>
      <c r="BC65" s="20"/>
      <c r="BD65" s="386"/>
      <c r="BE65" s="387"/>
      <c r="BF65" s="147"/>
      <c r="BG65" s="387"/>
      <c r="BH65" s="417"/>
      <c r="BI65" s="385"/>
      <c r="BJ65" s="20"/>
      <c r="BK65" s="386"/>
      <c r="BL65" s="387"/>
      <c r="BM65" s="387"/>
      <c r="BN65" s="388"/>
      <c r="BO65" s="439"/>
      <c r="BP65" s="20"/>
      <c r="BQ65" s="386"/>
      <c r="BR65" s="384"/>
      <c r="BS65" s="384"/>
      <c r="BT65" s="389"/>
      <c r="BU65" s="385"/>
      <c r="BV65" s="20"/>
      <c r="BW65" s="386"/>
      <c r="BX65" s="384"/>
      <c r="BY65" s="384"/>
      <c r="BZ65" s="389"/>
      <c r="CA65" s="390"/>
      <c r="CB65" s="387"/>
      <c r="CC65" s="388"/>
      <c r="CD65" s="455"/>
      <c r="CE65" s="384"/>
      <c r="CF65" s="384"/>
      <c r="CG65" s="391"/>
      <c r="CH65" s="217"/>
      <c r="CI65" s="20"/>
      <c r="CJ65" s="15"/>
      <c r="CK65" s="532">
        <f t="shared" si="50"/>
        <v>0</v>
      </c>
      <c r="CL65" s="533">
        <f t="shared" si="51"/>
        <v>0</v>
      </c>
      <c r="CM65" s="372"/>
      <c r="CN65" s="372"/>
      <c r="CO65" s="372"/>
      <c r="CP65" s="372"/>
      <c r="CQ65" s="372"/>
      <c r="CR65" s="372"/>
      <c r="CS65" s="372"/>
      <c r="CT65" s="372"/>
      <c r="CU65" s="372"/>
      <c r="CV65" s="372"/>
      <c r="CW65" s="372"/>
      <c r="CX65" s="372"/>
      <c r="CY65" s="372"/>
      <c r="CZ65" s="372"/>
      <c r="DA65" s="372"/>
      <c r="DB65" s="372"/>
      <c r="DC65" s="372"/>
      <c r="DD65" s="372"/>
      <c r="DE65" s="372"/>
      <c r="DF65" s="372"/>
      <c r="DG65" s="372"/>
      <c r="DH65" s="372"/>
      <c r="DI65" s="372"/>
      <c r="DJ65" s="372"/>
      <c r="DK65" s="372"/>
      <c r="DL65" s="372"/>
      <c r="DM65" s="372"/>
      <c r="DN65" s="372"/>
      <c r="DO65" s="372"/>
      <c r="DP65" s="372"/>
      <c r="DQ65" s="372"/>
      <c r="DR65" s="372"/>
      <c r="DS65" s="372"/>
      <c r="DT65" s="372"/>
      <c r="DU65" s="372"/>
      <c r="DV65" s="372"/>
      <c r="DW65" s="372"/>
      <c r="DX65" s="372"/>
      <c r="DY65" s="372"/>
      <c r="DZ65" s="372"/>
      <c r="EA65" s="372"/>
      <c r="EB65" s="372"/>
      <c r="EC65" s="372"/>
      <c r="ED65" s="372"/>
      <c r="EE65" s="372"/>
      <c r="EF65" s="372"/>
      <c r="EG65" s="372"/>
      <c r="EH65" s="372"/>
      <c r="EI65" s="372"/>
      <c r="EJ65" s="372"/>
      <c r="EK65" s="372"/>
      <c r="EL65" s="372"/>
      <c r="EM65" s="372"/>
      <c r="EN65" s="372"/>
      <c r="EO65" s="372"/>
      <c r="EP65" s="372"/>
      <c r="EQ65" s="372"/>
      <c r="ER65" s="372"/>
      <c r="ES65" s="372"/>
    </row>
    <row r="66" spans="1:149" s="126" customFormat="1" ht="19.5" hidden="1" customHeight="1" x14ac:dyDescent="0.45">
      <c r="A66" s="143"/>
      <c r="B66" s="143"/>
      <c r="C66" s="143"/>
      <c r="D66" s="143"/>
      <c r="E66" s="135">
        <v>56</v>
      </c>
      <c r="F66" s="143" t="s">
        <v>87</v>
      </c>
      <c r="G66" s="383" t="s">
        <v>169</v>
      </c>
      <c r="H66" s="143" t="s">
        <v>186</v>
      </c>
      <c r="I66" s="143" t="s">
        <v>11</v>
      </c>
      <c r="J66" s="159">
        <v>2</v>
      </c>
      <c r="K66" s="20">
        <v>50</v>
      </c>
      <c r="L66" s="178">
        <v>1</v>
      </c>
      <c r="M66" s="156" t="s">
        <v>172</v>
      </c>
      <c r="N66" s="20">
        <f>L66*K66*J66</f>
        <v>100</v>
      </c>
      <c r="O66" s="20">
        <v>0</v>
      </c>
      <c r="P66" s="20">
        <f>SUM(N66:O66)</f>
        <v>100</v>
      </c>
      <c r="Q66" s="159">
        <v>0</v>
      </c>
      <c r="R66" s="20">
        <f>K66*$J$7</f>
        <v>52</v>
      </c>
      <c r="S66" s="178">
        <v>1</v>
      </c>
      <c r="T66" s="20">
        <f>Q66*R66*S66</f>
        <v>0</v>
      </c>
      <c r="U66" s="20">
        <v>0</v>
      </c>
      <c r="V66" s="20">
        <f>SUM(T66:U66)</f>
        <v>0</v>
      </c>
      <c r="W66" s="159">
        <v>2</v>
      </c>
      <c r="X66" s="20">
        <f>K66*$J$7*$J$7</f>
        <v>54.08</v>
      </c>
      <c r="Y66" s="178">
        <v>1</v>
      </c>
      <c r="Z66" s="20">
        <f>W66*X66*Y66</f>
        <v>108.16</v>
      </c>
      <c r="AA66" s="20">
        <v>0</v>
      </c>
      <c r="AB66" s="20">
        <f>SUM(Z66:AA66)</f>
        <v>108.16</v>
      </c>
      <c r="AC66" s="159">
        <v>0</v>
      </c>
      <c r="AD66" s="20">
        <f>K66*$J$7*$J$7*$J$7</f>
        <v>56.243200000000002</v>
      </c>
      <c r="AE66" s="178">
        <v>1</v>
      </c>
      <c r="AF66" s="20">
        <f>AC66*AD66*AE66</f>
        <v>0</v>
      </c>
      <c r="AG66" s="20">
        <v>0</v>
      </c>
      <c r="AH66" s="20">
        <f>SUM(AF66:AG66)</f>
        <v>0</v>
      </c>
      <c r="AI66" s="159">
        <v>0</v>
      </c>
      <c r="AJ66" s="20">
        <f>K66*$J$7*$J$7*$J$7*$J$7</f>
        <v>58.492928000000006</v>
      </c>
      <c r="AK66" s="178">
        <v>1</v>
      </c>
      <c r="AL66" s="20">
        <f>AI66*AJ66*AK66</f>
        <v>0</v>
      </c>
      <c r="AM66" s="20">
        <v>0</v>
      </c>
      <c r="AN66" s="20">
        <f>SUM(AL66:AM66)</f>
        <v>0</v>
      </c>
      <c r="AO66" s="20">
        <f t="shared" ref="AO66:AP69" si="72">N66+T66+Z66+AF66+AL66</f>
        <v>208.16</v>
      </c>
      <c r="AP66" s="20">
        <f t="shared" si="72"/>
        <v>0</v>
      </c>
      <c r="AQ66" s="20">
        <f>SUM(AO66:AP66)</f>
        <v>208.16</v>
      </c>
      <c r="AR66" s="147">
        <v>0</v>
      </c>
      <c r="AS66" s="20">
        <v>0</v>
      </c>
      <c r="AT66" s="147">
        <v>0</v>
      </c>
      <c r="AU66" s="20">
        <v>0</v>
      </c>
      <c r="AV66" s="20">
        <f t="shared" ref="AV66:AW69" si="73">AR66+AT66</f>
        <v>0</v>
      </c>
      <c r="AW66" s="20">
        <f t="shared" si="73"/>
        <v>0</v>
      </c>
      <c r="AX66" s="20">
        <f>AV66+AW66</f>
        <v>0</v>
      </c>
      <c r="AY66" s="20">
        <f>AQ66-AX66</f>
        <v>208.16</v>
      </c>
      <c r="AZ66" s="147">
        <f>AQ66-AR66-AS66-AT66-AU66</f>
        <v>208.16</v>
      </c>
      <c r="BA66" s="15">
        <f>AY66-AZ66</f>
        <v>0</v>
      </c>
      <c r="BB66" s="248"/>
      <c r="BC66" s="147">
        <v>0</v>
      </c>
      <c r="BD66" s="147"/>
      <c r="BE66" s="147">
        <v>0</v>
      </c>
      <c r="BF66" s="147">
        <f>AA66</f>
        <v>0</v>
      </c>
      <c r="BG66" s="147">
        <f>SUM(BE66:BF66)</f>
        <v>0</v>
      </c>
      <c r="BH66" s="416" t="s">
        <v>202</v>
      </c>
      <c r="BI66" s="248"/>
      <c r="BJ66" s="147">
        <v>0</v>
      </c>
      <c r="BK66" s="147"/>
      <c r="BL66" s="147">
        <v>0</v>
      </c>
      <c r="BM66" s="147">
        <f>AG66</f>
        <v>0</v>
      </c>
      <c r="BN66" s="229">
        <f>SUM(BL66:BM66)</f>
        <v>0</v>
      </c>
      <c r="BO66" s="435"/>
      <c r="BP66" s="147">
        <v>0</v>
      </c>
      <c r="BQ66" s="147"/>
      <c r="BR66" s="147">
        <v>0</v>
      </c>
      <c r="BS66" s="147">
        <f>AM66</f>
        <v>0</v>
      </c>
      <c r="BT66" s="229">
        <v>0</v>
      </c>
      <c r="BU66" s="248"/>
      <c r="BV66" s="147">
        <v>0</v>
      </c>
      <c r="BW66" s="147"/>
      <c r="BX66" s="147">
        <v>0</v>
      </c>
      <c r="BY66" s="147">
        <f>AS66</f>
        <v>0</v>
      </c>
      <c r="BZ66" s="229">
        <v>0</v>
      </c>
      <c r="CA66" s="228">
        <f>BR66+BL66+BE66+BX66</f>
        <v>0</v>
      </c>
      <c r="CB66" s="147">
        <f t="shared" ref="CB66:CC69" si="74">BS66+BM66+BF66</f>
        <v>0</v>
      </c>
      <c r="CC66" s="229">
        <f>CA66+CB66</f>
        <v>0</v>
      </c>
      <c r="CD66" s="23"/>
      <c r="CE66" s="20">
        <f t="shared" ref="CE66:CF69" si="75">AV66+CA66</f>
        <v>0</v>
      </c>
      <c r="CF66" s="20">
        <f t="shared" si="75"/>
        <v>0</v>
      </c>
      <c r="CG66" s="15">
        <f>CE66+CF66</f>
        <v>0</v>
      </c>
      <c r="CH66" s="376">
        <f t="shared" ref="CH66:CJ69" si="76">AO66-CE66</f>
        <v>208.16</v>
      </c>
      <c r="CI66" s="377">
        <f t="shared" si="76"/>
        <v>0</v>
      </c>
      <c r="CJ66" s="522">
        <f t="shared" si="76"/>
        <v>208.16</v>
      </c>
      <c r="CK66" s="532">
        <f t="shared" si="50"/>
        <v>-208</v>
      </c>
      <c r="CL66" s="533">
        <f t="shared" si="51"/>
        <v>0.15999999999999659</v>
      </c>
      <c r="CM66" s="372"/>
      <c r="CN66" s="372"/>
      <c r="CO66" s="372"/>
      <c r="CP66" s="372"/>
      <c r="CQ66" s="372"/>
      <c r="CR66" s="372"/>
      <c r="CS66" s="372"/>
      <c r="CT66" s="372"/>
      <c r="CU66" s="372"/>
      <c r="CV66" s="372"/>
      <c r="CW66" s="372"/>
      <c r="CX66" s="372"/>
      <c r="CY66" s="372"/>
      <c r="CZ66" s="372"/>
      <c r="DA66" s="372"/>
      <c r="DB66" s="372"/>
      <c r="DC66" s="372"/>
      <c r="DD66" s="372"/>
      <c r="DE66" s="372"/>
      <c r="DF66" s="372"/>
      <c r="DG66" s="372"/>
      <c r="DH66" s="372">
        <v>-208</v>
      </c>
      <c r="DI66" s="372"/>
      <c r="DJ66" s="372"/>
      <c r="DK66" s="372"/>
      <c r="DL66" s="372"/>
      <c r="DM66" s="372"/>
      <c r="DN66" s="372"/>
      <c r="DO66" s="372"/>
      <c r="DP66" s="372"/>
      <c r="DQ66" s="372"/>
      <c r="DR66" s="372"/>
      <c r="DS66" s="372"/>
      <c r="DT66" s="372"/>
      <c r="DU66" s="372"/>
      <c r="DV66" s="372"/>
      <c r="DW66" s="372"/>
      <c r="DX66" s="372"/>
      <c r="DY66" s="372"/>
      <c r="DZ66" s="372"/>
      <c r="EA66" s="372"/>
      <c r="EB66" s="372"/>
      <c r="EC66" s="372"/>
      <c r="ED66" s="372"/>
      <c r="EE66" s="372"/>
      <c r="EF66" s="372"/>
      <c r="EG66" s="372"/>
      <c r="EH66" s="372"/>
      <c r="EI66" s="372"/>
      <c r="EJ66" s="372"/>
      <c r="EK66" s="372"/>
      <c r="EL66" s="372"/>
      <c r="EM66" s="372"/>
      <c r="EN66" s="372"/>
      <c r="EO66" s="372"/>
      <c r="EP66" s="372"/>
      <c r="EQ66" s="372"/>
      <c r="ER66" s="372"/>
      <c r="ES66" s="372"/>
    </row>
    <row r="67" spans="1:149" s="126" customFormat="1" ht="19.5" hidden="1" customHeight="1" x14ac:dyDescent="0.45">
      <c r="A67" s="143"/>
      <c r="B67" s="143"/>
      <c r="C67" s="143"/>
      <c r="D67" s="143"/>
      <c r="E67" s="135">
        <v>57</v>
      </c>
      <c r="F67" s="143" t="s">
        <v>88</v>
      </c>
      <c r="G67" s="383" t="s">
        <v>169</v>
      </c>
      <c r="H67" s="143" t="s">
        <v>186</v>
      </c>
      <c r="I67" s="143" t="s">
        <v>11</v>
      </c>
      <c r="J67" s="159">
        <v>2</v>
      </c>
      <c r="K67" s="20">
        <v>40</v>
      </c>
      <c r="L67" s="178">
        <v>2</v>
      </c>
      <c r="M67" s="156" t="s">
        <v>175</v>
      </c>
      <c r="N67" s="20">
        <f>L67*K67*J67</f>
        <v>160</v>
      </c>
      <c r="O67" s="20">
        <v>0</v>
      </c>
      <c r="P67" s="20">
        <f>SUM(N67:O67)</f>
        <v>160</v>
      </c>
      <c r="Q67" s="159">
        <v>0</v>
      </c>
      <c r="R67" s="20">
        <f>K67*$J$7</f>
        <v>41.6</v>
      </c>
      <c r="S67" s="178">
        <v>2</v>
      </c>
      <c r="T67" s="20">
        <f>Q67*R67*S67</f>
        <v>0</v>
      </c>
      <c r="U67" s="20">
        <v>0</v>
      </c>
      <c r="V67" s="20">
        <f>SUM(T67:U67)</f>
        <v>0</v>
      </c>
      <c r="W67" s="159">
        <v>2</v>
      </c>
      <c r="X67" s="20">
        <f>K67*$J$7*$J$7</f>
        <v>43.264000000000003</v>
      </c>
      <c r="Y67" s="178">
        <v>2</v>
      </c>
      <c r="Z67" s="20">
        <f>W67*X67*Y67</f>
        <v>173.05600000000001</v>
      </c>
      <c r="AA67" s="20">
        <v>0</v>
      </c>
      <c r="AB67" s="20">
        <f>SUM(Z67:AA67)</f>
        <v>173.05600000000001</v>
      </c>
      <c r="AC67" s="159">
        <v>0</v>
      </c>
      <c r="AD67" s="20">
        <f>K67*$J$7*$J$7*$J$7</f>
        <v>44.994560000000007</v>
      </c>
      <c r="AE67" s="178">
        <v>2</v>
      </c>
      <c r="AF67" s="20">
        <f>AC67*AD67*AE67</f>
        <v>0</v>
      </c>
      <c r="AG67" s="20">
        <v>0</v>
      </c>
      <c r="AH67" s="20">
        <f>SUM(AF67:AG67)</f>
        <v>0</v>
      </c>
      <c r="AI67" s="159">
        <v>0</v>
      </c>
      <c r="AJ67" s="20">
        <f>K67*$J$7*$J$7*$J$7*$J$7</f>
        <v>46.794342400000012</v>
      </c>
      <c r="AK67" s="178">
        <v>2</v>
      </c>
      <c r="AL67" s="20">
        <f>AI67*AJ67*AK67</f>
        <v>0</v>
      </c>
      <c r="AM67" s="20">
        <v>0</v>
      </c>
      <c r="AN67" s="20">
        <f>SUM(AL67:AM67)</f>
        <v>0</v>
      </c>
      <c r="AO67" s="20">
        <f t="shared" si="72"/>
        <v>333.05600000000004</v>
      </c>
      <c r="AP67" s="20">
        <f t="shared" si="72"/>
        <v>0</v>
      </c>
      <c r="AQ67" s="20">
        <f>SUM(AO67:AP67)</f>
        <v>333.05600000000004</v>
      </c>
      <c r="AR67" s="147">
        <v>0</v>
      </c>
      <c r="AS67" s="20">
        <v>0</v>
      </c>
      <c r="AT67" s="147">
        <v>0</v>
      </c>
      <c r="AU67" s="20">
        <v>0</v>
      </c>
      <c r="AV67" s="20">
        <f t="shared" si="73"/>
        <v>0</v>
      </c>
      <c r="AW67" s="20">
        <f t="shared" si="73"/>
        <v>0</v>
      </c>
      <c r="AX67" s="20">
        <f>AV67+AW67</f>
        <v>0</v>
      </c>
      <c r="AY67" s="20">
        <f>AQ67-AX67</f>
        <v>333.05600000000004</v>
      </c>
      <c r="AZ67" s="147">
        <f>AQ67-AR67-AS67-AT67-AU67</f>
        <v>333.05600000000004</v>
      </c>
      <c r="BA67" s="15">
        <f>AY67-AZ67</f>
        <v>0</v>
      </c>
      <c r="BB67" s="248"/>
      <c r="BC67" s="147">
        <v>0</v>
      </c>
      <c r="BD67" s="147"/>
      <c r="BE67" s="147">
        <v>0</v>
      </c>
      <c r="BF67" s="147">
        <f>AA67</f>
        <v>0</v>
      </c>
      <c r="BG67" s="147">
        <f>SUM(BE67:BF67)</f>
        <v>0</v>
      </c>
      <c r="BH67" s="416" t="s">
        <v>203</v>
      </c>
      <c r="BI67" s="248"/>
      <c r="BJ67" s="147">
        <v>0</v>
      </c>
      <c r="BK67" s="147"/>
      <c r="BL67" s="147">
        <v>0</v>
      </c>
      <c r="BM67" s="147">
        <f>AG67</f>
        <v>0</v>
      </c>
      <c r="BN67" s="229">
        <f>SUM(BL67:BM67)</f>
        <v>0</v>
      </c>
      <c r="BO67" s="435"/>
      <c r="BP67" s="147">
        <v>0</v>
      </c>
      <c r="BQ67" s="147"/>
      <c r="BR67" s="147">
        <v>0</v>
      </c>
      <c r="BS67" s="147">
        <f>AM67</f>
        <v>0</v>
      </c>
      <c r="BT67" s="229">
        <v>0</v>
      </c>
      <c r="BU67" s="248"/>
      <c r="BV67" s="147">
        <v>0</v>
      </c>
      <c r="BW67" s="147"/>
      <c r="BX67" s="147">
        <v>0</v>
      </c>
      <c r="BY67" s="147">
        <f>AS67</f>
        <v>0</v>
      </c>
      <c r="BZ67" s="229">
        <v>0</v>
      </c>
      <c r="CA67" s="228">
        <f>BR67+BL67+BE67+BX67</f>
        <v>0</v>
      </c>
      <c r="CB67" s="147">
        <f t="shared" si="74"/>
        <v>0</v>
      </c>
      <c r="CC67" s="229">
        <f t="shared" si="74"/>
        <v>0</v>
      </c>
      <c r="CD67" s="23"/>
      <c r="CE67" s="20">
        <f t="shared" si="75"/>
        <v>0</v>
      </c>
      <c r="CF67" s="20">
        <f t="shared" si="75"/>
        <v>0</v>
      </c>
      <c r="CG67" s="15">
        <f>CE67+CF67</f>
        <v>0</v>
      </c>
      <c r="CH67" s="376">
        <f t="shared" si="76"/>
        <v>333.05600000000004</v>
      </c>
      <c r="CI67" s="377">
        <f t="shared" si="76"/>
        <v>0</v>
      </c>
      <c r="CJ67" s="522">
        <f t="shared" si="76"/>
        <v>333.05600000000004</v>
      </c>
      <c r="CK67" s="532">
        <f t="shared" si="50"/>
        <v>-333</v>
      </c>
      <c r="CL67" s="533">
        <f t="shared" si="51"/>
        <v>5.6000000000040018E-2</v>
      </c>
      <c r="CM67" s="372"/>
      <c r="CN67" s="372"/>
      <c r="CO67" s="372"/>
      <c r="CP67" s="372"/>
      <c r="CQ67" s="372"/>
      <c r="CR67" s="372"/>
      <c r="CS67" s="372"/>
      <c r="CT67" s="372"/>
      <c r="CU67" s="372"/>
      <c r="CV67" s="372"/>
      <c r="CW67" s="372"/>
      <c r="CX67" s="372"/>
      <c r="CY67" s="372"/>
      <c r="CZ67" s="372"/>
      <c r="DA67" s="372"/>
      <c r="DB67" s="372"/>
      <c r="DC67" s="372"/>
      <c r="DD67" s="372"/>
      <c r="DE67" s="372"/>
      <c r="DF67" s="372"/>
      <c r="DG67" s="372"/>
      <c r="DH67" s="372"/>
      <c r="DI67" s="372">
        <v>-333</v>
      </c>
      <c r="DJ67" s="372"/>
      <c r="DK67" s="372"/>
      <c r="DL67" s="372"/>
      <c r="DM67" s="372"/>
      <c r="DN67" s="372"/>
      <c r="DO67" s="372"/>
      <c r="DP67" s="372"/>
      <c r="DQ67" s="372"/>
      <c r="DR67" s="372"/>
      <c r="DS67" s="372"/>
      <c r="DT67" s="372"/>
      <c r="DU67" s="372"/>
      <c r="DV67" s="372"/>
      <c r="DW67" s="372"/>
      <c r="DX67" s="372"/>
      <c r="DY67" s="372"/>
      <c r="DZ67" s="372"/>
      <c r="EA67" s="372"/>
      <c r="EB67" s="372"/>
      <c r="EC67" s="372"/>
      <c r="ED67" s="372"/>
      <c r="EE67" s="372"/>
      <c r="EF67" s="372"/>
      <c r="EG67" s="372"/>
      <c r="EH67" s="372"/>
      <c r="EI67" s="372"/>
      <c r="EJ67" s="372"/>
      <c r="EK67" s="372"/>
      <c r="EL67" s="372"/>
      <c r="EM67" s="372"/>
      <c r="EN67" s="372"/>
      <c r="EO67" s="372"/>
      <c r="EP67" s="372"/>
      <c r="EQ67" s="372"/>
      <c r="ER67" s="372"/>
      <c r="ES67" s="372"/>
    </row>
    <row r="68" spans="1:149" s="126" customFormat="1" ht="19.5" hidden="1" customHeight="1" x14ac:dyDescent="0.45">
      <c r="A68" s="143"/>
      <c r="B68" s="143"/>
      <c r="C68" s="143"/>
      <c r="D68" s="143"/>
      <c r="E68" s="143">
        <v>58</v>
      </c>
      <c r="F68" s="143" t="s">
        <v>89</v>
      </c>
      <c r="G68" s="383" t="s">
        <v>169</v>
      </c>
      <c r="H68" s="143" t="s">
        <v>186</v>
      </c>
      <c r="I68" s="143" t="s">
        <v>11</v>
      </c>
      <c r="J68" s="159">
        <v>2</v>
      </c>
      <c r="K68" s="20">
        <v>80</v>
      </c>
      <c r="L68" s="178">
        <v>2</v>
      </c>
      <c r="M68" s="156" t="s">
        <v>175</v>
      </c>
      <c r="N68" s="20">
        <f>L68*K68*J68</f>
        <v>320</v>
      </c>
      <c r="O68" s="20">
        <v>0</v>
      </c>
      <c r="P68" s="20">
        <f>SUM(N68:O68)</f>
        <v>320</v>
      </c>
      <c r="Q68" s="159">
        <v>0</v>
      </c>
      <c r="R68" s="20">
        <f>K68*$J$7</f>
        <v>83.2</v>
      </c>
      <c r="S68" s="178">
        <v>2</v>
      </c>
      <c r="T68" s="20">
        <f>Q68*R68*S68</f>
        <v>0</v>
      </c>
      <c r="U68" s="20">
        <v>0</v>
      </c>
      <c r="V68" s="20">
        <f>SUM(T68:U68)</f>
        <v>0</v>
      </c>
      <c r="W68" s="159">
        <v>2</v>
      </c>
      <c r="X68" s="20">
        <f>K68*$J$7*$J$7</f>
        <v>86.528000000000006</v>
      </c>
      <c r="Y68" s="178">
        <v>2</v>
      </c>
      <c r="Z68" s="20">
        <f>W68*X68*Y68</f>
        <v>346.11200000000002</v>
      </c>
      <c r="AA68" s="20">
        <v>0</v>
      </c>
      <c r="AB68" s="20">
        <f>SUM(Z68:AA68)</f>
        <v>346.11200000000002</v>
      </c>
      <c r="AC68" s="159">
        <v>0</v>
      </c>
      <c r="AD68" s="20">
        <f>K68*$J$7*$J$7*$J$7</f>
        <v>89.989120000000014</v>
      </c>
      <c r="AE68" s="178">
        <v>2</v>
      </c>
      <c r="AF68" s="20">
        <f>AC68*AD68*AE68</f>
        <v>0</v>
      </c>
      <c r="AG68" s="20">
        <v>0</v>
      </c>
      <c r="AH68" s="20">
        <f>SUM(AF68:AG68)</f>
        <v>0</v>
      </c>
      <c r="AI68" s="159">
        <v>0</v>
      </c>
      <c r="AJ68" s="20">
        <f>K68*$J$7*$J$7*$J$7*$J$7</f>
        <v>93.588684800000024</v>
      </c>
      <c r="AK68" s="178">
        <v>2</v>
      </c>
      <c r="AL68" s="20">
        <f>AI68*AJ68*AK68</f>
        <v>0</v>
      </c>
      <c r="AM68" s="20">
        <v>0</v>
      </c>
      <c r="AN68" s="20">
        <f>SUM(AL68:AM68)</f>
        <v>0</v>
      </c>
      <c r="AO68" s="20">
        <f t="shared" si="72"/>
        <v>666.11200000000008</v>
      </c>
      <c r="AP68" s="20">
        <f t="shared" si="72"/>
        <v>0</v>
      </c>
      <c r="AQ68" s="20">
        <f>SUM(AO68:AP68)</f>
        <v>666.11200000000008</v>
      </c>
      <c r="AR68" s="147">
        <v>0</v>
      </c>
      <c r="AS68" s="20">
        <v>0</v>
      </c>
      <c r="AT68" s="147">
        <v>0</v>
      </c>
      <c r="AU68" s="20">
        <v>0</v>
      </c>
      <c r="AV68" s="20">
        <f t="shared" si="73"/>
        <v>0</v>
      </c>
      <c r="AW68" s="20">
        <f t="shared" si="73"/>
        <v>0</v>
      </c>
      <c r="AX68" s="20">
        <f>AV68+AW68</f>
        <v>0</v>
      </c>
      <c r="AY68" s="20">
        <f>AQ68-AX68</f>
        <v>666.11200000000008</v>
      </c>
      <c r="AZ68" s="147">
        <f>AQ68-AR68-AS68-AT68-AU68</f>
        <v>666.11200000000008</v>
      </c>
      <c r="BA68" s="15">
        <f>AY68-AZ68</f>
        <v>0</v>
      </c>
      <c r="BB68" s="248"/>
      <c r="BC68" s="147">
        <v>0</v>
      </c>
      <c r="BD68" s="147"/>
      <c r="BE68" s="147">
        <v>0</v>
      </c>
      <c r="BF68" s="147">
        <f>AA68</f>
        <v>0</v>
      </c>
      <c r="BG68" s="147">
        <f>SUM(BE68:BF68)</f>
        <v>0</v>
      </c>
      <c r="BH68" s="416" t="s">
        <v>204</v>
      </c>
      <c r="BI68" s="248"/>
      <c r="BJ68" s="147">
        <v>0</v>
      </c>
      <c r="BK68" s="147"/>
      <c r="BL68" s="147">
        <v>0</v>
      </c>
      <c r="BM68" s="147">
        <f>AG68</f>
        <v>0</v>
      </c>
      <c r="BN68" s="229">
        <f>SUM(BL68:BM68)</f>
        <v>0</v>
      </c>
      <c r="BO68" s="435"/>
      <c r="BP68" s="147">
        <v>0</v>
      </c>
      <c r="BQ68" s="147"/>
      <c r="BR68" s="147">
        <v>0</v>
      </c>
      <c r="BS68" s="147">
        <f>AM68</f>
        <v>0</v>
      </c>
      <c r="BT68" s="229">
        <v>0</v>
      </c>
      <c r="BU68" s="248"/>
      <c r="BV68" s="147">
        <v>0</v>
      </c>
      <c r="BW68" s="147"/>
      <c r="BX68" s="147">
        <v>0</v>
      </c>
      <c r="BY68" s="147">
        <f>AS68</f>
        <v>0</v>
      </c>
      <c r="BZ68" s="229">
        <v>0</v>
      </c>
      <c r="CA68" s="228">
        <f>BR68+BL68+BE68+BX68</f>
        <v>0</v>
      </c>
      <c r="CB68" s="147">
        <f t="shared" si="74"/>
        <v>0</v>
      </c>
      <c r="CC68" s="229">
        <f t="shared" si="74"/>
        <v>0</v>
      </c>
      <c r="CD68" s="23"/>
      <c r="CE68" s="20">
        <f t="shared" si="75"/>
        <v>0</v>
      </c>
      <c r="CF68" s="20">
        <f t="shared" si="75"/>
        <v>0</v>
      </c>
      <c r="CG68" s="15">
        <f>CE68+CF68</f>
        <v>0</v>
      </c>
      <c r="CH68" s="376">
        <f t="shared" si="76"/>
        <v>666.11200000000008</v>
      </c>
      <c r="CI68" s="377">
        <f t="shared" si="76"/>
        <v>0</v>
      </c>
      <c r="CJ68" s="522">
        <f t="shared" si="76"/>
        <v>666.11200000000008</v>
      </c>
      <c r="CK68" s="532">
        <f t="shared" si="50"/>
        <v>-666</v>
      </c>
      <c r="CL68" s="533">
        <f t="shared" si="51"/>
        <v>0.11200000000008004</v>
      </c>
      <c r="CM68" s="372"/>
      <c r="CN68" s="372"/>
      <c r="CO68" s="372"/>
      <c r="CP68" s="372"/>
      <c r="CQ68" s="372"/>
      <c r="CR68" s="372"/>
      <c r="CS68" s="372"/>
      <c r="CT68" s="372"/>
      <c r="CU68" s="372"/>
      <c r="CV68" s="372"/>
      <c r="CW68" s="372"/>
      <c r="CX68" s="372"/>
      <c r="CY68" s="372"/>
      <c r="CZ68" s="372"/>
      <c r="DA68" s="372"/>
      <c r="DB68" s="372"/>
      <c r="DC68" s="372"/>
      <c r="DD68" s="372"/>
      <c r="DE68" s="372"/>
      <c r="DF68" s="372"/>
      <c r="DG68" s="372"/>
      <c r="DH68" s="372"/>
      <c r="DI68" s="372"/>
      <c r="DJ68" s="372">
        <v>-666</v>
      </c>
      <c r="DK68" s="372"/>
      <c r="DL68" s="372"/>
      <c r="DM68" s="372"/>
      <c r="DN68" s="372"/>
      <c r="DO68" s="372"/>
      <c r="DP68" s="372"/>
      <c r="DQ68" s="372"/>
      <c r="DR68" s="372"/>
      <c r="DS68" s="372"/>
      <c r="DT68" s="372"/>
      <c r="DU68" s="372"/>
      <c r="DV68" s="372"/>
      <c r="DW68" s="372"/>
      <c r="DX68" s="372"/>
      <c r="DY68" s="372"/>
      <c r="DZ68" s="372"/>
      <c r="EA68" s="372"/>
      <c r="EB68" s="372"/>
      <c r="EC68" s="372"/>
      <c r="ED68" s="372"/>
      <c r="EE68" s="372"/>
      <c r="EF68" s="372"/>
      <c r="EG68" s="372"/>
      <c r="EH68" s="372"/>
      <c r="EI68" s="372"/>
      <c r="EJ68" s="372"/>
      <c r="EK68" s="372"/>
      <c r="EL68" s="372"/>
      <c r="EM68" s="372"/>
      <c r="EN68" s="372"/>
      <c r="EO68" s="372"/>
      <c r="EP68" s="372"/>
      <c r="EQ68" s="372"/>
      <c r="ER68" s="372"/>
      <c r="ES68" s="372"/>
    </row>
    <row r="69" spans="1:149" s="126" customFormat="1" ht="19.5" hidden="1" customHeight="1" x14ac:dyDescent="0.45">
      <c r="A69" s="143"/>
      <c r="B69" s="143"/>
      <c r="C69" s="143"/>
      <c r="D69" s="143"/>
      <c r="E69" s="135">
        <v>59</v>
      </c>
      <c r="F69" s="143" t="s">
        <v>90</v>
      </c>
      <c r="G69" s="383" t="s">
        <v>169</v>
      </c>
      <c r="H69" s="143" t="s">
        <v>186</v>
      </c>
      <c r="I69" s="143" t="s">
        <v>11</v>
      </c>
      <c r="J69" s="159">
        <v>2</v>
      </c>
      <c r="K69" s="20">
        <v>25</v>
      </c>
      <c r="L69" s="178">
        <v>1</v>
      </c>
      <c r="M69" s="156" t="s">
        <v>172</v>
      </c>
      <c r="N69" s="20">
        <f>L69*K69*J69</f>
        <v>50</v>
      </c>
      <c r="O69" s="20">
        <v>0</v>
      </c>
      <c r="P69" s="20">
        <f>SUM(N69:O69)</f>
        <v>50</v>
      </c>
      <c r="Q69" s="159">
        <v>0</v>
      </c>
      <c r="R69" s="20">
        <f>K69*$J$7</f>
        <v>26</v>
      </c>
      <c r="S69" s="178">
        <v>1</v>
      </c>
      <c r="T69" s="20">
        <f>Q69*R69*S69</f>
        <v>0</v>
      </c>
      <c r="U69" s="20">
        <v>0</v>
      </c>
      <c r="V69" s="20">
        <f>SUM(T69:U69)</f>
        <v>0</v>
      </c>
      <c r="W69" s="159">
        <v>2</v>
      </c>
      <c r="X69" s="20">
        <f>K69*$J$7*$J$7</f>
        <v>27.04</v>
      </c>
      <c r="Y69" s="178">
        <v>1</v>
      </c>
      <c r="Z69" s="20">
        <f>W69*X69*Y69</f>
        <v>54.08</v>
      </c>
      <c r="AA69" s="20">
        <v>0</v>
      </c>
      <c r="AB69" s="20">
        <f>SUM(Z69:AA69)</f>
        <v>54.08</v>
      </c>
      <c r="AC69" s="159">
        <v>0</v>
      </c>
      <c r="AD69" s="20">
        <f>K69*$J$7*$J$7*$J$7</f>
        <v>28.121600000000001</v>
      </c>
      <c r="AE69" s="178">
        <v>1</v>
      </c>
      <c r="AF69" s="20">
        <f>AC69*AD69*AE69</f>
        <v>0</v>
      </c>
      <c r="AG69" s="20">
        <v>0</v>
      </c>
      <c r="AH69" s="20">
        <f>SUM(AF69:AG69)</f>
        <v>0</v>
      </c>
      <c r="AI69" s="159">
        <v>0</v>
      </c>
      <c r="AJ69" s="20">
        <f>K69*$J$7*$J$7*$J$7*$J$7</f>
        <v>29.246464000000003</v>
      </c>
      <c r="AK69" s="178">
        <v>1</v>
      </c>
      <c r="AL69" s="20">
        <f>AI69*AJ69*AK69</f>
        <v>0</v>
      </c>
      <c r="AM69" s="20">
        <v>0</v>
      </c>
      <c r="AN69" s="20">
        <f>SUM(AL69:AM69)</f>
        <v>0</v>
      </c>
      <c r="AO69" s="20">
        <f t="shared" si="72"/>
        <v>104.08</v>
      </c>
      <c r="AP69" s="20">
        <f t="shared" si="72"/>
        <v>0</v>
      </c>
      <c r="AQ69" s="20">
        <f>SUM(AO69:AP69)</f>
        <v>104.08</v>
      </c>
      <c r="AR69" s="147">
        <v>0</v>
      </c>
      <c r="AS69" s="20">
        <v>0</v>
      </c>
      <c r="AT69" s="147">
        <v>0</v>
      </c>
      <c r="AU69" s="20">
        <v>0</v>
      </c>
      <c r="AV69" s="20">
        <f t="shared" si="73"/>
        <v>0</v>
      </c>
      <c r="AW69" s="20">
        <f t="shared" si="73"/>
        <v>0</v>
      </c>
      <c r="AX69" s="20">
        <f>AV69+AW69</f>
        <v>0</v>
      </c>
      <c r="AY69" s="20">
        <f>AQ69-AX69</f>
        <v>104.08</v>
      </c>
      <c r="AZ69" s="147">
        <f>AQ69-AR69-AS69-AT69-AU69</f>
        <v>104.08</v>
      </c>
      <c r="BA69" s="15">
        <f>AY69-AZ69</f>
        <v>0</v>
      </c>
      <c r="BB69" s="248"/>
      <c r="BC69" s="147">
        <v>0</v>
      </c>
      <c r="BD69" s="147"/>
      <c r="BE69" s="147">
        <v>0</v>
      </c>
      <c r="BF69" s="147">
        <f>AA69</f>
        <v>0</v>
      </c>
      <c r="BG69" s="147">
        <f>SUM(BE69:BF69)</f>
        <v>0</v>
      </c>
      <c r="BH69" s="416" t="s">
        <v>205</v>
      </c>
      <c r="BI69" s="248"/>
      <c r="BJ69" s="147">
        <v>0</v>
      </c>
      <c r="BK69" s="147"/>
      <c r="BL69" s="147">
        <v>0</v>
      </c>
      <c r="BM69" s="147">
        <f>AG69</f>
        <v>0</v>
      </c>
      <c r="BN69" s="229">
        <f>SUM(BL69:BM69)</f>
        <v>0</v>
      </c>
      <c r="BO69" s="435"/>
      <c r="BP69" s="147">
        <v>0</v>
      </c>
      <c r="BQ69" s="147"/>
      <c r="BR69" s="147">
        <v>0</v>
      </c>
      <c r="BS69" s="147">
        <f>AM69</f>
        <v>0</v>
      </c>
      <c r="BT69" s="229">
        <v>0</v>
      </c>
      <c r="BU69" s="248"/>
      <c r="BV69" s="147">
        <v>0</v>
      </c>
      <c r="BW69" s="147"/>
      <c r="BX69" s="147">
        <v>0</v>
      </c>
      <c r="BY69" s="147">
        <f>AS69</f>
        <v>0</v>
      </c>
      <c r="BZ69" s="229">
        <v>0</v>
      </c>
      <c r="CA69" s="228">
        <f>BR69+BL69+BE69+BX69</f>
        <v>0</v>
      </c>
      <c r="CB69" s="147">
        <f t="shared" si="74"/>
        <v>0</v>
      </c>
      <c r="CC69" s="229">
        <f t="shared" si="74"/>
        <v>0</v>
      </c>
      <c r="CD69" s="23"/>
      <c r="CE69" s="20">
        <f t="shared" si="75"/>
        <v>0</v>
      </c>
      <c r="CF69" s="20">
        <f t="shared" si="75"/>
        <v>0</v>
      </c>
      <c r="CG69" s="15">
        <f>CE69+CF69</f>
        <v>0</v>
      </c>
      <c r="CH69" s="376">
        <f t="shared" si="76"/>
        <v>104.08</v>
      </c>
      <c r="CI69" s="377">
        <f t="shared" si="76"/>
        <v>0</v>
      </c>
      <c r="CJ69" s="522">
        <f t="shared" si="76"/>
        <v>104.08</v>
      </c>
      <c r="CK69" s="532">
        <f t="shared" si="50"/>
        <v>-104</v>
      </c>
      <c r="CL69" s="533">
        <f t="shared" si="51"/>
        <v>7.9999999999998295E-2</v>
      </c>
      <c r="CM69" s="372"/>
      <c r="CN69" s="372"/>
      <c r="CO69" s="372"/>
      <c r="CP69" s="372"/>
      <c r="CQ69" s="372"/>
      <c r="CR69" s="372"/>
      <c r="CS69" s="372"/>
      <c r="CT69" s="372"/>
      <c r="CU69" s="372"/>
      <c r="CV69" s="372"/>
      <c r="CW69" s="372"/>
      <c r="CX69" s="372"/>
      <c r="CY69" s="372"/>
      <c r="CZ69" s="372"/>
      <c r="DA69" s="372"/>
      <c r="DB69" s="372"/>
      <c r="DC69" s="372"/>
      <c r="DD69" s="372"/>
      <c r="DE69" s="372"/>
      <c r="DF69" s="372"/>
      <c r="DG69" s="372"/>
      <c r="DH69" s="372"/>
      <c r="DI69" s="372"/>
      <c r="DJ69" s="372"/>
      <c r="DK69" s="372">
        <v>-104</v>
      </c>
      <c r="DL69" s="372"/>
      <c r="DM69" s="372"/>
      <c r="DN69" s="372"/>
      <c r="DO69" s="372"/>
      <c r="DP69" s="372"/>
      <c r="DQ69" s="372"/>
      <c r="DR69" s="372"/>
      <c r="DS69" s="372"/>
      <c r="DT69" s="372"/>
      <c r="DU69" s="372"/>
      <c r="DV69" s="372"/>
      <c r="DW69" s="372"/>
      <c r="DX69" s="372"/>
      <c r="DY69" s="372"/>
      <c r="DZ69" s="372"/>
      <c r="EA69" s="372"/>
      <c r="EB69" s="372"/>
      <c r="EC69" s="372"/>
      <c r="ED69" s="372"/>
      <c r="EE69" s="372"/>
      <c r="EF69" s="372"/>
      <c r="EG69" s="372"/>
      <c r="EH69" s="372"/>
      <c r="EI69" s="372"/>
      <c r="EJ69" s="372"/>
      <c r="EK69" s="372"/>
      <c r="EL69" s="372"/>
      <c r="EM69" s="372"/>
      <c r="EN69" s="372"/>
      <c r="EO69" s="372"/>
      <c r="EP69" s="372"/>
      <c r="EQ69" s="372"/>
      <c r="ER69" s="372"/>
      <c r="ES69" s="372"/>
    </row>
    <row r="70" spans="1:149" s="126" customFormat="1" ht="19.5" hidden="1" customHeight="1" x14ac:dyDescent="0.45">
      <c r="A70" s="150"/>
      <c r="B70" s="150"/>
      <c r="C70" s="150"/>
      <c r="D70" s="150"/>
      <c r="E70" s="135">
        <v>60</v>
      </c>
      <c r="F70" s="150" t="s">
        <v>206</v>
      </c>
      <c r="G70" s="175"/>
      <c r="H70" s="150"/>
      <c r="I70" s="150"/>
      <c r="J70" s="143"/>
      <c r="K70" s="178"/>
      <c r="L70" s="143"/>
      <c r="M70" s="143"/>
      <c r="N70" s="20"/>
      <c r="O70" s="20"/>
      <c r="P70" s="20"/>
      <c r="Q70" s="143"/>
      <c r="R70" s="143"/>
      <c r="S70" s="143"/>
      <c r="T70" s="20"/>
      <c r="U70" s="20"/>
      <c r="V70" s="20"/>
      <c r="W70" s="143"/>
      <c r="X70" s="143"/>
      <c r="Y70" s="143"/>
      <c r="Z70" s="20"/>
      <c r="AA70" s="20"/>
      <c r="AB70" s="20"/>
      <c r="AC70" s="143"/>
      <c r="AD70" s="143"/>
      <c r="AE70" s="143"/>
      <c r="AF70" s="20"/>
      <c r="AG70" s="20"/>
      <c r="AH70" s="20"/>
      <c r="AI70" s="143"/>
      <c r="AJ70" s="143"/>
      <c r="AK70" s="143"/>
      <c r="AL70" s="20"/>
      <c r="AM70" s="20"/>
      <c r="AN70" s="20"/>
      <c r="AO70" s="20"/>
      <c r="AP70" s="20"/>
      <c r="AQ70" s="20"/>
      <c r="AR70" s="20"/>
      <c r="AS70" s="20"/>
      <c r="AT70" s="20"/>
      <c r="AU70" s="20"/>
      <c r="AV70" s="20"/>
      <c r="AW70" s="20"/>
      <c r="AX70" s="20"/>
      <c r="AY70" s="20"/>
      <c r="AZ70" s="20"/>
      <c r="BA70" s="15"/>
      <c r="BB70" s="248"/>
      <c r="BC70" s="20"/>
      <c r="BD70" s="178"/>
      <c r="BE70" s="147"/>
      <c r="BF70" s="147"/>
      <c r="BG70" s="147"/>
      <c r="BH70" s="407"/>
      <c r="BI70" s="248"/>
      <c r="BJ70" s="20"/>
      <c r="BK70" s="178"/>
      <c r="BL70" s="147"/>
      <c r="BM70" s="147"/>
      <c r="BN70" s="229"/>
      <c r="BO70" s="435"/>
      <c r="BP70" s="20"/>
      <c r="BQ70" s="178"/>
      <c r="BR70" s="20"/>
      <c r="BS70" s="20"/>
      <c r="BT70" s="223"/>
      <c r="BU70" s="248"/>
      <c r="BV70" s="20"/>
      <c r="BW70" s="178"/>
      <c r="BX70" s="20"/>
      <c r="BY70" s="20"/>
      <c r="BZ70" s="223"/>
      <c r="CA70" s="228"/>
      <c r="CB70" s="147"/>
      <c r="CC70" s="229"/>
      <c r="CD70" s="23"/>
      <c r="CE70" s="20"/>
      <c r="CF70" s="20"/>
      <c r="CG70" s="15"/>
      <c r="CH70" s="217"/>
      <c r="CI70" s="20"/>
      <c r="CJ70" s="15"/>
      <c r="CK70" s="532">
        <f t="shared" si="50"/>
        <v>0</v>
      </c>
      <c r="CL70" s="533">
        <f t="shared" si="51"/>
        <v>0</v>
      </c>
      <c r="CM70" s="372"/>
      <c r="CN70" s="372"/>
      <c r="CO70" s="372"/>
      <c r="CP70" s="372"/>
      <c r="CQ70" s="372"/>
      <c r="CR70" s="372"/>
      <c r="CS70" s="372"/>
      <c r="CT70" s="372"/>
      <c r="CU70" s="372"/>
      <c r="CV70" s="372"/>
      <c r="CW70" s="372"/>
      <c r="CX70" s="372"/>
      <c r="CY70" s="372"/>
      <c r="CZ70" s="372"/>
      <c r="DA70" s="372"/>
      <c r="DB70" s="372"/>
      <c r="DC70" s="372"/>
      <c r="DD70" s="372"/>
      <c r="DE70" s="372"/>
      <c r="DF70" s="372"/>
      <c r="DG70" s="372"/>
      <c r="DH70" s="372"/>
      <c r="DI70" s="372"/>
      <c r="DJ70" s="372"/>
      <c r="DK70" s="372"/>
      <c r="DL70" s="372"/>
      <c r="DM70" s="372"/>
      <c r="DN70" s="372"/>
      <c r="DO70" s="372"/>
      <c r="DP70" s="372"/>
      <c r="DQ70" s="372"/>
      <c r="DR70" s="372"/>
      <c r="DS70" s="372"/>
      <c r="DT70" s="372"/>
      <c r="DU70" s="372"/>
      <c r="DV70" s="372"/>
      <c r="DW70" s="372"/>
      <c r="DX70" s="372"/>
      <c r="DY70" s="372"/>
      <c r="DZ70" s="372"/>
      <c r="EA70" s="372"/>
      <c r="EB70" s="372"/>
      <c r="EC70" s="372"/>
      <c r="ED70" s="372"/>
      <c r="EE70" s="372"/>
      <c r="EF70" s="372"/>
      <c r="EG70" s="372"/>
      <c r="EH70" s="372"/>
      <c r="EI70" s="372"/>
      <c r="EJ70" s="372"/>
      <c r="EK70" s="372"/>
      <c r="EL70" s="372"/>
      <c r="EM70" s="372"/>
      <c r="EN70" s="372"/>
      <c r="EO70" s="372"/>
      <c r="EP70" s="372"/>
      <c r="EQ70" s="372"/>
      <c r="ER70" s="372"/>
      <c r="ES70" s="372"/>
    </row>
    <row r="71" spans="1:149" s="126" customFormat="1" ht="19.5" hidden="1" customHeight="1" x14ac:dyDescent="0.45">
      <c r="A71" s="143"/>
      <c r="B71" s="143"/>
      <c r="C71" s="143"/>
      <c r="D71" s="143"/>
      <c r="E71" s="135">
        <v>61</v>
      </c>
      <c r="F71" s="143" t="s">
        <v>91</v>
      </c>
      <c r="G71" s="383" t="s">
        <v>169</v>
      </c>
      <c r="H71" s="143" t="s">
        <v>186</v>
      </c>
      <c r="I71" s="143" t="s">
        <v>11</v>
      </c>
      <c r="J71" s="159">
        <v>17</v>
      </c>
      <c r="K71" s="20">
        <v>50</v>
      </c>
      <c r="L71" s="178">
        <v>1</v>
      </c>
      <c r="M71" s="156" t="s">
        <v>172</v>
      </c>
      <c r="N71" s="20">
        <f>L71*K71*J71</f>
        <v>850</v>
      </c>
      <c r="O71" s="20">
        <v>0</v>
      </c>
      <c r="P71" s="20">
        <f>SUM(N71:O71)</f>
        <v>850</v>
      </c>
      <c r="Q71" s="159">
        <v>17</v>
      </c>
      <c r="R71" s="20">
        <f>K71*$J$7</f>
        <v>52</v>
      </c>
      <c r="S71" s="178">
        <v>1</v>
      </c>
      <c r="T71" s="20">
        <f>Q71*R71*S71</f>
        <v>884</v>
      </c>
      <c r="U71" s="20">
        <v>0</v>
      </c>
      <c r="V71" s="20">
        <f>SUM(T71:U71)</f>
        <v>884</v>
      </c>
      <c r="W71" s="159">
        <v>17</v>
      </c>
      <c r="X71" s="20">
        <f>K71*$J$7*$J$7</f>
        <v>54.08</v>
      </c>
      <c r="Y71" s="178">
        <v>1</v>
      </c>
      <c r="Z71" s="20">
        <f>W71*X71*Y71</f>
        <v>919.36</v>
      </c>
      <c r="AA71" s="20">
        <v>0</v>
      </c>
      <c r="AB71" s="20">
        <f>SUM(Z71:AA71)</f>
        <v>919.36</v>
      </c>
      <c r="AC71" s="159">
        <v>17</v>
      </c>
      <c r="AD71" s="20">
        <f>K71*$J$7*$J$7*$J$7</f>
        <v>56.243200000000002</v>
      </c>
      <c r="AE71" s="178">
        <v>1</v>
      </c>
      <c r="AF71" s="20">
        <f>AC71*AD71*AE71</f>
        <v>956.13440000000003</v>
      </c>
      <c r="AG71" s="20">
        <v>0</v>
      </c>
      <c r="AH71" s="20">
        <f>SUM(AF71:AG71)</f>
        <v>956.13440000000003</v>
      </c>
      <c r="AI71" s="159">
        <v>17</v>
      </c>
      <c r="AJ71" s="20">
        <f>K71*$J$7*$J$7*$J$7*$J$7</f>
        <v>58.492928000000006</v>
      </c>
      <c r="AK71" s="178">
        <v>1</v>
      </c>
      <c r="AL71" s="20">
        <f>AI71*AJ71*AK71</f>
        <v>994.37977600000011</v>
      </c>
      <c r="AM71" s="20">
        <v>0</v>
      </c>
      <c r="AN71" s="20">
        <f>SUM(AL71:AM71)</f>
        <v>994.37977600000011</v>
      </c>
      <c r="AO71" s="20">
        <f t="shared" ref="AO71:AP74" si="77">N71+T71+Z71+AF71+AL71</f>
        <v>4603.8741760000003</v>
      </c>
      <c r="AP71" s="20">
        <f t="shared" si="77"/>
        <v>0</v>
      </c>
      <c r="AQ71" s="20">
        <f>SUM(AO71:AP71)</f>
        <v>4603.8741760000003</v>
      </c>
      <c r="AR71" s="147">
        <v>0</v>
      </c>
      <c r="AS71" s="20">
        <v>0</v>
      </c>
      <c r="AT71" s="147">
        <v>0</v>
      </c>
      <c r="AU71" s="20">
        <v>0</v>
      </c>
      <c r="AV71" s="20">
        <f t="shared" ref="AV71:AW74" si="78">AR71+AT71</f>
        <v>0</v>
      </c>
      <c r="AW71" s="20">
        <f t="shared" si="78"/>
        <v>0</v>
      </c>
      <c r="AX71" s="20">
        <f>AV71+AW71</f>
        <v>0</v>
      </c>
      <c r="AY71" s="20">
        <f>AQ71-AX71</f>
        <v>4603.8741760000003</v>
      </c>
      <c r="AZ71" s="147">
        <f>AQ71-AR71-AS71-AT71-AU71</f>
        <v>4603.8741760000003</v>
      </c>
      <c r="BA71" s="15">
        <f>AY71-AZ71</f>
        <v>0</v>
      </c>
      <c r="BB71" s="248"/>
      <c r="BC71" s="147">
        <v>0</v>
      </c>
      <c r="BD71" s="147"/>
      <c r="BE71" s="147">
        <v>0</v>
      </c>
      <c r="BF71" s="147">
        <f>AA71</f>
        <v>0</v>
      </c>
      <c r="BG71" s="147">
        <f>SUM(BE71:BF71)</f>
        <v>0</v>
      </c>
      <c r="BH71" s="416" t="s">
        <v>207</v>
      </c>
      <c r="BI71" s="248"/>
      <c r="BJ71" s="147">
        <v>0</v>
      </c>
      <c r="BK71" s="147"/>
      <c r="BL71" s="147">
        <v>0</v>
      </c>
      <c r="BM71" s="147">
        <f>AG71</f>
        <v>0</v>
      </c>
      <c r="BN71" s="229">
        <f>SUM(BL71:BM71)</f>
        <v>0</v>
      </c>
      <c r="BO71" s="435"/>
      <c r="BP71" s="147">
        <v>0</v>
      </c>
      <c r="BQ71" s="147"/>
      <c r="BR71" s="147">
        <v>0</v>
      </c>
      <c r="BS71" s="147">
        <f>AM71</f>
        <v>0</v>
      </c>
      <c r="BT71" s="229">
        <v>0</v>
      </c>
      <c r="BU71" s="248"/>
      <c r="BV71" s="147">
        <v>0</v>
      </c>
      <c r="BW71" s="147"/>
      <c r="BX71" s="147">
        <v>0</v>
      </c>
      <c r="BY71" s="147">
        <f>AS71</f>
        <v>0</v>
      </c>
      <c r="BZ71" s="229">
        <v>0</v>
      </c>
      <c r="CA71" s="228">
        <f>BR71+BL71+BE71+BX71</f>
        <v>0</v>
      </c>
      <c r="CB71" s="147">
        <f t="shared" ref="CB71:CC74" si="79">BS71+BM71+BF71</f>
        <v>0</v>
      </c>
      <c r="CC71" s="229">
        <f t="shared" si="79"/>
        <v>0</v>
      </c>
      <c r="CD71" s="23"/>
      <c r="CE71" s="20">
        <f t="shared" ref="CE71:CF74" si="80">AV71+CA71</f>
        <v>0</v>
      </c>
      <c r="CF71" s="20">
        <f t="shared" si="80"/>
        <v>0</v>
      </c>
      <c r="CG71" s="15">
        <f>CE71+CF71</f>
        <v>0</v>
      </c>
      <c r="CH71" s="376">
        <f t="shared" ref="CH71:CJ74" si="81">AO71-CE71</f>
        <v>4603.8741760000003</v>
      </c>
      <c r="CI71" s="377">
        <f t="shared" si="81"/>
        <v>0</v>
      </c>
      <c r="CJ71" s="522">
        <f t="shared" si="81"/>
        <v>4603.8741760000003</v>
      </c>
      <c r="CK71" s="532">
        <f t="shared" si="50"/>
        <v>-4604</v>
      </c>
      <c r="CL71" s="533">
        <f t="shared" si="51"/>
        <v>-0.12582399999973859</v>
      </c>
      <c r="CM71" s="372"/>
      <c r="CN71" s="372"/>
      <c r="CO71" s="372"/>
      <c r="CP71" s="372"/>
      <c r="CQ71" s="372"/>
      <c r="CR71" s="372"/>
      <c r="CS71" s="372"/>
      <c r="CT71" s="372"/>
      <c r="CU71" s="372"/>
      <c r="CV71" s="372"/>
      <c r="CW71" s="372"/>
      <c r="CX71" s="372"/>
      <c r="CY71" s="372"/>
      <c r="CZ71" s="372"/>
      <c r="DA71" s="372"/>
      <c r="DB71" s="372"/>
      <c r="DC71" s="372"/>
      <c r="DD71" s="372"/>
      <c r="DE71" s="372"/>
      <c r="DF71" s="372"/>
      <c r="DG71" s="372"/>
      <c r="DH71" s="372"/>
      <c r="DI71" s="372"/>
      <c r="DJ71" s="372"/>
      <c r="DK71" s="372"/>
      <c r="DL71" s="372">
        <v>-4604</v>
      </c>
      <c r="DM71" s="372"/>
      <c r="DN71" s="372"/>
      <c r="DO71" s="372"/>
      <c r="DP71" s="372"/>
      <c r="DQ71" s="372"/>
      <c r="DR71" s="372"/>
      <c r="DS71" s="372"/>
      <c r="DT71" s="372"/>
      <c r="DU71" s="372"/>
      <c r="DV71" s="372"/>
      <c r="DW71" s="372"/>
      <c r="DX71" s="372"/>
      <c r="DY71" s="372"/>
      <c r="DZ71" s="372"/>
      <c r="EA71" s="372"/>
      <c r="EB71" s="372"/>
      <c r="EC71" s="372"/>
      <c r="ED71" s="372"/>
      <c r="EE71" s="372"/>
      <c r="EF71" s="372"/>
      <c r="EG71" s="372"/>
      <c r="EH71" s="372"/>
      <c r="EI71" s="372"/>
      <c r="EJ71" s="372"/>
      <c r="EK71" s="372"/>
      <c r="EL71" s="372"/>
      <c r="EM71" s="372"/>
      <c r="EN71" s="372"/>
      <c r="EO71" s="372"/>
      <c r="EP71" s="372"/>
      <c r="EQ71" s="372"/>
      <c r="ER71" s="372"/>
      <c r="ES71" s="372"/>
    </row>
    <row r="72" spans="1:149" s="126" customFormat="1" ht="19.5" hidden="1" customHeight="1" x14ac:dyDescent="0.45">
      <c r="A72" s="143"/>
      <c r="B72" s="143"/>
      <c r="C72" s="143"/>
      <c r="D72" s="143"/>
      <c r="E72" s="143">
        <v>62</v>
      </c>
      <c r="F72" s="143" t="s">
        <v>92</v>
      </c>
      <c r="G72" s="383" t="s">
        <v>169</v>
      </c>
      <c r="H72" s="143" t="s">
        <v>186</v>
      </c>
      <c r="I72" s="143" t="s">
        <v>11</v>
      </c>
      <c r="J72" s="159">
        <v>17</v>
      </c>
      <c r="K72" s="20">
        <v>40</v>
      </c>
      <c r="L72" s="178">
        <v>1</v>
      </c>
      <c r="M72" s="156" t="s">
        <v>175</v>
      </c>
      <c r="N72" s="20">
        <f>L72*K72*J72</f>
        <v>680</v>
      </c>
      <c r="O72" s="20">
        <v>0</v>
      </c>
      <c r="P72" s="20">
        <f>SUM(N72:O72)</f>
        <v>680</v>
      </c>
      <c r="Q72" s="159">
        <v>17</v>
      </c>
      <c r="R72" s="20">
        <f>K72*$J$7</f>
        <v>41.6</v>
      </c>
      <c r="S72" s="178">
        <v>1</v>
      </c>
      <c r="T72" s="20">
        <f>Q72*R72*S72</f>
        <v>707.2</v>
      </c>
      <c r="U72" s="20">
        <v>0</v>
      </c>
      <c r="V72" s="20">
        <f>SUM(T72:U72)</f>
        <v>707.2</v>
      </c>
      <c r="W72" s="159">
        <v>17</v>
      </c>
      <c r="X72" s="20">
        <f>K72*$J$7*$J$7</f>
        <v>43.264000000000003</v>
      </c>
      <c r="Y72" s="178">
        <v>1</v>
      </c>
      <c r="Z72" s="20">
        <f>W72*X72*Y72</f>
        <v>735.48800000000006</v>
      </c>
      <c r="AA72" s="20">
        <v>0</v>
      </c>
      <c r="AB72" s="20">
        <f>SUM(Z72:AA72)</f>
        <v>735.48800000000006</v>
      </c>
      <c r="AC72" s="159">
        <v>17</v>
      </c>
      <c r="AD72" s="20">
        <f>K72*$J$7*$J$7*$J$7</f>
        <v>44.994560000000007</v>
      </c>
      <c r="AE72" s="178">
        <v>1</v>
      </c>
      <c r="AF72" s="20">
        <f>AC72*AD72*AE72</f>
        <v>764.90752000000009</v>
      </c>
      <c r="AG72" s="20">
        <v>0</v>
      </c>
      <c r="AH72" s="20">
        <f>SUM(AF72:AG72)</f>
        <v>764.90752000000009</v>
      </c>
      <c r="AI72" s="159">
        <v>17</v>
      </c>
      <c r="AJ72" s="20">
        <f>K72*$J$7*$J$7*$J$7*$J$7</f>
        <v>46.794342400000012</v>
      </c>
      <c r="AK72" s="178">
        <v>1</v>
      </c>
      <c r="AL72" s="20">
        <f>AI72*AJ72*AK72</f>
        <v>795.5038208000002</v>
      </c>
      <c r="AM72" s="20">
        <v>0</v>
      </c>
      <c r="AN72" s="20">
        <f>SUM(AL72:AM72)</f>
        <v>795.5038208000002</v>
      </c>
      <c r="AO72" s="20">
        <f t="shared" si="77"/>
        <v>3683.0993408000004</v>
      </c>
      <c r="AP72" s="20">
        <f t="shared" si="77"/>
        <v>0</v>
      </c>
      <c r="AQ72" s="20">
        <f>SUM(AO72:AP72)</f>
        <v>3683.0993408000004</v>
      </c>
      <c r="AR72" s="147">
        <v>0</v>
      </c>
      <c r="AS72" s="20">
        <v>0</v>
      </c>
      <c r="AT72" s="147">
        <v>0</v>
      </c>
      <c r="AU72" s="20">
        <v>0</v>
      </c>
      <c r="AV72" s="20">
        <f t="shared" si="78"/>
        <v>0</v>
      </c>
      <c r="AW72" s="20">
        <f t="shared" si="78"/>
        <v>0</v>
      </c>
      <c r="AX72" s="20">
        <f>AV72+AW72</f>
        <v>0</v>
      </c>
      <c r="AY72" s="20">
        <f>AQ72-AX72</f>
        <v>3683.0993408000004</v>
      </c>
      <c r="AZ72" s="147">
        <f>AQ72-AR72-AS72-AT72-AU72</f>
        <v>3683.0993408000004</v>
      </c>
      <c r="BA72" s="15">
        <f>AY72-AZ72</f>
        <v>0</v>
      </c>
      <c r="BB72" s="248"/>
      <c r="BC72" s="147">
        <v>0</v>
      </c>
      <c r="BD72" s="147"/>
      <c r="BE72" s="147">
        <v>0</v>
      </c>
      <c r="BF72" s="147">
        <f>AA72</f>
        <v>0</v>
      </c>
      <c r="BG72" s="147">
        <f>SUM(BE72:BF72)</f>
        <v>0</v>
      </c>
      <c r="BH72" s="416" t="s">
        <v>208</v>
      </c>
      <c r="BI72" s="248"/>
      <c r="BJ72" s="147">
        <v>0</v>
      </c>
      <c r="BK72" s="147"/>
      <c r="BL72" s="147">
        <v>0</v>
      </c>
      <c r="BM72" s="147">
        <f>AG72</f>
        <v>0</v>
      </c>
      <c r="BN72" s="229">
        <f>SUM(BL72:BM72)</f>
        <v>0</v>
      </c>
      <c r="BO72" s="435"/>
      <c r="BP72" s="147">
        <v>0</v>
      </c>
      <c r="BQ72" s="147"/>
      <c r="BR72" s="147">
        <v>0</v>
      </c>
      <c r="BS72" s="147">
        <f>AM72</f>
        <v>0</v>
      </c>
      <c r="BT72" s="229">
        <v>0</v>
      </c>
      <c r="BU72" s="248"/>
      <c r="BV72" s="147">
        <v>0</v>
      </c>
      <c r="BW72" s="147"/>
      <c r="BX72" s="147">
        <v>0</v>
      </c>
      <c r="BY72" s="147">
        <f>AS72</f>
        <v>0</v>
      </c>
      <c r="BZ72" s="229">
        <v>0</v>
      </c>
      <c r="CA72" s="228">
        <f>BR72+BL72+BE72+BX72</f>
        <v>0</v>
      </c>
      <c r="CB72" s="147">
        <f t="shared" si="79"/>
        <v>0</v>
      </c>
      <c r="CC72" s="229">
        <f t="shared" si="79"/>
        <v>0</v>
      </c>
      <c r="CD72" s="23"/>
      <c r="CE72" s="20">
        <f t="shared" si="80"/>
        <v>0</v>
      </c>
      <c r="CF72" s="20">
        <f t="shared" si="80"/>
        <v>0</v>
      </c>
      <c r="CG72" s="15">
        <f>CE72+CF72</f>
        <v>0</v>
      </c>
      <c r="CH72" s="376">
        <f t="shared" si="81"/>
        <v>3683.0993408000004</v>
      </c>
      <c r="CI72" s="377">
        <f t="shared" si="81"/>
        <v>0</v>
      </c>
      <c r="CJ72" s="522">
        <f t="shared" si="81"/>
        <v>3683.0993408000004</v>
      </c>
      <c r="CK72" s="532">
        <f t="shared" si="50"/>
        <v>-3683</v>
      </c>
      <c r="CL72" s="533">
        <f t="shared" si="51"/>
        <v>9.9340800000391027E-2</v>
      </c>
      <c r="CM72" s="372"/>
      <c r="CN72" s="372"/>
      <c r="CO72" s="372"/>
      <c r="CP72" s="372"/>
      <c r="CQ72" s="372"/>
      <c r="CR72" s="372"/>
      <c r="CS72" s="372"/>
      <c r="CT72" s="372"/>
      <c r="CU72" s="372"/>
      <c r="CV72" s="372"/>
      <c r="CW72" s="372"/>
      <c r="CX72" s="372"/>
      <c r="CY72" s="372"/>
      <c r="CZ72" s="372"/>
      <c r="DA72" s="372"/>
      <c r="DB72" s="372"/>
      <c r="DC72" s="372"/>
      <c r="DD72" s="372"/>
      <c r="DE72" s="372"/>
      <c r="DF72" s="372"/>
      <c r="DG72" s="372"/>
      <c r="DH72" s="372"/>
      <c r="DI72" s="372"/>
      <c r="DJ72" s="372"/>
      <c r="DK72" s="372"/>
      <c r="DL72" s="372"/>
      <c r="DM72" s="372">
        <v>-3683</v>
      </c>
      <c r="DN72" s="372"/>
      <c r="DO72" s="372"/>
      <c r="DP72" s="372"/>
      <c r="DQ72" s="372"/>
      <c r="DR72" s="372"/>
      <c r="DS72" s="372"/>
      <c r="DT72" s="372"/>
      <c r="DU72" s="372"/>
      <c r="DV72" s="372"/>
      <c r="DW72" s="372"/>
      <c r="DX72" s="372"/>
      <c r="DY72" s="372"/>
      <c r="DZ72" s="372"/>
      <c r="EA72" s="372"/>
      <c r="EB72" s="372"/>
      <c r="EC72" s="372"/>
      <c r="ED72" s="372"/>
      <c r="EE72" s="372"/>
      <c r="EF72" s="372"/>
      <c r="EG72" s="372"/>
      <c r="EH72" s="372"/>
      <c r="EI72" s="372"/>
      <c r="EJ72" s="372"/>
      <c r="EK72" s="372"/>
      <c r="EL72" s="372"/>
      <c r="EM72" s="372"/>
      <c r="EN72" s="372"/>
      <c r="EO72" s="372"/>
      <c r="EP72" s="372"/>
      <c r="EQ72" s="372"/>
      <c r="ER72" s="372"/>
      <c r="ES72" s="372"/>
    </row>
    <row r="73" spans="1:149" s="126" customFormat="1" ht="19.5" hidden="1" customHeight="1" x14ac:dyDescent="0.45">
      <c r="A73" s="143"/>
      <c r="B73" s="143"/>
      <c r="C73" s="143"/>
      <c r="D73" s="143"/>
      <c r="E73" s="143">
        <v>63</v>
      </c>
      <c r="F73" s="143" t="s">
        <v>93</v>
      </c>
      <c r="G73" s="383" t="s">
        <v>169</v>
      </c>
      <c r="H73" s="143" t="s">
        <v>186</v>
      </c>
      <c r="I73" s="143" t="s">
        <v>11</v>
      </c>
      <c r="J73" s="159">
        <v>17</v>
      </c>
      <c r="K73" s="20">
        <v>80</v>
      </c>
      <c r="L73" s="178">
        <v>1</v>
      </c>
      <c r="M73" s="156" t="s">
        <v>175</v>
      </c>
      <c r="N73" s="20">
        <f>L73*K73*J73</f>
        <v>1360</v>
      </c>
      <c r="O73" s="20">
        <v>0</v>
      </c>
      <c r="P73" s="20">
        <f>SUM(N73:O73)</f>
        <v>1360</v>
      </c>
      <c r="Q73" s="159">
        <v>17</v>
      </c>
      <c r="R73" s="20">
        <f>K73*$J$7</f>
        <v>83.2</v>
      </c>
      <c r="S73" s="178">
        <v>1</v>
      </c>
      <c r="T73" s="20">
        <f>Q73*R73*S73</f>
        <v>1414.4</v>
      </c>
      <c r="U73" s="20">
        <v>0</v>
      </c>
      <c r="V73" s="20">
        <f>SUM(T73:U73)</f>
        <v>1414.4</v>
      </c>
      <c r="W73" s="159">
        <v>17</v>
      </c>
      <c r="X73" s="20">
        <f>K73*$J$7*$J$7</f>
        <v>86.528000000000006</v>
      </c>
      <c r="Y73" s="178">
        <v>1</v>
      </c>
      <c r="Z73" s="20">
        <f>W73*X73*Y73</f>
        <v>1470.9760000000001</v>
      </c>
      <c r="AA73" s="20">
        <v>0</v>
      </c>
      <c r="AB73" s="20">
        <f>SUM(Z73:AA73)</f>
        <v>1470.9760000000001</v>
      </c>
      <c r="AC73" s="159">
        <v>17</v>
      </c>
      <c r="AD73" s="20">
        <f>K73*$J$7*$J$7*$J$7</f>
        <v>89.989120000000014</v>
      </c>
      <c r="AE73" s="178">
        <v>1</v>
      </c>
      <c r="AF73" s="20">
        <f>AC73*AD73*AE73</f>
        <v>1529.8150400000002</v>
      </c>
      <c r="AG73" s="20">
        <v>0</v>
      </c>
      <c r="AH73" s="20">
        <f>SUM(AF73:AG73)</f>
        <v>1529.8150400000002</v>
      </c>
      <c r="AI73" s="159">
        <v>17</v>
      </c>
      <c r="AJ73" s="20">
        <f>K73*$J$7*$J$7*$J$7*$J$7</f>
        <v>93.588684800000024</v>
      </c>
      <c r="AK73" s="178">
        <v>1</v>
      </c>
      <c r="AL73" s="20">
        <f>AI73*AJ73*AK73</f>
        <v>1591.0076416000004</v>
      </c>
      <c r="AM73" s="20">
        <v>0</v>
      </c>
      <c r="AN73" s="20">
        <f>SUM(AL73:AM73)</f>
        <v>1591.0076416000004</v>
      </c>
      <c r="AO73" s="20">
        <f t="shared" si="77"/>
        <v>7366.1986816000008</v>
      </c>
      <c r="AP73" s="20">
        <f t="shared" si="77"/>
        <v>0</v>
      </c>
      <c r="AQ73" s="20">
        <f>SUM(AO73:AP73)</f>
        <v>7366.1986816000008</v>
      </c>
      <c r="AR73" s="147">
        <v>0</v>
      </c>
      <c r="AS73" s="20">
        <v>0</v>
      </c>
      <c r="AT73" s="147">
        <v>0</v>
      </c>
      <c r="AU73" s="20">
        <v>0</v>
      </c>
      <c r="AV73" s="20">
        <f t="shared" si="78"/>
        <v>0</v>
      </c>
      <c r="AW73" s="20">
        <f t="shared" si="78"/>
        <v>0</v>
      </c>
      <c r="AX73" s="20">
        <f>AV73+AW73</f>
        <v>0</v>
      </c>
      <c r="AY73" s="20">
        <f>AQ73-AX73</f>
        <v>7366.1986816000008</v>
      </c>
      <c r="AZ73" s="147">
        <f>AQ73-AR73-AS73-AT73-AU73</f>
        <v>7366.1986816000008</v>
      </c>
      <c r="BA73" s="15">
        <f>AY73-AZ73</f>
        <v>0</v>
      </c>
      <c r="BB73" s="248"/>
      <c r="BC73" s="147">
        <v>0</v>
      </c>
      <c r="BD73" s="147"/>
      <c r="BE73" s="147">
        <v>0</v>
      </c>
      <c r="BF73" s="147">
        <f>AA73</f>
        <v>0</v>
      </c>
      <c r="BG73" s="147">
        <f>SUM(BE73:BF73)</f>
        <v>0</v>
      </c>
      <c r="BH73" s="416" t="s">
        <v>209</v>
      </c>
      <c r="BI73" s="248"/>
      <c r="BJ73" s="147">
        <v>0</v>
      </c>
      <c r="BK73" s="147"/>
      <c r="BL73" s="147">
        <v>0</v>
      </c>
      <c r="BM73" s="147">
        <f>AG73</f>
        <v>0</v>
      </c>
      <c r="BN73" s="229">
        <f>SUM(BL73:BM73)</f>
        <v>0</v>
      </c>
      <c r="BO73" s="435"/>
      <c r="BP73" s="147">
        <v>0</v>
      </c>
      <c r="BQ73" s="147"/>
      <c r="BR73" s="147">
        <v>0</v>
      </c>
      <c r="BS73" s="147">
        <f>AM73</f>
        <v>0</v>
      </c>
      <c r="BT73" s="229">
        <v>0</v>
      </c>
      <c r="BU73" s="248"/>
      <c r="BV73" s="147">
        <v>0</v>
      </c>
      <c r="BW73" s="147"/>
      <c r="BX73" s="147">
        <v>0</v>
      </c>
      <c r="BY73" s="147">
        <f>AS73</f>
        <v>0</v>
      </c>
      <c r="BZ73" s="229">
        <v>0</v>
      </c>
      <c r="CA73" s="228">
        <f>BR73+BL73+BE73+BX73</f>
        <v>0</v>
      </c>
      <c r="CB73" s="147">
        <f t="shared" si="79"/>
        <v>0</v>
      </c>
      <c r="CC73" s="229">
        <f t="shared" si="79"/>
        <v>0</v>
      </c>
      <c r="CD73" s="23"/>
      <c r="CE73" s="20">
        <f t="shared" si="80"/>
        <v>0</v>
      </c>
      <c r="CF73" s="20">
        <f t="shared" si="80"/>
        <v>0</v>
      </c>
      <c r="CG73" s="15">
        <f>CE73+CF73</f>
        <v>0</v>
      </c>
      <c r="CH73" s="376">
        <f t="shared" si="81"/>
        <v>7366.1986816000008</v>
      </c>
      <c r="CI73" s="377">
        <f t="shared" si="81"/>
        <v>0</v>
      </c>
      <c r="CJ73" s="522">
        <f t="shared" si="81"/>
        <v>7366.1986816000008</v>
      </c>
      <c r="CK73" s="532">
        <f t="shared" si="50"/>
        <v>-7366</v>
      </c>
      <c r="CL73" s="533">
        <f t="shared" si="51"/>
        <v>0.19868160000078205</v>
      </c>
      <c r="CM73" s="372"/>
      <c r="CN73" s="372"/>
      <c r="CO73" s="372"/>
      <c r="CP73" s="372"/>
      <c r="CQ73" s="372"/>
      <c r="CR73" s="372"/>
      <c r="CS73" s="372"/>
      <c r="CT73" s="372"/>
      <c r="CU73" s="372"/>
      <c r="CV73" s="372"/>
      <c r="CW73" s="372"/>
      <c r="CX73" s="372"/>
      <c r="CY73" s="372"/>
      <c r="CZ73" s="372"/>
      <c r="DA73" s="372"/>
      <c r="DB73" s="372"/>
      <c r="DC73" s="372"/>
      <c r="DD73" s="372"/>
      <c r="DE73" s="372"/>
      <c r="DF73" s="372"/>
      <c r="DG73" s="372"/>
      <c r="DH73" s="372"/>
      <c r="DI73" s="372"/>
      <c r="DJ73" s="372"/>
      <c r="DK73" s="372"/>
      <c r="DL73" s="372"/>
      <c r="DM73" s="372"/>
      <c r="DN73" s="372">
        <v>-7366</v>
      </c>
      <c r="DO73" s="372"/>
      <c r="DP73" s="372"/>
      <c r="DQ73" s="372"/>
      <c r="DR73" s="372"/>
      <c r="DS73" s="372"/>
      <c r="DT73" s="372"/>
      <c r="DU73" s="372"/>
      <c r="DV73" s="372"/>
      <c r="DW73" s="372"/>
      <c r="DX73" s="372"/>
      <c r="DY73" s="372"/>
      <c r="DZ73" s="372"/>
      <c r="EA73" s="372"/>
      <c r="EB73" s="372"/>
      <c r="EC73" s="372"/>
      <c r="ED73" s="372"/>
      <c r="EE73" s="372"/>
      <c r="EF73" s="372"/>
      <c r="EG73" s="372"/>
      <c r="EH73" s="372"/>
      <c r="EI73" s="372"/>
      <c r="EJ73" s="372"/>
      <c r="EK73" s="372"/>
      <c r="EL73" s="372"/>
      <c r="EM73" s="372"/>
      <c r="EN73" s="372"/>
      <c r="EO73" s="372"/>
      <c r="EP73" s="372"/>
      <c r="EQ73" s="372"/>
      <c r="ER73" s="372"/>
      <c r="ES73" s="372"/>
    </row>
    <row r="74" spans="1:149" s="126" customFormat="1" ht="19.5" hidden="1" customHeight="1" x14ac:dyDescent="0.45">
      <c r="A74" s="143"/>
      <c r="B74" s="143"/>
      <c r="C74" s="143"/>
      <c r="D74" s="143"/>
      <c r="E74" s="135">
        <v>64</v>
      </c>
      <c r="F74" s="143" t="s">
        <v>94</v>
      </c>
      <c r="G74" s="383" t="s">
        <v>169</v>
      </c>
      <c r="H74" s="143" t="s">
        <v>186</v>
      </c>
      <c r="I74" s="143" t="s">
        <v>11</v>
      </c>
      <c r="J74" s="159">
        <v>17</v>
      </c>
      <c r="K74" s="20">
        <v>25</v>
      </c>
      <c r="L74" s="178">
        <v>1</v>
      </c>
      <c r="M74" s="156" t="s">
        <v>172</v>
      </c>
      <c r="N74" s="20">
        <f>L74*K74*J74</f>
        <v>425</v>
      </c>
      <c r="O74" s="20">
        <v>0</v>
      </c>
      <c r="P74" s="20">
        <f>SUM(N74:O74)</f>
        <v>425</v>
      </c>
      <c r="Q74" s="159">
        <v>17</v>
      </c>
      <c r="R74" s="20">
        <f>K74*$J$7</f>
        <v>26</v>
      </c>
      <c r="S74" s="178">
        <v>1</v>
      </c>
      <c r="T74" s="20">
        <f>Q74*R74*S74</f>
        <v>442</v>
      </c>
      <c r="U74" s="20">
        <v>0</v>
      </c>
      <c r="V74" s="20">
        <f>SUM(T74:U74)</f>
        <v>442</v>
      </c>
      <c r="W74" s="159">
        <v>17</v>
      </c>
      <c r="X74" s="20">
        <f>K74*$J$7*$J$7</f>
        <v>27.04</v>
      </c>
      <c r="Y74" s="178">
        <v>1</v>
      </c>
      <c r="Z74" s="20">
        <f>W74*X74*Y74</f>
        <v>459.68</v>
      </c>
      <c r="AA74" s="20">
        <v>0</v>
      </c>
      <c r="AB74" s="20">
        <f>SUM(Z74:AA74)</f>
        <v>459.68</v>
      </c>
      <c r="AC74" s="159">
        <v>17</v>
      </c>
      <c r="AD74" s="20">
        <f>K74*$J$7*$J$7*$J$7</f>
        <v>28.121600000000001</v>
      </c>
      <c r="AE74" s="178">
        <v>1</v>
      </c>
      <c r="AF74" s="20">
        <f>AC74*AD74*AE74</f>
        <v>478.06720000000001</v>
      </c>
      <c r="AG74" s="20">
        <v>0</v>
      </c>
      <c r="AH74" s="20">
        <f>SUM(AF74:AG74)</f>
        <v>478.06720000000001</v>
      </c>
      <c r="AI74" s="159">
        <v>17</v>
      </c>
      <c r="AJ74" s="20">
        <f>K74*$J$7*$J$7*$J$7*$J$7</f>
        <v>29.246464000000003</v>
      </c>
      <c r="AK74" s="178">
        <v>1</v>
      </c>
      <c r="AL74" s="20">
        <f>AI74*AJ74*AK74</f>
        <v>497.18988800000005</v>
      </c>
      <c r="AM74" s="20">
        <v>0</v>
      </c>
      <c r="AN74" s="20">
        <f>SUM(AL74:AM74)</f>
        <v>497.18988800000005</v>
      </c>
      <c r="AO74" s="20">
        <f t="shared" si="77"/>
        <v>2301.9370880000001</v>
      </c>
      <c r="AP74" s="20">
        <f t="shared" si="77"/>
        <v>0</v>
      </c>
      <c r="AQ74" s="20">
        <f>SUM(AO74:AP74)</f>
        <v>2301.9370880000001</v>
      </c>
      <c r="AR74" s="147">
        <v>0</v>
      </c>
      <c r="AS74" s="20">
        <v>0</v>
      </c>
      <c r="AT74" s="147">
        <v>0</v>
      </c>
      <c r="AU74" s="20">
        <v>0</v>
      </c>
      <c r="AV74" s="20">
        <f t="shared" si="78"/>
        <v>0</v>
      </c>
      <c r="AW74" s="20">
        <f t="shared" si="78"/>
        <v>0</v>
      </c>
      <c r="AX74" s="20">
        <f>AV74+AW74</f>
        <v>0</v>
      </c>
      <c r="AY74" s="20">
        <f>AQ74-AX74</f>
        <v>2301.9370880000001</v>
      </c>
      <c r="AZ74" s="147">
        <f>AQ74-AR74-AS74-AT74-AU74</f>
        <v>2301.9370880000001</v>
      </c>
      <c r="BA74" s="15">
        <f>AY74-AZ74</f>
        <v>0</v>
      </c>
      <c r="BB74" s="248"/>
      <c r="BC74" s="147">
        <v>0</v>
      </c>
      <c r="BD74" s="147"/>
      <c r="BE74" s="147">
        <v>0</v>
      </c>
      <c r="BF74" s="147">
        <f>AA74</f>
        <v>0</v>
      </c>
      <c r="BG74" s="147">
        <f>SUM(BE74:BF74)</f>
        <v>0</v>
      </c>
      <c r="BH74" s="416" t="s">
        <v>210</v>
      </c>
      <c r="BI74" s="248"/>
      <c r="BJ74" s="147">
        <v>0</v>
      </c>
      <c r="BK74" s="147"/>
      <c r="BL74" s="147">
        <v>0</v>
      </c>
      <c r="BM74" s="147">
        <f>AG74</f>
        <v>0</v>
      </c>
      <c r="BN74" s="229">
        <f>SUM(BL74:BM74)</f>
        <v>0</v>
      </c>
      <c r="BO74" s="435"/>
      <c r="BP74" s="147">
        <v>0</v>
      </c>
      <c r="BQ74" s="147"/>
      <c r="BR74" s="147">
        <v>0</v>
      </c>
      <c r="BS74" s="147">
        <f>AM74</f>
        <v>0</v>
      </c>
      <c r="BT74" s="229">
        <v>0</v>
      </c>
      <c r="BU74" s="248"/>
      <c r="BV74" s="147">
        <v>0</v>
      </c>
      <c r="BW74" s="147"/>
      <c r="BX74" s="147">
        <v>0</v>
      </c>
      <c r="BY74" s="147">
        <f>AS74</f>
        <v>0</v>
      </c>
      <c r="BZ74" s="229">
        <v>0</v>
      </c>
      <c r="CA74" s="228">
        <f>BR74+BL74+BE74+BX74</f>
        <v>0</v>
      </c>
      <c r="CB74" s="147">
        <f t="shared" si="79"/>
        <v>0</v>
      </c>
      <c r="CC74" s="229">
        <f t="shared" si="79"/>
        <v>0</v>
      </c>
      <c r="CD74" s="23"/>
      <c r="CE74" s="20">
        <f t="shared" si="80"/>
        <v>0</v>
      </c>
      <c r="CF74" s="20">
        <f t="shared" si="80"/>
        <v>0</v>
      </c>
      <c r="CG74" s="15">
        <f>CE74+CF74</f>
        <v>0</v>
      </c>
      <c r="CH74" s="376">
        <f t="shared" si="81"/>
        <v>2301.9370880000001</v>
      </c>
      <c r="CI74" s="377">
        <f t="shared" si="81"/>
        <v>0</v>
      </c>
      <c r="CJ74" s="522">
        <f t="shared" si="81"/>
        <v>2301.9370880000001</v>
      </c>
      <c r="CK74" s="532">
        <f t="shared" si="50"/>
        <v>-2302</v>
      </c>
      <c r="CL74" s="533">
        <f t="shared" si="51"/>
        <v>-6.2911999999869295E-2</v>
      </c>
      <c r="CM74" s="372"/>
      <c r="CN74" s="372"/>
      <c r="CO74" s="372"/>
      <c r="CP74" s="372"/>
      <c r="CQ74" s="372"/>
      <c r="CR74" s="372"/>
      <c r="CS74" s="372"/>
      <c r="CT74" s="372"/>
      <c r="CU74" s="372"/>
      <c r="CV74" s="372"/>
      <c r="CW74" s="372"/>
      <c r="CX74" s="372"/>
      <c r="CY74" s="372"/>
      <c r="CZ74" s="372"/>
      <c r="DA74" s="372"/>
      <c r="DB74" s="372"/>
      <c r="DC74" s="372"/>
      <c r="DD74" s="372"/>
      <c r="DE74" s="372"/>
      <c r="DF74" s="372"/>
      <c r="DG74" s="372"/>
      <c r="DH74" s="372"/>
      <c r="DI74" s="372"/>
      <c r="DJ74" s="372"/>
      <c r="DK74" s="372"/>
      <c r="DL74" s="372"/>
      <c r="DM74" s="372"/>
      <c r="DN74" s="372"/>
      <c r="DO74" s="372">
        <v>-2302</v>
      </c>
      <c r="DP74" s="372"/>
      <c r="DQ74" s="372"/>
      <c r="DR74" s="372"/>
      <c r="DS74" s="372"/>
      <c r="DT74" s="372"/>
      <c r="DU74" s="372"/>
      <c r="DV74" s="372"/>
      <c r="DW74" s="372"/>
      <c r="DX74" s="372"/>
      <c r="DY74" s="372"/>
      <c r="DZ74" s="372"/>
      <c r="EA74" s="372"/>
      <c r="EB74" s="372"/>
      <c r="EC74" s="372"/>
      <c r="ED74" s="372"/>
      <c r="EE74" s="372"/>
      <c r="EF74" s="372"/>
      <c r="EG74" s="372"/>
      <c r="EH74" s="372"/>
      <c r="EI74" s="372"/>
      <c r="EJ74" s="372"/>
      <c r="EK74" s="372"/>
      <c r="EL74" s="372"/>
      <c r="EM74" s="372"/>
      <c r="EN74" s="372"/>
      <c r="EO74" s="372"/>
      <c r="EP74" s="372"/>
      <c r="EQ74" s="372"/>
      <c r="ER74" s="372"/>
      <c r="ES74" s="372"/>
    </row>
    <row r="75" spans="1:149" s="126" customFormat="1" ht="31.15" hidden="1" customHeight="1" x14ac:dyDescent="0.45">
      <c r="A75" s="183"/>
      <c r="B75" s="183"/>
      <c r="C75" s="183"/>
      <c r="D75" s="183"/>
      <c r="E75" s="135">
        <v>65</v>
      </c>
      <c r="F75" s="183" t="s">
        <v>211</v>
      </c>
      <c r="G75" s="175"/>
      <c r="H75" s="183"/>
      <c r="I75" s="183"/>
      <c r="J75" s="143"/>
      <c r="K75" s="178"/>
      <c r="L75" s="143"/>
      <c r="M75" s="143"/>
      <c r="N75" s="20"/>
      <c r="O75" s="20"/>
      <c r="P75" s="20"/>
      <c r="Q75" s="143"/>
      <c r="R75" s="143"/>
      <c r="S75" s="143"/>
      <c r="T75" s="20"/>
      <c r="U75" s="20"/>
      <c r="V75" s="20"/>
      <c r="W75" s="143"/>
      <c r="X75" s="143"/>
      <c r="Y75" s="143"/>
      <c r="Z75" s="20"/>
      <c r="AA75" s="20"/>
      <c r="AB75" s="20"/>
      <c r="AC75" s="143"/>
      <c r="AD75" s="143"/>
      <c r="AE75" s="143"/>
      <c r="AF75" s="20"/>
      <c r="AG75" s="20"/>
      <c r="AH75" s="20"/>
      <c r="AI75" s="143"/>
      <c r="AJ75" s="143"/>
      <c r="AK75" s="143"/>
      <c r="AL75" s="20"/>
      <c r="AM75" s="20"/>
      <c r="AN75" s="20"/>
      <c r="AO75" s="20"/>
      <c r="AP75" s="20"/>
      <c r="AQ75" s="20"/>
      <c r="AR75" s="20"/>
      <c r="AS75" s="20"/>
      <c r="AT75" s="20"/>
      <c r="AU75" s="20"/>
      <c r="AV75" s="20"/>
      <c r="AW75" s="20"/>
      <c r="AX75" s="20"/>
      <c r="AY75" s="20"/>
      <c r="AZ75" s="20"/>
      <c r="BA75" s="15"/>
      <c r="BB75" s="248"/>
      <c r="BC75" s="20"/>
      <c r="BD75" s="178"/>
      <c r="BE75" s="147"/>
      <c r="BF75" s="147"/>
      <c r="BG75" s="147"/>
      <c r="BH75" s="407"/>
      <c r="BI75" s="248"/>
      <c r="BJ75" s="20"/>
      <c r="BK75" s="178"/>
      <c r="BL75" s="147"/>
      <c r="BM75" s="147"/>
      <c r="BN75" s="229"/>
      <c r="BO75" s="435"/>
      <c r="BP75" s="20"/>
      <c r="BQ75" s="178"/>
      <c r="BR75" s="20"/>
      <c r="BS75" s="20"/>
      <c r="BT75" s="223"/>
      <c r="BU75" s="248"/>
      <c r="BV75" s="20"/>
      <c r="BW75" s="178"/>
      <c r="BX75" s="20"/>
      <c r="BY75" s="20"/>
      <c r="BZ75" s="223"/>
      <c r="CA75" s="228"/>
      <c r="CB75" s="147"/>
      <c r="CC75" s="229"/>
      <c r="CD75" s="23"/>
      <c r="CE75" s="20"/>
      <c r="CF75" s="20"/>
      <c r="CG75" s="15"/>
      <c r="CH75" s="217"/>
      <c r="CI75" s="20"/>
      <c r="CJ75" s="15"/>
      <c r="CK75" s="532">
        <f t="shared" si="50"/>
        <v>0</v>
      </c>
      <c r="CL75" s="533">
        <f t="shared" si="51"/>
        <v>0</v>
      </c>
      <c r="CM75" s="372"/>
      <c r="CN75" s="372"/>
      <c r="CO75" s="372"/>
      <c r="CP75" s="372"/>
      <c r="CQ75" s="372"/>
      <c r="CR75" s="372"/>
      <c r="CS75" s="372"/>
      <c r="CT75" s="372"/>
      <c r="CU75" s="372"/>
      <c r="CV75" s="372"/>
      <c r="CW75" s="372"/>
      <c r="CX75" s="372"/>
      <c r="CY75" s="372"/>
      <c r="CZ75" s="372"/>
      <c r="DA75" s="372"/>
      <c r="DB75" s="372"/>
      <c r="DC75" s="372"/>
      <c r="DD75" s="372"/>
      <c r="DE75" s="372"/>
      <c r="DF75" s="372"/>
      <c r="DG75" s="372"/>
      <c r="DH75" s="372"/>
      <c r="DI75" s="372"/>
      <c r="DJ75" s="372"/>
      <c r="DK75" s="372"/>
      <c r="DL75" s="372"/>
      <c r="DM75" s="372"/>
      <c r="DN75" s="372"/>
      <c r="DO75" s="372"/>
      <c r="DP75" s="372"/>
      <c r="DQ75" s="372"/>
      <c r="DR75" s="372"/>
      <c r="DS75" s="372"/>
      <c r="DT75" s="372"/>
      <c r="DU75" s="372"/>
      <c r="DV75" s="372"/>
      <c r="DW75" s="372"/>
      <c r="DX75" s="372"/>
      <c r="DY75" s="372"/>
      <c r="DZ75" s="372"/>
      <c r="EA75" s="372"/>
      <c r="EB75" s="372"/>
      <c r="EC75" s="372"/>
      <c r="ED75" s="372"/>
      <c r="EE75" s="372"/>
      <c r="EF75" s="372"/>
      <c r="EG75" s="372"/>
      <c r="EH75" s="372"/>
      <c r="EI75" s="372"/>
      <c r="EJ75" s="372"/>
      <c r="EK75" s="372"/>
      <c r="EL75" s="372"/>
      <c r="EM75" s="372"/>
      <c r="EN75" s="372"/>
      <c r="EO75" s="372"/>
      <c r="EP75" s="372"/>
      <c r="EQ75" s="372"/>
      <c r="ER75" s="372"/>
      <c r="ES75" s="372"/>
    </row>
    <row r="76" spans="1:149" s="126" customFormat="1" ht="19.5" hidden="1" customHeight="1" x14ac:dyDescent="0.45">
      <c r="A76" s="143"/>
      <c r="B76" s="143"/>
      <c r="C76" s="143"/>
      <c r="D76" s="143"/>
      <c r="E76" s="135">
        <v>66</v>
      </c>
      <c r="F76" s="143" t="s">
        <v>95</v>
      </c>
      <c r="G76" s="383" t="s">
        <v>169</v>
      </c>
      <c r="H76" s="143" t="s">
        <v>186</v>
      </c>
      <c r="I76" s="143" t="s">
        <v>11</v>
      </c>
      <c r="J76" s="159">
        <v>1</v>
      </c>
      <c r="K76" s="20">
        <v>50</v>
      </c>
      <c r="L76" s="178">
        <v>1</v>
      </c>
      <c r="M76" s="156" t="s">
        <v>172</v>
      </c>
      <c r="N76" s="20">
        <f>L76*K76*J76</f>
        <v>50</v>
      </c>
      <c r="O76" s="20">
        <v>0</v>
      </c>
      <c r="P76" s="20">
        <f>SUM(N76:O76)</f>
        <v>50</v>
      </c>
      <c r="Q76" s="159">
        <v>1</v>
      </c>
      <c r="R76" s="20">
        <f>K76*$J$7</f>
        <v>52</v>
      </c>
      <c r="S76" s="178">
        <v>1</v>
      </c>
      <c r="T76" s="20">
        <f>Q76*R76*S76</f>
        <v>52</v>
      </c>
      <c r="U76" s="20">
        <v>0</v>
      </c>
      <c r="V76" s="20">
        <f>SUM(T76:U76)</f>
        <v>52</v>
      </c>
      <c r="W76" s="159">
        <v>1</v>
      </c>
      <c r="X76" s="20">
        <f>K76*$J$7*$J$7</f>
        <v>54.08</v>
      </c>
      <c r="Y76" s="178">
        <v>1</v>
      </c>
      <c r="Z76" s="20">
        <f>W76*X76*Y76</f>
        <v>54.08</v>
      </c>
      <c r="AA76" s="20">
        <v>0</v>
      </c>
      <c r="AB76" s="20">
        <f>SUM(Z76:AA76)</f>
        <v>54.08</v>
      </c>
      <c r="AC76" s="159">
        <v>1</v>
      </c>
      <c r="AD76" s="20">
        <f>K76*$J$7*$J$7*$J$7</f>
        <v>56.243200000000002</v>
      </c>
      <c r="AE76" s="178">
        <v>1</v>
      </c>
      <c r="AF76" s="20">
        <f>AC76*AD76*AE76</f>
        <v>56.243200000000002</v>
      </c>
      <c r="AG76" s="20">
        <v>0</v>
      </c>
      <c r="AH76" s="20">
        <f>SUM(AF76:AG76)</f>
        <v>56.243200000000002</v>
      </c>
      <c r="AI76" s="159">
        <v>1</v>
      </c>
      <c r="AJ76" s="20">
        <f>K76*$J$7*$J$7*$J$7*$J$7</f>
        <v>58.492928000000006</v>
      </c>
      <c r="AK76" s="178">
        <v>1</v>
      </c>
      <c r="AL76" s="20">
        <f>AI76*AJ76*AK76</f>
        <v>58.492928000000006</v>
      </c>
      <c r="AM76" s="20">
        <v>0</v>
      </c>
      <c r="AN76" s="20">
        <f>SUM(AL76:AM76)</f>
        <v>58.492928000000006</v>
      </c>
      <c r="AO76" s="20">
        <f t="shared" ref="AO76:AP80" si="82">N76+T76+Z76+AF76+AL76</f>
        <v>270.81612799999999</v>
      </c>
      <c r="AP76" s="20">
        <f t="shared" si="82"/>
        <v>0</v>
      </c>
      <c r="AQ76" s="20">
        <f>SUM(AO76:AP76)</f>
        <v>270.81612799999999</v>
      </c>
      <c r="AR76" s="147">
        <v>0</v>
      </c>
      <c r="AS76" s="20">
        <v>0</v>
      </c>
      <c r="AT76" s="147">
        <v>0</v>
      </c>
      <c r="AU76" s="20">
        <v>0</v>
      </c>
      <c r="AV76" s="20">
        <f t="shared" ref="AV76:AW79" si="83">AR76+AT76</f>
        <v>0</v>
      </c>
      <c r="AW76" s="20">
        <f t="shared" si="83"/>
        <v>0</v>
      </c>
      <c r="AX76" s="20">
        <f>AV76+AW76</f>
        <v>0</v>
      </c>
      <c r="AY76" s="20">
        <f>AQ76-AX76</f>
        <v>270.81612799999999</v>
      </c>
      <c r="AZ76" s="147">
        <f t="shared" ref="AZ76:AZ81" si="84">AQ76-AR76-AS76-AT76-AU76</f>
        <v>270.81612799999999</v>
      </c>
      <c r="BA76" s="15">
        <f>AY76-AZ76</f>
        <v>0</v>
      </c>
      <c r="BB76" s="248"/>
      <c r="BC76" s="147">
        <v>0</v>
      </c>
      <c r="BD76" s="147"/>
      <c r="BE76" s="147">
        <v>0</v>
      </c>
      <c r="BF76" s="147">
        <f>AA76</f>
        <v>0</v>
      </c>
      <c r="BG76" s="147">
        <f>SUM(BE76:BF76)</f>
        <v>0</v>
      </c>
      <c r="BH76" s="416" t="s">
        <v>212</v>
      </c>
      <c r="BI76" s="248"/>
      <c r="BJ76" s="147">
        <v>0</v>
      </c>
      <c r="BK76" s="147"/>
      <c r="BL76" s="147">
        <v>0</v>
      </c>
      <c r="BM76" s="147">
        <f>AG76</f>
        <v>0</v>
      </c>
      <c r="BN76" s="229">
        <f>SUM(BL76:BM76)</f>
        <v>0</v>
      </c>
      <c r="BO76" s="435"/>
      <c r="BP76" s="147">
        <v>0</v>
      </c>
      <c r="BQ76" s="147"/>
      <c r="BR76" s="147">
        <v>0</v>
      </c>
      <c r="BS76" s="147">
        <f>AM76</f>
        <v>0</v>
      </c>
      <c r="BT76" s="229">
        <v>0</v>
      </c>
      <c r="BU76" s="248"/>
      <c r="BV76" s="147">
        <v>0</v>
      </c>
      <c r="BW76" s="147"/>
      <c r="BX76" s="147">
        <v>0</v>
      </c>
      <c r="BY76" s="147">
        <f>AS76</f>
        <v>0</v>
      </c>
      <c r="BZ76" s="229">
        <v>0</v>
      </c>
      <c r="CA76" s="228">
        <f>BR76+BL76+BE76+BX76</f>
        <v>0</v>
      </c>
      <c r="CB76" s="147">
        <f t="shared" ref="CB76:CC80" si="85">BS76+BM76+BF76</f>
        <v>0</v>
      </c>
      <c r="CC76" s="229">
        <f t="shared" si="85"/>
        <v>0</v>
      </c>
      <c r="CD76" s="23"/>
      <c r="CE76" s="20">
        <f t="shared" ref="CE76:CF79" si="86">AV76+CA76</f>
        <v>0</v>
      </c>
      <c r="CF76" s="20">
        <f t="shared" si="86"/>
        <v>0</v>
      </c>
      <c r="CG76" s="15">
        <f t="shared" ref="CG76:CG81" si="87">CE76+CF76</f>
        <v>0</v>
      </c>
      <c r="CH76" s="376">
        <f t="shared" ref="CH76:CJ79" si="88">AO76-CE76</f>
        <v>270.81612799999999</v>
      </c>
      <c r="CI76" s="377">
        <f t="shared" si="88"/>
        <v>0</v>
      </c>
      <c r="CJ76" s="522">
        <f t="shared" si="88"/>
        <v>270.81612799999999</v>
      </c>
      <c r="CK76" s="532">
        <f t="shared" ref="CK76:CK107" si="89">SUM(CM76:ES76)</f>
        <v>-271</v>
      </c>
      <c r="CL76" s="533">
        <f t="shared" ref="CL76:CL107" si="90">CJ76+CK76</f>
        <v>-0.18387200000000803</v>
      </c>
      <c r="CM76" s="372"/>
      <c r="CN76" s="372"/>
      <c r="CO76" s="372"/>
      <c r="CP76" s="372"/>
      <c r="CQ76" s="372"/>
      <c r="CR76" s="372"/>
      <c r="CS76" s="372"/>
      <c r="CT76" s="372"/>
      <c r="CU76" s="372"/>
      <c r="CV76" s="372"/>
      <c r="CW76" s="372"/>
      <c r="CX76" s="372"/>
      <c r="CY76" s="372"/>
      <c r="CZ76" s="372"/>
      <c r="DA76" s="372"/>
      <c r="DB76" s="372"/>
      <c r="DC76" s="372"/>
      <c r="DD76" s="372"/>
      <c r="DE76" s="372"/>
      <c r="DF76" s="372"/>
      <c r="DG76" s="372"/>
      <c r="DH76" s="372"/>
      <c r="DI76" s="372"/>
      <c r="DJ76" s="372"/>
      <c r="DK76" s="372"/>
      <c r="DL76" s="372"/>
      <c r="DM76" s="372"/>
      <c r="DN76" s="372"/>
      <c r="DO76" s="372"/>
      <c r="DP76" s="372">
        <v>-271</v>
      </c>
      <c r="DQ76" s="372"/>
      <c r="DR76" s="372"/>
      <c r="DS76" s="372"/>
      <c r="DT76" s="372"/>
      <c r="DU76" s="372"/>
      <c r="DV76" s="372"/>
      <c r="DW76" s="372"/>
      <c r="DX76" s="372"/>
      <c r="DY76" s="372"/>
      <c r="DZ76" s="372"/>
      <c r="EA76" s="372"/>
      <c r="EB76" s="372"/>
      <c r="EC76" s="372"/>
      <c r="ED76" s="372"/>
      <c r="EE76" s="372"/>
      <c r="EF76" s="372"/>
      <c r="EG76" s="372"/>
      <c r="EH76" s="372"/>
      <c r="EI76" s="372"/>
      <c r="EJ76" s="372"/>
      <c r="EK76" s="372"/>
      <c r="EL76" s="372"/>
      <c r="EM76" s="372"/>
      <c r="EN76" s="372"/>
      <c r="EO76" s="372"/>
      <c r="EP76" s="372"/>
      <c r="EQ76" s="372"/>
      <c r="ER76" s="372"/>
      <c r="ES76" s="372"/>
    </row>
    <row r="77" spans="1:149" s="126" customFormat="1" ht="19.5" hidden="1" customHeight="1" x14ac:dyDescent="0.45">
      <c r="A77" s="143"/>
      <c r="B77" s="143"/>
      <c r="C77" s="143"/>
      <c r="D77" s="143"/>
      <c r="E77" s="143">
        <v>67</v>
      </c>
      <c r="F77" s="143" t="s">
        <v>96</v>
      </c>
      <c r="G77" s="383" t="s">
        <v>169</v>
      </c>
      <c r="H77" s="143" t="s">
        <v>186</v>
      </c>
      <c r="I77" s="143" t="s">
        <v>11</v>
      </c>
      <c r="J77" s="159">
        <v>1</v>
      </c>
      <c r="K77" s="20">
        <v>40</v>
      </c>
      <c r="L77" s="178">
        <v>2</v>
      </c>
      <c r="M77" s="156" t="s">
        <v>175</v>
      </c>
      <c r="N77" s="20">
        <f>L77*K77*J77</f>
        <v>80</v>
      </c>
      <c r="O77" s="20">
        <v>0</v>
      </c>
      <c r="P77" s="20">
        <f>SUM(N77:O77)</f>
        <v>80</v>
      </c>
      <c r="Q77" s="159">
        <v>1</v>
      </c>
      <c r="R77" s="20">
        <f>K77*$J$7</f>
        <v>41.6</v>
      </c>
      <c r="S77" s="178">
        <v>2</v>
      </c>
      <c r="T77" s="20">
        <f>Q77*R77*S77</f>
        <v>83.2</v>
      </c>
      <c r="U77" s="20">
        <v>0</v>
      </c>
      <c r="V77" s="20">
        <f>SUM(T77:U77)</f>
        <v>83.2</v>
      </c>
      <c r="W77" s="159">
        <v>1</v>
      </c>
      <c r="X77" s="20">
        <f>K77*$J$7*$J$7</f>
        <v>43.264000000000003</v>
      </c>
      <c r="Y77" s="178">
        <v>2</v>
      </c>
      <c r="Z77" s="20">
        <f>W77*X77*Y77</f>
        <v>86.528000000000006</v>
      </c>
      <c r="AA77" s="20">
        <v>0</v>
      </c>
      <c r="AB77" s="20">
        <f>SUM(Z77:AA77)</f>
        <v>86.528000000000006</v>
      </c>
      <c r="AC77" s="159">
        <v>1</v>
      </c>
      <c r="AD77" s="20">
        <f>K77*$J$7*$J$7*$J$7</f>
        <v>44.994560000000007</v>
      </c>
      <c r="AE77" s="178">
        <v>2</v>
      </c>
      <c r="AF77" s="20">
        <f>AC77*AD77*AE77</f>
        <v>89.989120000000014</v>
      </c>
      <c r="AG77" s="20">
        <v>0</v>
      </c>
      <c r="AH77" s="20">
        <f>SUM(AF77:AG77)</f>
        <v>89.989120000000014</v>
      </c>
      <c r="AI77" s="159">
        <v>1</v>
      </c>
      <c r="AJ77" s="20">
        <f>K77*$J$7*$J$7*$J$7*$J$7</f>
        <v>46.794342400000012</v>
      </c>
      <c r="AK77" s="178">
        <v>2</v>
      </c>
      <c r="AL77" s="20">
        <f>AI77*AJ77*AK77</f>
        <v>93.588684800000024</v>
      </c>
      <c r="AM77" s="20">
        <v>0</v>
      </c>
      <c r="AN77" s="20">
        <f>SUM(AL77:AM77)</f>
        <v>93.588684800000024</v>
      </c>
      <c r="AO77" s="20">
        <f t="shared" si="82"/>
        <v>433.30580480000003</v>
      </c>
      <c r="AP77" s="20">
        <f t="shared" si="82"/>
        <v>0</v>
      </c>
      <c r="AQ77" s="20">
        <f>SUM(AO77:AP77)</f>
        <v>433.30580480000003</v>
      </c>
      <c r="AR77" s="20"/>
      <c r="AS77" s="20">
        <v>0</v>
      </c>
      <c r="AT77" s="20"/>
      <c r="AU77" s="20">
        <v>0</v>
      </c>
      <c r="AV77" s="20">
        <f t="shared" si="83"/>
        <v>0</v>
      </c>
      <c r="AW77" s="20">
        <f t="shared" si="83"/>
        <v>0</v>
      </c>
      <c r="AX77" s="20">
        <f>AV77+AW77</f>
        <v>0</v>
      </c>
      <c r="AY77" s="20">
        <f>AQ77-AX77</f>
        <v>433.30580480000003</v>
      </c>
      <c r="AZ77" s="147">
        <f t="shared" si="84"/>
        <v>433.30580480000003</v>
      </c>
      <c r="BA77" s="15">
        <f>AY77-AZ77</f>
        <v>0</v>
      </c>
      <c r="BB77" s="392"/>
      <c r="BC77" s="147">
        <v>0</v>
      </c>
      <c r="BD77" s="147"/>
      <c r="BE77" s="147">
        <v>0</v>
      </c>
      <c r="BF77" s="147">
        <f>AA77</f>
        <v>0</v>
      </c>
      <c r="BG77" s="147">
        <f>SUM(BE77:BF77)</f>
        <v>0</v>
      </c>
      <c r="BH77" s="416" t="s">
        <v>213</v>
      </c>
      <c r="BI77" s="392"/>
      <c r="BJ77" s="147">
        <v>0</v>
      </c>
      <c r="BK77" s="147"/>
      <c r="BL77" s="147">
        <v>0</v>
      </c>
      <c r="BM77" s="147">
        <f>AG77</f>
        <v>0</v>
      </c>
      <c r="BN77" s="229">
        <f>SUM(BL77:BM77)</f>
        <v>0</v>
      </c>
      <c r="BO77" s="440"/>
      <c r="BP77" s="147">
        <v>0</v>
      </c>
      <c r="BQ77" s="147"/>
      <c r="BR77" s="147">
        <v>0</v>
      </c>
      <c r="BS77" s="147">
        <f>AM77</f>
        <v>0</v>
      </c>
      <c r="BT77" s="229">
        <v>0</v>
      </c>
      <c r="BU77" s="392"/>
      <c r="BV77" s="147">
        <v>0</v>
      </c>
      <c r="BW77" s="147"/>
      <c r="BX77" s="147">
        <v>0</v>
      </c>
      <c r="BY77" s="147">
        <f>AS77</f>
        <v>0</v>
      </c>
      <c r="BZ77" s="229">
        <v>0</v>
      </c>
      <c r="CA77" s="228">
        <f>BR77+BL77+BE77+BX77</f>
        <v>0</v>
      </c>
      <c r="CB77" s="147">
        <f t="shared" si="85"/>
        <v>0</v>
      </c>
      <c r="CC77" s="229">
        <f t="shared" si="85"/>
        <v>0</v>
      </c>
      <c r="CD77" s="23"/>
      <c r="CE77" s="20">
        <f t="shared" si="86"/>
        <v>0</v>
      </c>
      <c r="CF77" s="20">
        <f t="shared" si="86"/>
        <v>0</v>
      </c>
      <c r="CG77" s="15">
        <f t="shared" si="87"/>
        <v>0</v>
      </c>
      <c r="CH77" s="376">
        <f t="shared" si="88"/>
        <v>433.30580480000003</v>
      </c>
      <c r="CI77" s="377">
        <f t="shared" si="88"/>
        <v>0</v>
      </c>
      <c r="CJ77" s="522">
        <f t="shared" si="88"/>
        <v>433.30580480000003</v>
      </c>
      <c r="CK77" s="532">
        <f t="shared" si="89"/>
        <v>-433</v>
      </c>
      <c r="CL77" s="533">
        <f t="shared" si="90"/>
        <v>0.30580480000003263</v>
      </c>
      <c r="CM77" s="372"/>
      <c r="CN77" s="372"/>
      <c r="CO77" s="372"/>
      <c r="CP77" s="372"/>
      <c r="CQ77" s="372"/>
      <c r="CR77" s="372"/>
      <c r="CS77" s="372"/>
      <c r="CT77" s="372"/>
      <c r="CU77" s="372"/>
      <c r="CV77" s="372"/>
      <c r="CW77" s="372"/>
      <c r="CX77" s="372"/>
      <c r="CY77" s="372"/>
      <c r="CZ77" s="372"/>
      <c r="DA77" s="372"/>
      <c r="DB77" s="372"/>
      <c r="DC77" s="372"/>
      <c r="DD77" s="372"/>
      <c r="DE77" s="372"/>
      <c r="DF77" s="372"/>
      <c r="DG77" s="372"/>
      <c r="DH77" s="372"/>
      <c r="DI77" s="372"/>
      <c r="DJ77" s="372"/>
      <c r="DK77" s="372"/>
      <c r="DL77" s="372"/>
      <c r="DM77" s="372"/>
      <c r="DN77" s="372"/>
      <c r="DO77" s="372"/>
      <c r="DP77" s="372"/>
      <c r="DQ77" s="372">
        <v>-433</v>
      </c>
      <c r="DR77" s="372"/>
      <c r="DS77" s="372"/>
      <c r="DT77" s="372"/>
      <c r="DU77" s="372"/>
      <c r="DV77" s="372"/>
      <c r="DW77" s="372"/>
      <c r="DX77" s="372"/>
      <c r="DY77" s="372"/>
      <c r="DZ77" s="372"/>
      <c r="EA77" s="372"/>
      <c r="EB77" s="372"/>
      <c r="EC77" s="372"/>
      <c r="ED77" s="372"/>
      <c r="EE77" s="372"/>
      <c r="EF77" s="372"/>
      <c r="EG77" s="372"/>
      <c r="EH77" s="372"/>
      <c r="EI77" s="372"/>
      <c r="EJ77" s="372"/>
      <c r="EK77" s="372"/>
      <c r="EL77" s="372"/>
      <c r="EM77" s="372"/>
      <c r="EN77" s="372"/>
      <c r="EO77" s="372"/>
      <c r="EP77" s="372"/>
      <c r="EQ77" s="372"/>
      <c r="ER77" s="372"/>
      <c r="ES77" s="372"/>
    </row>
    <row r="78" spans="1:149" s="126" customFormat="1" ht="19.5" hidden="1" customHeight="1" x14ac:dyDescent="0.45">
      <c r="A78" s="143"/>
      <c r="B78" s="143"/>
      <c r="C78" s="143"/>
      <c r="D78" s="143"/>
      <c r="E78" s="143">
        <v>68</v>
      </c>
      <c r="F78" s="143" t="s">
        <v>97</v>
      </c>
      <c r="G78" s="383" t="s">
        <v>169</v>
      </c>
      <c r="H78" s="143" t="s">
        <v>186</v>
      </c>
      <c r="I78" s="143" t="s">
        <v>11</v>
      </c>
      <c r="J78" s="159">
        <v>1</v>
      </c>
      <c r="K78" s="20">
        <v>80</v>
      </c>
      <c r="L78" s="178">
        <v>2</v>
      </c>
      <c r="M78" s="156" t="s">
        <v>175</v>
      </c>
      <c r="N78" s="20">
        <f>L78*K78*J78</f>
        <v>160</v>
      </c>
      <c r="O78" s="20">
        <v>0</v>
      </c>
      <c r="P78" s="20">
        <f>SUM(N78:O78)</f>
        <v>160</v>
      </c>
      <c r="Q78" s="159">
        <v>1</v>
      </c>
      <c r="R78" s="20">
        <f>K78*$J$7</f>
        <v>83.2</v>
      </c>
      <c r="S78" s="178">
        <v>2</v>
      </c>
      <c r="T78" s="20">
        <f>Q78*R78*S78</f>
        <v>166.4</v>
      </c>
      <c r="U78" s="20">
        <v>0</v>
      </c>
      <c r="V78" s="20">
        <f>SUM(T78:U78)</f>
        <v>166.4</v>
      </c>
      <c r="W78" s="159">
        <v>1</v>
      </c>
      <c r="X78" s="20">
        <f>K78*$J$7*$J$7</f>
        <v>86.528000000000006</v>
      </c>
      <c r="Y78" s="178">
        <v>2</v>
      </c>
      <c r="Z78" s="20">
        <f>W78*X78*Y78</f>
        <v>173.05600000000001</v>
      </c>
      <c r="AA78" s="20">
        <v>0</v>
      </c>
      <c r="AB78" s="20">
        <f>SUM(Z78:AA78)</f>
        <v>173.05600000000001</v>
      </c>
      <c r="AC78" s="159">
        <v>1</v>
      </c>
      <c r="AD78" s="20">
        <f>K78*$J$7*$J$7*$J$7</f>
        <v>89.989120000000014</v>
      </c>
      <c r="AE78" s="178">
        <v>2</v>
      </c>
      <c r="AF78" s="20">
        <f>AC78*AD78*AE78</f>
        <v>179.97824000000003</v>
      </c>
      <c r="AG78" s="20">
        <v>0</v>
      </c>
      <c r="AH78" s="20">
        <f>SUM(AF78:AG78)</f>
        <v>179.97824000000003</v>
      </c>
      <c r="AI78" s="159">
        <v>1</v>
      </c>
      <c r="AJ78" s="20">
        <f>K78*$J$7*$J$7*$J$7*$J$7</f>
        <v>93.588684800000024</v>
      </c>
      <c r="AK78" s="178">
        <v>2</v>
      </c>
      <c r="AL78" s="20">
        <f>AI78*AJ78*AK78</f>
        <v>187.17736960000005</v>
      </c>
      <c r="AM78" s="20">
        <v>0</v>
      </c>
      <c r="AN78" s="20">
        <f>SUM(AL78:AM78)</f>
        <v>187.17736960000005</v>
      </c>
      <c r="AO78" s="20">
        <f t="shared" si="82"/>
        <v>866.61160960000007</v>
      </c>
      <c r="AP78" s="20">
        <f t="shared" si="82"/>
        <v>0</v>
      </c>
      <c r="AQ78" s="20">
        <f>SUM(AO78:AP78)</f>
        <v>866.61160960000007</v>
      </c>
      <c r="AR78" s="20"/>
      <c r="AS78" s="20">
        <v>0</v>
      </c>
      <c r="AT78" s="20"/>
      <c r="AU78" s="20">
        <v>0</v>
      </c>
      <c r="AV78" s="20">
        <f t="shared" si="83"/>
        <v>0</v>
      </c>
      <c r="AW78" s="20">
        <f t="shared" si="83"/>
        <v>0</v>
      </c>
      <c r="AX78" s="20">
        <f>AV78+AW78</f>
        <v>0</v>
      </c>
      <c r="AY78" s="20">
        <f>AQ78-AX78</f>
        <v>866.61160960000007</v>
      </c>
      <c r="AZ78" s="147">
        <f t="shared" si="84"/>
        <v>866.61160960000007</v>
      </c>
      <c r="BA78" s="15">
        <f>AY78-AZ78</f>
        <v>0</v>
      </c>
      <c r="BB78" s="392"/>
      <c r="BC78" s="147">
        <v>0</v>
      </c>
      <c r="BD78" s="147"/>
      <c r="BE78" s="147">
        <v>0</v>
      </c>
      <c r="BF78" s="147">
        <f>AA78</f>
        <v>0</v>
      </c>
      <c r="BG78" s="147">
        <f>SUM(BE78:BF78)</f>
        <v>0</v>
      </c>
      <c r="BH78" s="416" t="s">
        <v>214</v>
      </c>
      <c r="BI78" s="392"/>
      <c r="BJ78" s="147">
        <v>0</v>
      </c>
      <c r="BK78" s="147"/>
      <c r="BL78" s="147">
        <v>0</v>
      </c>
      <c r="BM78" s="147">
        <f>AG78</f>
        <v>0</v>
      </c>
      <c r="BN78" s="229">
        <f>SUM(BL78:BM78)</f>
        <v>0</v>
      </c>
      <c r="BO78" s="440"/>
      <c r="BP78" s="147">
        <v>0</v>
      </c>
      <c r="BQ78" s="147"/>
      <c r="BR78" s="147">
        <v>0</v>
      </c>
      <c r="BS78" s="147">
        <f>AM78</f>
        <v>0</v>
      </c>
      <c r="BT78" s="229">
        <v>0</v>
      </c>
      <c r="BU78" s="392"/>
      <c r="BV78" s="147">
        <v>0</v>
      </c>
      <c r="BW78" s="147"/>
      <c r="BX78" s="147">
        <v>0</v>
      </c>
      <c r="BY78" s="147">
        <f>AS78</f>
        <v>0</v>
      </c>
      <c r="BZ78" s="229">
        <v>0</v>
      </c>
      <c r="CA78" s="228">
        <f>BR78+BL78+BE78+BX78</f>
        <v>0</v>
      </c>
      <c r="CB78" s="147">
        <f t="shared" si="85"/>
        <v>0</v>
      </c>
      <c r="CC78" s="229">
        <f t="shared" si="85"/>
        <v>0</v>
      </c>
      <c r="CD78" s="23"/>
      <c r="CE78" s="20">
        <f t="shared" si="86"/>
        <v>0</v>
      </c>
      <c r="CF78" s="20">
        <f t="shared" si="86"/>
        <v>0</v>
      </c>
      <c r="CG78" s="15">
        <f t="shared" si="87"/>
        <v>0</v>
      </c>
      <c r="CH78" s="376">
        <f t="shared" si="88"/>
        <v>866.61160960000007</v>
      </c>
      <c r="CI78" s="377">
        <f t="shared" si="88"/>
        <v>0</v>
      </c>
      <c r="CJ78" s="522">
        <f t="shared" si="88"/>
        <v>866.61160960000007</v>
      </c>
      <c r="CK78" s="532">
        <f t="shared" si="89"/>
        <v>-867</v>
      </c>
      <c r="CL78" s="533">
        <f t="shared" si="90"/>
        <v>-0.38839039999993474</v>
      </c>
      <c r="CM78" s="372"/>
      <c r="CN78" s="372"/>
      <c r="CO78" s="372"/>
      <c r="CP78" s="372"/>
      <c r="CQ78" s="372"/>
      <c r="CR78" s="372"/>
      <c r="CS78" s="372"/>
      <c r="CT78" s="372"/>
      <c r="CU78" s="372"/>
      <c r="CV78" s="372"/>
      <c r="CW78" s="372"/>
      <c r="CX78" s="372"/>
      <c r="CY78" s="372"/>
      <c r="CZ78" s="372"/>
      <c r="DA78" s="372"/>
      <c r="DB78" s="372"/>
      <c r="DC78" s="372"/>
      <c r="DD78" s="372"/>
      <c r="DE78" s="372"/>
      <c r="DF78" s="372"/>
      <c r="DG78" s="372"/>
      <c r="DH78" s="372"/>
      <c r="DI78" s="372"/>
      <c r="DJ78" s="372"/>
      <c r="DK78" s="372"/>
      <c r="DL78" s="372"/>
      <c r="DM78" s="372"/>
      <c r="DN78" s="372"/>
      <c r="DO78" s="372"/>
      <c r="DP78" s="372"/>
      <c r="DQ78" s="372"/>
      <c r="DR78" s="372">
        <v>-867</v>
      </c>
      <c r="DS78" s="372"/>
      <c r="DT78" s="372"/>
      <c r="DU78" s="372"/>
      <c r="DV78" s="372"/>
      <c r="DW78" s="372"/>
      <c r="DX78" s="372"/>
      <c r="DY78" s="372"/>
      <c r="DZ78" s="372"/>
      <c r="EA78" s="372"/>
      <c r="EB78" s="372"/>
      <c r="EC78" s="372"/>
      <c r="ED78" s="372"/>
      <c r="EE78" s="372"/>
      <c r="EF78" s="372"/>
      <c r="EG78" s="372"/>
      <c r="EH78" s="372"/>
      <c r="EI78" s="372"/>
      <c r="EJ78" s="372"/>
      <c r="EK78" s="372"/>
      <c r="EL78" s="372"/>
      <c r="EM78" s="372"/>
      <c r="EN78" s="372"/>
      <c r="EO78" s="372"/>
      <c r="EP78" s="372"/>
      <c r="EQ78" s="372"/>
      <c r="ER78" s="372"/>
      <c r="ES78" s="372"/>
    </row>
    <row r="79" spans="1:149" s="126" customFormat="1" ht="19.5" hidden="1" customHeight="1" x14ac:dyDescent="0.45">
      <c r="A79" s="143"/>
      <c r="B79" s="143"/>
      <c r="C79" s="143"/>
      <c r="D79" s="143"/>
      <c r="E79" s="148">
        <v>69</v>
      </c>
      <c r="F79" s="143" t="s">
        <v>98</v>
      </c>
      <c r="G79" s="383" t="s">
        <v>169</v>
      </c>
      <c r="H79" s="143" t="s">
        <v>186</v>
      </c>
      <c r="I79" s="143" t="s">
        <v>11</v>
      </c>
      <c r="J79" s="159">
        <v>1</v>
      </c>
      <c r="K79" s="20">
        <v>25</v>
      </c>
      <c r="L79" s="178">
        <v>1</v>
      </c>
      <c r="M79" s="156" t="s">
        <v>172</v>
      </c>
      <c r="N79" s="20">
        <f>L79*K79*J79</f>
        <v>25</v>
      </c>
      <c r="O79" s="20">
        <v>0</v>
      </c>
      <c r="P79" s="20">
        <f>SUM(N79:O79)</f>
        <v>25</v>
      </c>
      <c r="Q79" s="159">
        <v>1</v>
      </c>
      <c r="R79" s="20">
        <f>K79*$J$7</f>
        <v>26</v>
      </c>
      <c r="S79" s="178">
        <v>1</v>
      </c>
      <c r="T79" s="20">
        <f>Q79*R79*S79</f>
        <v>26</v>
      </c>
      <c r="U79" s="20">
        <v>0</v>
      </c>
      <c r="V79" s="20">
        <f>SUM(T79:U79)</f>
        <v>26</v>
      </c>
      <c r="W79" s="159">
        <v>1</v>
      </c>
      <c r="X79" s="20">
        <f>K79*$J$7*$J$7</f>
        <v>27.04</v>
      </c>
      <c r="Y79" s="178">
        <v>1</v>
      </c>
      <c r="Z79" s="20">
        <f>W79*X79*Y79</f>
        <v>27.04</v>
      </c>
      <c r="AA79" s="20">
        <v>0</v>
      </c>
      <c r="AB79" s="20">
        <f>SUM(Z79:AA79)</f>
        <v>27.04</v>
      </c>
      <c r="AC79" s="159">
        <v>1</v>
      </c>
      <c r="AD79" s="20">
        <f>K79*$J$7*$J$7*$J$7</f>
        <v>28.121600000000001</v>
      </c>
      <c r="AE79" s="178">
        <v>1</v>
      </c>
      <c r="AF79" s="20">
        <f>AC79*AD79*AE79</f>
        <v>28.121600000000001</v>
      </c>
      <c r="AG79" s="20">
        <v>0</v>
      </c>
      <c r="AH79" s="20">
        <f>SUM(AF79:AG79)</f>
        <v>28.121600000000001</v>
      </c>
      <c r="AI79" s="159">
        <v>1</v>
      </c>
      <c r="AJ79" s="20">
        <f>K79*$J$7*$J$7*$J$7*$J$7</f>
        <v>29.246464000000003</v>
      </c>
      <c r="AK79" s="178">
        <v>1</v>
      </c>
      <c r="AL79" s="20">
        <f>AI79*AJ79*AK79</f>
        <v>29.246464000000003</v>
      </c>
      <c r="AM79" s="20">
        <v>0</v>
      </c>
      <c r="AN79" s="20">
        <f>SUM(AL79:AM79)</f>
        <v>29.246464000000003</v>
      </c>
      <c r="AO79" s="20">
        <f t="shared" si="82"/>
        <v>135.408064</v>
      </c>
      <c r="AP79" s="20">
        <f t="shared" si="82"/>
        <v>0</v>
      </c>
      <c r="AQ79" s="20">
        <f>SUM(AO79:AP79)</f>
        <v>135.408064</v>
      </c>
      <c r="AR79" s="147">
        <v>0</v>
      </c>
      <c r="AS79" s="20">
        <v>0</v>
      </c>
      <c r="AT79" s="147">
        <v>0</v>
      </c>
      <c r="AU79" s="20">
        <v>0</v>
      </c>
      <c r="AV79" s="20">
        <f t="shared" si="83"/>
        <v>0</v>
      </c>
      <c r="AW79" s="20">
        <f t="shared" si="83"/>
        <v>0</v>
      </c>
      <c r="AX79" s="20">
        <f>AV79+AW79</f>
        <v>0</v>
      </c>
      <c r="AY79" s="20">
        <f>AQ79-AX79</f>
        <v>135.408064</v>
      </c>
      <c r="AZ79" s="147">
        <f t="shared" si="84"/>
        <v>135.408064</v>
      </c>
      <c r="BA79" s="15">
        <f>AY79-AZ79</f>
        <v>0</v>
      </c>
      <c r="BB79" s="248"/>
      <c r="BC79" s="147">
        <v>0</v>
      </c>
      <c r="BD79" s="147"/>
      <c r="BE79" s="147">
        <v>0</v>
      </c>
      <c r="BF79" s="147">
        <f>AA79</f>
        <v>0</v>
      </c>
      <c r="BG79" s="147">
        <f>SUM(BE79:BF79)</f>
        <v>0</v>
      </c>
      <c r="BH79" s="416" t="s">
        <v>215</v>
      </c>
      <c r="BI79" s="248"/>
      <c r="BJ79" s="147">
        <v>0</v>
      </c>
      <c r="BK79" s="147"/>
      <c r="BL79" s="147">
        <v>0</v>
      </c>
      <c r="BM79" s="147">
        <f>AG79</f>
        <v>0</v>
      </c>
      <c r="BN79" s="229">
        <f>SUM(BL79:BM79)</f>
        <v>0</v>
      </c>
      <c r="BO79" s="435"/>
      <c r="BP79" s="147">
        <v>0</v>
      </c>
      <c r="BQ79" s="147"/>
      <c r="BR79" s="147">
        <v>0</v>
      </c>
      <c r="BS79" s="147">
        <f>AM79</f>
        <v>0</v>
      </c>
      <c r="BT79" s="229">
        <v>0</v>
      </c>
      <c r="BU79" s="248"/>
      <c r="BV79" s="147">
        <v>0</v>
      </c>
      <c r="BW79" s="147"/>
      <c r="BX79" s="147">
        <v>0</v>
      </c>
      <c r="BY79" s="147">
        <f>AS79</f>
        <v>0</v>
      </c>
      <c r="BZ79" s="229">
        <v>0</v>
      </c>
      <c r="CA79" s="228">
        <f>BR79+BL79+BE79+BX79</f>
        <v>0</v>
      </c>
      <c r="CB79" s="147">
        <f t="shared" si="85"/>
        <v>0</v>
      </c>
      <c r="CC79" s="229">
        <f t="shared" si="85"/>
        <v>0</v>
      </c>
      <c r="CD79" s="23"/>
      <c r="CE79" s="20">
        <f t="shared" si="86"/>
        <v>0</v>
      </c>
      <c r="CF79" s="20">
        <f t="shared" si="86"/>
        <v>0</v>
      </c>
      <c r="CG79" s="15">
        <f t="shared" si="87"/>
        <v>0</v>
      </c>
      <c r="CH79" s="376">
        <f t="shared" si="88"/>
        <v>135.408064</v>
      </c>
      <c r="CI79" s="377">
        <f t="shared" si="88"/>
        <v>0</v>
      </c>
      <c r="CJ79" s="522">
        <f t="shared" si="88"/>
        <v>135.408064</v>
      </c>
      <c r="CK79" s="532">
        <f t="shared" si="89"/>
        <v>-135</v>
      </c>
      <c r="CL79" s="533">
        <f t="shared" si="90"/>
        <v>0.40806399999999599</v>
      </c>
      <c r="CM79" s="372"/>
      <c r="CN79" s="372"/>
      <c r="CO79" s="372"/>
      <c r="CP79" s="372"/>
      <c r="CQ79" s="372"/>
      <c r="CR79" s="372"/>
      <c r="CS79" s="372"/>
      <c r="CT79" s="372"/>
      <c r="CU79" s="372"/>
      <c r="CV79" s="372"/>
      <c r="CW79" s="372"/>
      <c r="CX79" s="372"/>
      <c r="CY79" s="372"/>
      <c r="CZ79" s="372"/>
      <c r="DA79" s="372"/>
      <c r="DB79" s="372"/>
      <c r="DC79" s="372"/>
      <c r="DD79" s="372"/>
      <c r="DE79" s="372"/>
      <c r="DF79" s="372"/>
      <c r="DG79" s="372"/>
      <c r="DH79" s="372"/>
      <c r="DI79" s="372"/>
      <c r="DJ79" s="372"/>
      <c r="DK79" s="372"/>
      <c r="DL79" s="372"/>
      <c r="DM79" s="372"/>
      <c r="DN79" s="372"/>
      <c r="DO79" s="372"/>
      <c r="DP79" s="372"/>
      <c r="DQ79" s="372"/>
      <c r="DR79" s="372"/>
      <c r="DS79" s="372">
        <v>-135</v>
      </c>
      <c r="DT79" s="372"/>
      <c r="DU79" s="372"/>
      <c r="DV79" s="372"/>
      <c r="DW79" s="372"/>
      <c r="DX79" s="372"/>
      <c r="DY79" s="372"/>
      <c r="DZ79" s="372"/>
      <c r="EA79" s="372"/>
      <c r="EB79" s="372"/>
      <c r="EC79" s="372"/>
      <c r="ED79" s="372"/>
      <c r="EE79" s="372"/>
      <c r="EF79" s="372"/>
      <c r="EG79" s="372"/>
      <c r="EH79" s="372"/>
      <c r="EI79" s="372"/>
      <c r="EJ79" s="372"/>
      <c r="EK79" s="372"/>
      <c r="EL79" s="372"/>
      <c r="EM79" s="372"/>
      <c r="EN79" s="372"/>
      <c r="EO79" s="372"/>
      <c r="EP79" s="372"/>
      <c r="EQ79" s="372"/>
      <c r="ER79" s="372"/>
      <c r="ES79" s="372"/>
    </row>
    <row r="80" spans="1:149" s="128" customFormat="1" ht="19.5" customHeight="1" x14ac:dyDescent="0.45">
      <c r="A80" s="161"/>
      <c r="B80" s="161"/>
      <c r="C80" s="161"/>
      <c r="D80" s="161"/>
      <c r="E80" s="135">
        <v>70</v>
      </c>
      <c r="F80" s="161" t="s">
        <v>216</v>
      </c>
      <c r="G80" s="161"/>
      <c r="H80" s="161"/>
      <c r="I80" s="161"/>
      <c r="J80" s="179"/>
      <c r="K80" s="160"/>
      <c r="L80" s="179"/>
      <c r="M80" s="160"/>
      <c r="N80" s="162">
        <f>SUM(N54:N79)</f>
        <v>16980</v>
      </c>
      <c r="O80" s="162">
        <f>SUM(O54:O79)</f>
        <v>0</v>
      </c>
      <c r="P80" s="162">
        <f>SUM(P54:P79)</f>
        <v>16980</v>
      </c>
      <c r="Q80" s="179"/>
      <c r="R80" s="162"/>
      <c r="S80" s="160"/>
      <c r="T80" s="162">
        <f>SUM(T54:T79)</f>
        <v>18063.000000000004</v>
      </c>
      <c r="U80" s="162">
        <f>SUM(U54:U79)</f>
        <v>0</v>
      </c>
      <c r="V80" s="162">
        <f>SUM(V54:V79)</f>
        <v>18063.000000000004</v>
      </c>
      <c r="W80" s="179"/>
      <c r="X80" s="160"/>
      <c r="Y80" s="160"/>
      <c r="Z80" s="162">
        <f>SUM(Z54:Z79)</f>
        <v>20114.97</v>
      </c>
      <c r="AA80" s="162">
        <f>SUM(AA54:AA79)</f>
        <v>0</v>
      </c>
      <c r="AB80" s="162">
        <f>SUM(AB54:AB79)</f>
        <v>20114.97</v>
      </c>
      <c r="AC80" s="179"/>
      <c r="AD80" s="160"/>
      <c r="AE80" s="160"/>
      <c r="AF80" s="162">
        <f>SUM(AF54:AF79)</f>
        <v>20109.694620000002</v>
      </c>
      <c r="AG80" s="162">
        <f>SUM(AG54:AG79)</f>
        <v>0</v>
      </c>
      <c r="AH80" s="162">
        <f>SUM(AH54:AH79)</f>
        <v>20109.694620000002</v>
      </c>
      <c r="AI80" s="179"/>
      <c r="AJ80" s="160"/>
      <c r="AK80" s="160"/>
      <c r="AL80" s="162">
        <f>SUM(AL54:AL79)</f>
        <v>19756.963545000006</v>
      </c>
      <c r="AM80" s="162">
        <f>SUM(AM54:AM79)</f>
        <v>0</v>
      </c>
      <c r="AN80" s="162">
        <f>SUM(AN54:AN79)</f>
        <v>19756.963545000006</v>
      </c>
      <c r="AO80" s="162">
        <f t="shared" si="82"/>
        <v>95024.628165000002</v>
      </c>
      <c r="AP80" s="162">
        <f t="shared" si="82"/>
        <v>0</v>
      </c>
      <c r="AQ80" s="162">
        <f>SUM(AO80:AP80)</f>
        <v>95024.628165000002</v>
      </c>
      <c r="AR80" s="153">
        <f>SUM(AR54:AR79)</f>
        <v>6091.2100000000009</v>
      </c>
      <c r="AS80" s="152">
        <v>0</v>
      </c>
      <c r="AT80" s="153">
        <f>SUM(AT54:AT79)</f>
        <v>89803.870000000024</v>
      </c>
      <c r="AU80" s="152">
        <v>0</v>
      </c>
      <c r="AV80" s="152">
        <v>0</v>
      </c>
      <c r="AW80" s="152">
        <v>0</v>
      </c>
      <c r="AX80" s="152">
        <v>0</v>
      </c>
      <c r="AY80" s="152">
        <v>0</v>
      </c>
      <c r="AZ80" s="163">
        <f t="shared" si="84"/>
        <v>-870.45183500002895</v>
      </c>
      <c r="BA80" s="235"/>
      <c r="BB80" s="249"/>
      <c r="BC80" s="153">
        <v>0</v>
      </c>
      <c r="BD80" s="153"/>
      <c r="BE80" s="153">
        <v>0</v>
      </c>
      <c r="BF80" s="153">
        <f>AA80</f>
        <v>0</v>
      </c>
      <c r="BG80" s="153">
        <v>0</v>
      </c>
      <c r="BH80" s="408"/>
      <c r="BI80" s="249"/>
      <c r="BJ80" s="153">
        <v>0</v>
      </c>
      <c r="BK80" s="153"/>
      <c r="BL80" s="153">
        <v>0</v>
      </c>
      <c r="BM80" s="153">
        <f>AG80</f>
        <v>0</v>
      </c>
      <c r="BN80" s="239">
        <v>0</v>
      </c>
      <c r="BO80" s="436"/>
      <c r="BP80" s="153">
        <v>0</v>
      </c>
      <c r="BQ80" s="153"/>
      <c r="BR80" s="153">
        <v>0</v>
      </c>
      <c r="BS80" s="153">
        <f>AM80</f>
        <v>0</v>
      </c>
      <c r="BT80" s="239">
        <v>0</v>
      </c>
      <c r="BU80" s="249"/>
      <c r="BV80" s="153">
        <v>0</v>
      </c>
      <c r="BW80" s="153"/>
      <c r="BX80" s="153">
        <v>0</v>
      </c>
      <c r="BY80" s="153">
        <f>AS80</f>
        <v>0</v>
      </c>
      <c r="BZ80" s="239">
        <v>0</v>
      </c>
      <c r="CA80" s="218">
        <f>BR80+BL80+BE80</f>
        <v>0</v>
      </c>
      <c r="CB80" s="153">
        <f t="shared" si="85"/>
        <v>0</v>
      </c>
      <c r="CC80" s="239">
        <f t="shared" si="85"/>
        <v>0</v>
      </c>
      <c r="CD80" s="17"/>
      <c r="CE80" s="152">
        <f>CA80+AR80+AT80</f>
        <v>95895.080000000031</v>
      </c>
      <c r="CF80" s="152">
        <f>CB80+AS80+AU80</f>
        <v>0</v>
      </c>
      <c r="CG80" s="18">
        <f t="shared" si="87"/>
        <v>95895.080000000031</v>
      </c>
      <c r="CH80" s="217"/>
      <c r="CI80" s="20"/>
      <c r="CJ80" s="15"/>
      <c r="CK80" s="530">
        <f t="shared" si="89"/>
        <v>0</v>
      </c>
      <c r="CL80" s="531">
        <f t="shared" si="90"/>
        <v>0</v>
      </c>
      <c r="CM80" s="375"/>
      <c r="CN80" s="375"/>
      <c r="CO80" s="375"/>
      <c r="CP80" s="375"/>
      <c r="CQ80" s="375"/>
      <c r="CR80" s="375"/>
      <c r="CS80" s="375"/>
      <c r="CT80" s="375"/>
      <c r="CU80" s="375"/>
      <c r="CV80" s="375"/>
      <c r="CW80" s="375"/>
      <c r="CX80" s="375"/>
      <c r="CY80" s="375"/>
      <c r="CZ80" s="375"/>
      <c r="DA80" s="375"/>
      <c r="DB80" s="375"/>
      <c r="DC80" s="375"/>
      <c r="DD80" s="375"/>
      <c r="DE80" s="375"/>
      <c r="DF80" s="375"/>
      <c r="DG80" s="375"/>
      <c r="DH80" s="375"/>
      <c r="DI80" s="375"/>
      <c r="DJ80" s="375"/>
      <c r="DK80" s="375"/>
      <c r="DL80" s="375"/>
      <c r="DM80" s="375"/>
      <c r="DN80" s="375"/>
      <c r="DO80" s="375"/>
      <c r="DP80" s="375"/>
      <c r="DQ80" s="375"/>
      <c r="DR80" s="375"/>
      <c r="DS80" s="375"/>
      <c r="DT80" s="375"/>
      <c r="DU80" s="375"/>
      <c r="DV80" s="375"/>
      <c r="DW80" s="375"/>
      <c r="DX80" s="375"/>
      <c r="DY80" s="375"/>
      <c r="DZ80" s="375"/>
      <c r="EA80" s="375"/>
      <c r="EB80" s="375"/>
      <c r="EC80" s="375"/>
      <c r="ED80" s="375"/>
      <c r="EE80" s="375"/>
      <c r="EF80" s="375"/>
      <c r="EG80" s="375"/>
      <c r="EH80" s="375"/>
      <c r="EI80" s="375"/>
      <c r="EJ80" s="375"/>
      <c r="EK80" s="375"/>
      <c r="EL80" s="375"/>
      <c r="EM80" s="375"/>
      <c r="EN80" s="375"/>
      <c r="EO80" s="375"/>
      <c r="EP80" s="375"/>
      <c r="EQ80" s="375"/>
      <c r="ER80" s="375"/>
      <c r="ES80" s="375"/>
    </row>
    <row r="81" spans="1:149" s="127" customFormat="1" ht="19.5" customHeight="1" x14ac:dyDescent="0.45">
      <c r="A81" s="172"/>
      <c r="B81" s="172"/>
      <c r="C81" s="172"/>
      <c r="D81" s="172"/>
      <c r="E81" s="135">
        <v>71</v>
      </c>
      <c r="F81" s="172" t="s">
        <v>217</v>
      </c>
      <c r="G81" s="172"/>
      <c r="H81" s="172"/>
      <c r="I81" s="172"/>
      <c r="J81" s="164"/>
      <c r="K81" s="164"/>
      <c r="L81" s="164"/>
      <c r="M81" s="164"/>
      <c r="N81" s="16">
        <f>N80+N51</f>
        <v>18570</v>
      </c>
      <c r="O81" s="16">
        <f>O80+O51</f>
        <v>0</v>
      </c>
      <c r="P81" s="16">
        <f>P80+P51</f>
        <v>18570</v>
      </c>
      <c r="Q81" s="164"/>
      <c r="R81" s="164"/>
      <c r="S81" s="164"/>
      <c r="T81" s="16">
        <f>T80+T51</f>
        <v>19700.700000000004</v>
      </c>
      <c r="U81" s="16">
        <f>U80+U51</f>
        <v>0</v>
      </c>
      <c r="V81" s="16">
        <f>V80+V51</f>
        <v>19700.700000000004</v>
      </c>
      <c r="W81" s="164"/>
      <c r="X81" s="164"/>
      <c r="Y81" s="164"/>
      <c r="Z81" s="16">
        <f>Z80+Z51</f>
        <v>21801.801000000003</v>
      </c>
      <c r="AA81" s="16">
        <f>AA80+AA51</f>
        <v>0</v>
      </c>
      <c r="AB81" s="16">
        <f>AB80+AB51</f>
        <v>21801.801000000003</v>
      </c>
      <c r="AC81" s="164"/>
      <c r="AD81" s="164"/>
      <c r="AE81" s="164"/>
      <c r="AF81" s="16">
        <f>AF80+AF51</f>
        <v>21847.130550000002</v>
      </c>
      <c r="AG81" s="16">
        <f>AG80+AG51</f>
        <v>0</v>
      </c>
      <c r="AH81" s="16">
        <f>AH80+AH51</f>
        <v>21847.130550000002</v>
      </c>
      <c r="AI81" s="164"/>
      <c r="AJ81" s="164"/>
      <c r="AK81" s="164"/>
      <c r="AL81" s="16">
        <f t="shared" ref="AL81:AR81" si="91">AL80+AL51</f>
        <v>21546.522552900005</v>
      </c>
      <c r="AM81" s="16">
        <f t="shared" si="91"/>
        <v>0</v>
      </c>
      <c r="AN81" s="16">
        <f t="shared" si="91"/>
        <v>21546.522552900005</v>
      </c>
      <c r="AO81" s="16">
        <f t="shared" si="91"/>
        <v>103466.15410290001</v>
      </c>
      <c r="AP81" s="16">
        <f t="shared" si="91"/>
        <v>0</v>
      </c>
      <c r="AQ81" s="16">
        <f t="shared" si="91"/>
        <v>103466.15410290001</v>
      </c>
      <c r="AR81" s="165">
        <f t="shared" si="91"/>
        <v>7004.8000000000011</v>
      </c>
      <c r="AS81" s="16">
        <v>0</v>
      </c>
      <c r="AT81" s="165">
        <f>AT80+AT51</f>
        <v>89803.870000000024</v>
      </c>
      <c r="AU81" s="16">
        <v>0</v>
      </c>
      <c r="AV81" s="16">
        <v>0</v>
      </c>
      <c r="AW81" s="16">
        <v>0</v>
      </c>
      <c r="AX81" s="16">
        <v>0</v>
      </c>
      <c r="AY81" s="16">
        <v>0</v>
      </c>
      <c r="AZ81" s="165">
        <f t="shared" si="84"/>
        <v>6657.4841028999799</v>
      </c>
      <c r="BA81" s="14"/>
      <c r="BB81" s="252"/>
      <c r="BC81" s="165">
        <f>+BC80+BC51+BC45</f>
        <v>423.25819999999999</v>
      </c>
      <c r="BD81" s="184"/>
      <c r="BE81" s="16">
        <f>BE45+BE51+BE80</f>
        <v>71741.193999999989</v>
      </c>
      <c r="BF81" s="165">
        <v>0</v>
      </c>
      <c r="BG81" s="16">
        <f>SUM(BE81:BF81)</f>
        <v>71741.193999999989</v>
      </c>
      <c r="BH81" s="418"/>
      <c r="BI81" s="252"/>
      <c r="BJ81" s="165">
        <v>0</v>
      </c>
      <c r="BK81" s="184"/>
      <c r="BL81" s="165">
        <f>BL45+BL51+BL80</f>
        <v>16709.12</v>
      </c>
      <c r="BM81" s="165">
        <v>0</v>
      </c>
      <c r="BN81" s="25">
        <f>SUM(BL81:BM81)</f>
        <v>16709.12</v>
      </c>
      <c r="BO81" s="441"/>
      <c r="BP81" s="165">
        <v>0</v>
      </c>
      <c r="BQ81" s="184"/>
      <c r="BR81" s="16">
        <f>BR45+BR51+BR80</f>
        <v>48960.380000000005</v>
      </c>
      <c r="BS81" s="165">
        <v>0</v>
      </c>
      <c r="BT81" s="22">
        <f>SUM(BR81:BS81)</f>
        <v>48960.380000000005</v>
      </c>
      <c r="BU81" s="225"/>
      <c r="BV81" s="165">
        <v>0</v>
      </c>
      <c r="BW81" s="16"/>
      <c r="BX81" s="16">
        <f>BX45+BX51+BX80</f>
        <v>47010.76</v>
      </c>
      <c r="BY81" s="165">
        <v>0</v>
      </c>
      <c r="BZ81" s="22">
        <f>SUM(BX81:BY81)</f>
        <v>47010.76</v>
      </c>
      <c r="CA81" s="226">
        <f>BX81+BR81+BL81+BE81</f>
        <v>184421.454</v>
      </c>
      <c r="CB81" s="226">
        <f>BY81+BS81+BM81+BF81</f>
        <v>0</v>
      </c>
      <c r="CC81" s="25">
        <f>BZ81+BT81+BN81+BG81</f>
        <v>184421.454</v>
      </c>
      <c r="CD81" s="17"/>
      <c r="CE81" s="16">
        <f>CE80+CE51+CE45</f>
        <v>281230.12400000001</v>
      </c>
      <c r="CF81" s="16">
        <f>CB81+AS81+AU81</f>
        <v>0</v>
      </c>
      <c r="CG81" s="300">
        <f t="shared" si="87"/>
        <v>281230.12400000001</v>
      </c>
      <c r="CH81" s="217"/>
      <c r="CI81" s="20"/>
      <c r="CJ81" s="15"/>
      <c r="CK81" s="530">
        <f t="shared" si="89"/>
        <v>0</v>
      </c>
      <c r="CL81" s="531">
        <f t="shared" si="90"/>
        <v>0</v>
      </c>
      <c r="CM81" s="369"/>
      <c r="CN81" s="369"/>
      <c r="CO81" s="369"/>
      <c r="CP81" s="369"/>
      <c r="CQ81" s="369"/>
      <c r="CR81" s="369"/>
      <c r="CS81" s="369"/>
      <c r="CT81" s="369"/>
      <c r="CU81" s="369"/>
      <c r="CV81" s="369"/>
      <c r="CW81" s="369"/>
      <c r="CX81" s="369"/>
      <c r="CY81" s="369"/>
      <c r="CZ81" s="369"/>
      <c r="DA81" s="369"/>
      <c r="DB81" s="369"/>
      <c r="DC81" s="369"/>
      <c r="DD81" s="369"/>
      <c r="DE81" s="369"/>
      <c r="DF81" s="369"/>
      <c r="DG81" s="369"/>
      <c r="DH81" s="369"/>
      <c r="DI81" s="369"/>
      <c r="DJ81" s="369"/>
      <c r="DK81" s="369"/>
      <c r="DL81" s="369"/>
      <c r="DM81" s="369"/>
      <c r="DN81" s="369"/>
      <c r="DO81" s="369"/>
      <c r="DP81" s="369"/>
      <c r="DQ81" s="369"/>
      <c r="DR81" s="369"/>
      <c r="DS81" s="369"/>
      <c r="DT81" s="369"/>
      <c r="DU81" s="369"/>
      <c r="DV81" s="369"/>
      <c r="DW81" s="369"/>
      <c r="DX81" s="369"/>
      <c r="DY81" s="369"/>
      <c r="DZ81" s="369"/>
      <c r="EA81" s="369"/>
      <c r="EB81" s="369"/>
      <c r="EC81" s="369"/>
      <c r="ED81" s="369"/>
      <c r="EE81" s="369"/>
      <c r="EF81" s="369"/>
      <c r="EG81" s="369"/>
      <c r="EH81" s="369"/>
      <c r="EI81" s="369"/>
      <c r="EJ81" s="369"/>
      <c r="EK81" s="369"/>
      <c r="EL81" s="369"/>
      <c r="EM81" s="369"/>
      <c r="EN81" s="369"/>
      <c r="EO81" s="369"/>
      <c r="EP81" s="369"/>
      <c r="EQ81" s="369"/>
      <c r="ER81" s="369"/>
      <c r="ES81" s="369"/>
    </row>
    <row r="82" spans="1:149" s="126" customFormat="1" ht="19.5" customHeight="1" x14ac:dyDescent="0.45">
      <c r="A82" s="136"/>
      <c r="B82" s="136"/>
      <c r="C82" s="136"/>
      <c r="D82" s="136"/>
      <c r="E82" s="135">
        <v>72</v>
      </c>
      <c r="F82" s="136" t="s">
        <v>218</v>
      </c>
      <c r="G82" s="136"/>
      <c r="H82" s="136"/>
      <c r="I82" s="136"/>
      <c r="J82" s="136"/>
      <c r="K82" s="136"/>
      <c r="L82" s="136"/>
      <c r="M82" s="136"/>
      <c r="N82" s="279"/>
      <c r="O82" s="279"/>
      <c r="P82" s="279"/>
      <c r="Q82" s="136"/>
      <c r="R82" s="136"/>
      <c r="S82" s="136"/>
      <c r="T82" s="279"/>
      <c r="U82" s="279"/>
      <c r="V82" s="279"/>
      <c r="W82" s="136"/>
      <c r="X82" s="136"/>
      <c r="Y82" s="136"/>
      <c r="Z82" s="279"/>
      <c r="AA82" s="279"/>
      <c r="AB82" s="279"/>
      <c r="AC82" s="136"/>
      <c r="AD82" s="136"/>
      <c r="AE82" s="136"/>
      <c r="AF82" s="279"/>
      <c r="AG82" s="279"/>
      <c r="AH82" s="279"/>
      <c r="AI82" s="136"/>
      <c r="AJ82" s="136"/>
      <c r="AK82" s="136"/>
      <c r="AL82" s="279"/>
      <c r="AM82" s="279"/>
      <c r="AN82" s="279"/>
      <c r="AO82" s="279"/>
      <c r="AP82" s="279"/>
      <c r="AQ82" s="279"/>
      <c r="AR82" s="279"/>
      <c r="AS82" s="279"/>
      <c r="AT82" s="279"/>
      <c r="AU82" s="279"/>
      <c r="AV82" s="279"/>
      <c r="AW82" s="279"/>
      <c r="AX82" s="279"/>
      <c r="AY82" s="279"/>
      <c r="AZ82" s="279"/>
      <c r="BA82" s="280"/>
      <c r="BB82" s="291"/>
      <c r="BC82" s="282"/>
      <c r="BD82" s="282"/>
      <c r="BE82" s="279"/>
      <c r="BF82" s="279"/>
      <c r="BG82" s="279"/>
      <c r="BH82" s="412"/>
      <c r="BI82" s="291"/>
      <c r="BJ82" s="282"/>
      <c r="BK82" s="282"/>
      <c r="BL82" s="283"/>
      <c r="BM82" s="283"/>
      <c r="BN82" s="284"/>
      <c r="BO82" s="442"/>
      <c r="BP82" s="282"/>
      <c r="BQ82" s="282"/>
      <c r="BR82" s="279"/>
      <c r="BS82" s="279"/>
      <c r="BT82" s="285"/>
      <c r="BU82" s="286"/>
      <c r="BV82" s="279"/>
      <c r="BW82" s="279"/>
      <c r="BX82" s="279"/>
      <c r="BY82" s="279"/>
      <c r="BZ82" s="285"/>
      <c r="CA82" s="287"/>
      <c r="CB82" s="283"/>
      <c r="CC82" s="284"/>
      <c r="CD82" s="23"/>
      <c r="CE82" s="279"/>
      <c r="CF82" s="279"/>
      <c r="CG82" s="280"/>
      <c r="CH82" s="217"/>
      <c r="CI82" s="20"/>
      <c r="CJ82" s="15"/>
      <c r="CK82" s="530">
        <f t="shared" si="89"/>
        <v>0</v>
      </c>
      <c r="CL82" s="531">
        <f t="shared" si="90"/>
        <v>0</v>
      </c>
      <c r="CM82" s="368"/>
      <c r="CN82" s="368"/>
      <c r="CO82" s="368"/>
      <c r="CP82" s="368"/>
      <c r="CQ82" s="368"/>
      <c r="CR82" s="368"/>
      <c r="CS82" s="368"/>
      <c r="CT82" s="368"/>
      <c r="CU82" s="368"/>
      <c r="CV82" s="368"/>
      <c r="CW82" s="368"/>
      <c r="CX82" s="368"/>
      <c r="CY82" s="368"/>
      <c r="CZ82" s="368"/>
      <c r="DA82" s="368"/>
      <c r="DB82" s="368"/>
      <c r="DC82" s="368"/>
      <c r="DD82" s="368"/>
      <c r="DE82" s="368"/>
      <c r="DF82" s="368"/>
      <c r="DG82" s="368"/>
      <c r="DH82" s="368"/>
      <c r="DI82" s="368"/>
      <c r="DJ82" s="368"/>
      <c r="DK82" s="368"/>
      <c r="DL82" s="368"/>
      <c r="DM82" s="368"/>
      <c r="DN82" s="368"/>
      <c r="DO82" s="368"/>
      <c r="DP82" s="368"/>
      <c r="DQ82" s="368"/>
      <c r="DR82" s="368"/>
      <c r="DS82" s="368"/>
      <c r="DT82" s="368"/>
      <c r="DU82" s="368"/>
      <c r="DV82" s="368"/>
      <c r="DW82" s="368"/>
      <c r="DX82" s="368"/>
      <c r="DY82" s="368"/>
      <c r="DZ82" s="368"/>
      <c r="EA82" s="368"/>
      <c r="EB82" s="368"/>
      <c r="EC82" s="368"/>
      <c r="ED82" s="368"/>
      <c r="EE82" s="368"/>
      <c r="EF82" s="368"/>
      <c r="EG82" s="368"/>
      <c r="EH82" s="368"/>
      <c r="EI82" s="368"/>
      <c r="EJ82" s="368"/>
      <c r="EK82" s="368"/>
      <c r="EL82" s="368"/>
      <c r="EM82" s="368"/>
      <c r="EN82" s="368"/>
      <c r="EO82" s="368"/>
      <c r="EP82" s="368"/>
      <c r="EQ82" s="368"/>
      <c r="ER82" s="368"/>
      <c r="ES82" s="368"/>
    </row>
    <row r="83" spans="1:149" s="126" customFormat="1" ht="19.5" hidden="1" customHeight="1" x14ac:dyDescent="0.45">
      <c r="A83" s="143"/>
      <c r="B83" s="143"/>
      <c r="C83" s="143"/>
      <c r="D83" s="143"/>
      <c r="E83" s="143">
        <v>73</v>
      </c>
      <c r="F83" s="143" t="s">
        <v>99</v>
      </c>
      <c r="G83" s="156" t="s">
        <v>219</v>
      </c>
      <c r="H83" s="143" t="s">
        <v>220</v>
      </c>
      <c r="I83" s="143" t="s">
        <v>11</v>
      </c>
      <c r="J83" s="159">
        <v>1</v>
      </c>
      <c r="K83" s="20">
        <v>50000</v>
      </c>
      <c r="L83" s="156">
        <v>0</v>
      </c>
      <c r="M83" s="156" t="s">
        <v>221</v>
      </c>
      <c r="N83" s="20">
        <f>K83*J83</f>
        <v>50000</v>
      </c>
      <c r="O83" s="20">
        <v>0</v>
      </c>
      <c r="P83" s="20">
        <f>SUM(N83:O83)</f>
        <v>50000</v>
      </c>
      <c r="Q83" s="159">
        <v>0</v>
      </c>
      <c r="R83" s="20">
        <f>K83</f>
        <v>50000</v>
      </c>
      <c r="S83" s="150"/>
      <c r="T83" s="20">
        <f>Q83*R83</f>
        <v>0</v>
      </c>
      <c r="U83" s="20">
        <v>0</v>
      </c>
      <c r="V83" s="20">
        <f>SUM(T83:U83)</f>
        <v>0</v>
      </c>
      <c r="W83" s="159">
        <v>0</v>
      </c>
      <c r="X83" s="20">
        <f>K83</f>
        <v>50000</v>
      </c>
      <c r="Y83" s="150"/>
      <c r="Z83" s="20">
        <f>X83*W83</f>
        <v>0</v>
      </c>
      <c r="AA83" s="20">
        <v>0</v>
      </c>
      <c r="AB83" s="20">
        <f>SUM(Z83:AA83)</f>
        <v>0</v>
      </c>
      <c r="AC83" s="159">
        <v>0</v>
      </c>
      <c r="AD83" s="20">
        <f>K83</f>
        <v>50000</v>
      </c>
      <c r="AE83" s="150"/>
      <c r="AF83" s="20">
        <f>AC83*AD83</f>
        <v>0</v>
      </c>
      <c r="AG83" s="20">
        <v>0</v>
      </c>
      <c r="AH83" s="20">
        <f>SUM(AF83:AG83)</f>
        <v>0</v>
      </c>
      <c r="AI83" s="159">
        <v>0</v>
      </c>
      <c r="AJ83" s="20">
        <f>K83</f>
        <v>50000</v>
      </c>
      <c r="AK83" s="150"/>
      <c r="AL83" s="20">
        <f>AJ83*AI83</f>
        <v>0</v>
      </c>
      <c r="AM83" s="20">
        <v>0</v>
      </c>
      <c r="AN83" s="20">
        <f>SUM(AL83:AM83)</f>
        <v>0</v>
      </c>
      <c r="AO83" s="20">
        <f>N83+T83+Z83+AF83+AL83</f>
        <v>50000</v>
      </c>
      <c r="AP83" s="20">
        <f>O83+U83+AA83+AG83+AM83</f>
        <v>0</v>
      </c>
      <c r="AQ83" s="20">
        <f>SUM(AO83:AP83)</f>
        <v>50000</v>
      </c>
      <c r="AR83" s="147">
        <v>0</v>
      </c>
      <c r="AS83" s="20">
        <v>0</v>
      </c>
      <c r="AT83" s="147">
        <v>0</v>
      </c>
      <c r="AU83" s="20">
        <v>0</v>
      </c>
      <c r="AV83" s="20">
        <f>AR83+AT83</f>
        <v>0</v>
      </c>
      <c r="AW83" s="20">
        <f>AS83+AU83</f>
        <v>0</v>
      </c>
      <c r="AX83" s="20">
        <f>AV83+AW83</f>
        <v>0</v>
      </c>
      <c r="AY83" s="20">
        <f>AQ83-AX83</f>
        <v>50000</v>
      </c>
      <c r="AZ83" s="147">
        <f>AQ83-AR83-AS83-AT83-AU83</f>
        <v>50000</v>
      </c>
      <c r="BA83" s="15">
        <f>AY83-AZ83</f>
        <v>0</v>
      </c>
      <c r="BB83" s="248"/>
      <c r="BC83" s="147">
        <v>0</v>
      </c>
      <c r="BD83" s="147"/>
      <c r="BE83" s="147">
        <v>0</v>
      </c>
      <c r="BF83" s="147">
        <v>0</v>
      </c>
      <c r="BG83" s="147">
        <f>SUM(BE83:BF83)</f>
        <v>0</v>
      </c>
      <c r="BH83" s="409" t="s">
        <v>222</v>
      </c>
      <c r="BI83" s="248"/>
      <c r="BJ83" s="147">
        <v>0</v>
      </c>
      <c r="BK83" s="178"/>
      <c r="BL83" s="147">
        <v>0</v>
      </c>
      <c r="BM83" s="147">
        <v>0</v>
      </c>
      <c r="BN83" s="229">
        <f>SUM(BL83:BM83)</f>
        <v>0</v>
      </c>
      <c r="BO83" s="435"/>
      <c r="BP83" s="147">
        <v>0</v>
      </c>
      <c r="BQ83" s="178"/>
      <c r="BR83" s="147">
        <v>0</v>
      </c>
      <c r="BS83" s="147">
        <v>0</v>
      </c>
      <c r="BT83" s="229">
        <v>0</v>
      </c>
      <c r="BU83" s="248"/>
      <c r="BV83" s="147">
        <v>0</v>
      </c>
      <c r="BW83" s="178"/>
      <c r="BX83" s="147">
        <v>0</v>
      </c>
      <c r="BY83" s="147">
        <v>0</v>
      </c>
      <c r="BZ83" s="229">
        <v>0</v>
      </c>
      <c r="CA83" s="228">
        <f t="shared" ref="CA83:CC84" si="92">BR83+BL83+BE83</f>
        <v>0</v>
      </c>
      <c r="CB83" s="147">
        <f t="shared" si="92"/>
        <v>0</v>
      </c>
      <c r="CC83" s="229">
        <f t="shared" si="92"/>
        <v>0</v>
      </c>
      <c r="CD83" s="23"/>
      <c r="CE83" s="20">
        <f>AV83+CA83</f>
        <v>0</v>
      </c>
      <c r="CF83" s="20">
        <f>AW83+CB83</f>
        <v>0</v>
      </c>
      <c r="CG83" s="15">
        <f>CE83+CF83</f>
        <v>0</v>
      </c>
      <c r="CH83" s="376">
        <f>AO83-CE83</f>
        <v>50000</v>
      </c>
      <c r="CI83" s="377">
        <f>AP83-CF83</f>
        <v>0</v>
      </c>
      <c r="CJ83" s="522">
        <f>AQ83-CG83</f>
        <v>50000</v>
      </c>
      <c r="CK83" s="532">
        <f t="shared" si="89"/>
        <v>-50000</v>
      </c>
      <c r="CL83" s="533">
        <f t="shared" si="90"/>
        <v>0</v>
      </c>
      <c r="CM83" s="372"/>
      <c r="CN83" s="372"/>
      <c r="CO83" s="372"/>
      <c r="CP83" s="372"/>
      <c r="CQ83" s="372"/>
      <c r="CR83" s="372"/>
      <c r="CS83" s="372"/>
      <c r="CT83" s="372"/>
      <c r="CU83" s="372"/>
      <c r="CV83" s="372"/>
      <c r="CW83" s="372"/>
      <c r="CX83" s="372"/>
      <c r="CY83" s="372"/>
      <c r="CZ83" s="372"/>
      <c r="DA83" s="372"/>
      <c r="DB83" s="372"/>
      <c r="DC83" s="372"/>
      <c r="DD83" s="372"/>
      <c r="DE83" s="372"/>
      <c r="DF83" s="372"/>
      <c r="DG83" s="372"/>
      <c r="DH83" s="372"/>
      <c r="DI83" s="372"/>
      <c r="DJ83" s="372"/>
      <c r="DK83" s="372"/>
      <c r="DL83" s="372"/>
      <c r="DM83" s="372"/>
      <c r="DN83" s="372"/>
      <c r="DO83" s="372"/>
      <c r="DP83" s="372"/>
      <c r="DQ83" s="372"/>
      <c r="DR83" s="372"/>
      <c r="DS83" s="372"/>
      <c r="DT83" s="372">
        <v>-50000</v>
      </c>
      <c r="DU83" s="372"/>
      <c r="DV83" s="372"/>
      <c r="DW83" s="372"/>
      <c r="DX83" s="372"/>
      <c r="DY83" s="372"/>
      <c r="DZ83" s="372"/>
      <c r="EA83" s="372"/>
      <c r="EB83" s="372"/>
      <c r="EC83" s="372"/>
      <c r="ED83" s="372"/>
      <c r="EE83" s="372"/>
      <c r="EF83" s="372"/>
      <c r="EG83" s="372"/>
      <c r="EH83" s="372"/>
      <c r="EI83" s="372"/>
      <c r="EJ83" s="372"/>
      <c r="EK83" s="372"/>
      <c r="EL83" s="372"/>
      <c r="EM83" s="372"/>
      <c r="EN83" s="372"/>
      <c r="EO83" s="372"/>
      <c r="EP83" s="372"/>
      <c r="EQ83" s="372"/>
      <c r="ER83" s="372"/>
      <c r="ES83" s="372"/>
    </row>
    <row r="84" spans="1:149" s="127" customFormat="1" ht="19.5" customHeight="1" x14ac:dyDescent="0.45">
      <c r="A84" s="172"/>
      <c r="B84" s="172"/>
      <c r="C84" s="172"/>
      <c r="D84" s="172"/>
      <c r="E84" s="143">
        <v>74</v>
      </c>
      <c r="F84" s="172" t="s">
        <v>223</v>
      </c>
      <c r="G84" s="172"/>
      <c r="H84" s="172"/>
      <c r="I84" s="172"/>
      <c r="J84" s="164"/>
      <c r="K84" s="164"/>
      <c r="L84" s="164"/>
      <c r="M84" s="164"/>
      <c r="N84" s="16">
        <f>SUM(N83:N83)</f>
        <v>50000</v>
      </c>
      <c r="O84" s="16">
        <f>SUM(O83:O83)</f>
        <v>0</v>
      </c>
      <c r="P84" s="16">
        <f>SUM(P83:P83)</f>
        <v>50000</v>
      </c>
      <c r="Q84" s="164"/>
      <c r="R84" s="164"/>
      <c r="S84" s="164"/>
      <c r="T84" s="16">
        <f>SUM(T83:T83)</f>
        <v>0</v>
      </c>
      <c r="U84" s="16">
        <f>SUM(U83:U83)</f>
        <v>0</v>
      </c>
      <c r="V84" s="16">
        <f>SUM(V83:V83)</f>
        <v>0</v>
      </c>
      <c r="W84" s="164"/>
      <c r="X84" s="164"/>
      <c r="Y84" s="164"/>
      <c r="Z84" s="16">
        <f>SUM(Z83:Z83)</f>
        <v>0</v>
      </c>
      <c r="AA84" s="16">
        <f>SUM(AA83:AA83)</f>
        <v>0</v>
      </c>
      <c r="AB84" s="16">
        <f>SUM(AB83:AB83)</f>
        <v>0</v>
      </c>
      <c r="AC84" s="164"/>
      <c r="AD84" s="164"/>
      <c r="AE84" s="164"/>
      <c r="AF84" s="16">
        <f>SUM(AF83:AF83)</f>
        <v>0</v>
      </c>
      <c r="AG84" s="16">
        <f>SUM(AG83:AG83)</f>
        <v>0</v>
      </c>
      <c r="AH84" s="16">
        <f>SUM(AH83:AH83)</f>
        <v>0</v>
      </c>
      <c r="AI84" s="164"/>
      <c r="AJ84" s="164"/>
      <c r="AK84" s="164"/>
      <c r="AL84" s="16">
        <f t="shared" ref="AL84:AQ84" si="93">SUM(AL83:AL83)</f>
        <v>0</v>
      </c>
      <c r="AM84" s="16">
        <f t="shared" si="93"/>
        <v>0</v>
      </c>
      <c r="AN84" s="16">
        <f t="shared" si="93"/>
        <v>0</v>
      </c>
      <c r="AO84" s="16">
        <f t="shared" si="93"/>
        <v>50000</v>
      </c>
      <c r="AP84" s="16">
        <f t="shared" si="93"/>
        <v>0</v>
      </c>
      <c r="AQ84" s="16">
        <f t="shared" si="93"/>
        <v>50000</v>
      </c>
      <c r="AR84" s="165">
        <v>0</v>
      </c>
      <c r="AS84" s="165">
        <v>0</v>
      </c>
      <c r="AT84" s="165">
        <v>0</v>
      </c>
      <c r="AU84" s="165">
        <v>0</v>
      </c>
      <c r="AV84" s="165">
        <v>0</v>
      </c>
      <c r="AW84" s="165">
        <v>0</v>
      </c>
      <c r="AX84" s="165">
        <v>0</v>
      </c>
      <c r="AY84" s="165">
        <v>0</v>
      </c>
      <c r="AZ84" s="165">
        <f>AQ84-AR84-AS84-AT84-AU84</f>
        <v>50000</v>
      </c>
      <c r="BA84" s="14"/>
      <c r="BB84" s="271"/>
      <c r="BC84" s="185">
        <v>0</v>
      </c>
      <c r="BD84" s="185"/>
      <c r="BE84" s="185">
        <f>BB84*BC84*BD84</f>
        <v>0</v>
      </c>
      <c r="BF84" s="185">
        <v>0</v>
      </c>
      <c r="BG84" s="185">
        <f>SUM(BE84:BF84)</f>
        <v>0</v>
      </c>
      <c r="BH84" s="419"/>
      <c r="BI84" s="252"/>
      <c r="BJ84" s="185">
        <v>0</v>
      </c>
      <c r="BK84" s="184"/>
      <c r="BL84" s="165">
        <f>BI84*BJ84*BK84</f>
        <v>0</v>
      </c>
      <c r="BM84" s="165">
        <v>0</v>
      </c>
      <c r="BN84" s="25">
        <f>SUM(BL84:BM84)</f>
        <v>0</v>
      </c>
      <c r="BO84" s="441"/>
      <c r="BP84" s="185">
        <v>0</v>
      </c>
      <c r="BQ84" s="184"/>
      <c r="BR84" s="185">
        <f>BO84*BP84*BQ84</f>
        <v>0</v>
      </c>
      <c r="BS84" s="185">
        <v>0</v>
      </c>
      <c r="BT84" s="253">
        <f>SUM(BR84:BS84)</f>
        <v>0</v>
      </c>
      <c r="BU84" s="252"/>
      <c r="BV84" s="185">
        <v>0</v>
      </c>
      <c r="BW84" s="184"/>
      <c r="BX84" s="185">
        <f>BU84*BV84*BW84</f>
        <v>0</v>
      </c>
      <c r="BY84" s="185">
        <v>0</v>
      </c>
      <c r="BZ84" s="253">
        <f>SUM(BX84:BY84)</f>
        <v>0</v>
      </c>
      <c r="CA84" s="226">
        <f t="shared" si="92"/>
        <v>0</v>
      </c>
      <c r="CB84" s="165">
        <f t="shared" si="92"/>
        <v>0</v>
      </c>
      <c r="CC84" s="25">
        <f t="shared" si="92"/>
        <v>0</v>
      </c>
      <c r="CD84" s="17"/>
      <c r="CE84" s="16">
        <f>CA84+AR84+AT84</f>
        <v>0</v>
      </c>
      <c r="CF84" s="16">
        <f>CB84+AS84+AU84</f>
        <v>0</v>
      </c>
      <c r="CG84" s="300">
        <f>CE84+CF84</f>
        <v>0</v>
      </c>
      <c r="CH84" s="217"/>
      <c r="CI84" s="20"/>
      <c r="CJ84" s="15"/>
      <c r="CK84" s="530">
        <f t="shared" si="89"/>
        <v>0</v>
      </c>
      <c r="CL84" s="531">
        <f t="shared" si="90"/>
        <v>0</v>
      </c>
      <c r="CM84" s="369"/>
      <c r="CN84" s="369"/>
      <c r="CO84" s="369"/>
      <c r="CP84" s="369"/>
      <c r="CQ84" s="369"/>
      <c r="CR84" s="369"/>
      <c r="CS84" s="369"/>
      <c r="CT84" s="369"/>
      <c r="CU84" s="369"/>
      <c r="CV84" s="369"/>
      <c r="CW84" s="369"/>
      <c r="CX84" s="369"/>
      <c r="CY84" s="369"/>
      <c r="CZ84" s="369"/>
      <c r="DA84" s="369"/>
      <c r="DB84" s="369"/>
      <c r="DC84" s="369"/>
      <c r="DD84" s="369"/>
      <c r="DE84" s="369"/>
      <c r="DF84" s="369"/>
      <c r="DG84" s="369"/>
      <c r="DH84" s="369"/>
      <c r="DI84" s="369"/>
      <c r="DJ84" s="369"/>
      <c r="DK84" s="369"/>
      <c r="DL84" s="369"/>
      <c r="DM84" s="369"/>
      <c r="DN84" s="369"/>
      <c r="DO84" s="369"/>
      <c r="DP84" s="369"/>
      <c r="DQ84" s="369"/>
      <c r="DR84" s="369"/>
      <c r="DS84" s="369"/>
      <c r="DT84" s="369"/>
      <c r="DU84" s="369"/>
      <c r="DV84" s="369"/>
      <c r="DW84" s="369"/>
      <c r="DX84" s="369"/>
      <c r="DY84" s="369"/>
      <c r="DZ84" s="369"/>
      <c r="EA84" s="369"/>
      <c r="EB84" s="369"/>
      <c r="EC84" s="369"/>
      <c r="ED84" s="369"/>
      <c r="EE84" s="369"/>
      <c r="EF84" s="369"/>
      <c r="EG84" s="369"/>
      <c r="EH84" s="369"/>
      <c r="EI84" s="369"/>
      <c r="EJ84" s="369"/>
      <c r="EK84" s="369"/>
      <c r="EL84" s="369"/>
      <c r="EM84" s="369"/>
      <c r="EN84" s="369"/>
      <c r="EO84" s="369"/>
      <c r="EP84" s="369"/>
      <c r="EQ84" s="369"/>
      <c r="ER84" s="369"/>
      <c r="ES84" s="369"/>
    </row>
    <row r="85" spans="1:149" s="126" customFormat="1" ht="19.5" customHeight="1" x14ac:dyDescent="0.45">
      <c r="A85" s="136"/>
      <c r="B85" s="136"/>
      <c r="C85" s="136"/>
      <c r="D85" s="136"/>
      <c r="E85" s="148">
        <v>75</v>
      </c>
      <c r="F85" s="136" t="s">
        <v>224</v>
      </c>
      <c r="G85" s="136"/>
      <c r="H85" s="136"/>
      <c r="I85" s="136"/>
      <c r="J85" s="136"/>
      <c r="K85" s="136"/>
      <c r="L85" s="136"/>
      <c r="M85" s="136"/>
      <c r="N85" s="279"/>
      <c r="O85" s="279"/>
      <c r="P85" s="279"/>
      <c r="Q85" s="136"/>
      <c r="R85" s="136"/>
      <c r="S85" s="136"/>
      <c r="T85" s="279"/>
      <c r="U85" s="279"/>
      <c r="V85" s="279"/>
      <c r="W85" s="136"/>
      <c r="X85" s="136"/>
      <c r="Y85" s="136"/>
      <c r="Z85" s="279"/>
      <c r="AA85" s="279"/>
      <c r="AB85" s="279"/>
      <c r="AC85" s="136"/>
      <c r="AD85" s="136"/>
      <c r="AE85" s="136"/>
      <c r="AF85" s="279"/>
      <c r="AG85" s="279"/>
      <c r="AH85" s="279"/>
      <c r="AI85" s="136"/>
      <c r="AJ85" s="136"/>
      <c r="AK85" s="136"/>
      <c r="AL85" s="279"/>
      <c r="AM85" s="279"/>
      <c r="AN85" s="279"/>
      <c r="AO85" s="279"/>
      <c r="AP85" s="279"/>
      <c r="AQ85" s="279"/>
      <c r="AR85" s="279"/>
      <c r="AS85" s="279"/>
      <c r="AT85" s="279"/>
      <c r="AU85" s="279"/>
      <c r="AV85" s="279"/>
      <c r="AW85" s="279"/>
      <c r="AX85" s="279"/>
      <c r="AY85" s="279"/>
      <c r="AZ85" s="279"/>
      <c r="BA85" s="280"/>
      <c r="BB85" s="292"/>
      <c r="BC85" s="279"/>
      <c r="BD85" s="293"/>
      <c r="BE85" s="279"/>
      <c r="BF85" s="279"/>
      <c r="BG85" s="279"/>
      <c r="BH85" s="412"/>
      <c r="BI85" s="292"/>
      <c r="BJ85" s="279"/>
      <c r="BK85" s="293"/>
      <c r="BL85" s="283"/>
      <c r="BM85" s="283"/>
      <c r="BN85" s="284"/>
      <c r="BO85" s="443"/>
      <c r="BP85" s="279"/>
      <c r="BQ85" s="293"/>
      <c r="BR85" s="279"/>
      <c r="BS85" s="279"/>
      <c r="BT85" s="285"/>
      <c r="BU85" s="286"/>
      <c r="BV85" s="279"/>
      <c r="BW85" s="279"/>
      <c r="BX85" s="279"/>
      <c r="BY85" s="279"/>
      <c r="BZ85" s="285"/>
      <c r="CA85" s="287"/>
      <c r="CB85" s="283"/>
      <c r="CC85" s="284"/>
      <c r="CD85" s="23"/>
      <c r="CE85" s="294"/>
      <c r="CF85" s="294"/>
      <c r="CG85" s="306"/>
      <c r="CH85" s="217"/>
      <c r="CI85" s="20"/>
      <c r="CJ85" s="15"/>
      <c r="CK85" s="530">
        <f t="shared" si="89"/>
        <v>0</v>
      </c>
      <c r="CL85" s="531">
        <f t="shared" si="90"/>
        <v>0</v>
      </c>
      <c r="CM85" s="368"/>
      <c r="CN85" s="368"/>
      <c r="CO85" s="368"/>
      <c r="CP85" s="368"/>
      <c r="CQ85" s="368"/>
      <c r="CR85" s="368"/>
      <c r="CS85" s="368"/>
      <c r="CT85" s="368"/>
      <c r="CU85" s="368"/>
      <c r="CV85" s="368"/>
      <c r="CW85" s="368"/>
      <c r="CX85" s="368"/>
      <c r="CY85" s="368"/>
      <c r="CZ85" s="368"/>
      <c r="DA85" s="368"/>
      <c r="DB85" s="368"/>
      <c r="DC85" s="368"/>
      <c r="DD85" s="368"/>
      <c r="DE85" s="368"/>
      <c r="DF85" s="368"/>
      <c r="DG85" s="368"/>
      <c r="DH85" s="368"/>
      <c r="DI85" s="368"/>
      <c r="DJ85" s="368"/>
      <c r="DK85" s="368"/>
      <c r="DL85" s="368"/>
      <c r="DM85" s="368"/>
      <c r="DN85" s="368"/>
      <c r="DO85" s="368"/>
      <c r="DP85" s="368"/>
      <c r="DQ85" s="368"/>
      <c r="DR85" s="368"/>
      <c r="DS85" s="368"/>
      <c r="DT85" s="368"/>
      <c r="DU85" s="368"/>
      <c r="DV85" s="368"/>
      <c r="DW85" s="368"/>
      <c r="DX85" s="368"/>
      <c r="DY85" s="368"/>
      <c r="DZ85" s="368"/>
      <c r="EA85" s="368"/>
      <c r="EB85" s="368"/>
      <c r="EC85" s="368"/>
      <c r="ED85" s="368"/>
      <c r="EE85" s="368"/>
      <c r="EF85" s="368"/>
      <c r="EG85" s="368"/>
      <c r="EH85" s="368"/>
      <c r="EI85" s="368"/>
      <c r="EJ85" s="368"/>
      <c r="EK85" s="368"/>
      <c r="EL85" s="368"/>
      <c r="EM85" s="368"/>
      <c r="EN85" s="368"/>
      <c r="EO85" s="368"/>
      <c r="EP85" s="368"/>
      <c r="EQ85" s="368"/>
      <c r="ER85" s="368"/>
      <c r="ES85" s="368"/>
    </row>
    <row r="86" spans="1:149" s="126" customFormat="1" ht="19.5" customHeight="1" x14ac:dyDescent="0.45">
      <c r="A86" s="148"/>
      <c r="B86" s="148"/>
      <c r="C86" s="148"/>
      <c r="D86" s="148"/>
      <c r="E86" s="135">
        <v>76</v>
      </c>
      <c r="F86" s="148" t="s">
        <v>17</v>
      </c>
      <c r="G86" s="148"/>
      <c r="H86" s="148"/>
      <c r="I86" s="148"/>
      <c r="J86" s="150"/>
      <c r="K86" s="150"/>
      <c r="L86" s="150"/>
      <c r="M86" s="150"/>
      <c r="N86" s="20"/>
      <c r="O86" s="20"/>
      <c r="P86" s="20"/>
      <c r="Q86" s="150"/>
      <c r="R86" s="150"/>
      <c r="S86" s="150"/>
      <c r="T86" s="20"/>
      <c r="U86" s="20"/>
      <c r="V86" s="20"/>
      <c r="W86" s="150"/>
      <c r="X86" s="150"/>
      <c r="Y86" s="150"/>
      <c r="Z86" s="20"/>
      <c r="AA86" s="20"/>
      <c r="AB86" s="20"/>
      <c r="AC86" s="150"/>
      <c r="AD86" s="150"/>
      <c r="AE86" s="150"/>
      <c r="AF86" s="20"/>
      <c r="AG86" s="20"/>
      <c r="AH86" s="20"/>
      <c r="AI86" s="150"/>
      <c r="AJ86" s="150"/>
      <c r="AK86" s="150"/>
      <c r="AL86" s="20"/>
      <c r="AM86" s="20"/>
      <c r="AN86" s="20"/>
      <c r="AO86" s="20"/>
      <c r="AP86" s="20"/>
      <c r="AQ86" s="20"/>
      <c r="AR86" s="20"/>
      <c r="AS86" s="20"/>
      <c r="AT86" s="20"/>
      <c r="AU86" s="20"/>
      <c r="AV86" s="20"/>
      <c r="AW86" s="20"/>
      <c r="AX86" s="20"/>
      <c r="AY86" s="20"/>
      <c r="AZ86" s="20"/>
      <c r="BA86" s="15"/>
      <c r="BB86" s="248"/>
      <c r="BC86" s="20"/>
      <c r="BD86" s="178"/>
      <c r="BE86" s="20"/>
      <c r="BF86" s="20"/>
      <c r="BG86" s="20"/>
      <c r="BH86" s="406"/>
      <c r="BI86" s="248"/>
      <c r="BJ86" s="20"/>
      <c r="BK86" s="178"/>
      <c r="BL86" s="147"/>
      <c r="BM86" s="147"/>
      <c r="BN86" s="229"/>
      <c r="BO86" s="435"/>
      <c r="BP86" s="20"/>
      <c r="BQ86" s="178"/>
      <c r="BR86" s="20"/>
      <c r="BS86" s="20"/>
      <c r="BT86" s="223"/>
      <c r="BU86" s="217"/>
      <c r="BV86" s="20"/>
      <c r="BW86" s="20"/>
      <c r="BX86" s="20"/>
      <c r="BY86" s="20"/>
      <c r="BZ86" s="223"/>
      <c r="CA86" s="228"/>
      <c r="CB86" s="147"/>
      <c r="CC86" s="229"/>
      <c r="CD86" s="23"/>
      <c r="CE86" s="20"/>
      <c r="CF86" s="20"/>
      <c r="CG86" s="15"/>
      <c r="CH86" s="217"/>
      <c r="CI86" s="20"/>
      <c r="CJ86" s="15"/>
      <c r="CK86" s="530">
        <f t="shared" si="89"/>
        <v>0</v>
      </c>
      <c r="CL86" s="531">
        <f t="shared" si="90"/>
        <v>0</v>
      </c>
      <c r="CM86" s="368"/>
      <c r="CN86" s="368"/>
      <c r="CO86" s="368"/>
      <c r="CP86" s="368"/>
      <c r="CQ86" s="368"/>
      <c r="CR86" s="368"/>
      <c r="CS86" s="368"/>
      <c r="CT86" s="368"/>
      <c r="CU86" s="368"/>
      <c r="CV86" s="368"/>
      <c r="CW86" s="368"/>
      <c r="CX86" s="368"/>
      <c r="CY86" s="368"/>
      <c r="CZ86" s="368"/>
      <c r="DA86" s="368"/>
      <c r="DB86" s="368"/>
      <c r="DC86" s="368"/>
      <c r="DD86" s="368"/>
      <c r="DE86" s="368"/>
      <c r="DF86" s="368"/>
      <c r="DG86" s="368"/>
      <c r="DH86" s="368"/>
      <c r="DI86" s="368"/>
      <c r="DJ86" s="368"/>
      <c r="DK86" s="368"/>
      <c r="DL86" s="368"/>
      <c r="DM86" s="368"/>
      <c r="DN86" s="368"/>
      <c r="DO86" s="368"/>
      <c r="DP86" s="368"/>
      <c r="DQ86" s="368"/>
      <c r="DR86" s="368"/>
      <c r="DS86" s="368"/>
      <c r="DT86" s="368"/>
      <c r="DU86" s="368"/>
      <c r="DV86" s="368"/>
      <c r="DW86" s="368"/>
      <c r="DX86" s="368"/>
      <c r="DY86" s="368"/>
      <c r="DZ86" s="368"/>
      <c r="EA86" s="368"/>
      <c r="EB86" s="368"/>
      <c r="EC86" s="368"/>
      <c r="ED86" s="368"/>
      <c r="EE86" s="368"/>
      <c r="EF86" s="368"/>
      <c r="EG86" s="368"/>
      <c r="EH86" s="368"/>
      <c r="EI86" s="368"/>
      <c r="EJ86" s="368"/>
      <c r="EK86" s="368"/>
      <c r="EL86" s="368"/>
      <c r="EM86" s="368"/>
      <c r="EN86" s="368"/>
      <c r="EO86" s="368"/>
      <c r="EP86" s="368"/>
      <c r="EQ86" s="368"/>
      <c r="ER86" s="368"/>
      <c r="ES86" s="368"/>
    </row>
    <row r="87" spans="1:149" s="126" customFormat="1" ht="19.5" customHeight="1" x14ac:dyDescent="0.45">
      <c r="A87" s="590" t="s">
        <v>445</v>
      </c>
      <c r="B87" s="591">
        <v>89050</v>
      </c>
      <c r="C87" s="590" t="s">
        <v>446</v>
      </c>
      <c r="D87" s="592" t="s">
        <v>480</v>
      </c>
      <c r="E87" s="135">
        <v>77</v>
      </c>
      <c r="F87" s="174" t="s">
        <v>225</v>
      </c>
      <c r="G87" s="155" t="s">
        <v>226</v>
      </c>
      <c r="H87" s="176" t="s">
        <v>17</v>
      </c>
      <c r="I87" s="174" t="s">
        <v>11</v>
      </c>
      <c r="J87" s="150"/>
      <c r="K87" s="150"/>
      <c r="L87" s="150"/>
      <c r="M87" s="156" t="s">
        <v>221</v>
      </c>
      <c r="N87" s="20"/>
      <c r="O87" s="20"/>
      <c r="P87" s="20"/>
      <c r="Q87" s="150"/>
      <c r="R87" s="150"/>
      <c r="S87" s="150"/>
      <c r="T87" s="20"/>
      <c r="U87" s="20"/>
      <c r="V87" s="20"/>
      <c r="W87" s="150"/>
      <c r="X87" s="150"/>
      <c r="Y87" s="150"/>
      <c r="Z87" s="20"/>
      <c r="AA87" s="20"/>
      <c r="AB87" s="20"/>
      <c r="AC87" s="150"/>
      <c r="AD87" s="150"/>
      <c r="AE87" s="150"/>
      <c r="AF87" s="20"/>
      <c r="AG87" s="20"/>
      <c r="AH87" s="20"/>
      <c r="AI87" s="150"/>
      <c r="AJ87" s="150"/>
      <c r="AK87" s="150"/>
      <c r="AL87" s="20"/>
      <c r="AM87" s="20"/>
      <c r="AN87" s="20"/>
      <c r="AO87" s="20"/>
      <c r="AP87" s="20"/>
      <c r="AQ87" s="20"/>
      <c r="AR87" s="20">
        <v>0</v>
      </c>
      <c r="AS87" s="20">
        <v>0</v>
      </c>
      <c r="AT87" s="20">
        <v>0</v>
      </c>
      <c r="AU87" s="20">
        <v>0</v>
      </c>
      <c r="AV87" s="20">
        <v>0</v>
      </c>
      <c r="AW87" s="20">
        <v>0</v>
      </c>
      <c r="AX87" s="20">
        <v>0</v>
      </c>
      <c r="AY87" s="20">
        <v>0</v>
      </c>
      <c r="AZ87" s="20">
        <v>0</v>
      </c>
      <c r="BA87" s="15">
        <f>AY87-AZ87</f>
        <v>0</v>
      </c>
      <c r="BB87" s="272">
        <v>12</v>
      </c>
      <c r="BC87" s="147">
        <v>188.55799999999999</v>
      </c>
      <c r="BD87" s="147"/>
      <c r="BE87" s="147">
        <f>BB87*BC87</f>
        <v>2262.6959999999999</v>
      </c>
      <c r="BF87" s="147">
        <v>0</v>
      </c>
      <c r="BG87" s="147">
        <f>SUM(BE87:BF87)</f>
        <v>2262.6959999999999</v>
      </c>
      <c r="BH87" s="413" t="s">
        <v>227</v>
      </c>
      <c r="BI87" s="248"/>
      <c r="BJ87" s="147">
        <f>BC87*1.04</f>
        <v>196.10032000000001</v>
      </c>
      <c r="BK87" s="178"/>
      <c r="BL87" s="147">
        <f>BJ87</f>
        <v>196.10032000000001</v>
      </c>
      <c r="BM87" s="147">
        <v>0</v>
      </c>
      <c r="BN87" s="229">
        <f>SUM(BL87:BM87)</f>
        <v>196.10032000000001</v>
      </c>
      <c r="BO87" s="435"/>
      <c r="BP87" s="147">
        <f>BJ87*1.04</f>
        <v>203.94433280000001</v>
      </c>
      <c r="BQ87" s="178"/>
      <c r="BR87" s="147">
        <f>BP87</f>
        <v>203.94433280000001</v>
      </c>
      <c r="BS87" s="147">
        <v>0</v>
      </c>
      <c r="BT87" s="229">
        <f>BS87+BR87</f>
        <v>203.94433280000001</v>
      </c>
      <c r="BU87" s="228"/>
      <c r="BV87" s="147">
        <v>35</v>
      </c>
      <c r="BW87" s="147">
        <v>8</v>
      </c>
      <c r="BX87" s="147">
        <f>BW87*BV87</f>
        <v>280</v>
      </c>
      <c r="BY87" s="147">
        <v>0</v>
      </c>
      <c r="BZ87" s="229">
        <f>BY87+BX87</f>
        <v>280</v>
      </c>
      <c r="CA87" s="228">
        <f t="shared" ref="CA87:CC88" si="94">BR87+BL87+BE87+BX87</f>
        <v>2942.7406528000001</v>
      </c>
      <c r="CB87" s="228">
        <f t="shared" si="94"/>
        <v>0</v>
      </c>
      <c r="CC87" s="229">
        <f t="shared" si="94"/>
        <v>2942.7406528000001</v>
      </c>
      <c r="CD87" s="23"/>
      <c r="CE87" s="20">
        <f>AV87+CA87</f>
        <v>2942.7406528000001</v>
      </c>
      <c r="CF87" s="20">
        <f>AW87+CB87</f>
        <v>0</v>
      </c>
      <c r="CG87" s="15">
        <f>CE87+CF87</f>
        <v>2942.7406528000001</v>
      </c>
      <c r="CH87" s="314">
        <f>AO87-CE87</f>
        <v>-2942.7406528000001</v>
      </c>
      <c r="CI87" s="310">
        <f>AP87-CF87</f>
        <v>0</v>
      </c>
      <c r="CJ87" s="521">
        <f>AQ87-CG87</f>
        <v>-2942.7406528000001</v>
      </c>
      <c r="CK87" s="530">
        <f t="shared" si="89"/>
        <v>2943</v>
      </c>
      <c r="CL87" s="531">
        <f t="shared" si="90"/>
        <v>0.25934719999986555</v>
      </c>
      <c r="CM87" s="372"/>
      <c r="CN87" s="368"/>
      <c r="CO87" s="368"/>
      <c r="CP87" s="368"/>
      <c r="CQ87" s="368"/>
      <c r="CR87" s="368"/>
      <c r="CS87" s="368"/>
      <c r="CT87" s="368"/>
      <c r="CU87" s="368"/>
      <c r="CV87" s="368"/>
      <c r="CW87" s="368"/>
      <c r="CX87" s="368"/>
      <c r="CY87" s="368"/>
      <c r="CZ87" s="372"/>
      <c r="DA87" s="372"/>
      <c r="DB87" s="372"/>
      <c r="DC87" s="372"/>
      <c r="DD87" s="372"/>
      <c r="DE87" s="372"/>
      <c r="DF87" s="372"/>
      <c r="DG87" s="372"/>
      <c r="DH87" s="372"/>
      <c r="DI87" s="372"/>
      <c r="DJ87" s="372"/>
      <c r="DK87" s="372"/>
      <c r="DL87" s="372"/>
      <c r="DM87" s="372"/>
      <c r="DN87" s="372"/>
      <c r="DO87" s="372"/>
      <c r="DP87" s="372"/>
      <c r="DQ87" s="372"/>
      <c r="DR87" s="372"/>
      <c r="DS87" s="372"/>
      <c r="DT87" s="372"/>
      <c r="DU87" s="372">
        <v>2943</v>
      </c>
      <c r="DV87" s="372"/>
      <c r="DW87" s="372"/>
      <c r="DX87" s="372"/>
      <c r="DY87" s="372"/>
      <c r="DZ87" s="372"/>
      <c r="EA87" s="372"/>
      <c r="EB87" s="372"/>
      <c r="EC87" s="372"/>
      <c r="ED87" s="372"/>
      <c r="EE87" s="372"/>
      <c r="EF87" s="372"/>
      <c r="EG87" s="372"/>
      <c r="EH87" s="372"/>
      <c r="EI87" s="372"/>
      <c r="EJ87" s="372"/>
      <c r="EK87" s="372"/>
      <c r="EL87" s="372"/>
      <c r="EM87" s="372"/>
      <c r="EN87" s="372"/>
      <c r="EO87" s="372"/>
      <c r="EP87" s="372"/>
      <c r="EQ87" s="372"/>
      <c r="ER87" s="372"/>
      <c r="ES87" s="372"/>
    </row>
    <row r="88" spans="1:149" s="127" customFormat="1" ht="19.5" customHeight="1" x14ac:dyDescent="0.45">
      <c r="A88" s="161"/>
      <c r="B88" s="161"/>
      <c r="C88" s="161"/>
      <c r="D88" s="161"/>
      <c r="E88" s="135">
        <v>78</v>
      </c>
      <c r="F88" s="161" t="s">
        <v>228</v>
      </c>
      <c r="G88" s="161"/>
      <c r="H88" s="161"/>
      <c r="I88" s="161"/>
      <c r="J88" s="150"/>
      <c r="K88" s="150"/>
      <c r="L88" s="150"/>
      <c r="M88" s="150"/>
      <c r="N88" s="152"/>
      <c r="O88" s="152"/>
      <c r="P88" s="152"/>
      <c r="Q88" s="150"/>
      <c r="R88" s="150"/>
      <c r="S88" s="150"/>
      <c r="T88" s="152"/>
      <c r="U88" s="152"/>
      <c r="V88" s="152"/>
      <c r="W88" s="150"/>
      <c r="X88" s="150"/>
      <c r="Y88" s="150"/>
      <c r="Z88" s="152"/>
      <c r="AA88" s="152"/>
      <c r="AB88" s="152"/>
      <c r="AC88" s="150"/>
      <c r="AD88" s="150"/>
      <c r="AE88" s="150"/>
      <c r="AF88" s="152"/>
      <c r="AG88" s="152"/>
      <c r="AH88" s="152"/>
      <c r="AI88" s="150"/>
      <c r="AJ88" s="150"/>
      <c r="AK88" s="150"/>
      <c r="AL88" s="152"/>
      <c r="AM88" s="152"/>
      <c r="AN88" s="152"/>
      <c r="AO88" s="152"/>
      <c r="AP88" s="152"/>
      <c r="AQ88" s="152"/>
      <c r="AR88" s="152">
        <v>0</v>
      </c>
      <c r="AS88" s="152">
        <v>0</v>
      </c>
      <c r="AT88" s="152">
        <v>0</v>
      </c>
      <c r="AU88" s="152">
        <v>0</v>
      </c>
      <c r="AV88" s="152">
        <v>0</v>
      </c>
      <c r="AW88" s="152">
        <v>0</v>
      </c>
      <c r="AX88" s="152">
        <v>0</v>
      </c>
      <c r="AY88" s="152">
        <v>0</v>
      </c>
      <c r="AZ88" s="152">
        <v>0</v>
      </c>
      <c r="BA88" s="18"/>
      <c r="BB88" s="249"/>
      <c r="BC88" s="163">
        <f>BC87</f>
        <v>188.55799999999999</v>
      </c>
      <c r="BD88" s="153"/>
      <c r="BE88" s="163">
        <f>BE87</f>
        <v>2262.6959999999999</v>
      </c>
      <c r="BF88" s="163">
        <f>BF87</f>
        <v>0</v>
      </c>
      <c r="BG88" s="163">
        <f>BG87</f>
        <v>2262.6959999999999</v>
      </c>
      <c r="BH88" s="410"/>
      <c r="BI88" s="249"/>
      <c r="BJ88" s="163">
        <f>BJ87</f>
        <v>196.10032000000001</v>
      </c>
      <c r="BK88" s="180"/>
      <c r="BL88" s="163">
        <f>BL87</f>
        <v>196.10032000000001</v>
      </c>
      <c r="BM88" s="163">
        <f>BM87</f>
        <v>0</v>
      </c>
      <c r="BN88" s="241">
        <f>BN87</f>
        <v>196.10032000000001</v>
      </c>
      <c r="BO88" s="436"/>
      <c r="BP88" s="163">
        <f>BP87</f>
        <v>203.94433280000001</v>
      </c>
      <c r="BQ88" s="180"/>
      <c r="BR88" s="163">
        <f>BR87</f>
        <v>203.94433280000001</v>
      </c>
      <c r="BS88" s="163">
        <f>BS87</f>
        <v>0</v>
      </c>
      <c r="BT88" s="241">
        <f>BT87</f>
        <v>203.94433280000001</v>
      </c>
      <c r="BU88" s="249"/>
      <c r="BV88" s="163">
        <f>BV87</f>
        <v>35</v>
      </c>
      <c r="BW88" s="180"/>
      <c r="BX88" s="163">
        <f>BX87</f>
        <v>280</v>
      </c>
      <c r="BY88" s="163">
        <f>BY87</f>
        <v>0</v>
      </c>
      <c r="BZ88" s="241">
        <f>BZ87</f>
        <v>280</v>
      </c>
      <c r="CA88" s="218">
        <f t="shared" si="94"/>
        <v>2942.7406528000001</v>
      </c>
      <c r="CB88" s="218">
        <f t="shared" si="94"/>
        <v>0</v>
      </c>
      <c r="CC88" s="239">
        <f t="shared" si="94"/>
        <v>2942.7406528000001</v>
      </c>
      <c r="CD88" s="17"/>
      <c r="CE88" s="152">
        <f>CA88+AR88+AT88</f>
        <v>2942.7406528000001</v>
      </c>
      <c r="CF88" s="152">
        <f>CB88+AS88+AU88</f>
        <v>0</v>
      </c>
      <c r="CG88" s="18">
        <f>CE88+CF88</f>
        <v>2942.7406528000001</v>
      </c>
      <c r="CH88" s="217"/>
      <c r="CI88" s="20"/>
      <c r="CJ88" s="15"/>
      <c r="CK88" s="530">
        <f t="shared" si="89"/>
        <v>0</v>
      </c>
      <c r="CL88" s="531">
        <f t="shared" si="90"/>
        <v>0</v>
      </c>
      <c r="CM88" s="369"/>
      <c r="CN88" s="369"/>
      <c r="CO88" s="369"/>
      <c r="CP88" s="369"/>
      <c r="CQ88" s="369"/>
      <c r="CR88" s="369"/>
      <c r="CS88" s="369"/>
      <c r="CT88" s="369"/>
      <c r="CU88" s="369"/>
      <c r="CV88" s="369"/>
      <c r="CW88" s="369"/>
      <c r="CX88" s="369"/>
      <c r="CY88" s="369"/>
      <c r="CZ88" s="369"/>
      <c r="DA88" s="369"/>
      <c r="DB88" s="369"/>
      <c r="DC88" s="369"/>
      <c r="DD88" s="369"/>
      <c r="DE88" s="369"/>
      <c r="DF88" s="369"/>
      <c r="DG88" s="369"/>
      <c r="DH88" s="369"/>
      <c r="DI88" s="369"/>
      <c r="DJ88" s="369"/>
      <c r="DK88" s="369"/>
      <c r="DL88" s="369"/>
      <c r="DM88" s="369"/>
      <c r="DN88" s="369"/>
      <c r="DO88" s="369"/>
      <c r="DP88" s="369"/>
      <c r="DQ88" s="369"/>
      <c r="DR88" s="369"/>
      <c r="DS88" s="369"/>
      <c r="DT88" s="369"/>
      <c r="DU88" s="369"/>
      <c r="DV88" s="369"/>
      <c r="DW88" s="369"/>
      <c r="DX88" s="369"/>
      <c r="DY88" s="369"/>
      <c r="DZ88" s="369"/>
      <c r="EA88" s="369"/>
      <c r="EB88" s="369"/>
      <c r="EC88" s="369"/>
      <c r="ED88" s="369"/>
      <c r="EE88" s="369"/>
      <c r="EF88" s="369"/>
      <c r="EG88" s="369"/>
      <c r="EH88" s="369"/>
      <c r="EI88" s="369"/>
      <c r="EJ88" s="369"/>
      <c r="EK88" s="369"/>
      <c r="EL88" s="369"/>
      <c r="EM88" s="369"/>
      <c r="EN88" s="369"/>
      <c r="EO88" s="369"/>
      <c r="EP88" s="369"/>
      <c r="EQ88" s="369"/>
      <c r="ER88" s="369"/>
      <c r="ES88" s="369"/>
    </row>
    <row r="89" spans="1:149" s="126" customFormat="1" ht="19.5" customHeight="1" x14ac:dyDescent="0.45">
      <c r="A89" s="148"/>
      <c r="B89" s="148"/>
      <c r="C89" s="148"/>
      <c r="D89" s="148"/>
      <c r="E89" s="143">
        <v>79</v>
      </c>
      <c r="F89" s="148" t="s">
        <v>229</v>
      </c>
      <c r="G89" s="148"/>
      <c r="H89" s="148"/>
      <c r="I89" s="148"/>
      <c r="J89" s="150"/>
      <c r="K89" s="150"/>
      <c r="L89" s="150"/>
      <c r="M89" s="150"/>
      <c r="N89" s="20"/>
      <c r="O89" s="20"/>
      <c r="P89" s="20"/>
      <c r="Q89" s="159"/>
      <c r="R89" s="20"/>
      <c r="S89" s="178"/>
      <c r="T89" s="20"/>
      <c r="U89" s="20"/>
      <c r="V89" s="20"/>
      <c r="W89" s="159"/>
      <c r="X89" s="20"/>
      <c r="Y89" s="178"/>
      <c r="Z89" s="20"/>
      <c r="AA89" s="20"/>
      <c r="AB89" s="20"/>
      <c r="AC89" s="159"/>
      <c r="AD89" s="20"/>
      <c r="AE89" s="178"/>
      <c r="AF89" s="20"/>
      <c r="AG89" s="20"/>
      <c r="AH89" s="20"/>
      <c r="AI89" s="159"/>
      <c r="AJ89" s="20"/>
      <c r="AK89" s="178"/>
      <c r="AL89" s="20"/>
      <c r="AM89" s="20"/>
      <c r="AN89" s="20"/>
      <c r="AO89" s="20"/>
      <c r="AP89" s="20"/>
      <c r="AQ89" s="20"/>
      <c r="AR89" s="20"/>
      <c r="AS89" s="20"/>
      <c r="AT89" s="20"/>
      <c r="AU89" s="20"/>
      <c r="AV89" s="20"/>
      <c r="AW89" s="20"/>
      <c r="AX89" s="20"/>
      <c r="AY89" s="20"/>
      <c r="AZ89" s="20"/>
      <c r="BA89" s="15"/>
      <c r="BB89" s="214"/>
      <c r="BC89" s="20"/>
      <c r="BD89" s="178"/>
      <c r="BE89" s="20"/>
      <c r="BF89" s="20"/>
      <c r="BG89" s="20"/>
      <c r="BH89" s="406"/>
      <c r="BI89" s="248"/>
      <c r="BJ89" s="20"/>
      <c r="BK89" s="178"/>
      <c r="BL89" s="147"/>
      <c r="BM89" s="147"/>
      <c r="BN89" s="229"/>
      <c r="BO89" s="435"/>
      <c r="BP89" s="20"/>
      <c r="BQ89" s="178"/>
      <c r="BR89" s="20"/>
      <c r="BS89" s="20"/>
      <c r="BT89" s="223"/>
      <c r="BU89" s="217"/>
      <c r="BV89" s="20"/>
      <c r="BW89" s="20"/>
      <c r="BX89" s="20"/>
      <c r="BY89" s="20"/>
      <c r="BZ89" s="223"/>
      <c r="CA89" s="217"/>
      <c r="CB89" s="147"/>
      <c r="CC89" s="229"/>
      <c r="CD89" s="23"/>
      <c r="CE89" s="20"/>
      <c r="CF89" s="20"/>
      <c r="CG89" s="15"/>
      <c r="CH89" s="217"/>
      <c r="CI89" s="20"/>
      <c r="CJ89" s="15"/>
      <c r="CK89" s="530">
        <f t="shared" si="89"/>
        <v>0</v>
      </c>
      <c r="CL89" s="531">
        <f t="shared" si="90"/>
        <v>0</v>
      </c>
      <c r="CM89" s="368"/>
      <c r="CN89" s="368"/>
      <c r="CO89" s="368"/>
      <c r="CP89" s="368"/>
      <c r="CQ89" s="368"/>
      <c r="CR89" s="368"/>
      <c r="CS89" s="368"/>
      <c r="CT89" s="368"/>
      <c r="CU89" s="368"/>
      <c r="CV89" s="368"/>
      <c r="CW89" s="368"/>
      <c r="CX89" s="368"/>
      <c r="CY89" s="368"/>
      <c r="CZ89" s="368"/>
      <c r="DA89" s="368"/>
      <c r="DB89" s="368"/>
      <c r="DC89" s="368"/>
      <c r="DD89" s="368"/>
      <c r="DE89" s="368"/>
      <c r="DF89" s="368"/>
      <c r="DG89" s="368"/>
      <c r="DH89" s="368"/>
      <c r="DI89" s="368"/>
      <c r="DJ89" s="368"/>
      <c r="DK89" s="368"/>
      <c r="DL89" s="368"/>
      <c r="DM89" s="368"/>
      <c r="DN89" s="368"/>
      <c r="DO89" s="368"/>
      <c r="DP89" s="368"/>
      <c r="DQ89" s="368"/>
      <c r="DR89" s="368"/>
      <c r="DS89" s="368"/>
      <c r="DT89" s="368"/>
      <c r="DU89" s="368"/>
      <c r="DV89" s="368"/>
      <c r="DW89" s="368"/>
      <c r="DX89" s="368"/>
      <c r="DY89" s="368"/>
      <c r="DZ89" s="368"/>
      <c r="EA89" s="368"/>
      <c r="EB89" s="368"/>
      <c r="EC89" s="368"/>
      <c r="ED89" s="368"/>
      <c r="EE89" s="368"/>
      <c r="EF89" s="368"/>
      <c r="EG89" s="368"/>
      <c r="EH89" s="368"/>
      <c r="EI89" s="368"/>
      <c r="EJ89" s="368"/>
      <c r="EK89" s="368"/>
      <c r="EL89" s="368"/>
      <c r="EM89" s="368"/>
      <c r="EN89" s="368"/>
      <c r="EO89" s="368"/>
      <c r="EP89" s="368"/>
      <c r="EQ89" s="368"/>
      <c r="ER89" s="368"/>
      <c r="ES89" s="368"/>
    </row>
    <row r="90" spans="1:149" s="126" customFormat="1" ht="19.5" customHeight="1" x14ac:dyDescent="0.45">
      <c r="A90" s="144" t="s">
        <v>445</v>
      </c>
      <c r="B90" s="588">
        <v>89050</v>
      </c>
      <c r="C90" s="144" t="s">
        <v>446</v>
      </c>
      <c r="D90" s="187" t="s">
        <v>451</v>
      </c>
      <c r="E90" s="135">
        <v>80</v>
      </c>
      <c r="F90" s="187" t="s">
        <v>230</v>
      </c>
      <c r="G90" s="156" t="s">
        <v>226</v>
      </c>
      <c r="H90" s="143" t="s">
        <v>229</v>
      </c>
      <c r="I90" s="187" t="s">
        <v>11</v>
      </c>
      <c r="J90" s="159">
        <v>1</v>
      </c>
      <c r="K90" s="20">
        <v>1204.99</v>
      </c>
      <c r="L90" s="178">
        <v>1</v>
      </c>
      <c r="M90" s="156" t="s">
        <v>221</v>
      </c>
      <c r="N90" s="20">
        <f>K90*J90</f>
        <v>1204.99</v>
      </c>
      <c r="O90" s="20">
        <v>0</v>
      </c>
      <c r="P90" s="20">
        <f>SUM(N90:O90)</f>
        <v>1204.99</v>
      </c>
      <c r="Q90" s="159">
        <v>0</v>
      </c>
      <c r="R90" s="20">
        <f>K90*$J$6</f>
        <v>1241.1396999999999</v>
      </c>
      <c r="S90" s="178">
        <v>1</v>
      </c>
      <c r="T90" s="20">
        <f>Q90*R90</f>
        <v>0</v>
      </c>
      <c r="U90" s="20">
        <v>0</v>
      </c>
      <c r="V90" s="20">
        <f>SUM(T90:U90)</f>
        <v>0</v>
      </c>
      <c r="W90" s="20">
        <f>T90*U90*V90</f>
        <v>0</v>
      </c>
      <c r="X90" s="20">
        <f>K90*$J$6*$J$6</f>
        <v>1278.373891</v>
      </c>
      <c r="Y90" s="178">
        <v>1</v>
      </c>
      <c r="Z90" s="20">
        <f>X90*W90</f>
        <v>0</v>
      </c>
      <c r="AA90" s="20">
        <v>0</v>
      </c>
      <c r="AB90" s="20">
        <f>SUM(Z90:AA90)</f>
        <v>0</v>
      </c>
      <c r="AC90" s="20">
        <f>Z90*AA90*AB90</f>
        <v>0</v>
      </c>
      <c r="AD90" s="20">
        <f>K90*$J$6*$J$6*$J$6</f>
        <v>1316.72510773</v>
      </c>
      <c r="AE90" s="178">
        <v>1</v>
      </c>
      <c r="AF90" s="20">
        <f>AD90*AC90</f>
        <v>0</v>
      </c>
      <c r="AG90" s="20">
        <v>0</v>
      </c>
      <c r="AH90" s="20">
        <f>SUM(AF90:AG90)</f>
        <v>0</v>
      </c>
      <c r="AI90" s="20">
        <f>AF90*AG90*AH90</f>
        <v>0</v>
      </c>
      <c r="AJ90" s="20">
        <f>K90*$J$6*$J$6*$J$6*$J$6</f>
        <v>1356.2268609619</v>
      </c>
      <c r="AK90" s="178">
        <v>1</v>
      </c>
      <c r="AL90" s="20">
        <f>AJ90*AI90</f>
        <v>0</v>
      </c>
      <c r="AM90" s="20">
        <v>0</v>
      </c>
      <c r="AN90" s="20">
        <f>SUM(AL90:AM90)</f>
        <v>0</v>
      </c>
      <c r="AO90" s="20">
        <f>N90+T90+Z90+AF90+AL90</f>
        <v>1204.99</v>
      </c>
      <c r="AP90" s="20">
        <f>O90+U90+AA90+AG90+AM90</f>
        <v>0</v>
      </c>
      <c r="AQ90" s="20">
        <f>SUM(AO90:AP90)</f>
        <v>1204.99</v>
      </c>
      <c r="AR90" s="147">
        <v>0</v>
      </c>
      <c r="AS90" s="20">
        <v>0</v>
      </c>
      <c r="AT90" s="147">
        <f>7255.99</f>
        <v>7255.99</v>
      </c>
      <c r="AU90" s="20">
        <v>0</v>
      </c>
      <c r="AV90" s="20">
        <f>AR90+AT90</f>
        <v>7255.99</v>
      </c>
      <c r="AW90" s="20">
        <f>AS90+AU90</f>
        <v>0</v>
      </c>
      <c r="AX90" s="20">
        <f>AV90+AW90</f>
        <v>7255.99</v>
      </c>
      <c r="AY90" s="20">
        <f>AQ90-AX90</f>
        <v>-6051</v>
      </c>
      <c r="AZ90" s="147">
        <f>AQ90-AR90-AS90-AT90-AU90</f>
        <v>-6051</v>
      </c>
      <c r="BA90" s="15">
        <f>AY90-AZ90</f>
        <v>0</v>
      </c>
      <c r="BB90" s="214"/>
      <c r="BC90" s="157">
        <v>0</v>
      </c>
      <c r="BD90" s="157"/>
      <c r="BE90" s="157">
        <v>0</v>
      </c>
      <c r="BF90" s="157">
        <v>0</v>
      </c>
      <c r="BG90" s="147">
        <f>SUM(BE90:BF90)</f>
        <v>0</v>
      </c>
      <c r="BH90" s="409" t="s">
        <v>231</v>
      </c>
      <c r="BI90" s="214"/>
      <c r="BJ90" s="157">
        <v>0</v>
      </c>
      <c r="BK90" s="143"/>
      <c r="BL90" s="147">
        <v>0</v>
      </c>
      <c r="BM90" s="147">
        <v>0</v>
      </c>
      <c r="BN90" s="229">
        <f>SUM(BL90:BM90)</f>
        <v>0</v>
      </c>
      <c r="BO90" s="309"/>
      <c r="BP90" s="147">
        <v>0</v>
      </c>
      <c r="BQ90" s="143"/>
      <c r="BR90" s="147">
        <v>0</v>
      </c>
      <c r="BS90" s="147">
        <v>0</v>
      </c>
      <c r="BT90" s="229">
        <v>0</v>
      </c>
      <c r="BU90" s="214"/>
      <c r="BV90" s="147">
        <v>0</v>
      </c>
      <c r="BW90" s="143"/>
      <c r="BX90" s="147">
        <v>0</v>
      </c>
      <c r="BY90" s="147">
        <v>0</v>
      </c>
      <c r="BZ90" s="229">
        <f>BX90+BY90</f>
        <v>0</v>
      </c>
      <c r="CA90" s="228">
        <f>BR90+BL90+BE90+BX90</f>
        <v>0</v>
      </c>
      <c r="CB90" s="147">
        <f>BS90+BM90+BF90</f>
        <v>0</v>
      </c>
      <c r="CC90" s="229">
        <f>BT90+BN90+BG90</f>
        <v>0</v>
      </c>
      <c r="CD90" s="23"/>
      <c r="CE90" s="20">
        <f>AV90+CA90</f>
        <v>7255.99</v>
      </c>
      <c r="CF90" s="20">
        <f>AW90+CB90</f>
        <v>0</v>
      </c>
      <c r="CG90" s="15">
        <f>CE90+CF90</f>
        <v>7255.99</v>
      </c>
      <c r="CH90" s="376">
        <f t="shared" ref="CH90:CJ91" si="95">AO90-CE90</f>
        <v>-6051</v>
      </c>
      <c r="CI90" s="377">
        <f t="shared" si="95"/>
        <v>0</v>
      </c>
      <c r="CJ90" s="522">
        <f t="shared" si="95"/>
        <v>-6051</v>
      </c>
      <c r="CK90" s="532">
        <f t="shared" si="89"/>
        <v>6051</v>
      </c>
      <c r="CL90" s="533">
        <f t="shared" si="90"/>
        <v>0</v>
      </c>
      <c r="CM90" s="372"/>
      <c r="CN90" s="372"/>
      <c r="CO90" s="372"/>
      <c r="CP90" s="372"/>
      <c r="CQ90" s="372"/>
      <c r="CR90" s="372"/>
      <c r="CS90" s="372"/>
      <c r="CT90" s="372"/>
      <c r="CU90" s="372"/>
      <c r="CV90" s="372"/>
      <c r="CW90" s="372"/>
      <c r="CX90" s="372"/>
      <c r="CY90" s="372"/>
      <c r="CZ90" s="372"/>
      <c r="DA90" s="372"/>
      <c r="DB90" s="372"/>
      <c r="DC90" s="372"/>
      <c r="DD90" s="372"/>
      <c r="DE90" s="372"/>
      <c r="DF90" s="372"/>
      <c r="DG90" s="372"/>
      <c r="DH90" s="372"/>
      <c r="DI90" s="372"/>
      <c r="DJ90" s="372"/>
      <c r="DK90" s="372"/>
      <c r="DL90" s="372"/>
      <c r="DM90" s="372"/>
      <c r="DN90" s="372"/>
      <c r="DO90" s="372"/>
      <c r="DP90" s="372"/>
      <c r="DQ90" s="372"/>
      <c r="DR90" s="372"/>
      <c r="DS90" s="372"/>
      <c r="DT90" s="372"/>
      <c r="DU90" s="372">
        <v>6051</v>
      </c>
      <c r="DV90" s="372"/>
      <c r="DW90" s="372"/>
      <c r="DX90" s="372"/>
      <c r="DY90" s="372"/>
      <c r="DZ90" s="372"/>
      <c r="EA90" s="372"/>
      <c r="EB90" s="372"/>
      <c r="EC90" s="372"/>
      <c r="ED90" s="372"/>
      <c r="EE90" s="372"/>
      <c r="EF90" s="372"/>
      <c r="EG90" s="372"/>
      <c r="EH90" s="372"/>
      <c r="EI90" s="372"/>
      <c r="EJ90" s="372"/>
      <c r="EK90" s="372"/>
      <c r="EL90" s="372"/>
      <c r="EM90" s="372"/>
      <c r="EN90" s="372"/>
      <c r="EO90" s="372"/>
      <c r="EP90" s="372"/>
      <c r="EQ90" s="372"/>
      <c r="ER90" s="372"/>
      <c r="ES90" s="372"/>
    </row>
    <row r="91" spans="1:149" s="126" customFormat="1" ht="29.65" customHeight="1" x14ac:dyDescent="0.45">
      <c r="A91" s="144" t="s">
        <v>445</v>
      </c>
      <c r="B91" s="588">
        <v>89050</v>
      </c>
      <c r="C91" s="144" t="s">
        <v>446</v>
      </c>
      <c r="D91" s="187" t="s">
        <v>452</v>
      </c>
      <c r="E91" s="135">
        <v>81</v>
      </c>
      <c r="F91" s="187" t="s">
        <v>232</v>
      </c>
      <c r="G91" s="156" t="s">
        <v>226</v>
      </c>
      <c r="H91" s="143" t="s">
        <v>229</v>
      </c>
      <c r="I91" s="187" t="s">
        <v>164</v>
      </c>
      <c r="J91" s="159">
        <v>1</v>
      </c>
      <c r="K91" s="20">
        <v>278</v>
      </c>
      <c r="L91" s="159">
        <v>12</v>
      </c>
      <c r="M91" s="156" t="s">
        <v>194</v>
      </c>
      <c r="N91" s="20">
        <v>0</v>
      </c>
      <c r="O91" s="20">
        <f>+J91*K91*L91</f>
        <v>3336</v>
      </c>
      <c r="P91" s="20">
        <f>SUM(N91:O91)</f>
        <v>3336</v>
      </c>
      <c r="Q91" s="159">
        <v>1.3</v>
      </c>
      <c r="R91" s="20">
        <f>K91*$J$6</f>
        <v>286.34000000000003</v>
      </c>
      <c r="S91" s="178">
        <v>12</v>
      </c>
      <c r="T91" s="20">
        <v>0</v>
      </c>
      <c r="U91" s="20">
        <f>+Q91*R91*S91</f>
        <v>4466.9040000000005</v>
      </c>
      <c r="V91" s="20">
        <f>SUM(T91:U91)</f>
        <v>4466.9040000000005</v>
      </c>
      <c r="W91" s="20">
        <v>1.3</v>
      </c>
      <c r="X91" s="20">
        <f>K91*$J$6*$J$6</f>
        <v>294.93020000000001</v>
      </c>
      <c r="Y91" s="178">
        <v>12</v>
      </c>
      <c r="Z91" s="20">
        <v>0</v>
      </c>
      <c r="AA91" s="20">
        <f>+W91*X91*Y91</f>
        <v>4600.9111200000007</v>
      </c>
      <c r="AB91" s="20">
        <f>SUM(Z91:AA91)</f>
        <v>4600.9111200000007</v>
      </c>
      <c r="AC91" s="20">
        <v>1.3</v>
      </c>
      <c r="AD91" s="20">
        <f>K91*$J$6*$J$6*$J$6</f>
        <v>303.77810600000004</v>
      </c>
      <c r="AE91" s="178">
        <v>12</v>
      </c>
      <c r="AF91" s="20">
        <v>0</v>
      </c>
      <c r="AG91" s="20">
        <f>+AC91*AD91*AE91</f>
        <v>4738.9384536000007</v>
      </c>
      <c r="AH91" s="20">
        <f>SUM(AF91:AG91)</f>
        <v>4738.9384536000007</v>
      </c>
      <c r="AI91" s="20">
        <v>1.3</v>
      </c>
      <c r="AJ91" s="20">
        <f>K91*$J$6*$J$6*$J$6*$J$6</f>
        <v>312.89144918000005</v>
      </c>
      <c r="AK91" s="178">
        <v>12</v>
      </c>
      <c r="AL91" s="20">
        <v>0</v>
      </c>
      <c r="AM91" s="20">
        <f>+AI91*AJ91*AK91</f>
        <v>4881.1066072080012</v>
      </c>
      <c r="AN91" s="20">
        <f>SUM(AL91:AM91)</f>
        <v>4881.1066072080012</v>
      </c>
      <c r="AO91" s="20">
        <f>N91+T91+Z91+AF91+AL91</f>
        <v>0</v>
      </c>
      <c r="AP91" s="20">
        <f>O91+U91+AA91+AG91+AM91</f>
        <v>22023.860180808006</v>
      </c>
      <c r="AQ91" s="20">
        <f>SUM(AO91:AP91)</f>
        <v>22023.860180808006</v>
      </c>
      <c r="AR91" s="143">
        <v>0</v>
      </c>
      <c r="AS91" s="20">
        <f>293.32+73.87+337.4+91.55+176.01+278.28+192.72+28.27</f>
        <v>1471.4199999999998</v>
      </c>
      <c r="AT91" s="143">
        <v>0</v>
      </c>
      <c r="AU91" s="20">
        <f>170.36+288.97+80.91+30.58+156.82+361.78+170.93+34.75+214.14+331.78+227.69+35.16+179.42+262.04+139.34+30.88+170.7+267.4+140.36+29.14+243.9+378.48+230.88+41.15+319.06+425.62+517.84+46.27+336.01+428.62+272.56+46.6+374.89+428.62+318.66+46.6+289.37+385.99+321.4+41.96+300.81+397.33+535.73+43.19</f>
        <v>10094.69</v>
      </c>
      <c r="AV91" s="20">
        <f>AR91+AT91</f>
        <v>0</v>
      </c>
      <c r="AW91" s="20">
        <f>AS91+AU91</f>
        <v>11566.11</v>
      </c>
      <c r="AX91" s="20">
        <f>AV91+AW91</f>
        <v>11566.11</v>
      </c>
      <c r="AY91" s="20">
        <f>AQ91-AX91</f>
        <v>10457.750180808005</v>
      </c>
      <c r="AZ91" s="147">
        <f>AQ91-AR91-AS91-AT91-AU91</f>
        <v>10457.750180808007</v>
      </c>
      <c r="BA91" s="15">
        <f>AY91-AZ91</f>
        <v>0</v>
      </c>
      <c r="BB91" s="248">
        <v>12</v>
      </c>
      <c r="BC91" s="157">
        <v>780.27599999999995</v>
      </c>
      <c r="BD91" s="157"/>
      <c r="BE91" s="157">
        <f>BC91*BB91</f>
        <v>9363.3119999999999</v>
      </c>
      <c r="BF91" s="157">
        <v>4232.96</v>
      </c>
      <c r="BG91" s="147">
        <f>SUM(BE91:BF91)</f>
        <v>13596.272000000001</v>
      </c>
      <c r="BH91" s="413" t="s">
        <v>233</v>
      </c>
      <c r="BI91" s="248"/>
      <c r="BJ91" s="541">
        <v>3830</v>
      </c>
      <c r="BK91" s="542"/>
      <c r="BL91" s="543">
        <f>BJ91</f>
        <v>3830</v>
      </c>
      <c r="BM91" s="543">
        <v>17109.740000000002</v>
      </c>
      <c r="BN91" s="229">
        <f>SUM(BL91:BM91)</f>
        <v>20939.740000000002</v>
      </c>
      <c r="BO91" s="435"/>
      <c r="BP91" s="147">
        <v>29953</v>
      </c>
      <c r="BQ91" s="178"/>
      <c r="BR91" s="147">
        <f>BO91*BP91*BQ91</f>
        <v>0</v>
      </c>
      <c r="BS91" s="147">
        <f>BP91</f>
        <v>29953</v>
      </c>
      <c r="BT91" s="229">
        <f>SUM(BR91:BS91)</f>
        <v>29953</v>
      </c>
      <c r="BU91" s="214"/>
      <c r="BV91" s="147">
        <v>0</v>
      </c>
      <c r="BW91" s="143"/>
      <c r="BX91" s="147">
        <v>0</v>
      </c>
      <c r="BY91" s="147">
        <v>1119.8</v>
      </c>
      <c r="BZ91" s="229">
        <f>BX91+BY91</f>
        <v>1119.8</v>
      </c>
      <c r="CA91" s="228">
        <f>BR91+BL91+BE91+BX91</f>
        <v>13193.312</v>
      </c>
      <c r="CB91" s="228">
        <f>BS91+BM91+BF91+BY91</f>
        <v>52415.500000000007</v>
      </c>
      <c r="CC91" s="229">
        <f>BT91+BN91+BG91+BZ91</f>
        <v>65608.812000000005</v>
      </c>
      <c r="CD91" s="23"/>
      <c r="CE91" s="20">
        <f>AV91+CA91</f>
        <v>13193.312</v>
      </c>
      <c r="CF91" s="20">
        <f>AW91+CB91</f>
        <v>63981.610000000008</v>
      </c>
      <c r="CG91" s="15">
        <f>CE91+CF91</f>
        <v>77174.922000000006</v>
      </c>
      <c r="CH91" s="314">
        <f t="shared" si="95"/>
        <v>-13193.312</v>
      </c>
      <c r="CI91" s="310">
        <f t="shared" si="95"/>
        <v>-41957.749819192002</v>
      </c>
      <c r="CJ91" s="521">
        <f t="shared" si="95"/>
        <v>-55151.061819192</v>
      </c>
      <c r="CK91" s="530">
        <f t="shared" si="89"/>
        <v>55151</v>
      </c>
      <c r="CL91" s="531">
        <f t="shared" si="90"/>
        <v>-6.1819192000257317E-2</v>
      </c>
      <c r="CM91" s="372"/>
      <c r="CN91" s="372"/>
      <c r="CO91" s="372">
        <v>1566</v>
      </c>
      <c r="CP91" s="372"/>
      <c r="CQ91" s="372">
        <v>2387</v>
      </c>
      <c r="CR91" s="372"/>
      <c r="CS91" s="372"/>
      <c r="CT91" s="372"/>
      <c r="CU91" s="372">
        <v>6944</v>
      </c>
      <c r="CV91" s="372"/>
      <c r="CW91" s="372"/>
      <c r="CX91" s="372"/>
      <c r="CY91" s="372"/>
      <c r="CZ91" s="372"/>
      <c r="DA91" s="372"/>
      <c r="DB91" s="372"/>
      <c r="DC91" s="372"/>
      <c r="DD91" s="372"/>
      <c r="DE91" s="372"/>
      <c r="DF91" s="372"/>
      <c r="DG91" s="372"/>
      <c r="DH91" s="372"/>
      <c r="DI91" s="372"/>
      <c r="DJ91" s="372"/>
      <c r="DK91" s="372"/>
      <c r="DL91" s="372"/>
      <c r="DM91" s="372"/>
      <c r="DN91" s="372"/>
      <c r="DO91" s="372"/>
      <c r="DP91" s="372"/>
      <c r="DQ91" s="372"/>
      <c r="DR91" s="368"/>
      <c r="DS91" s="368"/>
      <c r="DT91" s="368"/>
      <c r="DU91" s="368"/>
      <c r="DV91" s="368"/>
      <c r="DW91" s="368"/>
      <c r="DX91" s="368"/>
      <c r="DY91" s="368"/>
      <c r="DZ91" s="368"/>
      <c r="EA91" s="368">
        <v>27750</v>
      </c>
      <c r="EB91" s="368">
        <v>3311</v>
      </c>
      <c r="EC91" s="368"/>
      <c r="ED91" s="368"/>
      <c r="EE91" s="368"/>
      <c r="EF91" s="372"/>
      <c r="EG91" s="372">
        <v>130</v>
      </c>
      <c r="EH91" s="372"/>
      <c r="EI91" s="372">
        <v>13063</v>
      </c>
      <c r="EJ91" s="368"/>
      <c r="EK91" s="368"/>
      <c r="EL91" s="368"/>
      <c r="EM91" s="368"/>
      <c r="EN91" s="368"/>
      <c r="EO91" s="368"/>
      <c r="EP91" s="368"/>
      <c r="EQ91" s="368"/>
      <c r="ER91" s="368"/>
      <c r="ES91" s="368"/>
    </row>
    <row r="92" spans="1:149" s="128" customFormat="1" ht="19.5" customHeight="1" x14ac:dyDescent="0.45">
      <c r="A92" s="161"/>
      <c r="B92" s="161"/>
      <c r="C92" s="161"/>
      <c r="D92" s="161"/>
      <c r="E92" s="135">
        <v>82</v>
      </c>
      <c r="F92" s="161" t="s">
        <v>234</v>
      </c>
      <c r="G92" s="161"/>
      <c r="H92" s="161"/>
      <c r="I92" s="161"/>
      <c r="J92" s="179"/>
      <c r="K92" s="160"/>
      <c r="L92" s="179"/>
      <c r="M92" s="160"/>
      <c r="N92" s="162">
        <f ca="1">SUM(N90:N123)</f>
        <v>1204.99</v>
      </c>
      <c r="O92" s="162">
        <f ca="1">SUM(O90:O123)</f>
        <v>3336</v>
      </c>
      <c r="P92" s="162">
        <f ca="1">SUM(P90:P123)</f>
        <v>4540.99</v>
      </c>
      <c r="Q92" s="179"/>
      <c r="R92" s="162"/>
      <c r="S92" s="160"/>
      <c r="T92" s="162">
        <f ca="1">SUM(T90:T123)</f>
        <v>0</v>
      </c>
      <c r="U92" s="162">
        <f ca="1">SUM(U90:U123)</f>
        <v>4466.9040000000005</v>
      </c>
      <c r="V92" s="162">
        <f ca="1">SUM(V90:V123)</f>
        <v>4466.9040000000005</v>
      </c>
      <c r="W92" s="179"/>
      <c r="X92" s="162"/>
      <c r="Y92" s="160"/>
      <c r="Z92" s="162">
        <f ca="1">SUM(Z90:Z123)</f>
        <v>0</v>
      </c>
      <c r="AA92" s="162">
        <f ca="1">SUM(AA90:AA123)</f>
        <v>4600.9111200000007</v>
      </c>
      <c r="AB92" s="162">
        <f ca="1">SUM(AB90:AB123)</f>
        <v>4600.9111200000007</v>
      </c>
      <c r="AC92" s="179"/>
      <c r="AD92" s="162"/>
      <c r="AE92" s="160"/>
      <c r="AF92" s="162">
        <f ca="1">SUM(AF90:AF123)</f>
        <v>0</v>
      </c>
      <c r="AG92" s="162">
        <f ca="1">SUM(AG90:AG123)</f>
        <v>4738.9384536000007</v>
      </c>
      <c r="AH92" s="162">
        <f ca="1">SUM(AH90:AH123)</f>
        <v>4738.9384536000007</v>
      </c>
      <c r="AI92" s="179"/>
      <c r="AJ92" s="162"/>
      <c r="AK92" s="160"/>
      <c r="AL92" s="162">
        <f t="shared" ref="AL92:AQ92" ca="1" si="96">SUM(AL90:AL123)</f>
        <v>0</v>
      </c>
      <c r="AM92" s="162">
        <f t="shared" ca="1" si="96"/>
        <v>4881.1066072080012</v>
      </c>
      <c r="AN92" s="162">
        <f t="shared" ca="1" si="96"/>
        <v>4881.1066072080012</v>
      </c>
      <c r="AO92" s="162">
        <f t="shared" ca="1" si="96"/>
        <v>1204.99</v>
      </c>
      <c r="AP92" s="162">
        <f t="shared" ca="1" si="96"/>
        <v>22023.860180808006</v>
      </c>
      <c r="AQ92" s="162">
        <f t="shared" ca="1" si="96"/>
        <v>23228.850180808007</v>
      </c>
      <c r="AR92" s="163">
        <f>AR91+AR90</f>
        <v>0</v>
      </c>
      <c r="AS92" s="162">
        <f>AS91+AS90</f>
        <v>1471.4199999999998</v>
      </c>
      <c r="AT92" s="163">
        <f>AT91+AT90</f>
        <v>7255.99</v>
      </c>
      <c r="AU92" s="162">
        <f>SUM(AU87:AU91)</f>
        <v>10094.69</v>
      </c>
      <c r="AV92" s="162">
        <f>SUM(AV87:AV91)</f>
        <v>7255.99</v>
      </c>
      <c r="AW92" s="162">
        <f>SUM(AW87:AW91)</f>
        <v>11566.11</v>
      </c>
      <c r="AX92" s="162">
        <f>SUM(AX87:AX91)</f>
        <v>18822.099999999999</v>
      </c>
      <c r="AY92" s="162">
        <f>SUM(AY87:AY91)</f>
        <v>4406.7501808080051</v>
      </c>
      <c r="AZ92" s="163">
        <f>SUM(AZ90:AZ91)</f>
        <v>4406.7501808080069</v>
      </c>
      <c r="BA92" s="235"/>
      <c r="BB92" s="254"/>
      <c r="BC92" s="186">
        <f>BC90</f>
        <v>0</v>
      </c>
      <c r="BD92" s="186"/>
      <c r="BE92" s="186">
        <f>BE91+BE90</f>
        <v>9363.3119999999999</v>
      </c>
      <c r="BF92" s="186">
        <f>BF91+BF90+BF88</f>
        <v>4232.96</v>
      </c>
      <c r="BG92" s="186">
        <f>SUM(BE92:BF92)</f>
        <v>13596.272000000001</v>
      </c>
      <c r="BH92" s="420"/>
      <c r="BI92" s="254"/>
      <c r="BJ92" s="186">
        <v>0</v>
      </c>
      <c r="BK92" s="179"/>
      <c r="BL92" s="163">
        <f>BL91+BL90</f>
        <v>3830</v>
      </c>
      <c r="BM92" s="163">
        <f>BM91+BM90</f>
        <v>17109.740000000002</v>
      </c>
      <c r="BN92" s="241">
        <f>SUM(BL92:BM92)</f>
        <v>20939.740000000002</v>
      </c>
      <c r="BO92" s="444"/>
      <c r="BP92" s="163">
        <v>0</v>
      </c>
      <c r="BQ92" s="179"/>
      <c r="BR92" s="186">
        <f>BR91+BR90</f>
        <v>0</v>
      </c>
      <c r="BS92" s="186">
        <f>BS91+BS90</f>
        <v>29953</v>
      </c>
      <c r="BT92" s="255">
        <f>BT91+BT90</f>
        <v>29953</v>
      </c>
      <c r="BU92" s="254"/>
      <c r="BV92" s="163">
        <v>0</v>
      </c>
      <c r="BW92" s="179"/>
      <c r="BX92" s="186">
        <f>BX91+BX90</f>
        <v>0</v>
      </c>
      <c r="BY92" s="186">
        <f>BY91+BY90</f>
        <v>1119.8</v>
      </c>
      <c r="BZ92" s="255">
        <f>BZ91+BZ90</f>
        <v>1119.8</v>
      </c>
      <c r="CA92" s="240">
        <f>BR92+BL92+BE92+BX92</f>
        <v>13193.312</v>
      </c>
      <c r="CB92" s="163">
        <f>BY92+BS92+BM92+BF92</f>
        <v>52415.5</v>
      </c>
      <c r="CC92" s="241">
        <f>SUM(CC90:CC91)</f>
        <v>65608.812000000005</v>
      </c>
      <c r="CD92" s="24"/>
      <c r="CE92" s="162">
        <f>CA92+AR92+AT92</f>
        <v>20449.302</v>
      </c>
      <c r="CF92" s="162">
        <f>CB92+AS92+AU92</f>
        <v>63981.61</v>
      </c>
      <c r="CG92" s="299">
        <f>CE92+CF92</f>
        <v>84430.911999999997</v>
      </c>
      <c r="CH92" s="217"/>
      <c r="CI92" s="20"/>
      <c r="CJ92" s="15"/>
      <c r="CK92" s="530">
        <f t="shared" si="89"/>
        <v>0</v>
      </c>
      <c r="CL92" s="531">
        <f t="shared" si="90"/>
        <v>0</v>
      </c>
      <c r="CM92" s="375"/>
      <c r="CN92" s="375"/>
      <c r="CO92" s="375"/>
      <c r="CP92" s="375"/>
      <c r="CQ92" s="375"/>
      <c r="CR92" s="375"/>
      <c r="CS92" s="375"/>
      <c r="CT92" s="375"/>
      <c r="CU92" s="375"/>
      <c r="CV92" s="375"/>
      <c r="CW92" s="375"/>
      <c r="CX92" s="375"/>
      <c r="CY92" s="375"/>
      <c r="CZ92" s="375"/>
      <c r="DA92" s="375"/>
      <c r="DB92" s="375"/>
      <c r="DC92" s="375"/>
      <c r="DD92" s="375"/>
      <c r="DE92" s="375"/>
      <c r="DF92" s="375"/>
      <c r="DG92" s="375"/>
      <c r="DH92" s="375"/>
      <c r="DI92" s="375"/>
      <c r="DJ92" s="375"/>
      <c r="DK92" s="375"/>
      <c r="DL92" s="375"/>
      <c r="DM92" s="375"/>
      <c r="DN92" s="375"/>
      <c r="DO92" s="375"/>
      <c r="DP92" s="375"/>
      <c r="DQ92" s="375"/>
      <c r="DR92" s="375"/>
      <c r="DS92" s="375"/>
      <c r="DT92" s="375"/>
      <c r="DU92" s="375"/>
      <c r="DV92" s="375"/>
      <c r="DW92" s="375"/>
      <c r="DX92" s="375"/>
      <c r="DY92" s="375"/>
      <c r="DZ92" s="375"/>
      <c r="EA92" s="375"/>
      <c r="EB92" s="375"/>
      <c r="EC92" s="375"/>
      <c r="ED92" s="375"/>
      <c r="EE92" s="375"/>
      <c r="EF92" s="375"/>
      <c r="EG92" s="375"/>
      <c r="EH92" s="375"/>
      <c r="EI92" s="375"/>
      <c r="EJ92" s="375"/>
      <c r="EK92" s="375"/>
      <c r="EL92" s="375"/>
      <c r="EM92" s="375"/>
      <c r="EN92" s="375"/>
      <c r="EO92" s="375"/>
      <c r="EP92" s="375"/>
      <c r="EQ92" s="375"/>
      <c r="ER92" s="375"/>
      <c r="ES92" s="375"/>
    </row>
    <row r="93" spans="1:149" s="126" customFormat="1" ht="19.5" customHeight="1" x14ac:dyDescent="0.45">
      <c r="A93" s="148"/>
      <c r="B93" s="148"/>
      <c r="C93" s="148"/>
      <c r="D93" s="148"/>
      <c r="E93" s="143">
        <v>83</v>
      </c>
      <c r="F93" s="148" t="s">
        <v>235</v>
      </c>
      <c r="G93" s="148"/>
      <c r="H93" s="148"/>
      <c r="I93" s="148"/>
      <c r="J93" s="150"/>
      <c r="K93" s="150"/>
      <c r="L93" s="150"/>
      <c r="M93" s="150"/>
      <c r="N93" s="20"/>
      <c r="O93" s="20"/>
      <c r="P93" s="20"/>
      <c r="Q93" s="159"/>
      <c r="R93" s="20"/>
      <c r="S93" s="178"/>
      <c r="T93" s="20"/>
      <c r="U93" s="20"/>
      <c r="V93" s="20"/>
      <c r="W93" s="159"/>
      <c r="X93" s="20"/>
      <c r="Y93" s="178"/>
      <c r="Z93" s="20"/>
      <c r="AA93" s="20"/>
      <c r="AB93" s="20"/>
      <c r="AC93" s="159"/>
      <c r="AD93" s="20"/>
      <c r="AE93" s="178"/>
      <c r="AF93" s="20"/>
      <c r="AG93" s="20"/>
      <c r="AH93" s="20"/>
      <c r="AI93" s="159"/>
      <c r="AJ93" s="20"/>
      <c r="AK93" s="178"/>
      <c r="AL93" s="20"/>
      <c r="AM93" s="20"/>
      <c r="AN93" s="20"/>
      <c r="AO93" s="20"/>
      <c r="AP93" s="20"/>
      <c r="AQ93" s="20"/>
      <c r="AR93" s="20"/>
      <c r="AS93" s="20"/>
      <c r="AT93" s="20"/>
      <c r="AU93" s="20"/>
      <c r="AV93" s="20"/>
      <c r="AW93" s="20"/>
      <c r="AX93" s="20"/>
      <c r="AY93" s="20"/>
      <c r="AZ93" s="147"/>
      <c r="BA93" s="233"/>
      <c r="BB93" s="248"/>
      <c r="BC93" s="20"/>
      <c r="BD93" s="178"/>
      <c r="BE93" s="20"/>
      <c r="BF93" s="20"/>
      <c r="BG93" s="20"/>
      <c r="BH93" s="406"/>
      <c r="BI93" s="248"/>
      <c r="BJ93" s="157"/>
      <c r="BK93" s="178"/>
      <c r="BL93" s="147"/>
      <c r="BM93" s="147"/>
      <c r="BN93" s="229"/>
      <c r="BO93" s="435"/>
      <c r="BP93" s="147"/>
      <c r="BQ93" s="178"/>
      <c r="BR93" s="20"/>
      <c r="BS93" s="20"/>
      <c r="BT93" s="223"/>
      <c r="BU93" s="217"/>
      <c r="BV93" s="20"/>
      <c r="BW93" s="20"/>
      <c r="BX93" s="20"/>
      <c r="BY93" s="20"/>
      <c r="BZ93" s="223"/>
      <c r="CA93" s="228"/>
      <c r="CB93" s="147"/>
      <c r="CC93" s="229"/>
      <c r="CD93" s="23"/>
      <c r="CE93" s="152"/>
      <c r="CF93" s="152"/>
      <c r="CG93" s="18"/>
      <c r="CH93" s="217"/>
      <c r="CI93" s="20"/>
      <c r="CJ93" s="15"/>
      <c r="CK93" s="530">
        <f t="shared" si="89"/>
        <v>0</v>
      </c>
      <c r="CL93" s="531">
        <f t="shared" si="90"/>
        <v>0</v>
      </c>
      <c r="CM93" s="368"/>
      <c r="CN93" s="368"/>
      <c r="CO93" s="368"/>
      <c r="CP93" s="368"/>
      <c r="CQ93" s="368"/>
      <c r="CR93" s="368"/>
      <c r="CS93" s="368"/>
      <c r="CT93" s="368"/>
      <c r="CU93" s="368"/>
      <c r="CV93" s="368"/>
      <c r="CW93" s="368"/>
      <c r="CX93" s="368"/>
      <c r="CY93" s="368"/>
      <c r="CZ93" s="368"/>
      <c r="DA93" s="368"/>
      <c r="DB93" s="368"/>
      <c r="DC93" s="368"/>
      <c r="DD93" s="368"/>
      <c r="DE93" s="368"/>
      <c r="DF93" s="368"/>
      <c r="DG93" s="368"/>
      <c r="DH93" s="368"/>
      <c r="DI93" s="368"/>
      <c r="DJ93" s="368"/>
      <c r="DK93" s="368"/>
      <c r="DL93" s="368"/>
      <c r="DM93" s="368"/>
      <c r="DN93" s="368"/>
      <c r="DO93" s="368"/>
      <c r="DP93" s="368"/>
      <c r="DQ93" s="368"/>
      <c r="DR93" s="368"/>
      <c r="DS93" s="368"/>
      <c r="DT93" s="368"/>
      <c r="DU93" s="368"/>
      <c r="DV93" s="368"/>
      <c r="DW93" s="368"/>
      <c r="DX93" s="368"/>
      <c r="DY93" s="368"/>
      <c r="DZ93" s="368"/>
      <c r="EA93" s="368"/>
      <c r="EB93" s="368"/>
      <c r="EC93" s="368"/>
      <c r="ED93" s="368"/>
      <c r="EE93" s="368"/>
      <c r="EF93" s="368"/>
      <c r="EG93" s="368"/>
      <c r="EH93" s="368"/>
      <c r="EI93" s="368"/>
      <c r="EJ93" s="368"/>
      <c r="EK93" s="368"/>
      <c r="EL93" s="368"/>
      <c r="EM93" s="368"/>
      <c r="EN93" s="368"/>
      <c r="EO93" s="368"/>
      <c r="EP93" s="368"/>
      <c r="EQ93" s="368"/>
      <c r="ER93" s="368"/>
      <c r="ES93" s="368"/>
    </row>
    <row r="94" spans="1:149" s="126" customFormat="1" ht="19.5" customHeight="1" x14ac:dyDescent="0.45">
      <c r="A94" s="144" t="s">
        <v>445</v>
      </c>
      <c r="B94" s="588">
        <v>89050</v>
      </c>
      <c r="C94" s="144" t="s">
        <v>446</v>
      </c>
      <c r="D94" s="187" t="s">
        <v>453</v>
      </c>
      <c r="E94" s="143">
        <v>84</v>
      </c>
      <c r="F94" s="187" t="s">
        <v>236</v>
      </c>
      <c r="G94" s="156" t="s">
        <v>226</v>
      </c>
      <c r="H94" s="143" t="s">
        <v>235</v>
      </c>
      <c r="I94" s="187" t="s">
        <v>11</v>
      </c>
      <c r="J94" s="159">
        <v>8</v>
      </c>
      <c r="K94" s="20">
        <v>1204.99</v>
      </c>
      <c r="L94" s="178">
        <v>1</v>
      </c>
      <c r="M94" s="156" t="s">
        <v>221</v>
      </c>
      <c r="N94" s="20">
        <f>K94*J94</f>
        <v>9639.92</v>
      </c>
      <c r="O94" s="20">
        <v>0</v>
      </c>
      <c r="P94" s="20">
        <f>SUM(N94:O94)</f>
        <v>9639.92</v>
      </c>
      <c r="Q94" s="159">
        <v>0</v>
      </c>
      <c r="R94" s="20">
        <f>K94*$J$6</f>
        <v>1241.1396999999999</v>
      </c>
      <c r="S94" s="178">
        <v>1</v>
      </c>
      <c r="T94" s="20">
        <f>Q94*R94</f>
        <v>0</v>
      </c>
      <c r="U94" s="20">
        <v>0</v>
      </c>
      <c r="V94" s="20">
        <f>SUM(T94:U94)</f>
        <v>0</v>
      </c>
      <c r="W94" s="20">
        <f>T94*U94*V94</f>
        <v>0</v>
      </c>
      <c r="X94" s="20">
        <f>K94*$J$6*$J$6</f>
        <v>1278.373891</v>
      </c>
      <c r="Y94" s="178">
        <v>1</v>
      </c>
      <c r="Z94" s="20">
        <f>X94*W94</f>
        <v>0</v>
      </c>
      <c r="AA94" s="20">
        <v>0</v>
      </c>
      <c r="AB94" s="20">
        <f>SUM(Z94:AA94)</f>
        <v>0</v>
      </c>
      <c r="AC94" s="20">
        <f>Z94*AA94*AB94</f>
        <v>0</v>
      </c>
      <c r="AD94" s="20">
        <f>K94*$J$6*$J$6*$J$6</f>
        <v>1316.72510773</v>
      </c>
      <c r="AE94" s="178">
        <v>1</v>
      </c>
      <c r="AF94" s="20">
        <f>AD94*AC94</f>
        <v>0</v>
      </c>
      <c r="AG94" s="20">
        <v>0</v>
      </c>
      <c r="AH94" s="20">
        <f>SUM(AF94:AG94)</f>
        <v>0</v>
      </c>
      <c r="AI94" s="20">
        <f>AF94*AG94*AH94</f>
        <v>0</v>
      </c>
      <c r="AJ94" s="20">
        <f>K94*$J$6*$J$6*$J$6*$J$6</f>
        <v>1356.2268609619</v>
      </c>
      <c r="AK94" s="178">
        <v>1</v>
      </c>
      <c r="AL94" s="20">
        <f>AJ94*AI94</f>
        <v>0</v>
      </c>
      <c r="AM94" s="20">
        <v>0</v>
      </c>
      <c r="AN94" s="20">
        <f>SUM(AL94:AM94)</f>
        <v>0</v>
      </c>
      <c r="AO94" s="20">
        <f>N94+T94+Z94+AF94+AL94</f>
        <v>9639.92</v>
      </c>
      <c r="AP94" s="20">
        <f>O94+U94+AA94+AG94+AM94</f>
        <v>0</v>
      </c>
      <c r="AQ94" s="20">
        <f>SUM(AO94:AP94)</f>
        <v>9639.92</v>
      </c>
      <c r="AR94" s="147">
        <f>7038.54</f>
        <v>7038.54</v>
      </c>
      <c r="AS94" s="20">
        <v>0</v>
      </c>
      <c r="AT94" s="147">
        <f>1551.32+246.45+170.87+74.91+229.99+184.84</f>
        <v>2458.38</v>
      </c>
      <c r="AU94" s="20">
        <v>0</v>
      </c>
      <c r="AV94" s="20">
        <f>AR94+AT94</f>
        <v>9496.92</v>
      </c>
      <c r="AW94" s="20">
        <f>AS94+AU94</f>
        <v>0</v>
      </c>
      <c r="AX94" s="20">
        <f>AV94+AW94</f>
        <v>9496.92</v>
      </c>
      <c r="AY94" s="20">
        <f>AQ94-AX94</f>
        <v>143</v>
      </c>
      <c r="AZ94" s="147">
        <f>AQ94-AR94-AS94-AT94-AU94</f>
        <v>143</v>
      </c>
      <c r="BA94" s="15">
        <f>AY94-AZ94</f>
        <v>0</v>
      </c>
      <c r="BB94" s="248">
        <v>1</v>
      </c>
      <c r="BC94" s="147">
        <v>1208.79</v>
      </c>
      <c r="BD94" s="147"/>
      <c r="BE94" s="147">
        <f>BC94</f>
        <v>1208.79</v>
      </c>
      <c r="BF94" s="147">
        <v>0</v>
      </c>
      <c r="BG94" s="147">
        <f>SUM(BE94:BF94)</f>
        <v>1208.79</v>
      </c>
      <c r="BH94" s="413" t="s">
        <v>237</v>
      </c>
      <c r="BI94" s="248"/>
      <c r="BJ94" s="157">
        <v>0</v>
      </c>
      <c r="BK94" s="178"/>
      <c r="BL94" s="147">
        <v>0</v>
      </c>
      <c r="BM94" s="147">
        <v>0</v>
      </c>
      <c r="BN94" s="229">
        <f>SUM(BL94:BM94)</f>
        <v>0</v>
      </c>
      <c r="BO94" s="435"/>
      <c r="BP94" s="147">
        <v>0</v>
      </c>
      <c r="BQ94" s="178"/>
      <c r="BR94" s="147">
        <v>0</v>
      </c>
      <c r="BS94" s="147">
        <v>0</v>
      </c>
      <c r="BT94" s="229">
        <v>0</v>
      </c>
      <c r="BU94" s="248"/>
      <c r="BV94" s="147">
        <v>0</v>
      </c>
      <c r="BW94" s="178"/>
      <c r="BX94" s="147">
        <v>0</v>
      </c>
      <c r="BY94" s="147">
        <v>0</v>
      </c>
      <c r="BZ94" s="229">
        <v>0</v>
      </c>
      <c r="CA94" s="228">
        <f>BR94+BL94+BE94+BX94</f>
        <v>1208.79</v>
      </c>
      <c r="CB94" s="147">
        <f>BS94+BM94+BF94</f>
        <v>0</v>
      </c>
      <c r="CC94" s="229">
        <f>BT94+BN94+BG94</f>
        <v>1208.79</v>
      </c>
      <c r="CD94" s="23"/>
      <c r="CE94" s="20">
        <f>AV94+CA94</f>
        <v>10705.71</v>
      </c>
      <c r="CF94" s="20">
        <f>AW94+CB94</f>
        <v>0</v>
      </c>
      <c r="CG94" s="15">
        <f>CE94+CF94</f>
        <v>10705.71</v>
      </c>
      <c r="CH94" s="314">
        <f t="shared" ref="CH94:CJ95" si="97">AO94-CE94</f>
        <v>-1065.7899999999991</v>
      </c>
      <c r="CI94" s="310">
        <f t="shared" si="97"/>
        <v>0</v>
      </c>
      <c r="CJ94" s="521">
        <f t="shared" si="97"/>
        <v>-1065.7899999999991</v>
      </c>
      <c r="CK94" s="530">
        <f t="shared" si="89"/>
        <v>1066</v>
      </c>
      <c r="CL94" s="531">
        <f t="shared" si="90"/>
        <v>0.21000000000094587</v>
      </c>
      <c r="CM94" s="372"/>
      <c r="CN94" s="368"/>
      <c r="CO94" s="368"/>
      <c r="CP94" s="368"/>
      <c r="CQ94" s="368"/>
      <c r="CR94" s="368"/>
      <c r="CS94" s="368"/>
      <c r="CT94" s="368"/>
      <c r="CU94" s="368"/>
      <c r="CV94" s="368"/>
      <c r="CW94" s="368"/>
      <c r="CX94" s="368"/>
      <c r="CY94" s="368"/>
      <c r="CZ94" s="372"/>
      <c r="DA94" s="372"/>
      <c r="DB94" s="372"/>
      <c r="DC94" s="372"/>
      <c r="DD94" s="372"/>
      <c r="DE94" s="372"/>
      <c r="DF94" s="372"/>
      <c r="DG94" s="372"/>
      <c r="DH94" s="372"/>
      <c r="DI94" s="372"/>
      <c r="DJ94" s="372"/>
      <c r="DK94" s="372"/>
      <c r="DL94" s="372"/>
      <c r="DM94" s="372"/>
      <c r="DN94" s="372"/>
      <c r="DO94" s="372"/>
      <c r="DP94" s="372"/>
      <c r="DQ94" s="372"/>
      <c r="DR94" s="372"/>
      <c r="DS94" s="372"/>
      <c r="DT94" s="372"/>
      <c r="DU94" s="372">
        <v>1066</v>
      </c>
      <c r="DV94" s="372"/>
      <c r="DW94" s="372"/>
      <c r="DX94" s="372"/>
      <c r="DY94" s="372"/>
      <c r="DZ94" s="372"/>
      <c r="EA94" s="372"/>
      <c r="EB94" s="372"/>
      <c r="EC94" s="372"/>
      <c r="ED94" s="372"/>
      <c r="EE94" s="372"/>
      <c r="EF94" s="372"/>
      <c r="EG94" s="372"/>
      <c r="EH94" s="372"/>
      <c r="EI94" s="372"/>
      <c r="EJ94" s="372"/>
      <c r="EK94" s="372"/>
      <c r="EL94" s="372"/>
      <c r="EM94" s="372"/>
      <c r="EN94" s="372"/>
      <c r="EO94" s="372"/>
      <c r="EP94" s="372"/>
      <c r="EQ94" s="372"/>
      <c r="ER94" s="372"/>
      <c r="ES94" s="372"/>
    </row>
    <row r="95" spans="1:149" s="126" customFormat="1" ht="27" customHeight="1" x14ac:dyDescent="0.45">
      <c r="A95" s="144" t="s">
        <v>445</v>
      </c>
      <c r="B95" s="588">
        <v>89050</v>
      </c>
      <c r="C95" s="144" t="s">
        <v>446</v>
      </c>
      <c r="D95" s="187" t="s">
        <v>454</v>
      </c>
      <c r="E95" s="135">
        <v>85</v>
      </c>
      <c r="F95" s="187" t="s">
        <v>100</v>
      </c>
      <c r="G95" s="156" t="s">
        <v>226</v>
      </c>
      <c r="H95" s="143" t="s">
        <v>235</v>
      </c>
      <c r="I95" s="187" t="s">
        <v>11</v>
      </c>
      <c r="J95" s="159">
        <v>1</v>
      </c>
      <c r="K95" s="20">
        <v>750</v>
      </c>
      <c r="L95" s="178">
        <v>6</v>
      </c>
      <c r="M95" s="156" t="s">
        <v>194</v>
      </c>
      <c r="N95" s="20">
        <f>L95*K95*J95</f>
        <v>4500</v>
      </c>
      <c r="O95" s="20">
        <v>0</v>
      </c>
      <c r="P95" s="20">
        <f>SUM(N95:O95)</f>
        <v>4500</v>
      </c>
      <c r="Q95" s="159">
        <v>1</v>
      </c>
      <c r="R95" s="20">
        <f>K95*$J$6</f>
        <v>772.5</v>
      </c>
      <c r="S95" s="178">
        <v>12</v>
      </c>
      <c r="T95" s="20">
        <f>S95*Q95*R95</f>
        <v>9270</v>
      </c>
      <c r="U95" s="20">
        <v>0</v>
      </c>
      <c r="V95" s="20">
        <f>SUM(T95:U95)</f>
        <v>9270</v>
      </c>
      <c r="W95" s="20">
        <v>1</v>
      </c>
      <c r="X95" s="20">
        <f>K95*$J$6*$J$6</f>
        <v>795.67500000000007</v>
      </c>
      <c r="Y95" s="178">
        <v>12</v>
      </c>
      <c r="Z95" s="20">
        <f>X95*Y95*W95</f>
        <v>9548.1</v>
      </c>
      <c r="AA95" s="20">
        <v>0</v>
      </c>
      <c r="AB95" s="20">
        <f>SUM(Z95:AA95)</f>
        <v>9548.1</v>
      </c>
      <c r="AC95" s="20">
        <v>1</v>
      </c>
      <c r="AD95" s="20">
        <f>K95*$J$6*$J$6*$J$6*0.5</f>
        <v>409.77262500000006</v>
      </c>
      <c r="AE95" s="178">
        <v>12</v>
      </c>
      <c r="AF95" s="20">
        <f>AD95*AC95*AE95</f>
        <v>4917.2715000000007</v>
      </c>
      <c r="AG95" s="20">
        <v>0</v>
      </c>
      <c r="AH95" s="20">
        <f>SUM(AF95:AG95)</f>
        <v>4917.2715000000007</v>
      </c>
      <c r="AI95" s="20">
        <v>1</v>
      </c>
      <c r="AJ95" s="20">
        <f>K95*$J$6*$J$6*$J$6*$J$6*0.5</f>
        <v>422.0658037500001</v>
      </c>
      <c r="AK95" s="178">
        <v>9</v>
      </c>
      <c r="AL95" s="20">
        <f>AJ95*AI95*AK95</f>
        <v>3798.592233750001</v>
      </c>
      <c r="AM95" s="20">
        <v>0</v>
      </c>
      <c r="AN95" s="20">
        <f>SUM(AL95:AM95)</f>
        <v>3798.592233750001</v>
      </c>
      <c r="AO95" s="20">
        <f>N95+T95+Z95+AF95+AL95</f>
        <v>32033.963733750003</v>
      </c>
      <c r="AP95" s="20">
        <f>O95+U95+AA95+AG95+AM95</f>
        <v>0</v>
      </c>
      <c r="AQ95" s="20">
        <f>SUM(AO95:AP95)</f>
        <v>32033.963733750003</v>
      </c>
      <c r="AR95" s="147">
        <v>0</v>
      </c>
      <c r="AS95" s="20">
        <v>0</v>
      </c>
      <c r="AT95" s="147">
        <f>24.99+36.51</f>
        <v>61.5</v>
      </c>
      <c r="AU95" s="20">
        <v>0</v>
      </c>
      <c r="AV95" s="20">
        <f>AR95+AT95</f>
        <v>61.5</v>
      </c>
      <c r="AW95" s="20">
        <f>AS95+AU95</f>
        <v>0</v>
      </c>
      <c r="AX95" s="20">
        <f>AV95+AW95</f>
        <v>61.5</v>
      </c>
      <c r="AY95" s="20">
        <f>AQ95-AX95</f>
        <v>31972.463733750003</v>
      </c>
      <c r="AZ95" s="147">
        <f>AQ95-AR95-AS95-AT95-AU95</f>
        <v>31972.463733750003</v>
      </c>
      <c r="BA95" s="15">
        <f>AY95-AZ95</f>
        <v>0</v>
      </c>
      <c r="BB95" s="272">
        <v>1</v>
      </c>
      <c r="BC95" s="147">
        <v>43.96</v>
      </c>
      <c r="BD95" s="147"/>
      <c r="BE95" s="147">
        <f>BC95*BB95</f>
        <v>43.96</v>
      </c>
      <c r="BF95" s="147">
        <v>0</v>
      </c>
      <c r="BG95" s="147">
        <f>SUM(BE95:BF95)</f>
        <v>43.96</v>
      </c>
      <c r="BH95" s="413" t="s">
        <v>238</v>
      </c>
      <c r="BI95" s="214"/>
      <c r="BJ95" s="157">
        <v>0</v>
      </c>
      <c r="BK95" s="143"/>
      <c r="BL95" s="147">
        <v>0</v>
      </c>
      <c r="BM95" s="147">
        <v>0</v>
      </c>
      <c r="BN95" s="229">
        <f>SUM(BL95:BM95)</f>
        <v>0</v>
      </c>
      <c r="BO95" s="309"/>
      <c r="BP95" s="147">
        <v>0</v>
      </c>
      <c r="BQ95" s="143"/>
      <c r="BR95" s="147">
        <v>0</v>
      </c>
      <c r="BS95" s="147">
        <v>0</v>
      </c>
      <c r="BT95" s="229">
        <v>0</v>
      </c>
      <c r="BU95" s="214"/>
      <c r="BV95" s="147">
        <v>0</v>
      </c>
      <c r="BW95" s="143"/>
      <c r="BX95" s="147">
        <v>0</v>
      </c>
      <c r="BY95" s="147">
        <v>0</v>
      </c>
      <c r="BZ95" s="229">
        <v>0</v>
      </c>
      <c r="CA95" s="228">
        <f>BR95+BL95+BE95+BX95</f>
        <v>43.96</v>
      </c>
      <c r="CB95" s="147">
        <f>BS95+BM95+BF95</f>
        <v>0</v>
      </c>
      <c r="CC95" s="229">
        <f>BT95+BN95+BG95</f>
        <v>43.96</v>
      </c>
      <c r="CD95" s="23"/>
      <c r="CE95" s="20">
        <f>AV95+CA95</f>
        <v>105.46000000000001</v>
      </c>
      <c r="CF95" s="20">
        <f>AW95+CB95</f>
        <v>0</v>
      </c>
      <c r="CG95" s="15">
        <f>CE95+CF95</f>
        <v>105.46000000000001</v>
      </c>
      <c r="CH95" s="314">
        <f t="shared" si="97"/>
        <v>31928.503733750003</v>
      </c>
      <c r="CI95" s="310">
        <f t="shared" si="97"/>
        <v>0</v>
      </c>
      <c r="CJ95" s="521">
        <f t="shared" si="97"/>
        <v>31928.503733750003</v>
      </c>
      <c r="CK95" s="530">
        <f t="shared" si="89"/>
        <v>-31929</v>
      </c>
      <c r="CL95" s="531">
        <f t="shared" si="90"/>
        <v>-0.49626624999655178</v>
      </c>
      <c r="CM95" s="372"/>
      <c r="CN95" s="368"/>
      <c r="CO95" s="368"/>
      <c r="CP95" s="368"/>
      <c r="CQ95" s="368"/>
      <c r="CR95" s="368"/>
      <c r="CS95" s="368"/>
      <c r="CT95" s="368"/>
      <c r="CU95" s="368"/>
      <c r="CV95" s="368"/>
      <c r="CW95" s="368"/>
      <c r="CX95" s="368"/>
      <c r="CY95" s="368"/>
      <c r="CZ95" s="372"/>
      <c r="DA95" s="372"/>
      <c r="DB95" s="372"/>
      <c r="DC95" s="372"/>
      <c r="DD95" s="372"/>
      <c r="DE95" s="372"/>
      <c r="DF95" s="372"/>
      <c r="DG95" s="372"/>
      <c r="DH95" s="372"/>
      <c r="DI95" s="372"/>
      <c r="DJ95" s="372"/>
      <c r="DK95" s="372"/>
      <c r="DL95" s="372"/>
      <c r="DM95" s="372"/>
      <c r="DN95" s="372"/>
      <c r="DO95" s="372"/>
      <c r="DP95" s="372"/>
      <c r="DQ95" s="372"/>
      <c r="DR95" s="372"/>
      <c r="DS95" s="372"/>
      <c r="DT95" s="372"/>
      <c r="DU95" s="372">
        <v>-31929</v>
      </c>
      <c r="DV95" s="372"/>
      <c r="DW95" s="372"/>
      <c r="DX95" s="372"/>
      <c r="DY95" s="372"/>
      <c r="DZ95" s="372"/>
      <c r="EA95" s="372"/>
      <c r="EB95" s="372"/>
      <c r="EC95" s="372"/>
      <c r="ED95" s="372"/>
      <c r="EE95" s="372"/>
      <c r="EF95" s="372"/>
      <c r="EG95" s="372"/>
      <c r="EH95" s="372"/>
      <c r="EI95" s="372"/>
      <c r="EJ95" s="372"/>
      <c r="EK95" s="372"/>
      <c r="EL95" s="372"/>
      <c r="EM95" s="372"/>
      <c r="EN95" s="372"/>
      <c r="EO95" s="372"/>
      <c r="EP95" s="372"/>
      <c r="EQ95" s="372"/>
      <c r="ER95" s="372"/>
      <c r="ES95" s="372"/>
    </row>
    <row r="96" spans="1:149" s="128" customFormat="1" ht="19.5" customHeight="1" x14ac:dyDescent="0.45">
      <c r="A96" s="161"/>
      <c r="B96" s="161"/>
      <c r="C96" s="161"/>
      <c r="D96" s="161"/>
      <c r="E96" s="135">
        <v>86</v>
      </c>
      <c r="F96" s="161" t="s">
        <v>239</v>
      </c>
      <c r="G96" s="168"/>
      <c r="H96" s="161"/>
      <c r="I96" s="161"/>
      <c r="J96" s="179"/>
      <c r="K96" s="160"/>
      <c r="L96" s="179"/>
      <c r="M96" s="160"/>
      <c r="N96" s="162">
        <f>SUM(N94:N95)</f>
        <v>14139.92</v>
      </c>
      <c r="O96" s="162">
        <f>SUM(O94:O95)</f>
        <v>0</v>
      </c>
      <c r="P96" s="162">
        <f>SUM(P94:P95)</f>
        <v>14139.92</v>
      </c>
      <c r="Q96" s="179"/>
      <c r="R96" s="162"/>
      <c r="S96" s="160"/>
      <c r="T96" s="162">
        <f>SUM(T94:T95)</f>
        <v>9270</v>
      </c>
      <c r="U96" s="162">
        <f>SUM(U94:U95)</f>
        <v>0</v>
      </c>
      <c r="V96" s="162">
        <f>SUM(V94:V95)</f>
        <v>9270</v>
      </c>
      <c r="W96" s="179"/>
      <c r="X96" s="162"/>
      <c r="Y96" s="160"/>
      <c r="Z96" s="162">
        <f>SUM(Z94:Z95)</f>
        <v>9548.1</v>
      </c>
      <c r="AA96" s="162">
        <f>SUM(AA94:AA95)</f>
        <v>0</v>
      </c>
      <c r="AB96" s="162">
        <f>SUM(AB94:AB95)</f>
        <v>9548.1</v>
      </c>
      <c r="AC96" s="179"/>
      <c r="AD96" s="162"/>
      <c r="AE96" s="160"/>
      <c r="AF96" s="162">
        <f>SUM(AF94:AF95)</f>
        <v>4917.2715000000007</v>
      </c>
      <c r="AG96" s="162">
        <f>SUM(AG94:AG95)</f>
        <v>0</v>
      </c>
      <c r="AH96" s="162">
        <f>SUM(AH94:AH95)</f>
        <v>4917.2715000000007</v>
      </c>
      <c r="AI96" s="179"/>
      <c r="AJ96" s="162"/>
      <c r="AK96" s="160"/>
      <c r="AL96" s="162">
        <f t="shared" ref="AL96:AQ96" si="98">SUM(AL94:AL95)</f>
        <v>3798.592233750001</v>
      </c>
      <c r="AM96" s="162">
        <f t="shared" si="98"/>
        <v>0</v>
      </c>
      <c r="AN96" s="162">
        <f t="shared" si="98"/>
        <v>3798.592233750001</v>
      </c>
      <c r="AO96" s="162">
        <f t="shared" si="98"/>
        <v>41673.883733750001</v>
      </c>
      <c r="AP96" s="162">
        <f t="shared" si="98"/>
        <v>0</v>
      </c>
      <c r="AQ96" s="162">
        <f t="shared" si="98"/>
        <v>41673.883733750001</v>
      </c>
      <c r="AR96" s="163">
        <f t="shared" ref="AR96:AY96" si="99">AR94+AR95</f>
        <v>7038.54</v>
      </c>
      <c r="AS96" s="163">
        <f t="shared" si="99"/>
        <v>0</v>
      </c>
      <c r="AT96" s="163">
        <f t="shared" si="99"/>
        <v>2519.88</v>
      </c>
      <c r="AU96" s="163">
        <f t="shared" si="99"/>
        <v>0</v>
      </c>
      <c r="AV96" s="163">
        <f t="shared" si="99"/>
        <v>9558.42</v>
      </c>
      <c r="AW96" s="163">
        <f t="shared" si="99"/>
        <v>0</v>
      </c>
      <c r="AX96" s="163">
        <f t="shared" si="99"/>
        <v>9558.42</v>
      </c>
      <c r="AY96" s="163">
        <f t="shared" si="99"/>
        <v>32115.463733750003</v>
      </c>
      <c r="AZ96" s="163">
        <f>AQ96-AR96-AS96-AT96-AU96</f>
        <v>32115.463733749999</v>
      </c>
      <c r="BA96" s="235"/>
      <c r="BB96" s="254"/>
      <c r="BC96" s="163">
        <f>SUM(BC94:BC95)</f>
        <v>1252.75</v>
      </c>
      <c r="BD96" s="163"/>
      <c r="BE96" s="163">
        <f>SUM(BE94:BE95)</f>
        <v>1252.75</v>
      </c>
      <c r="BF96" s="163">
        <v>0</v>
      </c>
      <c r="BG96" s="163">
        <f>SUM(BE96:BF96)</f>
        <v>1252.75</v>
      </c>
      <c r="BH96" s="410"/>
      <c r="BI96" s="254"/>
      <c r="BJ96" s="186">
        <v>0</v>
      </c>
      <c r="BK96" s="179"/>
      <c r="BL96" s="163">
        <f>SUM(BL94:BL95)</f>
        <v>0</v>
      </c>
      <c r="BM96" s="163">
        <v>0</v>
      </c>
      <c r="BN96" s="241">
        <f>SUM(BL96:BM96)</f>
        <v>0</v>
      </c>
      <c r="BO96" s="444"/>
      <c r="BP96" s="163">
        <v>0</v>
      </c>
      <c r="BQ96" s="179"/>
      <c r="BR96" s="163">
        <f>SUM(BR94:BR95)</f>
        <v>0</v>
      </c>
      <c r="BS96" s="163">
        <v>0</v>
      </c>
      <c r="BT96" s="241">
        <f>SUM(BR96:BS96)</f>
        <v>0</v>
      </c>
      <c r="BU96" s="254"/>
      <c r="BV96" s="163">
        <v>0</v>
      </c>
      <c r="BW96" s="179"/>
      <c r="BX96" s="163">
        <f>SUM(BX94:BX95)</f>
        <v>0</v>
      </c>
      <c r="BY96" s="163">
        <v>0</v>
      </c>
      <c r="BZ96" s="241">
        <f>SUM(BX96:BY96)</f>
        <v>0</v>
      </c>
      <c r="CA96" s="240">
        <f>BR96+BL96+BE96+BX96</f>
        <v>1252.75</v>
      </c>
      <c r="CB96" s="163">
        <f>BS96+BM96+BF96</f>
        <v>0</v>
      </c>
      <c r="CC96" s="241">
        <f>SUM(CC94:CC95)</f>
        <v>1252.75</v>
      </c>
      <c r="CD96" s="24"/>
      <c r="CE96" s="162">
        <f>CA96+AR96+AT96</f>
        <v>10811.170000000002</v>
      </c>
      <c r="CF96" s="162">
        <f>CB96+AS96+AU96</f>
        <v>0</v>
      </c>
      <c r="CG96" s="299">
        <f>CE96+CF96</f>
        <v>10811.170000000002</v>
      </c>
      <c r="CH96" s="217"/>
      <c r="CI96" s="20"/>
      <c r="CJ96" s="15"/>
      <c r="CK96" s="530">
        <f t="shared" si="89"/>
        <v>0</v>
      </c>
      <c r="CL96" s="531">
        <f t="shared" si="90"/>
        <v>0</v>
      </c>
      <c r="CM96" s="375"/>
      <c r="CN96" s="375"/>
      <c r="CO96" s="375"/>
      <c r="CP96" s="375"/>
      <c r="CQ96" s="375"/>
      <c r="CR96" s="375"/>
      <c r="CS96" s="375"/>
      <c r="CT96" s="375"/>
      <c r="CU96" s="375"/>
      <c r="CV96" s="375"/>
      <c r="CW96" s="375"/>
      <c r="CX96" s="375"/>
      <c r="CY96" s="375"/>
      <c r="CZ96" s="375"/>
      <c r="DA96" s="375"/>
      <c r="DB96" s="375"/>
      <c r="DC96" s="375"/>
      <c r="DD96" s="375"/>
      <c r="DE96" s="375"/>
      <c r="DF96" s="375"/>
      <c r="DG96" s="375"/>
      <c r="DH96" s="375"/>
      <c r="DI96" s="375"/>
      <c r="DJ96" s="375"/>
      <c r="DK96" s="375"/>
      <c r="DL96" s="375"/>
      <c r="DM96" s="375"/>
      <c r="DN96" s="375"/>
      <c r="DO96" s="375"/>
      <c r="DP96" s="375"/>
      <c r="DQ96" s="375"/>
      <c r="DR96" s="375"/>
      <c r="DS96" s="375"/>
      <c r="DT96" s="375"/>
      <c r="DU96" s="375"/>
      <c r="DV96" s="375"/>
      <c r="DW96" s="375"/>
      <c r="DX96" s="375"/>
      <c r="DY96" s="375"/>
      <c r="DZ96" s="375"/>
      <c r="EA96" s="375"/>
      <c r="EB96" s="375"/>
      <c r="EC96" s="375"/>
      <c r="ED96" s="375"/>
      <c r="EE96" s="375"/>
      <c r="EF96" s="375"/>
      <c r="EG96" s="375"/>
      <c r="EH96" s="375"/>
      <c r="EI96" s="375"/>
      <c r="EJ96" s="375"/>
      <c r="EK96" s="375"/>
      <c r="EL96" s="375"/>
      <c r="EM96" s="375"/>
      <c r="EN96" s="375"/>
      <c r="EO96" s="375"/>
      <c r="EP96" s="375"/>
      <c r="EQ96" s="375"/>
      <c r="ER96" s="375"/>
      <c r="ES96" s="375"/>
    </row>
    <row r="97" spans="1:149" s="127" customFormat="1" ht="19.5" customHeight="1" x14ac:dyDescent="0.45">
      <c r="A97" s="172"/>
      <c r="B97" s="172"/>
      <c r="C97" s="172"/>
      <c r="D97" s="172"/>
      <c r="E97" s="135">
        <v>87</v>
      </c>
      <c r="F97" s="172" t="s">
        <v>240</v>
      </c>
      <c r="G97" s="172"/>
      <c r="H97" s="172"/>
      <c r="I97" s="172"/>
      <c r="J97" s="164"/>
      <c r="K97" s="164"/>
      <c r="L97" s="164"/>
      <c r="M97" s="164"/>
      <c r="N97" s="16">
        <f ca="1">N96+N92</f>
        <v>0</v>
      </c>
      <c r="O97" s="16">
        <f ca="1">O96+O92</f>
        <v>3336</v>
      </c>
      <c r="P97" s="16">
        <f ca="1">P96+P92</f>
        <v>0</v>
      </c>
      <c r="Q97" s="164"/>
      <c r="R97" s="164"/>
      <c r="S97" s="164"/>
      <c r="T97" s="16">
        <f ca="1">T96+T92</f>
        <v>9270</v>
      </c>
      <c r="U97" s="16">
        <f ca="1">U96+U92</f>
        <v>4466.9040000000005</v>
      </c>
      <c r="V97" s="16">
        <f ca="1">V96+V92</f>
        <v>13736.904</v>
      </c>
      <c r="W97" s="164"/>
      <c r="X97" s="164"/>
      <c r="Y97" s="164"/>
      <c r="Z97" s="16">
        <f ca="1">Z96+Z92</f>
        <v>9548.1</v>
      </c>
      <c r="AA97" s="16">
        <f ca="1">AA96+AA92</f>
        <v>4600.9111200000007</v>
      </c>
      <c r="AB97" s="16">
        <f ca="1">AB96+AB92</f>
        <v>14149.011120000001</v>
      </c>
      <c r="AC97" s="164"/>
      <c r="AD97" s="164"/>
      <c r="AE97" s="164"/>
      <c r="AF97" s="16">
        <f ca="1">AF96+AF92</f>
        <v>4917.2715000000007</v>
      </c>
      <c r="AG97" s="16">
        <f ca="1">AG96+AG92</f>
        <v>4738.9384536000007</v>
      </c>
      <c r="AH97" s="16">
        <f ca="1">AH96+AH92</f>
        <v>9656.2099536000023</v>
      </c>
      <c r="AI97" s="164"/>
      <c r="AJ97" s="164"/>
      <c r="AK97" s="164"/>
      <c r="AL97" s="16">
        <f t="shared" ref="AL97:AY97" ca="1" si="100">AL96+AL92</f>
        <v>3798.592233750001</v>
      </c>
      <c r="AM97" s="16">
        <f t="shared" ca="1" si="100"/>
        <v>4881.1066072080012</v>
      </c>
      <c r="AN97" s="16">
        <f t="shared" ca="1" si="100"/>
        <v>8679.6988409580026</v>
      </c>
      <c r="AO97" s="16">
        <f t="shared" ca="1" si="100"/>
        <v>42878.873733749999</v>
      </c>
      <c r="AP97" s="16">
        <f t="shared" ca="1" si="100"/>
        <v>22023.860180808006</v>
      </c>
      <c r="AQ97" s="16">
        <f t="shared" ca="1" si="100"/>
        <v>64902.733914558004</v>
      </c>
      <c r="AR97" s="165">
        <f t="shared" si="100"/>
        <v>7038.54</v>
      </c>
      <c r="AS97" s="165">
        <f t="shared" si="100"/>
        <v>1471.4199999999998</v>
      </c>
      <c r="AT97" s="165">
        <f t="shared" si="100"/>
        <v>9775.869999999999</v>
      </c>
      <c r="AU97" s="165">
        <f t="shared" si="100"/>
        <v>10094.69</v>
      </c>
      <c r="AV97" s="165">
        <f t="shared" si="100"/>
        <v>16814.41</v>
      </c>
      <c r="AW97" s="165">
        <f t="shared" si="100"/>
        <v>11566.11</v>
      </c>
      <c r="AX97" s="165">
        <f t="shared" si="100"/>
        <v>28380.519999999997</v>
      </c>
      <c r="AY97" s="165">
        <f t="shared" si="100"/>
        <v>36522.213914558008</v>
      </c>
      <c r="AZ97" s="165">
        <f ca="1">AQ97-AR97-AS97-AT97-AU97</f>
        <v>0</v>
      </c>
      <c r="BA97" s="14"/>
      <c r="BB97" s="271"/>
      <c r="BC97" s="165">
        <f>+BC96+BC92+BC88</f>
        <v>1441.308</v>
      </c>
      <c r="BD97" s="185"/>
      <c r="BE97" s="165">
        <f>BE96+BE92+BE88</f>
        <v>12878.758</v>
      </c>
      <c r="BF97" s="165">
        <f>+BF96+BF92+BF88</f>
        <v>4232.96</v>
      </c>
      <c r="BG97" s="165">
        <f>BE97+BF97</f>
        <v>17111.718000000001</v>
      </c>
      <c r="BH97" s="419"/>
      <c r="BI97" s="252"/>
      <c r="BJ97" s="185"/>
      <c r="BK97" s="184"/>
      <c r="BL97" s="165">
        <f>BL96+BL92+BL88</f>
        <v>4026.10032</v>
      </c>
      <c r="BM97" s="165">
        <f>BM96+BM92+BM88</f>
        <v>17109.740000000002</v>
      </c>
      <c r="BN97" s="25">
        <f>BL97+BM97</f>
        <v>21135.840320000003</v>
      </c>
      <c r="BO97" s="441"/>
      <c r="BP97" s="185">
        <v>0</v>
      </c>
      <c r="BQ97" s="184"/>
      <c r="BR97" s="185">
        <f>BR96+BR92+BR88</f>
        <v>203.94433280000001</v>
      </c>
      <c r="BS97" s="185">
        <f>BS96+BS92+BS88</f>
        <v>29953</v>
      </c>
      <c r="BT97" s="253">
        <f>BR97+BS97</f>
        <v>30156.944332800002</v>
      </c>
      <c r="BU97" s="252"/>
      <c r="BV97" s="185">
        <v>0</v>
      </c>
      <c r="BW97" s="184"/>
      <c r="BX97" s="185">
        <f>BX96+BX92+BX88</f>
        <v>280</v>
      </c>
      <c r="BY97" s="185">
        <f>BY96+BY92</f>
        <v>1119.8</v>
      </c>
      <c r="BZ97" s="253">
        <f>BX97+BY97</f>
        <v>1399.8</v>
      </c>
      <c r="CA97" s="226">
        <f>BR97+BL97+BE97+BX97</f>
        <v>17388.802652800001</v>
      </c>
      <c r="CB97" s="165">
        <f>BS97+BM97+BF97</f>
        <v>51295.700000000004</v>
      </c>
      <c r="CC97" s="25">
        <f>BZ97+BT97+BN97+BG97</f>
        <v>69804.302652800005</v>
      </c>
      <c r="CD97" s="17"/>
      <c r="CE97" s="184">
        <f>CE88+CE92+CE96</f>
        <v>34203.212652800001</v>
      </c>
      <c r="CF97" s="164">
        <f>CF88+CF92+CF96</f>
        <v>63981.61</v>
      </c>
      <c r="CG97" s="307">
        <f>CE97+CF97</f>
        <v>98184.822652800009</v>
      </c>
      <c r="CH97" s="217"/>
      <c r="CI97" s="20"/>
      <c r="CJ97" s="15"/>
      <c r="CK97" s="530">
        <f t="shared" si="89"/>
        <v>0</v>
      </c>
      <c r="CL97" s="531">
        <f t="shared" si="90"/>
        <v>0</v>
      </c>
      <c r="CM97" s="369"/>
      <c r="CN97" s="369"/>
      <c r="CO97" s="369"/>
      <c r="CP97" s="369"/>
      <c r="CQ97" s="369"/>
      <c r="CR97" s="369"/>
      <c r="CS97" s="369"/>
      <c r="CT97" s="369"/>
      <c r="CU97" s="369"/>
      <c r="CV97" s="369"/>
      <c r="CW97" s="369"/>
      <c r="CX97" s="369"/>
      <c r="CY97" s="369"/>
      <c r="CZ97" s="369"/>
      <c r="DA97" s="369"/>
      <c r="DB97" s="369"/>
      <c r="DC97" s="369"/>
      <c r="DD97" s="369"/>
      <c r="DE97" s="369"/>
      <c r="DF97" s="369"/>
      <c r="DG97" s="369"/>
      <c r="DH97" s="369"/>
      <c r="DI97" s="369"/>
      <c r="DJ97" s="369"/>
      <c r="DK97" s="369"/>
      <c r="DL97" s="369"/>
      <c r="DM97" s="369"/>
      <c r="DN97" s="369"/>
      <c r="DO97" s="369"/>
      <c r="DP97" s="369"/>
      <c r="DQ97" s="369"/>
      <c r="DR97" s="369"/>
      <c r="DS97" s="369"/>
      <c r="DT97" s="369"/>
      <c r="DU97" s="369"/>
      <c r="DV97" s="369"/>
      <c r="DW97" s="369"/>
      <c r="DX97" s="369"/>
      <c r="DY97" s="369"/>
      <c r="DZ97" s="369"/>
      <c r="EA97" s="369"/>
      <c r="EB97" s="369"/>
      <c r="EC97" s="369"/>
      <c r="ED97" s="369"/>
      <c r="EE97" s="369"/>
      <c r="EF97" s="369"/>
      <c r="EG97" s="369"/>
      <c r="EH97" s="369"/>
      <c r="EI97" s="369"/>
      <c r="EJ97" s="369"/>
      <c r="EK97" s="369"/>
      <c r="EL97" s="369"/>
      <c r="EM97" s="369"/>
      <c r="EN97" s="369"/>
      <c r="EO97" s="369"/>
      <c r="EP97" s="369"/>
      <c r="EQ97" s="369"/>
      <c r="ER97" s="369"/>
      <c r="ES97" s="369"/>
    </row>
    <row r="98" spans="1:149" s="126" customFormat="1" ht="19.5" customHeight="1" x14ac:dyDescent="0.45">
      <c r="A98" s="136"/>
      <c r="B98" s="136"/>
      <c r="C98" s="136"/>
      <c r="D98" s="136"/>
      <c r="E98" s="143">
        <v>88</v>
      </c>
      <c r="F98" s="136" t="s">
        <v>18</v>
      </c>
      <c r="G98" s="136"/>
      <c r="H98" s="136"/>
      <c r="I98" s="136"/>
      <c r="J98" s="136"/>
      <c r="K98" s="136"/>
      <c r="L98" s="136"/>
      <c r="M98" s="136"/>
      <c r="N98" s="279"/>
      <c r="O98" s="279"/>
      <c r="P98" s="279"/>
      <c r="Q98" s="136"/>
      <c r="R98" s="136"/>
      <c r="S98" s="136"/>
      <c r="T98" s="279"/>
      <c r="U98" s="279"/>
      <c r="V98" s="279"/>
      <c r="W98" s="136"/>
      <c r="X98" s="136"/>
      <c r="Y98" s="136"/>
      <c r="Z98" s="279"/>
      <c r="AA98" s="279"/>
      <c r="AB98" s="279"/>
      <c r="AC98" s="136"/>
      <c r="AD98" s="136"/>
      <c r="AE98" s="136"/>
      <c r="AF98" s="279"/>
      <c r="AG98" s="279"/>
      <c r="AH98" s="279"/>
      <c r="AI98" s="136"/>
      <c r="AJ98" s="136"/>
      <c r="AK98" s="136"/>
      <c r="AL98" s="279"/>
      <c r="AM98" s="279"/>
      <c r="AN98" s="279"/>
      <c r="AO98" s="279"/>
      <c r="AP98" s="279"/>
      <c r="AQ98" s="279"/>
      <c r="AR98" s="279"/>
      <c r="AS98" s="279"/>
      <c r="AT98" s="279"/>
      <c r="AU98" s="279"/>
      <c r="AV98" s="279"/>
      <c r="AW98" s="279"/>
      <c r="AX98" s="279"/>
      <c r="AY98" s="279"/>
      <c r="AZ98" s="283"/>
      <c r="BA98" s="296"/>
      <c r="BB98" s="292"/>
      <c r="BC98" s="279"/>
      <c r="BD98" s="293"/>
      <c r="BE98" s="279"/>
      <c r="BF98" s="279"/>
      <c r="BG98" s="279"/>
      <c r="BH98" s="412"/>
      <c r="BI98" s="292"/>
      <c r="BJ98" s="297"/>
      <c r="BK98" s="293"/>
      <c r="BL98" s="283"/>
      <c r="BM98" s="283"/>
      <c r="BN98" s="284"/>
      <c r="BO98" s="443"/>
      <c r="BP98" s="279"/>
      <c r="BQ98" s="293"/>
      <c r="BR98" s="279"/>
      <c r="BS98" s="279"/>
      <c r="BT98" s="285"/>
      <c r="BU98" s="286"/>
      <c r="BV98" s="279"/>
      <c r="BW98" s="279"/>
      <c r="BX98" s="279"/>
      <c r="BY98" s="279"/>
      <c r="BZ98" s="285"/>
      <c r="CA98" s="287"/>
      <c r="CB98" s="283"/>
      <c r="CC98" s="284"/>
      <c r="CD98" s="23"/>
      <c r="CE98" s="294"/>
      <c r="CF98" s="294"/>
      <c r="CG98" s="306"/>
      <c r="CH98" s="217"/>
      <c r="CI98" s="20"/>
      <c r="CJ98" s="15"/>
      <c r="CK98" s="530">
        <f t="shared" si="89"/>
        <v>0</v>
      </c>
      <c r="CL98" s="531">
        <f t="shared" si="90"/>
        <v>0</v>
      </c>
      <c r="CM98" s="368"/>
      <c r="CN98" s="368"/>
      <c r="CO98" s="368"/>
      <c r="CP98" s="368"/>
      <c r="CQ98" s="368"/>
      <c r="CR98" s="368"/>
      <c r="CS98" s="368"/>
      <c r="CT98" s="368"/>
      <c r="CU98" s="368"/>
      <c r="CV98" s="368"/>
      <c r="CW98" s="368"/>
      <c r="CX98" s="368"/>
      <c r="CY98" s="368"/>
      <c r="CZ98" s="368"/>
      <c r="DA98" s="368"/>
      <c r="DB98" s="368"/>
      <c r="DC98" s="368"/>
      <c r="DD98" s="368"/>
      <c r="DE98" s="368"/>
      <c r="DF98" s="368"/>
      <c r="DG98" s="368"/>
      <c r="DH98" s="368"/>
      <c r="DI98" s="368"/>
      <c r="DJ98" s="368"/>
      <c r="DK98" s="368"/>
      <c r="DL98" s="368"/>
      <c r="DM98" s="368"/>
      <c r="DN98" s="368"/>
      <c r="DO98" s="368"/>
      <c r="DP98" s="368"/>
      <c r="DQ98" s="368"/>
      <c r="DR98" s="368"/>
      <c r="DS98" s="368"/>
      <c r="DT98" s="368"/>
      <c r="DU98" s="368"/>
      <c r="DV98" s="368"/>
      <c r="DW98" s="368"/>
      <c r="DX98" s="368"/>
      <c r="DY98" s="368"/>
      <c r="DZ98" s="368"/>
      <c r="EA98" s="368"/>
      <c r="EB98" s="368"/>
      <c r="EC98" s="368"/>
      <c r="ED98" s="368"/>
      <c r="EE98" s="368"/>
      <c r="EF98" s="368"/>
      <c r="EG98" s="368"/>
      <c r="EH98" s="368"/>
      <c r="EI98" s="368"/>
      <c r="EJ98" s="368"/>
      <c r="EK98" s="368"/>
      <c r="EL98" s="368"/>
      <c r="EM98" s="368"/>
      <c r="EN98" s="368"/>
      <c r="EO98" s="368"/>
      <c r="EP98" s="368"/>
      <c r="EQ98" s="368"/>
      <c r="ER98" s="368"/>
      <c r="ES98" s="368"/>
    </row>
    <row r="99" spans="1:149" s="126" customFormat="1" ht="19.5" customHeight="1" x14ac:dyDescent="0.45">
      <c r="A99" s="150"/>
      <c r="B99" s="150"/>
      <c r="C99" s="150"/>
      <c r="D99" s="150"/>
      <c r="E99" s="143">
        <v>89</v>
      </c>
      <c r="F99" s="150" t="s">
        <v>241</v>
      </c>
      <c r="G99" s="150"/>
      <c r="H99" s="150"/>
      <c r="I99" s="150"/>
      <c r="J99" s="150"/>
      <c r="K99" s="150"/>
      <c r="L99" s="150"/>
      <c r="M99" s="150"/>
      <c r="N99" s="20"/>
      <c r="O99" s="20"/>
      <c r="P99" s="20"/>
      <c r="Q99" s="150"/>
      <c r="R99" s="150"/>
      <c r="S99" s="150"/>
      <c r="T99" s="20"/>
      <c r="U99" s="20"/>
      <c r="V99" s="20"/>
      <c r="W99" s="150"/>
      <c r="X99" s="150"/>
      <c r="Y99" s="150"/>
      <c r="Z99" s="20"/>
      <c r="AA99" s="20"/>
      <c r="AB99" s="20"/>
      <c r="AC99" s="150"/>
      <c r="AD99" s="150"/>
      <c r="AE99" s="150"/>
      <c r="AF99" s="20"/>
      <c r="AG99" s="20"/>
      <c r="AH99" s="20"/>
      <c r="AI99" s="150"/>
      <c r="AJ99" s="150"/>
      <c r="AK99" s="150"/>
      <c r="AL99" s="20"/>
      <c r="AM99" s="20"/>
      <c r="AN99" s="20"/>
      <c r="AO99" s="20"/>
      <c r="AP99" s="20"/>
      <c r="AQ99" s="20"/>
      <c r="AR99" s="20"/>
      <c r="AS99" s="20"/>
      <c r="AT99" s="20"/>
      <c r="AU99" s="20"/>
      <c r="AV99" s="20"/>
      <c r="AW99" s="20"/>
      <c r="AX99" s="20"/>
      <c r="AY99" s="20"/>
      <c r="AZ99" s="147"/>
      <c r="BA99" s="233"/>
      <c r="BB99" s="248"/>
      <c r="BC99" s="20"/>
      <c r="BD99" s="178"/>
      <c r="BE99" s="20"/>
      <c r="BF99" s="20"/>
      <c r="BG99" s="20"/>
      <c r="BH99" s="406"/>
      <c r="BI99" s="248"/>
      <c r="BJ99" s="157"/>
      <c r="BK99" s="178"/>
      <c r="BL99" s="147"/>
      <c r="BM99" s="147"/>
      <c r="BN99" s="229"/>
      <c r="BO99" s="435"/>
      <c r="BP99" s="20"/>
      <c r="BQ99" s="178"/>
      <c r="BR99" s="20"/>
      <c r="BS99" s="20"/>
      <c r="BT99" s="223"/>
      <c r="BU99" s="217"/>
      <c r="BV99" s="20"/>
      <c r="BW99" s="20"/>
      <c r="BX99" s="20"/>
      <c r="BY99" s="20"/>
      <c r="BZ99" s="223"/>
      <c r="CA99" s="228"/>
      <c r="CB99" s="147"/>
      <c r="CC99" s="229"/>
      <c r="CD99" s="23"/>
      <c r="CE99" s="20"/>
      <c r="CF99" s="20">
        <f>CB99+AS99+AU99</f>
        <v>0</v>
      </c>
      <c r="CG99" s="15"/>
      <c r="CH99" s="217"/>
      <c r="CI99" s="20"/>
      <c r="CJ99" s="15"/>
      <c r="CK99" s="530">
        <f t="shared" si="89"/>
        <v>0</v>
      </c>
      <c r="CL99" s="531">
        <f t="shared" si="90"/>
        <v>0</v>
      </c>
      <c r="CM99" s="368"/>
      <c r="CN99" s="368"/>
      <c r="CO99" s="368"/>
      <c r="CP99" s="368"/>
      <c r="CQ99" s="368"/>
      <c r="CR99" s="368"/>
      <c r="CS99" s="368"/>
      <c r="CT99" s="368"/>
      <c r="CU99" s="368"/>
      <c r="CV99" s="368"/>
      <c r="CW99" s="368"/>
      <c r="CX99" s="368"/>
      <c r="CY99" s="368"/>
      <c r="CZ99" s="368"/>
      <c r="DA99" s="368"/>
      <c r="DB99" s="368"/>
      <c r="DC99" s="368"/>
      <c r="DD99" s="368"/>
      <c r="DE99" s="368"/>
      <c r="DF99" s="368"/>
      <c r="DG99" s="368"/>
      <c r="DH99" s="368"/>
      <c r="DI99" s="368"/>
      <c r="DJ99" s="368"/>
      <c r="DK99" s="368"/>
      <c r="DL99" s="368"/>
      <c r="DM99" s="368"/>
      <c r="DN99" s="368"/>
      <c r="DO99" s="368"/>
      <c r="DP99" s="368"/>
      <c r="DQ99" s="368"/>
      <c r="DR99" s="368"/>
      <c r="DS99" s="368"/>
      <c r="DT99" s="368"/>
      <c r="DU99" s="368"/>
      <c r="DV99" s="368"/>
      <c r="DW99" s="368"/>
      <c r="DX99" s="368"/>
      <c r="DY99" s="368"/>
      <c r="DZ99" s="368"/>
      <c r="EA99" s="368"/>
      <c r="EB99" s="368"/>
      <c r="EC99" s="368"/>
      <c r="ED99" s="368"/>
      <c r="EE99" s="368"/>
      <c r="EF99" s="368"/>
      <c r="EG99" s="368"/>
      <c r="EH99" s="368"/>
      <c r="EI99" s="368"/>
      <c r="EJ99" s="368"/>
      <c r="EK99" s="368"/>
      <c r="EL99" s="368"/>
      <c r="EM99" s="368"/>
      <c r="EN99" s="368"/>
      <c r="EO99" s="368"/>
      <c r="EP99" s="368"/>
      <c r="EQ99" s="368"/>
      <c r="ER99" s="368"/>
      <c r="ES99" s="368"/>
    </row>
    <row r="100" spans="1:149" s="126" customFormat="1" ht="33" hidden="1" customHeight="1" x14ac:dyDescent="0.45">
      <c r="A100" s="194"/>
      <c r="B100" s="194"/>
      <c r="C100" s="194"/>
      <c r="D100" s="194"/>
      <c r="E100" s="148">
        <v>90</v>
      </c>
      <c r="F100" s="194" t="s">
        <v>101</v>
      </c>
      <c r="G100" s="156" t="s">
        <v>242</v>
      </c>
      <c r="H100" s="194" t="s">
        <v>243</v>
      </c>
      <c r="I100" s="194" t="s">
        <v>11</v>
      </c>
      <c r="J100" s="143">
        <v>1</v>
      </c>
      <c r="K100" s="178">
        <v>1950</v>
      </c>
      <c r="L100" s="143">
        <v>3</v>
      </c>
      <c r="M100" s="143" t="s">
        <v>194</v>
      </c>
      <c r="N100" s="20">
        <f>K100*J100*L100</f>
        <v>5850</v>
      </c>
      <c r="O100" s="20">
        <v>0</v>
      </c>
      <c r="P100" s="20">
        <f>SUM(N100:O100)</f>
        <v>5850</v>
      </c>
      <c r="Q100" s="143">
        <v>1</v>
      </c>
      <c r="R100" s="178">
        <f>K100</f>
        <v>1950</v>
      </c>
      <c r="S100" s="143">
        <v>3</v>
      </c>
      <c r="T100" s="20">
        <f>R100*Q100*S100</f>
        <v>5850</v>
      </c>
      <c r="U100" s="20">
        <v>0</v>
      </c>
      <c r="V100" s="20">
        <f>SUM(T100:U100)</f>
        <v>5850</v>
      </c>
      <c r="W100" s="143">
        <v>1</v>
      </c>
      <c r="X100" s="178">
        <f>K100</f>
        <v>1950</v>
      </c>
      <c r="Y100" s="143">
        <v>3</v>
      </c>
      <c r="Z100" s="20">
        <f>W100*X100*Y100</f>
        <v>5850</v>
      </c>
      <c r="AA100" s="20">
        <v>0</v>
      </c>
      <c r="AB100" s="20">
        <f>SUM(Z100:AA100)</f>
        <v>5850</v>
      </c>
      <c r="AC100" s="143">
        <v>1</v>
      </c>
      <c r="AD100" s="178">
        <f>K100</f>
        <v>1950</v>
      </c>
      <c r="AE100" s="143">
        <v>3</v>
      </c>
      <c r="AF100" s="20">
        <f>AD100*AC100*AE100</f>
        <v>5850</v>
      </c>
      <c r="AG100" s="20">
        <v>0</v>
      </c>
      <c r="AH100" s="20">
        <f>SUM(AF100:AG100)</f>
        <v>5850</v>
      </c>
      <c r="AI100" s="143">
        <v>1</v>
      </c>
      <c r="AJ100" s="178">
        <f>K100</f>
        <v>1950</v>
      </c>
      <c r="AK100" s="143">
        <v>3</v>
      </c>
      <c r="AL100" s="20">
        <f>AJ100*AI100*AK100</f>
        <v>5850</v>
      </c>
      <c r="AM100" s="20">
        <v>0</v>
      </c>
      <c r="AN100" s="20">
        <f>SUM(AL100:AM100)</f>
        <v>5850</v>
      </c>
      <c r="AO100" s="20">
        <f t="shared" ref="AO100:AP102" si="101">N100+T100+Z100+AF100+AL100</f>
        <v>29250</v>
      </c>
      <c r="AP100" s="20">
        <f t="shared" si="101"/>
        <v>0</v>
      </c>
      <c r="AQ100" s="20">
        <f>SUM(AO100:AP100)</f>
        <v>29250</v>
      </c>
      <c r="AR100" s="147">
        <v>0</v>
      </c>
      <c r="AS100" s="20">
        <v>0</v>
      </c>
      <c r="AT100" s="147">
        <v>0</v>
      </c>
      <c r="AU100" s="20">
        <v>0</v>
      </c>
      <c r="AV100" s="20">
        <f t="shared" ref="AV100:AW104" si="102">AR100+AT100</f>
        <v>0</v>
      </c>
      <c r="AW100" s="20">
        <f t="shared" si="102"/>
        <v>0</v>
      </c>
      <c r="AX100" s="20">
        <f>AV100+AW100</f>
        <v>0</v>
      </c>
      <c r="AY100" s="20">
        <f>AQ100-AX100</f>
        <v>29250</v>
      </c>
      <c r="AZ100" s="147">
        <f>AQ100-AR100-AS100-AT100-AU100</f>
        <v>29250</v>
      </c>
      <c r="BA100" s="15">
        <f>AY100-AZ100</f>
        <v>0</v>
      </c>
      <c r="BB100" s="248"/>
      <c r="BC100" s="147">
        <v>0</v>
      </c>
      <c r="BD100" s="178"/>
      <c r="BE100" s="147">
        <f>BB100*BC100*BD100</f>
        <v>0</v>
      </c>
      <c r="BF100" s="147">
        <v>0</v>
      </c>
      <c r="BG100" s="147">
        <f>SUM(BE100:BF100)</f>
        <v>0</v>
      </c>
      <c r="BH100" s="409" t="s">
        <v>244</v>
      </c>
      <c r="BI100" s="248"/>
      <c r="BJ100" s="157">
        <v>0</v>
      </c>
      <c r="BK100" s="178"/>
      <c r="BL100" s="147">
        <f>BI100*BJ100*BK100</f>
        <v>0</v>
      </c>
      <c r="BM100" s="147">
        <v>0</v>
      </c>
      <c r="BN100" s="229">
        <f>SUM(BL100:BM100)</f>
        <v>0</v>
      </c>
      <c r="BO100" s="435"/>
      <c r="BP100" s="147">
        <v>0</v>
      </c>
      <c r="BQ100" s="178"/>
      <c r="BR100" s="147">
        <f>BO100*BP100*BQ100</f>
        <v>0</v>
      </c>
      <c r="BS100" s="147">
        <v>0</v>
      </c>
      <c r="BT100" s="229">
        <f>SUM(BR100:BS100)</f>
        <v>0</v>
      </c>
      <c r="BU100" s="248"/>
      <c r="BV100" s="147">
        <v>0</v>
      </c>
      <c r="BW100" s="178"/>
      <c r="BX100" s="147">
        <f>BU100*BV100*BW100</f>
        <v>0</v>
      </c>
      <c r="BY100" s="147">
        <v>0</v>
      </c>
      <c r="BZ100" s="229">
        <f>SUM(BX100:BY100)</f>
        <v>0</v>
      </c>
      <c r="CA100" s="228">
        <f t="shared" ref="CA100:CA105" si="103">BR100+BL100+BE100+BX100</f>
        <v>0</v>
      </c>
      <c r="CB100" s="147">
        <f t="shared" ref="CB100:CC102" si="104">BS100+BM100+BF100</f>
        <v>0</v>
      </c>
      <c r="CC100" s="229">
        <f t="shared" si="104"/>
        <v>0</v>
      </c>
      <c r="CD100" s="23"/>
      <c r="CE100" s="20">
        <f t="shared" ref="CE100:CF103" si="105">AV100+CA100</f>
        <v>0</v>
      </c>
      <c r="CF100" s="20">
        <f t="shared" si="105"/>
        <v>0</v>
      </c>
      <c r="CG100" s="15">
        <f t="shared" ref="CG100:CG105" si="106">CE100+CF100</f>
        <v>0</v>
      </c>
      <c r="CH100" s="376">
        <f t="shared" ref="CH100:CJ104" si="107">AO100-CE100</f>
        <v>29250</v>
      </c>
      <c r="CI100" s="377">
        <f t="shared" si="107"/>
        <v>0</v>
      </c>
      <c r="CJ100" s="522">
        <f t="shared" si="107"/>
        <v>29250</v>
      </c>
      <c r="CK100" s="532">
        <f t="shared" si="89"/>
        <v>-29250</v>
      </c>
      <c r="CL100" s="533">
        <f t="shared" si="90"/>
        <v>0</v>
      </c>
      <c r="CM100" s="372"/>
      <c r="CN100" s="372"/>
      <c r="CO100" s="372"/>
      <c r="CP100" s="372"/>
      <c r="CQ100" s="372"/>
      <c r="CR100" s="372"/>
      <c r="CS100" s="372"/>
      <c r="CT100" s="372"/>
      <c r="CU100" s="372"/>
      <c r="CV100" s="372"/>
      <c r="CW100" s="372"/>
      <c r="CX100" s="372"/>
      <c r="CY100" s="372"/>
      <c r="CZ100" s="372"/>
      <c r="DA100" s="372"/>
      <c r="DB100" s="372"/>
      <c r="DC100" s="372"/>
      <c r="DD100" s="372"/>
      <c r="DE100" s="372"/>
      <c r="DF100" s="372"/>
      <c r="DG100" s="372"/>
      <c r="DH100" s="372"/>
      <c r="DI100" s="372"/>
      <c r="DJ100" s="372"/>
      <c r="DK100" s="372"/>
      <c r="DL100" s="372"/>
      <c r="DM100" s="372"/>
      <c r="DN100" s="372"/>
      <c r="DO100" s="372"/>
      <c r="DP100" s="372"/>
      <c r="DQ100" s="372"/>
      <c r="DR100" s="372"/>
      <c r="DS100" s="372"/>
      <c r="DT100" s="372"/>
      <c r="DU100" s="372"/>
      <c r="DV100" s="372">
        <v>-29250</v>
      </c>
      <c r="DW100" s="372"/>
      <c r="DX100" s="372"/>
      <c r="DY100" s="372"/>
      <c r="DZ100" s="372"/>
      <c r="EA100" s="372"/>
      <c r="EB100" s="372"/>
      <c r="EC100" s="372"/>
      <c r="ED100" s="372"/>
      <c r="EE100" s="372"/>
      <c r="EF100" s="372"/>
      <c r="EG100" s="372"/>
      <c r="EH100" s="372"/>
      <c r="EI100" s="372"/>
      <c r="EJ100" s="372"/>
      <c r="EK100" s="372"/>
      <c r="EL100" s="372"/>
      <c r="EM100" s="372"/>
      <c r="EN100" s="372"/>
      <c r="EO100" s="372"/>
      <c r="EP100" s="372"/>
      <c r="EQ100" s="372"/>
      <c r="ER100" s="372"/>
      <c r="ES100" s="372"/>
    </row>
    <row r="101" spans="1:149" s="126" customFormat="1" ht="33" customHeight="1" x14ac:dyDescent="0.45">
      <c r="A101" s="144" t="s">
        <v>445</v>
      </c>
      <c r="B101" s="588">
        <v>89050</v>
      </c>
      <c r="C101" s="144" t="s">
        <v>446</v>
      </c>
      <c r="D101" s="589" t="s">
        <v>456</v>
      </c>
      <c r="E101" s="135">
        <v>91</v>
      </c>
      <c r="F101" s="194" t="s">
        <v>102</v>
      </c>
      <c r="G101" s="156" t="s">
        <v>242</v>
      </c>
      <c r="H101" s="194" t="s">
        <v>243</v>
      </c>
      <c r="I101" s="194" t="s">
        <v>11</v>
      </c>
      <c r="J101" s="143">
        <v>1</v>
      </c>
      <c r="K101" s="178">
        <v>1950</v>
      </c>
      <c r="L101" s="143">
        <v>4</v>
      </c>
      <c r="M101" s="143" t="s">
        <v>194</v>
      </c>
      <c r="N101" s="20">
        <f>K101*J101*L101</f>
        <v>7800</v>
      </c>
      <c r="O101" s="20">
        <v>0</v>
      </c>
      <c r="P101" s="20">
        <f>SUM(N101:O101)</f>
        <v>7800</v>
      </c>
      <c r="Q101" s="143">
        <v>1</v>
      </c>
      <c r="R101" s="178">
        <f>K101</f>
        <v>1950</v>
      </c>
      <c r="S101" s="143">
        <v>4</v>
      </c>
      <c r="T101" s="20">
        <f>R101*Q101*S101</f>
        <v>7800</v>
      </c>
      <c r="U101" s="20">
        <v>0</v>
      </c>
      <c r="V101" s="20">
        <f>SUM(T101:U101)</f>
        <v>7800</v>
      </c>
      <c r="W101" s="143">
        <v>1</v>
      </c>
      <c r="X101" s="178">
        <f>K101</f>
        <v>1950</v>
      </c>
      <c r="Y101" s="143">
        <v>4</v>
      </c>
      <c r="Z101" s="20">
        <f>W101*X101*Y101</f>
        <v>7800</v>
      </c>
      <c r="AA101" s="20">
        <v>0</v>
      </c>
      <c r="AB101" s="20">
        <f>SUM(Z101:AA101)</f>
        <v>7800</v>
      </c>
      <c r="AC101" s="143">
        <v>1</v>
      </c>
      <c r="AD101" s="178">
        <f>K101</f>
        <v>1950</v>
      </c>
      <c r="AE101" s="143">
        <v>4</v>
      </c>
      <c r="AF101" s="20">
        <f>AD101*AC101*AE101</f>
        <v>7800</v>
      </c>
      <c r="AG101" s="20">
        <v>0</v>
      </c>
      <c r="AH101" s="20">
        <f>SUM(AF101:AG101)</f>
        <v>7800</v>
      </c>
      <c r="AI101" s="143">
        <v>1</v>
      </c>
      <c r="AJ101" s="178">
        <f>K101</f>
        <v>1950</v>
      </c>
      <c r="AK101" s="143">
        <v>4</v>
      </c>
      <c r="AL101" s="20">
        <f>AJ101*AI101*AK101</f>
        <v>7800</v>
      </c>
      <c r="AM101" s="20">
        <v>0</v>
      </c>
      <c r="AN101" s="20">
        <f>SUM(AL101:AM101)</f>
        <v>7800</v>
      </c>
      <c r="AO101" s="20">
        <f t="shared" si="101"/>
        <v>39000</v>
      </c>
      <c r="AP101" s="20">
        <f t="shared" si="101"/>
        <v>0</v>
      </c>
      <c r="AQ101" s="20">
        <f>+AO101+AP101</f>
        <v>39000</v>
      </c>
      <c r="AR101" s="147">
        <v>0</v>
      </c>
      <c r="AS101" s="20">
        <v>0</v>
      </c>
      <c r="AT101" s="147">
        <f>7722.31+6192.43+1192.19</f>
        <v>15106.930000000002</v>
      </c>
      <c r="AU101" s="20">
        <v>0</v>
      </c>
      <c r="AV101" s="20">
        <f t="shared" si="102"/>
        <v>15106.930000000002</v>
      </c>
      <c r="AW101" s="20">
        <f t="shared" si="102"/>
        <v>0</v>
      </c>
      <c r="AX101" s="20">
        <f>AV101+AW101</f>
        <v>15106.930000000002</v>
      </c>
      <c r="AY101" s="20">
        <f>AQ101-AX101</f>
        <v>23893.07</v>
      </c>
      <c r="AZ101" s="147">
        <f>AQ101-AR101-AS101-AT101-AU101</f>
        <v>23893.07</v>
      </c>
      <c r="BA101" s="15">
        <f>AY101-AZ101</f>
        <v>0</v>
      </c>
      <c r="BB101" s="248"/>
      <c r="BC101" s="147">
        <v>0</v>
      </c>
      <c r="BD101" s="178"/>
      <c r="BE101" s="147">
        <f>BB101*BC101*BD101</f>
        <v>0</v>
      </c>
      <c r="BF101" s="147">
        <v>0</v>
      </c>
      <c r="BG101" s="147">
        <f>SUM(BE101:BF101)</f>
        <v>0</v>
      </c>
      <c r="BH101" s="409" t="s">
        <v>245</v>
      </c>
      <c r="BI101" s="248"/>
      <c r="BJ101" s="157">
        <v>0</v>
      </c>
      <c r="BK101" s="178"/>
      <c r="BL101" s="147">
        <f>BI101*BJ101*BK101</f>
        <v>0</v>
      </c>
      <c r="BM101" s="147">
        <v>0</v>
      </c>
      <c r="BN101" s="229">
        <f>SUM(BL101:BM101)</f>
        <v>0</v>
      </c>
      <c r="BO101" s="435"/>
      <c r="BP101" s="147">
        <v>0</v>
      </c>
      <c r="BQ101" s="178"/>
      <c r="BR101" s="147">
        <f>BO101*BP101*BQ101</f>
        <v>0</v>
      </c>
      <c r="BS101" s="147">
        <v>0</v>
      </c>
      <c r="BT101" s="229">
        <f>SUM(BR101:BS101)</f>
        <v>0</v>
      </c>
      <c r="BU101" s="248"/>
      <c r="BV101" s="147">
        <v>0</v>
      </c>
      <c r="BW101" s="178"/>
      <c r="BX101" s="147">
        <f>BU101*BV101*BW101</f>
        <v>0</v>
      </c>
      <c r="BY101" s="147">
        <v>0</v>
      </c>
      <c r="BZ101" s="229">
        <f>SUM(BX101:BY101)</f>
        <v>0</v>
      </c>
      <c r="CA101" s="228">
        <f t="shared" si="103"/>
        <v>0</v>
      </c>
      <c r="CB101" s="147">
        <f t="shared" si="104"/>
        <v>0</v>
      </c>
      <c r="CC101" s="229">
        <f t="shared" si="104"/>
        <v>0</v>
      </c>
      <c r="CD101" s="23"/>
      <c r="CE101" s="20">
        <f t="shared" si="105"/>
        <v>15106.930000000002</v>
      </c>
      <c r="CF101" s="20">
        <f t="shared" si="105"/>
        <v>0</v>
      </c>
      <c r="CG101" s="15">
        <f t="shared" si="106"/>
        <v>15106.930000000002</v>
      </c>
      <c r="CH101" s="376">
        <f t="shared" si="107"/>
        <v>23893.07</v>
      </c>
      <c r="CI101" s="377">
        <f t="shared" si="107"/>
        <v>0</v>
      </c>
      <c r="CJ101" s="522">
        <f t="shared" si="107"/>
        <v>23893.07</v>
      </c>
      <c r="CK101" s="532">
        <f t="shared" si="89"/>
        <v>-23893</v>
      </c>
      <c r="CL101" s="533">
        <f t="shared" si="90"/>
        <v>6.9999999999708962E-2</v>
      </c>
      <c r="CM101" s="372"/>
      <c r="CN101" s="372"/>
      <c r="CO101" s="372"/>
      <c r="CP101" s="372"/>
      <c r="CQ101" s="372"/>
      <c r="CR101" s="372"/>
      <c r="CS101" s="372"/>
      <c r="CT101" s="372"/>
      <c r="CU101" s="372"/>
      <c r="CV101" s="372"/>
      <c r="CW101" s="372"/>
      <c r="CX101" s="372"/>
      <c r="CY101" s="372"/>
      <c r="CZ101" s="372"/>
      <c r="DA101" s="372"/>
      <c r="DB101" s="372"/>
      <c r="DC101" s="372"/>
      <c r="DD101" s="372"/>
      <c r="DE101" s="372"/>
      <c r="DF101" s="372"/>
      <c r="DG101" s="372"/>
      <c r="DH101" s="372"/>
      <c r="DI101" s="372"/>
      <c r="DJ101" s="372"/>
      <c r="DK101" s="372"/>
      <c r="DL101" s="372"/>
      <c r="DM101" s="372"/>
      <c r="DN101" s="372"/>
      <c r="DO101" s="372"/>
      <c r="DP101" s="372"/>
      <c r="DQ101" s="372"/>
      <c r="DR101" s="372"/>
      <c r="DS101" s="372"/>
      <c r="DT101" s="372"/>
      <c r="DU101" s="372"/>
      <c r="DV101" s="372"/>
      <c r="DW101" s="372">
        <v>-23893</v>
      </c>
      <c r="DX101" s="372"/>
      <c r="DY101" s="372"/>
      <c r="DZ101" s="372"/>
      <c r="EA101" s="372"/>
      <c r="EB101" s="372"/>
      <c r="EC101" s="372"/>
      <c r="ED101" s="372"/>
      <c r="EE101" s="372"/>
      <c r="EF101" s="372"/>
      <c r="EG101" s="372"/>
      <c r="EH101" s="372"/>
      <c r="EI101" s="372"/>
      <c r="EJ101" s="372"/>
      <c r="EK101" s="372"/>
      <c r="EL101" s="372"/>
      <c r="EM101" s="372"/>
      <c r="EN101" s="372"/>
      <c r="EO101" s="372"/>
      <c r="EP101" s="372"/>
      <c r="EQ101" s="372"/>
      <c r="ER101" s="372"/>
      <c r="ES101" s="372"/>
    </row>
    <row r="102" spans="1:149" s="126" customFormat="1" ht="33" hidden="1" customHeight="1" x14ac:dyDescent="0.45">
      <c r="A102" s="194"/>
      <c r="B102" s="194"/>
      <c r="C102" s="194"/>
      <c r="D102" s="194"/>
      <c r="E102" s="135">
        <v>92</v>
      </c>
      <c r="F102" s="194" t="s">
        <v>103</v>
      </c>
      <c r="G102" s="156" t="s">
        <v>242</v>
      </c>
      <c r="H102" s="194" t="s">
        <v>243</v>
      </c>
      <c r="I102" s="194" t="s">
        <v>11</v>
      </c>
      <c r="J102" s="143">
        <v>1</v>
      </c>
      <c r="K102" s="178">
        <v>25000</v>
      </c>
      <c r="L102" s="143">
        <v>1</v>
      </c>
      <c r="M102" s="143" t="s">
        <v>221</v>
      </c>
      <c r="N102" s="20">
        <f>K102*J102*L102</f>
        <v>25000</v>
      </c>
      <c r="O102" s="20">
        <v>0</v>
      </c>
      <c r="P102" s="20">
        <f>SUM(N102:O102)</f>
        <v>25000</v>
      </c>
      <c r="Q102" s="143">
        <v>1</v>
      </c>
      <c r="R102" s="178">
        <v>25000</v>
      </c>
      <c r="S102" s="143">
        <v>1</v>
      </c>
      <c r="T102" s="20">
        <f>R102*Q102*S102</f>
        <v>25000</v>
      </c>
      <c r="U102" s="20">
        <v>0</v>
      </c>
      <c r="V102" s="20">
        <f>SUM(T102:U102)</f>
        <v>25000</v>
      </c>
      <c r="W102" s="143">
        <v>0</v>
      </c>
      <c r="X102" s="178">
        <v>25000</v>
      </c>
      <c r="Y102" s="143">
        <v>0</v>
      </c>
      <c r="Z102" s="20">
        <f>W102*X102*Y102</f>
        <v>0</v>
      </c>
      <c r="AA102" s="20">
        <v>0</v>
      </c>
      <c r="AB102" s="20">
        <f>SUM(Z102:AA102)</f>
        <v>0</v>
      </c>
      <c r="AC102" s="143">
        <v>0</v>
      </c>
      <c r="AD102" s="178">
        <v>25000</v>
      </c>
      <c r="AE102" s="143">
        <v>0</v>
      </c>
      <c r="AF102" s="20">
        <f>AD102*AC102*AE102</f>
        <v>0</v>
      </c>
      <c r="AG102" s="20">
        <v>0</v>
      </c>
      <c r="AH102" s="20">
        <f>SUM(AF102:AG102)</f>
        <v>0</v>
      </c>
      <c r="AI102" s="143">
        <v>0</v>
      </c>
      <c r="AJ102" s="178">
        <v>25000</v>
      </c>
      <c r="AK102" s="143">
        <v>0</v>
      </c>
      <c r="AL102" s="20">
        <f>AJ102*AI102*AK102</f>
        <v>0</v>
      </c>
      <c r="AM102" s="20">
        <v>0</v>
      </c>
      <c r="AN102" s="20">
        <f>SUM(AL102:AM102)</f>
        <v>0</v>
      </c>
      <c r="AO102" s="20">
        <f t="shared" si="101"/>
        <v>50000</v>
      </c>
      <c r="AP102" s="20">
        <f t="shared" si="101"/>
        <v>0</v>
      </c>
      <c r="AQ102" s="20">
        <f>+AO102+AP102</f>
        <v>50000</v>
      </c>
      <c r="AR102" s="147">
        <v>0</v>
      </c>
      <c r="AS102" s="20">
        <v>0</v>
      </c>
      <c r="AT102" s="147">
        <v>0</v>
      </c>
      <c r="AU102" s="20">
        <v>0</v>
      </c>
      <c r="AV102" s="20">
        <f t="shared" si="102"/>
        <v>0</v>
      </c>
      <c r="AW102" s="20">
        <f t="shared" si="102"/>
        <v>0</v>
      </c>
      <c r="AX102" s="20">
        <f>AV102+AW102</f>
        <v>0</v>
      </c>
      <c r="AY102" s="20">
        <f>AQ102-AX102</f>
        <v>50000</v>
      </c>
      <c r="AZ102" s="147">
        <f>AQ102-AR102-AS102-AT102-AU102</f>
        <v>50000</v>
      </c>
      <c r="BA102" s="15">
        <f>AY102-AZ102</f>
        <v>0</v>
      </c>
      <c r="BB102" s="248"/>
      <c r="BC102" s="147">
        <v>0</v>
      </c>
      <c r="BD102" s="178"/>
      <c r="BE102" s="147">
        <f>BB102*BC102*BD102</f>
        <v>0</v>
      </c>
      <c r="BF102" s="147">
        <v>0</v>
      </c>
      <c r="BG102" s="147">
        <f>SUM(BE102:BF102)</f>
        <v>0</v>
      </c>
      <c r="BH102" s="409" t="s">
        <v>246</v>
      </c>
      <c r="BI102" s="248"/>
      <c r="BJ102" s="157">
        <v>0</v>
      </c>
      <c r="BK102" s="178"/>
      <c r="BL102" s="147">
        <f>BI102*BJ102*BK102</f>
        <v>0</v>
      </c>
      <c r="BM102" s="147">
        <v>0</v>
      </c>
      <c r="BN102" s="229">
        <f>SUM(BL102:BM102)</f>
        <v>0</v>
      </c>
      <c r="BO102" s="435"/>
      <c r="BP102" s="147">
        <v>0</v>
      </c>
      <c r="BQ102" s="178"/>
      <c r="BR102" s="147">
        <f>BO102*BP102*BQ102</f>
        <v>0</v>
      </c>
      <c r="BS102" s="147">
        <v>0</v>
      </c>
      <c r="BT102" s="229">
        <f>SUM(BR102:BS102)</f>
        <v>0</v>
      </c>
      <c r="BU102" s="248"/>
      <c r="BV102" s="147">
        <v>0</v>
      </c>
      <c r="BW102" s="178"/>
      <c r="BX102" s="147">
        <f>BU102*BV102*BW102</f>
        <v>0</v>
      </c>
      <c r="BY102" s="147">
        <v>0</v>
      </c>
      <c r="BZ102" s="229">
        <f>SUM(BX102:BY102)</f>
        <v>0</v>
      </c>
      <c r="CA102" s="228">
        <f t="shared" si="103"/>
        <v>0</v>
      </c>
      <c r="CB102" s="147">
        <f t="shared" si="104"/>
        <v>0</v>
      </c>
      <c r="CC102" s="229">
        <f t="shared" si="104"/>
        <v>0</v>
      </c>
      <c r="CD102" s="23"/>
      <c r="CE102" s="20">
        <f t="shared" si="105"/>
        <v>0</v>
      </c>
      <c r="CF102" s="20">
        <f t="shared" si="105"/>
        <v>0</v>
      </c>
      <c r="CG102" s="15">
        <f t="shared" si="106"/>
        <v>0</v>
      </c>
      <c r="CH102" s="376">
        <f t="shared" si="107"/>
        <v>50000</v>
      </c>
      <c r="CI102" s="377">
        <f t="shared" si="107"/>
        <v>0</v>
      </c>
      <c r="CJ102" s="522">
        <f t="shared" si="107"/>
        <v>50000</v>
      </c>
      <c r="CK102" s="532">
        <f t="shared" si="89"/>
        <v>-50000</v>
      </c>
      <c r="CL102" s="533">
        <f t="shared" si="90"/>
        <v>0</v>
      </c>
      <c r="CM102" s="372"/>
      <c r="CN102" s="372"/>
      <c r="CO102" s="372"/>
      <c r="CP102" s="372"/>
      <c r="CQ102" s="372"/>
      <c r="CR102" s="372"/>
      <c r="CS102" s="372"/>
      <c r="CT102" s="372"/>
      <c r="CU102" s="372"/>
      <c r="CV102" s="372"/>
      <c r="CW102" s="372"/>
      <c r="CX102" s="372"/>
      <c r="CY102" s="372"/>
      <c r="CZ102" s="372"/>
      <c r="DA102" s="372"/>
      <c r="DB102" s="372"/>
      <c r="DC102" s="372"/>
      <c r="DD102" s="372"/>
      <c r="DE102" s="372"/>
      <c r="DF102" s="372"/>
      <c r="DG102" s="372"/>
      <c r="DH102" s="372"/>
      <c r="DI102" s="372"/>
      <c r="DJ102" s="372"/>
      <c r="DK102" s="372"/>
      <c r="DL102" s="372"/>
      <c r="DM102" s="372"/>
      <c r="DN102" s="372"/>
      <c r="DO102" s="372"/>
      <c r="DP102" s="372"/>
      <c r="DQ102" s="372"/>
      <c r="DR102" s="372"/>
      <c r="DS102" s="372"/>
      <c r="DT102" s="372"/>
      <c r="DU102" s="372"/>
      <c r="DV102" s="372"/>
      <c r="DW102" s="372"/>
      <c r="DX102" s="372">
        <v>-50000</v>
      </c>
      <c r="DY102" s="372"/>
      <c r="DZ102" s="372"/>
      <c r="EA102" s="372"/>
      <c r="EB102" s="372"/>
      <c r="EC102" s="372"/>
      <c r="ED102" s="372"/>
      <c r="EE102" s="372"/>
      <c r="EF102" s="372"/>
      <c r="EG102" s="372"/>
      <c r="EH102" s="372"/>
      <c r="EI102" s="372"/>
      <c r="EJ102" s="372"/>
      <c r="EK102" s="372"/>
      <c r="EL102" s="372"/>
      <c r="EM102" s="372"/>
      <c r="EN102" s="372"/>
      <c r="EO102" s="372"/>
      <c r="EP102" s="372"/>
      <c r="EQ102" s="372"/>
      <c r="ER102" s="372"/>
      <c r="ES102" s="372"/>
    </row>
    <row r="103" spans="1:149" s="126" customFormat="1" ht="25.5" customHeight="1" x14ac:dyDescent="0.45">
      <c r="A103" s="590" t="s">
        <v>445</v>
      </c>
      <c r="B103" s="591">
        <v>89050</v>
      </c>
      <c r="C103" s="590" t="s">
        <v>446</v>
      </c>
      <c r="D103" s="592" t="s">
        <v>458</v>
      </c>
      <c r="E103" s="135">
        <v>93</v>
      </c>
      <c r="F103" s="174" t="s">
        <v>247</v>
      </c>
      <c r="G103" s="175" t="s">
        <v>242</v>
      </c>
      <c r="H103" s="174" t="s">
        <v>243</v>
      </c>
      <c r="I103" s="174" t="s">
        <v>11</v>
      </c>
      <c r="J103" s="143"/>
      <c r="K103" s="178"/>
      <c r="L103" s="143"/>
      <c r="M103" s="143" t="s">
        <v>221</v>
      </c>
      <c r="N103" s="20"/>
      <c r="O103" s="20"/>
      <c r="P103" s="20"/>
      <c r="Q103" s="143"/>
      <c r="R103" s="178"/>
      <c r="S103" s="143"/>
      <c r="T103" s="20"/>
      <c r="U103" s="20"/>
      <c r="V103" s="20"/>
      <c r="W103" s="143"/>
      <c r="X103" s="178"/>
      <c r="Y103" s="143"/>
      <c r="Z103" s="20"/>
      <c r="AA103" s="20"/>
      <c r="AB103" s="20"/>
      <c r="AC103" s="143"/>
      <c r="AD103" s="178"/>
      <c r="AE103" s="143"/>
      <c r="AF103" s="20"/>
      <c r="AG103" s="20"/>
      <c r="AH103" s="20"/>
      <c r="AI103" s="143"/>
      <c r="AJ103" s="178"/>
      <c r="AK103" s="143"/>
      <c r="AL103" s="20"/>
      <c r="AM103" s="20"/>
      <c r="AN103" s="20"/>
      <c r="AO103" s="20"/>
      <c r="AP103" s="20"/>
      <c r="AQ103" s="20"/>
      <c r="AR103" s="20">
        <v>0</v>
      </c>
      <c r="AS103" s="20">
        <v>0</v>
      </c>
      <c r="AT103" s="20">
        <v>0</v>
      </c>
      <c r="AU103" s="20">
        <v>0</v>
      </c>
      <c r="AV103" s="20">
        <f t="shared" si="102"/>
        <v>0</v>
      </c>
      <c r="AW103" s="20">
        <f t="shared" si="102"/>
        <v>0</v>
      </c>
      <c r="AX103" s="20">
        <f>AV103+AW103</f>
        <v>0</v>
      </c>
      <c r="AY103" s="20">
        <f>AQ103-AX103</f>
        <v>0</v>
      </c>
      <c r="AZ103" s="147">
        <f>AQ103-AR103-AS103-AT103-AU103</f>
        <v>0</v>
      </c>
      <c r="BA103" s="15">
        <f>AY103-AZ103</f>
        <v>0</v>
      </c>
      <c r="BB103" s="248">
        <v>1</v>
      </c>
      <c r="BC103" s="147">
        <v>6795.1</v>
      </c>
      <c r="BD103" s="178"/>
      <c r="BE103" s="147">
        <f>BC103</f>
        <v>6795.1</v>
      </c>
      <c r="BF103" s="147">
        <v>0</v>
      </c>
      <c r="BG103" s="147">
        <f>SUM(BE103:BF103)</f>
        <v>6795.1</v>
      </c>
      <c r="BH103" s="413" t="s">
        <v>248</v>
      </c>
      <c r="BI103" s="248"/>
      <c r="BJ103" s="157">
        <v>0</v>
      </c>
      <c r="BK103" s="178"/>
      <c r="BL103" s="147">
        <f>BJ103</f>
        <v>0</v>
      </c>
      <c r="BM103" s="147">
        <v>0</v>
      </c>
      <c r="BN103" s="229">
        <f>SUM(BL103:BM103)</f>
        <v>0</v>
      </c>
      <c r="BO103" s="435"/>
      <c r="BP103" s="147">
        <v>4350</v>
      </c>
      <c r="BQ103" s="178"/>
      <c r="BR103" s="147">
        <f>BP103</f>
        <v>4350</v>
      </c>
      <c r="BS103" s="147">
        <v>0</v>
      </c>
      <c r="BT103" s="229">
        <f>BS103+BR103</f>
        <v>4350</v>
      </c>
      <c r="BU103" s="248"/>
      <c r="BV103" s="147">
        <v>7662.41</v>
      </c>
      <c r="BW103" s="178"/>
      <c r="BX103" s="147">
        <f>BV103</f>
        <v>7662.41</v>
      </c>
      <c r="BY103" s="147">
        <v>0</v>
      </c>
      <c r="BZ103" s="229">
        <f>SUM(BX103:BY103)</f>
        <v>7662.41</v>
      </c>
      <c r="CA103" s="228">
        <f t="shared" si="103"/>
        <v>18807.510000000002</v>
      </c>
      <c r="CB103" s="147">
        <f>BS103+BM103+BF103</f>
        <v>0</v>
      </c>
      <c r="CC103" s="229">
        <f>BZ103+BT103+BN103+BG103</f>
        <v>18807.510000000002</v>
      </c>
      <c r="CD103" s="23"/>
      <c r="CE103" s="20">
        <f t="shared" si="105"/>
        <v>18807.510000000002</v>
      </c>
      <c r="CF103" s="20">
        <f t="shared" si="105"/>
        <v>0</v>
      </c>
      <c r="CG103" s="15">
        <f t="shared" si="106"/>
        <v>18807.510000000002</v>
      </c>
      <c r="CH103" s="314">
        <f t="shared" si="107"/>
        <v>-18807.510000000002</v>
      </c>
      <c r="CI103" s="310">
        <f t="shared" si="107"/>
        <v>0</v>
      </c>
      <c r="CJ103" s="521">
        <f t="shared" si="107"/>
        <v>-18807.510000000002</v>
      </c>
      <c r="CK103" s="530">
        <f t="shared" si="89"/>
        <v>18808</v>
      </c>
      <c r="CL103" s="531">
        <f t="shared" si="90"/>
        <v>0.48999999999796273</v>
      </c>
      <c r="CM103" s="372"/>
      <c r="CN103" s="368"/>
      <c r="CO103" s="368"/>
      <c r="CP103" s="368"/>
      <c r="CQ103" s="368"/>
      <c r="CR103" s="368"/>
      <c r="CS103" s="368"/>
      <c r="CT103" s="368"/>
      <c r="CU103" s="368"/>
      <c r="CV103" s="368"/>
      <c r="CW103" s="368"/>
      <c r="CX103" s="368"/>
      <c r="CY103" s="368"/>
      <c r="CZ103" s="372"/>
      <c r="DA103" s="372"/>
      <c r="DB103" s="372"/>
      <c r="DC103" s="372"/>
      <c r="DD103" s="372"/>
      <c r="DE103" s="372"/>
      <c r="DF103" s="372"/>
      <c r="DG103" s="372"/>
      <c r="DH103" s="372"/>
      <c r="DI103" s="372"/>
      <c r="DJ103" s="372"/>
      <c r="DK103" s="372"/>
      <c r="DL103" s="372"/>
      <c r="DM103" s="372"/>
      <c r="DN103" s="372"/>
      <c r="DO103" s="372"/>
      <c r="DP103" s="372"/>
      <c r="DQ103" s="372"/>
      <c r="DR103" s="372"/>
      <c r="DS103" s="372"/>
      <c r="DT103" s="372"/>
      <c r="DU103" s="372"/>
      <c r="DV103" s="372"/>
      <c r="DW103" s="372">
        <v>18808</v>
      </c>
      <c r="DY103" s="372"/>
      <c r="DZ103" s="372"/>
      <c r="EA103" s="372"/>
      <c r="EB103" s="372"/>
      <c r="EC103" s="372"/>
      <c r="ED103" s="372"/>
      <c r="EE103" s="372"/>
      <c r="EF103" s="372"/>
      <c r="EG103" s="372"/>
      <c r="EH103" s="372"/>
      <c r="EI103" s="372"/>
      <c r="EJ103" s="372"/>
      <c r="EK103" s="372"/>
      <c r="EL103" s="372"/>
      <c r="EM103" s="372"/>
      <c r="EN103" s="372"/>
      <c r="EO103" s="372"/>
      <c r="EP103" s="372"/>
      <c r="EQ103" s="372"/>
      <c r="ER103" s="372"/>
      <c r="ES103" s="372"/>
    </row>
    <row r="104" spans="1:149" s="126" customFormat="1" ht="19.5" customHeight="1" x14ac:dyDescent="0.45">
      <c r="A104" s="590" t="s">
        <v>445</v>
      </c>
      <c r="B104" s="591">
        <v>89050</v>
      </c>
      <c r="C104" s="590" t="s">
        <v>446</v>
      </c>
      <c r="D104" s="592" t="s">
        <v>457</v>
      </c>
      <c r="E104" s="143">
        <v>94</v>
      </c>
      <c r="F104" s="174" t="s">
        <v>249</v>
      </c>
      <c r="G104" s="175" t="s">
        <v>242</v>
      </c>
      <c r="H104" s="174" t="s">
        <v>243</v>
      </c>
      <c r="I104" s="174" t="s">
        <v>11</v>
      </c>
      <c r="J104" s="143"/>
      <c r="K104" s="178"/>
      <c r="L104" s="143"/>
      <c r="M104" s="143"/>
      <c r="N104" s="20"/>
      <c r="O104" s="20"/>
      <c r="P104" s="20"/>
      <c r="Q104" s="143"/>
      <c r="R104" s="178"/>
      <c r="S104" s="143"/>
      <c r="T104" s="20"/>
      <c r="U104" s="20"/>
      <c r="V104" s="20"/>
      <c r="W104" s="143"/>
      <c r="X104" s="178"/>
      <c r="Y104" s="143"/>
      <c r="Z104" s="20"/>
      <c r="AA104" s="20"/>
      <c r="AB104" s="20"/>
      <c r="AC104" s="143"/>
      <c r="AD104" s="178"/>
      <c r="AE104" s="143"/>
      <c r="AF104" s="20"/>
      <c r="AG104" s="20"/>
      <c r="AH104" s="20"/>
      <c r="AI104" s="143"/>
      <c r="AJ104" s="178"/>
      <c r="AK104" s="143"/>
      <c r="AL104" s="20"/>
      <c r="AM104" s="20"/>
      <c r="AN104" s="20"/>
      <c r="AO104" s="20"/>
      <c r="AP104" s="20"/>
      <c r="AQ104" s="20"/>
      <c r="AR104" s="20">
        <v>0</v>
      </c>
      <c r="AS104" s="20">
        <v>0</v>
      </c>
      <c r="AT104" s="20">
        <v>0</v>
      </c>
      <c r="AU104" s="20">
        <v>0</v>
      </c>
      <c r="AV104" s="20">
        <f t="shared" si="102"/>
        <v>0</v>
      </c>
      <c r="AW104" s="20">
        <f t="shared" si="102"/>
        <v>0</v>
      </c>
      <c r="AX104" s="20">
        <f>AV104+AW104</f>
        <v>0</v>
      </c>
      <c r="AY104" s="20">
        <f>AQ104-AX104</f>
        <v>0</v>
      </c>
      <c r="AZ104" s="147">
        <f>AQ104-AR104-AS104-AT104-AU104</f>
        <v>0</v>
      </c>
      <c r="BA104" s="15">
        <f>AY104-AZ104</f>
        <v>0</v>
      </c>
      <c r="BB104" s="248"/>
      <c r="BC104" s="147">
        <v>3015</v>
      </c>
      <c r="BD104" s="178"/>
      <c r="BE104" s="147">
        <f>BC104</f>
        <v>3015</v>
      </c>
      <c r="BF104" s="147">
        <v>0</v>
      </c>
      <c r="BG104" s="147">
        <f>SUM(BE104:BF104)</f>
        <v>3015</v>
      </c>
      <c r="BH104" s="413"/>
      <c r="BI104" s="248"/>
      <c r="BJ104" s="157">
        <v>0</v>
      </c>
      <c r="BK104" s="178"/>
      <c r="BL104" s="147">
        <v>0</v>
      </c>
      <c r="BM104" s="147">
        <v>0</v>
      </c>
      <c r="BN104" s="229">
        <f>SUM(BL104:BM104)</f>
        <v>0</v>
      </c>
      <c r="BO104" s="435"/>
      <c r="BP104" s="147">
        <v>0</v>
      </c>
      <c r="BQ104" s="178"/>
      <c r="BR104" s="147">
        <f>BP104</f>
        <v>0</v>
      </c>
      <c r="BS104" s="147">
        <v>0</v>
      </c>
      <c r="BT104" s="229">
        <f>BS104+BR104</f>
        <v>0</v>
      </c>
      <c r="BU104" s="248"/>
      <c r="BV104" s="147">
        <v>0</v>
      </c>
      <c r="BW104" s="178"/>
      <c r="BX104" s="147">
        <f>BV104</f>
        <v>0</v>
      </c>
      <c r="BY104" s="147">
        <v>0</v>
      </c>
      <c r="BZ104" s="229">
        <f>SUM(BX104:BY104)</f>
        <v>0</v>
      </c>
      <c r="CA104" s="228">
        <f t="shared" si="103"/>
        <v>3015</v>
      </c>
      <c r="CB104" s="147">
        <f>BS104+BM104+BF104</f>
        <v>0</v>
      </c>
      <c r="CC104" s="229">
        <f>BZ104+BT104+BN104+BG104</f>
        <v>3015</v>
      </c>
      <c r="CD104" s="23"/>
      <c r="CE104" s="20">
        <f>AV104+CA104</f>
        <v>3015</v>
      </c>
      <c r="CF104" s="20">
        <v>0</v>
      </c>
      <c r="CG104" s="15">
        <f t="shared" si="106"/>
        <v>3015</v>
      </c>
      <c r="CH104" s="314">
        <f t="shared" si="107"/>
        <v>-3015</v>
      </c>
      <c r="CI104" s="310">
        <f t="shared" si="107"/>
        <v>0</v>
      </c>
      <c r="CJ104" s="521">
        <f t="shared" si="107"/>
        <v>-3015</v>
      </c>
      <c r="CK104" s="530">
        <f t="shared" si="89"/>
        <v>3015</v>
      </c>
      <c r="CL104" s="531">
        <f t="shared" si="90"/>
        <v>0</v>
      </c>
      <c r="CM104" s="368"/>
      <c r="CN104" s="368"/>
      <c r="CO104" s="368"/>
      <c r="CP104" s="368"/>
      <c r="CQ104" s="368"/>
      <c r="CR104" s="368"/>
      <c r="CS104" s="368"/>
      <c r="CT104" s="368"/>
      <c r="CU104" s="368"/>
      <c r="CV104" s="368"/>
      <c r="CW104" s="368"/>
      <c r="CX104" s="368"/>
      <c r="CY104" s="368"/>
      <c r="CZ104" s="368"/>
      <c r="DA104" s="368"/>
      <c r="DB104" s="368"/>
      <c r="DC104" s="368"/>
      <c r="DD104" s="368"/>
      <c r="DE104" s="368"/>
      <c r="DF104" s="368"/>
      <c r="DG104" s="368"/>
      <c r="DH104" s="368"/>
      <c r="DI104" s="368"/>
      <c r="DJ104" s="368"/>
      <c r="DK104" s="368"/>
      <c r="DL104" s="368"/>
      <c r="DM104" s="368"/>
      <c r="DN104" s="368"/>
      <c r="DO104" s="368"/>
      <c r="DP104" s="368"/>
      <c r="DQ104" s="368"/>
      <c r="DR104" s="368"/>
      <c r="DS104" s="368"/>
      <c r="DT104" s="368"/>
      <c r="DU104" s="368"/>
      <c r="DV104" s="368"/>
      <c r="DW104" s="368">
        <v>3015</v>
      </c>
      <c r="DY104" s="368"/>
      <c r="DZ104" s="368"/>
      <c r="EA104" s="368"/>
      <c r="EB104" s="368"/>
      <c r="EC104" s="368"/>
      <c r="ED104" s="368"/>
      <c r="EE104" s="368"/>
      <c r="EF104" s="368"/>
      <c r="EG104" s="368"/>
      <c r="EH104" s="368"/>
      <c r="EI104" s="368"/>
      <c r="EJ104" s="368"/>
      <c r="EK104" s="368"/>
      <c r="EL104" s="368"/>
      <c r="EM104" s="368"/>
      <c r="EN104" s="368"/>
      <c r="EO104" s="368"/>
      <c r="EP104" s="368"/>
      <c r="EQ104" s="368"/>
      <c r="ER104" s="368"/>
      <c r="ES104" s="368"/>
    </row>
    <row r="105" spans="1:149" s="128" customFormat="1" ht="19.5" customHeight="1" x14ac:dyDescent="0.45">
      <c r="A105" s="161"/>
      <c r="B105" s="161"/>
      <c r="C105" s="161"/>
      <c r="D105" s="161"/>
      <c r="E105" s="143">
        <v>95</v>
      </c>
      <c r="F105" s="161" t="s">
        <v>250</v>
      </c>
      <c r="G105" s="161"/>
      <c r="H105" s="161"/>
      <c r="I105" s="161"/>
      <c r="J105" s="179"/>
      <c r="K105" s="160"/>
      <c r="L105" s="179"/>
      <c r="M105" s="160"/>
      <c r="N105" s="162">
        <f>SUM(N100:N102)</f>
        <v>38650</v>
      </c>
      <c r="O105" s="162">
        <f>SUM(O100:O102)</f>
        <v>0</v>
      </c>
      <c r="P105" s="162">
        <f>SUM(P100:P102)</f>
        <v>38650</v>
      </c>
      <c r="Q105" s="179"/>
      <c r="R105" s="162"/>
      <c r="S105" s="160"/>
      <c r="T105" s="162">
        <f>SUM(T100:T102)</f>
        <v>38650</v>
      </c>
      <c r="U105" s="162">
        <f>SUM(U100:U102)</f>
        <v>0</v>
      </c>
      <c r="V105" s="162">
        <f>SUM(V100:V102)</f>
        <v>38650</v>
      </c>
      <c r="W105" s="179"/>
      <c r="X105" s="160"/>
      <c r="Y105" s="160"/>
      <c r="Z105" s="162">
        <f>SUM(Z100:Z102)</f>
        <v>13650</v>
      </c>
      <c r="AA105" s="162">
        <f>SUM(AA100:AA102)</f>
        <v>0</v>
      </c>
      <c r="AB105" s="162">
        <f>SUM(AB100:AB102)</f>
        <v>13650</v>
      </c>
      <c r="AC105" s="179"/>
      <c r="AD105" s="160"/>
      <c r="AE105" s="160"/>
      <c r="AF105" s="162">
        <f>SUM(AF100:AF102)</f>
        <v>13650</v>
      </c>
      <c r="AG105" s="162">
        <f>SUM(AG100:AG102)</f>
        <v>0</v>
      </c>
      <c r="AH105" s="162">
        <f>SUM(AH100:AH102)</f>
        <v>13650</v>
      </c>
      <c r="AI105" s="179"/>
      <c r="AJ105" s="160"/>
      <c r="AK105" s="160"/>
      <c r="AL105" s="162">
        <f t="shared" ref="AL105:AZ105" si="108">SUM(AL100:AL102)</f>
        <v>13650</v>
      </c>
      <c r="AM105" s="162">
        <f t="shared" si="108"/>
        <v>0</v>
      </c>
      <c r="AN105" s="162">
        <f t="shared" si="108"/>
        <v>13650</v>
      </c>
      <c r="AO105" s="162">
        <f t="shared" si="108"/>
        <v>118250</v>
      </c>
      <c r="AP105" s="162">
        <f t="shared" si="108"/>
        <v>0</v>
      </c>
      <c r="AQ105" s="162">
        <f t="shared" si="108"/>
        <v>118250</v>
      </c>
      <c r="AR105" s="162">
        <f t="shared" si="108"/>
        <v>0</v>
      </c>
      <c r="AS105" s="162">
        <f t="shared" si="108"/>
        <v>0</v>
      </c>
      <c r="AT105" s="162">
        <f t="shared" si="108"/>
        <v>15106.930000000002</v>
      </c>
      <c r="AU105" s="162">
        <f t="shared" si="108"/>
        <v>0</v>
      </c>
      <c r="AV105" s="162">
        <f t="shared" si="108"/>
        <v>15106.930000000002</v>
      </c>
      <c r="AW105" s="162">
        <f t="shared" si="108"/>
        <v>0</v>
      </c>
      <c r="AX105" s="162">
        <f t="shared" si="108"/>
        <v>15106.930000000002</v>
      </c>
      <c r="AY105" s="162">
        <f t="shared" si="108"/>
        <v>103143.07</v>
      </c>
      <c r="AZ105" s="162">
        <f t="shared" si="108"/>
        <v>103143.07</v>
      </c>
      <c r="BA105" s="235"/>
      <c r="BB105" s="254"/>
      <c r="BC105" s="163">
        <f>SUM(BC100:BC104)</f>
        <v>9810.1</v>
      </c>
      <c r="BD105" s="179"/>
      <c r="BE105" s="163">
        <f>SUM(BE100:BE104)</f>
        <v>9810.1</v>
      </c>
      <c r="BF105" s="163">
        <f>SUM(BF100:BF104)</f>
        <v>0</v>
      </c>
      <c r="BG105" s="163">
        <f>SUM(BG100:BG103)</f>
        <v>6795.1</v>
      </c>
      <c r="BH105" s="408"/>
      <c r="BI105" s="254"/>
      <c r="BJ105" s="163">
        <f>SUM(BJ100:BJ104)</f>
        <v>0</v>
      </c>
      <c r="BK105" s="179"/>
      <c r="BL105" s="163">
        <f>SUM(BL100:BL104)</f>
        <v>0</v>
      </c>
      <c r="BM105" s="163">
        <f>SUM(BM100:BM104)</f>
        <v>0</v>
      </c>
      <c r="BN105" s="241">
        <f>SUM(BN100:BN103)</f>
        <v>0</v>
      </c>
      <c r="BO105" s="444"/>
      <c r="BP105" s="163">
        <f>SUM(BP100:BP104)</f>
        <v>4350</v>
      </c>
      <c r="BQ105" s="179"/>
      <c r="BR105" s="163">
        <f>SUM(BR100:BR104)</f>
        <v>4350</v>
      </c>
      <c r="BS105" s="163">
        <f>SUM(BS100:BS104)</f>
        <v>0</v>
      </c>
      <c r="BT105" s="241">
        <f>SUM(BT100:BT103)</f>
        <v>4350</v>
      </c>
      <c r="BU105" s="254"/>
      <c r="BV105" s="163">
        <f>SUM(BV100:BV104)</f>
        <v>7662.41</v>
      </c>
      <c r="BW105" s="179"/>
      <c r="BX105" s="163">
        <f>SUM(BX100:BX104)</f>
        <v>7662.41</v>
      </c>
      <c r="BY105" s="163">
        <f>SUM(BY100:BY104)</f>
        <v>0</v>
      </c>
      <c r="BZ105" s="241">
        <f>SUM(BZ100:BZ104)</f>
        <v>7662.41</v>
      </c>
      <c r="CA105" s="218">
        <f t="shared" si="103"/>
        <v>21822.510000000002</v>
      </c>
      <c r="CB105" s="153">
        <f>BS105+BM105+BF105</f>
        <v>0</v>
      </c>
      <c r="CC105" s="239">
        <f>CA105+CB105</f>
        <v>21822.510000000002</v>
      </c>
      <c r="CD105" s="24"/>
      <c r="CE105" s="152">
        <f>CA105+AR105+AT105</f>
        <v>36929.440000000002</v>
      </c>
      <c r="CF105" s="152">
        <f>CB105+AS105+AU105</f>
        <v>0</v>
      </c>
      <c r="CG105" s="18">
        <f t="shared" si="106"/>
        <v>36929.440000000002</v>
      </c>
      <c r="CH105" s="217"/>
      <c r="CI105" s="20"/>
      <c r="CJ105" s="15"/>
      <c r="CK105" s="530">
        <f t="shared" si="89"/>
        <v>0</v>
      </c>
      <c r="CL105" s="531">
        <f t="shared" si="90"/>
        <v>0</v>
      </c>
      <c r="CM105" s="375"/>
      <c r="CN105" s="375"/>
      <c r="CO105" s="375"/>
      <c r="CP105" s="375"/>
      <c r="CQ105" s="375"/>
      <c r="CR105" s="375"/>
      <c r="CS105" s="375"/>
      <c r="CT105" s="375"/>
      <c r="CU105" s="375"/>
      <c r="CV105" s="375"/>
      <c r="CW105" s="375"/>
      <c r="CX105" s="375"/>
      <c r="CY105" s="375"/>
      <c r="CZ105" s="375"/>
      <c r="DA105" s="375"/>
      <c r="DB105" s="375"/>
      <c r="DC105" s="375"/>
      <c r="DD105" s="375"/>
      <c r="DE105" s="375"/>
      <c r="DF105" s="375"/>
      <c r="DG105" s="375"/>
      <c r="DH105" s="375"/>
      <c r="DI105" s="375"/>
      <c r="DJ105" s="375"/>
      <c r="DK105" s="375"/>
      <c r="DL105" s="375"/>
      <c r="DM105" s="375"/>
      <c r="DN105" s="375"/>
      <c r="DO105" s="375"/>
      <c r="DP105" s="375"/>
      <c r="DQ105" s="375"/>
      <c r="DR105" s="375"/>
      <c r="DS105" s="375"/>
      <c r="DT105" s="375"/>
      <c r="DU105" s="375"/>
      <c r="DV105" s="375"/>
      <c r="DW105" s="375"/>
      <c r="DX105" s="375"/>
      <c r="DY105" s="375"/>
      <c r="DZ105" s="375"/>
      <c r="EA105" s="375"/>
      <c r="EB105" s="375"/>
      <c r="EC105" s="375"/>
      <c r="ED105" s="375"/>
      <c r="EE105" s="375"/>
      <c r="EF105" s="375"/>
      <c r="EG105" s="375"/>
      <c r="EH105" s="375"/>
      <c r="EI105" s="375"/>
      <c r="EJ105" s="375"/>
      <c r="EK105" s="375"/>
      <c r="EL105" s="375"/>
      <c r="EM105" s="375"/>
      <c r="EN105" s="375"/>
      <c r="EO105" s="375"/>
      <c r="EP105" s="375"/>
      <c r="EQ105" s="375"/>
      <c r="ER105" s="375"/>
      <c r="ES105" s="375"/>
    </row>
    <row r="106" spans="1:149" s="126" customFormat="1" ht="19.5" customHeight="1" x14ac:dyDescent="0.45">
      <c r="A106" s="150"/>
      <c r="B106" s="150"/>
      <c r="C106" s="150"/>
      <c r="D106" s="150"/>
      <c r="E106" s="148">
        <v>96</v>
      </c>
      <c r="F106" s="150" t="s">
        <v>251</v>
      </c>
      <c r="G106" s="150"/>
      <c r="H106" s="150"/>
      <c r="I106" s="150"/>
      <c r="J106" s="143"/>
      <c r="K106" s="143"/>
      <c r="L106" s="143"/>
      <c r="M106" s="143"/>
      <c r="N106" s="20"/>
      <c r="O106" s="20"/>
      <c r="P106" s="20"/>
      <c r="Q106" s="143"/>
      <c r="R106" s="143"/>
      <c r="S106" s="143"/>
      <c r="T106" s="20"/>
      <c r="U106" s="20"/>
      <c r="V106" s="20"/>
      <c r="W106" s="143"/>
      <c r="X106" s="143"/>
      <c r="Y106" s="143"/>
      <c r="Z106" s="20"/>
      <c r="AA106" s="20"/>
      <c r="AB106" s="20"/>
      <c r="AC106" s="143"/>
      <c r="AD106" s="143"/>
      <c r="AE106" s="143"/>
      <c r="AF106" s="20"/>
      <c r="AG106" s="20"/>
      <c r="AH106" s="20"/>
      <c r="AI106" s="143"/>
      <c r="AJ106" s="143"/>
      <c r="AK106" s="143"/>
      <c r="AL106" s="20"/>
      <c r="AM106" s="20"/>
      <c r="AN106" s="20"/>
      <c r="AO106" s="20"/>
      <c r="AP106" s="20"/>
      <c r="AQ106" s="20"/>
      <c r="AR106" s="20"/>
      <c r="AS106" s="20"/>
      <c r="AT106" s="20"/>
      <c r="AU106" s="20"/>
      <c r="AV106" s="20"/>
      <c r="AW106" s="20"/>
      <c r="AX106" s="20"/>
      <c r="AY106" s="20"/>
      <c r="AZ106" s="147"/>
      <c r="BA106" s="233"/>
      <c r="BB106" s="248"/>
      <c r="BC106" s="20"/>
      <c r="BD106" s="178"/>
      <c r="BE106" s="20"/>
      <c r="BF106" s="20"/>
      <c r="BG106" s="20"/>
      <c r="BH106" s="406"/>
      <c r="BI106" s="248"/>
      <c r="BJ106" s="20"/>
      <c r="BK106" s="178"/>
      <c r="BL106" s="147"/>
      <c r="BM106" s="147"/>
      <c r="BN106" s="229"/>
      <c r="BO106" s="435"/>
      <c r="BP106" s="20"/>
      <c r="BQ106" s="178"/>
      <c r="BR106" s="20"/>
      <c r="BS106" s="20"/>
      <c r="BT106" s="223"/>
      <c r="BU106" s="217"/>
      <c r="BV106" s="20"/>
      <c r="BW106" s="20"/>
      <c r="BX106" s="20"/>
      <c r="BY106" s="20"/>
      <c r="BZ106" s="223"/>
      <c r="CA106" s="228"/>
      <c r="CB106" s="147"/>
      <c r="CC106" s="229"/>
      <c r="CD106" s="23"/>
      <c r="CE106" s="20"/>
      <c r="CF106" s="20">
        <f>CB106+AS106+AU106</f>
        <v>0</v>
      </c>
      <c r="CG106" s="15"/>
      <c r="CH106" s="217"/>
      <c r="CI106" s="20"/>
      <c r="CJ106" s="15"/>
      <c r="CK106" s="530">
        <f t="shared" si="89"/>
        <v>0</v>
      </c>
      <c r="CL106" s="531">
        <f t="shared" si="90"/>
        <v>0</v>
      </c>
      <c r="CM106" s="368"/>
      <c r="CN106" s="368"/>
      <c r="CO106" s="368"/>
      <c r="CP106" s="368"/>
      <c r="CQ106" s="368"/>
      <c r="CR106" s="368"/>
      <c r="CS106" s="368"/>
      <c r="CT106" s="368"/>
      <c r="CU106" s="368"/>
      <c r="CV106" s="368"/>
      <c r="CW106" s="368"/>
      <c r="CX106" s="368"/>
      <c r="CY106" s="368"/>
      <c r="CZ106" s="368"/>
      <c r="DA106" s="368"/>
      <c r="DB106" s="368"/>
      <c r="DC106" s="368"/>
      <c r="DD106" s="368"/>
      <c r="DE106" s="368"/>
      <c r="DF106" s="368"/>
      <c r="DG106" s="368"/>
      <c r="DH106" s="368"/>
      <c r="DI106" s="368"/>
      <c r="DJ106" s="368"/>
      <c r="DK106" s="368"/>
      <c r="DL106" s="368"/>
      <c r="DM106" s="368"/>
      <c r="DN106" s="368"/>
      <c r="DO106" s="368"/>
      <c r="DP106" s="368"/>
      <c r="DQ106" s="368"/>
      <c r="DR106" s="368"/>
      <c r="DS106" s="368"/>
      <c r="DT106" s="368"/>
      <c r="DU106" s="368"/>
      <c r="DV106" s="368"/>
      <c r="DW106" s="368"/>
      <c r="DX106" s="368"/>
      <c r="DY106" s="368"/>
      <c r="DZ106" s="368"/>
      <c r="EA106" s="368"/>
      <c r="EB106" s="368"/>
      <c r="EC106" s="368"/>
      <c r="ED106" s="368"/>
      <c r="EE106" s="368"/>
      <c r="EF106" s="368"/>
      <c r="EG106" s="368"/>
      <c r="EH106" s="368"/>
      <c r="EI106" s="368"/>
      <c r="EJ106" s="368"/>
      <c r="EK106" s="368"/>
      <c r="EL106" s="368"/>
      <c r="EM106" s="368"/>
      <c r="EN106" s="368"/>
      <c r="EO106" s="368"/>
      <c r="EP106" s="368"/>
      <c r="EQ106" s="368"/>
      <c r="ER106" s="368"/>
      <c r="ES106" s="368"/>
    </row>
    <row r="107" spans="1:149" s="126" customFormat="1" ht="19.5" customHeight="1" x14ac:dyDescent="0.45">
      <c r="A107" s="144" t="s">
        <v>445</v>
      </c>
      <c r="B107" s="588">
        <v>89050</v>
      </c>
      <c r="C107" s="144" t="s">
        <v>446</v>
      </c>
      <c r="D107" s="589" t="s">
        <v>455</v>
      </c>
      <c r="E107" s="135">
        <v>97</v>
      </c>
      <c r="F107" s="156" t="s">
        <v>104</v>
      </c>
      <c r="G107" s="156" t="s">
        <v>242</v>
      </c>
      <c r="H107" s="156" t="s">
        <v>252</v>
      </c>
      <c r="I107" s="156" t="s">
        <v>11</v>
      </c>
      <c r="J107" s="143">
        <v>1</v>
      </c>
      <c r="K107" s="178">
        <v>700</v>
      </c>
      <c r="L107" s="143">
        <v>6</v>
      </c>
      <c r="M107" s="143" t="s">
        <v>194</v>
      </c>
      <c r="N107" s="20">
        <f>L107*K107*J107</f>
        <v>4200</v>
      </c>
      <c r="O107" s="20">
        <v>0</v>
      </c>
      <c r="P107" s="20">
        <f>SUM(N107:O107)</f>
        <v>4200</v>
      </c>
      <c r="Q107" s="143">
        <v>1</v>
      </c>
      <c r="R107" s="20">
        <f>K107</f>
        <v>700</v>
      </c>
      <c r="S107" s="143">
        <v>12</v>
      </c>
      <c r="T107" s="20">
        <f>S107*R107*Q107</f>
        <v>8400</v>
      </c>
      <c r="U107" s="20">
        <v>0</v>
      </c>
      <c r="V107" s="20">
        <f>SUM(T107:U107)</f>
        <v>8400</v>
      </c>
      <c r="W107" s="143">
        <v>1</v>
      </c>
      <c r="X107" s="20">
        <f>K107</f>
        <v>700</v>
      </c>
      <c r="Y107" s="143">
        <v>12</v>
      </c>
      <c r="Z107" s="20">
        <f>Y107*X107*W107</f>
        <v>8400</v>
      </c>
      <c r="AA107" s="20">
        <v>0</v>
      </c>
      <c r="AB107" s="20">
        <f>SUM(Z107:AA107)</f>
        <v>8400</v>
      </c>
      <c r="AC107" s="143">
        <v>1</v>
      </c>
      <c r="AD107" s="20">
        <f>K107</f>
        <v>700</v>
      </c>
      <c r="AE107" s="143">
        <v>12</v>
      </c>
      <c r="AF107" s="20">
        <f>AE107*AD107*AC107</f>
        <v>8400</v>
      </c>
      <c r="AG107" s="20">
        <v>0</v>
      </c>
      <c r="AH107" s="20">
        <f>SUM(AF107:AG107)</f>
        <v>8400</v>
      </c>
      <c r="AI107" s="143">
        <v>1</v>
      </c>
      <c r="AJ107" s="20">
        <f>K107</f>
        <v>700</v>
      </c>
      <c r="AK107" s="143">
        <v>9</v>
      </c>
      <c r="AL107" s="20">
        <f>AK107*AI107*AJ107</f>
        <v>6300</v>
      </c>
      <c r="AM107" s="20">
        <v>0</v>
      </c>
      <c r="AN107" s="20">
        <f>SUM(AL107:AM107)</f>
        <v>6300</v>
      </c>
      <c r="AO107" s="20">
        <f>N107+T107+Z107+AF107+AL107</f>
        <v>35700</v>
      </c>
      <c r="AP107" s="20">
        <f>O107+U107+AA107+AG107+AM107</f>
        <v>0</v>
      </c>
      <c r="AQ107" s="20">
        <f>SUM(AO107:AP107)</f>
        <v>35700</v>
      </c>
      <c r="AR107" s="147">
        <v>0</v>
      </c>
      <c r="AS107" s="20">
        <v>0</v>
      </c>
      <c r="AT107" s="147">
        <f>12.82+1015.33</f>
        <v>1028.1500000000001</v>
      </c>
      <c r="AU107" s="20">
        <v>0</v>
      </c>
      <c r="AV107" s="20">
        <f>AR107+AT107</f>
        <v>1028.1500000000001</v>
      </c>
      <c r="AW107" s="20">
        <f>AS107+AU107</f>
        <v>0</v>
      </c>
      <c r="AX107" s="20">
        <f>AV107+AW107</f>
        <v>1028.1500000000001</v>
      </c>
      <c r="AY107" s="20">
        <f>AQ107-AX107</f>
        <v>34671.85</v>
      </c>
      <c r="AZ107" s="147">
        <f>AQ107-AR107-AS107-AT107-AU107</f>
        <v>34671.85</v>
      </c>
      <c r="BA107" s="15">
        <f>AY107-AZ107</f>
        <v>0</v>
      </c>
      <c r="BB107" s="228"/>
      <c r="BC107" s="147">
        <v>0</v>
      </c>
      <c r="BD107" s="20"/>
      <c r="BE107" s="147">
        <f>BB107*BC107*BD107</f>
        <v>0</v>
      </c>
      <c r="BF107" s="147">
        <v>0</v>
      </c>
      <c r="BG107" s="147">
        <f>SUM(BE107:BF107)</f>
        <v>0</v>
      </c>
      <c r="BH107" s="407" t="s">
        <v>253</v>
      </c>
      <c r="BI107" s="248"/>
      <c r="BJ107" s="20">
        <v>0</v>
      </c>
      <c r="BK107" s="178"/>
      <c r="BL107" s="147">
        <f>BI107*BJ107*BK107</f>
        <v>0</v>
      </c>
      <c r="BM107" s="147">
        <v>0</v>
      </c>
      <c r="BN107" s="229">
        <f>SUM(BL107:BM107)</f>
        <v>0</v>
      </c>
      <c r="BO107" s="435"/>
      <c r="BP107" s="147">
        <v>0</v>
      </c>
      <c r="BQ107" s="178"/>
      <c r="BR107" s="147">
        <f>BO107*BP107*BQ107</f>
        <v>0</v>
      </c>
      <c r="BS107" s="147">
        <v>0</v>
      </c>
      <c r="BT107" s="229">
        <f>SUM(BR107:BS107)</f>
        <v>0</v>
      </c>
      <c r="BU107" s="248"/>
      <c r="BV107" s="147">
        <v>0</v>
      </c>
      <c r="BW107" s="178"/>
      <c r="BX107" s="147">
        <f>BU107*BV107*BW107</f>
        <v>0</v>
      </c>
      <c r="BY107" s="147">
        <v>0</v>
      </c>
      <c r="BZ107" s="229">
        <f>SUM(BX107:BY107)</f>
        <v>0</v>
      </c>
      <c r="CA107" s="228">
        <f>BR107+BL107+BE107+BX107</f>
        <v>0</v>
      </c>
      <c r="CB107" s="147">
        <f>BS107+BM107+BF107</f>
        <v>0</v>
      </c>
      <c r="CC107" s="229">
        <f>BT107+BN107+BG107</f>
        <v>0</v>
      </c>
      <c r="CD107" s="23"/>
      <c r="CE107" s="20">
        <f>AV107+CA107</f>
        <v>1028.1500000000001</v>
      </c>
      <c r="CF107" s="20">
        <f>CB107+AS107+AU107</f>
        <v>0</v>
      </c>
      <c r="CG107" s="15">
        <f>CE107+CF107</f>
        <v>1028.1500000000001</v>
      </c>
      <c r="CH107" s="376">
        <f>AO107-CE107</f>
        <v>34671.85</v>
      </c>
      <c r="CI107" s="377">
        <f>AP107-CF107</f>
        <v>0</v>
      </c>
      <c r="CJ107" s="522">
        <f>AQ107-CG107</f>
        <v>34671.85</v>
      </c>
      <c r="CK107" s="532">
        <f t="shared" si="89"/>
        <v>-34672</v>
      </c>
      <c r="CL107" s="533">
        <f t="shared" si="90"/>
        <v>-0.15000000000145519</v>
      </c>
      <c r="CM107" s="372"/>
      <c r="CN107" s="372"/>
      <c r="CO107" s="372"/>
      <c r="CP107" s="372"/>
      <c r="CQ107" s="372"/>
      <c r="CR107" s="372"/>
      <c r="CS107" s="372"/>
      <c r="CT107" s="372"/>
      <c r="CU107" s="372"/>
      <c r="CV107" s="372"/>
      <c r="CW107" s="372"/>
      <c r="CX107" s="372"/>
      <c r="CY107" s="372"/>
      <c r="CZ107" s="372"/>
      <c r="DA107" s="372"/>
      <c r="DB107" s="372"/>
      <c r="DC107" s="372"/>
      <c r="DD107" s="372"/>
      <c r="DE107" s="372"/>
      <c r="DF107" s="372"/>
      <c r="DG107" s="372"/>
      <c r="DH107" s="372"/>
      <c r="DI107" s="372"/>
      <c r="DJ107" s="372"/>
      <c r="DK107" s="372"/>
      <c r="DL107" s="372"/>
      <c r="DM107" s="372"/>
      <c r="DN107" s="372"/>
      <c r="DO107" s="372"/>
      <c r="DP107" s="372"/>
      <c r="DQ107" s="372"/>
      <c r="DR107" s="372"/>
      <c r="DS107" s="372"/>
      <c r="DT107" s="372"/>
      <c r="DU107" s="372"/>
      <c r="DV107" s="372"/>
      <c r="DW107" s="372"/>
      <c r="DX107" s="372"/>
      <c r="DY107" s="372">
        <v>-34672</v>
      </c>
      <c r="DZ107" s="372"/>
      <c r="EA107" s="372"/>
      <c r="EB107" s="372"/>
      <c r="EC107" s="372"/>
      <c r="ED107" s="372"/>
      <c r="EE107" s="372"/>
      <c r="EF107" s="372"/>
      <c r="EG107" s="372"/>
      <c r="EH107" s="372"/>
      <c r="EI107" s="372"/>
      <c r="EJ107" s="372"/>
      <c r="EK107" s="372"/>
      <c r="EL107" s="372"/>
      <c r="EM107" s="372"/>
      <c r="EN107" s="372"/>
      <c r="EO107" s="372"/>
      <c r="EP107" s="372"/>
      <c r="EQ107" s="372"/>
      <c r="ER107" s="372"/>
      <c r="ES107" s="372"/>
    </row>
    <row r="108" spans="1:149" s="128" customFormat="1" ht="19.5" customHeight="1" x14ac:dyDescent="0.45">
      <c r="A108" s="161"/>
      <c r="B108" s="161"/>
      <c r="C108" s="161"/>
      <c r="D108" s="161"/>
      <c r="E108" s="135">
        <v>98</v>
      </c>
      <c r="F108" s="161" t="s">
        <v>254</v>
      </c>
      <c r="G108" s="161"/>
      <c r="H108" s="161"/>
      <c r="I108" s="161"/>
      <c r="J108" s="179"/>
      <c r="K108" s="160"/>
      <c r="L108" s="179"/>
      <c r="M108" s="160"/>
      <c r="N108" s="162">
        <f>SUM(N107:N107)</f>
        <v>4200</v>
      </c>
      <c r="O108" s="162">
        <f>SUM(O107:O107)</f>
        <v>0</v>
      </c>
      <c r="P108" s="162">
        <f>SUM(P107:P107)</f>
        <v>4200</v>
      </c>
      <c r="Q108" s="179"/>
      <c r="R108" s="162"/>
      <c r="S108" s="160"/>
      <c r="T108" s="162">
        <f>SUM(T107:T107)</f>
        <v>8400</v>
      </c>
      <c r="U108" s="162">
        <f>SUM(U107:U107)</f>
        <v>0</v>
      </c>
      <c r="V108" s="162">
        <f>SUM(V107:V107)</f>
        <v>8400</v>
      </c>
      <c r="W108" s="179"/>
      <c r="X108" s="160"/>
      <c r="Y108" s="160"/>
      <c r="Z108" s="162">
        <f>SUM(Z107:Z107)</f>
        <v>8400</v>
      </c>
      <c r="AA108" s="162">
        <f>SUM(AA107:AA107)</f>
        <v>0</v>
      </c>
      <c r="AB108" s="162">
        <f>SUM(AB107:AB107)</f>
        <v>8400</v>
      </c>
      <c r="AC108" s="179"/>
      <c r="AD108" s="160"/>
      <c r="AE108" s="160"/>
      <c r="AF108" s="162">
        <f>SUM(AF107:AF107)</f>
        <v>8400</v>
      </c>
      <c r="AG108" s="162">
        <f>SUM(AG107:AG107)</f>
        <v>0</v>
      </c>
      <c r="AH108" s="162">
        <f>SUM(AH107:AH107)</f>
        <v>8400</v>
      </c>
      <c r="AI108" s="179"/>
      <c r="AJ108" s="160"/>
      <c r="AK108" s="160"/>
      <c r="AL108" s="162">
        <f>SUM(AL107:AL107)</f>
        <v>6300</v>
      </c>
      <c r="AM108" s="162">
        <f>SUM(AM107:AM107)</f>
        <v>0</v>
      </c>
      <c r="AN108" s="162">
        <f>SUM(AN107:AN107)</f>
        <v>6300</v>
      </c>
      <c r="AO108" s="162">
        <f t="shared" ref="AO108:AZ108" si="109">AO107</f>
        <v>35700</v>
      </c>
      <c r="AP108" s="162">
        <f t="shared" si="109"/>
        <v>0</v>
      </c>
      <c r="AQ108" s="162">
        <f t="shared" si="109"/>
        <v>35700</v>
      </c>
      <c r="AR108" s="162">
        <f t="shared" si="109"/>
        <v>0</v>
      </c>
      <c r="AS108" s="162">
        <f t="shared" si="109"/>
        <v>0</v>
      </c>
      <c r="AT108" s="162">
        <f t="shared" si="109"/>
        <v>1028.1500000000001</v>
      </c>
      <c r="AU108" s="162">
        <f t="shared" si="109"/>
        <v>0</v>
      </c>
      <c r="AV108" s="162">
        <f t="shared" si="109"/>
        <v>1028.1500000000001</v>
      </c>
      <c r="AW108" s="162">
        <f t="shared" si="109"/>
        <v>0</v>
      </c>
      <c r="AX108" s="162">
        <f t="shared" si="109"/>
        <v>1028.1500000000001</v>
      </c>
      <c r="AY108" s="162">
        <f t="shared" si="109"/>
        <v>34671.85</v>
      </c>
      <c r="AZ108" s="162">
        <f t="shared" si="109"/>
        <v>34671.85</v>
      </c>
      <c r="BA108" s="235"/>
      <c r="BB108" s="240"/>
      <c r="BC108" s="163">
        <v>0</v>
      </c>
      <c r="BD108" s="162"/>
      <c r="BE108" s="163">
        <f>BB108*BC108*BD108</f>
        <v>0</v>
      </c>
      <c r="BF108" s="163">
        <v>0</v>
      </c>
      <c r="BG108" s="163">
        <f>SUM(BE108:BF108)</f>
        <v>0</v>
      </c>
      <c r="BH108" s="410"/>
      <c r="BI108" s="254"/>
      <c r="BJ108" s="163">
        <v>0</v>
      </c>
      <c r="BK108" s="179"/>
      <c r="BL108" s="163">
        <f>BI108*BJ108*BK108</f>
        <v>0</v>
      </c>
      <c r="BM108" s="163">
        <v>0</v>
      </c>
      <c r="BN108" s="241">
        <f>SUM(BL108:BM108)</f>
        <v>0</v>
      </c>
      <c r="BO108" s="444"/>
      <c r="BP108" s="163">
        <v>0</v>
      </c>
      <c r="BQ108" s="179"/>
      <c r="BR108" s="163">
        <f>BO108*BP108*BQ108</f>
        <v>0</v>
      </c>
      <c r="BS108" s="163">
        <v>0</v>
      </c>
      <c r="BT108" s="241">
        <f>SUM(BR108:BS108)</f>
        <v>0</v>
      </c>
      <c r="BU108" s="254"/>
      <c r="BV108" s="163">
        <v>0</v>
      </c>
      <c r="BW108" s="179"/>
      <c r="BX108" s="163">
        <f>BU108*BV108*BW108</f>
        <v>0</v>
      </c>
      <c r="BY108" s="163">
        <v>0</v>
      </c>
      <c r="BZ108" s="241">
        <f>SUM(BX108:BY108)</f>
        <v>0</v>
      </c>
      <c r="CA108" s="240">
        <f>BR108+BL108+BE108+BX108</f>
        <v>0</v>
      </c>
      <c r="CB108" s="163">
        <f>BS108+BM108+BF108</f>
        <v>0</v>
      </c>
      <c r="CC108" s="241">
        <f>BT108+BN108+BG108</f>
        <v>0</v>
      </c>
      <c r="CD108" s="24"/>
      <c r="CE108" s="162">
        <f>CA108+AR108+AT108</f>
        <v>1028.1500000000001</v>
      </c>
      <c r="CF108" s="20">
        <f>CB108+AS108+AU108</f>
        <v>0</v>
      </c>
      <c r="CG108" s="299">
        <f>CE108+CF108</f>
        <v>1028.1500000000001</v>
      </c>
      <c r="CH108" s="217"/>
      <c r="CI108" s="20"/>
      <c r="CJ108" s="15"/>
      <c r="CK108" s="530">
        <f t="shared" ref="CK108:CK139" si="110">SUM(CM108:ES108)</f>
        <v>0</v>
      </c>
      <c r="CL108" s="531">
        <f t="shared" ref="CL108:CL139" si="111">CJ108+CK108</f>
        <v>0</v>
      </c>
      <c r="CM108" s="375"/>
      <c r="CN108" s="375"/>
      <c r="CO108" s="375"/>
      <c r="CP108" s="375"/>
      <c r="CQ108" s="375"/>
      <c r="CR108" s="375"/>
      <c r="CS108" s="375"/>
      <c r="CT108" s="375"/>
      <c r="CU108" s="375"/>
      <c r="CV108" s="375"/>
      <c r="CW108" s="375"/>
      <c r="CX108" s="375"/>
      <c r="CY108" s="375"/>
      <c r="CZ108" s="375"/>
      <c r="DA108" s="375"/>
      <c r="DB108" s="375"/>
      <c r="DC108" s="375"/>
      <c r="DD108" s="375"/>
      <c r="DE108" s="375"/>
      <c r="DF108" s="375"/>
      <c r="DG108" s="375"/>
      <c r="DH108" s="375"/>
      <c r="DI108" s="375"/>
      <c r="DJ108" s="375"/>
      <c r="DK108" s="375"/>
      <c r="DL108" s="375"/>
      <c r="DM108" s="375"/>
      <c r="DN108" s="375"/>
      <c r="DO108" s="375"/>
      <c r="DP108" s="375"/>
      <c r="DQ108" s="375"/>
      <c r="DR108" s="375"/>
      <c r="DS108" s="375"/>
      <c r="DT108" s="375"/>
      <c r="DU108" s="375"/>
      <c r="DV108" s="375"/>
      <c r="DW108" s="375"/>
      <c r="DX108" s="375"/>
      <c r="DY108" s="375"/>
      <c r="DZ108" s="375"/>
      <c r="EA108" s="375"/>
      <c r="EB108" s="375"/>
      <c r="EC108" s="375"/>
      <c r="ED108" s="375"/>
      <c r="EE108" s="375"/>
      <c r="EF108" s="375"/>
      <c r="EG108" s="375"/>
      <c r="EH108" s="375"/>
      <c r="EI108" s="375"/>
      <c r="EJ108" s="375"/>
      <c r="EK108" s="375"/>
      <c r="EL108" s="375"/>
      <c r="EM108" s="375"/>
      <c r="EN108" s="375"/>
      <c r="EO108" s="375"/>
      <c r="EP108" s="375"/>
      <c r="EQ108" s="375"/>
      <c r="ER108" s="375"/>
      <c r="ES108" s="375"/>
    </row>
    <row r="109" spans="1:149" s="127" customFormat="1" ht="19.5" customHeight="1" x14ac:dyDescent="0.45">
      <c r="A109" s="189"/>
      <c r="B109" s="189"/>
      <c r="C109" s="189"/>
      <c r="D109" s="189"/>
      <c r="E109" s="135">
        <v>99</v>
      </c>
      <c r="F109" s="189" t="s">
        <v>255</v>
      </c>
      <c r="G109" s="189"/>
      <c r="H109" s="189"/>
      <c r="I109" s="189"/>
      <c r="J109" s="166"/>
      <c r="K109" s="166"/>
      <c r="L109" s="166"/>
      <c r="M109" s="166"/>
      <c r="N109" s="16">
        <f>N108+N105</f>
        <v>42850</v>
      </c>
      <c r="O109" s="16">
        <f>O108+O105</f>
        <v>0</v>
      </c>
      <c r="P109" s="16">
        <f>P108+P105</f>
        <v>42850</v>
      </c>
      <c r="Q109" s="166"/>
      <c r="R109" s="166"/>
      <c r="S109" s="166"/>
      <c r="T109" s="16">
        <f>T108+T105</f>
        <v>47050</v>
      </c>
      <c r="U109" s="16">
        <f>U108+U105</f>
        <v>0</v>
      </c>
      <c r="V109" s="16">
        <f>V108+V105</f>
        <v>47050</v>
      </c>
      <c r="W109" s="166"/>
      <c r="X109" s="166"/>
      <c r="Y109" s="166"/>
      <c r="Z109" s="16">
        <f>Z108+Z105</f>
        <v>22050</v>
      </c>
      <c r="AA109" s="16">
        <f>AA108+AA105</f>
        <v>0</v>
      </c>
      <c r="AB109" s="16">
        <f>AB108+AB105</f>
        <v>22050</v>
      </c>
      <c r="AC109" s="166"/>
      <c r="AD109" s="166"/>
      <c r="AE109" s="166"/>
      <c r="AF109" s="16">
        <f>AF108+AF105</f>
        <v>22050</v>
      </c>
      <c r="AG109" s="16">
        <f>AG108+AG105</f>
        <v>0</v>
      </c>
      <c r="AH109" s="16">
        <f>AH108+AH105</f>
        <v>22050</v>
      </c>
      <c r="AI109" s="166"/>
      <c r="AJ109" s="166"/>
      <c r="AK109" s="166"/>
      <c r="AL109" s="16">
        <f t="shared" ref="AL109:AR109" si="112">AL108+AL105</f>
        <v>19950</v>
      </c>
      <c r="AM109" s="16">
        <f t="shared" si="112"/>
        <v>0</v>
      </c>
      <c r="AN109" s="16">
        <f t="shared" si="112"/>
        <v>19950</v>
      </c>
      <c r="AO109" s="16">
        <f t="shared" si="112"/>
        <v>153950</v>
      </c>
      <c r="AP109" s="16">
        <f t="shared" si="112"/>
        <v>0</v>
      </c>
      <c r="AQ109" s="16">
        <f t="shared" si="112"/>
        <v>153950</v>
      </c>
      <c r="AR109" s="165">
        <f t="shared" si="112"/>
        <v>0</v>
      </c>
      <c r="AS109" s="16">
        <v>0</v>
      </c>
      <c r="AT109" s="165">
        <f t="shared" ref="AT109:AY109" si="113">AT108+AT105</f>
        <v>16135.080000000002</v>
      </c>
      <c r="AU109" s="165">
        <f t="shared" si="113"/>
        <v>0</v>
      </c>
      <c r="AV109" s="165">
        <f t="shared" si="113"/>
        <v>16135.080000000002</v>
      </c>
      <c r="AW109" s="165">
        <f t="shared" si="113"/>
        <v>0</v>
      </c>
      <c r="AX109" s="165">
        <f t="shared" si="113"/>
        <v>16135.080000000002</v>
      </c>
      <c r="AY109" s="165">
        <f t="shared" si="113"/>
        <v>137814.92000000001</v>
      </c>
      <c r="AZ109" s="165">
        <f ca="1">SUM(AZ68:AZ108)</f>
        <v>0</v>
      </c>
      <c r="BA109" s="14"/>
      <c r="BB109" s="227"/>
      <c r="BC109" s="190">
        <f>+BC105</f>
        <v>9810.1</v>
      </c>
      <c r="BD109" s="190"/>
      <c r="BE109" s="191">
        <f>BE105+BE108</f>
        <v>9810.1</v>
      </c>
      <c r="BF109" s="191">
        <f>SUM(BF99:BF108)</f>
        <v>0</v>
      </c>
      <c r="BG109" s="191">
        <f>BE109+BF109</f>
        <v>9810.1</v>
      </c>
      <c r="BH109" s="421"/>
      <c r="BI109" s="227"/>
      <c r="BJ109" s="190"/>
      <c r="BK109" s="190"/>
      <c r="BL109" s="192">
        <f>BL105+BL108</f>
        <v>0</v>
      </c>
      <c r="BM109" s="192">
        <f>BM108+BM105</f>
        <v>0</v>
      </c>
      <c r="BN109" s="243">
        <f>BL109+BM109</f>
        <v>0</v>
      </c>
      <c r="BO109" s="445"/>
      <c r="BP109" s="190"/>
      <c r="BQ109" s="190"/>
      <c r="BR109" s="192">
        <f>BR105+BR108</f>
        <v>4350</v>
      </c>
      <c r="BS109" s="192">
        <f>BS108+BS105</f>
        <v>0</v>
      </c>
      <c r="BT109" s="243">
        <f>BR109+BS109</f>
        <v>4350</v>
      </c>
      <c r="BU109" s="227"/>
      <c r="BV109" s="190"/>
      <c r="BW109" s="190"/>
      <c r="BX109" s="192">
        <f>BX105+BX108</f>
        <v>7662.41</v>
      </c>
      <c r="BY109" s="192">
        <f>BY108+BY105</f>
        <v>0</v>
      </c>
      <c r="BZ109" s="243">
        <f>BX109+BY109</f>
        <v>7662.41</v>
      </c>
      <c r="CA109" s="242">
        <f>CA105+CA108</f>
        <v>21822.510000000002</v>
      </c>
      <c r="CB109" s="242">
        <f>CB105+CB108</f>
        <v>0</v>
      </c>
      <c r="CC109" s="243">
        <f>CC105+CC108</f>
        <v>21822.510000000002</v>
      </c>
      <c r="CD109" s="24"/>
      <c r="CE109" s="303">
        <f>CE105+CE108</f>
        <v>37957.590000000004</v>
      </c>
      <c r="CF109" s="16">
        <f>CB109+AS109+AU109</f>
        <v>0</v>
      </c>
      <c r="CG109" s="308">
        <f>CE109+CF109</f>
        <v>37957.590000000004</v>
      </c>
      <c r="CH109" s="217"/>
      <c r="CI109" s="20"/>
      <c r="CJ109" s="15"/>
      <c r="CK109" s="530">
        <f t="shared" si="110"/>
        <v>0</v>
      </c>
      <c r="CL109" s="531">
        <f t="shared" si="111"/>
        <v>0</v>
      </c>
      <c r="CM109" s="369"/>
      <c r="CN109" s="369"/>
      <c r="CO109" s="369"/>
      <c r="CP109" s="369"/>
      <c r="CQ109" s="369"/>
      <c r="CR109" s="369"/>
      <c r="CS109" s="369"/>
      <c r="CT109" s="369"/>
      <c r="CU109" s="369"/>
      <c r="CV109" s="369"/>
      <c r="CW109" s="369"/>
      <c r="CX109" s="369"/>
      <c r="CY109" s="369"/>
      <c r="CZ109" s="369"/>
      <c r="DA109" s="369"/>
      <c r="DB109" s="369"/>
      <c r="DC109" s="369"/>
      <c r="DD109" s="369"/>
      <c r="DE109" s="369"/>
      <c r="DF109" s="369"/>
      <c r="DG109" s="369"/>
      <c r="DH109" s="369"/>
      <c r="DI109" s="369"/>
      <c r="DJ109" s="369"/>
      <c r="DK109" s="369"/>
      <c r="DL109" s="369"/>
      <c r="DM109" s="369"/>
      <c r="DN109" s="369"/>
      <c r="DO109" s="369"/>
      <c r="DP109" s="369"/>
      <c r="DQ109" s="369"/>
      <c r="DR109" s="369"/>
      <c r="DS109" s="369"/>
      <c r="DT109" s="369"/>
      <c r="DU109" s="369"/>
      <c r="DV109" s="369"/>
      <c r="DW109" s="369"/>
      <c r="DX109" s="369"/>
      <c r="DY109" s="369"/>
      <c r="DZ109" s="369"/>
      <c r="EA109" s="369"/>
      <c r="EB109" s="369"/>
      <c r="EC109" s="369"/>
      <c r="ED109" s="369"/>
      <c r="EE109" s="369"/>
      <c r="EF109" s="369"/>
      <c r="EG109" s="369"/>
      <c r="EH109" s="369"/>
      <c r="EI109" s="369"/>
      <c r="EJ109" s="369"/>
      <c r="EK109" s="369"/>
      <c r="EL109" s="369"/>
      <c r="EM109" s="369"/>
      <c r="EN109" s="369"/>
      <c r="EO109" s="369"/>
      <c r="EP109" s="369"/>
      <c r="EQ109" s="369"/>
      <c r="ER109" s="369"/>
      <c r="ES109" s="369"/>
    </row>
    <row r="110" spans="1:149" s="126" customFormat="1" ht="19.5" customHeight="1" x14ac:dyDescent="0.45">
      <c r="A110" s="193"/>
      <c r="B110" s="193"/>
      <c r="C110" s="193"/>
      <c r="D110" s="193"/>
      <c r="E110" s="143">
        <v>100</v>
      </c>
      <c r="F110" s="193" t="s">
        <v>19</v>
      </c>
      <c r="G110" s="193"/>
      <c r="H110" s="193"/>
      <c r="I110" s="193"/>
      <c r="J110" s="193"/>
      <c r="K110" s="193"/>
      <c r="L110" s="193"/>
      <c r="M110" s="193"/>
      <c r="N110" s="279"/>
      <c r="O110" s="279"/>
      <c r="P110" s="279"/>
      <c r="Q110" s="193"/>
      <c r="R110" s="193"/>
      <c r="S110" s="193"/>
      <c r="T110" s="279"/>
      <c r="U110" s="279"/>
      <c r="V110" s="279"/>
      <c r="W110" s="193"/>
      <c r="X110" s="193"/>
      <c r="Y110" s="193"/>
      <c r="Z110" s="279"/>
      <c r="AA110" s="279"/>
      <c r="AB110" s="279"/>
      <c r="AC110" s="193"/>
      <c r="AD110" s="193"/>
      <c r="AE110" s="193"/>
      <c r="AF110" s="279"/>
      <c r="AG110" s="279"/>
      <c r="AH110" s="279"/>
      <c r="AI110" s="193"/>
      <c r="AJ110" s="193"/>
      <c r="AK110" s="193"/>
      <c r="AL110" s="279"/>
      <c r="AM110" s="279"/>
      <c r="AN110" s="279"/>
      <c r="AO110" s="279"/>
      <c r="AP110" s="279"/>
      <c r="AQ110" s="279"/>
      <c r="AR110" s="279"/>
      <c r="AS110" s="279"/>
      <c r="AT110" s="279"/>
      <c r="AU110" s="279"/>
      <c r="AV110" s="279"/>
      <c r="AW110" s="279"/>
      <c r="AX110" s="279"/>
      <c r="AY110" s="279"/>
      <c r="AZ110" s="283"/>
      <c r="BA110" s="296"/>
      <c r="BB110" s="298"/>
      <c r="BC110" s="136"/>
      <c r="BD110" s="136"/>
      <c r="BE110" s="289"/>
      <c r="BF110" s="289"/>
      <c r="BG110" s="289"/>
      <c r="BH110" s="422"/>
      <c r="BI110" s="298"/>
      <c r="BJ110" s="136"/>
      <c r="BK110" s="136"/>
      <c r="BL110" s="294"/>
      <c r="BM110" s="294"/>
      <c r="BN110" s="295"/>
      <c r="BO110" s="446"/>
      <c r="BP110" s="136"/>
      <c r="BQ110" s="136"/>
      <c r="BR110" s="289"/>
      <c r="BS110" s="289"/>
      <c r="BT110" s="290"/>
      <c r="BU110" s="288"/>
      <c r="BV110" s="289"/>
      <c r="BW110" s="289"/>
      <c r="BX110" s="289"/>
      <c r="BY110" s="289"/>
      <c r="BZ110" s="290"/>
      <c r="CA110" s="288"/>
      <c r="CB110" s="294"/>
      <c r="CC110" s="295"/>
      <c r="CD110" s="17"/>
      <c r="CE110" s="294"/>
      <c r="CF110" s="294"/>
      <c r="CG110" s="306"/>
      <c r="CH110" s="217"/>
      <c r="CI110" s="20"/>
      <c r="CJ110" s="15"/>
      <c r="CK110" s="530">
        <f t="shared" si="110"/>
        <v>0</v>
      </c>
      <c r="CL110" s="531">
        <f t="shared" si="111"/>
        <v>0</v>
      </c>
      <c r="CM110" s="368"/>
      <c r="CN110" s="368"/>
      <c r="CO110" s="368"/>
      <c r="CP110" s="368"/>
      <c r="CQ110" s="368"/>
      <c r="CR110" s="368"/>
      <c r="CS110" s="368"/>
      <c r="CT110" s="368"/>
      <c r="CU110" s="368"/>
      <c r="CV110" s="368"/>
      <c r="CW110" s="368"/>
      <c r="CX110" s="368"/>
      <c r="CY110" s="368"/>
      <c r="CZ110" s="368"/>
      <c r="DA110" s="368"/>
      <c r="DB110" s="368"/>
      <c r="DC110" s="368"/>
      <c r="DD110" s="368"/>
      <c r="DE110" s="368"/>
      <c r="DF110" s="368"/>
      <c r="DG110" s="368"/>
      <c r="DH110" s="368"/>
      <c r="DI110" s="368"/>
      <c r="DJ110" s="368"/>
      <c r="DK110" s="368"/>
      <c r="DL110" s="368"/>
      <c r="DM110" s="368"/>
      <c r="DN110" s="368"/>
      <c r="DO110" s="368"/>
      <c r="DP110" s="368"/>
      <c r="DQ110" s="368"/>
      <c r="DR110" s="368"/>
      <c r="DS110" s="368"/>
      <c r="DT110" s="368"/>
      <c r="DU110" s="368"/>
      <c r="DV110" s="368"/>
      <c r="DW110" s="368"/>
      <c r="DX110" s="368"/>
      <c r="DY110" s="368"/>
      <c r="DZ110" s="368"/>
      <c r="EA110" s="368"/>
      <c r="EB110" s="368"/>
      <c r="EC110" s="368"/>
      <c r="ED110" s="368"/>
      <c r="EE110" s="368"/>
      <c r="EF110" s="368"/>
      <c r="EG110" s="368"/>
      <c r="EH110" s="368"/>
      <c r="EI110" s="368"/>
      <c r="EJ110" s="368"/>
      <c r="EK110" s="368"/>
      <c r="EL110" s="368"/>
      <c r="EM110" s="368"/>
      <c r="EN110" s="368"/>
      <c r="EO110" s="368"/>
      <c r="EP110" s="368"/>
      <c r="EQ110" s="368"/>
      <c r="ER110" s="368"/>
      <c r="ES110" s="368"/>
    </row>
    <row r="111" spans="1:149" s="126" customFormat="1" ht="19.5" customHeight="1" x14ac:dyDescent="0.45">
      <c r="A111" s="150"/>
      <c r="B111" s="150"/>
      <c r="C111" s="150"/>
      <c r="D111" s="150"/>
      <c r="E111" s="135">
        <v>101</v>
      </c>
      <c r="F111" s="150" t="s">
        <v>256</v>
      </c>
      <c r="G111" s="150"/>
      <c r="H111" s="150"/>
      <c r="I111" s="150"/>
      <c r="J111" s="143"/>
      <c r="K111" s="178"/>
      <c r="L111" s="143"/>
      <c r="M111" s="143"/>
      <c r="N111" s="20"/>
      <c r="O111" s="20"/>
      <c r="P111" s="20"/>
      <c r="Q111" s="143"/>
      <c r="R111" s="143"/>
      <c r="S111" s="143"/>
      <c r="T111" s="20"/>
      <c r="U111" s="20"/>
      <c r="V111" s="20"/>
      <c r="W111" s="143"/>
      <c r="X111" s="143"/>
      <c r="Y111" s="143"/>
      <c r="Z111" s="20"/>
      <c r="AA111" s="20"/>
      <c r="AB111" s="20"/>
      <c r="AC111" s="143"/>
      <c r="AD111" s="143"/>
      <c r="AE111" s="143"/>
      <c r="AF111" s="20"/>
      <c r="AG111" s="20"/>
      <c r="AH111" s="20"/>
      <c r="AI111" s="143"/>
      <c r="AJ111" s="143"/>
      <c r="AK111" s="143"/>
      <c r="AL111" s="20"/>
      <c r="AM111" s="20"/>
      <c r="AN111" s="20"/>
      <c r="AO111" s="20"/>
      <c r="AP111" s="20"/>
      <c r="AQ111" s="20"/>
      <c r="AR111" s="20"/>
      <c r="AS111" s="20"/>
      <c r="AT111" s="20"/>
      <c r="AU111" s="20"/>
      <c r="AV111" s="20"/>
      <c r="AW111" s="20"/>
      <c r="AX111" s="20"/>
      <c r="AY111" s="20"/>
      <c r="AZ111" s="147"/>
      <c r="BA111" s="233"/>
      <c r="BB111" s="248"/>
      <c r="BC111" s="20"/>
      <c r="BD111" s="178"/>
      <c r="BE111" s="20"/>
      <c r="BF111" s="20"/>
      <c r="BG111" s="20"/>
      <c r="BH111" s="406"/>
      <c r="BI111" s="250"/>
      <c r="BJ111" s="150"/>
      <c r="BK111" s="150"/>
      <c r="BL111" s="147"/>
      <c r="BM111" s="147"/>
      <c r="BN111" s="229"/>
      <c r="BO111" s="437"/>
      <c r="BP111" s="150"/>
      <c r="BQ111" s="150"/>
      <c r="BR111" s="20"/>
      <c r="BS111" s="20"/>
      <c r="BT111" s="223"/>
      <c r="BU111" s="217"/>
      <c r="BV111" s="20"/>
      <c r="BW111" s="20"/>
      <c r="BX111" s="20"/>
      <c r="BY111" s="20"/>
      <c r="BZ111" s="223"/>
      <c r="CA111" s="228"/>
      <c r="CB111" s="147"/>
      <c r="CC111" s="229"/>
      <c r="CD111" s="23"/>
      <c r="CE111" s="20"/>
      <c r="CF111" s="20"/>
      <c r="CG111" s="15"/>
      <c r="CH111" s="217"/>
      <c r="CI111" s="20"/>
      <c r="CJ111" s="15"/>
      <c r="CK111" s="530">
        <f t="shared" si="110"/>
        <v>0</v>
      </c>
      <c r="CL111" s="531">
        <f t="shared" si="111"/>
        <v>0</v>
      </c>
      <c r="CM111" s="368"/>
      <c r="CN111" s="368"/>
      <c r="CO111" s="368"/>
      <c r="CP111" s="368"/>
      <c r="CQ111" s="368"/>
      <c r="CR111" s="368"/>
      <c r="CS111" s="368"/>
      <c r="CT111" s="368"/>
      <c r="CU111" s="368"/>
      <c r="CV111" s="368"/>
      <c r="CW111" s="368"/>
      <c r="CX111" s="368"/>
      <c r="CY111" s="368"/>
      <c r="CZ111" s="368"/>
      <c r="DA111" s="368"/>
      <c r="DB111" s="368"/>
      <c r="DC111" s="368"/>
      <c r="DD111" s="368"/>
      <c r="DE111" s="368"/>
      <c r="DF111" s="368"/>
      <c r="DG111" s="368"/>
      <c r="DH111" s="368"/>
      <c r="DI111" s="368"/>
      <c r="DJ111" s="368"/>
      <c r="DK111" s="368"/>
      <c r="DL111" s="368"/>
      <c r="DM111" s="368"/>
      <c r="DN111" s="368"/>
      <c r="DO111" s="368"/>
      <c r="DP111" s="368"/>
      <c r="DQ111" s="368"/>
      <c r="DR111" s="368"/>
      <c r="DS111" s="368"/>
      <c r="DT111" s="368"/>
      <c r="DU111" s="368"/>
      <c r="DV111" s="368"/>
      <c r="DW111" s="368"/>
      <c r="DX111" s="368"/>
      <c r="DY111" s="368"/>
      <c r="DZ111" s="368"/>
      <c r="EA111" s="368"/>
      <c r="EB111" s="368"/>
      <c r="EC111" s="368"/>
      <c r="ED111" s="368"/>
      <c r="EE111" s="368"/>
      <c r="EF111" s="368"/>
      <c r="EG111" s="368"/>
      <c r="EH111" s="368"/>
      <c r="EI111" s="368"/>
      <c r="EJ111" s="368"/>
      <c r="EK111" s="368"/>
      <c r="EL111" s="368"/>
      <c r="EM111" s="368"/>
      <c r="EN111" s="368"/>
      <c r="EO111" s="368"/>
      <c r="EP111" s="368"/>
      <c r="EQ111" s="368"/>
      <c r="ER111" s="368"/>
      <c r="ES111" s="368"/>
    </row>
    <row r="112" spans="1:149" s="126" customFormat="1" ht="19.5" customHeight="1" x14ac:dyDescent="0.45">
      <c r="A112" s="144" t="s">
        <v>445</v>
      </c>
      <c r="B112" s="588">
        <v>89050</v>
      </c>
      <c r="C112" s="144" t="s">
        <v>446</v>
      </c>
      <c r="D112" s="589" t="s">
        <v>459</v>
      </c>
      <c r="E112" s="135">
        <v>102</v>
      </c>
      <c r="F112" s="194" t="s">
        <v>105</v>
      </c>
      <c r="G112" s="156" t="s">
        <v>257</v>
      </c>
      <c r="H112" s="194" t="s">
        <v>258</v>
      </c>
      <c r="I112" s="194" t="s">
        <v>11</v>
      </c>
      <c r="J112" s="159">
        <v>1</v>
      </c>
      <c r="K112" s="178">
        <v>5556</v>
      </c>
      <c r="L112" s="178">
        <v>1</v>
      </c>
      <c r="M112" s="156" t="s">
        <v>221</v>
      </c>
      <c r="N112" s="20">
        <f>L112*K112*J112</f>
        <v>5556</v>
      </c>
      <c r="O112" s="20">
        <v>0</v>
      </c>
      <c r="P112" s="20">
        <f>SUM(N112:O112)</f>
        <v>5556</v>
      </c>
      <c r="Q112" s="159">
        <v>1</v>
      </c>
      <c r="R112" s="20">
        <f>K112*$J$6</f>
        <v>5722.68</v>
      </c>
      <c r="S112" s="178">
        <v>1</v>
      </c>
      <c r="T112" s="20">
        <f>Q112*R112*S112</f>
        <v>5722.68</v>
      </c>
      <c r="U112" s="20">
        <v>0</v>
      </c>
      <c r="V112" s="20">
        <f>SUM(T112:U112)</f>
        <v>5722.68</v>
      </c>
      <c r="W112" s="159">
        <v>0</v>
      </c>
      <c r="X112" s="20">
        <f>K112*$J$6*$J$6</f>
        <v>5894.3604000000005</v>
      </c>
      <c r="Y112" s="178">
        <v>1</v>
      </c>
      <c r="Z112" s="20">
        <f>W112*X112*Y112</f>
        <v>0</v>
      </c>
      <c r="AA112" s="20">
        <v>0</v>
      </c>
      <c r="AB112" s="20">
        <f>SUM(Z112:AA112)</f>
        <v>0</v>
      </c>
      <c r="AC112" s="159">
        <v>0</v>
      </c>
      <c r="AD112" s="20">
        <f>K112*$J$6*$J$6*$J$6</f>
        <v>6071.1912120000006</v>
      </c>
      <c r="AE112" s="178">
        <v>1</v>
      </c>
      <c r="AF112" s="20">
        <f>AC112*AD112*AE112</f>
        <v>0</v>
      </c>
      <c r="AG112" s="20">
        <v>0</v>
      </c>
      <c r="AH112" s="20">
        <f>SUM(AF112:AG112)</f>
        <v>0</v>
      </c>
      <c r="AI112" s="159">
        <v>0</v>
      </c>
      <c r="AJ112" s="20">
        <f>K112*$J$6*$J$6*$J$6*$J$6</f>
        <v>6253.3269483600006</v>
      </c>
      <c r="AK112" s="178">
        <v>0</v>
      </c>
      <c r="AL112" s="20">
        <f>AI112*AJ112*AK112</f>
        <v>0</v>
      </c>
      <c r="AM112" s="20">
        <v>0</v>
      </c>
      <c r="AN112" s="20">
        <f>SUM(AL112:AM112)</f>
        <v>0</v>
      </c>
      <c r="AO112" s="20">
        <f t="shared" ref="AO112:AP114" si="114">N112+T112+Z112+AF112+AL112</f>
        <v>11278.68</v>
      </c>
      <c r="AP112" s="20">
        <f t="shared" si="114"/>
        <v>0</v>
      </c>
      <c r="AQ112" s="20">
        <f>SUM(AO112:AP112)</f>
        <v>11278.68</v>
      </c>
      <c r="AR112" s="147">
        <v>0</v>
      </c>
      <c r="AS112" s="20">
        <v>0</v>
      </c>
      <c r="AT112" s="147">
        <f>2774.15</f>
        <v>2774.15</v>
      </c>
      <c r="AU112" s="20">
        <v>0</v>
      </c>
      <c r="AV112" s="20">
        <f t="shared" ref="AV112:AW115" si="115">AR112+AT112</f>
        <v>2774.15</v>
      </c>
      <c r="AW112" s="20">
        <f t="shared" si="115"/>
        <v>0</v>
      </c>
      <c r="AX112" s="20">
        <f t="shared" ref="AX112:AX117" si="116">AV112+AW112</f>
        <v>2774.15</v>
      </c>
      <c r="AY112" s="20">
        <f t="shared" ref="AY112:AY117" si="117">AQ112-AX112</f>
        <v>8504.5300000000007</v>
      </c>
      <c r="AZ112" s="147">
        <f>AQ112-AR112-AS112-AT112-AU112</f>
        <v>8504.5300000000007</v>
      </c>
      <c r="BA112" s="15">
        <f t="shared" ref="BA112:BA117" si="118">AY112-AZ112</f>
        <v>0</v>
      </c>
      <c r="BB112" s="228"/>
      <c r="BC112" s="147">
        <v>0</v>
      </c>
      <c r="BD112" s="147"/>
      <c r="BE112" s="147">
        <v>0</v>
      </c>
      <c r="BF112" s="147">
        <v>0</v>
      </c>
      <c r="BG112" s="147">
        <f t="shared" ref="BG112:BG117" si="119">SUM(BE112:BF112)</f>
        <v>0</v>
      </c>
      <c r="BH112" s="407" t="s">
        <v>259</v>
      </c>
      <c r="BI112" s="250"/>
      <c r="BJ112" s="147">
        <v>0</v>
      </c>
      <c r="BK112" s="150"/>
      <c r="BL112" s="147">
        <f>BI112*BJ112</f>
        <v>0</v>
      </c>
      <c r="BM112" s="147">
        <v>0</v>
      </c>
      <c r="BN112" s="229">
        <f t="shared" ref="BN112:BN117" si="120">SUM(BL112:BM112)</f>
        <v>0</v>
      </c>
      <c r="BO112" s="437"/>
      <c r="BP112" s="147">
        <f>AI112</f>
        <v>0</v>
      </c>
      <c r="BQ112" s="150"/>
      <c r="BR112" s="147">
        <v>0</v>
      </c>
      <c r="BS112" s="147">
        <v>0</v>
      </c>
      <c r="BT112" s="229"/>
      <c r="BU112" s="248"/>
      <c r="BV112" s="147">
        <v>0</v>
      </c>
      <c r="BW112" s="150"/>
      <c r="BX112" s="147">
        <f>BV112*BU112</f>
        <v>0</v>
      </c>
      <c r="BY112" s="147">
        <v>0</v>
      </c>
      <c r="BZ112" s="229">
        <f>SUM(BX112:BY112)</f>
        <v>0</v>
      </c>
      <c r="CA112" s="228">
        <f t="shared" ref="CA112:CA117" si="121">BR112+BL112+BE112+BX112</f>
        <v>0</v>
      </c>
      <c r="CB112" s="147">
        <f t="shared" ref="CB112:CC115" si="122">BS112+BM112+BF112</f>
        <v>0</v>
      </c>
      <c r="CC112" s="229">
        <f t="shared" si="122"/>
        <v>0</v>
      </c>
      <c r="CD112" s="23"/>
      <c r="CE112" s="20">
        <f t="shared" ref="CE112:CF115" si="123">AV112+CA112</f>
        <v>2774.15</v>
      </c>
      <c r="CF112" s="20">
        <f t="shared" si="123"/>
        <v>0</v>
      </c>
      <c r="CG112" s="15">
        <f t="shared" ref="CG112:CG118" si="124">CE112+CF112</f>
        <v>2774.15</v>
      </c>
      <c r="CH112" s="314">
        <f t="shared" ref="CH112:CJ117" si="125">AO112-CE112</f>
        <v>8504.5300000000007</v>
      </c>
      <c r="CI112" s="310">
        <f t="shared" si="125"/>
        <v>0</v>
      </c>
      <c r="CJ112" s="521">
        <f t="shared" si="125"/>
        <v>8504.5300000000007</v>
      </c>
      <c r="CK112" s="530">
        <f t="shared" si="110"/>
        <v>-8505</v>
      </c>
      <c r="CL112" s="531">
        <f t="shared" si="111"/>
        <v>-0.46999999999934516</v>
      </c>
      <c r="CM112" s="372"/>
      <c r="CN112" s="368"/>
      <c r="CO112" s="368"/>
      <c r="CP112" s="368"/>
      <c r="CQ112" s="368"/>
      <c r="CR112" s="368"/>
      <c r="CS112" s="368"/>
      <c r="CT112" s="368"/>
      <c r="CU112" s="368"/>
      <c r="CV112" s="368"/>
      <c r="CW112" s="368"/>
      <c r="CX112" s="368"/>
      <c r="CY112" s="368"/>
      <c r="CZ112" s="372"/>
      <c r="DA112" s="372"/>
      <c r="DB112" s="372"/>
      <c r="DC112" s="372"/>
      <c r="DD112" s="372"/>
      <c r="DE112" s="372"/>
      <c r="DF112" s="372"/>
      <c r="DG112" s="372"/>
      <c r="DH112" s="372"/>
      <c r="DI112" s="372"/>
      <c r="DJ112" s="372"/>
      <c r="DK112" s="372"/>
      <c r="DL112" s="372"/>
      <c r="DM112" s="372"/>
      <c r="DN112" s="372"/>
      <c r="DO112" s="372"/>
      <c r="DP112" s="372"/>
      <c r="DQ112" s="372"/>
      <c r="DR112" s="372"/>
      <c r="DS112" s="372"/>
      <c r="DT112" s="372"/>
      <c r="DU112" s="372"/>
      <c r="DV112" s="372"/>
      <c r="DW112" s="372"/>
      <c r="DX112" s="372"/>
      <c r="DY112" s="372"/>
      <c r="DZ112" s="372">
        <v>-8505</v>
      </c>
      <c r="EA112" s="372"/>
      <c r="EB112" s="372"/>
      <c r="EC112" s="372"/>
      <c r="ED112" s="372"/>
      <c r="EE112" s="372"/>
      <c r="EF112" s="372"/>
      <c r="EG112" s="372"/>
      <c r="EH112" s="372"/>
      <c r="EI112" s="372"/>
      <c r="EJ112" s="372"/>
      <c r="EK112" s="372"/>
      <c r="EL112" s="372"/>
      <c r="EM112" s="372"/>
      <c r="EN112" s="372"/>
      <c r="EO112" s="372"/>
      <c r="EP112" s="372"/>
      <c r="EQ112" s="372"/>
      <c r="ER112" s="372"/>
      <c r="ES112" s="372"/>
    </row>
    <row r="113" spans="1:150" s="126" customFormat="1" ht="19.5" hidden="1" customHeight="1" x14ac:dyDescent="0.45">
      <c r="A113" s="156"/>
      <c r="B113" s="156"/>
      <c r="C113" s="156"/>
      <c r="D113" s="156"/>
      <c r="E113" s="135">
        <v>103</v>
      </c>
      <c r="F113" s="156" t="s">
        <v>106</v>
      </c>
      <c r="G113" s="156" t="s">
        <v>257</v>
      </c>
      <c r="H113" s="156" t="s">
        <v>258</v>
      </c>
      <c r="I113" s="156" t="s">
        <v>133</v>
      </c>
      <c r="J113" s="159">
        <v>30</v>
      </c>
      <c r="K113" s="178">
        <v>925</v>
      </c>
      <c r="L113" s="178">
        <v>0</v>
      </c>
      <c r="M113" s="156" t="s">
        <v>221</v>
      </c>
      <c r="N113" s="20">
        <f>L113*K113*J113</f>
        <v>0</v>
      </c>
      <c r="O113" s="20">
        <f>+K113*J113</f>
        <v>27750</v>
      </c>
      <c r="P113" s="20">
        <f>SUM(N113:O113)</f>
        <v>27750</v>
      </c>
      <c r="Q113" s="159">
        <v>0</v>
      </c>
      <c r="R113" s="20">
        <f>K113*$J$6</f>
        <v>952.75</v>
      </c>
      <c r="S113" s="178">
        <v>0</v>
      </c>
      <c r="T113" s="20">
        <f>Q113*R113*S113</f>
        <v>0</v>
      </c>
      <c r="U113" s="20">
        <v>0</v>
      </c>
      <c r="V113" s="20">
        <f>SUM(T113:U113)</f>
        <v>0</v>
      </c>
      <c r="W113" s="159">
        <v>0</v>
      </c>
      <c r="X113" s="20">
        <f>K113*$J$6*$J$6</f>
        <v>981.33249999999998</v>
      </c>
      <c r="Y113" s="178">
        <v>0</v>
      </c>
      <c r="Z113" s="20">
        <f>W113*X113*Y113</f>
        <v>0</v>
      </c>
      <c r="AA113" s="20">
        <v>0</v>
      </c>
      <c r="AB113" s="20">
        <f>SUM(Z113:AA113)</f>
        <v>0</v>
      </c>
      <c r="AC113" s="159">
        <v>0</v>
      </c>
      <c r="AD113" s="20">
        <f>K113*$J$6*$J$6*$J$6</f>
        <v>1010.772475</v>
      </c>
      <c r="AE113" s="178">
        <v>0</v>
      </c>
      <c r="AF113" s="20">
        <f>AC113*AD113*AE113</f>
        <v>0</v>
      </c>
      <c r="AG113" s="20">
        <v>0</v>
      </c>
      <c r="AH113" s="20">
        <f>SUM(AF113:AG113)</f>
        <v>0</v>
      </c>
      <c r="AI113" s="159">
        <v>0</v>
      </c>
      <c r="AJ113" s="20">
        <f>K113*$J$6*$J$6*$J$6*$J$6</f>
        <v>1041.09564925</v>
      </c>
      <c r="AK113" s="178">
        <v>0</v>
      </c>
      <c r="AL113" s="20">
        <f>AI113*AJ113*AK113</f>
        <v>0</v>
      </c>
      <c r="AM113" s="20">
        <v>0</v>
      </c>
      <c r="AN113" s="20">
        <f>SUM(AL113:AM113)</f>
        <v>0</v>
      </c>
      <c r="AO113" s="20">
        <f t="shared" si="114"/>
        <v>0</v>
      </c>
      <c r="AP113" s="20">
        <f t="shared" si="114"/>
        <v>27750</v>
      </c>
      <c r="AQ113" s="20">
        <f>SUM(AO113:AP113)</f>
        <v>27750</v>
      </c>
      <c r="AR113" s="147">
        <v>0</v>
      </c>
      <c r="AS113" s="20">
        <v>0</v>
      </c>
      <c r="AT113" s="147">
        <v>0</v>
      </c>
      <c r="AU113" s="20">
        <v>0</v>
      </c>
      <c r="AV113" s="20">
        <f t="shared" si="115"/>
        <v>0</v>
      </c>
      <c r="AW113" s="20">
        <f t="shared" si="115"/>
        <v>0</v>
      </c>
      <c r="AX113" s="20">
        <f t="shared" si="116"/>
        <v>0</v>
      </c>
      <c r="AY113" s="20">
        <f t="shared" si="117"/>
        <v>27750</v>
      </c>
      <c r="AZ113" s="147">
        <f>AQ113-AR113-AS113-AT113-AU113</f>
        <v>27750</v>
      </c>
      <c r="BA113" s="15">
        <f t="shared" si="118"/>
        <v>0</v>
      </c>
      <c r="BB113" s="228"/>
      <c r="BC113" s="147">
        <f>AI113</f>
        <v>0</v>
      </c>
      <c r="BD113" s="147"/>
      <c r="BE113" s="147">
        <f>BC113*BB113</f>
        <v>0</v>
      </c>
      <c r="BF113" s="147">
        <v>0</v>
      </c>
      <c r="BG113" s="147">
        <f t="shared" si="119"/>
        <v>0</v>
      </c>
      <c r="BH113" s="407" t="s">
        <v>260</v>
      </c>
      <c r="BI113" s="248"/>
      <c r="BJ113" s="147">
        <f>AO113</f>
        <v>0</v>
      </c>
      <c r="BK113" s="150"/>
      <c r="BL113" s="147">
        <f>BI113*BJ113</f>
        <v>0</v>
      </c>
      <c r="BM113" s="147">
        <v>0</v>
      </c>
      <c r="BN113" s="229">
        <f t="shared" si="120"/>
        <v>0</v>
      </c>
      <c r="BO113" s="435"/>
      <c r="BP113" s="147">
        <f>AI113</f>
        <v>0</v>
      </c>
      <c r="BQ113" s="150"/>
      <c r="BR113" s="147">
        <f>BP113*BO113</f>
        <v>0</v>
      </c>
      <c r="BS113" s="147">
        <v>0</v>
      </c>
      <c r="BT113" s="229">
        <f>SUM(BR113:BS113)</f>
        <v>0</v>
      </c>
      <c r="BU113" s="248"/>
      <c r="BV113" s="147">
        <f>AO113</f>
        <v>0</v>
      </c>
      <c r="BW113" s="150"/>
      <c r="BX113" s="147">
        <f>BV113*BU113</f>
        <v>0</v>
      </c>
      <c r="BY113" s="147">
        <v>0</v>
      </c>
      <c r="BZ113" s="229">
        <f>SUM(BX113:BY113)</f>
        <v>0</v>
      </c>
      <c r="CA113" s="228">
        <f t="shared" si="121"/>
        <v>0</v>
      </c>
      <c r="CB113" s="147">
        <f t="shared" si="122"/>
        <v>0</v>
      </c>
      <c r="CC113" s="229">
        <f t="shared" si="122"/>
        <v>0</v>
      </c>
      <c r="CD113" s="23"/>
      <c r="CE113" s="20">
        <f t="shared" si="123"/>
        <v>0</v>
      </c>
      <c r="CF113" s="20">
        <f t="shared" si="123"/>
        <v>0</v>
      </c>
      <c r="CG113" s="15">
        <f t="shared" si="124"/>
        <v>0</v>
      </c>
      <c r="CH113" s="314">
        <f t="shared" si="125"/>
        <v>0</v>
      </c>
      <c r="CI113" s="310">
        <f t="shared" si="125"/>
        <v>27750</v>
      </c>
      <c r="CJ113" s="521">
        <f t="shared" si="125"/>
        <v>27750</v>
      </c>
      <c r="CK113" s="530">
        <f t="shared" si="110"/>
        <v>-27750</v>
      </c>
      <c r="CL113" s="531">
        <f t="shared" si="111"/>
        <v>0</v>
      </c>
      <c r="CM113" s="368"/>
      <c r="CN113" s="368"/>
      <c r="CO113" s="372"/>
      <c r="CP113" s="368"/>
      <c r="CQ113" s="372"/>
      <c r="CR113" s="368"/>
      <c r="CS113" s="368"/>
      <c r="CT113" s="368"/>
      <c r="CU113" s="372"/>
      <c r="CV113" s="368"/>
      <c r="CW113" s="368"/>
      <c r="CX113" s="368"/>
      <c r="CY113" s="368"/>
      <c r="CZ113" s="368"/>
      <c r="DA113" s="368"/>
      <c r="DB113" s="368"/>
      <c r="DC113" s="368"/>
      <c r="DD113" s="368"/>
      <c r="DE113" s="368"/>
      <c r="DF113" s="368"/>
      <c r="DG113" s="368"/>
      <c r="DH113" s="368"/>
      <c r="DI113" s="368"/>
      <c r="DJ113" s="368"/>
      <c r="DK113" s="368"/>
      <c r="DL113" s="368"/>
      <c r="DM113" s="368"/>
      <c r="DN113" s="368"/>
      <c r="DO113" s="368"/>
      <c r="DP113" s="368"/>
      <c r="DQ113" s="368"/>
      <c r="DR113" s="368"/>
      <c r="DS113" s="368"/>
      <c r="DT113" s="368"/>
      <c r="DU113" s="368"/>
      <c r="DV113" s="368"/>
      <c r="DW113" s="368"/>
      <c r="DX113" s="368"/>
      <c r="DY113" s="368"/>
      <c r="DZ113" s="368"/>
      <c r="EA113" s="368">
        <v>-27750</v>
      </c>
      <c r="EB113" s="368"/>
      <c r="EC113" s="368"/>
      <c r="ED113" s="368"/>
      <c r="EE113" s="368"/>
      <c r="EF113" s="368"/>
      <c r="EG113" s="368"/>
      <c r="EH113" s="368"/>
      <c r="EI113" s="368"/>
      <c r="EJ113" s="368"/>
      <c r="EK113" s="368"/>
      <c r="EL113" s="368"/>
      <c r="EM113" s="368"/>
      <c r="EN113" s="368"/>
      <c r="EO113" s="368"/>
      <c r="EP113" s="368"/>
      <c r="EQ113" s="368"/>
      <c r="ER113" s="368"/>
      <c r="ES113" s="368"/>
    </row>
    <row r="114" spans="1:150" s="126" customFormat="1" ht="19.5" hidden="1" customHeight="1" x14ac:dyDescent="0.45">
      <c r="A114" s="156"/>
      <c r="B114" s="156"/>
      <c r="C114" s="156"/>
      <c r="D114" s="156"/>
      <c r="E114" s="143">
        <v>104</v>
      </c>
      <c r="F114" s="156" t="s">
        <v>107</v>
      </c>
      <c r="G114" s="156" t="s">
        <v>257</v>
      </c>
      <c r="H114" s="156" t="s">
        <v>258</v>
      </c>
      <c r="I114" s="156" t="s">
        <v>133</v>
      </c>
      <c r="J114" s="159">
        <v>1</v>
      </c>
      <c r="K114" s="178">
        <v>5556</v>
      </c>
      <c r="L114" s="178">
        <v>0</v>
      </c>
      <c r="M114" s="156" t="s">
        <v>221</v>
      </c>
      <c r="N114" s="20">
        <f>L114*K114*J114</f>
        <v>0</v>
      </c>
      <c r="O114" s="20">
        <f>+K114*J114</f>
        <v>5556</v>
      </c>
      <c r="P114" s="20">
        <f>SUM(N114:O114)</f>
        <v>5556</v>
      </c>
      <c r="Q114" s="159">
        <v>0</v>
      </c>
      <c r="R114" s="20">
        <f>K114*$J$6</f>
        <v>5722.68</v>
      </c>
      <c r="S114" s="178">
        <v>0</v>
      </c>
      <c r="T114" s="20">
        <f>Q114*R114*S114</f>
        <v>0</v>
      </c>
      <c r="U114" s="20">
        <v>0</v>
      </c>
      <c r="V114" s="20">
        <f>SUM(T114:U114)</f>
        <v>0</v>
      </c>
      <c r="W114" s="159">
        <v>0</v>
      </c>
      <c r="X114" s="20">
        <f>K114*$J$6*$J$6</f>
        <v>5894.3604000000005</v>
      </c>
      <c r="Y114" s="178">
        <v>0</v>
      </c>
      <c r="Z114" s="20">
        <f>W114*X114*Y114</f>
        <v>0</v>
      </c>
      <c r="AA114" s="20">
        <v>0</v>
      </c>
      <c r="AB114" s="20">
        <f>SUM(Z114:AA114)</f>
        <v>0</v>
      </c>
      <c r="AC114" s="159">
        <v>0</v>
      </c>
      <c r="AD114" s="20">
        <f>K114*$J$6*$J$6*$J$6</f>
        <v>6071.1912120000006</v>
      </c>
      <c r="AE114" s="178">
        <v>0</v>
      </c>
      <c r="AF114" s="20">
        <f>AC114*AD114*AE114</f>
        <v>0</v>
      </c>
      <c r="AG114" s="20">
        <v>0</v>
      </c>
      <c r="AH114" s="20">
        <f>SUM(AF114:AG114)</f>
        <v>0</v>
      </c>
      <c r="AI114" s="159">
        <v>0</v>
      </c>
      <c r="AJ114" s="20">
        <f>K114*$J$6*$J$6*$J$6*$J$6</f>
        <v>6253.3269483600006</v>
      </c>
      <c r="AK114" s="178">
        <v>0</v>
      </c>
      <c r="AL114" s="20">
        <f>AI114*AJ114*AK114</f>
        <v>0</v>
      </c>
      <c r="AM114" s="20">
        <v>0</v>
      </c>
      <c r="AN114" s="20">
        <f>SUM(AL114:AM114)</f>
        <v>0</v>
      </c>
      <c r="AO114" s="20">
        <f t="shared" si="114"/>
        <v>0</v>
      </c>
      <c r="AP114" s="20">
        <f t="shared" si="114"/>
        <v>5556</v>
      </c>
      <c r="AQ114" s="20">
        <f>SUM(AO114:AP114)</f>
        <v>5556</v>
      </c>
      <c r="AR114" s="147">
        <v>0</v>
      </c>
      <c r="AS114" s="20">
        <v>0</v>
      </c>
      <c r="AT114" s="147">
        <v>0</v>
      </c>
      <c r="AU114" s="20">
        <v>0</v>
      </c>
      <c r="AV114" s="20">
        <f t="shared" si="115"/>
        <v>0</v>
      </c>
      <c r="AW114" s="20">
        <f t="shared" si="115"/>
        <v>0</v>
      </c>
      <c r="AX114" s="20">
        <f t="shared" si="116"/>
        <v>0</v>
      </c>
      <c r="AY114" s="20">
        <f t="shared" si="117"/>
        <v>5556</v>
      </c>
      <c r="AZ114" s="147">
        <f>AQ114-AR114-AS114-AT114-AU114</f>
        <v>5556</v>
      </c>
      <c r="BA114" s="15">
        <f t="shared" si="118"/>
        <v>0</v>
      </c>
      <c r="BB114" s="228"/>
      <c r="BC114" s="147">
        <v>0</v>
      </c>
      <c r="BD114" s="147"/>
      <c r="BE114" s="147">
        <f>BC114*BB114</f>
        <v>0</v>
      </c>
      <c r="BF114" s="147">
        <v>0</v>
      </c>
      <c r="BG114" s="147">
        <f t="shared" si="119"/>
        <v>0</v>
      </c>
      <c r="BH114" s="407" t="s">
        <v>261</v>
      </c>
      <c r="BI114" s="250"/>
      <c r="BJ114" s="147">
        <v>0</v>
      </c>
      <c r="BK114" s="150"/>
      <c r="BL114" s="147">
        <f>BI114*BJ114</f>
        <v>0</v>
      </c>
      <c r="BM114" s="147">
        <v>0</v>
      </c>
      <c r="BN114" s="229">
        <f t="shared" si="120"/>
        <v>0</v>
      </c>
      <c r="BO114" s="437"/>
      <c r="BP114" s="147">
        <f>AI114</f>
        <v>0</v>
      </c>
      <c r="BQ114" s="150"/>
      <c r="BR114" s="147">
        <v>0</v>
      </c>
      <c r="BS114" s="147">
        <v>0</v>
      </c>
      <c r="BT114" s="229"/>
      <c r="BU114" s="248"/>
      <c r="BV114" s="147">
        <f>AO114</f>
        <v>0</v>
      </c>
      <c r="BW114" s="150"/>
      <c r="BX114" s="147">
        <f>BV114*BU114</f>
        <v>0</v>
      </c>
      <c r="BY114" s="147">
        <v>0</v>
      </c>
      <c r="BZ114" s="229">
        <f>SUM(BX114:BY114)</f>
        <v>0</v>
      </c>
      <c r="CA114" s="228">
        <f t="shared" si="121"/>
        <v>0</v>
      </c>
      <c r="CB114" s="147">
        <f t="shared" si="122"/>
        <v>0</v>
      </c>
      <c r="CC114" s="229">
        <f t="shared" si="122"/>
        <v>0</v>
      </c>
      <c r="CD114" s="23"/>
      <c r="CE114" s="20">
        <f t="shared" si="123"/>
        <v>0</v>
      </c>
      <c r="CF114" s="20">
        <f t="shared" si="123"/>
        <v>0</v>
      </c>
      <c r="CG114" s="15">
        <f t="shared" si="124"/>
        <v>0</v>
      </c>
      <c r="CH114" s="376">
        <f t="shared" si="125"/>
        <v>0</v>
      </c>
      <c r="CI114" s="377">
        <f t="shared" si="125"/>
        <v>5556</v>
      </c>
      <c r="CJ114" s="522">
        <f t="shared" si="125"/>
        <v>5556</v>
      </c>
      <c r="CK114" s="532">
        <f t="shared" si="110"/>
        <v>-5556</v>
      </c>
      <c r="CL114" s="533">
        <f t="shared" si="111"/>
        <v>0</v>
      </c>
      <c r="CM114" s="372"/>
      <c r="CN114" s="372"/>
      <c r="CO114" s="372"/>
      <c r="CP114" s="372"/>
      <c r="CQ114" s="372"/>
      <c r="CR114" s="372"/>
      <c r="CS114" s="372"/>
      <c r="CT114" s="372"/>
      <c r="CU114" s="372"/>
      <c r="CV114" s="372"/>
      <c r="CW114" s="372"/>
      <c r="CX114" s="372"/>
      <c r="CY114" s="372"/>
      <c r="CZ114" s="372"/>
      <c r="DA114" s="372"/>
      <c r="DB114" s="372"/>
      <c r="DC114" s="372"/>
      <c r="DD114" s="372"/>
      <c r="DE114" s="372"/>
      <c r="DF114" s="372"/>
      <c r="DG114" s="372"/>
      <c r="DH114" s="372"/>
      <c r="DI114" s="372"/>
      <c r="DJ114" s="372"/>
      <c r="DK114" s="372"/>
      <c r="DL114" s="372"/>
      <c r="DM114" s="372"/>
      <c r="DN114" s="372"/>
      <c r="DO114" s="372"/>
      <c r="DP114" s="372"/>
      <c r="DQ114" s="372"/>
      <c r="DR114" s="372"/>
      <c r="DS114" s="372"/>
      <c r="DT114" s="372"/>
      <c r="DU114" s="372"/>
      <c r="DV114" s="372"/>
      <c r="DW114" s="372"/>
      <c r="DX114" s="372"/>
      <c r="DY114" s="372"/>
      <c r="DZ114" s="372"/>
      <c r="EA114" s="372"/>
      <c r="EB114" s="372">
        <v>-5556</v>
      </c>
      <c r="EC114" s="372"/>
      <c r="ED114" s="372"/>
      <c r="EE114" s="372"/>
      <c r="EF114" s="372"/>
      <c r="EG114" s="372"/>
      <c r="EH114" s="372"/>
      <c r="EI114" s="372"/>
      <c r="EJ114" s="372"/>
      <c r="EK114" s="372"/>
      <c r="EL114" s="372"/>
      <c r="EM114" s="372"/>
      <c r="EN114" s="372"/>
      <c r="EO114" s="372"/>
      <c r="EP114" s="372"/>
      <c r="EQ114" s="372"/>
      <c r="ER114" s="372"/>
      <c r="ES114" s="372"/>
    </row>
    <row r="115" spans="1:150" s="127" customFormat="1" ht="20.25" customHeight="1" x14ac:dyDescent="0.45">
      <c r="A115" s="590" t="s">
        <v>445</v>
      </c>
      <c r="B115" s="591">
        <v>89050</v>
      </c>
      <c r="C115" s="590" t="s">
        <v>446</v>
      </c>
      <c r="D115" s="593" t="s">
        <v>460</v>
      </c>
      <c r="E115" s="143">
        <v>105</v>
      </c>
      <c r="F115" s="176" t="s">
        <v>262</v>
      </c>
      <c r="G115" s="176" t="s">
        <v>263</v>
      </c>
      <c r="H115" s="176" t="s">
        <v>263</v>
      </c>
      <c r="I115" s="176" t="s">
        <v>11</v>
      </c>
      <c r="J115" s="393"/>
      <c r="K115" s="393"/>
      <c r="L115" s="393"/>
      <c r="M115" s="393"/>
      <c r="N115" s="20"/>
      <c r="O115" s="20"/>
      <c r="P115" s="20"/>
      <c r="Q115" s="393"/>
      <c r="R115" s="393"/>
      <c r="S115" s="393"/>
      <c r="T115" s="20"/>
      <c r="U115" s="20"/>
      <c r="V115" s="20"/>
      <c r="W115" s="393"/>
      <c r="X115" s="393"/>
      <c r="Y115" s="393"/>
      <c r="Z115" s="20"/>
      <c r="AA115" s="20"/>
      <c r="AB115" s="20"/>
      <c r="AC115" s="393"/>
      <c r="AD115" s="393"/>
      <c r="AE115" s="393"/>
      <c r="AF115" s="20"/>
      <c r="AG115" s="20"/>
      <c r="AH115" s="20"/>
      <c r="AI115" s="393"/>
      <c r="AJ115" s="393"/>
      <c r="AK115" s="393"/>
      <c r="AL115" s="20"/>
      <c r="AM115" s="20"/>
      <c r="AN115" s="20"/>
      <c r="AO115" s="20">
        <f>SUM(N115,T115,Z115,AF115,AL115)</f>
        <v>0</v>
      </c>
      <c r="AP115" s="20">
        <f>SUM(O115,U115,AA115,AG115,AM115)</f>
        <v>0</v>
      </c>
      <c r="AQ115" s="20">
        <f>SUM(AO115:AP115)</f>
        <v>0</v>
      </c>
      <c r="AR115" s="147">
        <v>0</v>
      </c>
      <c r="AS115" s="20">
        <v>0</v>
      </c>
      <c r="AT115" s="147">
        <v>0</v>
      </c>
      <c r="AU115" s="20">
        <v>0</v>
      </c>
      <c r="AV115" s="20">
        <f t="shared" si="115"/>
        <v>0</v>
      </c>
      <c r="AW115" s="20">
        <f t="shared" si="115"/>
        <v>0</v>
      </c>
      <c r="AX115" s="20">
        <f t="shared" si="116"/>
        <v>0</v>
      </c>
      <c r="AY115" s="20">
        <f t="shared" si="117"/>
        <v>0</v>
      </c>
      <c r="AZ115" s="147">
        <f>AQ115-AR115-AS115-AT115-AU115</f>
        <v>0</v>
      </c>
      <c r="BA115" s="233">
        <f t="shared" si="118"/>
        <v>0</v>
      </c>
      <c r="BB115" s="248"/>
      <c r="BC115" s="20"/>
      <c r="BD115" s="178"/>
      <c r="BE115" s="147">
        <v>3000</v>
      </c>
      <c r="BF115" s="147"/>
      <c r="BG115" s="147">
        <f t="shared" si="119"/>
        <v>3000</v>
      </c>
      <c r="BH115" s="407" t="s">
        <v>264</v>
      </c>
      <c r="BI115" s="248"/>
      <c r="BJ115" s="20"/>
      <c r="BK115" s="178"/>
      <c r="BL115" s="147"/>
      <c r="BM115" s="147"/>
      <c r="BN115" s="229">
        <f t="shared" si="120"/>
        <v>0</v>
      </c>
      <c r="BO115" s="435"/>
      <c r="BP115" s="147"/>
      <c r="BQ115" s="178"/>
      <c r="BR115" s="147"/>
      <c r="BS115" s="147"/>
      <c r="BT115" s="229"/>
      <c r="BU115" s="248"/>
      <c r="BV115" s="20"/>
      <c r="BW115" s="178"/>
      <c r="BX115" s="147"/>
      <c r="BY115" s="147"/>
      <c r="BZ115" s="229"/>
      <c r="CA115" s="228">
        <f t="shared" si="121"/>
        <v>3000</v>
      </c>
      <c r="CB115" s="147">
        <f t="shared" si="122"/>
        <v>0</v>
      </c>
      <c r="CC115" s="229">
        <f>BZ115+BT115+BN115+BG115</f>
        <v>3000</v>
      </c>
      <c r="CD115" s="23"/>
      <c r="CE115" s="20">
        <f t="shared" si="123"/>
        <v>3000</v>
      </c>
      <c r="CF115" s="20"/>
      <c r="CG115" s="15">
        <f t="shared" si="124"/>
        <v>3000</v>
      </c>
      <c r="CH115" s="376">
        <f t="shared" si="125"/>
        <v>-3000</v>
      </c>
      <c r="CI115" s="377">
        <f t="shared" si="125"/>
        <v>0</v>
      </c>
      <c r="CJ115" s="522">
        <f t="shared" si="125"/>
        <v>-3000</v>
      </c>
      <c r="CK115" s="532">
        <f t="shared" si="110"/>
        <v>3000</v>
      </c>
      <c r="CL115" s="533">
        <f t="shared" si="111"/>
        <v>0</v>
      </c>
      <c r="CM115" s="373"/>
      <c r="CN115" s="373"/>
      <c r="CO115" s="373"/>
      <c r="CP115" s="373"/>
      <c r="CQ115" s="373"/>
      <c r="CR115" s="373"/>
      <c r="CS115" s="373"/>
      <c r="CT115" s="373"/>
      <c r="CU115" s="373"/>
      <c r="CV115" s="373"/>
      <c r="CW115" s="373"/>
      <c r="CX115" s="373"/>
      <c r="CY115" s="373"/>
      <c r="CZ115" s="373"/>
      <c r="DA115" s="373"/>
      <c r="DB115" s="373"/>
      <c r="DC115" s="373"/>
      <c r="DD115" s="373"/>
      <c r="DE115" s="373"/>
      <c r="DF115" s="373"/>
      <c r="DG115" s="373"/>
      <c r="DH115" s="373"/>
      <c r="DI115" s="373"/>
      <c r="DJ115" s="373"/>
      <c r="DK115" s="373"/>
      <c r="DL115" s="373"/>
      <c r="DM115" s="373"/>
      <c r="DN115" s="373"/>
      <c r="DO115" s="373"/>
      <c r="DP115" s="373"/>
      <c r="DQ115" s="373"/>
      <c r="DR115" s="373"/>
      <c r="DS115" s="373"/>
      <c r="DT115" s="373"/>
      <c r="DU115" s="373"/>
      <c r="DV115" s="373"/>
      <c r="DW115" s="373"/>
      <c r="DX115" s="373"/>
      <c r="DY115" s="373"/>
      <c r="DZ115" s="373"/>
      <c r="EA115" s="373"/>
      <c r="EB115" s="373"/>
      <c r="EC115" s="373"/>
      <c r="ED115" s="373"/>
      <c r="EE115" s="373"/>
      <c r="EF115" s="373"/>
      <c r="EG115" s="372">
        <v>3000</v>
      </c>
      <c r="EH115" s="373"/>
      <c r="EI115" s="373"/>
      <c r="EJ115" s="373"/>
      <c r="EK115" s="373"/>
      <c r="EL115" s="373"/>
      <c r="EM115" s="373"/>
      <c r="EN115" s="373"/>
      <c r="EO115" s="373"/>
      <c r="EP115" s="373"/>
      <c r="EQ115" s="373"/>
      <c r="ER115" s="373"/>
      <c r="ES115" s="373"/>
    </row>
    <row r="116" spans="1:150" s="126" customFormat="1" ht="19.5" customHeight="1" x14ac:dyDescent="0.45">
      <c r="A116" s="590" t="s">
        <v>445</v>
      </c>
      <c r="B116" s="591">
        <v>89050</v>
      </c>
      <c r="C116" s="590" t="s">
        <v>446</v>
      </c>
      <c r="D116" s="592" t="s">
        <v>461</v>
      </c>
      <c r="E116" s="135">
        <v>106</v>
      </c>
      <c r="F116" s="174" t="s">
        <v>265</v>
      </c>
      <c r="G116" s="155" t="s">
        <v>257</v>
      </c>
      <c r="H116" s="174" t="s">
        <v>258</v>
      </c>
      <c r="I116" s="174" t="s">
        <v>11</v>
      </c>
      <c r="J116" s="159"/>
      <c r="K116" s="178"/>
      <c r="L116" s="178"/>
      <c r="M116" s="156" t="s">
        <v>221</v>
      </c>
      <c r="N116" s="20"/>
      <c r="O116" s="20"/>
      <c r="P116" s="20"/>
      <c r="Q116" s="159"/>
      <c r="R116" s="20"/>
      <c r="S116" s="178"/>
      <c r="T116" s="20"/>
      <c r="U116" s="20"/>
      <c r="V116" s="20"/>
      <c r="W116" s="159"/>
      <c r="X116" s="20"/>
      <c r="Y116" s="178"/>
      <c r="Z116" s="20"/>
      <c r="AA116" s="20"/>
      <c r="AB116" s="20"/>
      <c r="AC116" s="159"/>
      <c r="AD116" s="20"/>
      <c r="AE116" s="178"/>
      <c r="AF116" s="20"/>
      <c r="AG116" s="20"/>
      <c r="AH116" s="20"/>
      <c r="AI116" s="159"/>
      <c r="AJ116" s="20"/>
      <c r="AK116" s="178"/>
      <c r="AL116" s="20"/>
      <c r="AM116" s="20"/>
      <c r="AN116" s="20"/>
      <c r="AO116" s="20"/>
      <c r="AP116" s="20"/>
      <c r="AQ116" s="20"/>
      <c r="AR116" s="20">
        <v>0</v>
      </c>
      <c r="AS116" s="20">
        <v>0</v>
      </c>
      <c r="AT116" s="20">
        <v>0</v>
      </c>
      <c r="AU116" s="20">
        <v>0</v>
      </c>
      <c r="AV116" s="20">
        <v>0</v>
      </c>
      <c r="AW116" s="20">
        <f>AS116+AU116</f>
        <v>0</v>
      </c>
      <c r="AX116" s="20">
        <f t="shared" si="116"/>
        <v>0</v>
      </c>
      <c r="AY116" s="20">
        <f t="shared" si="117"/>
        <v>0</v>
      </c>
      <c r="AZ116" s="147"/>
      <c r="BA116" s="15">
        <f t="shared" si="118"/>
        <v>0</v>
      </c>
      <c r="BB116" s="228">
        <v>5350</v>
      </c>
      <c r="BC116" s="147">
        <v>2.6564999999999999</v>
      </c>
      <c r="BD116" s="147"/>
      <c r="BE116" s="147">
        <f>BC116*BB116</f>
        <v>14212.275</v>
      </c>
      <c r="BF116" s="147">
        <v>0</v>
      </c>
      <c r="BG116" s="147">
        <f t="shared" si="119"/>
        <v>14212.275</v>
      </c>
      <c r="BH116" s="413" t="s">
        <v>266</v>
      </c>
      <c r="BI116" s="251">
        <v>930</v>
      </c>
      <c r="BJ116" s="156">
        <f>BC116*1.04</f>
        <v>2.7627600000000001</v>
      </c>
      <c r="BK116" s="150"/>
      <c r="BL116" s="147">
        <f>BJ116*BI116</f>
        <v>2569.3668000000002</v>
      </c>
      <c r="BM116" s="147">
        <v>0</v>
      </c>
      <c r="BN116" s="229">
        <f t="shared" si="120"/>
        <v>2569.3668000000002</v>
      </c>
      <c r="BO116" s="438">
        <v>1300</v>
      </c>
      <c r="BP116" s="156">
        <f>BJ116*1.04</f>
        <v>2.8732704</v>
      </c>
      <c r="BQ116" s="150"/>
      <c r="BR116" s="147">
        <f>BP116*BO116</f>
        <v>3735.2515199999998</v>
      </c>
      <c r="BS116" s="147">
        <v>0</v>
      </c>
      <c r="BT116" s="229">
        <f>BS116+BR116</f>
        <v>3735.2515199999998</v>
      </c>
      <c r="BU116" s="248">
        <v>600</v>
      </c>
      <c r="BV116" s="147">
        <f>BP116*1.04</f>
        <v>2.9882012160000002</v>
      </c>
      <c r="BW116" s="150"/>
      <c r="BX116" s="147">
        <f>BV116*BU116</f>
        <v>1792.9207296000002</v>
      </c>
      <c r="BY116" s="147">
        <v>0</v>
      </c>
      <c r="BZ116" s="229">
        <f>SUM(BX116:BY116)</f>
        <v>1792.9207296000002</v>
      </c>
      <c r="CA116" s="228">
        <f t="shared" si="121"/>
        <v>22309.814049599998</v>
      </c>
      <c r="CB116" s="147">
        <f>BS116+BM116+BF116</f>
        <v>0</v>
      </c>
      <c r="CC116" s="229">
        <f>BZ116+BT116+BN116+BG116</f>
        <v>22309.814049599998</v>
      </c>
      <c r="CD116" s="23"/>
      <c r="CE116" s="20">
        <f>AV116+CA116</f>
        <v>22309.814049599998</v>
      </c>
      <c r="CF116" s="20">
        <f>AW116+CB116</f>
        <v>0</v>
      </c>
      <c r="CG116" s="15">
        <f t="shared" si="124"/>
        <v>22309.814049599998</v>
      </c>
      <c r="CH116" s="314">
        <f t="shared" si="125"/>
        <v>-22309.814049599998</v>
      </c>
      <c r="CI116" s="310">
        <f t="shared" si="125"/>
        <v>0</v>
      </c>
      <c r="CJ116" s="521">
        <f t="shared" si="125"/>
        <v>-22309.814049599998</v>
      </c>
      <c r="CK116" s="530">
        <f t="shared" si="110"/>
        <v>22310</v>
      </c>
      <c r="CL116" s="531">
        <f t="shared" si="111"/>
        <v>0.18595040000218432</v>
      </c>
      <c r="CM116" s="372"/>
      <c r="CN116" s="368"/>
      <c r="CO116" s="368"/>
      <c r="CP116" s="368"/>
      <c r="CQ116" s="368"/>
      <c r="CR116" s="368"/>
      <c r="CS116" s="368"/>
      <c r="CT116" s="368"/>
      <c r="CU116" s="368"/>
      <c r="CV116" s="368"/>
      <c r="CW116" s="368"/>
      <c r="CX116" s="368"/>
      <c r="CY116" s="368"/>
      <c r="CZ116" s="372"/>
      <c r="DA116" s="372"/>
      <c r="DB116" s="372"/>
      <c r="DC116" s="372"/>
      <c r="DD116" s="372"/>
      <c r="DE116" s="372"/>
      <c r="DF116" s="372"/>
      <c r="DG116" s="372"/>
      <c r="DH116" s="372"/>
      <c r="DI116" s="372"/>
      <c r="DJ116" s="372"/>
      <c r="DK116" s="372"/>
      <c r="DL116" s="372"/>
      <c r="DM116" s="372"/>
      <c r="DN116" s="372"/>
      <c r="DO116" s="372"/>
      <c r="DP116" s="372"/>
      <c r="DQ116" s="372"/>
      <c r="DR116" s="372"/>
      <c r="DS116" s="372"/>
      <c r="DT116" s="372"/>
      <c r="DU116" s="372"/>
      <c r="DV116" s="372"/>
      <c r="DW116" s="372"/>
      <c r="DX116" s="372"/>
      <c r="DY116" s="372"/>
      <c r="DZ116" s="372"/>
      <c r="EA116" s="372"/>
      <c r="EB116" s="372"/>
      <c r="EC116" s="372"/>
      <c r="ED116" s="372"/>
      <c r="EE116" s="372"/>
      <c r="EF116" s="372"/>
      <c r="EG116" s="372"/>
      <c r="EH116" s="372"/>
      <c r="EI116" s="372"/>
      <c r="EJ116" s="372"/>
      <c r="EK116" s="372"/>
      <c r="EL116" s="372"/>
      <c r="EM116" s="372">
        <v>22310</v>
      </c>
      <c r="EN116" s="372"/>
      <c r="EO116" s="372"/>
      <c r="EP116" s="372"/>
      <c r="EQ116" s="372"/>
      <c r="ER116" s="372"/>
      <c r="ES116" s="372"/>
    </row>
    <row r="117" spans="1:150" s="126" customFormat="1" ht="19.5" customHeight="1" x14ac:dyDescent="0.45">
      <c r="A117" s="590" t="s">
        <v>445</v>
      </c>
      <c r="B117" s="591">
        <v>89050</v>
      </c>
      <c r="C117" s="590" t="s">
        <v>446</v>
      </c>
      <c r="D117" s="592" t="s">
        <v>462</v>
      </c>
      <c r="E117" s="135">
        <v>107</v>
      </c>
      <c r="F117" s="174" t="s">
        <v>267</v>
      </c>
      <c r="G117" s="155" t="s">
        <v>257</v>
      </c>
      <c r="H117" s="174" t="s">
        <v>258</v>
      </c>
      <c r="I117" s="174" t="s">
        <v>11</v>
      </c>
      <c r="J117" s="159"/>
      <c r="K117" s="178"/>
      <c r="L117" s="178"/>
      <c r="M117" s="156"/>
      <c r="N117" s="20"/>
      <c r="O117" s="20"/>
      <c r="P117" s="20"/>
      <c r="Q117" s="159"/>
      <c r="R117" s="20"/>
      <c r="S117" s="178"/>
      <c r="T117" s="20"/>
      <c r="U117" s="20"/>
      <c r="V117" s="20"/>
      <c r="W117" s="159"/>
      <c r="X117" s="20"/>
      <c r="Y117" s="178"/>
      <c r="Z117" s="20"/>
      <c r="AA117" s="20"/>
      <c r="AB117" s="20"/>
      <c r="AC117" s="159"/>
      <c r="AD117" s="20"/>
      <c r="AE117" s="178"/>
      <c r="AF117" s="20"/>
      <c r="AG117" s="20"/>
      <c r="AH117" s="20"/>
      <c r="AI117" s="159"/>
      <c r="AJ117" s="20"/>
      <c r="AK117" s="178"/>
      <c r="AL117" s="20"/>
      <c r="AM117" s="20"/>
      <c r="AN117" s="20"/>
      <c r="AO117" s="20"/>
      <c r="AP117" s="20"/>
      <c r="AQ117" s="20"/>
      <c r="AR117" s="20">
        <v>0</v>
      </c>
      <c r="AS117" s="20">
        <v>0</v>
      </c>
      <c r="AT117" s="20">
        <v>0</v>
      </c>
      <c r="AU117" s="20">
        <v>0</v>
      </c>
      <c r="AV117" s="20">
        <v>0</v>
      </c>
      <c r="AW117" s="20">
        <f>AS117+AU117</f>
        <v>0</v>
      </c>
      <c r="AX117" s="20">
        <f t="shared" si="116"/>
        <v>0</v>
      </c>
      <c r="AY117" s="20">
        <f t="shared" si="117"/>
        <v>0</v>
      </c>
      <c r="AZ117" s="147"/>
      <c r="BA117" s="15">
        <f t="shared" si="118"/>
        <v>0</v>
      </c>
      <c r="BB117" s="228">
        <v>170</v>
      </c>
      <c r="BC117" s="147">
        <v>25.611799999999999</v>
      </c>
      <c r="BD117" s="147"/>
      <c r="BE117" s="147">
        <f>BC117*BB117</f>
        <v>4354.0059999999994</v>
      </c>
      <c r="BF117" s="147">
        <v>0</v>
      </c>
      <c r="BG117" s="147">
        <f t="shared" si="119"/>
        <v>4354.0059999999994</v>
      </c>
      <c r="BH117" s="413" t="s">
        <v>268</v>
      </c>
      <c r="BI117" s="251">
        <v>110</v>
      </c>
      <c r="BJ117" s="156">
        <f>BC117*1.04</f>
        <v>26.636271999999998</v>
      </c>
      <c r="BK117" s="150"/>
      <c r="BL117" s="147">
        <f>BJ117*BI117</f>
        <v>2929.98992</v>
      </c>
      <c r="BM117" s="147">
        <v>0</v>
      </c>
      <c r="BN117" s="229">
        <f t="shared" si="120"/>
        <v>2929.98992</v>
      </c>
      <c r="BO117" s="438">
        <v>200</v>
      </c>
      <c r="BP117" s="156">
        <f>BJ117*1.04</f>
        <v>27.701722879999998</v>
      </c>
      <c r="BQ117" s="150"/>
      <c r="BR117" s="147">
        <f>BP117*BO117</f>
        <v>5540.3445759999995</v>
      </c>
      <c r="BS117" s="147">
        <v>0</v>
      </c>
      <c r="BT117" s="229">
        <f>BS117+BR117</f>
        <v>5540.3445759999995</v>
      </c>
      <c r="BU117" s="228">
        <v>20</v>
      </c>
      <c r="BV117" s="147">
        <f>BP117*1.04</f>
        <v>28.809791795199999</v>
      </c>
      <c r="BW117" s="147"/>
      <c r="BX117" s="147">
        <f>BV117*BU117</f>
        <v>576.19583590399998</v>
      </c>
      <c r="BY117" s="147">
        <v>0</v>
      </c>
      <c r="BZ117" s="229">
        <f>SUM(BX117:BY117)</f>
        <v>576.19583590399998</v>
      </c>
      <c r="CA117" s="228">
        <f t="shared" si="121"/>
        <v>13400.536331903999</v>
      </c>
      <c r="CB117" s="147">
        <f>BS117+BM117+BF117</f>
        <v>0</v>
      </c>
      <c r="CC117" s="229">
        <f>BZ117+BT117+BN117+BG117</f>
        <v>13400.536331903999</v>
      </c>
      <c r="CD117" s="23"/>
      <c r="CE117" s="20">
        <f>AV117+CA117</f>
        <v>13400.536331903999</v>
      </c>
      <c r="CF117" s="20">
        <f>AW117+CB117</f>
        <v>0</v>
      </c>
      <c r="CG117" s="15">
        <f t="shared" si="124"/>
        <v>13400.536331903999</v>
      </c>
      <c r="CH117" s="314">
        <f t="shared" si="125"/>
        <v>-13400.536331903999</v>
      </c>
      <c r="CI117" s="310">
        <f t="shared" si="125"/>
        <v>0</v>
      </c>
      <c r="CJ117" s="521">
        <f t="shared" si="125"/>
        <v>-13400.536331903999</v>
      </c>
      <c r="CK117" s="530">
        <f t="shared" si="110"/>
        <v>13401</v>
      </c>
      <c r="CL117" s="531">
        <f t="shared" si="111"/>
        <v>0.46366809600112902</v>
      </c>
      <c r="CM117" s="372"/>
      <c r="CN117" s="372"/>
      <c r="CO117" s="372"/>
      <c r="CP117" s="372"/>
      <c r="CQ117" s="372"/>
      <c r="CR117" s="372"/>
      <c r="CS117" s="372"/>
      <c r="CT117" s="372"/>
      <c r="CU117" s="372"/>
      <c r="CV117" s="372"/>
      <c r="CW117" s="372"/>
      <c r="CX117" s="372"/>
      <c r="CY117" s="372"/>
      <c r="CZ117" s="372"/>
      <c r="DA117" s="372"/>
      <c r="DB117" s="372"/>
      <c r="DC117" s="372"/>
      <c r="DD117" s="372"/>
      <c r="DE117" s="372"/>
      <c r="DF117" s="372"/>
      <c r="DG117" s="372"/>
      <c r="DH117" s="372"/>
      <c r="DI117" s="372"/>
      <c r="DJ117" s="372"/>
      <c r="DK117" s="372"/>
      <c r="DL117" s="372"/>
      <c r="DM117" s="372"/>
      <c r="DN117" s="372"/>
      <c r="DO117" s="372"/>
      <c r="DP117" s="372"/>
      <c r="DQ117" s="372"/>
      <c r="DR117" s="372"/>
      <c r="DS117" s="372"/>
      <c r="DT117" s="372"/>
      <c r="DU117" s="372"/>
      <c r="DV117" s="372"/>
      <c r="DW117" s="372"/>
      <c r="DX117" s="372"/>
      <c r="DY117" s="372"/>
      <c r="DZ117" s="372"/>
      <c r="EA117" s="372"/>
      <c r="EB117" s="372"/>
      <c r="EC117" s="372"/>
      <c r="ED117" s="372"/>
      <c r="EE117" s="372"/>
      <c r="EF117" s="372"/>
      <c r="EG117" s="372"/>
      <c r="EH117" s="372"/>
      <c r="EI117" s="372">
        <v>5000</v>
      </c>
      <c r="EJ117" s="372"/>
      <c r="EK117" s="372"/>
      <c r="EL117" s="372"/>
      <c r="EM117" s="372"/>
      <c r="EN117" s="372"/>
      <c r="EO117" s="372"/>
      <c r="EP117" s="372"/>
      <c r="EQ117" s="372">
        <v>8273</v>
      </c>
      <c r="ER117" s="372">
        <v>128</v>
      </c>
      <c r="ES117" s="372"/>
      <c r="ET117" s="372"/>
    </row>
    <row r="118" spans="1:150" s="128" customFormat="1" ht="19.5" customHeight="1" x14ac:dyDescent="0.45">
      <c r="A118" s="161"/>
      <c r="B118" s="161"/>
      <c r="C118" s="161"/>
      <c r="D118" s="161"/>
      <c r="E118" s="135">
        <v>108</v>
      </c>
      <c r="F118" s="161" t="s">
        <v>269</v>
      </c>
      <c r="G118" s="161"/>
      <c r="H118" s="161"/>
      <c r="I118" s="161"/>
      <c r="J118" s="179"/>
      <c r="K118" s="160"/>
      <c r="L118" s="179"/>
      <c r="M118" s="160"/>
      <c r="N118" s="162">
        <f>SUM(N112:N114)</f>
        <v>5556</v>
      </c>
      <c r="O118" s="162">
        <f>SUM(O112:O114)</f>
        <v>33306</v>
      </c>
      <c r="P118" s="162">
        <f>SUM(P112:P114)</f>
        <v>38862</v>
      </c>
      <c r="Q118" s="179"/>
      <c r="R118" s="162"/>
      <c r="S118" s="160"/>
      <c r="T118" s="162">
        <f>SUM(T112:T114)</f>
        <v>5722.68</v>
      </c>
      <c r="U118" s="162">
        <f>SUM(U112:U114)</f>
        <v>0</v>
      </c>
      <c r="V118" s="162">
        <f>SUM(V112:V114)</f>
        <v>5722.68</v>
      </c>
      <c r="W118" s="179"/>
      <c r="X118" s="160"/>
      <c r="Y118" s="160"/>
      <c r="Z118" s="162">
        <f>SUM(Z112:Z114)</f>
        <v>0</v>
      </c>
      <c r="AA118" s="162">
        <f>SUM(AA112:AA114)</f>
        <v>0</v>
      </c>
      <c r="AB118" s="162">
        <f>SUM(AB112:AB114)</f>
        <v>0</v>
      </c>
      <c r="AC118" s="179"/>
      <c r="AD118" s="160"/>
      <c r="AE118" s="160"/>
      <c r="AF118" s="162">
        <f>SUM(AF112:AF114)</f>
        <v>0</v>
      </c>
      <c r="AG118" s="162">
        <f>SUM(AG112:AG114)</f>
        <v>0</v>
      </c>
      <c r="AH118" s="162">
        <f>SUM(AH112:AH114)</f>
        <v>0</v>
      </c>
      <c r="AI118" s="179"/>
      <c r="AJ118" s="160"/>
      <c r="AK118" s="160"/>
      <c r="AL118" s="162">
        <f t="shared" ref="AL118:AQ118" si="126">SUM(AL112:AL114)</f>
        <v>0</v>
      </c>
      <c r="AM118" s="162">
        <f t="shared" si="126"/>
        <v>0</v>
      </c>
      <c r="AN118" s="162">
        <f t="shared" si="126"/>
        <v>0</v>
      </c>
      <c r="AO118" s="162">
        <f t="shared" si="126"/>
        <v>11278.68</v>
      </c>
      <c r="AP118" s="162">
        <f t="shared" si="126"/>
        <v>33306</v>
      </c>
      <c r="AQ118" s="162">
        <f t="shared" si="126"/>
        <v>44584.68</v>
      </c>
      <c r="AR118" s="162">
        <f t="shared" ref="AR118:AY118" si="127">SUM(AR112:AR117)</f>
        <v>0</v>
      </c>
      <c r="AS118" s="162">
        <f t="shared" si="127"/>
        <v>0</v>
      </c>
      <c r="AT118" s="162">
        <f t="shared" si="127"/>
        <v>2774.15</v>
      </c>
      <c r="AU118" s="162">
        <f t="shared" si="127"/>
        <v>0</v>
      </c>
      <c r="AV118" s="162">
        <f t="shared" si="127"/>
        <v>2774.15</v>
      </c>
      <c r="AW118" s="162">
        <f t="shared" si="127"/>
        <v>0</v>
      </c>
      <c r="AX118" s="162">
        <f t="shared" si="127"/>
        <v>2774.15</v>
      </c>
      <c r="AY118" s="162">
        <f t="shared" si="127"/>
        <v>41810.53</v>
      </c>
      <c r="AZ118" s="163">
        <f>AQ118-AR118-AS118-AT118-AU118</f>
        <v>41810.53</v>
      </c>
      <c r="BA118" s="235"/>
      <c r="BB118" s="240"/>
      <c r="BC118" s="163"/>
      <c r="BD118" s="163"/>
      <c r="BE118" s="163">
        <f>SUM(BE112:BE117)</f>
        <v>21566.281000000003</v>
      </c>
      <c r="BF118" s="163">
        <f>SUM(BF112:BF114)</f>
        <v>0</v>
      </c>
      <c r="BG118" s="163">
        <f>SUM(BG113:BG117)</f>
        <v>21566.281000000003</v>
      </c>
      <c r="BH118" s="410"/>
      <c r="BI118" s="240"/>
      <c r="BJ118" s="163">
        <f>SUM(BJ112:BJ116)</f>
        <v>2.7627600000000001</v>
      </c>
      <c r="BK118" s="163"/>
      <c r="BL118" s="163">
        <f>SUM(BL112:BL117)</f>
        <v>5499.3567199999998</v>
      </c>
      <c r="BM118" s="163">
        <f>SUM(BM112:BM117)</f>
        <v>0</v>
      </c>
      <c r="BN118" s="241">
        <f>SUM(BN112:BN117)</f>
        <v>5499.3567199999998</v>
      </c>
      <c r="BO118" s="447"/>
      <c r="BP118" s="163"/>
      <c r="BQ118" s="160"/>
      <c r="BR118" s="163">
        <f>SUM(BR112:BR117)</f>
        <v>9275.5960959999993</v>
      </c>
      <c r="BS118" s="163">
        <f>SUM(BS112:BS117)</f>
        <v>0</v>
      </c>
      <c r="BT118" s="241">
        <f>SUM(BT113:BT117)</f>
        <v>9275.5960959999993</v>
      </c>
      <c r="BU118" s="256"/>
      <c r="BV118" s="163"/>
      <c r="BW118" s="160"/>
      <c r="BX118" s="163">
        <f>SUM(BX112:BX117)</f>
        <v>2369.1165655040004</v>
      </c>
      <c r="BY118" s="163">
        <f>SUM(BY112:BY117)</f>
        <v>0</v>
      </c>
      <c r="BZ118" s="241">
        <f>SUM(BZ112:BZ117)</f>
        <v>2369.1165655040004</v>
      </c>
      <c r="CA118" s="241">
        <f>SUM(CA112:CA117)</f>
        <v>38710.350381503995</v>
      </c>
      <c r="CB118" s="163">
        <f>SUM(CB112:CB117)</f>
        <v>0</v>
      </c>
      <c r="CC118" s="241">
        <f>SUM(CA118:CB118)</f>
        <v>38710.350381503995</v>
      </c>
      <c r="CD118" s="24"/>
      <c r="CE118" s="162">
        <f>CA118+AR118+AT118</f>
        <v>41484.500381503996</v>
      </c>
      <c r="CF118" s="162">
        <f>CB118+AS118+AU118</f>
        <v>0</v>
      </c>
      <c r="CG118" s="299">
        <f t="shared" si="124"/>
        <v>41484.500381503996</v>
      </c>
      <c r="CH118" s="217"/>
      <c r="CI118" s="20"/>
      <c r="CJ118" s="15"/>
      <c r="CK118" s="530">
        <f t="shared" si="110"/>
        <v>0</v>
      </c>
      <c r="CL118" s="531">
        <f t="shared" si="111"/>
        <v>0</v>
      </c>
      <c r="CM118" s="375"/>
      <c r="CN118" s="375"/>
      <c r="CO118" s="375"/>
      <c r="CP118" s="375"/>
      <c r="CQ118" s="375"/>
      <c r="CR118" s="375"/>
      <c r="CS118" s="375"/>
      <c r="CT118" s="375"/>
      <c r="CU118" s="375"/>
      <c r="CV118" s="375"/>
      <c r="CW118" s="375"/>
      <c r="CX118" s="375"/>
      <c r="CY118" s="375"/>
      <c r="CZ118" s="375"/>
      <c r="DA118" s="375"/>
      <c r="DB118" s="375"/>
      <c r="DC118" s="375"/>
      <c r="DD118" s="375"/>
      <c r="DE118" s="375"/>
      <c r="DF118" s="375"/>
      <c r="DG118" s="375"/>
      <c r="DH118" s="375"/>
      <c r="DI118" s="375"/>
      <c r="DJ118" s="375"/>
      <c r="DK118" s="375"/>
      <c r="DL118" s="375"/>
      <c r="DM118" s="375"/>
      <c r="DN118" s="375"/>
      <c r="DO118" s="375"/>
      <c r="DP118" s="375"/>
      <c r="DQ118" s="375"/>
      <c r="DR118" s="375"/>
      <c r="DS118" s="375"/>
      <c r="DT118" s="375"/>
      <c r="DU118" s="375"/>
      <c r="DV118" s="375"/>
      <c r="DW118" s="375"/>
      <c r="DX118" s="375"/>
      <c r="DY118" s="375"/>
      <c r="DZ118" s="375"/>
      <c r="EA118" s="375"/>
      <c r="EB118" s="375"/>
      <c r="EC118" s="375"/>
      <c r="ED118" s="375"/>
      <c r="EE118" s="375"/>
      <c r="EF118" s="375"/>
      <c r="EG118" s="375"/>
      <c r="EH118" s="375"/>
      <c r="EI118" s="372"/>
      <c r="EJ118" s="372"/>
      <c r="EK118" s="372"/>
      <c r="EL118" s="372"/>
      <c r="EM118" s="372"/>
      <c r="EN118" s="372"/>
      <c r="EO118" s="372"/>
      <c r="EP118" s="372"/>
      <c r="EQ118" s="372"/>
      <c r="ER118" s="372"/>
      <c r="ES118" s="372"/>
      <c r="ET118" s="372"/>
    </row>
    <row r="119" spans="1:150" s="126" customFormat="1" ht="19.5" customHeight="1" x14ac:dyDescent="0.45">
      <c r="A119" s="150"/>
      <c r="B119" s="150"/>
      <c r="C119" s="150"/>
      <c r="D119" s="150"/>
      <c r="E119" s="143">
        <v>109</v>
      </c>
      <c r="F119" s="150" t="s">
        <v>270</v>
      </c>
      <c r="G119" s="150"/>
      <c r="H119" s="150"/>
      <c r="I119" s="150"/>
      <c r="J119" s="143"/>
      <c r="K119" s="178"/>
      <c r="L119" s="143"/>
      <c r="M119" s="143"/>
      <c r="N119" s="20"/>
      <c r="O119" s="20"/>
      <c r="P119" s="20"/>
      <c r="Q119" s="143"/>
      <c r="R119" s="143"/>
      <c r="S119" s="143"/>
      <c r="T119" s="20"/>
      <c r="U119" s="20"/>
      <c r="V119" s="20"/>
      <c r="W119" s="143"/>
      <c r="X119" s="143"/>
      <c r="Y119" s="143"/>
      <c r="Z119" s="20"/>
      <c r="AA119" s="20"/>
      <c r="AB119" s="20"/>
      <c r="AC119" s="143"/>
      <c r="AD119" s="143"/>
      <c r="AE119" s="143"/>
      <c r="AF119" s="20"/>
      <c r="AG119" s="20"/>
      <c r="AH119" s="20"/>
      <c r="AI119" s="143"/>
      <c r="AJ119" s="143"/>
      <c r="AK119" s="143"/>
      <c r="AL119" s="20"/>
      <c r="AM119" s="20"/>
      <c r="AN119" s="20"/>
      <c r="AO119" s="20"/>
      <c r="AP119" s="20"/>
      <c r="AQ119" s="20"/>
      <c r="AR119" s="20"/>
      <c r="AS119" s="20"/>
      <c r="AT119" s="20"/>
      <c r="AU119" s="20"/>
      <c r="AV119" s="20"/>
      <c r="AW119" s="20"/>
      <c r="AX119" s="20"/>
      <c r="AY119" s="20"/>
      <c r="AZ119" s="147"/>
      <c r="BA119" s="233"/>
      <c r="BB119" s="248"/>
      <c r="BC119" s="20"/>
      <c r="BD119" s="178"/>
      <c r="BE119" s="20"/>
      <c r="BF119" s="20"/>
      <c r="BG119" s="20"/>
      <c r="BH119" s="406"/>
      <c r="BI119" s="250"/>
      <c r="BJ119" s="150"/>
      <c r="BK119" s="150"/>
      <c r="BL119" s="147"/>
      <c r="BM119" s="147"/>
      <c r="BN119" s="229"/>
      <c r="BO119" s="437"/>
      <c r="BP119" s="150"/>
      <c r="BQ119" s="150"/>
      <c r="BR119" s="147"/>
      <c r="BS119" s="147"/>
      <c r="BT119" s="229"/>
      <c r="BU119" s="228"/>
      <c r="BV119" s="147"/>
      <c r="BW119" s="147"/>
      <c r="BX119" s="147"/>
      <c r="BY119" s="147"/>
      <c r="BZ119" s="229"/>
      <c r="CA119" s="228"/>
      <c r="CB119" s="147"/>
      <c r="CC119" s="229"/>
      <c r="CD119" s="23"/>
      <c r="CE119" s="147"/>
      <c r="CF119" s="147"/>
      <c r="CG119" s="233"/>
      <c r="CH119" s="217"/>
      <c r="CI119" s="20"/>
      <c r="CJ119" s="15"/>
      <c r="CK119" s="530">
        <f t="shared" si="110"/>
        <v>0</v>
      </c>
      <c r="CL119" s="531">
        <f t="shared" si="111"/>
        <v>0</v>
      </c>
      <c r="CM119" s="368"/>
      <c r="CN119" s="368"/>
      <c r="CO119" s="368"/>
      <c r="CP119" s="368"/>
      <c r="CQ119" s="368"/>
      <c r="CR119" s="368"/>
      <c r="CS119" s="368"/>
      <c r="CT119" s="368"/>
      <c r="CU119" s="368"/>
      <c r="CV119" s="368"/>
      <c r="CW119" s="368"/>
      <c r="CX119" s="368"/>
      <c r="CY119" s="368"/>
      <c r="CZ119" s="368"/>
      <c r="DA119" s="368"/>
      <c r="DB119" s="368"/>
      <c r="DC119" s="368"/>
      <c r="DD119" s="368"/>
      <c r="DE119" s="368"/>
      <c r="DF119" s="368"/>
      <c r="DG119" s="368"/>
      <c r="DH119" s="368"/>
      <c r="DI119" s="368"/>
      <c r="DJ119" s="368"/>
      <c r="DK119" s="368"/>
      <c r="DL119" s="368"/>
      <c r="DM119" s="368"/>
      <c r="DN119" s="368"/>
      <c r="DO119" s="368"/>
      <c r="DP119" s="368"/>
      <c r="DQ119" s="368"/>
      <c r="DR119" s="368"/>
      <c r="DS119" s="368"/>
      <c r="DT119" s="368"/>
      <c r="DU119" s="368"/>
      <c r="DV119" s="368"/>
      <c r="DW119" s="368"/>
      <c r="DX119" s="368"/>
      <c r="DY119" s="368"/>
      <c r="DZ119" s="368"/>
      <c r="EA119" s="368"/>
      <c r="EB119" s="368"/>
      <c r="EC119" s="368"/>
      <c r="ED119" s="368"/>
      <c r="EE119" s="368"/>
      <c r="EF119" s="368"/>
      <c r="EG119" s="368"/>
      <c r="EH119" s="368"/>
      <c r="EI119" s="368"/>
      <c r="EJ119" s="368"/>
      <c r="EK119" s="368"/>
      <c r="EL119" s="368"/>
      <c r="EM119" s="368"/>
      <c r="EN119" s="368"/>
      <c r="EO119" s="368"/>
      <c r="EP119" s="368"/>
      <c r="EQ119" s="368"/>
      <c r="ER119" s="368"/>
      <c r="ES119" s="368"/>
    </row>
    <row r="120" spans="1:150" s="126" customFormat="1" ht="19.5" customHeight="1" x14ac:dyDescent="0.45">
      <c r="A120" s="144" t="s">
        <v>445</v>
      </c>
      <c r="B120" s="588">
        <v>89050</v>
      </c>
      <c r="C120" s="144" t="s">
        <v>446</v>
      </c>
      <c r="D120" s="156" t="s">
        <v>463</v>
      </c>
      <c r="E120" s="143">
        <v>110</v>
      </c>
      <c r="F120" s="156" t="s">
        <v>108</v>
      </c>
      <c r="G120" s="156" t="s">
        <v>257</v>
      </c>
      <c r="H120" s="156" t="s">
        <v>271</v>
      </c>
      <c r="I120" s="156" t="s">
        <v>11</v>
      </c>
      <c r="J120" s="159">
        <v>1</v>
      </c>
      <c r="K120" s="178">
        <v>2000</v>
      </c>
      <c r="L120" s="178">
        <v>1</v>
      </c>
      <c r="M120" s="156" t="s">
        <v>272</v>
      </c>
      <c r="N120" s="20">
        <f>L120*K120*J120</f>
        <v>2000</v>
      </c>
      <c r="O120" s="20">
        <v>0</v>
      </c>
      <c r="P120" s="20">
        <f>SUM(N120:O120)</f>
        <v>2000</v>
      </c>
      <c r="Q120" s="159">
        <v>1</v>
      </c>
      <c r="R120" s="20">
        <f>K120*$J$6</f>
        <v>2060</v>
      </c>
      <c r="S120" s="178">
        <v>1</v>
      </c>
      <c r="T120" s="20">
        <f>Q120*R120*S120</f>
        <v>2060</v>
      </c>
      <c r="U120" s="20">
        <v>0</v>
      </c>
      <c r="V120" s="20">
        <f>SUM(T120:U120)</f>
        <v>2060</v>
      </c>
      <c r="W120" s="159">
        <v>1</v>
      </c>
      <c r="X120" s="20">
        <f>K120*$J$6*$J$6</f>
        <v>2121.8000000000002</v>
      </c>
      <c r="Y120" s="178">
        <v>1</v>
      </c>
      <c r="Z120" s="20">
        <f>W120*X120*Y120</f>
        <v>2121.8000000000002</v>
      </c>
      <c r="AA120" s="20">
        <v>0</v>
      </c>
      <c r="AB120" s="20">
        <f>SUM(Z120:AA120)</f>
        <v>2121.8000000000002</v>
      </c>
      <c r="AC120" s="159">
        <v>1</v>
      </c>
      <c r="AD120" s="20">
        <f>K120*$J$6*$J$6*$J$6</f>
        <v>2185.4540000000002</v>
      </c>
      <c r="AE120" s="178">
        <v>1</v>
      </c>
      <c r="AF120" s="20">
        <f>AC120*AD120*AE120</f>
        <v>2185.4540000000002</v>
      </c>
      <c r="AG120" s="20">
        <v>0</v>
      </c>
      <c r="AH120" s="20">
        <f>SUM(AF120:AG120)</f>
        <v>2185.4540000000002</v>
      </c>
      <c r="AI120" s="159">
        <v>1</v>
      </c>
      <c r="AJ120" s="20">
        <f>K120*$J$6*$J$6*$J$6*$J$6</f>
        <v>2251.0176200000001</v>
      </c>
      <c r="AK120" s="178">
        <v>1</v>
      </c>
      <c r="AL120" s="20">
        <f>AI120*AJ120*AK120</f>
        <v>2251.0176200000001</v>
      </c>
      <c r="AM120" s="20">
        <v>0</v>
      </c>
      <c r="AN120" s="20">
        <f>SUM(AL120:AM120)</f>
        <v>2251.0176200000001</v>
      </c>
      <c r="AO120" s="20">
        <f t="shared" ref="AO120:AP123" si="128">N120+T120+Z120+AF120+AL120</f>
        <v>10618.271620000001</v>
      </c>
      <c r="AP120" s="20">
        <f t="shared" si="128"/>
        <v>0</v>
      </c>
      <c r="AQ120" s="20">
        <f>SUM(AO120:AP120)</f>
        <v>10618.271620000001</v>
      </c>
      <c r="AR120" s="147">
        <v>0</v>
      </c>
      <c r="AS120" s="20">
        <v>0</v>
      </c>
      <c r="AT120" s="147">
        <f>1504.41+3471.41+1398.49+746.27+1109.27</f>
        <v>8229.85</v>
      </c>
      <c r="AU120" s="20">
        <v>0</v>
      </c>
      <c r="AV120" s="20">
        <f t="shared" ref="AV120:AW123" si="129">AR120+AT120</f>
        <v>8229.85</v>
      </c>
      <c r="AW120" s="20">
        <f t="shared" si="129"/>
        <v>0</v>
      </c>
      <c r="AX120" s="20">
        <f>AV120+AW120</f>
        <v>8229.85</v>
      </c>
      <c r="AY120" s="20">
        <f>AQ120-AX120</f>
        <v>2388.421620000001</v>
      </c>
      <c r="AZ120" s="147">
        <f>AQ120-AR120-AS120-AT120-AU120</f>
        <v>2388.421620000001</v>
      </c>
      <c r="BA120" s="15">
        <f>AY120-AZ120</f>
        <v>0</v>
      </c>
      <c r="BB120" s="248"/>
      <c r="BC120" s="147">
        <v>0</v>
      </c>
      <c r="BD120" s="178"/>
      <c r="BE120" s="147">
        <f>BC120*BB120</f>
        <v>0</v>
      </c>
      <c r="BF120" s="147">
        <v>0</v>
      </c>
      <c r="BG120" s="147">
        <f>SUM(BE120:BF120)</f>
        <v>0</v>
      </c>
      <c r="BH120" s="407" t="s">
        <v>273</v>
      </c>
      <c r="BI120" s="250"/>
      <c r="BJ120" s="147">
        <v>0</v>
      </c>
      <c r="BK120" s="150"/>
      <c r="BL120" s="147">
        <f>BJ120*BI120</f>
        <v>0</v>
      </c>
      <c r="BM120" s="147">
        <v>0</v>
      </c>
      <c r="BN120" s="229">
        <f>SUM(BL120:BM120)</f>
        <v>0</v>
      </c>
      <c r="BO120" s="437"/>
      <c r="BP120" s="147">
        <v>0</v>
      </c>
      <c r="BQ120" s="150"/>
      <c r="BR120" s="147">
        <f>BP120*BO120</f>
        <v>0</v>
      </c>
      <c r="BS120" s="147">
        <v>0</v>
      </c>
      <c r="BT120" s="229">
        <f>SUM(BR120:BS120)</f>
        <v>0</v>
      </c>
      <c r="BU120" s="250"/>
      <c r="BV120" s="147">
        <v>0</v>
      </c>
      <c r="BW120" s="150"/>
      <c r="BX120" s="147">
        <f>BV120*BU120</f>
        <v>0</v>
      </c>
      <c r="BY120" s="147">
        <v>0</v>
      </c>
      <c r="BZ120" s="229">
        <f>SUM(BX120:BY120)</f>
        <v>0</v>
      </c>
      <c r="CA120" s="228">
        <f>BR120+BL120+BE120+BX120</f>
        <v>0</v>
      </c>
      <c r="CB120" s="147">
        <f>BS120+BM120+BF120</f>
        <v>0</v>
      </c>
      <c r="CC120" s="229">
        <f>BT120+BN120+BG120</f>
        <v>0</v>
      </c>
      <c r="CD120" s="23"/>
      <c r="CE120" s="20">
        <f t="shared" ref="CE120:CF123" si="130">AV120+CA120</f>
        <v>8229.85</v>
      </c>
      <c r="CF120" s="20">
        <f t="shared" si="130"/>
        <v>0</v>
      </c>
      <c r="CG120" s="15">
        <f>CE120+CF120</f>
        <v>8229.85</v>
      </c>
      <c r="CH120" s="376">
        <f t="shared" ref="CH120:CJ123" si="131">AO120-CE120</f>
        <v>2388.421620000001</v>
      </c>
      <c r="CI120" s="377">
        <f t="shared" si="131"/>
        <v>0</v>
      </c>
      <c r="CJ120" s="522">
        <f t="shared" si="131"/>
        <v>2388.421620000001</v>
      </c>
      <c r="CK120" s="532">
        <f t="shared" si="110"/>
        <v>-2388</v>
      </c>
      <c r="CL120" s="533">
        <f t="shared" si="111"/>
        <v>0.42162000000098487</v>
      </c>
      <c r="CM120" s="372"/>
      <c r="CN120" s="372"/>
      <c r="CO120" s="372"/>
      <c r="CP120" s="372"/>
      <c r="CQ120" s="372"/>
      <c r="CR120" s="372"/>
      <c r="CS120" s="372"/>
      <c r="CT120" s="372"/>
      <c r="CU120" s="372"/>
      <c r="CV120" s="372"/>
      <c r="CW120" s="372"/>
      <c r="CX120" s="372"/>
      <c r="CY120" s="372"/>
      <c r="CZ120" s="372"/>
      <c r="DA120" s="372"/>
      <c r="DB120" s="372"/>
      <c r="DC120" s="372"/>
      <c r="DD120" s="372"/>
      <c r="DE120" s="372"/>
      <c r="DF120" s="372"/>
      <c r="DG120" s="372"/>
      <c r="DH120" s="372"/>
      <c r="DI120" s="372"/>
      <c r="DJ120" s="372"/>
      <c r="DK120" s="372"/>
      <c r="DL120" s="372"/>
      <c r="DM120" s="372"/>
      <c r="DN120" s="372"/>
      <c r="DO120" s="372"/>
      <c r="DP120" s="372"/>
      <c r="DQ120" s="372"/>
      <c r="DR120" s="372"/>
      <c r="DS120" s="372"/>
      <c r="DT120" s="372"/>
      <c r="DU120" s="372"/>
      <c r="DV120" s="372"/>
      <c r="DW120" s="372"/>
      <c r="DX120" s="372"/>
      <c r="DY120" s="372"/>
      <c r="DZ120" s="372"/>
      <c r="EA120" s="372"/>
      <c r="EB120" s="372"/>
      <c r="EC120" s="372">
        <v>-2388</v>
      </c>
      <c r="ED120" s="372"/>
      <c r="EE120" s="372"/>
      <c r="EF120" s="372"/>
      <c r="EG120" s="372"/>
      <c r="EH120" s="372"/>
      <c r="EI120" s="372"/>
      <c r="EJ120" s="372"/>
      <c r="EK120" s="372"/>
      <c r="EL120" s="372"/>
      <c r="EM120" s="372"/>
      <c r="EN120" s="372"/>
      <c r="EO120" s="372"/>
      <c r="EP120" s="372"/>
      <c r="EQ120" s="372"/>
      <c r="ER120" s="372"/>
      <c r="ES120" s="372"/>
    </row>
    <row r="121" spans="1:150" s="126" customFormat="1" ht="19.5" customHeight="1" x14ac:dyDescent="0.45">
      <c r="A121" s="144" t="s">
        <v>445</v>
      </c>
      <c r="B121" s="588">
        <v>89050</v>
      </c>
      <c r="C121" s="144" t="s">
        <v>446</v>
      </c>
      <c r="D121" s="156" t="s">
        <v>464</v>
      </c>
      <c r="E121" s="148">
        <v>111</v>
      </c>
      <c r="F121" s="156" t="s">
        <v>109</v>
      </c>
      <c r="G121" s="156" t="s">
        <v>257</v>
      </c>
      <c r="H121" s="156" t="s">
        <v>271</v>
      </c>
      <c r="I121" s="156" t="s">
        <v>11</v>
      </c>
      <c r="J121" s="159">
        <v>1</v>
      </c>
      <c r="K121" s="178">
        <v>25</v>
      </c>
      <c r="L121" s="178">
        <v>6</v>
      </c>
      <c r="M121" s="156" t="s">
        <v>194</v>
      </c>
      <c r="N121" s="20">
        <f>L121*K121*J121</f>
        <v>150</v>
      </c>
      <c r="O121" s="20">
        <v>0</v>
      </c>
      <c r="P121" s="20">
        <f>SUM(N121:O121)</f>
        <v>150</v>
      </c>
      <c r="Q121" s="159">
        <v>1</v>
      </c>
      <c r="R121" s="20">
        <f>K121*$J$6</f>
        <v>25.75</v>
      </c>
      <c r="S121" s="178">
        <v>12</v>
      </c>
      <c r="T121" s="20">
        <f>Q121*R121*S121</f>
        <v>309</v>
      </c>
      <c r="U121" s="20">
        <v>0</v>
      </c>
      <c r="V121" s="20">
        <f>SUM(T121:U121)</f>
        <v>309</v>
      </c>
      <c r="W121" s="159">
        <v>1</v>
      </c>
      <c r="X121" s="20">
        <f>K121*$J$6*$J$6</f>
        <v>26.522500000000001</v>
      </c>
      <c r="Y121" s="178">
        <v>12</v>
      </c>
      <c r="Z121" s="20">
        <f>Y121*X121*W121</f>
        <v>318.27</v>
      </c>
      <c r="AA121" s="20">
        <v>0</v>
      </c>
      <c r="AB121" s="20">
        <f>SUM(Z121:AA121)</f>
        <v>318.27</v>
      </c>
      <c r="AC121" s="159">
        <v>1</v>
      </c>
      <c r="AD121" s="20">
        <f>K121*$J$6*$J$6*$J$6</f>
        <v>27.318175</v>
      </c>
      <c r="AE121" s="178">
        <v>12</v>
      </c>
      <c r="AF121" s="20">
        <f>AE121*AD121*AC121</f>
        <v>327.81810000000002</v>
      </c>
      <c r="AG121" s="20">
        <v>0</v>
      </c>
      <c r="AH121" s="20">
        <f>SUM(AF121:AG121)</f>
        <v>327.81810000000002</v>
      </c>
      <c r="AI121" s="159">
        <v>1</v>
      </c>
      <c r="AJ121" s="20">
        <f>K121*$J$6*$J$6*$J$6*$J$6</f>
        <v>28.137720250000001</v>
      </c>
      <c r="AK121" s="178">
        <v>9</v>
      </c>
      <c r="AL121" s="20">
        <f>AK121*AJ121*AI121</f>
        <v>253.23948225000001</v>
      </c>
      <c r="AM121" s="20">
        <v>0</v>
      </c>
      <c r="AN121" s="20">
        <f>SUM(AL121:AM121)</f>
        <v>253.23948225000001</v>
      </c>
      <c r="AO121" s="20">
        <f t="shared" si="128"/>
        <v>1358.32758225</v>
      </c>
      <c r="AP121" s="20">
        <f t="shared" si="128"/>
        <v>0</v>
      </c>
      <c r="AQ121" s="20">
        <f>SUM(AO121:AP121)</f>
        <v>1358.32758225</v>
      </c>
      <c r="AR121" s="147">
        <v>0</v>
      </c>
      <c r="AS121" s="20">
        <v>0</v>
      </c>
      <c r="AT121" s="147">
        <f>35.4+13.18+16.47+762.01</f>
        <v>827.06</v>
      </c>
      <c r="AU121" s="20">
        <v>0</v>
      </c>
      <c r="AV121" s="20">
        <f t="shared" si="129"/>
        <v>827.06</v>
      </c>
      <c r="AW121" s="20">
        <f t="shared" si="129"/>
        <v>0</v>
      </c>
      <c r="AX121" s="20">
        <f>AV121+AW121</f>
        <v>827.06</v>
      </c>
      <c r="AY121" s="20">
        <f>AQ121-AX121</f>
        <v>531.26758225000003</v>
      </c>
      <c r="AZ121" s="147">
        <f>AQ121-AR121-AS121-AT121-AU121</f>
        <v>531.26758225000003</v>
      </c>
      <c r="BA121" s="15">
        <f>AY121-AZ121</f>
        <v>0</v>
      </c>
      <c r="BB121" s="248"/>
      <c r="BC121" s="147">
        <v>0</v>
      </c>
      <c r="BD121" s="178"/>
      <c r="BE121" s="147">
        <f>BC121*BB121</f>
        <v>0</v>
      </c>
      <c r="BF121" s="147">
        <v>0</v>
      </c>
      <c r="BG121" s="147">
        <f>SUM(BE121:BF121)</f>
        <v>0</v>
      </c>
      <c r="BH121" s="407" t="s">
        <v>274</v>
      </c>
      <c r="BI121" s="248"/>
      <c r="BJ121" s="147">
        <v>0</v>
      </c>
      <c r="BK121" s="178"/>
      <c r="BL121" s="147">
        <f>BJ121*BI121</f>
        <v>0</v>
      </c>
      <c r="BM121" s="147">
        <v>0</v>
      </c>
      <c r="BN121" s="229">
        <f>SUM(BL121:BM121)</f>
        <v>0</v>
      </c>
      <c r="BO121" s="435"/>
      <c r="BP121" s="147">
        <v>0</v>
      </c>
      <c r="BQ121" s="178"/>
      <c r="BR121" s="147">
        <f>BP121*BO121</f>
        <v>0</v>
      </c>
      <c r="BS121" s="147">
        <v>0</v>
      </c>
      <c r="BT121" s="229">
        <f>SUM(BR121:BS121)</f>
        <v>0</v>
      </c>
      <c r="BU121" s="250"/>
      <c r="BV121" s="147">
        <v>0</v>
      </c>
      <c r="BW121" s="150"/>
      <c r="BX121" s="147">
        <f>BV121*BU121</f>
        <v>0</v>
      </c>
      <c r="BY121" s="147">
        <v>0</v>
      </c>
      <c r="BZ121" s="229">
        <f>SUM(BX121:BY121)</f>
        <v>0</v>
      </c>
      <c r="CA121" s="228">
        <f>BR121+BL121+BE121+BX121</f>
        <v>0</v>
      </c>
      <c r="CB121" s="147">
        <f>BS121+BM121+BF121</f>
        <v>0</v>
      </c>
      <c r="CC121" s="229">
        <f>BT121+BN121+BG121</f>
        <v>0</v>
      </c>
      <c r="CD121" s="23"/>
      <c r="CE121" s="20">
        <f t="shared" si="130"/>
        <v>827.06</v>
      </c>
      <c r="CF121" s="20">
        <f t="shared" si="130"/>
        <v>0</v>
      </c>
      <c r="CG121" s="15">
        <f>CE121+CF121</f>
        <v>827.06</v>
      </c>
      <c r="CH121" s="376">
        <f t="shared" si="131"/>
        <v>531.26758225000003</v>
      </c>
      <c r="CI121" s="377">
        <f t="shared" si="131"/>
        <v>0</v>
      </c>
      <c r="CJ121" s="522">
        <f t="shared" si="131"/>
        <v>531.26758225000003</v>
      </c>
      <c r="CK121" s="532">
        <f t="shared" si="110"/>
        <v>-531</v>
      </c>
      <c r="CL121" s="533">
        <f t="shared" si="111"/>
        <v>0.26758225000003222</v>
      </c>
      <c r="CM121" s="372"/>
      <c r="CN121" s="372"/>
      <c r="CO121" s="372"/>
      <c r="CP121" s="372"/>
      <c r="CQ121" s="372"/>
      <c r="CR121" s="372"/>
      <c r="CS121" s="372"/>
      <c r="CT121" s="372"/>
      <c r="CU121" s="372"/>
      <c r="CV121" s="372"/>
      <c r="CW121" s="372"/>
      <c r="CX121" s="372"/>
      <c r="CY121" s="372"/>
      <c r="CZ121" s="372"/>
      <c r="DA121" s="372"/>
      <c r="DB121" s="372"/>
      <c r="DC121" s="372"/>
      <c r="DD121" s="372"/>
      <c r="DE121" s="372"/>
      <c r="DF121" s="372"/>
      <c r="DG121" s="372"/>
      <c r="DH121" s="372"/>
      <c r="DI121" s="372"/>
      <c r="DJ121" s="372"/>
      <c r="DK121" s="372"/>
      <c r="DL121" s="372"/>
      <c r="DM121" s="372"/>
      <c r="DN121" s="372"/>
      <c r="DO121" s="372"/>
      <c r="DP121" s="372"/>
      <c r="DQ121" s="372"/>
      <c r="DR121" s="372"/>
      <c r="DS121" s="372"/>
      <c r="DT121" s="372"/>
      <c r="DU121" s="372"/>
      <c r="DV121" s="372"/>
      <c r="DW121" s="372"/>
      <c r="DX121" s="372"/>
      <c r="DY121" s="372"/>
      <c r="DZ121" s="372"/>
      <c r="EA121" s="372"/>
      <c r="EB121" s="372"/>
      <c r="EC121" s="372"/>
      <c r="ED121" s="372">
        <v>-531</v>
      </c>
      <c r="EE121" s="372"/>
      <c r="EF121" s="372"/>
      <c r="EG121" s="372"/>
      <c r="EH121" s="372"/>
      <c r="EI121" s="372"/>
      <c r="EJ121" s="372"/>
      <c r="EK121" s="372"/>
      <c r="EL121" s="372"/>
      <c r="EM121" s="372"/>
      <c r="EN121" s="372"/>
      <c r="EO121" s="372"/>
      <c r="EP121" s="372"/>
      <c r="EQ121" s="372"/>
      <c r="ER121" s="372"/>
      <c r="ES121" s="372"/>
    </row>
    <row r="122" spans="1:150" s="374" customFormat="1" ht="19.5" customHeight="1" x14ac:dyDescent="0.45">
      <c r="A122" s="144" t="s">
        <v>445</v>
      </c>
      <c r="B122" s="588">
        <v>89050</v>
      </c>
      <c r="C122" s="144" t="s">
        <v>446</v>
      </c>
      <c r="D122" s="171" t="s">
        <v>465</v>
      </c>
      <c r="E122" s="135">
        <v>112</v>
      </c>
      <c r="F122" s="171" t="s">
        <v>110</v>
      </c>
      <c r="G122" s="156" t="s">
        <v>257</v>
      </c>
      <c r="H122" s="171" t="s">
        <v>271</v>
      </c>
      <c r="I122" s="171" t="s">
        <v>11</v>
      </c>
      <c r="J122" s="394">
        <v>1</v>
      </c>
      <c r="K122" s="395">
        <v>300</v>
      </c>
      <c r="L122" s="395">
        <v>6</v>
      </c>
      <c r="M122" s="171" t="s">
        <v>194</v>
      </c>
      <c r="N122" s="195">
        <f>L122*K122*J122</f>
        <v>1800</v>
      </c>
      <c r="O122" s="195">
        <v>0</v>
      </c>
      <c r="P122" s="195">
        <f>SUM(N122:O122)</f>
        <v>1800</v>
      </c>
      <c r="Q122" s="394">
        <v>1</v>
      </c>
      <c r="R122" s="195">
        <f>K122*$J$6</f>
        <v>309</v>
      </c>
      <c r="S122" s="395">
        <v>12</v>
      </c>
      <c r="T122" s="195">
        <f>Q122*R122*S122</f>
        <v>3708</v>
      </c>
      <c r="U122" s="195">
        <v>0</v>
      </c>
      <c r="V122" s="195">
        <f>SUM(T122:U122)</f>
        <v>3708</v>
      </c>
      <c r="W122" s="394">
        <v>1</v>
      </c>
      <c r="X122" s="195">
        <f>K122*$J$6*$J$6</f>
        <v>318.27</v>
      </c>
      <c r="Y122" s="395">
        <v>12</v>
      </c>
      <c r="Z122" s="195">
        <f>Y122*X122*W122</f>
        <v>3819.24</v>
      </c>
      <c r="AA122" s="195">
        <v>0</v>
      </c>
      <c r="AB122" s="195">
        <f>SUM(Z122:AA122)</f>
        <v>3819.24</v>
      </c>
      <c r="AC122" s="394">
        <v>1</v>
      </c>
      <c r="AD122" s="195">
        <f>K122*$J$6*$J$6*$J$6</f>
        <v>327.81810000000002</v>
      </c>
      <c r="AE122" s="395">
        <v>12</v>
      </c>
      <c r="AF122" s="195">
        <f>AE122*AD122*AC122</f>
        <v>3933.8172000000004</v>
      </c>
      <c r="AG122" s="195">
        <v>0</v>
      </c>
      <c r="AH122" s="195">
        <f>SUM(AF122:AG122)</f>
        <v>3933.8172000000004</v>
      </c>
      <c r="AI122" s="394">
        <v>1</v>
      </c>
      <c r="AJ122" s="195">
        <f>K122*$J$6*$J$6*$J$6*$J$6</f>
        <v>337.65264300000001</v>
      </c>
      <c r="AK122" s="395">
        <v>9</v>
      </c>
      <c r="AL122" s="195">
        <f>AK122*AJ122*AI122</f>
        <v>3038.873787</v>
      </c>
      <c r="AM122" s="195">
        <v>0</v>
      </c>
      <c r="AN122" s="195">
        <f>SUM(AL122:AM122)</f>
        <v>3038.873787</v>
      </c>
      <c r="AO122" s="195">
        <f t="shared" si="128"/>
        <v>16299.930987</v>
      </c>
      <c r="AP122" s="195">
        <f t="shared" si="128"/>
        <v>0</v>
      </c>
      <c r="AQ122" s="195">
        <f>SUM(AO122:AP122)</f>
        <v>16299.930987</v>
      </c>
      <c r="AR122" s="147">
        <f>64.31+89.15+19.74</f>
        <v>173.20000000000002</v>
      </c>
      <c r="AS122" s="20">
        <v>0</v>
      </c>
      <c r="AT122" s="147">
        <f>12.92+25.13+243.03+190.26+139.9+124.99+155.54+271.84+139.39+159.52+126.7+74.18</f>
        <v>1663.4</v>
      </c>
      <c r="AU122" s="20">
        <v>0</v>
      </c>
      <c r="AV122" s="20">
        <f t="shared" si="129"/>
        <v>1836.6000000000001</v>
      </c>
      <c r="AW122" s="20">
        <f t="shared" si="129"/>
        <v>0</v>
      </c>
      <c r="AX122" s="20">
        <f>AV122+AW122</f>
        <v>1836.6000000000001</v>
      </c>
      <c r="AY122" s="20">
        <f>AQ122-AX122</f>
        <v>14463.330986999999</v>
      </c>
      <c r="AZ122" s="147">
        <f>AQ122-AR122-AS122-AT122-AU122</f>
        <v>14463.330986999999</v>
      </c>
      <c r="BA122" s="15">
        <f>AY122-AZ122</f>
        <v>0</v>
      </c>
      <c r="BB122" s="248">
        <v>12</v>
      </c>
      <c r="BC122" s="147">
        <v>90.78</v>
      </c>
      <c r="BD122" s="178"/>
      <c r="BE122" s="147">
        <f>BC122*BB122</f>
        <v>1089.3600000000001</v>
      </c>
      <c r="BF122" s="147">
        <v>0</v>
      </c>
      <c r="BG122" s="147">
        <f>SUM(BE122:BF122)</f>
        <v>1089.3600000000001</v>
      </c>
      <c r="BH122" s="407" t="s">
        <v>275</v>
      </c>
      <c r="BI122" s="217"/>
      <c r="BJ122" s="147">
        <f>BC122*1.04</f>
        <v>94.411200000000008</v>
      </c>
      <c r="BK122" s="178"/>
      <c r="BL122" s="147">
        <f>BJ122</f>
        <v>94.411200000000008</v>
      </c>
      <c r="BM122" s="147">
        <v>0</v>
      </c>
      <c r="BN122" s="229">
        <f>SUM(BL122:BM122)</f>
        <v>94.411200000000008</v>
      </c>
      <c r="BO122" s="448">
        <v>1</v>
      </c>
      <c r="BP122" s="147">
        <f>BJ122*1.04</f>
        <v>98.18764800000001</v>
      </c>
      <c r="BQ122" s="147"/>
      <c r="BR122" s="147">
        <f>BP122*BO122</f>
        <v>98.18764800000001</v>
      </c>
      <c r="BS122" s="147">
        <v>0</v>
      </c>
      <c r="BT122" s="229">
        <f>SUM(BR122:BS122)</f>
        <v>98.18764800000001</v>
      </c>
      <c r="BU122" s="228">
        <v>1</v>
      </c>
      <c r="BV122" s="147">
        <v>28</v>
      </c>
      <c r="BW122" s="147">
        <v>8</v>
      </c>
      <c r="BX122" s="147">
        <f>BV122*BU122*BW122</f>
        <v>224</v>
      </c>
      <c r="BY122" s="147">
        <v>0</v>
      </c>
      <c r="BZ122" s="229">
        <f>BY122+BX122</f>
        <v>224</v>
      </c>
      <c r="CA122" s="228">
        <f>BR122+BL122+BE122+BX122</f>
        <v>1505.9588480000002</v>
      </c>
      <c r="CB122" s="147">
        <f>BS122+BM122+BF122</f>
        <v>0</v>
      </c>
      <c r="CC122" s="229">
        <f>CA122+CB122</f>
        <v>1505.9588480000002</v>
      </c>
      <c r="CD122" s="23"/>
      <c r="CE122" s="20">
        <f t="shared" si="130"/>
        <v>3342.5588480000006</v>
      </c>
      <c r="CF122" s="20">
        <f t="shared" si="130"/>
        <v>0</v>
      </c>
      <c r="CG122" s="15">
        <f>CE122+CF122</f>
        <v>3342.5588480000006</v>
      </c>
      <c r="CH122" s="376">
        <f t="shared" si="131"/>
        <v>12957.372138999999</v>
      </c>
      <c r="CI122" s="377">
        <f t="shared" si="131"/>
        <v>0</v>
      </c>
      <c r="CJ122" s="522">
        <f t="shared" si="131"/>
        <v>12957.372138999999</v>
      </c>
      <c r="CK122" s="532">
        <f t="shared" si="110"/>
        <v>-12957</v>
      </c>
      <c r="CL122" s="533">
        <f t="shared" si="111"/>
        <v>0.37213899999915157</v>
      </c>
      <c r="CM122" s="372"/>
      <c r="CN122" s="372"/>
      <c r="CO122" s="372"/>
      <c r="CP122" s="372"/>
      <c r="CQ122" s="372"/>
      <c r="CR122" s="372"/>
      <c r="CS122" s="372"/>
      <c r="CT122" s="372"/>
      <c r="CU122" s="372"/>
      <c r="CV122" s="372"/>
      <c r="CW122" s="372"/>
      <c r="CX122" s="372"/>
      <c r="CY122" s="372"/>
      <c r="CZ122" s="372"/>
      <c r="DA122" s="372"/>
      <c r="DB122" s="372"/>
      <c r="DC122" s="372"/>
      <c r="DD122" s="372"/>
      <c r="DE122" s="372"/>
      <c r="DF122" s="372"/>
      <c r="DG122" s="372"/>
      <c r="DH122" s="372"/>
      <c r="DI122" s="372"/>
      <c r="DJ122" s="372"/>
      <c r="DK122" s="372"/>
      <c r="DL122" s="372"/>
      <c r="DM122" s="372"/>
      <c r="DN122" s="372"/>
      <c r="DO122" s="372"/>
      <c r="DP122" s="372"/>
      <c r="DQ122" s="372"/>
      <c r="DR122" s="372"/>
      <c r="DS122" s="372"/>
      <c r="DT122" s="372"/>
      <c r="DU122" s="372"/>
      <c r="DV122" s="372"/>
      <c r="DW122" s="372"/>
      <c r="DX122" s="372"/>
      <c r="DY122" s="372"/>
      <c r="DZ122" s="372"/>
      <c r="EA122" s="372"/>
      <c r="EB122" s="372"/>
      <c r="EC122" s="372"/>
      <c r="ED122" s="372"/>
      <c r="EE122" s="372">
        <v>-12957</v>
      </c>
      <c r="EF122" s="372"/>
      <c r="EG122" s="372"/>
      <c r="EH122" s="372"/>
      <c r="EI122" s="372"/>
      <c r="EJ122" s="372"/>
      <c r="EK122" s="372"/>
      <c r="EL122" s="372"/>
      <c r="EM122" s="372"/>
      <c r="EN122" s="372"/>
      <c r="EO122" s="372"/>
      <c r="EP122" s="372"/>
      <c r="EQ122" s="372"/>
      <c r="ER122" s="372"/>
      <c r="ES122" s="372"/>
    </row>
    <row r="123" spans="1:150" s="126" customFormat="1" ht="19.5" hidden="1" customHeight="1" x14ac:dyDescent="0.45">
      <c r="A123" s="156"/>
      <c r="B123" s="156"/>
      <c r="C123" s="156"/>
      <c r="D123" s="156"/>
      <c r="E123" s="135">
        <v>113</v>
      </c>
      <c r="F123" s="156" t="s">
        <v>111</v>
      </c>
      <c r="G123" s="156" t="s">
        <v>257</v>
      </c>
      <c r="H123" s="156" t="s">
        <v>271</v>
      </c>
      <c r="I123" s="156" t="s">
        <v>11</v>
      </c>
      <c r="J123" s="159">
        <v>1</v>
      </c>
      <c r="K123" s="178">
        <v>300</v>
      </c>
      <c r="L123" s="178">
        <v>6</v>
      </c>
      <c r="M123" s="156" t="s">
        <v>194</v>
      </c>
      <c r="N123" s="20">
        <f>L123*K123*J123</f>
        <v>1800</v>
      </c>
      <c r="O123" s="20">
        <v>0</v>
      </c>
      <c r="P123" s="20">
        <f>SUM(N123:O123)</f>
        <v>1800</v>
      </c>
      <c r="Q123" s="159">
        <v>1</v>
      </c>
      <c r="R123" s="20">
        <f>K123*$J$7</f>
        <v>312</v>
      </c>
      <c r="S123" s="178">
        <v>12</v>
      </c>
      <c r="T123" s="20">
        <f>Q123*R123*S123</f>
        <v>3744</v>
      </c>
      <c r="U123" s="20">
        <v>0</v>
      </c>
      <c r="V123" s="20">
        <f>SUM(T123:U123)</f>
        <v>3744</v>
      </c>
      <c r="W123" s="159">
        <v>1</v>
      </c>
      <c r="X123" s="20">
        <f>K123*$J$7*$J$7</f>
        <v>324.48</v>
      </c>
      <c r="Y123" s="178">
        <v>12</v>
      </c>
      <c r="Z123" s="20">
        <f>Y123*X123*W123</f>
        <v>3893.76</v>
      </c>
      <c r="AA123" s="20">
        <v>0</v>
      </c>
      <c r="AB123" s="20">
        <f>SUM(Z123:AA123)</f>
        <v>3893.76</v>
      </c>
      <c r="AC123" s="159">
        <v>1</v>
      </c>
      <c r="AD123" s="20">
        <f>K123*$J$7*$J$7*$J$7</f>
        <v>337.45920000000001</v>
      </c>
      <c r="AE123" s="178">
        <v>12</v>
      </c>
      <c r="AF123" s="20">
        <f>AE123*AD123*AC123</f>
        <v>4049.5104000000001</v>
      </c>
      <c r="AG123" s="20">
        <v>0</v>
      </c>
      <c r="AH123" s="20">
        <f>SUM(AF123:AG123)</f>
        <v>4049.5104000000001</v>
      </c>
      <c r="AI123" s="159">
        <v>1</v>
      </c>
      <c r="AJ123" s="20">
        <f>K123*$J$7*$J$7*$J$7*$J$7</f>
        <v>350.95756800000004</v>
      </c>
      <c r="AK123" s="178">
        <v>9</v>
      </c>
      <c r="AL123" s="20">
        <f>AK123*AJ123*AI123</f>
        <v>3158.6181120000001</v>
      </c>
      <c r="AM123" s="20">
        <v>0</v>
      </c>
      <c r="AN123" s="20">
        <f>SUM(AL123:AM123)</f>
        <v>3158.6181120000001</v>
      </c>
      <c r="AO123" s="20">
        <f t="shared" si="128"/>
        <v>16645.888512000001</v>
      </c>
      <c r="AP123" s="20">
        <f t="shared" si="128"/>
        <v>0</v>
      </c>
      <c r="AQ123" s="20">
        <f>SUM(AO123:AP123)</f>
        <v>16645.888512000001</v>
      </c>
      <c r="AR123" s="147">
        <v>0</v>
      </c>
      <c r="AS123" s="20">
        <v>0</v>
      </c>
      <c r="AT123" s="147">
        <v>0</v>
      </c>
      <c r="AU123" s="20">
        <v>0</v>
      </c>
      <c r="AV123" s="20">
        <f t="shared" si="129"/>
        <v>0</v>
      </c>
      <c r="AW123" s="20">
        <f t="shared" si="129"/>
        <v>0</v>
      </c>
      <c r="AX123" s="20">
        <f>AV123+AW123</f>
        <v>0</v>
      </c>
      <c r="AY123" s="20">
        <f>AQ123-AX123</f>
        <v>16645.888512000001</v>
      </c>
      <c r="AZ123" s="147">
        <f>AQ123-AR123-AS123-AT123-AU123</f>
        <v>16645.888512000001</v>
      </c>
      <c r="BA123" s="15">
        <f>AY123-AZ123</f>
        <v>0</v>
      </c>
      <c r="BB123" s="248"/>
      <c r="BC123" s="147">
        <v>0</v>
      </c>
      <c r="BD123" s="178"/>
      <c r="BE123" s="147">
        <f>BC123*BB123</f>
        <v>0</v>
      </c>
      <c r="BF123" s="147">
        <v>0</v>
      </c>
      <c r="BG123" s="147">
        <f>SUM(BE123:BF123)</f>
        <v>0</v>
      </c>
      <c r="BH123" s="407" t="s">
        <v>276</v>
      </c>
      <c r="BI123" s="217"/>
      <c r="BJ123" s="147">
        <v>0</v>
      </c>
      <c r="BK123" s="178"/>
      <c r="BL123" s="147">
        <v>0</v>
      </c>
      <c r="BM123" s="147">
        <v>0</v>
      </c>
      <c r="BN123" s="229">
        <f>SUM(BL123:BM123)</f>
        <v>0</v>
      </c>
      <c r="BO123" s="448"/>
      <c r="BP123" s="147">
        <v>0</v>
      </c>
      <c r="BQ123" s="178"/>
      <c r="BR123" s="147">
        <f>BP123*BO123</f>
        <v>0</v>
      </c>
      <c r="BS123" s="147">
        <v>0</v>
      </c>
      <c r="BT123" s="229">
        <f>SUM(BR123:BS123)</f>
        <v>0</v>
      </c>
      <c r="BU123" s="250"/>
      <c r="BV123" s="147">
        <v>0</v>
      </c>
      <c r="BW123" s="150"/>
      <c r="BX123" s="147">
        <f>BV123*BU123</f>
        <v>0</v>
      </c>
      <c r="BY123" s="147">
        <v>0</v>
      </c>
      <c r="BZ123" s="229">
        <f>SUM(BX123:BY123)</f>
        <v>0</v>
      </c>
      <c r="CA123" s="228">
        <f>BR123+BL123+BE123+BX123</f>
        <v>0</v>
      </c>
      <c r="CB123" s="147">
        <f>BS123+BM123+BF123</f>
        <v>0</v>
      </c>
      <c r="CC123" s="229">
        <f>BT123+BN123+BG123</f>
        <v>0</v>
      </c>
      <c r="CD123" s="23"/>
      <c r="CE123" s="20">
        <f t="shared" si="130"/>
        <v>0</v>
      </c>
      <c r="CF123" s="20">
        <f t="shared" si="130"/>
        <v>0</v>
      </c>
      <c r="CG123" s="15">
        <f>CE123+CF123</f>
        <v>0</v>
      </c>
      <c r="CH123" s="376">
        <f t="shared" si="131"/>
        <v>16645.888512000001</v>
      </c>
      <c r="CI123" s="377">
        <f t="shared" si="131"/>
        <v>0</v>
      </c>
      <c r="CJ123" s="522">
        <f t="shared" si="131"/>
        <v>16645.888512000001</v>
      </c>
      <c r="CK123" s="532">
        <f t="shared" si="110"/>
        <v>-16645</v>
      </c>
      <c r="CL123" s="533">
        <f t="shared" si="111"/>
        <v>0.88851200000135577</v>
      </c>
      <c r="CM123" s="372"/>
      <c r="CN123" s="372"/>
      <c r="CO123" s="372"/>
      <c r="CP123" s="372"/>
      <c r="CQ123" s="372"/>
      <c r="CR123" s="372"/>
      <c r="CS123" s="372"/>
      <c r="CT123" s="372"/>
      <c r="CU123" s="372"/>
      <c r="CV123" s="372"/>
      <c r="CW123" s="372"/>
      <c r="CX123" s="372"/>
      <c r="CY123" s="372"/>
      <c r="CZ123" s="372"/>
      <c r="DA123" s="372"/>
      <c r="DB123" s="372"/>
      <c r="DC123" s="372"/>
      <c r="DD123" s="372"/>
      <c r="DE123" s="372"/>
      <c r="DF123" s="372"/>
      <c r="DG123" s="372"/>
      <c r="DH123" s="372"/>
      <c r="DI123" s="372"/>
      <c r="DJ123" s="372"/>
      <c r="DK123" s="372"/>
      <c r="DL123" s="372"/>
      <c r="DM123" s="372"/>
      <c r="DN123" s="372"/>
      <c r="DO123" s="372"/>
      <c r="DP123" s="372"/>
      <c r="DQ123" s="372"/>
      <c r="DR123" s="372"/>
      <c r="DS123" s="372"/>
      <c r="DT123" s="372"/>
      <c r="DU123" s="372"/>
      <c r="DV123" s="372"/>
      <c r="DW123" s="372"/>
      <c r="DX123" s="372"/>
      <c r="DY123" s="372"/>
      <c r="DZ123" s="372"/>
      <c r="EA123" s="372"/>
      <c r="EB123" s="372"/>
      <c r="EC123" s="372"/>
      <c r="ED123" s="372"/>
      <c r="EE123" s="372"/>
      <c r="EF123" s="372">
        <v>-16645</v>
      </c>
      <c r="EG123" s="372"/>
      <c r="EH123" s="372"/>
      <c r="EI123" s="372"/>
      <c r="EJ123" s="372"/>
      <c r="EK123" s="372"/>
      <c r="EL123" s="372"/>
      <c r="EM123" s="372"/>
      <c r="EN123" s="372"/>
      <c r="EO123" s="372"/>
      <c r="EP123" s="372"/>
      <c r="EQ123" s="372"/>
      <c r="ER123" s="372"/>
      <c r="ES123" s="372"/>
    </row>
    <row r="124" spans="1:150" s="126" customFormat="1" ht="24.6" x14ac:dyDescent="0.45">
      <c r="A124" s="196"/>
      <c r="B124" s="196"/>
      <c r="C124" s="196"/>
      <c r="D124" s="196"/>
      <c r="E124" s="135">
        <v>114</v>
      </c>
      <c r="F124" s="196" t="s">
        <v>277</v>
      </c>
      <c r="G124" s="197"/>
      <c r="H124" s="196"/>
      <c r="I124" s="196"/>
      <c r="J124" s="198"/>
      <c r="K124" s="199"/>
      <c r="L124" s="199"/>
      <c r="M124" s="200"/>
      <c r="N124" s="201"/>
      <c r="O124" s="201"/>
      <c r="P124" s="201"/>
      <c r="Q124" s="198"/>
      <c r="R124" s="201"/>
      <c r="S124" s="199"/>
      <c r="T124" s="201"/>
      <c r="U124" s="201"/>
      <c r="V124" s="201"/>
      <c r="W124" s="198"/>
      <c r="X124" s="201"/>
      <c r="Y124" s="199"/>
      <c r="Z124" s="201"/>
      <c r="AA124" s="201"/>
      <c r="AB124" s="201"/>
      <c r="AC124" s="198"/>
      <c r="AD124" s="201"/>
      <c r="AE124" s="199"/>
      <c r="AF124" s="201"/>
      <c r="AG124" s="201"/>
      <c r="AH124" s="201"/>
      <c r="AI124" s="198"/>
      <c r="AJ124" s="201"/>
      <c r="AK124" s="199"/>
      <c r="AL124" s="201"/>
      <c r="AM124" s="201"/>
      <c r="AN124" s="201"/>
      <c r="AO124" s="201"/>
      <c r="AP124" s="201"/>
      <c r="AQ124" s="201"/>
      <c r="AR124" s="201"/>
      <c r="AS124" s="201"/>
      <c r="AT124" s="201"/>
      <c r="AU124" s="201"/>
      <c r="AV124" s="201"/>
      <c r="AW124" s="201"/>
      <c r="AX124" s="201"/>
      <c r="AY124" s="201"/>
      <c r="AZ124" s="202"/>
      <c r="BA124" s="259"/>
      <c r="BB124" s="273"/>
      <c r="BC124" s="201"/>
      <c r="BD124" s="199"/>
      <c r="BE124" s="202"/>
      <c r="BF124" s="201"/>
      <c r="BG124" s="201"/>
      <c r="BH124" s="423"/>
      <c r="BI124" s="230"/>
      <c r="BJ124" s="201"/>
      <c r="BK124" s="199"/>
      <c r="BL124" s="202"/>
      <c r="BM124" s="202"/>
      <c r="BN124" s="245"/>
      <c r="BO124" s="449"/>
      <c r="BP124" s="201"/>
      <c r="BQ124" s="199"/>
      <c r="BR124" s="201"/>
      <c r="BS124" s="201"/>
      <c r="BT124" s="231"/>
      <c r="BU124" s="230"/>
      <c r="BV124" s="201"/>
      <c r="BW124" s="201"/>
      <c r="BX124" s="201"/>
      <c r="BY124" s="201"/>
      <c r="BZ124" s="231"/>
      <c r="CA124" s="244"/>
      <c r="CB124" s="202"/>
      <c r="CC124" s="245"/>
      <c r="CD124" s="23"/>
      <c r="CE124" s="201"/>
      <c r="CF124" s="201"/>
      <c r="CG124" s="302"/>
      <c r="CH124" s="217"/>
      <c r="CI124" s="20"/>
      <c r="CJ124" s="15"/>
      <c r="CK124" s="530">
        <f t="shared" si="110"/>
        <v>0</v>
      </c>
      <c r="CL124" s="531">
        <f t="shared" si="111"/>
        <v>0</v>
      </c>
      <c r="CM124" s="368"/>
      <c r="CN124" s="368"/>
      <c r="CO124" s="368"/>
      <c r="CP124" s="368"/>
      <c r="CQ124" s="368"/>
      <c r="CR124" s="368"/>
      <c r="CS124" s="368"/>
      <c r="CT124" s="368"/>
      <c r="CU124" s="368"/>
      <c r="CV124" s="368"/>
      <c r="CW124" s="368"/>
      <c r="CX124" s="368"/>
      <c r="CY124" s="368"/>
      <c r="CZ124" s="368"/>
      <c r="DA124" s="368"/>
      <c r="DB124" s="368"/>
      <c r="DC124" s="368"/>
      <c r="DD124" s="368"/>
      <c r="DE124" s="368"/>
      <c r="DF124" s="368"/>
      <c r="DG124" s="368"/>
      <c r="DH124" s="368"/>
      <c r="DI124" s="368"/>
      <c r="DJ124" s="368"/>
      <c r="DK124" s="368"/>
      <c r="DL124" s="368"/>
      <c r="DM124" s="368"/>
      <c r="DN124" s="368"/>
      <c r="DO124" s="368"/>
      <c r="DP124" s="368"/>
      <c r="DQ124" s="368"/>
      <c r="DR124" s="368"/>
      <c r="DS124" s="368"/>
      <c r="DT124" s="368"/>
      <c r="DU124" s="368"/>
      <c r="DV124" s="368"/>
      <c r="DW124" s="368"/>
      <c r="DX124" s="368"/>
      <c r="DY124" s="368"/>
      <c r="DZ124" s="368"/>
      <c r="EA124" s="368"/>
      <c r="EB124" s="368"/>
      <c r="EC124" s="368"/>
      <c r="ED124" s="368"/>
      <c r="EE124" s="368"/>
      <c r="EF124" s="368"/>
      <c r="EG124" s="368"/>
      <c r="EH124" s="368"/>
      <c r="EI124" s="368"/>
      <c r="EJ124" s="368"/>
      <c r="EK124" s="368"/>
      <c r="EL124" s="368"/>
      <c r="EM124" s="368"/>
      <c r="EN124" s="368"/>
      <c r="EO124" s="368"/>
      <c r="EP124" s="368"/>
      <c r="EQ124" s="368"/>
      <c r="ER124" s="368"/>
      <c r="ES124" s="368"/>
    </row>
    <row r="125" spans="1:150" s="126" customFormat="1" ht="19.5" customHeight="1" x14ac:dyDescent="0.45">
      <c r="A125" s="144" t="s">
        <v>445</v>
      </c>
      <c r="B125" s="588">
        <v>89050</v>
      </c>
      <c r="C125" s="144" t="s">
        <v>446</v>
      </c>
      <c r="D125" s="156" t="s">
        <v>466</v>
      </c>
      <c r="E125" s="143">
        <v>115</v>
      </c>
      <c r="F125" s="156" t="s">
        <v>112</v>
      </c>
      <c r="G125" s="156" t="s">
        <v>257</v>
      </c>
      <c r="H125" s="156" t="s">
        <v>271</v>
      </c>
      <c r="I125" s="156" t="s">
        <v>11</v>
      </c>
      <c r="J125" s="159">
        <v>1000</v>
      </c>
      <c r="K125" s="178">
        <v>25</v>
      </c>
      <c r="L125" s="178">
        <v>1</v>
      </c>
      <c r="M125" s="156" t="s">
        <v>221</v>
      </c>
      <c r="N125" s="20">
        <f t="shared" ref="N125:N134" si="132">L125*K125*J125</f>
        <v>25000</v>
      </c>
      <c r="O125" s="20">
        <v>0</v>
      </c>
      <c r="P125" s="20">
        <f t="shared" ref="P125:P134" si="133">SUM(N125:O125)</f>
        <v>25000</v>
      </c>
      <c r="Q125" s="159">
        <v>1000</v>
      </c>
      <c r="R125" s="20">
        <f t="shared" ref="R125:R134" si="134">K125*$J$6</f>
        <v>25.75</v>
      </c>
      <c r="S125" s="178">
        <v>1</v>
      </c>
      <c r="T125" s="20">
        <f>Q125*R125*S125</f>
        <v>25750</v>
      </c>
      <c r="U125" s="20">
        <v>0</v>
      </c>
      <c r="V125" s="20">
        <f t="shared" ref="V125:V134" si="135">SUM(T125:U125)</f>
        <v>25750</v>
      </c>
      <c r="W125" s="159">
        <v>1000</v>
      </c>
      <c r="X125" s="20">
        <f t="shared" ref="X125:X134" si="136">K125*$J$6*$J$6</f>
        <v>26.522500000000001</v>
      </c>
      <c r="Y125" s="178">
        <v>1</v>
      </c>
      <c r="Z125" s="20">
        <f t="shared" ref="Z125:Z134" si="137">Y125*X125*W125</f>
        <v>26522.5</v>
      </c>
      <c r="AA125" s="20">
        <v>0</v>
      </c>
      <c r="AB125" s="20">
        <f t="shared" ref="AB125:AB134" si="138">SUM(Z125:AA125)</f>
        <v>26522.5</v>
      </c>
      <c r="AC125" s="159">
        <v>1000</v>
      </c>
      <c r="AD125" s="20">
        <f t="shared" ref="AD125:AD134" si="139">K125*$J$6*$J$6*$J$6</f>
        <v>27.318175</v>
      </c>
      <c r="AE125" s="178">
        <v>1</v>
      </c>
      <c r="AF125" s="20">
        <f t="shared" ref="AF125:AF134" si="140">AE125*AD125*AC125</f>
        <v>27318.174999999999</v>
      </c>
      <c r="AG125" s="20">
        <v>0</v>
      </c>
      <c r="AH125" s="20">
        <f t="shared" ref="AH125:AH134" si="141">SUM(AF125:AG125)</f>
        <v>27318.174999999999</v>
      </c>
      <c r="AI125" s="159">
        <v>0</v>
      </c>
      <c r="AJ125" s="20">
        <f t="shared" ref="AJ125:AJ134" si="142">K125*$J$6*$J$6*$J$6*$J$6</f>
        <v>28.137720250000001</v>
      </c>
      <c r="AK125" s="178">
        <v>0</v>
      </c>
      <c r="AL125" s="20">
        <f t="shared" ref="AL125:AL134" si="143">AK125*AJ125*AI125</f>
        <v>0</v>
      </c>
      <c r="AM125" s="20">
        <v>0</v>
      </c>
      <c r="AN125" s="20">
        <f t="shared" ref="AN125:AN134" si="144">SUM(AL125:AM125)</f>
        <v>0</v>
      </c>
      <c r="AO125" s="20">
        <f t="shared" ref="AO125:AO134" si="145">N125+T125+Z125+AF125+AL125</f>
        <v>104590.675</v>
      </c>
      <c r="AP125" s="20">
        <f t="shared" ref="AP125:AP134" si="146">O125+U125+AA125+AG125+AM125</f>
        <v>0</v>
      </c>
      <c r="AQ125" s="20">
        <f t="shared" ref="AQ125:AQ134" si="147">SUM(AO125:AP125)</f>
        <v>104590.675</v>
      </c>
      <c r="AR125" s="147">
        <v>0</v>
      </c>
      <c r="AS125" s="20">
        <v>0</v>
      </c>
      <c r="AT125" s="147">
        <f>2791.01+8908.49+10106.98+2062.08+5160.98+2246.94+15444.39-124.14+136.83</f>
        <v>46733.56</v>
      </c>
      <c r="AU125" s="20">
        <v>0</v>
      </c>
      <c r="AV125" s="20">
        <f t="shared" ref="AV125:AV135" si="148">AR125+AT125</f>
        <v>46733.56</v>
      </c>
      <c r="AW125" s="20">
        <f t="shared" ref="AW125:AW135" si="149">AS125+AU125</f>
        <v>0</v>
      </c>
      <c r="AX125" s="20">
        <f t="shared" ref="AX125:AX135" si="150">AV125+AW125</f>
        <v>46733.56</v>
      </c>
      <c r="AY125" s="20">
        <f t="shared" ref="AY125:AY135" si="151">AQ125-AX125</f>
        <v>57857.115000000005</v>
      </c>
      <c r="AZ125" s="147">
        <f t="shared" ref="AZ125:AZ134" si="152">AQ125-AR125-AS125-AT125-AU125</f>
        <v>57857.115000000005</v>
      </c>
      <c r="BA125" s="15">
        <f t="shared" ref="BA125:BA135" si="153">AY125-AZ125</f>
        <v>0</v>
      </c>
      <c r="BB125" s="217"/>
      <c r="BC125" s="147">
        <v>0</v>
      </c>
      <c r="BD125" s="178"/>
      <c r="BE125" s="147">
        <f>BC125*BB125</f>
        <v>0</v>
      </c>
      <c r="BF125" s="147">
        <v>0</v>
      </c>
      <c r="BG125" s="147">
        <f t="shared" ref="BG125:BG135" si="154">SUM(BE125:BF125)</f>
        <v>0</v>
      </c>
      <c r="BH125" s="407" t="s">
        <v>278</v>
      </c>
      <c r="BI125" s="217"/>
      <c r="BJ125" s="147">
        <v>0</v>
      </c>
      <c r="BK125" s="150"/>
      <c r="BL125" s="147">
        <f>BJ125*BI125</f>
        <v>0</v>
      </c>
      <c r="BM125" s="147">
        <v>0</v>
      </c>
      <c r="BN125" s="229">
        <f t="shared" ref="BN125:BN135" si="155">SUM(BL125:BM125)</f>
        <v>0</v>
      </c>
      <c r="BO125" s="448"/>
      <c r="BP125" s="147">
        <v>0</v>
      </c>
      <c r="BQ125" s="150"/>
      <c r="BR125" s="147">
        <f t="shared" ref="BR125:BR135" si="156">BP125</f>
        <v>0</v>
      </c>
      <c r="BS125" s="147">
        <v>0</v>
      </c>
      <c r="BT125" s="229">
        <f t="shared" ref="BT125:BT135" si="157">BS125+BR125</f>
        <v>0</v>
      </c>
      <c r="BU125" s="217"/>
      <c r="BV125" s="147">
        <v>0</v>
      </c>
      <c r="BW125" s="150"/>
      <c r="BX125" s="147">
        <f t="shared" ref="BX125:BX135" si="158">BV125</f>
        <v>0</v>
      </c>
      <c r="BY125" s="147">
        <v>0</v>
      </c>
      <c r="BZ125" s="229">
        <f t="shared" ref="BZ125:BZ135" si="159">BY125+BX125</f>
        <v>0</v>
      </c>
      <c r="CA125" s="228">
        <f t="shared" ref="CA125:CA135" si="160">BR125+BL125+BE125+BX125</f>
        <v>0</v>
      </c>
      <c r="CB125" s="147">
        <f>BS125+BM125+BF125</f>
        <v>0</v>
      </c>
      <c r="CC125" s="229"/>
      <c r="CD125" s="23"/>
      <c r="CE125" s="20">
        <f t="shared" ref="CE125:CE135" si="161">AV125+CA125</f>
        <v>46733.56</v>
      </c>
      <c r="CF125" s="20">
        <f t="shared" ref="CF125:CF135" si="162">AW125+CB125</f>
        <v>0</v>
      </c>
      <c r="CG125" s="15">
        <f t="shared" ref="CG125:CG135" si="163">CE125+CF125</f>
        <v>46733.56</v>
      </c>
      <c r="CH125" s="376">
        <f t="shared" ref="CH125:CH135" si="164">AO125-CE125</f>
        <v>57857.115000000005</v>
      </c>
      <c r="CI125" s="377">
        <f t="shared" ref="CI125:CI135" si="165">AP125-CF125</f>
        <v>0</v>
      </c>
      <c r="CJ125" s="522">
        <f t="shared" ref="CJ125:CJ135" si="166">AQ125-CG125</f>
        <v>57857.115000000005</v>
      </c>
      <c r="CK125" s="532">
        <f t="shared" si="110"/>
        <v>-57857</v>
      </c>
      <c r="CL125" s="533">
        <f t="shared" si="111"/>
        <v>0.11500000000523869</v>
      </c>
      <c r="CM125" s="372"/>
      <c r="CN125" s="372"/>
      <c r="CO125" s="372"/>
      <c r="CP125" s="372"/>
      <c r="CQ125" s="372"/>
      <c r="CR125" s="372"/>
      <c r="CS125" s="372"/>
      <c r="CT125" s="372"/>
      <c r="CU125" s="372"/>
      <c r="CV125" s="372"/>
      <c r="CW125" s="372"/>
      <c r="CX125" s="372"/>
      <c r="CY125" s="372"/>
      <c r="CZ125" s="372"/>
      <c r="DA125" s="372"/>
      <c r="DB125" s="372"/>
      <c r="DC125" s="372"/>
      <c r="DD125" s="372"/>
      <c r="DE125" s="372"/>
      <c r="DF125" s="372"/>
      <c r="DG125" s="372"/>
      <c r="DH125" s="372"/>
      <c r="DI125" s="372"/>
      <c r="DJ125" s="372"/>
      <c r="DK125" s="372"/>
      <c r="DL125" s="372"/>
      <c r="DM125" s="372"/>
      <c r="DN125" s="372"/>
      <c r="DO125" s="372"/>
      <c r="DP125" s="372"/>
      <c r="DQ125" s="372"/>
      <c r="DR125" s="372"/>
      <c r="DS125" s="372"/>
      <c r="DT125" s="372"/>
      <c r="DU125" s="372"/>
      <c r="DV125" s="372"/>
      <c r="DW125" s="372"/>
      <c r="DX125" s="372"/>
      <c r="DY125" s="372"/>
      <c r="DZ125" s="372"/>
      <c r="EA125" s="372"/>
      <c r="EB125" s="372"/>
      <c r="EC125" s="372"/>
      <c r="ED125" s="372"/>
      <c r="EE125" s="372"/>
      <c r="EF125" s="372"/>
      <c r="EG125" s="372">
        <v>-57857</v>
      </c>
      <c r="EH125" s="372"/>
      <c r="EI125" s="372"/>
      <c r="EJ125" s="372"/>
      <c r="EK125" s="372"/>
      <c r="EL125" s="372"/>
      <c r="EM125" s="372"/>
      <c r="EN125" s="372"/>
      <c r="EO125" s="372"/>
      <c r="EP125" s="372"/>
      <c r="EQ125" s="372"/>
      <c r="ER125" s="372"/>
      <c r="ES125" s="372"/>
    </row>
    <row r="126" spans="1:150" s="126" customFormat="1" ht="19.5" customHeight="1" x14ac:dyDescent="0.45">
      <c r="A126" s="144" t="s">
        <v>445</v>
      </c>
      <c r="B126" s="588">
        <v>89050</v>
      </c>
      <c r="C126" s="144" t="s">
        <v>446</v>
      </c>
      <c r="D126" s="194" t="s">
        <v>467</v>
      </c>
      <c r="E126" s="143">
        <v>116</v>
      </c>
      <c r="F126" s="194" t="s">
        <v>113</v>
      </c>
      <c r="G126" s="156" t="s">
        <v>257</v>
      </c>
      <c r="H126" s="156" t="s">
        <v>271</v>
      </c>
      <c r="I126" s="194" t="s">
        <v>11</v>
      </c>
      <c r="J126" s="159">
        <v>3</v>
      </c>
      <c r="K126" s="178">
        <v>8000</v>
      </c>
      <c r="L126" s="178">
        <v>1</v>
      </c>
      <c r="M126" s="156" t="s">
        <v>221</v>
      </c>
      <c r="N126" s="20">
        <f t="shared" si="132"/>
        <v>24000</v>
      </c>
      <c r="O126" s="20">
        <v>0</v>
      </c>
      <c r="P126" s="20">
        <f t="shared" si="133"/>
        <v>24000</v>
      </c>
      <c r="Q126" s="159">
        <v>2</v>
      </c>
      <c r="R126" s="20">
        <f t="shared" si="134"/>
        <v>8240</v>
      </c>
      <c r="S126" s="178">
        <v>1</v>
      </c>
      <c r="T126" s="20">
        <f>Q126*R126*S126</f>
        <v>16480</v>
      </c>
      <c r="U126" s="20">
        <v>0</v>
      </c>
      <c r="V126" s="20">
        <f t="shared" si="135"/>
        <v>16480</v>
      </c>
      <c r="W126" s="159">
        <v>0</v>
      </c>
      <c r="X126" s="20">
        <f t="shared" si="136"/>
        <v>8487.2000000000007</v>
      </c>
      <c r="Y126" s="178">
        <v>0</v>
      </c>
      <c r="Z126" s="20">
        <f t="shared" si="137"/>
        <v>0</v>
      </c>
      <c r="AA126" s="20">
        <v>0</v>
      </c>
      <c r="AB126" s="20">
        <f t="shared" si="138"/>
        <v>0</v>
      </c>
      <c r="AC126" s="159">
        <v>0</v>
      </c>
      <c r="AD126" s="20">
        <f t="shared" si="139"/>
        <v>8741.8160000000007</v>
      </c>
      <c r="AE126" s="178">
        <v>0</v>
      </c>
      <c r="AF126" s="20">
        <f t="shared" si="140"/>
        <v>0</v>
      </c>
      <c r="AG126" s="20">
        <v>0</v>
      </c>
      <c r="AH126" s="20">
        <f t="shared" si="141"/>
        <v>0</v>
      </c>
      <c r="AI126" s="159">
        <v>0</v>
      </c>
      <c r="AJ126" s="20">
        <f t="shared" si="142"/>
        <v>9004.0704800000003</v>
      </c>
      <c r="AK126" s="178">
        <v>0</v>
      </c>
      <c r="AL126" s="20">
        <f t="shared" si="143"/>
        <v>0</v>
      </c>
      <c r="AM126" s="20">
        <v>0</v>
      </c>
      <c r="AN126" s="20">
        <f t="shared" si="144"/>
        <v>0</v>
      </c>
      <c r="AO126" s="20">
        <f t="shared" si="145"/>
        <v>40480</v>
      </c>
      <c r="AP126" s="20">
        <f t="shared" si="146"/>
        <v>0</v>
      </c>
      <c r="AQ126" s="20">
        <f t="shared" si="147"/>
        <v>40480</v>
      </c>
      <c r="AR126" s="147">
        <f>8938.73</f>
        <v>8938.73</v>
      </c>
      <c r="AS126" s="20">
        <v>0</v>
      </c>
      <c r="AT126" s="147">
        <f>145.12</f>
        <v>145.12</v>
      </c>
      <c r="AU126" s="20">
        <v>0</v>
      </c>
      <c r="AV126" s="20">
        <f t="shared" si="148"/>
        <v>9083.85</v>
      </c>
      <c r="AW126" s="20">
        <f t="shared" si="149"/>
        <v>0</v>
      </c>
      <c r="AX126" s="20">
        <f t="shared" si="150"/>
        <v>9083.85</v>
      </c>
      <c r="AY126" s="20">
        <f t="shared" si="151"/>
        <v>31396.15</v>
      </c>
      <c r="AZ126" s="147">
        <f t="shared" si="152"/>
        <v>31396.15</v>
      </c>
      <c r="BA126" s="15">
        <f t="shared" si="153"/>
        <v>0</v>
      </c>
      <c r="BB126" s="217"/>
      <c r="BC126" s="147">
        <v>0</v>
      </c>
      <c r="BD126" s="178"/>
      <c r="BE126" s="147">
        <f>BC126*BB126</f>
        <v>0</v>
      </c>
      <c r="BF126" s="147">
        <v>0</v>
      </c>
      <c r="BG126" s="147">
        <f t="shared" si="154"/>
        <v>0</v>
      </c>
      <c r="BH126" s="407" t="s">
        <v>279</v>
      </c>
      <c r="BI126" s="217"/>
      <c r="BJ126" s="147">
        <v>0</v>
      </c>
      <c r="BK126" s="178"/>
      <c r="BL126" s="147">
        <f>BJ126*BI126</f>
        <v>0</v>
      </c>
      <c r="BM126" s="147">
        <v>0</v>
      </c>
      <c r="BN126" s="229">
        <f t="shared" si="155"/>
        <v>0</v>
      </c>
      <c r="BO126" s="448"/>
      <c r="BP126" s="147">
        <v>0</v>
      </c>
      <c r="BQ126" s="178">
        <v>0</v>
      </c>
      <c r="BR126" s="147">
        <f t="shared" si="156"/>
        <v>0</v>
      </c>
      <c r="BS126" s="147">
        <v>0</v>
      </c>
      <c r="BT126" s="229">
        <f t="shared" si="157"/>
        <v>0</v>
      </c>
      <c r="BU126" s="217"/>
      <c r="BV126" s="147">
        <v>0</v>
      </c>
      <c r="BW126" s="178">
        <v>0</v>
      </c>
      <c r="BX126" s="147">
        <f t="shared" si="158"/>
        <v>0</v>
      </c>
      <c r="BY126" s="147">
        <v>0</v>
      </c>
      <c r="BZ126" s="229">
        <f t="shared" si="159"/>
        <v>0</v>
      </c>
      <c r="CA126" s="228">
        <f t="shared" si="160"/>
        <v>0</v>
      </c>
      <c r="CB126" s="147">
        <f>BS126+BM126+BF126</f>
        <v>0</v>
      </c>
      <c r="CC126" s="229">
        <f>BT126+BN126+BG126</f>
        <v>0</v>
      </c>
      <c r="CD126" s="23"/>
      <c r="CE126" s="20">
        <f t="shared" si="161"/>
        <v>9083.85</v>
      </c>
      <c r="CF126" s="20">
        <f t="shared" si="162"/>
        <v>0</v>
      </c>
      <c r="CG126" s="15">
        <f t="shared" si="163"/>
        <v>9083.85</v>
      </c>
      <c r="CH126" s="376">
        <f t="shared" si="164"/>
        <v>31396.15</v>
      </c>
      <c r="CI126" s="377">
        <f t="shared" si="165"/>
        <v>0</v>
      </c>
      <c r="CJ126" s="522">
        <f t="shared" si="166"/>
        <v>31396.15</v>
      </c>
      <c r="CK126" s="532">
        <f t="shared" si="110"/>
        <v>-31396</v>
      </c>
      <c r="CL126" s="533">
        <f t="shared" si="111"/>
        <v>0.15000000000145519</v>
      </c>
      <c r="CM126" s="372"/>
      <c r="CN126" s="372"/>
      <c r="CO126" s="372"/>
      <c r="CP126" s="372"/>
      <c r="CQ126" s="372"/>
      <c r="CR126" s="372"/>
      <c r="CS126" s="372"/>
      <c r="CT126" s="372"/>
      <c r="CU126" s="372"/>
      <c r="CV126" s="372"/>
      <c r="CW126" s="372"/>
      <c r="CX126" s="372"/>
      <c r="CY126" s="372"/>
      <c r="CZ126" s="372"/>
      <c r="DA126" s="372"/>
      <c r="DB126" s="372"/>
      <c r="DC126" s="372"/>
      <c r="DD126" s="372"/>
      <c r="DE126" s="372"/>
      <c r="DF126" s="372"/>
      <c r="DG126" s="372"/>
      <c r="DH126" s="372"/>
      <c r="DI126" s="372"/>
      <c r="DJ126" s="372"/>
      <c r="DK126" s="372"/>
      <c r="DL126" s="372"/>
      <c r="DM126" s="372"/>
      <c r="DN126" s="372"/>
      <c r="DO126" s="372"/>
      <c r="DP126" s="372"/>
      <c r="DQ126" s="372"/>
      <c r="DR126" s="372"/>
      <c r="DS126" s="372"/>
      <c r="DT126" s="372"/>
      <c r="DU126" s="372"/>
      <c r="DV126" s="372"/>
      <c r="DW126" s="372"/>
      <c r="DX126" s="372"/>
      <c r="DY126" s="372"/>
      <c r="DZ126" s="372"/>
      <c r="EA126" s="372"/>
      <c r="EB126" s="372"/>
      <c r="EC126" s="372"/>
      <c r="ED126" s="372"/>
      <c r="EE126" s="372"/>
      <c r="EF126" s="372"/>
      <c r="EG126" s="372"/>
      <c r="EH126" s="372">
        <v>-31396</v>
      </c>
      <c r="EI126" s="372"/>
      <c r="EJ126" s="372"/>
      <c r="EK126" s="372"/>
      <c r="EL126" s="372"/>
      <c r="EM126" s="372"/>
      <c r="EN126" s="372"/>
      <c r="EO126" s="372"/>
      <c r="EP126" s="372"/>
      <c r="EQ126" s="372"/>
      <c r="ER126" s="372"/>
      <c r="ES126" s="372"/>
    </row>
    <row r="127" spans="1:150" s="126" customFormat="1" ht="19.5" hidden="1" customHeight="1" x14ac:dyDescent="0.45">
      <c r="A127" s="144" t="s">
        <v>445</v>
      </c>
      <c r="B127" s="588">
        <v>89050</v>
      </c>
      <c r="C127" s="144" t="s">
        <v>446</v>
      </c>
      <c r="D127" s="194"/>
      <c r="E127" s="148">
        <v>117</v>
      </c>
      <c r="F127" s="194" t="s">
        <v>114</v>
      </c>
      <c r="G127" s="156" t="s">
        <v>257</v>
      </c>
      <c r="H127" s="156" t="s">
        <v>271</v>
      </c>
      <c r="I127" s="194" t="s">
        <v>11</v>
      </c>
      <c r="J127" s="159">
        <v>1</v>
      </c>
      <c r="K127" s="178">
        <v>4000</v>
      </c>
      <c r="L127" s="178">
        <v>1</v>
      </c>
      <c r="M127" s="156" t="s">
        <v>221</v>
      </c>
      <c r="N127" s="20">
        <f t="shared" si="132"/>
        <v>4000</v>
      </c>
      <c r="O127" s="20">
        <v>0</v>
      </c>
      <c r="P127" s="20">
        <f t="shared" si="133"/>
        <v>4000</v>
      </c>
      <c r="Q127" s="159">
        <v>1</v>
      </c>
      <c r="R127" s="20">
        <f t="shared" si="134"/>
        <v>4120</v>
      </c>
      <c r="S127" s="178">
        <v>1</v>
      </c>
      <c r="T127" s="20">
        <f>Q127*R127*S127</f>
        <v>4120</v>
      </c>
      <c r="U127" s="20">
        <v>0</v>
      </c>
      <c r="V127" s="20">
        <f t="shared" si="135"/>
        <v>4120</v>
      </c>
      <c r="W127" s="159">
        <v>1</v>
      </c>
      <c r="X127" s="20">
        <f t="shared" si="136"/>
        <v>4243.6000000000004</v>
      </c>
      <c r="Y127" s="178">
        <v>1</v>
      </c>
      <c r="Z127" s="20">
        <f t="shared" si="137"/>
        <v>4243.6000000000004</v>
      </c>
      <c r="AA127" s="20">
        <v>0</v>
      </c>
      <c r="AB127" s="20">
        <f t="shared" si="138"/>
        <v>4243.6000000000004</v>
      </c>
      <c r="AC127" s="159">
        <v>1</v>
      </c>
      <c r="AD127" s="20">
        <f t="shared" si="139"/>
        <v>4370.9080000000004</v>
      </c>
      <c r="AE127" s="178">
        <v>1</v>
      </c>
      <c r="AF127" s="20">
        <f t="shared" si="140"/>
        <v>4370.9080000000004</v>
      </c>
      <c r="AG127" s="20">
        <v>0</v>
      </c>
      <c r="AH127" s="20">
        <f t="shared" si="141"/>
        <v>4370.9080000000004</v>
      </c>
      <c r="AI127" s="159">
        <v>1</v>
      </c>
      <c r="AJ127" s="20">
        <f t="shared" si="142"/>
        <v>4502.0352400000002</v>
      </c>
      <c r="AK127" s="178">
        <v>1</v>
      </c>
      <c r="AL127" s="20">
        <f t="shared" si="143"/>
        <v>4502.0352400000002</v>
      </c>
      <c r="AM127" s="20">
        <v>0</v>
      </c>
      <c r="AN127" s="20">
        <f t="shared" si="144"/>
        <v>4502.0352400000002</v>
      </c>
      <c r="AO127" s="20">
        <f t="shared" si="145"/>
        <v>21236.543240000003</v>
      </c>
      <c r="AP127" s="20">
        <f t="shared" si="146"/>
        <v>0</v>
      </c>
      <c r="AQ127" s="20">
        <f t="shared" si="147"/>
        <v>21236.543240000003</v>
      </c>
      <c r="AR127" s="147">
        <v>0</v>
      </c>
      <c r="AS127" s="20">
        <v>0</v>
      </c>
      <c r="AT127" s="147">
        <v>0</v>
      </c>
      <c r="AU127" s="20">
        <v>0</v>
      </c>
      <c r="AV127" s="20">
        <f t="shared" si="148"/>
        <v>0</v>
      </c>
      <c r="AW127" s="20">
        <f t="shared" si="149"/>
        <v>0</v>
      </c>
      <c r="AX127" s="20">
        <f t="shared" si="150"/>
        <v>0</v>
      </c>
      <c r="AY127" s="20">
        <f t="shared" si="151"/>
        <v>21236.543240000003</v>
      </c>
      <c r="AZ127" s="147">
        <f t="shared" si="152"/>
        <v>21236.543240000003</v>
      </c>
      <c r="BA127" s="15">
        <f t="shared" si="153"/>
        <v>0</v>
      </c>
      <c r="BB127" s="248"/>
      <c r="BC127" s="147">
        <v>0</v>
      </c>
      <c r="BD127" s="178"/>
      <c r="BE127" s="147">
        <f>BD127*BC127*BB127</f>
        <v>0</v>
      </c>
      <c r="BF127" s="147">
        <v>0</v>
      </c>
      <c r="BG127" s="147">
        <f t="shared" si="154"/>
        <v>0</v>
      </c>
      <c r="BH127" s="407" t="s">
        <v>280</v>
      </c>
      <c r="BI127" s="248"/>
      <c r="BJ127" s="147">
        <v>0</v>
      </c>
      <c r="BK127" s="178"/>
      <c r="BL127" s="147">
        <f>BK127*BJ127*BI127</f>
        <v>0</v>
      </c>
      <c r="BM127" s="147">
        <v>0</v>
      </c>
      <c r="BN127" s="229">
        <f t="shared" si="155"/>
        <v>0</v>
      </c>
      <c r="BO127" s="435"/>
      <c r="BP127" s="147">
        <v>0</v>
      </c>
      <c r="BQ127" s="178">
        <v>0</v>
      </c>
      <c r="BR127" s="147">
        <f t="shared" si="156"/>
        <v>0</v>
      </c>
      <c r="BS127" s="147">
        <v>0</v>
      </c>
      <c r="BT127" s="229">
        <f t="shared" si="157"/>
        <v>0</v>
      </c>
      <c r="BU127" s="248"/>
      <c r="BV127" s="147">
        <v>0</v>
      </c>
      <c r="BW127" s="178">
        <v>0</v>
      </c>
      <c r="BX127" s="147">
        <f t="shared" si="158"/>
        <v>0</v>
      </c>
      <c r="BY127" s="147">
        <v>0</v>
      </c>
      <c r="BZ127" s="229">
        <f t="shared" si="159"/>
        <v>0</v>
      </c>
      <c r="CA127" s="228">
        <f t="shared" si="160"/>
        <v>0</v>
      </c>
      <c r="CB127" s="147">
        <f>BS127+BM127+BF127</f>
        <v>0</v>
      </c>
      <c r="CC127" s="229">
        <f>BT127+BN127+BG127</f>
        <v>0</v>
      </c>
      <c r="CD127" s="23"/>
      <c r="CE127" s="20">
        <f t="shared" si="161"/>
        <v>0</v>
      </c>
      <c r="CF127" s="20">
        <f t="shared" si="162"/>
        <v>0</v>
      </c>
      <c r="CG127" s="15">
        <f t="shared" si="163"/>
        <v>0</v>
      </c>
      <c r="CH127" s="376">
        <f t="shared" si="164"/>
        <v>21236.543240000003</v>
      </c>
      <c r="CI127" s="377">
        <f t="shared" si="165"/>
        <v>0</v>
      </c>
      <c r="CJ127" s="522">
        <f t="shared" si="166"/>
        <v>21236.543240000003</v>
      </c>
      <c r="CK127" s="532">
        <f t="shared" si="110"/>
        <v>-21237</v>
      </c>
      <c r="CL127" s="533">
        <f t="shared" si="111"/>
        <v>-0.45675999999730266</v>
      </c>
      <c r="CM127" s="372"/>
      <c r="CN127" s="372"/>
      <c r="CO127" s="372"/>
      <c r="CP127" s="372"/>
      <c r="CQ127" s="372"/>
      <c r="CR127" s="372"/>
      <c r="CS127" s="372"/>
      <c r="CT127" s="372"/>
      <c r="CU127" s="372"/>
      <c r="CV127" s="372"/>
      <c r="CW127" s="372"/>
      <c r="CX127" s="372"/>
      <c r="CY127" s="372"/>
      <c r="CZ127" s="372"/>
      <c r="DA127" s="372"/>
      <c r="DB127" s="372"/>
      <c r="DC127" s="372"/>
      <c r="DD127" s="372"/>
      <c r="DE127" s="372"/>
      <c r="DF127" s="372"/>
      <c r="DG127" s="372"/>
      <c r="DH127" s="372"/>
      <c r="DI127" s="372"/>
      <c r="DJ127" s="372"/>
      <c r="DK127" s="372"/>
      <c r="DL127" s="372"/>
      <c r="DM127" s="372"/>
      <c r="DN127" s="372"/>
      <c r="DO127" s="372"/>
      <c r="DP127" s="372"/>
      <c r="DQ127" s="372"/>
      <c r="DR127" s="372"/>
      <c r="DS127" s="372"/>
      <c r="DT127" s="372"/>
      <c r="DU127" s="372"/>
      <c r="DV127" s="372"/>
      <c r="DW127" s="372"/>
      <c r="DX127" s="372"/>
      <c r="DY127" s="372"/>
      <c r="DZ127" s="372"/>
      <c r="EA127" s="372"/>
      <c r="EB127" s="372"/>
      <c r="EC127" s="372"/>
      <c r="ED127" s="372"/>
      <c r="EE127" s="372"/>
      <c r="EF127" s="372"/>
      <c r="EG127" s="372"/>
      <c r="EH127" s="372"/>
      <c r="EI127" s="372">
        <v>-21237</v>
      </c>
      <c r="EJ127" s="372"/>
      <c r="EK127" s="372"/>
      <c r="EL127" s="372"/>
      <c r="EM127" s="372"/>
      <c r="EN127" s="372"/>
      <c r="EO127" s="372"/>
      <c r="EP127" s="372"/>
      <c r="EQ127" s="372"/>
      <c r="ER127" s="372"/>
      <c r="ES127" s="372"/>
    </row>
    <row r="128" spans="1:150" s="126" customFormat="1" ht="19.5" customHeight="1" x14ac:dyDescent="0.45">
      <c r="A128" s="144" t="s">
        <v>445</v>
      </c>
      <c r="B128" s="588">
        <v>89050</v>
      </c>
      <c r="C128" s="144" t="s">
        <v>446</v>
      </c>
      <c r="D128" s="156" t="s">
        <v>468</v>
      </c>
      <c r="E128" s="135">
        <v>118</v>
      </c>
      <c r="F128" s="156" t="s">
        <v>281</v>
      </c>
      <c r="G128" s="156" t="s">
        <v>257</v>
      </c>
      <c r="H128" s="156" t="s">
        <v>271</v>
      </c>
      <c r="I128" s="156" t="s">
        <v>11</v>
      </c>
      <c r="J128" s="159">
        <v>1</v>
      </c>
      <c r="K128" s="178">
        <v>12000</v>
      </c>
      <c r="L128" s="178">
        <v>1</v>
      </c>
      <c r="M128" s="156" t="s">
        <v>221</v>
      </c>
      <c r="N128" s="20">
        <f t="shared" si="132"/>
        <v>12000</v>
      </c>
      <c r="O128" s="20">
        <v>0</v>
      </c>
      <c r="P128" s="20">
        <f t="shared" si="133"/>
        <v>12000</v>
      </c>
      <c r="Q128" s="159">
        <v>1</v>
      </c>
      <c r="R128" s="20">
        <f t="shared" si="134"/>
        <v>12360</v>
      </c>
      <c r="S128" s="178">
        <v>1</v>
      </c>
      <c r="T128" s="20">
        <f t="shared" ref="T128:T134" si="167">Q128*R128*S128</f>
        <v>12360</v>
      </c>
      <c r="U128" s="20">
        <v>0</v>
      </c>
      <c r="V128" s="20">
        <f t="shared" si="135"/>
        <v>12360</v>
      </c>
      <c r="W128" s="159">
        <v>1</v>
      </c>
      <c r="X128" s="20">
        <f t="shared" si="136"/>
        <v>12730.800000000001</v>
      </c>
      <c r="Y128" s="178">
        <v>1</v>
      </c>
      <c r="Z128" s="20">
        <f t="shared" si="137"/>
        <v>12730.800000000001</v>
      </c>
      <c r="AA128" s="20">
        <v>0</v>
      </c>
      <c r="AB128" s="20">
        <f t="shared" si="138"/>
        <v>12730.800000000001</v>
      </c>
      <c r="AC128" s="159">
        <v>1</v>
      </c>
      <c r="AD128" s="20">
        <f t="shared" si="139"/>
        <v>13112.724000000002</v>
      </c>
      <c r="AE128" s="178">
        <v>1</v>
      </c>
      <c r="AF128" s="20">
        <f t="shared" si="140"/>
        <v>13112.724000000002</v>
      </c>
      <c r="AG128" s="20">
        <v>0</v>
      </c>
      <c r="AH128" s="20">
        <f t="shared" si="141"/>
        <v>13112.724000000002</v>
      </c>
      <c r="AI128" s="159">
        <v>0</v>
      </c>
      <c r="AJ128" s="20">
        <f t="shared" si="142"/>
        <v>13506.105720000003</v>
      </c>
      <c r="AK128" s="178">
        <v>0</v>
      </c>
      <c r="AL128" s="20">
        <f t="shared" si="143"/>
        <v>0</v>
      </c>
      <c r="AM128" s="20">
        <v>0</v>
      </c>
      <c r="AN128" s="20">
        <f t="shared" si="144"/>
        <v>0</v>
      </c>
      <c r="AO128" s="20">
        <f t="shared" si="145"/>
        <v>50203.524000000005</v>
      </c>
      <c r="AP128" s="20">
        <f t="shared" si="146"/>
        <v>0</v>
      </c>
      <c r="AQ128" s="20">
        <f t="shared" si="147"/>
        <v>50203.524000000005</v>
      </c>
      <c r="AR128" s="147">
        <f>1453.74+7050.87+2212.39+398.89</f>
        <v>11115.89</v>
      </c>
      <c r="AS128" s="20">
        <v>0</v>
      </c>
      <c r="AT128" s="147">
        <f>3158.55+10662.34+3044.12+26239.82+1389.88+6552.71+173.6</f>
        <v>51221.02</v>
      </c>
      <c r="AU128" s="20">
        <v>0</v>
      </c>
      <c r="AV128" s="20">
        <f t="shared" si="148"/>
        <v>62336.909999999996</v>
      </c>
      <c r="AW128" s="20">
        <f t="shared" si="149"/>
        <v>0</v>
      </c>
      <c r="AX128" s="20">
        <f t="shared" si="150"/>
        <v>62336.909999999996</v>
      </c>
      <c r="AY128" s="20">
        <f t="shared" si="151"/>
        <v>-12133.385999999991</v>
      </c>
      <c r="AZ128" s="147">
        <f t="shared" si="152"/>
        <v>-12133.385999999991</v>
      </c>
      <c r="BA128" s="15">
        <f t="shared" si="153"/>
        <v>0</v>
      </c>
      <c r="BB128" s="217"/>
      <c r="BC128" s="147">
        <v>0</v>
      </c>
      <c r="BD128" s="178"/>
      <c r="BE128" s="147">
        <f>BC128*BD128*BB128</f>
        <v>0</v>
      </c>
      <c r="BF128" s="147">
        <v>0</v>
      </c>
      <c r="BG128" s="147">
        <f t="shared" si="154"/>
        <v>0</v>
      </c>
      <c r="BH128" s="407" t="s">
        <v>282</v>
      </c>
      <c r="BI128" s="217"/>
      <c r="BJ128" s="147">
        <v>0</v>
      </c>
      <c r="BK128" s="178"/>
      <c r="BL128" s="147">
        <f>BJ128*BI128*BK128</f>
        <v>0</v>
      </c>
      <c r="BM128" s="147">
        <v>0</v>
      </c>
      <c r="BN128" s="229">
        <f t="shared" si="155"/>
        <v>0</v>
      </c>
      <c r="BO128" s="448"/>
      <c r="BP128" s="147">
        <v>0</v>
      </c>
      <c r="BQ128" s="178">
        <v>0</v>
      </c>
      <c r="BR128" s="147">
        <f t="shared" si="156"/>
        <v>0</v>
      </c>
      <c r="BS128" s="147">
        <v>0</v>
      </c>
      <c r="BT128" s="229">
        <f t="shared" si="157"/>
        <v>0</v>
      </c>
      <c r="BU128" s="217"/>
      <c r="BV128" s="147">
        <v>0</v>
      </c>
      <c r="BW128" s="178">
        <v>0</v>
      </c>
      <c r="BX128" s="147">
        <f t="shared" si="158"/>
        <v>0</v>
      </c>
      <c r="BY128" s="147">
        <v>0</v>
      </c>
      <c r="BZ128" s="229">
        <f t="shared" si="159"/>
        <v>0</v>
      </c>
      <c r="CA128" s="228">
        <f t="shared" si="160"/>
        <v>0</v>
      </c>
      <c r="CB128" s="147">
        <f>BS128+BM128+BF128</f>
        <v>0</v>
      </c>
      <c r="CC128" s="229">
        <f>BT128+BN128+BG128</f>
        <v>0</v>
      </c>
      <c r="CD128" s="23"/>
      <c r="CE128" s="20">
        <f t="shared" si="161"/>
        <v>62336.909999999996</v>
      </c>
      <c r="CF128" s="20">
        <f t="shared" si="162"/>
        <v>0</v>
      </c>
      <c r="CG128" s="15">
        <f t="shared" si="163"/>
        <v>62336.909999999996</v>
      </c>
      <c r="CH128" s="376">
        <f t="shared" si="164"/>
        <v>-12133.385999999991</v>
      </c>
      <c r="CI128" s="377">
        <f t="shared" si="165"/>
        <v>0</v>
      </c>
      <c r="CJ128" s="522">
        <f t="shared" si="166"/>
        <v>-12133.385999999991</v>
      </c>
      <c r="CK128" s="532">
        <f t="shared" si="110"/>
        <v>12133</v>
      </c>
      <c r="CL128" s="533">
        <f t="shared" si="111"/>
        <v>-0.38599999999132706</v>
      </c>
      <c r="CM128" s="372"/>
      <c r="CN128" s="372"/>
      <c r="CO128" s="372"/>
      <c r="CP128" s="372"/>
      <c r="CQ128" s="372"/>
      <c r="CR128" s="372"/>
      <c r="CS128" s="372"/>
      <c r="CT128" s="372"/>
      <c r="CU128" s="372"/>
      <c r="CV128" s="372"/>
      <c r="CW128" s="372"/>
      <c r="CX128" s="372"/>
      <c r="CY128" s="372"/>
      <c r="CZ128" s="372"/>
      <c r="DA128" s="372"/>
      <c r="DB128" s="372"/>
      <c r="DC128" s="372"/>
      <c r="DD128" s="372"/>
      <c r="DE128" s="372"/>
      <c r="DF128" s="372"/>
      <c r="DG128" s="372"/>
      <c r="DH128" s="372"/>
      <c r="DI128" s="372"/>
      <c r="DJ128" s="372"/>
      <c r="DK128" s="372"/>
      <c r="DL128" s="372"/>
      <c r="DM128" s="372"/>
      <c r="DN128" s="372"/>
      <c r="DO128" s="372"/>
      <c r="DP128" s="372"/>
      <c r="DQ128" s="372"/>
      <c r="DR128" s="372"/>
      <c r="DS128" s="372"/>
      <c r="DT128" s="372"/>
      <c r="DU128" s="372"/>
      <c r="DV128" s="372"/>
      <c r="DW128" s="372"/>
      <c r="DX128" s="372"/>
      <c r="DY128" s="372"/>
      <c r="DZ128" s="372"/>
      <c r="EA128" s="372"/>
      <c r="EB128" s="372"/>
      <c r="EC128" s="372"/>
      <c r="ED128" s="372"/>
      <c r="EE128" s="372">
        <v>12133</v>
      </c>
      <c r="EF128" s="372"/>
      <c r="EG128" s="372"/>
      <c r="EH128" s="372"/>
      <c r="EI128" s="372"/>
      <c r="EJ128" s="372"/>
      <c r="EK128" s="372"/>
      <c r="EL128" s="372"/>
      <c r="EM128" s="372"/>
      <c r="EN128" s="372"/>
      <c r="EO128" s="372"/>
      <c r="EP128" s="372"/>
      <c r="EQ128" s="372"/>
      <c r="ER128" s="372"/>
      <c r="ES128" s="372"/>
    </row>
    <row r="129" spans="1:149" s="126" customFormat="1" ht="19.5" customHeight="1" x14ac:dyDescent="0.45">
      <c r="A129" s="144" t="s">
        <v>445</v>
      </c>
      <c r="B129" s="588">
        <v>89050</v>
      </c>
      <c r="C129" s="144" t="s">
        <v>446</v>
      </c>
      <c r="D129" s="156" t="s">
        <v>469</v>
      </c>
      <c r="E129" s="135">
        <v>119</v>
      </c>
      <c r="F129" s="156" t="s">
        <v>283</v>
      </c>
      <c r="G129" s="156" t="s">
        <v>257</v>
      </c>
      <c r="H129" s="156" t="s">
        <v>271</v>
      </c>
      <c r="I129" s="156" t="s">
        <v>11</v>
      </c>
      <c r="J129" s="159">
        <v>30</v>
      </c>
      <c r="K129" s="178">
        <v>42</v>
      </c>
      <c r="L129" s="178">
        <v>1</v>
      </c>
      <c r="M129" s="156" t="s">
        <v>221</v>
      </c>
      <c r="N129" s="20">
        <f t="shared" si="132"/>
        <v>1260</v>
      </c>
      <c r="O129" s="20">
        <v>0</v>
      </c>
      <c r="P129" s="20">
        <f t="shared" si="133"/>
        <v>1260</v>
      </c>
      <c r="Q129" s="159">
        <v>30</v>
      </c>
      <c r="R129" s="20">
        <f t="shared" si="134"/>
        <v>43.26</v>
      </c>
      <c r="S129" s="178">
        <v>1</v>
      </c>
      <c r="T129" s="20">
        <f t="shared" si="167"/>
        <v>1297.8</v>
      </c>
      <c r="U129" s="20">
        <v>0</v>
      </c>
      <c r="V129" s="20">
        <f t="shared" si="135"/>
        <v>1297.8</v>
      </c>
      <c r="W129" s="159">
        <v>30</v>
      </c>
      <c r="X129" s="20">
        <f t="shared" si="136"/>
        <v>44.5578</v>
      </c>
      <c r="Y129" s="178">
        <v>1</v>
      </c>
      <c r="Z129" s="20">
        <f t="shared" si="137"/>
        <v>1336.7339999999999</v>
      </c>
      <c r="AA129" s="20">
        <v>0</v>
      </c>
      <c r="AB129" s="20">
        <f t="shared" si="138"/>
        <v>1336.7339999999999</v>
      </c>
      <c r="AC129" s="159">
        <v>30</v>
      </c>
      <c r="AD129" s="20">
        <f t="shared" si="139"/>
        <v>45.894534</v>
      </c>
      <c r="AE129" s="178">
        <v>1</v>
      </c>
      <c r="AF129" s="20">
        <f t="shared" si="140"/>
        <v>1376.83602</v>
      </c>
      <c r="AG129" s="20">
        <v>0</v>
      </c>
      <c r="AH129" s="20">
        <f t="shared" si="141"/>
        <v>1376.83602</v>
      </c>
      <c r="AI129" s="159">
        <v>0</v>
      </c>
      <c r="AJ129" s="20">
        <f t="shared" si="142"/>
        <v>47.271370019999999</v>
      </c>
      <c r="AK129" s="178">
        <v>0</v>
      </c>
      <c r="AL129" s="20">
        <f t="shared" si="143"/>
        <v>0</v>
      </c>
      <c r="AM129" s="20">
        <v>0</v>
      </c>
      <c r="AN129" s="20">
        <f t="shared" si="144"/>
        <v>0</v>
      </c>
      <c r="AO129" s="20">
        <f t="shared" si="145"/>
        <v>5271.3700200000003</v>
      </c>
      <c r="AP129" s="20">
        <f t="shared" si="146"/>
        <v>0</v>
      </c>
      <c r="AQ129" s="20">
        <f t="shared" si="147"/>
        <v>5271.3700200000003</v>
      </c>
      <c r="AR129" s="147">
        <v>0</v>
      </c>
      <c r="AS129" s="20">
        <v>0</v>
      </c>
      <c r="AT129" s="147">
        <f>27651.1+50.85+5382.39+9145.94+4139.54+5569.21+1264.44+2797.07</f>
        <v>56000.54</v>
      </c>
      <c r="AU129" s="20">
        <v>0</v>
      </c>
      <c r="AV129" s="20">
        <f t="shared" si="148"/>
        <v>56000.54</v>
      </c>
      <c r="AW129" s="20">
        <f t="shared" si="149"/>
        <v>0</v>
      </c>
      <c r="AX129" s="20">
        <f t="shared" si="150"/>
        <v>56000.54</v>
      </c>
      <c r="AY129" s="20">
        <f t="shared" si="151"/>
        <v>-50729.169979999999</v>
      </c>
      <c r="AZ129" s="147">
        <f t="shared" si="152"/>
        <v>-50729.169979999999</v>
      </c>
      <c r="BA129" s="15">
        <f t="shared" si="153"/>
        <v>0</v>
      </c>
      <c r="BB129" s="251">
        <v>1</v>
      </c>
      <c r="BC129" s="147">
        <v>23.08</v>
      </c>
      <c r="BD129" s="156"/>
      <c r="BE129" s="147">
        <f>BC129</f>
        <v>23.08</v>
      </c>
      <c r="BF129" s="147">
        <v>0</v>
      </c>
      <c r="BG129" s="147">
        <f t="shared" si="154"/>
        <v>23.08</v>
      </c>
      <c r="BH129" s="413" t="s">
        <v>284</v>
      </c>
      <c r="BI129" s="257"/>
      <c r="BJ129" s="147">
        <v>0</v>
      </c>
      <c r="BK129" s="156"/>
      <c r="BL129" s="147">
        <f>SUM(BL126:BL128)</f>
        <v>0</v>
      </c>
      <c r="BM129" s="147">
        <v>0</v>
      </c>
      <c r="BN129" s="229">
        <f t="shared" si="155"/>
        <v>0</v>
      </c>
      <c r="BO129" s="450"/>
      <c r="BP129" s="147">
        <v>0</v>
      </c>
      <c r="BQ129" s="156"/>
      <c r="BR129" s="147">
        <f t="shared" si="156"/>
        <v>0</v>
      </c>
      <c r="BS129" s="147">
        <v>0</v>
      </c>
      <c r="BT129" s="229">
        <f t="shared" si="157"/>
        <v>0</v>
      </c>
      <c r="BU129" s="257"/>
      <c r="BV129" s="147">
        <v>0</v>
      </c>
      <c r="BW129" s="156"/>
      <c r="BX129" s="147">
        <f t="shared" si="158"/>
        <v>0</v>
      </c>
      <c r="BY129" s="147">
        <v>0</v>
      </c>
      <c r="BZ129" s="229">
        <f t="shared" si="159"/>
        <v>0</v>
      </c>
      <c r="CA129" s="228">
        <f t="shared" si="160"/>
        <v>23.08</v>
      </c>
      <c r="CB129" s="147">
        <f>SUM(CB125:CB128)</f>
        <v>0</v>
      </c>
      <c r="CC129" s="229">
        <f>CA129+CB129</f>
        <v>23.08</v>
      </c>
      <c r="CD129" s="23"/>
      <c r="CE129" s="20">
        <f t="shared" si="161"/>
        <v>56023.62</v>
      </c>
      <c r="CF129" s="20">
        <f t="shared" si="162"/>
        <v>0</v>
      </c>
      <c r="CG129" s="15">
        <f t="shared" si="163"/>
        <v>56023.62</v>
      </c>
      <c r="CH129" s="376">
        <f t="shared" si="164"/>
        <v>-50752.249980000001</v>
      </c>
      <c r="CI129" s="377">
        <f t="shared" si="165"/>
        <v>0</v>
      </c>
      <c r="CJ129" s="522">
        <f t="shared" si="166"/>
        <v>-50752.249980000001</v>
      </c>
      <c r="CK129" s="532">
        <f t="shared" si="110"/>
        <v>50752</v>
      </c>
      <c r="CL129" s="533">
        <f t="shared" si="111"/>
        <v>-0.24998000000050524</v>
      </c>
      <c r="CM129" s="372"/>
      <c r="CN129" s="372"/>
      <c r="CO129" s="372"/>
      <c r="CP129" s="372"/>
      <c r="CQ129" s="372"/>
      <c r="CR129" s="372"/>
      <c r="CS129" s="372"/>
      <c r="CT129" s="372"/>
      <c r="CU129" s="372"/>
      <c r="CV129" s="372"/>
      <c r="CW129" s="372"/>
      <c r="CX129" s="372"/>
      <c r="CY129" s="372"/>
      <c r="CZ129" s="372"/>
      <c r="DA129" s="372"/>
      <c r="DB129" s="372"/>
      <c r="DC129" s="372"/>
      <c r="DD129" s="372"/>
      <c r="DE129" s="372"/>
      <c r="DF129" s="372"/>
      <c r="DG129" s="372"/>
      <c r="DH129" s="372"/>
      <c r="DI129" s="372"/>
      <c r="DJ129" s="372"/>
      <c r="DK129" s="372"/>
      <c r="DL129" s="372"/>
      <c r="DM129" s="372"/>
      <c r="DN129" s="372"/>
      <c r="DO129" s="372"/>
      <c r="DP129" s="372"/>
      <c r="DQ129" s="372"/>
      <c r="DR129" s="372"/>
      <c r="DS129" s="372"/>
      <c r="DT129" s="372"/>
      <c r="DU129" s="372"/>
      <c r="DV129" s="372"/>
      <c r="DW129" s="372"/>
      <c r="DX129" s="372"/>
      <c r="DY129" s="372"/>
      <c r="DZ129" s="372"/>
      <c r="EA129" s="372"/>
      <c r="EB129" s="372"/>
      <c r="EC129" s="372"/>
      <c r="ED129" s="372"/>
      <c r="EE129" s="372"/>
      <c r="EF129" s="372"/>
      <c r="EG129" s="372"/>
      <c r="EH129" s="372"/>
      <c r="EI129" s="372"/>
      <c r="EJ129" s="372">
        <v>22153</v>
      </c>
      <c r="EK129" s="372">
        <v>22947</v>
      </c>
      <c r="EL129" s="372"/>
      <c r="EM129" s="372"/>
      <c r="EN129" s="372">
        <v>5652</v>
      </c>
      <c r="EO129" s="372"/>
      <c r="EP129" s="372"/>
      <c r="EQ129" s="372"/>
      <c r="ER129" s="372"/>
      <c r="ES129" s="372"/>
    </row>
    <row r="130" spans="1:149" s="126" customFormat="1" ht="19.5" hidden="1" customHeight="1" x14ac:dyDescent="0.45">
      <c r="A130" s="144" t="s">
        <v>445</v>
      </c>
      <c r="B130" s="588">
        <v>89050</v>
      </c>
      <c r="C130" s="144" t="s">
        <v>446</v>
      </c>
      <c r="D130" s="156"/>
      <c r="E130" s="135">
        <v>120</v>
      </c>
      <c r="F130" s="156" t="s">
        <v>115</v>
      </c>
      <c r="G130" s="156" t="s">
        <v>257</v>
      </c>
      <c r="H130" s="156" t="s">
        <v>271</v>
      </c>
      <c r="I130" s="156" t="s">
        <v>11</v>
      </c>
      <c r="J130" s="159">
        <v>0</v>
      </c>
      <c r="K130" s="178">
        <v>42</v>
      </c>
      <c r="L130" s="178">
        <v>1</v>
      </c>
      <c r="M130" s="156" t="s">
        <v>221</v>
      </c>
      <c r="N130" s="20">
        <f t="shared" si="132"/>
        <v>0</v>
      </c>
      <c r="O130" s="20">
        <v>0</v>
      </c>
      <c r="P130" s="20">
        <f t="shared" si="133"/>
        <v>0</v>
      </c>
      <c r="Q130" s="159">
        <v>200</v>
      </c>
      <c r="R130" s="20">
        <f t="shared" si="134"/>
        <v>43.26</v>
      </c>
      <c r="S130" s="178">
        <v>1</v>
      </c>
      <c r="T130" s="20">
        <f t="shared" si="167"/>
        <v>8652</v>
      </c>
      <c r="U130" s="20">
        <v>0</v>
      </c>
      <c r="V130" s="20">
        <f t="shared" si="135"/>
        <v>8652</v>
      </c>
      <c r="W130" s="159">
        <v>200</v>
      </c>
      <c r="X130" s="20">
        <f t="shared" si="136"/>
        <v>44.5578</v>
      </c>
      <c r="Y130" s="178">
        <v>1</v>
      </c>
      <c r="Z130" s="20">
        <f t="shared" si="137"/>
        <v>8911.56</v>
      </c>
      <c r="AA130" s="20">
        <v>0</v>
      </c>
      <c r="AB130" s="20">
        <f t="shared" si="138"/>
        <v>8911.56</v>
      </c>
      <c r="AC130" s="159">
        <v>100</v>
      </c>
      <c r="AD130" s="20">
        <f t="shared" si="139"/>
        <v>45.894534</v>
      </c>
      <c r="AE130" s="178">
        <v>1</v>
      </c>
      <c r="AF130" s="20">
        <f t="shared" si="140"/>
        <v>4589.4534000000003</v>
      </c>
      <c r="AG130" s="20">
        <v>0</v>
      </c>
      <c r="AH130" s="20">
        <f t="shared" si="141"/>
        <v>4589.4534000000003</v>
      </c>
      <c r="AI130" s="159">
        <v>0</v>
      </c>
      <c r="AJ130" s="20">
        <f t="shared" si="142"/>
        <v>47.271370019999999</v>
      </c>
      <c r="AK130" s="178">
        <v>0</v>
      </c>
      <c r="AL130" s="20">
        <f t="shared" si="143"/>
        <v>0</v>
      </c>
      <c r="AM130" s="20">
        <v>0</v>
      </c>
      <c r="AN130" s="20">
        <f t="shared" si="144"/>
        <v>0</v>
      </c>
      <c r="AO130" s="20">
        <f t="shared" si="145"/>
        <v>22153.013399999996</v>
      </c>
      <c r="AP130" s="20">
        <f t="shared" si="146"/>
        <v>0</v>
      </c>
      <c r="AQ130" s="20">
        <f t="shared" si="147"/>
        <v>22153.013399999996</v>
      </c>
      <c r="AR130" s="147">
        <v>0</v>
      </c>
      <c r="AS130" s="20">
        <v>0</v>
      </c>
      <c r="AT130" s="147">
        <v>0</v>
      </c>
      <c r="AU130" s="20">
        <v>0</v>
      </c>
      <c r="AV130" s="20">
        <f t="shared" si="148"/>
        <v>0</v>
      </c>
      <c r="AW130" s="20">
        <f t="shared" si="149"/>
        <v>0</v>
      </c>
      <c r="AX130" s="20">
        <f t="shared" si="150"/>
        <v>0</v>
      </c>
      <c r="AY130" s="20">
        <f t="shared" si="151"/>
        <v>22153.013399999996</v>
      </c>
      <c r="AZ130" s="147">
        <f t="shared" si="152"/>
        <v>22153.013399999996</v>
      </c>
      <c r="BA130" s="15">
        <f t="shared" si="153"/>
        <v>0</v>
      </c>
      <c r="BB130" s="250"/>
      <c r="BC130" s="147">
        <v>0</v>
      </c>
      <c r="BD130" s="150"/>
      <c r="BE130" s="147">
        <f>BC130</f>
        <v>0</v>
      </c>
      <c r="BF130" s="147">
        <v>0</v>
      </c>
      <c r="BG130" s="147">
        <f t="shared" si="154"/>
        <v>0</v>
      </c>
      <c r="BH130" s="407" t="s">
        <v>285</v>
      </c>
      <c r="BI130" s="250"/>
      <c r="BJ130" s="147">
        <v>0</v>
      </c>
      <c r="BK130" s="150"/>
      <c r="BL130" s="147">
        <v>0</v>
      </c>
      <c r="BM130" s="147">
        <v>0</v>
      </c>
      <c r="BN130" s="229">
        <f t="shared" si="155"/>
        <v>0</v>
      </c>
      <c r="BO130" s="437"/>
      <c r="BP130" s="147">
        <v>0</v>
      </c>
      <c r="BQ130" s="150"/>
      <c r="BR130" s="147">
        <f t="shared" si="156"/>
        <v>0</v>
      </c>
      <c r="BS130" s="147">
        <v>0</v>
      </c>
      <c r="BT130" s="229">
        <f t="shared" si="157"/>
        <v>0</v>
      </c>
      <c r="BU130" s="250"/>
      <c r="BV130" s="147">
        <v>0</v>
      </c>
      <c r="BW130" s="150"/>
      <c r="BX130" s="147">
        <f t="shared" si="158"/>
        <v>0</v>
      </c>
      <c r="BY130" s="147">
        <v>0</v>
      </c>
      <c r="BZ130" s="229">
        <f t="shared" si="159"/>
        <v>0</v>
      </c>
      <c r="CA130" s="228">
        <f t="shared" si="160"/>
        <v>0</v>
      </c>
      <c r="CB130" s="147">
        <f t="shared" ref="CB130:CB132" si="168">BS130+BM130+BF130</f>
        <v>0</v>
      </c>
      <c r="CC130" s="229">
        <f t="shared" ref="CC130:CC135" si="169">CA130+CB130</f>
        <v>0</v>
      </c>
      <c r="CD130" s="23"/>
      <c r="CE130" s="20">
        <f t="shared" si="161"/>
        <v>0</v>
      </c>
      <c r="CF130" s="20">
        <f t="shared" si="162"/>
        <v>0</v>
      </c>
      <c r="CG130" s="15">
        <f t="shared" si="163"/>
        <v>0</v>
      </c>
      <c r="CH130" s="376">
        <f t="shared" si="164"/>
        <v>22153.013399999996</v>
      </c>
      <c r="CI130" s="377">
        <f t="shared" si="165"/>
        <v>0</v>
      </c>
      <c r="CJ130" s="522">
        <f t="shared" si="166"/>
        <v>22153.013399999996</v>
      </c>
      <c r="CK130" s="532">
        <f t="shared" si="110"/>
        <v>-22153</v>
      </c>
      <c r="CL130" s="533">
        <f t="shared" si="111"/>
        <v>1.3399999996181577E-2</v>
      </c>
      <c r="CM130" s="372"/>
      <c r="CN130" s="372"/>
      <c r="CO130" s="372"/>
      <c r="CP130" s="372"/>
      <c r="CQ130" s="372"/>
      <c r="CR130" s="372"/>
      <c r="CS130" s="372"/>
      <c r="CT130" s="372"/>
      <c r="CU130" s="372"/>
      <c r="CV130" s="372"/>
      <c r="CW130" s="372"/>
      <c r="CX130" s="372"/>
      <c r="CY130" s="372"/>
      <c r="CZ130" s="372"/>
      <c r="DA130" s="372"/>
      <c r="DB130" s="372"/>
      <c r="DC130" s="372"/>
      <c r="DD130" s="372"/>
      <c r="DE130" s="372"/>
      <c r="DF130" s="372"/>
      <c r="DG130" s="372"/>
      <c r="DH130" s="372"/>
      <c r="DI130" s="372"/>
      <c r="DJ130" s="372"/>
      <c r="DK130" s="372"/>
      <c r="DL130" s="372"/>
      <c r="DM130" s="372"/>
      <c r="DN130" s="372"/>
      <c r="DO130" s="372"/>
      <c r="DP130" s="372"/>
      <c r="DQ130" s="372"/>
      <c r="DR130" s="372"/>
      <c r="DS130" s="372"/>
      <c r="DT130" s="372"/>
      <c r="DU130" s="372"/>
      <c r="DV130" s="372"/>
      <c r="DW130" s="372"/>
      <c r="DX130" s="372"/>
      <c r="DY130" s="372"/>
      <c r="DZ130" s="372"/>
      <c r="EA130" s="372"/>
      <c r="EB130" s="372"/>
      <c r="EC130" s="372"/>
      <c r="ED130" s="372"/>
      <c r="EE130" s="372"/>
      <c r="EF130" s="372"/>
      <c r="EG130" s="372"/>
      <c r="EH130" s="372"/>
      <c r="EI130" s="372"/>
      <c r="EJ130" s="372">
        <v>-22153</v>
      </c>
      <c r="EK130" s="372"/>
      <c r="EL130" s="372"/>
      <c r="EM130" s="372"/>
      <c r="EN130" s="372"/>
      <c r="EO130" s="372"/>
      <c r="EP130" s="372"/>
      <c r="EQ130" s="372"/>
      <c r="ER130" s="372"/>
      <c r="ES130" s="372"/>
    </row>
    <row r="131" spans="1:149" s="126" customFormat="1" ht="19.5" customHeight="1" x14ac:dyDescent="0.45">
      <c r="A131" s="144" t="s">
        <v>445</v>
      </c>
      <c r="B131" s="588">
        <v>89050</v>
      </c>
      <c r="C131" s="144" t="s">
        <v>446</v>
      </c>
      <c r="D131" s="156" t="s">
        <v>470</v>
      </c>
      <c r="E131" s="544">
        <v>121</v>
      </c>
      <c r="F131" s="156" t="s">
        <v>286</v>
      </c>
      <c r="G131" s="156" t="s">
        <v>257</v>
      </c>
      <c r="H131" s="156" t="s">
        <v>271</v>
      </c>
      <c r="I131" s="156" t="s">
        <v>11</v>
      </c>
      <c r="J131" s="159">
        <v>1</v>
      </c>
      <c r="K131" s="178">
        <v>5000</v>
      </c>
      <c r="L131" s="178">
        <v>1</v>
      </c>
      <c r="M131" s="156" t="s">
        <v>221</v>
      </c>
      <c r="N131" s="20">
        <f t="shared" si="132"/>
        <v>5000</v>
      </c>
      <c r="O131" s="20">
        <v>0</v>
      </c>
      <c r="P131" s="20">
        <f t="shared" si="133"/>
        <v>5000</v>
      </c>
      <c r="Q131" s="159">
        <v>0</v>
      </c>
      <c r="R131" s="20">
        <f t="shared" si="134"/>
        <v>5150</v>
      </c>
      <c r="S131" s="178">
        <v>0</v>
      </c>
      <c r="T131" s="20">
        <f t="shared" si="167"/>
        <v>0</v>
      </c>
      <c r="U131" s="20">
        <v>0</v>
      </c>
      <c r="V131" s="20">
        <f t="shared" si="135"/>
        <v>0</v>
      </c>
      <c r="W131" s="159">
        <v>0</v>
      </c>
      <c r="X131" s="20">
        <f t="shared" si="136"/>
        <v>5304.5</v>
      </c>
      <c r="Y131" s="178">
        <v>0</v>
      </c>
      <c r="Z131" s="20">
        <f t="shared" si="137"/>
        <v>0</v>
      </c>
      <c r="AA131" s="20">
        <v>0</v>
      </c>
      <c r="AB131" s="20">
        <f t="shared" si="138"/>
        <v>0</v>
      </c>
      <c r="AC131" s="159">
        <v>0</v>
      </c>
      <c r="AD131" s="20">
        <f t="shared" si="139"/>
        <v>5463.6350000000002</v>
      </c>
      <c r="AE131" s="178">
        <v>0</v>
      </c>
      <c r="AF131" s="20">
        <f t="shared" si="140"/>
        <v>0</v>
      </c>
      <c r="AG131" s="20">
        <v>0</v>
      </c>
      <c r="AH131" s="20">
        <f t="shared" si="141"/>
        <v>0</v>
      </c>
      <c r="AI131" s="159">
        <v>0</v>
      </c>
      <c r="AJ131" s="20">
        <f t="shared" si="142"/>
        <v>5627.5440500000004</v>
      </c>
      <c r="AK131" s="178">
        <v>0</v>
      </c>
      <c r="AL131" s="20">
        <f t="shared" si="143"/>
        <v>0</v>
      </c>
      <c r="AM131" s="20">
        <v>0</v>
      </c>
      <c r="AN131" s="20">
        <f t="shared" si="144"/>
        <v>0</v>
      </c>
      <c r="AO131" s="20">
        <f t="shared" si="145"/>
        <v>5000</v>
      </c>
      <c r="AP131" s="20">
        <f t="shared" si="146"/>
        <v>0</v>
      </c>
      <c r="AQ131" s="20">
        <f t="shared" si="147"/>
        <v>5000</v>
      </c>
      <c r="AR131" s="147">
        <v>0</v>
      </c>
      <c r="AS131" s="20">
        <v>0</v>
      </c>
      <c r="AT131" s="147">
        <f>4000.83</f>
        <v>4000.83</v>
      </c>
      <c r="AU131" s="20">
        <v>0</v>
      </c>
      <c r="AV131" s="20">
        <f t="shared" si="148"/>
        <v>4000.83</v>
      </c>
      <c r="AW131" s="20">
        <f t="shared" si="149"/>
        <v>0</v>
      </c>
      <c r="AX131" s="20">
        <f t="shared" si="150"/>
        <v>4000.83</v>
      </c>
      <c r="AY131" s="20">
        <f t="shared" si="151"/>
        <v>999.17000000000007</v>
      </c>
      <c r="AZ131" s="147">
        <f t="shared" si="152"/>
        <v>999.17000000000007</v>
      </c>
      <c r="BA131" s="15">
        <f t="shared" si="153"/>
        <v>0</v>
      </c>
      <c r="BB131" s="251">
        <v>1</v>
      </c>
      <c r="BC131" s="147">
        <v>8213.5</v>
      </c>
      <c r="BD131" s="150"/>
      <c r="BE131" s="147">
        <f>BC131*BB131</f>
        <v>8213.5</v>
      </c>
      <c r="BF131" s="147">
        <v>0</v>
      </c>
      <c r="BG131" s="147">
        <f t="shared" si="154"/>
        <v>8213.5</v>
      </c>
      <c r="BH131" s="413" t="s">
        <v>287</v>
      </c>
      <c r="BI131" s="250"/>
      <c r="BJ131" s="147">
        <v>3300</v>
      </c>
      <c r="BK131" s="150"/>
      <c r="BL131" s="147">
        <f>BJ131</f>
        <v>3300</v>
      </c>
      <c r="BM131" s="147">
        <v>0</v>
      </c>
      <c r="BN131" s="229">
        <f t="shared" si="155"/>
        <v>3300</v>
      </c>
      <c r="BO131" s="437"/>
      <c r="BP131" s="147">
        <v>4300</v>
      </c>
      <c r="BQ131" s="150"/>
      <c r="BR131" s="147">
        <f t="shared" si="156"/>
        <v>4300</v>
      </c>
      <c r="BS131" s="147">
        <v>0</v>
      </c>
      <c r="BT131" s="229">
        <f t="shared" si="157"/>
        <v>4300</v>
      </c>
      <c r="BU131" s="250"/>
      <c r="BV131" s="147">
        <v>0</v>
      </c>
      <c r="BW131" s="150"/>
      <c r="BX131" s="147">
        <f t="shared" si="158"/>
        <v>0</v>
      </c>
      <c r="BY131" s="147">
        <v>0</v>
      </c>
      <c r="BZ131" s="229">
        <f t="shared" si="159"/>
        <v>0</v>
      </c>
      <c r="CA131" s="228">
        <f t="shared" si="160"/>
        <v>15813.5</v>
      </c>
      <c r="CB131" s="147">
        <f>BS131+BM131+BF131</f>
        <v>0</v>
      </c>
      <c r="CC131" s="229">
        <f t="shared" si="169"/>
        <v>15813.5</v>
      </c>
      <c r="CD131" s="17"/>
      <c r="CE131" s="20">
        <f t="shared" si="161"/>
        <v>19814.330000000002</v>
      </c>
      <c r="CF131" s="20">
        <f t="shared" si="162"/>
        <v>0</v>
      </c>
      <c r="CG131" s="15">
        <f t="shared" si="163"/>
        <v>19814.330000000002</v>
      </c>
      <c r="CH131" s="376">
        <f t="shared" si="164"/>
        <v>-14814.330000000002</v>
      </c>
      <c r="CI131" s="377">
        <f t="shared" si="165"/>
        <v>0</v>
      </c>
      <c r="CJ131" s="522">
        <f t="shared" si="166"/>
        <v>-14814.330000000002</v>
      </c>
      <c r="CK131" s="532">
        <f t="shared" si="110"/>
        <v>14814</v>
      </c>
      <c r="CL131" s="533">
        <f t="shared" si="111"/>
        <v>-0.33000000000174623</v>
      </c>
      <c r="CM131" s="372"/>
      <c r="CN131" s="372"/>
      <c r="CO131" s="372"/>
      <c r="CP131" s="372"/>
      <c r="CQ131" s="372"/>
      <c r="CR131" s="372"/>
      <c r="CS131" s="372"/>
      <c r="CT131" s="372"/>
      <c r="CU131" s="372"/>
      <c r="CV131" s="372"/>
      <c r="CW131" s="372"/>
      <c r="CX131" s="372"/>
      <c r="CY131" s="372"/>
      <c r="CZ131" s="372"/>
      <c r="DA131" s="372"/>
      <c r="DB131" s="372"/>
      <c r="DC131" s="372"/>
      <c r="DD131" s="372"/>
      <c r="DE131" s="372"/>
      <c r="DF131" s="372"/>
      <c r="DG131" s="372"/>
      <c r="DH131" s="372"/>
      <c r="DI131" s="372"/>
      <c r="DJ131" s="372"/>
      <c r="DK131" s="372"/>
      <c r="DL131" s="372"/>
      <c r="DM131" s="372"/>
      <c r="DN131" s="372"/>
      <c r="DO131" s="372"/>
      <c r="DP131" s="372"/>
      <c r="DQ131" s="372"/>
      <c r="DR131" s="372"/>
      <c r="DS131" s="372"/>
      <c r="DT131" s="372"/>
      <c r="DU131" s="372"/>
      <c r="DV131" s="372"/>
      <c r="DW131" s="372"/>
      <c r="DX131" s="372"/>
      <c r="DY131" s="372"/>
      <c r="DZ131" s="372"/>
      <c r="EA131" s="372"/>
      <c r="EB131" s="372"/>
      <c r="EC131" s="372"/>
      <c r="ED131" s="372"/>
      <c r="EE131" s="372"/>
      <c r="EF131" s="372"/>
      <c r="EG131" s="372"/>
      <c r="EH131" s="372"/>
      <c r="EI131" s="372"/>
      <c r="EJ131" s="372"/>
      <c r="EK131" s="372"/>
      <c r="EL131" s="372">
        <v>7214</v>
      </c>
      <c r="EM131" s="372">
        <v>7600</v>
      </c>
      <c r="EN131" s="372"/>
      <c r="EO131" s="372"/>
      <c r="EP131" s="372"/>
      <c r="EQ131" s="372"/>
      <c r="ER131" s="372"/>
      <c r="ES131" s="372"/>
    </row>
    <row r="132" spans="1:149" s="126" customFormat="1" ht="19.5" hidden="1" customHeight="1" x14ac:dyDescent="0.45">
      <c r="A132" s="144" t="s">
        <v>445</v>
      </c>
      <c r="B132" s="588">
        <v>89050</v>
      </c>
      <c r="C132" s="144" t="s">
        <v>446</v>
      </c>
      <c r="D132" s="156"/>
      <c r="E132" s="545">
        <v>122</v>
      </c>
      <c r="F132" s="156" t="s">
        <v>116</v>
      </c>
      <c r="G132" s="156" t="s">
        <v>257</v>
      </c>
      <c r="H132" s="156" t="s">
        <v>271</v>
      </c>
      <c r="I132" s="156" t="s">
        <v>11</v>
      </c>
      <c r="J132" s="159">
        <v>0</v>
      </c>
      <c r="K132" s="178">
        <v>21</v>
      </c>
      <c r="L132" s="178">
        <v>1</v>
      </c>
      <c r="M132" s="156" t="s">
        <v>221</v>
      </c>
      <c r="N132" s="20">
        <f t="shared" si="132"/>
        <v>0</v>
      </c>
      <c r="O132" s="20">
        <v>0</v>
      </c>
      <c r="P132" s="20">
        <f t="shared" si="133"/>
        <v>0</v>
      </c>
      <c r="Q132" s="159">
        <v>0</v>
      </c>
      <c r="R132" s="20">
        <f t="shared" si="134"/>
        <v>21.63</v>
      </c>
      <c r="S132" s="178">
        <v>0</v>
      </c>
      <c r="T132" s="20">
        <f t="shared" si="167"/>
        <v>0</v>
      </c>
      <c r="U132" s="20">
        <v>0</v>
      </c>
      <c r="V132" s="20">
        <f t="shared" si="135"/>
        <v>0</v>
      </c>
      <c r="W132" s="159">
        <v>0</v>
      </c>
      <c r="X132" s="20">
        <f t="shared" si="136"/>
        <v>22.2789</v>
      </c>
      <c r="Y132" s="178">
        <v>0</v>
      </c>
      <c r="Z132" s="20">
        <f t="shared" si="137"/>
        <v>0</v>
      </c>
      <c r="AA132" s="20">
        <v>0</v>
      </c>
      <c r="AB132" s="20">
        <f t="shared" si="138"/>
        <v>0</v>
      </c>
      <c r="AC132" s="159">
        <v>1000</v>
      </c>
      <c r="AD132" s="20">
        <f t="shared" si="139"/>
        <v>22.947267</v>
      </c>
      <c r="AE132" s="178">
        <v>1</v>
      </c>
      <c r="AF132" s="20">
        <f t="shared" si="140"/>
        <v>22947.267</v>
      </c>
      <c r="AG132" s="20">
        <v>0</v>
      </c>
      <c r="AH132" s="20">
        <f t="shared" si="141"/>
        <v>22947.267</v>
      </c>
      <c r="AI132" s="159">
        <v>0</v>
      </c>
      <c r="AJ132" s="20">
        <f t="shared" si="142"/>
        <v>23.63568501</v>
      </c>
      <c r="AK132" s="178">
        <v>0</v>
      </c>
      <c r="AL132" s="20">
        <f t="shared" si="143"/>
        <v>0</v>
      </c>
      <c r="AM132" s="20">
        <v>0</v>
      </c>
      <c r="AN132" s="20">
        <f t="shared" si="144"/>
        <v>0</v>
      </c>
      <c r="AO132" s="20">
        <f t="shared" si="145"/>
        <v>22947.267</v>
      </c>
      <c r="AP132" s="20">
        <f t="shared" si="146"/>
        <v>0</v>
      </c>
      <c r="AQ132" s="20">
        <f t="shared" si="147"/>
        <v>22947.267</v>
      </c>
      <c r="AR132" s="147">
        <v>0</v>
      </c>
      <c r="AS132" s="20">
        <v>0</v>
      </c>
      <c r="AT132" s="147">
        <v>0</v>
      </c>
      <c r="AU132" s="20">
        <v>0</v>
      </c>
      <c r="AV132" s="20">
        <f t="shared" si="148"/>
        <v>0</v>
      </c>
      <c r="AW132" s="20">
        <f t="shared" si="149"/>
        <v>0</v>
      </c>
      <c r="AX132" s="20">
        <f t="shared" si="150"/>
        <v>0</v>
      </c>
      <c r="AY132" s="20">
        <f t="shared" si="151"/>
        <v>22947.267</v>
      </c>
      <c r="AZ132" s="147">
        <f t="shared" si="152"/>
        <v>22947.267</v>
      </c>
      <c r="BA132" s="15">
        <f t="shared" si="153"/>
        <v>0</v>
      </c>
      <c r="BB132" s="250"/>
      <c r="BC132" s="147">
        <v>0</v>
      </c>
      <c r="BD132" s="150"/>
      <c r="BE132" s="147">
        <v>0</v>
      </c>
      <c r="BF132" s="147">
        <v>0</v>
      </c>
      <c r="BG132" s="147">
        <f t="shared" si="154"/>
        <v>0</v>
      </c>
      <c r="BH132" s="407" t="s">
        <v>288</v>
      </c>
      <c r="BI132" s="250"/>
      <c r="BJ132" s="147">
        <v>0</v>
      </c>
      <c r="BK132" s="150"/>
      <c r="BL132" s="147">
        <v>0</v>
      </c>
      <c r="BM132" s="147">
        <v>0</v>
      </c>
      <c r="BN132" s="229">
        <f t="shared" si="155"/>
        <v>0</v>
      </c>
      <c r="BO132" s="437"/>
      <c r="BP132" s="147">
        <v>0</v>
      </c>
      <c r="BQ132" s="150"/>
      <c r="BR132" s="147">
        <f t="shared" si="156"/>
        <v>0</v>
      </c>
      <c r="BS132" s="147">
        <v>0</v>
      </c>
      <c r="BT132" s="229">
        <f t="shared" si="157"/>
        <v>0</v>
      </c>
      <c r="BU132" s="250"/>
      <c r="BV132" s="147">
        <v>0</v>
      </c>
      <c r="BW132" s="150"/>
      <c r="BX132" s="147">
        <f t="shared" si="158"/>
        <v>0</v>
      </c>
      <c r="BY132" s="147">
        <v>0</v>
      </c>
      <c r="BZ132" s="229">
        <f t="shared" si="159"/>
        <v>0</v>
      </c>
      <c r="CA132" s="228">
        <f t="shared" si="160"/>
        <v>0</v>
      </c>
      <c r="CB132" s="147">
        <f t="shared" si="168"/>
        <v>0</v>
      </c>
      <c r="CC132" s="229">
        <f t="shared" si="169"/>
        <v>0</v>
      </c>
      <c r="CD132" s="23"/>
      <c r="CE132" s="20">
        <f t="shared" si="161"/>
        <v>0</v>
      </c>
      <c r="CF132" s="20">
        <f t="shared" si="162"/>
        <v>0</v>
      </c>
      <c r="CG132" s="15">
        <f t="shared" si="163"/>
        <v>0</v>
      </c>
      <c r="CH132" s="376">
        <f t="shared" si="164"/>
        <v>22947.267</v>
      </c>
      <c r="CI132" s="377">
        <f t="shared" si="165"/>
        <v>0</v>
      </c>
      <c r="CJ132" s="522">
        <f t="shared" si="166"/>
        <v>22947.267</v>
      </c>
      <c r="CK132" s="532">
        <f t="shared" si="110"/>
        <v>-22947</v>
      </c>
      <c r="CL132" s="533">
        <f t="shared" si="111"/>
        <v>0.26699999999982538</v>
      </c>
      <c r="CM132" s="372"/>
      <c r="CN132" s="372"/>
      <c r="CO132" s="372"/>
      <c r="CP132" s="372"/>
      <c r="CQ132" s="372"/>
      <c r="CR132" s="372"/>
      <c r="CS132" s="372"/>
      <c r="CT132" s="372"/>
      <c r="CU132" s="372"/>
      <c r="CV132" s="372"/>
      <c r="CW132" s="372"/>
      <c r="CX132" s="372"/>
      <c r="CY132" s="372"/>
      <c r="CZ132" s="372"/>
      <c r="DA132" s="372"/>
      <c r="DB132" s="372"/>
      <c r="DC132" s="372"/>
      <c r="DD132" s="372"/>
      <c r="DE132" s="372"/>
      <c r="DF132" s="372"/>
      <c r="DG132" s="372"/>
      <c r="DH132" s="372"/>
      <c r="DI132" s="372"/>
      <c r="DJ132" s="372"/>
      <c r="DK132" s="372"/>
      <c r="DL132" s="372"/>
      <c r="DM132" s="372"/>
      <c r="DN132" s="372"/>
      <c r="DO132" s="372"/>
      <c r="DP132" s="372"/>
      <c r="DQ132" s="372"/>
      <c r="DR132" s="372"/>
      <c r="DS132" s="372"/>
      <c r="DT132" s="372"/>
      <c r="DU132" s="372"/>
      <c r="DV132" s="372"/>
      <c r="DW132" s="372"/>
      <c r="DX132" s="372"/>
      <c r="DY132" s="372"/>
      <c r="DZ132" s="372"/>
      <c r="EA132" s="372"/>
      <c r="EB132" s="372"/>
      <c r="EC132" s="372"/>
      <c r="ED132" s="372"/>
      <c r="EE132" s="372"/>
      <c r="EF132" s="372"/>
      <c r="EG132" s="372"/>
      <c r="EH132" s="372"/>
      <c r="EI132" s="372"/>
      <c r="EJ132" s="372"/>
      <c r="EK132" s="372">
        <v>-22947</v>
      </c>
      <c r="EL132" s="372"/>
      <c r="EM132" s="372"/>
      <c r="EN132" s="372"/>
      <c r="EO132" s="372"/>
      <c r="EP132" s="372"/>
      <c r="EQ132" s="372"/>
      <c r="ER132" s="372"/>
      <c r="ES132" s="372"/>
    </row>
    <row r="133" spans="1:149" s="126" customFormat="1" ht="19.5" customHeight="1" x14ac:dyDescent="0.45">
      <c r="A133" s="144" t="s">
        <v>445</v>
      </c>
      <c r="B133" s="588">
        <v>89050</v>
      </c>
      <c r="C133" s="144" t="s">
        <v>446</v>
      </c>
      <c r="D133" s="156" t="s">
        <v>471</v>
      </c>
      <c r="E133" s="545">
        <v>123</v>
      </c>
      <c r="F133" s="156" t="s">
        <v>117</v>
      </c>
      <c r="G133" s="156" t="s">
        <v>257</v>
      </c>
      <c r="H133" s="156" t="s">
        <v>271</v>
      </c>
      <c r="I133" s="156" t="s">
        <v>11</v>
      </c>
      <c r="J133" s="159">
        <v>2</v>
      </c>
      <c r="K133" s="178">
        <v>4000</v>
      </c>
      <c r="L133" s="178">
        <v>1</v>
      </c>
      <c r="M133" s="156" t="s">
        <v>221</v>
      </c>
      <c r="N133" s="20">
        <f t="shared" si="132"/>
        <v>8000</v>
      </c>
      <c r="O133" s="20">
        <v>0</v>
      </c>
      <c r="P133" s="20">
        <f t="shared" si="133"/>
        <v>8000</v>
      </c>
      <c r="Q133" s="159">
        <v>1</v>
      </c>
      <c r="R133" s="20">
        <f t="shared" si="134"/>
        <v>4120</v>
      </c>
      <c r="S133" s="178">
        <v>1</v>
      </c>
      <c r="T133" s="20">
        <f t="shared" si="167"/>
        <v>4120</v>
      </c>
      <c r="U133" s="20">
        <v>0</v>
      </c>
      <c r="V133" s="20">
        <f t="shared" si="135"/>
        <v>4120</v>
      </c>
      <c r="W133" s="159">
        <v>0</v>
      </c>
      <c r="X133" s="20">
        <f t="shared" si="136"/>
        <v>4243.6000000000004</v>
      </c>
      <c r="Y133" s="178"/>
      <c r="Z133" s="20">
        <f t="shared" si="137"/>
        <v>0</v>
      </c>
      <c r="AA133" s="20">
        <v>0</v>
      </c>
      <c r="AB133" s="20">
        <f t="shared" si="138"/>
        <v>0</v>
      </c>
      <c r="AC133" s="159">
        <v>0</v>
      </c>
      <c r="AD133" s="20">
        <f t="shared" si="139"/>
        <v>4370.9080000000004</v>
      </c>
      <c r="AE133" s="178">
        <v>0</v>
      </c>
      <c r="AF133" s="20">
        <f t="shared" si="140"/>
        <v>0</v>
      </c>
      <c r="AG133" s="20">
        <v>0</v>
      </c>
      <c r="AH133" s="20">
        <f t="shared" si="141"/>
        <v>0</v>
      </c>
      <c r="AI133" s="159">
        <v>0</v>
      </c>
      <c r="AJ133" s="20">
        <f t="shared" si="142"/>
        <v>4502.0352400000002</v>
      </c>
      <c r="AK133" s="178">
        <v>0</v>
      </c>
      <c r="AL133" s="20">
        <f t="shared" si="143"/>
        <v>0</v>
      </c>
      <c r="AM133" s="20">
        <v>0</v>
      </c>
      <c r="AN133" s="20">
        <f t="shared" si="144"/>
        <v>0</v>
      </c>
      <c r="AO133" s="20">
        <f t="shared" si="145"/>
        <v>12120</v>
      </c>
      <c r="AP133" s="20">
        <f t="shared" si="146"/>
        <v>0</v>
      </c>
      <c r="AQ133" s="20">
        <f t="shared" si="147"/>
        <v>12120</v>
      </c>
      <c r="AR133" s="147">
        <v>0</v>
      </c>
      <c r="AS133" s="20">
        <v>0</v>
      </c>
      <c r="AT133" s="147">
        <f>997.14</f>
        <v>997.14</v>
      </c>
      <c r="AU133" s="20">
        <v>0</v>
      </c>
      <c r="AV133" s="20">
        <f t="shared" si="148"/>
        <v>997.14</v>
      </c>
      <c r="AW133" s="20">
        <f t="shared" si="149"/>
        <v>0</v>
      </c>
      <c r="AX133" s="20">
        <f t="shared" si="150"/>
        <v>997.14</v>
      </c>
      <c r="AY133" s="20">
        <f t="shared" si="151"/>
        <v>11122.86</v>
      </c>
      <c r="AZ133" s="147">
        <f t="shared" si="152"/>
        <v>11122.86</v>
      </c>
      <c r="BA133" s="15">
        <f t="shared" si="153"/>
        <v>0</v>
      </c>
      <c r="BB133" s="251">
        <v>0</v>
      </c>
      <c r="BC133" s="147">
        <v>0</v>
      </c>
      <c r="BD133" s="150"/>
      <c r="BE133" s="147">
        <f>BC133*BB133</f>
        <v>0</v>
      </c>
      <c r="BF133" s="147">
        <v>0</v>
      </c>
      <c r="BG133" s="147">
        <f t="shared" si="154"/>
        <v>0</v>
      </c>
      <c r="BH133" s="407" t="s">
        <v>289</v>
      </c>
      <c r="BI133" s="250"/>
      <c r="BJ133" s="147">
        <v>0</v>
      </c>
      <c r="BK133" s="150"/>
      <c r="BL133" s="147">
        <v>0</v>
      </c>
      <c r="BM133" s="147">
        <v>0</v>
      </c>
      <c r="BN133" s="229">
        <f t="shared" si="155"/>
        <v>0</v>
      </c>
      <c r="BO133" s="437"/>
      <c r="BP133" s="147">
        <v>0</v>
      </c>
      <c r="BQ133" s="150"/>
      <c r="BR133" s="147">
        <f t="shared" si="156"/>
        <v>0</v>
      </c>
      <c r="BS133" s="147">
        <v>0</v>
      </c>
      <c r="BT133" s="229">
        <f t="shared" si="157"/>
        <v>0</v>
      </c>
      <c r="BU133" s="250"/>
      <c r="BV133" s="147">
        <v>2600</v>
      </c>
      <c r="BW133" s="150"/>
      <c r="BX133" s="147">
        <f t="shared" si="158"/>
        <v>2600</v>
      </c>
      <c r="BY133" s="147">
        <v>0</v>
      </c>
      <c r="BZ133" s="229">
        <f t="shared" si="159"/>
        <v>2600</v>
      </c>
      <c r="CA133" s="228">
        <f t="shared" si="160"/>
        <v>2600</v>
      </c>
      <c r="CB133" s="147">
        <f>BS133+BM133+BF133</f>
        <v>0</v>
      </c>
      <c r="CC133" s="229">
        <f t="shared" si="169"/>
        <v>2600</v>
      </c>
      <c r="CD133" s="23"/>
      <c r="CE133" s="20">
        <f t="shared" si="161"/>
        <v>3597.14</v>
      </c>
      <c r="CF133" s="20">
        <f t="shared" si="162"/>
        <v>0</v>
      </c>
      <c r="CG133" s="15">
        <f t="shared" si="163"/>
        <v>3597.14</v>
      </c>
      <c r="CH133" s="376">
        <f t="shared" si="164"/>
        <v>8522.86</v>
      </c>
      <c r="CI133" s="377">
        <f t="shared" si="165"/>
        <v>0</v>
      </c>
      <c r="CJ133" s="522">
        <f t="shared" si="166"/>
        <v>8522.86</v>
      </c>
      <c r="CK133" s="532">
        <f t="shared" si="110"/>
        <v>-8523</v>
      </c>
      <c r="CL133" s="533">
        <f t="shared" si="111"/>
        <v>-0.13999999999941792</v>
      </c>
      <c r="CM133" s="372"/>
      <c r="CN133" s="372"/>
      <c r="CO133" s="372"/>
      <c r="CP133" s="372"/>
      <c r="CQ133" s="372"/>
      <c r="CR133" s="372"/>
      <c r="CS133" s="372"/>
      <c r="CT133" s="372"/>
      <c r="CU133" s="372"/>
      <c r="CV133" s="372"/>
      <c r="CW133" s="372"/>
      <c r="CX133" s="372"/>
      <c r="CY133" s="372"/>
      <c r="CZ133" s="372"/>
      <c r="DA133" s="372"/>
      <c r="DB133" s="372"/>
      <c r="DC133" s="372"/>
      <c r="DD133" s="372"/>
      <c r="DE133" s="372"/>
      <c r="DF133" s="372"/>
      <c r="DG133" s="372"/>
      <c r="DH133" s="372"/>
      <c r="DI133" s="372"/>
      <c r="DJ133" s="372"/>
      <c r="DK133" s="372"/>
      <c r="DL133" s="372"/>
      <c r="DM133" s="372"/>
      <c r="DN133" s="372"/>
      <c r="DO133" s="372"/>
      <c r="DP133" s="372"/>
      <c r="DQ133" s="372"/>
      <c r="DR133" s="372"/>
      <c r="DS133" s="372"/>
      <c r="DT133" s="372"/>
      <c r="DU133" s="372"/>
      <c r="DV133" s="372"/>
      <c r="DW133" s="372"/>
      <c r="DX133" s="372"/>
      <c r="DY133" s="372"/>
      <c r="DZ133" s="372"/>
      <c r="EA133" s="372"/>
      <c r="EB133" s="372"/>
      <c r="EC133" s="372"/>
      <c r="ED133" s="372"/>
      <c r="EE133" s="372"/>
      <c r="EF133" s="372"/>
      <c r="EG133" s="372"/>
      <c r="EH133" s="372"/>
      <c r="EI133" s="372"/>
      <c r="EJ133" s="372"/>
      <c r="EK133" s="372"/>
      <c r="EL133" s="372">
        <v>-8523</v>
      </c>
      <c r="EM133" s="372"/>
      <c r="EN133" s="372"/>
      <c r="EO133" s="372"/>
      <c r="EP133" s="372"/>
      <c r="EQ133" s="372"/>
      <c r="ER133" s="372"/>
      <c r="ES133" s="372"/>
    </row>
    <row r="134" spans="1:149" s="126" customFormat="1" ht="19.5" hidden="1" customHeight="1" x14ac:dyDescent="0.45">
      <c r="A134" s="144" t="s">
        <v>445</v>
      </c>
      <c r="B134" s="588">
        <v>89050</v>
      </c>
      <c r="C134" s="144" t="s">
        <v>446</v>
      </c>
      <c r="D134" s="156"/>
      <c r="E134" s="545">
        <v>124</v>
      </c>
      <c r="F134" s="156" t="s">
        <v>118</v>
      </c>
      <c r="G134" s="156" t="s">
        <v>257</v>
      </c>
      <c r="H134" s="156" t="s">
        <v>271</v>
      </c>
      <c r="I134" s="156" t="s">
        <v>11</v>
      </c>
      <c r="J134" s="159">
        <v>0</v>
      </c>
      <c r="K134" s="178">
        <v>17</v>
      </c>
      <c r="L134" s="178">
        <v>1</v>
      </c>
      <c r="M134" s="156" t="s">
        <v>221</v>
      </c>
      <c r="N134" s="20">
        <f t="shared" si="132"/>
        <v>0</v>
      </c>
      <c r="O134" s="20">
        <v>0</v>
      </c>
      <c r="P134" s="20">
        <f t="shared" si="133"/>
        <v>0</v>
      </c>
      <c r="Q134" s="159">
        <v>4000</v>
      </c>
      <c r="R134" s="20">
        <f t="shared" si="134"/>
        <v>17.510000000000002</v>
      </c>
      <c r="S134" s="178">
        <v>1</v>
      </c>
      <c r="T134" s="20">
        <f t="shared" si="167"/>
        <v>70040</v>
      </c>
      <c r="U134" s="20">
        <v>0</v>
      </c>
      <c r="V134" s="20">
        <f t="shared" si="135"/>
        <v>70040</v>
      </c>
      <c r="W134" s="159">
        <v>0</v>
      </c>
      <c r="X134" s="20">
        <f t="shared" si="136"/>
        <v>18.035300000000003</v>
      </c>
      <c r="Y134" s="178">
        <v>0</v>
      </c>
      <c r="Z134" s="20">
        <f t="shared" si="137"/>
        <v>0</v>
      </c>
      <c r="AA134" s="20">
        <v>0</v>
      </c>
      <c r="AB134" s="20">
        <f t="shared" si="138"/>
        <v>0</v>
      </c>
      <c r="AC134" s="159">
        <v>0</v>
      </c>
      <c r="AD134" s="20">
        <f t="shared" si="139"/>
        <v>18.576359000000004</v>
      </c>
      <c r="AE134" s="178">
        <v>0</v>
      </c>
      <c r="AF134" s="20">
        <f t="shared" si="140"/>
        <v>0</v>
      </c>
      <c r="AG134" s="20">
        <v>0</v>
      </c>
      <c r="AH134" s="20">
        <f t="shared" si="141"/>
        <v>0</v>
      </c>
      <c r="AI134" s="159">
        <v>0</v>
      </c>
      <c r="AJ134" s="20">
        <f t="shared" si="142"/>
        <v>19.133649770000005</v>
      </c>
      <c r="AK134" s="178">
        <v>0</v>
      </c>
      <c r="AL134" s="20">
        <f t="shared" si="143"/>
        <v>0</v>
      </c>
      <c r="AM134" s="20">
        <v>0</v>
      </c>
      <c r="AN134" s="20">
        <f t="shared" si="144"/>
        <v>0</v>
      </c>
      <c r="AO134" s="20">
        <f t="shared" si="145"/>
        <v>70040</v>
      </c>
      <c r="AP134" s="20">
        <f t="shared" si="146"/>
        <v>0</v>
      </c>
      <c r="AQ134" s="20">
        <f t="shared" si="147"/>
        <v>70040</v>
      </c>
      <c r="AR134" s="147">
        <v>0</v>
      </c>
      <c r="AS134" s="20">
        <v>0</v>
      </c>
      <c r="AT134" s="147">
        <v>0</v>
      </c>
      <c r="AU134" s="20">
        <v>0</v>
      </c>
      <c r="AV134" s="20">
        <f t="shared" si="148"/>
        <v>0</v>
      </c>
      <c r="AW134" s="20">
        <f t="shared" si="149"/>
        <v>0</v>
      </c>
      <c r="AX134" s="20">
        <f t="shared" si="150"/>
        <v>0</v>
      </c>
      <c r="AY134" s="20">
        <f t="shared" si="151"/>
        <v>70040</v>
      </c>
      <c r="AZ134" s="147">
        <f t="shared" si="152"/>
        <v>70040</v>
      </c>
      <c r="BA134" s="15">
        <f t="shared" si="153"/>
        <v>0</v>
      </c>
      <c r="BB134" s="251"/>
      <c r="BC134" s="147">
        <v>0</v>
      </c>
      <c r="BD134" s="150"/>
      <c r="BE134" s="147">
        <v>0</v>
      </c>
      <c r="BF134" s="147">
        <v>0</v>
      </c>
      <c r="BG134" s="147">
        <f t="shared" si="154"/>
        <v>0</v>
      </c>
      <c r="BH134" s="407" t="s">
        <v>290</v>
      </c>
      <c r="BI134" s="250"/>
      <c r="BJ134" s="147">
        <v>0</v>
      </c>
      <c r="BK134" s="150"/>
      <c r="BL134" s="147">
        <v>0</v>
      </c>
      <c r="BM134" s="147">
        <v>0</v>
      </c>
      <c r="BN134" s="229">
        <f t="shared" si="155"/>
        <v>0</v>
      </c>
      <c r="BO134" s="437"/>
      <c r="BP134" s="147">
        <v>0</v>
      </c>
      <c r="BQ134" s="150"/>
      <c r="BR134" s="147">
        <f t="shared" si="156"/>
        <v>0</v>
      </c>
      <c r="BS134" s="147">
        <v>0</v>
      </c>
      <c r="BT134" s="229">
        <f t="shared" si="157"/>
        <v>0</v>
      </c>
      <c r="BU134" s="250"/>
      <c r="BV134" s="147">
        <v>0</v>
      </c>
      <c r="BW134" s="150"/>
      <c r="BX134" s="147">
        <f t="shared" si="158"/>
        <v>0</v>
      </c>
      <c r="BY134" s="147">
        <v>0</v>
      </c>
      <c r="BZ134" s="229">
        <f t="shared" si="159"/>
        <v>0</v>
      </c>
      <c r="CA134" s="228">
        <f t="shared" si="160"/>
        <v>0</v>
      </c>
      <c r="CB134" s="147">
        <f>BS134+BM134+BF134</f>
        <v>0</v>
      </c>
      <c r="CC134" s="229">
        <f t="shared" si="169"/>
        <v>0</v>
      </c>
      <c r="CD134" s="23"/>
      <c r="CE134" s="20">
        <f t="shared" si="161"/>
        <v>0</v>
      </c>
      <c r="CF134" s="20">
        <f t="shared" si="162"/>
        <v>0</v>
      </c>
      <c r="CG134" s="15">
        <f t="shared" si="163"/>
        <v>0</v>
      </c>
      <c r="CH134" s="376">
        <f t="shared" si="164"/>
        <v>70040</v>
      </c>
      <c r="CI134" s="377">
        <f t="shared" si="165"/>
        <v>0</v>
      </c>
      <c r="CJ134" s="522">
        <f t="shared" si="166"/>
        <v>70040</v>
      </c>
      <c r="CK134" s="532">
        <f t="shared" si="110"/>
        <v>-70040</v>
      </c>
      <c r="CL134" s="533">
        <f t="shared" si="111"/>
        <v>0</v>
      </c>
      <c r="CM134" s="372"/>
      <c r="CN134" s="372"/>
      <c r="CO134" s="372"/>
      <c r="CP134" s="372"/>
      <c r="CQ134" s="372"/>
      <c r="CR134" s="372"/>
      <c r="CS134" s="372"/>
      <c r="CT134" s="372"/>
      <c r="CU134" s="372"/>
      <c r="CV134" s="372"/>
      <c r="CW134" s="372"/>
      <c r="CX134" s="372"/>
      <c r="CY134" s="372"/>
      <c r="CZ134" s="372"/>
      <c r="DA134" s="372"/>
      <c r="DB134" s="372"/>
      <c r="DC134" s="372"/>
      <c r="DD134" s="372"/>
      <c r="DE134" s="372"/>
      <c r="DF134" s="372"/>
      <c r="DG134" s="372"/>
      <c r="DH134" s="372"/>
      <c r="DI134" s="372"/>
      <c r="DJ134" s="372"/>
      <c r="DK134" s="372"/>
      <c r="DL134" s="372"/>
      <c r="DM134" s="372"/>
      <c r="DN134" s="372"/>
      <c r="DO134" s="372"/>
      <c r="DP134" s="372"/>
      <c r="DQ134" s="372"/>
      <c r="DR134" s="372"/>
      <c r="DS134" s="372"/>
      <c r="DT134" s="372"/>
      <c r="DU134" s="372"/>
      <c r="DV134" s="372"/>
      <c r="DW134" s="372"/>
      <c r="DX134" s="372"/>
      <c r="DY134" s="372"/>
      <c r="DZ134" s="372"/>
      <c r="EA134" s="372"/>
      <c r="EB134" s="372"/>
      <c r="EC134" s="372"/>
      <c r="ED134" s="372"/>
      <c r="EE134" s="372"/>
      <c r="EF134" s="372"/>
      <c r="EG134" s="372"/>
      <c r="EH134" s="372"/>
      <c r="EI134" s="372"/>
      <c r="EJ134" s="372"/>
      <c r="EK134" s="372"/>
      <c r="EL134" s="372"/>
      <c r="EM134" s="372">
        <v>-70040</v>
      </c>
      <c r="EN134" s="372"/>
      <c r="EO134" s="372"/>
      <c r="EP134" s="372"/>
      <c r="EQ134" s="372"/>
      <c r="ER134" s="372"/>
      <c r="ES134" s="372"/>
    </row>
    <row r="135" spans="1:149" s="126" customFormat="1" ht="19.5" customHeight="1" x14ac:dyDescent="0.45">
      <c r="A135" s="590" t="s">
        <v>445</v>
      </c>
      <c r="B135" s="591">
        <v>89050</v>
      </c>
      <c r="C135" s="590" t="s">
        <v>446</v>
      </c>
      <c r="D135" s="592" t="s">
        <v>472</v>
      </c>
      <c r="E135" s="544">
        <v>125</v>
      </c>
      <c r="F135" s="174" t="s">
        <v>291</v>
      </c>
      <c r="G135" s="155" t="s">
        <v>257</v>
      </c>
      <c r="H135" s="155" t="s">
        <v>271</v>
      </c>
      <c r="I135" s="174" t="s">
        <v>11</v>
      </c>
      <c r="J135" s="159"/>
      <c r="K135" s="178"/>
      <c r="L135" s="178"/>
      <c r="M135" s="156" t="s">
        <v>292</v>
      </c>
      <c r="N135" s="20"/>
      <c r="O135" s="20"/>
      <c r="P135" s="20"/>
      <c r="Q135" s="159"/>
      <c r="R135" s="20"/>
      <c r="S135" s="178"/>
      <c r="T135" s="20"/>
      <c r="U135" s="20"/>
      <c r="V135" s="20"/>
      <c r="W135" s="159"/>
      <c r="X135" s="20"/>
      <c r="Y135" s="178"/>
      <c r="Z135" s="20"/>
      <c r="AA135" s="20"/>
      <c r="AB135" s="20"/>
      <c r="AC135" s="159"/>
      <c r="AD135" s="20"/>
      <c r="AE135" s="178"/>
      <c r="AF135" s="20"/>
      <c r="AG135" s="20"/>
      <c r="AH135" s="20"/>
      <c r="AI135" s="159"/>
      <c r="AJ135" s="20"/>
      <c r="AK135" s="178"/>
      <c r="AL135" s="20"/>
      <c r="AM135" s="20"/>
      <c r="AN135" s="20"/>
      <c r="AO135" s="20"/>
      <c r="AP135" s="20"/>
      <c r="AQ135" s="20"/>
      <c r="AR135" s="20">
        <v>0</v>
      </c>
      <c r="AS135" s="20">
        <v>0</v>
      </c>
      <c r="AT135" s="20">
        <v>0</v>
      </c>
      <c r="AU135" s="20">
        <v>0</v>
      </c>
      <c r="AV135" s="20">
        <f t="shared" si="148"/>
        <v>0</v>
      </c>
      <c r="AW135" s="20">
        <f t="shared" si="149"/>
        <v>0</v>
      </c>
      <c r="AX135" s="20">
        <f t="shared" si="150"/>
        <v>0</v>
      </c>
      <c r="AY135" s="20">
        <f t="shared" si="151"/>
        <v>0</v>
      </c>
      <c r="AZ135" s="147"/>
      <c r="BA135" s="15">
        <f t="shared" si="153"/>
        <v>0</v>
      </c>
      <c r="BB135" s="251">
        <v>4000</v>
      </c>
      <c r="BC135" s="147">
        <v>5.7071269999999998</v>
      </c>
      <c r="BD135" s="150"/>
      <c r="BE135" s="147">
        <f>BC135*BB135</f>
        <v>22828.507999999998</v>
      </c>
      <c r="BF135" s="147">
        <v>0</v>
      </c>
      <c r="BG135" s="147">
        <f t="shared" si="154"/>
        <v>22828.507999999998</v>
      </c>
      <c r="BH135" s="413" t="s">
        <v>293</v>
      </c>
      <c r="BI135" s="250"/>
      <c r="BJ135" s="147">
        <v>4050</v>
      </c>
      <c r="BK135" s="150"/>
      <c r="BL135" s="147">
        <f>BJ135</f>
        <v>4050</v>
      </c>
      <c r="BM135" s="147">
        <v>0</v>
      </c>
      <c r="BN135" s="229">
        <f t="shared" si="155"/>
        <v>4050</v>
      </c>
      <c r="BO135" s="437"/>
      <c r="BP135" s="147">
        <f>14375.74-4300</f>
        <v>10075.74</v>
      </c>
      <c r="BQ135" s="150"/>
      <c r="BR135" s="147">
        <f t="shared" si="156"/>
        <v>10075.74</v>
      </c>
      <c r="BS135" s="147">
        <v>0</v>
      </c>
      <c r="BT135" s="229">
        <f t="shared" si="157"/>
        <v>10075.74</v>
      </c>
      <c r="BU135" s="250"/>
      <c r="BV135" s="147">
        <v>3139.5</v>
      </c>
      <c r="BW135" s="150"/>
      <c r="BX135" s="147">
        <f t="shared" si="158"/>
        <v>3139.5</v>
      </c>
      <c r="BY135" s="147">
        <v>0</v>
      </c>
      <c r="BZ135" s="229">
        <f t="shared" si="159"/>
        <v>3139.5</v>
      </c>
      <c r="CA135" s="228">
        <f t="shared" si="160"/>
        <v>40093.748</v>
      </c>
      <c r="CB135" s="147">
        <f>BS135+BM135+BF135</f>
        <v>0</v>
      </c>
      <c r="CC135" s="229">
        <f t="shared" si="169"/>
        <v>40093.748</v>
      </c>
      <c r="CD135" s="23"/>
      <c r="CE135" s="20">
        <f t="shared" si="161"/>
        <v>40093.748</v>
      </c>
      <c r="CF135" s="20">
        <f t="shared" si="162"/>
        <v>0</v>
      </c>
      <c r="CG135" s="15">
        <f t="shared" si="163"/>
        <v>40093.748</v>
      </c>
      <c r="CH135" s="314">
        <f t="shared" si="164"/>
        <v>-40093.748</v>
      </c>
      <c r="CI135" s="310">
        <f t="shared" si="165"/>
        <v>0</v>
      </c>
      <c r="CJ135" s="521">
        <f t="shared" si="166"/>
        <v>-40093.748</v>
      </c>
      <c r="CK135" s="530">
        <f t="shared" si="110"/>
        <v>40094</v>
      </c>
      <c r="CL135" s="531">
        <f t="shared" si="111"/>
        <v>0.25200000000040745</v>
      </c>
      <c r="CM135" s="372"/>
      <c r="CN135" s="368"/>
      <c r="CO135" s="368"/>
      <c r="CP135" s="368"/>
      <c r="CQ135" s="368"/>
      <c r="CR135" s="368"/>
      <c r="CS135" s="368"/>
      <c r="CT135" s="368"/>
      <c r="CU135" s="368"/>
      <c r="CV135" s="368"/>
      <c r="CW135" s="368"/>
      <c r="CX135" s="368"/>
      <c r="CY135" s="368"/>
      <c r="CZ135" s="372"/>
      <c r="DA135" s="372"/>
      <c r="DB135" s="372"/>
      <c r="DC135" s="372"/>
      <c r="DD135" s="372"/>
      <c r="DE135" s="372"/>
      <c r="DF135" s="372"/>
      <c r="DG135" s="372"/>
      <c r="DH135" s="372"/>
      <c r="DI135" s="372"/>
      <c r="DJ135" s="372"/>
      <c r="DK135" s="372"/>
      <c r="DL135" s="372"/>
      <c r="DM135" s="372"/>
      <c r="DN135" s="372"/>
      <c r="DO135" s="372"/>
      <c r="DP135" s="372"/>
      <c r="DQ135" s="372"/>
      <c r="DR135" s="372"/>
      <c r="DS135" s="372"/>
      <c r="DT135" s="372"/>
      <c r="DU135" s="372"/>
      <c r="DV135" s="372"/>
      <c r="DW135" s="372"/>
      <c r="DX135" s="372"/>
      <c r="DY135" s="372"/>
      <c r="DZ135" s="372"/>
      <c r="EA135" s="372"/>
      <c r="EB135" s="372"/>
      <c r="EC135" s="372"/>
      <c r="ED135" s="372"/>
      <c r="EE135" s="372"/>
      <c r="EF135" s="372"/>
      <c r="EG135" s="372"/>
      <c r="EH135" s="372"/>
      <c r="EI135" s="372"/>
      <c r="EJ135" s="372"/>
      <c r="EK135" s="372"/>
      <c r="EL135" s="372"/>
      <c r="EM135" s="372">
        <f>47694-7600</f>
        <v>40094</v>
      </c>
      <c r="EN135" s="372"/>
      <c r="EO135" s="372"/>
      <c r="EP135" s="372"/>
      <c r="EQ135" s="372"/>
      <c r="ER135" s="372"/>
      <c r="ES135" s="372"/>
    </row>
    <row r="136" spans="1:149" s="126" customFormat="1" ht="24.6" x14ac:dyDescent="0.45">
      <c r="A136" s="196"/>
      <c r="B136" s="196"/>
      <c r="C136" s="196"/>
      <c r="D136" s="196"/>
      <c r="E136" s="544">
        <v>126</v>
      </c>
      <c r="F136" s="196" t="s">
        <v>294</v>
      </c>
      <c r="G136" s="197"/>
      <c r="H136" s="196"/>
      <c r="I136" s="196"/>
      <c r="J136" s="198"/>
      <c r="K136" s="199"/>
      <c r="L136" s="199"/>
      <c r="M136" s="200"/>
      <c r="N136" s="201"/>
      <c r="O136" s="201"/>
      <c r="P136" s="201"/>
      <c r="Q136" s="198"/>
      <c r="R136" s="201"/>
      <c r="S136" s="199"/>
      <c r="T136" s="201"/>
      <c r="U136" s="201"/>
      <c r="V136" s="201"/>
      <c r="W136" s="198"/>
      <c r="X136" s="201"/>
      <c r="Y136" s="199"/>
      <c r="Z136" s="201"/>
      <c r="AA136" s="201"/>
      <c r="AB136" s="201"/>
      <c r="AC136" s="198"/>
      <c r="AD136" s="201"/>
      <c r="AE136" s="199"/>
      <c r="AF136" s="201"/>
      <c r="AG136" s="201"/>
      <c r="AH136" s="201"/>
      <c r="AI136" s="198"/>
      <c r="AJ136" s="201"/>
      <c r="AK136" s="199"/>
      <c r="AL136" s="201"/>
      <c r="AM136" s="201"/>
      <c r="AN136" s="201"/>
      <c r="AO136" s="201"/>
      <c r="AP136" s="201"/>
      <c r="AQ136" s="201"/>
      <c r="AR136" s="201"/>
      <c r="AS136" s="201"/>
      <c r="AT136" s="201"/>
      <c r="AU136" s="201"/>
      <c r="AV136" s="201"/>
      <c r="AW136" s="201"/>
      <c r="AX136" s="201"/>
      <c r="AY136" s="201"/>
      <c r="AZ136" s="202"/>
      <c r="BA136" s="259"/>
      <c r="BB136" s="267"/>
      <c r="BC136" s="200"/>
      <c r="BD136" s="197"/>
      <c r="BE136" s="202"/>
      <c r="BF136" s="201"/>
      <c r="BG136" s="201"/>
      <c r="BH136" s="423"/>
      <c r="BI136" s="267"/>
      <c r="BJ136" s="197"/>
      <c r="BK136" s="197"/>
      <c r="BL136" s="202"/>
      <c r="BM136" s="202"/>
      <c r="BN136" s="245"/>
      <c r="BO136" s="451"/>
      <c r="BP136" s="197"/>
      <c r="BQ136" s="197"/>
      <c r="BR136" s="201"/>
      <c r="BS136" s="201"/>
      <c r="BT136" s="231"/>
      <c r="BU136" s="230"/>
      <c r="BV136" s="201"/>
      <c r="BW136" s="201"/>
      <c r="BX136" s="201"/>
      <c r="BY136" s="201"/>
      <c r="BZ136" s="231"/>
      <c r="CA136" s="244"/>
      <c r="CB136" s="202"/>
      <c r="CC136" s="245"/>
      <c r="CD136" s="23"/>
      <c r="CE136" s="201"/>
      <c r="CF136" s="201"/>
      <c r="CG136" s="302"/>
      <c r="CH136" s="217"/>
      <c r="CI136" s="20"/>
      <c r="CJ136" s="15"/>
      <c r="CK136" s="530">
        <f t="shared" si="110"/>
        <v>0</v>
      </c>
      <c r="CL136" s="531">
        <f t="shared" si="111"/>
        <v>0</v>
      </c>
      <c r="CM136" s="368"/>
      <c r="CN136" s="368"/>
      <c r="CO136" s="368"/>
      <c r="CP136" s="368"/>
      <c r="CQ136" s="368"/>
      <c r="CR136" s="368"/>
      <c r="CS136" s="368"/>
      <c r="CT136" s="368"/>
      <c r="CU136" s="368"/>
      <c r="CV136" s="368"/>
      <c r="CW136" s="368"/>
      <c r="CX136" s="368"/>
      <c r="CY136" s="368"/>
      <c r="CZ136" s="368"/>
      <c r="DA136" s="368"/>
      <c r="DB136" s="368"/>
      <c r="DC136" s="368"/>
      <c r="DD136" s="368"/>
      <c r="DE136" s="368"/>
      <c r="DF136" s="368"/>
      <c r="DG136" s="368"/>
      <c r="DH136" s="368"/>
      <c r="DI136" s="368"/>
      <c r="DJ136" s="368"/>
      <c r="DK136" s="368"/>
      <c r="DL136" s="368"/>
      <c r="DM136" s="368"/>
      <c r="DN136" s="368"/>
      <c r="DO136" s="368"/>
      <c r="DP136" s="368"/>
      <c r="DQ136" s="368"/>
      <c r="DR136" s="368"/>
      <c r="DS136" s="368"/>
      <c r="DT136" s="368"/>
      <c r="DU136" s="368"/>
      <c r="DV136" s="368"/>
      <c r="DW136" s="368"/>
      <c r="DX136" s="368"/>
      <c r="DY136" s="368"/>
      <c r="DZ136" s="368"/>
      <c r="EA136" s="368"/>
      <c r="EB136" s="368"/>
      <c r="EC136" s="368"/>
      <c r="ED136" s="368"/>
      <c r="EE136" s="368"/>
      <c r="EF136" s="368"/>
      <c r="EG136" s="368"/>
      <c r="EH136" s="368"/>
      <c r="EI136" s="368"/>
      <c r="EJ136" s="368"/>
      <c r="EK136" s="368"/>
      <c r="EL136" s="368"/>
      <c r="EM136" s="368"/>
      <c r="EN136" s="368"/>
      <c r="EO136" s="368"/>
      <c r="EP136" s="368"/>
      <c r="EQ136" s="368"/>
      <c r="ER136" s="368"/>
      <c r="ES136" s="368"/>
    </row>
    <row r="137" spans="1:149" s="126" customFormat="1" ht="24.6" x14ac:dyDescent="0.45">
      <c r="A137" s="203"/>
      <c r="B137" s="203"/>
      <c r="C137" s="203"/>
      <c r="D137" s="203"/>
      <c r="E137" s="545">
        <v>127</v>
      </c>
      <c r="F137" s="203" t="s">
        <v>295</v>
      </c>
      <c r="G137" s="161"/>
      <c r="H137" s="203"/>
      <c r="I137" s="203"/>
      <c r="J137" s="159"/>
      <c r="K137" s="178"/>
      <c r="L137" s="178"/>
      <c r="M137" s="156"/>
      <c r="N137" s="20"/>
      <c r="O137" s="20"/>
      <c r="P137" s="20"/>
      <c r="Q137" s="159"/>
      <c r="R137" s="20"/>
      <c r="S137" s="178"/>
      <c r="T137" s="20"/>
      <c r="U137" s="20"/>
      <c r="V137" s="20"/>
      <c r="W137" s="159"/>
      <c r="X137" s="20"/>
      <c r="Y137" s="178"/>
      <c r="Z137" s="20"/>
      <c r="AA137" s="20"/>
      <c r="AB137" s="20"/>
      <c r="AC137" s="159"/>
      <c r="AD137" s="20"/>
      <c r="AE137" s="178"/>
      <c r="AF137" s="20"/>
      <c r="AG137" s="20"/>
      <c r="AH137" s="20"/>
      <c r="AI137" s="159"/>
      <c r="AJ137" s="20"/>
      <c r="AK137" s="178"/>
      <c r="AL137" s="20"/>
      <c r="AM137" s="20"/>
      <c r="AN137" s="20"/>
      <c r="AO137" s="20"/>
      <c r="AP137" s="20"/>
      <c r="AQ137" s="20"/>
      <c r="AR137" s="20"/>
      <c r="AS137" s="20"/>
      <c r="AT137" s="20"/>
      <c r="AU137" s="20"/>
      <c r="AV137" s="20"/>
      <c r="AW137" s="20"/>
      <c r="AX137" s="20"/>
      <c r="AY137" s="20"/>
      <c r="AZ137" s="147"/>
      <c r="BA137" s="233"/>
      <c r="BB137" s="214"/>
      <c r="BC137" s="20"/>
      <c r="BD137" s="143"/>
      <c r="BE137" s="147"/>
      <c r="BF137" s="20"/>
      <c r="BG137" s="20"/>
      <c r="BH137" s="406"/>
      <c r="BI137" s="214"/>
      <c r="BJ137" s="20"/>
      <c r="BK137" s="143"/>
      <c r="BL137" s="147"/>
      <c r="BM137" s="147"/>
      <c r="BN137" s="229"/>
      <c r="BO137" s="309"/>
      <c r="BP137" s="20"/>
      <c r="BQ137" s="143"/>
      <c r="BR137" s="20"/>
      <c r="BS137" s="20"/>
      <c r="BT137" s="223"/>
      <c r="BU137" s="217"/>
      <c r="BV137" s="20"/>
      <c r="BW137" s="20"/>
      <c r="BX137" s="20"/>
      <c r="BY137" s="20"/>
      <c r="BZ137" s="223"/>
      <c r="CA137" s="228"/>
      <c r="CB137" s="147"/>
      <c r="CC137" s="229"/>
      <c r="CD137" s="23"/>
      <c r="CE137" s="20"/>
      <c r="CF137" s="20"/>
      <c r="CG137" s="15"/>
      <c r="CH137" s="217"/>
      <c r="CI137" s="20"/>
      <c r="CJ137" s="15"/>
      <c r="CK137" s="530">
        <f t="shared" si="110"/>
        <v>0</v>
      </c>
      <c r="CL137" s="531">
        <f t="shared" si="111"/>
        <v>0</v>
      </c>
      <c r="CM137" s="368"/>
      <c r="CN137" s="368"/>
      <c r="CO137" s="368"/>
      <c r="CP137" s="368"/>
      <c r="CQ137" s="368"/>
      <c r="CR137" s="368"/>
      <c r="CS137" s="368"/>
      <c r="CT137" s="368"/>
      <c r="CU137" s="368"/>
      <c r="CV137" s="368"/>
      <c r="CW137" s="368"/>
      <c r="CX137" s="368"/>
      <c r="CY137" s="368"/>
      <c r="CZ137" s="368"/>
      <c r="DA137" s="368"/>
      <c r="DB137" s="368"/>
      <c r="DC137" s="368"/>
      <c r="DD137" s="368"/>
      <c r="DE137" s="368"/>
      <c r="DF137" s="368"/>
      <c r="DG137" s="368"/>
      <c r="DH137" s="368"/>
      <c r="DI137" s="368"/>
      <c r="DJ137" s="368"/>
      <c r="DK137" s="368"/>
      <c r="DL137" s="368"/>
      <c r="DM137" s="368"/>
      <c r="DN137" s="368"/>
      <c r="DO137" s="368"/>
      <c r="DP137" s="368"/>
      <c r="DQ137" s="368"/>
      <c r="DR137" s="368"/>
      <c r="DS137" s="368"/>
      <c r="DT137" s="368"/>
      <c r="DU137" s="368"/>
      <c r="DV137" s="368"/>
      <c r="DW137" s="368"/>
      <c r="DX137" s="368"/>
      <c r="DY137" s="368"/>
      <c r="DZ137" s="368"/>
      <c r="EA137" s="368"/>
      <c r="EB137" s="368"/>
      <c r="EC137" s="368"/>
      <c r="ED137" s="368"/>
      <c r="EE137" s="368"/>
      <c r="EF137" s="368"/>
      <c r="EG137" s="368"/>
      <c r="EH137" s="368"/>
      <c r="EI137" s="368"/>
      <c r="EJ137" s="368"/>
      <c r="EK137" s="368"/>
      <c r="EL137" s="368"/>
      <c r="EM137" s="368"/>
      <c r="EN137" s="368"/>
      <c r="EO137" s="368"/>
      <c r="EP137" s="368"/>
      <c r="EQ137" s="368"/>
      <c r="ER137" s="368"/>
      <c r="ES137" s="368"/>
    </row>
    <row r="138" spans="1:149" s="126" customFormat="1" ht="19.5" customHeight="1" x14ac:dyDescent="0.45">
      <c r="A138" s="590" t="s">
        <v>445</v>
      </c>
      <c r="B138" s="591">
        <v>89050</v>
      </c>
      <c r="C138" s="590" t="s">
        <v>446</v>
      </c>
      <c r="D138" s="592" t="s">
        <v>475</v>
      </c>
      <c r="E138" s="545">
        <v>128</v>
      </c>
      <c r="F138" s="174" t="s">
        <v>296</v>
      </c>
      <c r="G138" s="155" t="s">
        <v>257</v>
      </c>
      <c r="H138" s="155" t="s">
        <v>271</v>
      </c>
      <c r="I138" s="174" t="s">
        <v>11</v>
      </c>
      <c r="J138" s="159">
        <v>0</v>
      </c>
      <c r="K138" s="178">
        <v>400</v>
      </c>
      <c r="L138" s="178">
        <v>0</v>
      </c>
      <c r="M138" s="156" t="s">
        <v>297</v>
      </c>
      <c r="N138" s="20">
        <f>L138*K138*J138</f>
        <v>0</v>
      </c>
      <c r="O138" s="20">
        <v>0</v>
      </c>
      <c r="P138" s="20">
        <f>SUM(N138:O138)</f>
        <v>0</v>
      </c>
      <c r="Q138" s="159">
        <v>10</v>
      </c>
      <c r="R138" s="20">
        <f>K138*$J$6</f>
        <v>412</v>
      </c>
      <c r="S138" s="178">
        <v>1</v>
      </c>
      <c r="T138" s="20">
        <f>Q138*R138*S138</f>
        <v>4120</v>
      </c>
      <c r="U138" s="20">
        <v>0</v>
      </c>
      <c r="V138" s="20">
        <f>SUM(T138:U138)</f>
        <v>4120</v>
      </c>
      <c r="W138" s="159">
        <v>9</v>
      </c>
      <c r="X138" s="20">
        <f>K138*$J$6*$J$6</f>
        <v>424.36</v>
      </c>
      <c r="Y138" s="178">
        <v>1</v>
      </c>
      <c r="Z138" s="20">
        <f>Y138*X138*W138</f>
        <v>3819.2400000000002</v>
      </c>
      <c r="AA138" s="20">
        <v>0</v>
      </c>
      <c r="AB138" s="20">
        <f>SUM(Z138:AA138)</f>
        <v>3819.2400000000002</v>
      </c>
      <c r="AC138" s="159">
        <v>4</v>
      </c>
      <c r="AD138" s="20">
        <f>K138*$J$6*$J$6*$J$6</f>
        <v>437.0908</v>
      </c>
      <c r="AE138" s="178">
        <v>1</v>
      </c>
      <c r="AF138" s="20">
        <f>AE138*AD138*AC138</f>
        <v>1748.3632</v>
      </c>
      <c r="AG138" s="20">
        <v>0</v>
      </c>
      <c r="AH138" s="20">
        <f>SUM(AF138:AG138)</f>
        <v>1748.3632</v>
      </c>
      <c r="AI138" s="159">
        <v>0</v>
      </c>
      <c r="AJ138" s="20">
        <f>K138*$J$6*$J$6*$J$6*$J$6</f>
        <v>450.20352400000002</v>
      </c>
      <c r="AK138" s="178">
        <v>0</v>
      </c>
      <c r="AL138" s="20">
        <f>AK138*AJ138*AI138</f>
        <v>0</v>
      </c>
      <c r="AM138" s="20">
        <v>0</v>
      </c>
      <c r="AN138" s="20">
        <f>SUM(AL138:AM138)</f>
        <v>0</v>
      </c>
      <c r="AO138" s="20">
        <f>N138+T138+Z138+AF138+AL138</f>
        <v>9687.6031999999996</v>
      </c>
      <c r="AP138" s="20">
        <f>O138+U138+AA138+AG138+AM138</f>
        <v>0</v>
      </c>
      <c r="AQ138" s="20">
        <f>SUM(AO138:AP138)</f>
        <v>9687.6031999999996</v>
      </c>
      <c r="AR138" s="147">
        <f>SUM(AR133:AR137)</f>
        <v>0</v>
      </c>
      <c r="AS138" s="20">
        <v>0</v>
      </c>
      <c r="AT138" s="147">
        <v>0</v>
      </c>
      <c r="AU138" s="20">
        <v>0</v>
      </c>
      <c r="AV138" s="20">
        <f>AR138+AT138</f>
        <v>0</v>
      </c>
      <c r="AW138" s="20">
        <f>AS138+AU138</f>
        <v>0</v>
      </c>
      <c r="AX138" s="20">
        <f>AV138+AW138</f>
        <v>0</v>
      </c>
      <c r="AY138" s="20">
        <f>AQ138-AX138</f>
        <v>9687.6031999999996</v>
      </c>
      <c r="AZ138" s="147">
        <f>AQ138-AR138-AS138-AT138-AU138</f>
        <v>9687.6031999999996</v>
      </c>
      <c r="BA138" s="15">
        <f>AY138-AZ138</f>
        <v>0</v>
      </c>
      <c r="BB138" s="257">
        <v>0</v>
      </c>
      <c r="BC138" s="147">
        <v>0</v>
      </c>
      <c r="BD138" s="156"/>
      <c r="BE138" s="147">
        <f>BB138*BC138</f>
        <v>0</v>
      </c>
      <c r="BF138" s="147">
        <v>0</v>
      </c>
      <c r="BG138" s="147">
        <f>SUM(BE138:BF138)</f>
        <v>0</v>
      </c>
      <c r="BH138" s="413" t="s">
        <v>298</v>
      </c>
      <c r="BI138" s="257"/>
      <c r="BJ138" s="147">
        <v>2003</v>
      </c>
      <c r="BK138" s="156"/>
      <c r="BL138" s="147">
        <f>BJ138</f>
        <v>2003</v>
      </c>
      <c r="BM138" s="147">
        <v>0</v>
      </c>
      <c r="BN138" s="229">
        <f>SUM(BL138:BM138)</f>
        <v>2003</v>
      </c>
      <c r="BO138" s="450"/>
      <c r="BP138" s="147">
        <v>6373</v>
      </c>
      <c r="BQ138" s="156"/>
      <c r="BR138" s="147">
        <f>BP138</f>
        <v>6373</v>
      </c>
      <c r="BS138" s="147">
        <v>0</v>
      </c>
      <c r="BT138" s="229">
        <f>BS138+BR138</f>
        <v>6373</v>
      </c>
      <c r="BU138" s="250"/>
      <c r="BV138" s="147">
        <v>3700</v>
      </c>
      <c r="BW138" s="150"/>
      <c r="BX138" s="147">
        <f>BV138</f>
        <v>3700</v>
      </c>
      <c r="BY138" s="147">
        <v>0</v>
      </c>
      <c r="BZ138" s="229">
        <f>BY138+BX138</f>
        <v>3700</v>
      </c>
      <c r="CA138" s="228">
        <f>BR138+BL138+BE138+BX138</f>
        <v>12076</v>
      </c>
      <c r="CB138" s="147">
        <f>BS138+BM138+BF138</f>
        <v>0</v>
      </c>
      <c r="CC138" s="229">
        <f>BT138+BN138+BG138</f>
        <v>8376</v>
      </c>
      <c r="CD138" s="23"/>
      <c r="CE138" s="20">
        <f>AV138+CA138</f>
        <v>12076</v>
      </c>
      <c r="CF138" s="20">
        <f>AW138+CB138</f>
        <v>0</v>
      </c>
      <c r="CG138" s="15">
        <f>CE138+CF138</f>
        <v>12076</v>
      </c>
      <c r="CH138" s="314">
        <f t="shared" ref="CH138:CJ139" si="170">AO138-CE138</f>
        <v>-2388.3968000000004</v>
      </c>
      <c r="CI138" s="310">
        <f t="shared" si="170"/>
        <v>0</v>
      </c>
      <c r="CJ138" s="521">
        <f t="shared" si="170"/>
        <v>-2388.3968000000004</v>
      </c>
      <c r="CK138" s="530">
        <f t="shared" si="110"/>
        <v>2388</v>
      </c>
      <c r="CL138" s="531">
        <f t="shared" si="111"/>
        <v>-0.39680000000043947</v>
      </c>
      <c r="CM138" s="372"/>
      <c r="CN138" s="368"/>
      <c r="CO138" s="368"/>
      <c r="CP138" s="368"/>
      <c r="CQ138" s="368"/>
      <c r="CR138" s="368"/>
      <c r="CS138" s="368"/>
      <c r="CT138" s="368"/>
      <c r="CU138" s="368"/>
      <c r="CV138" s="368"/>
      <c r="CW138" s="368"/>
      <c r="CX138" s="368"/>
      <c r="CY138" s="368"/>
      <c r="CZ138" s="372"/>
      <c r="DA138" s="372"/>
      <c r="DB138" s="372"/>
      <c r="DC138" s="372"/>
      <c r="DD138" s="372"/>
      <c r="DE138" s="372"/>
      <c r="DF138" s="372"/>
      <c r="DG138" s="372"/>
      <c r="DH138" s="372"/>
      <c r="DI138" s="372"/>
      <c r="DJ138" s="372"/>
      <c r="DK138" s="372"/>
      <c r="DL138" s="372"/>
      <c r="DM138" s="372"/>
      <c r="DN138" s="372"/>
      <c r="DO138" s="372"/>
      <c r="DP138" s="372"/>
      <c r="DQ138" s="372"/>
      <c r="DR138" s="372"/>
      <c r="DS138" s="372"/>
      <c r="DT138" s="372"/>
      <c r="DU138" s="372"/>
      <c r="DV138" s="372"/>
      <c r="DW138" s="372"/>
      <c r="DX138" s="372"/>
      <c r="DY138" s="372"/>
      <c r="DZ138" s="372"/>
      <c r="EA138" s="372"/>
      <c r="EB138" s="372"/>
      <c r="EC138" s="372">
        <v>2388</v>
      </c>
      <c r="ED138" s="372"/>
      <c r="EE138" s="372"/>
      <c r="EF138" s="372"/>
      <c r="EG138" s="372"/>
      <c r="EH138" s="372"/>
      <c r="EI138" s="372"/>
      <c r="EJ138" s="372"/>
      <c r="EK138" s="372"/>
      <c r="EL138" s="372"/>
      <c r="EM138" s="372"/>
      <c r="EN138" s="372"/>
      <c r="EO138" s="372"/>
      <c r="EP138" s="372"/>
      <c r="EQ138" s="372"/>
      <c r="ER138" s="372"/>
      <c r="ES138" s="372"/>
    </row>
    <row r="139" spans="1:149" s="126" customFormat="1" ht="19.5" customHeight="1" x14ac:dyDescent="0.45">
      <c r="A139" s="144" t="s">
        <v>445</v>
      </c>
      <c r="B139" s="588">
        <v>89050</v>
      </c>
      <c r="C139" s="144" t="s">
        <v>446</v>
      </c>
      <c r="D139" s="187" t="s">
        <v>474</v>
      </c>
      <c r="E139" s="545">
        <v>129</v>
      </c>
      <c r="F139" s="187" t="s">
        <v>119</v>
      </c>
      <c r="G139" s="156" t="s">
        <v>257</v>
      </c>
      <c r="H139" s="156" t="s">
        <v>271</v>
      </c>
      <c r="I139" s="187" t="s">
        <v>11</v>
      </c>
      <c r="J139" s="159">
        <v>0</v>
      </c>
      <c r="K139" s="178">
        <v>1000</v>
      </c>
      <c r="L139" s="178">
        <v>0</v>
      </c>
      <c r="M139" s="156" t="s">
        <v>297</v>
      </c>
      <c r="N139" s="20">
        <f>L139*K139*J139</f>
        <v>0</v>
      </c>
      <c r="O139" s="20">
        <v>0</v>
      </c>
      <c r="P139" s="20">
        <f>SUM(N139:O139)</f>
        <v>0</v>
      </c>
      <c r="Q139" s="159">
        <v>10</v>
      </c>
      <c r="R139" s="20">
        <f>K139*$J$6</f>
        <v>1030</v>
      </c>
      <c r="S139" s="178">
        <v>1</v>
      </c>
      <c r="T139" s="20">
        <f>Q139*R139*S139</f>
        <v>10300</v>
      </c>
      <c r="U139" s="20">
        <v>0</v>
      </c>
      <c r="V139" s="20">
        <f>SUM(T139:U139)</f>
        <v>10300</v>
      </c>
      <c r="W139" s="159">
        <v>9</v>
      </c>
      <c r="X139" s="20">
        <f>K139*$J$6*$J$6</f>
        <v>1060.9000000000001</v>
      </c>
      <c r="Y139" s="178">
        <v>1</v>
      </c>
      <c r="Z139" s="20">
        <f>Y139*X139*W139</f>
        <v>9548.1</v>
      </c>
      <c r="AA139" s="20">
        <v>0</v>
      </c>
      <c r="AB139" s="20">
        <f>SUM(Z139:AA139)</f>
        <v>9548.1</v>
      </c>
      <c r="AC139" s="159">
        <v>4</v>
      </c>
      <c r="AD139" s="20">
        <f>K139*$J$6*$J$6*$J$6</f>
        <v>1092.7270000000001</v>
      </c>
      <c r="AE139" s="178">
        <v>1</v>
      </c>
      <c r="AF139" s="20">
        <f>AE139*AD139*AC139</f>
        <v>4370.9080000000004</v>
      </c>
      <c r="AG139" s="20">
        <v>0</v>
      </c>
      <c r="AH139" s="20">
        <f>SUM(AF139:AG139)</f>
        <v>4370.9080000000004</v>
      </c>
      <c r="AI139" s="159">
        <v>0</v>
      </c>
      <c r="AJ139" s="20">
        <f>K139*$J$6*$J$6*$J$6*$J$6</f>
        <v>1125.50881</v>
      </c>
      <c r="AK139" s="178">
        <v>0</v>
      </c>
      <c r="AL139" s="20">
        <f>AK139*AJ139*AI139</f>
        <v>0</v>
      </c>
      <c r="AM139" s="20">
        <v>0</v>
      </c>
      <c r="AN139" s="20">
        <f>SUM(AL139:AM139)</f>
        <v>0</v>
      </c>
      <c r="AO139" s="20">
        <f>N139+T139+Z139+AF139+AL139</f>
        <v>24219.007999999998</v>
      </c>
      <c r="AP139" s="20">
        <f>O139+U139+AA139+AG139+AM139</f>
        <v>0</v>
      </c>
      <c r="AQ139" s="20">
        <f>SUM(AO139:AP139)</f>
        <v>24219.007999999998</v>
      </c>
      <c r="AR139" s="147">
        <v>0</v>
      </c>
      <c r="AS139" s="20">
        <v>0</v>
      </c>
      <c r="AT139" s="147">
        <f>122.96+146.75+348.9+25.61</f>
        <v>644.21999999999991</v>
      </c>
      <c r="AU139" s="20">
        <v>0</v>
      </c>
      <c r="AV139" s="20">
        <f>AR139+AT139</f>
        <v>644.21999999999991</v>
      </c>
      <c r="AW139" s="20">
        <f>AS139+AU139</f>
        <v>0</v>
      </c>
      <c r="AX139" s="20">
        <f>AV139+AW139</f>
        <v>644.21999999999991</v>
      </c>
      <c r="AY139" s="20">
        <f>AQ139-AX139</f>
        <v>23574.787999999997</v>
      </c>
      <c r="AZ139" s="147">
        <f>AQ139-AR139-AS139-AT139-AU139</f>
        <v>23574.787999999997</v>
      </c>
      <c r="BA139" s="15">
        <f>AY139-AZ139</f>
        <v>0</v>
      </c>
      <c r="BB139" s="392"/>
      <c r="BC139" s="147">
        <v>0</v>
      </c>
      <c r="BD139" s="160"/>
      <c r="BE139" s="147">
        <v>0</v>
      </c>
      <c r="BF139" s="147">
        <f>SUM(BF138:BF138)</f>
        <v>0</v>
      </c>
      <c r="BG139" s="147">
        <f>SUM(BE139:BF139)</f>
        <v>0</v>
      </c>
      <c r="BH139" s="407" t="s">
        <v>299</v>
      </c>
      <c r="BI139" s="392"/>
      <c r="BJ139" s="147">
        <v>0</v>
      </c>
      <c r="BK139" s="160"/>
      <c r="BL139" s="163">
        <f>BJ139</f>
        <v>0</v>
      </c>
      <c r="BM139" s="163">
        <v>0</v>
      </c>
      <c r="BN139" s="229">
        <f>SUM(BL139:BM139)</f>
        <v>0</v>
      </c>
      <c r="BO139" s="440"/>
      <c r="BP139" s="147">
        <v>0</v>
      </c>
      <c r="BQ139" s="160"/>
      <c r="BR139" s="147">
        <f>BP139</f>
        <v>0</v>
      </c>
      <c r="BS139" s="147">
        <v>0</v>
      </c>
      <c r="BT139" s="229">
        <f>BS139+BR139</f>
        <v>0</v>
      </c>
      <c r="BU139" s="250"/>
      <c r="BV139" s="147">
        <v>0</v>
      </c>
      <c r="BW139" s="150"/>
      <c r="BX139" s="147">
        <f>BV139</f>
        <v>0</v>
      </c>
      <c r="BY139" s="147">
        <v>0</v>
      </c>
      <c r="BZ139" s="229">
        <f>BY139+BX139</f>
        <v>0</v>
      </c>
      <c r="CA139" s="228">
        <f>BR139+BL139+BE139+BX139</f>
        <v>0</v>
      </c>
      <c r="CB139" s="147">
        <f>BS139+BM139+BF139</f>
        <v>0</v>
      </c>
      <c r="CC139" s="229">
        <f>BT139+BN139+BG139</f>
        <v>0</v>
      </c>
      <c r="CD139" s="24"/>
      <c r="CE139" s="20">
        <f>AV139+CA139</f>
        <v>644.21999999999991</v>
      </c>
      <c r="CF139" s="20">
        <f>AW139+CB139</f>
        <v>0</v>
      </c>
      <c r="CG139" s="15">
        <f>CE139+CF139</f>
        <v>644.21999999999991</v>
      </c>
      <c r="CH139" s="376">
        <f t="shared" si="170"/>
        <v>23574.787999999997</v>
      </c>
      <c r="CI139" s="377">
        <f t="shared" si="170"/>
        <v>0</v>
      </c>
      <c r="CJ139" s="522">
        <f t="shared" si="170"/>
        <v>23574.787999999997</v>
      </c>
      <c r="CK139" s="532">
        <f t="shared" si="110"/>
        <v>-23575</v>
      </c>
      <c r="CL139" s="533">
        <f t="shared" si="111"/>
        <v>-0.21200000000317232</v>
      </c>
      <c r="CM139" s="372"/>
      <c r="CN139" s="372"/>
      <c r="CO139" s="372"/>
      <c r="CP139" s="372"/>
      <c r="CQ139" s="372"/>
      <c r="CR139" s="372"/>
      <c r="CS139" s="372"/>
      <c r="CT139" s="372"/>
      <c r="CU139" s="372"/>
      <c r="CV139" s="372"/>
      <c r="CW139" s="372"/>
      <c r="CX139" s="372"/>
      <c r="CY139" s="372"/>
      <c r="CZ139" s="372"/>
      <c r="DA139" s="372"/>
      <c r="DB139" s="372"/>
      <c r="DC139" s="372"/>
      <c r="DD139" s="372"/>
      <c r="DE139" s="372"/>
      <c r="DF139" s="372"/>
      <c r="DG139" s="372"/>
      <c r="DH139" s="372"/>
      <c r="DI139" s="372"/>
      <c r="DJ139" s="372"/>
      <c r="DK139" s="372"/>
      <c r="DL139" s="372"/>
      <c r="DM139" s="372"/>
      <c r="DN139" s="372"/>
      <c r="DO139" s="372"/>
      <c r="DP139" s="372"/>
      <c r="DQ139" s="372"/>
      <c r="DR139" s="372"/>
      <c r="DS139" s="372"/>
      <c r="DT139" s="372"/>
      <c r="DU139" s="372"/>
      <c r="DV139" s="372"/>
      <c r="DW139" s="372"/>
      <c r="DX139" s="372"/>
      <c r="DY139" s="372"/>
      <c r="DZ139" s="372"/>
      <c r="EA139" s="372"/>
      <c r="EB139" s="372"/>
      <c r="EC139" s="372"/>
      <c r="ED139" s="372"/>
      <c r="EE139" s="372"/>
      <c r="EF139" s="372"/>
      <c r="EG139" s="372"/>
      <c r="EH139" s="372"/>
      <c r="EI139" s="372"/>
      <c r="EJ139" s="372"/>
      <c r="EK139" s="372"/>
      <c r="EL139" s="372"/>
      <c r="EM139" s="372"/>
      <c r="EN139" s="372">
        <v>-23575</v>
      </c>
      <c r="EO139" s="372"/>
      <c r="EP139" s="372"/>
      <c r="EQ139" s="372"/>
      <c r="ER139" s="372"/>
      <c r="ES139" s="372"/>
    </row>
    <row r="140" spans="1:149" s="126" customFormat="1" ht="24.6" x14ac:dyDescent="0.45">
      <c r="A140" s="196"/>
      <c r="B140" s="196"/>
      <c r="C140" s="196"/>
      <c r="D140" s="196"/>
      <c r="E140" s="544">
        <v>130</v>
      </c>
      <c r="F140" s="196" t="s">
        <v>300</v>
      </c>
      <c r="G140" s="197"/>
      <c r="H140" s="196"/>
      <c r="I140" s="196"/>
      <c r="J140" s="198"/>
      <c r="K140" s="199"/>
      <c r="L140" s="199"/>
      <c r="M140" s="200"/>
      <c r="N140" s="201"/>
      <c r="O140" s="201"/>
      <c r="P140" s="201"/>
      <c r="Q140" s="198"/>
      <c r="R140" s="201"/>
      <c r="S140" s="199"/>
      <c r="T140" s="201"/>
      <c r="U140" s="201"/>
      <c r="V140" s="201"/>
      <c r="W140" s="198"/>
      <c r="X140" s="201"/>
      <c r="Y140" s="199"/>
      <c r="Z140" s="201"/>
      <c r="AA140" s="201"/>
      <c r="AB140" s="201"/>
      <c r="AC140" s="198"/>
      <c r="AD140" s="201"/>
      <c r="AE140" s="199"/>
      <c r="AF140" s="201"/>
      <c r="AG140" s="201"/>
      <c r="AH140" s="201"/>
      <c r="AI140" s="198"/>
      <c r="AJ140" s="201"/>
      <c r="AK140" s="199"/>
      <c r="AL140" s="201"/>
      <c r="AM140" s="201"/>
      <c r="AN140" s="201"/>
      <c r="AO140" s="201"/>
      <c r="AP140" s="201"/>
      <c r="AQ140" s="201"/>
      <c r="AR140" s="201"/>
      <c r="AS140" s="201"/>
      <c r="AT140" s="201"/>
      <c r="AU140" s="201"/>
      <c r="AV140" s="201"/>
      <c r="AW140" s="201"/>
      <c r="AX140" s="201"/>
      <c r="AY140" s="201"/>
      <c r="AZ140" s="202"/>
      <c r="BA140" s="259"/>
      <c r="BB140" s="268"/>
      <c r="BC140" s="204"/>
      <c r="BD140" s="204"/>
      <c r="BE140" s="202"/>
      <c r="BF140" s="201"/>
      <c r="BG140" s="201"/>
      <c r="BH140" s="423"/>
      <c r="BI140" s="268"/>
      <c r="BJ140" s="204"/>
      <c r="BK140" s="204"/>
      <c r="BL140" s="202"/>
      <c r="BM140" s="202"/>
      <c r="BN140" s="245"/>
      <c r="BO140" s="452"/>
      <c r="BP140" s="204"/>
      <c r="BQ140" s="204"/>
      <c r="BR140" s="201"/>
      <c r="BS140" s="201"/>
      <c r="BT140" s="231"/>
      <c r="BU140" s="230"/>
      <c r="BV140" s="201"/>
      <c r="BW140" s="201"/>
      <c r="BX140" s="201"/>
      <c r="BY140" s="201"/>
      <c r="BZ140" s="231"/>
      <c r="CA140" s="244"/>
      <c r="CB140" s="202"/>
      <c r="CC140" s="245"/>
      <c r="CD140" s="23"/>
      <c r="CE140" s="201"/>
      <c r="CF140" s="201"/>
      <c r="CG140" s="302"/>
      <c r="CH140" s="217"/>
      <c r="CI140" s="20"/>
      <c r="CJ140" s="15"/>
      <c r="CK140" s="530">
        <f t="shared" ref="CK140:CK152" si="171">SUM(CM140:ES140)</f>
        <v>0</v>
      </c>
      <c r="CL140" s="531">
        <f t="shared" ref="CL140:CL151" si="172">CJ140+CK140</f>
        <v>0</v>
      </c>
      <c r="CM140" s="368"/>
      <c r="CN140" s="368"/>
      <c r="CO140" s="368"/>
      <c r="CP140" s="368"/>
      <c r="CQ140" s="368"/>
      <c r="CR140" s="368"/>
      <c r="CS140" s="368"/>
      <c r="CT140" s="368"/>
      <c r="CU140" s="368"/>
      <c r="CV140" s="368"/>
      <c r="CW140" s="368"/>
      <c r="CX140" s="368"/>
      <c r="CY140" s="368"/>
      <c r="CZ140" s="368"/>
      <c r="DA140" s="368"/>
      <c r="DB140" s="368"/>
      <c r="DC140" s="368"/>
      <c r="DD140" s="368"/>
      <c r="DE140" s="368"/>
      <c r="DF140" s="368"/>
      <c r="DG140" s="368"/>
      <c r="DH140" s="368"/>
      <c r="DI140" s="368"/>
      <c r="DJ140" s="368"/>
      <c r="DK140" s="368"/>
      <c r="DL140" s="368"/>
      <c r="DM140" s="368"/>
      <c r="DN140" s="368"/>
      <c r="DO140" s="368"/>
      <c r="DP140" s="368"/>
      <c r="DQ140" s="368"/>
      <c r="DR140" s="368"/>
      <c r="DS140" s="368"/>
      <c r="DT140" s="368"/>
      <c r="DU140" s="368"/>
      <c r="DV140" s="368"/>
      <c r="DW140" s="368"/>
      <c r="DX140" s="368"/>
      <c r="DY140" s="368"/>
      <c r="DZ140" s="368"/>
      <c r="EA140" s="368"/>
      <c r="EB140" s="368"/>
      <c r="EC140" s="368"/>
      <c r="ED140" s="368"/>
      <c r="EE140" s="368"/>
      <c r="EF140" s="368"/>
      <c r="EG140" s="368"/>
      <c r="EH140" s="368"/>
      <c r="EI140" s="368"/>
      <c r="EJ140" s="368"/>
      <c r="EK140" s="368"/>
      <c r="EL140" s="368"/>
      <c r="EM140" s="368"/>
      <c r="EN140" s="368"/>
      <c r="EO140" s="368"/>
      <c r="EP140" s="368"/>
      <c r="EQ140" s="368"/>
      <c r="ER140" s="368"/>
      <c r="ES140" s="368"/>
    </row>
    <row r="141" spans="1:149" s="126" customFormat="1" ht="19.5" hidden="1" customHeight="1" x14ac:dyDescent="0.45">
      <c r="A141" s="156"/>
      <c r="B141" s="156"/>
      <c r="C141" s="156"/>
      <c r="D141" s="156"/>
      <c r="E141" s="544">
        <v>131</v>
      </c>
      <c r="F141" s="156" t="s">
        <v>120</v>
      </c>
      <c r="G141" s="156" t="s">
        <v>257</v>
      </c>
      <c r="H141" s="156" t="s">
        <v>271</v>
      </c>
      <c r="I141" s="156" t="s">
        <v>11</v>
      </c>
      <c r="J141" s="159">
        <v>1</v>
      </c>
      <c r="K141" s="178">
        <v>1000</v>
      </c>
      <c r="L141" s="178">
        <v>1</v>
      </c>
      <c r="M141" s="156" t="s">
        <v>221</v>
      </c>
      <c r="N141" s="20">
        <f>L141*K141*J141</f>
        <v>1000</v>
      </c>
      <c r="O141" s="20">
        <v>0</v>
      </c>
      <c r="P141" s="20">
        <f>SUM(N141:O141)</f>
        <v>1000</v>
      </c>
      <c r="Q141" s="159">
        <v>0</v>
      </c>
      <c r="R141" s="20">
        <f>K141*$J$6</f>
        <v>1030</v>
      </c>
      <c r="S141" s="178">
        <v>0</v>
      </c>
      <c r="T141" s="20">
        <f>Q141*R141*S141</f>
        <v>0</v>
      </c>
      <c r="U141" s="20">
        <v>0</v>
      </c>
      <c r="V141" s="20">
        <f>SUM(T141:U141)</f>
        <v>0</v>
      </c>
      <c r="W141" s="159">
        <v>1</v>
      </c>
      <c r="X141" s="20">
        <f>K141*$J$6*$J$6</f>
        <v>1060.9000000000001</v>
      </c>
      <c r="Y141" s="178">
        <v>1</v>
      </c>
      <c r="Z141" s="20">
        <f>Y141*X141*W141</f>
        <v>1060.9000000000001</v>
      </c>
      <c r="AA141" s="20">
        <v>0</v>
      </c>
      <c r="AB141" s="20">
        <f>SUM(Z141:AA141)</f>
        <v>1060.9000000000001</v>
      </c>
      <c r="AC141" s="159">
        <v>0</v>
      </c>
      <c r="AD141" s="20">
        <f>K141*$J$6*$J$6*$J$6</f>
        <v>1092.7270000000001</v>
      </c>
      <c r="AE141" s="178">
        <v>0</v>
      </c>
      <c r="AF141" s="20">
        <f>AE141*AD141*AC141</f>
        <v>0</v>
      </c>
      <c r="AG141" s="20">
        <v>0</v>
      </c>
      <c r="AH141" s="20">
        <f>SUM(AF141:AG141)</f>
        <v>0</v>
      </c>
      <c r="AI141" s="159">
        <v>0</v>
      </c>
      <c r="AJ141" s="20">
        <f>K141*$J$6*$J$6*$J$6*$J$6</f>
        <v>1125.50881</v>
      </c>
      <c r="AK141" s="178">
        <v>0</v>
      </c>
      <c r="AL141" s="20">
        <f>AK141*AJ141*AI141</f>
        <v>0</v>
      </c>
      <c r="AM141" s="20">
        <v>0</v>
      </c>
      <c r="AN141" s="20">
        <f>SUM(AL141:AM141)</f>
        <v>0</v>
      </c>
      <c r="AO141" s="20">
        <f>N141+T141+Z141+AF141+AL141</f>
        <v>2060.9</v>
      </c>
      <c r="AP141" s="20">
        <f>O141+U141+AA141+AG141+AM141</f>
        <v>0</v>
      </c>
      <c r="AQ141" s="20">
        <f>SUM(AO141:AP141)</f>
        <v>2060.9</v>
      </c>
      <c r="AR141" s="147">
        <v>0</v>
      </c>
      <c r="AS141" s="20">
        <v>0</v>
      </c>
      <c r="AT141" s="147">
        <v>0</v>
      </c>
      <c r="AU141" s="20">
        <v>0</v>
      </c>
      <c r="AV141" s="20">
        <f>AR141+AT141</f>
        <v>0</v>
      </c>
      <c r="AW141" s="20">
        <f>AS141+AU141</f>
        <v>0</v>
      </c>
      <c r="AX141" s="20">
        <f>AV141+AW141</f>
        <v>0</v>
      </c>
      <c r="AY141" s="20">
        <f>AQ141-AX141</f>
        <v>2060.9</v>
      </c>
      <c r="AZ141" s="147">
        <f>AQ141-AR141-AS141-AT141-AU141</f>
        <v>2060.9</v>
      </c>
      <c r="BA141" s="15">
        <f>AY141-AZ141</f>
        <v>0</v>
      </c>
      <c r="BB141" s="214"/>
      <c r="BC141" s="147">
        <v>0</v>
      </c>
      <c r="BD141" s="143"/>
      <c r="BE141" s="147">
        <f>BD141*BC141*BB141</f>
        <v>0</v>
      </c>
      <c r="BF141" s="147">
        <v>0</v>
      </c>
      <c r="BG141" s="147">
        <f>SUM(BE141:BF141)</f>
        <v>0</v>
      </c>
      <c r="BH141" s="407" t="s">
        <v>301</v>
      </c>
      <c r="BI141" s="214"/>
      <c r="BJ141" s="147">
        <v>0</v>
      </c>
      <c r="BK141" s="143"/>
      <c r="BL141" s="147">
        <f>BK141*BJ141*BI141</f>
        <v>0</v>
      </c>
      <c r="BM141" s="147">
        <v>0</v>
      </c>
      <c r="BN141" s="229">
        <f>SUM(BL141:BM141)</f>
        <v>0</v>
      </c>
      <c r="BO141" s="309"/>
      <c r="BP141" s="147">
        <v>0</v>
      </c>
      <c r="BQ141" s="143"/>
      <c r="BR141" s="147">
        <f>BP141</f>
        <v>0</v>
      </c>
      <c r="BS141" s="147">
        <v>0</v>
      </c>
      <c r="BT141" s="229">
        <f>SUM(BR141:BS141)</f>
        <v>0</v>
      </c>
      <c r="BU141" s="250"/>
      <c r="BV141" s="147">
        <v>0</v>
      </c>
      <c r="BW141" s="150"/>
      <c r="BX141" s="147">
        <f>BV141</f>
        <v>0</v>
      </c>
      <c r="BY141" s="147">
        <v>0</v>
      </c>
      <c r="BZ141" s="229">
        <f>BY141+BX141</f>
        <v>0</v>
      </c>
      <c r="CA141" s="228">
        <f>BR141+BL141+BE141+BX141</f>
        <v>0</v>
      </c>
      <c r="CB141" s="147">
        <f>BS141+BM141+BF141</f>
        <v>0</v>
      </c>
      <c r="CC141" s="229">
        <f>BT141+BN141+BG141</f>
        <v>0</v>
      </c>
      <c r="CD141" s="23"/>
      <c r="CE141" s="20">
        <f>AV141+CA141</f>
        <v>0</v>
      </c>
      <c r="CF141" s="20">
        <f>AW141+CB141</f>
        <v>0</v>
      </c>
      <c r="CG141" s="15">
        <f>CE141+CF141</f>
        <v>0</v>
      </c>
      <c r="CH141" s="376">
        <f t="shared" ref="CH141:CJ142" si="173">AO141-CE141</f>
        <v>2060.9</v>
      </c>
      <c r="CI141" s="377">
        <f t="shared" si="173"/>
        <v>0</v>
      </c>
      <c r="CJ141" s="522">
        <f t="shared" si="173"/>
        <v>2060.9</v>
      </c>
      <c r="CK141" s="532">
        <f t="shared" si="171"/>
        <v>-2061</v>
      </c>
      <c r="CL141" s="533">
        <f t="shared" si="172"/>
        <v>-9.9999999999909051E-2</v>
      </c>
      <c r="CM141" s="372"/>
      <c r="CN141" s="372"/>
      <c r="CO141" s="372"/>
      <c r="CP141" s="372"/>
      <c r="CQ141" s="372"/>
      <c r="CR141" s="372"/>
      <c r="CS141" s="372"/>
      <c r="CT141" s="372"/>
      <c r="CU141" s="372"/>
      <c r="CV141" s="372"/>
      <c r="CW141" s="372"/>
      <c r="CX141" s="372"/>
      <c r="CY141" s="372"/>
      <c r="CZ141" s="372"/>
      <c r="DA141" s="372"/>
      <c r="DB141" s="372"/>
      <c r="DC141" s="372"/>
      <c r="DD141" s="372"/>
      <c r="DE141" s="372"/>
      <c r="DF141" s="372"/>
      <c r="DG141" s="372"/>
      <c r="DH141" s="372"/>
      <c r="DI141" s="372"/>
      <c r="DJ141" s="372"/>
      <c r="DK141" s="372"/>
      <c r="DL141" s="372"/>
      <c r="DM141" s="372"/>
      <c r="DN141" s="372"/>
      <c r="DO141" s="372"/>
      <c r="DP141" s="372"/>
      <c r="DQ141" s="372"/>
      <c r="DR141" s="372"/>
      <c r="DS141" s="372"/>
      <c r="DT141" s="372"/>
      <c r="DU141" s="372"/>
      <c r="DV141" s="372"/>
      <c r="DW141" s="372"/>
      <c r="DX141" s="372"/>
      <c r="DY141" s="372"/>
      <c r="DZ141" s="372"/>
      <c r="EA141" s="372"/>
      <c r="EB141" s="372"/>
      <c r="EC141" s="372"/>
      <c r="ED141" s="372"/>
      <c r="EE141" s="372"/>
      <c r="EF141" s="372"/>
      <c r="EG141" s="372"/>
      <c r="EH141" s="372"/>
      <c r="EI141" s="372"/>
      <c r="EJ141" s="372"/>
      <c r="EK141" s="372"/>
      <c r="EL141" s="372"/>
      <c r="EM141" s="372"/>
      <c r="EN141" s="372"/>
      <c r="EO141" s="372">
        <v>-2061</v>
      </c>
      <c r="EP141" s="372"/>
      <c r="EQ141" s="372"/>
      <c r="ER141" s="372"/>
      <c r="ES141" s="372"/>
    </row>
    <row r="142" spans="1:149" s="126" customFormat="1" ht="19.5" hidden="1" customHeight="1" x14ac:dyDescent="0.45">
      <c r="A142" s="156"/>
      <c r="B142" s="156"/>
      <c r="C142" s="156"/>
      <c r="D142" s="156"/>
      <c r="E142" s="546">
        <v>132</v>
      </c>
      <c r="F142" s="156" t="s">
        <v>121</v>
      </c>
      <c r="G142" s="156" t="s">
        <v>257</v>
      </c>
      <c r="H142" s="156" t="s">
        <v>271</v>
      </c>
      <c r="I142" s="156" t="s">
        <v>11</v>
      </c>
      <c r="J142" s="159">
        <v>3</v>
      </c>
      <c r="K142" s="178">
        <v>1000</v>
      </c>
      <c r="L142" s="178">
        <v>1</v>
      </c>
      <c r="M142" s="156" t="s">
        <v>221</v>
      </c>
      <c r="N142" s="20">
        <f>L142*K142*J142</f>
        <v>3000</v>
      </c>
      <c r="O142" s="20">
        <v>0</v>
      </c>
      <c r="P142" s="20">
        <f>SUM(N142:O142)</f>
        <v>3000</v>
      </c>
      <c r="Q142" s="159">
        <v>0</v>
      </c>
      <c r="R142" s="20">
        <f>K142*$J$6</f>
        <v>1030</v>
      </c>
      <c r="S142" s="178">
        <v>0</v>
      </c>
      <c r="T142" s="20">
        <f>Q142*R142*S142</f>
        <v>0</v>
      </c>
      <c r="U142" s="20">
        <v>0</v>
      </c>
      <c r="V142" s="20">
        <f>SUM(T142:U142)</f>
        <v>0</v>
      </c>
      <c r="W142" s="159">
        <v>3</v>
      </c>
      <c r="X142" s="20">
        <f>K142*$J$6*$J$6</f>
        <v>1060.9000000000001</v>
      </c>
      <c r="Y142" s="178">
        <v>1</v>
      </c>
      <c r="Z142" s="20">
        <f>Y142*X142*W142</f>
        <v>3182.7000000000003</v>
      </c>
      <c r="AA142" s="20">
        <v>0</v>
      </c>
      <c r="AB142" s="20">
        <f>SUM(Z142:AA142)</f>
        <v>3182.7000000000003</v>
      </c>
      <c r="AC142" s="159">
        <v>0</v>
      </c>
      <c r="AD142" s="20">
        <f>K142*$J$6*$J$6*$J$6</f>
        <v>1092.7270000000001</v>
      </c>
      <c r="AE142" s="178">
        <v>0</v>
      </c>
      <c r="AF142" s="20">
        <f>AE142*AD142*AC142</f>
        <v>0</v>
      </c>
      <c r="AG142" s="20">
        <v>0</v>
      </c>
      <c r="AH142" s="20">
        <f>SUM(AF142:AG142)</f>
        <v>0</v>
      </c>
      <c r="AI142" s="159">
        <v>3</v>
      </c>
      <c r="AJ142" s="20">
        <f>K142*$J$6*$J$6*$J$6*$J$6</f>
        <v>1125.50881</v>
      </c>
      <c r="AK142" s="178">
        <v>1</v>
      </c>
      <c r="AL142" s="20">
        <f>AK142*AJ142*AI142</f>
        <v>3376.5264299999999</v>
      </c>
      <c r="AM142" s="20">
        <v>0</v>
      </c>
      <c r="AN142" s="20">
        <f>SUM(AL142:AM142)</f>
        <v>3376.5264299999999</v>
      </c>
      <c r="AO142" s="20">
        <f>N142+T142+Z142+AF142+AL142</f>
        <v>9559.2264300000006</v>
      </c>
      <c r="AP142" s="20">
        <f>O142+U142+AA142+AG142+AM142</f>
        <v>0</v>
      </c>
      <c r="AQ142" s="20">
        <f>SUM(AO142:AP142)</f>
        <v>9559.2264300000006</v>
      </c>
      <c r="AR142" s="147">
        <f>SUM(AR140:AR141)</f>
        <v>0</v>
      </c>
      <c r="AS142" s="20">
        <v>0</v>
      </c>
      <c r="AT142" s="147">
        <f>SUM(AT140:AT141)</f>
        <v>0</v>
      </c>
      <c r="AU142" s="20">
        <v>0</v>
      </c>
      <c r="AV142" s="20">
        <f>AR142+AT142</f>
        <v>0</v>
      </c>
      <c r="AW142" s="20">
        <f>AS142+AU142</f>
        <v>0</v>
      </c>
      <c r="AX142" s="20">
        <f>AV142+AW142</f>
        <v>0</v>
      </c>
      <c r="AY142" s="20">
        <f>AQ142-AX142</f>
        <v>9559.2264300000006</v>
      </c>
      <c r="AZ142" s="147">
        <f>AQ142-AR142-AS142-AT142-AU142</f>
        <v>9559.2264300000006</v>
      </c>
      <c r="BA142" s="15">
        <f>AY142-AZ142</f>
        <v>0</v>
      </c>
      <c r="BB142" s="257"/>
      <c r="BC142" s="147">
        <v>0</v>
      </c>
      <c r="BD142" s="156"/>
      <c r="BE142" s="147">
        <v>0</v>
      </c>
      <c r="BF142" s="147">
        <f>SUM(BF141:BF141)</f>
        <v>0</v>
      </c>
      <c r="BG142" s="147">
        <f>SUM(BE142:BF142)</f>
        <v>0</v>
      </c>
      <c r="BH142" s="407" t="s">
        <v>302</v>
      </c>
      <c r="BI142" s="257"/>
      <c r="BJ142" s="147">
        <v>0</v>
      </c>
      <c r="BK142" s="156"/>
      <c r="BL142" s="147">
        <f>SUM(BL141:BL141)</f>
        <v>0</v>
      </c>
      <c r="BM142" s="147">
        <v>0</v>
      </c>
      <c r="BN142" s="229">
        <f>SUM(BL142:BM142)</f>
        <v>0</v>
      </c>
      <c r="BO142" s="450"/>
      <c r="BP142" s="147">
        <v>0</v>
      </c>
      <c r="BQ142" s="156"/>
      <c r="BR142" s="147">
        <f>BP142</f>
        <v>0</v>
      </c>
      <c r="BS142" s="147">
        <v>0</v>
      </c>
      <c r="BT142" s="229">
        <f>SUM(BT141:BT141)</f>
        <v>0</v>
      </c>
      <c r="BU142" s="250"/>
      <c r="BV142" s="147">
        <v>0</v>
      </c>
      <c r="BW142" s="150"/>
      <c r="BX142" s="147">
        <f>BV142</f>
        <v>0</v>
      </c>
      <c r="BY142" s="147">
        <v>0</v>
      </c>
      <c r="BZ142" s="229">
        <f>BY142+BX142</f>
        <v>0</v>
      </c>
      <c r="CA142" s="228">
        <f>BR142+BL142+BE142+BX142</f>
        <v>0</v>
      </c>
      <c r="CB142" s="147">
        <f>BS142+BM142+BF142</f>
        <v>0</v>
      </c>
      <c r="CC142" s="229">
        <f>BT142+BN142+BG142</f>
        <v>0</v>
      </c>
      <c r="CD142" s="23"/>
      <c r="CE142" s="20">
        <f>AV142+CA142</f>
        <v>0</v>
      </c>
      <c r="CF142" s="20">
        <f>AW142+CB142</f>
        <v>0</v>
      </c>
      <c r="CG142" s="15">
        <f>CE142+CF142</f>
        <v>0</v>
      </c>
      <c r="CH142" s="314">
        <f t="shared" si="173"/>
        <v>9559.2264300000006</v>
      </c>
      <c r="CI142" s="310">
        <f t="shared" si="173"/>
        <v>0</v>
      </c>
      <c r="CJ142" s="521">
        <f t="shared" si="173"/>
        <v>9559.2264300000006</v>
      </c>
      <c r="CK142" s="530">
        <f t="shared" si="171"/>
        <v>-9559</v>
      </c>
      <c r="CL142" s="531">
        <f t="shared" si="172"/>
        <v>0.22643000000061875</v>
      </c>
      <c r="CM142" s="372"/>
      <c r="CN142" s="368"/>
      <c r="CO142" s="368"/>
      <c r="CP142" s="368"/>
      <c r="CQ142" s="368"/>
      <c r="CR142" s="368"/>
      <c r="CS142" s="368"/>
      <c r="CT142" s="368"/>
      <c r="CU142" s="368"/>
      <c r="CV142" s="368"/>
      <c r="CW142" s="368"/>
      <c r="CX142" s="368"/>
      <c r="CY142" s="368"/>
      <c r="CZ142" s="372"/>
      <c r="DA142" s="372"/>
      <c r="DB142" s="372"/>
      <c r="DC142" s="372"/>
      <c r="DD142" s="372"/>
      <c r="DE142" s="372"/>
      <c r="DF142" s="372"/>
      <c r="DG142" s="372"/>
      <c r="DH142" s="372"/>
      <c r="DI142" s="372"/>
      <c r="DJ142" s="372"/>
      <c r="DK142" s="372"/>
      <c r="DL142" s="372"/>
      <c r="DM142" s="372"/>
      <c r="DN142" s="372"/>
      <c r="DO142" s="372"/>
      <c r="DP142" s="372"/>
      <c r="DQ142" s="372"/>
      <c r="DR142" s="372"/>
      <c r="DS142" s="372"/>
      <c r="DT142" s="372"/>
      <c r="DU142" s="372"/>
      <c r="DV142" s="372"/>
      <c r="DW142" s="372"/>
      <c r="DX142" s="372"/>
      <c r="DY142" s="372"/>
      <c r="DZ142" s="372"/>
      <c r="EA142" s="372"/>
      <c r="EB142" s="372"/>
      <c r="EC142" s="372"/>
      <c r="ED142" s="372"/>
      <c r="EE142" s="372"/>
      <c r="EF142" s="372"/>
      <c r="EG142" s="372"/>
      <c r="EH142" s="372"/>
      <c r="EI142" s="372"/>
      <c r="EJ142" s="372"/>
      <c r="EK142" s="372"/>
      <c r="EL142" s="372"/>
      <c r="EM142" s="372"/>
      <c r="EN142" s="372"/>
      <c r="EO142" s="372"/>
      <c r="EP142" s="372">
        <v>-9559</v>
      </c>
      <c r="EQ142" s="372"/>
      <c r="ER142" s="372"/>
      <c r="ES142" s="372"/>
    </row>
    <row r="143" spans="1:149" s="126" customFormat="1" ht="12.6" x14ac:dyDescent="0.45">
      <c r="A143" s="196"/>
      <c r="B143" s="196"/>
      <c r="C143" s="196"/>
      <c r="D143" s="196"/>
      <c r="E143" s="545">
        <v>133</v>
      </c>
      <c r="F143" s="196" t="s">
        <v>303</v>
      </c>
      <c r="G143" s="197"/>
      <c r="H143" s="196"/>
      <c r="I143" s="196"/>
      <c r="J143" s="198"/>
      <c r="K143" s="199"/>
      <c r="L143" s="199"/>
      <c r="M143" s="200"/>
      <c r="N143" s="201"/>
      <c r="O143" s="201"/>
      <c r="P143" s="201"/>
      <c r="Q143" s="198"/>
      <c r="R143" s="198"/>
      <c r="S143" s="199"/>
      <c r="T143" s="201"/>
      <c r="U143" s="201"/>
      <c r="V143" s="201"/>
      <c r="W143" s="198"/>
      <c r="X143" s="198"/>
      <c r="Y143" s="199"/>
      <c r="Z143" s="201"/>
      <c r="AA143" s="201"/>
      <c r="AB143" s="201"/>
      <c r="AC143" s="198"/>
      <c r="AD143" s="205"/>
      <c r="AE143" s="199"/>
      <c r="AF143" s="201"/>
      <c r="AG143" s="201"/>
      <c r="AH143" s="201"/>
      <c r="AI143" s="198"/>
      <c r="AJ143" s="201"/>
      <c r="AK143" s="199"/>
      <c r="AL143" s="201"/>
      <c r="AM143" s="201"/>
      <c r="AN143" s="201"/>
      <c r="AO143" s="201"/>
      <c r="AP143" s="201"/>
      <c r="AQ143" s="201"/>
      <c r="AR143" s="201"/>
      <c r="AS143" s="201"/>
      <c r="AT143" s="201"/>
      <c r="AU143" s="201"/>
      <c r="AV143" s="201"/>
      <c r="AW143" s="201"/>
      <c r="AX143" s="201"/>
      <c r="AY143" s="201"/>
      <c r="AZ143" s="202"/>
      <c r="BA143" s="259"/>
      <c r="BB143" s="267"/>
      <c r="BC143" s="200"/>
      <c r="BD143" s="197"/>
      <c r="BE143" s="201"/>
      <c r="BF143" s="202"/>
      <c r="BG143" s="201"/>
      <c r="BH143" s="423"/>
      <c r="BI143" s="267"/>
      <c r="BJ143" s="197"/>
      <c r="BK143" s="197"/>
      <c r="BL143" s="202"/>
      <c r="BM143" s="202"/>
      <c r="BN143" s="245"/>
      <c r="BO143" s="451"/>
      <c r="BP143" s="197"/>
      <c r="BQ143" s="197"/>
      <c r="BR143" s="201"/>
      <c r="BS143" s="201"/>
      <c r="BT143" s="231"/>
      <c r="BU143" s="230"/>
      <c r="BV143" s="201"/>
      <c r="BW143" s="201"/>
      <c r="BX143" s="201"/>
      <c r="BY143" s="201"/>
      <c r="BZ143" s="231"/>
      <c r="CA143" s="230"/>
      <c r="CB143" s="201"/>
      <c r="CC143" s="231"/>
      <c r="CD143" s="23"/>
      <c r="CE143" s="201"/>
      <c r="CF143" s="201"/>
      <c r="CG143" s="302"/>
      <c r="CH143" s="217"/>
      <c r="CI143" s="20"/>
      <c r="CJ143" s="15"/>
      <c r="CK143" s="530">
        <f t="shared" si="171"/>
        <v>0</v>
      </c>
      <c r="CL143" s="531">
        <f t="shared" si="172"/>
        <v>0</v>
      </c>
      <c r="CM143" s="368"/>
      <c r="CN143" s="368"/>
      <c r="CO143" s="368"/>
      <c r="CP143" s="368"/>
      <c r="CQ143" s="368"/>
      <c r="CR143" s="368"/>
      <c r="CS143" s="368"/>
      <c r="CT143" s="368"/>
      <c r="CU143" s="368"/>
      <c r="CV143" s="368"/>
      <c r="CW143" s="368"/>
      <c r="CX143" s="368"/>
      <c r="CY143" s="368"/>
      <c r="CZ143" s="368"/>
      <c r="DA143" s="368"/>
      <c r="DB143" s="368"/>
      <c r="DC143" s="368"/>
      <c r="DD143" s="368"/>
      <c r="DE143" s="368"/>
      <c r="DF143" s="368"/>
      <c r="DG143" s="368"/>
      <c r="DH143" s="368"/>
      <c r="DI143" s="368"/>
      <c r="DJ143" s="368"/>
      <c r="DK143" s="368"/>
      <c r="DL143" s="368"/>
      <c r="DM143" s="368"/>
      <c r="DN143" s="368"/>
      <c r="DO143" s="368"/>
      <c r="DP143" s="368"/>
      <c r="DQ143" s="368"/>
      <c r="DR143" s="368"/>
      <c r="DS143" s="368"/>
      <c r="DT143" s="368"/>
      <c r="DU143" s="368"/>
      <c r="DV143" s="368"/>
      <c r="DW143" s="368"/>
      <c r="DX143" s="368"/>
      <c r="DY143" s="368"/>
      <c r="DZ143" s="368"/>
      <c r="EA143" s="368"/>
      <c r="EB143" s="368"/>
      <c r="EC143" s="368"/>
      <c r="ED143" s="368"/>
      <c r="EE143" s="368"/>
      <c r="EF143" s="368"/>
      <c r="EG143" s="368"/>
      <c r="EH143" s="368"/>
      <c r="EI143" s="368"/>
      <c r="EJ143" s="368"/>
      <c r="EK143" s="368"/>
      <c r="EL143" s="368"/>
      <c r="EM143" s="368"/>
      <c r="EN143" s="368"/>
      <c r="EO143" s="368"/>
      <c r="EP143" s="368"/>
      <c r="EQ143" s="368"/>
      <c r="ER143" s="368"/>
      <c r="ES143" s="368"/>
    </row>
    <row r="144" spans="1:149" s="126" customFormat="1" ht="19.5" customHeight="1" x14ac:dyDescent="0.45">
      <c r="A144" s="144" t="s">
        <v>445</v>
      </c>
      <c r="B144" s="588">
        <v>89050</v>
      </c>
      <c r="C144" s="144" t="s">
        <v>446</v>
      </c>
      <c r="D144" s="156" t="s">
        <v>476</v>
      </c>
      <c r="E144" s="545">
        <v>134</v>
      </c>
      <c r="F144" s="156" t="s">
        <v>122</v>
      </c>
      <c r="G144" s="156" t="s">
        <v>257</v>
      </c>
      <c r="H144" s="156" t="s">
        <v>271</v>
      </c>
      <c r="I144" s="156" t="s">
        <v>11</v>
      </c>
      <c r="J144" s="143">
        <v>1</v>
      </c>
      <c r="K144" s="20">
        <v>2500</v>
      </c>
      <c r="L144" s="178">
        <v>1</v>
      </c>
      <c r="M144" s="156" t="s">
        <v>272</v>
      </c>
      <c r="N144" s="20">
        <f>L144*K144*J144</f>
        <v>2500</v>
      </c>
      <c r="O144" s="20">
        <v>0</v>
      </c>
      <c r="P144" s="20">
        <f>SUM(N144:O144)</f>
        <v>2500</v>
      </c>
      <c r="Q144" s="143">
        <v>1</v>
      </c>
      <c r="R144" s="195">
        <f>K144*$J$6</f>
        <v>2575</v>
      </c>
      <c r="S144" s="178">
        <v>1</v>
      </c>
      <c r="T144" s="20">
        <f>S144*R144*Q144</f>
        <v>2575</v>
      </c>
      <c r="U144" s="20">
        <v>0</v>
      </c>
      <c r="V144" s="20">
        <f>SUM(T144:U144)</f>
        <v>2575</v>
      </c>
      <c r="W144" s="143">
        <v>1</v>
      </c>
      <c r="X144" s="195">
        <f>K144*$J$6*$J$6</f>
        <v>2652.25</v>
      </c>
      <c r="Y144" s="178">
        <v>1</v>
      </c>
      <c r="Z144" s="20">
        <f>Y144*X144*W144</f>
        <v>2652.25</v>
      </c>
      <c r="AA144" s="20">
        <v>0</v>
      </c>
      <c r="AB144" s="20">
        <f>SUM(Z144:Z144)</f>
        <v>2652.25</v>
      </c>
      <c r="AC144" s="143">
        <v>1</v>
      </c>
      <c r="AD144" s="195">
        <f>K144*$J$6*$J$6*$J$6</f>
        <v>2731.8175000000001</v>
      </c>
      <c r="AE144" s="178">
        <v>1</v>
      </c>
      <c r="AF144" s="20">
        <f>AE144*AD144*AC144</f>
        <v>2731.8175000000001</v>
      </c>
      <c r="AG144" s="20">
        <v>0</v>
      </c>
      <c r="AH144" s="20">
        <f>SUM(AF144:AG144)</f>
        <v>2731.8175000000001</v>
      </c>
      <c r="AI144" s="143">
        <v>1</v>
      </c>
      <c r="AJ144" s="195">
        <f>K144*$J$6*$J$6*$J$6*$J$6</f>
        <v>2813.7720250000002</v>
      </c>
      <c r="AK144" s="178">
        <v>1</v>
      </c>
      <c r="AL144" s="20">
        <f>AK144*AJ144*AI144</f>
        <v>2813.7720250000002</v>
      </c>
      <c r="AM144" s="20">
        <v>0</v>
      </c>
      <c r="AN144" s="20">
        <f>SUM(AL144:AM144)</f>
        <v>2813.7720250000002</v>
      </c>
      <c r="AO144" s="20">
        <f t="shared" ref="AO144:AP147" si="174">N144+T144+Z144+AF144+AL144</f>
        <v>13272.839525000001</v>
      </c>
      <c r="AP144" s="20">
        <f t="shared" si="174"/>
        <v>0</v>
      </c>
      <c r="AQ144" s="20">
        <f>SUM(AO144:AP144)</f>
        <v>13272.839525000001</v>
      </c>
      <c r="AR144" s="147">
        <f>AR142+AR138</f>
        <v>0</v>
      </c>
      <c r="AS144" s="20">
        <v>0</v>
      </c>
      <c r="AT144" s="147">
        <v>0</v>
      </c>
      <c r="AU144" s="20">
        <v>0</v>
      </c>
      <c r="AV144" s="20">
        <f t="shared" ref="AV144:AW147" si="175">AR144+AT144</f>
        <v>0</v>
      </c>
      <c r="AW144" s="20">
        <f t="shared" si="175"/>
        <v>0</v>
      </c>
      <c r="AX144" s="20">
        <f>AV144+AW144</f>
        <v>0</v>
      </c>
      <c r="AY144" s="20">
        <f>AQ144-AX144</f>
        <v>13272.839525000001</v>
      </c>
      <c r="AZ144" s="147">
        <f t="shared" ref="AZ144:AZ152" si="176">AQ144-AR144-AS144-AT144-AU144</f>
        <v>13272.839525000001</v>
      </c>
      <c r="BA144" s="15">
        <f>AY144-AZ144</f>
        <v>0</v>
      </c>
      <c r="BB144" s="251"/>
      <c r="BC144" s="147">
        <v>0</v>
      </c>
      <c r="BD144" s="156"/>
      <c r="BE144" s="147">
        <v>0</v>
      </c>
      <c r="BF144" s="147">
        <f>BF142+BF138</f>
        <v>0</v>
      </c>
      <c r="BG144" s="147">
        <f>SUM(BE144:BF144)</f>
        <v>0</v>
      </c>
      <c r="BH144" s="407" t="s">
        <v>304</v>
      </c>
      <c r="BI144" s="251"/>
      <c r="BJ144" s="147">
        <v>5000</v>
      </c>
      <c r="BK144" s="156"/>
      <c r="BL144" s="147">
        <f>BJ144</f>
        <v>5000</v>
      </c>
      <c r="BM144" s="147">
        <v>0</v>
      </c>
      <c r="BN144" s="229">
        <f>SUM(BL144:BM144)</f>
        <v>5000</v>
      </c>
      <c r="BO144" s="438"/>
      <c r="BP144" s="147">
        <v>0</v>
      </c>
      <c r="BQ144" s="156"/>
      <c r="BR144" s="147">
        <f>BP144</f>
        <v>0</v>
      </c>
      <c r="BS144" s="147">
        <v>0</v>
      </c>
      <c r="BT144" s="229">
        <v>0</v>
      </c>
      <c r="BU144" s="250"/>
      <c r="BV144" s="147">
        <v>0</v>
      </c>
      <c r="BW144" s="150"/>
      <c r="BX144" s="147">
        <f>BV144</f>
        <v>0</v>
      </c>
      <c r="BY144" s="147">
        <v>0</v>
      </c>
      <c r="BZ144" s="229">
        <f>BY144+BX144</f>
        <v>0</v>
      </c>
      <c r="CA144" s="228">
        <f>BR144+BL144+BE144+BX144</f>
        <v>5000</v>
      </c>
      <c r="CB144" s="147">
        <f t="shared" ref="CB144:CC147" si="177">BS144+BM144+BF144</f>
        <v>0</v>
      </c>
      <c r="CC144" s="229">
        <f t="shared" si="177"/>
        <v>5000</v>
      </c>
      <c r="CD144" s="23"/>
      <c r="CE144" s="20">
        <f t="shared" ref="CE144:CF147" si="178">AV144+CA144</f>
        <v>5000</v>
      </c>
      <c r="CF144" s="20">
        <f t="shared" si="178"/>
        <v>0</v>
      </c>
      <c r="CG144" s="15">
        <f t="shared" ref="CG144:CG151" si="179">CE144+CF144</f>
        <v>5000</v>
      </c>
      <c r="CH144" s="314">
        <f t="shared" ref="CH144:CJ147" si="180">AO144-CE144</f>
        <v>8272.8395250000012</v>
      </c>
      <c r="CI144" s="310">
        <f t="shared" si="180"/>
        <v>0</v>
      </c>
      <c r="CJ144" s="521">
        <f t="shared" si="180"/>
        <v>8272.8395250000012</v>
      </c>
      <c r="CK144" s="530">
        <f t="shared" si="171"/>
        <v>-8273</v>
      </c>
      <c r="CL144" s="531">
        <f t="shared" si="172"/>
        <v>-0.16047499999876891</v>
      </c>
      <c r="CM144" s="372"/>
      <c r="CN144" s="368"/>
      <c r="CO144" s="372"/>
      <c r="CP144" s="368"/>
      <c r="CQ144" s="372"/>
      <c r="CR144" s="368"/>
      <c r="CS144" s="368"/>
      <c r="CT144" s="368"/>
      <c r="CU144" s="372"/>
      <c r="CV144" s="368"/>
      <c r="CW144" s="368"/>
      <c r="CX144" s="368"/>
      <c r="CY144" s="368"/>
      <c r="CZ144" s="372"/>
      <c r="DA144" s="372"/>
      <c r="DB144" s="372"/>
      <c r="DC144" s="372"/>
      <c r="DD144" s="372"/>
      <c r="DE144" s="372"/>
      <c r="DF144" s="372"/>
      <c r="DG144" s="372"/>
      <c r="DH144" s="372"/>
      <c r="DI144" s="372"/>
      <c r="DJ144" s="372"/>
      <c r="DK144" s="372"/>
      <c r="DL144" s="372"/>
      <c r="DM144" s="372"/>
      <c r="DN144" s="372"/>
      <c r="DO144" s="372"/>
      <c r="DP144" s="372"/>
      <c r="DQ144" s="372"/>
      <c r="DR144" s="372"/>
      <c r="DS144" s="372"/>
      <c r="DT144" s="372"/>
      <c r="DU144" s="372"/>
      <c r="DV144" s="372"/>
      <c r="DW144" s="372"/>
      <c r="DX144" s="372"/>
      <c r="DY144" s="372"/>
      <c r="DZ144" s="372"/>
      <c r="EA144" s="372"/>
      <c r="EB144" s="372"/>
      <c r="EC144" s="372"/>
      <c r="ED144" s="372"/>
      <c r="EE144" s="372"/>
      <c r="EF144" s="372"/>
      <c r="EG144" s="372"/>
      <c r="EH144" s="372"/>
      <c r="EI144" s="372"/>
      <c r="EJ144" s="372"/>
      <c r="EK144" s="372"/>
      <c r="EL144" s="372"/>
      <c r="EM144" s="372"/>
      <c r="EN144" s="372"/>
      <c r="EO144" s="372"/>
      <c r="EP144" s="372"/>
      <c r="EQ144" s="372">
        <v>-8273</v>
      </c>
      <c r="ER144" s="372"/>
      <c r="ES144" s="372"/>
    </row>
    <row r="145" spans="1:149" s="126" customFormat="1" ht="19.5" customHeight="1" x14ac:dyDescent="0.45">
      <c r="A145" s="144" t="s">
        <v>445</v>
      </c>
      <c r="B145" s="588">
        <v>89050</v>
      </c>
      <c r="C145" s="144" t="s">
        <v>446</v>
      </c>
      <c r="D145" s="156" t="s">
        <v>477</v>
      </c>
      <c r="E145" s="545">
        <v>135</v>
      </c>
      <c r="F145" s="156" t="s">
        <v>123</v>
      </c>
      <c r="G145" s="156" t="s">
        <v>257</v>
      </c>
      <c r="H145" s="156" t="s">
        <v>271</v>
      </c>
      <c r="I145" s="156" t="s">
        <v>11</v>
      </c>
      <c r="J145" s="20">
        <v>1</v>
      </c>
      <c r="K145" s="20">
        <v>7500</v>
      </c>
      <c r="L145" s="178">
        <v>1</v>
      </c>
      <c r="M145" s="156" t="s">
        <v>221</v>
      </c>
      <c r="N145" s="20">
        <f>K145*J145</f>
        <v>7500</v>
      </c>
      <c r="O145" s="20">
        <v>0</v>
      </c>
      <c r="P145" s="20">
        <f>SUM(N145:O145)</f>
        <v>7500</v>
      </c>
      <c r="Q145" s="159">
        <v>0</v>
      </c>
      <c r="R145" s="195">
        <f>K145*$J$6</f>
        <v>7725</v>
      </c>
      <c r="S145" s="178">
        <v>1</v>
      </c>
      <c r="T145" s="20">
        <f>Q145*R145</f>
        <v>0</v>
      </c>
      <c r="U145" s="20">
        <v>0</v>
      </c>
      <c r="V145" s="20">
        <f>SUM(T145:U145)</f>
        <v>0</v>
      </c>
      <c r="W145" s="20">
        <v>0</v>
      </c>
      <c r="X145" s="195">
        <f>K145*$J$6*$J$6</f>
        <v>7956.75</v>
      </c>
      <c r="Y145" s="178">
        <v>1</v>
      </c>
      <c r="Z145" s="20">
        <f>X145*W145</f>
        <v>0</v>
      </c>
      <c r="AA145" s="20">
        <v>0</v>
      </c>
      <c r="AB145" s="20">
        <f>SUM(Z145:AA145)</f>
        <v>0</v>
      </c>
      <c r="AC145" s="20">
        <v>0</v>
      </c>
      <c r="AD145" s="195">
        <f>K145*$J$6*$J$6*$J$6</f>
        <v>8195.4524999999994</v>
      </c>
      <c r="AE145" s="178">
        <v>1</v>
      </c>
      <c r="AF145" s="20">
        <f>AD145*AC145</f>
        <v>0</v>
      </c>
      <c r="AG145" s="20">
        <v>0</v>
      </c>
      <c r="AH145" s="20">
        <f>SUM(AF145:AG145)</f>
        <v>0</v>
      </c>
      <c r="AI145" s="20">
        <v>0</v>
      </c>
      <c r="AJ145" s="195">
        <f>K145*$J$6*$J$6*$J$6*$J$6</f>
        <v>8441.3160749999988</v>
      </c>
      <c r="AK145" s="178">
        <v>1</v>
      </c>
      <c r="AL145" s="20">
        <f>AJ145*AI145</f>
        <v>0</v>
      </c>
      <c r="AM145" s="20">
        <v>0</v>
      </c>
      <c r="AN145" s="20">
        <f>SUM(AL145:AM145)</f>
        <v>0</v>
      </c>
      <c r="AO145" s="20">
        <f t="shared" si="174"/>
        <v>7500</v>
      </c>
      <c r="AP145" s="20">
        <f t="shared" si="174"/>
        <v>0</v>
      </c>
      <c r="AQ145" s="20">
        <f>SUM(AO145:AP145)</f>
        <v>7500</v>
      </c>
      <c r="AR145" s="147">
        <v>0</v>
      </c>
      <c r="AS145" s="20">
        <v>0</v>
      </c>
      <c r="AT145" s="147">
        <f>121.61+1370.02+205.92+9.29+107.8</f>
        <v>1814.6399999999999</v>
      </c>
      <c r="AU145" s="20">
        <v>0</v>
      </c>
      <c r="AV145" s="20">
        <f t="shared" si="175"/>
        <v>1814.6399999999999</v>
      </c>
      <c r="AW145" s="20">
        <f t="shared" si="175"/>
        <v>0</v>
      </c>
      <c r="AX145" s="20">
        <f>AV145+AW145</f>
        <v>1814.6399999999999</v>
      </c>
      <c r="AY145" s="20">
        <f>AQ145-AX145</f>
        <v>5685.3600000000006</v>
      </c>
      <c r="AZ145" s="147">
        <f t="shared" si="176"/>
        <v>5685.3600000000006</v>
      </c>
      <c r="BA145" s="15">
        <f>AY145-AZ145</f>
        <v>0</v>
      </c>
      <c r="BB145" s="214">
        <v>400</v>
      </c>
      <c r="BC145" s="143">
        <v>0.54944999999999999</v>
      </c>
      <c r="BD145" s="148"/>
      <c r="BE145" s="147">
        <f>BC145*BB145</f>
        <v>219.78</v>
      </c>
      <c r="BF145" s="147">
        <v>0</v>
      </c>
      <c r="BG145" s="147">
        <f>SUM(BE145:BF145)</f>
        <v>219.78</v>
      </c>
      <c r="BH145" s="413" t="s">
        <v>305</v>
      </c>
      <c r="BI145" s="215"/>
      <c r="BJ145" s="147">
        <v>0</v>
      </c>
      <c r="BK145" s="148"/>
      <c r="BL145" s="147">
        <f>BJ145</f>
        <v>0</v>
      </c>
      <c r="BM145" s="153">
        <v>0</v>
      </c>
      <c r="BN145" s="229">
        <f>SUM(BL145:BM145)</f>
        <v>0</v>
      </c>
      <c r="BO145" s="213"/>
      <c r="BP145" s="147">
        <v>0</v>
      </c>
      <c r="BQ145" s="148"/>
      <c r="BR145" s="147">
        <f>BP145</f>
        <v>0</v>
      </c>
      <c r="BS145" s="147">
        <v>0</v>
      </c>
      <c r="BT145" s="229">
        <v>0</v>
      </c>
      <c r="BU145" s="250"/>
      <c r="BV145" s="147">
        <v>300</v>
      </c>
      <c r="BW145" s="150"/>
      <c r="BX145" s="147">
        <f>BV145</f>
        <v>300</v>
      </c>
      <c r="BY145" s="147">
        <v>0</v>
      </c>
      <c r="BZ145" s="229">
        <f>BY145+BX145</f>
        <v>300</v>
      </c>
      <c r="CA145" s="228">
        <f>BR145+BL145+BE145+BX145</f>
        <v>519.78</v>
      </c>
      <c r="CB145" s="147">
        <f t="shared" si="177"/>
        <v>0</v>
      </c>
      <c r="CC145" s="229">
        <f t="shared" si="177"/>
        <v>219.78</v>
      </c>
      <c r="CD145" s="17"/>
      <c r="CE145" s="20">
        <f t="shared" si="178"/>
        <v>2334.42</v>
      </c>
      <c r="CF145" s="20">
        <f t="shared" si="178"/>
        <v>0</v>
      </c>
      <c r="CG145" s="15">
        <f t="shared" si="179"/>
        <v>2334.42</v>
      </c>
      <c r="CH145" s="314">
        <f t="shared" si="180"/>
        <v>5165.58</v>
      </c>
      <c r="CI145" s="310">
        <f t="shared" si="180"/>
        <v>0</v>
      </c>
      <c r="CJ145" s="521">
        <f t="shared" si="180"/>
        <v>5165.58</v>
      </c>
      <c r="CK145" s="530">
        <f t="shared" si="171"/>
        <v>-5166</v>
      </c>
      <c r="CL145" s="531">
        <f t="shared" si="172"/>
        <v>-0.42000000000007276</v>
      </c>
      <c r="CM145" s="372"/>
      <c r="CN145" s="368"/>
      <c r="CO145" s="368"/>
      <c r="CP145" s="368"/>
      <c r="CQ145" s="368"/>
      <c r="CR145" s="368"/>
      <c r="CS145" s="368"/>
      <c r="CT145" s="368"/>
      <c r="CU145" s="368"/>
      <c r="CV145" s="368"/>
      <c r="CW145" s="368"/>
      <c r="CX145" s="368"/>
      <c r="CY145" s="368"/>
      <c r="CZ145" s="372"/>
      <c r="DA145" s="372"/>
      <c r="DB145" s="372"/>
      <c r="DC145" s="372"/>
      <c r="DD145" s="372"/>
      <c r="DE145" s="372"/>
      <c r="DF145" s="372"/>
      <c r="DG145" s="372"/>
      <c r="DH145" s="372"/>
      <c r="DI145" s="372"/>
      <c r="DJ145" s="372"/>
      <c r="DK145" s="372"/>
      <c r="DL145" s="372"/>
      <c r="DM145" s="372"/>
      <c r="DN145" s="372"/>
      <c r="DO145" s="372"/>
      <c r="DP145" s="372"/>
      <c r="DQ145" s="372"/>
      <c r="DR145" s="372"/>
      <c r="DS145" s="372"/>
      <c r="DT145" s="372"/>
      <c r="DU145" s="372"/>
      <c r="DV145" s="372"/>
      <c r="DW145" s="372"/>
      <c r="DX145" s="372"/>
      <c r="DY145" s="372"/>
      <c r="DZ145" s="372"/>
      <c r="EA145" s="372"/>
      <c r="EB145" s="372"/>
      <c r="EC145" s="372"/>
      <c r="ED145" s="372"/>
      <c r="EE145" s="372"/>
      <c r="EF145" s="372"/>
      <c r="EG145" s="372"/>
      <c r="EH145" s="372"/>
      <c r="EI145" s="372"/>
      <c r="EJ145" s="372"/>
      <c r="EK145" s="372"/>
      <c r="EL145" s="372"/>
      <c r="EM145" s="372"/>
      <c r="EN145" s="372"/>
      <c r="EO145" s="372"/>
      <c r="EP145" s="372"/>
      <c r="EQ145" s="372"/>
      <c r="ER145" s="372">
        <v>-5166</v>
      </c>
      <c r="ES145" s="372"/>
    </row>
    <row r="146" spans="1:149" s="126" customFormat="1" ht="19.5" customHeight="1" x14ac:dyDescent="0.45">
      <c r="A146" s="144" t="s">
        <v>445</v>
      </c>
      <c r="B146" s="588">
        <v>89050</v>
      </c>
      <c r="C146" s="144" t="s">
        <v>446</v>
      </c>
      <c r="D146" s="156" t="s">
        <v>478</v>
      </c>
      <c r="E146" s="544">
        <v>136</v>
      </c>
      <c r="F146" s="156" t="s">
        <v>306</v>
      </c>
      <c r="G146" s="156" t="s">
        <v>257</v>
      </c>
      <c r="H146" s="156" t="s">
        <v>271</v>
      </c>
      <c r="I146" s="156" t="s">
        <v>11</v>
      </c>
      <c r="J146" s="159">
        <v>2</v>
      </c>
      <c r="K146" s="20">
        <v>250</v>
      </c>
      <c r="L146" s="178">
        <v>1</v>
      </c>
      <c r="M146" s="156" t="s">
        <v>307</v>
      </c>
      <c r="N146" s="20">
        <f>K146*J146</f>
        <v>500</v>
      </c>
      <c r="O146" s="20">
        <v>0</v>
      </c>
      <c r="P146" s="20">
        <f>SUM(N146:O146)</f>
        <v>500</v>
      </c>
      <c r="Q146" s="159">
        <v>2</v>
      </c>
      <c r="R146" s="195">
        <f>K146*$J$6</f>
        <v>257.5</v>
      </c>
      <c r="S146" s="178">
        <v>1</v>
      </c>
      <c r="T146" s="20">
        <f>Q146*R146</f>
        <v>515</v>
      </c>
      <c r="U146" s="20">
        <v>0</v>
      </c>
      <c r="V146" s="20">
        <f>SUM(T146:U146)</f>
        <v>515</v>
      </c>
      <c r="W146" s="20">
        <v>2</v>
      </c>
      <c r="X146" s="195">
        <f>K146*$J$6*$J$6</f>
        <v>265.22500000000002</v>
      </c>
      <c r="Y146" s="178">
        <v>1</v>
      </c>
      <c r="Z146" s="20">
        <f>X146*W146</f>
        <v>530.45000000000005</v>
      </c>
      <c r="AA146" s="20">
        <v>0</v>
      </c>
      <c r="AB146" s="20">
        <f>SUM(Z146:AA146)</f>
        <v>530.45000000000005</v>
      </c>
      <c r="AC146" s="20">
        <v>2</v>
      </c>
      <c r="AD146" s="195">
        <f>K146*$J$6*$J$6*$J$6</f>
        <v>273.18175000000002</v>
      </c>
      <c r="AE146" s="178">
        <v>1</v>
      </c>
      <c r="AF146" s="20">
        <f>AD146*AC146</f>
        <v>546.36350000000004</v>
      </c>
      <c r="AG146" s="20">
        <v>0</v>
      </c>
      <c r="AH146" s="20">
        <f>SUM(AF146:AG146)</f>
        <v>546.36350000000004</v>
      </c>
      <c r="AI146" s="20">
        <v>2</v>
      </c>
      <c r="AJ146" s="195">
        <f>K146*$J$6*$J$6*$J$6*$J$6</f>
        <v>281.37720250000001</v>
      </c>
      <c r="AK146" s="178">
        <v>1</v>
      </c>
      <c r="AL146" s="20">
        <f>AJ146*AI146</f>
        <v>562.75440500000002</v>
      </c>
      <c r="AM146" s="20">
        <v>0</v>
      </c>
      <c r="AN146" s="20">
        <f>SUM(AL146:AM146)</f>
        <v>562.75440500000002</v>
      </c>
      <c r="AO146" s="20">
        <f t="shared" si="174"/>
        <v>2654.5679050000003</v>
      </c>
      <c r="AP146" s="20">
        <f t="shared" si="174"/>
        <v>0</v>
      </c>
      <c r="AQ146" s="20">
        <f>SUM(AO146:AP146)</f>
        <v>2654.5679050000003</v>
      </c>
      <c r="AR146" s="147">
        <f>103.25</f>
        <v>103.25</v>
      </c>
      <c r="AS146" s="20">
        <v>0</v>
      </c>
      <c r="AT146" s="147">
        <f>442.36+888.06+512.73+2240.5+572.59+463.27+476.88</f>
        <v>5596.39</v>
      </c>
      <c r="AU146" s="20">
        <v>0</v>
      </c>
      <c r="AV146" s="20">
        <f t="shared" si="175"/>
        <v>5699.64</v>
      </c>
      <c r="AW146" s="20">
        <f t="shared" si="175"/>
        <v>0</v>
      </c>
      <c r="AX146" s="20">
        <f>AV146+AW146</f>
        <v>5699.64</v>
      </c>
      <c r="AY146" s="20">
        <f>AQ146-AX146</f>
        <v>-3045.072095</v>
      </c>
      <c r="AZ146" s="147">
        <f t="shared" si="176"/>
        <v>-3045.072095</v>
      </c>
      <c r="BA146" s="15">
        <f>AY146-AZ146</f>
        <v>0</v>
      </c>
      <c r="BB146" s="215"/>
      <c r="BC146" s="147">
        <v>0</v>
      </c>
      <c r="BD146" s="148"/>
      <c r="BE146" s="147">
        <v>0</v>
      </c>
      <c r="BF146" s="147">
        <v>0</v>
      </c>
      <c r="BG146" s="147">
        <f>SUM(BE146:BF146)</f>
        <v>0</v>
      </c>
      <c r="BH146" s="407" t="s">
        <v>308</v>
      </c>
      <c r="BI146" s="215"/>
      <c r="BJ146" s="147">
        <v>0</v>
      </c>
      <c r="BK146" s="148"/>
      <c r="BL146" s="147">
        <f>BJ146</f>
        <v>0</v>
      </c>
      <c r="BM146" s="147">
        <v>0</v>
      </c>
      <c r="BN146" s="229">
        <f>SUM(BL146:BM146)</f>
        <v>0</v>
      </c>
      <c r="BO146" s="213"/>
      <c r="BP146" s="147">
        <v>0</v>
      </c>
      <c r="BQ146" s="148"/>
      <c r="BR146" s="147">
        <f>BP146</f>
        <v>0</v>
      </c>
      <c r="BS146" s="147">
        <v>0</v>
      </c>
      <c r="BT146" s="229">
        <v>0</v>
      </c>
      <c r="BU146" s="250"/>
      <c r="BV146" s="147">
        <v>0</v>
      </c>
      <c r="BW146" s="150"/>
      <c r="BX146" s="147">
        <f>BV146</f>
        <v>0</v>
      </c>
      <c r="BY146" s="147">
        <v>0</v>
      </c>
      <c r="BZ146" s="229">
        <f>BY146+BX146</f>
        <v>0</v>
      </c>
      <c r="CA146" s="228">
        <f>BR146+BL146+BE146+BX146</f>
        <v>0</v>
      </c>
      <c r="CB146" s="147">
        <f t="shared" si="177"/>
        <v>0</v>
      </c>
      <c r="CC146" s="229">
        <f t="shared" si="177"/>
        <v>0</v>
      </c>
      <c r="CD146" s="23"/>
      <c r="CE146" s="20">
        <f t="shared" si="178"/>
        <v>5699.64</v>
      </c>
      <c r="CF146" s="20">
        <f t="shared" si="178"/>
        <v>0</v>
      </c>
      <c r="CG146" s="15">
        <f t="shared" si="179"/>
        <v>5699.64</v>
      </c>
      <c r="CH146" s="376">
        <f t="shared" si="180"/>
        <v>-3045.072095</v>
      </c>
      <c r="CI146" s="377">
        <f t="shared" si="180"/>
        <v>0</v>
      </c>
      <c r="CJ146" s="522">
        <f t="shared" si="180"/>
        <v>-3045.072095</v>
      </c>
      <c r="CK146" s="532">
        <f t="shared" si="171"/>
        <v>3045</v>
      </c>
      <c r="CL146" s="533">
        <f t="shared" si="172"/>
        <v>-7.209499999999025E-2</v>
      </c>
      <c r="CM146" s="372"/>
      <c r="CN146" s="372"/>
      <c r="CO146" s="372"/>
      <c r="CP146" s="372"/>
      <c r="CQ146" s="372"/>
      <c r="CR146" s="372"/>
      <c r="CS146" s="372"/>
      <c r="CT146" s="372"/>
      <c r="CU146" s="372"/>
      <c r="CV146" s="372"/>
      <c r="CW146" s="372"/>
      <c r="CX146" s="372"/>
      <c r="CY146" s="372"/>
      <c r="CZ146" s="372"/>
      <c r="DA146" s="372"/>
      <c r="DB146" s="372"/>
      <c r="DC146" s="372"/>
      <c r="DD146" s="372"/>
      <c r="DE146" s="372"/>
      <c r="DF146" s="372"/>
      <c r="DG146" s="372"/>
      <c r="DH146" s="372"/>
      <c r="DI146" s="372"/>
      <c r="DJ146" s="372"/>
      <c r="DK146" s="372"/>
      <c r="DL146" s="372"/>
      <c r="DM146" s="372"/>
      <c r="DN146" s="372"/>
      <c r="DO146" s="372"/>
      <c r="DP146" s="372"/>
      <c r="DQ146" s="372"/>
      <c r="DR146" s="372"/>
      <c r="DS146" s="372"/>
      <c r="DT146" s="372"/>
      <c r="DU146" s="372"/>
      <c r="DV146" s="372"/>
      <c r="DW146" s="372"/>
      <c r="DX146" s="372"/>
      <c r="DY146" s="372"/>
      <c r="DZ146" s="372"/>
      <c r="EA146" s="372"/>
      <c r="EB146" s="372"/>
      <c r="EC146" s="372"/>
      <c r="ED146" s="372"/>
      <c r="EE146" s="372"/>
      <c r="EF146" s="372"/>
      <c r="EG146" s="372"/>
      <c r="EH146" s="372"/>
      <c r="EI146" s="372"/>
      <c r="EJ146" s="372"/>
      <c r="EK146" s="372"/>
      <c r="EL146" s="372"/>
      <c r="EM146" s="372"/>
      <c r="EN146" s="372"/>
      <c r="EO146" s="372"/>
      <c r="EP146" s="372"/>
      <c r="EQ146" s="372"/>
      <c r="ER146" s="372">
        <v>625</v>
      </c>
      <c r="ES146" s="372">
        <v>2420</v>
      </c>
    </row>
    <row r="147" spans="1:149" s="126" customFormat="1" ht="19.5" customHeight="1" x14ac:dyDescent="0.45">
      <c r="A147" s="144" t="s">
        <v>445</v>
      </c>
      <c r="B147" s="588">
        <v>89050</v>
      </c>
      <c r="C147" s="144" t="s">
        <v>446</v>
      </c>
      <c r="D147" s="156" t="s">
        <v>479</v>
      </c>
      <c r="E147" s="143">
        <v>137</v>
      </c>
      <c r="F147" s="156" t="s">
        <v>124</v>
      </c>
      <c r="G147" s="156" t="s">
        <v>257</v>
      </c>
      <c r="H147" s="156" t="s">
        <v>271</v>
      </c>
      <c r="I147" s="156" t="s">
        <v>11</v>
      </c>
      <c r="J147" s="159">
        <v>2</v>
      </c>
      <c r="K147" s="20">
        <v>250</v>
      </c>
      <c r="L147" s="178">
        <v>1</v>
      </c>
      <c r="M147" s="156" t="s">
        <v>307</v>
      </c>
      <c r="N147" s="20">
        <f>K147*J147</f>
        <v>500</v>
      </c>
      <c r="O147" s="20">
        <v>0</v>
      </c>
      <c r="P147" s="20">
        <f>SUM(N147:O147)</f>
        <v>500</v>
      </c>
      <c r="Q147" s="159">
        <v>2</v>
      </c>
      <c r="R147" s="195">
        <f>K147*$J$6</f>
        <v>257.5</v>
      </c>
      <c r="S147" s="178">
        <v>1</v>
      </c>
      <c r="T147" s="20">
        <f>Q147*R147</f>
        <v>515</v>
      </c>
      <c r="U147" s="20">
        <v>0</v>
      </c>
      <c r="V147" s="20">
        <f>SUM(T147:U147)</f>
        <v>515</v>
      </c>
      <c r="W147" s="20">
        <v>2</v>
      </c>
      <c r="X147" s="195">
        <f>K147*$J$6*$J$6</f>
        <v>265.22500000000002</v>
      </c>
      <c r="Y147" s="178">
        <v>1</v>
      </c>
      <c r="Z147" s="20">
        <f>X147*W147</f>
        <v>530.45000000000005</v>
      </c>
      <c r="AA147" s="20">
        <v>0</v>
      </c>
      <c r="AB147" s="20">
        <f>SUM(Z147:AA147)</f>
        <v>530.45000000000005</v>
      </c>
      <c r="AC147" s="20">
        <v>2</v>
      </c>
      <c r="AD147" s="195">
        <f>K147*$J$6*$J$6*$J$6</f>
        <v>273.18175000000002</v>
      </c>
      <c r="AE147" s="178">
        <v>1</v>
      </c>
      <c r="AF147" s="20">
        <f>AD147*AC147</f>
        <v>546.36350000000004</v>
      </c>
      <c r="AG147" s="20">
        <v>0</v>
      </c>
      <c r="AH147" s="20">
        <f>SUM(AF147:AG147)</f>
        <v>546.36350000000004</v>
      </c>
      <c r="AI147" s="20">
        <v>2</v>
      </c>
      <c r="AJ147" s="195">
        <f>K147*$J$6*$J$6*$J$6*$J$6</f>
        <v>281.37720250000001</v>
      </c>
      <c r="AK147" s="178">
        <v>1</v>
      </c>
      <c r="AL147" s="20">
        <f>AJ147*AI147</f>
        <v>562.75440500000002</v>
      </c>
      <c r="AM147" s="20">
        <v>0</v>
      </c>
      <c r="AN147" s="20">
        <f>SUM(AL147:AM147)</f>
        <v>562.75440500000002</v>
      </c>
      <c r="AO147" s="20">
        <f t="shared" si="174"/>
        <v>2654.5679050000003</v>
      </c>
      <c r="AP147" s="20">
        <f t="shared" si="174"/>
        <v>0</v>
      </c>
      <c r="AQ147" s="20">
        <f>SUM(AO147:AP147)</f>
        <v>2654.5679050000003</v>
      </c>
      <c r="AR147" s="147">
        <v>0</v>
      </c>
      <c r="AS147" s="20">
        <v>0</v>
      </c>
      <c r="AT147" s="147">
        <f>234.33</f>
        <v>234.33</v>
      </c>
      <c r="AU147" s="20">
        <v>0</v>
      </c>
      <c r="AV147" s="20">
        <f t="shared" si="175"/>
        <v>234.33</v>
      </c>
      <c r="AW147" s="20">
        <f t="shared" si="175"/>
        <v>0</v>
      </c>
      <c r="AX147" s="20">
        <f>AV147+AW147</f>
        <v>234.33</v>
      </c>
      <c r="AY147" s="20">
        <f>AQ147-AX147</f>
        <v>2420.2379050000004</v>
      </c>
      <c r="AZ147" s="147">
        <f t="shared" si="176"/>
        <v>2420.2379050000004</v>
      </c>
      <c r="BA147" s="15">
        <f>AY147-AZ147</f>
        <v>0</v>
      </c>
      <c r="BB147" s="250"/>
      <c r="BC147" s="147">
        <v>0</v>
      </c>
      <c r="BD147" s="150"/>
      <c r="BE147" s="147">
        <v>0</v>
      </c>
      <c r="BF147" s="147">
        <v>0</v>
      </c>
      <c r="BG147" s="147">
        <f>SUM(BE147:BF147)</f>
        <v>0</v>
      </c>
      <c r="BH147" s="407" t="s">
        <v>309</v>
      </c>
      <c r="BI147" s="250"/>
      <c r="BJ147" s="147">
        <v>0</v>
      </c>
      <c r="BK147" s="150"/>
      <c r="BL147" s="147">
        <f>BJ147</f>
        <v>0</v>
      </c>
      <c r="BM147" s="147">
        <v>0</v>
      </c>
      <c r="BN147" s="229">
        <f>SUM(BL147:BM147)</f>
        <v>0</v>
      </c>
      <c r="BO147" s="437"/>
      <c r="BP147" s="147">
        <v>0</v>
      </c>
      <c r="BQ147" s="150"/>
      <c r="BR147" s="147">
        <f>BP147</f>
        <v>0</v>
      </c>
      <c r="BS147" s="147">
        <v>0</v>
      </c>
      <c r="BT147" s="229">
        <v>0</v>
      </c>
      <c r="BU147" s="250"/>
      <c r="BV147" s="147">
        <v>0</v>
      </c>
      <c r="BW147" s="150"/>
      <c r="BX147" s="147">
        <f>BV147</f>
        <v>0</v>
      </c>
      <c r="BY147" s="147">
        <v>0</v>
      </c>
      <c r="BZ147" s="229">
        <f>BY147+BX147</f>
        <v>0</v>
      </c>
      <c r="CA147" s="228">
        <f>BR147+BL147+BE147+BX147</f>
        <v>0</v>
      </c>
      <c r="CB147" s="147">
        <f t="shared" si="177"/>
        <v>0</v>
      </c>
      <c r="CC147" s="229">
        <f t="shared" si="177"/>
        <v>0</v>
      </c>
      <c r="CD147" s="23"/>
      <c r="CE147" s="20">
        <f t="shared" si="178"/>
        <v>234.33</v>
      </c>
      <c r="CF147" s="20">
        <f t="shared" si="178"/>
        <v>0</v>
      </c>
      <c r="CG147" s="15">
        <f t="shared" si="179"/>
        <v>234.33</v>
      </c>
      <c r="CH147" s="376">
        <f t="shared" si="180"/>
        <v>2420.2379050000004</v>
      </c>
      <c r="CI147" s="377">
        <f t="shared" si="180"/>
        <v>0</v>
      </c>
      <c r="CJ147" s="522">
        <f t="shared" si="180"/>
        <v>2420.2379050000004</v>
      </c>
      <c r="CK147" s="532">
        <f t="shared" si="171"/>
        <v>-2420</v>
      </c>
      <c r="CL147" s="533">
        <f t="shared" si="172"/>
        <v>0.23790500000040993</v>
      </c>
      <c r="CM147" s="372"/>
      <c r="CN147" s="372"/>
      <c r="CO147" s="372"/>
      <c r="CP147" s="372"/>
      <c r="CQ147" s="372"/>
      <c r="CR147" s="372"/>
      <c r="CS147" s="372"/>
      <c r="CT147" s="372"/>
      <c r="CU147" s="372"/>
      <c r="CV147" s="372"/>
      <c r="CW147" s="372"/>
      <c r="CX147" s="372"/>
      <c r="CY147" s="372"/>
      <c r="CZ147" s="372"/>
      <c r="DA147" s="372"/>
      <c r="DB147" s="372"/>
      <c r="DC147" s="372"/>
      <c r="DD147" s="372"/>
      <c r="DE147" s="372"/>
      <c r="DF147" s="372"/>
      <c r="DG147" s="372"/>
      <c r="DH147" s="372"/>
      <c r="DI147" s="372"/>
      <c r="DJ147" s="372"/>
      <c r="DK147" s="372"/>
      <c r="DL147" s="372"/>
      <c r="DM147" s="372"/>
      <c r="DN147" s="372"/>
      <c r="DO147" s="372"/>
      <c r="DP147" s="372"/>
      <c r="DQ147" s="372"/>
      <c r="DR147" s="372"/>
      <c r="DS147" s="372"/>
      <c r="DT147" s="372"/>
      <c r="DU147" s="372"/>
      <c r="DV147" s="372"/>
      <c r="DW147" s="372"/>
      <c r="DX147" s="372"/>
      <c r="DY147" s="372"/>
      <c r="DZ147" s="372"/>
      <c r="EA147" s="372"/>
      <c r="EB147" s="372"/>
      <c r="EC147" s="372"/>
      <c r="ED147" s="372"/>
      <c r="EE147" s="372"/>
      <c r="EF147" s="372"/>
      <c r="EG147" s="372"/>
      <c r="EH147" s="372"/>
      <c r="EI147" s="372"/>
      <c r="EJ147" s="372"/>
      <c r="EK147" s="372"/>
      <c r="EL147" s="372"/>
      <c r="EM147" s="372"/>
      <c r="EN147" s="372"/>
      <c r="EO147" s="372"/>
      <c r="EP147" s="372"/>
      <c r="EQ147" s="372"/>
      <c r="ER147" s="372"/>
      <c r="ES147" s="372">
        <v>-2420</v>
      </c>
    </row>
    <row r="148" spans="1:149" s="128" customFormat="1" ht="19.5" customHeight="1" x14ac:dyDescent="0.45">
      <c r="A148" s="161"/>
      <c r="B148" s="161"/>
      <c r="C148" s="161"/>
      <c r="D148" s="161"/>
      <c r="E148" s="148">
        <v>138</v>
      </c>
      <c r="F148" s="161" t="s">
        <v>310</v>
      </c>
      <c r="G148" s="161"/>
      <c r="H148" s="161"/>
      <c r="I148" s="161"/>
      <c r="J148" s="179"/>
      <c r="K148" s="160"/>
      <c r="L148" s="179"/>
      <c r="M148" s="160"/>
      <c r="N148" s="162">
        <f>SUM(N120:N147)</f>
        <v>100010</v>
      </c>
      <c r="O148" s="162">
        <f>SUM(O120:O147)</f>
        <v>0</v>
      </c>
      <c r="P148" s="162">
        <f>SUM(P120:P147)</f>
        <v>100010</v>
      </c>
      <c r="Q148" s="179"/>
      <c r="R148" s="162"/>
      <c r="S148" s="160"/>
      <c r="T148" s="162">
        <f>SUM(T120:T147)</f>
        <v>170665.8</v>
      </c>
      <c r="U148" s="162">
        <f>SUM(U120:U147)</f>
        <v>0</v>
      </c>
      <c r="V148" s="162">
        <f>SUM(V120:V147)</f>
        <v>170665.8</v>
      </c>
      <c r="W148" s="179"/>
      <c r="X148" s="160"/>
      <c r="Y148" s="160"/>
      <c r="Z148" s="162">
        <f>SUM(Z120:Z147)</f>
        <v>85222.353999999992</v>
      </c>
      <c r="AA148" s="162">
        <f>SUM(AA120:AA147)</f>
        <v>0</v>
      </c>
      <c r="AB148" s="162">
        <f>SUM(AB120:AB147)</f>
        <v>85222.353999999992</v>
      </c>
      <c r="AC148" s="179"/>
      <c r="AD148" s="160"/>
      <c r="AE148" s="160"/>
      <c r="AF148" s="162">
        <f>SUM(AF120:AF147)</f>
        <v>94155.778820000021</v>
      </c>
      <c r="AG148" s="162">
        <f>SUM(AG120:AG147)</f>
        <v>0</v>
      </c>
      <c r="AH148" s="162">
        <f>SUM(AH120:AH147)</f>
        <v>94155.778820000021</v>
      </c>
      <c r="AI148" s="179"/>
      <c r="AJ148" s="160"/>
      <c r="AK148" s="160"/>
      <c r="AL148" s="162">
        <f t="shared" ref="AL148:AQ148" si="181">SUM(AL120:AL147)</f>
        <v>20519.591506249999</v>
      </c>
      <c r="AM148" s="162">
        <f t="shared" si="181"/>
        <v>0</v>
      </c>
      <c r="AN148" s="162">
        <f t="shared" si="181"/>
        <v>20519.591506249999</v>
      </c>
      <c r="AO148" s="162">
        <f t="shared" si="181"/>
        <v>470573.52432625002</v>
      </c>
      <c r="AP148" s="162">
        <f t="shared" si="181"/>
        <v>0</v>
      </c>
      <c r="AQ148" s="162">
        <f t="shared" si="181"/>
        <v>470573.52432625002</v>
      </c>
      <c r="AR148" s="163">
        <f>SUM(AR119:AR147)</f>
        <v>20331.07</v>
      </c>
      <c r="AS148" s="162">
        <v>0</v>
      </c>
      <c r="AT148" s="163">
        <f t="shared" ref="AT148:AY148" si="182">SUM(AT120:AT147)</f>
        <v>178108.1</v>
      </c>
      <c r="AU148" s="163">
        <f t="shared" si="182"/>
        <v>0</v>
      </c>
      <c r="AV148" s="163">
        <f t="shared" si="182"/>
        <v>198439.17</v>
      </c>
      <c r="AW148" s="163">
        <f t="shared" si="182"/>
        <v>0</v>
      </c>
      <c r="AX148" s="163">
        <f t="shared" si="182"/>
        <v>198439.17</v>
      </c>
      <c r="AY148" s="163">
        <f t="shared" si="182"/>
        <v>272134.35432624997</v>
      </c>
      <c r="AZ148" s="163">
        <f t="shared" si="176"/>
        <v>272134.35432625003</v>
      </c>
      <c r="BA148" s="235"/>
      <c r="BB148" s="256"/>
      <c r="BC148" s="160"/>
      <c r="BD148" s="160"/>
      <c r="BE148" s="163">
        <f>SUM(BE120:BE147)</f>
        <v>32374.227999999996</v>
      </c>
      <c r="BF148" s="163">
        <f>SUM(BF120:BF147)</f>
        <v>0</v>
      </c>
      <c r="BG148" s="163">
        <f>SUM(BG120:BG147)</f>
        <v>32374.227999999996</v>
      </c>
      <c r="BH148" s="424"/>
      <c r="BI148" s="256"/>
      <c r="BJ148" s="160">
        <f>SUM(BJ120:BJ147)</f>
        <v>14447.4112</v>
      </c>
      <c r="BK148" s="160"/>
      <c r="BL148" s="163">
        <f>SUM(BL120:BL147)</f>
        <v>14447.4112</v>
      </c>
      <c r="BM148" s="163">
        <f>SUM(BM120:BM147)</f>
        <v>0</v>
      </c>
      <c r="BN148" s="241">
        <f>BM148+BL148</f>
        <v>14447.4112</v>
      </c>
      <c r="BO148" s="447"/>
      <c r="BP148" s="160"/>
      <c r="BQ148" s="160"/>
      <c r="BR148" s="163">
        <f>SUM(BR120:BR147)</f>
        <v>20846.927648000001</v>
      </c>
      <c r="BS148" s="163">
        <v>0</v>
      </c>
      <c r="BT148" s="241">
        <f>BS148+BR148</f>
        <v>20846.927648000001</v>
      </c>
      <c r="BU148" s="256"/>
      <c r="BV148" s="160"/>
      <c r="BW148" s="160"/>
      <c r="BX148" s="163">
        <f>SUM(BX120:BX147)</f>
        <v>9963.5</v>
      </c>
      <c r="BY148" s="163">
        <f>SUM(BY120:BY147)</f>
        <v>0</v>
      </c>
      <c r="BZ148" s="241">
        <f>BY148+BX148</f>
        <v>9963.5</v>
      </c>
      <c r="CA148" s="240">
        <f>SUM(BR148,BL148,BE148,BX148)</f>
        <v>77632.066847999988</v>
      </c>
      <c r="CB148" s="163">
        <f>SUM(CB144:CB147)</f>
        <v>0</v>
      </c>
      <c r="CC148" s="241">
        <f>SUM(BZ148,BT148,BN148,BG148)</f>
        <v>77632.066847999988</v>
      </c>
      <c r="CD148" s="24"/>
      <c r="CE148" s="162">
        <f>CA148+AR148+AT148</f>
        <v>276071.23684799997</v>
      </c>
      <c r="CF148" s="162">
        <f>CB148+AS148+AU148</f>
        <v>0</v>
      </c>
      <c r="CG148" s="299">
        <f t="shared" si="179"/>
        <v>276071.23684799997</v>
      </c>
      <c r="CH148" s="314"/>
      <c r="CI148" s="310"/>
      <c r="CJ148" s="521"/>
      <c r="CK148" s="530">
        <f t="shared" si="171"/>
        <v>0</v>
      </c>
      <c r="CL148" s="531">
        <f t="shared" si="172"/>
        <v>0</v>
      </c>
      <c r="CM148" s="375"/>
      <c r="CN148" s="375"/>
      <c r="CO148" s="375"/>
      <c r="CP148" s="375"/>
      <c r="CQ148" s="375"/>
      <c r="CR148" s="375"/>
      <c r="CS148" s="375"/>
      <c r="CT148" s="375"/>
      <c r="CU148" s="375"/>
      <c r="CV148" s="375"/>
      <c r="CW148" s="375"/>
      <c r="CX148" s="375"/>
      <c r="CY148" s="375"/>
      <c r="CZ148" s="375"/>
      <c r="DA148" s="375"/>
      <c r="DB148" s="375"/>
      <c r="DC148" s="375"/>
      <c r="DD148" s="375"/>
      <c r="DE148" s="375"/>
      <c r="DF148" s="375"/>
      <c r="DG148" s="375"/>
      <c r="DH148" s="375"/>
      <c r="DI148" s="375"/>
      <c r="DJ148" s="375"/>
      <c r="DK148" s="375"/>
      <c r="DL148" s="375"/>
      <c r="DM148" s="375"/>
      <c r="DN148" s="375"/>
      <c r="DO148" s="375"/>
      <c r="DP148" s="375"/>
      <c r="DQ148" s="375"/>
      <c r="DR148" s="375"/>
      <c r="DS148" s="375"/>
      <c r="DT148" s="375"/>
      <c r="DU148" s="375"/>
      <c r="DV148" s="375"/>
      <c r="DW148" s="375"/>
      <c r="DX148" s="375"/>
      <c r="DY148" s="375"/>
      <c r="DZ148" s="375"/>
      <c r="EA148" s="375"/>
      <c r="EB148" s="375"/>
      <c r="EC148" s="375"/>
      <c r="ED148" s="375"/>
      <c r="EE148" s="375"/>
      <c r="EF148" s="375"/>
      <c r="EG148" s="375"/>
      <c r="EH148" s="375"/>
      <c r="EI148" s="375"/>
      <c r="EJ148" s="375"/>
      <c r="EK148" s="375"/>
      <c r="EL148" s="375"/>
      <c r="EM148" s="375"/>
      <c r="EN148" s="375"/>
      <c r="EO148" s="375"/>
      <c r="EP148" s="375"/>
      <c r="EQ148" s="375"/>
      <c r="ER148" s="375"/>
      <c r="ES148" s="375"/>
    </row>
    <row r="149" spans="1:149" s="127" customFormat="1" ht="19.5" customHeight="1" x14ac:dyDescent="0.45">
      <c r="A149" s="189"/>
      <c r="B149" s="189"/>
      <c r="C149" s="189"/>
      <c r="D149" s="189"/>
      <c r="E149" s="135">
        <v>139</v>
      </c>
      <c r="F149" s="189" t="s">
        <v>311</v>
      </c>
      <c r="G149" s="189"/>
      <c r="H149" s="189"/>
      <c r="I149" s="189"/>
      <c r="J149" s="166"/>
      <c r="K149" s="166"/>
      <c r="L149" s="166"/>
      <c r="M149" s="166"/>
      <c r="N149" s="16">
        <f>N148+N118</f>
        <v>105566</v>
      </c>
      <c r="O149" s="16">
        <f>O148+O118</f>
        <v>33306</v>
      </c>
      <c r="P149" s="16">
        <f>P148+P118</f>
        <v>138872</v>
      </c>
      <c r="Q149" s="166"/>
      <c r="R149" s="166"/>
      <c r="S149" s="166"/>
      <c r="T149" s="16">
        <f>T148+T118</f>
        <v>176388.47999999998</v>
      </c>
      <c r="U149" s="16">
        <f>U148+U118</f>
        <v>0</v>
      </c>
      <c r="V149" s="16">
        <f>V148+V118</f>
        <v>176388.47999999998</v>
      </c>
      <c r="W149" s="166"/>
      <c r="X149" s="166"/>
      <c r="Y149" s="166"/>
      <c r="Z149" s="16">
        <f>Z148+Z118</f>
        <v>85222.353999999992</v>
      </c>
      <c r="AA149" s="16">
        <f>AA148+AA118</f>
        <v>0</v>
      </c>
      <c r="AB149" s="16">
        <f>AB148+AB118</f>
        <v>85222.353999999992</v>
      </c>
      <c r="AC149" s="166"/>
      <c r="AD149" s="166"/>
      <c r="AE149" s="166"/>
      <c r="AF149" s="16">
        <f>AF148+AF118</f>
        <v>94155.778820000021</v>
      </c>
      <c r="AG149" s="16">
        <f>AG148+AG118</f>
        <v>0</v>
      </c>
      <c r="AH149" s="16">
        <f>AH148+AH118</f>
        <v>94155.778820000021</v>
      </c>
      <c r="AI149" s="166"/>
      <c r="AJ149" s="166"/>
      <c r="AK149" s="166"/>
      <c r="AL149" s="16">
        <f t="shared" ref="AL149:AR149" si="183">AL148+AL118</f>
        <v>20519.591506249999</v>
      </c>
      <c r="AM149" s="16">
        <f t="shared" si="183"/>
        <v>0</v>
      </c>
      <c r="AN149" s="16">
        <f t="shared" si="183"/>
        <v>20519.591506249999</v>
      </c>
      <c r="AO149" s="16">
        <f t="shared" si="183"/>
        <v>481852.20432625001</v>
      </c>
      <c r="AP149" s="16">
        <f t="shared" si="183"/>
        <v>33306</v>
      </c>
      <c r="AQ149" s="16">
        <f t="shared" si="183"/>
        <v>515158.20432625001</v>
      </c>
      <c r="AR149" s="165">
        <f t="shared" si="183"/>
        <v>20331.07</v>
      </c>
      <c r="AS149" s="165">
        <f>SUM(AS118)</f>
        <v>0</v>
      </c>
      <c r="AT149" s="165">
        <f t="shared" ref="AT149:AY149" si="184">AT148+AT118</f>
        <v>180882.25</v>
      </c>
      <c r="AU149" s="165">
        <f t="shared" si="184"/>
        <v>0</v>
      </c>
      <c r="AV149" s="165">
        <f t="shared" si="184"/>
        <v>201213.32</v>
      </c>
      <c r="AW149" s="165">
        <f t="shared" si="184"/>
        <v>0</v>
      </c>
      <c r="AX149" s="165">
        <f t="shared" si="184"/>
        <v>201213.32</v>
      </c>
      <c r="AY149" s="165">
        <f t="shared" si="184"/>
        <v>313944.88432624994</v>
      </c>
      <c r="AZ149" s="165">
        <f t="shared" si="176"/>
        <v>313944.88432625</v>
      </c>
      <c r="BA149" s="14"/>
      <c r="BB149" s="252"/>
      <c r="BC149" s="165"/>
      <c r="BD149" s="184"/>
      <c r="BE149" s="165">
        <f>+BE148+BE118</f>
        <v>53940.508999999998</v>
      </c>
      <c r="BF149" s="165">
        <f>+BF148+BF118</f>
        <v>0</v>
      </c>
      <c r="BG149" s="165">
        <f>+BG148+BG118</f>
        <v>53940.508999999998</v>
      </c>
      <c r="BH149" s="411"/>
      <c r="BI149" s="252"/>
      <c r="BJ149" s="165">
        <f>BJ148+BJ118</f>
        <v>14450.17396</v>
      </c>
      <c r="BK149" s="184"/>
      <c r="BL149" s="165">
        <f>BL148+BL118</f>
        <v>19946.767919999998</v>
      </c>
      <c r="BM149" s="165">
        <v>0</v>
      </c>
      <c r="BN149" s="25">
        <f>SUM(BL149,BM149)</f>
        <v>19946.767919999998</v>
      </c>
      <c r="BO149" s="441"/>
      <c r="BP149" s="165"/>
      <c r="BQ149" s="184"/>
      <c r="BR149" s="165">
        <f>BR148+BR118</f>
        <v>30122.523743999998</v>
      </c>
      <c r="BS149" s="165">
        <f>BS148+BS118</f>
        <v>0</v>
      </c>
      <c r="BT149" s="25">
        <f>SUM(BR149,BS149)</f>
        <v>30122.523743999998</v>
      </c>
      <c r="BU149" s="252"/>
      <c r="BV149" s="165"/>
      <c r="BW149" s="184"/>
      <c r="BX149" s="165">
        <f>BX148+BX118</f>
        <v>12332.616565504</v>
      </c>
      <c r="BY149" s="165">
        <f>BY148+BY118</f>
        <v>0</v>
      </c>
      <c r="BZ149" s="25">
        <f>SUM(BX149:BY149)</f>
        <v>12332.616565504</v>
      </c>
      <c r="CA149" s="226">
        <f>SUM(BR149,BL149,BE149,BX149)</f>
        <v>116342.41722950399</v>
      </c>
      <c r="CB149" s="165">
        <f>BS149+BM149+BF149</f>
        <v>0</v>
      </c>
      <c r="CC149" s="25">
        <f>BZ149+BT149+BN149+BG149</f>
        <v>116342.417229504</v>
      </c>
      <c r="CD149" s="17"/>
      <c r="CE149" s="16">
        <f>CE118+CE148</f>
        <v>317555.73722950398</v>
      </c>
      <c r="CF149" s="16">
        <f>CB149+AS149+AU149</f>
        <v>0</v>
      </c>
      <c r="CG149" s="300">
        <f t="shared" si="179"/>
        <v>317555.73722950398</v>
      </c>
      <c r="CH149" s="314"/>
      <c r="CI149" s="310"/>
      <c r="CJ149" s="521"/>
      <c r="CK149" s="530">
        <f t="shared" si="171"/>
        <v>0</v>
      </c>
      <c r="CL149" s="531">
        <f t="shared" si="172"/>
        <v>0</v>
      </c>
      <c r="CM149" s="369"/>
      <c r="CN149" s="369"/>
      <c r="CO149" s="369"/>
      <c r="CP149" s="369"/>
      <c r="CQ149" s="369"/>
      <c r="CR149" s="369"/>
      <c r="CS149" s="369"/>
      <c r="CT149" s="369"/>
      <c r="CU149" s="369"/>
      <c r="CV149" s="369"/>
      <c r="CW149" s="369"/>
      <c r="CX149" s="369"/>
      <c r="CY149" s="369"/>
      <c r="CZ149" s="369"/>
      <c r="DA149" s="369"/>
      <c r="DB149" s="369"/>
      <c r="DC149" s="369"/>
      <c r="DD149" s="369"/>
      <c r="DE149" s="369"/>
      <c r="DF149" s="369"/>
      <c r="DG149" s="369"/>
      <c r="DH149" s="369"/>
      <c r="DI149" s="369"/>
      <c r="DJ149" s="369"/>
      <c r="DK149" s="369"/>
      <c r="DL149" s="369"/>
      <c r="DM149" s="369"/>
      <c r="DN149" s="369"/>
      <c r="DO149" s="369"/>
      <c r="DP149" s="369"/>
      <c r="DQ149" s="369"/>
      <c r="DR149" s="369"/>
      <c r="DS149" s="369"/>
      <c r="DT149" s="369"/>
      <c r="DU149" s="369"/>
      <c r="DV149" s="369"/>
      <c r="DW149" s="369"/>
      <c r="DX149" s="369"/>
      <c r="DY149" s="369"/>
      <c r="DZ149" s="369"/>
      <c r="EA149" s="369"/>
      <c r="EB149" s="369"/>
      <c r="EC149" s="369"/>
      <c r="ED149" s="369"/>
      <c r="EE149" s="369"/>
      <c r="EF149" s="369"/>
      <c r="EG149" s="369"/>
      <c r="EH149" s="369"/>
      <c r="EI149" s="369"/>
      <c r="EJ149" s="369"/>
      <c r="EK149" s="369"/>
      <c r="EL149" s="369"/>
      <c r="EM149" s="369"/>
      <c r="EN149" s="369"/>
      <c r="EO149" s="369"/>
      <c r="EP149" s="369"/>
      <c r="EQ149" s="369"/>
      <c r="ER149" s="369"/>
      <c r="ES149" s="369"/>
    </row>
    <row r="150" spans="1:149" s="127" customFormat="1" ht="19.5" customHeight="1" x14ac:dyDescent="0.45">
      <c r="A150" s="206"/>
      <c r="B150" s="206"/>
      <c r="C150" s="206"/>
      <c r="D150" s="206"/>
      <c r="E150" s="135">
        <v>140</v>
      </c>
      <c r="F150" s="206" t="s">
        <v>20</v>
      </c>
      <c r="G150" s="206"/>
      <c r="H150" s="206"/>
      <c r="I150" s="206"/>
      <c r="J150" s="207"/>
      <c r="K150" s="207"/>
      <c r="L150" s="207"/>
      <c r="M150" s="207"/>
      <c r="N150" s="208">
        <v>447655</v>
      </c>
      <c r="O150" s="208">
        <v>79869</v>
      </c>
      <c r="P150" s="208">
        <v>527524</v>
      </c>
      <c r="Q150" s="207"/>
      <c r="R150" s="207"/>
      <c r="S150" s="207"/>
      <c r="T150" s="208">
        <f ca="1">T149+T109+T97+T84+T81+T39+T35</f>
        <v>194084.47999999998</v>
      </c>
      <c r="U150" s="208">
        <f ca="1">U149+U109+U97+U84+U81+U39+U35</f>
        <v>0</v>
      </c>
      <c r="V150" s="208">
        <f ca="1">SUM(T150:U150)</f>
        <v>194084.47999999998</v>
      </c>
      <c r="W150" s="207"/>
      <c r="X150" s="207"/>
      <c r="Y150" s="207"/>
      <c r="Z150" s="19">
        <f ca="1">Z149+Z109+Z97+Z84+Z81+Z39+Z35</f>
        <v>103197.49399999999</v>
      </c>
      <c r="AA150" s="19">
        <f ca="1">AA149+AA109+AA97+AA84+AA81+AA39+AA35</f>
        <v>0</v>
      </c>
      <c r="AB150" s="19">
        <f ca="1">AB149+AB109+AB97+AB84+AB81+AB39+AB35</f>
        <v>103197.49399999999</v>
      </c>
      <c r="AC150" s="207"/>
      <c r="AD150" s="207"/>
      <c r="AE150" s="207"/>
      <c r="AF150" s="19">
        <f ca="1">AF149+AF109+AF97+AF84+AF81+AF39+AF35</f>
        <v>107501.17192000002</v>
      </c>
      <c r="AG150" s="19">
        <f ca="1">AG149+AG109+AG97+AG84+AG81+AG39+AG35</f>
        <v>0</v>
      </c>
      <c r="AH150" s="19">
        <f ca="1">AH149+AH109+AH97+AH84+AH81+AH39+AH35</f>
        <v>107501.17192000002</v>
      </c>
      <c r="AI150" s="207"/>
      <c r="AJ150" s="207"/>
      <c r="AK150" s="207"/>
      <c r="AL150" s="19">
        <f ca="1">AL149+AL109+AL97+AL84+AL81+AL39+AL35</f>
        <v>30647.430204</v>
      </c>
      <c r="AM150" s="19">
        <f ca="1">AM149+AM109+AM97+AM84+AM81+AM39+AM35</f>
        <v>0</v>
      </c>
      <c r="AN150" s="19">
        <f ca="1">AN149+AN109+AN97+AN84+AN81+AN39+AN35</f>
        <v>30647.430204</v>
      </c>
      <c r="AO150" s="209">
        <f ca="1">AL150+AF150+Z150+T150+N150</f>
        <v>883085.57612400001</v>
      </c>
      <c r="AP150" s="19">
        <f ca="1">AM150+AG150+AA150+U150+O150</f>
        <v>79869</v>
      </c>
      <c r="AQ150" s="19">
        <f ca="1">SUM(AO150:AP150)</f>
        <v>962954.57612400001</v>
      </c>
      <c r="AR150" s="209">
        <f>AR149+AR109+AR97+AR81+AR39+AR35</f>
        <v>77858.240000000005</v>
      </c>
      <c r="AS150" s="209">
        <f>AS149+AS109+AS97+AS81+AS39+AS35</f>
        <v>21123.119999999999</v>
      </c>
      <c r="AT150" s="209">
        <f>AT149+AT109+AT97+AT81+AT39+AT35</f>
        <v>543147.42000000004</v>
      </c>
      <c r="AU150" s="19">
        <f>AU35+AU39+AU81+AU84+AU97+AU109+AU149</f>
        <v>31882.86</v>
      </c>
      <c r="AV150" s="19"/>
      <c r="AW150" s="19"/>
      <c r="AX150" s="19"/>
      <c r="AY150" s="19"/>
      <c r="AZ150" s="209">
        <f t="shared" ca="1" si="176"/>
        <v>758408.23612400005</v>
      </c>
      <c r="BA150" s="103"/>
      <c r="BB150" s="258"/>
      <c r="BC150" s="209"/>
      <c r="BD150" s="210"/>
      <c r="BE150" s="209">
        <f>BE149+BE109+BE97+BE84+BE81+BE39+BE35</f>
        <v>444214.31455600006</v>
      </c>
      <c r="BF150" s="209">
        <f>BF149+BF109+BF97+BF84+BF81+BF39+BF35</f>
        <v>53982.314030347843</v>
      </c>
      <c r="BG150" s="209">
        <f>SUM(BE150:BF150)</f>
        <v>498196.62858634791</v>
      </c>
      <c r="BH150" s="425"/>
      <c r="BI150" s="258"/>
      <c r="BJ150" s="19"/>
      <c r="BK150" s="210"/>
      <c r="BL150" s="209">
        <f>BL149+BL109+BL97+BL84+BL81+BL39+BL35</f>
        <v>381829.51844518411</v>
      </c>
      <c r="BM150" s="209">
        <f>BM149+BM109+BM97+BM84+BM81+BM39+BM35</f>
        <v>71506.623812098056</v>
      </c>
      <c r="BN150" s="246">
        <f>SUM(BL150:BM150)</f>
        <v>453336.14225728216</v>
      </c>
      <c r="BO150" s="453"/>
      <c r="BP150" s="19"/>
      <c r="BQ150" s="210"/>
      <c r="BR150" s="209">
        <f>BR149+BR109+BR97+BR84+BR81+BR39+BR35</f>
        <v>391668.45248332288</v>
      </c>
      <c r="BS150" s="209">
        <f>BS149+BS109+BS97+BS84+BS81+BS39+BS35</f>
        <v>80843.010884222822</v>
      </c>
      <c r="BT150" s="246">
        <f>SUM(BR150:BS150)</f>
        <v>472511.46336754569</v>
      </c>
      <c r="BU150" s="258"/>
      <c r="BV150" s="19"/>
      <c r="BW150" s="210"/>
      <c r="BX150" s="209">
        <f>BX149+BX109+BX97+BX84+BX81+BX39+BX35</f>
        <v>183358.14863435266</v>
      </c>
      <c r="BY150" s="209">
        <f>BY149+BY109+BY97+BY84+BY81+BY39+BY35</f>
        <v>21158.252035741967</v>
      </c>
      <c r="BZ150" s="246">
        <f>SUM(BX150:BY150)</f>
        <v>204516.40067009462</v>
      </c>
      <c r="CA150" s="102">
        <f>CA149+CA109+CA97+CA84+CA81+CA39+CA35</f>
        <v>1401070.4341188595</v>
      </c>
      <c r="CB150" s="209">
        <f>BS150+BM150+BF150+BY150</f>
        <v>227490.20076241068</v>
      </c>
      <c r="CC150" s="246">
        <f>BZ150+BT150+BN150+BG150</f>
        <v>1628560.6348812704</v>
      </c>
      <c r="CD150" s="17"/>
      <c r="CE150" s="19">
        <f>CE35+CE39+CE81+CE84+CE97+CE109+CE149</f>
        <v>2022076.0941188596</v>
      </c>
      <c r="CF150" s="19">
        <f>CF35+CF39+CF81+CF84+CF97+CF109+CF149</f>
        <v>280496.18076241069</v>
      </c>
      <c r="CG150" s="301">
        <f t="shared" si="179"/>
        <v>2302572.2748812702</v>
      </c>
      <c r="CH150" s="314"/>
      <c r="CI150" s="310"/>
      <c r="CJ150" s="521"/>
      <c r="CK150" s="530">
        <f t="shared" si="171"/>
        <v>0</v>
      </c>
      <c r="CL150" s="531">
        <f t="shared" si="172"/>
        <v>0</v>
      </c>
      <c r="CM150" s="369"/>
      <c r="CN150" s="369"/>
      <c r="CO150" s="369"/>
      <c r="CP150" s="369"/>
      <c r="CQ150" s="369"/>
      <c r="CR150" s="369"/>
      <c r="CS150" s="369"/>
      <c r="CT150" s="369"/>
      <c r="CU150" s="369"/>
      <c r="CV150" s="369"/>
      <c r="CW150" s="369"/>
      <c r="CX150" s="369"/>
      <c r="CY150" s="369"/>
      <c r="CZ150" s="369"/>
      <c r="DA150" s="369"/>
      <c r="DB150" s="369"/>
      <c r="DC150" s="369"/>
      <c r="DD150" s="369"/>
      <c r="DE150" s="369"/>
      <c r="DF150" s="369"/>
      <c r="DG150" s="369"/>
      <c r="DH150" s="369"/>
      <c r="DI150" s="369"/>
      <c r="DJ150" s="369"/>
      <c r="DK150" s="369"/>
      <c r="DL150" s="369"/>
      <c r="DM150" s="369"/>
      <c r="DN150" s="369"/>
      <c r="DO150" s="369"/>
      <c r="DP150" s="369"/>
      <c r="DQ150" s="369"/>
      <c r="DR150" s="369"/>
      <c r="DS150" s="369"/>
      <c r="DT150" s="369"/>
      <c r="DU150" s="369"/>
      <c r="DV150" s="369"/>
      <c r="DW150" s="369"/>
      <c r="DX150" s="369"/>
      <c r="DY150" s="369"/>
      <c r="DZ150" s="369"/>
      <c r="EA150" s="369"/>
      <c r="EB150" s="369"/>
      <c r="EC150" s="369"/>
      <c r="ED150" s="369"/>
      <c r="EE150" s="369"/>
      <c r="EF150" s="369"/>
      <c r="EG150" s="369"/>
      <c r="EH150" s="369"/>
      <c r="EI150" s="369"/>
      <c r="EJ150" s="369"/>
      <c r="EK150" s="369"/>
      <c r="EL150" s="369"/>
      <c r="EM150" s="369"/>
      <c r="EN150" s="369"/>
      <c r="EO150" s="369"/>
      <c r="EP150" s="369"/>
      <c r="EQ150" s="369"/>
      <c r="ER150" s="369"/>
      <c r="ES150" s="369"/>
    </row>
    <row r="151" spans="1:149" ht="19.5" customHeight="1" thickBot="1" x14ac:dyDescent="0.5">
      <c r="A151" s="594" t="s">
        <v>445</v>
      </c>
      <c r="B151" s="594">
        <v>89050</v>
      </c>
      <c r="C151" s="594" t="s">
        <v>446</v>
      </c>
      <c r="D151" s="594" t="s">
        <v>473</v>
      </c>
      <c r="E151" s="135">
        <v>141</v>
      </c>
      <c r="F151" s="457" t="s">
        <v>312</v>
      </c>
      <c r="G151" s="457" t="s">
        <v>313</v>
      </c>
      <c r="H151" s="457" t="s">
        <v>314</v>
      </c>
      <c r="I151" s="457" t="s">
        <v>164</v>
      </c>
      <c r="J151" s="458">
        <v>0</v>
      </c>
      <c r="K151" s="458"/>
      <c r="L151" s="458"/>
      <c r="M151" s="458"/>
      <c r="N151" s="459"/>
      <c r="O151" s="459"/>
      <c r="P151" s="459"/>
      <c r="Q151" s="458"/>
      <c r="R151" s="458"/>
      <c r="S151" s="458"/>
      <c r="T151" s="459"/>
      <c r="U151" s="459"/>
      <c r="V151" s="459"/>
      <c r="W151" s="458"/>
      <c r="X151" s="458"/>
      <c r="Y151" s="458"/>
      <c r="Z151" s="459"/>
      <c r="AA151" s="459"/>
      <c r="AB151" s="459"/>
      <c r="AC151" s="458"/>
      <c r="AD151" s="458"/>
      <c r="AE151" s="458"/>
      <c r="AF151" s="459"/>
      <c r="AG151" s="459"/>
      <c r="AH151" s="459"/>
      <c r="AI151" s="458"/>
      <c r="AJ151" s="458"/>
      <c r="AK151" s="458"/>
      <c r="AL151" s="459"/>
      <c r="AM151" s="459"/>
      <c r="AN151" s="459"/>
      <c r="AO151" s="459">
        <f>SUM(N151,T151,Z151,AF151,AL151)</f>
        <v>0</v>
      </c>
      <c r="AP151" s="459">
        <f>SUM(O151,U151,AA151,AG151,AM151)</f>
        <v>0</v>
      </c>
      <c r="AQ151" s="459">
        <f>SUM(AO151:AP151)</f>
        <v>0</v>
      </c>
      <c r="AR151" s="460">
        <v>0</v>
      </c>
      <c r="AS151" s="459">
        <v>0</v>
      </c>
      <c r="AT151" s="460">
        <v>0</v>
      </c>
      <c r="AU151" s="459">
        <v>0</v>
      </c>
      <c r="AV151" s="459">
        <f>AR151+AT151</f>
        <v>0</v>
      </c>
      <c r="AW151" s="459">
        <f>AS151+AU151</f>
        <v>0</v>
      </c>
      <c r="AX151" s="459">
        <f>AV151+AW151</f>
        <v>0</v>
      </c>
      <c r="AY151" s="459">
        <f>AQ151-AX151</f>
        <v>0</v>
      </c>
      <c r="AZ151" s="460">
        <f t="shared" si="176"/>
        <v>0</v>
      </c>
      <c r="BA151" s="461">
        <f>AY151-AZ151</f>
        <v>0</v>
      </c>
      <c r="BB151" s="462"/>
      <c r="BC151" s="459"/>
      <c r="BD151" s="463"/>
      <c r="BE151" s="460">
        <v>25785.65</v>
      </c>
      <c r="BF151" s="460">
        <f>BF150*0.0869564</f>
        <v>4694.1076917485398</v>
      </c>
      <c r="BG151" s="460">
        <f>SUM(BE151:BF151)</f>
        <v>30479.757691748542</v>
      </c>
      <c r="BH151" s="464" t="s">
        <v>315</v>
      </c>
      <c r="BI151" s="462"/>
      <c r="BJ151" s="459"/>
      <c r="BK151" s="463"/>
      <c r="BL151" s="460">
        <f>BL150*0.09</f>
        <v>34364.656660066568</v>
      </c>
      <c r="BM151" s="460">
        <f>BM150*0.09</f>
        <v>6435.5961430888246</v>
      </c>
      <c r="BN151" s="465">
        <f>SUM(BL151:BM151)</f>
        <v>40800.252803155396</v>
      </c>
      <c r="BO151" s="466"/>
      <c r="BP151" s="459"/>
      <c r="BQ151" s="463"/>
      <c r="BR151" s="460">
        <f>BR150*0.09</f>
        <v>35250.160723499059</v>
      </c>
      <c r="BS151" s="460">
        <f>BS150*0.09</f>
        <v>7275.8709795800542</v>
      </c>
      <c r="BT151" s="465">
        <f>SUM(BR151:BS151)</f>
        <v>42526.031703079112</v>
      </c>
      <c r="BU151" s="462"/>
      <c r="BV151" s="459"/>
      <c r="BW151" s="463"/>
      <c r="BX151" s="460">
        <f>BX150*0.09</f>
        <v>16502.233377091739</v>
      </c>
      <c r="BY151" s="460">
        <f>BY150*0.09</f>
        <v>1904.2426832167769</v>
      </c>
      <c r="BZ151" s="465">
        <f>SUM(BX151:BY151)</f>
        <v>18406.476060308516</v>
      </c>
      <c r="CA151" s="467">
        <f>BR151+BL151+BE151+BX151</f>
        <v>111902.70076065735</v>
      </c>
      <c r="CB151" s="460">
        <f>BS151+BM151+BF151+BY151</f>
        <v>20309.817497634194</v>
      </c>
      <c r="CC151" s="465">
        <f>BZ151+BT151+BN151+BG151</f>
        <v>132212.51825829159</v>
      </c>
      <c r="CD151" s="468"/>
      <c r="CE151" s="459">
        <f>CA151+AR151+AT151</f>
        <v>111902.70076065735</v>
      </c>
      <c r="CF151" s="459">
        <f>CB151</f>
        <v>20309.817497634194</v>
      </c>
      <c r="CG151" s="469">
        <f t="shared" si="179"/>
        <v>132212.51825829153</v>
      </c>
      <c r="CH151" s="314">
        <f>AO151-CE151</f>
        <v>-111902.70076065735</v>
      </c>
      <c r="CI151" s="310">
        <f>AP151-CF151</f>
        <v>-20309.817497634194</v>
      </c>
      <c r="CJ151" s="521">
        <f>AQ151-CG151</f>
        <v>-132212.51825829153</v>
      </c>
      <c r="CK151" s="530">
        <f t="shared" si="171"/>
        <v>132213</v>
      </c>
      <c r="CL151" s="531">
        <f t="shared" si="172"/>
        <v>0.48174170847050846</v>
      </c>
      <c r="CM151" s="370"/>
      <c r="CN151" s="370"/>
      <c r="CO151" s="370">
        <v>18063</v>
      </c>
      <c r="CP151" s="370"/>
      <c r="CQ151" s="370"/>
      <c r="CR151" s="370"/>
      <c r="CS151" s="370"/>
      <c r="CT151" s="370"/>
      <c r="CU151" s="370"/>
      <c r="CV151" s="370"/>
      <c r="CW151" s="370"/>
      <c r="CX151" s="370"/>
      <c r="CY151" s="370"/>
      <c r="CZ151" s="370"/>
      <c r="DA151" s="370"/>
      <c r="DB151" s="370"/>
      <c r="DC151" s="370"/>
      <c r="DD151" s="370"/>
      <c r="DE151" s="370"/>
      <c r="DF151" s="370"/>
      <c r="DG151" s="370"/>
      <c r="DH151" s="370"/>
      <c r="DI151" s="370"/>
      <c r="DJ151" s="370"/>
      <c r="DK151" s="370"/>
      <c r="DL151" s="370"/>
      <c r="DM151" s="370"/>
      <c r="DN151" s="370"/>
      <c r="DO151" s="370"/>
      <c r="DP151" s="370"/>
      <c r="DQ151" s="370"/>
      <c r="DR151" s="370"/>
      <c r="DS151" s="370"/>
      <c r="DT151" s="370"/>
      <c r="DU151" s="370"/>
      <c r="DV151" s="370">
        <v>73</v>
      </c>
      <c r="DW151" s="370">
        <v>2070</v>
      </c>
      <c r="DX151" s="370"/>
      <c r="DY151" s="370"/>
      <c r="DZ151" s="370">
        <v>8505</v>
      </c>
      <c r="EA151" s="370"/>
      <c r="EB151" s="370">
        <v>2245</v>
      </c>
      <c r="EC151" s="370"/>
      <c r="ED151" s="370">
        <v>531</v>
      </c>
      <c r="EE151" s="370">
        <v>824</v>
      </c>
      <c r="EG151" s="370">
        <v>30031</v>
      </c>
      <c r="EH151" s="370">
        <v>31396</v>
      </c>
      <c r="EI151" s="370">
        <v>3174</v>
      </c>
      <c r="EJ151" s="370"/>
      <c r="EK151" s="370"/>
      <c r="EL151" s="370">
        <v>1309</v>
      </c>
      <c r="EM151" s="370">
        <v>36</v>
      </c>
      <c r="EN151" s="370">
        <v>17923</v>
      </c>
      <c r="EO151" s="370">
        <v>2061</v>
      </c>
      <c r="EP151" s="370">
        <v>9559</v>
      </c>
      <c r="EQ151" s="370"/>
      <c r="ER151" s="370">
        <v>4413</v>
      </c>
      <c r="ES151" s="370"/>
    </row>
    <row r="152" spans="1:149" s="127" customFormat="1" ht="19.5" customHeight="1" thickBot="1" x14ac:dyDescent="0.5">
      <c r="A152" s="470"/>
      <c r="B152" s="470"/>
      <c r="C152" s="470"/>
      <c r="D152" s="470"/>
      <c r="E152" s="456"/>
      <c r="F152" s="470" t="s">
        <v>9</v>
      </c>
      <c r="G152" s="471"/>
      <c r="H152" s="471"/>
      <c r="I152" s="471" t="s">
        <v>316</v>
      </c>
      <c r="J152" s="472"/>
      <c r="K152" s="472"/>
      <c r="L152" s="472"/>
      <c r="M152" s="472"/>
      <c r="N152" s="473"/>
      <c r="O152" s="473"/>
      <c r="P152" s="473"/>
      <c r="Q152" s="472"/>
      <c r="R152" s="472"/>
      <c r="S152" s="472"/>
      <c r="T152" s="473"/>
      <c r="U152" s="473"/>
      <c r="V152" s="473"/>
      <c r="W152" s="472"/>
      <c r="X152" s="472"/>
      <c r="Y152" s="472"/>
      <c r="Z152" s="474"/>
      <c r="AA152" s="474"/>
      <c r="AB152" s="474"/>
      <c r="AC152" s="472"/>
      <c r="AD152" s="472"/>
      <c r="AE152" s="472"/>
      <c r="AF152" s="474"/>
      <c r="AG152" s="474"/>
      <c r="AH152" s="474"/>
      <c r="AI152" s="472"/>
      <c r="AJ152" s="472"/>
      <c r="AK152" s="472"/>
      <c r="AL152" s="474"/>
      <c r="AM152" s="474"/>
      <c r="AN152" s="474"/>
      <c r="AO152" s="475">
        <v>2133978.73</v>
      </c>
      <c r="AP152" s="474">
        <v>300806</v>
      </c>
      <c r="AQ152" s="474">
        <f>SUM(AO152:AP152)</f>
        <v>2434784.73</v>
      </c>
      <c r="AR152" s="475">
        <f t="shared" ref="AR152:AY152" si="185">AR150</f>
        <v>77858.240000000005</v>
      </c>
      <c r="AS152" s="475">
        <f t="shared" si="185"/>
        <v>21123.119999999999</v>
      </c>
      <c r="AT152" s="475">
        <f t="shared" si="185"/>
        <v>543147.42000000004</v>
      </c>
      <c r="AU152" s="475">
        <f t="shared" si="185"/>
        <v>31882.86</v>
      </c>
      <c r="AV152" s="475">
        <f t="shared" si="185"/>
        <v>0</v>
      </c>
      <c r="AW152" s="475">
        <f t="shared" si="185"/>
        <v>0</v>
      </c>
      <c r="AX152" s="475">
        <f t="shared" si="185"/>
        <v>0</v>
      </c>
      <c r="AY152" s="475">
        <f t="shared" si="185"/>
        <v>0</v>
      </c>
      <c r="AZ152" s="475">
        <f t="shared" si="176"/>
        <v>1760773.0899999996</v>
      </c>
      <c r="BA152" s="476"/>
      <c r="BB152" s="477"/>
      <c r="BC152" s="475"/>
      <c r="BD152" s="478"/>
      <c r="BE152" s="475">
        <f>SUM(BE150:BE151)</f>
        <v>469999.96455600008</v>
      </c>
      <c r="BF152" s="475">
        <f>SUM(BF150:BF151)</f>
        <v>58676.421722096384</v>
      </c>
      <c r="BG152" s="475">
        <f>SUM(BG150:BG151)</f>
        <v>528676.38627809647</v>
      </c>
      <c r="BH152" s="476"/>
      <c r="BI152" s="479"/>
      <c r="BJ152" s="475"/>
      <c r="BK152" s="475"/>
      <c r="BL152" s="475">
        <f>SUM(BL150:BL151)</f>
        <v>416194.17510525067</v>
      </c>
      <c r="BM152" s="475">
        <f>SUM(BM150:BM151)</f>
        <v>77942.219955186883</v>
      </c>
      <c r="BN152" s="480">
        <f>SUM(BN150:BN151)</f>
        <v>494136.39506043756</v>
      </c>
      <c r="BO152" s="481"/>
      <c r="BP152" s="475"/>
      <c r="BQ152" s="475"/>
      <c r="BR152" s="475">
        <f>SUM(BR150:BR151)</f>
        <v>426918.61320682196</v>
      </c>
      <c r="BS152" s="475">
        <f>SUM(BS150:BS151)</f>
        <v>88118.881863802875</v>
      </c>
      <c r="BT152" s="475">
        <f>SUM(BT150:BT151)</f>
        <v>515037.49507062481</v>
      </c>
      <c r="BU152" s="475"/>
      <c r="BV152" s="475"/>
      <c r="BW152" s="475"/>
      <c r="BX152" s="475">
        <f t="shared" ref="BX152:CC152" si="186">SUM(BX150:BX151)</f>
        <v>199860.3820114444</v>
      </c>
      <c r="BY152" s="475">
        <f t="shared" si="186"/>
        <v>23062.494718958744</v>
      </c>
      <c r="BZ152" s="475">
        <f t="shared" si="186"/>
        <v>222922.87673040314</v>
      </c>
      <c r="CA152" s="475">
        <f t="shared" si="186"/>
        <v>1512973.1348795169</v>
      </c>
      <c r="CB152" s="475">
        <f t="shared" si="186"/>
        <v>247800.01826004486</v>
      </c>
      <c r="CC152" s="475">
        <f t="shared" si="186"/>
        <v>1760773.1531395619</v>
      </c>
      <c r="CD152" s="482"/>
      <c r="CE152" s="475">
        <f>SUM(CE150:CE151)</f>
        <v>2133978.7948795171</v>
      </c>
      <c r="CF152" s="475">
        <f>SUM(CF150:CF151)</f>
        <v>300805.9982600449</v>
      </c>
      <c r="CG152" s="476">
        <f>SUM(CG150:CG151)</f>
        <v>2434784.793139562</v>
      </c>
      <c r="CH152" s="483"/>
      <c r="CI152" s="484"/>
      <c r="CJ152" s="525"/>
      <c r="CK152" s="534">
        <f t="shared" si="171"/>
        <v>0</v>
      </c>
      <c r="CL152" s="535"/>
      <c r="DV152" s="369"/>
      <c r="DW152" s="369"/>
      <c r="DX152" s="369"/>
      <c r="DY152" s="369"/>
      <c r="DZ152" s="369"/>
      <c r="EA152" s="369"/>
      <c r="EB152" s="369"/>
      <c r="EC152" s="369"/>
      <c r="ED152" s="369"/>
      <c r="EE152" s="369"/>
      <c r="EF152" s="369"/>
      <c r="EG152" s="369"/>
      <c r="EH152" s="369"/>
      <c r="EI152" s="369"/>
      <c r="EJ152" s="369"/>
      <c r="EK152" s="369"/>
      <c r="EL152" s="369"/>
      <c r="EM152" s="369"/>
      <c r="EN152" s="369"/>
      <c r="EO152" s="369"/>
      <c r="EP152" s="369"/>
      <c r="EQ152" s="369"/>
      <c r="ER152" s="369"/>
      <c r="ES152" s="369"/>
    </row>
    <row r="153" spans="1:149" s="126" customFormat="1" ht="19.5" customHeight="1" x14ac:dyDescent="0.4">
      <c r="BH153" s="114"/>
      <c r="CM153" s="540">
        <f t="shared" ref="CM153:DR153" si="187">SUM(CM14:CM152)</f>
        <v>0</v>
      </c>
      <c r="CN153" s="540">
        <f t="shared" si="187"/>
        <v>0</v>
      </c>
      <c r="CO153" s="540">
        <f t="shared" si="187"/>
        <v>0</v>
      </c>
      <c r="CP153" s="540">
        <f t="shared" si="187"/>
        <v>0</v>
      </c>
      <c r="CQ153" s="540">
        <f t="shared" si="187"/>
        <v>0</v>
      </c>
      <c r="CR153" s="540">
        <f t="shared" si="187"/>
        <v>0</v>
      </c>
      <c r="CS153" s="540">
        <f t="shared" si="187"/>
        <v>0</v>
      </c>
      <c r="CT153" s="540">
        <f t="shared" si="187"/>
        <v>0</v>
      </c>
      <c r="CU153" s="540">
        <f t="shared" si="187"/>
        <v>0</v>
      </c>
      <c r="CV153" s="540">
        <f t="shared" si="187"/>
        <v>0</v>
      </c>
      <c r="CW153" s="540">
        <f t="shared" si="187"/>
        <v>0</v>
      </c>
      <c r="CX153" s="540">
        <f t="shared" si="187"/>
        <v>0</v>
      </c>
      <c r="CY153" s="540">
        <f t="shared" si="187"/>
        <v>0</v>
      </c>
      <c r="CZ153" s="540">
        <f t="shared" si="187"/>
        <v>0</v>
      </c>
      <c r="DA153" s="540">
        <f t="shared" si="187"/>
        <v>0</v>
      </c>
      <c r="DB153" s="540">
        <f t="shared" si="187"/>
        <v>0</v>
      </c>
      <c r="DC153" s="540">
        <f t="shared" si="187"/>
        <v>0</v>
      </c>
      <c r="DD153" s="540">
        <f t="shared" si="187"/>
        <v>0</v>
      </c>
      <c r="DE153" s="540">
        <f t="shared" si="187"/>
        <v>0</v>
      </c>
      <c r="DF153" s="540">
        <f t="shared" si="187"/>
        <v>0</v>
      </c>
      <c r="DG153" s="540">
        <f t="shared" si="187"/>
        <v>0</v>
      </c>
      <c r="DH153" s="540">
        <f t="shared" si="187"/>
        <v>0</v>
      </c>
      <c r="DI153" s="540">
        <f t="shared" si="187"/>
        <v>0</v>
      </c>
      <c r="DJ153" s="540">
        <f t="shared" si="187"/>
        <v>0</v>
      </c>
      <c r="DK153" s="540">
        <f t="shared" si="187"/>
        <v>0</v>
      </c>
      <c r="DL153" s="540">
        <f t="shared" si="187"/>
        <v>0</v>
      </c>
      <c r="DM153" s="540">
        <f t="shared" si="187"/>
        <v>0</v>
      </c>
      <c r="DN153" s="540">
        <f t="shared" si="187"/>
        <v>0</v>
      </c>
      <c r="DO153" s="540">
        <f t="shared" si="187"/>
        <v>0</v>
      </c>
      <c r="DP153" s="540">
        <f t="shared" si="187"/>
        <v>0</v>
      </c>
      <c r="DQ153" s="540">
        <f t="shared" si="187"/>
        <v>0</v>
      </c>
      <c r="DR153" s="540">
        <f t="shared" si="187"/>
        <v>0</v>
      </c>
      <c r="DS153" s="540">
        <f t="shared" ref="DS153:ES153" si="188">SUM(DS14:DS152)</f>
        <v>0</v>
      </c>
      <c r="DT153" s="540">
        <f t="shared" si="188"/>
        <v>0</v>
      </c>
      <c r="DU153" s="540">
        <f t="shared" si="188"/>
        <v>0</v>
      </c>
      <c r="DV153" s="540">
        <f t="shared" si="188"/>
        <v>0</v>
      </c>
      <c r="DW153" s="540">
        <f t="shared" si="188"/>
        <v>0</v>
      </c>
      <c r="DX153" s="540">
        <f t="shared" si="188"/>
        <v>0</v>
      </c>
      <c r="DY153" s="540">
        <f t="shared" si="188"/>
        <v>0</v>
      </c>
      <c r="DZ153" s="540">
        <f t="shared" si="188"/>
        <v>0</v>
      </c>
      <c r="EA153" s="540">
        <f t="shared" si="188"/>
        <v>0</v>
      </c>
      <c r="EB153" s="540">
        <f t="shared" si="188"/>
        <v>0</v>
      </c>
      <c r="EC153" s="540">
        <f t="shared" si="188"/>
        <v>0</v>
      </c>
      <c r="ED153" s="540">
        <f t="shared" si="188"/>
        <v>0</v>
      </c>
      <c r="EE153" s="540">
        <f t="shared" si="188"/>
        <v>0</v>
      </c>
      <c r="EF153" s="540">
        <f t="shared" si="188"/>
        <v>0</v>
      </c>
      <c r="EG153" s="540">
        <f t="shared" si="188"/>
        <v>0</v>
      </c>
      <c r="EH153" s="540">
        <f t="shared" si="188"/>
        <v>0</v>
      </c>
      <c r="EI153" s="540">
        <f t="shared" si="188"/>
        <v>0</v>
      </c>
      <c r="EJ153" s="540">
        <f t="shared" si="188"/>
        <v>0</v>
      </c>
      <c r="EK153" s="540">
        <f t="shared" si="188"/>
        <v>0</v>
      </c>
      <c r="EL153" s="540">
        <f t="shared" si="188"/>
        <v>0</v>
      </c>
      <c r="EM153" s="540">
        <f t="shared" si="188"/>
        <v>0</v>
      </c>
      <c r="EN153" s="540">
        <f t="shared" si="188"/>
        <v>0</v>
      </c>
      <c r="EO153" s="540">
        <f t="shared" si="188"/>
        <v>0</v>
      </c>
      <c r="EP153" s="540">
        <f t="shared" si="188"/>
        <v>0</v>
      </c>
      <c r="EQ153" s="540">
        <f t="shared" si="188"/>
        <v>0</v>
      </c>
      <c r="ER153" s="540">
        <f t="shared" si="188"/>
        <v>0</v>
      </c>
      <c r="ES153" s="540">
        <f t="shared" si="188"/>
        <v>0</v>
      </c>
    </row>
    <row r="154" spans="1:149" s="126" customFormat="1" ht="19.5" customHeight="1" x14ac:dyDescent="0.45">
      <c r="A154" s="403"/>
      <c r="B154" s="403"/>
      <c r="C154" s="403"/>
      <c r="D154" s="403"/>
      <c r="E154" s="113"/>
      <c r="F154" s="403" t="s">
        <v>317</v>
      </c>
      <c r="G154" s="113"/>
      <c r="H154" s="113"/>
      <c r="I154" s="113"/>
      <c r="AU154" s="110"/>
      <c r="AV154" s="110"/>
      <c r="AW154" s="110"/>
      <c r="AX154" s="110"/>
      <c r="AY154" s="110"/>
      <c r="AZ154" s="109"/>
      <c r="BA154" s="109"/>
      <c r="BE154" s="109"/>
      <c r="BH154" s="114"/>
      <c r="BL154" s="109"/>
      <c r="BR154" s="109"/>
      <c r="BX154" s="109"/>
      <c r="CC154" s="109"/>
      <c r="CE154" s="109"/>
      <c r="CF154" s="110"/>
      <c r="CG154" s="110"/>
      <c r="CH154" s="110"/>
      <c r="CI154" s="110"/>
    </row>
    <row r="155" spans="1:149" s="126" customFormat="1" ht="19.5" customHeight="1" x14ac:dyDescent="0.45">
      <c r="A155" s="113"/>
      <c r="B155" s="113"/>
      <c r="C155" s="113"/>
      <c r="D155" s="113"/>
      <c r="E155" s="113"/>
      <c r="F155" s="113"/>
      <c r="G155" s="113"/>
      <c r="H155" s="113"/>
      <c r="I155" s="113"/>
      <c r="AT155" s="109"/>
      <c r="BD155" s="127"/>
      <c r="BE155" s="112"/>
      <c r="BH155" s="114"/>
      <c r="BK155" s="110"/>
      <c r="BP155" s="110"/>
      <c r="BQ155" s="109"/>
      <c r="CC155" s="110"/>
      <c r="CE155" s="110"/>
      <c r="CF155" s="110"/>
      <c r="CG155" s="110"/>
    </row>
    <row r="156" spans="1:149" ht="19.5" customHeight="1" x14ac:dyDescent="0.45">
      <c r="AT156" s="125"/>
      <c r="BE156" s="125"/>
      <c r="BG156" s="111"/>
      <c r="BH156" s="124"/>
      <c r="BL156" s="125"/>
      <c r="BX156" s="111"/>
      <c r="CA156" s="125"/>
      <c r="CB156" s="125"/>
      <c r="CE156" s="125"/>
      <c r="CF156" s="111"/>
      <c r="CG156" s="125"/>
      <c r="CH156" s="125"/>
      <c r="CI156" s="125"/>
    </row>
    <row r="157" spans="1:149" ht="19.5" customHeight="1" x14ac:dyDescent="0.45">
      <c r="F157" s="113" t="s">
        <v>318</v>
      </c>
      <c r="AO157" s="129"/>
      <c r="BL157" s="125"/>
      <c r="BN157" s="125"/>
      <c r="BQ157" s="125"/>
      <c r="BR157" s="125"/>
      <c r="BX157" s="125"/>
      <c r="CE157" s="111"/>
      <c r="CF157" s="111"/>
    </row>
    <row r="158" spans="1:149" ht="19.5" customHeight="1" x14ac:dyDescent="0.45">
      <c r="AO158" s="129"/>
      <c r="AS158" s="125"/>
      <c r="AT158" s="125"/>
      <c r="BE158" s="125"/>
      <c r="BR158" s="125"/>
      <c r="BX158" s="125"/>
      <c r="CA158" s="111"/>
      <c r="CB158" s="111"/>
      <c r="CD158" s="111"/>
      <c r="CE158" s="126"/>
      <c r="CF158" s="111"/>
      <c r="CG158" s="21"/>
      <c r="CH158" s="21"/>
      <c r="CI158" s="21"/>
    </row>
    <row r="159" spans="1:149" ht="19.5" customHeight="1" x14ac:dyDescent="0.45">
      <c r="AO159" s="129"/>
      <c r="BS159" s="111"/>
      <c r="CE159" s="125"/>
    </row>
    <row r="160" spans="1:149" ht="19.5" customHeight="1" x14ac:dyDescent="0.45">
      <c r="CE160" s="111"/>
    </row>
    <row r="164" spans="46:46" ht="19.5" customHeight="1" x14ac:dyDescent="0.45">
      <c r="AT164" s="125"/>
    </row>
  </sheetData>
  <autoFilter ref="E10:ES155" xr:uid="{CE37C3F3-C2D5-4D69-9A46-209DB97C3441}"/>
  <mergeCells count="26">
    <mergeCell ref="CH8:CJ8"/>
    <mergeCell ref="AV9:AZ9"/>
    <mergeCell ref="BI9:BN9"/>
    <mergeCell ref="BO9:BT9"/>
    <mergeCell ref="BU9:BZ9"/>
    <mergeCell ref="CE8:CG8"/>
    <mergeCell ref="AR8:AZ8"/>
    <mergeCell ref="BB8:CC8"/>
    <mergeCell ref="AR9:AS9"/>
    <mergeCell ref="AT9:AU9"/>
    <mergeCell ref="BB9:BH9"/>
    <mergeCell ref="J1:AQ1"/>
    <mergeCell ref="J2:AQ2"/>
    <mergeCell ref="J3:AQ3"/>
    <mergeCell ref="J4:AQ4"/>
    <mergeCell ref="J8:AQ8"/>
    <mergeCell ref="A9:A10"/>
    <mergeCell ref="B9:B10"/>
    <mergeCell ref="C9:C10"/>
    <mergeCell ref="D9:D10"/>
    <mergeCell ref="CM9:ES9"/>
    <mergeCell ref="W9:AB9"/>
    <mergeCell ref="J9:P9"/>
    <mergeCell ref="Q9:V9"/>
    <mergeCell ref="AC9:AH9"/>
    <mergeCell ref="AI9:AN9"/>
  </mergeCells>
  <phoneticPr fontId="45" type="noConversion"/>
  <conditionalFormatting sqref="CH14:CJ152">
    <cfRule type="cellIs" dxfId="7" priority="8" operator="lessThan">
      <formula>0</formula>
    </cfRule>
  </conditionalFormatting>
  <conditionalFormatting sqref="CH16:CJ16 CH18:CJ19 CH34:CJ36 CH39:CJ41 CH45:CJ46 CH51:CJ53 CH58:CJ58 CH60:CJ60 CH65:CJ65 CH70:CJ70 CH75:CJ75 CH80:CJ82 CH84:CJ86 CH88:CJ89 CH92:CJ93 CH96:CJ99 CH105:CJ106 CH108:CJ111 CH118:CJ119 CH124:CJ124 CH136:CJ137 CH140:CJ140 CH143:CJ143">
    <cfRule type="cellIs" dxfId="6" priority="9" operator="lessThan">
      <formula>0</formula>
    </cfRule>
    <cfRule type="cellIs" dxfId="5" priority="10" operator="lessThan">
      <formula>1</formula>
    </cfRule>
  </conditionalFormatting>
  <conditionalFormatting sqref="CM14:ES116 CM117:ET118 CM119:ES151">
    <cfRule type="cellIs" dxfId="4" priority="1" operator="lessThan">
      <formula>0</formula>
    </cfRule>
  </conditionalFormatting>
  <conditionalFormatting sqref="CZ8:DX8">
    <cfRule type="duplicateValues" dxfId="3" priority="48"/>
  </conditionalFormatting>
  <pageMargins left="0.5" right="0.34" top="0.63" bottom="0.41" header="0.5" footer="0.5"/>
  <pageSetup paperSize="17" scale="44" fitToHeight="2" orientation="landscape" r:id="rId1"/>
  <headerFooter alignWithMargins="0"/>
  <rowBreaks count="1" manualBreakCount="1">
    <brk id="134" min="5" max="39" man="1"/>
  </rowBreaks>
  <ignoredErrors>
    <ignoredError sqref="BZ122 BX122 CB133 CB129 CC122 CB148 AS149 BZ150" formula="1"/>
    <ignoredError sqref="AR105:AS105 AU105 AR138 AR142"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6D2B-2675-4D60-9CD4-F3C6F08A9A56}">
  <dimension ref="A1:EQ144"/>
  <sheetViews>
    <sheetView zoomScale="70" zoomScaleNormal="70" workbookViewId="0">
      <selection activeCell="O114" sqref="O114"/>
    </sheetView>
  </sheetViews>
  <sheetFormatPr defaultColWidth="10.71875" defaultRowHeight="12.3" x14ac:dyDescent="0.4"/>
  <cols>
    <col min="2" max="2" width="6.27734375" customWidth="1"/>
    <col min="3" max="3" width="64.71875" bestFit="1" customWidth="1"/>
    <col min="4" max="5" width="6.27734375" customWidth="1"/>
    <col min="6" max="147" width="3.83203125" customWidth="1"/>
  </cols>
  <sheetData>
    <row r="1" spans="1:147" x14ac:dyDescent="0.4">
      <c r="F1">
        <v>1</v>
      </c>
      <c r="G1">
        <v>2</v>
      </c>
      <c r="H1">
        <v>3</v>
      </c>
      <c r="I1">
        <v>4</v>
      </c>
      <c r="J1">
        <v>5</v>
      </c>
      <c r="K1">
        <v>6</v>
      </c>
      <c r="L1">
        <v>7</v>
      </c>
      <c r="M1">
        <v>8</v>
      </c>
      <c r="N1">
        <v>9</v>
      </c>
      <c r="O1">
        <v>10</v>
      </c>
      <c r="P1">
        <v>11</v>
      </c>
      <c r="Q1">
        <v>12</v>
      </c>
      <c r="R1">
        <v>13</v>
      </c>
      <c r="S1">
        <v>14</v>
      </c>
      <c r="T1">
        <v>15</v>
      </c>
      <c r="U1">
        <v>16</v>
      </c>
      <c r="V1">
        <v>17</v>
      </c>
      <c r="W1">
        <v>18</v>
      </c>
      <c r="X1">
        <v>19</v>
      </c>
      <c r="Y1">
        <v>20</v>
      </c>
      <c r="Z1">
        <v>21</v>
      </c>
      <c r="AA1">
        <v>22</v>
      </c>
      <c r="AB1">
        <v>23</v>
      </c>
      <c r="AC1">
        <v>24</v>
      </c>
      <c r="AD1">
        <v>25</v>
      </c>
      <c r="AE1">
        <v>26</v>
      </c>
      <c r="AF1">
        <v>27</v>
      </c>
      <c r="AG1">
        <v>28</v>
      </c>
      <c r="AH1">
        <v>29</v>
      </c>
      <c r="AI1">
        <v>30</v>
      </c>
      <c r="AJ1">
        <v>31</v>
      </c>
      <c r="AK1">
        <v>32</v>
      </c>
      <c r="AL1">
        <v>33</v>
      </c>
      <c r="AM1">
        <v>34</v>
      </c>
      <c r="AN1" t="s">
        <v>319</v>
      </c>
      <c r="AO1">
        <v>35</v>
      </c>
      <c r="AP1">
        <v>36</v>
      </c>
      <c r="AQ1">
        <v>37</v>
      </c>
      <c r="AR1">
        <v>38</v>
      </c>
      <c r="AS1">
        <v>39</v>
      </c>
      <c r="AT1">
        <v>40</v>
      </c>
      <c r="AU1">
        <v>41</v>
      </c>
      <c r="AV1">
        <v>42</v>
      </c>
      <c r="AW1">
        <v>43</v>
      </c>
      <c r="AX1">
        <v>44</v>
      </c>
      <c r="AY1">
        <v>45</v>
      </c>
      <c r="AZ1">
        <v>46</v>
      </c>
      <c r="BA1">
        <v>47</v>
      </c>
      <c r="BB1">
        <v>48</v>
      </c>
      <c r="BC1">
        <v>49</v>
      </c>
      <c r="BD1">
        <v>50</v>
      </c>
      <c r="BE1">
        <v>51</v>
      </c>
      <c r="BF1">
        <v>52</v>
      </c>
      <c r="BG1">
        <v>53</v>
      </c>
      <c r="BH1">
        <v>54</v>
      </c>
      <c r="BI1">
        <v>55</v>
      </c>
      <c r="BJ1">
        <v>56</v>
      </c>
      <c r="BK1">
        <v>57</v>
      </c>
      <c r="BL1">
        <v>58</v>
      </c>
      <c r="BM1">
        <v>59</v>
      </c>
      <c r="BN1">
        <v>60</v>
      </c>
      <c r="BO1">
        <v>61</v>
      </c>
      <c r="BP1">
        <v>62</v>
      </c>
      <c r="BQ1">
        <v>63</v>
      </c>
      <c r="BR1">
        <v>64</v>
      </c>
      <c r="BS1">
        <v>65</v>
      </c>
      <c r="BT1">
        <v>66</v>
      </c>
      <c r="BU1">
        <v>67</v>
      </c>
      <c r="BV1">
        <v>68</v>
      </c>
      <c r="BW1">
        <v>69</v>
      </c>
      <c r="BX1">
        <v>70</v>
      </c>
      <c r="BY1">
        <v>71</v>
      </c>
      <c r="BZ1">
        <v>72</v>
      </c>
      <c r="CA1">
        <v>73</v>
      </c>
      <c r="CB1">
        <v>74</v>
      </c>
      <c r="CC1">
        <v>75</v>
      </c>
      <c r="CD1">
        <v>76</v>
      </c>
      <c r="CE1">
        <v>77</v>
      </c>
      <c r="CF1">
        <v>78</v>
      </c>
      <c r="CG1">
        <v>79</v>
      </c>
      <c r="CH1">
        <v>80</v>
      </c>
      <c r="CI1">
        <v>81</v>
      </c>
      <c r="CJ1">
        <v>82</v>
      </c>
      <c r="CK1">
        <v>83</v>
      </c>
      <c r="CL1">
        <v>84</v>
      </c>
      <c r="CM1">
        <v>85</v>
      </c>
      <c r="CN1">
        <v>86</v>
      </c>
      <c r="CO1">
        <v>87</v>
      </c>
      <c r="CP1">
        <v>88</v>
      </c>
      <c r="CQ1">
        <v>89</v>
      </c>
      <c r="CR1">
        <v>90</v>
      </c>
      <c r="CS1">
        <v>91</v>
      </c>
      <c r="CT1">
        <v>92</v>
      </c>
      <c r="CU1">
        <v>93</v>
      </c>
      <c r="CV1">
        <v>139</v>
      </c>
      <c r="CW1">
        <v>94</v>
      </c>
      <c r="CX1">
        <v>95</v>
      </c>
      <c r="CY1">
        <v>96</v>
      </c>
      <c r="CZ1">
        <v>97</v>
      </c>
      <c r="DA1">
        <v>98</v>
      </c>
      <c r="DB1">
        <v>99</v>
      </c>
      <c r="DC1">
        <v>100</v>
      </c>
      <c r="DD1">
        <v>101</v>
      </c>
      <c r="DE1">
        <v>102</v>
      </c>
      <c r="DF1">
        <v>103</v>
      </c>
      <c r="DG1">
        <v>139</v>
      </c>
      <c r="DH1">
        <v>104</v>
      </c>
      <c r="DI1">
        <v>105</v>
      </c>
      <c r="DJ1">
        <v>106</v>
      </c>
      <c r="DK1">
        <v>107</v>
      </c>
      <c r="DL1">
        <v>108</v>
      </c>
      <c r="DM1">
        <v>109</v>
      </c>
      <c r="DN1">
        <v>110</v>
      </c>
      <c r="DO1">
        <v>111</v>
      </c>
      <c r="DP1">
        <v>112</v>
      </c>
      <c r="DQ1">
        <v>113</v>
      </c>
      <c r="DR1">
        <v>114</v>
      </c>
      <c r="DS1">
        <v>115</v>
      </c>
      <c r="DT1">
        <v>116</v>
      </c>
      <c r="DU1">
        <v>117</v>
      </c>
      <c r="DV1">
        <v>118</v>
      </c>
      <c r="DW1">
        <v>119</v>
      </c>
      <c r="DX1">
        <v>120</v>
      </c>
      <c r="DY1">
        <v>121</v>
      </c>
      <c r="DZ1">
        <v>122</v>
      </c>
      <c r="EA1">
        <v>123</v>
      </c>
      <c r="EB1">
        <v>124</v>
      </c>
      <c r="EC1">
        <v>125</v>
      </c>
      <c r="ED1">
        <v>126</v>
      </c>
      <c r="EE1">
        <v>127</v>
      </c>
      <c r="EF1">
        <v>128</v>
      </c>
      <c r="EG1">
        <v>129</v>
      </c>
      <c r="EH1">
        <v>130</v>
      </c>
      <c r="EI1">
        <v>131</v>
      </c>
      <c r="EJ1">
        <v>132</v>
      </c>
      <c r="EK1">
        <v>133</v>
      </c>
      <c r="EL1">
        <v>134</v>
      </c>
      <c r="EM1">
        <v>135</v>
      </c>
      <c r="EN1">
        <v>136</v>
      </c>
      <c r="EO1">
        <v>137</v>
      </c>
      <c r="EP1">
        <v>138</v>
      </c>
      <c r="EQ1">
        <v>140</v>
      </c>
    </row>
    <row r="2" spans="1:147" x14ac:dyDescent="0.4">
      <c r="F2">
        <v>1</v>
      </c>
      <c r="G2">
        <v>2</v>
      </c>
      <c r="H2">
        <v>3</v>
      </c>
      <c r="I2">
        <v>4</v>
      </c>
      <c r="J2">
        <v>5</v>
      </c>
      <c r="K2">
        <v>6</v>
      </c>
      <c r="L2">
        <v>7</v>
      </c>
      <c r="M2">
        <v>8</v>
      </c>
      <c r="N2">
        <v>9</v>
      </c>
      <c r="O2">
        <v>10</v>
      </c>
      <c r="P2">
        <v>11</v>
      </c>
      <c r="Q2">
        <v>12</v>
      </c>
      <c r="R2">
        <v>13</v>
      </c>
      <c r="S2">
        <v>14</v>
      </c>
      <c r="T2">
        <v>15</v>
      </c>
      <c r="U2">
        <v>16</v>
      </c>
      <c r="V2">
        <v>17</v>
      </c>
      <c r="W2">
        <v>18</v>
      </c>
      <c r="X2">
        <v>19</v>
      </c>
      <c r="Y2">
        <v>20</v>
      </c>
      <c r="Z2">
        <v>21</v>
      </c>
      <c r="AA2">
        <v>22</v>
      </c>
      <c r="AB2">
        <v>23</v>
      </c>
      <c r="AC2">
        <v>24</v>
      </c>
      <c r="AD2">
        <v>25</v>
      </c>
      <c r="AE2">
        <v>26</v>
      </c>
      <c r="AF2">
        <v>27</v>
      </c>
      <c r="AG2">
        <v>28</v>
      </c>
      <c r="AH2">
        <v>29</v>
      </c>
      <c r="AI2">
        <v>30</v>
      </c>
      <c r="AJ2">
        <v>31</v>
      </c>
      <c r="AK2">
        <v>32</v>
      </c>
      <c r="AL2">
        <v>33</v>
      </c>
      <c r="AM2">
        <v>34</v>
      </c>
      <c r="AN2">
        <v>35</v>
      </c>
      <c r="AO2">
        <v>36</v>
      </c>
      <c r="AP2">
        <v>37</v>
      </c>
      <c r="AQ2">
        <v>38</v>
      </c>
      <c r="AR2">
        <v>39</v>
      </c>
      <c r="AS2">
        <v>40</v>
      </c>
      <c r="AT2">
        <v>41</v>
      </c>
      <c r="AU2">
        <v>42</v>
      </c>
      <c r="AV2">
        <v>43</v>
      </c>
      <c r="AW2">
        <v>44</v>
      </c>
      <c r="AX2">
        <v>45</v>
      </c>
      <c r="AY2">
        <v>46</v>
      </c>
      <c r="AZ2">
        <v>47</v>
      </c>
      <c r="BA2">
        <v>48</v>
      </c>
      <c r="BB2">
        <v>49</v>
      </c>
      <c r="BC2">
        <v>50</v>
      </c>
      <c r="BD2">
        <v>51</v>
      </c>
      <c r="BE2">
        <v>52</v>
      </c>
      <c r="BF2">
        <v>53</v>
      </c>
      <c r="BG2">
        <v>54</v>
      </c>
      <c r="BH2">
        <v>55</v>
      </c>
      <c r="BI2">
        <v>56</v>
      </c>
      <c r="BJ2">
        <v>57</v>
      </c>
      <c r="BK2">
        <v>58</v>
      </c>
      <c r="BL2">
        <v>59</v>
      </c>
      <c r="BM2">
        <v>60</v>
      </c>
      <c r="BN2">
        <v>61</v>
      </c>
      <c r="BO2">
        <v>62</v>
      </c>
      <c r="BP2">
        <v>63</v>
      </c>
      <c r="BQ2">
        <v>64</v>
      </c>
      <c r="BR2">
        <v>65</v>
      </c>
      <c r="BS2">
        <v>66</v>
      </c>
      <c r="BT2">
        <v>67</v>
      </c>
      <c r="BU2">
        <v>68</v>
      </c>
      <c r="BV2">
        <v>69</v>
      </c>
      <c r="BW2">
        <v>70</v>
      </c>
      <c r="BX2">
        <v>71</v>
      </c>
      <c r="BY2">
        <v>72</v>
      </c>
      <c r="BZ2">
        <v>73</v>
      </c>
      <c r="CA2">
        <v>74</v>
      </c>
      <c r="CB2">
        <v>75</v>
      </c>
      <c r="CC2">
        <v>76</v>
      </c>
      <c r="CD2">
        <v>77</v>
      </c>
      <c r="CE2">
        <v>78</v>
      </c>
      <c r="CF2">
        <v>79</v>
      </c>
      <c r="CG2">
        <v>80</v>
      </c>
      <c r="CH2">
        <v>81</v>
      </c>
      <c r="CI2">
        <v>82</v>
      </c>
      <c r="CJ2">
        <v>83</v>
      </c>
      <c r="CK2">
        <v>84</v>
      </c>
      <c r="CL2">
        <v>85</v>
      </c>
      <c r="CM2">
        <v>86</v>
      </c>
      <c r="CN2">
        <v>87</v>
      </c>
      <c r="CO2">
        <v>88</v>
      </c>
      <c r="CP2">
        <v>89</v>
      </c>
      <c r="CQ2">
        <v>90</v>
      </c>
      <c r="CR2">
        <v>91</v>
      </c>
      <c r="CS2">
        <v>92</v>
      </c>
      <c r="CT2">
        <v>93</v>
      </c>
      <c r="CU2">
        <v>94</v>
      </c>
      <c r="CV2">
        <v>95</v>
      </c>
      <c r="CW2">
        <v>96</v>
      </c>
      <c r="CX2">
        <v>97</v>
      </c>
      <c r="CY2">
        <v>98</v>
      </c>
      <c r="CZ2">
        <v>99</v>
      </c>
      <c r="DA2">
        <v>100</v>
      </c>
      <c r="DB2">
        <v>101</v>
      </c>
      <c r="DC2">
        <v>102</v>
      </c>
      <c r="DD2">
        <v>103</v>
      </c>
      <c r="DE2">
        <v>104</v>
      </c>
      <c r="DF2">
        <v>105</v>
      </c>
      <c r="DG2">
        <v>106</v>
      </c>
      <c r="DH2">
        <v>107</v>
      </c>
      <c r="DI2">
        <v>108</v>
      </c>
      <c r="DJ2">
        <v>109</v>
      </c>
      <c r="DK2">
        <v>110</v>
      </c>
      <c r="DL2">
        <v>111</v>
      </c>
      <c r="DM2">
        <v>112</v>
      </c>
      <c r="DN2">
        <v>113</v>
      </c>
      <c r="DO2">
        <v>114</v>
      </c>
      <c r="DP2">
        <v>115</v>
      </c>
      <c r="DQ2">
        <v>116</v>
      </c>
      <c r="DR2">
        <v>117</v>
      </c>
      <c r="DS2">
        <v>118</v>
      </c>
      <c r="DT2">
        <v>119</v>
      </c>
      <c r="DU2">
        <v>120</v>
      </c>
      <c r="DV2">
        <v>121</v>
      </c>
      <c r="DW2">
        <v>122</v>
      </c>
      <c r="DX2">
        <v>123</v>
      </c>
      <c r="DY2">
        <v>124</v>
      </c>
      <c r="DZ2">
        <v>125</v>
      </c>
      <c r="EA2">
        <v>126</v>
      </c>
      <c r="EB2">
        <v>127</v>
      </c>
      <c r="EC2">
        <v>128</v>
      </c>
      <c r="ED2">
        <v>129</v>
      </c>
      <c r="EE2">
        <v>130</v>
      </c>
      <c r="EF2">
        <v>131</v>
      </c>
      <c r="EG2">
        <v>132</v>
      </c>
      <c r="EH2">
        <v>133</v>
      </c>
      <c r="EI2">
        <v>134</v>
      </c>
      <c r="EJ2">
        <v>135</v>
      </c>
      <c r="EK2">
        <v>136</v>
      </c>
      <c r="EL2">
        <v>137</v>
      </c>
      <c r="EM2">
        <v>138</v>
      </c>
      <c r="EN2">
        <v>139</v>
      </c>
      <c r="EO2">
        <v>140</v>
      </c>
      <c r="EP2">
        <v>141</v>
      </c>
      <c r="EQ2">
        <v>142</v>
      </c>
    </row>
    <row r="3" spans="1:147" ht="409.5" x14ac:dyDescent="0.4">
      <c r="A3">
        <v>1</v>
      </c>
      <c r="B3" s="135">
        <v>1</v>
      </c>
      <c r="C3" s="136" t="s">
        <v>125</v>
      </c>
      <c r="F3" s="337" t="s">
        <v>125</v>
      </c>
      <c r="G3" s="336" t="s">
        <v>126</v>
      </c>
      <c r="H3" s="336" t="s">
        <v>128</v>
      </c>
      <c r="I3" s="338" t="s">
        <v>67</v>
      </c>
      <c r="J3" s="338" t="s">
        <v>68</v>
      </c>
      <c r="K3" s="336" t="s">
        <v>132</v>
      </c>
      <c r="L3" s="338" t="s">
        <v>69</v>
      </c>
      <c r="M3" s="339" t="s">
        <v>135</v>
      </c>
      <c r="N3" s="339" t="s">
        <v>136</v>
      </c>
      <c r="O3" s="340" t="s">
        <v>70</v>
      </c>
      <c r="P3" s="340" t="s">
        <v>138</v>
      </c>
      <c r="Q3" s="341" t="s">
        <v>140</v>
      </c>
      <c r="R3" s="342" t="s">
        <v>142</v>
      </c>
      <c r="S3" s="341" t="s">
        <v>71</v>
      </c>
      <c r="T3" s="343" t="s">
        <v>72</v>
      </c>
      <c r="U3" s="344" t="s">
        <v>73</v>
      </c>
      <c r="V3" s="341" t="s">
        <v>147</v>
      </c>
      <c r="W3" s="340" t="s">
        <v>149</v>
      </c>
      <c r="X3" s="340" t="s">
        <v>151</v>
      </c>
      <c r="Y3" s="340" t="s">
        <v>153</v>
      </c>
      <c r="Z3" s="340" t="s">
        <v>155</v>
      </c>
      <c r="AA3" s="340" t="s">
        <v>157</v>
      </c>
      <c r="AB3" s="340" t="s">
        <v>159</v>
      </c>
      <c r="AC3" s="345" t="s">
        <v>161</v>
      </c>
      <c r="AD3" s="346" t="s">
        <v>162</v>
      </c>
      <c r="AE3" s="337" t="s">
        <v>163</v>
      </c>
      <c r="AF3" s="347" t="s">
        <v>74</v>
      </c>
      <c r="AG3" s="348" t="s">
        <v>166</v>
      </c>
      <c r="AH3" s="349" t="s">
        <v>168</v>
      </c>
      <c r="AI3" s="337" t="s">
        <v>169</v>
      </c>
      <c r="AJ3" s="336" t="s">
        <v>170</v>
      </c>
      <c r="AK3" s="350" t="s">
        <v>171</v>
      </c>
      <c r="AL3" s="350" t="s">
        <v>174</v>
      </c>
      <c r="AM3" s="350" t="s">
        <v>177</v>
      </c>
      <c r="AN3" s="350" t="s">
        <v>320</v>
      </c>
      <c r="AO3" s="351" t="s">
        <v>179</v>
      </c>
      <c r="AP3" s="336" t="s">
        <v>180</v>
      </c>
      <c r="AQ3" s="352" t="s">
        <v>75</v>
      </c>
      <c r="AR3" s="352" t="s">
        <v>76</v>
      </c>
      <c r="AS3" s="352" t="s">
        <v>77</v>
      </c>
      <c r="AT3" s="352" t="s">
        <v>78</v>
      </c>
      <c r="AU3" s="351" t="s">
        <v>185</v>
      </c>
      <c r="AV3" s="336" t="s">
        <v>186</v>
      </c>
      <c r="AW3" s="336" t="s">
        <v>187</v>
      </c>
      <c r="AX3" s="353" t="s">
        <v>188</v>
      </c>
      <c r="AY3" s="352" t="s">
        <v>79</v>
      </c>
      <c r="AZ3" s="352" t="s">
        <v>80</v>
      </c>
      <c r="BA3" s="352" t="s">
        <v>81</v>
      </c>
      <c r="BB3" s="339" t="s">
        <v>193</v>
      </c>
      <c r="BC3" s="352" t="s">
        <v>82</v>
      </c>
      <c r="BD3" s="354" t="s">
        <v>196</v>
      </c>
      <c r="BE3" s="352" t="s">
        <v>83</v>
      </c>
      <c r="BF3" s="352" t="s">
        <v>84</v>
      </c>
      <c r="BG3" s="352" t="s">
        <v>85</v>
      </c>
      <c r="BH3" s="352" t="s">
        <v>86</v>
      </c>
      <c r="BI3" s="354" t="s">
        <v>201</v>
      </c>
      <c r="BJ3" s="352" t="s">
        <v>87</v>
      </c>
      <c r="BK3" s="352" t="s">
        <v>88</v>
      </c>
      <c r="BL3" s="352" t="s">
        <v>89</v>
      </c>
      <c r="BM3" s="352" t="s">
        <v>90</v>
      </c>
      <c r="BN3" s="339" t="s">
        <v>206</v>
      </c>
      <c r="BO3" s="352" t="s">
        <v>91</v>
      </c>
      <c r="BP3" s="352" t="s">
        <v>92</v>
      </c>
      <c r="BQ3" s="352" t="s">
        <v>93</v>
      </c>
      <c r="BR3" s="352" t="s">
        <v>94</v>
      </c>
      <c r="BS3" s="354" t="s">
        <v>211</v>
      </c>
      <c r="BT3" s="352" t="s">
        <v>95</v>
      </c>
      <c r="BU3" s="352" t="s">
        <v>96</v>
      </c>
      <c r="BV3" s="352" t="s">
        <v>97</v>
      </c>
      <c r="BW3" s="352" t="s">
        <v>98</v>
      </c>
      <c r="BX3" s="351" t="s">
        <v>216</v>
      </c>
      <c r="BY3" s="349" t="s">
        <v>217</v>
      </c>
      <c r="BZ3" s="337" t="s">
        <v>218</v>
      </c>
      <c r="CA3" s="352" t="s">
        <v>99</v>
      </c>
      <c r="CB3" s="349" t="s">
        <v>223</v>
      </c>
      <c r="CC3" s="337" t="s">
        <v>224</v>
      </c>
      <c r="CD3" s="336" t="s">
        <v>17</v>
      </c>
      <c r="CE3" s="350" t="s">
        <v>225</v>
      </c>
      <c r="CF3" s="351" t="s">
        <v>228</v>
      </c>
      <c r="CG3" s="336" t="s">
        <v>229</v>
      </c>
      <c r="CH3" s="353" t="s">
        <v>230</v>
      </c>
      <c r="CI3" s="355" t="s">
        <v>232</v>
      </c>
      <c r="CJ3" s="351" t="s">
        <v>234</v>
      </c>
      <c r="CK3" s="336" t="s">
        <v>235</v>
      </c>
      <c r="CL3" s="355" t="s">
        <v>236</v>
      </c>
      <c r="CM3" s="355" t="s">
        <v>100</v>
      </c>
      <c r="CN3" s="351" t="s">
        <v>239</v>
      </c>
      <c r="CO3" s="349" t="s">
        <v>240</v>
      </c>
      <c r="CP3" s="337" t="s">
        <v>18</v>
      </c>
      <c r="CQ3" s="339" t="s">
        <v>241</v>
      </c>
      <c r="CR3" s="356" t="s">
        <v>101</v>
      </c>
      <c r="CS3" s="356" t="s">
        <v>102</v>
      </c>
      <c r="CT3" s="356" t="s">
        <v>103</v>
      </c>
      <c r="CU3" s="350" t="s">
        <v>321</v>
      </c>
      <c r="CV3" s="350" t="s">
        <v>249</v>
      </c>
      <c r="CW3" s="351" t="s">
        <v>250</v>
      </c>
      <c r="CX3" s="339" t="s">
        <v>251</v>
      </c>
      <c r="CY3" s="343" t="s">
        <v>104</v>
      </c>
      <c r="CZ3" s="351" t="s">
        <v>254</v>
      </c>
      <c r="DA3" s="357" t="s">
        <v>255</v>
      </c>
      <c r="DB3" s="358" t="s">
        <v>19</v>
      </c>
      <c r="DC3" s="339" t="s">
        <v>256</v>
      </c>
      <c r="DD3" s="359" t="s">
        <v>105</v>
      </c>
      <c r="DE3" s="342" t="s">
        <v>106</v>
      </c>
      <c r="DF3" s="343" t="s">
        <v>107</v>
      </c>
      <c r="DG3" s="360" t="s">
        <v>322</v>
      </c>
      <c r="DH3" s="350" t="s">
        <v>265</v>
      </c>
      <c r="DI3" s="350" t="s">
        <v>267</v>
      </c>
      <c r="DJ3" s="351" t="s">
        <v>269</v>
      </c>
      <c r="DK3" s="339" t="s">
        <v>270</v>
      </c>
      <c r="DL3" s="343" t="s">
        <v>108</v>
      </c>
      <c r="DM3" s="342" t="s">
        <v>109</v>
      </c>
      <c r="DN3" s="348" t="s">
        <v>110</v>
      </c>
      <c r="DO3" s="343" t="s">
        <v>111</v>
      </c>
      <c r="DP3" s="361" t="s">
        <v>277</v>
      </c>
      <c r="DQ3" s="343" t="s">
        <v>112</v>
      </c>
      <c r="DR3" s="356" t="s">
        <v>113</v>
      </c>
      <c r="DS3" s="356" t="s">
        <v>114</v>
      </c>
      <c r="DT3" s="343" t="s">
        <v>281</v>
      </c>
      <c r="DU3" s="342" t="s">
        <v>283</v>
      </c>
      <c r="DV3" s="343" t="s">
        <v>115</v>
      </c>
      <c r="DW3" s="342" t="s">
        <v>286</v>
      </c>
      <c r="DX3" s="343" t="s">
        <v>116</v>
      </c>
      <c r="DY3" s="342" t="s">
        <v>117</v>
      </c>
      <c r="DZ3" s="343" t="s">
        <v>118</v>
      </c>
      <c r="EA3" s="350" t="s">
        <v>291</v>
      </c>
      <c r="EB3" s="361" t="s">
        <v>294</v>
      </c>
      <c r="EC3" s="362" t="s">
        <v>295</v>
      </c>
      <c r="ED3" s="350" t="s">
        <v>323</v>
      </c>
      <c r="EE3" s="353" t="s">
        <v>119</v>
      </c>
      <c r="EF3" s="361" t="s">
        <v>300</v>
      </c>
      <c r="EG3" s="343" t="s">
        <v>120</v>
      </c>
      <c r="EH3" s="342" t="s">
        <v>121</v>
      </c>
      <c r="EI3" s="361" t="s">
        <v>303</v>
      </c>
      <c r="EJ3" s="342" t="s">
        <v>122</v>
      </c>
      <c r="EK3" s="342" t="s">
        <v>123</v>
      </c>
      <c r="EL3" s="343" t="s">
        <v>306</v>
      </c>
      <c r="EM3" s="343" t="s">
        <v>124</v>
      </c>
      <c r="EN3" s="351" t="s">
        <v>310</v>
      </c>
      <c r="EO3" s="357" t="s">
        <v>311</v>
      </c>
      <c r="EP3" s="363" t="s">
        <v>20</v>
      </c>
      <c r="EQ3" s="360" t="s">
        <v>312</v>
      </c>
    </row>
    <row r="4" spans="1:147" x14ac:dyDescent="0.4">
      <c r="A4">
        <v>2</v>
      </c>
      <c r="B4" s="135">
        <v>2</v>
      </c>
      <c r="C4" s="135" t="s">
        <v>126</v>
      </c>
    </row>
    <row r="5" spans="1:147" x14ac:dyDescent="0.4">
      <c r="A5">
        <v>3</v>
      </c>
      <c r="B5" s="135">
        <v>3</v>
      </c>
      <c r="C5" s="135" t="s">
        <v>128</v>
      </c>
    </row>
    <row r="6" spans="1:147" ht="12.6" x14ac:dyDescent="0.4">
      <c r="A6">
        <v>4</v>
      </c>
      <c r="B6" s="143">
        <v>4</v>
      </c>
      <c r="C6" s="144" t="s">
        <v>67</v>
      </c>
    </row>
    <row r="7" spans="1:147" ht="12.6" x14ac:dyDescent="0.4">
      <c r="A7">
        <v>5</v>
      </c>
      <c r="B7" s="143">
        <v>5</v>
      </c>
      <c r="C7" s="144" t="s">
        <v>68</v>
      </c>
    </row>
    <row r="8" spans="1:147" x14ac:dyDescent="0.4">
      <c r="A8">
        <v>6</v>
      </c>
      <c r="B8" s="148">
        <v>6</v>
      </c>
      <c r="C8" s="148" t="s">
        <v>132</v>
      </c>
    </row>
    <row r="9" spans="1:147" ht="12.6" x14ac:dyDescent="0.4">
      <c r="A9">
        <v>7</v>
      </c>
      <c r="B9" s="135">
        <v>7</v>
      </c>
      <c r="C9" s="144" t="s">
        <v>69</v>
      </c>
    </row>
    <row r="10" spans="1:147" x14ac:dyDescent="0.4">
      <c r="A10">
        <v>8</v>
      </c>
      <c r="B10" s="135">
        <v>8</v>
      </c>
      <c r="C10" s="150" t="s">
        <v>135</v>
      </c>
    </row>
    <row r="11" spans="1:147" x14ac:dyDescent="0.4">
      <c r="A11">
        <v>9</v>
      </c>
      <c r="B11" s="135">
        <v>9</v>
      </c>
      <c r="C11" s="150" t="s">
        <v>136</v>
      </c>
    </row>
    <row r="12" spans="1:147" ht="12.6" x14ac:dyDescent="0.4">
      <c r="A12">
        <v>10</v>
      </c>
      <c r="B12" s="143">
        <v>10</v>
      </c>
      <c r="C12" s="334" t="s">
        <v>70</v>
      </c>
    </row>
    <row r="13" spans="1:147" ht="12.6" x14ac:dyDescent="0.4">
      <c r="A13">
        <v>11</v>
      </c>
      <c r="B13" s="143">
        <v>11</v>
      </c>
      <c r="C13" s="334" t="s">
        <v>138</v>
      </c>
    </row>
    <row r="14" spans="1:147" ht="25.2" x14ac:dyDescent="0.4">
      <c r="A14">
        <v>12</v>
      </c>
      <c r="B14" s="148">
        <v>12</v>
      </c>
      <c r="C14" s="333" t="s">
        <v>140</v>
      </c>
    </row>
    <row r="15" spans="1:147" ht="12.6" x14ac:dyDescent="0.4">
      <c r="A15">
        <v>13</v>
      </c>
      <c r="B15" s="135">
        <v>13</v>
      </c>
      <c r="C15" s="156" t="s">
        <v>142</v>
      </c>
    </row>
    <row r="16" spans="1:147" ht="25.2" x14ac:dyDescent="0.4">
      <c r="A16">
        <v>14</v>
      </c>
      <c r="B16" s="135">
        <v>14</v>
      </c>
      <c r="C16" s="333" t="s">
        <v>71</v>
      </c>
    </row>
    <row r="17" spans="1:3" ht="12.6" x14ac:dyDescent="0.4">
      <c r="A17">
        <v>15</v>
      </c>
      <c r="B17" s="135">
        <v>15</v>
      </c>
      <c r="C17" s="158" t="s">
        <v>72</v>
      </c>
    </row>
    <row r="18" spans="1:3" ht="25.2" x14ac:dyDescent="0.4">
      <c r="A18">
        <v>16</v>
      </c>
      <c r="B18" s="143">
        <v>16</v>
      </c>
      <c r="C18" s="335" t="s">
        <v>73</v>
      </c>
    </row>
    <row r="19" spans="1:3" ht="25.2" x14ac:dyDescent="0.4">
      <c r="A19">
        <v>17</v>
      </c>
      <c r="B19" s="135">
        <v>17</v>
      </c>
      <c r="C19" s="333" t="s">
        <v>147</v>
      </c>
    </row>
    <row r="20" spans="1:3" ht="12.6" x14ac:dyDescent="0.4">
      <c r="A20">
        <v>18</v>
      </c>
      <c r="B20" s="135">
        <v>18</v>
      </c>
      <c r="C20" s="334" t="s">
        <v>149</v>
      </c>
    </row>
    <row r="21" spans="1:3" ht="12.6" x14ac:dyDescent="0.4">
      <c r="A21">
        <v>19</v>
      </c>
      <c r="B21" s="135">
        <v>19</v>
      </c>
      <c r="C21" s="334" t="s">
        <v>151</v>
      </c>
    </row>
    <row r="22" spans="1:3" ht="12.6" x14ac:dyDescent="0.4">
      <c r="A22">
        <v>20</v>
      </c>
      <c r="B22" s="143">
        <v>20</v>
      </c>
      <c r="C22" s="334" t="s">
        <v>153</v>
      </c>
    </row>
    <row r="23" spans="1:3" ht="12.6" x14ac:dyDescent="0.4">
      <c r="A23">
        <v>21</v>
      </c>
      <c r="B23" s="143">
        <v>21</v>
      </c>
      <c r="C23" s="334" t="s">
        <v>155</v>
      </c>
    </row>
    <row r="24" spans="1:3" ht="12.6" x14ac:dyDescent="0.4">
      <c r="A24">
        <v>22</v>
      </c>
      <c r="B24" s="148">
        <v>22</v>
      </c>
      <c r="C24" s="334" t="s">
        <v>157</v>
      </c>
    </row>
    <row r="25" spans="1:3" ht="12.6" x14ac:dyDescent="0.4">
      <c r="A25">
        <v>23</v>
      </c>
      <c r="B25" s="135">
        <v>23</v>
      </c>
      <c r="C25" s="334" t="s">
        <v>159</v>
      </c>
    </row>
    <row r="26" spans="1:3" x14ac:dyDescent="0.4">
      <c r="A26">
        <v>24</v>
      </c>
      <c r="B26" s="135">
        <v>24</v>
      </c>
      <c r="C26" s="160" t="s">
        <v>161</v>
      </c>
    </row>
    <row r="27" spans="1:3" x14ac:dyDescent="0.4">
      <c r="A27">
        <v>25</v>
      </c>
      <c r="B27" s="135">
        <v>25</v>
      </c>
      <c r="C27" s="164" t="s">
        <v>162</v>
      </c>
    </row>
    <row r="28" spans="1:3" ht="12.6" x14ac:dyDescent="0.4">
      <c r="A28">
        <v>26</v>
      </c>
      <c r="B28" s="143">
        <v>26</v>
      </c>
      <c r="C28" s="136" t="s">
        <v>163</v>
      </c>
    </row>
    <row r="29" spans="1:3" ht="12.6" x14ac:dyDescent="0.4">
      <c r="A29">
        <v>27</v>
      </c>
      <c r="B29" s="135">
        <v>27</v>
      </c>
      <c r="C29" s="169" t="s">
        <v>74</v>
      </c>
    </row>
    <row r="30" spans="1:3" ht="12.6" x14ac:dyDescent="0.4">
      <c r="A30">
        <v>28</v>
      </c>
      <c r="B30" s="135">
        <v>28</v>
      </c>
      <c r="C30" s="171" t="s">
        <v>166</v>
      </c>
    </row>
    <row r="31" spans="1:3" x14ac:dyDescent="0.4">
      <c r="A31">
        <v>29</v>
      </c>
      <c r="B31" s="135">
        <v>29</v>
      </c>
      <c r="C31" s="172" t="s">
        <v>168</v>
      </c>
    </row>
    <row r="32" spans="1:3" ht="12.6" x14ac:dyDescent="0.4">
      <c r="A32">
        <v>30</v>
      </c>
      <c r="B32" s="143">
        <v>30</v>
      </c>
      <c r="C32" s="136" t="s">
        <v>169</v>
      </c>
    </row>
    <row r="33" spans="1:3" ht="12.6" x14ac:dyDescent="0.4">
      <c r="A33">
        <v>31</v>
      </c>
      <c r="B33" s="143">
        <v>31</v>
      </c>
      <c r="C33" s="148" t="s">
        <v>170</v>
      </c>
    </row>
    <row r="34" spans="1:3" ht="12.6" x14ac:dyDescent="0.4">
      <c r="A34">
        <v>32</v>
      </c>
      <c r="B34" s="148">
        <v>32</v>
      </c>
      <c r="C34" s="174" t="s">
        <v>171</v>
      </c>
    </row>
    <row r="35" spans="1:3" ht="12.6" x14ac:dyDescent="0.4">
      <c r="A35">
        <v>33</v>
      </c>
      <c r="B35" s="135">
        <v>33</v>
      </c>
      <c r="C35" s="174" t="s">
        <v>174</v>
      </c>
    </row>
    <row r="36" spans="1:3" ht="12.6" x14ac:dyDescent="0.4">
      <c r="A36">
        <v>34</v>
      </c>
      <c r="B36" s="135">
        <v>34</v>
      </c>
      <c r="C36" s="174" t="s">
        <v>177</v>
      </c>
    </row>
    <row r="37" spans="1:3" ht="12.6" x14ac:dyDescent="0.4">
      <c r="A37" t="s">
        <v>319</v>
      </c>
      <c r="B37" s="135">
        <v>35</v>
      </c>
      <c r="C37" s="174" t="s">
        <v>320</v>
      </c>
    </row>
    <row r="38" spans="1:3" ht="12.6" x14ac:dyDescent="0.4">
      <c r="A38">
        <v>35</v>
      </c>
      <c r="B38" s="143">
        <v>36</v>
      </c>
      <c r="C38" s="161" t="s">
        <v>179</v>
      </c>
    </row>
    <row r="39" spans="1:3" x14ac:dyDescent="0.4">
      <c r="A39">
        <v>36</v>
      </c>
      <c r="B39" s="135">
        <v>37</v>
      </c>
      <c r="C39" s="148" t="s">
        <v>180</v>
      </c>
    </row>
    <row r="40" spans="1:3" ht="12.6" x14ac:dyDescent="0.4">
      <c r="A40">
        <v>37</v>
      </c>
      <c r="B40" s="135">
        <v>38</v>
      </c>
      <c r="C40" s="177" t="s">
        <v>75</v>
      </c>
    </row>
    <row r="41" spans="1:3" ht="12.6" x14ac:dyDescent="0.4">
      <c r="A41">
        <v>38</v>
      </c>
      <c r="B41" s="135">
        <v>39</v>
      </c>
      <c r="C41" s="177" t="s">
        <v>76</v>
      </c>
    </row>
    <row r="42" spans="1:3" ht="12.6" x14ac:dyDescent="0.4">
      <c r="A42">
        <v>39</v>
      </c>
      <c r="B42" s="143">
        <v>40</v>
      </c>
      <c r="C42" s="177" t="s">
        <v>77</v>
      </c>
    </row>
    <row r="43" spans="1:3" ht="12.6" x14ac:dyDescent="0.4">
      <c r="A43">
        <v>40</v>
      </c>
      <c r="B43" s="143">
        <v>41</v>
      </c>
      <c r="C43" s="177" t="s">
        <v>78</v>
      </c>
    </row>
    <row r="44" spans="1:3" x14ac:dyDescent="0.4">
      <c r="A44">
        <v>41</v>
      </c>
      <c r="B44" s="148">
        <v>42</v>
      </c>
      <c r="C44" s="161" t="s">
        <v>185</v>
      </c>
    </row>
    <row r="45" spans="1:3" x14ac:dyDescent="0.4">
      <c r="A45">
        <v>42</v>
      </c>
      <c r="B45" s="135">
        <v>43</v>
      </c>
      <c r="C45" s="148" t="s">
        <v>186</v>
      </c>
    </row>
    <row r="46" spans="1:3" x14ac:dyDescent="0.4">
      <c r="A46">
        <v>43</v>
      </c>
      <c r="B46" s="135">
        <v>44</v>
      </c>
      <c r="C46" s="148" t="s">
        <v>187</v>
      </c>
    </row>
    <row r="47" spans="1:3" ht="12.6" x14ac:dyDescent="0.4">
      <c r="A47">
        <v>44</v>
      </c>
      <c r="B47" s="135">
        <v>45</v>
      </c>
      <c r="C47" s="182" t="s">
        <v>188</v>
      </c>
    </row>
    <row r="48" spans="1:3" ht="12.6" x14ac:dyDescent="0.4">
      <c r="A48">
        <v>45</v>
      </c>
      <c r="B48" s="135">
        <v>46</v>
      </c>
      <c r="C48" s="177" t="s">
        <v>79</v>
      </c>
    </row>
    <row r="49" spans="1:3" ht="12.6" x14ac:dyDescent="0.4">
      <c r="A49">
        <v>46</v>
      </c>
      <c r="B49" s="135">
        <v>47</v>
      </c>
      <c r="C49" s="177" t="s">
        <v>80</v>
      </c>
    </row>
    <row r="50" spans="1:3" ht="12.6" x14ac:dyDescent="0.4">
      <c r="A50">
        <v>47</v>
      </c>
      <c r="B50" s="143">
        <v>48</v>
      </c>
      <c r="C50" s="177" t="s">
        <v>81</v>
      </c>
    </row>
    <row r="51" spans="1:3" ht="12.6" x14ac:dyDescent="0.4">
      <c r="A51">
        <v>48</v>
      </c>
      <c r="B51" s="143">
        <v>49</v>
      </c>
      <c r="C51" s="150" t="s">
        <v>193</v>
      </c>
    </row>
    <row r="52" spans="1:3" ht="12.6" x14ac:dyDescent="0.4">
      <c r="A52">
        <v>49</v>
      </c>
      <c r="B52" s="148">
        <v>50</v>
      </c>
      <c r="C52" s="177" t="s">
        <v>82</v>
      </c>
    </row>
    <row r="53" spans="1:3" x14ac:dyDescent="0.4">
      <c r="A53">
        <v>50</v>
      </c>
      <c r="B53" s="135">
        <v>51</v>
      </c>
      <c r="C53" s="183" t="s">
        <v>196</v>
      </c>
    </row>
    <row r="54" spans="1:3" ht="12.6" x14ac:dyDescent="0.4">
      <c r="A54">
        <v>51</v>
      </c>
      <c r="B54" s="135">
        <v>52</v>
      </c>
      <c r="C54" s="177" t="s">
        <v>83</v>
      </c>
    </row>
    <row r="55" spans="1:3" ht="12.6" x14ac:dyDescent="0.4">
      <c r="A55">
        <v>52</v>
      </c>
      <c r="B55" s="135">
        <v>53</v>
      </c>
      <c r="C55" s="177" t="s">
        <v>84</v>
      </c>
    </row>
    <row r="56" spans="1:3" ht="12.6" x14ac:dyDescent="0.4">
      <c r="A56">
        <v>53</v>
      </c>
      <c r="B56" s="143">
        <v>54</v>
      </c>
      <c r="C56" s="177" t="s">
        <v>85</v>
      </c>
    </row>
    <row r="57" spans="1:3" ht="12.6" x14ac:dyDescent="0.4">
      <c r="A57">
        <v>54</v>
      </c>
      <c r="B57" s="143">
        <v>55</v>
      </c>
      <c r="C57" s="177" t="s">
        <v>86</v>
      </c>
    </row>
    <row r="58" spans="1:3" x14ac:dyDescent="0.4">
      <c r="A58">
        <v>55</v>
      </c>
      <c r="B58" s="148">
        <v>56</v>
      </c>
      <c r="C58" s="183" t="s">
        <v>201</v>
      </c>
    </row>
    <row r="59" spans="1:3" ht="12.6" x14ac:dyDescent="0.4">
      <c r="A59">
        <v>56</v>
      </c>
      <c r="B59" s="135">
        <v>57</v>
      </c>
      <c r="C59" s="177" t="s">
        <v>87</v>
      </c>
    </row>
    <row r="60" spans="1:3" ht="12.6" x14ac:dyDescent="0.4">
      <c r="A60">
        <v>57</v>
      </c>
      <c r="B60" s="135">
        <v>58</v>
      </c>
      <c r="C60" s="177" t="s">
        <v>88</v>
      </c>
    </row>
    <row r="61" spans="1:3" ht="12.6" x14ac:dyDescent="0.4">
      <c r="A61">
        <v>58</v>
      </c>
      <c r="B61" s="135">
        <v>59</v>
      </c>
      <c r="C61" s="177" t="s">
        <v>89</v>
      </c>
    </row>
    <row r="62" spans="1:3" ht="12.6" x14ac:dyDescent="0.4">
      <c r="A62">
        <v>59</v>
      </c>
      <c r="B62" s="135">
        <v>60</v>
      </c>
      <c r="C62" s="177" t="s">
        <v>90</v>
      </c>
    </row>
    <row r="63" spans="1:3" x14ac:dyDescent="0.4">
      <c r="A63">
        <v>60</v>
      </c>
      <c r="B63" s="135">
        <v>61</v>
      </c>
      <c r="C63" s="150" t="s">
        <v>206</v>
      </c>
    </row>
    <row r="64" spans="1:3" ht="12.6" x14ac:dyDescent="0.4">
      <c r="A64">
        <v>61</v>
      </c>
      <c r="B64" s="143">
        <v>62</v>
      </c>
      <c r="C64" s="177" t="s">
        <v>91</v>
      </c>
    </row>
    <row r="65" spans="1:3" ht="12.6" x14ac:dyDescent="0.4">
      <c r="A65">
        <v>62</v>
      </c>
      <c r="B65" s="143">
        <v>63</v>
      </c>
      <c r="C65" s="177" t="s">
        <v>92</v>
      </c>
    </row>
    <row r="66" spans="1:3" ht="12.6" x14ac:dyDescent="0.4">
      <c r="A66">
        <v>63</v>
      </c>
      <c r="B66" s="148">
        <v>64</v>
      </c>
      <c r="C66" s="177" t="s">
        <v>93</v>
      </c>
    </row>
    <row r="67" spans="1:3" ht="12.6" x14ac:dyDescent="0.4">
      <c r="A67">
        <v>64</v>
      </c>
      <c r="B67" s="135">
        <v>65</v>
      </c>
      <c r="C67" s="177" t="s">
        <v>94</v>
      </c>
    </row>
    <row r="68" spans="1:3" x14ac:dyDescent="0.4">
      <c r="A68">
        <v>65</v>
      </c>
      <c r="B68" s="135">
        <v>66</v>
      </c>
      <c r="C68" s="183" t="s">
        <v>211</v>
      </c>
    </row>
    <row r="69" spans="1:3" ht="12.6" x14ac:dyDescent="0.4">
      <c r="A69">
        <v>66</v>
      </c>
      <c r="B69" s="135">
        <v>67</v>
      </c>
      <c r="C69" s="177" t="s">
        <v>95</v>
      </c>
    </row>
    <row r="70" spans="1:3" ht="12.6" x14ac:dyDescent="0.4">
      <c r="A70">
        <v>67</v>
      </c>
      <c r="B70" s="143">
        <v>68</v>
      </c>
      <c r="C70" s="177" t="s">
        <v>96</v>
      </c>
    </row>
    <row r="71" spans="1:3" ht="12.6" x14ac:dyDescent="0.4">
      <c r="A71">
        <v>68</v>
      </c>
      <c r="B71" s="143">
        <v>69</v>
      </c>
      <c r="C71" s="177" t="s">
        <v>97</v>
      </c>
    </row>
    <row r="72" spans="1:3" ht="12.6" x14ac:dyDescent="0.4">
      <c r="A72">
        <v>69</v>
      </c>
      <c r="B72" s="148">
        <v>70</v>
      </c>
      <c r="C72" s="177" t="s">
        <v>98</v>
      </c>
    </row>
    <row r="73" spans="1:3" x14ac:dyDescent="0.4">
      <c r="A73">
        <v>70</v>
      </c>
      <c r="B73" s="135">
        <v>71</v>
      </c>
      <c r="C73" s="161" t="s">
        <v>216</v>
      </c>
    </row>
    <row r="74" spans="1:3" x14ac:dyDescent="0.4">
      <c r="A74">
        <v>71</v>
      </c>
      <c r="B74" s="135">
        <v>72</v>
      </c>
      <c r="C74" s="172" t="s">
        <v>217</v>
      </c>
    </row>
    <row r="75" spans="1:3" x14ac:dyDescent="0.4">
      <c r="A75">
        <v>72</v>
      </c>
      <c r="B75" s="135">
        <v>73</v>
      </c>
      <c r="C75" s="136" t="s">
        <v>218</v>
      </c>
    </row>
    <row r="76" spans="1:3" ht="12.6" x14ac:dyDescent="0.4">
      <c r="A76">
        <v>73</v>
      </c>
      <c r="B76" s="143">
        <v>74</v>
      </c>
      <c r="C76" s="177" t="s">
        <v>99</v>
      </c>
    </row>
    <row r="77" spans="1:3" x14ac:dyDescent="0.4">
      <c r="A77">
        <v>74</v>
      </c>
      <c r="B77" s="135">
        <v>75</v>
      </c>
      <c r="C77" s="172" t="s">
        <v>223</v>
      </c>
    </row>
    <row r="78" spans="1:3" x14ac:dyDescent="0.4">
      <c r="A78">
        <v>75</v>
      </c>
      <c r="B78" s="135">
        <v>76</v>
      </c>
      <c r="C78" s="136" t="s">
        <v>224</v>
      </c>
    </row>
    <row r="79" spans="1:3" x14ac:dyDescent="0.4">
      <c r="A79">
        <v>76</v>
      </c>
      <c r="B79" s="135">
        <v>77</v>
      </c>
      <c r="C79" s="148" t="s">
        <v>17</v>
      </c>
    </row>
    <row r="80" spans="1:3" ht="12.6" x14ac:dyDescent="0.4">
      <c r="A80">
        <v>77</v>
      </c>
      <c r="B80" s="143">
        <v>78</v>
      </c>
      <c r="C80" s="174" t="s">
        <v>225</v>
      </c>
    </row>
    <row r="81" spans="1:3" ht="12.6" x14ac:dyDescent="0.4">
      <c r="A81">
        <v>78</v>
      </c>
      <c r="B81" s="143">
        <v>79</v>
      </c>
      <c r="C81" s="161" t="s">
        <v>228</v>
      </c>
    </row>
    <row r="82" spans="1:3" x14ac:dyDescent="0.4">
      <c r="A82">
        <v>79</v>
      </c>
      <c r="B82" s="135">
        <v>80</v>
      </c>
      <c r="C82" s="148" t="s">
        <v>229</v>
      </c>
    </row>
    <row r="83" spans="1:3" ht="12.6" x14ac:dyDescent="0.4">
      <c r="A83">
        <v>80</v>
      </c>
      <c r="B83" s="135">
        <v>81</v>
      </c>
      <c r="C83" s="182" t="s">
        <v>230</v>
      </c>
    </row>
    <row r="84" spans="1:3" ht="12.6" x14ac:dyDescent="0.4">
      <c r="A84">
        <v>81</v>
      </c>
      <c r="B84" s="135">
        <v>82</v>
      </c>
      <c r="C84" s="187" t="s">
        <v>232</v>
      </c>
    </row>
    <row r="85" spans="1:3" ht="12.6" x14ac:dyDescent="0.4">
      <c r="A85">
        <v>82</v>
      </c>
      <c r="B85" s="143">
        <v>83</v>
      </c>
      <c r="C85" s="161" t="s">
        <v>234</v>
      </c>
    </row>
    <row r="86" spans="1:3" ht="12.6" x14ac:dyDescent="0.4">
      <c r="A86">
        <v>83</v>
      </c>
      <c r="B86" s="143">
        <v>84</v>
      </c>
      <c r="C86" s="148" t="s">
        <v>235</v>
      </c>
    </row>
    <row r="87" spans="1:3" ht="12.6" x14ac:dyDescent="0.4">
      <c r="A87">
        <v>84</v>
      </c>
      <c r="B87" s="148">
        <v>85</v>
      </c>
      <c r="C87" s="187" t="s">
        <v>236</v>
      </c>
    </row>
    <row r="88" spans="1:3" ht="25.2" x14ac:dyDescent="0.4">
      <c r="A88">
        <v>85</v>
      </c>
      <c r="B88" s="135">
        <v>86</v>
      </c>
      <c r="C88" s="187" t="s">
        <v>100</v>
      </c>
    </row>
    <row r="89" spans="1:3" x14ac:dyDescent="0.4">
      <c r="A89">
        <v>86</v>
      </c>
      <c r="B89" s="135">
        <v>87</v>
      </c>
      <c r="C89" s="161" t="s">
        <v>239</v>
      </c>
    </row>
    <row r="90" spans="1:3" x14ac:dyDescent="0.4">
      <c r="A90">
        <v>87</v>
      </c>
      <c r="B90" s="135">
        <v>88</v>
      </c>
      <c r="C90" s="172" t="s">
        <v>240</v>
      </c>
    </row>
    <row r="91" spans="1:3" ht="12.6" x14ac:dyDescent="0.4">
      <c r="A91">
        <v>88</v>
      </c>
      <c r="B91" s="143">
        <v>89</v>
      </c>
      <c r="C91" s="136" t="s">
        <v>18</v>
      </c>
    </row>
    <row r="92" spans="1:3" ht="12.6" x14ac:dyDescent="0.4">
      <c r="A92">
        <v>89</v>
      </c>
      <c r="B92" s="143">
        <v>90</v>
      </c>
      <c r="C92" s="150" t="s">
        <v>241</v>
      </c>
    </row>
    <row r="93" spans="1:3" ht="12.6" x14ac:dyDescent="0.4">
      <c r="A93">
        <v>90</v>
      </c>
      <c r="B93" s="148">
        <v>91</v>
      </c>
      <c r="C93" s="188" t="s">
        <v>101</v>
      </c>
    </row>
    <row r="94" spans="1:3" ht="12.6" x14ac:dyDescent="0.4">
      <c r="A94">
        <v>91</v>
      </c>
      <c r="B94" s="135">
        <v>92</v>
      </c>
      <c r="C94" s="188" t="s">
        <v>102</v>
      </c>
    </row>
    <row r="95" spans="1:3" ht="12.6" x14ac:dyDescent="0.4">
      <c r="A95">
        <v>92</v>
      </c>
      <c r="B95" s="135">
        <v>93</v>
      </c>
      <c r="C95" s="188" t="s">
        <v>103</v>
      </c>
    </row>
    <row r="96" spans="1:3" ht="12.6" x14ac:dyDescent="0.4">
      <c r="A96">
        <v>93</v>
      </c>
      <c r="B96" s="135">
        <v>94</v>
      </c>
      <c r="C96" s="174" t="s">
        <v>321</v>
      </c>
    </row>
    <row r="97" spans="1:3" ht="12.6" x14ac:dyDescent="0.4">
      <c r="A97">
        <v>139</v>
      </c>
      <c r="B97" s="143">
        <v>95</v>
      </c>
      <c r="C97" s="364" t="s">
        <v>249</v>
      </c>
    </row>
    <row r="98" spans="1:3" x14ac:dyDescent="0.4">
      <c r="A98">
        <v>94</v>
      </c>
      <c r="B98" s="135">
        <v>96</v>
      </c>
      <c r="C98" s="161" t="s">
        <v>250</v>
      </c>
    </row>
    <row r="99" spans="1:3" x14ac:dyDescent="0.4">
      <c r="A99">
        <v>95</v>
      </c>
      <c r="B99" s="135">
        <v>97</v>
      </c>
      <c r="C99" s="150" t="s">
        <v>251</v>
      </c>
    </row>
    <row r="100" spans="1:3" ht="12.6" x14ac:dyDescent="0.4">
      <c r="A100">
        <v>96</v>
      </c>
      <c r="B100" s="135">
        <v>98</v>
      </c>
      <c r="C100" s="158" t="s">
        <v>104</v>
      </c>
    </row>
    <row r="101" spans="1:3" ht="12.6" x14ac:dyDescent="0.4">
      <c r="A101">
        <v>97</v>
      </c>
      <c r="B101" s="143">
        <v>99</v>
      </c>
      <c r="C101" s="161" t="s">
        <v>254</v>
      </c>
    </row>
    <row r="102" spans="1:3" ht="12.6" x14ac:dyDescent="0.4">
      <c r="A102">
        <v>98</v>
      </c>
      <c r="B102" s="143">
        <v>100</v>
      </c>
      <c r="C102" s="189" t="s">
        <v>255</v>
      </c>
    </row>
    <row r="103" spans="1:3" x14ac:dyDescent="0.4">
      <c r="A103">
        <v>99</v>
      </c>
      <c r="B103" s="148">
        <v>101</v>
      </c>
      <c r="C103" s="193" t="s">
        <v>19</v>
      </c>
    </row>
    <row r="104" spans="1:3" x14ac:dyDescent="0.4">
      <c r="A104">
        <v>100</v>
      </c>
      <c r="B104" s="135">
        <v>102</v>
      </c>
      <c r="C104" s="150" t="s">
        <v>256</v>
      </c>
    </row>
    <row r="105" spans="1:3" ht="12.6" x14ac:dyDescent="0.4">
      <c r="A105">
        <v>101</v>
      </c>
      <c r="B105" s="135">
        <v>103</v>
      </c>
      <c r="C105" s="194" t="s">
        <v>105</v>
      </c>
    </row>
    <row r="106" spans="1:3" ht="12.6" x14ac:dyDescent="0.4">
      <c r="A106">
        <v>102</v>
      </c>
      <c r="B106" s="135">
        <v>104</v>
      </c>
      <c r="C106" s="156" t="s">
        <v>106</v>
      </c>
    </row>
    <row r="107" spans="1:3" ht="12.6" x14ac:dyDescent="0.4">
      <c r="A107">
        <v>103</v>
      </c>
      <c r="B107" s="143">
        <v>105</v>
      </c>
      <c r="C107" s="158" t="s">
        <v>107</v>
      </c>
    </row>
    <row r="108" spans="1:3" ht="12.6" x14ac:dyDescent="0.4">
      <c r="A108">
        <v>139</v>
      </c>
      <c r="B108" s="143">
        <v>106</v>
      </c>
      <c r="C108" s="365" t="s">
        <v>324</v>
      </c>
    </row>
    <row r="109" spans="1:3" ht="12.6" x14ac:dyDescent="0.4">
      <c r="A109">
        <v>104</v>
      </c>
      <c r="B109" s="148">
        <v>107</v>
      </c>
      <c r="C109" s="174" t="s">
        <v>265</v>
      </c>
    </row>
    <row r="110" spans="1:3" ht="12.6" x14ac:dyDescent="0.4">
      <c r="A110">
        <v>105</v>
      </c>
      <c r="B110" s="135">
        <v>108</v>
      </c>
      <c r="C110" s="174" t="s">
        <v>267</v>
      </c>
    </row>
    <row r="111" spans="1:3" x14ac:dyDescent="0.4">
      <c r="A111">
        <v>106</v>
      </c>
      <c r="B111" s="135">
        <v>109</v>
      </c>
      <c r="C111" s="161" t="s">
        <v>269</v>
      </c>
    </row>
    <row r="112" spans="1:3" x14ac:dyDescent="0.4">
      <c r="A112">
        <v>107</v>
      </c>
      <c r="B112" s="135">
        <v>110</v>
      </c>
      <c r="C112" s="150" t="s">
        <v>270</v>
      </c>
    </row>
    <row r="113" spans="1:3" ht="12.6" x14ac:dyDescent="0.4">
      <c r="A113">
        <v>108</v>
      </c>
      <c r="B113" s="135">
        <v>111</v>
      </c>
      <c r="C113" s="158" t="s">
        <v>108</v>
      </c>
    </row>
    <row r="114" spans="1:3" ht="12.6" x14ac:dyDescent="0.4">
      <c r="A114">
        <v>109</v>
      </c>
      <c r="B114" s="135">
        <v>112</v>
      </c>
      <c r="C114" s="156" t="s">
        <v>109</v>
      </c>
    </row>
    <row r="115" spans="1:3" ht="12.6" x14ac:dyDescent="0.4">
      <c r="A115">
        <v>110</v>
      </c>
      <c r="B115" s="135">
        <v>113</v>
      </c>
      <c r="C115" s="171" t="s">
        <v>110</v>
      </c>
    </row>
    <row r="116" spans="1:3" ht="12.6" x14ac:dyDescent="0.4">
      <c r="A116">
        <v>111</v>
      </c>
      <c r="B116" s="143">
        <v>114</v>
      </c>
      <c r="C116" s="158" t="s">
        <v>111</v>
      </c>
    </row>
    <row r="117" spans="1:3" ht="24.6" x14ac:dyDescent="0.4">
      <c r="A117">
        <v>112</v>
      </c>
      <c r="B117" s="143">
        <v>115</v>
      </c>
      <c r="C117" s="196" t="s">
        <v>277</v>
      </c>
    </row>
    <row r="118" spans="1:3" ht="12.6" x14ac:dyDescent="0.4">
      <c r="A118">
        <v>113</v>
      </c>
      <c r="B118" s="148">
        <v>116</v>
      </c>
      <c r="C118" s="158" t="s">
        <v>112</v>
      </c>
    </row>
    <row r="119" spans="1:3" ht="12.6" x14ac:dyDescent="0.4">
      <c r="A119">
        <v>114</v>
      </c>
      <c r="B119" s="135">
        <v>117</v>
      </c>
      <c r="C119" s="188" t="s">
        <v>113</v>
      </c>
    </row>
    <row r="120" spans="1:3" ht="12.6" x14ac:dyDescent="0.4">
      <c r="A120">
        <v>115</v>
      </c>
      <c r="B120" s="135">
        <v>118</v>
      </c>
      <c r="C120" s="188" t="s">
        <v>114</v>
      </c>
    </row>
    <row r="121" spans="1:3" ht="12.6" x14ac:dyDescent="0.4">
      <c r="A121">
        <v>116</v>
      </c>
      <c r="B121" s="135">
        <v>119</v>
      </c>
      <c r="C121" s="158" t="s">
        <v>281</v>
      </c>
    </row>
    <row r="122" spans="1:3" ht="12.6" x14ac:dyDescent="0.4">
      <c r="A122">
        <v>117</v>
      </c>
      <c r="B122" s="143">
        <v>120</v>
      </c>
      <c r="C122" s="156" t="s">
        <v>283</v>
      </c>
    </row>
    <row r="123" spans="1:3" ht="12.6" x14ac:dyDescent="0.4">
      <c r="A123">
        <v>118</v>
      </c>
      <c r="B123" s="143">
        <v>121</v>
      </c>
      <c r="C123" s="158" t="s">
        <v>115</v>
      </c>
    </row>
    <row r="124" spans="1:3" ht="12.6" x14ac:dyDescent="0.4">
      <c r="A124">
        <v>119</v>
      </c>
      <c r="B124" s="148">
        <v>122</v>
      </c>
      <c r="C124" s="156" t="s">
        <v>286</v>
      </c>
    </row>
    <row r="125" spans="1:3" ht="12.6" x14ac:dyDescent="0.4">
      <c r="A125">
        <v>120</v>
      </c>
      <c r="B125" s="135">
        <v>123</v>
      </c>
      <c r="C125" s="158" t="s">
        <v>116</v>
      </c>
    </row>
    <row r="126" spans="1:3" ht="12.6" x14ac:dyDescent="0.4">
      <c r="A126">
        <v>121</v>
      </c>
      <c r="B126" s="135">
        <v>124</v>
      </c>
      <c r="C126" s="156" t="s">
        <v>117</v>
      </c>
    </row>
    <row r="127" spans="1:3" ht="12.6" x14ac:dyDescent="0.4">
      <c r="A127">
        <v>122</v>
      </c>
      <c r="B127" s="135">
        <v>125</v>
      </c>
      <c r="C127" s="158" t="s">
        <v>118</v>
      </c>
    </row>
    <row r="128" spans="1:3" ht="12.6" x14ac:dyDescent="0.4">
      <c r="A128">
        <v>123</v>
      </c>
      <c r="B128" s="143">
        <v>126</v>
      </c>
      <c r="C128" s="174" t="s">
        <v>291</v>
      </c>
    </row>
    <row r="129" spans="1:3" ht="24.6" x14ac:dyDescent="0.4">
      <c r="A129">
        <v>124</v>
      </c>
      <c r="B129" s="135">
        <v>127</v>
      </c>
      <c r="C129" s="196" t="s">
        <v>294</v>
      </c>
    </row>
    <row r="130" spans="1:3" ht="24.6" x14ac:dyDescent="0.4">
      <c r="A130">
        <v>125</v>
      </c>
      <c r="B130" s="135">
        <v>128</v>
      </c>
      <c r="C130" s="203" t="s">
        <v>295</v>
      </c>
    </row>
    <row r="131" spans="1:3" ht="12.6" x14ac:dyDescent="0.4">
      <c r="A131">
        <v>126</v>
      </c>
      <c r="B131" s="135">
        <v>129</v>
      </c>
      <c r="C131" s="174" t="s">
        <v>323</v>
      </c>
    </row>
    <row r="132" spans="1:3" ht="12.6" x14ac:dyDescent="0.4">
      <c r="A132">
        <v>127</v>
      </c>
      <c r="B132" s="135">
        <v>130</v>
      </c>
      <c r="C132" s="182" t="s">
        <v>119</v>
      </c>
    </row>
    <row r="133" spans="1:3" ht="12.6" x14ac:dyDescent="0.4">
      <c r="A133">
        <v>128</v>
      </c>
      <c r="B133" s="143">
        <v>131</v>
      </c>
      <c r="C133" s="196" t="s">
        <v>300</v>
      </c>
    </row>
    <row r="134" spans="1:3" ht="12.6" x14ac:dyDescent="0.4">
      <c r="A134">
        <v>129</v>
      </c>
      <c r="B134" s="143">
        <v>132</v>
      </c>
      <c r="C134" s="158" t="s">
        <v>120</v>
      </c>
    </row>
    <row r="135" spans="1:3" ht="12.6" x14ac:dyDescent="0.4">
      <c r="A135">
        <v>130</v>
      </c>
      <c r="B135" s="148">
        <v>133</v>
      </c>
      <c r="C135" s="156" t="s">
        <v>121</v>
      </c>
    </row>
    <row r="136" spans="1:3" x14ac:dyDescent="0.4">
      <c r="A136">
        <v>131</v>
      </c>
      <c r="B136" s="135">
        <v>134</v>
      </c>
      <c r="C136" s="196" t="s">
        <v>303</v>
      </c>
    </row>
    <row r="137" spans="1:3" ht="12.6" x14ac:dyDescent="0.4">
      <c r="A137">
        <v>132</v>
      </c>
      <c r="B137" s="135">
        <v>135</v>
      </c>
      <c r="C137" s="156" t="s">
        <v>122</v>
      </c>
    </row>
    <row r="138" spans="1:3" ht="12.6" x14ac:dyDescent="0.4">
      <c r="A138">
        <v>133</v>
      </c>
      <c r="B138" s="135">
        <v>136</v>
      </c>
      <c r="C138" s="156" t="s">
        <v>123</v>
      </c>
    </row>
    <row r="139" spans="1:3" ht="12.6" x14ac:dyDescent="0.4">
      <c r="A139">
        <v>134</v>
      </c>
      <c r="B139" s="143">
        <v>137</v>
      </c>
      <c r="C139" s="158" t="s">
        <v>306</v>
      </c>
    </row>
    <row r="140" spans="1:3" ht="12.6" x14ac:dyDescent="0.4">
      <c r="A140">
        <v>135</v>
      </c>
      <c r="B140" s="143">
        <v>138</v>
      </c>
      <c r="C140" s="158" t="s">
        <v>124</v>
      </c>
    </row>
    <row r="141" spans="1:3" x14ac:dyDescent="0.4">
      <c r="A141">
        <v>136</v>
      </c>
      <c r="B141" s="148">
        <v>139</v>
      </c>
      <c r="C141" s="161" t="s">
        <v>310</v>
      </c>
    </row>
    <row r="142" spans="1:3" x14ac:dyDescent="0.4">
      <c r="A142">
        <v>137</v>
      </c>
      <c r="B142" s="135">
        <v>140</v>
      </c>
      <c r="C142" s="189" t="s">
        <v>311</v>
      </c>
    </row>
    <row r="143" spans="1:3" x14ac:dyDescent="0.4">
      <c r="A143">
        <v>138</v>
      </c>
      <c r="B143" s="135">
        <v>141</v>
      </c>
      <c r="C143" s="206" t="s">
        <v>20</v>
      </c>
    </row>
    <row r="144" spans="1:3" ht="12.6" x14ac:dyDescent="0.4">
      <c r="A144">
        <v>140</v>
      </c>
      <c r="B144" s="135">
        <v>142</v>
      </c>
      <c r="C144" s="211" t="s">
        <v>312</v>
      </c>
    </row>
  </sheetData>
  <conditionalFormatting sqref="A3:A144">
    <cfRule type="duplicateValues" dxfId="2" priority="2"/>
  </conditionalFormatting>
  <conditionalFormatting sqref="B3:B144">
    <cfRule type="duplicateValues" dxfId="1" priority="3"/>
  </conditionalFormatting>
  <conditionalFormatting sqref="F1:EQ1">
    <cfRule type="duplicateValues" dxfId="0"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5EDE9-0EF6-47B7-8B58-24CAB8405904}">
  <dimension ref="A1:AO108"/>
  <sheetViews>
    <sheetView topLeftCell="A54" zoomScale="50" zoomScaleNormal="50" workbookViewId="0">
      <pane xSplit="1" topLeftCell="B1" activePane="topRight" state="frozen"/>
      <selection activeCell="I1" sqref="I1"/>
      <selection pane="topRight" activeCell="A89" sqref="A89:XFD89"/>
    </sheetView>
  </sheetViews>
  <sheetFormatPr defaultColWidth="10.83203125" defaultRowHeight="12.3" outlineLevelRow="1" outlineLevelCol="1" x14ac:dyDescent="0.4"/>
  <cols>
    <col min="1" max="1" width="49.1640625" style="26" customWidth="1"/>
    <col min="2" max="2" width="21.1640625" style="26" customWidth="1"/>
    <col min="3" max="5" width="25" style="26" hidden="1" customWidth="1"/>
    <col min="6" max="6" width="25" style="26" customWidth="1" outlineLevel="1" collapsed="1"/>
    <col min="7" max="17" width="25" style="26" customWidth="1" outlineLevel="1"/>
    <col min="18" max="18" width="25" style="26" customWidth="1"/>
    <col min="19" max="19" width="22.1640625" style="26" customWidth="1"/>
    <col min="20" max="20" width="21.1640625" style="26" customWidth="1"/>
    <col min="21" max="21" width="16.71875" style="26" customWidth="1"/>
    <col min="22" max="22" width="15" style="26" customWidth="1"/>
    <col min="23" max="27" width="15.83203125" style="26" hidden="1" customWidth="1"/>
    <col min="28" max="28" width="19.5546875" style="76" hidden="1" customWidth="1"/>
    <col min="29" max="32" width="11.83203125" style="76" hidden="1" customWidth="1"/>
    <col min="33" max="33" width="12.83203125" style="26" hidden="1" customWidth="1"/>
    <col min="34" max="34" width="10.83203125" style="26" hidden="1" customWidth="1"/>
    <col min="35" max="35" width="15.83203125" style="26" hidden="1" customWidth="1"/>
    <col min="36" max="36" width="14" style="26" hidden="1" customWidth="1"/>
    <col min="37" max="37" width="12.83203125" style="26" hidden="1" customWidth="1"/>
    <col min="38" max="38" width="16.83203125" style="26" hidden="1" customWidth="1"/>
    <col min="39" max="39" width="17.44140625" style="26" bestFit="1" customWidth="1"/>
    <col min="40" max="40" width="16.83203125" style="26" bestFit="1" customWidth="1"/>
    <col min="41" max="41" width="15.5546875" style="26" bestFit="1" customWidth="1"/>
    <col min="42" max="16384" width="10.83203125" style="26"/>
  </cols>
  <sheetData>
    <row r="1" spans="1:37" x14ac:dyDescent="0.4">
      <c r="F1" s="74" t="s">
        <v>325</v>
      </c>
      <c r="G1" s="74" t="s">
        <v>326</v>
      </c>
      <c r="H1" s="74" t="s">
        <v>327</v>
      </c>
      <c r="I1" s="74" t="s">
        <v>328</v>
      </c>
      <c r="J1" s="74" t="s">
        <v>329</v>
      </c>
      <c r="K1" s="74" t="s">
        <v>330</v>
      </c>
      <c r="L1" s="74" t="s">
        <v>331</v>
      </c>
      <c r="M1" s="74" t="s">
        <v>332</v>
      </c>
      <c r="N1" s="74" t="s">
        <v>333</v>
      </c>
      <c r="O1" s="74" t="s">
        <v>334</v>
      </c>
      <c r="P1" s="74" t="s">
        <v>335</v>
      </c>
      <c r="Q1" s="74" t="s">
        <v>336</v>
      </c>
      <c r="R1" s="75" t="s">
        <v>337</v>
      </c>
    </row>
    <row r="2" spans="1:37" s="27" customFormat="1" x14ac:dyDescent="0.4">
      <c r="AB2" s="77"/>
      <c r="AC2" s="77"/>
      <c r="AD2" s="77"/>
      <c r="AE2" s="77"/>
      <c r="AF2" s="77"/>
    </row>
    <row r="3" spans="1:37" ht="12.6" thickBot="1" x14ac:dyDescent="0.45">
      <c r="A3" s="28" t="s">
        <v>338</v>
      </c>
      <c r="B3" s="41" t="s">
        <v>339</v>
      </c>
      <c r="E3" s="29"/>
      <c r="F3" s="30">
        <f>SUM(F4:F17)/F93</f>
        <v>12102.620356743577</v>
      </c>
      <c r="G3" s="30">
        <f>SUM(G4:G17)/G93</f>
        <v>12124.763679367579</v>
      </c>
      <c r="H3" s="30">
        <f>SUM(H4:H17)/H93</f>
        <v>12437.365358802472</v>
      </c>
      <c r="I3" s="30">
        <f>SUM(I4:I17)/I93</f>
        <v>13034.591437210371</v>
      </c>
      <c r="J3" s="30">
        <f>SUM(J4:J17)/$U$4</f>
        <v>13006.153846153846</v>
      </c>
      <c r="K3" s="30">
        <f t="shared" ref="K3:Q3" si="0">SUM(K4:K17)/$U$4</f>
        <v>13006.153846153846</v>
      </c>
      <c r="L3" s="30">
        <f t="shared" si="0"/>
        <v>13073.406593406593</v>
      </c>
      <c r="M3" s="30">
        <f t="shared" si="0"/>
        <v>13073.406593406593</v>
      </c>
      <c r="N3" s="30">
        <f t="shared" si="0"/>
        <v>13073.406593406593</v>
      </c>
      <c r="O3" s="30">
        <f t="shared" si="0"/>
        <v>13073.406593406593</v>
      </c>
      <c r="P3" s="30">
        <f t="shared" si="0"/>
        <v>13073.406593406593</v>
      </c>
      <c r="Q3" s="30">
        <f t="shared" si="0"/>
        <v>13073.406593406593</v>
      </c>
      <c r="R3" s="31">
        <f>SUM(F3:Q3)</f>
        <v>154152.08808487124</v>
      </c>
    </row>
    <row r="4" spans="1:37" ht="12.6" outlineLevel="1" thickBot="1" x14ac:dyDescent="0.45">
      <c r="A4" s="26" t="s">
        <v>340</v>
      </c>
      <c r="B4" s="26" t="s">
        <v>341</v>
      </c>
      <c r="C4" s="26" t="s">
        <v>342</v>
      </c>
      <c r="D4" s="26" t="s">
        <v>343</v>
      </c>
      <c r="T4" s="32" t="s">
        <v>344</v>
      </c>
      <c r="U4" s="33">
        <v>4550</v>
      </c>
      <c r="W4" s="29" t="s">
        <v>345</v>
      </c>
      <c r="X4" s="26" t="s">
        <v>346</v>
      </c>
      <c r="Y4" s="29" t="s">
        <v>347</v>
      </c>
      <c r="Z4" s="26" t="s">
        <v>348</v>
      </c>
      <c r="AA4" s="29" t="s">
        <v>349</v>
      </c>
      <c r="AB4" s="78" t="s">
        <v>345</v>
      </c>
      <c r="AC4" s="78" t="s">
        <v>346</v>
      </c>
      <c r="AD4" s="78" t="s">
        <v>347</v>
      </c>
      <c r="AE4" s="78" t="s">
        <v>348</v>
      </c>
      <c r="AF4" s="78" t="s">
        <v>349</v>
      </c>
      <c r="AG4" s="26" t="s">
        <v>9</v>
      </c>
      <c r="AI4" s="26" t="s">
        <v>350</v>
      </c>
      <c r="AK4" s="26">
        <v>4550</v>
      </c>
    </row>
    <row r="5" spans="1:37" outlineLevel="1" x14ac:dyDescent="0.4">
      <c r="A5" s="26" t="s">
        <v>351</v>
      </c>
      <c r="B5" s="26" t="s">
        <v>352</v>
      </c>
      <c r="C5" s="34">
        <v>1</v>
      </c>
      <c r="D5" s="35">
        <v>8902000</v>
      </c>
      <c r="E5" s="35">
        <f>D5*1.1412</f>
        <v>10158962.4</v>
      </c>
      <c r="F5" s="29">
        <v>10159000</v>
      </c>
      <c r="G5" s="29">
        <v>10159000</v>
      </c>
      <c r="H5" s="29">
        <v>10159000</v>
      </c>
      <c r="I5" s="29">
        <v>10159000</v>
      </c>
      <c r="J5" s="29">
        <v>10159000</v>
      </c>
      <c r="K5" s="29">
        <v>10159000</v>
      </c>
      <c r="L5" s="29">
        <v>10159000</v>
      </c>
      <c r="M5" s="29">
        <v>10159000</v>
      </c>
      <c r="N5" s="29">
        <v>10159000</v>
      </c>
      <c r="O5" s="29">
        <v>10159000</v>
      </c>
      <c r="P5" s="29">
        <v>10159000</v>
      </c>
      <c r="Q5" s="29">
        <v>10159000</v>
      </c>
      <c r="R5" s="29">
        <f>SUM(F5:Q5)</f>
        <v>121908000</v>
      </c>
      <c r="S5" s="36">
        <f>R5/U$4</f>
        <v>26792.967032967033</v>
      </c>
      <c r="T5" s="37">
        <f>Q5/U4</f>
        <v>2232.7472527472528</v>
      </c>
      <c r="W5" s="29">
        <f>F5</f>
        <v>10159000</v>
      </c>
      <c r="X5" s="29">
        <f t="shared" ref="X5:AA20" si="1">G5</f>
        <v>10159000</v>
      </c>
      <c r="Y5" s="29">
        <f t="shared" si="1"/>
        <v>10159000</v>
      </c>
      <c r="Z5" s="29">
        <f t="shared" si="1"/>
        <v>10159000</v>
      </c>
      <c r="AA5" s="29">
        <f t="shared" si="1"/>
        <v>10159000</v>
      </c>
      <c r="AB5" s="76">
        <f t="shared" ref="AB5:AB35" si="2">+W5/$F$93</f>
        <v>2157.3015180312623</v>
      </c>
      <c r="AC5" s="76">
        <f t="shared" ref="AC5:AC35" si="3">+X5/$G$93</f>
        <v>2120.3468772279857</v>
      </c>
      <c r="AD5" s="76">
        <f t="shared" ref="AD5:AD35" si="4">+Y5/$H$93</f>
        <v>2135.1041718218648</v>
      </c>
      <c r="AE5" s="76">
        <f t="shared" ref="AE5:AE35" si="5">+Z5/$I$93</f>
        <v>2237.6290920717183</v>
      </c>
      <c r="AF5" s="76">
        <f>+AA5/$U$4</f>
        <v>2232.7472527472528</v>
      </c>
      <c r="AG5" s="76">
        <f>SUM(AB5:AF5)</f>
        <v>10883.128911900083</v>
      </c>
      <c r="AI5" s="29">
        <f>SUM(K5:Q5)/$U$4</f>
        <v>15629.23076923077</v>
      </c>
      <c r="AJ5" s="77">
        <f>AG5+AI5</f>
        <v>26512.359681130853</v>
      </c>
    </row>
    <row r="6" spans="1:37" outlineLevel="1" x14ac:dyDescent="0.4">
      <c r="A6" s="26" t="s">
        <v>353</v>
      </c>
      <c r="B6" s="26" t="s">
        <v>354</v>
      </c>
      <c r="C6" s="34">
        <v>1</v>
      </c>
      <c r="D6" s="35">
        <v>4900000</v>
      </c>
      <c r="E6" s="35">
        <f>(D6*1.1412)</f>
        <v>5591880</v>
      </c>
      <c r="F6" s="29">
        <v>2935800</v>
      </c>
      <c r="G6" s="29">
        <v>5592000</v>
      </c>
      <c r="H6" s="29">
        <v>5592000</v>
      </c>
      <c r="I6" s="29">
        <v>5592000</v>
      </c>
      <c r="J6" s="29">
        <v>5592000</v>
      </c>
      <c r="K6" s="29">
        <v>5592000</v>
      </c>
      <c r="L6" s="29">
        <v>5592000</v>
      </c>
      <c r="M6" s="29">
        <v>5592000</v>
      </c>
      <c r="N6" s="29">
        <v>5592000</v>
      </c>
      <c r="O6" s="29">
        <v>5592000</v>
      </c>
      <c r="P6" s="29">
        <v>5592000</v>
      </c>
      <c r="Q6" s="29">
        <v>5592000</v>
      </c>
      <c r="R6" s="29">
        <f t="shared" ref="R6:R17" si="6">SUM(F6:Q6)</f>
        <v>64447800</v>
      </c>
      <c r="S6" s="36">
        <f t="shared" ref="S6:S17" si="7">R6/U$4</f>
        <v>14164.351648351649</v>
      </c>
      <c r="T6" s="37">
        <f>Q6/U4</f>
        <v>1229.0109890109891</v>
      </c>
      <c r="W6" s="29">
        <f t="shared" ref="W6:AA69" si="8">F6</f>
        <v>2935800</v>
      </c>
      <c r="X6" s="29">
        <f t="shared" si="1"/>
        <v>5592000</v>
      </c>
      <c r="Y6" s="29">
        <f t="shared" si="1"/>
        <v>5592000</v>
      </c>
      <c r="Z6" s="29">
        <f t="shared" si="1"/>
        <v>5592000</v>
      </c>
      <c r="AA6" s="29">
        <f t="shared" si="1"/>
        <v>5592000</v>
      </c>
      <c r="AB6" s="76">
        <f t="shared" si="2"/>
        <v>623.42807329817697</v>
      </c>
      <c r="AC6" s="76">
        <f t="shared" si="3"/>
        <v>1167.1404407381531</v>
      </c>
      <c r="AD6" s="76">
        <f t="shared" si="4"/>
        <v>1175.2635622431212</v>
      </c>
      <c r="AE6" s="76">
        <f t="shared" si="5"/>
        <v>1231.6981871114333</v>
      </c>
      <c r="AF6" s="76">
        <f t="shared" ref="AF6:AF70" si="9">+AA6/$U$4</f>
        <v>1229.0109890109891</v>
      </c>
      <c r="AG6" s="76">
        <f t="shared" ref="AG6:AG70" si="10">SUM(AB6:AF6)</f>
        <v>5426.541252401873</v>
      </c>
      <c r="AI6" s="29">
        <f t="shared" ref="AI6:AI70" si="11">SUM(K6:Q6)/$U$4</f>
        <v>8603.0769230769238</v>
      </c>
      <c r="AJ6" s="77">
        <f t="shared" ref="AJ6:AJ17" si="12">AG6+AI6</f>
        <v>14029.618175478798</v>
      </c>
      <c r="AK6" s="76"/>
    </row>
    <row r="7" spans="1:37" outlineLevel="1" x14ac:dyDescent="0.4">
      <c r="A7" s="26" t="s">
        <v>355</v>
      </c>
      <c r="B7" s="26" t="s">
        <v>354</v>
      </c>
      <c r="C7" s="34">
        <v>1</v>
      </c>
      <c r="D7" s="35">
        <v>4265000</v>
      </c>
      <c r="E7" s="35">
        <f t="shared" ref="E7:E17" si="13">D7*1.1412</f>
        <v>4867218</v>
      </c>
      <c r="F7" s="29">
        <v>4867000</v>
      </c>
      <c r="G7" s="29">
        <v>4867000</v>
      </c>
      <c r="H7" s="29">
        <v>4867000</v>
      </c>
      <c r="I7" s="29">
        <v>4867000</v>
      </c>
      <c r="J7" s="29">
        <v>4867000</v>
      </c>
      <c r="K7" s="29">
        <v>4867000</v>
      </c>
      <c r="L7" s="29">
        <v>4867000</v>
      </c>
      <c r="M7" s="29">
        <v>4867000</v>
      </c>
      <c r="N7" s="29">
        <v>4867000</v>
      </c>
      <c r="O7" s="29">
        <v>4867000</v>
      </c>
      <c r="P7" s="29">
        <v>4867000</v>
      </c>
      <c r="Q7" s="29">
        <v>4867000</v>
      </c>
      <c r="R7" s="29">
        <f t="shared" si="6"/>
        <v>58404000</v>
      </c>
      <c r="S7" s="36">
        <f t="shared" si="7"/>
        <v>12836.043956043955</v>
      </c>
      <c r="T7" s="37">
        <f>Q7/U$4</f>
        <v>1069.6703296703297</v>
      </c>
      <c r="W7" s="29">
        <f t="shared" si="8"/>
        <v>4867000</v>
      </c>
      <c r="X7" s="29">
        <f t="shared" si="1"/>
        <v>4867000</v>
      </c>
      <c r="Y7" s="29">
        <f t="shared" si="1"/>
        <v>4867000</v>
      </c>
      <c r="Z7" s="29">
        <f t="shared" si="1"/>
        <v>4867000</v>
      </c>
      <c r="AA7" s="29">
        <f t="shared" si="1"/>
        <v>4867000</v>
      </c>
      <c r="AB7" s="76">
        <f t="shared" si="2"/>
        <v>1033.5255919143767</v>
      </c>
      <c r="AC7" s="76">
        <f t="shared" si="3"/>
        <v>1015.8212670015363</v>
      </c>
      <c r="AD7" s="76">
        <f t="shared" si="4"/>
        <v>1022.8912298707565</v>
      </c>
      <c r="AE7" s="76">
        <f t="shared" si="5"/>
        <v>1072.0091338825725</v>
      </c>
      <c r="AF7" s="76">
        <f t="shared" si="9"/>
        <v>1069.6703296703297</v>
      </c>
      <c r="AG7" s="76">
        <f t="shared" si="10"/>
        <v>5213.9175523395716</v>
      </c>
      <c r="AI7" s="29">
        <f t="shared" si="11"/>
        <v>7487.6923076923076</v>
      </c>
      <c r="AJ7" s="77">
        <f t="shared" si="12"/>
        <v>12701.60986003188</v>
      </c>
      <c r="AK7" s="76"/>
    </row>
    <row r="8" spans="1:37" outlineLevel="1" x14ac:dyDescent="0.4">
      <c r="A8" s="26" t="s">
        <v>356</v>
      </c>
      <c r="B8" s="26" t="s">
        <v>354</v>
      </c>
      <c r="C8" s="34">
        <v>1</v>
      </c>
      <c r="D8" s="35">
        <v>4265000</v>
      </c>
      <c r="E8" s="35">
        <f t="shared" si="13"/>
        <v>4867218</v>
      </c>
      <c r="F8" s="29">
        <v>4867000</v>
      </c>
      <c r="G8" s="29">
        <v>4867000</v>
      </c>
      <c r="H8" s="29">
        <v>4867000</v>
      </c>
      <c r="I8" s="29">
        <v>4867000</v>
      </c>
      <c r="J8" s="29">
        <v>4867000</v>
      </c>
      <c r="K8" s="29">
        <v>4867000</v>
      </c>
      <c r="L8" s="29">
        <v>4867000</v>
      </c>
      <c r="M8" s="29">
        <v>4867000</v>
      </c>
      <c r="N8" s="29">
        <v>4867000</v>
      </c>
      <c r="O8" s="29">
        <v>4867000</v>
      </c>
      <c r="P8" s="29">
        <v>4867000</v>
      </c>
      <c r="Q8" s="29">
        <v>4867000</v>
      </c>
      <c r="R8" s="29">
        <f t="shared" si="6"/>
        <v>58404000</v>
      </c>
      <c r="S8" s="36">
        <f t="shared" si="7"/>
        <v>12836.043956043955</v>
      </c>
      <c r="T8" s="37">
        <f>Q8/U$4</f>
        <v>1069.6703296703297</v>
      </c>
      <c r="W8" s="29">
        <f t="shared" si="8"/>
        <v>4867000</v>
      </c>
      <c r="X8" s="29">
        <f t="shared" si="1"/>
        <v>4867000</v>
      </c>
      <c r="Y8" s="29">
        <f t="shared" si="1"/>
        <v>4867000</v>
      </c>
      <c r="Z8" s="29">
        <f t="shared" si="1"/>
        <v>4867000</v>
      </c>
      <c r="AA8" s="29">
        <f t="shared" si="1"/>
        <v>4867000</v>
      </c>
      <c r="AB8" s="76">
        <f t="shared" si="2"/>
        <v>1033.5255919143767</v>
      </c>
      <c r="AC8" s="76">
        <f t="shared" si="3"/>
        <v>1015.8212670015363</v>
      </c>
      <c r="AD8" s="76">
        <f t="shared" si="4"/>
        <v>1022.8912298707565</v>
      </c>
      <c r="AE8" s="76">
        <f t="shared" si="5"/>
        <v>1072.0091338825725</v>
      </c>
      <c r="AF8" s="76">
        <f t="shared" si="9"/>
        <v>1069.6703296703297</v>
      </c>
      <c r="AG8" s="76">
        <f t="shared" si="10"/>
        <v>5213.9175523395716</v>
      </c>
      <c r="AI8" s="29">
        <f t="shared" si="11"/>
        <v>7487.6923076923076</v>
      </c>
      <c r="AJ8" s="77">
        <f t="shared" si="12"/>
        <v>12701.60986003188</v>
      </c>
    </row>
    <row r="9" spans="1:37" outlineLevel="1" x14ac:dyDescent="0.4">
      <c r="A9" s="26" t="s">
        <v>357</v>
      </c>
      <c r="B9" s="26" t="s">
        <v>354</v>
      </c>
      <c r="C9" s="34">
        <v>1</v>
      </c>
      <c r="D9" s="35">
        <v>4265000</v>
      </c>
      <c r="E9" s="35">
        <f t="shared" si="13"/>
        <v>4867218</v>
      </c>
      <c r="F9" s="29">
        <v>4867000</v>
      </c>
      <c r="G9" s="29">
        <v>4867000</v>
      </c>
      <c r="H9" s="29">
        <v>4867000</v>
      </c>
      <c r="I9" s="29">
        <v>4867000</v>
      </c>
      <c r="J9" s="29">
        <v>4867000</v>
      </c>
      <c r="K9" s="29">
        <v>4867000</v>
      </c>
      <c r="L9" s="29">
        <v>4867000</v>
      </c>
      <c r="M9" s="29">
        <v>4867000</v>
      </c>
      <c r="N9" s="29">
        <v>4867000</v>
      </c>
      <c r="O9" s="29">
        <v>4867000</v>
      </c>
      <c r="P9" s="29">
        <v>4867000</v>
      </c>
      <c r="Q9" s="29">
        <v>4867000</v>
      </c>
      <c r="R9" s="29">
        <f t="shared" si="6"/>
        <v>58404000</v>
      </c>
      <c r="S9" s="36">
        <f t="shared" si="7"/>
        <v>12836.043956043955</v>
      </c>
      <c r="T9" s="37">
        <f>Q9/U$4</f>
        <v>1069.6703296703297</v>
      </c>
      <c r="W9" s="29">
        <f t="shared" si="8"/>
        <v>4867000</v>
      </c>
      <c r="X9" s="29">
        <f t="shared" si="1"/>
        <v>4867000</v>
      </c>
      <c r="Y9" s="29">
        <f t="shared" si="1"/>
        <v>4867000</v>
      </c>
      <c r="Z9" s="29">
        <f t="shared" si="1"/>
        <v>4867000</v>
      </c>
      <c r="AA9" s="29">
        <f t="shared" si="1"/>
        <v>4867000</v>
      </c>
      <c r="AB9" s="76">
        <f t="shared" si="2"/>
        <v>1033.5255919143767</v>
      </c>
      <c r="AC9" s="76">
        <f t="shared" si="3"/>
        <v>1015.8212670015363</v>
      </c>
      <c r="AD9" s="76">
        <f t="shared" si="4"/>
        <v>1022.8912298707565</v>
      </c>
      <c r="AE9" s="76">
        <f t="shared" si="5"/>
        <v>1072.0091338825725</v>
      </c>
      <c r="AF9" s="76">
        <f t="shared" si="9"/>
        <v>1069.6703296703297</v>
      </c>
      <c r="AG9" s="76">
        <f t="shared" si="10"/>
        <v>5213.9175523395716</v>
      </c>
      <c r="AI9" s="29">
        <f t="shared" si="11"/>
        <v>7487.6923076923076</v>
      </c>
      <c r="AJ9" s="77">
        <f t="shared" si="12"/>
        <v>12701.60986003188</v>
      </c>
    </row>
    <row r="10" spans="1:37" outlineLevel="1" x14ac:dyDescent="0.4">
      <c r="A10" s="26" t="s">
        <v>358</v>
      </c>
      <c r="B10" s="26" t="s">
        <v>359</v>
      </c>
      <c r="C10" s="34">
        <v>1</v>
      </c>
      <c r="D10" s="35">
        <v>3945000</v>
      </c>
      <c r="E10" s="35">
        <v>4200000</v>
      </c>
      <c r="F10" s="29">
        <v>3630938</v>
      </c>
      <c r="G10" s="35">
        <v>4096667</v>
      </c>
      <c r="H10" s="42">
        <v>4502000</v>
      </c>
      <c r="I10" s="42">
        <v>4502000</v>
      </c>
      <c r="J10" s="35">
        <v>4502000</v>
      </c>
      <c r="K10" s="35">
        <v>4502000</v>
      </c>
      <c r="L10" s="35">
        <v>4502000</v>
      </c>
      <c r="M10" s="35">
        <v>4502000</v>
      </c>
      <c r="N10" s="35">
        <v>4502000</v>
      </c>
      <c r="O10" s="35">
        <v>4502000</v>
      </c>
      <c r="P10" s="35">
        <v>4502000</v>
      </c>
      <c r="Q10" s="35">
        <v>4502000</v>
      </c>
      <c r="R10" s="29">
        <f t="shared" si="6"/>
        <v>52747605</v>
      </c>
      <c r="S10" s="36">
        <f t="shared" si="7"/>
        <v>11592.88021978022</v>
      </c>
      <c r="T10" s="37">
        <f>Q10/U4</f>
        <v>989.45054945054949</v>
      </c>
      <c r="W10" s="29">
        <f t="shared" si="8"/>
        <v>3630938</v>
      </c>
      <c r="X10" s="29">
        <f t="shared" si="1"/>
        <v>4096667</v>
      </c>
      <c r="Y10" s="29">
        <f t="shared" si="1"/>
        <v>4502000</v>
      </c>
      <c r="Z10" s="29">
        <f t="shared" si="1"/>
        <v>4502000</v>
      </c>
      <c r="AA10" s="29">
        <f t="shared" si="1"/>
        <v>4502000</v>
      </c>
      <c r="AB10" s="76">
        <f t="shared" si="2"/>
        <v>771.04321874962056</v>
      </c>
      <c r="AC10" s="76">
        <f t="shared" si="3"/>
        <v>855.04036622629599</v>
      </c>
      <c r="AD10" s="76">
        <f t="shared" si="4"/>
        <v>946.17964184880748</v>
      </c>
      <c r="AE10" s="76">
        <f t="shared" si="5"/>
        <v>991.61395536045643</v>
      </c>
      <c r="AF10" s="76">
        <f t="shared" si="9"/>
        <v>989.45054945054949</v>
      </c>
      <c r="AG10" s="76">
        <f t="shared" si="10"/>
        <v>4553.3277316357298</v>
      </c>
      <c r="AI10" s="29">
        <f t="shared" si="11"/>
        <v>6926.1538461538457</v>
      </c>
      <c r="AJ10" s="77">
        <f t="shared" si="12"/>
        <v>11479.481577789575</v>
      </c>
    </row>
    <row r="11" spans="1:37" outlineLevel="1" x14ac:dyDescent="0.4">
      <c r="A11" s="26" t="s">
        <v>360</v>
      </c>
      <c r="B11" s="26" t="s">
        <v>361</v>
      </c>
      <c r="C11" s="34">
        <v>1</v>
      </c>
      <c r="D11" s="35">
        <v>3412000</v>
      </c>
      <c r="E11" s="35">
        <f t="shared" si="13"/>
        <v>3893774.4</v>
      </c>
      <c r="F11" s="29">
        <v>3894000</v>
      </c>
      <c r="G11" s="29">
        <v>3894000</v>
      </c>
      <c r="H11" s="29">
        <v>3894000</v>
      </c>
      <c r="I11" s="29">
        <v>3894000</v>
      </c>
      <c r="J11" s="29">
        <v>3894000</v>
      </c>
      <c r="K11" s="29">
        <v>3894000</v>
      </c>
      <c r="L11" s="29">
        <v>4200000</v>
      </c>
      <c r="M11" s="29">
        <v>4200000</v>
      </c>
      <c r="N11" s="29">
        <v>4200000</v>
      </c>
      <c r="O11" s="29">
        <v>4200000</v>
      </c>
      <c r="P11" s="29">
        <v>4200000</v>
      </c>
      <c r="Q11" s="29">
        <v>4200000</v>
      </c>
      <c r="R11" s="29">
        <f t="shared" si="6"/>
        <v>48564000</v>
      </c>
      <c r="S11" s="36">
        <f t="shared" si="7"/>
        <v>10673.406593406593</v>
      </c>
      <c r="T11" s="37">
        <f>Q11/U4</f>
        <v>923.07692307692309</v>
      </c>
      <c r="U11" s="29"/>
      <c r="V11" s="38"/>
      <c r="W11" s="29">
        <f t="shared" si="8"/>
        <v>3894000</v>
      </c>
      <c r="X11" s="29">
        <f t="shared" si="1"/>
        <v>3894000</v>
      </c>
      <c r="Y11" s="29">
        <f t="shared" si="1"/>
        <v>3894000</v>
      </c>
      <c r="Z11" s="29">
        <f t="shared" si="1"/>
        <v>3894000</v>
      </c>
      <c r="AA11" s="29">
        <f t="shared" si="1"/>
        <v>3894000</v>
      </c>
      <c r="AB11" s="76">
        <f t="shared" si="2"/>
        <v>826.90541502251551</v>
      </c>
      <c r="AC11" s="76">
        <f t="shared" si="3"/>
        <v>812.74050004191122</v>
      </c>
      <c r="AD11" s="76">
        <f t="shared" si="4"/>
        <v>818.39705139032787</v>
      </c>
      <c r="AE11" s="76">
        <f t="shared" si="5"/>
        <v>857.69541141128775</v>
      </c>
      <c r="AF11" s="76">
        <f t="shared" si="9"/>
        <v>855.82417582417577</v>
      </c>
      <c r="AG11" s="76">
        <f t="shared" si="10"/>
        <v>4171.562553690218</v>
      </c>
      <c r="AI11" s="29">
        <f t="shared" si="11"/>
        <v>6394.2857142857147</v>
      </c>
      <c r="AJ11" s="77">
        <f t="shared" si="12"/>
        <v>10565.848267975933</v>
      </c>
    </row>
    <row r="12" spans="1:37" outlineLevel="1" x14ac:dyDescent="0.4">
      <c r="A12" s="26" t="s">
        <v>362</v>
      </c>
      <c r="B12" s="26" t="s">
        <v>363</v>
      </c>
      <c r="C12" s="34">
        <v>1</v>
      </c>
      <c r="D12" s="35">
        <v>4265000</v>
      </c>
      <c r="E12" s="35">
        <f t="shared" si="13"/>
        <v>4867218</v>
      </c>
      <c r="F12" s="29">
        <v>4867000</v>
      </c>
      <c r="G12" s="29">
        <v>4867000</v>
      </c>
      <c r="H12" s="29">
        <v>4867000</v>
      </c>
      <c r="I12" s="29">
        <v>4867000</v>
      </c>
      <c r="J12" s="29">
        <v>4867000</v>
      </c>
      <c r="K12" s="29">
        <v>4867000</v>
      </c>
      <c r="L12" s="29">
        <v>4867000</v>
      </c>
      <c r="M12" s="29">
        <v>4867000</v>
      </c>
      <c r="N12" s="29">
        <v>4867000</v>
      </c>
      <c r="O12" s="29">
        <v>4867000</v>
      </c>
      <c r="P12" s="29">
        <v>4867000</v>
      </c>
      <c r="Q12" s="29">
        <v>4867000</v>
      </c>
      <c r="R12" s="29">
        <f t="shared" si="6"/>
        <v>58404000</v>
      </c>
      <c r="S12" s="36">
        <f t="shared" si="7"/>
        <v>12836.043956043955</v>
      </c>
      <c r="T12" s="37">
        <f>Q12/U4</f>
        <v>1069.6703296703297</v>
      </c>
      <c r="W12" s="29">
        <f t="shared" si="8"/>
        <v>4867000</v>
      </c>
      <c r="X12" s="29">
        <f t="shared" si="1"/>
        <v>4867000</v>
      </c>
      <c r="Y12" s="29">
        <f t="shared" si="1"/>
        <v>4867000</v>
      </c>
      <c r="Z12" s="29">
        <f t="shared" si="1"/>
        <v>4867000</v>
      </c>
      <c r="AA12" s="29">
        <f t="shared" si="1"/>
        <v>4867000</v>
      </c>
      <c r="AB12" s="76">
        <f t="shared" si="2"/>
        <v>1033.5255919143767</v>
      </c>
      <c r="AC12" s="76">
        <f t="shared" si="3"/>
        <v>1015.8212670015363</v>
      </c>
      <c r="AD12" s="76">
        <f t="shared" si="4"/>
        <v>1022.8912298707565</v>
      </c>
      <c r="AE12" s="76">
        <f t="shared" si="5"/>
        <v>1072.0091338825725</v>
      </c>
      <c r="AF12" s="76">
        <f t="shared" si="9"/>
        <v>1069.6703296703297</v>
      </c>
      <c r="AG12" s="76">
        <f t="shared" si="10"/>
        <v>5213.9175523395716</v>
      </c>
      <c r="AI12" s="29">
        <f t="shared" si="11"/>
        <v>7487.6923076923076</v>
      </c>
      <c r="AJ12" s="77">
        <f t="shared" si="12"/>
        <v>12701.60986003188</v>
      </c>
    </row>
    <row r="13" spans="1:37" outlineLevel="1" x14ac:dyDescent="0.4">
      <c r="A13" s="26" t="s">
        <v>364</v>
      </c>
      <c r="B13" s="26" t="s">
        <v>354</v>
      </c>
      <c r="C13" s="34">
        <v>1</v>
      </c>
      <c r="D13" s="35">
        <f>2450000*2</f>
        <v>4900000</v>
      </c>
      <c r="E13" s="35">
        <f t="shared" si="13"/>
        <v>5591880</v>
      </c>
      <c r="F13" s="29">
        <v>5592000</v>
      </c>
      <c r="G13" s="29">
        <v>5592000</v>
      </c>
      <c r="H13" s="29">
        <v>5592000</v>
      </c>
      <c r="I13" s="29">
        <v>5592000</v>
      </c>
      <c r="J13" s="29">
        <v>5592000</v>
      </c>
      <c r="K13" s="29">
        <v>5592000</v>
      </c>
      <c r="L13" s="29">
        <v>5592000</v>
      </c>
      <c r="M13" s="29">
        <v>5592000</v>
      </c>
      <c r="N13" s="29">
        <v>5592000</v>
      </c>
      <c r="O13" s="29">
        <v>5592000</v>
      </c>
      <c r="P13" s="29">
        <v>5592000</v>
      </c>
      <c r="Q13" s="29">
        <v>5592000</v>
      </c>
      <c r="R13" s="29">
        <f t="shared" si="6"/>
        <v>67104000</v>
      </c>
      <c r="S13" s="36">
        <f t="shared" si="7"/>
        <v>14748.131868131868</v>
      </c>
      <c r="T13" s="37">
        <f>Q13/U4</f>
        <v>1229.0109890109891</v>
      </c>
      <c r="V13" s="38"/>
      <c r="W13" s="29">
        <f t="shared" si="8"/>
        <v>5592000</v>
      </c>
      <c r="X13" s="29">
        <f t="shared" si="1"/>
        <v>5592000</v>
      </c>
      <c r="Y13" s="29">
        <f t="shared" si="1"/>
        <v>5592000</v>
      </c>
      <c r="Z13" s="29">
        <f t="shared" si="1"/>
        <v>5592000</v>
      </c>
      <c r="AA13" s="29">
        <f t="shared" si="1"/>
        <v>5592000</v>
      </c>
      <c r="AB13" s="76">
        <f t="shared" si="2"/>
        <v>1187.48204437748</v>
      </c>
      <c r="AC13" s="76">
        <f t="shared" si="3"/>
        <v>1167.1404407381531</v>
      </c>
      <c r="AD13" s="76">
        <f t="shared" si="4"/>
        <v>1175.2635622431212</v>
      </c>
      <c r="AE13" s="76">
        <f t="shared" si="5"/>
        <v>1231.6981871114333</v>
      </c>
      <c r="AF13" s="76">
        <f t="shared" si="9"/>
        <v>1229.0109890109891</v>
      </c>
      <c r="AG13" s="76">
        <f t="shared" si="10"/>
        <v>5990.5952234811766</v>
      </c>
      <c r="AI13" s="29">
        <f t="shared" si="11"/>
        <v>8603.0769230769238</v>
      </c>
      <c r="AJ13" s="77">
        <f t="shared" si="12"/>
        <v>14593.672146558099</v>
      </c>
    </row>
    <row r="14" spans="1:37" outlineLevel="1" x14ac:dyDescent="0.4">
      <c r="A14" s="26" t="s">
        <v>365</v>
      </c>
      <c r="B14" s="26" t="s">
        <v>366</v>
      </c>
      <c r="C14" s="34">
        <v>1</v>
      </c>
      <c r="D14" s="35">
        <v>4265000</v>
      </c>
      <c r="E14" s="35">
        <f t="shared" si="13"/>
        <v>4867218</v>
      </c>
      <c r="F14" s="29">
        <v>4867000</v>
      </c>
      <c r="G14" s="29">
        <v>4867000</v>
      </c>
      <c r="H14" s="29">
        <v>4867000</v>
      </c>
      <c r="I14" s="29">
        <v>4867000</v>
      </c>
      <c r="J14" s="29">
        <v>4867000</v>
      </c>
      <c r="K14" s="29">
        <v>4867000</v>
      </c>
      <c r="L14" s="29">
        <v>4867000</v>
      </c>
      <c r="M14" s="29">
        <v>4867000</v>
      </c>
      <c r="N14" s="29">
        <v>4867000</v>
      </c>
      <c r="O14" s="29">
        <v>4867000</v>
      </c>
      <c r="P14" s="29">
        <v>4867000</v>
      </c>
      <c r="Q14" s="29">
        <v>4867000</v>
      </c>
      <c r="R14" s="29">
        <f t="shared" si="6"/>
        <v>58404000</v>
      </c>
      <c r="S14" s="36">
        <f t="shared" si="7"/>
        <v>12836.043956043955</v>
      </c>
      <c r="T14" s="37">
        <f>Q14/U4</f>
        <v>1069.6703296703297</v>
      </c>
      <c r="U14" s="38"/>
      <c r="V14" s="38"/>
      <c r="W14" s="29">
        <f t="shared" si="8"/>
        <v>4867000</v>
      </c>
      <c r="X14" s="29">
        <f t="shared" si="1"/>
        <v>4867000</v>
      </c>
      <c r="Y14" s="29">
        <f t="shared" si="1"/>
        <v>4867000</v>
      </c>
      <c r="Z14" s="29">
        <f t="shared" si="1"/>
        <v>4867000</v>
      </c>
      <c r="AA14" s="29">
        <f t="shared" si="1"/>
        <v>4867000</v>
      </c>
      <c r="AB14" s="76">
        <f t="shared" si="2"/>
        <v>1033.5255919143767</v>
      </c>
      <c r="AC14" s="76">
        <f t="shared" si="3"/>
        <v>1015.8212670015363</v>
      </c>
      <c r="AD14" s="76">
        <f t="shared" si="4"/>
        <v>1022.8912298707565</v>
      </c>
      <c r="AE14" s="76">
        <f t="shared" si="5"/>
        <v>1072.0091338825725</v>
      </c>
      <c r="AF14" s="76">
        <f t="shared" si="9"/>
        <v>1069.6703296703297</v>
      </c>
      <c r="AG14" s="76">
        <f t="shared" si="10"/>
        <v>5213.9175523395716</v>
      </c>
      <c r="AI14" s="29">
        <f t="shared" si="11"/>
        <v>7487.6923076923076</v>
      </c>
      <c r="AJ14" s="77">
        <f t="shared" si="12"/>
        <v>12701.60986003188</v>
      </c>
    </row>
    <row r="15" spans="1:37" outlineLevel="1" x14ac:dyDescent="0.4">
      <c r="A15" s="26" t="s">
        <v>367</v>
      </c>
      <c r="B15" s="26" t="s">
        <v>368</v>
      </c>
      <c r="C15" s="34">
        <v>1</v>
      </c>
      <c r="D15" s="35">
        <v>3412000</v>
      </c>
      <c r="E15" s="35">
        <f t="shared" si="13"/>
        <v>3893774.4</v>
      </c>
      <c r="F15" s="29">
        <v>3894000</v>
      </c>
      <c r="G15" s="29">
        <v>0</v>
      </c>
      <c r="H15" s="29">
        <v>0</v>
      </c>
      <c r="I15" s="29">
        <v>0</v>
      </c>
      <c r="J15" s="29">
        <v>0</v>
      </c>
      <c r="K15" s="29">
        <v>0</v>
      </c>
      <c r="L15" s="29">
        <v>0</v>
      </c>
      <c r="M15" s="29">
        <v>0</v>
      </c>
      <c r="N15" s="29">
        <v>0</v>
      </c>
      <c r="O15" s="29">
        <v>0</v>
      </c>
      <c r="P15" s="29">
        <v>0</v>
      </c>
      <c r="Q15" s="29">
        <v>0</v>
      </c>
      <c r="R15" s="29">
        <f t="shared" si="6"/>
        <v>3894000</v>
      </c>
      <c r="S15" s="37">
        <f t="shared" si="7"/>
        <v>855.82417582417577</v>
      </c>
      <c r="T15" s="37">
        <f>Q15/U4</f>
        <v>0</v>
      </c>
      <c r="U15" s="38"/>
      <c r="V15" s="38"/>
      <c r="W15" s="29">
        <f t="shared" si="8"/>
        <v>3894000</v>
      </c>
      <c r="X15" s="29">
        <f t="shared" si="1"/>
        <v>0</v>
      </c>
      <c r="Y15" s="29">
        <f t="shared" si="1"/>
        <v>0</v>
      </c>
      <c r="Z15" s="29">
        <f t="shared" si="1"/>
        <v>0</v>
      </c>
      <c r="AA15" s="29">
        <f t="shared" si="1"/>
        <v>0</v>
      </c>
      <c r="AB15" s="76">
        <f t="shared" si="2"/>
        <v>826.90541502251551</v>
      </c>
      <c r="AC15" s="76">
        <f t="shared" si="3"/>
        <v>0</v>
      </c>
      <c r="AD15" s="76">
        <f t="shared" si="4"/>
        <v>0</v>
      </c>
      <c r="AE15" s="76">
        <f t="shared" si="5"/>
        <v>0</v>
      </c>
      <c r="AF15" s="76">
        <f t="shared" si="9"/>
        <v>0</v>
      </c>
      <c r="AG15" s="76">
        <f t="shared" si="10"/>
        <v>826.90541502251551</v>
      </c>
      <c r="AI15" s="29">
        <f t="shared" si="11"/>
        <v>0</v>
      </c>
      <c r="AJ15" s="77">
        <f t="shared" si="12"/>
        <v>826.90541502251551</v>
      </c>
    </row>
    <row r="16" spans="1:37" outlineLevel="1" x14ac:dyDescent="0.4">
      <c r="A16" s="26" t="s">
        <v>369</v>
      </c>
      <c r="B16" s="26" t="s">
        <v>370</v>
      </c>
      <c r="C16" s="34">
        <v>1</v>
      </c>
      <c r="D16" s="35">
        <v>2200000</v>
      </c>
      <c r="E16" s="35">
        <f>D16*1.16</f>
        <v>2552000</v>
      </c>
      <c r="F16" s="29">
        <v>2552000</v>
      </c>
      <c r="G16" s="29">
        <v>2552000</v>
      </c>
      <c r="H16" s="29">
        <v>2552000</v>
      </c>
      <c r="I16" s="29">
        <v>2552000</v>
      </c>
      <c r="J16" s="29">
        <v>2552000</v>
      </c>
      <c r="K16" s="29">
        <v>2552000</v>
      </c>
      <c r="L16" s="29">
        <v>2552000</v>
      </c>
      <c r="M16" s="29">
        <v>2552000</v>
      </c>
      <c r="N16" s="29">
        <v>2552000</v>
      </c>
      <c r="O16" s="29">
        <v>2552000</v>
      </c>
      <c r="P16" s="29">
        <v>2552000</v>
      </c>
      <c r="Q16" s="29">
        <v>2552000</v>
      </c>
      <c r="R16" s="29">
        <f t="shared" si="6"/>
        <v>30624000</v>
      </c>
      <c r="S16" s="37">
        <f t="shared" si="7"/>
        <v>6730.5494505494507</v>
      </c>
      <c r="T16" s="37">
        <f>Q16/U4</f>
        <v>560.87912087912093</v>
      </c>
      <c r="V16" s="38"/>
      <c r="W16" s="29">
        <f t="shared" si="8"/>
        <v>2552000</v>
      </c>
      <c r="X16" s="29">
        <f t="shared" si="1"/>
        <v>2552000</v>
      </c>
      <c r="Y16" s="29">
        <f t="shared" si="1"/>
        <v>2552000</v>
      </c>
      <c r="Z16" s="29">
        <f t="shared" si="1"/>
        <v>2552000</v>
      </c>
      <c r="AA16" s="29">
        <f t="shared" si="1"/>
        <v>2552000</v>
      </c>
      <c r="AB16" s="76">
        <f t="shared" si="2"/>
        <v>541.92671267012315</v>
      </c>
      <c r="AC16" s="76">
        <f t="shared" si="3"/>
        <v>532.64349155289096</v>
      </c>
      <c r="AD16" s="76">
        <f t="shared" si="4"/>
        <v>536.35060995072342</v>
      </c>
      <c r="AE16" s="76">
        <f t="shared" si="5"/>
        <v>562.10546736558967</v>
      </c>
      <c r="AF16" s="76">
        <f t="shared" si="9"/>
        <v>560.87912087912093</v>
      </c>
      <c r="AG16" s="76">
        <f t="shared" si="10"/>
        <v>2733.9054024184479</v>
      </c>
      <c r="AI16" s="29">
        <f t="shared" si="11"/>
        <v>3926.1538461538462</v>
      </c>
      <c r="AJ16" s="77">
        <f t="shared" si="12"/>
        <v>6660.0592485722937</v>
      </c>
    </row>
    <row r="17" spans="1:36" outlineLevel="1" x14ac:dyDescent="0.4">
      <c r="A17" s="26" t="s">
        <v>371</v>
      </c>
      <c r="B17" s="26" t="s">
        <v>371</v>
      </c>
      <c r="C17" s="34">
        <v>1</v>
      </c>
      <c r="D17" s="35">
        <v>2200000</v>
      </c>
      <c r="E17" s="35">
        <f t="shared" si="13"/>
        <v>2510640</v>
      </c>
      <c r="F17" s="29">
        <v>0</v>
      </c>
      <c r="G17" s="29">
        <v>1871466.67</v>
      </c>
      <c r="H17" s="29">
        <v>2552000</v>
      </c>
      <c r="I17" s="29">
        <v>2552000</v>
      </c>
      <c r="J17" s="29">
        <v>2552000</v>
      </c>
      <c r="K17" s="29">
        <v>2552000</v>
      </c>
      <c r="L17" s="29">
        <v>2552000</v>
      </c>
      <c r="M17" s="29">
        <v>2552000</v>
      </c>
      <c r="N17" s="29">
        <v>2552000</v>
      </c>
      <c r="O17" s="29">
        <v>2552000</v>
      </c>
      <c r="P17" s="29">
        <v>2552000</v>
      </c>
      <c r="Q17" s="29">
        <v>2552000</v>
      </c>
      <c r="R17" s="29">
        <f t="shared" si="6"/>
        <v>27391466.670000002</v>
      </c>
      <c r="S17" s="37">
        <f t="shared" si="7"/>
        <v>6020.1025648351651</v>
      </c>
      <c r="T17" s="37">
        <f>Q17/U4</f>
        <v>560.87912087912093</v>
      </c>
      <c r="W17" s="29">
        <f t="shared" si="8"/>
        <v>0</v>
      </c>
      <c r="X17" s="29">
        <f t="shared" si="1"/>
        <v>1871466.67</v>
      </c>
      <c r="Y17" s="29">
        <f t="shared" si="1"/>
        <v>2552000</v>
      </c>
      <c r="Z17" s="29">
        <f t="shared" si="1"/>
        <v>2552000</v>
      </c>
      <c r="AA17" s="29">
        <f t="shared" si="1"/>
        <v>2552000</v>
      </c>
      <c r="AB17" s="76">
        <f t="shared" si="2"/>
        <v>0</v>
      </c>
      <c r="AC17" s="76">
        <f t="shared" si="3"/>
        <v>390.60522783450705</v>
      </c>
      <c r="AD17" s="76">
        <f t="shared" si="4"/>
        <v>536.35060995072342</v>
      </c>
      <c r="AE17" s="76">
        <f t="shared" si="5"/>
        <v>562.10546736558967</v>
      </c>
      <c r="AF17" s="76">
        <f t="shared" si="9"/>
        <v>560.87912087912093</v>
      </c>
      <c r="AG17" s="76">
        <f t="shared" si="10"/>
        <v>2049.9404260299411</v>
      </c>
      <c r="AI17" s="29">
        <f t="shared" si="11"/>
        <v>3926.1538461538462</v>
      </c>
      <c r="AJ17" s="77">
        <f t="shared" si="12"/>
        <v>5976.0942721837873</v>
      </c>
    </row>
    <row r="18" spans="1:36" s="27" customFormat="1" x14ac:dyDescent="0.4">
      <c r="H18" s="39"/>
      <c r="W18" s="29">
        <f t="shared" si="8"/>
        <v>0</v>
      </c>
      <c r="X18" s="29">
        <f t="shared" si="1"/>
        <v>0</v>
      </c>
      <c r="Y18" s="29">
        <f t="shared" si="1"/>
        <v>0</v>
      </c>
      <c r="Z18" s="29">
        <f t="shared" si="1"/>
        <v>0</v>
      </c>
      <c r="AA18" s="29">
        <f t="shared" si="1"/>
        <v>0</v>
      </c>
      <c r="AB18" s="76">
        <f t="shared" si="2"/>
        <v>0</v>
      </c>
      <c r="AC18" s="76">
        <f t="shared" si="3"/>
        <v>0</v>
      </c>
      <c r="AD18" s="76">
        <f t="shared" si="4"/>
        <v>0</v>
      </c>
      <c r="AE18" s="76">
        <f t="shared" si="5"/>
        <v>0</v>
      </c>
      <c r="AF18" s="76">
        <f t="shared" si="9"/>
        <v>0</v>
      </c>
      <c r="AG18" s="76">
        <f t="shared" si="10"/>
        <v>0</v>
      </c>
      <c r="AI18" s="29">
        <f t="shared" si="11"/>
        <v>0</v>
      </c>
      <c r="AJ18" s="77"/>
    </row>
    <row r="19" spans="1:36" x14ac:dyDescent="0.4">
      <c r="A19" s="28" t="s">
        <v>372</v>
      </c>
      <c r="B19" s="41" t="s">
        <v>339</v>
      </c>
      <c r="F19" s="40">
        <f>(F20+F21+F22)/F93</f>
        <v>15395.223159300245</v>
      </c>
      <c r="G19" s="40">
        <f>(G20+G21)/G93</f>
        <v>4248.4697274586606</v>
      </c>
      <c r="H19" s="40">
        <f>(H20/H93)+(H21/H94)</f>
        <v>4244.0681456086613</v>
      </c>
      <c r="I19" s="40" cm="1">
        <f t="array" ref="I19">SUM(I20:I22/I93)</f>
        <v>3980.7642249240471</v>
      </c>
      <c r="J19" s="40" cm="1">
        <f t="array" ref="J19">SUM(J20:J22/$U$4)</f>
        <v>3972.0793846153842</v>
      </c>
      <c r="K19" s="40" cm="1">
        <f t="array" ref="K19">SUM(K20:K22/$U$4)</f>
        <v>10416.214861538461</v>
      </c>
      <c r="L19" s="40" cm="1">
        <f t="array" ref="L19">SUM(L20:L22/$U$4)</f>
        <v>3992.6183736263738</v>
      </c>
      <c r="M19" s="40" cm="1">
        <f t="array" ref="M19">SUM(M20:M22/$U$4)</f>
        <v>3992.6183736263738</v>
      </c>
      <c r="N19" s="40" cm="1">
        <f t="array" ref="N19">SUM(N20:N22/$U$4)</f>
        <v>3992.6183736263738</v>
      </c>
      <c r="O19" s="40" cm="1">
        <f t="array" ref="O19">SUM(O20:O22/$U$4)</f>
        <v>3992.6183736263738</v>
      </c>
      <c r="P19" s="40" cm="1">
        <f t="array" ref="P19">SUM(P20:P22/$U$4)</f>
        <v>3992.6183736263738</v>
      </c>
      <c r="Q19" s="40" cm="1">
        <f t="array" ref="Q19">SUM(Q20:Q22/$U$4)</f>
        <v>16391.497494505496</v>
      </c>
      <c r="R19" s="31">
        <f>SUM(F19:Q19)</f>
        <v>78611.408866082842</v>
      </c>
      <c r="S19" s="35"/>
      <c r="T19" s="29"/>
      <c r="U19" s="29"/>
      <c r="W19" s="29">
        <f t="shared" si="8"/>
        <v>15395.223159300245</v>
      </c>
      <c r="X19" s="29">
        <f t="shared" si="1"/>
        <v>4248.4697274586606</v>
      </c>
      <c r="Y19" s="29">
        <f t="shared" si="1"/>
        <v>4244.0681456086613</v>
      </c>
      <c r="Z19" s="29">
        <f t="shared" si="1"/>
        <v>3980.7642249240471</v>
      </c>
      <c r="AA19" s="29">
        <f t="shared" si="1"/>
        <v>3972.0793846153842</v>
      </c>
      <c r="AB19" s="76">
        <f t="shared" si="2"/>
        <v>3.2692330241154113</v>
      </c>
      <c r="AC19" s="76">
        <f t="shared" si="3"/>
        <v>0.88672403972975711</v>
      </c>
      <c r="AD19" s="76">
        <f t="shared" si="4"/>
        <v>0.89197043047399727</v>
      </c>
      <c r="AE19" s="76">
        <f t="shared" si="5"/>
        <v>0.87680616580060766</v>
      </c>
      <c r="AF19" s="76">
        <f t="shared" si="9"/>
        <v>0.87298448013524932</v>
      </c>
      <c r="AG19" s="76">
        <f t="shared" si="10"/>
        <v>6.7977181402550233</v>
      </c>
      <c r="AI19" s="29">
        <f t="shared" si="11"/>
        <v>10.279297631686994</v>
      </c>
      <c r="AJ19" s="77"/>
    </row>
    <row r="20" spans="1:36" outlineLevel="1" x14ac:dyDescent="0.4">
      <c r="A20" s="26" t="s">
        <v>373</v>
      </c>
      <c r="F20" s="29">
        <v>19674112.32</v>
      </c>
      <c r="G20" s="29">
        <v>20355256.219999999</v>
      </c>
      <c r="H20" s="29">
        <f t="shared" ref="H20:P20" si="14">SUM(H5:H17)*0.3054</f>
        <v>18072961.199999999</v>
      </c>
      <c r="I20" s="29">
        <f t="shared" si="14"/>
        <v>18072961.199999999</v>
      </c>
      <c r="J20" s="29">
        <f t="shared" si="14"/>
        <v>18072961.199999999</v>
      </c>
      <c r="K20" s="29">
        <f>SUM(K5:K17)*0.3054</f>
        <v>18072961.199999999</v>
      </c>
      <c r="L20" s="39">
        <f>SUM(L5:L17)*0.3054</f>
        <v>18166413.600000001</v>
      </c>
      <c r="M20" s="29">
        <f t="shared" si="14"/>
        <v>18166413.600000001</v>
      </c>
      <c r="N20" s="29">
        <f t="shared" si="14"/>
        <v>18166413.600000001</v>
      </c>
      <c r="O20" s="29">
        <f t="shared" si="14"/>
        <v>18166413.600000001</v>
      </c>
      <c r="P20" s="29">
        <f t="shared" si="14"/>
        <v>18166413.600000001</v>
      </c>
      <c r="Q20" s="29">
        <f>SUM(Q5:Q17)*0.3054</f>
        <v>18166413.600000001</v>
      </c>
      <c r="R20" s="29">
        <f>SUM(F20:Q20)</f>
        <v>221319694.93999997</v>
      </c>
      <c r="S20" s="35">
        <f>R20/U4</f>
        <v>48641.691195604391</v>
      </c>
      <c r="T20" s="29"/>
      <c r="U20" s="29"/>
      <c r="W20" s="29">
        <f t="shared" si="8"/>
        <v>19674112.32</v>
      </c>
      <c r="X20" s="29">
        <f t="shared" si="1"/>
        <v>20355256.219999999</v>
      </c>
      <c r="Y20" s="29">
        <f t="shared" si="1"/>
        <v>18072961.199999999</v>
      </c>
      <c r="Z20" s="29">
        <f t="shared" si="1"/>
        <v>18072961.199999999</v>
      </c>
      <c r="AA20" s="29">
        <f t="shared" si="1"/>
        <v>18072961.199999999</v>
      </c>
      <c r="AB20" s="76">
        <f t="shared" si="2"/>
        <v>4177.8710871004587</v>
      </c>
      <c r="AC20" s="76">
        <f t="shared" si="3"/>
        <v>4248.4697274586606</v>
      </c>
      <c r="AD20" s="76">
        <f t="shared" si="4"/>
        <v>3798.3713805782745</v>
      </c>
      <c r="AE20" s="76">
        <f t="shared" si="5"/>
        <v>3980.7642249240471</v>
      </c>
      <c r="AF20" s="76">
        <f t="shared" si="9"/>
        <v>3972.0793846153842</v>
      </c>
      <c r="AG20" s="76">
        <f t="shared" si="10"/>
        <v>20177.555804676827</v>
      </c>
      <c r="AI20" s="29">
        <f t="shared" si="11"/>
        <v>27927.789626373622</v>
      </c>
      <c r="AJ20" s="77">
        <f t="shared" ref="AJ20:AJ75" si="15">AG20+AI20</f>
        <v>48105.345431050446</v>
      </c>
    </row>
    <row r="21" spans="1:36" outlineLevel="1" x14ac:dyDescent="0.4">
      <c r="A21" s="26" t="s">
        <v>374</v>
      </c>
      <c r="F21" s="29">
        <v>21280775</v>
      </c>
      <c r="G21" s="40">
        <v>0</v>
      </c>
      <c r="H21" s="29">
        <v>2193510</v>
      </c>
      <c r="I21" s="40">
        <v>0</v>
      </c>
      <c r="J21" s="40">
        <v>0</v>
      </c>
      <c r="K21" s="38">
        <v>29320816.420000002</v>
      </c>
      <c r="L21" s="40">
        <v>0</v>
      </c>
      <c r="M21" s="40">
        <v>0</v>
      </c>
      <c r="N21" s="40">
        <v>0</v>
      </c>
      <c r="O21" s="40">
        <v>0</v>
      </c>
      <c r="P21" s="40">
        <v>0</v>
      </c>
      <c r="Q21" s="29">
        <f>SUM(Q5:Q17)*0.5</f>
        <v>29742000</v>
      </c>
      <c r="R21" s="29">
        <f>SUM(F21:Q21)</f>
        <v>82537101.420000002</v>
      </c>
      <c r="S21" s="35">
        <f>R21/U4</f>
        <v>18140.02229010989</v>
      </c>
      <c r="T21" s="29"/>
      <c r="U21" s="29"/>
      <c r="W21" s="29">
        <f t="shared" si="8"/>
        <v>21280775</v>
      </c>
      <c r="X21" s="29">
        <f t="shared" si="8"/>
        <v>0</v>
      </c>
      <c r="Y21" s="29">
        <f t="shared" si="8"/>
        <v>2193510</v>
      </c>
      <c r="Z21" s="29">
        <f t="shared" si="8"/>
        <v>0</v>
      </c>
      <c r="AA21" s="29">
        <f t="shared" si="8"/>
        <v>0</v>
      </c>
      <c r="AB21" s="76">
        <f t="shared" si="2"/>
        <v>4519.0518960903373</v>
      </c>
      <c r="AC21" s="76">
        <f t="shared" si="3"/>
        <v>0</v>
      </c>
      <c r="AD21" s="76">
        <f t="shared" si="4"/>
        <v>461.00722038911101</v>
      </c>
      <c r="AE21" s="76">
        <f t="shared" si="5"/>
        <v>0</v>
      </c>
      <c r="AF21" s="76">
        <f t="shared" si="9"/>
        <v>0</v>
      </c>
      <c r="AG21" s="76">
        <f t="shared" si="10"/>
        <v>4980.0591164794487</v>
      </c>
      <c r="AI21" s="29">
        <f t="shared" si="11"/>
        <v>12980.838773626374</v>
      </c>
      <c r="AJ21" s="77">
        <f t="shared" si="15"/>
        <v>17960.897890105822</v>
      </c>
    </row>
    <row r="22" spans="1:36" outlineLevel="1" x14ac:dyDescent="0.4">
      <c r="A22" s="26" t="s">
        <v>375</v>
      </c>
      <c r="F22" s="29">
        <v>31543125.02</v>
      </c>
      <c r="G22" s="40">
        <v>0</v>
      </c>
      <c r="H22" s="29">
        <v>0</v>
      </c>
      <c r="I22" s="40">
        <v>0</v>
      </c>
      <c r="J22" s="40">
        <v>0</v>
      </c>
      <c r="K22" s="40">
        <v>0</v>
      </c>
      <c r="L22" s="40">
        <v>0</v>
      </c>
      <c r="M22" s="40">
        <v>0</v>
      </c>
      <c r="N22" s="40">
        <v>0</v>
      </c>
      <c r="O22" s="40">
        <v>0</v>
      </c>
      <c r="P22" s="40">
        <v>0</v>
      </c>
      <c r="Q22" s="40">
        <v>26672900</v>
      </c>
      <c r="R22" s="29">
        <f>SUM(F22:Q22)</f>
        <v>58216025.019999996</v>
      </c>
      <c r="S22" s="35">
        <f>R22/U4</f>
        <v>12794.730773626372</v>
      </c>
      <c r="T22" s="29"/>
      <c r="U22" s="29"/>
      <c r="W22" s="29">
        <f t="shared" si="8"/>
        <v>31543125.02</v>
      </c>
      <c r="X22" s="29">
        <f t="shared" si="8"/>
        <v>0</v>
      </c>
      <c r="Y22" s="29">
        <f t="shared" si="8"/>
        <v>0</v>
      </c>
      <c r="Z22" s="29">
        <f t="shared" si="8"/>
        <v>0</v>
      </c>
      <c r="AA22" s="29">
        <f t="shared" si="8"/>
        <v>0</v>
      </c>
      <c r="AB22" s="76">
        <f t="shared" si="2"/>
        <v>6698.3001761094483</v>
      </c>
      <c r="AC22" s="76">
        <f t="shared" si="3"/>
        <v>0</v>
      </c>
      <c r="AD22" s="76">
        <f t="shared" si="4"/>
        <v>0</v>
      </c>
      <c r="AE22" s="76">
        <f t="shared" si="5"/>
        <v>0</v>
      </c>
      <c r="AF22" s="76">
        <f t="shared" si="9"/>
        <v>0</v>
      </c>
      <c r="AG22" s="76">
        <f t="shared" si="10"/>
        <v>6698.3001761094483</v>
      </c>
      <c r="AI22" s="29">
        <f t="shared" si="11"/>
        <v>5862.1758241758243</v>
      </c>
      <c r="AJ22" s="77">
        <f t="shared" si="15"/>
        <v>12560.476000285273</v>
      </c>
    </row>
    <row r="23" spans="1:36" s="27" customFormat="1" x14ac:dyDescent="0.4">
      <c r="D23" s="39"/>
      <c r="E23" s="39"/>
      <c r="R23" s="39"/>
      <c r="W23" s="29">
        <f t="shared" si="8"/>
        <v>0</v>
      </c>
      <c r="X23" s="29">
        <f t="shared" si="8"/>
        <v>0</v>
      </c>
      <c r="Y23" s="29">
        <f t="shared" si="8"/>
        <v>0</v>
      </c>
      <c r="Z23" s="29">
        <f t="shared" si="8"/>
        <v>0</v>
      </c>
      <c r="AA23" s="29">
        <f t="shared" si="8"/>
        <v>0</v>
      </c>
      <c r="AB23" s="76">
        <f t="shared" si="2"/>
        <v>0</v>
      </c>
      <c r="AC23" s="76">
        <f t="shared" si="3"/>
        <v>0</v>
      </c>
      <c r="AD23" s="76">
        <f t="shared" si="4"/>
        <v>0</v>
      </c>
      <c r="AE23" s="76">
        <f t="shared" si="5"/>
        <v>0</v>
      </c>
      <c r="AF23" s="76">
        <f t="shared" si="9"/>
        <v>0</v>
      </c>
      <c r="AG23" s="76">
        <f t="shared" si="10"/>
        <v>0</v>
      </c>
      <c r="AI23" s="29">
        <f t="shared" si="11"/>
        <v>0</v>
      </c>
      <c r="AJ23" s="77">
        <f t="shared" si="15"/>
        <v>0</v>
      </c>
    </row>
    <row r="24" spans="1:36" x14ac:dyDescent="0.4">
      <c r="A24" s="28" t="s">
        <v>376</v>
      </c>
      <c r="B24" s="41" t="s">
        <v>339</v>
      </c>
      <c r="F24" s="30">
        <f>SUM(F25:F30)/F93</f>
        <v>231.61578416388883</v>
      </c>
      <c r="G24" s="30">
        <f>(SUM(G25:G30)/G93)+(429000/G93)-(429000/4369.073223)</f>
        <v>738.02282390014568</v>
      </c>
      <c r="H24" s="30">
        <f>SUM(H25:H30)/H93</f>
        <v>976.70255852160017</v>
      </c>
      <c r="I24" s="30">
        <f>SUM(I25:I30)/I93</f>
        <v>1645.2908460194917</v>
      </c>
      <c r="J24" s="30">
        <f t="shared" ref="J24:Q24" si="16">SUM(J25:J30)/$U$4</f>
        <v>2878.2417582417584</v>
      </c>
      <c r="K24" s="30">
        <f t="shared" si="16"/>
        <v>889.23076923076928</v>
      </c>
      <c r="L24" s="30">
        <f t="shared" si="16"/>
        <v>1152.967032967033</v>
      </c>
      <c r="M24" s="30">
        <f t="shared" si="16"/>
        <v>746.37362637362639</v>
      </c>
      <c r="N24" s="30">
        <f t="shared" si="16"/>
        <v>713.4065934065934</v>
      </c>
      <c r="O24" s="30">
        <f t="shared" si="16"/>
        <v>669.45054945054949</v>
      </c>
      <c r="P24" s="30">
        <f t="shared" si="16"/>
        <v>779.34065934065939</v>
      </c>
      <c r="Q24" s="30">
        <f t="shared" si="16"/>
        <v>713.4065934065934</v>
      </c>
      <c r="R24" s="40">
        <f t="shared" ref="R24:R83" si="17">SUM(F24:Q24)</f>
        <v>12134.04959502271</v>
      </c>
      <c r="W24" s="29">
        <f t="shared" si="8"/>
        <v>231.61578416388883</v>
      </c>
      <c r="X24" s="29">
        <f t="shared" si="8"/>
        <v>738.02282390014568</v>
      </c>
      <c r="Y24" s="29">
        <f t="shared" si="8"/>
        <v>976.70255852160017</v>
      </c>
      <c r="Z24" s="29">
        <f t="shared" si="8"/>
        <v>1645.2908460194917</v>
      </c>
      <c r="AA24" s="29">
        <f t="shared" si="8"/>
        <v>2878.2417582417584</v>
      </c>
      <c r="AB24" s="76">
        <f t="shared" si="2"/>
        <v>4.9184475123216713E-2</v>
      </c>
      <c r="AC24" s="76">
        <f t="shared" si="3"/>
        <v>0.1540372467742547</v>
      </c>
      <c r="AD24" s="76">
        <f t="shared" si="4"/>
        <v>0.20527234051860985</v>
      </c>
      <c r="AE24" s="76">
        <f t="shared" si="5"/>
        <v>0.36239301722339845</v>
      </c>
      <c r="AF24" s="76">
        <f t="shared" si="9"/>
        <v>0.63258060620697987</v>
      </c>
      <c r="AG24" s="76">
        <f t="shared" si="10"/>
        <v>1.4034676858464596</v>
      </c>
      <c r="AI24" s="29">
        <f t="shared" si="11"/>
        <v>1.24487380751117</v>
      </c>
      <c r="AJ24" s="76"/>
    </row>
    <row r="25" spans="1:36" outlineLevel="1" x14ac:dyDescent="0.4">
      <c r="A25" s="26" t="s">
        <v>377</v>
      </c>
      <c r="D25" s="29">
        <f>F13*1.54</f>
        <v>8611680</v>
      </c>
      <c r="F25" s="42">
        <v>0</v>
      </c>
      <c r="G25" s="43">
        <f>2884642-429000</f>
        <v>2455642</v>
      </c>
      <c r="H25" s="79">
        <v>1399725</v>
      </c>
      <c r="I25" s="42">
        <v>1330000</v>
      </c>
      <c r="J25" s="35">
        <f>3400000</f>
        <v>3400000</v>
      </c>
      <c r="K25" s="35">
        <v>0</v>
      </c>
      <c r="L25" s="35">
        <v>2000000</v>
      </c>
      <c r="M25" s="35">
        <v>0</v>
      </c>
      <c r="N25" s="35">
        <v>0</v>
      </c>
      <c r="O25" s="35">
        <v>0</v>
      </c>
      <c r="P25" s="35">
        <v>0</v>
      </c>
      <c r="Q25" s="35">
        <v>0</v>
      </c>
      <c r="R25" s="29">
        <f t="shared" si="17"/>
        <v>10585367</v>
      </c>
      <c r="S25" s="80">
        <f t="shared" ref="S25:S30" si="18">R25/U$4</f>
        <v>2326.4542857142856</v>
      </c>
      <c r="W25" s="29">
        <f t="shared" si="8"/>
        <v>0</v>
      </c>
      <c r="X25" s="29">
        <f t="shared" si="8"/>
        <v>2455642</v>
      </c>
      <c r="Y25" s="29">
        <f t="shared" si="8"/>
        <v>1399725</v>
      </c>
      <c r="Z25" s="29">
        <f t="shared" si="8"/>
        <v>1330000</v>
      </c>
      <c r="AA25" s="29">
        <f t="shared" si="8"/>
        <v>3400000</v>
      </c>
      <c r="AB25" s="76">
        <f t="shared" si="2"/>
        <v>0</v>
      </c>
      <c r="AC25" s="76">
        <f t="shared" si="3"/>
        <v>512.53202542473525</v>
      </c>
      <c r="AD25" s="76">
        <f t="shared" si="4"/>
        <v>294.17843162745936</v>
      </c>
      <c r="AE25" s="76">
        <f t="shared" si="5"/>
        <v>292.94681488880656</v>
      </c>
      <c r="AF25" s="76">
        <f t="shared" si="9"/>
        <v>747.25274725274721</v>
      </c>
      <c r="AG25" s="76">
        <f t="shared" si="10"/>
        <v>1846.9100191937484</v>
      </c>
      <c r="AI25" s="29">
        <f t="shared" si="11"/>
        <v>439.56043956043953</v>
      </c>
      <c r="AJ25" s="92">
        <f t="shared" si="15"/>
        <v>2286.4704587541878</v>
      </c>
    </row>
    <row r="26" spans="1:36" outlineLevel="1" x14ac:dyDescent="0.4">
      <c r="A26" s="26" t="s">
        <v>378</v>
      </c>
      <c r="F26" s="42">
        <v>0</v>
      </c>
      <c r="G26" s="35">
        <v>0</v>
      </c>
      <c r="H26" s="42">
        <v>0</v>
      </c>
      <c r="I26" s="42">
        <v>0</v>
      </c>
      <c r="J26" s="35">
        <v>5500000</v>
      </c>
      <c r="K26" s="35">
        <v>0</v>
      </c>
      <c r="L26" s="35">
        <v>0</v>
      </c>
      <c r="M26" s="35">
        <v>0</v>
      </c>
      <c r="N26" s="35">
        <v>0</v>
      </c>
      <c r="O26" s="35">
        <v>0</v>
      </c>
      <c r="P26" s="35">
        <v>0</v>
      </c>
      <c r="Q26" s="35">
        <v>0</v>
      </c>
      <c r="R26" s="29">
        <f t="shared" si="17"/>
        <v>5500000</v>
      </c>
      <c r="S26" s="80">
        <f t="shared" si="18"/>
        <v>1208.7912087912089</v>
      </c>
      <c r="W26" s="29">
        <f t="shared" si="8"/>
        <v>0</v>
      </c>
      <c r="X26" s="29">
        <f t="shared" si="8"/>
        <v>0</v>
      </c>
      <c r="Y26" s="29">
        <f t="shared" si="8"/>
        <v>0</v>
      </c>
      <c r="Z26" s="29">
        <f t="shared" si="8"/>
        <v>0</v>
      </c>
      <c r="AA26" s="29">
        <f t="shared" si="8"/>
        <v>5500000</v>
      </c>
      <c r="AB26" s="76">
        <f t="shared" si="2"/>
        <v>0</v>
      </c>
      <c r="AC26" s="76">
        <f t="shared" si="3"/>
        <v>0</v>
      </c>
      <c r="AD26" s="76">
        <f t="shared" si="4"/>
        <v>0</v>
      </c>
      <c r="AE26" s="76">
        <f t="shared" si="5"/>
        <v>0</v>
      </c>
      <c r="AF26" s="76">
        <f t="shared" si="9"/>
        <v>1208.7912087912089</v>
      </c>
      <c r="AG26" s="76">
        <f t="shared" si="10"/>
        <v>1208.7912087912089</v>
      </c>
      <c r="AI26" s="29">
        <f t="shared" si="11"/>
        <v>0</v>
      </c>
      <c r="AJ26" s="92">
        <f t="shared" si="15"/>
        <v>1208.7912087912089</v>
      </c>
    </row>
    <row r="27" spans="1:36" outlineLevel="1" x14ac:dyDescent="0.4">
      <c r="A27" s="26" t="s">
        <v>379</v>
      </c>
      <c r="F27" s="42">
        <v>541907.41</v>
      </c>
      <c r="G27" s="43">
        <v>406819.3</v>
      </c>
      <c r="H27" s="79">
        <v>520005.53</v>
      </c>
      <c r="I27" s="42">
        <v>747740.97</v>
      </c>
      <c r="J27" s="35">
        <v>350000</v>
      </c>
      <c r="K27" s="35">
        <v>350000</v>
      </c>
      <c r="L27" s="42">
        <v>350000</v>
      </c>
      <c r="M27" s="35">
        <v>350000</v>
      </c>
      <c r="N27" s="35">
        <v>350000</v>
      </c>
      <c r="O27" s="35">
        <v>350000</v>
      </c>
      <c r="P27" s="35">
        <v>350000</v>
      </c>
      <c r="Q27" s="35">
        <v>350000</v>
      </c>
      <c r="R27" s="29">
        <f t="shared" si="17"/>
        <v>5016473.21</v>
      </c>
      <c r="S27" s="80">
        <f t="shared" si="18"/>
        <v>1102.5215846153847</v>
      </c>
      <c r="W27" s="29">
        <f t="shared" si="8"/>
        <v>541907.41</v>
      </c>
      <c r="X27" s="29">
        <f t="shared" si="8"/>
        <v>406819.3</v>
      </c>
      <c r="Y27" s="29">
        <f t="shared" si="8"/>
        <v>520005.53</v>
      </c>
      <c r="Z27" s="29">
        <f t="shared" si="8"/>
        <v>747740.97</v>
      </c>
      <c r="AA27" s="29">
        <f t="shared" si="8"/>
        <v>350000</v>
      </c>
      <c r="AB27" s="76">
        <f t="shared" si="2"/>
        <v>115.07605849250808</v>
      </c>
      <c r="AC27" s="76">
        <f t="shared" si="3"/>
        <v>84.909738394632839</v>
      </c>
      <c r="AD27" s="76">
        <f t="shared" si="4"/>
        <v>109.28890407258982</v>
      </c>
      <c r="AE27" s="76">
        <f t="shared" si="5"/>
        <v>164.69799663411024</v>
      </c>
      <c r="AF27" s="76">
        <f t="shared" si="9"/>
        <v>76.92307692307692</v>
      </c>
      <c r="AG27" s="76">
        <f t="shared" si="10"/>
        <v>550.89577451691787</v>
      </c>
      <c r="AI27" s="29">
        <f t="shared" si="11"/>
        <v>538.46153846153845</v>
      </c>
      <c r="AJ27" s="92">
        <f t="shared" si="15"/>
        <v>1089.3573129784563</v>
      </c>
    </row>
    <row r="28" spans="1:36" outlineLevel="1" x14ac:dyDescent="0.4">
      <c r="A28" s="26" t="s">
        <v>380</v>
      </c>
      <c r="F28" s="42">
        <f>284800+264000</f>
        <v>548800</v>
      </c>
      <c r="G28" s="35">
        <v>715000</v>
      </c>
      <c r="H28" s="42">
        <v>31500</v>
      </c>
      <c r="I28" s="42">
        <v>0</v>
      </c>
      <c r="J28" s="35">
        <v>1000000</v>
      </c>
      <c r="K28" s="35">
        <v>1000000</v>
      </c>
      <c r="L28" s="42">
        <v>200000</v>
      </c>
      <c r="M28" s="35">
        <v>200000</v>
      </c>
      <c r="N28" s="35">
        <v>200000</v>
      </c>
      <c r="O28" s="35">
        <v>0</v>
      </c>
      <c r="P28" s="35">
        <v>200000</v>
      </c>
      <c r="Q28" s="35">
        <v>200000</v>
      </c>
      <c r="R28" s="29">
        <f t="shared" si="17"/>
        <v>4295300</v>
      </c>
      <c r="S28" s="80">
        <f t="shared" si="18"/>
        <v>944.02197802197804</v>
      </c>
      <c r="W28" s="29">
        <f t="shared" si="8"/>
        <v>548800</v>
      </c>
      <c r="X28" s="29">
        <f t="shared" si="8"/>
        <v>715000</v>
      </c>
      <c r="Y28" s="29">
        <f t="shared" si="8"/>
        <v>31500</v>
      </c>
      <c r="Z28" s="29">
        <f t="shared" si="8"/>
        <v>0</v>
      </c>
      <c r="AA28" s="29">
        <f t="shared" si="8"/>
        <v>1000000</v>
      </c>
      <c r="AB28" s="76">
        <f t="shared" si="2"/>
        <v>116.53972567138071</v>
      </c>
      <c r="AC28" s="76">
        <f t="shared" si="3"/>
        <v>149.23201271955998</v>
      </c>
      <c r="AD28" s="76">
        <f t="shared" si="4"/>
        <v>6.6203151306613579</v>
      </c>
      <c r="AE28" s="76">
        <f t="shared" si="5"/>
        <v>0</v>
      </c>
      <c r="AF28" s="76">
        <f t="shared" si="9"/>
        <v>219.78021978021977</v>
      </c>
      <c r="AG28" s="76">
        <f t="shared" si="10"/>
        <v>492.17227330182186</v>
      </c>
      <c r="AI28" s="29">
        <f t="shared" si="11"/>
        <v>439.56043956043953</v>
      </c>
      <c r="AJ28" s="92">
        <f t="shared" si="15"/>
        <v>931.73271286226145</v>
      </c>
    </row>
    <row r="29" spans="1:36" outlineLevel="1" x14ac:dyDescent="0.4">
      <c r="A29" s="26" t="s">
        <v>381</v>
      </c>
      <c r="F29" s="42">
        <v>0</v>
      </c>
      <c r="G29" s="35">
        <v>0</v>
      </c>
      <c r="H29" s="57">
        <v>2696000</v>
      </c>
      <c r="I29" s="42">
        <v>5392000</v>
      </c>
      <c r="J29" s="57">
        <v>2696000</v>
      </c>
      <c r="K29" s="57">
        <v>2696000</v>
      </c>
      <c r="L29" s="57">
        <v>2696000</v>
      </c>
      <c r="M29" s="57">
        <v>2696000</v>
      </c>
      <c r="N29" s="57">
        <v>2696000</v>
      </c>
      <c r="O29" s="57">
        <v>2696000</v>
      </c>
      <c r="P29" s="57">
        <v>2696000</v>
      </c>
      <c r="Q29" s="57">
        <v>2696000</v>
      </c>
      <c r="R29" s="29">
        <f t="shared" si="17"/>
        <v>29656000</v>
      </c>
      <c r="S29" s="80">
        <f t="shared" si="18"/>
        <v>6517.802197802198</v>
      </c>
      <c r="W29" s="29">
        <f t="shared" si="8"/>
        <v>0</v>
      </c>
      <c r="X29" s="29">
        <f t="shared" si="8"/>
        <v>0</v>
      </c>
      <c r="Y29" s="29">
        <f t="shared" si="8"/>
        <v>2696000</v>
      </c>
      <c r="Z29" s="29">
        <f t="shared" si="8"/>
        <v>5392000</v>
      </c>
      <c r="AA29" s="29">
        <f t="shared" si="8"/>
        <v>2696000</v>
      </c>
      <c r="AB29" s="76">
        <f t="shared" si="2"/>
        <v>0</v>
      </c>
      <c r="AC29" s="76">
        <f t="shared" si="3"/>
        <v>0</v>
      </c>
      <c r="AD29" s="76">
        <f t="shared" si="4"/>
        <v>566.61490769088959</v>
      </c>
      <c r="AE29" s="76">
        <f t="shared" si="5"/>
        <v>1187.6460344965751</v>
      </c>
      <c r="AF29" s="76">
        <f t="shared" si="9"/>
        <v>592.52747252747258</v>
      </c>
      <c r="AG29" s="76">
        <f t="shared" si="10"/>
        <v>2346.7884147149371</v>
      </c>
      <c r="AI29" s="29">
        <f t="shared" si="11"/>
        <v>4147.6923076923076</v>
      </c>
      <c r="AJ29" s="92">
        <f t="shared" si="15"/>
        <v>6494.4807224072447</v>
      </c>
    </row>
    <row r="30" spans="1:36" outlineLevel="1" x14ac:dyDescent="0.4">
      <c r="A30" s="26" t="s">
        <v>382</v>
      </c>
      <c r="F30" s="42">
        <v>0</v>
      </c>
      <c r="G30" s="42">
        <v>0</v>
      </c>
      <c r="H30" s="35">
        <v>0</v>
      </c>
      <c r="I30" s="35">
        <v>0</v>
      </c>
      <c r="J30" s="35">
        <v>150000</v>
      </c>
      <c r="K30" s="35">
        <v>0</v>
      </c>
      <c r="L30" s="35">
        <v>0</v>
      </c>
      <c r="M30" s="35">
        <v>150000</v>
      </c>
      <c r="N30" s="35">
        <v>0</v>
      </c>
      <c r="O30" s="35">
        <v>0</v>
      </c>
      <c r="P30" s="35">
        <v>300000</v>
      </c>
      <c r="Q30" s="35">
        <v>0</v>
      </c>
      <c r="R30" s="29">
        <f t="shared" si="17"/>
        <v>600000</v>
      </c>
      <c r="S30" s="80">
        <f t="shared" si="18"/>
        <v>131.86813186813185</v>
      </c>
      <c r="W30" s="29">
        <f t="shared" si="8"/>
        <v>0</v>
      </c>
      <c r="X30" s="29">
        <f t="shared" si="8"/>
        <v>0</v>
      </c>
      <c r="Y30" s="29">
        <f t="shared" si="8"/>
        <v>0</v>
      </c>
      <c r="Z30" s="29">
        <f t="shared" si="8"/>
        <v>0</v>
      </c>
      <c r="AA30" s="29">
        <f t="shared" si="8"/>
        <v>150000</v>
      </c>
      <c r="AB30" s="76">
        <f t="shared" si="2"/>
        <v>0</v>
      </c>
      <c r="AC30" s="76">
        <f t="shared" si="3"/>
        <v>0</v>
      </c>
      <c r="AD30" s="76">
        <f t="shared" si="4"/>
        <v>0</v>
      </c>
      <c r="AE30" s="76">
        <f t="shared" si="5"/>
        <v>0</v>
      </c>
      <c r="AF30" s="76">
        <f t="shared" si="9"/>
        <v>32.967032967032964</v>
      </c>
      <c r="AG30" s="76">
        <f t="shared" si="10"/>
        <v>32.967032967032964</v>
      </c>
      <c r="AI30" s="29">
        <f t="shared" si="11"/>
        <v>98.901098901098905</v>
      </c>
      <c r="AJ30" s="92">
        <f t="shared" si="15"/>
        <v>131.86813186813185</v>
      </c>
    </row>
    <row r="31" spans="1:36" s="27" customFormat="1" x14ac:dyDescent="0.4">
      <c r="G31" s="46"/>
      <c r="H31" s="46"/>
      <c r="I31" s="46"/>
      <c r="J31" s="46"/>
      <c r="K31" s="46"/>
      <c r="L31" s="46"/>
      <c r="M31" s="46"/>
      <c r="N31" s="46"/>
      <c r="O31" s="46"/>
      <c r="P31" s="46"/>
      <c r="Q31" s="46"/>
      <c r="R31" s="39"/>
      <c r="W31" s="29">
        <f t="shared" si="8"/>
        <v>0</v>
      </c>
      <c r="X31" s="29">
        <f t="shared" si="8"/>
        <v>0</v>
      </c>
      <c r="Y31" s="29">
        <f t="shared" si="8"/>
        <v>0</v>
      </c>
      <c r="Z31" s="29">
        <f t="shared" si="8"/>
        <v>0</v>
      </c>
      <c r="AA31" s="29">
        <f t="shared" si="8"/>
        <v>0</v>
      </c>
      <c r="AB31" s="76">
        <f t="shared" si="2"/>
        <v>0</v>
      </c>
      <c r="AC31" s="76">
        <f t="shared" si="3"/>
        <v>0</v>
      </c>
      <c r="AD31" s="76">
        <f t="shared" si="4"/>
        <v>0</v>
      </c>
      <c r="AE31" s="76">
        <f t="shared" si="5"/>
        <v>0</v>
      </c>
      <c r="AF31" s="76">
        <f t="shared" si="9"/>
        <v>0</v>
      </c>
      <c r="AG31" s="76">
        <f t="shared" si="10"/>
        <v>0</v>
      </c>
      <c r="AI31" s="29">
        <f t="shared" si="11"/>
        <v>0</v>
      </c>
      <c r="AJ31" s="81">
        <f t="shared" si="15"/>
        <v>0</v>
      </c>
    </row>
    <row r="32" spans="1:36" s="48" customFormat="1" x14ac:dyDescent="0.4">
      <c r="A32" s="47" t="s">
        <v>383</v>
      </c>
      <c r="F32" s="49">
        <f t="shared" ref="F32:Q32" si="19">F34+F44+F52+F60+F66+F77+F80</f>
        <v>5775.942733139882</v>
      </c>
      <c r="G32" s="49">
        <f t="shared" si="19"/>
        <v>2503.0689876150764</v>
      </c>
      <c r="H32" s="49">
        <f t="shared" si="19"/>
        <v>9150.284866937378</v>
      </c>
      <c r="I32" s="49">
        <f t="shared" si="19"/>
        <v>10906.911584224246</v>
      </c>
      <c r="J32" s="49">
        <f t="shared" si="19"/>
        <v>32346.632558637364</v>
      </c>
      <c r="K32" s="49">
        <f t="shared" si="19"/>
        <v>14674.338268864471</v>
      </c>
      <c r="L32" s="49">
        <f t="shared" si="19"/>
        <v>28176.146228571426</v>
      </c>
      <c r="M32" s="49">
        <f t="shared" si="19"/>
        <v>25470.697876923074</v>
      </c>
      <c r="N32" s="49">
        <f t="shared" si="19"/>
        <v>27283.23414065934</v>
      </c>
      <c r="O32" s="49">
        <f t="shared" si="19"/>
        <v>19720.663525274722</v>
      </c>
      <c r="P32" s="49">
        <f t="shared" si="19"/>
        <v>12612.118373626374</v>
      </c>
      <c r="Q32" s="49">
        <f t="shared" si="19"/>
        <v>8673.4590329670336</v>
      </c>
      <c r="R32" s="49">
        <f t="shared" si="17"/>
        <v>197293.4981774404</v>
      </c>
      <c r="W32" s="29">
        <f t="shared" si="8"/>
        <v>5775.942733139882</v>
      </c>
      <c r="X32" s="29">
        <f t="shared" si="8"/>
        <v>2503.0689876150764</v>
      </c>
      <c r="Y32" s="29">
        <f t="shared" si="8"/>
        <v>9150.284866937378</v>
      </c>
      <c r="Z32" s="29">
        <f t="shared" si="8"/>
        <v>10906.911584224246</v>
      </c>
      <c r="AA32" s="29">
        <f t="shared" si="8"/>
        <v>32346.632558637364</v>
      </c>
      <c r="AB32" s="76">
        <f t="shared" si="2"/>
        <v>1.2265429694127674</v>
      </c>
      <c r="AC32" s="76">
        <f t="shared" si="3"/>
        <v>0.52243080139539744</v>
      </c>
      <c r="AD32" s="76">
        <f t="shared" si="4"/>
        <v>1.9231037890300691</v>
      </c>
      <c r="AE32" s="76">
        <f t="shared" si="5"/>
        <v>2.4023646683250526</v>
      </c>
      <c r="AF32" s="76">
        <f t="shared" si="9"/>
        <v>7.1091500128873326</v>
      </c>
      <c r="AG32" s="76">
        <f t="shared" si="10"/>
        <v>13.183592241050619</v>
      </c>
      <c r="AI32" s="29">
        <f t="shared" si="11"/>
        <v>30.024320317997027</v>
      </c>
      <c r="AJ32" s="76"/>
    </row>
    <row r="33" spans="1:36" s="27" customFormat="1" x14ac:dyDescent="0.4">
      <c r="A33" s="50"/>
      <c r="G33" s="51"/>
      <c r="H33" s="51"/>
      <c r="I33" s="51"/>
      <c r="J33" s="51"/>
      <c r="K33" s="51"/>
      <c r="L33" s="51"/>
      <c r="M33" s="51"/>
      <c r="N33" s="51"/>
      <c r="O33" s="51"/>
      <c r="P33" s="51"/>
      <c r="Q33" s="51"/>
      <c r="R33" s="39"/>
      <c r="W33" s="29">
        <f t="shared" si="8"/>
        <v>0</v>
      </c>
      <c r="X33" s="29">
        <f t="shared" si="8"/>
        <v>0</v>
      </c>
      <c r="Y33" s="29">
        <f t="shared" si="8"/>
        <v>0</v>
      </c>
      <c r="Z33" s="29">
        <f t="shared" si="8"/>
        <v>0</v>
      </c>
      <c r="AA33" s="29">
        <f t="shared" si="8"/>
        <v>0</v>
      </c>
      <c r="AB33" s="76">
        <f t="shared" si="2"/>
        <v>0</v>
      </c>
      <c r="AC33" s="76">
        <f t="shared" si="3"/>
        <v>0</v>
      </c>
      <c r="AD33" s="76">
        <f t="shared" si="4"/>
        <v>0</v>
      </c>
      <c r="AE33" s="76">
        <f t="shared" si="5"/>
        <v>0</v>
      </c>
      <c r="AF33" s="76">
        <f t="shared" si="9"/>
        <v>0</v>
      </c>
      <c r="AG33" s="76">
        <f t="shared" si="10"/>
        <v>0</v>
      </c>
      <c r="AI33" s="29">
        <f t="shared" si="11"/>
        <v>0</v>
      </c>
      <c r="AJ33" s="81">
        <f t="shared" si="15"/>
        <v>0</v>
      </c>
    </row>
    <row r="34" spans="1:36" x14ac:dyDescent="0.4">
      <c r="A34" s="28" t="s">
        <v>384</v>
      </c>
      <c r="B34" s="41" t="s">
        <v>385</v>
      </c>
      <c r="C34" s="28"/>
      <c r="D34" s="28"/>
      <c r="E34" s="28"/>
      <c r="F34" s="30">
        <f>(SUM(F35:F42))/F93</f>
        <v>2376.6015483479846</v>
      </c>
      <c r="G34" s="30">
        <f>((SUM(G35:G42))/G93)-533.75</f>
        <v>-283.29067795318605</v>
      </c>
      <c r="H34" s="30">
        <f>(SUM(H35:H42))/H93</f>
        <v>5073.4110362186193</v>
      </c>
      <c r="I34" s="30">
        <f>(SUM(I35:I42))/I93</f>
        <v>8127.8897742684594</v>
      </c>
      <c r="J34" s="30">
        <f t="shared" ref="J34:Q34" si="20">(SUM(J35:J42))/$U$4</f>
        <v>20325.404967032966</v>
      </c>
      <c r="K34" s="30">
        <f t="shared" si="20"/>
        <v>6548.5593274725279</v>
      </c>
      <c r="L34" s="30">
        <f t="shared" si="20"/>
        <v>19835.997560439559</v>
      </c>
      <c r="M34" s="30">
        <f t="shared" si="20"/>
        <v>17130.549208791206</v>
      </c>
      <c r="N34" s="30">
        <f t="shared" si="20"/>
        <v>18833.195362637362</v>
      </c>
      <c r="O34" s="30">
        <f t="shared" si="20"/>
        <v>11380.514857142856</v>
      </c>
      <c r="P34" s="30">
        <f t="shared" si="20"/>
        <v>5857.2307692307695</v>
      </c>
      <c r="Q34" s="30">
        <f t="shared" si="20"/>
        <v>0</v>
      </c>
      <c r="R34" s="40">
        <f>SUM(F34:Q34)</f>
        <v>115206.06373362911</v>
      </c>
      <c r="S34" s="52" t="s">
        <v>386</v>
      </c>
      <c r="T34" s="52" t="s">
        <v>387</v>
      </c>
      <c r="W34" s="29">
        <f t="shared" si="8"/>
        <v>2376.6015483479846</v>
      </c>
      <c r="X34" s="29">
        <f t="shared" si="8"/>
        <v>-283.29067795318605</v>
      </c>
      <c r="Y34" s="29">
        <f t="shared" si="8"/>
        <v>5073.4110362186193</v>
      </c>
      <c r="Z34" s="29">
        <f t="shared" si="8"/>
        <v>8127.8897742684594</v>
      </c>
      <c r="AA34" s="29">
        <f t="shared" si="8"/>
        <v>20325.404967032966</v>
      </c>
      <c r="AB34" s="76">
        <f t="shared" si="2"/>
        <v>0.50468019765789496</v>
      </c>
      <c r="AC34" s="76">
        <f t="shared" si="3"/>
        <v>-5.912732595194773E-2</v>
      </c>
      <c r="AD34" s="76">
        <f t="shared" si="4"/>
        <v>1.0662723760997601</v>
      </c>
      <c r="AE34" s="76">
        <f t="shared" si="5"/>
        <v>1.7902552038640946</v>
      </c>
      <c r="AF34" s="76">
        <f t="shared" si="9"/>
        <v>4.4671219707764758</v>
      </c>
      <c r="AG34" s="76">
        <f t="shared" si="10"/>
        <v>7.7692024224462779</v>
      </c>
      <c r="AI34" s="29">
        <f t="shared" si="11"/>
        <v>17.491438919937202</v>
      </c>
      <c r="AJ34" s="76"/>
    </row>
    <row r="35" spans="1:36" outlineLevel="1" x14ac:dyDescent="0.4">
      <c r="A35" s="26" t="s">
        <v>15</v>
      </c>
      <c r="F35" s="42">
        <v>9991711</v>
      </c>
      <c r="G35" s="42">
        <v>0</v>
      </c>
      <c r="H35" s="82">
        <v>8839704</v>
      </c>
      <c r="I35" s="42">
        <v>18670703</v>
      </c>
      <c r="J35" s="54">
        <v>39134592.599999994</v>
      </c>
      <c r="K35" s="53">
        <f>16650000+366444.94-1551666.667</f>
        <v>15464778.273000002</v>
      </c>
      <c r="L35" s="54">
        <v>39897288.899999991</v>
      </c>
      <c r="M35" s="53">
        <v>50798888.899999991</v>
      </c>
      <c r="N35" s="53">
        <v>47054538.899999991</v>
      </c>
      <c r="O35" s="53">
        <v>36200342.599999994</v>
      </c>
      <c r="P35" s="53">
        <f>9069400+4000000</f>
        <v>13069400</v>
      </c>
      <c r="Q35" s="53">
        <v>0</v>
      </c>
      <c r="R35" s="29">
        <f t="shared" si="17"/>
        <v>279121948.17299998</v>
      </c>
      <c r="S35" s="55">
        <v>301823585.75999993</v>
      </c>
      <c r="T35" s="56">
        <f>SUM(R35:R42)</f>
        <v>528029736.83999997</v>
      </c>
      <c r="U35" s="80">
        <f>R35/U$4</f>
        <v>61345.483114945047</v>
      </c>
      <c r="W35" s="29">
        <f t="shared" si="8"/>
        <v>9991711</v>
      </c>
      <c r="X35" s="29">
        <f t="shared" si="8"/>
        <v>0</v>
      </c>
      <c r="Y35" s="29">
        <f t="shared" si="8"/>
        <v>8839704</v>
      </c>
      <c r="Z35" s="29">
        <f t="shared" si="8"/>
        <v>18670703</v>
      </c>
      <c r="AA35" s="29">
        <f t="shared" si="8"/>
        <v>39134592.599999994</v>
      </c>
      <c r="AB35" s="76">
        <f t="shared" si="2"/>
        <v>2121.777075305607</v>
      </c>
      <c r="AC35" s="76">
        <f t="shared" si="3"/>
        <v>0</v>
      </c>
      <c r="AD35" s="76">
        <f t="shared" si="4"/>
        <v>1857.8294013259597</v>
      </c>
      <c r="AE35" s="76">
        <f t="shared" si="5"/>
        <v>4112.4232899134477</v>
      </c>
      <c r="AF35" s="76">
        <f t="shared" si="9"/>
        <v>8601.0093626373618</v>
      </c>
      <c r="AG35" s="76">
        <f t="shared" si="10"/>
        <v>16693.039129182376</v>
      </c>
      <c r="AI35" s="29">
        <f t="shared" si="11"/>
        <v>44502.250016043952</v>
      </c>
      <c r="AJ35" s="92">
        <f t="shared" si="15"/>
        <v>61195.289145226328</v>
      </c>
    </row>
    <row r="36" spans="1:36" outlineLevel="1" x14ac:dyDescent="0.4">
      <c r="A36" s="26" t="s">
        <v>388</v>
      </c>
      <c r="F36" s="42">
        <v>0</v>
      </c>
      <c r="G36" s="42">
        <v>0</v>
      </c>
      <c r="H36" s="42">
        <v>0</v>
      </c>
      <c r="I36" s="42">
        <v>0</v>
      </c>
      <c r="J36" s="54">
        <v>0</v>
      </c>
      <c r="K36" s="53">
        <v>0</v>
      </c>
      <c r="L36" s="54">
        <v>1000000</v>
      </c>
      <c r="M36" s="53">
        <v>1000000</v>
      </c>
      <c r="N36" s="53">
        <v>1000000</v>
      </c>
      <c r="O36" s="53">
        <v>1000000</v>
      </c>
      <c r="P36" s="53">
        <v>0</v>
      </c>
      <c r="Q36" s="53">
        <v>0</v>
      </c>
      <c r="R36" s="29">
        <f>SUM(L36:Q36)</f>
        <v>4000000</v>
      </c>
      <c r="S36" s="55"/>
      <c r="T36" s="56"/>
      <c r="U36" s="80"/>
      <c r="W36" s="29"/>
      <c r="X36" s="29"/>
      <c r="Y36" s="29"/>
      <c r="Z36" s="29"/>
      <c r="AA36" s="29"/>
      <c r="AG36" s="76"/>
      <c r="AI36" s="29"/>
      <c r="AJ36" s="77"/>
    </row>
    <row r="37" spans="1:36" outlineLevel="1" x14ac:dyDescent="0.4">
      <c r="A37" s="26" t="s">
        <v>389</v>
      </c>
      <c r="F37" s="42">
        <v>0</v>
      </c>
      <c r="G37" s="57">
        <v>0</v>
      </c>
      <c r="I37" s="42">
        <v>1055120</v>
      </c>
      <c r="J37" s="54">
        <v>11361000</v>
      </c>
      <c r="K37" s="53">
        <f>4600000-1333333.333</f>
        <v>3266666.6669999999</v>
      </c>
      <c r="L37" s="54">
        <v>10386500</v>
      </c>
      <c r="M37" s="53">
        <v>17041500</v>
      </c>
      <c r="N37" s="53">
        <v>17041500</v>
      </c>
      <c r="O37" s="53">
        <v>12361000</v>
      </c>
      <c r="P37" s="53">
        <v>11361000</v>
      </c>
      <c r="Q37" s="53">
        <v>0</v>
      </c>
      <c r="R37" s="29">
        <f>SUM(F37:Q37)</f>
        <v>83874286.666999996</v>
      </c>
      <c r="S37" s="55">
        <v>93728250</v>
      </c>
      <c r="T37" s="56">
        <f>SUM(S35:S42)</f>
        <v>521148515.75999993</v>
      </c>
      <c r="U37" s="80">
        <f t="shared" ref="U37:U42" si="21">R37/U$4</f>
        <v>18433.909157582417</v>
      </c>
      <c r="W37" s="29">
        <f t="shared" si="8"/>
        <v>0</v>
      </c>
      <c r="X37" s="29">
        <f t="shared" si="8"/>
        <v>0</v>
      </c>
      <c r="Y37" s="29">
        <f t="shared" si="8"/>
        <v>0</v>
      </c>
      <c r="Z37" s="29">
        <f t="shared" si="8"/>
        <v>1055120</v>
      </c>
      <c r="AA37" s="29">
        <f t="shared" si="8"/>
        <v>11361000</v>
      </c>
      <c r="AB37" s="76">
        <f t="shared" ref="AB37:AB84" si="22">+W37/$F$93</f>
        <v>0</v>
      </c>
      <c r="AC37" s="76">
        <f t="shared" ref="AC37:AC84" si="23">+X37/$G$93</f>
        <v>0</v>
      </c>
      <c r="AD37" s="76">
        <f t="shared" ref="AD37:AD84" si="24">+Y37/$H$93</f>
        <v>0</v>
      </c>
      <c r="AE37" s="76">
        <f t="shared" ref="AE37:AE84" si="25">+Z37/$I$93</f>
        <v>232.40153633494552</v>
      </c>
      <c r="AF37" s="76">
        <f t="shared" si="9"/>
        <v>2496.9230769230771</v>
      </c>
      <c r="AG37" s="76">
        <f t="shared" si="10"/>
        <v>2729.3246132580225</v>
      </c>
      <c r="AI37" s="29">
        <f t="shared" si="11"/>
        <v>15705.091575164834</v>
      </c>
      <c r="AJ37" s="92">
        <f t="shared" si="15"/>
        <v>18434.416188422856</v>
      </c>
    </row>
    <row r="38" spans="1:36" outlineLevel="1" x14ac:dyDescent="0.4">
      <c r="A38" s="26" t="s">
        <v>112</v>
      </c>
      <c r="F38" s="42">
        <v>0</v>
      </c>
      <c r="G38" s="57">
        <v>0</v>
      </c>
      <c r="H38" s="57">
        <v>4300000</v>
      </c>
      <c r="I38" s="42">
        <v>15850000</v>
      </c>
      <c r="J38" s="54">
        <v>12000000</v>
      </c>
      <c r="K38" s="54">
        <v>9864500</v>
      </c>
      <c r="L38" s="54">
        <f>18375000*2</f>
        <v>36750000</v>
      </c>
      <c r="M38" s="53">
        <v>6883610</v>
      </c>
      <c r="N38" s="53">
        <v>18375000</v>
      </c>
      <c r="O38" s="53">
        <v>0</v>
      </c>
      <c r="P38" s="53">
        <v>0</v>
      </c>
      <c r="Q38" s="53">
        <v>0</v>
      </c>
      <c r="R38" s="29">
        <f>SUM(F38:Q38)</f>
        <v>104023110</v>
      </c>
      <c r="S38" s="55">
        <v>100601680</v>
      </c>
      <c r="T38" s="56">
        <f>T37-T35</f>
        <v>-6881221.0800000429</v>
      </c>
      <c r="U38" s="80">
        <f t="shared" si="21"/>
        <v>22862.221978021978</v>
      </c>
      <c r="W38" s="29">
        <f t="shared" si="8"/>
        <v>0</v>
      </c>
      <c r="X38" s="29">
        <f t="shared" si="8"/>
        <v>0</v>
      </c>
      <c r="Y38" s="29">
        <f t="shared" si="8"/>
        <v>4300000</v>
      </c>
      <c r="Z38" s="29">
        <f t="shared" si="8"/>
        <v>15850000</v>
      </c>
      <c r="AA38" s="29">
        <f t="shared" si="8"/>
        <v>12000000</v>
      </c>
      <c r="AB38" s="76">
        <f t="shared" si="22"/>
        <v>0</v>
      </c>
      <c r="AC38" s="76">
        <f t="shared" si="23"/>
        <v>0</v>
      </c>
      <c r="AD38" s="76">
        <f t="shared" si="24"/>
        <v>903.72555751885204</v>
      </c>
      <c r="AE38" s="76">
        <f t="shared" si="25"/>
        <v>3491.1330947275064</v>
      </c>
      <c r="AF38" s="76">
        <f t="shared" si="9"/>
        <v>2637.3626373626375</v>
      </c>
      <c r="AG38" s="76">
        <f t="shared" si="10"/>
        <v>7032.2212896089959</v>
      </c>
      <c r="AI38" s="29">
        <f t="shared" si="11"/>
        <v>15796.287912087912</v>
      </c>
      <c r="AJ38" s="92">
        <f t="shared" si="15"/>
        <v>22828.509201696907</v>
      </c>
    </row>
    <row r="39" spans="1:36" outlineLevel="1" x14ac:dyDescent="0.4">
      <c r="A39" s="26" t="s">
        <v>283</v>
      </c>
      <c r="F39" s="42">
        <v>0</v>
      </c>
      <c r="G39" s="57">
        <v>0</v>
      </c>
      <c r="H39" s="57">
        <v>0</v>
      </c>
      <c r="I39" s="42">
        <v>0</v>
      </c>
      <c r="J39" s="54">
        <f>140000*0.75</f>
        <v>105000</v>
      </c>
      <c r="K39" s="54">
        <v>0</v>
      </c>
      <c r="L39" s="54">
        <v>0</v>
      </c>
      <c r="M39" s="53">
        <v>0</v>
      </c>
      <c r="N39" s="53">
        <v>0</v>
      </c>
      <c r="O39" s="53">
        <v>0</v>
      </c>
      <c r="P39" s="53">
        <v>0</v>
      </c>
      <c r="Q39" s="53">
        <v>0</v>
      </c>
      <c r="R39" s="29">
        <f>SUM(F39:Q39)</f>
        <v>105000</v>
      </c>
      <c r="S39" s="55">
        <v>210000</v>
      </c>
      <c r="T39" s="52"/>
      <c r="U39" s="80">
        <f t="shared" si="21"/>
        <v>23.076923076923077</v>
      </c>
      <c r="W39" s="29">
        <f t="shared" si="8"/>
        <v>0</v>
      </c>
      <c r="X39" s="29">
        <f t="shared" si="8"/>
        <v>0</v>
      </c>
      <c r="Y39" s="29">
        <f t="shared" si="8"/>
        <v>0</v>
      </c>
      <c r="Z39" s="29">
        <f t="shared" si="8"/>
        <v>0</v>
      </c>
      <c r="AA39" s="29">
        <f t="shared" si="8"/>
        <v>105000</v>
      </c>
      <c r="AB39" s="76">
        <f t="shared" si="22"/>
        <v>0</v>
      </c>
      <c r="AC39" s="76">
        <f t="shared" si="23"/>
        <v>0</v>
      </c>
      <c r="AD39" s="76">
        <f t="shared" si="24"/>
        <v>0</v>
      </c>
      <c r="AE39" s="76">
        <f t="shared" si="25"/>
        <v>0</v>
      </c>
      <c r="AF39" s="76">
        <f t="shared" si="9"/>
        <v>23.076923076923077</v>
      </c>
      <c r="AG39" s="76">
        <f t="shared" si="10"/>
        <v>23.076923076923077</v>
      </c>
      <c r="AI39" s="29">
        <f t="shared" si="11"/>
        <v>0</v>
      </c>
      <c r="AJ39" s="92">
        <f t="shared" si="15"/>
        <v>23.076923076923077</v>
      </c>
    </row>
    <row r="40" spans="1:36" outlineLevel="1" x14ac:dyDescent="0.4">
      <c r="A40" s="26" t="s">
        <v>390</v>
      </c>
      <c r="F40" s="42">
        <v>0</v>
      </c>
      <c r="G40" s="57">
        <v>0</v>
      </c>
      <c r="H40" s="57">
        <v>0</v>
      </c>
      <c r="I40" s="42">
        <f>10500+114892</f>
        <v>125392</v>
      </c>
      <c r="J40" s="54">
        <v>680000</v>
      </c>
      <c r="K40" s="54">
        <v>0</v>
      </c>
      <c r="L40" s="54">
        <v>1020000</v>
      </c>
      <c r="M40" s="53">
        <v>1020000</v>
      </c>
      <c r="N40" s="53">
        <v>1020000</v>
      </c>
      <c r="O40" s="53">
        <v>1020000</v>
      </c>
      <c r="P40" s="53">
        <v>1020000</v>
      </c>
      <c r="Q40" s="53">
        <v>0</v>
      </c>
      <c r="R40" s="29">
        <f>SUM(F40:Q40)</f>
        <v>5905392</v>
      </c>
      <c r="S40" s="55">
        <v>6290000</v>
      </c>
      <c r="U40" s="80">
        <f t="shared" si="21"/>
        <v>1297.8883516483515</v>
      </c>
      <c r="W40" s="29">
        <f t="shared" si="8"/>
        <v>0</v>
      </c>
      <c r="X40" s="29">
        <f t="shared" si="8"/>
        <v>0</v>
      </c>
      <c r="Y40" s="29">
        <f t="shared" si="8"/>
        <v>0</v>
      </c>
      <c r="Z40" s="29">
        <f t="shared" si="8"/>
        <v>125392</v>
      </c>
      <c r="AA40" s="29">
        <f t="shared" si="8"/>
        <v>680000</v>
      </c>
      <c r="AB40" s="76">
        <f t="shared" si="22"/>
        <v>0</v>
      </c>
      <c r="AC40" s="76">
        <f t="shared" si="23"/>
        <v>0</v>
      </c>
      <c r="AD40" s="76">
        <f t="shared" si="24"/>
        <v>0</v>
      </c>
      <c r="AE40" s="76">
        <f t="shared" si="25"/>
        <v>27.61893760341145</v>
      </c>
      <c r="AF40" s="76">
        <f t="shared" si="9"/>
        <v>149.45054945054946</v>
      </c>
      <c r="AG40" s="76">
        <f t="shared" si="10"/>
        <v>177.0694870539609</v>
      </c>
      <c r="AI40" s="29">
        <f t="shared" si="11"/>
        <v>1120.8791208791208</v>
      </c>
      <c r="AJ40" s="92">
        <f t="shared" si="15"/>
        <v>1297.9486079330818</v>
      </c>
    </row>
    <row r="41" spans="1:36" outlineLevel="1" x14ac:dyDescent="0.4">
      <c r="A41" s="26" t="s">
        <v>286</v>
      </c>
      <c r="F41" s="42">
        <v>0</v>
      </c>
      <c r="G41" s="57">
        <v>0</v>
      </c>
      <c r="H41" s="57">
        <v>9800000</v>
      </c>
      <c r="I41" s="42">
        <v>0</v>
      </c>
      <c r="J41" s="54">
        <f>16000000+12000000</f>
        <v>28000000</v>
      </c>
      <c r="K41" s="53">
        <v>0</v>
      </c>
      <c r="L41" s="54">
        <v>0</v>
      </c>
      <c r="M41" s="53">
        <v>0</v>
      </c>
      <c r="N41" s="53">
        <v>0</v>
      </c>
      <c r="O41" s="53">
        <v>0</v>
      </c>
      <c r="P41" s="53">
        <v>0</v>
      </c>
      <c r="Q41" s="53">
        <v>0</v>
      </c>
      <c r="R41" s="29">
        <f t="shared" si="17"/>
        <v>37800000</v>
      </c>
      <c r="S41" s="55">
        <v>4095000</v>
      </c>
      <c r="U41" s="80">
        <f>R41/U$4</f>
        <v>8307.6923076923085</v>
      </c>
      <c r="W41" s="29">
        <f t="shared" si="8"/>
        <v>0</v>
      </c>
      <c r="X41" s="29">
        <f t="shared" si="8"/>
        <v>0</v>
      </c>
      <c r="Y41" s="29">
        <f t="shared" si="8"/>
        <v>9800000</v>
      </c>
      <c r="Z41" s="29">
        <f t="shared" si="8"/>
        <v>0</v>
      </c>
      <c r="AA41" s="29">
        <f t="shared" si="8"/>
        <v>28000000</v>
      </c>
      <c r="AB41" s="76">
        <f t="shared" si="22"/>
        <v>0</v>
      </c>
      <c r="AC41" s="76">
        <f t="shared" si="23"/>
        <v>0</v>
      </c>
      <c r="AD41" s="76">
        <f t="shared" si="24"/>
        <v>2059.653596205756</v>
      </c>
      <c r="AE41" s="76">
        <f t="shared" si="25"/>
        <v>0</v>
      </c>
      <c r="AF41" s="76">
        <f t="shared" si="9"/>
        <v>6153.8461538461543</v>
      </c>
      <c r="AG41" s="76">
        <f t="shared" si="10"/>
        <v>8213.4997500519094</v>
      </c>
      <c r="AI41" s="29">
        <f t="shared" si="11"/>
        <v>0</v>
      </c>
      <c r="AJ41" s="92">
        <f t="shared" si="15"/>
        <v>8213.4997500519094</v>
      </c>
    </row>
    <row r="42" spans="1:36" outlineLevel="1" x14ac:dyDescent="0.4">
      <c r="A42" s="26" t="s">
        <v>391</v>
      </c>
      <c r="F42" s="42">
        <v>1200000</v>
      </c>
      <c r="G42" s="35">
        <v>1200000</v>
      </c>
      <c r="H42" s="42">
        <v>1200000</v>
      </c>
      <c r="I42" s="42">
        <v>1200000</v>
      </c>
      <c r="J42" s="35">
        <v>1200000</v>
      </c>
      <c r="K42" s="35">
        <v>1200000</v>
      </c>
      <c r="L42" s="42">
        <v>1200000</v>
      </c>
      <c r="M42" s="35">
        <v>1200000</v>
      </c>
      <c r="N42" s="35">
        <v>1200000</v>
      </c>
      <c r="O42" s="35">
        <v>1200000</v>
      </c>
      <c r="P42" s="35">
        <v>1200000</v>
      </c>
      <c r="Q42" s="35">
        <v>0</v>
      </c>
      <c r="R42" s="29">
        <f>SUM(F42:Q42)</f>
        <v>13200000</v>
      </c>
      <c r="S42" s="55">
        <v>14400000</v>
      </c>
      <c r="U42" s="80">
        <f t="shared" si="21"/>
        <v>2901.098901098901</v>
      </c>
      <c r="W42" s="29">
        <f t="shared" si="8"/>
        <v>1200000</v>
      </c>
      <c r="X42" s="29">
        <f t="shared" si="8"/>
        <v>1200000</v>
      </c>
      <c r="Y42" s="29">
        <f t="shared" si="8"/>
        <v>1200000</v>
      </c>
      <c r="Z42" s="29">
        <f t="shared" si="8"/>
        <v>1200000</v>
      </c>
      <c r="AA42" s="29">
        <f t="shared" si="8"/>
        <v>1200000</v>
      </c>
      <c r="AB42" s="76">
        <f t="shared" si="22"/>
        <v>254.82447304237766</v>
      </c>
      <c r="AC42" s="76">
        <f t="shared" si="23"/>
        <v>250.45932204681395</v>
      </c>
      <c r="AD42" s="76">
        <f t="shared" si="24"/>
        <v>252.20248116805175</v>
      </c>
      <c r="AE42" s="76">
        <f t="shared" si="25"/>
        <v>264.31291568914878</v>
      </c>
      <c r="AF42" s="76">
        <f t="shared" si="9"/>
        <v>263.73626373626371</v>
      </c>
      <c r="AG42" s="76">
        <f t="shared" si="10"/>
        <v>1285.535455682656</v>
      </c>
      <c r="AI42" s="29">
        <f t="shared" si="11"/>
        <v>1582.4175824175825</v>
      </c>
      <c r="AJ42" s="92">
        <f t="shared" si="15"/>
        <v>2867.9530381002387</v>
      </c>
    </row>
    <row r="43" spans="1:36" s="27" customFormat="1" x14ac:dyDescent="0.4">
      <c r="G43" s="58"/>
      <c r="H43" s="58"/>
      <c r="I43" s="58"/>
      <c r="J43" s="58"/>
      <c r="K43" s="58"/>
      <c r="L43" s="58"/>
      <c r="M43" s="58"/>
      <c r="N43" s="58"/>
      <c r="O43" s="58"/>
      <c r="P43" s="58"/>
      <c r="Q43" s="58"/>
      <c r="R43" s="39"/>
      <c r="W43" s="29">
        <f t="shared" si="8"/>
        <v>0</v>
      </c>
      <c r="X43" s="29">
        <f t="shared" si="8"/>
        <v>0</v>
      </c>
      <c r="Y43" s="29">
        <f t="shared" si="8"/>
        <v>0</v>
      </c>
      <c r="Z43" s="29">
        <f t="shared" si="8"/>
        <v>0</v>
      </c>
      <c r="AA43" s="29">
        <f t="shared" si="8"/>
        <v>0</v>
      </c>
      <c r="AB43" s="76">
        <f t="shared" si="22"/>
        <v>0</v>
      </c>
      <c r="AC43" s="76">
        <f t="shared" si="23"/>
        <v>0</v>
      </c>
      <c r="AD43" s="76">
        <f t="shared" si="24"/>
        <v>0</v>
      </c>
      <c r="AE43" s="76">
        <f t="shared" si="25"/>
        <v>0</v>
      </c>
      <c r="AF43" s="76">
        <f t="shared" si="9"/>
        <v>0</v>
      </c>
      <c r="AG43" s="76">
        <f t="shared" si="10"/>
        <v>0</v>
      </c>
      <c r="AI43" s="29">
        <f t="shared" si="11"/>
        <v>0</v>
      </c>
      <c r="AJ43" s="81">
        <f t="shared" si="15"/>
        <v>0</v>
      </c>
    </row>
    <row r="44" spans="1:36" x14ac:dyDescent="0.4">
      <c r="A44" s="28" t="s">
        <v>392</v>
      </c>
      <c r="B44" s="41" t="s">
        <v>393</v>
      </c>
      <c r="F44" s="59">
        <f>(SUM(F45:F50))/4910</f>
        <v>0</v>
      </c>
      <c r="G44" s="60">
        <v>0</v>
      </c>
      <c r="H44" s="60">
        <f t="shared" ref="H44:Q44" si="26">(SUM(H45:H50))/4900</f>
        <v>0</v>
      </c>
      <c r="I44" s="60">
        <f t="shared" si="26"/>
        <v>0</v>
      </c>
      <c r="J44" s="60">
        <f t="shared" si="26"/>
        <v>0</v>
      </c>
      <c r="K44" s="60">
        <f t="shared" si="26"/>
        <v>0</v>
      </c>
      <c r="L44" s="60">
        <f t="shared" si="26"/>
        <v>0</v>
      </c>
      <c r="M44" s="60">
        <f t="shared" si="26"/>
        <v>0</v>
      </c>
      <c r="N44" s="60">
        <f t="shared" si="26"/>
        <v>0</v>
      </c>
      <c r="O44" s="60">
        <f>(SUM(O45:O50))/4910</f>
        <v>0</v>
      </c>
      <c r="P44" s="60">
        <f t="shared" si="26"/>
        <v>0</v>
      </c>
      <c r="Q44" s="60">
        <f t="shared" si="26"/>
        <v>0</v>
      </c>
      <c r="R44" s="40">
        <f>SUM(F44:Q44)</f>
        <v>0</v>
      </c>
      <c r="W44" s="29">
        <f t="shared" si="8"/>
        <v>0</v>
      </c>
      <c r="X44" s="29">
        <f t="shared" si="8"/>
        <v>0</v>
      </c>
      <c r="Y44" s="29">
        <f t="shared" si="8"/>
        <v>0</v>
      </c>
      <c r="Z44" s="29">
        <f t="shared" si="8"/>
        <v>0</v>
      </c>
      <c r="AA44" s="29">
        <f t="shared" si="8"/>
        <v>0</v>
      </c>
      <c r="AB44" s="76">
        <f t="shared" si="22"/>
        <v>0</v>
      </c>
      <c r="AC44" s="76">
        <f t="shared" si="23"/>
        <v>0</v>
      </c>
      <c r="AD44" s="76">
        <f t="shared" si="24"/>
        <v>0</v>
      </c>
      <c r="AE44" s="76">
        <f t="shared" si="25"/>
        <v>0</v>
      </c>
      <c r="AF44" s="76">
        <f t="shared" si="9"/>
        <v>0</v>
      </c>
      <c r="AG44" s="76">
        <f t="shared" si="10"/>
        <v>0</v>
      </c>
      <c r="AI44" s="29">
        <f t="shared" si="11"/>
        <v>0</v>
      </c>
      <c r="AJ44" s="81">
        <f t="shared" si="15"/>
        <v>0</v>
      </c>
    </row>
    <row r="45" spans="1:36" outlineLevel="1" x14ac:dyDescent="0.4">
      <c r="A45" s="26" t="s">
        <v>15</v>
      </c>
      <c r="F45" s="42">
        <v>0</v>
      </c>
      <c r="G45" s="42">
        <v>0</v>
      </c>
      <c r="H45" s="42">
        <v>0</v>
      </c>
      <c r="I45" s="42">
        <v>0</v>
      </c>
      <c r="J45" s="42">
        <v>0</v>
      </c>
      <c r="K45" s="42">
        <v>0</v>
      </c>
      <c r="L45" s="42">
        <v>0</v>
      </c>
      <c r="M45" s="42">
        <v>0</v>
      </c>
      <c r="N45" s="42">
        <v>0</v>
      </c>
      <c r="O45" s="42">
        <v>0</v>
      </c>
      <c r="P45" s="42">
        <v>0</v>
      </c>
      <c r="Q45" s="42">
        <v>0</v>
      </c>
      <c r="R45" s="29">
        <f t="shared" si="17"/>
        <v>0</v>
      </c>
      <c r="W45" s="29">
        <f t="shared" si="8"/>
        <v>0</v>
      </c>
      <c r="X45" s="29">
        <f t="shared" si="8"/>
        <v>0</v>
      </c>
      <c r="Y45" s="29">
        <f t="shared" si="8"/>
        <v>0</v>
      </c>
      <c r="Z45" s="29">
        <f t="shared" si="8"/>
        <v>0</v>
      </c>
      <c r="AA45" s="29">
        <f t="shared" si="8"/>
        <v>0</v>
      </c>
      <c r="AB45" s="76">
        <f t="shared" si="22"/>
        <v>0</v>
      </c>
      <c r="AC45" s="76">
        <f t="shared" si="23"/>
        <v>0</v>
      </c>
      <c r="AD45" s="76">
        <f t="shared" si="24"/>
        <v>0</v>
      </c>
      <c r="AE45" s="76">
        <f t="shared" si="25"/>
        <v>0</v>
      </c>
      <c r="AF45" s="76">
        <f t="shared" si="9"/>
        <v>0</v>
      </c>
      <c r="AG45" s="76">
        <f t="shared" si="10"/>
        <v>0</v>
      </c>
      <c r="AI45" s="29">
        <f t="shared" si="11"/>
        <v>0</v>
      </c>
      <c r="AJ45" s="81">
        <f t="shared" si="15"/>
        <v>0</v>
      </c>
    </row>
    <row r="46" spans="1:36" outlineLevel="1" x14ac:dyDescent="0.4">
      <c r="A46" s="26" t="s">
        <v>389</v>
      </c>
      <c r="F46" s="42">
        <v>0</v>
      </c>
      <c r="G46" s="42">
        <v>0</v>
      </c>
      <c r="H46" s="42">
        <v>0</v>
      </c>
      <c r="I46" s="42">
        <v>0</v>
      </c>
      <c r="J46" s="42">
        <v>0</v>
      </c>
      <c r="K46" s="42">
        <v>0</v>
      </c>
      <c r="L46" s="42">
        <v>0</v>
      </c>
      <c r="M46" s="42">
        <v>0</v>
      </c>
      <c r="N46" s="42">
        <v>0</v>
      </c>
      <c r="O46" s="42">
        <v>0</v>
      </c>
      <c r="P46" s="42">
        <v>0</v>
      </c>
      <c r="Q46" s="42">
        <v>0</v>
      </c>
      <c r="R46" s="29">
        <f t="shared" si="17"/>
        <v>0</v>
      </c>
      <c r="W46" s="29">
        <f t="shared" si="8"/>
        <v>0</v>
      </c>
      <c r="X46" s="29">
        <f t="shared" si="8"/>
        <v>0</v>
      </c>
      <c r="Y46" s="29">
        <f t="shared" si="8"/>
        <v>0</v>
      </c>
      <c r="Z46" s="29">
        <f t="shared" si="8"/>
        <v>0</v>
      </c>
      <c r="AA46" s="29">
        <f t="shared" si="8"/>
        <v>0</v>
      </c>
      <c r="AB46" s="76">
        <f t="shared" si="22"/>
        <v>0</v>
      </c>
      <c r="AC46" s="76">
        <f t="shared" si="23"/>
        <v>0</v>
      </c>
      <c r="AD46" s="76">
        <f t="shared" si="24"/>
        <v>0</v>
      </c>
      <c r="AE46" s="76">
        <f t="shared" si="25"/>
        <v>0</v>
      </c>
      <c r="AF46" s="76">
        <f t="shared" si="9"/>
        <v>0</v>
      </c>
      <c r="AG46" s="76">
        <f t="shared" si="10"/>
        <v>0</v>
      </c>
      <c r="AI46" s="29">
        <f t="shared" si="11"/>
        <v>0</v>
      </c>
      <c r="AJ46" s="81">
        <f t="shared" si="15"/>
        <v>0</v>
      </c>
    </row>
    <row r="47" spans="1:36" outlineLevel="1" x14ac:dyDescent="0.4">
      <c r="A47" s="26" t="s">
        <v>394</v>
      </c>
      <c r="B47" s="26" t="s">
        <v>395</v>
      </c>
      <c r="F47" s="42">
        <v>0</v>
      </c>
      <c r="G47" s="42">
        <v>0</v>
      </c>
      <c r="H47" s="42">
        <v>0</v>
      </c>
      <c r="I47" s="42">
        <v>0</v>
      </c>
      <c r="J47" s="42">
        <v>0</v>
      </c>
      <c r="K47" s="42">
        <v>0</v>
      </c>
      <c r="L47" s="42">
        <v>0</v>
      </c>
      <c r="M47" s="42">
        <v>0</v>
      </c>
      <c r="N47" s="42">
        <v>0</v>
      </c>
      <c r="O47" s="42">
        <v>0</v>
      </c>
      <c r="P47" s="42">
        <v>0</v>
      </c>
      <c r="Q47" s="42">
        <v>0</v>
      </c>
      <c r="R47" s="44">
        <f t="shared" si="17"/>
        <v>0</v>
      </c>
      <c r="W47" s="29">
        <f t="shared" si="8"/>
        <v>0</v>
      </c>
      <c r="X47" s="29">
        <f t="shared" si="8"/>
        <v>0</v>
      </c>
      <c r="Y47" s="29">
        <f t="shared" si="8"/>
        <v>0</v>
      </c>
      <c r="Z47" s="29">
        <f t="shared" si="8"/>
        <v>0</v>
      </c>
      <c r="AA47" s="29">
        <f t="shared" si="8"/>
        <v>0</v>
      </c>
      <c r="AB47" s="76">
        <f t="shared" si="22"/>
        <v>0</v>
      </c>
      <c r="AC47" s="76">
        <f t="shared" si="23"/>
        <v>0</v>
      </c>
      <c r="AD47" s="76">
        <f t="shared" si="24"/>
        <v>0</v>
      </c>
      <c r="AE47" s="76">
        <f t="shared" si="25"/>
        <v>0</v>
      </c>
      <c r="AF47" s="76">
        <f t="shared" si="9"/>
        <v>0</v>
      </c>
      <c r="AG47" s="76">
        <f t="shared" si="10"/>
        <v>0</v>
      </c>
      <c r="AI47" s="29">
        <f t="shared" si="11"/>
        <v>0</v>
      </c>
      <c r="AJ47" s="81">
        <f t="shared" si="15"/>
        <v>0</v>
      </c>
    </row>
    <row r="48" spans="1:36" outlineLevel="1" x14ac:dyDescent="0.4">
      <c r="A48" s="26" t="s">
        <v>113</v>
      </c>
      <c r="F48" s="42">
        <v>0</v>
      </c>
      <c r="G48" s="42">
        <v>0</v>
      </c>
      <c r="H48" s="42">
        <v>0</v>
      </c>
      <c r="I48" s="42">
        <v>0</v>
      </c>
      <c r="J48" s="42">
        <v>0</v>
      </c>
      <c r="K48" s="42">
        <v>0</v>
      </c>
      <c r="L48" s="42">
        <v>0</v>
      </c>
      <c r="M48" s="42">
        <v>0</v>
      </c>
      <c r="N48" s="42">
        <v>0</v>
      </c>
      <c r="O48" s="42">
        <v>0</v>
      </c>
      <c r="P48" s="42">
        <v>0</v>
      </c>
      <c r="Q48" s="42">
        <v>0</v>
      </c>
      <c r="R48" s="29">
        <f t="shared" si="17"/>
        <v>0</v>
      </c>
      <c r="W48" s="29">
        <f t="shared" si="8"/>
        <v>0</v>
      </c>
      <c r="X48" s="29">
        <f t="shared" si="8"/>
        <v>0</v>
      </c>
      <c r="Y48" s="29">
        <f t="shared" si="8"/>
        <v>0</v>
      </c>
      <c r="Z48" s="29">
        <f t="shared" si="8"/>
        <v>0</v>
      </c>
      <c r="AA48" s="29">
        <f t="shared" si="8"/>
        <v>0</v>
      </c>
      <c r="AB48" s="76">
        <f t="shared" si="22"/>
        <v>0</v>
      </c>
      <c r="AC48" s="76">
        <f t="shared" si="23"/>
        <v>0</v>
      </c>
      <c r="AD48" s="76">
        <f t="shared" si="24"/>
        <v>0</v>
      </c>
      <c r="AE48" s="76">
        <f t="shared" si="25"/>
        <v>0</v>
      </c>
      <c r="AF48" s="76">
        <f t="shared" si="9"/>
        <v>0</v>
      </c>
      <c r="AG48" s="76">
        <f t="shared" si="10"/>
        <v>0</v>
      </c>
      <c r="AI48" s="29">
        <f t="shared" si="11"/>
        <v>0</v>
      </c>
      <c r="AJ48" s="81">
        <f t="shared" si="15"/>
        <v>0</v>
      </c>
    </row>
    <row r="49" spans="1:36" outlineLevel="1" x14ac:dyDescent="0.4">
      <c r="A49" s="26" t="s">
        <v>396</v>
      </c>
      <c r="F49" s="42">
        <v>0</v>
      </c>
      <c r="G49" s="42">
        <v>0</v>
      </c>
      <c r="H49" s="42">
        <v>0</v>
      </c>
      <c r="I49" s="42">
        <v>0</v>
      </c>
      <c r="J49" s="42">
        <v>0</v>
      </c>
      <c r="K49" s="42">
        <v>0</v>
      </c>
      <c r="L49" s="42">
        <v>0</v>
      </c>
      <c r="M49" s="42">
        <v>0</v>
      </c>
      <c r="N49" s="42">
        <v>0</v>
      </c>
      <c r="O49" s="42">
        <v>0</v>
      </c>
      <c r="P49" s="42">
        <v>0</v>
      </c>
      <c r="Q49" s="42">
        <v>0</v>
      </c>
      <c r="R49" s="29">
        <f t="shared" si="17"/>
        <v>0</v>
      </c>
      <c r="W49" s="29">
        <f t="shared" si="8"/>
        <v>0</v>
      </c>
      <c r="X49" s="29">
        <f t="shared" si="8"/>
        <v>0</v>
      </c>
      <c r="Y49" s="29">
        <f t="shared" si="8"/>
        <v>0</v>
      </c>
      <c r="Z49" s="29">
        <f t="shared" si="8"/>
        <v>0</v>
      </c>
      <c r="AA49" s="29">
        <f t="shared" si="8"/>
        <v>0</v>
      </c>
      <c r="AB49" s="76">
        <f t="shared" si="22"/>
        <v>0</v>
      </c>
      <c r="AC49" s="76">
        <f t="shared" si="23"/>
        <v>0</v>
      </c>
      <c r="AD49" s="76">
        <f t="shared" si="24"/>
        <v>0</v>
      </c>
      <c r="AE49" s="76">
        <f t="shared" si="25"/>
        <v>0</v>
      </c>
      <c r="AF49" s="76">
        <f t="shared" si="9"/>
        <v>0</v>
      </c>
      <c r="AG49" s="76">
        <f t="shared" si="10"/>
        <v>0</v>
      </c>
      <c r="AI49" s="29">
        <f t="shared" si="11"/>
        <v>0</v>
      </c>
      <c r="AJ49" s="81">
        <f t="shared" si="15"/>
        <v>0</v>
      </c>
    </row>
    <row r="50" spans="1:36" outlineLevel="1" x14ac:dyDescent="0.4">
      <c r="A50" s="26" t="s">
        <v>100</v>
      </c>
      <c r="F50" s="42">
        <v>0</v>
      </c>
      <c r="G50" s="42">
        <v>0</v>
      </c>
      <c r="H50" s="42">
        <v>0</v>
      </c>
      <c r="I50" s="42">
        <v>0</v>
      </c>
      <c r="J50" s="42">
        <v>0</v>
      </c>
      <c r="K50" s="42">
        <v>0</v>
      </c>
      <c r="L50" s="42">
        <v>0</v>
      </c>
      <c r="M50" s="42">
        <v>0</v>
      </c>
      <c r="N50" s="42">
        <v>0</v>
      </c>
      <c r="O50" s="42">
        <v>0</v>
      </c>
      <c r="P50" s="42">
        <v>0</v>
      </c>
      <c r="Q50" s="42">
        <v>0</v>
      </c>
      <c r="R50" s="29">
        <f t="shared" si="17"/>
        <v>0</v>
      </c>
      <c r="W50" s="29">
        <f t="shared" si="8"/>
        <v>0</v>
      </c>
      <c r="X50" s="29">
        <f t="shared" si="8"/>
        <v>0</v>
      </c>
      <c r="Y50" s="29">
        <f t="shared" si="8"/>
        <v>0</v>
      </c>
      <c r="Z50" s="29">
        <f t="shared" si="8"/>
        <v>0</v>
      </c>
      <c r="AA50" s="29">
        <f t="shared" si="8"/>
        <v>0</v>
      </c>
      <c r="AB50" s="76">
        <f t="shared" si="22"/>
        <v>0</v>
      </c>
      <c r="AC50" s="76">
        <f t="shared" si="23"/>
        <v>0</v>
      </c>
      <c r="AD50" s="76">
        <f t="shared" si="24"/>
        <v>0</v>
      </c>
      <c r="AE50" s="76">
        <f t="shared" si="25"/>
        <v>0</v>
      </c>
      <c r="AF50" s="76">
        <f t="shared" si="9"/>
        <v>0</v>
      </c>
      <c r="AG50" s="76">
        <f t="shared" si="10"/>
        <v>0</v>
      </c>
      <c r="AI50" s="29">
        <f t="shared" si="11"/>
        <v>0</v>
      </c>
      <c r="AJ50" s="81">
        <f t="shared" si="15"/>
        <v>0</v>
      </c>
    </row>
    <row r="51" spans="1:36" s="27" customFormat="1" x14ac:dyDescent="0.4">
      <c r="G51" s="61"/>
      <c r="H51" s="61"/>
      <c r="I51" s="61"/>
      <c r="J51" s="61"/>
      <c r="K51" s="61"/>
      <c r="L51" s="61"/>
      <c r="M51" s="61"/>
      <c r="N51" s="61"/>
      <c r="O51" s="61"/>
      <c r="P51" s="61"/>
      <c r="Q51" s="61"/>
      <c r="R51" s="39"/>
      <c r="W51" s="29">
        <f t="shared" si="8"/>
        <v>0</v>
      </c>
      <c r="X51" s="29">
        <f t="shared" si="8"/>
        <v>0</v>
      </c>
      <c r="Y51" s="29">
        <f t="shared" si="8"/>
        <v>0</v>
      </c>
      <c r="Z51" s="29">
        <f t="shared" si="8"/>
        <v>0</v>
      </c>
      <c r="AA51" s="29">
        <f t="shared" si="8"/>
        <v>0</v>
      </c>
      <c r="AB51" s="76">
        <f t="shared" si="22"/>
        <v>0</v>
      </c>
      <c r="AC51" s="76">
        <f t="shared" si="23"/>
        <v>0</v>
      </c>
      <c r="AD51" s="76">
        <f t="shared" si="24"/>
        <v>0</v>
      </c>
      <c r="AE51" s="76">
        <f t="shared" si="25"/>
        <v>0</v>
      </c>
      <c r="AF51" s="76">
        <f t="shared" si="9"/>
        <v>0</v>
      </c>
      <c r="AG51" s="76">
        <f t="shared" si="10"/>
        <v>0</v>
      </c>
      <c r="AI51" s="29">
        <f t="shared" si="11"/>
        <v>0</v>
      </c>
      <c r="AJ51" s="81">
        <f t="shared" si="15"/>
        <v>0</v>
      </c>
    </row>
    <row r="52" spans="1:36" x14ac:dyDescent="0.4">
      <c r="A52" s="28" t="s">
        <v>397</v>
      </c>
      <c r="B52" s="41" t="s">
        <v>398</v>
      </c>
      <c r="F52" s="62">
        <f>(SUM(F53:F58))/F93</f>
        <v>0</v>
      </c>
      <c r="G52" s="30">
        <f>G54/G93</f>
        <v>-171.75665441563677</v>
      </c>
      <c r="H52" s="30">
        <f>(SUM(H53:H58))/U4</f>
        <v>0</v>
      </c>
      <c r="I52" s="30">
        <f>(SUM(I53:I58))/U4</f>
        <v>0</v>
      </c>
      <c r="J52" s="30">
        <f>(SUM(J53:J58))/U4</f>
        <v>0</v>
      </c>
      <c r="K52" s="30">
        <f>(SUM(K53:K58))/U4</f>
        <v>0</v>
      </c>
      <c r="L52" s="30">
        <f>(SUM(L53:L58))/U4</f>
        <v>0</v>
      </c>
      <c r="M52" s="30">
        <f>(SUM(M53:M58))/U4</f>
        <v>0</v>
      </c>
      <c r="N52" s="30">
        <f>(SUM(N53:N58))/U4</f>
        <v>0</v>
      </c>
      <c r="O52" s="30">
        <f>(SUM(O53:O58))/U4</f>
        <v>0</v>
      </c>
      <c r="P52" s="30">
        <f>(SUM(P53:P58))/U4</f>
        <v>0</v>
      </c>
      <c r="Q52" s="30">
        <f>(SUM(Q53:Q58))/U4</f>
        <v>0</v>
      </c>
      <c r="R52" s="40">
        <f t="shared" si="17"/>
        <v>-171.75665441563677</v>
      </c>
      <c r="W52" s="29">
        <f t="shared" si="8"/>
        <v>0</v>
      </c>
      <c r="X52" s="29">
        <f t="shared" si="8"/>
        <v>-171.75665441563677</v>
      </c>
      <c r="Y52" s="29">
        <f t="shared" si="8"/>
        <v>0</v>
      </c>
      <c r="Z52" s="29">
        <f t="shared" si="8"/>
        <v>0</v>
      </c>
      <c r="AA52" s="29">
        <f t="shared" si="8"/>
        <v>0</v>
      </c>
      <c r="AB52" s="76">
        <f t="shared" si="22"/>
        <v>0</v>
      </c>
      <c r="AC52" s="76">
        <f t="shared" si="23"/>
        <v>-3.5848379351641084E-2</v>
      </c>
      <c r="AD52" s="76">
        <f t="shared" si="24"/>
        <v>0</v>
      </c>
      <c r="AE52" s="76">
        <f t="shared" si="25"/>
        <v>0</v>
      </c>
      <c r="AF52" s="76">
        <f t="shared" si="9"/>
        <v>0</v>
      </c>
      <c r="AG52" s="76">
        <f t="shared" si="10"/>
        <v>-3.5848379351641084E-2</v>
      </c>
      <c r="AI52" s="29">
        <f t="shared" si="11"/>
        <v>0</v>
      </c>
      <c r="AJ52" s="76"/>
    </row>
    <row r="53" spans="1:36" outlineLevel="1" x14ac:dyDescent="0.4">
      <c r="A53" s="26" t="s">
        <v>15</v>
      </c>
      <c r="B53" s="41"/>
      <c r="F53" s="35">
        <v>0</v>
      </c>
      <c r="G53" s="35">
        <v>0</v>
      </c>
      <c r="H53" s="35">
        <v>0</v>
      </c>
      <c r="I53" s="35">
        <v>0</v>
      </c>
      <c r="J53" s="35">
        <v>0</v>
      </c>
      <c r="K53" s="35">
        <v>0</v>
      </c>
      <c r="L53" s="35">
        <v>0</v>
      </c>
      <c r="M53" s="35">
        <v>0</v>
      </c>
      <c r="N53" s="35">
        <v>0</v>
      </c>
      <c r="O53" s="35">
        <v>0</v>
      </c>
      <c r="P53" s="35">
        <v>0</v>
      </c>
      <c r="Q53" s="35">
        <v>0</v>
      </c>
      <c r="R53" s="29">
        <f t="shared" ref="R53:R58" si="27">SUM(F53:Q53)</f>
        <v>0</v>
      </c>
      <c r="W53" s="29">
        <f t="shared" si="8"/>
        <v>0</v>
      </c>
      <c r="X53" s="29">
        <f t="shared" si="8"/>
        <v>0</v>
      </c>
      <c r="Y53" s="29">
        <f t="shared" si="8"/>
        <v>0</v>
      </c>
      <c r="Z53" s="29">
        <f t="shared" si="8"/>
        <v>0</v>
      </c>
      <c r="AA53" s="29">
        <f t="shared" si="8"/>
        <v>0</v>
      </c>
      <c r="AB53" s="76">
        <f t="shared" si="22"/>
        <v>0</v>
      </c>
      <c r="AC53" s="76">
        <f t="shared" si="23"/>
        <v>0</v>
      </c>
      <c r="AD53" s="76">
        <f t="shared" si="24"/>
        <v>0</v>
      </c>
      <c r="AE53" s="76">
        <f t="shared" si="25"/>
        <v>0</v>
      </c>
      <c r="AF53" s="76">
        <f t="shared" si="9"/>
        <v>0</v>
      </c>
      <c r="AG53" s="76">
        <f t="shared" si="10"/>
        <v>0</v>
      </c>
      <c r="AI53" s="29">
        <f t="shared" si="11"/>
        <v>0</v>
      </c>
      <c r="AJ53" s="81">
        <f t="shared" si="15"/>
        <v>0</v>
      </c>
    </row>
    <row r="54" spans="1:36" outlineLevel="1" x14ac:dyDescent="0.4">
      <c r="A54" s="26" t="s">
        <v>102</v>
      </c>
      <c r="G54" s="35">
        <v>-822920</v>
      </c>
      <c r="H54" s="35">
        <v>0</v>
      </c>
      <c r="I54" s="35">
        <v>0</v>
      </c>
      <c r="J54" s="35">
        <v>0</v>
      </c>
      <c r="K54" s="35">
        <v>0</v>
      </c>
      <c r="L54" s="35">
        <v>0</v>
      </c>
      <c r="M54" s="35">
        <v>0</v>
      </c>
      <c r="N54" s="35">
        <v>0</v>
      </c>
      <c r="O54" s="35">
        <v>0</v>
      </c>
      <c r="P54" s="35">
        <v>0</v>
      </c>
      <c r="Q54" s="35">
        <v>0</v>
      </c>
      <c r="R54" s="44">
        <f>SUM(G54:Q54)</f>
        <v>-822920</v>
      </c>
      <c r="W54" s="29">
        <f t="shared" si="8"/>
        <v>0</v>
      </c>
      <c r="X54" s="29">
        <f t="shared" si="8"/>
        <v>-822920</v>
      </c>
      <c r="Y54" s="29">
        <f t="shared" si="8"/>
        <v>0</v>
      </c>
      <c r="Z54" s="29">
        <f t="shared" si="8"/>
        <v>0</v>
      </c>
      <c r="AA54" s="29">
        <f t="shared" si="8"/>
        <v>0</v>
      </c>
      <c r="AB54" s="76">
        <f t="shared" si="22"/>
        <v>0</v>
      </c>
      <c r="AC54" s="76">
        <f t="shared" si="23"/>
        <v>-171.75665441563677</v>
      </c>
      <c r="AD54" s="76">
        <f t="shared" si="24"/>
        <v>0</v>
      </c>
      <c r="AE54" s="76">
        <f t="shared" si="25"/>
        <v>0</v>
      </c>
      <c r="AF54" s="76">
        <f t="shared" si="9"/>
        <v>0</v>
      </c>
      <c r="AG54" s="76">
        <f t="shared" si="10"/>
        <v>-171.75665441563677</v>
      </c>
      <c r="AI54" s="29">
        <f t="shared" si="11"/>
        <v>0</v>
      </c>
      <c r="AJ54" s="81">
        <f t="shared" si="15"/>
        <v>-171.75665441563677</v>
      </c>
    </row>
    <row r="55" spans="1:36" outlineLevel="1" x14ac:dyDescent="0.4">
      <c r="A55" s="26" t="s">
        <v>120</v>
      </c>
      <c r="F55" s="35">
        <v>0</v>
      </c>
      <c r="G55" s="35">
        <v>0</v>
      </c>
      <c r="H55" s="35">
        <v>0</v>
      </c>
      <c r="I55" s="35">
        <v>0</v>
      </c>
      <c r="J55" s="35">
        <v>0</v>
      </c>
      <c r="K55" s="35">
        <v>0</v>
      </c>
      <c r="L55" s="35">
        <v>0</v>
      </c>
      <c r="M55" s="35">
        <v>0</v>
      </c>
      <c r="N55" s="35">
        <v>0</v>
      </c>
      <c r="O55" s="35">
        <v>0</v>
      </c>
      <c r="P55" s="35">
        <v>0</v>
      </c>
      <c r="Q55" s="35">
        <v>0</v>
      </c>
      <c r="R55" s="29">
        <f t="shared" si="27"/>
        <v>0</v>
      </c>
      <c r="W55" s="29">
        <f t="shared" si="8"/>
        <v>0</v>
      </c>
      <c r="X55" s="29">
        <f t="shared" si="8"/>
        <v>0</v>
      </c>
      <c r="Y55" s="29">
        <f t="shared" si="8"/>
        <v>0</v>
      </c>
      <c r="Z55" s="29">
        <f t="shared" si="8"/>
        <v>0</v>
      </c>
      <c r="AA55" s="29">
        <f t="shared" si="8"/>
        <v>0</v>
      </c>
      <c r="AB55" s="76">
        <f t="shared" si="22"/>
        <v>0</v>
      </c>
      <c r="AC55" s="76">
        <f t="shared" si="23"/>
        <v>0</v>
      </c>
      <c r="AD55" s="76">
        <f t="shared" si="24"/>
        <v>0</v>
      </c>
      <c r="AE55" s="76">
        <f t="shared" si="25"/>
        <v>0</v>
      </c>
      <c r="AF55" s="76">
        <f t="shared" si="9"/>
        <v>0</v>
      </c>
      <c r="AG55" s="76">
        <f t="shared" si="10"/>
        <v>0</v>
      </c>
      <c r="AI55" s="29">
        <f t="shared" si="11"/>
        <v>0</v>
      </c>
      <c r="AJ55" s="81">
        <f t="shared" si="15"/>
        <v>0</v>
      </c>
    </row>
    <row r="56" spans="1:36" outlineLevel="1" x14ac:dyDescent="0.4">
      <c r="A56" s="26" t="s">
        <v>121</v>
      </c>
      <c r="F56" s="35">
        <v>0</v>
      </c>
      <c r="G56" s="35">
        <v>0</v>
      </c>
      <c r="H56" s="35">
        <v>0</v>
      </c>
      <c r="I56" s="35">
        <v>0</v>
      </c>
      <c r="J56" s="35">
        <v>0</v>
      </c>
      <c r="K56" s="35">
        <v>0</v>
      </c>
      <c r="L56" s="35">
        <v>0</v>
      </c>
      <c r="M56" s="35">
        <v>0</v>
      </c>
      <c r="N56" s="35">
        <v>0</v>
      </c>
      <c r="O56" s="35">
        <v>0</v>
      </c>
      <c r="P56" s="35">
        <v>0</v>
      </c>
      <c r="Q56" s="35">
        <v>0</v>
      </c>
      <c r="R56" s="29">
        <f t="shared" si="27"/>
        <v>0</v>
      </c>
      <c r="W56" s="29">
        <f t="shared" si="8"/>
        <v>0</v>
      </c>
      <c r="X56" s="29">
        <f t="shared" si="8"/>
        <v>0</v>
      </c>
      <c r="Y56" s="29">
        <f t="shared" si="8"/>
        <v>0</v>
      </c>
      <c r="Z56" s="29">
        <f t="shared" si="8"/>
        <v>0</v>
      </c>
      <c r="AA56" s="29">
        <f t="shared" si="8"/>
        <v>0</v>
      </c>
      <c r="AB56" s="76">
        <f t="shared" si="22"/>
        <v>0</v>
      </c>
      <c r="AC56" s="76">
        <f t="shared" si="23"/>
        <v>0</v>
      </c>
      <c r="AD56" s="76">
        <f t="shared" si="24"/>
        <v>0</v>
      </c>
      <c r="AE56" s="76">
        <f t="shared" si="25"/>
        <v>0</v>
      </c>
      <c r="AF56" s="76">
        <f t="shared" si="9"/>
        <v>0</v>
      </c>
      <c r="AG56" s="76">
        <f t="shared" si="10"/>
        <v>0</v>
      </c>
      <c r="AI56" s="29">
        <f t="shared" si="11"/>
        <v>0</v>
      </c>
      <c r="AJ56" s="81">
        <f t="shared" si="15"/>
        <v>0</v>
      </c>
    </row>
    <row r="57" spans="1:36" outlineLevel="1" x14ac:dyDescent="0.4">
      <c r="A57" s="26" t="s">
        <v>390</v>
      </c>
      <c r="F57" s="35">
        <v>0</v>
      </c>
      <c r="G57" s="35">
        <v>0</v>
      </c>
      <c r="H57" s="35">
        <v>0</v>
      </c>
      <c r="I57" s="35">
        <v>0</v>
      </c>
      <c r="J57" s="35">
        <v>0</v>
      </c>
      <c r="K57" s="35">
        <v>0</v>
      </c>
      <c r="L57" s="35">
        <v>0</v>
      </c>
      <c r="M57" s="35">
        <v>0</v>
      </c>
      <c r="N57" s="35">
        <v>0</v>
      </c>
      <c r="O57" s="35">
        <v>0</v>
      </c>
      <c r="P57" s="35">
        <v>0</v>
      </c>
      <c r="Q57" s="35">
        <v>0</v>
      </c>
      <c r="R57" s="29">
        <f t="shared" si="27"/>
        <v>0</v>
      </c>
      <c r="W57" s="29">
        <f t="shared" si="8"/>
        <v>0</v>
      </c>
      <c r="X57" s="29">
        <f t="shared" si="8"/>
        <v>0</v>
      </c>
      <c r="Y57" s="29">
        <f t="shared" si="8"/>
        <v>0</v>
      </c>
      <c r="Z57" s="29">
        <f t="shared" si="8"/>
        <v>0</v>
      </c>
      <c r="AA57" s="29">
        <f t="shared" si="8"/>
        <v>0</v>
      </c>
      <c r="AB57" s="76">
        <f t="shared" si="22"/>
        <v>0</v>
      </c>
      <c r="AC57" s="76">
        <f t="shared" si="23"/>
        <v>0</v>
      </c>
      <c r="AD57" s="76">
        <f t="shared" si="24"/>
        <v>0</v>
      </c>
      <c r="AE57" s="76">
        <f t="shared" si="25"/>
        <v>0</v>
      </c>
      <c r="AF57" s="76">
        <f t="shared" si="9"/>
        <v>0</v>
      </c>
      <c r="AG57" s="76">
        <f t="shared" si="10"/>
        <v>0</v>
      </c>
      <c r="AI57" s="29">
        <f t="shared" si="11"/>
        <v>0</v>
      </c>
      <c r="AJ57" s="81">
        <f t="shared" si="15"/>
        <v>0</v>
      </c>
    </row>
    <row r="58" spans="1:36" outlineLevel="1" x14ac:dyDescent="0.4">
      <c r="A58" s="26" t="s">
        <v>123</v>
      </c>
      <c r="F58" s="35">
        <v>0</v>
      </c>
      <c r="G58" s="35">
        <v>0</v>
      </c>
      <c r="H58" s="35">
        <v>0</v>
      </c>
      <c r="I58" s="35">
        <v>0</v>
      </c>
      <c r="J58" s="35">
        <v>0</v>
      </c>
      <c r="K58" s="35">
        <v>0</v>
      </c>
      <c r="L58" s="35">
        <v>0</v>
      </c>
      <c r="M58" s="35">
        <v>0</v>
      </c>
      <c r="N58" s="35">
        <v>0</v>
      </c>
      <c r="O58" s="35">
        <v>0</v>
      </c>
      <c r="P58" s="35">
        <v>0</v>
      </c>
      <c r="Q58" s="35">
        <v>0</v>
      </c>
      <c r="R58" s="29">
        <f t="shared" si="27"/>
        <v>0</v>
      </c>
      <c r="W58" s="29">
        <f t="shared" si="8"/>
        <v>0</v>
      </c>
      <c r="X58" s="29">
        <f t="shared" si="8"/>
        <v>0</v>
      </c>
      <c r="Y58" s="29">
        <f t="shared" si="8"/>
        <v>0</v>
      </c>
      <c r="Z58" s="29">
        <f t="shared" si="8"/>
        <v>0</v>
      </c>
      <c r="AA58" s="29">
        <f t="shared" si="8"/>
        <v>0</v>
      </c>
      <c r="AB58" s="76">
        <f t="shared" si="22"/>
        <v>0</v>
      </c>
      <c r="AC58" s="76">
        <f t="shared" si="23"/>
        <v>0</v>
      </c>
      <c r="AD58" s="76">
        <f t="shared" si="24"/>
        <v>0</v>
      </c>
      <c r="AE58" s="76">
        <f t="shared" si="25"/>
        <v>0</v>
      </c>
      <c r="AF58" s="76">
        <f t="shared" si="9"/>
        <v>0</v>
      </c>
      <c r="AG58" s="76">
        <f t="shared" si="10"/>
        <v>0</v>
      </c>
      <c r="AI58" s="29">
        <f t="shared" si="11"/>
        <v>0</v>
      </c>
      <c r="AJ58" s="81">
        <f t="shared" si="15"/>
        <v>0</v>
      </c>
    </row>
    <row r="59" spans="1:36" s="27" customFormat="1" x14ac:dyDescent="0.4">
      <c r="G59" s="46"/>
      <c r="H59" s="46"/>
      <c r="I59" s="46"/>
      <c r="J59" s="46"/>
      <c r="K59" s="46"/>
      <c r="L59" s="46"/>
      <c r="M59" s="46"/>
      <c r="N59" s="46"/>
      <c r="O59" s="46"/>
      <c r="P59" s="46"/>
      <c r="Q59" s="46"/>
      <c r="R59" s="39"/>
      <c r="W59" s="29">
        <f t="shared" si="8"/>
        <v>0</v>
      </c>
      <c r="X59" s="29">
        <f t="shared" si="8"/>
        <v>0</v>
      </c>
      <c r="Y59" s="29">
        <f t="shared" si="8"/>
        <v>0</v>
      </c>
      <c r="Z59" s="29">
        <f t="shared" si="8"/>
        <v>0</v>
      </c>
      <c r="AA59" s="29">
        <f t="shared" si="8"/>
        <v>0</v>
      </c>
      <c r="AB59" s="76">
        <f t="shared" si="22"/>
        <v>0</v>
      </c>
      <c r="AC59" s="76">
        <f t="shared" si="23"/>
        <v>0</v>
      </c>
      <c r="AD59" s="76">
        <f t="shared" si="24"/>
        <v>0</v>
      </c>
      <c r="AE59" s="76">
        <f t="shared" si="25"/>
        <v>0</v>
      </c>
      <c r="AF59" s="76">
        <f t="shared" si="9"/>
        <v>0</v>
      </c>
      <c r="AG59" s="76">
        <f t="shared" si="10"/>
        <v>0</v>
      </c>
      <c r="AI59" s="29">
        <f t="shared" si="11"/>
        <v>0</v>
      </c>
      <c r="AJ59" s="81">
        <f t="shared" si="15"/>
        <v>0</v>
      </c>
    </row>
    <row r="60" spans="1:36" x14ac:dyDescent="0.4">
      <c r="A60" s="28" t="s">
        <v>399</v>
      </c>
      <c r="B60" s="41" t="s">
        <v>400</v>
      </c>
      <c r="C60" s="28"/>
      <c r="D60" s="28"/>
      <c r="E60" s="28"/>
      <c r="F60" s="62">
        <f>(SUM(F61:F64))/U4</f>
        <v>0</v>
      </c>
      <c r="G60" s="30">
        <f>(SUM(G61:G64))/U4</f>
        <v>0</v>
      </c>
      <c r="H60" s="30">
        <f>(SUM(H61:H64))/U4</f>
        <v>0</v>
      </c>
      <c r="I60" s="30">
        <f>(SUM(I61:I64))/U4</f>
        <v>0</v>
      </c>
      <c r="J60" s="30">
        <f t="shared" ref="J60:Q60" si="28">(SUM(J61:J64))/$U$4</f>
        <v>1629.2171076923078</v>
      </c>
      <c r="K60" s="30">
        <f t="shared" si="28"/>
        <v>0</v>
      </c>
      <c r="L60" s="30">
        <f t="shared" si="28"/>
        <v>1585.2610637362636</v>
      </c>
      <c r="M60" s="30">
        <f t="shared" si="28"/>
        <v>1585.2610637362636</v>
      </c>
      <c r="N60" s="30">
        <f t="shared" si="28"/>
        <v>1585.2610637362636</v>
      </c>
      <c r="O60" s="30">
        <f t="shared" si="28"/>
        <v>1585.2610637362636</v>
      </c>
      <c r="P60" s="30">
        <f t="shared" si="28"/>
        <v>0</v>
      </c>
      <c r="Q60" s="30">
        <f t="shared" si="28"/>
        <v>0</v>
      </c>
      <c r="R60" s="40">
        <f t="shared" si="17"/>
        <v>7970.2613626373623</v>
      </c>
      <c r="W60" s="29">
        <f t="shared" si="8"/>
        <v>0</v>
      </c>
      <c r="X60" s="29">
        <f t="shared" si="8"/>
        <v>0</v>
      </c>
      <c r="Y60" s="29">
        <f t="shared" si="8"/>
        <v>0</v>
      </c>
      <c r="Z60" s="29">
        <f t="shared" si="8"/>
        <v>0</v>
      </c>
      <c r="AA60" s="29">
        <f t="shared" si="8"/>
        <v>1629.2171076923078</v>
      </c>
      <c r="AB60" s="76">
        <f t="shared" si="22"/>
        <v>0</v>
      </c>
      <c r="AC60" s="76">
        <f t="shared" si="23"/>
        <v>0</v>
      </c>
      <c r="AD60" s="76">
        <f t="shared" si="24"/>
        <v>0</v>
      </c>
      <c r="AE60" s="76">
        <f t="shared" si="25"/>
        <v>0</v>
      </c>
      <c r="AF60" s="76">
        <f t="shared" si="9"/>
        <v>0.3580696939983094</v>
      </c>
      <c r="AG60" s="76">
        <f t="shared" si="10"/>
        <v>0.3580696939983094</v>
      </c>
      <c r="AI60" s="29">
        <f t="shared" si="11"/>
        <v>1.393636099987924</v>
      </c>
      <c r="AJ60" s="76"/>
    </row>
    <row r="61" spans="1:36" outlineLevel="1" x14ac:dyDescent="0.4">
      <c r="A61" s="26" t="s">
        <v>15</v>
      </c>
      <c r="F61" s="35">
        <v>0</v>
      </c>
      <c r="G61" s="35">
        <v>0</v>
      </c>
      <c r="H61" s="35">
        <v>0</v>
      </c>
      <c r="I61" s="35">
        <v>0</v>
      </c>
      <c r="J61" s="35">
        <v>6121137.8399999999</v>
      </c>
      <c r="K61" s="35">
        <v>0</v>
      </c>
      <c r="L61" s="42">
        <f>J61</f>
        <v>6121137.8399999999</v>
      </c>
      <c r="M61" s="35">
        <f>L61</f>
        <v>6121137.8399999999</v>
      </c>
      <c r="N61" s="35">
        <f>M61</f>
        <v>6121137.8399999999</v>
      </c>
      <c r="O61" s="35">
        <f>N61</f>
        <v>6121137.8399999999</v>
      </c>
      <c r="P61" s="35">
        <v>0</v>
      </c>
      <c r="Q61" s="35">
        <v>0</v>
      </c>
      <c r="R61" s="29">
        <f>SUM(F61:Q61)</f>
        <v>30605689.199999999</v>
      </c>
      <c r="T61" s="80">
        <f>R61/U$4</f>
        <v>6726.5250989010983</v>
      </c>
      <c r="W61" s="29">
        <f t="shared" si="8"/>
        <v>0</v>
      </c>
      <c r="X61" s="29">
        <f t="shared" si="8"/>
        <v>0</v>
      </c>
      <c r="Y61" s="29">
        <f t="shared" si="8"/>
        <v>0</v>
      </c>
      <c r="Z61" s="29">
        <f t="shared" si="8"/>
        <v>0</v>
      </c>
      <c r="AA61" s="29">
        <f t="shared" si="8"/>
        <v>6121137.8399999999</v>
      </c>
      <c r="AB61" s="76">
        <f t="shared" si="22"/>
        <v>0</v>
      </c>
      <c r="AC61" s="76">
        <f t="shared" si="23"/>
        <v>0</v>
      </c>
      <c r="AD61" s="76">
        <f t="shared" si="24"/>
        <v>0</v>
      </c>
      <c r="AE61" s="76">
        <f t="shared" si="25"/>
        <v>0</v>
      </c>
      <c r="AF61" s="76">
        <f t="shared" si="9"/>
        <v>1345.3050197802197</v>
      </c>
      <c r="AG61" s="76">
        <f t="shared" si="10"/>
        <v>1345.3050197802197</v>
      </c>
      <c r="AI61" s="29">
        <f t="shared" si="11"/>
        <v>5381.2200791208788</v>
      </c>
      <c r="AJ61" s="77">
        <f t="shared" si="15"/>
        <v>6726.5250989010983</v>
      </c>
    </row>
    <row r="62" spans="1:36" outlineLevel="1" x14ac:dyDescent="0.4">
      <c r="A62" s="26" t="s">
        <v>100</v>
      </c>
      <c r="F62" s="35">
        <v>0</v>
      </c>
      <c r="G62" s="35">
        <v>0</v>
      </c>
      <c r="H62" s="35">
        <v>0</v>
      </c>
      <c r="I62" s="35">
        <v>0</v>
      </c>
      <c r="J62" s="35">
        <v>200000</v>
      </c>
      <c r="K62" s="35">
        <v>0</v>
      </c>
      <c r="L62" s="42">
        <v>0</v>
      </c>
      <c r="M62" s="35">
        <v>0</v>
      </c>
      <c r="N62" s="35">
        <v>0</v>
      </c>
      <c r="O62" s="35">
        <v>0</v>
      </c>
      <c r="P62" s="35">
        <v>0</v>
      </c>
      <c r="Q62" s="35">
        <v>0</v>
      </c>
      <c r="R62" s="29">
        <f>SUM(F62:Q62)</f>
        <v>200000</v>
      </c>
      <c r="T62" s="80">
        <f>R62/U$4</f>
        <v>43.956043956043956</v>
      </c>
      <c r="W62" s="29">
        <f t="shared" si="8"/>
        <v>0</v>
      </c>
      <c r="X62" s="29">
        <f t="shared" si="8"/>
        <v>0</v>
      </c>
      <c r="Y62" s="29">
        <f t="shared" si="8"/>
        <v>0</v>
      </c>
      <c r="Z62" s="29">
        <f t="shared" si="8"/>
        <v>0</v>
      </c>
      <c r="AA62" s="29">
        <f t="shared" si="8"/>
        <v>200000</v>
      </c>
      <c r="AB62" s="76">
        <f t="shared" si="22"/>
        <v>0</v>
      </c>
      <c r="AC62" s="76">
        <f t="shared" si="23"/>
        <v>0</v>
      </c>
      <c r="AD62" s="76">
        <f t="shared" si="24"/>
        <v>0</v>
      </c>
      <c r="AE62" s="76">
        <f t="shared" si="25"/>
        <v>0</v>
      </c>
      <c r="AF62" s="76">
        <f t="shared" si="9"/>
        <v>43.956043956043956</v>
      </c>
      <c r="AG62" s="76">
        <f t="shared" si="10"/>
        <v>43.956043956043956</v>
      </c>
      <c r="AI62" s="29">
        <f t="shared" si="11"/>
        <v>0</v>
      </c>
      <c r="AJ62" s="81">
        <f t="shared" si="15"/>
        <v>43.956043956043956</v>
      </c>
    </row>
    <row r="63" spans="1:36" outlineLevel="1" x14ac:dyDescent="0.4">
      <c r="A63" s="26" t="s">
        <v>401</v>
      </c>
      <c r="F63" s="35">
        <v>0</v>
      </c>
      <c r="G63" s="35">
        <v>0</v>
      </c>
      <c r="H63" s="63">
        <v>0</v>
      </c>
      <c r="I63" s="35">
        <v>0</v>
      </c>
      <c r="J63" s="35">
        <f>I63+1000000</f>
        <v>1000000</v>
      </c>
      <c r="K63" s="35">
        <v>0</v>
      </c>
      <c r="L63" s="42">
        <f>J63</f>
        <v>1000000</v>
      </c>
      <c r="M63" s="35">
        <f>L63</f>
        <v>1000000</v>
      </c>
      <c r="N63" s="35">
        <f>M63</f>
        <v>1000000</v>
      </c>
      <c r="O63" s="35">
        <f>N63</f>
        <v>1000000</v>
      </c>
      <c r="P63" s="35">
        <v>0</v>
      </c>
      <c r="Q63" s="35">
        <v>0</v>
      </c>
      <c r="R63" s="29">
        <f>SUM(F63:Q63)</f>
        <v>5000000</v>
      </c>
      <c r="T63" s="80">
        <f>R63/U$4</f>
        <v>1098.901098901099</v>
      </c>
      <c r="W63" s="29">
        <f t="shared" si="8"/>
        <v>0</v>
      </c>
      <c r="X63" s="29">
        <f t="shared" si="8"/>
        <v>0</v>
      </c>
      <c r="Y63" s="29">
        <f t="shared" si="8"/>
        <v>0</v>
      </c>
      <c r="Z63" s="29">
        <f t="shared" si="8"/>
        <v>0</v>
      </c>
      <c r="AA63" s="29">
        <f t="shared" si="8"/>
        <v>1000000</v>
      </c>
      <c r="AB63" s="76">
        <f t="shared" si="22"/>
        <v>0</v>
      </c>
      <c r="AC63" s="76">
        <f t="shared" si="23"/>
        <v>0</v>
      </c>
      <c r="AD63" s="76">
        <f t="shared" si="24"/>
        <v>0</v>
      </c>
      <c r="AE63" s="76">
        <f t="shared" si="25"/>
        <v>0</v>
      </c>
      <c r="AF63" s="76">
        <f t="shared" si="9"/>
        <v>219.78021978021977</v>
      </c>
      <c r="AG63" s="76">
        <f t="shared" si="10"/>
        <v>219.78021978021977</v>
      </c>
      <c r="AI63" s="29">
        <f t="shared" si="11"/>
        <v>879.12087912087907</v>
      </c>
      <c r="AJ63" s="81">
        <f t="shared" si="15"/>
        <v>1098.9010989010987</v>
      </c>
    </row>
    <row r="64" spans="1:36" outlineLevel="1" x14ac:dyDescent="0.4">
      <c r="A64" s="26" t="s">
        <v>390</v>
      </c>
      <c r="F64" s="35">
        <v>0</v>
      </c>
      <c r="G64" s="35">
        <v>0</v>
      </c>
      <c r="H64" s="35">
        <v>0</v>
      </c>
      <c r="I64" s="35">
        <v>0</v>
      </c>
      <c r="J64" s="35">
        <v>91800</v>
      </c>
      <c r="K64" s="35">
        <v>0</v>
      </c>
      <c r="L64" s="42">
        <v>91800</v>
      </c>
      <c r="M64" s="35">
        <v>91800</v>
      </c>
      <c r="N64" s="35">
        <v>91800</v>
      </c>
      <c r="O64" s="35">
        <v>91800</v>
      </c>
      <c r="P64" s="35">
        <v>0</v>
      </c>
      <c r="Q64" s="35">
        <v>0</v>
      </c>
      <c r="R64" s="29">
        <f>SUM(F64:Q64)</f>
        <v>459000</v>
      </c>
      <c r="T64" s="80">
        <f>R64/U$4</f>
        <v>100.87912087912088</v>
      </c>
      <c r="W64" s="29">
        <f t="shared" si="8"/>
        <v>0</v>
      </c>
      <c r="X64" s="29">
        <f t="shared" si="8"/>
        <v>0</v>
      </c>
      <c r="Y64" s="29">
        <f t="shared" si="8"/>
        <v>0</v>
      </c>
      <c r="Z64" s="29">
        <f t="shared" si="8"/>
        <v>0</v>
      </c>
      <c r="AA64" s="29">
        <f t="shared" si="8"/>
        <v>91800</v>
      </c>
      <c r="AB64" s="76">
        <f t="shared" si="22"/>
        <v>0</v>
      </c>
      <c r="AC64" s="76">
        <f t="shared" si="23"/>
        <v>0</v>
      </c>
      <c r="AD64" s="76">
        <f t="shared" si="24"/>
        <v>0</v>
      </c>
      <c r="AE64" s="76">
        <f t="shared" si="25"/>
        <v>0</v>
      </c>
      <c r="AF64" s="76">
        <f t="shared" si="9"/>
        <v>20.175824175824175</v>
      </c>
      <c r="AG64" s="76">
        <f t="shared" si="10"/>
        <v>20.175824175824175</v>
      </c>
      <c r="AI64" s="29">
        <f t="shared" si="11"/>
        <v>80.703296703296701</v>
      </c>
      <c r="AJ64" s="81">
        <f t="shared" si="15"/>
        <v>100.87912087912088</v>
      </c>
    </row>
    <row r="65" spans="1:36" s="27" customFormat="1" x14ac:dyDescent="0.4">
      <c r="R65" s="39"/>
      <c r="W65" s="29">
        <f t="shared" si="8"/>
        <v>0</v>
      </c>
      <c r="X65" s="29">
        <f t="shared" si="8"/>
        <v>0</v>
      </c>
      <c r="Y65" s="29">
        <f t="shared" si="8"/>
        <v>0</v>
      </c>
      <c r="Z65" s="29">
        <f t="shared" si="8"/>
        <v>0</v>
      </c>
      <c r="AA65" s="29">
        <f t="shared" si="8"/>
        <v>0</v>
      </c>
      <c r="AB65" s="76">
        <f t="shared" si="22"/>
        <v>0</v>
      </c>
      <c r="AC65" s="76">
        <f t="shared" si="23"/>
        <v>0</v>
      </c>
      <c r="AD65" s="76">
        <f t="shared" si="24"/>
        <v>0</v>
      </c>
      <c r="AE65" s="76">
        <f t="shared" si="25"/>
        <v>0</v>
      </c>
      <c r="AF65" s="76">
        <f t="shared" si="9"/>
        <v>0</v>
      </c>
      <c r="AG65" s="76">
        <f t="shared" si="10"/>
        <v>0</v>
      </c>
      <c r="AI65" s="29">
        <f t="shared" si="11"/>
        <v>0</v>
      </c>
      <c r="AJ65" s="81">
        <f t="shared" si="15"/>
        <v>0</v>
      </c>
    </row>
    <row r="66" spans="1:36" x14ac:dyDescent="0.4">
      <c r="A66" s="28" t="s">
        <v>402</v>
      </c>
      <c r="B66" s="41" t="s">
        <v>403</v>
      </c>
      <c r="F66" s="30">
        <f>(SUM(F67:F75))/F93</f>
        <v>2903.4952309969367</v>
      </c>
      <c r="G66" s="30">
        <f>(SUM(G67:G75))/G93</f>
        <v>2331.9680148668645</v>
      </c>
      <c r="H66" s="30">
        <f>(SUM(H67:H75))/H93</f>
        <v>4076.8738307187596</v>
      </c>
      <c r="I66" s="30">
        <f>(SUM(I67:I75))/I93</f>
        <v>2779.021809955786</v>
      </c>
      <c r="J66" s="30">
        <f t="shared" ref="J66:Q66" si="29">(SUM(J67:J75))/$U$4</f>
        <v>10282.120374021979</v>
      </c>
      <c r="K66" s="30">
        <f t="shared" si="29"/>
        <v>8125.7789413919427</v>
      </c>
      <c r="L66" s="30">
        <f t="shared" si="29"/>
        <v>6754.8876043956043</v>
      </c>
      <c r="M66" s="30">
        <f t="shared" si="29"/>
        <v>6754.8876043956043</v>
      </c>
      <c r="N66" s="30">
        <f t="shared" si="29"/>
        <v>6754.8876043956043</v>
      </c>
      <c r="O66" s="30">
        <f t="shared" si="29"/>
        <v>6754.8876043956043</v>
      </c>
      <c r="P66" s="30">
        <f t="shared" si="29"/>
        <v>6754.8876043956043</v>
      </c>
      <c r="Q66" s="30">
        <f t="shared" si="29"/>
        <v>8673.4590329670336</v>
      </c>
      <c r="R66" s="40">
        <f>SUM(F66:Q66)</f>
        <v>72947.155256897327</v>
      </c>
      <c r="W66" s="29">
        <f t="shared" si="8"/>
        <v>2903.4952309969367</v>
      </c>
      <c r="X66" s="29">
        <f t="shared" si="8"/>
        <v>2331.9680148668645</v>
      </c>
      <c r="Y66" s="29">
        <f t="shared" si="8"/>
        <v>4076.8738307187596</v>
      </c>
      <c r="Z66" s="29">
        <f t="shared" si="8"/>
        <v>2779.021809955786</v>
      </c>
      <c r="AA66" s="29">
        <f t="shared" si="8"/>
        <v>10282.120374021979</v>
      </c>
      <c r="AB66" s="76">
        <f t="shared" si="22"/>
        <v>0.61656803518320913</v>
      </c>
      <c r="AC66" s="76">
        <f t="shared" si="23"/>
        <v>0.48671927336534121</v>
      </c>
      <c r="AD66" s="76">
        <f t="shared" si="24"/>
        <v>0.85683141293030907</v>
      </c>
      <c r="AE66" s="76">
        <f t="shared" si="25"/>
        <v>0.61210946446095771</v>
      </c>
      <c r="AF66" s="76">
        <f t="shared" si="9"/>
        <v>2.2598066756092261</v>
      </c>
      <c r="AG66" s="76">
        <f t="shared" si="10"/>
        <v>4.8320348615490438</v>
      </c>
      <c r="AI66" s="29">
        <f t="shared" si="11"/>
        <v>11.115093625568569</v>
      </c>
      <c r="AJ66" s="76"/>
    </row>
    <row r="67" spans="1:36" outlineLevel="1" x14ac:dyDescent="0.4">
      <c r="A67" s="26" t="s">
        <v>404</v>
      </c>
      <c r="B67" s="26" t="s">
        <v>405</v>
      </c>
      <c r="C67" s="34">
        <v>1</v>
      </c>
      <c r="D67" s="35"/>
      <c r="E67" s="35"/>
      <c r="F67" s="29">
        <v>2500000</v>
      </c>
      <c r="G67" s="29">
        <v>0</v>
      </c>
      <c r="H67" s="29">
        <v>0</v>
      </c>
      <c r="I67" s="29">
        <v>0</v>
      </c>
      <c r="J67" s="29">
        <v>10196667</v>
      </c>
      <c r="K67" s="29">
        <v>13300000</v>
      </c>
      <c r="L67" s="29">
        <v>13300000</v>
      </c>
      <c r="M67" s="29">
        <v>13300000</v>
      </c>
      <c r="N67" s="29">
        <v>13300000</v>
      </c>
      <c r="O67" s="29">
        <v>13300000</v>
      </c>
      <c r="P67" s="29">
        <v>13300000</v>
      </c>
      <c r="Q67" s="29">
        <f>P67</f>
        <v>13300000</v>
      </c>
      <c r="R67" s="29">
        <f t="shared" si="17"/>
        <v>105796667</v>
      </c>
      <c r="S67" s="37">
        <f>R67/U$4</f>
        <v>23252.014725274727</v>
      </c>
      <c r="T67" s="83">
        <f>P67/U$4</f>
        <v>2923.0769230769229</v>
      </c>
      <c r="W67" s="29">
        <f t="shared" si="8"/>
        <v>2500000</v>
      </c>
      <c r="X67" s="29">
        <f t="shared" si="8"/>
        <v>0</v>
      </c>
      <c r="Y67" s="29">
        <f t="shared" si="8"/>
        <v>0</v>
      </c>
      <c r="Z67" s="29">
        <f t="shared" si="8"/>
        <v>0</v>
      </c>
      <c r="AA67" s="29">
        <f t="shared" si="8"/>
        <v>10196667</v>
      </c>
      <c r="AB67" s="76">
        <f t="shared" si="22"/>
        <v>530.88431883828673</v>
      </c>
      <c r="AC67" s="76">
        <f t="shared" si="23"/>
        <v>0</v>
      </c>
      <c r="AD67" s="76">
        <f t="shared" si="24"/>
        <v>0</v>
      </c>
      <c r="AE67" s="76">
        <f t="shared" si="25"/>
        <v>0</v>
      </c>
      <c r="AF67" s="76">
        <f t="shared" si="9"/>
        <v>2241.0257142857145</v>
      </c>
      <c r="AG67" s="76">
        <f t="shared" si="10"/>
        <v>2771.9100331240011</v>
      </c>
      <c r="AI67" s="29">
        <f t="shared" si="11"/>
        <v>20461.538461538461</v>
      </c>
      <c r="AJ67" s="92">
        <f t="shared" si="15"/>
        <v>23233.448494662462</v>
      </c>
    </row>
    <row r="68" spans="1:36" outlineLevel="1" x14ac:dyDescent="0.4">
      <c r="A68" s="26" t="s">
        <v>406</v>
      </c>
      <c r="B68" s="26" t="s">
        <v>405</v>
      </c>
      <c r="C68" s="65">
        <v>0.52400000000000002</v>
      </c>
      <c r="F68" s="35">
        <v>0</v>
      </c>
      <c r="G68" s="35">
        <f>G67*0.524</f>
        <v>0</v>
      </c>
      <c r="H68" s="35">
        <f>H67*0.524</f>
        <v>0</v>
      </c>
      <c r="I68" s="35">
        <f>I67*0.524</f>
        <v>0</v>
      </c>
      <c r="J68" s="35">
        <f>J67*0.3054</f>
        <v>3114062.1017999998</v>
      </c>
      <c r="K68" s="35">
        <f>K67*0.3054</f>
        <v>4061820</v>
      </c>
      <c r="L68" s="42">
        <f t="shared" ref="L68:Q68" si="30">L67*0.3054</f>
        <v>4061820</v>
      </c>
      <c r="M68" s="35">
        <f t="shared" si="30"/>
        <v>4061820</v>
      </c>
      <c r="N68" s="35">
        <f t="shared" si="30"/>
        <v>4061820</v>
      </c>
      <c r="O68" s="35">
        <f t="shared" si="30"/>
        <v>4061820</v>
      </c>
      <c r="P68" s="35">
        <f t="shared" si="30"/>
        <v>4061820</v>
      </c>
      <c r="Q68" s="35">
        <f t="shared" si="30"/>
        <v>4061820</v>
      </c>
      <c r="R68" s="29">
        <f t="shared" si="17"/>
        <v>31546802.101800002</v>
      </c>
      <c r="S68" s="36">
        <f>R68/U$4</f>
        <v>6933.3630992967037</v>
      </c>
      <c r="T68" s="64">
        <f>Q68/U$4</f>
        <v>892.70769230769235</v>
      </c>
      <c r="U68" s="29"/>
      <c r="W68" s="29">
        <f t="shared" si="8"/>
        <v>0</v>
      </c>
      <c r="X68" s="29">
        <f t="shared" si="8"/>
        <v>0</v>
      </c>
      <c r="Y68" s="29">
        <f t="shared" si="8"/>
        <v>0</v>
      </c>
      <c r="Z68" s="29">
        <f t="shared" si="8"/>
        <v>0</v>
      </c>
      <c r="AA68" s="29">
        <f t="shared" si="8"/>
        <v>3114062.1017999998</v>
      </c>
      <c r="AB68" s="76">
        <f t="shared" si="22"/>
        <v>0</v>
      </c>
      <c r="AC68" s="76">
        <f t="shared" si="23"/>
        <v>0</v>
      </c>
      <c r="AD68" s="76">
        <f t="shared" si="24"/>
        <v>0</v>
      </c>
      <c r="AE68" s="76">
        <f t="shared" si="25"/>
        <v>0</v>
      </c>
      <c r="AF68" s="76">
        <f t="shared" si="9"/>
        <v>684.4092531428571</v>
      </c>
      <c r="AG68" s="76">
        <f t="shared" si="10"/>
        <v>684.4092531428571</v>
      </c>
      <c r="AI68" s="29">
        <f t="shared" si="11"/>
        <v>6248.9538461538459</v>
      </c>
      <c r="AJ68" s="77">
        <f t="shared" si="15"/>
        <v>6933.3630992967028</v>
      </c>
    </row>
    <row r="69" spans="1:36" outlineLevel="1" x14ac:dyDescent="0.4">
      <c r="A69" s="26" t="s">
        <v>407</v>
      </c>
      <c r="B69" s="26" t="s">
        <v>408</v>
      </c>
      <c r="C69" s="34">
        <v>1</v>
      </c>
      <c r="D69" s="35">
        <v>7500000</v>
      </c>
      <c r="E69" s="35">
        <f>D69*1.1412</f>
        <v>8559000</v>
      </c>
      <c r="F69" s="29">
        <v>8559000</v>
      </c>
      <c r="G69" s="29">
        <v>8559000</v>
      </c>
      <c r="H69" s="29">
        <v>8559000</v>
      </c>
      <c r="I69" s="29">
        <v>8559000</v>
      </c>
      <c r="J69" s="29">
        <v>8559000</v>
      </c>
      <c r="K69" s="29">
        <f>J69</f>
        <v>8559000</v>
      </c>
      <c r="L69" s="29">
        <v>8559000</v>
      </c>
      <c r="M69" s="29">
        <v>8559000</v>
      </c>
      <c r="N69" s="29">
        <v>8559000</v>
      </c>
      <c r="O69" s="29">
        <v>8559000</v>
      </c>
      <c r="P69" s="29">
        <v>8559000</v>
      </c>
      <c r="Q69" s="29">
        <f>P69</f>
        <v>8559000</v>
      </c>
      <c r="R69" s="29">
        <f t="shared" si="17"/>
        <v>102708000</v>
      </c>
      <c r="S69" s="37">
        <f t="shared" ref="S69:S75" si="31">R69/U$4</f>
        <v>22573.186813186814</v>
      </c>
      <c r="T69" s="83">
        <f>Q69/U$4</f>
        <v>1881.098901098901</v>
      </c>
      <c r="W69" s="29">
        <f t="shared" si="8"/>
        <v>8559000</v>
      </c>
      <c r="X69" s="29">
        <f t="shared" si="8"/>
        <v>8559000</v>
      </c>
      <c r="Y69" s="29">
        <f t="shared" si="8"/>
        <v>8559000</v>
      </c>
      <c r="Z69" s="29">
        <f t="shared" si="8"/>
        <v>8559000</v>
      </c>
      <c r="AA69" s="29">
        <f t="shared" si="8"/>
        <v>8559000</v>
      </c>
      <c r="AB69" s="76">
        <f t="shared" si="22"/>
        <v>1817.5355539747586</v>
      </c>
      <c r="AC69" s="76">
        <f t="shared" si="23"/>
        <v>1786.4011144989004</v>
      </c>
      <c r="AD69" s="76">
        <f t="shared" si="24"/>
        <v>1798.8341969311291</v>
      </c>
      <c r="AE69" s="76">
        <f t="shared" si="25"/>
        <v>1885.2118711528535</v>
      </c>
      <c r="AF69" s="76">
        <f t="shared" si="9"/>
        <v>1881.098901098901</v>
      </c>
      <c r="AG69" s="76">
        <f t="shared" si="10"/>
        <v>9169.0816376565417</v>
      </c>
      <c r="AI69" s="29">
        <f t="shared" si="11"/>
        <v>13167.692307692309</v>
      </c>
      <c r="AJ69" s="92">
        <f t="shared" si="15"/>
        <v>22336.77394534885</v>
      </c>
    </row>
    <row r="70" spans="1:36" outlineLevel="1" x14ac:dyDescent="0.4">
      <c r="A70" s="26" t="s">
        <v>409</v>
      </c>
      <c r="B70" s="26" t="s">
        <v>408</v>
      </c>
      <c r="C70" s="65">
        <v>0.52400000000000002</v>
      </c>
      <c r="F70" s="42">
        <f t="shared" ref="F70:K70" si="32">F69*0.3054</f>
        <v>2613918.6</v>
      </c>
      <c r="G70" s="42">
        <f t="shared" si="32"/>
        <v>2613918.6</v>
      </c>
      <c r="H70" s="42">
        <f t="shared" si="32"/>
        <v>2613918.6</v>
      </c>
      <c r="I70" s="42">
        <f t="shared" si="32"/>
        <v>2613918.6</v>
      </c>
      <c r="J70" s="35">
        <f t="shared" si="32"/>
        <v>2613918.6</v>
      </c>
      <c r="K70" s="35">
        <f t="shared" si="32"/>
        <v>2613918.6</v>
      </c>
      <c r="L70" s="42">
        <f t="shared" ref="L70:Q70" si="33">L69*0.3054</f>
        <v>2613918.6</v>
      </c>
      <c r="M70" s="35">
        <f t="shared" si="33"/>
        <v>2613918.6</v>
      </c>
      <c r="N70" s="35">
        <f t="shared" si="33"/>
        <v>2613918.6</v>
      </c>
      <c r="O70" s="35">
        <f t="shared" si="33"/>
        <v>2613918.6</v>
      </c>
      <c r="P70" s="35">
        <f t="shared" si="33"/>
        <v>2613918.6</v>
      </c>
      <c r="Q70" s="35">
        <f t="shared" si="33"/>
        <v>2613918.6</v>
      </c>
      <c r="R70" s="29">
        <f t="shared" si="17"/>
        <v>31367023.200000007</v>
      </c>
      <c r="S70" s="36">
        <f t="shared" si="31"/>
        <v>6893.851252747254</v>
      </c>
      <c r="T70" s="64">
        <f>Q70/U$4</f>
        <v>574.48760439560442</v>
      </c>
      <c r="W70" s="29">
        <f t="shared" ref="W70:AA107" si="34">F70</f>
        <v>2613918.6</v>
      </c>
      <c r="X70" s="29">
        <f t="shared" si="34"/>
        <v>2613918.6</v>
      </c>
      <c r="Y70" s="29">
        <f t="shared" si="34"/>
        <v>2613918.6</v>
      </c>
      <c r="Z70" s="29">
        <f t="shared" si="34"/>
        <v>2613918.6</v>
      </c>
      <c r="AA70" s="29">
        <f t="shared" si="34"/>
        <v>2613918.6</v>
      </c>
      <c r="AB70" s="76">
        <f t="shared" si="22"/>
        <v>555.07535818389135</v>
      </c>
      <c r="AC70" s="76">
        <f t="shared" si="23"/>
        <v>545.56690036796419</v>
      </c>
      <c r="AD70" s="76">
        <f t="shared" si="24"/>
        <v>549.36396374276683</v>
      </c>
      <c r="AE70" s="76">
        <f t="shared" si="25"/>
        <v>575.74370545008151</v>
      </c>
      <c r="AF70" s="76">
        <f t="shared" si="9"/>
        <v>574.48760439560442</v>
      </c>
      <c r="AG70" s="76">
        <f t="shared" si="10"/>
        <v>2800.2375321403088</v>
      </c>
      <c r="AI70" s="29">
        <f t="shared" si="11"/>
        <v>4021.4132307692307</v>
      </c>
      <c r="AJ70" s="77">
        <f t="shared" si="15"/>
        <v>6821.6507629095395</v>
      </c>
    </row>
    <row r="71" spans="1:36" outlineLevel="1" x14ac:dyDescent="0.4">
      <c r="A71" s="26" t="s">
        <v>410</v>
      </c>
      <c r="C71" s="65"/>
      <c r="F71" s="35">
        <v>0</v>
      </c>
      <c r="G71" s="45">
        <v>0</v>
      </c>
      <c r="H71" s="57">
        <v>6947980</v>
      </c>
      <c r="I71" s="42">
        <v>0</v>
      </c>
      <c r="J71" s="45">
        <v>19950000</v>
      </c>
      <c r="K71" s="35">
        <v>0</v>
      </c>
      <c r="L71" s="42">
        <v>0</v>
      </c>
      <c r="M71" s="35">
        <v>0</v>
      </c>
      <c r="N71" s="35">
        <v>0</v>
      </c>
      <c r="O71" s="35">
        <v>0</v>
      </c>
      <c r="P71" s="35">
        <v>0</v>
      </c>
      <c r="Q71" s="35">
        <v>0</v>
      </c>
      <c r="R71" s="29">
        <f t="shared" si="17"/>
        <v>26897980</v>
      </c>
      <c r="S71" s="80">
        <f t="shared" si="31"/>
        <v>5911.6439560439558</v>
      </c>
      <c r="T71" s="64"/>
      <c r="V71" s="26">
        <v>3504544</v>
      </c>
      <c r="W71" s="29">
        <f t="shared" si="34"/>
        <v>0</v>
      </c>
      <c r="X71" s="29">
        <f t="shared" si="34"/>
        <v>0</v>
      </c>
      <c r="Y71" s="29">
        <f t="shared" si="34"/>
        <v>6947980</v>
      </c>
      <c r="Z71" s="29">
        <f t="shared" si="34"/>
        <v>0</v>
      </c>
      <c r="AA71" s="29">
        <f t="shared" si="34"/>
        <v>19950000</v>
      </c>
      <c r="AB71" s="76">
        <f t="shared" si="22"/>
        <v>0</v>
      </c>
      <c r="AC71" s="76">
        <f t="shared" si="23"/>
        <v>0</v>
      </c>
      <c r="AD71" s="76">
        <f t="shared" si="24"/>
        <v>1460.2481625883336</v>
      </c>
      <c r="AE71" s="76">
        <f t="shared" si="25"/>
        <v>0</v>
      </c>
      <c r="AF71" s="76">
        <f t="shared" ref="AF71:AF107" si="35">+AA71/$U$4</f>
        <v>4384.6153846153848</v>
      </c>
      <c r="AG71" s="76">
        <f t="shared" ref="AG71:AG107" si="36">SUM(AB71:AF71)</f>
        <v>5844.8635472037186</v>
      </c>
      <c r="AI71" s="29">
        <f t="shared" ref="AI71:AI107" si="37">SUM(K71:Q71)/$U$4</f>
        <v>0</v>
      </c>
      <c r="AJ71" s="81">
        <f t="shared" si="15"/>
        <v>5844.8635472037186</v>
      </c>
    </row>
    <row r="72" spans="1:36" outlineLevel="1" x14ac:dyDescent="0.4">
      <c r="A72" s="26" t="s">
        <v>15</v>
      </c>
      <c r="C72" s="65"/>
      <c r="F72" s="35">
        <v>0</v>
      </c>
      <c r="G72" s="35">
        <v>0</v>
      </c>
      <c r="H72" s="42">
        <v>1277200</v>
      </c>
      <c r="I72" s="42">
        <v>1444044</v>
      </c>
      <c r="J72" s="35">
        <v>2200000</v>
      </c>
      <c r="K72" s="35">
        <v>2200000</v>
      </c>
      <c r="L72" s="42">
        <v>2200000</v>
      </c>
      <c r="M72" s="35">
        <v>2200000</v>
      </c>
      <c r="N72" s="35">
        <v>2200000</v>
      </c>
      <c r="O72" s="35">
        <v>2200000</v>
      </c>
      <c r="P72" s="35">
        <v>2200000</v>
      </c>
      <c r="Q72" s="35">
        <v>0</v>
      </c>
      <c r="R72" s="29">
        <f t="shared" si="17"/>
        <v>18121244</v>
      </c>
      <c r="S72" s="80">
        <f t="shared" si="31"/>
        <v>3982.6909890109891</v>
      </c>
      <c r="T72" s="64"/>
      <c r="W72" s="29">
        <f t="shared" si="34"/>
        <v>0</v>
      </c>
      <c r="X72" s="29">
        <f t="shared" si="34"/>
        <v>0</v>
      </c>
      <c r="Y72" s="29">
        <f t="shared" si="34"/>
        <v>1277200</v>
      </c>
      <c r="Z72" s="29">
        <f t="shared" si="34"/>
        <v>1444044</v>
      </c>
      <c r="AA72" s="29">
        <f t="shared" si="34"/>
        <v>2200000</v>
      </c>
      <c r="AB72" s="76">
        <f t="shared" si="22"/>
        <v>0</v>
      </c>
      <c r="AC72" s="76">
        <f t="shared" si="23"/>
        <v>0</v>
      </c>
      <c r="AD72" s="76">
        <f t="shared" si="24"/>
        <v>268.42750745652972</v>
      </c>
      <c r="AE72" s="76">
        <f t="shared" si="25"/>
        <v>318.06623335285093</v>
      </c>
      <c r="AF72" s="76">
        <f t="shared" si="35"/>
        <v>483.5164835164835</v>
      </c>
      <c r="AG72" s="76">
        <f t="shared" si="36"/>
        <v>1070.0102243258641</v>
      </c>
      <c r="AI72" s="29">
        <f t="shared" si="37"/>
        <v>2901.098901098901</v>
      </c>
      <c r="AJ72" s="92">
        <f t="shared" si="15"/>
        <v>3971.1091254247649</v>
      </c>
    </row>
    <row r="73" spans="1:36" outlineLevel="1" x14ac:dyDescent="0.4">
      <c r="A73" s="26" t="s">
        <v>390</v>
      </c>
      <c r="C73" s="65"/>
      <c r="F73" s="35">
        <v>0</v>
      </c>
      <c r="G73" s="35">
        <v>0</v>
      </c>
      <c r="H73" s="35">
        <v>0</v>
      </c>
      <c r="I73" s="42">
        <v>0</v>
      </c>
      <c r="J73" s="35">
        <v>150000</v>
      </c>
      <c r="K73" s="35"/>
      <c r="L73" s="42"/>
      <c r="M73" s="35"/>
      <c r="N73" s="35"/>
      <c r="O73" s="35"/>
      <c r="P73" s="35"/>
      <c r="Q73" s="35"/>
      <c r="R73" s="29">
        <f t="shared" si="17"/>
        <v>150000</v>
      </c>
      <c r="S73" s="80">
        <f t="shared" si="31"/>
        <v>32.967032967032964</v>
      </c>
      <c r="T73" s="64"/>
      <c r="W73" s="29">
        <f t="shared" si="34"/>
        <v>0</v>
      </c>
      <c r="X73" s="29">
        <f t="shared" si="34"/>
        <v>0</v>
      </c>
      <c r="Y73" s="29">
        <f t="shared" si="34"/>
        <v>0</v>
      </c>
      <c r="Z73" s="29">
        <f t="shared" si="34"/>
        <v>0</v>
      </c>
      <c r="AA73" s="29">
        <f t="shared" si="34"/>
        <v>150000</v>
      </c>
      <c r="AB73" s="76">
        <f t="shared" si="22"/>
        <v>0</v>
      </c>
      <c r="AC73" s="76">
        <f t="shared" si="23"/>
        <v>0</v>
      </c>
      <c r="AD73" s="76">
        <f t="shared" si="24"/>
        <v>0</v>
      </c>
      <c r="AE73" s="76">
        <f t="shared" si="25"/>
        <v>0</v>
      </c>
      <c r="AF73" s="76">
        <f t="shared" si="35"/>
        <v>32.967032967032964</v>
      </c>
      <c r="AG73" s="76">
        <f t="shared" si="36"/>
        <v>32.967032967032964</v>
      </c>
      <c r="AI73" s="29">
        <f t="shared" si="37"/>
        <v>0</v>
      </c>
      <c r="AJ73" s="92">
        <f t="shared" si="15"/>
        <v>32.967032967032964</v>
      </c>
    </row>
    <row r="74" spans="1:36" outlineLevel="1" x14ac:dyDescent="0.4">
      <c r="A74" s="26" t="s">
        <v>411</v>
      </c>
      <c r="F74" s="35">
        <v>0</v>
      </c>
      <c r="G74" s="35">
        <v>0</v>
      </c>
      <c r="H74" s="35">
        <v>0</v>
      </c>
      <c r="I74" s="42">
        <v>0</v>
      </c>
      <c r="J74" s="35">
        <v>0</v>
      </c>
      <c r="K74" s="35"/>
      <c r="L74" s="35">
        <v>0</v>
      </c>
      <c r="M74" s="35">
        <v>0</v>
      </c>
      <c r="N74" s="35"/>
      <c r="O74" s="35">
        <v>0</v>
      </c>
      <c r="P74" s="35">
        <v>0</v>
      </c>
      <c r="Q74" s="35">
        <v>0</v>
      </c>
      <c r="R74" s="29">
        <f t="shared" si="17"/>
        <v>0</v>
      </c>
      <c r="S74" s="80">
        <f t="shared" si="31"/>
        <v>0</v>
      </c>
      <c r="T74" s="64"/>
      <c r="W74" s="29">
        <f t="shared" si="34"/>
        <v>0</v>
      </c>
      <c r="X74" s="29">
        <f t="shared" si="34"/>
        <v>0</v>
      </c>
      <c r="Y74" s="29">
        <f t="shared" si="34"/>
        <v>0</v>
      </c>
      <c r="Z74" s="29">
        <f t="shared" si="34"/>
        <v>0</v>
      </c>
      <c r="AA74" s="29">
        <f t="shared" si="34"/>
        <v>0</v>
      </c>
      <c r="AB74" s="76">
        <f t="shared" si="22"/>
        <v>0</v>
      </c>
      <c r="AC74" s="76">
        <f t="shared" si="23"/>
        <v>0</v>
      </c>
      <c r="AD74" s="76">
        <f t="shared" si="24"/>
        <v>0</v>
      </c>
      <c r="AE74" s="76">
        <f t="shared" si="25"/>
        <v>0</v>
      </c>
      <c r="AF74" s="76">
        <f t="shared" si="35"/>
        <v>0</v>
      </c>
      <c r="AG74" s="76">
        <f t="shared" si="36"/>
        <v>0</v>
      </c>
      <c r="AI74" s="29">
        <f t="shared" si="37"/>
        <v>0</v>
      </c>
      <c r="AJ74" s="92">
        <f t="shared" si="15"/>
        <v>0</v>
      </c>
    </row>
    <row r="75" spans="1:36" outlineLevel="1" x14ac:dyDescent="0.4">
      <c r="A75" s="26" t="s">
        <v>412</v>
      </c>
      <c r="F75" s="35">
        <v>0</v>
      </c>
      <c r="G75" s="35">
        <v>0</v>
      </c>
      <c r="H75" s="35">
        <v>0</v>
      </c>
      <c r="I75" s="42">
        <v>0</v>
      </c>
      <c r="J75" s="35">
        <v>0</v>
      </c>
      <c r="K75" s="35">
        <f>(K69*0.5)+(I67/12)+(J67/12)+(K67/12)</f>
        <v>6237555.583333333</v>
      </c>
      <c r="L75" s="35">
        <v>0</v>
      </c>
      <c r="M75" s="35">
        <v>0</v>
      </c>
      <c r="N75" s="35">
        <v>0</v>
      </c>
      <c r="O75" s="35">
        <v>0</v>
      </c>
      <c r="P75" s="35">
        <v>0</v>
      </c>
      <c r="Q75" s="35">
        <f>(Q67+Q69)*0.5</f>
        <v>10929500</v>
      </c>
      <c r="R75" s="29">
        <f t="shared" si="17"/>
        <v>17167055.583333332</v>
      </c>
      <c r="S75" s="37">
        <f t="shared" si="31"/>
        <v>3772.9792490842487</v>
      </c>
      <c r="T75" s="64"/>
      <c r="W75" s="29">
        <f t="shared" si="34"/>
        <v>0</v>
      </c>
      <c r="X75" s="29">
        <f t="shared" si="34"/>
        <v>0</v>
      </c>
      <c r="Y75" s="29">
        <f t="shared" si="34"/>
        <v>0</v>
      </c>
      <c r="Z75" s="29">
        <f t="shared" si="34"/>
        <v>0</v>
      </c>
      <c r="AA75" s="29">
        <f t="shared" si="34"/>
        <v>0</v>
      </c>
      <c r="AB75" s="76">
        <f t="shared" si="22"/>
        <v>0</v>
      </c>
      <c r="AC75" s="76">
        <f t="shared" si="23"/>
        <v>0</v>
      </c>
      <c r="AD75" s="76">
        <f t="shared" si="24"/>
        <v>0</v>
      </c>
      <c r="AE75" s="76">
        <f t="shared" si="25"/>
        <v>0</v>
      </c>
      <c r="AF75" s="76">
        <f t="shared" si="35"/>
        <v>0</v>
      </c>
      <c r="AG75" s="76">
        <f t="shared" si="36"/>
        <v>0</v>
      </c>
      <c r="AI75" s="29">
        <f t="shared" si="37"/>
        <v>3772.9792490842487</v>
      </c>
      <c r="AJ75" s="77">
        <f t="shared" si="15"/>
        <v>3772.9792490842487</v>
      </c>
    </row>
    <row r="76" spans="1:36" s="27" customFormat="1" x14ac:dyDescent="0.4">
      <c r="A76" s="50"/>
      <c r="F76" s="51"/>
      <c r="G76" s="51"/>
      <c r="H76" s="51"/>
      <c r="I76" s="51"/>
      <c r="J76" s="51"/>
      <c r="K76" s="51"/>
      <c r="L76" s="51"/>
      <c r="M76" s="51"/>
      <c r="N76" s="51"/>
      <c r="O76" s="51"/>
      <c r="P76" s="51"/>
      <c r="Q76" s="51"/>
      <c r="R76" s="39"/>
      <c r="W76" s="29">
        <f t="shared" si="34"/>
        <v>0</v>
      </c>
      <c r="X76" s="29">
        <f t="shared" si="34"/>
        <v>0</v>
      </c>
      <c r="Y76" s="29">
        <f t="shared" si="34"/>
        <v>0</v>
      </c>
      <c r="Z76" s="29">
        <f t="shared" si="34"/>
        <v>0</v>
      </c>
      <c r="AA76" s="29">
        <f t="shared" si="34"/>
        <v>0</v>
      </c>
      <c r="AB76" s="76">
        <f t="shared" si="22"/>
        <v>0</v>
      </c>
      <c r="AC76" s="76">
        <f t="shared" si="23"/>
        <v>0</v>
      </c>
      <c r="AD76" s="76">
        <f t="shared" si="24"/>
        <v>0</v>
      </c>
      <c r="AE76" s="76">
        <f t="shared" si="25"/>
        <v>0</v>
      </c>
      <c r="AF76" s="76">
        <f t="shared" si="35"/>
        <v>0</v>
      </c>
      <c r="AG76" s="76">
        <f t="shared" si="36"/>
        <v>0</v>
      </c>
      <c r="AI76" s="29">
        <f t="shared" si="37"/>
        <v>0</v>
      </c>
      <c r="AJ76" s="81"/>
    </row>
    <row r="77" spans="1:36" x14ac:dyDescent="0.4">
      <c r="A77" s="28" t="s">
        <v>413</v>
      </c>
      <c r="F77" s="30">
        <f>(SUM(F78))/U4</f>
        <v>0</v>
      </c>
      <c r="G77" s="30">
        <f>(SUM(G78))/U4</f>
        <v>0</v>
      </c>
      <c r="H77" s="30">
        <f>(SUM(H78))/U4</f>
        <v>0</v>
      </c>
      <c r="I77" s="30">
        <f>(SUM(I78))/U4</f>
        <v>0</v>
      </c>
      <c r="J77" s="30">
        <f>(SUM(J78))/U4</f>
        <v>0</v>
      </c>
      <c r="K77" s="30">
        <f>(SUM(K78))/U4</f>
        <v>0</v>
      </c>
      <c r="L77" s="30">
        <f>(SUM(L78))/U4</f>
        <v>0</v>
      </c>
      <c r="M77" s="30">
        <f>(SUM(M78))/U4</f>
        <v>0</v>
      </c>
      <c r="N77" s="30">
        <f>(SUM(N78))/U4</f>
        <v>0</v>
      </c>
      <c r="O77" s="30">
        <f>(SUM(O78))/U4</f>
        <v>0</v>
      </c>
      <c r="P77" s="30">
        <f>(SUM(P78))/U4</f>
        <v>0</v>
      </c>
      <c r="Q77" s="30">
        <f>(SUM(Q78))/U4</f>
        <v>0</v>
      </c>
      <c r="R77" s="40">
        <f>SUM(F77:Q77)</f>
        <v>0</v>
      </c>
      <c r="W77" s="29">
        <f t="shared" si="34"/>
        <v>0</v>
      </c>
      <c r="X77" s="29">
        <f t="shared" si="34"/>
        <v>0</v>
      </c>
      <c r="Y77" s="29">
        <f t="shared" si="34"/>
        <v>0</v>
      </c>
      <c r="Z77" s="29">
        <f t="shared" si="34"/>
        <v>0</v>
      </c>
      <c r="AA77" s="29">
        <f t="shared" si="34"/>
        <v>0</v>
      </c>
      <c r="AB77" s="76">
        <f t="shared" si="22"/>
        <v>0</v>
      </c>
      <c r="AC77" s="76">
        <f t="shared" si="23"/>
        <v>0</v>
      </c>
      <c r="AD77" s="76">
        <f t="shared" si="24"/>
        <v>0</v>
      </c>
      <c r="AE77" s="76">
        <f t="shared" si="25"/>
        <v>0</v>
      </c>
      <c r="AF77" s="76">
        <f t="shared" si="35"/>
        <v>0</v>
      </c>
      <c r="AG77" s="76">
        <f t="shared" si="36"/>
        <v>0</v>
      </c>
      <c r="AI77" s="29">
        <f t="shared" si="37"/>
        <v>0</v>
      </c>
      <c r="AJ77" s="81"/>
    </row>
    <row r="78" spans="1:36" outlineLevel="1" x14ac:dyDescent="0.4">
      <c r="A78" s="26" t="s">
        <v>15</v>
      </c>
      <c r="F78" s="42">
        <v>0</v>
      </c>
      <c r="G78" s="42">
        <v>0</v>
      </c>
      <c r="H78" s="42">
        <v>0</v>
      </c>
      <c r="I78" s="35">
        <v>0</v>
      </c>
      <c r="J78" s="35">
        <v>0</v>
      </c>
      <c r="K78" s="35">
        <v>0</v>
      </c>
      <c r="L78" s="35">
        <v>0</v>
      </c>
      <c r="M78" s="35">
        <v>0</v>
      </c>
      <c r="N78" s="35">
        <v>0</v>
      </c>
      <c r="O78" s="35">
        <v>0</v>
      </c>
      <c r="P78" s="35">
        <v>0</v>
      </c>
      <c r="Q78" s="35">
        <v>0</v>
      </c>
      <c r="R78" s="29">
        <f>SUM(F78:Q78)</f>
        <v>0</v>
      </c>
      <c r="S78" s="37">
        <f>R78/U4</f>
        <v>0</v>
      </c>
      <c r="W78" s="29">
        <f t="shared" si="34"/>
        <v>0</v>
      </c>
      <c r="X78" s="29">
        <f t="shared" si="34"/>
        <v>0</v>
      </c>
      <c r="Y78" s="29">
        <f t="shared" si="34"/>
        <v>0</v>
      </c>
      <c r="Z78" s="29">
        <f t="shared" si="34"/>
        <v>0</v>
      </c>
      <c r="AA78" s="29">
        <f t="shared" si="34"/>
        <v>0</v>
      </c>
      <c r="AB78" s="76">
        <f t="shared" si="22"/>
        <v>0</v>
      </c>
      <c r="AC78" s="76">
        <f t="shared" si="23"/>
        <v>0</v>
      </c>
      <c r="AD78" s="76">
        <f t="shared" si="24"/>
        <v>0</v>
      </c>
      <c r="AE78" s="76">
        <f t="shared" si="25"/>
        <v>0</v>
      </c>
      <c r="AF78" s="76">
        <f t="shared" si="35"/>
        <v>0</v>
      </c>
      <c r="AG78" s="76">
        <f t="shared" si="36"/>
        <v>0</v>
      </c>
      <c r="AI78" s="29">
        <f t="shared" si="37"/>
        <v>0</v>
      </c>
      <c r="AJ78" s="81"/>
    </row>
    <row r="79" spans="1:36" s="27" customFormat="1" x14ac:dyDescent="0.4">
      <c r="R79" s="39">
        <f t="shared" si="17"/>
        <v>0</v>
      </c>
      <c r="W79" s="29">
        <f t="shared" si="34"/>
        <v>0</v>
      </c>
      <c r="X79" s="29">
        <f t="shared" si="34"/>
        <v>0</v>
      </c>
      <c r="Y79" s="29">
        <f t="shared" si="34"/>
        <v>0</v>
      </c>
      <c r="Z79" s="29">
        <f t="shared" si="34"/>
        <v>0</v>
      </c>
      <c r="AA79" s="29">
        <f t="shared" si="34"/>
        <v>0</v>
      </c>
      <c r="AB79" s="76">
        <f t="shared" si="22"/>
        <v>0</v>
      </c>
      <c r="AC79" s="76">
        <f t="shared" si="23"/>
        <v>0</v>
      </c>
      <c r="AD79" s="76">
        <f t="shared" si="24"/>
        <v>0</v>
      </c>
      <c r="AE79" s="76">
        <f t="shared" si="25"/>
        <v>0</v>
      </c>
      <c r="AF79" s="76">
        <f t="shared" si="35"/>
        <v>0</v>
      </c>
      <c r="AG79" s="76">
        <f t="shared" si="36"/>
        <v>0</v>
      </c>
      <c r="AI79" s="29">
        <f t="shared" si="37"/>
        <v>0</v>
      </c>
      <c r="AJ79" s="81"/>
    </row>
    <row r="80" spans="1:36" x14ac:dyDescent="0.4">
      <c r="A80" s="28" t="s">
        <v>414</v>
      </c>
      <c r="B80" s="41" t="s">
        <v>415</v>
      </c>
      <c r="F80" s="30">
        <f>(SUM(F81:F83))/F93</f>
        <v>495.84595379495988</v>
      </c>
      <c r="G80" s="30">
        <f>(SUM(G81:G83))/G93</f>
        <v>626.14830511703485</v>
      </c>
      <c r="H80" s="30">
        <f>(SUM(H81:H83))/U4</f>
        <v>0</v>
      </c>
      <c r="I80" s="30">
        <f>(SUM(I81:I83))/U4</f>
        <v>0</v>
      </c>
      <c r="J80" s="30">
        <f t="shared" ref="J80:Q80" si="38">(SUM(J81:J83))/$U$4</f>
        <v>109.89010989010988</v>
      </c>
      <c r="K80" s="30">
        <f t="shared" si="38"/>
        <v>0</v>
      </c>
      <c r="L80" s="30">
        <f t="shared" si="38"/>
        <v>0</v>
      </c>
      <c r="M80" s="30">
        <f t="shared" si="38"/>
        <v>0</v>
      </c>
      <c r="N80" s="30">
        <f t="shared" si="38"/>
        <v>109.89010989010988</v>
      </c>
      <c r="O80" s="30">
        <f t="shared" si="38"/>
        <v>0</v>
      </c>
      <c r="P80" s="30">
        <f t="shared" si="38"/>
        <v>0</v>
      </c>
      <c r="Q80" s="30">
        <f t="shared" si="38"/>
        <v>0</v>
      </c>
      <c r="R80" s="40">
        <f t="shared" si="17"/>
        <v>1341.7744786922144</v>
      </c>
      <c r="W80" s="29">
        <f t="shared" si="34"/>
        <v>495.84595379495988</v>
      </c>
      <c r="X80" s="29">
        <f t="shared" si="34"/>
        <v>626.14830511703485</v>
      </c>
      <c r="Y80" s="29">
        <f t="shared" si="34"/>
        <v>0</v>
      </c>
      <c r="Z80" s="29">
        <f t="shared" si="34"/>
        <v>0</v>
      </c>
      <c r="AA80" s="29">
        <f t="shared" si="34"/>
        <v>109.89010989010988</v>
      </c>
      <c r="AB80" s="76">
        <f t="shared" si="22"/>
        <v>0.10529473657166316</v>
      </c>
      <c r="AC80" s="76">
        <f t="shared" si="23"/>
        <v>0.13068723333364513</v>
      </c>
      <c r="AD80" s="76">
        <f t="shared" si="24"/>
        <v>0</v>
      </c>
      <c r="AE80" s="76">
        <f t="shared" si="25"/>
        <v>0</v>
      </c>
      <c r="AF80" s="76">
        <f t="shared" si="35"/>
        <v>2.4151672503320853E-2</v>
      </c>
      <c r="AG80" s="76">
        <f t="shared" si="36"/>
        <v>0.26013364240862913</v>
      </c>
      <c r="AI80" s="29">
        <f t="shared" si="37"/>
        <v>2.4151672503320853E-2</v>
      </c>
      <c r="AJ80" s="76"/>
    </row>
    <row r="81" spans="1:40" outlineLevel="1" x14ac:dyDescent="0.4">
      <c r="A81" s="26" t="s">
        <v>416</v>
      </c>
      <c r="F81" s="35">
        <v>0</v>
      </c>
      <c r="G81" s="35">
        <v>0</v>
      </c>
      <c r="H81" s="35">
        <v>0</v>
      </c>
      <c r="I81" s="35">
        <v>0</v>
      </c>
      <c r="J81" s="35">
        <v>0</v>
      </c>
      <c r="K81" s="35">
        <v>0</v>
      </c>
      <c r="L81" s="42"/>
      <c r="M81" s="35">
        <v>0</v>
      </c>
      <c r="N81" s="35">
        <v>0</v>
      </c>
      <c r="O81" s="35">
        <v>0</v>
      </c>
      <c r="P81" s="35">
        <v>0</v>
      </c>
      <c r="Q81" s="35">
        <v>0</v>
      </c>
      <c r="R81" s="29">
        <f t="shared" si="17"/>
        <v>0</v>
      </c>
      <c r="S81" s="80">
        <f>R81/U$4</f>
        <v>0</v>
      </c>
      <c r="W81" s="29">
        <f t="shared" si="34"/>
        <v>0</v>
      </c>
      <c r="X81" s="29">
        <f t="shared" si="34"/>
        <v>0</v>
      </c>
      <c r="Y81" s="29">
        <f t="shared" si="34"/>
        <v>0</v>
      </c>
      <c r="Z81" s="29">
        <f t="shared" si="34"/>
        <v>0</v>
      </c>
      <c r="AA81" s="29">
        <f t="shared" si="34"/>
        <v>0</v>
      </c>
      <c r="AB81" s="76">
        <f t="shared" si="22"/>
        <v>0</v>
      </c>
      <c r="AC81" s="76">
        <f t="shared" si="23"/>
        <v>0</v>
      </c>
      <c r="AD81" s="76">
        <f t="shared" si="24"/>
        <v>0</v>
      </c>
      <c r="AE81" s="76">
        <f t="shared" si="25"/>
        <v>0</v>
      </c>
      <c r="AF81" s="76">
        <f t="shared" si="35"/>
        <v>0</v>
      </c>
      <c r="AG81" s="76">
        <f t="shared" si="36"/>
        <v>0</v>
      </c>
      <c r="AI81" s="29">
        <f t="shared" si="37"/>
        <v>0</v>
      </c>
      <c r="AJ81" s="92">
        <f t="shared" ref="AJ81:AJ91" si="39">AG81+AI81</f>
        <v>0</v>
      </c>
    </row>
    <row r="82" spans="1:40" outlineLevel="1" x14ac:dyDescent="0.4">
      <c r="A82" s="26" t="s">
        <v>417</v>
      </c>
      <c r="F82" s="42">
        <v>2335000</v>
      </c>
      <c r="G82" s="35">
        <v>3000000</v>
      </c>
      <c r="H82" s="35">
        <v>0</v>
      </c>
      <c r="I82" s="35">
        <v>0</v>
      </c>
      <c r="J82" s="35">
        <v>0</v>
      </c>
      <c r="K82" s="35">
        <v>0</v>
      </c>
      <c r="L82" s="42">
        <v>0</v>
      </c>
      <c r="M82" s="35">
        <v>0</v>
      </c>
      <c r="N82" s="35">
        <v>0</v>
      </c>
      <c r="O82" s="35">
        <v>0</v>
      </c>
      <c r="P82" s="35">
        <v>0</v>
      </c>
      <c r="Q82" s="35">
        <v>0</v>
      </c>
      <c r="R82" s="44">
        <f t="shared" si="17"/>
        <v>5335000</v>
      </c>
      <c r="S82" s="80">
        <f>R82/U$4</f>
        <v>1172.5274725274726</v>
      </c>
      <c r="W82" s="29">
        <f t="shared" si="34"/>
        <v>2335000</v>
      </c>
      <c r="X82" s="29">
        <f t="shared" si="34"/>
        <v>3000000</v>
      </c>
      <c r="Y82" s="29">
        <f t="shared" si="34"/>
        <v>0</v>
      </c>
      <c r="Z82" s="29">
        <f t="shared" si="34"/>
        <v>0</v>
      </c>
      <c r="AA82" s="29">
        <f t="shared" si="34"/>
        <v>0</v>
      </c>
      <c r="AB82" s="76">
        <f t="shared" si="22"/>
        <v>495.84595379495988</v>
      </c>
      <c r="AC82" s="76">
        <f t="shared" si="23"/>
        <v>626.14830511703485</v>
      </c>
      <c r="AD82" s="76">
        <f t="shared" si="24"/>
        <v>0</v>
      </c>
      <c r="AE82" s="76">
        <f t="shared" si="25"/>
        <v>0</v>
      </c>
      <c r="AF82" s="76">
        <f t="shared" si="35"/>
        <v>0</v>
      </c>
      <c r="AG82" s="76">
        <f t="shared" si="36"/>
        <v>1121.9942589119946</v>
      </c>
      <c r="AI82" s="29">
        <f t="shared" si="37"/>
        <v>0</v>
      </c>
      <c r="AJ82" s="81">
        <f t="shared" si="39"/>
        <v>1121.9942589119946</v>
      </c>
    </row>
    <row r="83" spans="1:40" outlineLevel="1" x14ac:dyDescent="0.4">
      <c r="A83" s="26" t="s">
        <v>123</v>
      </c>
      <c r="F83" s="35">
        <v>0</v>
      </c>
      <c r="G83" s="35">
        <v>0</v>
      </c>
      <c r="H83" s="35">
        <v>0</v>
      </c>
      <c r="I83" s="35">
        <v>0</v>
      </c>
      <c r="J83" s="35">
        <v>500000</v>
      </c>
      <c r="K83" s="35">
        <v>0</v>
      </c>
      <c r="L83" s="42">
        <v>0</v>
      </c>
      <c r="M83" s="35">
        <v>0</v>
      </c>
      <c r="N83" s="42">
        <v>500000</v>
      </c>
      <c r="O83" s="35">
        <v>0</v>
      </c>
      <c r="P83" s="35">
        <v>0</v>
      </c>
      <c r="Q83" s="35">
        <v>0</v>
      </c>
      <c r="R83" s="29">
        <f t="shared" si="17"/>
        <v>1000000</v>
      </c>
      <c r="S83" s="84">
        <f>R83/U$4</f>
        <v>219.78021978021977</v>
      </c>
      <c r="W83" s="29">
        <f t="shared" si="34"/>
        <v>0</v>
      </c>
      <c r="X83" s="29">
        <f t="shared" si="34"/>
        <v>0</v>
      </c>
      <c r="Y83" s="29">
        <f t="shared" si="34"/>
        <v>0</v>
      </c>
      <c r="Z83" s="29">
        <f t="shared" si="34"/>
        <v>0</v>
      </c>
      <c r="AA83" s="29">
        <f t="shared" si="34"/>
        <v>500000</v>
      </c>
      <c r="AB83" s="76">
        <f t="shared" si="22"/>
        <v>0</v>
      </c>
      <c r="AC83" s="76">
        <f t="shared" si="23"/>
        <v>0</v>
      </c>
      <c r="AD83" s="76">
        <f t="shared" si="24"/>
        <v>0</v>
      </c>
      <c r="AE83" s="76">
        <f t="shared" si="25"/>
        <v>0</v>
      </c>
      <c r="AF83" s="76">
        <f t="shared" si="35"/>
        <v>109.89010989010988</v>
      </c>
      <c r="AG83" s="76">
        <f t="shared" si="36"/>
        <v>109.89010989010988</v>
      </c>
      <c r="AI83" s="29">
        <f t="shared" si="37"/>
        <v>109.89010989010988</v>
      </c>
      <c r="AJ83" s="92">
        <f t="shared" si="39"/>
        <v>219.78021978021977</v>
      </c>
    </row>
    <row r="84" spans="1:40" s="27" customFormat="1" x14ac:dyDescent="0.4">
      <c r="W84" s="29">
        <f t="shared" si="34"/>
        <v>0</v>
      </c>
      <c r="X84" s="29">
        <f t="shared" si="34"/>
        <v>0</v>
      </c>
      <c r="Y84" s="29">
        <f t="shared" si="34"/>
        <v>0</v>
      </c>
      <c r="Z84" s="29">
        <f t="shared" si="34"/>
        <v>0</v>
      </c>
      <c r="AA84" s="29">
        <f t="shared" si="34"/>
        <v>0</v>
      </c>
      <c r="AB84" s="76">
        <f t="shared" si="22"/>
        <v>0</v>
      </c>
      <c r="AC84" s="76">
        <f t="shared" si="23"/>
        <v>0</v>
      </c>
      <c r="AD84" s="76">
        <f t="shared" si="24"/>
        <v>0</v>
      </c>
      <c r="AE84" s="76">
        <f t="shared" si="25"/>
        <v>0</v>
      </c>
      <c r="AF84" s="76">
        <f t="shared" si="35"/>
        <v>0</v>
      </c>
      <c r="AG84" s="76">
        <f t="shared" si="36"/>
        <v>0</v>
      </c>
      <c r="AI84" s="29">
        <f t="shared" si="37"/>
        <v>0</v>
      </c>
      <c r="AJ84" s="81">
        <f t="shared" si="39"/>
        <v>0</v>
      </c>
    </row>
    <row r="85" spans="1:40" ht="15" x14ac:dyDescent="0.5">
      <c r="A85" s="28" t="s">
        <v>418</v>
      </c>
      <c r="F85" s="31"/>
      <c r="G85" s="31"/>
      <c r="H85" s="31"/>
      <c r="I85" s="31"/>
      <c r="J85" s="31"/>
      <c r="K85" s="31"/>
      <c r="L85" s="31">
        <v>1002.5</v>
      </c>
      <c r="M85" s="31">
        <v>1002.5</v>
      </c>
      <c r="N85" s="31">
        <v>1002.5</v>
      </c>
      <c r="O85" s="31">
        <v>1002.5</v>
      </c>
      <c r="P85" s="31">
        <v>1002.5</v>
      </c>
      <c r="Q85" s="31">
        <v>1002.5</v>
      </c>
      <c r="R85" s="67">
        <f>SUM(L85:Q85)</f>
        <v>6015</v>
      </c>
      <c r="S85" s="29"/>
      <c r="T85" s="29"/>
      <c r="W85" s="29"/>
      <c r="X85" s="29"/>
      <c r="Y85" s="29"/>
      <c r="Z85" s="29"/>
      <c r="AA85" s="29"/>
      <c r="AG85" s="76"/>
      <c r="AI85" s="29"/>
      <c r="AJ85" s="76"/>
      <c r="AL85" s="29"/>
      <c r="AM85" s="29"/>
    </row>
    <row r="86" spans="1:40" s="27" customFormat="1" x14ac:dyDescent="0.4">
      <c r="W86" s="29"/>
      <c r="X86" s="29"/>
      <c r="Y86" s="29"/>
      <c r="Z86" s="29"/>
      <c r="AA86" s="29"/>
      <c r="AB86" s="76"/>
      <c r="AC86" s="76"/>
      <c r="AD86" s="76"/>
      <c r="AE86" s="76"/>
      <c r="AF86" s="76"/>
      <c r="AG86" s="76"/>
      <c r="AI86" s="29"/>
      <c r="AJ86" s="81"/>
    </row>
    <row r="87" spans="1:40" ht="15" x14ac:dyDescent="0.5">
      <c r="A87" s="28" t="s">
        <v>419</v>
      </c>
      <c r="F87" s="66">
        <f t="shared" ref="F87:J87" si="40">F3+F19+F24+F32</f>
        <v>33505.402033347593</v>
      </c>
      <c r="G87" s="66">
        <f t="shared" si="40"/>
        <v>19614.325218341459</v>
      </c>
      <c r="H87" s="66">
        <f t="shared" si="40"/>
        <v>26808.42092987011</v>
      </c>
      <c r="I87" s="66">
        <f t="shared" si="40"/>
        <v>29567.558092378156</v>
      </c>
      <c r="J87" s="66">
        <f t="shared" si="40"/>
        <v>52203.107547648353</v>
      </c>
      <c r="K87" s="66">
        <f>K3+K19+K24+K32</f>
        <v>38985.937745787553</v>
      </c>
      <c r="L87" s="66">
        <f>L3+L19+L24+L32+L85</f>
        <v>47397.638228571421</v>
      </c>
      <c r="M87" s="66">
        <f t="shared" ref="M87:P87" si="41">M3+M19+M24+M32+M85</f>
        <v>44285.596470329663</v>
      </c>
      <c r="N87" s="66">
        <f t="shared" si="41"/>
        <v>46065.1657010989</v>
      </c>
      <c r="O87" s="66">
        <f t="shared" si="41"/>
        <v>38458.639041758237</v>
      </c>
      <c r="P87" s="66">
        <f t="shared" si="41"/>
        <v>31459.983999999997</v>
      </c>
      <c r="Q87" s="66">
        <f>Q3+Q19+Q24+Q32+Q85</f>
        <v>39854.269714285714</v>
      </c>
      <c r="R87" s="67">
        <f>SUM(F87:Q87)</f>
        <v>448206.0447234172</v>
      </c>
      <c r="S87" s="29">
        <f>R87*U4</f>
        <v>2039337503.4915483</v>
      </c>
      <c r="W87" s="29">
        <f t="shared" si="34"/>
        <v>33505.402033347593</v>
      </c>
      <c r="X87" s="29">
        <f t="shared" si="34"/>
        <v>19614.325218341459</v>
      </c>
      <c r="Y87" s="29">
        <f t="shared" si="34"/>
        <v>26808.42092987011</v>
      </c>
      <c r="Z87" s="29">
        <f t="shared" si="34"/>
        <v>29567.558092378156</v>
      </c>
      <c r="AA87" s="29">
        <f t="shared" si="34"/>
        <v>52203.107547648353</v>
      </c>
      <c r="AB87" s="76">
        <f>+W87/$F$93</f>
        <v>7.1149970143506742</v>
      </c>
      <c r="AC87" s="76">
        <f>+X87/$G$93</f>
        <v>4.0938254971596066</v>
      </c>
      <c r="AD87" s="76">
        <f>+Y87/$H$93</f>
        <v>5.6342918955923089</v>
      </c>
      <c r="AE87" s="76">
        <f>+Z87/$I$93</f>
        <v>6.5125729076706298</v>
      </c>
      <c r="AF87" s="76">
        <f t="shared" si="35"/>
        <v>11.473210450032605</v>
      </c>
      <c r="AG87" s="76">
        <f t="shared" si="36"/>
        <v>34.828897764805824</v>
      </c>
      <c r="AI87" s="29">
        <f t="shared" si="37"/>
        <v>62.968622176226695</v>
      </c>
      <c r="AJ87" s="76">
        <f t="shared" si="39"/>
        <v>97.797519941032519</v>
      </c>
    </row>
    <row r="88" spans="1:40" ht="15" x14ac:dyDescent="0.5">
      <c r="A88" s="28"/>
      <c r="F88" s="31"/>
      <c r="G88" s="31"/>
      <c r="H88" s="31"/>
      <c r="I88" s="31"/>
      <c r="J88" s="31"/>
      <c r="K88" s="31">
        <f>K87*(1-9%)</f>
        <v>35477.203348666677</v>
      </c>
      <c r="L88" s="31"/>
      <c r="M88" s="31"/>
      <c r="N88" s="31"/>
      <c r="O88" s="31"/>
      <c r="P88" s="31"/>
      <c r="Q88" s="31"/>
      <c r="R88" s="67"/>
      <c r="S88" s="29"/>
      <c r="W88" s="29"/>
      <c r="X88" s="29"/>
      <c r="Y88" s="29"/>
      <c r="Z88" s="29"/>
      <c r="AA88" s="29"/>
      <c r="AG88" s="76"/>
      <c r="AI88" s="29"/>
      <c r="AJ88" s="76"/>
    </row>
    <row r="89" spans="1:40" ht="15" x14ac:dyDescent="0.5">
      <c r="A89" s="28" t="s">
        <v>313</v>
      </c>
      <c r="F89" s="31">
        <v>0</v>
      </c>
      <c r="G89" s="31">
        <v>0</v>
      </c>
      <c r="H89" s="31">
        <v>0</v>
      </c>
      <c r="I89" s="31">
        <v>0</v>
      </c>
      <c r="J89" s="31">
        <v>0</v>
      </c>
      <c r="K89" s="31">
        <f>K87*0.09</f>
        <v>3508.7343971208797</v>
      </c>
      <c r="L89" s="31">
        <f t="shared" ref="L89:P89" si="42">L87*0.09</f>
        <v>4265.7874405714274</v>
      </c>
      <c r="M89" s="31">
        <f t="shared" si="42"/>
        <v>3985.7036823296694</v>
      </c>
      <c r="N89" s="31">
        <f t="shared" si="42"/>
        <v>4145.8649130989006</v>
      </c>
      <c r="O89" s="31">
        <f t="shared" si="42"/>
        <v>3461.2775137582412</v>
      </c>
      <c r="P89" s="31">
        <f t="shared" si="42"/>
        <v>2831.3985599999996</v>
      </c>
      <c r="Q89" s="31">
        <f>Q87*0.09</f>
        <v>3586.8842742857141</v>
      </c>
      <c r="R89" s="67">
        <f>SUM(F89:Q89)</f>
        <v>25785.650781164833</v>
      </c>
      <c r="S89" s="29">
        <f>R89*U4</f>
        <v>117324711.0543</v>
      </c>
      <c r="T89" s="29"/>
      <c r="W89" s="29">
        <f t="shared" si="34"/>
        <v>0</v>
      </c>
      <c r="X89" s="29">
        <f t="shared" si="34"/>
        <v>0</v>
      </c>
      <c r="Y89" s="29">
        <f t="shared" si="34"/>
        <v>0</v>
      </c>
      <c r="Z89" s="29">
        <f t="shared" si="34"/>
        <v>0</v>
      </c>
      <c r="AA89" s="29">
        <f t="shared" si="34"/>
        <v>0</v>
      </c>
      <c r="AB89" s="76">
        <f t="shared" ref="AB89:AB94" si="43">+W89/$F$93</f>
        <v>0</v>
      </c>
      <c r="AC89" s="76">
        <f t="shared" ref="AC89:AC94" si="44">+X89/$G$93</f>
        <v>0</v>
      </c>
      <c r="AD89" s="76">
        <f t="shared" ref="AD89:AD94" si="45">+Y89/$H$93</f>
        <v>0</v>
      </c>
      <c r="AE89" s="76">
        <f t="shared" ref="AE89:AE94" si="46">+Z89/$I$93</f>
        <v>0</v>
      </c>
      <c r="AF89" s="76">
        <f t="shared" si="35"/>
        <v>0</v>
      </c>
      <c r="AG89" s="76">
        <f t="shared" si="36"/>
        <v>0</v>
      </c>
      <c r="AI89" s="29">
        <f t="shared" si="37"/>
        <v>5.6671759958604033</v>
      </c>
      <c r="AJ89" s="76">
        <f t="shared" si="39"/>
        <v>5.6671759958604033</v>
      </c>
      <c r="AL89" s="29">
        <f>R89/R87</f>
        <v>5.7530796571645663E-2</v>
      </c>
      <c r="AM89" s="29">
        <f>R89*4550</f>
        <v>117324711.0543</v>
      </c>
    </row>
    <row r="90" spans="1:40" s="73" customFormat="1" ht="15" x14ac:dyDescent="0.5">
      <c r="A90" s="68" t="s">
        <v>420</v>
      </c>
      <c r="B90" s="69"/>
      <c r="C90" s="69"/>
      <c r="D90" s="69"/>
      <c r="E90" s="69"/>
      <c r="F90" s="70">
        <f t="shared" ref="F90:Q90" si="47">F89+F87</f>
        <v>33505.402033347593</v>
      </c>
      <c r="G90" s="70">
        <f t="shared" si="47"/>
        <v>19614.325218341459</v>
      </c>
      <c r="H90" s="70">
        <f t="shared" si="47"/>
        <v>26808.42092987011</v>
      </c>
      <c r="I90" s="70">
        <f t="shared" si="47"/>
        <v>29567.558092378156</v>
      </c>
      <c r="J90" s="70">
        <f t="shared" si="47"/>
        <v>52203.107547648353</v>
      </c>
      <c r="K90" s="70">
        <f>K89+K87</f>
        <v>42494.672142908435</v>
      </c>
      <c r="L90" s="70">
        <f t="shared" si="47"/>
        <v>51663.425669142845</v>
      </c>
      <c r="M90" s="70">
        <f t="shared" si="47"/>
        <v>48271.300152659329</v>
      </c>
      <c r="N90" s="70">
        <f t="shared" si="47"/>
        <v>50211.0306141978</v>
      </c>
      <c r="O90" s="70">
        <f t="shared" si="47"/>
        <v>41919.91655551648</v>
      </c>
      <c r="P90" s="70">
        <f t="shared" si="47"/>
        <v>34291.382559999998</v>
      </c>
      <c r="Q90" s="70">
        <f t="shared" si="47"/>
        <v>43441.15398857143</v>
      </c>
      <c r="R90" s="67">
        <f>SUM(F90:Q90)</f>
        <v>473991.69550458202</v>
      </c>
      <c r="S90" s="71">
        <f>R90-510000</f>
        <v>-36008.304495417979</v>
      </c>
      <c r="T90" s="72">
        <f>R90*U4</f>
        <v>2156662214.5458484</v>
      </c>
      <c r="W90" s="29">
        <f t="shared" si="34"/>
        <v>33505.402033347593</v>
      </c>
      <c r="X90" s="29">
        <f t="shared" si="34"/>
        <v>19614.325218341459</v>
      </c>
      <c r="Y90" s="29">
        <f t="shared" si="34"/>
        <v>26808.42092987011</v>
      </c>
      <c r="Z90" s="29">
        <f t="shared" si="34"/>
        <v>29567.558092378156</v>
      </c>
      <c r="AA90" s="29">
        <f t="shared" si="34"/>
        <v>52203.107547648353</v>
      </c>
      <c r="AB90" s="76">
        <f t="shared" si="43"/>
        <v>7.1149970143506742</v>
      </c>
      <c r="AC90" s="76">
        <f t="shared" si="44"/>
        <v>4.0938254971596066</v>
      </c>
      <c r="AD90" s="76">
        <f t="shared" si="45"/>
        <v>5.6342918955923089</v>
      </c>
      <c r="AE90" s="76">
        <f t="shared" si="46"/>
        <v>6.5125729076706298</v>
      </c>
      <c r="AF90" s="76">
        <f t="shared" si="35"/>
        <v>11.473210450032605</v>
      </c>
      <c r="AG90" s="76">
        <f t="shared" si="36"/>
        <v>34.828897764805824</v>
      </c>
      <c r="AI90" s="29">
        <f t="shared" si="37"/>
        <v>68.635798172087107</v>
      </c>
      <c r="AJ90" s="76">
        <f t="shared" si="39"/>
        <v>103.46469593689292</v>
      </c>
    </row>
    <row r="91" spans="1:40" s="85" customFormat="1" ht="15" x14ac:dyDescent="0.5">
      <c r="A91" s="85" t="s">
        <v>421</v>
      </c>
      <c r="H91" s="86">
        <f t="shared" ref="H91:Q91" si="48">H89*4800</f>
        <v>0</v>
      </c>
      <c r="I91" s="86">
        <f t="shared" si="48"/>
        <v>0</v>
      </c>
      <c r="J91" s="86">
        <f t="shared" si="48"/>
        <v>0</v>
      </c>
      <c r="K91" s="86">
        <f t="shared" si="48"/>
        <v>16841925.106180225</v>
      </c>
      <c r="L91" s="86">
        <f t="shared" si="48"/>
        <v>20475779.714742851</v>
      </c>
      <c r="M91" s="86">
        <f t="shared" si="48"/>
        <v>19131377.675182413</v>
      </c>
      <c r="N91" s="86">
        <f t="shared" si="48"/>
        <v>19900151.582874723</v>
      </c>
      <c r="O91" s="86">
        <f t="shared" si="48"/>
        <v>16614132.066039559</v>
      </c>
      <c r="P91" s="86">
        <f t="shared" si="48"/>
        <v>13590713.087999998</v>
      </c>
      <c r="Q91" s="86">
        <f t="shared" si="48"/>
        <v>17217044.516571429</v>
      </c>
      <c r="R91" s="87">
        <f>SUM(F91:Q91)</f>
        <v>123771123.7495912</v>
      </c>
      <c r="S91" s="86"/>
      <c r="W91" s="86">
        <f t="shared" si="34"/>
        <v>0</v>
      </c>
      <c r="X91" s="86">
        <f t="shared" si="34"/>
        <v>0</v>
      </c>
      <c r="Y91" s="86">
        <f t="shared" si="34"/>
        <v>0</v>
      </c>
      <c r="Z91" s="86">
        <f t="shared" si="34"/>
        <v>0</v>
      </c>
      <c r="AA91" s="86">
        <f t="shared" si="34"/>
        <v>0</v>
      </c>
      <c r="AB91" s="88">
        <f t="shared" si="43"/>
        <v>0</v>
      </c>
      <c r="AC91" s="88">
        <f t="shared" si="44"/>
        <v>0</v>
      </c>
      <c r="AD91" s="88">
        <f t="shared" si="45"/>
        <v>0</v>
      </c>
      <c r="AE91" s="88">
        <f t="shared" si="46"/>
        <v>0</v>
      </c>
      <c r="AF91" s="88">
        <f t="shared" si="35"/>
        <v>0</v>
      </c>
      <c r="AG91" s="88">
        <f t="shared" si="36"/>
        <v>0</v>
      </c>
      <c r="AI91" s="86">
        <f t="shared" si="37"/>
        <v>27202.444780129936</v>
      </c>
      <c r="AJ91" s="76">
        <f t="shared" si="39"/>
        <v>27202.444780129936</v>
      </c>
    </row>
    <row r="92" spans="1:40" x14ac:dyDescent="0.4">
      <c r="I92" s="29"/>
      <c r="K92" s="29">
        <f>K87-K88</f>
        <v>3508.7343971208757</v>
      </c>
      <c r="W92" s="29">
        <f t="shared" si="34"/>
        <v>0</v>
      </c>
      <c r="X92" s="29">
        <f t="shared" si="34"/>
        <v>0</v>
      </c>
      <c r="Y92" s="29">
        <f t="shared" si="34"/>
        <v>0</v>
      </c>
      <c r="Z92" s="29">
        <f t="shared" si="34"/>
        <v>0</v>
      </c>
      <c r="AA92" s="29">
        <f t="shared" si="34"/>
        <v>0</v>
      </c>
      <c r="AB92" s="76">
        <f t="shared" si="43"/>
        <v>0</v>
      </c>
      <c r="AC92" s="76">
        <f t="shared" si="44"/>
        <v>0</v>
      </c>
      <c r="AD92" s="76">
        <f t="shared" si="45"/>
        <v>0</v>
      </c>
      <c r="AE92" s="76">
        <f t="shared" si="46"/>
        <v>0</v>
      </c>
      <c r="AF92" s="76">
        <f t="shared" si="35"/>
        <v>0</v>
      </c>
      <c r="AG92" s="76">
        <f t="shared" si="36"/>
        <v>0</v>
      </c>
      <c r="AI92" s="29">
        <f t="shared" si="37"/>
        <v>0.77115041694964304</v>
      </c>
      <c r="AJ92" s="76"/>
      <c r="AM92" s="29"/>
      <c r="AN92" s="29"/>
    </row>
    <row r="93" spans="1:40" x14ac:dyDescent="0.4">
      <c r="F93" s="26">
        <v>4709.1238359999998</v>
      </c>
      <c r="G93" s="26">
        <v>4791.1971899999999</v>
      </c>
      <c r="H93" s="26">
        <v>4758.0816590000004</v>
      </c>
      <c r="I93" s="89">
        <v>4540.073257</v>
      </c>
      <c r="R93" s="29"/>
      <c r="W93" s="29">
        <f t="shared" si="34"/>
        <v>4709.1238359999998</v>
      </c>
      <c r="X93" s="29">
        <f t="shared" si="34"/>
        <v>4791.1971899999999</v>
      </c>
      <c r="Y93" s="29">
        <f t="shared" si="34"/>
        <v>4758.0816590000004</v>
      </c>
      <c r="Z93" s="29">
        <f t="shared" si="34"/>
        <v>4540.073257</v>
      </c>
      <c r="AA93" s="29">
        <f t="shared" si="34"/>
        <v>0</v>
      </c>
      <c r="AB93" s="76">
        <f t="shared" si="43"/>
        <v>1</v>
      </c>
      <c r="AC93" s="76">
        <f t="shared" si="44"/>
        <v>1</v>
      </c>
      <c r="AD93" s="76">
        <f t="shared" si="45"/>
        <v>1</v>
      </c>
      <c r="AE93" s="76">
        <f t="shared" si="46"/>
        <v>1</v>
      </c>
      <c r="AF93" s="76">
        <f t="shared" si="35"/>
        <v>0</v>
      </c>
      <c r="AG93" s="76">
        <f t="shared" si="36"/>
        <v>4</v>
      </c>
      <c r="AI93" s="29">
        <f t="shared" si="37"/>
        <v>0</v>
      </c>
      <c r="AJ93" s="76"/>
      <c r="AM93" s="29"/>
    </row>
    <row r="94" spans="1:40" x14ac:dyDescent="0.4">
      <c r="H94" s="29">
        <v>4921.53</v>
      </c>
      <c r="J94" s="29">
        <v>49473.1</v>
      </c>
      <c r="K94" s="29"/>
      <c r="L94" s="93"/>
      <c r="M94" s="93"/>
      <c r="N94" s="93"/>
      <c r="O94" s="93"/>
      <c r="P94" s="93"/>
      <c r="Q94" s="93"/>
      <c r="R94" s="29"/>
      <c r="S94" s="29"/>
      <c r="W94" s="29">
        <f t="shared" si="34"/>
        <v>0</v>
      </c>
      <c r="X94" s="29">
        <f t="shared" si="34"/>
        <v>0</v>
      </c>
      <c r="Y94" s="29">
        <f t="shared" si="34"/>
        <v>4921.53</v>
      </c>
      <c r="Z94" s="29">
        <f t="shared" si="34"/>
        <v>0</v>
      </c>
      <c r="AA94" s="29">
        <f t="shared" si="34"/>
        <v>49473.1</v>
      </c>
      <c r="AB94" s="76">
        <f t="shared" si="43"/>
        <v>0</v>
      </c>
      <c r="AC94" s="76">
        <f t="shared" si="44"/>
        <v>0</v>
      </c>
      <c r="AD94" s="76">
        <f t="shared" si="45"/>
        <v>1.0343517309525014</v>
      </c>
      <c r="AE94" s="76">
        <f t="shared" si="46"/>
        <v>0</v>
      </c>
      <c r="AF94" s="76">
        <f t="shared" si="35"/>
        <v>10.873208791208791</v>
      </c>
      <c r="AG94" s="76">
        <f t="shared" si="36"/>
        <v>11.907560522161292</v>
      </c>
      <c r="AI94" s="29">
        <f t="shared" si="37"/>
        <v>0</v>
      </c>
      <c r="AJ94" s="76"/>
    </row>
    <row r="95" spans="1:40" x14ac:dyDescent="0.4">
      <c r="A95" s="29"/>
      <c r="I95" s="38"/>
      <c r="J95" s="29">
        <f>J90-J94</f>
        <v>2730.0075476483544</v>
      </c>
      <c r="Q95" s="29"/>
      <c r="R95" s="29"/>
      <c r="W95" s="29"/>
      <c r="X95" s="29"/>
      <c r="Y95" s="29"/>
      <c r="Z95" s="29"/>
      <c r="AA95" s="29"/>
      <c r="AG95" s="76"/>
      <c r="AI95" s="29"/>
      <c r="AJ95" s="76"/>
      <c r="AL95" s="29"/>
      <c r="AM95" s="29"/>
      <c r="AN95" s="29"/>
    </row>
    <row r="96" spans="1:40" x14ac:dyDescent="0.4">
      <c r="F96" s="29"/>
      <c r="G96" s="29"/>
      <c r="I96" s="38"/>
      <c r="J96" s="90">
        <f>J95/J90</f>
        <v>5.229588191002886E-2</v>
      </c>
      <c r="R96" s="29"/>
      <c r="W96" s="29"/>
      <c r="X96" s="29"/>
      <c r="Y96" s="29"/>
      <c r="Z96" s="29"/>
      <c r="AA96" s="29"/>
      <c r="AG96" s="76"/>
      <c r="AI96" s="29"/>
      <c r="AJ96" s="76"/>
      <c r="AM96" s="29"/>
    </row>
    <row r="97" spans="7:41" x14ac:dyDescent="0.4">
      <c r="G97" s="29"/>
      <c r="K97" s="624"/>
      <c r="L97" s="624"/>
      <c r="R97" s="38"/>
      <c r="W97" s="29"/>
      <c r="X97" s="29"/>
      <c r="Y97" s="29"/>
      <c r="Z97" s="29"/>
      <c r="AA97" s="29"/>
      <c r="AG97" s="76"/>
      <c r="AI97" s="29"/>
      <c r="AJ97" s="76"/>
      <c r="AN97" s="29"/>
    </row>
    <row r="98" spans="7:41" x14ac:dyDescent="0.4">
      <c r="H98" s="29"/>
      <c r="I98" s="29"/>
      <c r="L98" s="29"/>
      <c r="Q98" s="29"/>
      <c r="R98" s="94"/>
      <c r="W98" s="29"/>
      <c r="X98" s="29"/>
      <c r="Y98" s="29"/>
      <c r="Z98" s="29"/>
      <c r="AA98" s="29"/>
      <c r="AG98" s="76"/>
      <c r="AI98" s="29"/>
      <c r="AJ98" s="76"/>
      <c r="AN98" s="38"/>
      <c r="AO98" s="29"/>
    </row>
    <row r="99" spans="7:41" ht="17.7" x14ac:dyDescent="0.6">
      <c r="H99" s="29"/>
      <c r="I99" s="107" t="s">
        <v>422</v>
      </c>
      <c r="J99" s="108">
        <v>4550</v>
      </c>
      <c r="L99" s="29"/>
      <c r="Q99" s="95" t="s">
        <v>419</v>
      </c>
      <c r="R99" s="96">
        <v>436237.98488244775</v>
      </c>
      <c r="S99" s="29"/>
      <c r="W99" s="29"/>
      <c r="X99" s="29"/>
      <c r="Y99" s="29"/>
      <c r="Z99" s="29"/>
      <c r="AA99" s="29"/>
      <c r="AG99" s="76"/>
      <c r="AI99" s="29"/>
      <c r="AJ99" s="76"/>
      <c r="AL99" s="97"/>
    </row>
    <row r="100" spans="7:41" x14ac:dyDescent="0.4">
      <c r="H100" s="29"/>
      <c r="L100" s="29"/>
      <c r="Q100" s="95" t="s">
        <v>423</v>
      </c>
      <c r="R100" s="96">
        <v>24807.583198747248</v>
      </c>
      <c r="W100" s="29">
        <f t="shared" si="34"/>
        <v>0</v>
      </c>
      <c r="X100" s="29">
        <f t="shared" si="34"/>
        <v>0</v>
      </c>
      <c r="Y100" s="29">
        <f t="shared" si="34"/>
        <v>0</v>
      </c>
      <c r="Z100" s="29">
        <f t="shared" si="34"/>
        <v>0</v>
      </c>
      <c r="AA100" s="29">
        <f t="shared" si="34"/>
        <v>0</v>
      </c>
      <c r="AB100" s="76">
        <f>+W100/$F$93</f>
        <v>0</v>
      </c>
      <c r="AC100" s="76">
        <f>+X100/$G$93</f>
        <v>0</v>
      </c>
      <c r="AD100" s="76">
        <f>+Y100/$H$93</f>
        <v>0</v>
      </c>
      <c r="AE100" s="76">
        <f>+Z100/$I$93</f>
        <v>0</v>
      </c>
      <c r="AF100" s="76">
        <f t="shared" si="35"/>
        <v>0</v>
      </c>
      <c r="AG100" s="76">
        <f t="shared" si="36"/>
        <v>0</v>
      </c>
      <c r="AI100" s="29">
        <f t="shared" si="37"/>
        <v>0</v>
      </c>
      <c r="AJ100" s="76"/>
      <c r="AL100" s="97"/>
      <c r="AM100" s="38"/>
    </row>
    <row r="101" spans="7:41" x14ac:dyDescent="0.4">
      <c r="G101" s="29"/>
      <c r="I101" s="29"/>
      <c r="P101" s="38"/>
      <c r="Q101" s="95" t="s">
        <v>418</v>
      </c>
      <c r="R101" s="96">
        <v>8954.4319188049412</v>
      </c>
      <c r="W101" s="29">
        <f t="shared" si="34"/>
        <v>0</v>
      </c>
      <c r="X101" s="29">
        <f t="shared" si="34"/>
        <v>0</v>
      </c>
      <c r="Y101" s="29">
        <f t="shared" si="34"/>
        <v>0</v>
      </c>
      <c r="Z101" s="29">
        <f t="shared" si="34"/>
        <v>0</v>
      </c>
      <c r="AA101" s="29">
        <f t="shared" si="34"/>
        <v>0</v>
      </c>
      <c r="AB101" s="76">
        <f>+W101/$F$93</f>
        <v>0</v>
      </c>
      <c r="AC101" s="76">
        <f>+X101/$G$93</f>
        <v>0</v>
      </c>
      <c r="AD101" s="76">
        <f>+Y101/$H$93</f>
        <v>0</v>
      </c>
      <c r="AE101" s="76">
        <f>+Z101/$I$93</f>
        <v>0</v>
      </c>
      <c r="AF101" s="76">
        <f t="shared" si="35"/>
        <v>0</v>
      </c>
      <c r="AG101" s="76">
        <f t="shared" si="36"/>
        <v>0</v>
      </c>
      <c r="AI101" s="29">
        <f t="shared" si="37"/>
        <v>0</v>
      </c>
      <c r="AJ101" s="76"/>
      <c r="AL101" s="97"/>
    </row>
    <row r="102" spans="7:41" x14ac:dyDescent="0.4">
      <c r="H102" s="29"/>
      <c r="I102" s="29"/>
      <c r="L102" s="29"/>
      <c r="Q102" s="98" t="s">
        <v>337</v>
      </c>
      <c r="R102" s="99">
        <f>SUM(R99:R101)</f>
        <v>469999.99999999994</v>
      </c>
      <c r="S102" s="100">
        <f t="shared" ref="S102:AK102" si="49">SUM(S99:S101)</f>
        <v>0</v>
      </c>
      <c r="T102" s="99">
        <f t="shared" si="49"/>
        <v>0</v>
      </c>
      <c r="U102" s="99">
        <f t="shared" si="49"/>
        <v>0</v>
      </c>
      <c r="V102" s="99">
        <f t="shared" si="49"/>
        <v>0</v>
      </c>
      <c r="W102" s="99">
        <f t="shared" si="49"/>
        <v>0</v>
      </c>
      <c r="X102" s="99">
        <f t="shared" si="49"/>
        <v>0</v>
      </c>
      <c r="Y102" s="99">
        <f t="shared" si="49"/>
        <v>0</v>
      </c>
      <c r="Z102" s="99">
        <f t="shared" si="49"/>
        <v>0</v>
      </c>
      <c r="AA102" s="99">
        <f t="shared" si="49"/>
        <v>0</v>
      </c>
      <c r="AB102" s="99">
        <f t="shared" si="49"/>
        <v>0</v>
      </c>
      <c r="AC102" s="99">
        <f t="shared" si="49"/>
        <v>0</v>
      </c>
      <c r="AD102" s="99">
        <f t="shared" si="49"/>
        <v>0</v>
      </c>
      <c r="AE102" s="99">
        <f t="shared" si="49"/>
        <v>0</v>
      </c>
      <c r="AF102" s="99">
        <f t="shared" si="49"/>
        <v>0</v>
      </c>
      <c r="AG102" s="99">
        <f t="shared" si="49"/>
        <v>0</v>
      </c>
      <c r="AH102" s="99">
        <f t="shared" si="49"/>
        <v>0</v>
      </c>
      <c r="AI102" s="99">
        <f t="shared" si="49"/>
        <v>0</v>
      </c>
      <c r="AJ102" s="99">
        <f t="shared" si="49"/>
        <v>0</v>
      </c>
      <c r="AK102" s="101">
        <f t="shared" si="49"/>
        <v>0</v>
      </c>
      <c r="AL102" s="40"/>
      <c r="AN102" s="38"/>
      <c r="AO102" s="29"/>
    </row>
    <row r="103" spans="7:41" x14ac:dyDescent="0.4">
      <c r="L103" s="29"/>
      <c r="R103" s="29"/>
      <c r="W103" s="29">
        <f t="shared" si="34"/>
        <v>0</v>
      </c>
      <c r="X103" s="29">
        <f t="shared" si="34"/>
        <v>0</v>
      </c>
      <c r="Y103" s="29">
        <f t="shared" si="34"/>
        <v>0</v>
      </c>
      <c r="Z103" s="29">
        <f t="shared" si="34"/>
        <v>0</v>
      </c>
      <c r="AA103" s="29">
        <f t="shared" si="34"/>
        <v>0</v>
      </c>
      <c r="AB103" s="76">
        <f>+W103/$F$93</f>
        <v>0</v>
      </c>
      <c r="AC103" s="76">
        <f>+X103/$G$93</f>
        <v>0</v>
      </c>
      <c r="AD103" s="76">
        <f>+Y103/$H$93</f>
        <v>0</v>
      </c>
      <c r="AE103" s="76">
        <f>+Z103/$I$93</f>
        <v>0</v>
      </c>
      <c r="AF103" s="76">
        <f t="shared" si="35"/>
        <v>0</v>
      </c>
      <c r="AG103" s="76">
        <f t="shared" si="36"/>
        <v>0</v>
      </c>
      <c r="AI103" s="29">
        <f t="shared" si="37"/>
        <v>0</v>
      </c>
      <c r="AJ103" s="76"/>
    </row>
    <row r="104" spans="7:41" x14ac:dyDescent="0.4">
      <c r="I104" s="38"/>
      <c r="Q104" s="26" t="s">
        <v>424</v>
      </c>
      <c r="R104" s="29">
        <f>R100*4550</f>
        <v>112874503.55429998</v>
      </c>
      <c r="W104" s="29">
        <f t="shared" si="34"/>
        <v>0</v>
      </c>
      <c r="X104" s="29">
        <f t="shared" si="34"/>
        <v>0</v>
      </c>
      <c r="Y104" s="29">
        <f t="shared" si="34"/>
        <v>0</v>
      </c>
      <c r="Z104" s="29">
        <f t="shared" si="34"/>
        <v>0</v>
      </c>
      <c r="AA104" s="29">
        <f t="shared" si="34"/>
        <v>0</v>
      </c>
      <c r="AB104" s="76">
        <f>+W104/$F$93</f>
        <v>0</v>
      </c>
      <c r="AC104" s="76">
        <f>+X104/$G$93</f>
        <v>0</v>
      </c>
      <c r="AD104" s="76">
        <f>+Y104/$H$93</f>
        <v>0</v>
      </c>
      <c r="AE104" s="76">
        <f>+Z104/$I$93</f>
        <v>0</v>
      </c>
      <c r="AF104" s="76">
        <f t="shared" si="35"/>
        <v>0</v>
      </c>
      <c r="AG104" s="76">
        <f t="shared" si="36"/>
        <v>0</v>
      </c>
      <c r="AI104" s="29">
        <f t="shared" si="37"/>
        <v>0</v>
      </c>
      <c r="AJ104" s="76"/>
    </row>
    <row r="105" spans="7:41" x14ac:dyDescent="0.4">
      <c r="I105" s="29"/>
      <c r="O105" s="38"/>
      <c r="W105" s="29">
        <f t="shared" si="34"/>
        <v>0</v>
      </c>
      <c r="X105" s="29">
        <f t="shared" si="34"/>
        <v>0</v>
      </c>
      <c r="Y105" s="29">
        <f t="shared" si="34"/>
        <v>0</v>
      </c>
      <c r="Z105" s="29">
        <f t="shared" si="34"/>
        <v>0</v>
      </c>
      <c r="AA105" s="29">
        <f t="shared" si="34"/>
        <v>0</v>
      </c>
      <c r="AB105" s="76">
        <f>+W105/$F$93</f>
        <v>0</v>
      </c>
      <c r="AC105" s="76">
        <f>+X105/$G$93</f>
        <v>0</v>
      </c>
      <c r="AD105" s="76">
        <f>+Y105/$H$93</f>
        <v>0</v>
      </c>
      <c r="AE105" s="76">
        <f>+Z105/$I$93</f>
        <v>0</v>
      </c>
      <c r="AF105" s="76">
        <f t="shared" si="35"/>
        <v>0</v>
      </c>
      <c r="AG105" s="76">
        <f t="shared" si="36"/>
        <v>0</v>
      </c>
      <c r="AI105" s="29">
        <f t="shared" si="37"/>
        <v>0</v>
      </c>
      <c r="AJ105" s="76"/>
    </row>
    <row r="106" spans="7:41" x14ac:dyDescent="0.4">
      <c r="I106" s="29"/>
      <c r="O106" s="38"/>
      <c r="W106" s="29">
        <f t="shared" si="34"/>
        <v>0</v>
      </c>
      <c r="X106" s="29">
        <f t="shared" si="34"/>
        <v>0</v>
      </c>
      <c r="Y106" s="29">
        <f t="shared" si="34"/>
        <v>0</v>
      </c>
      <c r="Z106" s="29">
        <f t="shared" si="34"/>
        <v>0</v>
      </c>
      <c r="AA106" s="29">
        <f t="shared" si="34"/>
        <v>0</v>
      </c>
      <c r="AB106" s="76">
        <f>+W106/$F$93</f>
        <v>0</v>
      </c>
      <c r="AC106" s="76">
        <f>+X106/$G$93</f>
        <v>0</v>
      </c>
      <c r="AD106" s="76">
        <f>+Y106/$H$93</f>
        <v>0</v>
      </c>
      <c r="AE106" s="76">
        <f>+Z106/$I$93</f>
        <v>0</v>
      </c>
      <c r="AF106" s="76">
        <f t="shared" si="35"/>
        <v>0</v>
      </c>
      <c r="AG106" s="76">
        <f t="shared" si="36"/>
        <v>0</v>
      </c>
      <c r="AI106" s="29">
        <f t="shared" si="37"/>
        <v>0</v>
      </c>
      <c r="AJ106" s="76"/>
    </row>
    <row r="107" spans="7:41" x14ac:dyDescent="0.4">
      <c r="S107" s="29">
        <f>S102/2</f>
        <v>0</v>
      </c>
      <c r="T107" s="26">
        <v>0</v>
      </c>
      <c r="W107" s="29">
        <f t="shared" si="34"/>
        <v>0</v>
      </c>
      <c r="X107" s="29">
        <f t="shared" si="34"/>
        <v>0</v>
      </c>
      <c r="Y107" s="29">
        <f t="shared" si="34"/>
        <v>0</v>
      </c>
      <c r="Z107" s="29">
        <f t="shared" si="34"/>
        <v>0</v>
      </c>
      <c r="AA107" s="29">
        <f t="shared" si="34"/>
        <v>0</v>
      </c>
      <c r="AB107" s="76">
        <f>+W107/$F$93</f>
        <v>0</v>
      </c>
      <c r="AC107" s="76">
        <f>+X107/$G$93</f>
        <v>0</v>
      </c>
      <c r="AD107" s="76">
        <f>+Y107/$H$93</f>
        <v>0</v>
      </c>
      <c r="AE107" s="76">
        <f>+Z107/$I$93</f>
        <v>0</v>
      </c>
      <c r="AF107" s="76">
        <f t="shared" si="35"/>
        <v>0</v>
      </c>
      <c r="AG107" s="76">
        <f t="shared" si="36"/>
        <v>0</v>
      </c>
      <c r="AI107" s="29">
        <f t="shared" si="37"/>
        <v>0</v>
      </c>
      <c r="AJ107" s="76"/>
    </row>
    <row r="108" spans="7:41" x14ac:dyDescent="0.4">
      <c r="O108" s="38"/>
      <c r="W108" s="29"/>
      <c r="X108" s="29"/>
      <c r="Y108" s="29"/>
      <c r="Z108" s="29"/>
      <c r="AA108" s="29"/>
      <c r="AG108" s="76"/>
      <c r="AI108" s="29"/>
      <c r="AJ108" s="76"/>
    </row>
  </sheetData>
  <mergeCells count="1">
    <mergeCell ref="K97:L97"/>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BC09A-9011-460B-9680-F5154DA9D26F}">
  <dimension ref="A1:EA41"/>
  <sheetViews>
    <sheetView zoomScale="70" zoomScaleNormal="70" workbookViewId="0">
      <selection activeCell="T4" sqref="T4"/>
    </sheetView>
  </sheetViews>
  <sheetFormatPr defaultColWidth="9.1640625" defaultRowHeight="15.3" x14ac:dyDescent="0.55000000000000004"/>
  <cols>
    <col min="1" max="1" width="19.5546875" style="3" customWidth="1"/>
    <col min="2" max="2" width="9" style="3" bestFit="1" customWidth="1"/>
    <col min="3" max="3" width="10.44140625" style="3" bestFit="1" customWidth="1"/>
    <col min="4" max="4" width="9" style="3" bestFit="1" customWidth="1"/>
    <col min="5" max="5" width="10.1640625" style="3" bestFit="1" customWidth="1"/>
    <col min="6" max="6" width="13" style="3" bestFit="1" customWidth="1"/>
    <col min="7" max="7" width="15" style="3" bestFit="1" customWidth="1"/>
    <col min="8" max="8" width="15.1640625" style="3" bestFit="1" customWidth="1"/>
    <col min="9" max="9" width="10.44140625" style="3" bestFit="1" customWidth="1"/>
    <col min="10" max="11" width="10.1640625" style="3" bestFit="1" customWidth="1"/>
    <col min="12" max="12" width="10.44140625" style="3" bestFit="1" customWidth="1"/>
    <col min="13" max="14" width="10.1640625" style="3" bestFit="1" customWidth="1"/>
    <col min="15" max="15" width="10.44140625" style="3" bestFit="1" customWidth="1"/>
    <col min="16" max="17" width="10.1640625" style="3" bestFit="1" customWidth="1"/>
    <col min="18" max="18" width="10.44140625" style="3" bestFit="1" customWidth="1"/>
    <col min="19" max="19" width="10.1640625" style="3" bestFit="1" customWidth="1"/>
    <col min="20" max="20" width="12" style="3" bestFit="1" customWidth="1"/>
    <col min="21" max="21" width="10.44140625" style="3" bestFit="1" customWidth="1"/>
    <col min="22" max="22" width="12" style="3" bestFit="1" customWidth="1"/>
    <col min="23" max="16384" width="9.1640625" style="3"/>
  </cols>
  <sheetData>
    <row r="1" spans="1:22" ht="15" customHeight="1" x14ac:dyDescent="0.55000000000000004">
      <c r="A1" s="7"/>
      <c r="B1" s="595" t="s">
        <v>0</v>
      </c>
      <c r="C1" s="595"/>
      <c r="D1" s="595"/>
      <c r="E1" s="595"/>
      <c r="F1" s="595"/>
      <c r="G1" s="595"/>
      <c r="H1" s="595"/>
      <c r="I1" s="595"/>
      <c r="J1" s="595"/>
      <c r="K1" s="595"/>
      <c r="L1" s="595"/>
      <c r="M1" s="595"/>
      <c r="N1" s="595"/>
      <c r="O1" s="595"/>
      <c r="P1" s="595"/>
      <c r="Q1" s="595"/>
      <c r="R1" s="595"/>
      <c r="S1" s="595"/>
      <c r="T1" s="595"/>
      <c r="U1" s="595"/>
      <c r="V1" s="595"/>
    </row>
    <row r="2" spans="1:22" ht="15" customHeight="1" x14ac:dyDescent="0.55000000000000004">
      <c r="B2" s="596" t="s">
        <v>425</v>
      </c>
      <c r="C2" s="596"/>
      <c r="D2" s="596"/>
      <c r="E2" s="596"/>
      <c r="F2" s="596"/>
      <c r="G2" s="596"/>
      <c r="H2" s="596"/>
      <c r="I2" s="596"/>
      <c r="J2" s="596"/>
      <c r="K2" s="596"/>
      <c r="L2" s="596"/>
      <c r="M2" s="596"/>
      <c r="N2" s="596"/>
      <c r="O2" s="596"/>
      <c r="P2" s="596"/>
      <c r="Q2" s="596"/>
      <c r="R2" s="596"/>
      <c r="S2" s="596"/>
      <c r="T2" s="596"/>
      <c r="U2" s="596"/>
      <c r="V2" s="596"/>
    </row>
    <row r="3" spans="1:22" ht="15.6" thickBot="1" x14ac:dyDescent="0.6"/>
    <row r="4" spans="1:22" ht="15" customHeight="1" x14ac:dyDescent="0.55000000000000004">
      <c r="A4" s="324" t="s">
        <v>2</v>
      </c>
      <c r="B4" s="625" t="s">
        <v>3</v>
      </c>
      <c r="C4" s="626"/>
      <c r="D4" s="626"/>
      <c r="E4" s="627" t="s">
        <v>4</v>
      </c>
      <c r="F4" s="628"/>
      <c r="G4" s="629"/>
      <c r="H4" s="627" t="s">
        <v>5</v>
      </c>
      <c r="I4" s="628"/>
      <c r="J4" s="629"/>
      <c r="K4" s="627" t="s">
        <v>6</v>
      </c>
      <c r="L4" s="628"/>
      <c r="M4" s="629"/>
      <c r="N4" s="627" t="s">
        <v>7</v>
      </c>
      <c r="O4" s="628"/>
      <c r="P4" s="629"/>
      <c r="Q4" s="628" t="s">
        <v>39</v>
      </c>
      <c r="R4" s="628"/>
      <c r="S4" s="628"/>
      <c r="T4" s="511" t="s">
        <v>8</v>
      </c>
      <c r="U4" s="515" t="s">
        <v>9</v>
      </c>
      <c r="V4" s="512" t="s">
        <v>10</v>
      </c>
    </row>
    <row r="5" spans="1:22" ht="15" customHeight="1" x14ac:dyDescent="0.55000000000000004">
      <c r="A5" s="316"/>
      <c r="B5" s="316" t="s">
        <v>11</v>
      </c>
      <c r="C5" s="5" t="s">
        <v>12</v>
      </c>
      <c r="D5" s="5" t="s">
        <v>9</v>
      </c>
      <c r="E5" s="316" t="s">
        <v>11</v>
      </c>
      <c r="F5" s="5" t="s">
        <v>12</v>
      </c>
      <c r="G5" s="317" t="s">
        <v>9</v>
      </c>
      <c r="H5" s="316" t="s">
        <v>11</v>
      </c>
      <c r="I5" s="5" t="s">
        <v>12</v>
      </c>
      <c r="J5" s="317" t="s">
        <v>9</v>
      </c>
      <c r="K5" s="316" t="s">
        <v>11</v>
      </c>
      <c r="L5" s="5" t="s">
        <v>12</v>
      </c>
      <c r="M5" s="317" t="s">
        <v>9</v>
      </c>
      <c r="N5" s="316" t="s">
        <v>11</v>
      </c>
      <c r="O5" s="5" t="s">
        <v>12</v>
      </c>
      <c r="P5" s="317" t="s">
        <v>9</v>
      </c>
      <c r="Q5" s="5" t="s">
        <v>11</v>
      </c>
      <c r="R5" s="5" t="s">
        <v>12</v>
      </c>
      <c r="S5" s="5" t="s">
        <v>9</v>
      </c>
      <c r="T5" s="516" t="s">
        <v>11</v>
      </c>
      <c r="U5" s="514" t="s">
        <v>12</v>
      </c>
      <c r="V5" s="513" t="s">
        <v>8</v>
      </c>
    </row>
    <row r="6" spans="1:22" ht="15" customHeight="1" x14ac:dyDescent="0.55000000000000004">
      <c r="A6" s="323"/>
      <c r="B6" s="318"/>
      <c r="C6" s="487"/>
      <c r="D6" s="557"/>
      <c r="E6" s="318"/>
      <c r="F6" s="487"/>
      <c r="G6" s="494"/>
      <c r="H6" s="318"/>
      <c r="I6" s="487"/>
      <c r="J6" s="494"/>
      <c r="K6" s="318"/>
      <c r="L6" s="487"/>
      <c r="M6" s="494"/>
      <c r="N6" s="318"/>
      <c r="O6" s="487"/>
      <c r="P6" s="494"/>
      <c r="Q6" s="487"/>
      <c r="R6" s="487"/>
      <c r="S6" s="487"/>
      <c r="T6" s="517"/>
      <c r="U6" s="396"/>
      <c r="V6" s="489"/>
    </row>
    <row r="7" spans="1:22" ht="15" customHeight="1" x14ac:dyDescent="0.55000000000000004">
      <c r="A7" s="325" t="s">
        <v>13</v>
      </c>
      <c r="B7" s="319">
        <f>'Budget ProAntioquia'!AR35</f>
        <v>31490.399999999998</v>
      </c>
      <c r="C7" s="315">
        <f>'Budget ProAntioquia'!AS35</f>
        <v>15054.16</v>
      </c>
      <c r="D7" s="315">
        <f>SUM(B7:C7)</f>
        <v>46544.56</v>
      </c>
      <c r="E7" s="319">
        <f>'Budget ProAntioquia'!AT35</f>
        <v>176791.16999999998</v>
      </c>
      <c r="F7" s="315">
        <f>'Budget ProAntioquia'!AU35</f>
        <v>16693.349999999999</v>
      </c>
      <c r="G7" s="320">
        <f>SUM(E7:F7)</f>
        <v>193484.52</v>
      </c>
      <c r="H7" s="319">
        <f>'Budget ProAntioquia'!BE35</f>
        <v>199722.59355600004</v>
      </c>
      <c r="I7" s="315">
        <f>'Budget ProAntioquia'!BF35</f>
        <v>32649.503216000001</v>
      </c>
      <c r="J7" s="320">
        <f>SUM(H7:I7)</f>
        <v>232372.09677200005</v>
      </c>
      <c r="K7" s="319">
        <f>'Budget ProAntioquia'!BL35</f>
        <v>223888.28160000007</v>
      </c>
      <c r="L7" s="315">
        <f>'Budget ProAntioquia'!BM35</f>
        <v>35699.5837952</v>
      </c>
      <c r="M7" s="320">
        <f>SUM(K7:L7)</f>
        <v>259587.86539520009</v>
      </c>
      <c r="N7" s="319">
        <f>'Budget ProAntioquia'!BR35</f>
        <v>202154.963712</v>
      </c>
      <c r="O7" s="315">
        <f>'Budget ProAntioquia'!BS35</f>
        <v>33398.093430784007</v>
      </c>
      <c r="P7" s="320">
        <f>SUM(N7:O7)</f>
        <v>235553.057142784</v>
      </c>
      <c r="Q7" s="315">
        <f>'Budget ProAntioquia'!BX35</f>
        <v>76175.963136000006</v>
      </c>
      <c r="R7" s="315">
        <f>'Budget ProAntioquia'!BY35</f>
        <v>13150.834155263999</v>
      </c>
      <c r="S7" s="315">
        <f>R7+Q7</f>
        <v>89326.797291264011</v>
      </c>
      <c r="T7" s="319">
        <f>B7+E7+H7+K7+N7+Q7</f>
        <v>910223.37200400012</v>
      </c>
      <c r="U7" s="315">
        <f>C7+F7+I7+L7+O7+R7</f>
        <v>146645.524597248</v>
      </c>
      <c r="V7" s="320">
        <f>SUM(T7:U7)</f>
        <v>1056868.8966012481</v>
      </c>
    </row>
    <row r="8" spans="1:22" ht="15" customHeight="1" x14ac:dyDescent="0.55000000000000004">
      <c r="A8" s="326"/>
      <c r="B8" s="321"/>
      <c r="C8" s="8"/>
      <c r="D8" s="8"/>
      <c r="E8" s="321"/>
      <c r="F8" s="8"/>
      <c r="G8" s="322"/>
      <c r="H8" s="321"/>
      <c r="I8" s="8"/>
      <c r="J8" s="322"/>
      <c r="K8" s="321"/>
      <c r="L8" s="8"/>
      <c r="M8" s="322"/>
      <c r="N8" s="321"/>
      <c r="O8" s="8"/>
      <c r="P8" s="322"/>
      <c r="Q8" s="8"/>
      <c r="R8" s="8"/>
      <c r="S8" s="8"/>
      <c r="T8" s="321"/>
      <c r="U8" s="8"/>
      <c r="V8" s="322"/>
    </row>
    <row r="9" spans="1:22" ht="15" customHeight="1" x14ac:dyDescent="0.55000000000000004">
      <c r="A9" s="327" t="s">
        <v>14</v>
      </c>
      <c r="B9" s="319">
        <f>'Budget ProAntioquia'!AR39</f>
        <v>11993.43</v>
      </c>
      <c r="C9" s="315">
        <f>'Budget ProAntioquia'!AS39</f>
        <v>4597.54</v>
      </c>
      <c r="D9" s="315">
        <f>SUM(B9:C9)</f>
        <v>16590.97</v>
      </c>
      <c r="E9" s="319">
        <f>'Budget ProAntioquia'!AT39</f>
        <v>69759.179999999993</v>
      </c>
      <c r="F9" s="315">
        <f>'Budget ProAntioquia'!AU39</f>
        <v>5094.82</v>
      </c>
      <c r="G9" s="320">
        <f>SUM(E9:F9)</f>
        <v>74854</v>
      </c>
      <c r="H9" s="319">
        <f>'Budget ProAntioquia'!BE39</f>
        <v>96121.16</v>
      </c>
      <c r="I9" s="315">
        <f>'Budget ProAntioquia'!BF39</f>
        <v>17099.850814347839</v>
      </c>
      <c r="J9" s="320">
        <f>SUM(H9:I9)</f>
        <v>113221.01081434784</v>
      </c>
      <c r="K9" s="319">
        <f>'Budget ProAntioquia'!BL39</f>
        <v>117259.24860518404</v>
      </c>
      <c r="L9" s="315">
        <f>'Budget ProAntioquia'!BM39</f>
        <v>18697.300016898047</v>
      </c>
      <c r="M9" s="320">
        <f>SUM(K9:L9)</f>
        <v>135956.54862208207</v>
      </c>
      <c r="N9" s="319">
        <f>'Budget ProAntioquia'!BR39</f>
        <v>105876.64069452288</v>
      </c>
      <c r="O9" s="315">
        <f>'Budget ProAntioquia'!BS39</f>
        <v>17491.917453438815</v>
      </c>
      <c r="P9" s="320">
        <f>SUM(N9:O9)</f>
        <v>123368.5581479617</v>
      </c>
      <c r="Q9" s="315">
        <f>'Budget ProAntioquia'!BX39</f>
        <v>39896.398932848642</v>
      </c>
      <c r="R9" s="315">
        <f>'Budget ProAntioquia'!BY39</f>
        <v>6887.6178804779665</v>
      </c>
      <c r="S9" s="315">
        <f>R9+Q9</f>
        <v>46784.016813326612</v>
      </c>
      <c r="T9" s="319">
        <f>B9+E9+H9+K9+N9+Q9</f>
        <v>440906.05823255557</v>
      </c>
      <c r="U9" s="315">
        <f>C9+F9+I9+L9+O9+R9</f>
        <v>69869.046165162668</v>
      </c>
      <c r="V9" s="320">
        <f>SUM(T9:U9)</f>
        <v>510775.10439771821</v>
      </c>
    </row>
    <row r="10" spans="1:22" ht="15" customHeight="1" x14ac:dyDescent="0.55000000000000004">
      <c r="A10" s="326"/>
      <c r="B10" s="321"/>
      <c r="C10" s="8"/>
      <c r="D10" s="8"/>
      <c r="E10" s="321"/>
      <c r="F10" s="8"/>
      <c r="G10" s="322"/>
      <c r="H10" s="321"/>
      <c r="I10" s="8"/>
      <c r="J10" s="322"/>
      <c r="K10" s="321"/>
      <c r="L10" s="8"/>
      <c r="M10" s="322"/>
      <c r="N10" s="321"/>
      <c r="O10" s="8"/>
      <c r="P10" s="322"/>
      <c r="Q10" s="8"/>
      <c r="R10" s="8"/>
      <c r="S10" s="8"/>
      <c r="T10" s="321"/>
      <c r="U10" s="8"/>
      <c r="V10" s="322"/>
    </row>
    <row r="11" spans="1:22" ht="15" customHeight="1" x14ac:dyDescent="0.55000000000000004">
      <c r="A11" s="327" t="s">
        <v>15</v>
      </c>
      <c r="B11" s="319">
        <f>'Budget ProAntioquia'!AR81</f>
        <v>7004.8000000000011</v>
      </c>
      <c r="C11" s="315">
        <f>'Budget ProAntioquia'!AS81</f>
        <v>0</v>
      </c>
      <c r="D11" s="315">
        <f>SUM(B11:C11)</f>
        <v>7004.8000000000011</v>
      </c>
      <c r="E11" s="319">
        <f>'Budget ProAntioquia'!AT81</f>
        <v>89803.870000000024</v>
      </c>
      <c r="F11" s="315">
        <f>'Budget ProAntioquia'!AU81</f>
        <v>0</v>
      </c>
      <c r="G11" s="320">
        <f>SUM(E11:F11)</f>
        <v>89803.870000000024</v>
      </c>
      <c r="H11" s="319">
        <f>'Budget ProAntioquia'!BE81</f>
        <v>71741.193999999989</v>
      </c>
      <c r="I11" s="315">
        <f>'Budget ProAntioquia'!AA81</f>
        <v>0</v>
      </c>
      <c r="J11" s="320">
        <f>SUM(H11:I11)</f>
        <v>71741.193999999989</v>
      </c>
      <c r="K11" s="319">
        <f>'Budget ProAntioquia'!BL81</f>
        <v>16709.12</v>
      </c>
      <c r="L11" s="315">
        <f>'Budget ProAntioquia'!AG81</f>
        <v>0</v>
      </c>
      <c r="M11" s="320">
        <f>SUM(K11:L11)</f>
        <v>16709.12</v>
      </c>
      <c r="N11" s="319">
        <f>'Budget ProAntioquia'!BR81</f>
        <v>48960.380000000005</v>
      </c>
      <c r="O11" s="315">
        <f>'Budget ProAntioquia'!AM81</f>
        <v>0</v>
      </c>
      <c r="P11" s="320">
        <f>SUM(N11:O11)</f>
        <v>48960.380000000005</v>
      </c>
      <c r="Q11" s="315">
        <f>'Budget ProAntioquia'!BX81</f>
        <v>47010.76</v>
      </c>
      <c r="R11" s="315">
        <f>'Budget ProAntioquia'!BY81</f>
        <v>0</v>
      </c>
      <c r="S11" s="315">
        <f>R11+Q11</f>
        <v>47010.76</v>
      </c>
      <c r="T11" s="319">
        <f>B11+E11+H11+K11+N11+Q11</f>
        <v>281230.12400000001</v>
      </c>
      <c r="U11" s="315">
        <f>C11+F11+I11+L11+O11</f>
        <v>0</v>
      </c>
      <c r="V11" s="320">
        <f>SUM(T11:U11)</f>
        <v>281230.12400000001</v>
      </c>
    </row>
    <row r="12" spans="1:22" ht="15" customHeight="1" x14ac:dyDescent="0.55000000000000004">
      <c r="A12" s="328"/>
      <c r="B12" s="321"/>
      <c r="C12" s="8"/>
      <c r="D12" s="8"/>
      <c r="E12" s="321"/>
      <c r="F12" s="8"/>
      <c r="G12" s="322"/>
      <c r="H12" s="321"/>
      <c r="I12" s="8"/>
      <c r="J12" s="322"/>
      <c r="K12" s="321"/>
      <c r="L12" s="8"/>
      <c r="M12" s="322"/>
      <c r="N12" s="321"/>
      <c r="O12" s="8"/>
      <c r="P12" s="322"/>
      <c r="Q12" s="8"/>
      <c r="R12" s="8"/>
      <c r="S12" s="8"/>
      <c r="T12" s="321"/>
      <c r="U12" s="8"/>
      <c r="V12" s="322"/>
    </row>
    <row r="13" spans="1:22" ht="15" customHeight="1" x14ac:dyDescent="0.55000000000000004">
      <c r="A13" s="327" t="s">
        <v>16</v>
      </c>
      <c r="B13" s="319">
        <v>0</v>
      </c>
      <c r="C13" s="315">
        <f>'Budget ProAntioquia'!AS84</f>
        <v>0</v>
      </c>
      <c r="D13" s="315">
        <f>SUM(B13:C13)</f>
        <v>0</v>
      </c>
      <c r="E13" s="319">
        <f>'Budget ProAntioquia'!T84</f>
        <v>0</v>
      </c>
      <c r="F13" s="315">
        <f>'Budget ProAntioquia'!U84</f>
        <v>0</v>
      </c>
      <c r="G13" s="320">
        <f>'Budget ProAntioquia'!V84</f>
        <v>0</v>
      </c>
      <c r="H13" s="319">
        <f>'Budget ProAntioquia'!Z84</f>
        <v>0</v>
      </c>
      <c r="I13" s="315">
        <f>'Budget ProAntioquia'!AA84</f>
        <v>0</v>
      </c>
      <c r="J13" s="320">
        <f>'Budget ProAntioquia'!AB84</f>
        <v>0</v>
      </c>
      <c r="K13" s="319">
        <f>'Budget ProAntioquia'!AF84</f>
        <v>0</v>
      </c>
      <c r="L13" s="315">
        <f>'Budget ProAntioquia'!AG84</f>
        <v>0</v>
      </c>
      <c r="M13" s="320">
        <f>'Budget ProAntioquia'!AH84</f>
        <v>0</v>
      </c>
      <c r="N13" s="319">
        <f>'Budget ProAntioquia'!AL84</f>
        <v>0</v>
      </c>
      <c r="O13" s="315">
        <f>'Budget ProAntioquia'!AM84</f>
        <v>0</v>
      </c>
      <c r="P13" s="320">
        <f>'Budget ProAntioquia'!AN84</f>
        <v>0</v>
      </c>
      <c r="Q13" s="315">
        <f>'Budget ProAntioquia'!BR84</f>
        <v>0</v>
      </c>
      <c r="R13" s="315">
        <f>'Budget ProAntioquia'!BS84</f>
        <v>0</v>
      </c>
      <c r="S13" s="315">
        <f>R13+Q13</f>
        <v>0</v>
      </c>
      <c r="T13" s="319">
        <v>0</v>
      </c>
      <c r="U13" s="315">
        <f>'Budget ProAntioquia'!AP84</f>
        <v>0</v>
      </c>
      <c r="V13" s="320">
        <f>SUM(T13:U13)</f>
        <v>0</v>
      </c>
    </row>
    <row r="14" spans="1:22" ht="15" customHeight="1" x14ac:dyDescent="0.55000000000000004">
      <c r="A14" s="329"/>
      <c r="B14" s="321"/>
      <c r="C14" s="8"/>
      <c r="D14" s="8"/>
      <c r="E14" s="321"/>
      <c r="F14" s="8"/>
      <c r="G14" s="322"/>
      <c r="H14" s="321"/>
      <c r="I14" s="8"/>
      <c r="J14" s="322"/>
      <c r="K14" s="321"/>
      <c r="L14" s="8"/>
      <c r="M14" s="322"/>
      <c r="N14" s="321"/>
      <c r="O14" s="8"/>
      <c r="P14" s="322"/>
      <c r="Q14" s="8"/>
      <c r="R14" s="8"/>
      <c r="S14" s="8"/>
      <c r="T14" s="321"/>
      <c r="U14" s="8"/>
      <c r="V14" s="322"/>
    </row>
    <row r="15" spans="1:22" ht="15" customHeight="1" x14ac:dyDescent="0.55000000000000004">
      <c r="A15" s="327" t="s">
        <v>17</v>
      </c>
      <c r="B15" s="319">
        <f>'Budget ProAntioquia'!AR97</f>
        <v>7038.54</v>
      </c>
      <c r="C15" s="315">
        <f>'Budget ProAntioquia'!AS97</f>
        <v>1471.4199999999998</v>
      </c>
      <c r="D15" s="315">
        <f>SUM(B15:C15)</f>
        <v>8509.9599999999991</v>
      </c>
      <c r="E15" s="319">
        <f>'Budget ProAntioquia'!AT97</f>
        <v>9775.869999999999</v>
      </c>
      <c r="F15" s="315">
        <f>'Budget ProAntioquia'!AU97</f>
        <v>10094.69</v>
      </c>
      <c r="G15" s="320">
        <f>SUM(E15:F15)</f>
        <v>19870.559999999998</v>
      </c>
      <c r="H15" s="319">
        <f>'Budget ProAntioquia'!BE97</f>
        <v>12878.758</v>
      </c>
      <c r="I15" s="315">
        <f>'Budget ProAntioquia'!BF97</f>
        <v>4232.96</v>
      </c>
      <c r="J15" s="320">
        <f>SUM(H15:I15)</f>
        <v>17111.718000000001</v>
      </c>
      <c r="K15" s="319">
        <f>'Budget ProAntioquia'!BL97</f>
        <v>4026.10032</v>
      </c>
      <c r="L15" s="315">
        <f>'Budget ProAntioquia'!BM97</f>
        <v>17109.740000000002</v>
      </c>
      <c r="M15" s="320">
        <f>SUM(K15:L15)</f>
        <v>21135.840320000003</v>
      </c>
      <c r="N15" s="319">
        <f>'Budget ProAntioquia'!BR97</f>
        <v>203.94433280000001</v>
      </c>
      <c r="O15" s="315">
        <f>'Budget ProAntioquia'!BS97</f>
        <v>29953</v>
      </c>
      <c r="P15" s="320">
        <f>SUM(N15:O15)</f>
        <v>30156.944332800002</v>
      </c>
      <c r="Q15" s="315">
        <f>'Budget ProAntioquia'!BX97</f>
        <v>280</v>
      </c>
      <c r="R15" s="315">
        <f>'Budget ProAntioquia'!BY97</f>
        <v>1119.8</v>
      </c>
      <c r="S15" s="315">
        <f>R15+Q15</f>
        <v>1399.8</v>
      </c>
      <c r="T15" s="319">
        <f>B15+E15+H15+K15+N15+Q15</f>
        <v>34203.212652799994</v>
      </c>
      <c r="U15" s="315">
        <f>C15+F15+I15+L15+O15+R15</f>
        <v>63981.61</v>
      </c>
      <c r="V15" s="320">
        <f>SUM(T15:U15)</f>
        <v>98184.822652799994</v>
      </c>
    </row>
    <row r="16" spans="1:22" ht="15" customHeight="1" x14ac:dyDescent="0.55000000000000004">
      <c r="A16" s="329"/>
      <c r="B16" s="321"/>
      <c r="C16" s="8"/>
      <c r="D16" s="8"/>
      <c r="E16" s="321"/>
      <c r="F16" s="8"/>
      <c r="G16" s="322"/>
      <c r="H16" s="321"/>
      <c r="I16" s="8"/>
      <c r="J16" s="322"/>
      <c r="K16" s="321"/>
      <c r="L16" s="8"/>
      <c r="M16" s="322"/>
      <c r="N16" s="321"/>
      <c r="O16" s="8"/>
      <c r="P16" s="322"/>
      <c r="Q16" s="8"/>
      <c r="R16" s="8"/>
      <c r="S16" s="8"/>
      <c r="T16" s="321"/>
      <c r="U16" s="8"/>
      <c r="V16" s="322"/>
    </row>
    <row r="17" spans="1:131" ht="15" customHeight="1" x14ac:dyDescent="0.55000000000000004">
      <c r="A17" s="327" t="s">
        <v>18</v>
      </c>
      <c r="B17" s="319">
        <f>'Budget ProAntioquia'!AR109</f>
        <v>0</v>
      </c>
      <c r="C17" s="315">
        <f>'Budget ProAntioquia'!O109</f>
        <v>0</v>
      </c>
      <c r="D17" s="315">
        <v>0</v>
      </c>
      <c r="E17" s="319">
        <f>'Budget ProAntioquia'!AT109</f>
        <v>16135.080000000002</v>
      </c>
      <c r="F17" s="315">
        <f>'Budget ProAntioquia'!AU109</f>
        <v>0</v>
      </c>
      <c r="G17" s="320">
        <f>SUM(E17:F17)</f>
        <v>16135.080000000002</v>
      </c>
      <c r="H17" s="319">
        <f>'Budget ProAntioquia'!BE109</f>
        <v>9810.1</v>
      </c>
      <c r="I17" s="315">
        <f>'Budget ProAntioquia'!AA109</f>
        <v>0</v>
      </c>
      <c r="J17" s="320">
        <f>'Budget ProAntioquia'!AB109</f>
        <v>22050</v>
      </c>
      <c r="K17" s="319">
        <f>'Budget ProAntioquia'!BL109</f>
        <v>0</v>
      </c>
      <c r="L17" s="315">
        <f>'Budget ProAntioquia'!AG109</f>
        <v>0</v>
      </c>
      <c r="M17" s="320">
        <f>SUM(K17:L17)</f>
        <v>0</v>
      </c>
      <c r="N17" s="319">
        <f>'Budget ProAntioquia'!BR109</f>
        <v>4350</v>
      </c>
      <c r="O17" s="315">
        <f>'Budget ProAntioquia'!AM109</f>
        <v>0</v>
      </c>
      <c r="P17" s="320">
        <f>SUM(N17:O17)</f>
        <v>4350</v>
      </c>
      <c r="Q17" s="315">
        <f>'Budget ProAntioquia'!BX109</f>
        <v>7662.41</v>
      </c>
      <c r="R17" s="315">
        <f>'Budget ProAntioquia'!BY109</f>
        <v>0</v>
      </c>
      <c r="S17" s="315">
        <f>R17+Q17</f>
        <v>7662.41</v>
      </c>
      <c r="T17" s="319">
        <f>B17+E17+H17+K17+N17+Q17</f>
        <v>37957.589999999997</v>
      </c>
      <c r="U17" s="315">
        <f>'Budget ProAntioquia'!AP109</f>
        <v>0</v>
      </c>
      <c r="V17" s="320">
        <f>SUM(T17:U17)</f>
        <v>37957.589999999997</v>
      </c>
    </row>
    <row r="18" spans="1:131" ht="15" customHeight="1" x14ac:dyDescent="0.55000000000000004">
      <c r="A18" s="326"/>
      <c r="B18" s="321"/>
      <c r="C18" s="8"/>
      <c r="D18" s="8"/>
      <c r="E18" s="321"/>
      <c r="F18" s="8"/>
      <c r="G18" s="322"/>
      <c r="H18" s="321"/>
      <c r="I18" s="8"/>
      <c r="J18" s="322"/>
      <c r="K18" s="321"/>
      <c r="L18" s="8"/>
      <c r="M18" s="322"/>
      <c r="N18" s="321"/>
      <c r="O18" s="8"/>
      <c r="P18" s="322"/>
      <c r="Q18" s="8"/>
      <c r="R18" s="8"/>
      <c r="S18" s="8"/>
      <c r="T18" s="321"/>
      <c r="U18" s="8"/>
      <c r="V18" s="322"/>
    </row>
    <row r="19" spans="1:131" ht="15" customHeight="1" x14ac:dyDescent="0.55000000000000004">
      <c r="A19" s="330" t="s">
        <v>19</v>
      </c>
      <c r="B19" s="319">
        <f>'Budget ProAntioquia'!AR149</f>
        <v>20331.07</v>
      </c>
      <c r="C19" s="315">
        <f>'Budget ProAntioquia'!AS149</f>
        <v>0</v>
      </c>
      <c r="D19" s="315">
        <f>C19+B19</f>
        <v>20331.07</v>
      </c>
      <c r="E19" s="319">
        <f>'Budget ProAntioquia'!AT149</f>
        <v>180882.25</v>
      </c>
      <c r="F19" s="315">
        <f>'Budget ProAntioquia'!U149</f>
        <v>0</v>
      </c>
      <c r="G19" s="320">
        <f>SUM(E19:F19)</f>
        <v>180882.25</v>
      </c>
      <c r="H19" s="319">
        <f>'Budget ProAntioquia'!BE149</f>
        <v>53940.508999999998</v>
      </c>
      <c r="I19" s="315">
        <f>'Budget ProAntioquia'!AA149</f>
        <v>0</v>
      </c>
      <c r="J19" s="320">
        <f>SUM(H19:I19)</f>
        <v>53940.508999999998</v>
      </c>
      <c r="K19" s="319">
        <f>'Budget ProAntioquia'!BL149</f>
        <v>19946.767919999998</v>
      </c>
      <c r="L19" s="315">
        <f>'Budget ProAntioquia'!AG149</f>
        <v>0</v>
      </c>
      <c r="M19" s="320">
        <f>SUM(K19:L19)</f>
        <v>19946.767919999998</v>
      </c>
      <c r="N19" s="319">
        <f>'Budget ProAntioquia'!BR149</f>
        <v>30122.523743999998</v>
      </c>
      <c r="O19" s="315">
        <f>'Budget ProAntioquia'!AM149</f>
        <v>0</v>
      </c>
      <c r="P19" s="320">
        <f>SUM(N19:O19)</f>
        <v>30122.523743999998</v>
      </c>
      <c r="Q19" s="315">
        <f>'Budget ProAntioquia'!BX149</f>
        <v>12332.616565504</v>
      </c>
      <c r="R19" s="315">
        <f>'Budget ProAntioquia'!BY149</f>
        <v>0</v>
      </c>
      <c r="S19" s="315">
        <f>R19+Q19</f>
        <v>12332.616565504</v>
      </c>
      <c r="T19" s="319">
        <f>B19+E19+H19+K19+N19+Q19</f>
        <v>317555.73722950398</v>
      </c>
      <c r="U19" s="315">
        <f>C19+F19+I19+L20+O19</f>
        <v>0</v>
      </c>
      <c r="V19" s="320">
        <f>SUM(T19:U19)</f>
        <v>317555.73722950398</v>
      </c>
    </row>
    <row r="20" spans="1:131" ht="15" customHeight="1" x14ac:dyDescent="0.55000000000000004">
      <c r="A20" s="490"/>
      <c r="B20" s="321"/>
      <c r="C20" s="8"/>
      <c r="D20" s="8"/>
      <c r="E20" s="321"/>
      <c r="F20" s="8"/>
      <c r="G20" s="322"/>
      <c r="H20" s="321"/>
      <c r="I20" s="8"/>
      <c r="J20" s="322"/>
      <c r="K20" s="321"/>
      <c r="L20" s="8"/>
      <c r="M20" s="322"/>
      <c r="N20" s="321"/>
      <c r="O20" s="8"/>
      <c r="P20" s="322"/>
      <c r="Q20" s="8"/>
      <c r="R20" s="8"/>
      <c r="S20" s="8"/>
      <c r="T20" s="321"/>
      <c r="U20" s="8"/>
      <c r="V20" s="322"/>
    </row>
    <row r="21" spans="1:131" s="9" customFormat="1" ht="15" customHeight="1" x14ac:dyDescent="0.5">
      <c r="A21" s="500" t="s">
        <v>20</v>
      </c>
      <c r="B21" s="504">
        <f t="shared" ref="B21:K21" si="0">B7+B9+B11+B13+B15+B17+B19</f>
        <v>77858.240000000005</v>
      </c>
      <c r="C21" s="497">
        <f t="shared" si="0"/>
        <v>21123.119999999999</v>
      </c>
      <c r="D21" s="497">
        <f t="shared" si="0"/>
        <v>98981.360000000015</v>
      </c>
      <c r="E21" s="504">
        <f t="shared" si="0"/>
        <v>543147.41999999993</v>
      </c>
      <c r="F21" s="497">
        <f t="shared" si="0"/>
        <v>31882.86</v>
      </c>
      <c r="G21" s="501">
        <f t="shared" si="0"/>
        <v>575030.28</v>
      </c>
      <c r="H21" s="504">
        <f t="shared" si="0"/>
        <v>444214.31455600006</v>
      </c>
      <c r="I21" s="497">
        <f t="shared" si="0"/>
        <v>53982.314030347836</v>
      </c>
      <c r="J21" s="501">
        <f t="shared" si="0"/>
        <v>510436.52858634788</v>
      </c>
      <c r="K21" s="504">
        <f t="shared" si="0"/>
        <v>381829.51844518416</v>
      </c>
      <c r="L21" s="497">
        <v>50054</v>
      </c>
      <c r="M21" s="501">
        <f>SUM(M7:M20)</f>
        <v>453336.14225728222</v>
      </c>
      <c r="N21" s="504">
        <f>SUM(N7:N20)</f>
        <v>391668.45248332288</v>
      </c>
      <c r="O21" s="497">
        <f>SUM(O7:O20)</f>
        <v>80843.010884222822</v>
      </c>
      <c r="P21" s="501">
        <f>SUM(P7:P20)</f>
        <v>472511.46336754569</v>
      </c>
      <c r="Q21" s="488">
        <f>Q7+Q9+Q11+Q13+Q15+Q17+Q19</f>
        <v>183358.14863435266</v>
      </c>
      <c r="R21" s="488">
        <f>R7+R9+R11+R13+R15+R17+R19</f>
        <v>21158.252035741967</v>
      </c>
      <c r="S21" s="488">
        <f>R21+Q21</f>
        <v>204516.40067009462</v>
      </c>
      <c r="T21" s="495">
        <f>B21+E21+H21+K21+N21+Q21</f>
        <v>2022076.0941188599</v>
      </c>
      <c r="U21" s="488">
        <f>SUM(U7:U20)</f>
        <v>280496.18076241069</v>
      </c>
      <c r="V21" s="491">
        <f>SUM(T21:U21)</f>
        <v>2302572.2748812707</v>
      </c>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row>
    <row r="22" spans="1:131" s="9" customFormat="1" ht="15" customHeight="1" x14ac:dyDescent="0.5">
      <c r="A22" s="502" t="s">
        <v>21</v>
      </c>
      <c r="B22" s="505">
        <f>'Budget ProAntioquia'!N151</f>
        <v>0</v>
      </c>
      <c r="C22" s="499">
        <f>'Budget ProAntioquia'!O151</f>
        <v>0</v>
      </c>
      <c r="D22" s="499">
        <f>'Budget ProAntioquia'!P151</f>
        <v>0</v>
      </c>
      <c r="E22" s="505">
        <f>'Budget ProAntioquia'!T151</f>
        <v>0</v>
      </c>
      <c r="F22" s="499">
        <f>'Budget ProAntioquia'!U151</f>
        <v>0</v>
      </c>
      <c r="G22" s="503">
        <f>'Budget ProAntioquia'!V151</f>
        <v>0</v>
      </c>
      <c r="H22" s="505">
        <f>'Budget ProAntioquia'!BE151</f>
        <v>25785.65</v>
      </c>
      <c r="I22" s="499">
        <f>'Budget ProAntioquia'!BF151</f>
        <v>4694.1076917485398</v>
      </c>
      <c r="J22" s="503">
        <f>SUM(H22:I22)</f>
        <v>30479.757691748542</v>
      </c>
      <c r="K22" s="509">
        <f>'Budget ProAntioquia'!BL151</f>
        <v>34364.656660066568</v>
      </c>
      <c r="L22" s="498">
        <f>'Budget ProAntioquia'!BM151</f>
        <v>6435.5961430888246</v>
      </c>
      <c r="M22" s="506">
        <f>'Budget ProAntioquia'!BN151</f>
        <v>40800.252803155396</v>
      </c>
      <c r="N22" s="505">
        <f>'Budget ProAntioquia'!BR151</f>
        <v>35250.160723499059</v>
      </c>
      <c r="O22" s="499">
        <f>'Budget ProAntioquia'!BS151</f>
        <v>7275.8709795800542</v>
      </c>
      <c r="P22" s="503">
        <f>'Budget ProAntioquia'!BT151</f>
        <v>42526.031703079112</v>
      </c>
      <c r="Q22" s="498">
        <f>'Budget ProAntioquia'!BX151</f>
        <v>16502.233377091739</v>
      </c>
      <c r="R22" s="498">
        <f>'Budget ProAntioquia'!BY151</f>
        <v>1904.2426832167769</v>
      </c>
      <c r="S22" s="498">
        <f>R22+Q22</f>
        <v>18406.476060308516</v>
      </c>
      <c r="T22" s="509">
        <f>H22+K22+N22+Q22</f>
        <v>111902.70076065738</v>
      </c>
      <c r="U22" s="498">
        <f>I22+L22+O22+R22</f>
        <v>20309.817497634194</v>
      </c>
      <c r="V22" s="506">
        <f>SUM(T22:U22)</f>
        <v>132212.51825829156</v>
      </c>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row>
    <row r="23" spans="1:131" s="10" customFormat="1" ht="15" customHeight="1" thickBot="1" x14ac:dyDescent="0.6">
      <c r="A23" s="331" t="s">
        <v>8</v>
      </c>
      <c r="B23" s="496">
        <f>B21</f>
        <v>77858.240000000005</v>
      </c>
      <c r="C23" s="492">
        <f>C22+C21</f>
        <v>21123.119999999999</v>
      </c>
      <c r="D23" s="492">
        <f>SUM(B23:C23)</f>
        <v>98981.36</v>
      </c>
      <c r="E23" s="496">
        <f>E21</f>
        <v>543147.41999999993</v>
      </c>
      <c r="F23" s="492">
        <f>F22+F21</f>
        <v>31882.86</v>
      </c>
      <c r="G23" s="493">
        <f>E23+F23</f>
        <v>575030.27999999991</v>
      </c>
      <c r="H23" s="496">
        <f>SUM(H21:H22)</f>
        <v>469999.96455600008</v>
      </c>
      <c r="I23" s="492">
        <f>SUM(I21:I22)</f>
        <v>58676.421722096376</v>
      </c>
      <c r="J23" s="493">
        <f>SUM(J21:J22)</f>
        <v>540916.28627809638</v>
      </c>
      <c r="K23" s="507">
        <f t="shared" ref="K23:P23" si="1">K22+K21</f>
        <v>416194.17510525073</v>
      </c>
      <c r="L23" s="507">
        <f>L22+L21</f>
        <v>56489.596143088827</v>
      </c>
      <c r="M23" s="507">
        <f t="shared" si="1"/>
        <v>494136.39506043762</v>
      </c>
      <c r="N23" s="496">
        <f t="shared" si="1"/>
        <v>426918.61320682196</v>
      </c>
      <c r="O23" s="492">
        <f>O22+O21</f>
        <v>88118.881863802875</v>
      </c>
      <c r="P23" s="493">
        <f t="shared" si="1"/>
        <v>515037.49507062481</v>
      </c>
      <c r="Q23" s="507">
        <f>Q21+Q22</f>
        <v>199860.3820114444</v>
      </c>
      <c r="R23" s="507">
        <f>R21+R22</f>
        <v>23062.494718958744</v>
      </c>
      <c r="S23" s="507">
        <f>S21+S22</f>
        <v>222922.87673040314</v>
      </c>
      <c r="T23" s="510">
        <f>SUM(T21:T22)</f>
        <v>2133978.7948795171</v>
      </c>
      <c r="U23" s="507">
        <f>SUM(U21:U22)</f>
        <v>300805.9982600449</v>
      </c>
      <c r="V23" s="508">
        <f>SUM(V21:V22)</f>
        <v>2434784.7931395625</v>
      </c>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row>
    <row r="24" spans="1:131" s="11" customFormat="1" ht="15" customHeight="1" x14ac:dyDescent="0.55000000000000004">
      <c r="A24" s="3"/>
      <c r="B24" s="8"/>
      <c r="C24" s="8"/>
      <c r="D24" s="8"/>
      <c r="E24" s="8"/>
      <c r="F24" s="8"/>
      <c r="G24" s="8"/>
      <c r="H24" s="8"/>
      <c r="I24" s="8"/>
      <c r="J24" s="8"/>
      <c r="K24" s="8"/>
      <c r="L24" s="8"/>
      <c r="M24" s="8"/>
      <c r="N24" s="8"/>
      <c r="O24" s="8"/>
      <c r="P24" s="8"/>
      <c r="Q24" s="8"/>
      <c r="R24" s="8"/>
      <c r="S24" s="8"/>
      <c r="T24" s="8"/>
      <c r="U24" s="8"/>
      <c r="V24" s="8"/>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row>
    <row r="25" spans="1:131" ht="15" customHeight="1" x14ac:dyDescent="0.55000000000000004">
      <c r="B25" s="8"/>
      <c r="C25" s="8"/>
      <c r="D25" s="8"/>
      <c r="E25" s="8"/>
      <c r="F25" s="8"/>
      <c r="G25" s="8"/>
      <c r="H25" s="8"/>
      <c r="I25" s="8"/>
      <c r="J25" s="8"/>
      <c r="K25" s="8"/>
      <c r="L25" s="8"/>
      <c r="M25" s="8"/>
      <c r="N25" s="8"/>
      <c r="O25" s="8"/>
      <c r="P25" s="8"/>
      <c r="Q25" s="8"/>
      <c r="R25" s="8"/>
      <c r="S25" s="8"/>
      <c r="T25" s="8"/>
      <c r="U25" s="12"/>
    </row>
    <row r="26" spans="1:131" ht="15" customHeight="1" x14ac:dyDescent="0.55000000000000004">
      <c r="B26" s="8"/>
      <c r="C26" s="8"/>
      <c r="D26" s="8"/>
      <c r="E26" s="8"/>
      <c r="F26" s="8"/>
      <c r="G26" s="8"/>
      <c r="H26" s="8"/>
      <c r="I26" s="8"/>
      <c r="J26" s="8"/>
      <c r="K26" s="8"/>
      <c r="L26" s="8"/>
      <c r="M26" s="8"/>
      <c r="N26" s="8"/>
      <c r="O26" s="8"/>
      <c r="P26" s="8"/>
      <c r="Q26" s="8"/>
      <c r="R26" s="8"/>
      <c r="S26" s="8"/>
      <c r="T26" s="13"/>
      <c r="U26" s="8"/>
    </row>
    <row r="27" spans="1:131" ht="15" customHeight="1" x14ac:dyDescent="0.55000000000000004">
      <c r="B27" s="8"/>
      <c r="C27" s="8"/>
      <c r="D27" s="8"/>
      <c r="E27" s="8"/>
      <c r="F27" s="8"/>
      <c r="G27" s="8"/>
      <c r="H27" s="8"/>
      <c r="I27" s="8"/>
      <c r="J27" s="8"/>
      <c r="K27" s="8"/>
      <c r="L27" s="8"/>
      <c r="M27" s="8"/>
      <c r="N27" s="8"/>
      <c r="O27" s="6"/>
      <c r="P27" s="8"/>
      <c r="Q27" s="8"/>
      <c r="R27" s="8"/>
      <c r="S27" s="8"/>
      <c r="T27" s="8"/>
      <c r="U27" s="8"/>
      <c r="V27" s="8"/>
    </row>
    <row r="28" spans="1:131" ht="15" customHeight="1" x14ac:dyDescent="0.55000000000000004">
      <c r="B28" s="8"/>
      <c r="C28" s="8"/>
      <c r="D28" s="8"/>
      <c r="E28" s="8"/>
      <c r="F28" s="8"/>
      <c r="G28" s="8"/>
      <c r="H28" s="8"/>
      <c r="I28" s="8"/>
      <c r="J28" s="8"/>
      <c r="K28" s="8"/>
      <c r="L28" s="8"/>
      <c r="M28" s="8"/>
      <c r="N28" s="6"/>
      <c r="O28" s="8"/>
      <c r="P28" s="8"/>
      <c r="Q28" s="8"/>
      <c r="R28" s="8"/>
      <c r="S28" s="8"/>
      <c r="T28" s="8"/>
      <c r="U28" s="8"/>
      <c r="V28" s="8"/>
    </row>
    <row r="29" spans="1:131" ht="15" customHeight="1" x14ac:dyDescent="0.55000000000000004">
      <c r="B29" s="8"/>
      <c r="C29" s="8"/>
      <c r="D29" s="8"/>
      <c r="E29" s="8"/>
      <c r="F29" s="91" t="s">
        <v>426</v>
      </c>
      <c r="G29" s="91" t="s">
        <v>427</v>
      </c>
      <c r="H29" s="91" t="s">
        <v>428</v>
      </c>
      <c r="I29" s="8"/>
      <c r="J29" s="8"/>
      <c r="K29" s="8"/>
      <c r="L29" s="8"/>
      <c r="M29" s="8"/>
      <c r="N29" s="8"/>
      <c r="O29" s="8"/>
      <c r="P29" s="8"/>
      <c r="Q29" s="8"/>
      <c r="R29" s="8"/>
      <c r="S29" s="8"/>
      <c r="T29" s="8"/>
      <c r="U29" s="8"/>
      <c r="V29" s="8"/>
    </row>
    <row r="30" spans="1:131" ht="15" customHeight="1" x14ac:dyDescent="0.55000000000000004">
      <c r="B30" s="8"/>
      <c r="C30" s="8"/>
      <c r="D30" s="8"/>
      <c r="E30" s="8"/>
      <c r="F30" s="8" t="s">
        <v>429</v>
      </c>
      <c r="G30" s="8">
        <f>B23</f>
        <v>77858.240000000005</v>
      </c>
      <c r="H30" s="8"/>
      <c r="I30" s="8"/>
      <c r="J30" s="8"/>
      <c r="K30" s="8"/>
      <c r="L30" s="8"/>
      <c r="M30" s="8"/>
      <c r="N30" s="8"/>
      <c r="O30" s="8"/>
      <c r="P30" s="8"/>
      <c r="Q30" s="8"/>
      <c r="R30" s="8"/>
      <c r="S30" s="8"/>
      <c r="T30" s="8"/>
      <c r="U30" s="8"/>
      <c r="V30" s="8"/>
    </row>
    <row r="31" spans="1:131" ht="15" customHeight="1" x14ac:dyDescent="0.55000000000000004">
      <c r="B31" s="8"/>
      <c r="C31" s="8"/>
      <c r="D31" s="8"/>
      <c r="E31" s="8"/>
      <c r="F31" s="8" t="s">
        <v>430</v>
      </c>
      <c r="G31" s="8">
        <f>E23</f>
        <v>543147.41999999993</v>
      </c>
      <c r="H31" s="8"/>
      <c r="I31" s="8"/>
      <c r="J31" s="8"/>
      <c r="K31" s="8"/>
      <c r="L31" s="8"/>
      <c r="M31" s="8"/>
      <c r="N31" s="8"/>
      <c r="O31" s="8"/>
      <c r="P31" s="8"/>
      <c r="Q31" s="8"/>
      <c r="R31" s="8"/>
      <c r="S31" s="8"/>
      <c r="T31" s="8"/>
      <c r="U31" s="8"/>
      <c r="V31" s="8"/>
    </row>
    <row r="32" spans="1:131" ht="15" customHeight="1" x14ac:dyDescent="0.55000000000000004">
      <c r="B32" s="8"/>
      <c r="C32" s="8"/>
      <c r="D32" s="8"/>
      <c r="E32" s="8"/>
      <c r="F32" s="8" t="s">
        <v>431</v>
      </c>
      <c r="G32" s="8">
        <v>470000</v>
      </c>
      <c r="H32" s="8"/>
      <c r="I32" s="8"/>
      <c r="J32" s="8"/>
      <c r="K32" s="8"/>
      <c r="L32" s="8"/>
      <c r="M32" s="8"/>
      <c r="N32" s="8"/>
      <c r="O32" s="8"/>
      <c r="P32" s="8"/>
      <c r="Q32" s="8"/>
      <c r="R32" s="8"/>
      <c r="S32" s="8"/>
      <c r="T32" s="8"/>
      <c r="U32" s="8"/>
      <c r="V32" s="8"/>
    </row>
    <row r="33" spans="2:22" ht="15" customHeight="1" x14ac:dyDescent="0.55000000000000004">
      <c r="B33" s="8"/>
      <c r="C33" s="8"/>
      <c r="D33" s="8"/>
      <c r="E33" s="8"/>
      <c r="F33" s="8" t="s">
        <v>432</v>
      </c>
      <c r="G33" s="8">
        <v>416116</v>
      </c>
      <c r="H33" s="8" t="s">
        <v>433</v>
      </c>
      <c r="I33" s="8"/>
      <c r="J33" s="8"/>
      <c r="K33" s="8"/>
      <c r="L33" s="8"/>
      <c r="M33" s="8"/>
      <c r="N33" s="8"/>
      <c r="O33" s="8"/>
      <c r="P33" s="8"/>
      <c r="Q33" s="8"/>
      <c r="R33" s="8"/>
      <c r="S33" s="8"/>
      <c r="T33" s="8"/>
      <c r="U33" s="8"/>
      <c r="V33" s="8"/>
    </row>
    <row r="34" spans="2:22" ht="15" customHeight="1" x14ac:dyDescent="0.55000000000000004">
      <c r="B34" s="8"/>
      <c r="C34" s="8"/>
      <c r="D34" s="8"/>
      <c r="E34" s="8"/>
      <c r="F34" s="8" t="s">
        <v>434</v>
      </c>
      <c r="G34" s="8">
        <f>N23</f>
        <v>426918.61320682196</v>
      </c>
      <c r="H34" s="8" t="s">
        <v>433</v>
      </c>
      <c r="I34" s="8"/>
      <c r="J34" s="8"/>
      <c r="K34" s="8"/>
      <c r="L34" s="8"/>
      <c r="M34" s="8"/>
      <c r="N34" s="8"/>
      <c r="O34" s="8"/>
      <c r="P34" s="8"/>
      <c r="Q34" s="8"/>
      <c r="R34" s="8"/>
      <c r="S34" s="8"/>
      <c r="T34" s="8"/>
      <c r="U34" s="8"/>
      <c r="V34" s="8"/>
    </row>
    <row r="35" spans="2:22" ht="15" customHeight="1" x14ac:dyDescent="0.55000000000000004">
      <c r="B35" s="8"/>
      <c r="C35" s="8"/>
      <c r="D35" s="8"/>
      <c r="E35" s="8"/>
      <c r="F35" s="8" t="s">
        <v>435</v>
      </c>
      <c r="G35" s="8">
        <v>199882</v>
      </c>
      <c r="H35" s="8" t="s">
        <v>433</v>
      </c>
      <c r="I35" s="8"/>
      <c r="J35" s="8"/>
      <c r="K35" s="8"/>
      <c r="L35" s="8"/>
      <c r="M35" s="8"/>
      <c r="N35" s="8"/>
      <c r="O35" s="8"/>
      <c r="P35" s="8"/>
      <c r="Q35" s="8"/>
      <c r="R35" s="8"/>
      <c r="S35" s="8"/>
      <c r="T35" s="8"/>
      <c r="U35" s="8"/>
      <c r="V35" s="8"/>
    </row>
    <row r="36" spans="2:22" ht="15" customHeight="1" x14ac:dyDescent="0.55000000000000004">
      <c r="B36" s="8"/>
      <c r="C36" s="8"/>
      <c r="D36" s="8"/>
      <c r="E36" s="8"/>
      <c r="F36" s="91" t="s">
        <v>337</v>
      </c>
      <c r="G36" s="91">
        <f>SUM(G30:G35)</f>
        <v>2133922.2732068216</v>
      </c>
      <c r="H36" s="8"/>
      <c r="I36" s="8"/>
      <c r="J36" s="8"/>
      <c r="K36" s="8"/>
      <c r="L36" s="8"/>
      <c r="M36" s="8"/>
      <c r="N36" s="8"/>
      <c r="O36" s="8"/>
      <c r="P36" s="8"/>
      <c r="Q36" s="8"/>
      <c r="R36" s="8"/>
      <c r="S36" s="8"/>
      <c r="T36" s="8"/>
      <c r="U36" s="8"/>
      <c r="V36" s="8"/>
    </row>
    <row r="37" spans="2:22" ht="15" customHeight="1" x14ac:dyDescent="0.55000000000000004">
      <c r="B37" s="8"/>
      <c r="C37" s="8"/>
      <c r="D37" s="8"/>
      <c r="E37" s="8"/>
      <c r="F37" s="8"/>
      <c r="G37" s="8"/>
      <c r="H37" s="8"/>
      <c r="I37" s="8"/>
      <c r="J37" s="8"/>
      <c r="K37" s="8"/>
      <c r="L37" s="8"/>
      <c r="M37" s="8"/>
      <c r="N37" s="8"/>
      <c r="O37" s="8"/>
      <c r="P37" s="8"/>
      <c r="Q37" s="8"/>
      <c r="R37" s="8"/>
      <c r="S37" s="8"/>
      <c r="T37" s="8"/>
      <c r="U37" s="8"/>
      <c r="V37" s="8"/>
    </row>
    <row r="38" spans="2:22" ht="15" customHeight="1" x14ac:dyDescent="0.55000000000000004">
      <c r="B38" s="8"/>
      <c r="C38" s="8"/>
      <c r="D38" s="8"/>
      <c r="E38" s="8"/>
      <c r="F38" s="8"/>
      <c r="G38" s="8"/>
      <c r="H38" s="8"/>
      <c r="I38" s="8"/>
      <c r="J38" s="8"/>
      <c r="K38" s="8"/>
      <c r="L38" s="8"/>
      <c r="M38" s="8"/>
      <c r="N38" s="8"/>
      <c r="O38" s="8"/>
      <c r="P38" s="8"/>
      <c r="Q38" s="8"/>
      <c r="R38" s="8"/>
      <c r="S38" s="8"/>
      <c r="T38" s="8"/>
      <c r="U38" s="8"/>
      <c r="V38" s="8"/>
    </row>
    <row r="39" spans="2:22" ht="15" customHeight="1" x14ac:dyDescent="0.55000000000000004">
      <c r="B39" s="8"/>
      <c r="C39" s="8"/>
      <c r="D39" s="8"/>
      <c r="E39" s="8"/>
      <c r="F39" s="8"/>
      <c r="G39" s="8"/>
      <c r="H39" s="8"/>
      <c r="I39" s="8"/>
      <c r="J39" s="8"/>
      <c r="K39" s="8"/>
      <c r="L39" s="8"/>
      <c r="M39" s="8"/>
      <c r="N39" s="8"/>
      <c r="O39" s="8"/>
      <c r="P39" s="8"/>
      <c r="Q39" s="8"/>
      <c r="R39" s="8"/>
      <c r="S39" s="8"/>
      <c r="T39" s="8"/>
      <c r="U39" s="8"/>
      <c r="V39" s="8"/>
    </row>
    <row r="40" spans="2:22" ht="15" customHeight="1" x14ac:dyDescent="0.55000000000000004">
      <c r="B40" s="8"/>
      <c r="C40" s="8"/>
      <c r="D40" s="8"/>
      <c r="E40" s="8"/>
      <c r="F40" s="8"/>
      <c r="G40" s="8"/>
      <c r="H40" s="8"/>
      <c r="I40" s="8"/>
      <c r="J40" s="8"/>
      <c r="K40" s="8"/>
      <c r="L40" s="8"/>
      <c r="M40" s="8"/>
      <c r="N40" s="8"/>
      <c r="O40" s="8"/>
      <c r="P40" s="8"/>
      <c r="Q40" s="8"/>
      <c r="R40" s="8"/>
      <c r="S40" s="8"/>
      <c r="T40" s="8"/>
      <c r="U40" s="8"/>
      <c r="V40" s="8"/>
    </row>
    <row r="41" spans="2:22" ht="15" customHeight="1" x14ac:dyDescent="0.55000000000000004">
      <c r="B41" s="8"/>
      <c r="C41" s="8"/>
      <c r="D41" s="8"/>
      <c r="E41" s="8"/>
      <c r="F41" s="8"/>
      <c r="G41" s="8"/>
      <c r="H41" s="8"/>
      <c r="I41" s="8"/>
      <c r="J41" s="8"/>
      <c r="K41" s="8"/>
      <c r="L41" s="8"/>
      <c r="M41" s="8"/>
      <c r="N41" s="8"/>
      <c r="O41" s="8"/>
      <c r="P41" s="8"/>
      <c r="Q41" s="8"/>
      <c r="R41" s="8"/>
      <c r="S41" s="8"/>
      <c r="T41" s="8"/>
      <c r="U41" s="8"/>
      <c r="V41" s="8"/>
    </row>
  </sheetData>
  <mergeCells count="8">
    <mergeCell ref="B1:V1"/>
    <mergeCell ref="B2:V2"/>
    <mergeCell ref="B4:D4"/>
    <mergeCell ref="E4:G4"/>
    <mergeCell ref="H4:J4"/>
    <mergeCell ref="K4:M4"/>
    <mergeCell ref="N4:P4"/>
    <mergeCell ref="Q4:S4"/>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1925-F180-4C74-843C-4F85D2D873BD}">
  <sheetPr>
    <pageSetUpPr fitToPage="1"/>
  </sheetPr>
  <dimension ref="A1:DY42"/>
  <sheetViews>
    <sheetView zoomScale="70" zoomScaleNormal="70" workbookViewId="0">
      <pane xSplit="1" ySplit="6" topLeftCell="Q7" activePane="bottomRight" state="frozen"/>
      <selection pane="topRight" activeCell="A8" sqref="A8:N8"/>
      <selection pane="bottomLeft" activeCell="A8" sqref="A8:N8"/>
      <selection pane="bottomRight" activeCell="AE12" sqref="AE12"/>
    </sheetView>
  </sheetViews>
  <sheetFormatPr defaultColWidth="9.1640625" defaultRowHeight="15.3" x14ac:dyDescent="0.55000000000000004"/>
  <cols>
    <col min="1" max="1" width="19.5546875" style="3" bestFit="1" customWidth="1"/>
    <col min="2" max="2" width="10.1640625" style="3" hidden="1" customWidth="1"/>
    <col min="3" max="3" width="10.44140625" style="3" hidden="1" customWidth="1"/>
    <col min="4" max="5" width="10.1640625" style="3" hidden="1" customWidth="1"/>
    <col min="6" max="6" width="10.44140625" style="3" hidden="1" customWidth="1"/>
    <col min="7" max="8" width="10.1640625" style="3" hidden="1" customWidth="1"/>
    <col min="9" max="9" width="10.44140625" style="3" hidden="1" customWidth="1"/>
    <col min="10" max="11" width="10.1640625" style="3" hidden="1" customWidth="1"/>
    <col min="12" max="12" width="10.44140625" style="3" hidden="1" customWidth="1"/>
    <col min="13" max="14" width="10.1640625" style="3" hidden="1" customWidth="1"/>
    <col min="15" max="15" width="10.44140625" style="3" hidden="1" customWidth="1"/>
    <col min="16" max="16" width="10.1640625" style="3" hidden="1" customWidth="1"/>
    <col min="17" max="17" width="11.83203125" style="3" bestFit="1" customWidth="1"/>
    <col min="18" max="18" width="11.5546875" style="3" customWidth="1"/>
    <col min="19" max="19" width="11.83203125" style="3" bestFit="1" customWidth="1"/>
    <col min="20" max="20" width="11.5546875" style="583" customWidth="1"/>
    <col min="21" max="22" width="11.5546875" style="3" customWidth="1"/>
    <col min="23" max="23" width="11.83203125" style="3" bestFit="1" customWidth="1"/>
    <col min="24" max="24" width="10.44140625" style="3" bestFit="1" customWidth="1"/>
    <col min="25" max="25" width="11.83203125" style="3" bestFit="1" customWidth="1"/>
    <col min="26" max="26" width="11.5546875" style="3" customWidth="1"/>
    <col min="27" max="16384" width="9.1640625" style="3"/>
  </cols>
  <sheetData>
    <row r="1" spans="1:26" x14ac:dyDescent="0.55000000000000004">
      <c r="A1" s="7"/>
      <c r="B1" s="595" t="s">
        <v>0</v>
      </c>
      <c r="C1" s="595"/>
      <c r="D1" s="595"/>
      <c r="E1" s="595"/>
      <c r="F1" s="595"/>
      <c r="G1" s="595"/>
      <c r="H1" s="595"/>
      <c r="I1" s="595"/>
      <c r="J1" s="595"/>
      <c r="K1" s="595"/>
      <c r="L1" s="595"/>
      <c r="M1" s="595"/>
      <c r="N1" s="595"/>
      <c r="O1" s="595"/>
      <c r="P1" s="595"/>
      <c r="Q1" s="595"/>
      <c r="R1" s="595"/>
      <c r="S1" s="595"/>
      <c r="T1" s="595"/>
      <c r="U1" s="595"/>
      <c r="V1" s="595"/>
      <c r="W1" s="595"/>
      <c r="X1" s="595"/>
      <c r="Y1" s="595"/>
      <c r="Z1" s="595"/>
    </row>
    <row r="2" spans="1:26" x14ac:dyDescent="0.55000000000000004">
      <c r="B2" s="596" t="s">
        <v>436</v>
      </c>
      <c r="C2" s="596"/>
      <c r="D2" s="596"/>
      <c r="E2" s="596"/>
      <c r="F2" s="596"/>
      <c r="G2" s="596"/>
      <c r="H2" s="596"/>
      <c r="I2" s="596"/>
      <c r="J2" s="596"/>
      <c r="K2" s="596"/>
      <c r="L2" s="596"/>
      <c r="M2" s="596"/>
      <c r="N2" s="596"/>
      <c r="O2" s="596"/>
      <c r="P2" s="596"/>
      <c r="Q2" s="596"/>
      <c r="R2" s="596"/>
      <c r="S2" s="596"/>
      <c r="T2" s="596"/>
      <c r="U2" s="596"/>
      <c r="V2" s="596"/>
      <c r="W2" s="596"/>
      <c r="X2" s="596"/>
      <c r="Y2" s="596"/>
      <c r="Z2" s="596"/>
    </row>
    <row r="4" spans="1:26" x14ac:dyDescent="0.55000000000000004">
      <c r="Q4" s="597" t="s">
        <v>437</v>
      </c>
      <c r="R4" s="598"/>
      <c r="S4" s="599"/>
      <c r="T4" s="597" t="s">
        <v>438</v>
      </c>
      <c r="U4" s="598"/>
      <c r="V4" s="599"/>
      <c r="W4" s="597" t="s">
        <v>439</v>
      </c>
      <c r="X4" s="598"/>
      <c r="Y4" s="599"/>
      <c r="Z4" s="582"/>
    </row>
    <row r="5" spans="1:26" x14ac:dyDescent="0.55000000000000004">
      <c r="A5" s="547" t="s">
        <v>2</v>
      </c>
      <c r="B5" s="597" t="s">
        <v>3</v>
      </c>
      <c r="C5" s="598"/>
      <c r="D5" s="599"/>
      <c r="E5" s="597" t="s">
        <v>4</v>
      </c>
      <c r="F5" s="598"/>
      <c r="G5" s="599"/>
      <c r="H5" s="597" t="s">
        <v>5</v>
      </c>
      <c r="I5" s="598"/>
      <c r="J5" s="599"/>
      <c r="K5" s="597" t="s">
        <v>6</v>
      </c>
      <c r="L5" s="598"/>
      <c r="M5" s="599"/>
      <c r="N5" s="597" t="s">
        <v>7</v>
      </c>
      <c r="O5" s="598"/>
      <c r="P5" s="599"/>
      <c r="Q5" s="548" t="s">
        <v>8</v>
      </c>
      <c r="R5" s="549" t="s">
        <v>9</v>
      </c>
      <c r="S5" s="549" t="s">
        <v>10</v>
      </c>
      <c r="T5" s="584"/>
      <c r="U5" s="549"/>
      <c r="V5" s="549"/>
      <c r="W5" s="548" t="s">
        <v>8</v>
      </c>
      <c r="X5" s="549" t="s">
        <v>9</v>
      </c>
      <c r="Y5" s="549" t="s">
        <v>10</v>
      </c>
      <c r="Z5" s="549"/>
    </row>
    <row r="6" spans="1:26" ht="15.6" thickBot="1" x14ac:dyDescent="0.6">
      <c r="A6" s="547"/>
      <c r="B6" s="4" t="s">
        <v>11</v>
      </c>
      <c r="C6" s="5" t="s">
        <v>12</v>
      </c>
      <c r="D6" s="550" t="s">
        <v>9</v>
      </c>
      <c r="E6" s="547" t="s">
        <v>11</v>
      </c>
      <c r="F6" s="547" t="s">
        <v>12</v>
      </c>
      <c r="G6" s="547" t="s">
        <v>9</v>
      </c>
      <c r="H6" s="550" t="s">
        <v>11</v>
      </c>
      <c r="I6" s="547" t="s">
        <v>12</v>
      </c>
      <c r="J6" s="547" t="s">
        <v>9</v>
      </c>
      <c r="K6" s="547" t="s">
        <v>11</v>
      </c>
      <c r="L6" s="547" t="s">
        <v>12</v>
      </c>
      <c r="M6" s="547" t="s">
        <v>9</v>
      </c>
      <c r="N6" s="547" t="s">
        <v>11</v>
      </c>
      <c r="O6" s="547" t="s">
        <v>12</v>
      </c>
      <c r="P6" s="547" t="s">
        <v>9</v>
      </c>
      <c r="Q6" s="551" t="s">
        <v>11</v>
      </c>
      <c r="R6" s="547" t="s">
        <v>12</v>
      </c>
      <c r="S6" s="552" t="s">
        <v>8</v>
      </c>
      <c r="T6" s="585" t="s">
        <v>11</v>
      </c>
      <c r="U6" s="552" t="s">
        <v>440</v>
      </c>
      <c r="V6" s="552" t="s">
        <v>8</v>
      </c>
      <c r="W6" s="551" t="s">
        <v>11</v>
      </c>
      <c r="X6" s="547" t="s">
        <v>12</v>
      </c>
      <c r="Y6" s="552" t="s">
        <v>8</v>
      </c>
      <c r="Z6" s="552"/>
    </row>
    <row r="7" spans="1:26" x14ac:dyDescent="0.55000000000000004">
      <c r="A7" s="553"/>
      <c r="B7" s="554"/>
      <c r="C7" s="487"/>
      <c r="D7" s="555"/>
      <c r="E7" s="556"/>
      <c r="F7" s="557"/>
      <c r="G7" s="555"/>
      <c r="H7" s="557"/>
      <c r="I7" s="557"/>
      <c r="J7" s="555"/>
      <c r="K7" s="556"/>
      <c r="L7" s="557"/>
      <c r="M7" s="555"/>
      <c r="N7" s="556"/>
      <c r="O7" s="557"/>
      <c r="P7" s="555"/>
      <c r="Q7" s="558"/>
      <c r="R7" s="559"/>
      <c r="S7" s="558"/>
      <c r="T7" s="558"/>
      <c r="U7" s="558"/>
      <c r="V7" s="558"/>
      <c r="W7" s="558"/>
      <c r="X7" s="559"/>
      <c r="Y7" s="558"/>
      <c r="Z7" s="558"/>
    </row>
    <row r="8" spans="1:26" x14ac:dyDescent="0.55000000000000004">
      <c r="A8" s="560" t="s">
        <v>13</v>
      </c>
      <c r="B8" s="561">
        <v>146525</v>
      </c>
      <c r="C8" s="561">
        <v>29706.899999999998</v>
      </c>
      <c r="D8" s="562">
        <f>SUM(B8:C8)</f>
        <v>176231.9</v>
      </c>
      <c r="E8" s="561">
        <v>180648</v>
      </c>
      <c r="F8" s="561">
        <v>33006.272000000004</v>
      </c>
      <c r="G8" s="562">
        <f>SUM(E8:F8)</f>
        <v>213654.272</v>
      </c>
      <c r="H8" s="561">
        <v>187873.92000000001</v>
      </c>
      <c r="I8" s="561">
        <v>34326.522880000004</v>
      </c>
      <c r="J8" s="562">
        <f>SUM(H8:I8)</f>
        <v>222200.44288000002</v>
      </c>
      <c r="K8" s="561">
        <v>195388.87680000003</v>
      </c>
      <c r="L8" s="561">
        <v>35699.583795200007</v>
      </c>
      <c r="M8" s="562">
        <f>SUM(K8:L8)</f>
        <v>231088.46059520004</v>
      </c>
      <c r="N8" s="561">
        <v>175186.31936000002</v>
      </c>
      <c r="O8" s="561">
        <v>35922.729816064006</v>
      </c>
      <c r="P8" s="562">
        <f>SUM(N8:O8)</f>
        <v>211109.04917606403</v>
      </c>
      <c r="Q8" s="563">
        <v>885622.11615999998</v>
      </c>
      <c r="R8" s="563">
        <v>168662.00849126402</v>
      </c>
      <c r="S8" s="563">
        <v>1054284.1246512639</v>
      </c>
      <c r="T8" s="586">
        <f>+W8-Q8</f>
        <v>24601.255844000145</v>
      </c>
      <c r="U8" s="586">
        <f>+X8-R8</f>
        <v>-22016.483894016012</v>
      </c>
      <c r="V8" s="586">
        <f>+Y8-S8</f>
        <v>2584.7719499841332</v>
      </c>
      <c r="W8" s="563">
        <v>910223.37200400012</v>
      </c>
      <c r="X8" s="563">
        <v>146645.524597248</v>
      </c>
      <c r="Y8" s="563">
        <v>1056868.8966012481</v>
      </c>
      <c r="Z8" s="587">
        <f>+Y8/S8-1</f>
        <v>2.4516844079760514E-3</v>
      </c>
    </row>
    <row r="9" spans="1:26" x14ac:dyDescent="0.55000000000000004">
      <c r="A9" s="564"/>
      <c r="B9" s="565"/>
      <c r="C9" s="8"/>
      <c r="D9" s="566"/>
      <c r="E9" s="565"/>
      <c r="F9" s="8"/>
      <c r="G9" s="566"/>
      <c r="H9" s="565"/>
      <c r="I9" s="8"/>
      <c r="J9" s="566"/>
      <c r="K9" s="565"/>
      <c r="L9" s="8"/>
      <c r="M9" s="566"/>
      <c r="N9" s="565"/>
      <c r="O9" s="8"/>
      <c r="P9" s="566"/>
      <c r="Q9" s="567"/>
      <c r="R9" s="567"/>
      <c r="S9" s="567"/>
      <c r="T9" s="567"/>
      <c r="U9" s="567"/>
      <c r="V9" s="567"/>
      <c r="W9" s="567"/>
      <c r="X9" s="567"/>
      <c r="Y9" s="567"/>
      <c r="Z9" s="567"/>
    </row>
    <row r="10" spans="1:26" x14ac:dyDescent="0.55000000000000004">
      <c r="A10" s="568" t="s">
        <v>14</v>
      </c>
      <c r="B10" s="561">
        <v>68799.225999999995</v>
      </c>
      <c r="C10" s="561">
        <v>13520.294615999999</v>
      </c>
      <c r="D10" s="561">
        <v>82319.520615999994</v>
      </c>
      <c r="E10" s="561">
        <v>84668.238719999994</v>
      </c>
      <c r="F10" s="561">
        <v>15057.82715008</v>
      </c>
      <c r="G10" s="561">
        <v>99726.065870079998</v>
      </c>
      <c r="H10" s="561">
        <v>88054.968268800003</v>
      </c>
      <c r="I10" s="561">
        <v>15660.1402360832</v>
      </c>
      <c r="J10" s="561">
        <v>103715.1085048832</v>
      </c>
      <c r="K10" s="561">
        <v>91577.166999551991</v>
      </c>
      <c r="L10" s="561">
        <v>16286.545845526531</v>
      </c>
      <c r="M10" s="561">
        <v>107863.71284507852</v>
      </c>
      <c r="N10" s="561">
        <v>83109.782036070406</v>
      </c>
      <c r="O10" s="561">
        <v>16289.034099407918</v>
      </c>
      <c r="P10" s="561">
        <v>99398.816135478322</v>
      </c>
      <c r="Q10" s="563">
        <v>416209.3820244224</v>
      </c>
      <c r="R10" s="563">
        <v>76813.841947097651</v>
      </c>
      <c r="S10" s="563">
        <v>493023.22397152008</v>
      </c>
      <c r="T10" s="586">
        <f>+W10-Q10</f>
        <v>24696.676208133169</v>
      </c>
      <c r="U10" s="586">
        <f>+X10-R10</f>
        <v>-6944.7957819349831</v>
      </c>
      <c r="V10" s="586">
        <f>+Y10-S10</f>
        <v>17751.880426198128</v>
      </c>
      <c r="W10" s="563">
        <v>440906.05823255557</v>
      </c>
      <c r="X10" s="563">
        <v>69869.046165162668</v>
      </c>
      <c r="Y10" s="563">
        <v>510775.10439771821</v>
      </c>
      <c r="Z10" s="587">
        <f>+Y10/S10-1</f>
        <v>3.6006174888068898E-2</v>
      </c>
    </row>
    <row r="11" spans="1:26" x14ac:dyDescent="0.55000000000000004">
      <c r="A11" s="564"/>
      <c r="B11" s="565"/>
      <c r="C11" s="8"/>
      <c r="D11" s="566"/>
      <c r="E11" s="565"/>
      <c r="F11" s="8"/>
      <c r="G11" s="566"/>
      <c r="H11" s="565"/>
      <c r="I11" s="8"/>
      <c r="J11" s="566"/>
      <c r="K11" s="565"/>
      <c r="L11" s="8"/>
      <c r="M11" s="566"/>
      <c r="N11" s="565"/>
      <c r="O11" s="8"/>
      <c r="P11" s="566"/>
      <c r="Q11" s="567"/>
      <c r="R11" s="567"/>
      <c r="S11" s="567"/>
      <c r="T11" s="567"/>
      <c r="U11" s="567"/>
      <c r="V11" s="567"/>
      <c r="W11" s="567"/>
      <c r="X11" s="567"/>
      <c r="Y11" s="567"/>
      <c r="Z11" s="567"/>
    </row>
    <row r="12" spans="1:26" x14ac:dyDescent="0.55000000000000004">
      <c r="A12" s="568" t="s">
        <v>15</v>
      </c>
      <c r="B12" s="561">
        <v>18570</v>
      </c>
      <c r="C12" s="561">
        <v>0</v>
      </c>
      <c r="D12" s="561">
        <v>18570</v>
      </c>
      <c r="E12" s="561">
        <v>19700.700000000004</v>
      </c>
      <c r="F12" s="561">
        <v>0</v>
      </c>
      <c r="G12" s="561">
        <v>19700.700000000004</v>
      </c>
      <c r="H12" s="561">
        <v>21801.801000000003</v>
      </c>
      <c r="I12" s="561">
        <v>0</v>
      </c>
      <c r="J12" s="561">
        <v>21801.801000000003</v>
      </c>
      <c r="K12" s="561">
        <v>21847.130550000002</v>
      </c>
      <c r="L12" s="561">
        <v>0</v>
      </c>
      <c r="M12" s="561">
        <v>21847.130550000002</v>
      </c>
      <c r="N12" s="561">
        <v>21546.522552900005</v>
      </c>
      <c r="O12" s="561">
        <v>0</v>
      </c>
      <c r="P12" s="561">
        <v>21546.522552900005</v>
      </c>
      <c r="Q12" s="563">
        <v>103466.15410290001</v>
      </c>
      <c r="R12" s="563">
        <v>0</v>
      </c>
      <c r="S12" s="563">
        <v>103466.15410290001</v>
      </c>
      <c r="T12" s="586">
        <f>+W12-Q12</f>
        <v>177763.9698971</v>
      </c>
      <c r="U12" s="586">
        <f>+X12-R12</f>
        <v>0</v>
      </c>
      <c r="V12" s="586">
        <f>+Y12-S12</f>
        <v>177763.9698971</v>
      </c>
      <c r="W12" s="563">
        <v>281230.12400000001</v>
      </c>
      <c r="X12" s="563">
        <v>0</v>
      </c>
      <c r="Y12" s="563">
        <v>281230.12400000001</v>
      </c>
      <c r="Z12" s="587">
        <f>+Y12/S12-1</f>
        <v>1.7180881172050593</v>
      </c>
    </row>
    <row r="13" spans="1:26" x14ac:dyDescent="0.55000000000000004">
      <c r="A13" s="569"/>
      <c r="B13" s="565"/>
      <c r="C13" s="8"/>
      <c r="D13" s="566"/>
      <c r="E13" s="565"/>
      <c r="F13" s="8"/>
      <c r="G13" s="566"/>
      <c r="H13" s="565"/>
      <c r="I13" s="8"/>
      <c r="J13" s="566"/>
      <c r="K13" s="565"/>
      <c r="L13" s="8"/>
      <c r="M13" s="566"/>
      <c r="N13" s="565"/>
      <c r="O13" s="8"/>
      <c r="P13" s="566"/>
      <c r="Q13" s="567"/>
      <c r="R13" s="567"/>
      <c r="S13" s="567"/>
      <c r="T13" s="567"/>
      <c r="U13" s="567"/>
      <c r="V13" s="567"/>
      <c r="W13" s="567"/>
      <c r="X13" s="567"/>
      <c r="Y13" s="567"/>
      <c r="Z13" s="567"/>
    </row>
    <row r="14" spans="1:26" x14ac:dyDescent="0.55000000000000004">
      <c r="A14" s="568" t="s">
        <v>16</v>
      </c>
      <c r="B14" s="561">
        <v>50000</v>
      </c>
      <c r="C14" s="561">
        <v>0</v>
      </c>
      <c r="D14" s="561">
        <v>50000</v>
      </c>
      <c r="E14" s="561">
        <v>0</v>
      </c>
      <c r="F14" s="561">
        <v>0</v>
      </c>
      <c r="G14" s="561">
        <v>0</v>
      </c>
      <c r="H14" s="561">
        <v>0</v>
      </c>
      <c r="I14" s="561">
        <v>0</v>
      </c>
      <c r="J14" s="561">
        <v>0</v>
      </c>
      <c r="K14" s="561">
        <v>0</v>
      </c>
      <c r="L14" s="561">
        <v>0</v>
      </c>
      <c r="M14" s="561">
        <v>0</v>
      </c>
      <c r="N14" s="561">
        <v>0</v>
      </c>
      <c r="O14" s="561">
        <v>0</v>
      </c>
      <c r="P14" s="561">
        <v>0</v>
      </c>
      <c r="Q14" s="561">
        <v>50000</v>
      </c>
      <c r="R14" s="561">
        <v>0</v>
      </c>
      <c r="S14" s="561">
        <v>50000</v>
      </c>
      <c r="T14" s="586">
        <f>+W14-Q14</f>
        <v>-50000</v>
      </c>
      <c r="U14" s="586">
        <f>+X14-R14</f>
        <v>0</v>
      </c>
      <c r="V14" s="586">
        <f>+Y14-S14</f>
        <v>-50000</v>
      </c>
      <c r="W14" s="561">
        <v>0</v>
      </c>
      <c r="X14" s="561">
        <v>0</v>
      </c>
      <c r="Y14" s="561">
        <v>0</v>
      </c>
      <c r="Z14" s="587">
        <f>+Y14/S14-1</f>
        <v>-1</v>
      </c>
    </row>
    <row r="15" spans="1:26" x14ac:dyDescent="0.55000000000000004">
      <c r="A15" s="570"/>
      <c r="B15" s="565"/>
      <c r="C15" s="8"/>
      <c r="D15" s="566"/>
      <c r="E15" s="565"/>
      <c r="F15" s="8"/>
      <c r="G15" s="566"/>
      <c r="H15" s="565"/>
      <c r="I15" s="8"/>
      <c r="J15" s="566"/>
      <c r="K15" s="565"/>
      <c r="L15" s="8"/>
      <c r="M15" s="566"/>
      <c r="N15" s="565"/>
      <c r="O15" s="8"/>
      <c r="P15" s="566"/>
      <c r="Q15" s="567"/>
      <c r="R15" s="567"/>
      <c r="S15" s="567"/>
      <c r="T15" s="567"/>
      <c r="U15" s="567"/>
      <c r="V15" s="567"/>
      <c r="W15" s="567"/>
      <c r="X15" s="567"/>
      <c r="Y15" s="567"/>
      <c r="Z15" s="567"/>
    </row>
    <row r="16" spans="1:26" x14ac:dyDescent="0.55000000000000004">
      <c r="A16" s="568" t="s">
        <v>17</v>
      </c>
      <c r="B16" s="561">
        <v>15344.91</v>
      </c>
      <c r="C16" s="561">
        <v>3336</v>
      </c>
      <c r="D16" s="561">
        <v>18680.91</v>
      </c>
      <c r="E16" s="561">
        <v>9270</v>
      </c>
      <c r="F16" s="561">
        <v>4466.9040000000005</v>
      </c>
      <c r="G16" s="561">
        <v>13736.904</v>
      </c>
      <c r="H16" s="561">
        <v>9548.1</v>
      </c>
      <c r="I16" s="561">
        <v>4600.9111200000007</v>
      </c>
      <c r="J16" s="561">
        <v>14149.011120000001</v>
      </c>
      <c r="K16" s="561">
        <v>4917.2715000000007</v>
      </c>
      <c r="L16" s="561">
        <v>4738.9384536000007</v>
      </c>
      <c r="M16" s="561">
        <v>9656.2099536000023</v>
      </c>
      <c r="N16" s="561">
        <v>3798.592233750001</v>
      </c>
      <c r="O16" s="561">
        <v>4881.1066072080012</v>
      </c>
      <c r="P16" s="561">
        <v>8679.6988409580026</v>
      </c>
      <c r="Q16" s="563">
        <v>42878.873733749999</v>
      </c>
      <c r="R16" s="563">
        <v>22023.860180808006</v>
      </c>
      <c r="S16" s="563">
        <v>64902.733914558004</v>
      </c>
      <c r="T16" s="586">
        <f>+W16-Q16</f>
        <v>-8675.6610809500053</v>
      </c>
      <c r="U16" s="586">
        <f>+X16-R16</f>
        <v>41957.749819191995</v>
      </c>
      <c r="V16" s="586">
        <f>+Y16-S16</f>
        <v>33282.08873824199</v>
      </c>
      <c r="W16" s="563">
        <v>34203.212652799994</v>
      </c>
      <c r="X16" s="563">
        <v>63981.61</v>
      </c>
      <c r="Y16" s="563">
        <v>98184.822652799994</v>
      </c>
      <c r="Z16" s="587">
        <f>+Y16/S16-1</f>
        <v>0.51279948826279953</v>
      </c>
    </row>
    <row r="17" spans="1:129" x14ac:dyDescent="0.55000000000000004">
      <c r="A17" s="570"/>
      <c r="B17" s="565"/>
      <c r="C17" s="8"/>
      <c r="D17" s="566"/>
      <c r="E17" s="565"/>
      <c r="F17" s="8"/>
      <c r="G17" s="566"/>
      <c r="H17" s="565"/>
      <c r="I17" s="8"/>
      <c r="J17" s="566"/>
      <c r="K17" s="565"/>
      <c r="L17" s="8"/>
      <c r="M17" s="566"/>
      <c r="N17" s="565"/>
      <c r="O17" s="8"/>
      <c r="P17" s="566"/>
      <c r="Q17" s="567"/>
      <c r="R17" s="567"/>
      <c r="S17" s="567"/>
      <c r="T17" s="567"/>
      <c r="U17" s="567"/>
      <c r="V17" s="567"/>
      <c r="W17" s="567"/>
      <c r="X17" s="567"/>
      <c r="Y17" s="567"/>
      <c r="Z17" s="567"/>
    </row>
    <row r="18" spans="1:129" x14ac:dyDescent="0.55000000000000004">
      <c r="A18" s="568" t="s">
        <v>18</v>
      </c>
      <c r="B18" s="561">
        <v>42850</v>
      </c>
      <c r="C18" s="561">
        <v>0</v>
      </c>
      <c r="D18" s="561">
        <v>42850</v>
      </c>
      <c r="E18" s="561">
        <v>47050</v>
      </c>
      <c r="F18" s="561">
        <v>0</v>
      </c>
      <c r="G18" s="561">
        <v>47050</v>
      </c>
      <c r="H18" s="561">
        <v>22050</v>
      </c>
      <c r="I18" s="561">
        <v>0</v>
      </c>
      <c r="J18" s="561">
        <v>22050</v>
      </c>
      <c r="K18" s="561">
        <v>22050</v>
      </c>
      <c r="L18" s="561">
        <v>0</v>
      </c>
      <c r="M18" s="561">
        <v>22050</v>
      </c>
      <c r="N18" s="561">
        <v>19950</v>
      </c>
      <c r="O18" s="561">
        <v>0</v>
      </c>
      <c r="P18" s="561">
        <v>19950</v>
      </c>
      <c r="Q18" s="563">
        <v>153950</v>
      </c>
      <c r="R18" s="563">
        <v>0</v>
      </c>
      <c r="S18" s="563">
        <v>153950</v>
      </c>
      <c r="T18" s="586">
        <f>+W18-Q18</f>
        <v>-115992.41</v>
      </c>
      <c r="U18" s="586">
        <f>+X18-R18</f>
        <v>0</v>
      </c>
      <c r="V18" s="586">
        <f>+Y18-S18</f>
        <v>-115992.41</v>
      </c>
      <c r="W18" s="563">
        <v>37957.589999999997</v>
      </c>
      <c r="X18" s="563">
        <v>0</v>
      </c>
      <c r="Y18" s="563">
        <v>37957.589999999997</v>
      </c>
      <c r="Z18" s="587">
        <f>+Y18/S18-1</f>
        <v>-0.75344209158817799</v>
      </c>
    </row>
    <row r="19" spans="1:129" x14ac:dyDescent="0.55000000000000004">
      <c r="A19" s="564"/>
      <c r="B19" s="565"/>
      <c r="C19" s="8"/>
      <c r="D19" s="566"/>
      <c r="E19" s="565"/>
      <c r="F19" s="8"/>
      <c r="G19" s="566"/>
      <c r="H19" s="565"/>
      <c r="I19" s="8"/>
      <c r="J19" s="566"/>
      <c r="K19" s="565"/>
      <c r="L19" s="8"/>
      <c r="M19" s="566"/>
      <c r="N19" s="565"/>
      <c r="O19" s="8"/>
      <c r="P19" s="566"/>
      <c r="Q19" s="567"/>
      <c r="R19" s="567"/>
      <c r="S19" s="567"/>
      <c r="T19" s="567"/>
      <c r="U19" s="567"/>
      <c r="V19" s="567"/>
      <c r="W19" s="567"/>
      <c r="X19" s="567"/>
      <c r="Y19" s="567"/>
      <c r="Z19" s="567"/>
    </row>
    <row r="20" spans="1:129" x14ac:dyDescent="0.55000000000000004">
      <c r="A20" s="571" t="s">
        <v>19</v>
      </c>
      <c r="B20" s="561">
        <v>105566</v>
      </c>
      <c r="C20" s="561">
        <v>33306</v>
      </c>
      <c r="D20" s="561">
        <v>138872</v>
      </c>
      <c r="E20" s="561">
        <v>176388.47999999998</v>
      </c>
      <c r="F20" s="561">
        <v>0</v>
      </c>
      <c r="G20" s="561">
        <v>176388.47999999998</v>
      </c>
      <c r="H20" s="561">
        <v>85222.353999999992</v>
      </c>
      <c r="I20" s="561">
        <v>0</v>
      </c>
      <c r="J20" s="561">
        <v>85222.353999999992</v>
      </c>
      <c r="K20" s="561">
        <v>94155.778820000021</v>
      </c>
      <c r="L20" s="561">
        <v>0</v>
      </c>
      <c r="M20" s="561">
        <v>94155.778820000021</v>
      </c>
      <c r="N20" s="561">
        <v>20519.591506249999</v>
      </c>
      <c r="O20" s="561">
        <v>0</v>
      </c>
      <c r="P20" s="561">
        <v>20519.591506249999</v>
      </c>
      <c r="Q20" s="563">
        <v>481852.20432625001</v>
      </c>
      <c r="R20" s="563">
        <v>33306</v>
      </c>
      <c r="S20" s="563">
        <v>515158.20432625001</v>
      </c>
      <c r="T20" s="586">
        <f>+W20-Q20</f>
        <v>-164296.46709674603</v>
      </c>
      <c r="U20" s="586">
        <f>+X20-R20</f>
        <v>-33306</v>
      </c>
      <c r="V20" s="586">
        <f>+Y20-S20</f>
        <v>-197602.46709674603</v>
      </c>
      <c r="W20" s="563">
        <v>317555.73722950398</v>
      </c>
      <c r="X20" s="563">
        <v>0</v>
      </c>
      <c r="Y20" s="563">
        <v>317555.73722950398</v>
      </c>
      <c r="Z20" s="587">
        <f>+Y20/S20-1</f>
        <v>-0.3835762789708077</v>
      </c>
    </row>
    <row r="21" spans="1:129" x14ac:dyDescent="0.55000000000000004">
      <c r="A21" s="572"/>
      <c r="B21" s="573"/>
      <c r="C21" s="574"/>
      <c r="D21" s="575"/>
      <c r="E21" s="573"/>
      <c r="F21" s="574"/>
      <c r="G21" s="575"/>
      <c r="H21" s="573"/>
      <c r="I21" s="574"/>
      <c r="J21" s="575"/>
      <c r="K21" s="573"/>
      <c r="L21" s="574"/>
      <c r="M21" s="575"/>
      <c r="N21" s="565"/>
      <c r="O21" s="8"/>
      <c r="P21" s="566"/>
      <c r="Q21" s="567"/>
      <c r="R21" s="567"/>
      <c r="S21" s="567"/>
      <c r="T21" s="567"/>
      <c r="U21" s="567"/>
      <c r="V21" s="567"/>
      <c r="W21" s="567"/>
      <c r="X21" s="567"/>
      <c r="Y21" s="567"/>
      <c r="Z21" s="567"/>
    </row>
    <row r="22" spans="1:129" s="9" customFormat="1" x14ac:dyDescent="0.55000000000000004">
      <c r="A22" s="576" t="s">
        <v>20</v>
      </c>
      <c r="B22" s="577">
        <f>SUM(B8:B21)</f>
        <v>447655.136</v>
      </c>
      <c r="C22" s="577">
        <f t="shared" ref="C22" si="0">SUM(C8:C21)</f>
        <v>79869.194615999993</v>
      </c>
      <c r="D22" s="577">
        <f>SUM(D8:D21)</f>
        <v>527524.33061599988</v>
      </c>
      <c r="E22" s="577">
        <f>SUM(E8:E21)</f>
        <v>517725.41872000002</v>
      </c>
      <c r="F22" s="577">
        <f t="shared" ref="F22:G22" si="1">SUM(F8:F21)</f>
        <v>52531.003150080003</v>
      </c>
      <c r="G22" s="577">
        <f t="shared" si="1"/>
        <v>570256.42187008006</v>
      </c>
      <c r="H22" s="577">
        <f>SUM(H8:H21)</f>
        <v>414551.14326879993</v>
      </c>
      <c r="I22" s="577">
        <f>SUM(I8:I21)</f>
        <v>54587.574236083208</v>
      </c>
      <c r="J22" s="577">
        <f t="shared" ref="J22" si="2">SUM(J8:J21)</f>
        <v>469138.71750488319</v>
      </c>
      <c r="K22" s="577">
        <f>SUM(K8:K21)</f>
        <v>429936.224669552</v>
      </c>
      <c r="L22" s="577">
        <f t="shared" ref="L22" si="3">SUM(L8:L21)</f>
        <v>56725.06809432654</v>
      </c>
      <c r="M22" s="577">
        <f>SUM(M8:M21)</f>
        <v>486661.29276387859</v>
      </c>
      <c r="N22" s="577">
        <f>SUM(N8:N21)</f>
        <v>324110.80768897047</v>
      </c>
      <c r="O22" s="577">
        <f t="shared" ref="O22:P22" si="4">SUM(O8:O21)</f>
        <v>57092.870522679921</v>
      </c>
      <c r="P22" s="577">
        <f t="shared" si="4"/>
        <v>381203.67821165035</v>
      </c>
      <c r="Q22" s="577">
        <v>2133978.7303473228</v>
      </c>
      <c r="R22" s="577">
        <v>300805.71061916969</v>
      </c>
      <c r="S22" s="577">
        <v>2434784.4409664921</v>
      </c>
      <c r="T22" s="577">
        <f>+T8+T10+T12+T14+T16+T18+T20</f>
        <v>-111902.63622846271</v>
      </c>
      <c r="U22" s="577">
        <f t="shared" ref="U22:V24" si="5">+X22-R22</f>
        <v>-20309.529856759007</v>
      </c>
      <c r="V22" s="577">
        <f t="shared" si="5"/>
        <v>-132212.16608522134</v>
      </c>
      <c r="W22" s="577">
        <v>2022076.0941188599</v>
      </c>
      <c r="X22" s="577">
        <v>280496.18076241069</v>
      </c>
      <c r="Y22" s="577">
        <v>2302572.2748812707</v>
      </c>
      <c r="Z22" s="587">
        <f>+Y22/S22-1</f>
        <v>-5.4301384492476679E-2</v>
      </c>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row>
    <row r="23" spans="1:129" s="9" customFormat="1" ht="15" x14ac:dyDescent="0.5">
      <c r="A23" s="9" t="s">
        <v>21</v>
      </c>
      <c r="B23" s="578">
        <v>0</v>
      </c>
      <c r="C23" s="578">
        <v>0</v>
      </c>
      <c r="D23" s="578">
        <v>0</v>
      </c>
      <c r="E23" s="578">
        <v>0</v>
      </c>
      <c r="F23" s="578">
        <v>0</v>
      </c>
      <c r="G23" s="578">
        <v>0</v>
      </c>
      <c r="H23" s="578">
        <v>0</v>
      </c>
      <c r="I23" s="578">
        <v>0</v>
      </c>
      <c r="J23" s="578">
        <v>0</v>
      </c>
      <c r="K23" s="578">
        <v>0</v>
      </c>
      <c r="L23" s="578">
        <v>0</v>
      </c>
      <c r="M23" s="578">
        <v>0</v>
      </c>
      <c r="N23" s="578">
        <v>0</v>
      </c>
      <c r="O23" s="578">
        <v>0</v>
      </c>
      <c r="P23" s="578">
        <v>0</v>
      </c>
      <c r="Q23" s="578">
        <v>0</v>
      </c>
      <c r="R23" s="578">
        <v>0</v>
      </c>
      <c r="S23" s="578">
        <v>0</v>
      </c>
      <c r="T23" s="578">
        <f>+W23-Q23</f>
        <v>111902.70076065738</v>
      </c>
      <c r="U23" s="578">
        <f t="shared" si="5"/>
        <v>20309.817497634194</v>
      </c>
      <c r="V23" s="578">
        <f t="shared" si="5"/>
        <v>132212.51825829156</v>
      </c>
      <c r="W23" s="578">
        <v>111902.70076065738</v>
      </c>
      <c r="X23" s="578">
        <v>20309.817497634194</v>
      </c>
      <c r="Y23" s="578">
        <v>132212.51825829156</v>
      </c>
      <c r="Z23" s="578"/>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row>
    <row r="24" spans="1:129" s="10" customFormat="1" x14ac:dyDescent="0.55000000000000004">
      <c r="A24" s="576" t="s">
        <v>8</v>
      </c>
      <c r="B24" s="579">
        <f>B23+B22</f>
        <v>447655.136</v>
      </c>
      <c r="C24" s="579">
        <f t="shared" ref="C24:P24" si="6">C23+C22</f>
        <v>79869.194615999993</v>
      </c>
      <c r="D24" s="579">
        <f t="shared" si="6"/>
        <v>527524.33061599988</v>
      </c>
      <c r="E24" s="579">
        <f t="shared" si="6"/>
        <v>517725.41872000002</v>
      </c>
      <c r="F24" s="579">
        <f t="shared" si="6"/>
        <v>52531.003150080003</v>
      </c>
      <c r="G24" s="579">
        <f t="shared" si="6"/>
        <v>570256.42187008006</v>
      </c>
      <c r="H24" s="579">
        <f t="shared" si="6"/>
        <v>414551.14326879993</v>
      </c>
      <c r="I24" s="579">
        <f t="shared" si="6"/>
        <v>54587.574236083208</v>
      </c>
      <c r="J24" s="579">
        <f t="shared" si="6"/>
        <v>469138.71750488319</v>
      </c>
      <c r="K24" s="579">
        <f t="shared" si="6"/>
        <v>429936.224669552</v>
      </c>
      <c r="L24" s="579">
        <f t="shared" si="6"/>
        <v>56725.06809432654</v>
      </c>
      <c r="M24" s="579">
        <f t="shared" si="6"/>
        <v>486661.29276387859</v>
      </c>
      <c r="N24" s="579">
        <f t="shared" si="6"/>
        <v>324110.80768897047</v>
      </c>
      <c r="O24" s="579">
        <f t="shared" si="6"/>
        <v>57092.870522679921</v>
      </c>
      <c r="P24" s="579">
        <f t="shared" si="6"/>
        <v>381203.67821165035</v>
      </c>
      <c r="Q24" s="579">
        <v>2133978.7303473228</v>
      </c>
      <c r="R24" s="579">
        <v>300805.71061916969</v>
      </c>
      <c r="S24" s="579">
        <v>2434784.4409664921</v>
      </c>
      <c r="T24" s="579">
        <f>+T22+T23</f>
        <v>6.453219466493465E-2</v>
      </c>
      <c r="U24" s="579">
        <f t="shared" si="5"/>
        <v>0.28764087520539761</v>
      </c>
      <c r="V24" s="579">
        <f t="shared" si="5"/>
        <v>0.35217307042330503</v>
      </c>
      <c r="W24" s="579">
        <v>2133978.7948795171</v>
      </c>
      <c r="X24" s="579">
        <v>300805.9982600449</v>
      </c>
      <c r="Y24" s="579">
        <v>2434784.7931395625</v>
      </c>
      <c r="Z24" s="579"/>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row>
    <row r="25" spans="1:129" s="11" customFormat="1" x14ac:dyDescent="0.55000000000000004">
      <c r="B25" s="580"/>
      <c r="C25" s="580"/>
      <c r="D25" s="580"/>
      <c r="E25" s="580"/>
      <c r="F25" s="580"/>
      <c r="G25" s="580"/>
      <c r="H25" s="580"/>
      <c r="I25" s="580"/>
      <c r="J25" s="580"/>
      <c r="K25" s="580"/>
      <c r="L25" s="580"/>
      <c r="M25" s="580"/>
      <c r="N25" s="580"/>
      <c r="O25" s="580"/>
      <c r="P25" s="580"/>
      <c r="Q25" s="580"/>
      <c r="R25" s="580"/>
      <c r="S25" s="580"/>
      <c r="T25" s="583"/>
      <c r="U25" s="8"/>
      <c r="V25" s="8"/>
      <c r="W25" s="3"/>
      <c r="X25" s="3"/>
      <c r="Y25" s="3"/>
      <c r="Z25" s="8"/>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row>
    <row r="26" spans="1:129" x14ac:dyDescent="0.55000000000000004">
      <c r="B26" s="8"/>
      <c r="C26" s="8"/>
      <c r="D26" s="8"/>
      <c r="E26" s="8"/>
      <c r="F26" s="8"/>
      <c r="G26" s="8"/>
      <c r="H26" s="8"/>
      <c r="I26" s="8"/>
      <c r="J26" s="8"/>
      <c r="K26" s="8"/>
      <c r="L26" s="8"/>
      <c r="M26" s="8"/>
      <c r="N26" s="8"/>
      <c r="O26" s="8"/>
      <c r="P26" s="8"/>
      <c r="Q26" s="8"/>
      <c r="R26" s="12"/>
    </row>
    <row r="27" spans="1:129" x14ac:dyDescent="0.55000000000000004">
      <c r="B27" s="8"/>
      <c r="C27" s="8"/>
      <c r="D27" s="8"/>
      <c r="E27" s="8"/>
      <c r="F27" s="8"/>
      <c r="G27" s="8"/>
      <c r="H27" s="8"/>
      <c r="I27" s="8"/>
      <c r="J27" s="8"/>
      <c r="K27" s="8"/>
      <c r="L27" s="8"/>
      <c r="M27" s="8"/>
      <c r="N27" s="8"/>
      <c r="O27" s="8"/>
      <c r="P27" s="8"/>
      <c r="Q27" s="13"/>
      <c r="R27" s="8"/>
    </row>
    <row r="28" spans="1:129" x14ac:dyDescent="0.55000000000000004">
      <c r="B28" s="8"/>
      <c r="C28" s="8"/>
      <c r="D28" s="8"/>
      <c r="E28" s="8"/>
      <c r="F28" s="8"/>
      <c r="G28" s="8"/>
      <c r="H28" s="8"/>
      <c r="I28" s="8"/>
      <c r="J28" s="8"/>
      <c r="K28" s="8"/>
      <c r="L28" s="8"/>
      <c r="M28" s="8"/>
      <c r="N28" s="8"/>
      <c r="O28" s="6"/>
      <c r="P28" s="8"/>
      <c r="Q28" s="8"/>
      <c r="R28" s="8"/>
      <c r="S28" s="8"/>
      <c r="U28" s="8"/>
      <c r="V28" s="8"/>
      <c r="Z28" s="8"/>
    </row>
    <row r="29" spans="1:129" x14ac:dyDescent="0.55000000000000004">
      <c r="B29" s="8"/>
      <c r="C29" s="8"/>
      <c r="D29" s="8"/>
      <c r="E29" s="8"/>
      <c r="F29" s="8"/>
      <c r="G29" s="8"/>
      <c r="H29" s="8"/>
      <c r="I29" s="8"/>
      <c r="J29" s="8"/>
      <c r="K29" s="8"/>
      <c r="L29" s="8"/>
      <c r="M29" s="8"/>
      <c r="N29" s="6"/>
      <c r="O29" s="8"/>
      <c r="P29" s="8"/>
      <c r="Q29" s="8"/>
      <c r="R29" s="8"/>
      <c r="S29" s="8"/>
      <c r="U29" s="8"/>
      <c r="V29" s="8"/>
      <c r="Z29" s="8"/>
    </row>
    <row r="30" spans="1:129" x14ac:dyDescent="0.55000000000000004">
      <c r="B30" s="8"/>
      <c r="C30" s="8"/>
      <c r="D30" s="8"/>
      <c r="E30" s="8"/>
      <c r="F30" s="8"/>
      <c r="G30" s="8"/>
      <c r="H30" s="8"/>
      <c r="I30" s="8"/>
      <c r="J30" s="8"/>
      <c r="K30" s="8"/>
      <c r="L30" s="8"/>
      <c r="M30" s="8"/>
      <c r="N30" s="8"/>
      <c r="O30" s="8"/>
      <c r="P30" s="8"/>
      <c r="Q30" s="8"/>
      <c r="R30" s="8"/>
      <c r="S30" s="8"/>
      <c r="U30" s="8"/>
      <c r="V30" s="8"/>
      <c r="Z30" s="8"/>
    </row>
    <row r="31" spans="1:129" x14ac:dyDescent="0.55000000000000004">
      <c r="B31" s="8"/>
      <c r="C31" s="8"/>
      <c r="D31" s="8"/>
      <c r="E31" s="8"/>
      <c r="F31" s="8"/>
      <c r="G31" s="8"/>
      <c r="H31" s="8"/>
      <c r="I31" s="8"/>
      <c r="J31" s="8"/>
      <c r="K31" s="8"/>
      <c r="L31" s="8"/>
      <c r="M31" s="8"/>
      <c r="N31" s="8"/>
      <c r="O31" s="8"/>
      <c r="P31" s="8"/>
      <c r="Q31" s="8"/>
      <c r="R31" s="8"/>
      <c r="S31" s="8"/>
      <c r="U31" s="8"/>
      <c r="V31" s="8"/>
      <c r="Z31" s="8"/>
    </row>
    <row r="32" spans="1:129" x14ac:dyDescent="0.55000000000000004">
      <c r="B32" s="8"/>
      <c r="C32" s="8"/>
      <c r="D32" s="8"/>
      <c r="E32" s="8"/>
      <c r="F32" s="8"/>
      <c r="G32" s="8"/>
      <c r="H32" s="8"/>
      <c r="I32" s="8"/>
      <c r="J32" s="8"/>
      <c r="K32" s="8"/>
      <c r="L32" s="8"/>
      <c r="M32" s="8"/>
      <c r="N32" s="8"/>
      <c r="O32" s="8"/>
      <c r="P32" s="8"/>
      <c r="Q32" s="8"/>
      <c r="R32" s="8"/>
      <c r="S32" s="8"/>
      <c r="U32" s="8"/>
      <c r="V32" s="8"/>
      <c r="Z32" s="8"/>
    </row>
    <row r="33" spans="2:26" x14ac:dyDescent="0.55000000000000004">
      <c r="B33" s="8"/>
      <c r="C33" s="8"/>
      <c r="D33" s="8"/>
      <c r="E33" s="8"/>
      <c r="F33" s="8"/>
      <c r="G33" s="8"/>
      <c r="H33" s="8"/>
      <c r="I33" s="8"/>
      <c r="J33" s="8"/>
      <c r="K33" s="8"/>
      <c r="L33" s="8"/>
      <c r="M33" s="8"/>
      <c r="N33" s="8"/>
      <c r="O33" s="8"/>
      <c r="P33" s="8"/>
      <c r="Q33" s="8"/>
      <c r="R33" s="8"/>
      <c r="S33" s="8"/>
      <c r="U33" s="8"/>
      <c r="V33" s="8"/>
      <c r="Z33" s="8"/>
    </row>
    <row r="34" spans="2:26" x14ac:dyDescent="0.55000000000000004">
      <c r="B34" s="8"/>
      <c r="C34" s="8"/>
      <c r="D34" s="8"/>
      <c r="E34" s="8"/>
      <c r="F34" s="8"/>
      <c r="G34" s="8"/>
      <c r="H34" s="8"/>
      <c r="I34" s="8"/>
      <c r="J34" s="8"/>
      <c r="K34" s="8"/>
      <c r="L34" s="8"/>
      <c r="M34" s="8"/>
      <c r="N34" s="8"/>
      <c r="O34" s="8"/>
      <c r="P34" s="8"/>
      <c r="Q34" s="8"/>
      <c r="R34" s="8"/>
      <c r="S34" s="8"/>
      <c r="U34" s="8"/>
      <c r="V34" s="8"/>
      <c r="Z34" s="8"/>
    </row>
    <row r="35" spans="2:26" x14ac:dyDescent="0.55000000000000004">
      <c r="B35" s="8"/>
      <c r="C35" s="8"/>
      <c r="D35" s="8"/>
      <c r="E35" s="8"/>
      <c r="F35" s="8"/>
      <c r="G35" s="8"/>
      <c r="H35" s="8"/>
      <c r="I35" s="8"/>
      <c r="J35" s="8"/>
      <c r="K35" s="8"/>
      <c r="L35" s="8"/>
      <c r="M35" s="8"/>
      <c r="N35" s="8"/>
      <c r="O35" s="8"/>
      <c r="P35" s="8"/>
      <c r="Q35" s="8"/>
      <c r="R35" s="8"/>
      <c r="S35" s="8"/>
      <c r="U35" s="8"/>
      <c r="V35" s="8"/>
      <c r="Z35" s="8"/>
    </row>
    <row r="36" spans="2:26" x14ac:dyDescent="0.55000000000000004">
      <c r="B36" s="8"/>
      <c r="C36" s="8"/>
      <c r="D36" s="8"/>
      <c r="E36" s="8"/>
      <c r="F36" s="8"/>
      <c r="G36" s="8"/>
      <c r="H36" s="8"/>
      <c r="I36" s="8"/>
      <c r="J36" s="8"/>
      <c r="K36" s="8"/>
      <c r="L36" s="8"/>
      <c r="M36" s="8"/>
      <c r="N36" s="8"/>
      <c r="O36" s="8"/>
      <c r="P36" s="8"/>
      <c r="Q36" s="8"/>
      <c r="R36" s="8"/>
      <c r="S36" s="8"/>
      <c r="U36" s="8"/>
      <c r="V36" s="8"/>
      <c r="Z36" s="8"/>
    </row>
    <row r="37" spans="2:26" x14ac:dyDescent="0.55000000000000004">
      <c r="B37" s="8"/>
      <c r="C37" s="8"/>
      <c r="D37" s="8"/>
      <c r="E37" s="8"/>
      <c r="F37" s="8"/>
      <c r="G37" s="8"/>
      <c r="H37" s="8"/>
      <c r="I37" s="8"/>
      <c r="J37" s="8"/>
      <c r="K37" s="8"/>
      <c r="L37" s="8"/>
      <c r="M37" s="8"/>
      <c r="N37" s="8"/>
      <c r="O37" s="8"/>
      <c r="P37" s="8"/>
      <c r="Q37" s="8"/>
      <c r="R37" s="8"/>
      <c r="S37" s="8"/>
      <c r="U37" s="8"/>
      <c r="V37" s="8"/>
      <c r="Z37" s="8"/>
    </row>
    <row r="38" spans="2:26" x14ac:dyDescent="0.55000000000000004">
      <c r="B38" s="8"/>
      <c r="C38" s="8"/>
      <c r="D38" s="8"/>
      <c r="E38" s="8"/>
      <c r="F38" s="8"/>
      <c r="G38" s="8"/>
      <c r="H38" s="8"/>
      <c r="I38" s="8"/>
      <c r="J38" s="8"/>
      <c r="K38" s="8"/>
      <c r="L38" s="8"/>
      <c r="M38" s="8"/>
      <c r="N38" s="8"/>
      <c r="O38" s="8"/>
      <c r="P38" s="8"/>
      <c r="Q38" s="8"/>
      <c r="R38" s="8"/>
      <c r="S38" s="8"/>
      <c r="U38" s="8"/>
      <c r="V38" s="8"/>
      <c r="Z38" s="8"/>
    </row>
    <row r="39" spans="2:26" x14ac:dyDescent="0.55000000000000004">
      <c r="B39" s="8"/>
      <c r="C39" s="8"/>
      <c r="D39" s="8"/>
      <c r="E39" s="8"/>
      <c r="F39" s="8"/>
      <c r="G39" s="8"/>
      <c r="H39" s="8"/>
      <c r="I39" s="8"/>
      <c r="J39" s="8"/>
      <c r="K39" s="8"/>
      <c r="L39" s="8"/>
      <c r="M39" s="8"/>
      <c r="N39" s="8"/>
      <c r="O39" s="8"/>
      <c r="P39" s="8"/>
      <c r="Q39" s="8"/>
      <c r="R39" s="8"/>
      <c r="S39" s="8"/>
      <c r="U39" s="8"/>
      <c r="V39" s="8"/>
      <c r="Z39" s="8"/>
    </row>
    <row r="40" spans="2:26" x14ac:dyDescent="0.55000000000000004">
      <c r="B40" s="8"/>
      <c r="C40" s="8"/>
      <c r="D40" s="8"/>
      <c r="E40" s="8"/>
      <c r="F40" s="8"/>
      <c r="G40" s="8"/>
      <c r="H40" s="8"/>
      <c r="I40" s="8"/>
      <c r="J40" s="8"/>
      <c r="K40" s="8"/>
      <c r="L40" s="8"/>
      <c r="M40" s="8"/>
      <c r="N40" s="8"/>
      <c r="O40" s="8"/>
      <c r="P40" s="8"/>
      <c r="Q40" s="8"/>
      <c r="R40" s="8"/>
      <c r="S40" s="8"/>
      <c r="U40" s="8"/>
      <c r="V40" s="8"/>
      <c r="Z40" s="8"/>
    </row>
    <row r="41" spans="2:26" x14ac:dyDescent="0.55000000000000004">
      <c r="B41" s="8"/>
      <c r="C41" s="8"/>
      <c r="D41" s="8"/>
      <c r="E41" s="8"/>
      <c r="F41" s="8"/>
      <c r="G41" s="8"/>
      <c r="H41" s="8"/>
      <c r="I41" s="8"/>
      <c r="J41" s="8"/>
      <c r="K41" s="8"/>
      <c r="L41" s="8"/>
      <c r="M41" s="8"/>
      <c r="N41" s="8"/>
      <c r="O41" s="8"/>
      <c r="P41" s="8"/>
      <c r="Q41" s="8"/>
      <c r="R41" s="8"/>
      <c r="S41" s="8"/>
      <c r="U41" s="8"/>
      <c r="V41" s="8"/>
      <c r="Z41" s="8"/>
    </row>
    <row r="42" spans="2:26" x14ac:dyDescent="0.55000000000000004">
      <c r="B42" s="8"/>
      <c r="C42" s="8"/>
      <c r="D42" s="8"/>
      <c r="E42" s="8"/>
      <c r="F42" s="8"/>
      <c r="G42" s="8"/>
      <c r="H42" s="8"/>
      <c r="I42" s="8"/>
      <c r="J42" s="8"/>
      <c r="K42" s="8"/>
      <c r="L42" s="8"/>
      <c r="M42" s="8"/>
      <c r="N42" s="8"/>
      <c r="O42" s="8"/>
      <c r="P42" s="8"/>
      <c r="Q42" s="8"/>
      <c r="R42" s="8"/>
      <c r="S42" s="8"/>
      <c r="U42" s="8"/>
      <c r="V42" s="8"/>
      <c r="Z42" s="8"/>
    </row>
  </sheetData>
  <mergeCells count="10">
    <mergeCell ref="B1:Z1"/>
    <mergeCell ref="B2:Z2"/>
    <mergeCell ref="T4:V4"/>
    <mergeCell ref="Q4:S4"/>
    <mergeCell ref="W4:Y4"/>
    <mergeCell ref="B5:D5"/>
    <mergeCell ref="E5:G5"/>
    <mergeCell ref="H5:J5"/>
    <mergeCell ref="K5:M5"/>
    <mergeCell ref="N5:P5"/>
  </mergeCells>
  <pageMargins left="0.25" right="0.25" top="0.75" bottom="0.75" header="0.3" footer="0.3"/>
  <pageSetup paperSize="5" scale="86" fitToHeight="2"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9EC06F-D666-4BD8-958B-374EE4D434CE}">
  <ds:schemaRefs>
    <ds:schemaRef ds:uri="http://schemas.microsoft.com/sharepoint/v3/contenttype/forms"/>
  </ds:schemaRefs>
</ds:datastoreItem>
</file>

<file path=customXml/itemProps2.xml><?xml version="1.0" encoding="utf-8"?>
<ds:datastoreItem xmlns:ds="http://schemas.openxmlformats.org/officeDocument/2006/customXml" ds:itemID="{C5E850A6-885C-425F-856C-72B7D1C56C61}"/>
</file>

<file path=customXml/itemProps3.xml><?xml version="1.0" encoding="utf-8"?>
<ds:datastoreItem xmlns:ds="http://schemas.openxmlformats.org/officeDocument/2006/customXml" ds:itemID="{9AA062DA-8B62-4BA9-8C72-E2D6C7D3E80D}">
  <ds:schemaRefs>
    <ds:schemaRef ds:uri="http://schemas.microsoft.com/office/2006/metadata/properties"/>
    <ds:schemaRef ds:uri="http://schemas.microsoft.com/office/infopath/2007/PartnerControls"/>
    <ds:schemaRef ds:uri="dc808d36-874f-4b27-aec2-2fd649817929"/>
    <ds:schemaRef ds:uri="f8135ccf-0908-4d8c-8b6a-2ec449ff78ed"/>
    <ds:schemaRef ds:uri="f2466082-b6bf-4153-98c3-3c41e85fda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OrigBudget Summary ProAntioquia</vt:lpstr>
      <vt:lpstr>Budget ProAntioquia</vt:lpstr>
      <vt:lpstr>Hoja1</vt:lpstr>
      <vt:lpstr>Proyecciones 2023</vt:lpstr>
      <vt:lpstr>New Budget Summary PA 2023</vt:lpstr>
      <vt:lpstr>Mod 5</vt:lpstr>
      <vt:lpstr>'Budget ProAntioquia'!Print_Area</vt:lpstr>
      <vt:lpstr>'Mod 5'!Print_Area</vt:lpstr>
      <vt:lpstr>'OrigBudget Summary ProAntioquia'!Print_Area</vt:lpstr>
    </vt:vector>
  </TitlesOfParts>
  <Manager/>
  <Company>POA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POA USER</dc:creator>
  <cp:keywords/>
  <dc:description/>
  <cp:lastModifiedBy>Danielle Martin</cp:lastModifiedBy>
  <cp:revision/>
  <dcterms:created xsi:type="dcterms:W3CDTF">2008-05-05T21:17:49Z</dcterms:created>
  <dcterms:modified xsi:type="dcterms:W3CDTF">2024-07-10T06:02:37Z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7450200</vt:r8>
  </property>
  <property fmtid="{D5CDD505-2E9C-101B-9397-08002B2CF9AE}" pid="3" name="ContentTypeId">
    <vt:lpwstr>0x010100C59B22D1DF915845AC6496EEE0CE9AE4</vt:lpwstr>
  </property>
  <property fmtid="{D5CDD505-2E9C-101B-9397-08002B2CF9AE}" pid="4" name="WorkbookGuid">
    <vt:lpwstr>81c244d2-920e-47a5-9d96-672fb778abcb</vt:lpwstr>
  </property>
  <property fmtid="{D5CDD505-2E9C-101B-9397-08002B2CF9AE}" pid="5" name="MediaServiceImageTags">
    <vt:lpwstr/>
  </property>
</Properties>
</file>